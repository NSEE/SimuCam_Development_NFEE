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Memory_Filler\References\"/>
    </mc:Choice>
  </mc:AlternateContent>
  <xr:revisionPtr revIDLastSave="0" documentId="13_ncr:1_{B5CCA572-C641-425C-B702-0F1B4A3AAE0C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9" i="1" l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S7" i="1"/>
  <c r="R7" i="1"/>
  <c r="Q7" i="1"/>
  <c r="Z7" i="1" l="1"/>
  <c r="U7" i="1"/>
  <c r="V7" i="1" s="1"/>
  <c r="X7" i="1"/>
  <c r="T7" i="1"/>
  <c r="S8" i="1"/>
  <c r="Y7" i="1"/>
  <c r="W7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5" i="1"/>
  <c r="Q75" i="1"/>
  <c r="R74" i="1"/>
  <c r="Q74" i="1"/>
  <c r="R73" i="1"/>
  <c r="Q73" i="1"/>
  <c r="R71" i="1"/>
  <c r="Q71" i="1"/>
  <c r="R70" i="1"/>
  <c r="Q70" i="1"/>
  <c r="R69" i="1"/>
  <c r="Q69" i="1"/>
  <c r="AE7" i="1" l="1"/>
  <c r="AA7" i="1"/>
  <c r="AF7" i="1"/>
  <c r="AB7" i="1"/>
  <c r="AG7" i="1"/>
  <c r="AC7" i="1"/>
  <c r="X8" i="1"/>
  <c r="T8" i="1"/>
  <c r="W8" i="1"/>
  <c r="Z8" i="1"/>
  <c r="S9" i="1"/>
  <c r="Y8" i="1"/>
  <c r="U8" i="1"/>
  <c r="V8" i="1" s="1"/>
  <c r="AH7" i="1"/>
  <c r="AD7" i="1"/>
  <c r="R6" i="1"/>
  <c r="Q6" i="1"/>
  <c r="AE8" i="1" l="1"/>
  <c r="AA8" i="1"/>
  <c r="AG8" i="1"/>
  <c r="AC8" i="1"/>
  <c r="Z9" i="1"/>
  <c r="X9" i="1"/>
  <c r="T9" i="1"/>
  <c r="W9" i="1"/>
  <c r="S10" i="1"/>
  <c r="Y9" i="1"/>
  <c r="U9" i="1"/>
  <c r="V9" i="1" s="1"/>
  <c r="AF8" i="1"/>
  <c r="AB8" i="1"/>
  <c r="AD8" i="1"/>
  <c r="AH8" i="1"/>
  <c r="R4" i="1"/>
  <c r="R5" i="1"/>
  <c r="Q5" i="1"/>
  <c r="Q4" i="1"/>
  <c r="Z4" i="1"/>
  <c r="AH4" i="1" s="1"/>
  <c r="Y4" i="1"/>
  <c r="AG4" i="1" s="1"/>
  <c r="X4" i="1"/>
  <c r="W4" i="1"/>
  <c r="U4" i="1"/>
  <c r="V4" i="1" s="1"/>
  <c r="T4" i="1"/>
  <c r="AE9" i="1" l="1"/>
  <c r="AA9" i="1"/>
  <c r="AG9" i="1"/>
  <c r="AC9" i="1"/>
  <c r="AF9" i="1"/>
  <c r="AB9" i="1"/>
  <c r="X10" i="1"/>
  <c r="T10" i="1"/>
  <c r="Z10" i="1"/>
  <c r="U10" i="1"/>
  <c r="V10" i="1" s="1"/>
  <c r="W10" i="1"/>
  <c r="Y10" i="1"/>
  <c r="S11" i="1"/>
  <c r="AH9" i="1"/>
  <c r="AD9" i="1"/>
  <c r="AF4" i="1"/>
  <c r="AE4" i="1"/>
  <c r="S5" i="1"/>
  <c r="S6" i="1" s="1"/>
  <c r="AD4" i="1"/>
  <c r="AA4" i="1"/>
  <c r="AC4" i="1"/>
  <c r="AB4" i="1"/>
  <c r="AG10" i="1" l="1"/>
  <c r="AC10" i="1"/>
  <c r="AE10" i="1"/>
  <c r="AA10" i="1"/>
  <c r="AF10" i="1"/>
  <c r="AB10" i="1"/>
  <c r="Z11" i="1"/>
  <c r="X11" i="1"/>
  <c r="T11" i="1"/>
  <c r="S12" i="1"/>
  <c r="Y11" i="1"/>
  <c r="U11" i="1"/>
  <c r="V11" i="1" s="1"/>
  <c r="W11" i="1"/>
  <c r="AH10" i="1"/>
  <c r="AD10" i="1"/>
  <c r="X6" i="1"/>
  <c r="T6" i="1"/>
  <c r="Y6" i="1"/>
  <c r="W6" i="1"/>
  <c r="U6" i="1"/>
  <c r="Z6" i="1"/>
  <c r="T5" i="1"/>
  <c r="U5" i="1"/>
  <c r="V5" i="1" s="1"/>
  <c r="X5" i="1"/>
  <c r="Y5" i="1"/>
  <c r="W5" i="1"/>
  <c r="Z5" i="1"/>
  <c r="AH5" i="1" s="1"/>
  <c r="AF11" i="1" l="1"/>
  <c r="AB11" i="1"/>
  <c r="AH11" i="1"/>
  <c r="AD11" i="1"/>
  <c r="AG11" i="1"/>
  <c r="AC11" i="1"/>
  <c r="X12" i="1"/>
  <c r="T12" i="1"/>
  <c r="W12" i="1"/>
  <c r="Z12" i="1"/>
  <c r="S13" i="1"/>
  <c r="U12" i="1"/>
  <c r="V12" i="1" s="1"/>
  <c r="Y12" i="1"/>
  <c r="AE11" i="1"/>
  <c r="AA11" i="1"/>
  <c r="AC5" i="1"/>
  <c r="AA5" i="1"/>
  <c r="AF5" i="1"/>
  <c r="V6" i="1"/>
  <c r="AH6" i="1"/>
  <c r="AD6" i="1"/>
  <c r="AG6" i="1"/>
  <c r="AC6" i="1"/>
  <c r="AE6" i="1"/>
  <c r="AA6" i="1"/>
  <c r="AF6" i="1"/>
  <c r="AB6" i="1"/>
  <c r="AB5" i="1"/>
  <c r="AG5" i="1"/>
  <c r="AE5" i="1"/>
  <c r="AD5" i="1"/>
  <c r="AE12" i="1" l="1"/>
  <c r="AA12" i="1"/>
  <c r="Z13" i="1"/>
  <c r="S14" i="1"/>
  <c r="Y13" i="1"/>
  <c r="U13" i="1"/>
  <c r="V13" i="1" s="1"/>
  <c r="X13" i="1"/>
  <c r="T13" i="1"/>
  <c r="W13" i="1"/>
  <c r="AF12" i="1"/>
  <c r="AB12" i="1"/>
  <c r="AH12" i="1"/>
  <c r="AD12" i="1"/>
  <c r="AG12" i="1"/>
  <c r="AC12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X14" i="1" l="1"/>
  <c r="T14" i="1"/>
  <c r="Y14" i="1"/>
  <c r="W14" i="1"/>
  <c r="Z14" i="1"/>
  <c r="S15" i="1"/>
  <c r="U14" i="1"/>
  <c r="V14" i="1" s="1"/>
  <c r="AF13" i="1"/>
  <c r="AB13" i="1"/>
  <c r="AH13" i="1"/>
  <c r="AD13" i="1"/>
  <c r="AE13" i="1"/>
  <c r="AA13" i="1"/>
  <c r="AG13" i="1"/>
  <c r="AC13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14" i="1" l="1"/>
  <c r="AA14" i="1"/>
  <c r="AG14" i="1"/>
  <c r="AC14" i="1"/>
  <c r="Z15" i="1"/>
  <c r="S16" i="1"/>
  <c r="Y15" i="1"/>
  <c r="U15" i="1"/>
  <c r="V15" i="1" s="1"/>
  <c r="X15" i="1"/>
  <c r="T15" i="1"/>
  <c r="W15" i="1"/>
  <c r="AH14" i="1"/>
  <c r="AD14" i="1"/>
  <c r="AF14" i="1"/>
  <c r="AB14" i="1"/>
  <c r="AA15" i="1" l="1"/>
  <c r="AE15" i="1"/>
  <c r="AG15" i="1"/>
  <c r="AC15" i="1"/>
  <c r="X16" i="1"/>
  <c r="T16" i="1"/>
  <c r="Z16" i="1"/>
  <c r="S17" i="1"/>
  <c r="W16" i="1"/>
  <c r="Y16" i="1"/>
  <c r="U16" i="1"/>
  <c r="V16" i="1" s="1"/>
  <c r="AF15" i="1"/>
  <c r="AB15" i="1"/>
  <c r="AH15" i="1"/>
  <c r="AD15" i="1"/>
  <c r="Z17" i="1" l="1"/>
  <c r="S18" i="1"/>
  <c r="Y17" i="1"/>
  <c r="U17" i="1"/>
  <c r="V17" i="1" s="1"/>
  <c r="X17" i="1"/>
  <c r="T17" i="1"/>
  <c r="W17" i="1"/>
  <c r="AH16" i="1"/>
  <c r="AD16" i="1"/>
  <c r="AG16" i="1"/>
  <c r="AC16" i="1"/>
  <c r="AE16" i="1"/>
  <c r="AA16" i="1"/>
  <c r="AF16" i="1"/>
  <c r="AB16" i="1"/>
  <c r="AE17" i="1" l="1"/>
  <c r="AA17" i="1"/>
  <c r="AG17" i="1"/>
  <c r="AC17" i="1"/>
  <c r="X18" i="1"/>
  <c r="T18" i="1"/>
  <c r="W18" i="1"/>
  <c r="Z18" i="1"/>
  <c r="S19" i="1"/>
  <c r="Y18" i="1"/>
  <c r="U18" i="1"/>
  <c r="V18" i="1" s="1"/>
  <c r="AF17" i="1"/>
  <c r="AB17" i="1"/>
  <c r="AH17" i="1"/>
  <c r="AD17" i="1"/>
  <c r="AH18" i="1" l="1"/>
  <c r="AD18" i="1"/>
  <c r="AE18" i="1"/>
  <c r="AA18" i="1"/>
  <c r="AG18" i="1"/>
  <c r="AC18" i="1"/>
  <c r="Z19" i="1"/>
  <c r="Y19" i="1"/>
  <c r="U19" i="1"/>
  <c r="V19" i="1" s="1"/>
  <c r="X19" i="1"/>
  <c r="T19" i="1"/>
  <c r="W19" i="1"/>
  <c r="AF18" i="1"/>
  <c r="AB18" i="1"/>
  <c r="AE19" i="1" l="1"/>
  <c r="AA19" i="1"/>
  <c r="AG19" i="1"/>
  <c r="AC19" i="1"/>
  <c r="AH19" i="1"/>
  <c r="AD19" i="1"/>
  <c r="AF19" i="1"/>
  <c r="AB19" i="1"/>
  <c r="S69" i="1" l="1"/>
  <c r="S70" i="1" s="1"/>
  <c r="W69" i="1" l="1"/>
  <c r="Z69" i="1"/>
  <c r="AD69" i="1" s="1"/>
  <c r="T69" i="1"/>
  <c r="U69" i="1"/>
  <c r="V69" i="1" s="1"/>
  <c r="Y69" i="1"/>
  <c r="X69" i="1"/>
  <c r="AF69" i="1" s="1"/>
  <c r="AE69" i="1"/>
  <c r="S71" i="1"/>
  <c r="Y70" i="1"/>
  <c r="U70" i="1"/>
  <c r="V70" i="1" s="1"/>
  <c r="T70" i="1"/>
  <c r="Z70" i="1"/>
  <c r="X70" i="1"/>
  <c r="W70" i="1"/>
  <c r="AG69" i="1" l="1"/>
  <c r="AB69" i="1"/>
  <c r="AA69" i="1"/>
  <c r="AH69" i="1"/>
  <c r="AC69" i="1"/>
  <c r="AA70" i="1"/>
  <c r="AE70" i="1"/>
  <c r="AB70" i="1"/>
  <c r="AF70" i="1"/>
  <c r="AC70" i="1"/>
  <c r="AG70" i="1"/>
  <c r="AD70" i="1"/>
  <c r="AH70" i="1"/>
  <c r="S73" i="1"/>
  <c r="U71" i="1"/>
  <c r="V71" i="1" s="1"/>
  <c r="X71" i="1"/>
  <c r="Y71" i="1"/>
  <c r="W71" i="1"/>
  <c r="Z71" i="1"/>
  <c r="T71" i="1"/>
  <c r="AF71" i="1" l="1"/>
  <c r="AB71" i="1"/>
  <c r="AC71" i="1"/>
  <c r="AG71" i="1"/>
  <c r="AH71" i="1"/>
  <c r="AD71" i="1"/>
  <c r="AA71" i="1"/>
  <c r="AE71" i="1"/>
  <c r="S74" i="1"/>
  <c r="Z73" i="1"/>
  <c r="X73" i="1"/>
  <c r="W73" i="1"/>
  <c r="T73" i="1"/>
  <c r="U73" i="1"/>
  <c r="V73" i="1" s="1"/>
  <c r="Y73" i="1"/>
  <c r="AB73" i="1" l="1"/>
  <c r="AF73" i="1"/>
  <c r="AA73" i="1"/>
  <c r="AE73" i="1"/>
  <c r="AG73" i="1"/>
  <c r="AC73" i="1"/>
  <c r="AH73" i="1"/>
  <c r="AD73" i="1"/>
  <c r="Y74" i="1"/>
  <c r="X74" i="1"/>
  <c r="W74" i="1"/>
  <c r="Z74" i="1"/>
  <c r="U74" i="1"/>
  <c r="V74" i="1" s="1"/>
  <c r="T74" i="1"/>
  <c r="S75" i="1" l="1"/>
  <c r="T75" i="1" s="1"/>
  <c r="AA74" i="1"/>
  <c r="AE74" i="1"/>
  <c r="AB74" i="1"/>
  <c r="AF74" i="1"/>
  <c r="AC74" i="1"/>
  <c r="AG74" i="1"/>
  <c r="AD74" i="1"/>
  <c r="AH74" i="1"/>
  <c r="Y75" i="1" l="1"/>
  <c r="AC75" i="1" s="1"/>
  <c r="W75" i="1"/>
  <c r="AA75" i="1" s="1"/>
  <c r="U75" i="1"/>
  <c r="V75" i="1" s="1"/>
  <c r="X75" i="1"/>
  <c r="AB75" i="1" s="1"/>
  <c r="Z75" i="1"/>
  <c r="AD75" i="1" s="1"/>
  <c r="AE75" i="1" l="1"/>
  <c r="AG75" i="1"/>
  <c r="AH75" i="1"/>
  <c r="S77" i="1"/>
  <c r="Y77" i="1" s="1"/>
  <c r="AF75" i="1"/>
  <c r="Z77" i="1" l="1"/>
  <c r="AC77" i="1" s="1"/>
  <c r="W77" i="1"/>
  <c r="X77" i="1"/>
  <c r="AF77" i="1" s="1"/>
  <c r="U77" i="1"/>
  <c r="V77" i="1" s="1"/>
  <c r="T77" i="1"/>
  <c r="S78" i="1"/>
  <c r="X78" i="1" s="1"/>
  <c r="AG77" i="1"/>
  <c r="T78" i="1" l="1"/>
  <c r="AE77" i="1"/>
  <c r="AB77" i="1"/>
  <c r="AA77" i="1"/>
  <c r="Y78" i="1"/>
  <c r="U78" i="1"/>
  <c r="V78" i="1" s="1"/>
  <c r="S79" i="1"/>
  <c r="W78" i="1"/>
  <c r="Z78" i="1"/>
  <c r="AD77" i="1"/>
  <c r="AH77" i="1"/>
  <c r="AG78" i="1" l="1"/>
  <c r="AB78" i="1"/>
  <c r="U79" i="1"/>
  <c r="V79" i="1" s="1"/>
  <c r="Y79" i="1"/>
  <c r="T79" i="1"/>
  <c r="S80" i="1"/>
  <c r="W79" i="1"/>
  <c r="X79" i="1"/>
  <c r="Z79" i="1"/>
  <c r="AD78" i="1"/>
  <c r="AH78" i="1"/>
  <c r="AC78" i="1"/>
  <c r="AA78" i="1"/>
  <c r="AE78" i="1"/>
  <c r="AF78" i="1"/>
  <c r="W80" i="1" l="1"/>
  <c r="Z80" i="1"/>
  <c r="U80" i="1"/>
  <c r="V80" i="1" s="1"/>
  <c r="Y80" i="1"/>
  <c r="T80" i="1"/>
  <c r="X80" i="1"/>
  <c r="S81" i="1"/>
  <c r="AD79" i="1"/>
  <c r="AH79" i="1"/>
  <c r="AB79" i="1"/>
  <c r="AF79" i="1"/>
  <c r="AC79" i="1"/>
  <c r="AG79" i="1"/>
  <c r="AA79" i="1"/>
  <c r="AE79" i="1"/>
  <c r="AG80" i="1" l="1"/>
  <c r="AC80" i="1"/>
  <c r="S82" i="1"/>
  <c r="Z81" i="1"/>
  <c r="X81" i="1"/>
  <c r="W81" i="1"/>
  <c r="T81" i="1"/>
  <c r="Y81" i="1"/>
  <c r="U81" i="1"/>
  <c r="V81" i="1" s="1"/>
  <c r="AB80" i="1"/>
  <c r="AF80" i="1"/>
  <c r="AD80" i="1"/>
  <c r="AH80" i="1"/>
  <c r="AE80" i="1"/>
  <c r="AA80" i="1"/>
  <c r="AC81" i="1" l="1"/>
  <c r="AG81" i="1"/>
  <c r="AH81" i="1"/>
  <c r="AD81" i="1"/>
  <c r="T82" i="1"/>
  <c r="Z82" i="1"/>
  <c r="W82" i="1"/>
  <c r="S83" i="1"/>
  <c r="Y82" i="1"/>
  <c r="U82" i="1"/>
  <c r="V82" i="1" s="1"/>
  <c r="X82" i="1"/>
  <c r="AE81" i="1"/>
  <c r="AA81" i="1"/>
  <c r="AB81" i="1"/>
  <c r="AF81" i="1"/>
  <c r="X83" i="1" l="1"/>
  <c r="Z83" i="1"/>
  <c r="U83" i="1"/>
  <c r="V83" i="1" s="1"/>
  <c r="Y83" i="1"/>
  <c r="W83" i="1"/>
  <c r="T83" i="1"/>
  <c r="AB82" i="1"/>
  <c r="AF82" i="1"/>
  <c r="AE82" i="1"/>
  <c r="AA82" i="1"/>
  <c r="AD82" i="1"/>
  <c r="AH82" i="1"/>
  <c r="AC82" i="1"/>
  <c r="AG82" i="1"/>
  <c r="S84" i="1" l="1"/>
  <c r="AG83" i="1"/>
  <c r="AC83" i="1"/>
  <c r="AH83" i="1"/>
  <c r="AD83" i="1"/>
  <c r="AA83" i="1"/>
  <c r="AE83" i="1"/>
  <c r="AF83" i="1"/>
  <c r="AB83" i="1"/>
  <c r="U84" i="1" l="1"/>
  <c r="V84" i="1" s="1"/>
  <c r="Z84" i="1"/>
  <c r="T84" i="1"/>
  <c r="X84" i="1"/>
  <c r="W84" i="1"/>
  <c r="Y84" i="1"/>
  <c r="S85" i="1"/>
  <c r="U85" i="1" l="1"/>
  <c r="V85" i="1" s="1"/>
  <c r="S86" i="1"/>
  <c r="T85" i="1"/>
  <c r="Y85" i="1"/>
  <c r="W85" i="1"/>
  <c r="X85" i="1"/>
  <c r="Z85" i="1"/>
  <c r="AC84" i="1"/>
  <c r="AG84" i="1"/>
  <c r="AD84" i="1"/>
  <c r="AH84" i="1"/>
  <c r="AB84" i="1"/>
  <c r="AF84" i="1"/>
  <c r="AA84" i="1"/>
  <c r="AE84" i="1"/>
  <c r="AH85" i="1" l="1"/>
  <c r="AD85" i="1"/>
  <c r="AB85" i="1"/>
  <c r="AF85" i="1"/>
  <c r="Y86" i="1"/>
  <c r="T86" i="1"/>
  <c r="W86" i="1"/>
  <c r="U86" i="1"/>
  <c r="V86" i="1" s="1"/>
  <c r="X86" i="1"/>
  <c r="Z86" i="1"/>
  <c r="S87" i="1"/>
  <c r="AC85" i="1"/>
  <c r="AG85" i="1"/>
  <c r="AA85" i="1"/>
  <c r="AE85" i="1"/>
  <c r="AE86" i="1" l="1"/>
  <c r="AA86" i="1"/>
  <c r="T87" i="1"/>
  <c r="X87" i="1"/>
  <c r="Z87" i="1"/>
  <c r="W87" i="1"/>
  <c r="U87" i="1"/>
  <c r="V87" i="1" s="1"/>
  <c r="S88" i="1"/>
  <c r="Y87" i="1"/>
  <c r="AH86" i="1"/>
  <c r="AD86" i="1"/>
  <c r="AF86" i="1"/>
  <c r="AB86" i="1"/>
  <c r="AC86" i="1"/>
  <c r="AG86" i="1"/>
  <c r="AA87" i="1" l="1"/>
  <c r="AE87" i="1"/>
  <c r="U88" i="1"/>
  <c r="V88" i="1" s="1"/>
  <c r="Y88" i="1"/>
  <c r="W88" i="1"/>
  <c r="S89" i="1"/>
  <c r="T88" i="1"/>
  <c r="X88" i="1"/>
  <c r="Z88" i="1"/>
  <c r="AF87" i="1"/>
  <c r="AB87" i="1"/>
  <c r="AG87" i="1"/>
  <c r="AC87" i="1"/>
  <c r="AD87" i="1"/>
  <c r="AH87" i="1"/>
  <c r="AC88" i="1" l="1"/>
  <c r="AG88" i="1"/>
  <c r="U89" i="1"/>
  <c r="V89" i="1" s="1"/>
  <c r="Y89" i="1"/>
  <c r="T89" i="1"/>
  <c r="X89" i="1"/>
  <c r="W89" i="1"/>
  <c r="S90" i="1"/>
  <c r="Z89" i="1"/>
  <c r="AF88" i="1"/>
  <c r="AB88" i="1"/>
  <c r="AD88" i="1"/>
  <c r="AH88" i="1"/>
  <c r="AA88" i="1"/>
  <c r="AE88" i="1"/>
  <c r="AG89" i="1" l="1"/>
  <c r="AC89" i="1"/>
  <c r="AB89" i="1"/>
  <c r="AF89" i="1"/>
  <c r="Y90" i="1"/>
  <c r="W90" i="1"/>
  <c r="Z90" i="1"/>
  <c r="X90" i="1"/>
  <c r="U90" i="1"/>
  <c r="V90" i="1" s="1"/>
  <c r="T90" i="1"/>
  <c r="AE89" i="1"/>
  <c r="AA89" i="1"/>
  <c r="AD89" i="1"/>
  <c r="AH89" i="1"/>
  <c r="AE90" i="1" l="1"/>
  <c r="AA90" i="1"/>
  <c r="AD90" i="1"/>
  <c r="AH90" i="1"/>
  <c r="AG90" i="1"/>
  <c r="AC90" i="1"/>
  <c r="AF90" i="1"/>
  <c r="AB90" i="1"/>
  <c r="S91" i="1"/>
  <c r="W91" i="1" l="1"/>
  <c r="U91" i="1"/>
  <c r="V91" i="1" s="1"/>
  <c r="Z91" i="1"/>
  <c r="Y91" i="1"/>
  <c r="T91" i="1"/>
  <c r="X91" i="1"/>
  <c r="S92" i="1"/>
  <c r="S93" i="1" l="1"/>
  <c r="W92" i="1"/>
  <c r="X92" i="1"/>
  <c r="Y92" i="1"/>
  <c r="U92" i="1"/>
  <c r="V92" i="1" s="1"/>
  <c r="T92" i="1"/>
  <c r="Z92" i="1"/>
  <c r="AB91" i="1"/>
  <c r="AF91" i="1"/>
  <c r="AG91" i="1"/>
  <c r="AC91" i="1"/>
  <c r="AH91" i="1"/>
  <c r="AD91" i="1"/>
  <c r="AE91" i="1"/>
  <c r="AA91" i="1"/>
  <c r="AE92" i="1" l="1"/>
  <c r="AA92" i="1"/>
  <c r="AC92" i="1"/>
  <c r="AG92" i="1"/>
  <c r="AH92" i="1"/>
  <c r="AD92" i="1"/>
  <c r="AB92" i="1"/>
  <c r="AF92" i="1"/>
  <c r="W93" i="1"/>
  <c r="U93" i="1"/>
  <c r="V93" i="1" s="1"/>
  <c r="Y93" i="1"/>
  <c r="X93" i="1"/>
  <c r="T93" i="1"/>
  <c r="Z93" i="1"/>
  <c r="S94" i="1"/>
  <c r="AC93" i="1" l="1"/>
  <c r="AG93" i="1"/>
  <c r="AD93" i="1"/>
  <c r="AH93" i="1"/>
  <c r="AF93" i="1"/>
  <c r="AB93" i="1"/>
  <c r="Y94" i="1"/>
  <c r="X94" i="1"/>
  <c r="Z94" i="1"/>
  <c r="U94" i="1"/>
  <c r="V94" i="1" s="1"/>
  <c r="T94" i="1"/>
  <c r="S95" i="1"/>
  <c r="W94" i="1"/>
  <c r="AA93" i="1"/>
  <c r="AE93" i="1"/>
  <c r="AC94" i="1" l="1"/>
  <c r="AG94" i="1"/>
  <c r="AF94" i="1"/>
  <c r="AB94" i="1"/>
  <c r="W95" i="1"/>
  <c r="U95" i="1"/>
  <c r="V95" i="1" s="1"/>
  <c r="S96" i="1"/>
  <c r="Z95" i="1"/>
  <c r="Y95" i="1"/>
  <c r="X95" i="1"/>
  <c r="T95" i="1"/>
  <c r="AA94" i="1"/>
  <c r="AE94" i="1"/>
  <c r="AD94" i="1"/>
  <c r="AH94" i="1"/>
  <c r="T96" i="1" l="1"/>
  <c r="U96" i="1"/>
  <c r="V96" i="1" s="1"/>
  <c r="X96" i="1"/>
  <c r="Z96" i="1"/>
  <c r="W96" i="1"/>
  <c r="S97" i="1"/>
  <c r="Y96" i="1"/>
  <c r="AD95" i="1"/>
  <c r="AH95" i="1"/>
  <c r="AB95" i="1"/>
  <c r="AF95" i="1"/>
  <c r="AG95" i="1"/>
  <c r="AC95" i="1"/>
  <c r="AE95" i="1"/>
  <c r="AA95" i="1"/>
  <c r="AC96" i="1" l="1"/>
  <c r="AG96" i="1"/>
  <c r="AF96" i="1"/>
  <c r="AB96" i="1"/>
  <c r="Z97" i="1"/>
  <c r="Y97" i="1"/>
  <c r="X97" i="1"/>
  <c r="T97" i="1"/>
  <c r="U97" i="1"/>
  <c r="V97" i="1" s="1"/>
  <c r="W97" i="1"/>
  <c r="AH96" i="1"/>
  <c r="AD96" i="1"/>
  <c r="AA96" i="1"/>
  <c r="AE96" i="1"/>
  <c r="S98" i="1" l="1"/>
  <c r="Z98" i="1" s="1"/>
  <c r="AB97" i="1"/>
  <c r="AF97" i="1"/>
  <c r="AE97" i="1"/>
  <c r="AA97" i="1"/>
  <c r="AG97" i="1"/>
  <c r="AC97" i="1"/>
  <c r="AD97" i="1"/>
  <c r="AH97" i="1"/>
  <c r="Y98" i="1" l="1"/>
  <c r="AC98" i="1" s="1"/>
  <c r="S99" i="1"/>
  <c r="T98" i="1"/>
  <c r="U98" i="1"/>
  <c r="V98" i="1" s="1"/>
  <c r="W98" i="1"/>
  <c r="X98" i="1"/>
  <c r="AD98" i="1"/>
  <c r="AH98" i="1"/>
  <c r="AG98" i="1" l="1"/>
  <c r="AE98" i="1"/>
  <c r="AA98" i="1"/>
  <c r="AB98" i="1"/>
  <c r="X99" i="1"/>
  <c r="S100" i="1"/>
  <c r="W99" i="1"/>
  <c r="Z99" i="1"/>
  <c r="T99" i="1"/>
  <c r="U99" i="1"/>
  <c r="V99" i="1" s="1"/>
  <c r="Y99" i="1"/>
  <c r="AF98" i="1"/>
  <c r="U100" i="1" l="1"/>
  <c r="V100" i="1" s="1"/>
  <c r="S101" i="1"/>
  <c r="Z100" i="1"/>
  <c r="T100" i="1"/>
  <c r="X100" i="1"/>
  <c r="W100" i="1"/>
  <c r="Y100" i="1"/>
  <c r="AB99" i="1"/>
  <c r="AF99" i="1"/>
  <c r="AD99" i="1"/>
  <c r="AH99" i="1"/>
  <c r="AC99" i="1"/>
  <c r="AG99" i="1"/>
  <c r="AA99" i="1"/>
  <c r="AE99" i="1"/>
  <c r="AG100" i="1" l="1"/>
  <c r="AC100" i="1"/>
  <c r="AD100" i="1"/>
  <c r="AH100" i="1"/>
  <c r="AE100" i="1"/>
  <c r="AA100" i="1"/>
  <c r="W101" i="1"/>
  <c r="Y101" i="1"/>
  <c r="Z101" i="1"/>
  <c r="S102" i="1"/>
  <c r="U101" i="1"/>
  <c r="V101" i="1" s="1"/>
  <c r="T101" i="1"/>
  <c r="X101" i="1"/>
  <c r="AB100" i="1"/>
  <c r="AF100" i="1"/>
  <c r="AA101" i="1" l="1"/>
  <c r="AE101" i="1"/>
  <c r="AG101" i="1"/>
  <c r="AC101" i="1"/>
  <c r="W102" i="1"/>
  <c r="Y102" i="1"/>
  <c r="X102" i="1"/>
  <c r="U102" i="1"/>
  <c r="V102" i="1" s="1"/>
  <c r="Z102" i="1"/>
  <c r="S103" i="1"/>
  <c r="T102" i="1"/>
  <c r="AF101" i="1"/>
  <c r="AB101" i="1"/>
  <c r="AH101" i="1"/>
  <c r="AD101" i="1"/>
  <c r="AB102" i="1" l="1"/>
  <c r="AF102" i="1"/>
  <c r="T103" i="1"/>
  <c r="X103" i="1"/>
  <c r="W103" i="1"/>
  <c r="Y103" i="1"/>
  <c r="Z103" i="1"/>
  <c r="S104" i="1"/>
  <c r="U103" i="1"/>
  <c r="V103" i="1" s="1"/>
  <c r="AG102" i="1"/>
  <c r="AC102" i="1"/>
  <c r="AD102" i="1"/>
  <c r="AH102" i="1"/>
  <c r="AA102" i="1"/>
  <c r="AE102" i="1"/>
  <c r="X104" i="1" l="1"/>
  <c r="Y104" i="1"/>
  <c r="W104" i="1"/>
  <c r="Z104" i="1"/>
  <c r="T104" i="1"/>
  <c r="U104" i="1"/>
  <c r="AF103" i="1"/>
  <c r="AB103" i="1"/>
  <c r="AH103" i="1"/>
  <c r="AD103" i="1"/>
  <c r="AG103" i="1"/>
  <c r="AC103" i="1"/>
  <c r="AA103" i="1"/>
  <c r="AE103" i="1"/>
  <c r="AD104" i="1" l="1"/>
  <c r="AH104" i="1"/>
  <c r="AE104" i="1"/>
  <c r="AA104" i="1"/>
  <c r="V104" i="1"/>
  <c r="S105" i="1"/>
  <c r="AG104" i="1"/>
  <c r="AC104" i="1"/>
  <c r="AB104" i="1"/>
  <c r="AF104" i="1"/>
  <c r="U105" i="1" l="1"/>
  <c r="V105" i="1" s="1"/>
  <c r="X105" i="1"/>
  <c r="Y105" i="1"/>
  <c r="S106" i="1"/>
  <c r="W105" i="1"/>
  <c r="Z105" i="1"/>
  <c r="T105" i="1"/>
  <c r="U106" i="1" l="1"/>
  <c r="V106" i="1" s="1"/>
  <c r="S107" i="1"/>
  <c r="Y106" i="1"/>
  <c r="X106" i="1"/>
  <c r="W106" i="1"/>
  <c r="Z106" i="1"/>
  <c r="T106" i="1"/>
  <c r="AC105" i="1"/>
  <c r="AG105" i="1"/>
  <c r="AD105" i="1"/>
  <c r="AH105" i="1"/>
  <c r="AF105" i="1"/>
  <c r="AB105" i="1"/>
  <c r="AE105" i="1"/>
  <c r="AA105" i="1"/>
  <c r="AF106" i="1" l="1"/>
  <c r="AB106" i="1"/>
  <c r="AC106" i="1"/>
  <c r="AG106" i="1"/>
  <c r="AD106" i="1"/>
  <c r="AH106" i="1"/>
  <c r="U107" i="1"/>
  <c r="V107" i="1" s="1"/>
  <c r="Z107" i="1"/>
  <c r="X107" i="1"/>
  <c r="T107" i="1"/>
  <c r="Y107" i="1"/>
  <c r="W107" i="1"/>
  <c r="S108" i="1"/>
  <c r="AE106" i="1"/>
  <c r="AA106" i="1"/>
  <c r="AE107" i="1" l="1"/>
  <c r="AA107" i="1"/>
  <c r="AH107" i="1"/>
  <c r="AD107" i="1"/>
  <c r="AG107" i="1"/>
  <c r="AC107" i="1"/>
  <c r="X108" i="1"/>
  <c r="Z108" i="1"/>
  <c r="U108" i="1"/>
  <c r="V108" i="1" s="1"/>
  <c r="Y108" i="1"/>
  <c r="S109" i="1"/>
  <c r="W108" i="1"/>
  <c r="T108" i="1"/>
  <c r="AB107" i="1"/>
  <c r="AF107" i="1"/>
  <c r="AA108" i="1" l="1"/>
  <c r="AE108" i="1"/>
  <c r="AH108" i="1"/>
  <c r="AD108" i="1"/>
  <c r="W109" i="1"/>
  <c r="X109" i="1"/>
  <c r="Y109" i="1"/>
  <c r="T109" i="1"/>
  <c r="Z109" i="1"/>
  <c r="S110" i="1"/>
  <c r="U109" i="1"/>
  <c r="V109" i="1" s="1"/>
  <c r="AF108" i="1"/>
  <c r="AB108" i="1"/>
  <c r="AG108" i="1"/>
  <c r="AC108" i="1"/>
  <c r="AG109" i="1" l="1"/>
  <c r="AC109" i="1"/>
  <c r="U110" i="1"/>
  <c r="V110" i="1" s="1"/>
  <c r="Z110" i="1"/>
  <c r="Y110" i="1"/>
  <c r="W110" i="1"/>
  <c r="X110" i="1"/>
  <c r="T110" i="1"/>
  <c r="S111" i="1"/>
  <c r="AF109" i="1"/>
  <c r="AB109" i="1"/>
  <c r="AD109" i="1"/>
  <c r="AH109" i="1"/>
  <c r="AE109" i="1"/>
  <c r="AA109" i="1"/>
  <c r="AD110" i="1" l="1"/>
  <c r="AH110" i="1"/>
  <c r="AF110" i="1"/>
  <c r="AB110" i="1"/>
  <c r="AA110" i="1"/>
  <c r="AE110" i="1"/>
  <c r="W111" i="1"/>
  <c r="X111" i="1"/>
  <c r="Z111" i="1"/>
  <c r="T111" i="1"/>
  <c r="U111" i="1"/>
  <c r="V111" i="1" s="1"/>
  <c r="Y111" i="1"/>
  <c r="S112" i="1"/>
  <c r="AG110" i="1"/>
  <c r="AC110" i="1"/>
  <c r="AC111" i="1" l="1"/>
  <c r="AG111" i="1"/>
  <c r="AA111" i="1"/>
  <c r="AE111" i="1"/>
  <c r="AF111" i="1"/>
  <c r="AB111" i="1"/>
  <c r="S113" i="1"/>
  <c r="Y112" i="1"/>
  <c r="U112" i="1"/>
  <c r="V112" i="1" s="1"/>
  <c r="Z112" i="1"/>
  <c r="W112" i="1"/>
  <c r="X112" i="1"/>
  <c r="T112" i="1"/>
  <c r="AH111" i="1"/>
  <c r="AD111" i="1"/>
  <c r="AF112" i="1" l="1"/>
  <c r="AB112" i="1"/>
  <c r="AA112" i="1"/>
  <c r="AE112" i="1"/>
  <c r="W113" i="1"/>
  <c r="T113" i="1"/>
  <c r="X113" i="1"/>
  <c r="Z113" i="1"/>
  <c r="U113" i="1"/>
  <c r="V113" i="1" s="1"/>
  <c r="Y113" i="1"/>
  <c r="S114" i="1"/>
  <c r="AC112" i="1"/>
  <c r="AG112" i="1"/>
  <c r="AH112" i="1"/>
  <c r="AD112" i="1"/>
  <c r="W114" i="1" l="1"/>
  <c r="T114" i="1"/>
  <c r="X114" i="1"/>
  <c r="Y114" i="1"/>
  <c r="U114" i="1"/>
  <c r="V114" i="1" s="1"/>
  <c r="Z114" i="1"/>
  <c r="S115" i="1"/>
  <c r="AG113" i="1"/>
  <c r="AC113" i="1"/>
  <c r="AH113" i="1"/>
  <c r="AD113" i="1"/>
  <c r="AB113" i="1"/>
  <c r="AF113" i="1"/>
  <c r="AE113" i="1"/>
  <c r="AA113" i="1"/>
  <c r="S116" i="1" l="1"/>
  <c r="U115" i="1"/>
  <c r="V115" i="1" s="1"/>
  <c r="W115" i="1"/>
  <c r="Y115" i="1"/>
  <c r="Z115" i="1"/>
  <c r="X115" i="1"/>
  <c r="T115" i="1"/>
  <c r="AF114" i="1"/>
  <c r="AB114" i="1"/>
  <c r="AC114" i="1"/>
  <c r="AG114" i="1"/>
  <c r="AD114" i="1"/>
  <c r="AH114" i="1"/>
  <c r="AE114" i="1"/>
  <c r="AA114" i="1"/>
  <c r="AG115" i="1" l="1"/>
  <c r="AC115" i="1"/>
  <c r="AA115" i="1"/>
  <c r="AE115" i="1"/>
  <c r="AB115" i="1"/>
  <c r="AF115" i="1"/>
  <c r="AD115" i="1"/>
  <c r="AH115" i="1"/>
  <c r="T116" i="1"/>
  <c r="S117" i="1"/>
  <c r="W116" i="1"/>
  <c r="U116" i="1"/>
  <c r="V116" i="1" s="1"/>
  <c r="Z116" i="1"/>
  <c r="Y116" i="1"/>
  <c r="X116" i="1"/>
  <c r="AB116" i="1" l="1"/>
  <c r="AF116" i="1"/>
  <c r="S118" i="1"/>
  <c r="Y117" i="1"/>
  <c r="W117" i="1"/>
  <c r="T117" i="1"/>
  <c r="Z117" i="1"/>
  <c r="U117" i="1"/>
  <c r="V117" i="1" s="1"/>
  <c r="X117" i="1"/>
  <c r="AE116" i="1"/>
  <c r="AA116" i="1"/>
  <c r="AC116" i="1"/>
  <c r="AG116" i="1"/>
  <c r="AD116" i="1"/>
  <c r="AH116" i="1"/>
  <c r="X118" i="1" l="1"/>
  <c r="U118" i="1"/>
  <c r="V118" i="1" s="1"/>
  <c r="Z118" i="1"/>
  <c r="W118" i="1"/>
  <c r="T118" i="1"/>
  <c r="S119" i="1"/>
  <c r="Y118" i="1"/>
  <c r="AC117" i="1"/>
  <c r="AG117" i="1"/>
  <c r="AD117" i="1"/>
  <c r="AH117" i="1"/>
  <c r="AF117" i="1"/>
  <c r="AB117" i="1"/>
  <c r="AE117" i="1"/>
  <c r="AA117" i="1"/>
  <c r="AE118" i="1" l="1"/>
  <c r="AA118" i="1"/>
  <c r="T119" i="1"/>
  <c r="X119" i="1"/>
  <c r="U119" i="1"/>
  <c r="V119" i="1" s="1"/>
  <c r="Y119" i="1"/>
  <c r="S120" i="1"/>
  <c r="W119" i="1"/>
  <c r="Z119" i="1"/>
  <c r="AC118" i="1"/>
  <c r="AG118" i="1"/>
  <c r="AH118" i="1"/>
  <c r="AD118" i="1"/>
  <c r="AF118" i="1"/>
  <c r="AB118" i="1"/>
  <c r="X120" i="1" l="1"/>
  <c r="U120" i="1"/>
  <c r="V120" i="1" s="1"/>
  <c r="Z120" i="1"/>
  <c r="T120" i="1"/>
  <c r="W120" i="1"/>
  <c r="Y120" i="1"/>
  <c r="S121" i="1"/>
  <c r="AE119" i="1"/>
  <c r="AA119" i="1"/>
  <c r="AG119" i="1"/>
  <c r="AC119" i="1"/>
  <c r="AF119" i="1"/>
  <c r="AB119" i="1"/>
  <c r="AH119" i="1"/>
  <c r="AD119" i="1"/>
  <c r="T121" i="1" l="1"/>
  <c r="Y121" i="1"/>
  <c r="W121" i="1"/>
  <c r="U121" i="1"/>
  <c r="V121" i="1" s="1"/>
  <c r="Z121" i="1"/>
  <c r="X121" i="1"/>
  <c r="S122" i="1"/>
  <c r="AD120" i="1"/>
  <c r="AH120" i="1"/>
  <c r="AC120" i="1"/>
  <c r="AG120" i="1"/>
  <c r="AA120" i="1"/>
  <c r="AE120" i="1"/>
  <c r="AF120" i="1"/>
  <c r="AB120" i="1"/>
  <c r="Z122" i="1" l="1"/>
  <c r="U122" i="1"/>
  <c r="V122" i="1" s="1"/>
  <c r="T122" i="1"/>
  <c r="W122" i="1"/>
  <c r="Y122" i="1"/>
  <c r="X122" i="1"/>
  <c r="S123" i="1"/>
  <c r="AE121" i="1"/>
  <c r="AA121" i="1"/>
  <c r="AF121" i="1"/>
  <c r="AB121" i="1"/>
  <c r="AG121" i="1"/>
  <c r="AC121" i="1"/>
  <c r="AD121" i="1"/>
  <c r="AH121" i="1"/>
  <c r="AA122" i="1" l="1"/>
  <c r="AE122" i="1"/>
  <c r="AB122" i="1"/>
  <c r="AF122" i="1"/>
  <c r="X123" i="1"/>
  <c r="Y123" i="1"/>
  <c r="U123" i="1"/>
  <c r="V123" i="1" s="1"/>
  <c r="T123" i="1"/>
  <c r="W123" i="1"/>
  <c r="Z123" i="1"/>
  <c r="S124" i="1"/>
  <c r="AG122" i="1"/>
  <c r="AC122" i="1"/>
  <c r="AH122" i="1"/>
  <c r="AD122" i="1"/>
  <c r="Y124" i="1" l="1"/>
  <c r="Z124" i="1"/>
  <c r="T124" i="1"/>
  <c r="W124" i="1"/>
  <c r="U124" i="1"/>
  <c r="V124" i="1" s="1"/>
  <c r="S125" i="1"/>
  <c r="X124" i="1"/>
  <c r="AD123" i="1"/>
  <c r="AH123" i="1"/>
  <c r="AC123" i="1"/>
  <c r="AG123" i="1"/>
  <c r="AA123" i="1"/>
  <c r="AE123" i="1"/>
  <c r="AB123" i="1"/>
  <c r="AF123" i="1"/>
  <c r="AA124" i="1" l="1"/>
  <c r="AE124" i="1"/>
  <c r="AF124" i="1"/>
  <c r="AB124" i="1"/>
  <c r="T125" i="1"/>
  <c r="Z125" i="1"/>
  <c r="Y125" i="1"/>
  <c r="U125" i="1"/>
  <c r="V125" i="1" s="1"/>
  <c r="X125" i="1"/>
  <c r="W125" i="1"/>
  <c r="S126" i="1"/>
  <c r="AD124" i="1"/>
  <c r="AH124" i="1"/>
  <c r="AG124" i="1"/>
  <c r="AC124" i="1"/>
  <c r="AC125" i="1" l="1"/>
  <c r="AG125" i="1"/>
  <c r="Y126" i="1"/>
  <c r="W126" i="1"/>
  <c r="X126" i="1"/>
  <c r="T126" i="1"/>
  <c r="U126" i="1"/>
  <c r="V126" i="1" s="1"/>
  <c r="Z126" i="1"/>
  <c r="AE125" i="1"/>
  <c r="AA125" i="1"/>
  <c r="AH125" i="1"/>
  <c r="AD125" i="1"/>
  <c r="AF125" i="1"/>
  <c r="AB125" i="1"/>
  <c r="AG126" i="1" l="1"/>
  <c r="AC126" i="1"/>
  <c r="AD126" i="1"/>
  <c r="AH126" i="1"/>
  <c r="AA126" i="1"/>
  <c r="AE126" i="1"/>
  <c r="S127" i="1"/>
  <c r="AF126" i="1"/>
  <c r="AB126" i="1"/>
  <c r="S128" i="1" l="1"/>
  <c r="Z127" i="1"/>
  <c r="T127" i="1"/>
  <c r="U127" i="1"/>
  <c r="V127" i="1" s="1"/>
  <c r="X127" i="1"/>
  <c r="W127" i="1"/>
  <c r="Y127" i="1"/>
  <c r="AC127" i="1" l="1"/>
  <c r="AG127" i="1"/>
  <c r="AA127" i="1"/>
  <c r="AE127" i="1"/>
  <c r="AD127" i="1"/>
  <c r="AH127" i="1"/>
  <c r="AB127" i="1"/>
  <c r="AF127" i="1"/>
  <c r="U128" i="1"/>
  <c r="V128" i="1" s="1"/>
  <c r="Z128" i="1"/>
  <c r="T128" i="1"/>
  <c r="W128" i="1"/>
  <c r="S129" i="1"/>
  <c r="X128" i="1"/>
  <c r="Y128" i="1"/>
  <c r="AC128" i="1" l="1"/>
  <c r="AG128" i="1"/>
  <c r="AE128" i="1"/>
  <c r="AA128" i="1"/>
  <c r="AF128" i="1"/>
  <c r="AB128" i="1"/>
  <c r="AH128" i="1"/>
  <c r="AD128" i="1"/>
  <c r="Z129" i="1"/>
  <c r="S130" i="1"/>
  <c r="X129" i="1"/>
  <c r="T129" i="1"/>
  <c r="Y129" i="1"/>
  <c r="U129" i="1"/>
  <c r="V129" i="1" s="1"/>
  <c r="W129" i="1"/>
  <c r="U130" i="1" l="1"/>
  <c r="V130" i="1" s="1"/>
  <c r="Z130" i="1"/>
  <c r="T130" i="1"/>
  <c r="W130" i="1"/>
  <c r="Y130" i="1"/>
  <c r="X130" i="1"/>
  <c r="AE129" i="1"/>
  <c r="AA129" i="1"/>
  <c r="AB129" i="1"/>
  <c r="AF129" i="1"/>
  <c r="AG129" i="1"/>
  <c r="AC129" i="1"/>
  <c r="AD129" i="1"/>
  <c r="AH129" i="1"/>
  <c r="AE130" i="1" l="1"/>
  <c r="AA130" i="1"/>
  <c r="AF130" i="1"/>
  <c r="AB130" i="1"/>
  <c r="AH130" i="1"/>
  <c r="AD130" i="1"/>
  <c r="AC130" i="1"/>
  <c r="AG130" i="1"/>
</calcChain>
</file>

<file path=xl/sharedStrings.xml><?xml version="1.0" encoding="utf-8"?>
<sst xmlns="http://schemas.openxmlformats.org/spreadsheetml/2006/main" count="1681" uniqueCount="576">
  <si>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</si>
  <si>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</si>
  <si>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</si>
  <si>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</si>
  <si>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</si>
  <si>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</si>
  <si>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</si>
  <si>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</si>
  <si>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</si>
  <si>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</si>
  <si>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</si>
  <si>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</si>
  <si>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</si>
  <si>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</si>
  <si>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</si>
  <si>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</si>
  <si>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</si>
  <si>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</si>
  <si>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</si>
  <si>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</si>
  <si>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</si>
  <si>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</si>
  <si>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</si>
  <si>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</si>
  <si>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</si>
  <si>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</si>
  <si>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</si>
  <si>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</si>
  <si>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</si>
  <si>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</si>
  <si>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</si>
  <si>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</si>
  <si>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</si>
  <si>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</si>
  <si>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</si>
  <si>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</si>
  <si>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</si>
  <si>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</si>
  <si>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</si>
  <si>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</si>
  <si>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</si>
  <si>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</si>
  <si>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</si>
  <si>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</si>
  <si>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</si>
  <si>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</si>
  <si>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</si>
  <si>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</si>
  <si>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</si>
  <si>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</si>
  <si>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</si>
  <si>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</si>
  <si>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</si>
  <si>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</si>
  <si>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</si>
  <si>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</si>
  <si>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</si>
  <si>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</si>
  <si>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</si>
  <si>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</si>
  <si>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</si>
  <si>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</si>
  <si>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</si>
  <si>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</si>
  <si>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</si>
  <si>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</si>
  <si>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</si>
  <si>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</si>
  <si>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</si>
  <si>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</si>
  <si>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</si>
  <si>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</si>
  <si>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</si>
  <si>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</si>
  <si>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</si>
  <si>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</si>
  <si>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</si>
  <si>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</si>
  <si>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</si>
  <si>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</si>
  <si>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</si>
  <si>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</si>
  <si>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</si>
  <si>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</si>
  <si>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</si>
  <si>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</si>
  <si>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</si>
  <si>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</si>
  <si>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</si>
  <si>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</si>
  <si>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</si>
  <si>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</si>
  <si>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</si>
  <si>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</si>
  <si>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</si>
  <si>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</si>
  <si>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</si>
  <si>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</si>
  <si>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</si>
  <si>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</si>
  <si>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</si>
  <si>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</si>
  <si>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</si>
  <si>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</si>
  <si>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</si>
  <si>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</si>
  <si>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</si>
  <si>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</si>
  <si>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</si>
  <si>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</si>
  <si>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</si>
  <si>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</si>
  <si>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</si>
  <si>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</si>
  <si>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</si>
  <si>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</si>
  <si>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</si>
  <si>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</si>
  <si>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</si>
  <si>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</si>
  <si>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</si>
  <si>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</si>
  <si>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</si>
  <si>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</si>
  <si>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</si>
  <si>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</si>
  <si>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</si>
  <si>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</si>
  <si>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</si>
  <si>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</si>
  <si>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</si>
  <si>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</si>
  <si>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</si>
  <si>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</si>
  <si>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</si>
  <si>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</si>
  <si>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</si>
  <si>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</si>
  <si>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</si>
  <si>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</si>
  <si>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</si>
  <si>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</si>
  <si>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>t_ftdi_config_wr_registers</t>
  </si>
  <si>
    <t>FtdiModule</t>
  </si>
  <si>
    <t>t_ftdi_config_rd_registers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</si>
  <si>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</si>
  <si>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</si>
  <si>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</si>
  <si>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</si>
  <si>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</si>
  <si>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</si>
  <si>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</si>
  <si>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</si>
  <si>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</si>
  <si>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rx_comm_error_reg</t>
  </si>
  <si>
    <t>t_ftdi_rx_comm_error_rd_reg</t>
  </si>
  <si>
    <t>rx_comm_err_state</t>
  </si>
  <si>
    <t>FtdiRxCommError</t>
  </si>
  <si>
    <t>bRxCommErrState</t>
  </si>
  <si>
    <t>rx_comm_err_code</t>
  </si>
  <si>
    <t>usiRxCommErrCode</t>
  </si>
  <si>
    <t>err_hccd_req_nack_err</t>
  </si>
  <si>
    <t>bHalfCcdReqNackErr</t>
  </si>
  <si>
    <t>err_hccd_reply_header_crc_err</t>
  </si>
  <si>
    <t>bHalfCcdReplyHeadCrcErr</t>
  </si>
  <si>
    <t>err_hccd_reply_eoh_err</t>
  </si>
  <si>
    <t>bHalfCcdReplyHeadEohErr</t>
  </si>
  <si>
    <t>err_hccd_reply_payload_crc_err</t>
  </si>
  <si>
    <t>bHalfCcdReplyPayCrcErr</t>
  </si>
  <si>
    <t>err_hccd_reply_eop_err</t>
  </si>
  <si>
    <t>bHalfCcdReplyPayEopErr</t>
  </si>
  <si>
    <t>err_hccd_req_max_tries_err</t>
  </si>
  <si>
    <t>bHalfCcdReqMaxTriesErr</t>
  </si>
  <si>
    <t>err_hccd_reply_ccd_size_err</t>
  </si>
  <si>
    <t>bHalfCcdReplyCcdSizeErr</t>
  </si>
  <si>
    <t>err_hccd_req_timeout_err</t>
  </si>
  <si>
    <t>bHalfCcdReqTimeoutErr</t>
  </si>
  <si>
    <t>c_AVALON_MM_CONFIG_MIN_ADDR</t>
  </si>
  <si>
    <t>c_AVALON_MM_CONFIG_MAX_ADDR</t>
  </si>
  <si>
    <t>constant c_AVALON_MM_CONFIG_MAX_ADDR : natural range 0 to 255 := 16#00#;</t>
  </si>
  <si>
    <t>FtdiTxCommError</t>
  </si>
  <si>
    <t>bLutTransmitNackErr</t>
  </si>
  <si>
    <t>bLutReplyHeadCrcErr</t>
  </si>
  <si>
    <t>bLutReplyHeadEohErr</t>
  </si>
  <si>
    <t>bLutTransMaxTriesErr</t>
  </si>
  <si>
    <t>bLutPayloadNackErr</t>
  </si>
  <si>
    <t>bLutTransTimeoutErr</t>
  </si>
  <si>
    <t>tx_comm_error_reg</t>
  </si>
  <si>
    <t>t_ftdi_tx_comm_error_rd_reg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</si>
  <si>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</si>
  <si>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</si>
  <si>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</si>
  <si>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</si>
  <si>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</si>
  <si>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</si>
  <si>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FTDI Tx LUT Communication Error Register</t>
  </si>
  <si>
    <t>tx_lut_comm_err_state</t>
  </si>
  <si>
    <t>tx_lut_comm_err_code</t>
  </si>
  <si>
    <t>usiTxLutCommErrCode</t>
  </si>
  <si>
    <t>bTxLutCommErrState</t>
  </si>
  <si>
    <t>FTDI LUT CCD1 Windowing Configuration</t>
  </si>
  <si>
    <t>FTDI LUT CCD2 Windowing Configuration</t>
  </si>
  <si>
    <t>FTDI LUT CCD3 Windowing Configuration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</si>
  <si>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</si>
  <si>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</si>
  <si>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</si>
  <si>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</si>
  <si>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</si>
  <si>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</si>
  <si>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</si>
  <si>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</si>
  <si>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</si>
  <si>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</si>
  <si>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</si>
  <si>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</si>
  <si>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</si>
  <si>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</si>
  <si>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</si>
  <si>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</si>
  <si>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</si>
  <si>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</si>
  <si>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</si>
  <si>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</si>
  <si>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</si>
  <si>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</si>
  <si>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</si>
  <si>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</si>
  <si>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</si>
  <si>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</si>
  <si>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</si>
  <si>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</si>
  <si>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</si>
  <si>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</si>
  <si>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</si>
  <si>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</si>
  <si>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</si>
  <si>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</si>
  <si>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</si>
  <si>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</si>
  <si>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</si>
  <si>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</si>
  <si>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</si>
  <si>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</si>
  <si>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</si>
  <si>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</si>
  <si>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</si>
  <si>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</si>
  <si>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</si>
  <si>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</si>
  <si>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</si>
  <si>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</si>
  <si>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</si>
  <si>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</si>
  <si>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</si>
  <si>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</si>
  <si>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FTDI LUT CCD4 Windowing Configuration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</si>
  <si>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</si>
  <si>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</si>
  <si>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</si>
  <si>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</si>
  <si>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</si>
  <si>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</si>
  <si>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</si>
  <si>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</si>
  <si>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</si>
  <si>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</si>
  <si>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</si>
  <si>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</si>
  <si>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</si>
  <si>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</si>
  <si>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</si>
  <si>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</si>
  <si>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</si>
  <si>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</si>
  <si>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</si>
  <si>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</si>
  <si>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</si>
  <si>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</si>
  <si>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</si>
  <si>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</si>
  <si>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</si>
  <si>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</si>
  <si>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</si>
  <si>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</si>
  <si>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</si>
  <si>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FTDI Rx Data Control Register</t>
  </si>
  <si>
    <t>FTDI Rx Data Status Register</t>
  </si>
  <si>
    <t>rx_data_control_reg</t>
  </si>
  <si>
    <t>t_ftdi_rx_data_control_wr_reg</t>
  </si>
  <si>
    <t>rx_data_status_reg</t>
  </si>
  <si>
    <t>t_ftdi_rx_data_status_rd_reg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</si>
  <si>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</si>
  <si>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</si>
  <si>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</si>
  <si>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</si>
  <si>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</si>
  <si>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</si>
  <si>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tx_buffer_wrable</t>
  </si>
  <si>
    <t>tx_buffer_empty</t>
  </si>
  <si>
    <t>tx_buffer_full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</si>
  <si>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</si>
  <si>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</si>
  <si>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</si>
  <si>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</si>
  <si>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</si>
  <si>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</si>
  <si>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</si>
  <si>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</si>
  <si>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</si>
  <si>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Write Timeout</t>
  </si>
  <si>
    <t>Write Timeout Error</t>
  </si>
  <si>
    <t>Initial Write Address [High Dword]</t>
  </si>
  <si>
    <t>Initial Write Address [Low Dword]</t>
  </si>
  <si>
    <t>Write Data Length [Bytes]</t>
  </si>
  <si>
    <t>Data Write Start</t>
  </si>
  <si>
    <t>Data Write Reset</t>
  </si>
  <si>
    <t>Data Write Busy</t>
  </si>
  <si>
    <t>MFIL Data Control Register</t>
  </si>
  <si>
    <t>MFIL Data Status Register</t>
  </si>
  <si>
    <t>t_mfil_config_wr_registers</t>
  </si>
  <si>
    <t>t_mfil_config_rd_registers</t>
  </si>
  <si>
    <t>data_control_reg</t>
  </si>
  <si>
    <t>data_status_reg</t>
  </si>
  <si>
    <t>t_mfil_data_control_wr_reg</t>
  </si>
  <si>
    <t>t_mfil_data_status_rd_reg</t>
  </si>
  <si>
    <t>wr_initial_addr_high_dword</t>
  </si>
  <si>
    <t>wr_initial_addr_low_dword</t>
  </si>
  <si>
    <t>wr_data_length_bytes</t>
  </si>
  <si>
    <t>wr_start</t>
  </si>
  <si>
    <t>wr_reset</t>
  </si>
  <si>
    <t>wr_busy</t>
  </si>
  <si>
    <t>wr_timeout</t>
  </si>
  <si>
    <t>wr_timeout_err</t>
  </si>
  <si>
    <t>Write Data Value [Dword 0]</t>
  </si>
  <si>
    <t>Write Data Value [Dword 1]</t>
  </si>
  <si>
    <t>Write Data Value [Dword 2]</t>
  </si>
  <si>
    <t>Write Data Value [Dword 3]</t>
  </si>
  <si>
    <t>Write Data Value [Dword 4]</t>
  </si>
  <si>
    <t>Write Data Value [Dword 5]</t>
  </si>
  <si>
    <t>Write Data Value [Dword 6]</t>
  </si>
  <si>
    <t>Write Data Value [Dword 7]</t>
  </si>
  <si>
    <t>wr_data_value_dword_7</t>
  </si>
  <si>
    <t>wr_data_value_dword_6</t>
  </si>
  <si>
    <t>wr_data_value_dword_5</t>
  </si>
  <si>
    <t>wr_data_value_dword_4</t>
  </si>
  <si>
    <t>wr_data_value_dword_3</t>
  </si>
  <si>
    <t>wr_data_value_dword_2</t>
  </si>
  <si>
    <t>wr_data_value_dword_1</t>
  </si>
  <si>
    <t>wr_data_value_dword_0</t>
  </si>
  <si>
    <t>MfilModule</t>
  </si>
  <si>
    <t>MfilDataControl</t>
  </si>
  <si>
    <t>MfilDataStatus</t>
  </si>
  <si>
    <t>uliWrInitAddrHighDword</t>
  </si>
  <si>
    <t>uliWrInitAddrLowDword</t>
  </si>
  <si>
    <t>uliWrDataLenghtBytes</t>
  </si>
  <si>
    <t>bWrStart</t>
  </si>
  <si>
    <t>bWrReset</t>
  </si>
  <si>
    <t>bWrBusy</t>
  </si>
  <si>
    <t>uliWrData_ValDword7</t>
  </si>
  <si>
    <t>uliWrData_ValDword6</t>
  </si>
  <si>
    <t>uliWrData_ValDword5</t>
  </si>
  <si>
    <t>uliWrData_ValDword4</t>
  </si>
  <si>
    <t>uliWrData_ValDword3</t>
  </si>
  <si>
    <t>uliWrData_ValDword2</t>
  </si>
  <si>
    <t>uliWrData_ValDword1</t>
  </si>
  <si>
    <t>uliWrData_ValDword0</t>
  </si>
  <si>
    <t>usiWrTimeout</t>
  </si>
  <si>
    <t>bWrTimeoutErr</t>
  </si>
  <si>
    <t>constant c_AVALON_MM_CONFIG_MIN_ADDR : natural range 0 to 255 := 16#0F#;</t>
  </si>
  <si>
    <t>-- MFIL Data Control Register</t>
  </si>
  <si>
    <t>type t_mfil_data_control_wr_reg is record</t>
  </si>
  <si>
    <t xml:space="preserve">  wr_initial_addr_high_dword : std_logic_vector(31 downto 0); -- Initial Write Address [High Dword]</t>
  </si>
  <si>
    <t xml:space="preserve">  wr_initial_addr_low_dword : std_logic_vector(31 downto 0); -- Initial Write Address [Low Dword]</t>
  </si>
  <si>
    <t xml:space="preserve">  wr_data_length_bytes : std_logic_vector(31 downto 0); -- Write Data Length [Bytes]</t>
  </si>
  <si>
    <t xml:space="preserve">  wr_data_value_dword_7 : std_logic_vector(31 downto 0); -- Write Data Value [Dword 7]</t>
  </si>
  <si>
    <t xml:space="preserve">  wr_data_value_dword_6 : std_logic_vector(31 downto 0); -- Write Data Value [Dword 6]</t>
  </si>
  <si>
    <t xml:space="preserve">  wr_data_value_dword_5 : std_logic_vector(31 downto 0); -- Write Data Value [Dword 5]</t>
  </si>
  <si>
    <t xml:space="preserve">  wr_data_value_dword_4 : std_logic_vector(31 downto 0); -- Write Data Value [Dword 4]</t>
  </si>
  <si>
    <t xml:space="preserve">  wr_data_value_dword_3 : std_logic_vector(31 downto 0); -- Write Data Value [Dword 3]</t>
  </si>
  <si>
    <t xml:space="preserve">  wr_data_value_dword_2 : std_logic_vector(31 downto 0); -- Write Data Value [Dword 2]</t>
  </si>
  <si>
    <t xml:space="preserve">  wr_data_value_dword_1 : std_logic_vector(31 downto 0); -- Write Data Value [Dword 1]</t>
  </si>
  <si>
    <t xml:space="preserve">  wr_data_value_dword_0 : std_logic_vector(31 downto 0); -- Write Data Value [Dword 0]</t>
  </si>
  <si>
    <t xml:space="preserve">  wr_timeout : std_logic_vector(15 downto 0); -- Write Timeout</t>
  </si>
  <si>
    <t xml:space="preserve">  wr_start : std_logic; -- Data Write Start</t>
  </si>
  <si>
    <t xml:space="preserve">  wr_reset : std_logic; -- Data Write Reset</t>
  </si>
  <si>
    <t>end record t_mfil_data_control_wr_reg;</t>
  </si>
  <si>
    <t>-- MFIL Data Status Register</t>
  </si>
  <si>
    <t>type t_mfil_data_status_rd_reg is record</t>
  </si>
  <si>
    <t xml:space="preserve">  wr_busy : std_logic; -- Data Write Busy</t>
  </si>
  <si>
    <t xml:space="preserve">  wr_timeout_err : std_logic; -- Write Timeout Error</t>
  </si>
  <si>
    <t>end record t_mfil_data_status_rd_reg;</t>
  </si>
  <si>
    <t>type t_mfil_config_wr_registers is record</t>
  </si>
  <si>
    <t xml:space="preserve">  data_control_reg : t_mfil_data_control_wr_reg; -- MFIL Data Control Register</t>
  </si>
  <si>
    <t>end record t_mfil_config_wr_registers;</t>
  </si>
  <si>
    <t>type t_mfil_config_rd_registers is record</t>
  </si>
  <si>
    <t xml:space="preserve">  data_status_reg : t_mfil_data_status_rd_reg; -- MFIL Data Status Register</t>
  </si>
  <si>
    <t>end record t_mfil_config_rd_registers;</t>
  </si>
  <si>
    <t>mfil_config_avalon_mm_i</t>
  </si>
  <si>
    <t>mfil_config_avalon_mm_o</t>
  </si>
  <si>
    <t>mfil_config_wr_regs_i</t>
  </si>
  <si>
    <t>mfil_config_rd_regs_i</t>
  </si>
  <si>
    <t xml:space="preserve">      -- MFIL Data Control Register : Initial Write Address [High Dword]</t>
  </si>
  <si>
    <t xml:space="preserve">      mfil_config_avalon_mm_o.readdata(7 downto 0) &lt;= mfil_config_wr_regs_i.data_control_reg.wr_initial_addr_high_dword(7 downto 0);</t>
  </si>
  <si>
    <t xml:space="preserve">      mfil_config_avalon_mm_o.readdata(15 downto 8) &lt;= mfil_config_wr_regs_i.data_control_reg.wr_initial_addr_high_dword(15 downto 8);</t>
  </si>
  <si>
    <t xml:space="preserve">      mfil_config_avalon_mm_o.readdata(23 downto 16) &lt;= mfil_config_wr_regs_i.data_control_reg.wr_initial_addr_high_dword(23 downto 16);</t>
  </si>
  <si>
    <t xml:space="preserve">      mfil_config_avalon_mm_o.readdata(31 downto 24) &lt;= mfil_config_wr_regs_i.data_control_reg.wr_initial_addr_high_dword(31 downto 24);</t>
  </si>
  <si>
    <t xml:space="preserve">      -- MFIL Data Control Register : Initial Write Address [Low Dword]</t>
  </si>
  <si>
    <t xml:space="preserve">      mfil_config_avalon_mm_o.readdata(7 downto 0) &lt;= mfil_config_wr_regs_i.data_control_reg.wr_initial_addr_low_dword(7 downto 0);</t>
  </si>
  <si>
    <t xml:space="preserve">      mfil_config_avalon_mm_o.readdata(15 downto 8) &lt;= mfil_config_wr_regs_i.data_control_reg.wr_initial_addr_low_dword(15 downto 8);</t>
  </si>
  <si>
    <t xml:space="preserve">      mfil_config_avalon_mm_o.readdata(23 downto 16) &lt;= mfil_config_wr_regs_i.data_control_reg.wr_initial_addr_low_dword(23 downto 16);</t>
  </si>
  <si>
    <t xml:space="preserve">      mfil_config_avalon_mm_o.readdata(31 downto 24) &lt;= mfil_config_wr_regs_i.data_control_reg.wr_initial_addr_low_dword(31 downto 24);</t>
  </si>
  <si>
    <t xml:space="preserve">      -- MFIL Data Control Register : Write Data Length [Bytes]</t>
  </si>
  <si>
    <t xml:space="preserve">      mfil_config_avalon_mm_o.readdata(7 downto 0) &lt;= mfil_config_wr_regs_i.data_control_reg.wr_data_length_bytes(7 downto 0);</t>
  </si>
  <si>
    <t xml:space="preserve">      mfil_config_avalon_mm_o.readdata(15 downto 8) &lt;= mfil_config_wr_regs_i.data_control_reg.wr_data_length_bytes(15 downto 8);</t>
  </si>
  <si>
    <t xml:space="preserve">      mfil_config_avalon_mm_o.readdata(23 downto 16) &lt;= mfil_config_wr_regs_i.data_control_reg.wr_data_length_bytes(23 downto 16);</t>
  </si>
  <si>
    <t xml:space="preserve">      mfil_config_avalon_mm_o.readdata(31 downto 24) &lt;= mfil_config_wr_regs_i.data_control_reg.wr_data_length_bytes(31 downto 24);</t>
  </si>
  <si>
    <t xml:space="preserve">      -- MFIL Data Control Register : Write Data Value [Dword 7]</t>
  </si>
  <si>
    <t xml:space="preserve">      mfil_config_avalon_mm_o.readdata(7 downto 0) &lt;= mfil_config_wr_regs_i.data_control_reg.wr_data_value_dword_7(7 downto 0);</t>
  </si>
  <si>
    <t xml:space="preserve">      mfil_config_avalon_mm_o.readdata(15 downto 8) &lt;= mfil_config_wr_regs_i.data_control_reg.wr_data_value_dword_7(15 downto 8);</t>
  </si>
  <si>
    <t xml:space="preserve">      mfil_config_avalon_mm_o.readdata(23 downto 16) &lt;= mfil_config_wr_regs_i.data_control_reg.wr_data_value_dword_7(23 downto 16);</t>
  </si>
  <si>
    <t xml:space="preserve">      mfil_config_avalon_mm_o.readdata(31 downto 24) &lt;= mfil_config_wr_regs_i.data_control_reg.wr_data_value_dword_7(31 downto 24);</t>
  </si>
  <si>
    <t xml:space="preserve">      -- MFIL Data Control Register : Write Data Value [Dword 6]</t>
  </si>
  <si>
    <t xml:space="preserve">      mfil_config_avalon_mm_o.readdata(7 downto 0) &lt;= mfil_config_wr_regs_i.data_control_reg.wr_data_value_dword_6(7 downto 0);</t>
  </si>
  <si>
    <t xml:space="preserve">      mfil_config_avalon_mm_o.readdata(15 downto 8) &lt;= mfil_config_wr_regs_i.data_control_reg.wr_data_value_dword_6(15 downto 8);</t>
  </si>
  <si>
    <t xml:space="preserve">      mfil_config_avalon_mm_o.readdata(23 downto 16) &lt;= mfil_config_wr_regs_i.data_control_reg.wr_data_value_dword_6(23 downto 16);</t>
  </si>
  <si>
    <t xml:space="preserve">      mfil_config_avalon_mm_o.readdata(31 downto 24) &lt;= mfil_config_wr_regs_i.data_control_reg.wr_data_value_dword_6(31 downto 24);</t>
  </si>
  <si>
    <t xml:space="preserve">      -- MFIL Data Control Register : Write Data Value [Dword 5]</t>
  </si>
  <si>
    <t xml:space="preserve">      mfil_config_avalon_mm_o.readdata(7 downto 0) &lt;= mfil_config_wr_regs_i.data_control_reg.wr_data_value_dword_5(7 downto 0);</t>
  </si>
  <si>
    <t xml:space="preserve">      mfil_config_avalon_mm_o.readdata(15 downto 8) &lt;= mfil_config_wr_regs_i.data_control_reg.wr_data_value_dword_5(15 downto 8);</t>
  </si>
  <si>
    <t xml:space="preserve">      mfil_config_avalon_mm_o.readdata(23 downto 16) &lt;= mfil_config_wr_regs_i.data_control_reg.wr_data_value_dword_5(23 downto 16);</t>
  </si>
  <si>
    <t xml:space="preserve">      mfil_config_avalon_mm_o.readdata(31 downto 24) &lt;= mfil_config_wr_regs_i.data_control_reg.wr_data_value_dword_5(31 downto 24);</t>
  </si>
  <si>
    <t xml:space="preserve">      -- MFIL Data Control Register : Write Data Value [Dword 4]</t>
  </si>
  <si>
    <t xml:space="preserve">      mfil_config_avalon_mm_o.readdata(7 downto 0) &lt;= mfil_config_wr_regs_i.data_control_reg.wr_data_value_dword_4(7 downto 0);</t>
  </si>
  <si>
    <t xml:space="preserve">      mfil_config_avalon_mm_o.readdata(15 downto 8) &lt;= mfil_config_wr_regs_i.data_control_reg.wr_data_value_dword_4(15 downto 8);</t>
  </si>
  <si>
    <t xml:space="preserve">      mfil_config_avalon_mm_o.readdata(23 downto 16) &lt;= mfil_config_wr_regs_i.data_control_reg.wr_data_value_dword_4(23 downto 16);</t>
  </si>
  <si>
    <t xml:space="preserve">      mfil_config_avalon_mm_o.readdata(31 downto 24) &lt;= mfil_config_wr_regs_i.data_control_reg.wr_data_value_dword_4(31 downto 24);</t>
  </si>
  <si>
    <t xml:space="preserve">      -- MFIL Data Control Register : Write Data Value [Dword 3]</t>
  </si>
  <si>
    <t xml:space="preserve">      mfil_config_avalon_mm_o.readdata(7 downto 0) &lt;= mfil_config_wr_regs_i.data_control_reg.wr_data_value_dword_3(7 downto 0);</t>
  </si>
  <si>
    <t xml:space="preserve">      mfil_config_avalon_mm_o.readdata(15 downto 8) &lt;= mfil_config_wr_regs_i.data_control_reg.wr_data_value_dword_3(15 downto 8);</t>
  </si>
  <si>
    <t xml:space="preserve">      mfil_config_avalon_mm_o.readdata(23 downto 16) &lt;= mfil_config_wr_regs_i.data_control_reg.wr_data_value_dword_3(23 downto 16);</t>
  </si>
  <si>
    <t xml:space="preserve">      mfil_config_avalon_mm_o.readdata(31 downto 24) &lt;= mfil_config_wr_regs_i.data_control_reg.wr_data_value_dword_3(31 downto 24);</t>
  </si>
  <si>
    <t xml:space="preserve">      -- MFIL Data Control Register : Write Data Value [Dword 2]</t>
  </si>
  <si>
    <t xml:space="preserve">      mfil_config_avalon_mm_o.readdata(7 downto 0) &lt;= mfil_config_wr_regs_i.data_control_reg.wr_data_value_dword_2(7 downto 0);</t>
  </si>
  <si>
    <t xml:space="preserve">      mfil_config_avalon_mm_o.readdata(15 downto 8) &lt;= mfil_config_wr_regs_i.data_control_reg.wr_data_value_dword_2(15 downto 8);</t>
  </si>
  <si>
    <t xml:space="preserve">      mfil_config_avalon_mm_o.readdata(23 downto 16) &lt;= mfil_config_wr_regs_i.data_control_reg.wr_data_value_dword_2(23 downto 16);</t>
  </si>
  <si>
    <t xml:space="preserve">      mfil_config_avalon_mm_o.readdata(31 downto 24) &lt;= mfil_config_wr_regs_i.data_control_reg.wr_data_value_dword_2(31 downto 24);</t>
  </si>
  <si>
    <t xml:space="preserve">      -- MFIL Data Control Register : Write Data Value [Dword 1]</t>
  </si>
  <si>
    <t xml:space="preserve">      mfil_config_avalon_mm_o.readdata(7 downto 0) &lt;= mfil_config_wr_regs_i.data_control_reg.wr_data_value_dword_1(7 downto 0);</t>
  </si>
  <si>
    <t xml:space="preserve">      mfil_config_avalon_mm_o.readdata(15 downto 8) &lt;= mfil_config_wr_regs_i.data_control_reg.wr_data_value_dword_1(15 downto 8);</t>
  </si>
  <si>
    <t xml:space="preserve">      mfil_config_avalon_mm_o.readdata(23 downto 16) &lt;= mfil_config_wr_regs_i.data_control_reg.wr_data_value_dword_1(23 downto 16);</t>
  </si>
  <si>
    <t xml:space="preserve">      mfil_config_avalon_mm_o.readdata(31 downto 24) &lt;= mfil_config_wr_regs_i.data_control_reg.wr_data_value_dword_1(31 downto 24);</t>
  </si>
  <si>
    <t xml:space="preserve">      -- MFIL Data Control Register : Write Data Value [Dword 0]</t>
  </si>
  <si>
    <t xml:space="preserve">      mfil_config_avalon_mm_o.readdata(7 downto 0) &lt;= mfil_config_wr_regs_i.data_control_reg.wr_data_value_dword_0(7 downto 0);</t>
  </si>
  <si>
    <t xml:space="preserve">      mfil_config_avalon_mm_o.readdata(15 downto 8) &lt;= mfil_config_wr_regs_i.data_control_reg.wr_data_value_dword_0(15 downto 8);</t>
  </si>
  <si>
    <t xml:space="preserve">      mfil_config_avalon_mm_o.readdata(23 downto 16) &lt;= mfil_config_wr_regs_i.data_control_reg.wr_data_value_dword_0(23 downto 16);</t>
  </si>
  <si>
    <t xml:space="preserve">      mfil_config_avalon_mm_o.readdata(31 downto 24) &lt;= mfil_config_wr_regs_i.data_control_reg.wr_data_value_dword_0(31 downto 24);</t>
  </si>
  <si>
    <t xml:space="preserve">      -- MFIL Data Control Register : Write Timeout</t>
  </si>
  <si>
    <t xml:space="preserve">      mfil_config_avalon_mm_o.readdata(7 downto 0) &lt;= mfil_config_wr_regs_i.data_control_reg.wr_timeout(7 downto 0);</t>
  </si>
  <si>
    <t xml:space="preserve">      mfil_config_avalon_mm_o.readdata(15 downto 8) &lt;= mfil_config_wr_regs_i.data_control_reg.wr_timeout(15 downto 8);</t>
  </si>
  <si>
    <t xml:space="preserve">      -- MFIL Data Control Register : Data Write Start</t>
  </si>
  <si>
    <t xml:space="preserve">      mfil_config_avalon_mm_o.readdata(0) &lt;= mfil_config_wr_regs_i.data_control_reg.wr_start;</t>
  </si>
  <si>
    <t xml:space="preserve">      -- MFIL Data Control Register : Data Write Reset</t>
  </si>
  <si>
    <t xml:space="preserve">      mfil_config_avalon_mm_o.readdata(0) &lt;= mfil_config_wr_regs_i.data_control_reg.wr_reset;</t>
  </si>
  <si>
    <t xml:space="preserve">      -- MFIL Data Status Register : Data Write Busy</t>
  </si>
  <si>
    <t xml:space="preserve">      mfil_config_avalon_mm_o.readdata(0) &lt;= mfil_config_rd_regs_i.data_status_reg.wr_busy;</t>
  </si>
  <si>
    <t xml:space="preserve">      -- MFIL Data Status Register : Write Timeout Error</t>
  </si>
  <si>
    <t xml:space="preserve">      mfil_config_avalon_mm_o.readdata(0) &lt;= mfil_config_rd_regs_i.data_status_reg.wr_timeout_err;</t>
  </si>
  <si>
    <t xml:space="preserve">    mfil_config_avalon_mm_o.readdata &lt;= (others =&gt; '0');</t>
  </si>
  <si>
    <t>mfil_config_wr_regs_o</t>
  </si>
  <si>
    <t xml:space="preserve">      mfil_config_wr_regs_o.data_control_reg.wr_initial_addr_high_dword(7 downto 0) &lt;= mfil_config_avalon_mm_i.writedata(7 downto 0);</t>
  </si>
  <si>
    <t xml:space="preserve">      mfil_config_wr_regs_o.data_control_reg.wr_initial_addr_high_dword(15 downto 8) &lt;= mfil_config_avalon_mm_i.writedata(15 downto 8);</t>
  </si>
  <si>
    <t xml:space="preserve">      mfil_config_wr_regs_o.data_control_reg.wr_initial_addr_high_dword(23 downto 16) &lt;= mfil_config_avalon_mm_i.writedata(23 downto 16);</t>
  </si>
  <si>
    <t xml:space="preserve">      mfil_config_wr_regs_o.data_control_reg.wr_initial_addr_high_dword(31 downto 24) &lt;= mfil_config_avalon_mm_i.writedata(31 downto 24);</t>
  </si>
  <si>
    <t xml:space="preserve">      mfil_config_wr_regs_o.data_control_reg.wr_initial_addr_low_dword(7 downto 0) &lt;= mfil_config_avalon_mm_i.writedata(7 downto 0);</t>
  </si>
  <si>
    <t xml:space="preserve">      mfil_config_wr_regs_o.data_control_reg.wr_initial_addr_low_dword(15 downto 8) &lt;= mfil_config_avalon_mm_i.writedata(15 downto 8);</t>
  </si>
  <si>
    <t xml:space="preserve">      mfil_config_wr_regs_o.data_control_reg.wr_initial_addr_low_dword(23 downto 16) &lt;= mfil_config_avalon_mm_i.writedata(23 downto 16);</t>
  </si>
  <si>
    <t xml:space="preserve">      mfil_config_wr_regs_o.data_control_reg.wr_initial_addr_low_dword(31 downto 24) &lt;= mfil_config_avalon_mm_i.writedata(31 downto 24);</t>
  </si>
  <si>
    <t xml:space="preserve">      mfil_config_wr_regs_o.data_control_reg.wr_data_length_bytes(7 downto 0) &lt;= mfil_config_avalon_mm_i.writedata(7 downto 0);</t>
  </si>
  <si>
    <t xml:space="preserve">      mfil_config_wr_regs_o.data_control_reg.wr_data_length_bytes(15 downto 8) &lt;= mfil_config_avalon_mm_i.writedata(15 downto 8);</t>
  </si>
  <si>
    <t xml:space="preserve">      mfil_config_wr_regs_o.data_control_reg.wr_data_length_bytes(23 downto 16) &lt;= mfil_config_avalon_mm_i.writedata(23 downto 16);</t>
  </si>
  <si>
    <t xml:space="preserve">      mfil_config_wr_regs_o.data_control_reg.wr_data_length_bytes(31 downto 24) &lt;= mfil_config_avalon_mm_i.writedata(31 downto 24);</t>
  </si>
  <si>
    <t xml:space="preserve">      mfil_config_wr_regs_o.data_control_reg.wr_data_value_dword_7(7 downto 0) &lt;= mfil_config_avalon_mm_i.writedata(7 downto 0);</t>
  </si>
  <si>
    <t xml:space="preserve">      mfil_config_wr_regs_o.data_control_reg.wr_data_value_dword_7(15 downto 8) &lt;= mfil_config_avalon_mm_i.writedata(15 downto 8);</t>
  </si>
  <si>
    <t xml:space="preserve">      mfil_config_wr_regs_o.data_control_reg.wr_data_value_dword_7(23 downto 16) &lt;= mfil_config_avalon_mm_i.writedata(23 downto 16);</t>
  </si>
  <si>
    <t xml:space="preserve">      mfil_config_wr_regs_o.data_control_reg.wr_data_value_dword_7(31 downto 24) &lt;= mfil_config_avalon_mm_i.writedata(31 downto 24);</t>
  </si>
  <si>
    <t xml:space="preserve">      mfil_config_wr_regs_o.data_control_reg.wr_data_value_dword_6(7 downto 0) &lt;= mfil_config_avalon_mm_i.writedata(7 downto 0);</t>
  </si>
  <si>
    <t xml:space="preserve">      mfil_config_wr_regs_o.data_control_reg.wr_data_value_dword_6(15 downto 8) &lt;= mfil_config_avalon_mm_i.writedata(15 downto 8);</t>
  </si>
  <si>
    <t xml:space="preserve">      mfil_config_wr_regs_o.data_control_reg.wr_data_value_dword_6(23 downto 16) &lt;= mfil_config_avalon_mm_i.writedata(23 downto 16);</t>
  </si>
  <si>
    <t xml:space="preserve">      mfil_config_wr_regs_o.data_control_reg.wr_data_value_dword_6(31 downto 24) &lt;= mfil_config_avalon_mm_i.writedata(31 downto 24);</t>
  </si>
  <si>
    <t xml:space="preserve">      mfil_config_wr_regs_o.data_control_reg.wr_data_value_dword_5(7 downto 0) &lt;= mfil_config_avalon_mm_i.writedata(7 downto 0);</t>
  </si>
  <si>
    <t xml:space="preserve">      mfil_config_wr_regs_o.data_control_reg.wr_data_value_dword_5(15 downto 8) &lt;= mfil_config_avalon_mm_i.writedata(15 downto 8);</t>
  </si>
  <si>
    <t xml:space="preserve">      mfil_config_wr_regs_o.data_control_reg.wr_data_value_dword_5(23 downto 16) &lt;= mfil_config_avalon_mm_i.writedata(23 downto 16);</t>
  </si>
  <si>
    <t xml:space="preserve">      mfil_config_wr_regs_o.data_control_reg.wr_data_value_dword_5(31 downto 24) &lt;= mfil_config_avalon_mm_i.writedata(31 downto 24);</t>
  </si>
  <si>
    <t xml:space="preserve">      mfil_config_wr_regs_o.data_control_reg.wr_data_value_dword_4(7 downto 0) &lt;= mfil_config_avalon_mm_i.writedata(7 downto 0);</t>
  </si>
  <si>
    <t xml:space="preserve">      mfil_config_wr_regs_o.data_control_reg.wr_data_value_dword_4(15 downto 8) &lt;= mfil_config_avalon_mm_i.writedata(15 downto 8);</t>
  </si>
  <si>
    <t xml:space="preserve">      mfil_config_wr_regs_o.data_control_reg.wr_data_value_dword_4(23 downto 16) &lt;= mfil_config_avalon_mm_i.writedata(23 downto 16);</t>
  </si>
  <si>
    <t xml:space="preserve">      mfil_config_wr_regs_o.data_control_reg.wr_data_value_dword_4(31 downto 24) &lt;= mfil_config_avalon_mm_i.writedata(31 downto 24);</t>
  </si>
  <si>
    <t xml:space="preserve">      mfil_config_wr_regs_o.data_control_reg.wr_data_value_dword_3(7 downto 0) &lt;= mfil_config_avalon_mm_i.writedata(7 downto 0);</t>
  </si>
  <si>
    <t xml:space="preserve">      mfil_config_wr_regs_o.data_control_reg.wr_data_value_dword_3(15 downto 8) &lt;= mfil_config_avalon_mm_i.writedata(15 downto 8);</t>
  </si>
  <si>
    <t xml:space="preserve">      mfil_config_wr_regs_o.data_control_reg.wr_data_value_dword_3(23 downto 16) &lt;= mfil_config_avalon_mm_i.writedata(23 downto 16);</t>
  </si>
  <si>
    <t xml:space="preserve">      mfil_config_wr_regs_o.data_control_reg.wr_data_value_dword_3(31 downto 24) &lt;= mfil_config_avalon_mm_i.writedata(31 downto 24);</t>
  </si>
  <si>
    <t xml:space="preserve">      mfil_config_wr_regs_o.data_control_reg.wr_data_value_dword_2(7 downto 0) &lt;= mfil_config_avalon_mm_i.writedata(7 downto 0);</t>
  </si>
  <si>
    <t xml:space="preserve">      mfil_config_wr_regs_o.data_control_reg.wr_data_value_dword_2(15 downto 8) &lt;= mfil_config_avalon_mm_i.writedata(15 downto 8);</t>
  </si>
  <si>
    <t xml:space="preserve">      mfil_config_wr_regs_o.data_control_reg.wr_data_value_dword_2(23 downto 16) &lt;= mfil_config_avalon_mm_i.writedata(23 downto 16);</t>
  </si>
  <si>
    <t xml:space="preserve">      mfil_config_wr_regs_o.data_control_reg.wr_data_value_dword_2(31 downto 24) &lt;= mfil_config_avalon_mm_i.writedata(31 downto 24);</t>
  </si>
  <si>
    <t xml:space="preserve">      mfil_config_wr_regs_o.data_control_reg.wr_data_value_dword_1(7 downto 0) &lt;= mfil_config_avalon_mm_i.writedata(7 downto 0);</t>
  </si>
  <si>
    <t xml:space="preserve">      mfil_config_wr_regs_o.data_control_reg.wr_data_value_dword_1(15 downto 8) &lt;= mfil_config_avalon_mm_i.writedata(15 downto 8);</t>
  </si>
  <si>
    <t xml:space="preserve">      mfil_config_wr_regs_o.data_control_reg.wr_data_value_dword_1(23 downto 16) &lt;= mfil_config_avalon_mm_i.writedata(23 downto 16);</t>
  </si>
  <si>
    <t xml:space="preserve">      mfil_config_wr_regs_o.data_control_reg.wr_data_value_dword_1(31 downto 24) &lt;= mfil_config_avalon_mm_i.writedata(31 downto 24);</t>
  </si>
  <si>
    <t xml:space="preserve">      mfil_config_wr_regs_o.data_control_reg.wr_data_value_dword_0(7 downto 0) &lt;= mfil_config_avalon_mm_i.writedata(7 downto 0);</t>
  </si>
  <si>
    <t xml:space="preserve">      mfil_config_wr_regs_o.data_control_reg.wr_data_value_dword_0(15 downto 8) &lt;= mfil_config_avalon_mm_i.writedata(15 downto 8);</t>
  </si>
  <si>
    <t xml:space="preserve">      mfil_config_wr_regs_o.data_control_reg.wr_data_value_dword_0(23 downto 16) &lt;= mfil_config_avalon_mm_i.writedata(23 downto 16);</t>
  </si>
  <si>
    <t xml:space="preserve">      mfil_config_wr_regs_o.data_control_reg.wr_data_value_dword_0(31 downto 24) &lt;= mfil_config_avalon_mm_i.writedata(31 downto 24);</t>
  </si>
  <si>
    <t xml:space="preserve">      mfil_config_wr_regs_o.data_control_reg.wr_timeout(7 downto 0) &lt;= mfil_config_avalon_mm_i.writedata(7 downto 0);</t>
  </si>
  <si>
    <t xml:space="preserve">      mfil_config_wr_regs_o.data_control_reg.wr_timeout(15 downto 8) &lt;= mfil_config_avalon_mm_i.writedata(15 downto 8);</t>
  </si>
  <si>
    <t xml:space="preserve">      mfil_config_wr_regs_o.data_control_reg.wr_start &lt;= mfil_config_avalon_mm_i.writedata(0);</t>
  </si>
  <si>
    <t xml:space="preserve">      mfil_config_wr_regs_o.data_control_reg.wr_reset &lt;= mfil_config_avalon_mm_i.writedata(0);</t>
  </si>
  <si>
    <t>-- MFIL Data Control Register : Initial Write Address [High Dword]</t>
  </si>
  <si>
    <t>mfil_config_wr_regs_o.data_control_reg.wr_initial_addr_high_dword &lt;= (others =&gt; '0');</t>
  </si>
  <si>
    <t>-- MFIL Data Control Register : Initial Write Address [Low Dword]</t>
  </si>
  <si>
    <t>mfil_config_wr_regs_o.data_control_reg.wr_initial_addr_low_dword &lt;= (others =&gt; '0');</t>
  </si>
  <si>
    <t>-- MFIL Data Control Register : Write Data Length [Bytes]</t>
  </si>
  <si>
    <t>mfil_config_wr_regs_o.data_control_reg.wr_data_length_bytes &lt;= (others =&gt; '0');</t>
  </si>
  <si>
    <t>-- MFIL Data Control Register : Write Data Value [Dword 7]</t>
  </si>
  <si>
    <t>mfil_config_wr_regs_o.data_control_reg.wr_data_value_dword_7 &lt;= (others =&gt; '0');</t>
  </si>
  <si>
    <t>-- MFIL Data Control Register : Write Data Value [Dword 6]</t>
  </si>
  <si>
    <t>mfil_config_wr_regs_o.data_control_reg.wr_data_value_dword_6 &lt;= (others =&gt; '0');</t>
  </si>
  <si>
    <t>-- MFIL Data Control Register : Write Data Value [Dword 5]</t>
  </si>
  <si>
    <t>mfil_config_wr_regs_o.data_control_reg.wr_data_value_dword_5 &lt;= (others =&gt; '0');</t>
  </si>
  <si>
    <t>-- MFIL Data Control Register : Write Data Value [Dword 4]</t>
  </si>
  <si>
    <t>mfil_config_wr_regs_o.data_control_reg.wr_data_value_dword_4 &lt;= (others =&gt; '0');</t>
  </si>
  <si>
    <t>-- MFIL Data Control Register : Write Data Value [Dword 3]</t>
  </si>
  <si>
    <t>mfil_config_wr_regs_o.data_control_reg.wr_data_value_dword_3 &lt;= (others =&gt; '0');</t>
  </si>
  <si>
    <t>-- MFIL Data Control Register : Write Data Value [Dword 2]</t>
  </si>
  <si>
    <t>mfil_config_wr_regs_o.data_control_reg.wr_data_value_dword_2 &lt;= (others =&gt; '0');</t>
  </si>
  <si>
    <t>-- MFIL Data Control Register : Write Data Value [Dword 1]</t>
  </si>
  <si>
    <t>mfil_config_wr_regs_o.data_control_reg.wr_data_value_dword_1 &lt;= (others =&gt; '0');</t>
  </si>
  <si>
    <t>-- MFIL Data Control Register : Write Data Value [Dword 0]</t>
  </si>
  <si>
    <t>mfil_config_wr_regs_o.data_control_reg.wr_data_value_dword_0 &lt;= (others =&gt; '0');</t>
  </si>
  <si>
    <t>-- MFIL Data Control Register : Write Timeout</t>
  </si>
  <si>
    <t>mfil_config_wr_regs_o.data_control_reg.wr_timeout &lt;= (others =&gt; '0');</t>
  </si>
  <si>
    <t>-- MFIL Data Control Register : Data Write Start</t>
  </si>
  <si>
    <t>mfil_config_wr_regs_o.data_control_reg.wr_start &lt;= '0';</t>
  </si>
  <si>
    <t>-- MFIL Data Control Register : Data Write Reset</t>
  </si>
  <si>
    <t>mfil_config_wr_regs_o.data_control_reg.wr_reset &lt;= '0';</t>
  </si>
  <si>
    <t xml:space="preserve"> /* MFIL Data Control Register Struct */</t>
  </si>
  <si>
    <t>typedef struct MfilDataControl {</t>
  </si>
  <si>
    <t xml:space="preserve">  alt_u32 uliWrInitAddrHighDword; /* Initial Write Address [High Dword] */</t>
  </si>
  <si>
    <t xml:space="preserve">  alt_u32 uliWrInitAddrLowDword; /* Initial Write Address [Low Dword] */</t>
  </si>
  <si>
    <t xml:space="preserve">  alt_u32 uliWrDataLenghtBytes; /* Write Data Length [Bytes] */</t>
  </si>
  <si>
    <t xml:space="preserve">  alt_u32 uliWrData_ValDword7; /* Write Data Value [Dword 7] */</t>
  </si>
  <si>
    <t xml:space="preserve">  alt_u32 uliWrData_ValDword6; /* Write Data Value [Dword 6] */</t>
  </si>
  <si>
    <t xml:space="preserve">  alt_u32 uliWrData_ValDword5; /* Write Data Value [Dword 5] */</t>
  </si>
  <si>
    <t xml:space="preserve">  alt_u32 uliWrData_ValDword4; /* Write Data Value [Dword 4] */</t>
  </si>
  <si>
    <t xml:space="preserve">  alt_u32 uliWrData_ValDword3; /* Write Data Value [Dword 3] */</t>
  </si>
  <si>
    <t xml:space="preserve">  alt_u32 uliWrData_ValDword2; /* Write Data Value [Dword 2] */</t>
  </si>
  <si>
    <t xml:space="preserve">  alt_u32 uliWrData_ValDword1; /* Write Data Value [Dword 1] */</t>
  </si>
  <si>
    <t xml:space="preserve">  alt_u32 uliWrData_ValDword0; /* Write Data Value [Dword 0] */</t>
  </si>
  <si>
    <t xml:space="preserve">  alt_u16 usiWrTimeout; /* Write Timeout */</t>
  </si>
  <si>
    <t xml:space="preserve">  bool bWrStart; /* Data Write Start */</t>
  </si>
  <si>
    <t xml:space="preserve">  bool bWrReset; /* Data Write Reset */</t>
  </si>
  <si>
    <t>} TMfilDataControl;</t>
  </si>
  <si>
    <t xml:space="preserve"> /* MFIL Data Status Register Struct */</t>
  </si>
  <si>
    <t>typedef struct MfilDataStatus {</t>
  </si>
  <si>
    <t xml:space="preserve">  bool bWrBusy; /* Data Write Busy */</t>
  </si>
  <si>
    <t xml:space="preserve">  bool bWrTimeoutErr; /* Write Timeout Error */</t>
  </si>
  <si>
    <t>} TMfilDataStatus;</t>
  </si>
  <si>
    <t>typedef struct MfilModule {</t>
  </si>
  <si>
    <t xml:space="preserve">  TMfilDataControl xMfilDataControl;</t>
  </si>
  <si>
    <t xml:space="preserve">  TMfilDataStatus xMfilDataStatus;</t>
  </si>
  <si>
    <t>} TMfilModule;</t>
  </si>
  <si>
    <t xml:space="preserve">    -- if (mfil_config_avalon_mm_i.byteenable(0) = '1') then</t>
  </si>
  <si>
    <t xml:space="preserve">    -- if (mfil_config_avalon_mm_i.byteenable(1) = '1') then</t>
  </si>
  <si>
    <t xml:space="preserve">    -- if (mfil_config_avalon_mm_i.byteenable(2) = '1') then</t>
  </si>
  <si>
    <t xml:space="preserve">    -- if (mfil_config_avalon_mm_i.byteenable(3) = '1') then</t>
  </si>
  <si>
    <t xml:space="preserve">    -- end if;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</si>
</sst>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3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31</v>
      </c>
      <c r="C2" s="2" t="s">
        <v>32</v>
      </c>
      <c r="D2" s="2" t="s">
        <v>1</v>
      </c>
      <c r="E2" s="6" t="s">
        <v>43</v>
      </c>
      <c r="F2" s="6" t="s">
        <v>2</v>
      </c>
      <c r="G2" s="6" t="s">
        <v>4</v>
      </c>
      <c r="H2" s="6" t="s">
        <v>3</v>
      </c>
      <c r="I2" s="14" t="s">
        <v>42</v>
      </c>
      <c r="J2" s="2" t="s">
        <v>33</v>
      </c>
      <c r="K2" s="6" t="s">
        <v>79</v>
      </c>
      <c r="L2" s="7" t="s">
        <v>80</v>
      </c>
      <c r="M2" s="7" t="s">
        <v>82</v>
      </c>
      <c r="N2" s="6" t="s">
        <v>44</v>
      </c>
      <c r="O2" s="6" t="s">
        <v>45</v>
      </c>
      <c r="P2" s="2" t="s">
        <v>46</v>
      </c>
      <c r="Q2" s="6" t="s">
        <v>73</v>
      </c>
      <c r="R2" s="6" t="s">
        <v>74</v>
      </c>
      <c r="S2" s="6" t="s">
        <v>76</v>
      </c>
      <c r="T2" s="6" t="s">
        <v>78</v>
      </c>
      <c r="U2" s="6" t="s">
        <v>75</v>
      </c>
      <c r="V2" s="2" t="s">
        <v>77</v>
      </c>
      <c r="W2" s="29" t="s">
        <v>8</v>
      </c>
      <c r="X2" s="29"/>
      <c r="Y2" s="29"/>
      <c r="Z2" s="29"/>
      <c r="AA2" s="30" t="s">
        <v>117</v>
      </c>
      <c r="AB2" s="30"/>
      <c r="AC2" s="30"/>
      <c r="AD2" s="30"/>
      <c r="AE2" s="30" t="s">
        <v>23</v>
      </c>
      <c r="AF2" s="30"/>
      <c r="AG2" s="30"/>
      <c r="AH2" s="30"/>
      <c r="AI2" s="9" t="s">
        <v>83</v>
      </c>
    </row>
    <row r="3" spans="1:35" x14ac:dyDescent="0.25">
      <c r="A3" s="3"/>
      <c r="B3" s="6" t="s">
        <v>40</v>
      </c>
      <c r="C3" s="6" t="s">
        <v>40</v>
      </c>
      <c r="D3" s="6" t="s">
        <v>40</v>
      </c>
      <c r="E3" s="6" t="s">
        <v>40</v>
      </c>
      <c r="F3" s="6" t="s">
        <v>40</v>
      </c>
      <c r="G3" s="6" t="s">
        <v>40</v>
      </c>
      <c r="H3" s="6" t="s">
        <v>40</v>
      </c>
      <c r="I3" s="14"/>
      <c r="J3" s="6" t="s">
        <v>40</v>
      </c>
      <c r="K3" s="6" t="s">
        <v>40</v>
      </c>
      <c r="L3" s="7" t="s">
        <v>40</v>
      </c>
      <c r="M3" s="7" t="s">
        <v>40</v>
      </c>
      <c r="N3" s="6" t="s">
        <v>40</v>
      </c>
      <c r="O3" s="6" t="s">
        <v>40</v>
      </c>
      <c r="P3" s="6" t="s">
        <v>40</v>
      </c>
      <c r="Q3" s="6" t="s">
        <v>40</v>
      </c>
      <c r="R3" s="6" t="s">
        <v>40</v>
      </c>
      <c r="S3" s="6" t="s">
        <v>40</v>
      </c>
      <c r="T3" s="6" t="s">
        <v>40</v>
      </c>
      <c r="U3" s="6" t="s">
        <v>40</v>
      </c>
      <c r="V3" s="6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317</v>
      </c>
      <c r="C4" s="3" t="s">
        <v>311</v>
      </c>
      <c r="D4" s="3" t="s">
        <v>1</v>
      </c>
      <c r="E4" s="3" t="s">
        <v>319</v>
      </c>
      <c r="F4" s="3" t="s">
        <v>321</v>
      </c>
      <c r="G4" s="3" t="s">
        <v>323</v>
      </c>
      <c r="H4" s="3" t="s">
        <v>325</v>
      </c>
      <c r="I4" s="3" t="s">
        <v>41</v>
      </c>
      <c r="J4" s="3">
        <v>32</v>
      </c>
      <c r="K4" s="3" t="s">
        <v>230</v>
      </c>
      <c r="L4" s="3" t="s">
        <v>40</v>
      </c>
      <c r="M4" s="3" t="s">
        <v>349</v>
      </c>
      <c r="N4" s="3" t="s">
        <v>350</v>
      </c>
      <c r="O4" s="3" t="s">
        <v>352</v>
      </c>
      <c r="P4" s="3" t="s">
        <v>48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7" si="0">DEC2HEX($S4,3)</f>
        <v>000</v>
      </c>
      <c r="U4" s="3">
        <f>ROUNDDOWN(S4/4,0)</f>
        <v>0</v>
      </c>
      <c r="V4" s="3" t="str">
        <f t="shared" ref="V4:V7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317</v>
      </c>
      <c r="C5" s="3" t="s">
        <v>312</v>
      </c>
      <c r="D5" s="3" t="s">
        <v>1</v>
      </c>
      <c r="E5" s="3" t="s">
        <v>319</v>
      </c>
      <c r="F5" s="3" t="s">
        <v>321</v>
      </c>
      <c r="G5" s="3" t="s">
        <v>323</v>
      </c>
      <c r="H5" s="3" t="s">
        <v>326</v>
      </c>
      <c r="I5" s="3" t="s">
        <v>41</v>
      </c>
      <c r="J5" s="3">
        <v>32</v>
      </c>
      <c r="K5" s="3" t="s">
        <v>230</v>
      </c>
      <c r="L5" s="3" t="s">
        <v>40</v>
      </c>
      <c r="M5" s="3" t="s">
        <v>349</v>
      </c>
      <c r="N5" s="3" t="s">
        <v>350</v>
      </c>
      <c r="O5" s="3" t="s">
        <v>353</v>
      </c>
      <c r="P5" s="3" t="s">
        <v>48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8" si="11">IF(MOD($S5,4)=3,"X",IF(AND(MOD($S5,4)=2,$J5&gt;8),"X",IF(AND(MOD($S5,4)=1,$J5&gt;16),"X",IF(AND(MOD($S5,4)=0,$J5&gt;24),"X",""))))</f>
        <v>X</v>
      </c>
      <c r="X5" s="3" t="str">
        <f t="shared" ref="X5:X78" si="12">IF(MOD($S5,4)=2,"X",IF(AND(MOD($S5,4)=1,$J5&gt;8),"X",IF(AND(MOD($S5,4)=0,$J5&gt;16),"X","")))</f>
        <v>X</v>
      </c>
      <c r="Y5" s="3" t="str">
        <f t="shared" ref="Y5:Y78" si="13">IF(MOD($S5,4)=1,"X",IF(AND(MOD($S5,4)=0,$J5&gt;8),"X",""))</f>
        <v>X</v>
      </c>
      <c r="Z5" s="3" t="str">
        <f t="shared" ref="Z5:Z78" si="14">IF(MOD($S5,4)=0,"X","")</f>
        <v>X</v>
      </c>
      <c r="AA5" s="3" t="str">
        <f t="shared" si="2"/>
        <v>(31 downto 24)</v>
      </c>
      <c r="AB5" s="3" t="str">
        <f t="shared" si="3"/>
        <v>(23 downto 16)</v>
      </c>
      <c r="AC5" s="3" t="str">
        <f t="shared" si="4"/>
        <v>(15 downto 8)</v>
      </c>
      <c r="AD5" s="3" t="str">
        <f t="shared" si="5"/>
        <v>(7 downto 0)</v>
      </c>
      <c r="AE5" s="3" t="str">
        <f t="shared" si="6"/>
        <v>(31 downto 24)</v>
      </c>
      <c r="AF5" s="3" t="str">
        <f t="shared" si="7"/>
        <v>(23 downto 16)</v>
      </c>
      <c r="AG5" s="3" t="str">
        <f t="shared" si="8"/>
        <v>(15 downto 8)</v>
      </c>
      <c r="AH5" s="3" t="str">
        <f t="shared" si="9"/>
        <v>(7 downto 0)</v>
      </c>
    </row>
    <row r="6" spans="1:35" x14ac:dyDescent="0.25">
      <c r="B6" s="3" t="s">
        <v>317</v>
      </c>
      <c r="C6" s="3" t="s">
        <v>313</v>
      </c>
      <c r="D6" s="3" t="s">
        <v>1</v>
      </c>
      <c r="E6" s="3" t="s">
        <v>319</v>
      </c>
      <c r="F6" s="3" t="s">
        <v>321</v>
      </c>
      <c r="G6" s="3" t="s">
        <v>323</v>
      </c>
      <c r="H6" s="3" t="s">
        <v>327</v>
      </c>
      <c r="I6" s="3" t="s">
        <v>41</v>
      </c>
      <c r="J6" s="3">
        <v>32</v>
      </c>
      <c r="K6" s="3" t="s">
        <v>230</v>
      </c>
      <c r="L6" s="3" t="s">
        <v>40</v>
      </c>
      <c r="M6" s="3" t="s">
        <v>349</v>
      </c>
      <c r="N6" s="3" t="s">
        <v>350</v>
      </c>
      <c r="O6" s="3" t="s">
        <v>354</v>
      </c>
      <c r="P6" s="3" t="s">
        <v>48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15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15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15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15" si="18">IF(Y6="","",CONCATENATE("(",IF(($J6-COUNTIF($Z6,"X")*8)=1,"8)",CONCATENATE(IF(($J6-COUNTIF($Z6,"X")*8)&gt;=8,16,($J6-COUNTIF($Z6,"X")*8)+8)-1," downto 8)"))))</f>
        <v>(15 downto 8)</v>
      </c>
      <c r="AD6" s="3" t="str">
        <f t="shared" ref="AD6:AD15" si="19">IF(Z6="","",CONCATENATE("(",IF($J6=1,"0)",CONCATENATE(IF($J6&gt;=8,8,$J6)-1," downto 0)"))))</f>
        <v>(7 downto 0)</v>
      </c>
      <c r="AE6" s="3" t="str">
        <f t="shared" ref="AE6:AE15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15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15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15" si="23">IF(Z6="","",IF($J6&lt;=8,"",CONCATENATE("(",IF($J6&gt;=8,7,$J6-1)," downto ",0,")")))</f>
        <v>(7 downto 0)</v>
      </c>
    </row>
    <row r="7" spans="1:35" x14ac:dyDescent="0.25">
      <c r="B7" s="3" t="s">
        <v>317</v>
      </c>
      <c r="C7" s="3" t="s">
        <v>340</v>
      </c>
      <c r="D7" s="3" t="s">
        <v>1</v>
      </c>
      <c r="E7" s="3" t="s">
        <v>319</v>
      </c>
      <c r="F7" s="3" t="s">
        <v>321</v>
      </c>
      <c r="G7" s="3" t="s">
        <v>323</v>
      </c>
      <c r="H7" s="3" t="s">
        <v>341</v>
      </c>
      <c r="I7" s="3" t="s">
        <v>41</v>
      </c>
      <c r="J7" s="3">
        <v>32</v>
      </c>
      <c r="K7" s="3" t="s">
        <v>230</v>
      </c>
      <c r="L7" s="3" t="s">
        <v>40</v>
      </c>
      <c r="M7" s="3" t="s">
        <v>349</v>
      </c>
      <c r="N7" s="3" t="s">
        <v>350</v>
      </c>
      <c r="O7" s="3" t="s">
        <v>358</v>
      </c>
      <c r="P7" s="3" t="s">
        <v>48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19" si="24">ROUNDDOWN(S7/4,0)</f>
        <v>3</v>
      </c>
      <c r="V7" s="3" t="str">
        <f t="shared" si="1"/>
        <v>03</v>
      </c>
      <c r="W7" s="3" t="str">
        <f t="shared" si="11"/>
        <v>X</v>
      </c>
      <c r="X7" s="3" t="str">
        <f t="shared" si="12"/>
        <v>X</v>
      </c>
      <c r="Y7" s="3" t="str">
        <f t="shared" si="13"/>
        <v>X</v>
      </c>
      <c r="Z7" s="3" t="str">
        <f t="shared" si="14"/>
        <v>X</v>
      </c>
      <c r="AA7" s="3" t="str">
        <f t="shared" ref="AA7:AA19" si="25">IF(W7="","",CONCATENATE("(",IF(($J7-COUNTIF($X7:$Z7,"X")*8)=1,"24)",CONCATENATE(IF(($J7-COUNTIF($X7:$Z7,"X")*8)&gt;=8,32,($J7-COUNTIF($X7:$Z7,"X")*8)+24)-1," downto 24)"))))</f>
        <v>(31 downto 24)</v>
      </c>
      <c r="AB7" s="3" t="str">
        <f t="shared" ref="AB7:AB19" si="26">IF(X7="","",CONCATENATE("(",IF(($J7-COUNTIF($Y7:$Z7,"X")*8)=1,"16)",CONCATENATE(IF(($J7-COUNTIF($Y7:$Z7,"X")*8)&gt;=8,24,($J7-COUNTIF($Y7:$Z7,"X")*8)+16)-1," downto 16)"))))</f>
        <v>(23 downto 16)</v>
      </c>
      <c r="AC7" s="3" t="str">
        <f t="shared" ref="AC7:AC19" si="27">IF(Y7="","",CONCATENATE("(",IF(($J7-COUNTIF($Z7,"X")*8)=1,"8)",CONCATENATE(IF(($J7-COUNTIF($Z7,"X")*8)&gt;=8,16,($J7-COUNTIF($Z7,"X")*8)+8)-1," downto 8)"))))</f>
        <v>(15 downto 8)</v>
      </c>
      <c r="AD7" s="3" t="str">
        <f t="shared" ref="AD7:AD19" si="28">IF(Z7="","",CONCATENATE("(",IF($J7=1,"0)",CONCATENATE(IF($J7&gt;=8,8,$J7)-1," downto 0)"))))</f>
        <v>(7 downto 0)</v>
      </c>
      <c r="AE7" s="3" t="str">
        <f t="shared" ref="AE7:AE19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>(31 downto 24)</v>
      </c>
      <c r="AF7" s="3" t="str">
        <f t="shared" ref="AF7:AF19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>(23 downto 16)</v>
      </c>
      <c r="AG7" s="3" t="str">
        <f t="shared" ref="AG7:AG19" si="31">IF(Y7="","",IF($J7&lt;=8,"",IF(($J7-COUNTIF($Z7,"X")*8)=1,CONCATENATE("(",($J7-1),")"),CONCATENATE("(",IF(($J7-COUNTIF($Z7,"X")*8)&gt;=8,COUNTIF($Z7,"X")*8+7,$J7-COUNTIF($Z7,"X")*8-1+COUNTIF($Z7,"X")*8)," downto ",COUNTIF($Z7,"X")*8,")"))))</f>
        <v>(15 downto 8)</v>
      </c>
      <c r="AH7" s="3" t="str">
        <f t="shared" ref="AH7:AH19" si="32">IF(Z7="","",IF($J7&lt;=8,"",CONCATENATE("(",IF($J7&gt;=8,7,$J7-1)," downto ",0,")")))</f>
        <v>(7 downto 0)</v>
      </c>
    </row>
    <row r="8" spans="1:35" x14ac:dyDescent="0.25">
      <c r="B8" s="3" t="s">
        <v>317</v>
      </c>
      <c r="C8" s="3" t="s">
        <v>339</v>
      </c>
      <c r="D8" s="3" t="s">
        <v>1</v>
      </c>
      <c r="E8" s="3" t="s">
        <v>319</v>
      </c>
      <c r="F8" s="3" t="s">
        <v>321</v>
      </c>
      <c r="G8" s="3" t="s">
        <v>323</v>
      </c>
      <c r="H8" s="3" t="s">
        <v>342</v>
      </c>
      <c r="I8" s="3" t="s">
        <v>41</v>
      </c>
      <c r="J8" s="3">
        <v>32</v>
      </c>
      <c r="K8" s="3" t="s">
        <v>230</v>
      </c>
      <c r="L8" s="3" t="s">
        <v>40</v>
      </c>
      <c r="M8" s="3" t="s">
        <v>349</v>
      </c>
      <c r="N8" s="3" t="s">
        <v>350</v>
      </c>
      <c r="O8" s="3" t="s">
        <v>359</v>
      </c>
      <c r="P8" s="3" t="s">
        <v>48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>X</v>
      </c>
      <c r="X8" s="3" t="str">
        <f t="shared" si="12"/>
        <v>X</v>
      </c>
      <c r="Y8" s="3" t="str">
        <f t="shared" si="13"/>
        <v>X</v>
      </c>
      <c r="Z8" s="3" t="str">
        <f t="shared" si="14"/>
        <v>X</v>
      </c>
      <c r="AA8" s="3" t="str">
        <f t="shared" si="25"/>
        <v>(31 downto 24)</v>
      </c>
      <c r="AB8" s="3" t="str">
        <f t="shared" si="26"/>
        <v>(23 downto 16)</v>
      </c>
      <c r="AC8" s="3" t="str">
        <f t="shared" si="27"/>
        <v>(15 downto 8)</v>
      </c>
      <c r="AD8" s="3" t="str">
        <f t="shared" si="28"/>
        <v>(7 downto 0)</v>
      </c>
      <c r="AE8" s="3" t="str">
        <f t="shared" si="29"/>
        <v>(31 downto 24)</v>
      </c>
      <c r="AF8" s="3" t="str">
        <f t="shared" si="30"/>
        <v>(23 downto 16)</v>
      </c>
      <c r="AG8" s="3" t="str">
        <f t="shared" si="31"/>
        <v>(15 downto 8)</v>
      </c>
      <c r="AH8" s="3" t="str">
        <f t="shared" si="32"/>
        <v>(7 downto 0)</v>
      </c>
    </row>
    <row r="9" spans="1:35" x14ac:dyDescent="0.25">
      <c r="B9" s="3" t="s">
        <v>317</v>
      </c>
      <c r="C9" s="3" t="s">
        <v>338</v>
      </c>
      <c r="D9" s="3" t="s">
        <v>1</v>
      </c>
      <c r="E9" s="3" t="s">
        <v>319</v>
      </c>
      <c r="F9" s="3" t="s">
        <v>321</v>
      </c>
      <c r="G9" s="3" t="s">
        <v>323</v>
      </c>
      <c r="H9" s="3" t="s">
        <v>343</v>
      </c>
      <c r="I9" s="3" t="s">
        <v>41</v>
      </c>
      <c r="J9" s="3">
        <v>32</v>
      </c>
      <c r="K9" s="3" t="s">
        <v>230</v>
      </c>
      <c r="L9" s="3" t="s">
        <v>40</v>
      </c>
      <c r="M9" s="3" t="s">
        <v>349</v>
      </c>
      <c r="N9" s="3" t="s">
        <v>350</v>
      </c>
      <c r="O9" s="3" t="s">
        <v>360</v>
      </c>
      <c r="P9" s="3" t="s">
        <v>48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>X</v>
      </c>
      <c r="X9" s="3" t="str">
        <f t="shared" si="12"/>
        <v>X</v>
      </c>
      <c r="Y9" s="3" t="str">
        <f t="shared" si="13"/>
        <v>X</v>
      </c>
      <c r="Z9" s="3" t="str">
        <f t="shared" si="14"/>
        <v>X</v>
      </c>
      <c r="AA9" s="3" t="str">
        <f t="shared" si="25"/>
        <v>(31 downto 24)</v>
      </c>
      <c r="AB9" s="3" t="str">
        <f t="shared" si="26"/>
        <v>(23 downto 16)</v>
      </c>
      <c r="AC9" s="3" t="str">
        <f t="shared" si="27"/>
        <v>(15 downto 8)</v>
      </c>
      <c r="AD9" s="3" t="str">
        <f t="shared" si="28"/>
        <v>(7 downto 0)</v>
      </c>
      <c r="AE9" s="3" t="str">
        <f t="shared" si="29"/>
        <v>(31 downto 24)</v>
      </c>
      <c r="AF9" s="3" t="str">
        <f t="shared" si="30"/>
        <v>(23 downto 16)</v>
      </c>
      <c r="AG9" s="3" t="str">
        <f t="shared" si="31"/>
        <v>(15 downto 8)</v>
      </c>
      <c r="AH9" s="3" t="str">
        <f t="shared" si="32"/>
        <v>(7 downto 0)</v>
      </c>
    </row>
    <row r="10" spans="1:35" x14ac:dyDescent="0.25">
      <c r="B10" s="3" t="s">
        <v>317</v>
      </c>
      <c r="C10" s="3" t="s">
        <v>337</v>
      </c>
      <c r="D10" s="3" t="s">
        <v>1</v>
      </c>
      <c r="E10" s="3" t="s">
        <v>319</v>
      </c>
      <c r="F10" s="3" t="s">
        <v>321</v>
      </c>
      <c r="G10" s="3" t="s">
        <v>323</v>
      </c>
      <c r="H10" s="3" t="s">
        <v>344</v>
      </c>
      <c r="I10" s="3" t="s">
        <v>41</v>
      </c>
      <c r="J10" s="3">
        <v>32</v>
      </c>
      <c r="K10" s="3" t="s">
        <v>230</v>
      </c>
      <c r="L10" s="3" t="s">
        <v>40</v>
      </c>
      <c r="M10" s="3" t="s">
        <v>349</v>
      </c>
      <c r="N10" s="3" t="s">
        <v>350</v>
      </c>
      <c r="O10" s="3" t="s">
        <v>361</v>
      </c>
      <c r="P10" s="3" t="s">
        <v>48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>X</v>
      </c>
      <c r="X10" s="3" t="str">
        <f t="shared" si="12"/>
        <v>X</v>
      </c>
      <c r="Y10" s="3" t="str">
        <f t="shared" si="13"/>
        <v>X</v>
      </c>
      <c r="Z10" s="3" t="str">
        <f t="shared" si="14"/>
        <v>X</v>
      </c>
      <c r="AA10" s="3" t="str">
        <f t="shared" si="25"/>
        <v>(31 downto 24)</v>
      </c>
      <c r="AB10" s="3" t="str">
        <f t="shared" si="26"/>
        <v>(23 downto 16)</v>
      </c>
      <c r="AC10" s="3" t="str">
        <f t="shared" si="27"/>
        <v>(15 downto 8)</v>
      </c>
      <c r="AD10" s="3" t="str">
        <f t="shared" si="28"/>
        <v>(7 downto 0)</v>
      </c>
      <c r="AE10" s="3" t="str">
        <f t="shared" si="29"/>
        <v>(31 downto 24)</v>
      </c>
      <c r="AF10" s="3" t="str">
        <f t="shared" si="30"/>
        <v>(23 downto 16)</v>
      </c>
      <c r="AG10" s="3" t="str">
        <f t="shared" si="31"/>
        <v>(15 downto 8)</v>
      </c>
      <c r="AH10" s="3" t="str">
        <f t="shared" si="32"/>
        <v>(7 downto 0)</v>
      </c>
    </row>
    <row r="11" spans="1:35" x14ac:dyDescent="0.25">
      <c r="B11" s="3" t="s">
        <v>317</v>
      </c>
      <c r="C11" s="3" t="s">
        <v>336</v>
      </c>
      <c r="D11" s="3" t="s">
        <v>1</v>
      </c>
      <c r="E11" s="3" t="s">
        <v>319</v>
      </c>
      <c r="F11" s="3" t="s">
        <v>321</v>
      </c>
      <c r="G11" s="3" t="s">
        <v>323</v>
      </c>
      <c r="H11" s="3" t="s">
        <v>345</v>
      </c>
      <c r="I11" s="3" t="s">
        <v>41</v>
      </c>
      <c r="J11" s="3">
        <v>32</v>
      </c>
      <c r="K11" s="3" t="s">
        <v>230</v>
      </c>
      <c r="L11" s="3" t="s">
        <v>40</v>
      </c>
      <c r="M11" s="3" t="s">
        <v>349</v>
      </c>
      <c r="N11" s="3" t="s">
        <v>350</v>
      </c>
      <c r="O11" s="3" t="s">
        <v>362</v>
      </c>
      <c r="P11" s="3" t="s">
        <v>48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>X</v>
      </c>
      <c r="X11" s="3" t="str">
        <f t="shared" si="12"/>
        <v>X</v>
      </c>
      <c r="Y11" s="3" t="str">
        <f t="shared" si="13"/>
        <v>X</v>
      </c>
      <c r="Z11" s="3" t="str">
        <f t="shared" si="14"/>
        <v>X</v>
      </c>
      <c r="AA11" s="3" t="str">
        <f t="shared" si="25"/>
        <v>(31 downto 24)</v>
      </c>
      <c r="AB11" s="3" t="str">
        <f t="shared" si="26"/>
        <v>(23 downto 16)</v>
      </c>
      <c r="AC11" s="3" t="str">
        <f t="shared" si="27"/>
        <v>(15 downto 8)</v>
      </c>
      <c r="AD11" s="3" t="str">
        <f t="shared" si="28"/>
        <v>(7 downto 0)</v>
      </c>
      <c r="AE11" s="3" t="str">
        <f t="shared" si="29"/>
        <v>(31 downto 24)</v>
      </c>
      <c r="AF11" s="3" t="str">
        <f t="shared" si="30"/>
        <v>(23 downto 16)</v>
      </c>
      <c r="AG11" s="3" t="str">
        <f t="shared" si="31"/>
        <v>(15 downto 8)</v>
      </c>
      <c r="AH11" s="3" t="str">
        <f t="shared" si="32"/>
        <v>(7 downto 0)</v>
      </c>
    </row>
    <row r="12" spans="1:35" x14ac:dyDescent="0.25">
      <c r="B12" s="3" t="s">
        <v>317</v>
      </c>
      <c r="C12" s="3" t="s">
        <v>335</v>
      </c>
      <c r="D12" s="3" t="s">
        <v>1</v>
      </c>
      <c r="E12" s="3" t="s">
        <v>319</v>
      </c>
      <c r="F12" s="3" t="s">
        <v>321</v>
      </c>
      <c r="G12" s="3" t="s">
        <v>323</v>
      </c>
      <c r="H12" s="3" t="s">
        <v>346</v>
      </c>
      <c r="I12" s="3" t="s">
        <v>41</v>
      </c>
      <c r="J12" s="3">
        <v>32</v>
      </c>
      <c r="K12" s="3" t="s">
        <v>230</v>
      </c>
      <c r="L12" s="3" t="s">
        <v>40</v>
      </c>
      <c r="M12" s="3" t="s">
        <v>349</v>
      </c>
      <c r="N12" s="3" t="s">
        <v>350</v>
      </c>
      <c r="O12" s="3" t="s">
        <v>363</v>
      </c>
      <c r="P12" s="3" t="s">
        <v>48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>X</v>
      </c>
      <c r="X12" s="3" t="str">
        <f t="shared" si="12"/>
        <v>X</v>
      </c>
      <c r="Y12" s="3" t="str">
        <f t="shared" si="13"/>
        <v>X</v>
      </c>
      <c r="Z12" s="3" t="str">
        <f t="shared" si="14"/>
        <v>X</v>
      </c>
      <c r="AA12" s="3" t="str">
        <f t="shared" si="25"/>
        <v>(31 downto 24)</v>
      </c>
      <c r="AB12" s="3" t="str">
        <f t="shared" si="26"/>
        <v>(23 downto 16)</v>
      </c>
      <c r="AC12" s="3" t="str">
        <f t="shared" si="27"/>
        <v>(15 downto 8)</v>
      </c>
      <c r="AD12" s="3" t="str">
        <f t="shared" si="28"/>
        <v>(7 downto 0)</v>
      </c>
      <c r="AE12" s="3" t="str">
        <f t="shared" si="29"/>
        <v>(31 downto 24)</v>
      </c>
      <c r="AF12" s="3" t="str">
        <f t="shared" si="30"/>
        <v>(23 downto 16)</v>
      </c>
      <c r="AG12" s="3" t="str">
        <f t="shared" si="31"/>
        <v>(15 downto 8)</v>
      </c>
      <c r="AH12" s="3" t="str">
        <f t="shared" si="32"/>
        <v>(7 downto 0)</v>
      </c>
    </row>
    <row r="13" spans="1:35" x14ac:dyDescent="0.25">
      <c r="B13" s="3" t="s">
        <v>317</v>
      </c>
      <c r="C13" s="3" t="s">
        <v>334</v>
      </c>
      <c r="D13" s="3" t="s">
        <v>1</v>
      </c>
      <c r="E13" s="3" t="s">
        <v>319</v>
      </c>
      <c r="F13" s="3" t="s">
        <v>321</v>
      </c>
      <c r="G13" s="3" t="s">
        <v>323</v>
      </c>
      <c r="H13" s="3" t="s">
        <v>347</v>
      </c>
      <c r="I13" s="3" t="s">
        <v>41</v>
      </c>
      <c r="J13" s="3">
        <v>32</v>
      </c>
      <c r="K13" s="3" t="s">
        <v>230</v>
      </c>
      <c r="L13" s="3" t="s">
        <v>40</v>
      </c>
      <c r="M13" s="3" t="s">
        <v>349</v>
      </c>
      <c r="N13" s="3" t="s">
        <v>350</v>
      </c>
      <c r="O13" s="3" t="s">
        <v>364</v>
      </c>
      <c r="P13" s="3" t="s">
        <v>48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>X</v>
      </c>
      <c r="X13" s="3" t="str">
        <f t="shared" si="12"/>
        <v>X</v>
      </c>
      <c r="Y13" s="3" t="str">
        <f t="shared" si="13"/>
        <v>X</v>
      </c>
      <c r="Z13" s="3" t="str">
        <f t="shared" si="14"/>
        <v>X</v>
      </c>
      <c r="AA13" s="3" t="str">
        <f t="shared" si="25"/>
        <v>(31 downto 24)</v>
      </c>
      <c r="AB13" s="3" t="str">
        <f t="shared" si="26"/>
        <v>(23 downto 16)</v>
      </c>
      <c r="AC13" s="3" t="str">
        <f t="shared" si="27"/>
        <v>(15 downto 8)</v>
      </c>
      <c r="AD13" s="3" t="str">
        <f t="shared" si="28"/>
        <v>(7 downto 0)</v>
      </c>
      <c r="AE13" s="3" t="str">
        <f t="shared" si="29"/>
        <v>(31 downto 24)</v>
      </c>
      <c r="AF13" s="3" t="str">
        <f t="shared" si="30"/>
        <v>(23 downto 16)</v>
      </c>
      <c r="AG13" s="3" t="str">
        <f t="shared" si="31"/>
        <v>(15 downto 8)</v>
      </c>
      <c r="AH13" s="3" t="str">
        <f t="shared" si="32"/>
        <v>(7 downto 0)</v>
      </c>
    </row>
    <row r="14" spans="1:35" x14ac:dyDescent="0.25">
      <c r="B14" s="3" t="s">
        <v>317</v>
      </c>
      <c r="C14" s="3" t="s">
        <v>333</v>
      </c>
      <c r="D14" s="3" t="s">
        <v>1</v>
      </c>
      <c r="E14" s="3" t="s">
        <v>319</v>
      </c>
      <c r="F14" s="3" t="s">
        <v>321</v>
      </c>
      <c r="G14" s="3" t="s">
        <v>323</v>
      </c>
      <c r="H14" s="3" t="s">
        <v>348</v>
      </c>
      <c r="I14" s="3" t="s">
        <v>41</v>
      </c>
      <c r="J14" s="3">
        <v>32</v>
      </c>
      <c r="K14" s="3" t="s">
        <v>230</v>
      </c>
      <c r="L14" s="3" t="s">
        <v>40</v>
      </c>
      <c r="M14" s="3" t="s">
        <v>349</v>
      </c>
      <c r="N14" s="3" t="s">
        <v>350</v>
      </c>
      <c r="O14" s="3" t="s">
        <v>365</v>
      </c>
      <c r="P14" s="3" t="s">
        <v>48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>X</v>
      </c>
      <c r="X14" s="3" t="str">
        <f t="shared" si="12"/>
        <v>X</v>
      </c>
      <c r="Y14" s="3" t="str">
        <f t="shared" si="13"/>
        <v>X</v>
      </c>
      <c r="Z14" s="3" t="str">
        <f t="shared" si="14"/>
        <v>X</v>
      </c>
      <c r="AA14" s="3" t="str">
        <f t="shared" si="25"/>
        <v>(31 downto 24)</v>
      </c>
      <c r="AB14" s="3" t="str">
        <f t="shared" si="26"/>
        <v>(23 downto 16)</v>
      </c>
      <c r="AC14" s="3" t="str">
        <f t="shared" si="27"/>
        <v>(15 downto 8)</v>
      </c>
      <c r="AD14" s="3" t="str">
        <f t="shared" si="28"/>
        <v>(7 downto 0)</v>
      </c>
      <c r="AE14" s="3" t="str">
        <f t="shared" si="29"/>
        <v>(31 downto 24)</v>
      </c>
      <c r="AF14" s="3" t="str">
        <f t="shared" si="30"/>
        <v>(23 downto 16)</v>
      </c>
      <c r="AG14" s="3" t="str">
        <f t="shared" si="31"/>
        <v>(15 downto 8)</v>
      </c>
      <c r="AH14" s="3" t="str">
        <f t="shared" si="32"/>
        <v>(7 downto 0)</v>
      </c>
    </row>
    <row r="15" spans="1:35" x14ac:dyDescent="0.25">
      <c r="B15" s="3" t="s">
        <v>317</v>
      </c>
      <c r="C15" s="3" t="s">
        <v>309</v>
      </c>
      <c r="D15" s="3" t="s">
        <v>1</v>
      </c>
      <c r="E15" s="3" t="s">
        <v>319</v>
      </c>
      <c r="F15" s="3" t="s">
        <v>321</v>
      </c>
      <c r="G15" s="3" t="s">
        <v>323</v>
      </c>
      <c r="H15" s="3" t="s">
        <v>331</v>
      </c>
      <c r="I15" s="3" t="s">
        <v>41</v>
      </c>
      <c r="J15" s="3">
        <v>16</v>
      </c>
      <c r="K15" s="3" t="s">
        <v>230</v>
      </c>
      <c r="L15" s="3" t="s">
        <v>40</v>
      </c>
      <c r="M15" s="3" t="s">
        <v>349</v>
      </c>
      <c r="N15" s="3" t="s">
        <v>350</v>
      </c>
      <c r="O15" s="3" t="s">
        <v>366</v>
      </c>
      <c r="P15" s="3" t="s">
        <v>49</v>
      </c>
      <c r="Q15" s="3">
        <f>INDEX(Tables!$C$4:$C$28,MATCH($P15,Tables!$B$4:$B$28,0))</f>
        <v>16</v>
      </c>
      <c r="R15" s="3">
        <f>INDEX(Tables!$D$4:$D$28,MATCH($P15,Tables!$B$4:$B$28,0))</f>
        <v>2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>X</v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>(15 downto 8)</v>
      </c>
      <c r="AD15" s="3" t="str">
        <f t="shared" si="28"/>
        <v>(7 downto 0)</v>
      </c>
      <c r="AE15" s="3" t="str">
        <f t="shared" si="29"/>
        <v/>
      </c>
      <c r="AF15" s="3" t="str">
        <f t="shared" si="30"/>
        <v/>
      </c>
      <c r="AG15" s="3" t="str">
        <f t="shared" si="31"/>
        <v>(15 downto 8)</v>
      </c>
      <c r="AH15" s="3" t="str">
        <f t="shared" si="32"/>
        <v>(7 downto 0)</v>
      </c>
    </row>
    <row r="16" spans="1:35" x14ac:dyDescent="0.25">
      <c r="B16" s="3" t="s">
        <v>317</v>
      </c>
      <c r="C16" s="3" t="s">
        <v>314</v>
      </c>
      <c r="D16" s="3" t="s">
        <v>1</v>
      </c>
      <c r="E16" s="3" t="s">
        <v>319</v>
      </c>
      <c r="F16" s="3" t="s">
        <v>321</v>
      </c>
      <c r="G16" s="3" t="s">
        <v>323</v>
      </c>
      <c r="H16" s="3" t="s">
        <v>328</v>
      </c>
      <c r="I16" s="3" t="s">
        <v>41</v>
      </c>
      <c r="J16" s="3">
        <v>1</v>
      </c>
      <c r="K16" s="3" t="s">
        <v>81</v>
      </c>
      <c r="L16" s="3" t="s">
        <v>81</v>
      </c>
      <c r="M16" s="3" t="s">
        <v>349</v>
      </c>
      <c r="N16" s="3" t="s">
        <v>350</v>
      </c>
      <c r="O16" s="3" t="s">
        <v>355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317</v>
      </c>
      <c r="C17" s="3" t="s">
        <v>315</v>
      </c>
      <c r="D17" s="3" t="s">
        <v>1</v>
      </c>
      <c r="E17" s="3" t="s">
        <v>319</v>
      </c>
      <c r="F17" s="3" t="s">
        <v>321</v>
      </c>
      <c r="G17" s="3" t="s">
        <v>323</v>
      </c>
      <c r="H17" s="3" t="s">
        <v>329</v>
      </c>
      <c r="I17" s="3" t="s">
        <v>41</v>
      </c>
      <c r="J17" s="3">
        <v>1</v>
      </c>
      <c r="K17" s="3" t="s">
        <v>81</v>
      </c>
      <c r="L17" s="3" t="s">
        <v>81</v>
      </c>
      <c r="M17" s="3" t="s">
        <v>349</v>
      </c>
      <c r="N17" s="3" t="s">
        <v>350</v>
      </c>
      <c r="O17" s="3" t="s">
        <v>356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318</v>
      </c>
      <c r="C18" s="3" t="s">
        <v>316</v>
      </c>
      <c r="D18" s="3" t="s">
        <v>0</v>
      </c>
      <c r="E18" s="3" t="s">
        <v>320</v>
      </c>
      <c r="F18" s="3" t="s">
        <v>322</v>
      </c>
      <c r="G18" s="3" t="s">
        <v>324</v>
      </c>
      <c r="H18" s="3" t="s">
        <v>330</v>
      </c>
      <c r="I18" s="3" t="s">
        <v>41</v>
      </c>
      <c r="J18" s="3">
        <v>1</v>
      </c>
      <c r="K18" s="3" t="s">
        <v>81</v>
      </c>
      <c r="L18" s="3" t="s">
        <v>40</v>
      </c>
      <c r="M18" s="3" t="s">
        <v>349</v>
      </c>
      <c r="N18" s="3" t="s">
        <v>351</v>
      </c>
      <c r="O18" s="3" t="s">
        <v>357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318</v>
      </c>
      <c r="C19" s="3" t="s">
        <v>310</v>
      </c>
      <c r="D19" s="3" t="s">
        <v>0</v>
      </c>
      <c r="E19" s="3" t="s">
        <v>320</v>
      </c>
      <c r="F19" s="3" t="s">
        <v>322</v>
      </c>
      <c r="G19" s="3" t="s">
        <v>324</v>
      </c>
      <c r="H19" s="3" t="s">
        <v>332</v>
      </c>
      <c r="I19" s="3" t="s">
        <v>41</v>
      </c>
      <c r="J19" s="3">
        <v>1</v>
      </c>
      <c r="K19" s="3" t="s">
        <v>81</v>
      </c>
      <c r="L19" s="3" t="s">
        <v>40</v>
      </c>
      <c r="M19" s="3" t="s">
        <v>349</v>
      </c>
      <c r="N19" s="3" t="s">
        <v>351</v>
      </c>
      <c r="O19" s="3" t="s">
        <v>367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AA20" s="3"/>
      <c r="AB20" s="3"/>
      <c r="AC20" s="3"/>
      <c r="AD20" s="3"/>
      <c r="AE20" s="3"/>
      <c r="AF20" s="3"/>
      <c r="AG20" s="3"/>
      <c r="AH20" s="3"/>
    </row>
    <row r="21" spans="2:34" x14ac:dyDescent="0.25">
      <c r="AA21" s="3"/>
      <c r="AB21" s="3"/>
      <c r="AC21" s="3"/>
      <c r="AD21" s="3"/>
      <c r="AE21" s="3"/>
      <c r="AF21" s="3"/>
      <c r="AG21" s="3"/>
      <c r="AH21" s="3"/>
    </row>
    <row r="22" spans="2:34" x14ac:dyDescent="0.25">
      <c r="AA22" s="3"/>
      <c r="AB22" s="3"/>
      <c r="AC22" s="3"/>
      <c r="AD22" s="3"/>
      <c r="AE22" s="3"/>
      <c r="AF22" s="3"/>
      <c r="AG22" s="3"/>
      <c r="AH22" s="3"/>
    </row>
    <row r="23" spans="2:34" x14ac:dyDescent="0.25">
      <c r="AA23" s="3"/>
      <c r="AB23" s="3"/>
      <c r="AC23" s="3"/>
      <c r="AD23" s="3"/>
      <c r="AE23" s="3"/>
      <c r="AF23" s="3"/>
      <c r="AG23" s="3"/>
      <c r="AH23" s="3"/>
    </row>
    <row r="24" spans="2:34" x14ac:dyDescent="0.25">
      <c r="AA24" s="3"/>
      <c r="AB24" s="3"/>
      <c r="AC24" s="3"/>
      <c r="AD24" s="3"/>
      <c r="AE24" s="3"/>
      <c r="AF24" s="3"/>
      <c r="AG24" s="3"/>
      <c r="AH24" s="3"/>
    </row>
    <row r="25" spans="2:34" x14ac:dyDescent="0.25">
      <c r="AA25" s="3"/>
      <c r="AB25" s="3"/>
      <c r="AC25" s="3"/>
      <c r="AD25" s="3"/>
      <c r="AE25" s="3"/>
      <c r="AF25" s="3"/>
      <c r="AG25" s="3"/>
      <c r="AH25" s="3"/>
    </row>
    <row r="26" spans="2:34" x14ac:dyDescent="0.25">
      <c r="AA26" s="3"/>
      <c r="AB26" s="3"/>
      <c r="AC26" s="3"/>
      <c r="AD26" s="3"/>
      <c r="AE26" s="3"/>
      <c r="AF26" s="3"/>
      <c r="AG26" s="3"/>
      <c r="AH26" s="3"/>
    </row>
    <row r="27" spans="2:34" x14ac:dyDescent="0.25">
      <c r="AA27" s="3"/>
      <c r="AB27" s="3"/>
      <c r="AC27" s="3"/>
      <c r="AD27" s="3"/>
      <c r="AE27" s="3"/>
      <c r="AF27" s="3"/>
      <c r="AG27" s="3"/>
      <c r="AH27" s="3"/>
    </row>
    <row r="28" spans="2:34" x14ac:dyDescent="0.25">
      <c r="AA28" s="3"/>
      <c r="AB28" s="3"/>
      <c r="AC28" s="3"/>
      <c r="AD28" s="3"/>
      <c r="AE28" s="3"/>
      <c r="AF28" s="3"/>
      <c r="AG28" s="3"/>
      <c r="AH28" s="3"/>
    </row>
    <row r="29" spans="2:34" x14ac:dyDescent="0.25">
      <c r="AA29" s="3"/>
      <c r="AB29" s="3"/>
      <c r="AC29" s="3"/>
      <c r="AD29" s="3"/>
      <c r="AE29" s="3"/>
      <c r="AF29" s="3"/>
      <c r="AG29" s="3"/>
      <c r="AH29" s="3"/>
    </row>
    <row r="30" spans="2:34" x14ac:dyDescent="0.25">
      <c r="AA30" s="3"/>
      <c r="AB30" s="3"/>
      <c r="AC30" s="3"/>
      <c r="AD30" s="3"/>
      <c r="AE30" s="3"/>
      <c r="AF30" s="3"/>
      <c r="AG30" s="3"/>
      <c r="AH30" s="3"/>
    </row>
    <row r="31" spans="2:34" x14ac:dyDescent="0.25">
      <c r="AA31" s="3"/>
      <c r="AB31" s="3"/>
      <c r="AC31" s="3"/>
      <c r="AD31" s="3"/>
      <c r="AE31" s="3"/>
      <c r="AF31" s="3"/>
      <c r="AG31" s="3"/>
      <c r="AH31" s="3"/>
    </row>
    <row r="32" spans="2:34" x14ac:dyDescent="0.25">
      <c r="AA32" s="3"/>
      <c r="AB32" s="3"/>
      <c r="AC32" s="3"/>
      <c r="AD32" s="3"/>
      <c r="AE32" s="3"/>
      <c r="AF32" s="3"/>
      <c r="AG32" s="3"/>
      <c r="AH32" s="3"/>
    </row>
    <row r="33" spans="27:34" x14ac:dyDescent="0.25">
      <c r="AA33" s="3"/>
      <c r="AB33" s="3"/>
      <c r="AC33" s="3"/>
      <c r="AD33" s="3"/>
      <c r="AE33" s="3"/>
      <c r="AF33" s="3"/>
      <c r="AG33" s="3"/>
      <c r="AH33" s="3"/>
    </row>
    <row r="34" spans="27:34" x14ac:dyDescent="0.25">
      <c r="AA34" s="3"/>
      <c r="AB34" s="3"/>
      <c r="AC34" s="3"/>
      <c r="AD34" s="3"/>
      <c r="AE34" s="3"/>
      <c r="AF34" s="3"/>
      <c r="AG34" s="3"/>
      <c r="AH34" s="3"/>
    </row>
    <row r="35" spans="27:34" ht="14.25" customHeight="1" x14ac:dyDescent="0.25">
      <c r="AA35" s="3"/>
      <c r="AB35" s="3"/>
      <c r="AC35" s="3"/>
      <c r="AD35" s="3"/>
      <c r="AE35" s="3"/>
      <c r="AF35" s="3"/>
      <c r="AG35" s="3"/>
      <c r="AH35" s="3"/>
    </row>
    <row r="36" spans="27:34" x14ac:dyDescent="0.25">
      <c r="AA36" s="3"/>
      <c r="AB36" s="3"/>
      <c r="AC36" s="3"/>
      <c r="AD36" s="3"/>
      <c r="AE36" s="3"/>
      <c r="AF36" s="3"/>
      <c r="AG36" s="3"/>
      <c r="AH36" s="3"/>
    </row>
    <row r="37" spans="27:34" x14ac:dyDescent="0.25">
      <c r="AA37" s="3"/>
      <c r="AB37" s="3"/>
      <c r="AC37" s="3"/>
      <c r="AD37" s="3"/>
      <c r="AE37" s="3"/>
      <c r="AF37" s="3"/>
      <c r="AG37" s="3"/>
      <c r="AH37" s="3"/>
    </row>
    <row r="38" spans="27:34" x14ac:dyDescent="0.25">
      <c r="AA38" s="3"/>
      <c r="AB38" s="3"/>
      <c r="AC38" s="3"/>
      <c r="AD38" s="3"/>
      <c r="AE38" s="3"/>
      <c r="AF38" s="3"/>
      <c r="AG38" s="3"/>
      <c r="AH38" s="3"/>
    </row>
    <row r="39" spans="27:34" x14ac:dyDescent="0.25">
      <c r="AA39" s="3"/>
      <c r="AB39" s="3"/>
      <c r="AC39" s="3"/>
      <c r="AD39" s="3"/>
      <c r="AE39" s="3"/>
      <c r="AF39" s="3"/>
      <c r="AG39" s="3"/>
      <c r="AH39" s="3"/>
    </row>
    <row r="40" spans="27:34" x14ac:dyDescent="0.25">
      <c r="AA40" s="3"/>
      <c r="AB40" s="3"/>
      <c r="AC40" s="3"/>
      <c r="AD40" s="3"/>
      <c r="AE40" s="3"/>
      <c r="AF40" s="3"/>
      <c r="AG40" s="3"/>
      <c r="AH40" s="3"/>
    </row>
    <row r="41" spans="27:34" x14ac:dyDescent="0.25">
      <c r="AA41" s="3"/>
      <c r="AB41" s="3"/>
      <c r="AC41" s="3"/>
      <c r="AD41" s="3"/>
      <c r="AE41" s="3"/>
      <c r="AF41" s="3"/>
      <c r="AG41" s="3"/>
      <c r="AH41" s="3"/>
    </row>
    <row r="42" spans="27:34" x14ac:dyDescent="0.25">
      <c r="AA42" s="3"/>
      <c r="AB42" s="3"/>
      <c r="AC42" s="3"/>
      <c r="AD42" s="3"/>
      <c r="AE42" s="3"/>
      <c r="AF42" s="3"/>
      <c r="AG42" s="3"/>
      <c r="AH42" s="3"/>
    </row>
    <row r="43" spans="27:34" x14ac:dyDescent="0.25">
      <c r="AA43" s="3"/>
      <c r="AB43" s="3"/>
      <c r="AC43" s="3"/>
      <c r="AD43" s="3"/>
      <c r="AE43" s="3"/>
      <c r="AF43" s="3"/>
      <c r="AG43" s="3"/>
      <c r="AH43" s="3"/>
    </row>
    <row r="44" spans="27:34" x14ac:dyDescent="0.25">
      <c r="AA44" s="3"/>
      <c r="AB44" s="3"/>
      <c r="AC44" s="3"/>
      <c r="AD44" s="3"/>
      <c r="AE44" s="3"/>
      <c r="AF44" s="3"/>
      <c r="AG44" s="3"/>
      <c r="AH44" s="3"/>
    </row>
    <row r="45" spans="27:34" x14ac:dyDescent="0.25">
      <c r="AA45" s="3"/>
      <c r="AB45" s="3"/>
      <c r="AC45" s="3"/>
      <c r="AD45" s="3"/>
      <c r="AE45" s="3"/>
      <c r="AF45" s="3"/>
      <c r="AG45" s="3"/>
      <c r="AH45" s="3"/>
    </row>
    <row r="46" spans="27:34" x14ac:dyDescent="0.25">
      <c r="AA46" s="3"/>
      <c r="AB46" s="3"/>
      <c r="AC46" s="3"/>
      <c r="AD46" s="3"/>
      <c r="AE46" s="3"/>
      <c r="AF46" s="3"/>
      <c r="AG46" s="3"/>
      <c r="AH46" s="3"/>
    </row>
    <row r="47" spans="27:34" x14ac:dyDescent="0.25">
      <c r="AA47" s="3"/>
      <c r="AB47" s="3"/>
      <c r="AC47" s="3"/>
      <c r="AD47" s="3"/>
      <c r="AE47" s="3"/>
      <c r="AF47" s="3"/>
      <c r="AG47" s="3"/>
      <c r="AH47" s="3"/>
    </row>
    <row r="48" spans="27:34" x14ac:dyDescent="0.25">
      <c r="AA48" s="3"/>
      <c r="AB48" s="3"/>
      <c r="AC48" s="3"/>
      <c r="AD48" s="3"/>
      <c r="AE48" s="3"/>
      <c r="AF48" s="3"/>
      <c r="AG48" s="3"/>
      <c r="AH48" s="3"/>
    </row>
    <row r="49" spans="10:34" x14ac:dyDescent="0.25">
      <c r="AA49" s="3"/>
      <c r="AB49" s="3"/>
      <c r="AC49" s="3"/>
      <c r="AD49" s="3"/>
      <c r="AE49" s="3"/>
      <c r="AF49" s="3"/>
      <c r="AG49" s="3"/>
      <c r="AH49" s="3"/>
    </row>
    <row r="50" spans="10:34" x14ac:dyDescent="0.25">
      <c r="AA50" s="3"/>
      <c r="AB50" s="3"/>
      <c r="AC50" s="3"/>
      <c r="AD50" s="3"/>
      <c r="AE50" s="3"/>
      <c r="AF50" s="3"/>
      <c r="AG50" s="3"/>
      <c r="AH50" s="3"/>
    </row>
    <row r="51" spans="10:34" x14ac:dyDescent="0.25">
      <c r="AA51" s="3"/>
      <c r="AB51" s="3"/>
      <c r="AC51" s="3"/>
      <c r="AD51" s="3"/>
      <c r="AE51" s="3"/>
      <c r="AF51" s="3"/>
      <c r="AG51" s="3"/>
      <c r="AH51" s="3"/>
    </row>
    <row r="52" spans="10:34" x14ac:dyDescent="0.25">
      <c r="AA52" s="3"/>
      <c r="AB52" s="3"/>
      <c r="AC52" s="3"/>
      <c r="AD52" s="3"/>
      <c r="AE52" s="3"/>
      <c r="AF52" s="3"/>
      <c r="AG52" s="3"/>
      <c r="AH52" s="3"/>
    </row>
    <row r="53" spans="10:34" x14ac:dyDescent="0.25">
      <c r="AA53" s="3"/>
      <c r="AB53" s="3"/>
      <c r="AC53" s="3"/>
      <c r="AD53" s="3"/>
      <c r="AE53" s="3"/>
      <c r="AF53" s="3"/>
      <c r="AG53" s="3"/>
      <c r="AH53" s="3"/>
    </row>
    <row r="54" spans="10:34" x14ac:dyDescent="0.25">
      <c r="AA54" s="3"/>
      <c r="AB54" s="3"/>
      <c r="AC54" s="3"/>
      <c r="AD54" s="3"/>
      <c r="AE54" s="3"/>
      <c r="AF54" s="3"/>
      <c r="AG54" s="3"/>
      <c r="AH54" s="3"/>
    </row>
    <row r="55" spans="10:34" x14ac:dyDescent="0.25">
      <c r="AA55" s="3"/>
      <c r="AB55" s="3"/>
      <c r="AC55" s="3"/>
      <c r="AD55" s="3"/>
      <c r="AE55" s="3"/>
      <c r="AF55" s="3"/>
      <c r="AG55" s="3"/>
      <c r="AH55" s="3"/>
    </row>
    <row r="56" spans="10:34" x14ac:dyDescent="0.25">
      <c r="AA56" s="3"/>
      <c r="AB56" s="3"/>
      <c r="AC56" s="3"/>
      <c r="AD56" s="3"/>
      <c r="AE56" s="3"/>
      <c r="AF56" s="3"/>
      <c r="AG56" s="3"/>
      <c r="AH56" s="3"/>
    </row>
    <row r="57" spans="10:34" x14ac:dyDescent="0.25">
      <c r="AA57" s="3"/>
      <c r="AB57" s="3"/>
      <c r="AC57" s="3"/>
      <c r="AD57" s="3"/>
      <c r="AE57" s="3"/>
      <c r="AF57" s="3"/>
      <c r="AG57" s="3"/>
      <c r="AH57" s="3"/>
    </row>
    <row r="58" spans="10:34" x14ac:dyDescent="0.25">
      <c r="AA58" s="3"/>
      <c r="AB58" s="3"/>
      <c r="AC58" s="3"/>
      <c r="AD58" s="3"/>
      <c r="AE58" s="3"/>
      <c r="AF58" s="3"/>
      <c r="AG58" s="3"/>
      <c r="AH58" s="3"/>
    </row>
    <row r="59" spans="10:34" x14ac:dyDescent="0.25">
      <c r="J59" s="8"/>
      <c r="AA59" s="3"/>
      <c r="AB59" s="3"/>
      <c r="AC59" s="3"/>
      <c r="AD59" s="3"/>
      <c r="AE59" s="3"/>
      <c r="AF59" s="3"/>
      <c r="AG59" s="3"/>
      <c r="AH59" s="3"/>
    </row>
    <row r="60" spans="10:34" x14ac:dyDescent="0.25">
      <c r="J60" s="8"/>
      <c r="AA60" s="3"/>
      <c r="AB60" s="3"/>
      <c r="AC60" s="3"/>
      <c r="AD60" s="3"/>
      <c r="AE60" s="3"/>
      <c r="AF60" s="3"/>
      <c r="AG60" s="3"/>
      <c r="AH60" s="3"/>
    </row>
    <row r="61" spans="10:34" x14ac:dyDescent="0.25">
      <c r="K61" s="8"/>
      <c r="L61" s="8"/>
      <c r="AA61" s="3"/>
      <c r="AB61" s="3"/>
      <c r="AC61" s="3"/>
      <c r="AD61" s="3"/>
      <c r="AE61" s="3"/>
      <c r="AF61" s="3"/>
      <c r="AG61" s="3"/>
      <c r="AH61" s="3"/>
    </row>
    <row r="62" spans="10:34" x14ac:dyDescent="0.25">
      <c r="K62" s="8"/>
      <c r="L62" s="8"/>
      <c r="AA62" s="3"/>
      <c r="AB62" s="3"/>
      <c r="AC62" s="3"/>
      <c r="AD62" s="3"/>
      <c r="AE62" s="3"/>
      <c r="AF62" s="3"/>
      <c r="AG62" s="3"/>
      <c r="AH62" s="3"/>
    </row>
    <row r="63" spans="10:34" x14ac:dyDescent="0.25">
      <c r="K63" s="8"/>
      <c r="L63" s="8"/>
      <c r="AA63" s="3"/>
      <c r="AB63" s="3"/>
      <c r="AC63" s="3"/>
      <c r="AD63" s="3"/>
      <c r="AE63" s="3"/>
      <c r="AF63" s="3"/>
      <c r="AG63" s="3"/>
      <c r="AH63" s="3"/>
    </row>
    <row r="64" spans="10:34" x14ac:dyDescent="0.25">
      <c r="AA64" s="3"/>
      <c r="AB64" s="3"/>
      <c r="AC64" s="3"/>
      <c r="AD64" s="3"/>
      <c r="AE64" s="3"/>
      <c r="AF64" s="3"/>
      <c r="AG64" s="3"/>
      <c r="AH64" s="3"/>
    </row>
    <row r="65" spans="2:34" x14ac:dyDescent="0.25">
      <c r="AA65" s="3"/>
      <c r="AB65" s="3"/>
      <c r="AC65" s="3"/>
      <c r="AD65" s="3"/>
      <c r="AE65" s="3"/>
      <c r="AF65" s="3"/>
      <c r="AG65" s="3"/>
      <c r="AH65" s="3"/>
    </row>
    <row r="66" spans="2:34" x14ac:dyDescent="0.25">
      <c r="AA66" s="3"/>
      <c r="AB66" s="3"/>
      <c r="AC66" s="3"/>
      <c r="AD66" s="3"/>
      <c r="AE66" s="3"/>
      <c r="AF66" s="3"/>
      <c r="AG66" s="3"/>
      <c r="AH66" s="3"/>
    </row>
    <row r="67" spans="2:34" x14ac:dyDescent="0.25">
      <c r="AA67" s="3"/>
      <c r="AB67" s="3"/>
      <c r="AC67" s="3"/>
      <c r="AD67" s="3"/>
      <c r="AE67" s="3"/>
      <c r="AF67" s="3"/>
      <c r="AG67" s="3"/>
      <c r="AH67" s="3"/>
    </row>
    <row r="68" spans="2:34" x14ac:dyDescent="0.25">
      <c r="AA68" s="3"/>
      <c r="AB68" s="3"/>
      <c r="AC68" s="3"/>
      <c r="AD68" s="3"/>
      <c r="AE68" s="3"/>
      <c r="AF68" s="3"/>
      <c r="AG68" s="3"/>
      <c r="AH68" s="3"/>
    </row>
    <row r="69" spans="2:34" x14ac:dyDescent="0.25">
      <c r="B69" s="3" t="s">
        <v>285</v>
      </c>
      <c r="C69" s="3" t="s">
        <v>311</v>
      </c>
      <c r="D69" s="3" t="s">
        <v>1</v>
      </c>
      <c r="E69" s="3" t="s">
        <v>142</v>
      </c>
      <c r="F69" s="3" t="s">
        <v>287</v>
      </c>
      <c r="G69" s="3" t="s">
        <v>288</v>
      </c>
      <c r="H69" s="3" t="s">
        <v>273</v>
      </c>
      <c r="I69" s="3" t="s">
        <v>41</v>
      </c>
      <c r="J69" s="3">
        <v>32</v>
      </c>
      <c r="K69" s="3" t="s">
        <v>230</v>
      </c>
      <c r="L69" s="3" t="s">
        <v>40</v>
      </c>
      <c r="M69" s="3" t="s">
        <v>143</v>
      </c>
      <c r="N69" s="3" t="s">
        <v>291</v>
      </c>
      <c r="O69" s="3" t="s">
        <v>279</v>
      </c>
      <c r="P69" s="3" t="s">
        <v>48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4</v>
      </c>
      <c r="T69" s="3" t="str">
        <f t="shared" si="0"/>
        <v>004</v>
      </c>
      <c r="U69" s="3">
        <f t="shared" ref="U16:U81" si="33">ROUNDDOWN(S69/4,0)</f>
        <v>1</v>
      </c>
      <c r="V69" s="3" t="str">
        <f t="shared" si="1"/>
        <v>01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ref="AA16:AA81" si="34">IF(W69="","",CONCATENATE("(",IF(($J69-COUNTIF($X69:$Z69,"X")*8)=1,"24)",CONCATENATE(IF(($J69-COUNTIF($X69:$Z69,"X")*8)&gt;=8,32,($J69-COUNTIF($X69:$Z69,"X")*8)+24)-1," downto 24)"))))</f>
        <v>(31 downto 24)</v>
      </c>
      <c r="AB69" s="3" t="str">
        <f t="shared" ref="AB16:AB81" si="35">IF(X69="","",CONCATENATE("(",IF(($J69-COUNTIF($Y69:$Z69,"X")*8)=1,"16)",CONCATENATE(IF(($J69-COUNTIF($Y69:$Z69,"X")*8)&gt;=8,24,($J69-COUNTIF($Y69:$Z69,"X")*8)+16)-1," downto 16)"))))</f>
        <v>(23 downto 16)</v>
      </c>
      <c r="AC69" s="3" t="str">
        <f t="shared" ref="AC16:AC81" si="36">IF(Y69="","",CONCATENATE("(",IF(($J69-COUNTIF($Z69,"X")*8)=1,"8)",CONCATENATE(IF(($J69-COUNTIF($Z69,"X")*8)&gt;=8,16,($J69-COUNTIF($Z69,"X")*8)+8)-1," downto 8)"))))</f>
        <v>(15 downto 8)</v>
      </c>
      <c r="AD69" s="3" t="str">
        <f t="shared" ref="AD16:AD81" si="37">IF(Z69="","",CONCATENATE("(",IF($J69=1,"0)",CONCATENATE(IF($J69&gt;=8,8,$J69)-1," downto 0)"))))</f>
        <v>(7 downto 0)</v>
      </c>
      <c r="AE69" s="3" t="str">
        <f t="shared" ref="AE16:AE81" si="38">IF(W69="","",IF($J69&lt;=8,"",IF(($J69-COUNTIF($X69:$Z69,"X")*8)=1,CONCATENATE("(",($J69-1),")"),CONCATENATE("(",IF(($J69-COUNTIF($X69:$Z69,"X")*8)&gt;=8,COUNTIF($X69:$Z69,"X")*8+7,$J69-COUNTIF($X69:$Z69,"X")*8-1+COUNTIF($X69:$Z69,"X")*8)," downto ",COUNTIF($X69:$Z69,"X")*8,")"))))</f>
        <v>(31 downto 24)</v>
      </c>
      <c r="AF69" s="3" t="str">
        <f t="shared" ref="AF16:AF81" si="39">IF(X69="","",IF($J69&lt;=8,"",IF(($J69-COUNTIF($Y69:$Z69,"X")*8)=1,CONCATENATE("(",($J69-1),")"),CONCATENATE("(",IF(($J69-COUNTIF($Y69:$Z69,"X")*8)&gt;=8,COUNTIF($Y69:$Z69,"X")*8+7,$J69-COUNTIF($Y69:$Z69,"X")*8-1+COUNTIF($Y69:$Z69,"X")*8)," downto ",COUNTIF($Y69:$Z69,"X")*8,")"))))</f>
        <v>(23 downto 16)</v>
      </c>
      <c r="AG69" s="3" t="str">
        <f t="shared" ref="AG16:AG81" si="40">IF(Y69="","",IF($J69&lt;=8,"",IF(($J69-COUNTIF($Z69,"X")*8)=1,CONCATENATE("(",($J69-1),")"),CONCATENATE("(",IF(($J69-COUNTIF($Z69,"X")*8)&gt;=8,COUNTIF($Z69,"X")*8+7,$J69-COUNTIF($Z69,"X")*8-1+COUNTIF($Z69,"X")*8)," downto ",COUNTIF($Z69,"X")*8,")"))))</f>
        <v>(15 downto 8)</v>
      </c>
      <c r="AH69" s="3" t="str">
        <f t="shared" ref="AH16:AH81" si="41">IF(Z69="","",IF($J69&lt;=8,"",CONCATENATE("(",IF($J69&gt;=8,7,$J69-1)," downto ",0,")")))</f>
        <v>(7 downto 0)</v>
      </c>
    </row>
    <row r="70" spans="2:34" x14ac:dyDescent="0.25">
      <c r="B70" s="3" t="s">
        <v>285</v>
      </c>
      <c r="C70" s="3" t="s">
        <v>312</v>
      </c>
      <c r="D70" s="3" t="s">
        <v>1</v>
      </c>
      <c r="E70" s="3" t="s">
        <v>142</v>
      </c>
      <c r="F70" s="3" t="s">
        <v>287</v>
      </c>
      <c r="G70" s="3" t="s">
        <v>288</v>
      </c>
      <c r="H70" s="3" t="s">
        <v>274</v>
      </c>
      <c r="I70" s="3" t="s">
        <v>41</v>
      </c>
      <c r="J70" s="3">
        <v>32</v>
      </c>
      <c r="K70" s="3" t="s">
        <v>230</v>
      </c>
      <c r="L70" s="3" t="s">
        <v>40</v>
      </c>
      <c r="M70" s="3" t="s">
        <v>143</v>
      </c>
      <c r="N70" s="3" t="s">
        <v>291</v>
      </c>
      <c r="O70" s="3" t="s">
        <v>280</v>
      </c>
      <c r="P70" s="3" t="s">
        <v>48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8</v>
      </c>
      <c r="T70" s="3" t="str">
        <f t="shared" si="0"/>
        <v>008</v>
      </c>
      <c r="U70" s="3">
        <f t="shared" si="33"/>
        <v>2</v>
      </c>
      <c r="V70" s="3" t="str">
        <f t="shared" si="1"/>
        <v>02</v>
      </c>
      <c r="W70" s="3" t="str">
        <f t="shared" si="11"/>
        <v>X</v>
      </c>
      <c r="X70" s="3" t="str">
        <f t="shared" si="12"/>
        <v>X</v>
      </c>
      <c r="Y70" s="3" t="str">
        <f t="shared" si="13"/>
        <v>X</v>
      </c>
      <c r="Z70" s="3" t="str">
        <f t="shared" si="14"/>
        <v>X</v>
      </c>
      <c r="AA70" s="3" t="str">
        <f t="shared" si="34"/>
        <v>(31 downto 24)</v>
      </c>
      <c r="AB70" s="3" t="str">
        <f t="shared" si="35"/>
        <v>(23 downto 16)</v>
      </c>
      <c r="AC70" s="3" t="str">
        <f t="shared" si="36"/>
        <v>(15 downto 8)</v>
      </c>
      <c r="AD70" s="3" t="str">
        <f t="shared" si="37"/>
        <v>(7 downto 0)</v>
      </c>
      <c r="AE70" s="3" t="str">
        <f t="shared" si="38"/>
        <v>(31 downto 24)</v>
      </c>
      <c r="AF70" s="3" t="str">
        <f t="shared" si="39"/>
        <v>(23 downto 16)</v>
      </c>
      <c r="AG70" s="3" t="str">
        <f t="shared" si="40"/>
        <v>(15 downto 8)</v>
      </c>
      <c r="AH70" s="3" t="str">
        <f t="shared" si="41"/>
        <v>(7 downto 0)</v>
      </c>
    </row>
    <row r="71" spans="2:34" x14ac:dyDescent="0.25">
      <c r="B71" s="3" t="s">
        <v>285</v>
      </c>
      <c r="C71" s="3" t="s">
        <v>313</v>
      </c>
      <c r="D71" s="3" t="s">
        <v>1</v>
      </c>
      <c r="E71" s="3" t="s">
        <v>142</v>
      </c>
      <c r="F71" s="3" t="s">
        <v>287</v>
      </c>
      <c r="G71" s="3" t="s">
        <v>288</v>
      </c>
      <c r="H71" s="3" t="s">
        <v>275</v>
      </c>
      <c r="I71" s="3" t="s">
        <v>41</v>
      </c>
      <c r="J71" s="3">
        <v>32</v>
      </c>
      <c r="K71" s="3" t="s">
        <v>230</v>
      </c>
      <c r="L71" s="3" t="s">
        <v>40</v>
      </c>
      <c r="M71" s="3" t="s">
        <v>143</v>
      </c>
      <c r="N71" s="3" t="s">
        <v>291</v>
      </c>
      <c r="O71" s="3" t="s">
        <v>281</v>
      </c>
      <c r="P71" s="3" t="s">
        <v>48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12</v>
      </c>
      <c r="T71" s="3" t="str">
        <f t="shared" si="0"/>
        <v>00C</v>
      </c>
      <c r="U71" s="3">
        <f t="shared" si="33"/>
        <v>3</v>
      </c>
      <c r="V71" s="3" t="str">
        <f t="shared" si="1"/>
        <v>03</v>
      </c>
      <c r="W71" s="3" t="str">
        <f t="shared" si="11"/>
        <v>X</v>
      </c>
      <c r="X71" s="3" t="str">
        <f t="shared" si="12"/>
        <v>X</v>
      </c>
      <c r="Y71" s="3" t="str">
        <f t="shared" si="13"/>
        <v>X</v>
      </c>
      <c r="Z71" s="3" t="str">
        <f t="shared" si="14"/>
        <v>X</v>
      </c>
      <c r="AA71" s="3" t="str">
        <f t="shared" si="34"/>
        <v>(31 downto 24)</v>
      </c>
      <c r="AB71" s="3" t="str">
        <f t="shared" si="35"/>
        <v>(23 downto 16)</v>
      </c>
      <c r="AC71" s="3" t="str">
        <f t="shared" si="36"/>
        <v>(15 downto 8)</v>
      </c>
      <c r="AD71" s="3" t="str">
        <f t="shared" si="37"/>
        <v>(7 downto 0)</v>
      </c>
      <c r="AE71" s="3" t="str">
        <f t="shared" si="38"/>
        <v>(31 downto 24)</v>
      </c>
      <c r="AF71" s="3" t="str">
        <f t="shared" si="39"/>
        <v>(23 downto 16)</v>
      </c>
      <c r="AG71" s="3" t="str">
        <f t="shared" si="40"/>
        <v>(15 downto 8)</v>
      </c>
      <c r="AH71" s="3" t="str">
        <f t="shared" si="41"/>
        <v>(7 downto 0)</v>
      </c>
    </row>
    <row r="72" spans="2:34" x14ac:dyDescent="0.25">
      <c r="C72" s="3" t="s">
        <v>309</v>
      </c>
      <c r="AA72" s="3"/>
      <c r="AB72" s="3"/>
      <c r="AC72" s="3"/>
      <c r="AD72" s="3"/>
      <c r="AE72" s="3"/>
      <c r="AF72" s="3"/>
      <c r="AG72" s="3"/>
      <c r="AH72" s="3"/>
    </row>
    <row r="73" spans="2:34" x14ac:dyDescent="0.25">
      <c r="B73" s="3" t="s">
        <v>285</v>
      </c>
      <c r="C73" s="3" t="s">
        <v>314</v>
      </c>
      <c r="D73" s="3" t="s">
        <v>1</v>
      </c>
      <c r="E73" s="3" t="s">
        <v>142</v>
      </c>
      <c r="F73" s="3" t="s">
        <v>287</v>
      </c>
      <c r="G73" s="3" t="s">
        <v>288</v>
      </c>
      <c r="H73" s="3" t="s">
        <v>276</v>
      </c>
      <c r="I73" s="3" t="s">
        <v>41</v>
      </c>
      <c r="J73" s="3">
        <v>1</v>
      </c>
      <c r="K73" s="3" t="s">
        <v>81</v>
      </c>
      <c r="L73" s="3" t="s">
        <v>81</v>
      </c>
      <c r="M73" s="3" t="s">
        <v>143</v>
      </c>
      <c r="N73" s="3" t="s">
        <v>291</v>
      </c>
      <c r="O73" s="3" t="s">
        <v>282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IF($N73&lt;&gt;$N71,IF(AND(MOD($S71+$R71+INDEX(Tables!$N$5:$Q$8,MATCH(MOD($S71+$R71,4),Tables!$M$5:$M$8,0),MATCH($R73,Tables!$N$4:$Q$4,0)),4) = 2,$R73=2),$S71+$R71+INDEX(Tables!$N$5:$Q$8,MATCH(MOD($S71+$R71,4),Tables!$M$5:$M$8,0),MATCH($R73,Tables!$N$4:$Q$4,0)),($U71+1)*4),$S71+$R71+INDEX(Tables!$N$5:$Q$8,MATCH(MOD($S71+$R71,4),Tables!$M$5:$M$8,0),MATCH($R73,Tables!$N$4:$Q$4,0)))</f>
        <v>16</v>
      </c>
      <c r="T73" s="3" t="str">
        <f t="shared" si="0"/>
        <v>010</v>
      </c>
      <c r="U73" s="3">
        <f t="shared" si="33"/>
        <v>4</v>
      </c>
      <c r="V73" s="3" t="str">
        <f t="shared" si="1"/>
        <v>04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/>
      </c>
      <c r="AD73" s="3" t="str">
        <f t="shared" si="37"/>
        <v>(0)</v>
      </c>
      <c r="AE73" s="3" t="str">
        <f t="shared" si="38"/>
        <v/>
      </c>
      <c r="AF73" s="3" t="str">
        <f t="shared" si="39"/>
        <v/>
      </c>
      <c r="AG73" s="3" t="str">
        <f t="shared" si="40"/>
        <v/>
      </c>
      <c r="AH73" s="3" t="str">
        <f t="shared" si="41"/>
        <v/>
      </c>
    </row>
    <row r="74" spans="2:34" x14ac:dyDescent="0.25">
      <c r="B74" s="3" t="s">
        <v>285</v>
      </c>
      <c r="C74" s="3" t="s">
        <v>315</v>
      </c>
      <c r="D74" s="3" t="s">
        <v>1</v>
      </c>
      <c r="E74" s="3" t="s">
        <v>142</v>
      </c>
      <c r="F74" s="3" t="s">
        <v>287</v>
      </c>
      <c r="G74" s="3" t="s">
        <v>288</v>
      </c>
      <c r="H74" s="3" t="s">
        <v>277</v>
      </c>
      <c r="I74" s="3" t="s">
        <v>41</v>
      </c>
      <c r="J74" s="3">
        <v>1</v>
      </c>
      <c r="K74" s="3" t="s">
        <v>81</v>
      </c>
      <c r="L74" s="3" t="s">
        <v>81</v>
      </c>
      <c r="M74" s="3" t="s">
        <v>143</v>
      </c>
      <c r="N74" s="3" t="s">
        <v>291</v>
      </c>
      <c r="O74" s="3" t="s">
        <v>283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20</v>
      </c>
      <c r="T74" s="3" t="str">
        <f t="shared" si="0"/>
        <v>014</v>
      </c>
      <c r="U74" s="3">
        <f t="shared" si="33"/>
        <v>5</v>
      </c>
      <c r="V74" s="3" t="str">
        <f t="shared" si="1"/>
        <v>05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286</v>
      </c>
      <c r="C75" s="3" t="s">
        <v>316</v>
      </c>
      <c r="D75" s="3" t="s">
        <v>0</v>
      </c>
      <c r="E75" s="3" t="s">
        <v>144</v>
      </c>
      <c r="F75" s="3" t="s">
        <v>289</v>
      </c>
      <c r="G75" s="3" t="s">
        <v>290</v>
      </c>
      <c r="H75" s="3" t="s">
        <v>278</v>
      </c>
      <c r="I75" s="3" t="s">
        <v>41</v>
      </c>
      <c r="J75" s="3">
        <v>1</v>
      </c>
      <c r="K75" s="3" t="s">
        <v>81</v>
      </c>
      <c r="L75" s="3" t="s">
        <v>40</v>
      </c>
      <c r="M75" s="3" t="s">
        <v>143</v>
      </c>
      <c r="N75" s="3" t="s">
        <v>292</v>
      </c>
      <c r="O75" s="3" t="s">
        <v>284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24</v>
      </c>
      <c r="T75" s="3" t="str">
        <f t="shared" si="0"/>
        <v>018</v>
      </c>
      <c r="U75" s="3">
        <f t="shared" si="33"/>
        <v>6</v>
      </c>
      <c r="V75" s="3" t="str">
        <f t="shared" si="1"/>
        <v>06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C76" s="3" t="s">
        <v>310</v>
      </c>
      <c r="AA76" s="3"/>
      <c r="AB76" s="3"/>
      <c r="AC76" s="3"/>
      <c r="AD76" s="3"/>
      <c r="AE76" s="3"/>
      <c r="AF76" s="3"/>
      <c r="AG76" s="3"/>
      <c r="AH76" s="3"/>
    </row>
    <row r="77" spans="2:34" x14ac:dyDescent="0.25">
      <c r="B77" s="3" t="s">
        <v>200</v>
      </c>
      <c r="D77" s="3" t="s">
        <v>1</v>
      </c>
      <c r="E77" s="3" t="s">
        <v>142</v>
      </c>
      <c r="F77" s="3" t="s">
        <v>203</v>
      </c>
      <c r="G77" s="3" t="s">
        <v>204</v>
      </c>
      <c r="H77" s="3" t="s">
        <v>209</v>
      </c>
      <c r="I77" s="3" t="s">
        <v>41</v>
      </c>
      <c r="J77" s="3">
        <v>32</v>
      </c>
      <c r="K77" s="3" t="s">
        <v>230</v>
      </c>
      <c r="L77" s="3" t="s">
        <v>40</v>
      </c>
      <c r="M77" s="3" t="s">
        <v>143</v>
      </c>
      <c r="N77" s="3" t="s">
        <v>231</v>
      </c>
      <c r="O77" s="3" t="s">
        <v>234</v>
      </c>
      <c r="P77" s="3" t="s">
        <v>48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IF($N77&lt;&gt;$N75,IF(AND(MOD($S75+$R75+INDEX(Tables!$N$5:$Q$8,MATCH(MOD($S75+$R75,4),Tables!$M$5:$M$8,0),MATCH($R77,Tables!$N$4:$Q$4,0)),4) = 2,$R77=2),$S75+$R75+INDEX(Tables!$N$5:$Q$8,MATCH(MOD($S75+$R75,4),Tables!$M$5:$M$8,0),MATCH($R77,Tables!$N$4:$Q$4,0)),($U75+1)*4),$S75+$R75+INDEX(Tables!$N$5:$Q$8,MATCH(MOD($S75+$R75,4),Tables!$M$5:$M$8,0),MATCH($R77,Tables!$N$4:$Q$4,0)))</f>
        <v>28</v>
      </c>
      <c r="T77" s="3" t="str">
        <f t="shared" si="0"/>
        <v>01C</v>
      </c>
      <c r="U77" s="3">
        <f t="shared" si="33"/>
        <v>7</v>
      </c>
      <c r="V77" s="3" t="str">
        <f t="shared" si="1"/>
        <v>07</v>
      </c>
      <c r="W77" s="3" t="str">
        <f t="shared" si="11"/>
        <v>X</v>
      </c>
      <c r="X77" s="3" t="str">
        <f t="shared" si="12"/>
        <v>X</v>
      </c>
      <c r="Y77" s="3" t="str">
        <f t="shared" si="13"/>
        <v>X</v>
      </c>
      <c r="Z77" s="3" t="str">
        <f t="shared" si="14"/>
        <v>X</v>
      </c>
      <c r="AA77" s="3" t="str">
        <f t="shared" si="34"/>
        <v>(31 downto 24)</v>
      </c>
      <c r="AB77" s="3" t="str">
        <f t="shared" si="35"/>
        <v>(23 downto 16)</v>
      </c>
      <c r="AC77" s="3" t="str">
        <f t="shared" si="36"/>
        <v>(15 downto 8)</v>
      </c>
      <c r="AD77" s="3" t="str">
        <f t="shared" si="37"/>
        <v>(7 downto 0)</v>
      </c>
      <c r="AE77" s="3" t="str">
        <f t="shared" si="38"/>
        <v>(31 downto 24)</v>
      </c>
      <c r="AF77" s="3" t="str">
        <f t="shared" si="39"/>
        <v>(23 downto 16)</v>
      </c>
      <c r="AG77" s="3" t="str">
        <f t="shared" si="40"/>
        <v>(15 downto 8)</v>
      </c>
      <c r="AH77" s="3" t="str">
        <f t="shared" si="41"/>
        <v>(7 downto 0)</v>
      </c>
    </row>
    <row r="78" spans="2:34" x14ac:dyDescent="0.25">
      <c r="B78" s="3" t="s">
        <v>200</v>
      </c>
      <c r="D78" s="3" t="s">
        <v>1</v>
      </c>
      <c r="E78" s="3" t="s">
        <v>142</v>
      </c>
      <c r="F78" s="3" t="s">
        <v>203</v>
      </c>
      <c r="G78" s="3" t="s">
        <v>204</v>
      </c>
      <c r="H78" s="3" t="s">
        <v>210</v>
      </c>
      <c r="I78" s="3" t="s">
        <v>41</v>
      </c>
      <c r="J78" s="3">
        <v>32</v>
      </c>
      <c r="K78" s="3" t="s">
        <v>230</v>
      </c>
      <c r="L78" s="3" t="s">
        <v>40</v>
      </c>
      <c r="M78" s="3" t="s">
        <v>143</v>
      </c>
      <c r="N78" s="3" t="s">
        <v>231</v>
      </c>
      <c r="O78" s="3" t="s">
        <v>235</v>
      </c>
      <c r="P78" s="3" t="s">
        <v>48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32</v>
      </c>
      <c r="T78" s="3" t="str">
        <f t="shared" ref="T78:T130" si="42">DEC2HEX($S78,3)</f>
        <v>020</v>
      </c>
      <c r="U78" s="3">
        <f t="shared" si="33"/>
        <v>8</v>
      </c>
      <c r="V78" s="3" t="str">
        <f t="shared" ref="V78:V130" si="43">DEC2HEX($U78,2)</f>
        <v>08</v>
      </c>
      <c r="W78" s="3" t="str">
        <f t="shared" si="11"/>
        <v>X</v>
      </c>
      <c r="X78" s="3" t="str">
        <f t="shared" si="12"/>
        <v>X</v>
      </c>
      <c r="Y78" s="3" t="str">
        <f t="shared" si="13"/>
        <v>X</v>
      </c>
      <c r="Z78" s="3" t="str">
        <f t="shared" si="14"/>
        <v>X</v>
      </c>
      <c r="AA78" s="3" t="str">
        <f t="shared" si="34"/>
        <v>(31 downto 24)</v>
      </c>
      <c r="AB78" s="3" t="str">
        <f t="shared" si="35"/>
        <v>(23 downto 16)</v>
      </c>
      <c r="AC78" s="3" t="str">
        <f t="shared" si="36"/>
        <v>(15 downto 8)</v>
      </c>
      <c r="AD78" s="3" t="str">
        <f t="shared" si="37"/>
        <v>(7 downto 0)</v>
      </c>
      <c r="AE78" s="3" t="str">
        <f t="shared" si="38"/>
        <v>(31 downto 24)</v>
      </c>
      <c r="AF78" s="3" t="str">
        <f t="shared" si="39"/>
        <v>(23 downto 16)</v>
      </c>
      <c r="AG78" s="3" t="str">
        <f t="shared" si="40"/>
        <v>(15 downto 8)</v>
      </c>
      <c r="AH78" s="3" t="str">
        <f t="shared" si="41"/>
        <v>(7 downto 0)</v>
      </c>
    </row>
    <row r="79" spans="2:34" x14ac:dyDescent="0.25">
      <c r="B79" s="3" t="s">
        <v>200</v>
      </c>
      <c r="D79" s="3" t="s">
        <v>1</v>
      </c>
      <c r="E79" s="3" t="s">
        <v>142</v>
      </c>
      <c r="F79" s="3" t="s">
        <v>203</v>
      </c>
      <c r="G79" s="3" t="s">
        <v>204</v>
      </c>
      <c r="H79" s="3" t="s">
        <v>211</v>
      </c>
      <c r="I79" s="3" t="s">
        <v>41</v>
      </c>
      <c r="J79" s="3">
        <v>16</v>
      </c>
      <c r="K79" s="3" t="s">
        <v>230</v>
      </c>
      <c r="L79" s="3" t="s">
        <v>40</v>
      </c>
      <c r="M79" s="3" t="s">
        <v>143</v>
      </c>
      <c r="N79" s="3" t="s">
        <v>231</v>
      </c>
      <c r="O79" s="3" t="s">
        <v>236</v>
      </c>
      <c r="P79" s="3" t="s">
        <v>48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36</v>
      </c>
      <c r="T79" s="3" t="str">
        <f t="shared" si="42"/>
        <v>024</v>
      </c>
      <c r="U79" s="3">
        <f t="shared" si="33"/>
        <v>9</v>
      </c>
      <c r="V79" s="3" t="str">
        <f t="shared" si="43"/>
        <v>09</v>
      </c>
      <c r="W79" s="3" t="str">
        <f t="shared" ref="W79:W130" si="44">IF(MOD($S79,4)=3,"X",IF(AND(MOD($S79,4)=2,$J79&gt;8),"X",IF(AND(MOD($S79,4)=1,$J79&gt;16),"X",IF(AND(MOD($S79,4)=0,$J79&gt;24),"X",""))))</f>
        <v/>
      </c>
      <c r="X79" s="3" t="str">
        <f t="shared" ref="X79:X130" si="45">IF(MOD($S79,4)=2,"X",IF(AND(MOD($S79,4)=1,$J79&gt;8),"X",IF(AND(MOD($S79,4)=0,$J79&gt;16),"X","")))</f>
        <v/>
      </c>
      <c r="Y79" s="3" t="str">
        <f t="shared" ref="Y79:Y130" si="46">IF(MOD($S79,4)=1,"X",IF(AND(MOD($S79,4)=0,$J79&gt;8),"X",""))</f>
        <v>X</v>
      </c>
      <c r="Z79" s="3" t="str">
        <f t="shared" ref="Z79:Z130" si="47">IF(MOD($S79,4)=0,"X","")</f>
        <v>X</v>
      </c>
      <c r="AA79" s="3" t="str">
        <f t="shared" si="34"/>
        <v/>
      </c>
      <c r="AB79" s="3" t="str">
        <f t="shared" si="35"/>
        <v/>
      </c>
      <c r="AC79" s="3" t="str">
        <f t="shared" si="36"/>
        <v>(15 downto 8)</v>
      </c>
      <c r="AD79" s="3" t="str">
        <f t="shared" si="37"/>
        <v>(7 downto 0)</v>
      </c>
      <c r="AE79" s="3" t="str">
        <f t="shared" si="38"/>
        <v/>
      </c>
      <c r="AF79" s="3" t="str">
        <f t="shared" si="39"/>
        <v/>
      </c>
      <c r="AG79" s="3" t="str">
        <f t="shared" si="40"/>
        <v>(15 downto 8)</v>
      </c>
      <c r="AH79" s="3" t="str">
        <f t="shared" si="41"/>
        <v>(7 downto 0)</v>
      </c>
    </row>
    <row r="80" spans="2:34" x14ac:dyDescent="0.25">
      <c r="B80" s="3" t="s">
        <v>200</v>
      </c>
      <c r="D80" s="3" t="s">
        <v>1</v>
      </c>
      <c r="E80" s="3" t="s">
        <v>142</v>
      </c>
      <c r="F80" s="3" t="s">
        <v>203</v>
      </c>
      <c r="G80" s="3" t="s">
        <v>204</v>
      </c>
      <c r="H80" s="3" t="s">
        <v>212</v>
      </c>
      <c r="I80" s="3" t="s">
        <v>41</v>
      </c>
      <c r="J80" s="3">
        <v>6</v>
      </c>
      <c r="K80" s="3" t="s">
        <v>230</v>
      </c>
      <c r="L80" s="3" t="s">
        <v>40</v>
      </c>
      <c r="M80" s="3" t="s">
        <v>143</v>
      </c>
      <c r="N80" s="3" t="s">
        <v>231</v>
      </c>
      <c r="O80" s="3" t="s">
        <v>237</v>
      </c>
      <c r="P80" s="3" t="s">
        <v>48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40</v>
      </c>
      <c r="T80" s="3" t="str">
        <f t="shared" si="42"/>
        <v>028</v>
      </c>
      <c r="U80" s="3">
        <f t="shared" si="33"/>
        <v>10</v>
      </c>
      <c r="V80" s="3" t="str">
        <f t="shared" si="43"/>
        <v>0A</v>
      </c>
      <c r="W80" s="3" t="str">
        <f t="shared" si="44"/>
        <v/>
      </c>
      <c r="X80" s="3" t="str">
        <f t="shared" si="45"/>
        <v/>
      </c>
      <c r="Y80" s="3" t="str">
        <f t="shared" si="46"/>
        <v/>
      </c>
      <c r="Z80" s="3" t="str">
        <f t="shared" si="47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/>
      </c>
      <c r="AD80" s="3" t="str">
        <f t="shared" si="37"/>
        <v>(5 downto 0)</v>
      </c>
      <c r="AE80" s="3" t="str">
        <f t="shared" si="38"/>
        <v/>
      </c>
      <c r="AF80" s="3" t="str">
        <f t="shared" si="39"/>
        <v/>
      </c>
      <c r="AG80" s="3" t="str">
        <f t="shared" si="40"/>
        <v/>
      </c>
      <c r="AH80" s="3" t="str">
        <f t="shared" si="41"/>
        <v/>
      </c>
    </row>
    <row r="81" spans="2:34" x14ac:dyDescent="0.25">
      <c r="B81" s="3" t="s">
        <v>200</v>
      </c>
      <c r="D81" s="3" t="s">
        <v>1</v>
      </c>
      <c r="E81" s="3" t="s">
        <v>142</v>
      </c>
      <c r="F81" s="3" t="s">
        <v>203</v>
      </c>
      <c r="G81" s="3" t="s">
        <v>204</v>
      </c>
      <c r="H81" s="3" t="s">
        <v>213</v>
      </c>
      <c r="I81" s="3" t="s">
        <v>41</v>
      </c>
      <c r="J81" s="3">
        <v>6</v>
      </c>
      <c r="K81" s="3" t="s">
        <v>230</v>
      </c>
      <c r="L81" s="3" t="s">
        <v>40</v>
      </c>
      <c r="M81" s="3" t="s">
        <v>143</v>
      </c>
      <c r="N81" s="3" t="s">
        <v>231</v>
      </c>
      <c r="O81" s="3" t="s">
        <v>238</v>
      </c>
      <c r="P81" s="3" t="s">
        <v>48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44</v>
      </c>
      <c r="T81" s="3" t="str">
        <f t="shared" si="42"/>
        <v>02C</v>
      </c>
      <c r="U81" s="3">
        <f t="shared" si="33"/>
        <v>11</v>
      </c>
      <c r="V81" s="3" t="str">
        <f t="shared" si="43"/>
        <v>0B</v>
      </c>
      <c r="W81" s="3" t="str">
        <f t="shared" si="44"/>
        <v/>
      </c>
      <c r="X81" s="3" t="str">
        <f t="shared" si="45"/>
        <v/>
      </c>
      <c r="Y81" s="3" t="str">
        <f t="shared" si="46"/>
        <v/>
      </c>
      <c r="Z81" s="3" t="str">
        <f t="shared" si="47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/>
      </c>
      <c r="AD81" s="3" t="str">
        <f t="shared" si="37"/>
        <v>(5 downto 0)</v>
      </c>
      <c r="AE81" s="3" t="str">
        <f t="shared" si="38"/>
        <v/>
      </c>
      <c r="AF81" s="3" t="str">
        <f t="shared" si="39"/>
        <v/>
      </c>
      <c r="AG81" s="3" t="str">
        <f t="shared" si="40"/>
        <v/>
      </c>
      <c r="AH81" s="3" t="str">
        <f t="shared" si="41"/>
        <v/>
      </c>
    </row>
    <row r="82" spans="2:34" x14ac:dyDescent="0.25">
      <c r="B82" s="3" t="s">
        <v>200</v>
      </c>
      <c r="D82" s="3" t="s">
        <v>1</v>
      </c>
      <c r="E82" s="3" t="s">
        <v>142</v>
      </c>
      <c r="F82" s="3" t="s">
        <v>203</v>
      </c>
      <c r="G82" s="3" t="s">
        <v>204</v>
      </c>
      <c r="H82" s="3" t="s">
        <v>214</v>
      </c>
      <c r="I82" s="3" t="s">
        <v>41</v>
      </c>
      <c r="J82" s="3">
        <v>10</v>
      </c>
      <c r="K82" s="3" t="s">
        <v>230</v>
      </c>
      <c r="L82" s="3" t="s">
        <v>40</v>
      </c>
      <c r="M82" s="3" t="s">
        <v>143</v>
      </c>
      <c r="N82" s="3" t="s">
        <v>231</v>
      </c>
      <c r="O82" s="3" t="s">
        <v>239</v>
      </c>
      <c r="P82" s="3" t="s">
        <v>48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48</v>
      </c>
      <c r="T82" s="3" t="str">
        <f t="shared" si="42"/>
        <v>030</v>
      </c>
      <c r="U82" s="3">
        <f t="shared" ref="U82:U130" si="48">ROUNDDOWN(S82/4,0)</f>
        <v>12</v>
      </c>
      <c r="V82" s="3" t="str">
        <f t="shared" si="43"/>
        <v>0C</v>
      </c>
      <c r="W82" s="3" t="str">
        <f t="shared" si="44"/>
        <v/>
      </c>
      <c r="X82" s="3" t="str">
        <f t="shared" si="45"/>
        <v/>
      </c>
      <c r="Y82" s="3" t="str">
        <f t="shared" si="46"/>
        <v>X</v>
      </c>
      <c r="Z82" s="3" t="str">
        <f t="shared" si="47"/>
        <v>X</v>
      </c>
      <c r="AA82" s="3" t="str">
        <f t="shared" ref="AA82:AA130" si="49">IF(W82="","",CONCATENATE("(",IF(($J82-COUNTIF($X82:$Z82,"X")*8)=1,"24)",CONCATENATE(IF(($J82-COUNTIF($X82:$Z82,"X")*8)&gt;=8,32,($J82-COUNTIF($X82:$Z82,"X")*8)+24)-1," downto 24)"))))</f>
        <v/>
      </c>
      <c r="AB82" s="3" t="str">
        <f t="shared" ref="AB82:AB130" si="50">IF(X82="","",CONCATENATE("(",IF(($J82-COUNTIF($Y82:$Z82,"X")*8)=1,"16)",CONCATENATE(IF(($J82-COUNTIF($Y82:$Z82,"X")*8)&gt;=8,24,($J82-COUNTIF($Y82:$Z82,"X")*8)+16)-1," downto 16)"))))</f>
        <v/>
      </c>
      <c r="AC82" s="3" t="str">
        <f t="shared" ref="AC82:AC130" si="51">IF(Y82="","",CONCATENATE("(",IF(($J82-COUNTIF($Z82,"X")*8)=1,"8)",CONCATENATE(IF(($J82-COUNTIF($Z82,"X")*8)&gt;=8,16,($J82-COUNTIF($Z82,"X")*8)+8)-1," downto 8)"))))</f>
        <v>(9 downto 8)</v>
      </c>
      <c r="AD82" s="3" t="str">
        <f t="shared" ref="AD82:AD130" si="52">IF(Z82="","",CONCATENATE("(",IF($J82=1,"0)",CONCATENATE(IF($J82&gt;=8,8,$J82)-1," downto 0)"))))</f>
        <v>(7 downto 0)</v>
      </c>
      <c r="AE82" s="3" t="str">
        <f t="shared" ref="AE82:AE130" si="53">IF(W82="","",IF($J82&lt;=8,"",IF(($J82-COUNTIF($X82:$Z82,"X")*8)=1,CONCATENATE("(",($J82-1),")"),CONCATENATE("(",IF(($J82-COUNTIF($X82:$Z82,"X")*8)&gt;=8,COUNTIF($X82:$Z82,"X")*8+7,$J82-COUNTIF($X82:$Z82,"X")*8-1+COUNTIF($X82:$Z82,"X")*8)," downto ",COUNTIF($X82:$Z82,"X")*8,")"))))</f>
        <v/>
      </c>
      <c r="AF82" s="3" t="str">
        <f t="shared" ref="AF82:AF130" si="54">IF(X82="","",IF($J82&lt;=8,"",IF(($J82-COUNTIF($Y82:$Z82,"X")*8)=1,CONCATENATE("(",($J82-1),")"),CONCATENATE("(",IF(($J82-COUNTIF($Y82:$Z82,"X")*8)&gt;=8,COUNTIF($Y82:$Z82,"X")*8+7,$J82-COUNTIF($Y82:$Z82,"X")*8-1+COUNTIF($Y82:$Z82,"X")*8)," downto ",COUNTIF($Y82:$Z82,"X")*8,")"))))</f>
        <v/>
      </c>
      <c r="AG82" s="3" t="str">
        <f t="shared" ref="AG82:AG130" si="55">IF(Y82="","",IF($J82&lt;=8,"",IF(($J82-COUNTIF($Z82,"X")*8)=1,CONCATENATE("(",($J82-1),")"),CONCATENATE("(",IF(($J82-COUNTIF($Z82,"X")*8)&gt;=8,COUNTIF($Z82,"X")*8+7,$J82-COUNTIF($Z82,"X")*8-1+COUNTIF($Z82,"X")*8)," downto ",COUNTIF($Z82,"X")*8,")"))))</f>
        <v>(9 downto 8)</v>
      </c>
      <c r="AH82" s="3" t="str">
        <f t="shared" ref="AH82:AH130" si="56">IF(Z82="","",IF($J82&lt;=8,"",CONCATENATE("(",IF($J82&gt;=8,7,$J82-1)," downto ",0,")")))</f>
        <v>(7 downto 0)</v>
      </c>
    </row>
    <row r="83" spans="2:34" x14ac:dyDescent="0.25">
      <c r="B83" s="3" t="s">
        <v>200</v>
      </c>
      <c r="D83" s="3" t="s">
        <v>1</v>
      </c>
      <c r="E83" s="3" t="s">
        <v>142</v>
      </c>
      <c r="F83" s="3" t="s">
        <v>203</v>
      </c>
      <c r="G83" s="3" t="s">
        <v>204</v>
      </c>
      <c r="H83" s="3" t="s">
        <v>215</v>
      </c>
      <c r="I83" s="3" t="s">
        <v>41</v>
      </c>
      <c r="J83" s="3">
        <v>10</v>
      </c>
      <c r="K83" s="3" t="s">
        <v>230</v>
      </c>
      <c r="L83" s="3" t="s">
        <v>40</v>
      </c>
      <c r="M83" s="3" t="s">
        <v>143</v>
      </c>
      <c r="N83" s="3" t="s">
        <v>231</v>
      </c>
      <c r="O83" s="3" t="s">
        <v>240</v>
      </c>
      <c r="P83" s="3" t="s">
        <v>48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52</v>
      </c>
      <c r="T83" s="3" t="str">
        <f t="shared" si="42"/>
        <v>034</v>
      </c>
      <c r="U83" s="3">
        <f t="shared" si="48"/>
        <v>13</v>
      </c>
      <c r="V83" s="3" t="str">
        <f t="shared" si="43"/>
        <v>0D</v>
      </c>
      <c r="W83" s="3" t="str">
        <f t="shared" si="44"/>
        <v/>
      </c>
      <c r="X83" s="3" t="str">
        <f t="shared" si="45"/>
        <v/>
      </c>
      <c r="Y83" s="3" t="str">
        <f t="shared" si="46"/>
        <v>X</v>
      </c>
      <c r="Z83" s="3" t="str">
        <f t="shared" si="47"/>
        <v>X</v>
      </c>
      <c r="AA83" s="3" t="str">
        <f t="shared" si="49"/>
        <v/>
      </c>
      <c r="AB83" s="3" t="str">
        <f t="shared" si="50"/>
        <v/>
      </c>
      <c r="AC83" s="3" t="str">
        <f t="shared" si="51"/>
        <v>(9 downto 8)</v>
      </c>
      <c r="AD83" s="3" t="str">
        <f t="shared" si="52"/>
        <v>(7 downto 0)</v>
      </c>
      <c r="AE83" s="3" t="str">
        <f t="shared" si="53"/>
        <v/>
      </c>
      <c r="AF83" s="3" t="str">
        <f t="shared" si="54"/>
        <v/>
      </c>
      <c r="AG83" s="3" t="str">
        <f t="shared" si="55"/>
        <v>(9 downto 8)</v>
      </c>
      <c r="AH83" s="3" t="str">
        <f t="shared" si="56"/>
        <v>(7 downto 0)</v>
      </c>
    </row>
    <row r="84" spans="2:34" x14ac:dyDescent="0.25">
      <c r="B84" s="3" t="s">
        <v>201</v>
      </c>
      <c r="D84" s="3" t="s">
        <v>1</v>
      </c>
      <c r="E84" s="3" t="s">
        <v>142</v>
      </c>
      <c r="F84" s="3" t="s">
        <v>205</v>
      </c>
      <c r="G84" s="3" t="s">
        <v>206</v>
      </c>
      <c r="H84" s="3" t="s">
        <v>216</v>
      </c>
      <c r="I84" s="3" t="s">
        <v>41</v>
      </c>
      <c r="J84" s="3">
        <v>32</v>
      </c>
      <c r="K84" s="3" t="s">
        <v>230</v>
      </c>
      <c r="L84" s="3" t="s">
        <v>40</v>
      </c>
      <c r="M84" s="3" t="s">
        <v>143</v>
      </c>
      <c r="N84" s="3" t="s">
        <v>232</v>
      </c>
      <c r="O84" s="3" t="s">
        <v>241</v>
      </c>
      <c r="P84" s="3" t="s">
        <v>48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56</v>
      </c>
      <c r="T84" s="3" t="str">
        <f t="shared" si="42"/>
        <v>038</v>
      </c>
      <c r="U84" s="3">
        <f t="shared" si="48"/>
        <v>14</v>
      </c>
      <c r="V84" s="3" t="str">
        <f t="shared" si="43"/>
        <v>0E</v>
      </c>
      <c r="W84" s="3" t="str">
        <f t="shared" si="44"/>
        <v>X</v>
      </c>
      <c r="X84" s="3" t="str">
        <f t="shared" si="45"/>
        <v>X</v>
      </c>
      <c r="Y84" s="3" t="str">
        <f t="shared" si="46"/>
        <v>X</v>
      </c>
      <c r="Z84" s="3" t="str">
        <f t="shared" si="47"/>
        <v>X</v>
      </c>
      <c r="AA84" s="3" t="str">
        <f t="shared" si="49"/>
        <v>(31 downto 24)</v>
      </c>
      <c r="AB84" s="3" t="str">
        <f t="shared" si="50"/>
        <v>(23 downto 16)</v>
      </c>
      <c r="AC84" s="3" t="str">
        <f t="shared" si="51"/>
        <v>(15 downto 8)</v>
      </c>
      <c r="AD84" s="3" t="str">
        <f t="shared" si="52"/>
        <v>(7 downto 0)</v>
      </c>
      <c r="AE84" s="3" t="str">
        <f t="shared" si="53"/>
        <v>(31 downto 24)</v>
      </c>
      <c r="AF84" s="3" t="str">
        <f t="shared" si="54"/>
        <v>(23 downto 16)</v>
      </c>
      <c r="AG84" s="3" t="str">
        <f t="shared" si="55"/>
        <v>(15 downto 8)</v>
      </c>
      <c r="AH84" s="3" t="str">
        <f t="shared" si="56"/>
        <v>(7 downto 0)</v>
      </c>
    </row>
    <row r="85" spans="2:34" x14ac:dyDescent="0.25">
      <c r="B85" s="3" t="s">
        <v>201</v>
      </c>
      <c r="D85" s="3" t="s">
        <v>1</v>
      </c>
      <c r="E85" s="3" t="s">
        <v>142</v>
      </c>
      <c r="F85" s="3" t="s">
        <v>205</v>
      </c>
      <c r="G85" s="3" t="s">
        <v>206</v>
      </c>
      <c r="H85" s="3" t="s">
        <v>217</v>
      </c>
      <c r="I85" s="3" t="s">
        <v>41</v>
      </c>
      <c r="J85" s="3">
        <v>32</v>
      </c>
      <c r="K85" s="3" t="s">
        <v>230</v>
      </c>
      <c r="L85" s="3" t="s">
        <v>40</v>
      </c>
      <c r="M85" s="3" t="s">
        <v>143</v>
      </c>
      <c r="N85" s="3" t="s">
        <v>232</v>
      </c>
      <c r="O85" s="3" t="s">
        <v>242</v>
      </c>
      <c r="P85" s="3" t="s">
        <v>48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60</v>
      </c>
      <c r="T85" s="3" t="str">
        <f t="shared" si="42"/>
        <v>03C</v>
      </c>
      <c r="U85" s="3">
        <f t="shared" si="48"/>
        <v>15</v>
      </c>
      <c r="V85" s="3" t="str">
        <f t="shared" si="43"/>
        <v>0F</v>
      </c>
      <c r="W85" s="3" t="str">
        <f t="shared" si="44"/>
        <v>X</v>
      </c>
      <c r="X85" s="3" t="str">
        <f t="shared" si="45"/>
        <v>X</v>
      </c>
      <c r="Y85" s="3" t="str">
        <f t="shared" si="46"/>
        <v>X</v>
      </c>
      <c r="Z85" s="3" t="str">
        <f t="shared" si="47"/>
        <v>X</v>
      </c>
      <c r="AA85" s="3" t="str">
        <f t="shared" si="49"/>
        <v>(31 downto 24)</v>
      </c>
      <c r="AB85" s="3" t="str">
        <f t="shared" si="50"/>
        <v>(23 downto 16)</v>
      </c>
      <c r="AC85" s="3" t="str">
        <f t="shared" si="51"/>
        <v>(15 downto 8)</v>
      </c>
      <c r="AD85" s="3" t="str">
        <f t="shared" si="52"/>
        <v>(7 downto 0)</v>
      </c>
      <c r="AE85" s="3" t="str">
        <f t="shared" si="53"/>
        <v>(31 downto 24)</v>
      </c>
      <c r="AF85" s="3" t="str">
        <f t="shared" si="54"/>
        <v>(23 downto 16)</v>
      </c>
      <c r="AG85" s="3" t="str">
        <f t="shared" si="55"/>
        <v>(15 downto 8)</v>
      </c>
      <c r="AH85" s="3" t="str">
        <f t="shared" si="56"/>
        <v>(7 downto 0)</v>
      </c>
    </row>
    <row r="86" spans="2:34" x14ac:dyDescent="0.25">
      <c r="B86" s="3" t="s">
        <v>201</v>
      </c>
      <c r="D86" s="3" t="s">
        <v>1</v>
      </c>
      <c r="E86" s="3" t="s">
        <v>142</v>
      </c>
      <c r="F86" s="3" t="s">
        <v>205</v>
      </c>
      <c r="G86" s="3" t="s">
        <v>206</v>
      </c>
      <c r="H86" s="3" t="s">
        <v>218</v>
      </c>
      <c r="I86" s="3" t="s">
        <v>41</v>
      </c>
      <c r="J86" s="3">
        <v>16</v>
      </c>
      <c r="K86" s="3" t="s">
        <v>230</v>
      </c>
      <c r="L86" s="3" t="s">
        <v>40</v>
      </c>
      <c r="M86" s="3" t="s">
        <v>143</v>
      </c>
      <c r="N86" s="3" t="s">
        <v>232</v>
      </c>
      <c r="O86" s="3" t="s">
        <v>243</v>
      </c>
      <c r="P86" s="3" t="s">
        <v>48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64</v>
      </c>
      <c r="T86" s="3" t="str">
        <f t="shared" si="42"/>
        <v>040</v>
      </c>
      <c r="U86" s="3">
        <f t="shared" si="48"/>
        <v>16</v>
      </c>
      <c r="V86" s="3" t="str">
        <f t="shared" si="43"/>
        <v>10</v>
      </c>
      <c r="W86" s="3" t="str">
        <f t="shared" si="44"/>
        <v/>
      </c>
      <c r="X86" s="3" t="str">
        <f t="shared" si="45"/>
        <v/>
      </c>
      <c r="Y86" s="3" t="str">
        <f t="shared" si="46"/>
        <v>X</v>
      </c>
      <c r="Z86" s="3" t="str">
        <f t="shared" si="47"/>
        <v>X</v>
      </c>
      <c r="AA86" s="3" t="str">
        <f t="shared" si="49"/>
        <v/>
      </c>
      <c r="AB86" s="3" t="str">
        <f t="shared" si="50"/>
        <v/>
      </c>
      <c r="AC86" s="3" t="str">
        <f t="shared" si="51"/>
        <v>(15 downto 8)</v>
      </c>
      <c r="AD86" s="3" t="str">
        <f t="shared" si="52"/>
        <v>(7 downto 0)</v>
      </c>
      <c r="AE86" s="3" t="str">
        <f t="shared" si="53"/>
        <v/>
      </c>
      <c r="AF86" s="3" t="str">
        <f t="shared" si="54"/>
        <v/>
      </c>
      <c r="AG86" s="3" t="str">
        <f t="shared" si="55"/>
        <v>(15 downto 8)</v>
      </c>
      <c r="AH86" s="3" t="str">
        <f t="shared" si="56"/>
        <v>(7 downto 0)</v>
      </c>
    </row>
    <row r="87" spans="2:34" x14ac:dyDescent="0.25">
      <c r="B87" s="3" t="s">
        <v>201</v>
      </c>
      <c r="D87" s="3" t="s">
        <v>1</v>
      </c>
      <c r="E87" s="3" t="s">
        <v>142</v>
      </c>
      <c r="F87" s="3" t="s">
        <v>205</v>
      </c>
      <c r="G87" s="3" t="s">
        <v>206</v>
      </c>
      <c r="H87" s="3" t="s">
        <v>219</v>
      </c>
      <c r="I87" s="3" t="s">
        <v>41</v>
      </c>
      <c r="J87" s="3">
        <v>6</v>
      </c>
      <c r="K87" s="3" t="s">
        <v>230</v>
      </c>
      <c r="L87" s="3" t="s">
        <v>40</v>
      </c>
      <c r="M87" s="3" t="s">
        <v>143</v>
      </c>
      <c r="N87" s="3" t="s">
        <v>232</v>
      </c>
      <c r="O87" s="3" t="s">
        <v>244</v>
      </c>
      <c r="P87" s="3" t="s">
        <v>48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68</v>
      </c>
      <c r="T87" s="3" t="str">
        <f t="shared" si="42"/>
        <v>044</v>
      </c>
      <c r="U87" s="3">
        <f t="shared" si="48"/>
        <v>17</v>
      </c>
      <c r="V87" s="3" t="str">
        <f t="shared" si="43"/>
        <v>11</v>
      </c>
      <c r="W87" s="3" t="str">
        <f t="shared" si="44"/>
        <v/>
      </c>
      <c r="X87" s="3" t="str">
        <f t="shared" si="45"/>
        <v/>
      </c>
      <c r="Y87" s="3" t="str">
        <f t="shared" si="46"/>
        <v/>
      </c>
      <c r="Z87" s="3" t="str">
        <f t="shared" si="47"/>
        <v>X</v>
      </c>
      <c r="AA87" s="3" t="str">
        <f t="shared" si="49"/>
        <v/>
      </c>
      <c r="AB87" s="3" t="str">
        <f t="shared" si="50"/>
        <v/>
      </c>
      <c r="AC87" s="3" t="str">
        <f t="shared" si="51"/>
        <v/>
      </c>
      <c r="AD87" s="3" t="str">
        <f t="shared" si="52"/>
        <v>(5 downto 0)</v>
      </c>
      <c r="AE87" s="3" t="str">
        <f t="shared" si="53"/>
        <v/>
      </c>
      <c r="AF87" s="3" t="str">
        <f t="shared" si="54"/>
        <v/>
      </c>
      <c r="AG87" s="3" t="str">
        <f t="shared" si="55"/>
        <v/>
      </c>
      <c r="AH87" s="3" t="str">
        <f t="shared" si="56"/>
        <v/>
      </c>
    </row>
    <row r="88" spans="2:34" x14ac:dyDescent="0.25">
      <c r="B88" s="3" t="s">
        <v>201</v>
      </c>
      <c r="D88" s="3" t="s">
        <v>1</v>
      </c>
      <c r="E88" s="3" t="s">
        <v>142</v>
      </c>
      <c r="F88" s="3" t="s">
        <v>205</v>
      </c>
      <c r="G88" s="3" t="s">
        <v>206</v>
      </c>
      <c r="H88" s="3" t="s">
        <v>220</v>
      </c>
      <c r="I88" s="3" t="s">
        <v>41</v>
      </c>
      <c r="J88" s="3">
        <v>6</v>
      </c>
      <c r="K88" s="3" t="s">
        <v>230</v>
      </c>
      <c r="L88" s="3" t="s">
        <v>40</v>
      </c>
      <c r="M88" s="3" t="s">
        <v>143</v>
      </c>
      <c r="N88" s="3" t="s">
        <v>232</v>
      </c>
      <c r="O88" s="3" t="s">
        <v>245</v>
      </c>
      <c r="P88" s="3" t="s">
        <v>48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72</v>
      </c>
      <c r="T88" s="3" t="str">
        <f t="shared" si="42"/>
        <v>048</v>
      </c>
      <c r="U88" s="3">
        <f t="shared" si="48"/>
        <v>18</v>
      </c>
      <c r="V88" s="3" t="str">
        <f t="shared" si="43"/>
        <v>12</v>
      </c>
      <c r="W88" s="3" t="str">
        <f t="shared" si="44"/>
        <v/>
      </c>
      <c r="X88" s="3" t="str">
        <f t="shared" si="45"/>
        <v/>
      </c>
      <c r="Y88" s="3" t="str">
        <f t="shared" si="46"/>
        <v/>
      </c>
      <c r="Z88" s="3" t="str">
        <f t="shared" si="47"/>
        <v>X</v>
      </c>
      <c r="AA88" s="3" t="str">
        <f t="shared" si="49"/>
        <v/>
      </c>
      <c r="AB88" s="3" t="str">
        <f t="shared" si="50"/>
        <v/>
      </c>
      <c r="AC88" s="3" t="str">
        <f t="shared" si="51"/>
        <v/>
      </c>
      <c r="AD88" s="3" t="str">
        <f t="shared" si="52"/>
        <v>(5 downto 0)</v>
      </c>
      <c r="AE88" s="3" t="str">
        <f t="shared" si="53"/>
        <v/>
      </c>
      <c r="AF88" s="3" t="str">
        <f t="shared" si="54"/>
        <v/>
      </c>
      <c r="AG88" s="3" t="str">
        <f t="shared" si="55"/>
        <v/>
      </c>
      <c r="AH88" s="3" t="str">
        <f t="shared" si="56"/>
        <v/>
      </c>
    </row>
    <row r="89" spans="2:34" x14ac:dyDescent="0.25">
      <c r="B89" s="3" t="s">
        <v>201</v>
      </c>
      <c r="D89" s="3" t="s">
        <v>1</v>
      </c>
      <c r="E89" s="3" t="s">
        <v>142</v>
      </c>
      <c r="F89" s="3" t="s">
        <v>205</v>
      </c>
      <c r="G89" s="3" t="s">
        <v>206</v>
      </c>
      <c r="H89" s="3" t="s">
        <v>221</v>
      </c>
      <c r="I89" s="3" t="s">
        <v>41</v>
      </c>
      <c r="J89" s="3">
        <v>10</v>
      </c>
      <c r="K89" s="3" t="s">
        <v>230</v>
      </c>
      <c r="L89" s="3" t="s">
        <v>40</v>
      </c>
      <c r="M89" s="3" t="s">
        <v>143</v>
      </c>
      <c r="N89" s="3" t="s">
        <v>232</v>
      </c>
      <c r="O89" s="3" t="s">
        <v>246</v>
      </c>
      <c r="P89" s="3" t="s">
        <v>48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76</v>
      </c>
      <c r="T89" s="3" t="str">
        <f t="shared" si="42"/>
        <v>04C</v>
      </c>
      <c r="U89" s="3">
        <f t="shared" si="48"/>
        <v>19</v>
      </c>
      <c r="V89" s="3" t="str">
        <f t="shared" si="43"/>
        <v>13</v>
      </c>
      <c r="W89" s="3" t="str">
        <f t="shared" si="44"/>
        <v/>
      </c>
      <c r="X89" s="3" t="str">
        <f t="shared" si="45"/>
        <v/>
      </c>
      <c r="Y89" s="3" t="str">
        <f t="shared" si="46"/>
        <v>X</v>
      </c>
      <c r="Z89" s="3" t="str">
        <f t="shared" si="47"/>
        <v>X</v>
      </c>
      <c r="AA89" s="3" t="str">
        <f t="shared" si="49"/>
        <v/>
      </c>
      <c r="AB89" s="3" t="str">
        <f t="shared" si="50"/>
        <v/>
      </c>
      <c r="AC89" s="3" t="str">
        <f t="shared" si="51"/>
        <v>(9 downto 8)</v>
      </c>
      <c r="AD89" s="3" t="str">
        <f t="shared" si="52"/>
        <v>(7 downto 0)</v>
      </c>
      <c r="AE89" s="3" t="str">
        <f t="shared" si="53"/>
        <v/>
      </c>
      <c r="AF89" s="3" t="str">
        <f t="shared" si="54"/>
        <v/>
      </c>
      <c r="AG89" s="3" t="str">
        <f t="shared" si="55"/>
        <v>(9 downto 8)</v>
      </c>
      <c r="AH89" s="3" t="str">
        <f t="shared" si="56"/>
        <v>(7 downto 0)</v>
      </c>
    </row>
    <row r="90" spans="2:34" x14ac:dyDescent="0.25">
      <c r="B90" s="3" t="s">
        <v>201</v>
      </c>
      <c r="D90" s="3" t="s">
        <v>1</v>
      </c>
      <c r="E90" s="3" t="s">
        <v>142</v>
      </c>
      <c r="F90" s="3" t="s">
        <v>205</v>
      </c>
      <c r="G90" s="3" t="s">
        <v>206</v>
      </c>
      <c r="H90" s="3" t="s">
        <v>222</v>
      </c>
      <c r="I90" s="3" t="s">
        <v>41</v>
      </c>
      <c r="J90" s="3">
        <v>10</v>
      </c>
      <c r="K90" s="3" t="s">
        <v>230</v>
      </c>
      <c r="L90" s="3" t="s">
        <v>40</v>
      </c>
      <c r="M90" s="3" t="s">
        <v>143</v>
      </c>
      <c r="N90" s="3" t="s">
        <v>232</v>
      </c>
      <c r="O90" s="3" t="s">
        <v>247</v>
      </c>
      <c r="P90" s="3" t="s">
        <v>48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80</v>
      </c>
      <c r="T90" s="3" t="str">
        <f t="shared" si="42"/>
        <v>050</v>
      </c>
      <c r="U90" s="3">
        <f t="shared" si="48"/>
        <v>20</v>
      </c>
      <c r="V90" s="3" t="str">
        <f t="shared" si="43"/>
        <v>14</v>
      </c>
      <c r="W90" s="3" t="str">
        <f t="shared" si="44"/>
        <v/>
      </c>
      <c r="X90" s="3" t="str">
        <f t="shared" si="45"/>
        <v/>
      </c>
      <c r="Y90" s="3" t="str">
        <f t="shared" si="46"/>
        <v>X</v>
      </c>
      <c r="Z90" s="3" t="str">
        <f t="shared" si="47"/>
        <v>X</v>
      </c>
      <c r="AA90" s="3" t="str">
        <f t="shared" si="49"/>
        <v/>
      </c>
      <c r="AB90" s="3" t="str">
        <f t="shared" si="50"/>
        <v/>
      </c>
      <c r="AC90" s="3" t="str">
        <f t="shared" si="51"/>
        <v>(9 downto 8)</v>
      </c>
      <c r="AD90" s="3" t="str">
        <f t="shared" si="52"/>
        <v>(7 downto 0)</v>
      </c>
      <c r="AE90" s="3" t="str">
        <f t="shared" si="53"/>
        <v/>
      </c>
      <c r="AF90" s="3" t="str">
        <f t="shared" si="54"/>
        <v/>
      </c>
      <c r="AG90" s="3" t="str">
        <f t="shared" si="55"/>
        <v>(9 downto 8)</v>
      </c>
      <c r="AH90" s="3" t="str">
        <f t="shared" si="56"/>
        <v>(7 downto 0)</v>
      </c>
    </row>
    <row r="91" spans="2:34" x14ac:dyDescent="0.25">
      <c r="B91" s="3" t="s">
        <v>202</v>
      </c>
      <c r="D91" s="3" t="s">
        <v>1</v>
      </c>
      <c r="E91" s="3" t="s">
        <v>142</v>
      </c>
      <c r="F91" s="3" t="s">
        <v>207</v>
      </c>
      <c r="G91" s="3" t="s">
        <v>208</v>
      </c>
      <c r="H91" s="3" t="s">
        <v>223</v>
      </c>
      <c r="I91" s="3" t="s">
        <v>41</v>
      </c>
      <c r="J91" s="3">
        <v>32</v>
      </c>
      <c r="K91" s="3" t="s">
        <v>230</v>
      </c>
      <c r="L91" s="3" t="s">
        <v>40</v>
      </c>
      <c r="M91" s="3" t="s">
        <v>143</v>
      </c>
      <c r="N91" s="3" t="s">
        <v>233</v>
      </c>
      <c r="O91" s="3" t="s">
        <v>248</v>
      </c>
      <c r="P91" s="3" t="s">
        <v>48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84</v>
      </c>
      <c r="T91" s="3" t="str">
        <f t="shared" si="42"/>
        <v>054</v>
      </c>
      <c r="U91" s="3">
        <f t="shared" si="48"/>
        <v>21</v>
      </c>
      <c r="V91" s="3" t="str">
        <f t="shared" si="43"/>
        <v>15</v>
      </c>
      <c r="W91" s="3" t="str">
        <f t="shared" si="44"/>
        <v>X</v>
      </c>
      <c r="X91" s="3" t="str">
        <f t="shared" si="45"/>
        <v>X</v>
      </c>
      <c r="Y91" s="3" t="str">
        <f t="shared" si="46"/>
        <v>X</v>
      </c>
      <c r="Z91" s="3" t="str">
        <f t="shared" si="47"/>
        <v>X</v>
      </c>
      <c r="AA91" s="3" t="str">
        <f t="shared" si="49"/>
        <v>(31 downto 24)</v>
      </c>
      <c r="AB91" s="3" t="str">
        <f t="shared" si="50"/>
        <v>(23 downto 16)</v>
      </c>
      <c r="AC91" s="3" t="str">
        <f t="shared" si="51"/>
        <v>(15 downto 8)</v>
      </c>
      <c r="AD91" s="3" t="str">
        <f t="shared" si="52"/>
        <v>(7 downto 0)</v>
      </c>
      <c r="AE91" s="3" t="str">
        <f t="shared" si="53"/>
        <v>(31 downto 24)</v>
      </c>
      <c r="AF91" s="3" t="str">
        <f t="shared" si="54"/>
        <v>(23 downto 16)</v>
      </c>
      <c r="AG91" s="3" t="str">
        <f t="shared" si="55"/>
        <v>(15 downto 8)</v>
      </c>
      <c r="AH91" s="3" t="str">
        <f t="shared" si="56"/>
        <v>(7 downto 0)</v>
      </c>
    </row>
    <row r="92" spans="2:34" x14ac:dyDescent="0.25">
      <c r="B92" s="3" t="s">
        <v>202</v>
      </c>
      <c r="D92" s="3" t="s">
        <v>1</v>
      </c>
      <c r="E92" s="3" t="s">
        <v>142</v>
      </c>
      <c r="F92" s="3" t="s">
        <v>207</v>
      </c>
      <c r="G92" s="3" t="s">
        <v>208</v>
      </c>
      <c r="H92" s="3" t="s">
        <v>224</v>
      </c>
      <c r="I92" s="3" t="s">
        <v>41</v>
      </c>
      <c r="J92" s="3">
        <v>32</v>
      </c>
      <c r="K92" s="3" t="s">
        <v>230</v>
      </c>
      <c r="L92" s="3" t="s">
        <v>40</v>
      </c>
      <c r="M92" s="3" t="s">
        <v>143</v>
      </c>
      <c r="N92" s="3" t="s">
        <v>233</v>
      </c>
      <c r="O92" s="3" t="s">
        <v>249</v>
      </c>
      <c r="P92" s="3" t="s">
        <v>48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88</v>
      </c>
      <c r="T92" s="3" t="str">
        <f t="shared" si="42"/>
        <v>058</v>
      </c>
      <c r="U92" s="3">
        <f t="shared" si="48"/>
        <v>22</v>
      </c>
      <c r="V92" s="3" t="str">
        <f t="shared" si="43"/>
        <v>16</v>
      </c>
      <c r="W92" s="3" t="str">
        <f t="shared" si="44"/>
        <v>X</v>
      </c>
      <c r="X92" s="3" t="str">
        <f t="shared" si="45"/>
        <v>X</v>
      </c>
      <c r="Y92" s="3" t="str">
        <f t="shared" si="46"/>
        <v>X</v>
      </c>
      <c r="Z92" s="3" t="str">
        <f t="shared" si="47"/>
        <v>X</v>
      </c>
      <c r="AA92" s="3" t="str">
        <f t="shared" si="49"/>
        <v>(31 downto 24)</v>
      </c>
      <c r="AB92" s="3" t="str">
        <f t="shared" si="50"/>
        <v>(23 downto 16)</v>
      </c>
      <c r="AC92" s="3" t="str">
        <f t="shared" si="51"/>
        <v>(15 downto 8)</v>
      </c>
      <c r="AD92" s="3" t="str">
        <f t="shared" si="52"/>
        <v>(7 downto 0)</v>
      </c>
      <c r="AE92" s="3" t="str">
        <f t="shared" si="53"/>
        <v>(31 downto 24)</v>
      </c>
      <c r="AF92" s="3" t="str">
        <f t="shared" si="54"/>
        <v>(23 downto 16)</v>
      </c>
      <c r="AG92" s="3" t="str">
        <f t="shared" si="55"/>
        <v>(15 downto 8)</v>
      </c>
      <c r="AH92" s="3" t="str">
        <f t="shared" si="56"/>
        <v>(7 downto 0)</v>
      </c>
    </row>
    <row r="93" spans="2:34" x14ac:dyDescent="0.25">
      <c r="B93" s="3" t="s">
        <v>202</v>
      </c>
      <c r="D93" s="3" t="s">
        <v>1</v>
      </c>
      <c r="E93" s="3" t="s">
        <v>142</v>
      </c>
      <c r="F93" s="3" t="s">
        <v>207</v>
      </c>
      <c r="G93" s="3" t="s">
        <v>208</v>
      </c>
      <c r="H93" s="3" t="s">
        <v>225</v>
      </c>
      <c r="I93" s="3" t="s">
        <v>41</v>
      </c>
      <c r="J93" s="3">
        <v>16</v>
      </c>
      <c r="K93" s="3" t="s">
        <v>230</v>
      </c>
      <c r="L93" s="3" t="s">
        <v>40</v>
      </c>
      <c r="M93" s="3" t="s">
        <v>143</v>
      </c>
      <c r="N93" s="3" t="s">
        <v>233</v>
      </c>
      <c r="O93" s="3" t="s">
        <v>250</v>
      </c>
      <c r="P93" s="3" t="s">
        <v>48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92</v>
      </c>
      <c r="T93" s="3" t="str">
        <f t="shared" si="42"/>
        <v>05C</v>
      </c>
      <c r="U93" s="3">
        <f t="shared" si="48"/>
        <v>23</v>
      </c>
      <c r="V93" s="3" t="str">
        <f t="shared" si="43"/>
        <v>17</v>
      </c>
      <c r="W93" s="3" t="str">
        <f t="shared" si="44"/>
        <v/>
      </c>
      <c r="X93" s="3" t="str">
        <f t="shared" si="45"/>
        <v/>
      </c>
      <c r="Y93" s="3" t="str">
        <f t="shared" si="46"/>
        <v>X</v>
      </c>
      <c r="Z93" s="3" t="str">
        <f t="shared" si="47"/>
        <v>X</v>
      </c>
      <c r="AA93" s="3" t="str">
        <f t="shared" si="49"/>
        <v/>
      </c>
      <c r="AB93" s="3" t="str">
        <f t="shared" si="50"/>
        <v/>
      </c>
      <c r="AC93" s="3" t="str">
        <f t="shared" si="51"/>
        <v>(15 downto 8)</v>
      </c>
      <c r="AD93" s="3" t="str">
        <f t="shared" si="52"/>
        <v>(7 downto 0)</v>
      </c>
      <c r="AE93" s="3" t="str">
        <f t="shared" si="53"/>
        <v/>
      </c>
      <c r="AF93" s="3" t="str">
        <f t="shared" si="54"/>
        <v/>
      </c>
      <c r="AG93" s="3" t="str">
        <f t="shared" si="55"/>
        <v>(15 downto 8)</v>
      </c>
      <c r="AH93" s="3" t="str">
        <f t="shared" si="56"/>
        <v>(7 downto 0)</v>
      </c>
    </row>
    <row r="94" spans="2:34" x14ac:dyDescent="0.25">
      <c r="B94" s="3" t="s">
        <v>202</v>
      </c>
      <c r="D94" s="3" t="s">
        <v>1</v>
      </c>
      <c r="E94" s="3" t="s">
        <v>142</v>
      </c>
      <c r="F94" s="3" t="s">
        <v>207</v>
      </c>
      <c r="G94" s="3" t="s">
        <v>208</v>
      </c>
      <c r="H94" s="3" t="s">
        <v>226</v>
      </c>
      <c r="I94" s="3" t="s">
        <v>41</v>
      </c>
      <c r="J94" s="3">
        <v>6</v>
      </c>
      <c r="K94" s="3" t="s">
        <v>230</v>
      </c>
      <c r="L94" s="3" t="s">
        <v>40</v>
      </c>
      <c r="M94" s="3" t="s">
        <v>143</v>
      </c>
      <c r="N94" s="3" t="s">
        <v>233</v>
      </c>
      <c r="O94" s="3" t="s">
        <v>251</v>
      </c>
      <c r="P94" s="3" t="s">
        <v>48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96</v>
      </c>
      <c r="T94" s="3" t="str">
        <f t="shared" si="42"/>
        <v>060</v>
      </c>
      <c r="U94" s="3">
        <f t="shared" si="48"/>
        <v>24</v>
      </c>
      <c r="V94" s="3" t="str">
        <f t="shared" si="43"/>
        <v>18</v>
      </c>
      <c r="W94" s="3" t="str">
        <f t="shared" si="44"/>
        <v/>
      </c>
      <c r="X94" s="3" t="str">
        <f t="shared" si="45"/>
        <v/>
      </c>
      <c r="Y94" s="3" t="str">
        <f t="shared" si="46"/>
        <v/>
      </c>
      <c r="Z94" s="3" t="str">
        <f t="shared" si="47"/>
        <v>X</v>
      </c>
      <c r="AA94" s="3" t="str">
        <f t="shared" si="49"/>
        <v/>
      </c>
      <c r="AB94" s="3" t="str">
        <f t="shared" si="50"/>
        <v/>
      </c>
      <c r="AC94" s="3" t="str">
        <f t="shared" si="51"/>
        <v/>
      </c>
      <c r="AD94" s="3" t="str">
        <f t="shared" si="52"/>
        <v>(5 downto 0)</v>
      </c>
      <c r="AE94" s="3" t="str">
        <f t="shared" si="53"/>
        <v/>
      </c>
      <c r="AF94" s="3" t="str">
        <f t="shared" si="54"/>
        <v/>
      </c>
      <c r="AG94" s="3" t="str">
        <f t="shared" si="55"/>
        <v/>
      </c>
      <c r="AH94" s="3" t="str">
        <f t="shared" si="56"/>
        <v/>
      </c>
    </row>
    <row r="95" spans="2:34" x14ac:dyDescent="0.25">
      <c r="B95" s="3" t="s">
        <v>202</v>
      </c>
      <c r="D95" s="3" t="s">
        <v>1</v>
      </c>
      <c r="E95" s="3" t="s">
        <v>142</v>
      </c>
      <c r="F95" s="3" t="s">
        <v>207</v>
      </c>
      <c r="G95" s="3" t="s">
        <v>208</v>
      </c>
      <c r="H95" s="3" t="s">
        <v>227</v>
      </c>
      <c r="I95" s="3" t="s">
        <v>41</v>
      </c>
      <c r="J95" s="3">
        <v>6</v>
      </c>
      <c r="K95" s="3" t="s">
        <v>230</v>
      </c>
      <c r="L95" s="3" t="s">
        <v>40</v>
      </c>
      <c r="M95" s="3" t="s">
        <v>143</v>
      </c>
      <c r="N95" s="3" t="s">
        <v>233</v>
      </c>
      <c r="O95" s="3" t="s">
        <v>252</v>
      </c>
      <c r="P95" s="3" t="s">
        <v>48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100</v>
      </c>
      <c r="T95" s="3" t="str">
        <f t="shared" si="42"/>
        <v>064</v>
      </c>
      <c r="U95" s="3">
        <f t="shared" si="48"/>
        <v>25</v>
      </c>
      <c r="V95" s="3" t="str">
        <f t="shared" si="43"/>
        <v>19</v>
      </c>
      <c r="W95" s="3" t="str">
        <f t="shared" si="44"/>
        <v/>
      </c>
      <c r="X95" s="3" t="str">
        <f t="shared" si="45"/>
        <v/>
      </c>
      <c r="Y95" s="3" t="str">
        <f t="shared" si="46"/>
        <v/>
      </c>
      <c r="Z95" s="3" t="str">
        <f t="shared" si="47"/>
        <v>X</v>
      </c>
      <c r="AA95" s="3" t="str">
        <f t="shared" si="49"/>
        <v/>
      </c>
      <c r="AB95" s="3" t="str">
        <f t="shared" si="50"/>
        <v/>
      </c>
      <c r="AC95" s="3" t="str">
        <f t="shared" si="51"/>
        <v/>
      </c>
      <c r="AD95" s="3" t="str">
        <f t="shared" si="52"/>
        <v>(5 downto 0)</v>
      </c>
      <c r="AE95" s="3" t="str">
        <f t="shared" si="53"/>
        <v/>
      </c>
      <c r="AF95" s="3" t="str">
        <f t="shared" si="54"/>
        <v/>
      </c>
      <c r="AG95" s="3" t="str">
        <f t="shared" si="55"/>
        <v/>
      </c>
      <c r="AH95" s="3" t="str">
        <f t="shared" si="56"/>
        <v/>
      </c>
    </row>
    <row r="96" spans="2:34" x14ac:dyDescent="0.25">
      <c r="B96" s="3" t="s">
        <v>202</v>
      </c>
      <c r="D96" s="3" t="s">
        <v>1</v>
      </c>
      <c r="E96" s="3" t="s">
        <v>142</v>
      </c>
      <c r="F96" s="3" t="s">
        <v>207</v>
      </c>
      <c r="G96" s="3" t="s">
        <v>208</v>
      </c>
      <c r="H96" s="3" t="s">
        <v>228</v>
      </c>
      <c r="I96" s="3" t="s">
        <v>41</v>
      </c>
      <c r="J96" s="3">
        <v>10</v>
      </c>
      <c r="K96" s="3" t="s">
        <v>230</v>
      </c>
      <c r="L96" s="3" t="s">
        <v>40</v>
      </c>
      <c r="M96" s="3" t="s">
        <v>143</v>
      </c>
      <c r="N96" s="3" t="s">
        <v>233</v>
      </c>
      <c r="O96" s="3" t="s">
        <v>253</v>
      </c>
      <c r="P96" s="3" t="s">
        <v>48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104</v>
      </c>
      <c r="T96" s="3" t="str">
        <f t="shared" si="42"/>
        <v>068</v>
      </c>
      <c r="U96" s="3">
        <f t="shared" si="48"/>
        <v>26</v>
      </c>
      <c r="V96" s="3" t="str">
        <f t="shared" si="43"/>
        <v>1A</v>
      </c>
      <c r="W96" s="3" t="str">
        <f t="shared" si="44"/>
        <v/>
      </c>
      <c r="X96" s="3" t="str">
        <f t="shared" si="45"/>
        <v/>
      </c>
      <c r="Y96" s="3" t="str">
        <f t="shared" si="46"/>
        <v>X</v>
      </c>
      <c r="Z96" s="3" t="str">
        <f t="shared" si="47"/>
        <v>X</v>
      </c>
      <c r="AA96" s="3" t="str">
        <f t="shared" si="49"/>
        <v/>
      </c>
      <c r="AB96" s="3" t="str">
        <f t="shared" si="50"/>
        <v/>
      </c>
      <c r="AC96" s="3" t="str">
        <f t="shared" si="51"/>
        <v>(9 downto 8)</v>
      </c>
      <c r="AD96" s="3" t="str">
        <f t="shared" si="52"/>
        <v>(7 downto 0)</v>
      </c>
      <c r="AE96" s="3" t="str">
        <f t="shared" si="53"/>
        <v/>
      </c>
      <c r="AF96" s="3" t="str">
        <f t="shared" si="54"/>
        <v/>
      </c>
      <c r="AG96" s="3" t="str">
        <f t="shared" si="55"/>
        <v>(9 downto 8)</v>
      </c>
      <c r="AH96" s="3" t="str">
        <f t="shared" si="56"/>
        <v>(7 downto 0)</v>
      </c>
    </row>
    <row r="97" spans="2:34" x14ac:dyDescent="0.25">
      <c r="B97" s="3" t="s">
        <v>202</v>
      </c>
      <c r="D97" s="3" t="s">
        <v>1</v>
      </c>
      <c r="E97" s="3" t="s">
        <v>142</v>
      </c>
      <c r="F97" s="3" t="s">
        <v>207</v>
      </c>
      <c r="G97" s="3" t="s">
        <v>208</v>
      </c>
      <c r="H97" s="3" t="s">
        <v>229</v>
      </c>
      <c r="I97" s="3" t="s">
        <v>41</v>
      </c>
      <c r="J97" s="3">
        <v>10</v>
      </c>
      <c r="K97" s="3" t="s">
        <v>230</v>
      </c>
      <c r="L97" s="3" t="s">
        <v>40</v>
      </c>
      <c r="M97" s="3" t="s">
        <v>143</v>
      </c>
      <c r="N97" s="3" t="s">
        <v>233</v>
      </c>
      <c r="O97" s="3" t="s">
        <v>254</v>
      </c>
      <c r="P97" s="3" t="s">
        <v>48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108</v>
      </c>
      <c r="T97" s="3" t="str">
        <f t="shared" si="42"/>
        <v>06C</v>
      </c>
      <c r="U97" s="3">
        <f t="shared" si="48"/>
        <v>27</v>
      </c>
      <c r="V97" s="3" t="str">
        <f t="shared" si="43"/>
        <v>1B</v>
      </c>
      <c r="W97" s="3" t="str">
        <f t="shared" si="44"/>
        <v/>
      </c>
      <c r="X97" s="3" t="str">
        <f t="shared" si="45"/>
        <v/>
      </c>
      <c r="Y97" s="3" t="str">
        <f t="shared" si="46"/>
        <v>X</v>
      </c>
      <c r="Z97" s="3" t="str">
        <f t="shared" si="47"/>
        <v>X</v>
      </c>
      <c r="AA97" s="3" t="str">
        <f t="shared" si="49"/>
        <v/>
      </c>
      <c r="AB97" s="3" t="str">
        <f t="shared" si="50"/>
        <v/>
      </c>
      <c r="AC97" s="3" t="str">
        <f t="shared" si="51"/>
        <v>(9 downto 8)</v>
      </c>
      <c r="AD97" s="3" t="str">
        <f t="shared" si="52"/>
        <v>(7 downto 0)</v>
      </c>
      <c r="AE97" s="3" t="str">
        <f t="shared" si="53"/>
        <v/>
      </c>
      <c r="AF97" s="3" t="str">
        <f t="shared" si="54"/>
        <v/>
      </c>
      <c r="AG97" s="3" t="str">
        <f t="shared" si="55"/>
        <v>(9 downto 8)</v>
      </c>
      <c r="AH97" s="3" t="str">
        <f t="shared" si="56"/>
        <v>(7 downto 0)</v>
      </c>
    </row>
    <row r="98" spans="2:34" x14ac:dyDescent="0.25">
      <c r="B98" s="3" t="s">
        <v>255</v>
      </c>
      <c r="D98" s="3" t="s">
        <v>1</v>
      </c>
      <c r="E98" s="3" t="s">
        <v>142</v>
      </c>
      <c r="F98" s="3" t="s">
        <v>256</v>
      </c>
      <c r="G98" s="3" t="s">
        <v>257</v>
      </c>
      <c r="H98" s="3" t="s">
        <v>258</v>
      </c>
      <c r="I98" s="3" t="s">
        <v>41</v>
      </c>
      <c r="J98" s="3">
        <v>32</v>
      </c>
      <c r="K98" s="3" t="s">
        <v>230</v>
      </c>
      <c r="L98" s="3" t="s">
        <v>40</v>
      </c>
      <c r="M98" s="3" t="s">
        <v>143</v>
      </c>
      <c r="N98" s="3" t="s">
        <v>265</v>
      </c>
      <c r="O98" s="3" t="s">
        <v>266</v>
      </c>
      <c r="P98" s="3" t="s">
        <v>48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112</v>
      </c>
      <c r="T98" s="3" t="str">
        <f t="shared" si="42"/>
        <v>070</v>
      </c>
      <c r="U98" s="3">
        <f t="shared" si="48"/>
        <v>28</v>
      </c>
      <c r="V98" s="3" t="str">
        <f t="shared" si="43"/>
        <v>1C</v>
      </c>
      <c r="W98" s="3" t="str">
        <f t="shared" si="44"/>
        <v>X</v>
      </c>
      <c r="X98" s="3" t="str">
        <f t="shared" si="45"/>
        <v>X</v>
      </c>
      <c r="Y98" s="3" t="str">
        <f t="shared" si="46"/>
        <v>X</v>
      </c>
      <c r="Z98" s="3" t="str">
        <f t="shared" si="47"/>
        <v>X</v>
      </c>
      <c r="AA98" s="3" t="str">
        <f t="shared" si="49"/>
        <v>(31 downto 24)</v>
      </c>
      <c r="AB98" s="3" t="str">
        <f t="shared" si="50"/>
        <v>(23 downto 16)</v>
      </c>
      <c r="AC98" s="3" t="str">
        <f t="shared" si="51"/>
        <v>(15 downto 8)</v>
      </c>
      <c r="AD98" s="3" t="str">
        <f t="shared" si="52"/>
        <v>(7 downto 0)</v>
      </c>
      <c r="AE98" s="3" t="str">
        <f t="shared" si="53"/>
        <v>(31 downto 24)</v>
      </c>
      <c r="AF98" s="3" t="str">
        <f t="shared" si="54"/>
        <v>(23 downto 16)</v>
      </c>
      <c r="AG98" s="3" t="str">
        <f t="shared" si="55"/>
        <v>(15 downto 8)</v>
      </c>
      <c r="AH98" s="3" t="str">
        <f t="shared" si="56"/>
        <v>(7 downto 0)</v>
      </c>
    </row>
    <row r="99" spans="2:34" x14ac:dyDescent="0.25">
      <c r="B99" s="3" t="s">
        <v>255</v>
      </c>
      <c r="D99" s="3" t="s">
        <v>1</v>
      </c>
      <c r="E99" s="3" t="s">
        <v>142</v>
      </c>
      <c r="F99" s="3" t="s">
        <v>256</v>
      </c>
      <c r="G99" s="3" t="s">
        <v>257</v>
      </c>
      <c r="H99" s="3" t="s">
        <v>259</v>
      </c>
      <c r="I99" s="3" t="s">
        <v>41</v>
      </c>
      <c r="J99" s="3">
        <v>32</v>
      </c>
      <c r="K99" s="3" t="s">
        <v>230</v>
      </c>
      <c r="L99" s="3" t="s">
        <v>40</v>
      </c>
      <c r="M99" s="3" t="s">
        <v>143</v>
      </c>
      <c r="N99" s="3" t="s">
        <v>265</v>
      </c>
      <c r="O99" s="3" t="s">
        <v>267</v>
      </c>
      <c r="P99" s="3" t="s">
        <v>48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116</v>
      </c>
      <c r="T99" s="3" t="str">
        <f t="shared" si="42"/>
        <v>074</v>
      </c>
      <c r="U99" s="3">
        <f t="shared" si="48"/>
        <v>29</v>
      </c>
      <c r="V99" s="3" t="str">
        <f t="shared" si="43"/>
        <v>1D</v>
      </c>
      <c r="W99" s="3" t="str">
        <f t="shared" si="44"/>
        <v>X</v>
      </c>
      <c r="X99" s="3" t="str">
        <f t="shared" si="45"/>
        <v>X</v>
      </c>
      <c r="Y99" s="3" t="str">
        <f t="shared" si="46"/>
        <v>X</v>
      </c>
      <c r="Z99" s="3" t="str">
        <f t="shared" si="47"/>
        <v>X</v>
      </c>
      <c r="AA99" s="3" t="str">
        <f t="shared" si="49"/>
        <v>(31 downto 24)</v>
      </c>
      <c r="AB99" s="3" t="str">
        <f t="shared" si="50"/>
        <v>(23 downto 16)</v>
      </c>
      <c r="AC99" s="3" t="str">
        <f t="shared" si="51"/>
        <v>(15 downto 8)</v>
      </c>
      <c r="AD99" s="3" t="str">
        <f t="shared" si="52"/>
        <v>(7 downto 0)</v>
      </c>
      <c r="AE99" s="3" t="str">
        <f t="shared" si="53"/>
        <v>(31 downto 24)</v>
      </c>
      <c r="AF99" s="3" t="str">
        <f t="shared" si="54"/>
        <v>(23 downto 16)</v>
      </c>
      <c r="AG99" s="3" t="str">
        <f t="shared" si="55"/>
        <v>(15 downto 8)</v>
      </c>
      <c r="AH99" s="3" t="str">
        <f t="shared" si="56"/>
        <v>(7 downto 0)</v>
      </c>
    </row>
    <row r="100" spans="2:34" x14ac:dyDescent="0.25">
      <c r="B100" s="3" t="s">
        <v>255</v>
      </c>
      <c r="D100" s="3" t="s">
        <v>1</v>
      </c>
      <c r="E100" s="3" t="s">
        <v>142</v>
      </c>
      <c r="F100" s="3" t="s">
        <v>256</v>
      </c>
      <c r="G100" s="3" t="s">
        <v>257</v>
      </c>
      <c r="H100" s="3" t="s">
        <v>260</v>
      </c>
      <c r="I100" s="3" t="s">
        <v>41</v>
      </c>
      <c r="J100" s="3">
        <v>16</v>
      </c>
      <c r="K100" s="3" t="s">
        <v>230</v>
      </c>
      <c r="L100" s="3" t="s">
        <v>40</v>
      </c>
      <c r="M100" s="3" t="s">
        <v>143</v>
      </c>
      <c r="N100" s="3" t="s">
        <v>265</v>
      </c>
      <c r="O100" s="3" t="s">
        <v>268</v>
      </c>
      <c r="P100" s="3" t="s">
        <v>48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120</v>
      </c>
      <c r="T100" s="3" t="str">
        <f t="shared" si="42"/>
        <v>078</v>
      </c>
      <c r="U100" s="3">
        <f t="shared" si="48"/>
        <v>30</v>
      </c>
      <c r="V100" s="3" t="str">
        <f t="shared" si="43"/>
        <v>1E</v>
      </c>
      <c r="W100" s="3" t="str">
        <f t="shared" si="44"/>
        <v/>
      </c>
      <c r="X100" s="3" t="str">
        <f t="shared" si="45"/>
        <v/>
      </c>
      <c r="Y100" s="3" t="str">
        <f t="shared" si="46"/>
        <v>X</v>
      </c>
      <c r="Z100" s="3" t="str">
        <f t="shared" si="47"/>
        <v>X</v>
      </c>
      <c r="AA100" s="3" t="str">
        <f t="shared" si="49"/>
        <v/>
      </c>
      <c r="AB100" s="3" t="str">
        <f t="shared" si="50"/>
        <v/>
      </c>
      <c r="AC100" s="3" t="str">
        <f t="shared" si="51"/>
        <v>(15 downto 8)</v>
      </c>
      <c r="AD100" s="3" t="str">
        <f t="shared" si="52"/>
        <v>(7 downto 0)</v>
      </c>
      <c r="AE100" s="3" t="str">
        <f t="shared" si="53"/>
        <v/>
      </c>
      <c r="AF100" s="3" t="str">
        <f t="shared" si="54"/>
        <v/>
      </c>
      <c r="AG100" s="3" t="str">
        <f t="shared" si="55"/>
        <v>(15 downto 8)</v>
      </c>
      <c r="AH100" s="3" t="str">
        <f t="shared" si="56"/>
        <v>(7 downto 0)</v>
      </c>
    </row>
    <row r="101" spans="2:34" x14ac:dyDescent="0.25">
      <c r="B101" s="3" t="s">
        <v>255</v>
      </c>
      <c r="D101" s="3" t="s">
        <v>1</v>
      </c>
      <c r="E101" s="3" t="s">
        <v>142</v>
      </c>
      <c r="F101" s="3" t="s">
        <v>256</v>
      </c>
      <c r="G101" s="3" t="s">
        <v>257</v>
      </c>
      <c r="H101" s="3" t="s">
        <v>261</v>
      </c>
      <c r="I101" s="3" t="s">
        <v>41</v>
      </c>
      <c r="J101" s="3">
        <v>6</v>
      </c>
      <c r="K101" s="3" t="s">
        <v>230</v>
      </c>
      <c r="L101" s="3" t="s">
        <v>40</v>
      </c>
      <c r="M101" s="3" t="s">
        <v>143</v>
      </c>
      <c r="N101" s="3" t="s">
        <v>265</v>
      </c>
      <c r="O101" s="3" t="s">
        <v>269</v>
      </c>
      <c r="P101" s="3" t="s">
        <v>48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124</v>
      </c>
      <c r="T101" s="3" t="str">
        <f t="shared" si="42"/>
        <v>07C</v>
      </c>
      <c r="U101" s="3">
        <f t="shared" si="48"/>
        <v>31</v>
      </c>
      <c r="V101" s="3" t="str">
        <f t="shared" si="43"/>
        <v>1F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49"/>
        <v/>
      </c>
      <c r="AB101" s="3" t="str">
        <f t="shared" si="50"/>
        <v/>
      </c>
      <c r="AC101" s="3" t="str">
        <f t="shared" si="51"/>
        <v/>
      </c>
      <c r="AD101" s="3" t="str">
        <f t="shared" si="52"/>
        <v>(5 downto 0)</v>
      </c>
      <c r="AE101" s="3" t="str">
        <f t="shared" si="53"/>
        <v/>
      </c>
      <c r="AF101" s="3" t="str">
        <f t="shared" si="54"/>
        <v/>
      </c>
      <c r="AG101" s="3" t="str">
        <f t="shared" si="55"/>
        <v/>
      </c>
      <c r="AH101" s="3" t="str">
        <f t="shared" si="56"/>
        <v/>
      </c>
    </row>
    <row r="102" spans="2:34" x14ac:dyDescent="0.25">
      <c r="B102" s="3" t="s">
        <v>255</v>
      </c>
      <c r="D102" s="3" t="s">
        <v>1</v>
      </c>
      <c r="E102" s="3" t="s">
        <v>142</v>
      </c>
      <c r="F102" s="3" t="s">
        <v>256</v>
      </c>
      <c r="G102" s="3" t="s">
        <v>257</v>
      </c>
      <c r="H102" s="3" t="s">
        <v>262</v>
      </c>
      <c r="I102" s="3" t="s">
        <v>41</v>
      </c>
      <c r="J102" s="3">
        <v>6</v>
      </c>
      <c r="K102" s="3" t="s">
        <v>230</v>
      </c>
      <c r="L102" s="3" t="s">
        <v>40</v>
      </c>
      <c r="M102" s="3" t="s">
        <v>143</v>
      </c>
      <c r="N102" s="3" t="s">
        <v>265</v>
      </c>
      <c r="O102" s="3" t="s">
        <v>270</v>
      </c>
      <c r="P102" s="3" t="s">
        <v>48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128</v>
      </c>
      <c r="T102" s="3" t="str">
        <f t="shared" si="42"/>
        <v>080</v>
      </c>
      <c r="U102" s="3">
        <f t="shared" si="48"/>
        <v>32</v>
      </c>
      <c r="V102" s="3" t="str">
        <f t="shared" si="43"/>
        <v>20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49"/>
        <v/>
      </c>
      <c r="AB102" s="3" t="str">
        <f t="shared" si="50"/>
        <v/>
      </c>
      <c r="AC102" s="3" t="str">
        <f t="shared" si="51"/>
        <v/>
      </c>
      <c r="AD102" s="3" t="str">
        <f t="shared" si="52"/>
        <v>(5 downto 0)</v>
      </c>
      <c r="AE102" s="3" t="str">
        <f t="shared" si="53"/>
        <v/>
      </c>
      <c r="AF102" s="3" t="str">
        <f t="shared" si="54"/>
        <v/>
      </c>
      <c r="AG102" s="3" t="str">
        <f t="shared" si="55"/>
        <v/>
      </c>
      <c r="AH102" s="3" t="str">
        <f t="shared" si="56"/>
        <v/>
      </c>
    </row>
    <row r="103" spans="2:34" x14ac:dyDescent="0.25">
      <c r="B103" s="3" t="s">
        <v>255</v>
      </c>
      <c r="D103" s="3" t="s">
        <v>1</v>
      </c>
      <c r="E103" s="3" t="s">
        <v>142</v>
      </c>
      <c r="F103" s="3" t="s">
        <v>256</v>
      </c>
      <c r="G103" s="3" t="s">
        <v>257</v>
      </c>
      <c r="H103" s="3" t="s">
        <v>263</v>
      </c>
      <c r="I103" s="3" t="s">
        <v>41</v>
      </c>
      <c r="J103" s="3">
        <v>10</v>
      </c>
      <c r="K103" s="3" t="s">
        <v>230</v>
      </c>
      <c r="L103" s="3" t="s">
        <v>40</v>
      </c>
      <c r="M103" s="3" t="s">
        <v>143</v>
      </c>
      <c r="N103" s="3" t="s">
        <v>265</v>
      </c>
      <c r="O103" s="3" t="s">
        <v>271</v>
      </c>
      <c r="P103" s="3" t="s">
        <v>48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132</v>
      </c>
      <c r="T103" s="3" t="str">
        <f t="shared" si="42"/>
        <v>084</v>
      </c>
      <c r="U103" s="3">
        <f t="shared" si="48"/>
        <v>33</v>
      </c>
      <c r="V103" s="3" t="str">
        <f t="shared" si="43"/>
        <v>21</v>
      </c>
      <c r="W103" s="3" t="str">
        <f t="shared" si="44"/>
        <v/>
      </c>
      <c r="X103" s="3" t="str">
        <f t="shared" si="45"/>
        <v/>
      </c>
      <c r="Y103" s="3" t="str">
        <f t="shared" si="46"/>
        <v>X</v>
      </c>
      <c r="Z103" s="3" t="str">
        <f t="shared" si="47"/>
        <v>X</v>
      </c>
      <c r="AA103" s="3" t="str">
        <f t="shared" si="49"/>
        <v/>
      </c>
      <c r="AB103" s="3" t="str">
        <f t="shared" si="50"/>
        <v/>
      </c>
      <c r="AC103" s="3" t="str">
        <f t="shared" si="51"/>
        <v>(9 downto 8)</v>
      </c>
      <c r="AD103" s="3" t="str">
        <f t="shared" si="52"/>
        <v>(7 downto 0)</v>
      </c>
      <c r="AE103" s="3" t="str">
        <f t="shared" si="53"/>
        <v/>
      </c>
      <c r="AF103" s="3" t="str">
        <f t="shared" si="54"/>
        <v/>
      </c>
      <c r="AG103" s="3" t="str">
        <f t="shared" si="55"/>
        <v>(9 downto 8)</v>
      </c>
      <c r="AH103" s="3" t="str">
        <f t="shared" si="56"/>
        <v>(7 downto 0)</v>
      </c>
    </row>
    <row r="104" spans="2:34" x14ac:dyDescent="0.25">
      <c r="B104" s="3" t="s">
        <v>255</v>
      </c>
      <c r="D104" s="3" t="s">
        <v>1</v>
      </c>
      <c r="E104" s="3" t="s">
        <v>142</v>
      </c>
      <c r="F104" s="3" t="s">
        <v>256</v>
      </c>
      <c r="G104" s="3" t="s">
        <v>257</v>
      </c>
      <c r="H104" s="3" t="s">
        <v>264</v>
      </c>
      <c r="I104" s="3" t="s">
        <v>41</v>
      </c>
      <c r="J104" s="3">
        <v>10</v>
      </c>
      <c r="K104" s="3" t="s">
        <v>230</v>
      </c>
      <c r="L104" s="3" t="s">
        <v>40</v>
      </c>
      <c r="M104" s="3" t="s">
        <v>143</v>
      </c>
      <c r="N104" s="3" t="s">
        <v>265</v>
      </c>
      <c r="O104" s="3" t="s">
        <v>272</v>
      </c>
      <c r="P104" s="3" t="s">
        <v>48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136</v>
      </c>
      <c r="T104" s="3" t="str">
        <f t="shared" si="42"/>
        <v>088</v>
      </c>
      <c r="U104" s="3">
        <f t="shared" si="48"/>
        <v>34</v>
      </c>
      <c r="V104" s="3" t="str">
        <f t="shared" si="43"/>
        <v>22</v>
      </c>
      <c r="W104" s="3" t="str">
        <f t="shared" si="44"/>
        <v/>
      </c>
      <c r="X104" s="3" t="str">
        <f t="shared" si="45"/>
        <v/>
      </c>
      <c r="Y104" s="3" t="str">
        <f t="shared" si="46"/>
        <v>X</v>
      </c>
      <c r="Z104" s="3" t="str">
        <f t="shared" si="47"/>
        <v>X</v>
      </c>
      <c r="AA104" s="3" t="str">
        <f t="shared" si="49"/>
        <v/>
      </c>
      <c r="AB104" s="3" t="str">
        <f t="shared" si="50"/>
        <v/>
      </c>
      <c r="AC104" s="3" t="str">
        <f t="shared" si="51"/>
        <v>(9 downto 8)</v>
      </c>
      <c r="AD104" s="3" t="str">
        <f t="shared" si="52"/>
        <v>(7 downto 0)</v>
      </c>
      <c r="AE104" s="3" t="str">
        <f t="shared" si="53"/>
        <v/>
      </c>
      <c r="AF104" s="3" t="str">
        <f t="shared" si="54"/>
        <v/>
      </c>
      <c r="AG104" s="3" t="str">
        <f t="shared" si="55"/>
        <v>(9 downto 8)</v>
      </c>
      <c r="AH104" s="3" t="str">
        <f t="shared" si="56"/>
        <v>(7 downto 0)</v>
      </c>
    </row>
    <row r="105" spans="2:34" x14ac:dyDescent="0.25">
      <c r="B105" s="3" t="s">
        <v>153</v>
      </c>
      <c r="D105" s="3" t="s">
        <v>0</v>
      </c>
      <c r="E105" s="3" t="s">
        <v>144</v>
      </c>
      <c r="F105" s="3" t="s">
        <v>154</v>
      </c>
      <c r="G105" s="3" t="s">
        <v>155</v>
      </c>
      <c r="H105" s="3" t="s">
        <v>156</v>
      </c>
      <c r="I105" s="3" t="s">
        <v>41</v>
      </c>
      <c r="J105" s="3">
        <v>1</v>
      </c>
      <c r="K105" s="3" t="s">
        <v>40</v>
      </c>
      <c r="L105" s="3" t="s">
        <v>40</v>
      </c>
      <c r="M105" s="3" t="s">
        <v>143</v>
      </c>
      <c r="N105" s="3" t="s">
        <v>157</v>
      </c>
      <c r="O105" s="3" t="s">
        <v>158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140</v>
      </c>
      <c r="T105" s="3" t="str">
        <f t="shared" si="42"/>
        <v>08C</v>
      </c>
      <c r="U105" s="3">
        <f t="shared" si="48"/>
        <v>35</v>
      </c>
      <c r="V105" s="3" t="str">
        <f t="shared" si="43"/>
        <v>23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49"/>
        <v/>
      </c>
      <c r="AB105" s="3" t="str">
        <f t="shared" si="50"/>
        <v/>
      </c>
      <c r="AC105" s="3" t="str">
        <f t="shared" si="51"/>
        <v/>
      </c>
      <c r="AD105" s="3" t="str">
        <f t="shared" si="52"/>
        <v>(0)</v>
      </c>
      <c r="AE105" s="3" t="str">
        <f t="shared" si="53"/>
        <v/>
      </c>
      <c r="AF105" s="3" t="str">
        <f t="shared" si="54"/>
        <v/>
      </c>
      <c r="AG105" s="3" t="str">
        <f t="shared" si="55"/>
        <v/>
      </c>
      <c r="AH105" s="3" t="str">
        <f t="shared" si="56"/>
        <v/>
      </c>
    </row>
    <row r="106" spans="2:34" x14ac:dyDescent="0.25">
      <c r="B106" s="3" t="s">
        <v>153</v>
      </c>
      <c r="D106" s="3" t="s">
        <v>0</v>
      </c>
      <c r="E106" s="3" t="s">
        <v>144</v>
      </c>
      <c r="F106" s="3" t="s">
        <v>154</v>
      </c>
      <c r="G106" s="3" t="s">
        <v>155</v>
      </c>
      <c r="H106" s="3" t="s">
        <v>159</v>
      </c>
      <c r="I106" s="3" t="s">
        <v>41</v>
      </c>
      <c r="J106" s="3">
        <v>16</v>
      </c>
      <c r="K106" s="3" t="s">
        <v>40</v>
      </c>
      <c r="L106" s="3" t="s">
        <v>40</v>
      </c>
      <c r="M106" s="3" t="s">
        <v>143</v>
      </c>
      <c r="N106" s="3" t="s">
        <v>157</v>
      </c>
      <c r="O106" s="3" t="s">
        <v>160</v>
      </c>
      <c r="P106" s="3" t="s">
        <v>49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144</v>
      </c>
      <c r="T106" s="3" t="str">
        <f t="shared" si="42"/>
        <v>090</v>
      </c>
      <c r="U106" s="3">
        <f t="shared" si="48"/>
        <v>36</v>
      </c>
      <c r="V106" s="3" t="str">
        <f t="shared" si="43"/>
        <v>24</v>
      </c>
      <c r="W106" s="3" t="str">
        <f t="shared" si="44"/>
        <v/>
      </c>
      <c r="X106" s="3" t="str">
        <f t="shared" si="45"/>
        <v/>
      </c>
      <c r="Y106" s="3" t="str">
        <f t="shared" si="46"/>
        <v>X</v>
      </c>
      <c r="Z106" s="3" t="str">
        <f t="shared" si="47"/>
        <v>X</v>
      </c>
      <c r="AA106" s="3" t="str">
        <f t="shared" si="49"/>
        <v/>
      </c>
      <c r="AB106" s="3" t="str">
        <f t="shared" si="50"/>
        <v/>
      </c>
      <c r="AC106" s="3" t="str">
        <f t="shared" si="51"/>
        <v>(15 downto 8)</v>
      </c>
      <c r="AD106" s="3" t="str">
        <f t="shared" si="52"/>
        <v>(7 downto 0)</v>
      </c>
      <c r="AE106" s="3" t="str">
        <f t="shared" si="53"/>
        <v/>
      </c>
      <c r="AF106" s="3" t="str">
        <f t="shared" si="54"/>
        <v/>
      </c>
      <c r="AG106" s="3" t="str">
        <f t="shared" si="55"/>
        <v>(15 downto 8)</v>
      </c>
      <c r="AH106" s="3" t="str">
        <f t="shared" si="56"/>
        <v>(7 downto 0)</v>
      </c>
    </row>
    <row r="107" spans="2:34" x14ac:dyDescent="0.25">
      <c r="B107" s="3" t="s">
        <v>153</v>
      </c>
      <c r="D107" s="3" t="s">
        <v>0</v>
      </c>
      <c r="E107" s="3" t="s">
        <v>144</v>
      </c>
      <c r="F107" s="3" t="s">
        <v>154</v>
      </c>
      <c r="G107" s="3" t="s">
        <v>155</v>
      </c>
      <c r="H107" s="3" t="s">
        <v>161</v>
      </c>
      <c r="I107" s="3" t="s">
        <v>41</v>
      </c>
      <c r="J107" s="3">
        <v>1</v>
      </c>
      <c r="K107" s="3" t="s">
        <v>40</v>
      </c>
      <c r="L107" s="3" t="s">
        <v>40</v>
      </c>
      <c r="M107" s="3" t="s">
        <v>143</v>
      </c>
      <c r="N107" s="3" t="s">
        <v>157</v>
      </c>
      <c r="O107" s="3" t="s">
        <v>162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148</v>
      </c>
      <c r="T107" s="3" t="str">
        <f t="shared" si="42"/>
        <v>094</v>
      </c>
      <c r="U107" s="3">
        <f t="shared" si="48"/>
        <v>37</v>
      </c>
      <c r="V107" s="3" t="str">
        <f t="shared" si="43"/>
        <v>25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49"/>
        <v/>
      </c>
      <c r="AB107" s="3" t="str">
        <f t="shared" si="50"/>
        <v/>
      </c>
      <c r="AC107" s="3" t="str">
        <f t="shared" si="51"/>
        <v/>
      </c>
      <c r="AD107" s="3" t="str">
        <f t="shared" si="52"/>
        <v>(0)</v>
      </c>
      <c r="AE107" s="3" t="str">
        <f t="shared" si="53"/>
        <v/>
      </c>
      <c r="AF107" s="3" t="str">
        <f t="shared" si="54"/>
        <v/>
      </c>
      <c r="AG107" s="3" t="str">
        <f t="shared" si="55"/>
        <v/>
      </c>
      <c r="AH107" s="3" t="str">
        <f t="shared" si="56"/>
        <v/>
      </c>
    </row>
    <row r="108" spans="2:34" x14ac:dyDescent="0.25">
      <c r="B108" s="3" t="s">
        <v>153</v>
      </c>
      <c r="D108" s="3" t="s">
        <v>0</v>
      </c>
      <c r="E108" s="3" t="s">
        <v>144</v>
      </c>
      <c r="F108" s="3" t="s">
        <v>154</v>
      </c>
      <c r="G108" s="3" t="s">
        <v>155</v>
      </c>
      <c r="H108" s="3" t="s">
        <v>163</v>
      </c>
      <c r="I108" s="3" t="s">
        <v>41</v>
      </c>
      <c r="J108" s="3">
        <v>1</v>
      </c>
      <c r="K108" s="3" t="s">
        <v>40</v>
      </c>
      <c r="L108" s="3" t="s">
        <v>40</v>
      </c>
      <c r="M108" s="3" t="s">
        <v>143</v>
      </c>
      <c r="N108" s="3" t="s">
        <v>157</v>
      </c>
      <c r="O108" s="3" t="s">
        <v>164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152</v>
      </c>
      <c r="T108" s="3" t="str">
        <f t="shared" si="42"/>
        <v>098</v>
      </c>
      <c r="U108" s="3">
        <f t="shared" si="48"/>
        <v>38</v>
      </c>
      <c r="V108" s="3" t="str">
        <f t="shared" si="43"/>
        <v>26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49"/>
        <v/>
      </c>
      <c r="AB108" s="3" t="str">
        <f t="shared" si="50"/>
        <v/>
      </c>
      <c r="AC108" s="3" t="str">
        <f t="shared" si="51"/>
        <v/>
      </c>
      <c r="AD108" s="3" t="str">
        <f t="shared" si="52"/>
        <v>(0)</v>
      </c>
      <c r="AE108" s="3" t="str">
        <f t="shared" si="53"/>
        <v/>
      </c>
      <c r="AF108" s="3" t="str">
        <f t="shared" si="54"/>
        <v/>
      </c>
      <c r="AG108" s="3" t="str">
        <f t="shared" si="55"/>
        <v/>
      </c>
      <c r="AH108" s="3" t="str">
        <f t="shared" si="56"/>
        <v/>
      </c>
    </row>
    <row r="109" spans="2:34" x14ac:dyDescent="0.25">
      <c r="B109" s="3" t="s">
        <v>153</v>
      </c>
      <c r="D109" s="3" t="s">
        <v>0</v>
      </c>
      <c r="E109" s="3" t="s">
        <v>144</v>
      </c>
      <c r="F109" s="3" t="s">
        <v>154</v>
      </c>
      <c r="G109" s="3" t="s">
        <v>155</v>
      </c>
      <c r="H109" s="3" t="s">
        <v>165</v>
      </c>
      <c r="I109" s="3" t="s">
        <v>41</v>
      </c>
      <c r="J109" s="3">
        <v>1</v>
      </c>
      <c r="K109" s="3" t="s">
        <v>40</v>
      </c>
      <c r="L109" s="3" t="s">
        <v>40</v>
      </c>
      <c r="M109" s="3" t="s">
        <v>143</v>
      </c>
      <c r="N109" s="3" t="s">
        <v>157</v>
      </c>
      <c r="O109" s="3" t="s">
        <v>166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156</v>
      </c>
      <c r="T109" s="3" t="str">
        <f t="shared" si="42"/>
        <v>09C</v>
      </c>
      <c r="U109" s="3">
        <f t="shared" si="48"/>
        <v>39</v>
      </c>
      <c r="V109" s="3" t="str">
        <f t="shared" si="43"/>
        <v>27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49"/>
        <v/>
      </c>
      <c r="AB109" s="3" t="str">
        <f t="shared" si="50"/>
        <v/>
      </c>
      <c r="AC109" s="3" t="str">
        <f t="shared" si="51"/>
        <v/>
      </c>
      <c r="AD109" s="3" t="str">
        <f t="shared" si="52"/>
        <v>(0)</v>
      </c>
      <c r="AE109" s="3" t="str">
        <f t="shared" si="53"/>
        <v/>
      </c>
      <c r="AF109" s="3" t="str">
        <f t="shared" si="54"/>
        <v/>
      </c>
      <c r="AG109" s="3" t="str">
        <f t="shared" si="55"/>
        <v/>
      </c>
      <c r="AH109" s="3" t="str">
        <f t="shared" si="56"/>
        <v/>
      </c>
    </row>
    <row r="110" spans="2:34" x14ac:dyDescent="0.25">
      <c r="B110" s="3" t="s">
        <v>153</v>
      </c>
      <c r="D110" s="3" t="s">
        <v>0</v>
      </c>
      <c r="E110" s="3" t="s">
        <v>144</v>
      </c>
      <c r="F110" s="3" t="s">
        <v>154</v>
      </c>
      <c r="G110" s="3" t="s">
        <v>155</v>
      </c>
      <c r="H110" s="3" t="s">
        <v>167</v>
      </c>
      <c r="I110" s="3" t="s">
        <v>41</v>
      </c>
      <c r="J110" s="3">
        <v>1</v>
      </c>
      <c r="K110" s="3" t="s">
        <v>40</v>
      </c>
      <c r="L110" s="3" t="s">
        <v>40</v>
      </c>
      <c r="M110" s="3" t="s">
        <v>143</v>
      </c>
      <c r="N110" s="3" t="s">
        <v>157</v>
      </c>
      <c r="O110" s="3" t="s">
        <v>168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160</v>
      </c>
      <c r="T110" s="3" t="str">
        <f t="shared" si="42"/>
        <v>0A0</v>
      </c>
      <c r="U110" s="3">
        <f t="shared" si="48"/>
        <v>40</v>
      </c>
      <c r="V110" s="3" t="str">
        <f t="shared" si="43"/>
        <v>28</v>
      </c>
      <c r="W110" s="3" t="str">
        <f t="shared" si="44"/>
        <v/>
      </c>
      <c r="X110" s="3" t="str">
        <f t="shared" si="45"/>
        <v/>
      </c>
      <c r="Y110" s="3" t="str">
        <f t="shared" si="46"/>
        <v/>
      </c>
      <c r="Z110" s="3" t="str">
        <f t="shared" si="47"/>
        <v>X</v>
      </c>
      <c r="AA110" s="3" t="str">
        <f t="shared" si="49"/>
        <v/>
      </c>
      <c r="AB110" s="3" t="str">
        <f t="shared" si="50"/>
        <v/>
      </c>
      <c r="AC110" s="3" t="str">
        <f t="shared" si="51"/>
        <v/>
      </c>
      <c r="AD110" s="3" t="str">
        <f t="shared" si="52"/>
        <v>(0)</v>
      </c>
      <c r="AE110" s="3" t="str">
        <f t="shared" si="53"/>
        <v/>
      </c>
      <c r="AF110" s="3" t="str">
        <f t="shared" si="54"/>
        <v/>
      </c>
      <c r="AG110" s="3" t="str">
        <f t="shared" si="55"/>
        <v/>
      </c>
      <c r="AH110" s="3" t="str">
        <f t="shared" si="56"/>
        <v/>
      </c>
    </row>
    <row r="111" spans="2:34" x14ac:dyDescent="0.25">
      <c r="B111" s="3" t="s">
        <v>153</v>
      </c>
      <c r="D111" s="3" t="s">
        <v>0</v>
      </c>
      <c r="E111" s="3" t="s">
        <v>144</v>
      </c>
      <c r="F111" s="3" t="s">
        <v>154</v>
      </c>
      <c r="G111" s="3" t="s">
        <v>155</v>
      </c>
      <c r="H111" s="3" t="s">
        <v>169</v>
      </c>
      <c r="I111" s="3" t="s">
        <v>41</v>
      </c>
      <c r="J111" s="3">
        <v>1</v>
      </c>
      <c r="K111" s="3" t="s">
        <v>40</v>
      </c>
      <c r="L111" s="3" t="s">
        <v>40</v>
      </c>
      <c r="M111" s="3" t="s">
        <v>143</v>
      </c>
      <c r="N111" s="3" t="s">
        <v>157</v>
      </c>
      <c r="O111" s="3" t="s">
        <v>170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164</v>
      </c>
      <c r="T111" s="3" t="str">
        <f t="shared" si="42"/>
        <v>0A4</v>
      </c>
      <c r="U111" s="3">
        <f t="shared" si="48"/>
        <v>41</v>
      </c>
      <c r="V111" s="3" t="str">
        <f t="shared" si="43"/>
        <v>29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49"/>
        <v/>
      </c>
      <c r="AB111" s="3" t="str">
        <f t="shared" si="50"/>
        <v/>
      </c>
      <c r="AC111" s="3" t="str">
        <f t="shared" si="51"/>
        <v/>
      </c>
      <c r="AD111" s="3" t="str">
        <f t="shared" si="52"/>
        <v>(0)</v>
      </c>
      <c r="AE111" s="3" t="str">
        <f t="shared" si="53"/>
        <v/>
      </c>
      <c r="AF111" s="3" t="str">
        <f t="shared" si="54"/>
        <v/>
      </c>
      <c r="AG111" s="3" t="str">
        <f t="shared" si="55"/>
        <v/>
      </c>
      <c r="AH111" s="3" t="str">
        <f t="shared" si="56"/>
        <v/>
      </c>
    </row>
    <row r="112" spans="2:34" x14ac:dyDescent="0.25">
      <c r="B112" s="3" t="s">
        <v>153</v>
      </c>
      <c r="D112" s="3" t="s">
        <v>0</v>
      </c>
      <c r="E112" s="3" t="s">
        <v>144</v>
      </c>
      <c r="F112" s="3" t="s">
        <v>154</v>
      </c>
      <c r="G112" s="3" t="s">
        <v>155</v>
      </c>
      <c r="H112" s="3" t="s">
        <v>171</v>
      </c>
      <c r="I112" s="3" t="s">
        <v>41</v>
      </c>
      <c r="J112" s="3">
        <v>1</v>
      </c>
      <c r="K112" s="3" t="s">
        <v>40</v>
      </c>
      <c r="L112" s="3" t="s">
        <v>40</v>
      </c>
      <c r="M112" s="3" t="s">
        <v>143</v>
      </c>
      <c r="N112" s="3" t="s">
        <v>157</v>
      </c>
      <c r="O112" s="3" t="s">
        <v>172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168</v>
      </c>
      <c r="T112" s="3" t="str">
        <f t="shared" si="42"/>
        <v>0A8</v>
      </c>
      <c r="U112" s="3">
        <f t="shared" si="48"/>
        <v>42</v>
      </c>
      <c r="V112" s="3" t="str">
        <f t="shared" si="43"/>
        <v>2A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49"/>
        <v/>
      </c>
      <c r="AB112" s="3" t="str">
        <f t="shared" si="50"/>
        <v/>
      </c>
      <c r="AC112" s="3" t="str">
        <f t="shared" si="51"/>
        <v/>
      </c>
      <c r="AD112" s="3" t="str">
        <f t="shared" si="52"/>
        <v>(0)</v>
      </c>
      <c r="AE112" s="3" t="str">
        <f t="shared" si="53"/>
        <v/>
      </c>
      <c r="AF112" s="3" t="str">
        <f t="shared" si="54"/>
        <v/>
      </c>
      <c r="AG112" s="3" t="str">
        <f t="shared" si="55"/>
        <v/>
      </c>
      <c r="AH112" s="3" t="str">
        <f t="shared" si="56"/>
        <v/>
      </c>
    </row>
    <row r="113" spans="2:34" x14ac:dyDescent="0.25">
      <c r="B113" s="3" t="s">
        <v>153</v>
      </c>
      <c r="D113" s="3" t="s">
        <v>0</v>
      </c>
      <c r="E113" s="3" t="s">
        <v>144</v>
      </c>
      <c r="F113" s="3" t="s">
        <v>154</v>
      </c>
      <c r="G113" s="3" t="s">
        <v>155</v>
      </c>
      <c r="H113" s="3" t="s">
        <v>173</v>
      </c>
      <c r="I113" s="3" t="s">
        <v>41</v>
      </c>
      <c r="J113" s="3">
        <v>1</v>
      </c>
      <c r="K113" s="3" t="s">
        <v>40</v>
      </c>
      <c r="L113" s="3" t="s">
        <v>40</v>
      </c>
      <c r="M113" s="3" t="s">
        <v>143</v>
      </c>
      <c r="N113" s="3" t="s">
        <v>157</v>
      </c>
      <c r="O113" s="3" t="s">
        <v>174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172</v>
      </c>
      <c r="T113" s="3" t="str">
        <f t="shared" si="42"/>
        <v>0AC</v>
      </c>
      <c r="U113" s="3">
        <f t="shared" si="48"/>
        <v>43</v>
      </c>
      <c r="V113" s="3" t="str">
        <f t="shared" si="43"/>
        <v>2B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49"/>
        <v/>
      </c>
      <c r="AB113" s="3" t="str">
        <f t="shared" si="50"/>
        <v/>
      </c>
      <c r="AC113" s="3" t="str">
        <f t="shared" si="51"/>
        <v/>
      </c>
      <c r="AD113" s="3" t="str">
        <f t="shared" si="52"/>
        <v>(0)</v>
      </c>
      <c r="AE113" s="3" t="str">
        <f t="shared" si="53"/>
        <v/>
      </c>
      <c r="AF113" s="3" t="str">
        <f t="shared" si="54"/>
        <v/>
      </c>
      <c r="AG113" s="3" t="str">
        <f t="shared" si="55"/>
        <v/>
      </c>
      <c r="AH113" s="3" t="str">
        <f t="shared" si="56"/>
        <v/>
      </c>
    </row>
    <row r="114" spans="2:34" x14ac:dyDescent="0.25">
      <c r="B114" s="3" t="s">
        <v>153</v>
      </c>
      <c r="D114" s="3" t="s">
        <v>0</v>
      </c>
      <c r="E114" s="3" t="s">
        <v>144</v>
      </c>
      <c r="F114" s="3" t="s">
        <v>154</v>
      </c>
      <c r="G114" s="3" t="s">
        <v>155</v>
      </c>
      <c r="H114" s="3" t="s">
        <v>175</v>
      </c>
      <c r="I114" s="3" t="s">
        <v>41</v>
      </c>
      <c r="J114" s="3">
        <v>1</v>
      </c>
      <c r="K114" s="3" t="s">
        <v>40</v>
      </c>
      <c r="L114" s="3" t="s">
        <v>40</v>
      </c>
      <c r="M114" s="3" t="s">
        <v>143</v>
      </c>
      <c r="N114" s="3" t="s">
        <v>157</v>
      </c>
      <c r="O114" s="3" t="s">
        <v>176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176</v>
      </c>
      <c r="T114" s="3" t="str">
        <f t="shared" si="42"/>
        <v>0B0</v>
      </c>
      <c r="U114" s="3">
        <f t="shared" si="48"/>
        <v>44</v>
      </c>
      <c r="V114" s="3" t="str">
        <f t="shared" si="43"/>
        <v>2C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49"/>
        <v/>
      </c>
      <c r="AB114" s="3" t="str">
        <f t="shared" si="50"/>
        <v/>
      </c>
      <c r="AC114" s="3" t="str">
        <f t="shared" si="51"/>
        <v/>
      </c>
      <c r="AD114" s="3" t="str">
        <f t="shared" si="52"/>
        <v>(0)</v>
      </c>
      <c r="AE114" s="3" t="str">
        <f t="shared" si="53"/>
        <v/>
      </c>
      <c r="AF114" s="3" t="str">
        <f t="shared" si="54"/>
        <v/>
      </c>
      <c r="AG114" s="3" t="str">
        <f t="shared" si="55"/>
        <v/>
      </c>
      <c r="AH114" s="3" t="str">
        <f t="shared" si="56"/>
        <v/>
      </c>
    </row>
    <row r="115" spans="2:34" x14ac:dyDescent="0.25">
      <c r="B115" s="3" t="s">
        <v>195</v>
      </c>
      <c r="D115" s="3" t="s">
        <v>0</v>
      </c>
      <c r="E115" s="3" t="s">
        <v>144</v>
      </c>
      <c r="F115" s="3" t="s">
        <v>187</v>
      </c>
      <c r="G115" s="3" t="s">
        <v>188</v>
      </c>
      <c r="H115" s="3" t="s">
        <v>196</v>
      </c>
      <c r="I115" s="3" t="s">
        <v>41</v>
      </c>
      <c r="J115" s="3">
        <v>1</v>
      </c>
      <c r="K115" s="3" t="s">
        <v>40</v>
      </c>
      <c r="L115" s="3" t="s">
        <v>40</v>
      </c>
      <c r="M115" s="3" t="s">
        <v>143</v>
      </c>
      <c r="N115" s="3" t="s">
        <v>180</v>
      </c>
      <c r="O115" s="3" t="s">
        <v>199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180</v>
      </c>
      <c r="T115" s="3" t="str">
        <f t="shared" si="42"/>
        <v>0B4</v>
      </c>
      <c r="U115" s="3">
        <f t="shared" si="48"/>
        <v>45</v>
      </c>
      <c r="V115" s="3" t="str">
        <f t="shared" si="43"/>
        <v>2D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49"/>
        <v/>
      </c>
      <c r="AB115" s="3" t="str">
        <f t="shared" si="50"/>
        <v/>
      </c>
      <c r="AC115" s="3" t="str">
        <f t="shared" si="51"/>
        <v/>
      </c>
      <c r="AD115" s="3" t="str">
        <f t="shared" si="52"/>
        <v>(0)</v>
      </c>
      <c r="AE115" s="3" t="str">
        <f t="shared" si="53"/>
        <v/>
      </c>
      <c r="AF115" s="3" t="str">
        <f t="shared" si="54"/>
        <v/>
      </c>
      <c r="AG115" s="3" t="str">
        <f t="shared" si="55"/>
        <v/>
      </c>
      <c r="AH115" s="3" t="str">
        <f t="shared" si="56"/>
        <v/>
      </c>
    </row>
    <row r="116" spans="2:34" x14ac:dyDescent="0.25">
      <c r="B116" s="3" t="s">
        <v>195</v>
      </c>
      <c r="D116" s="3" t="s">
        <v>0</v>
      </c>
      <c r="E116" s="3" t="s">
        <v>144</v>
      </c>
      <c r="F116" s="3" t="s">
        <v>187</v>
      </c>
      <c r="G116" s="3" t="s">
        <v>188</v>
      </c>
      <c r="H116" s="3" t="s">
        <v>197</v>
      </c>
      <c r="I116" s="3" t="s">
        <v>41</v>
      </c>
      <c r="J116" s="3">
        <v>16</v>
      </c>
      <c r="K116" s="3" t="s">
        <v>40</v>
      </c>
      <c r="L116" s="3" t="s">
        <v>40</v>
      </c>
      <c r="M116" s="3" t="s">
        <v>143</v>
      </c>
      <c r="N116" s="3" t="s">
        <v>180</v>
      </c>
      <c r="O116" s="3" t="s">
        <v>198</v>
      </c>
      <c r="P116" s="3" t="s">
        <v>49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184</v>
      </c>
      <c r="T116" s="3" t="str">
        <f t="shared" si="42"/>
        <v>0B8</v>
      </c>
      <c r="U116" s="3">
        <f t="shared" si="48"/>
        <v>46</v>
      </c>
      <c r="V116" s="3" t="str">
        <f t="shared" si="43"/>
        <v>2E</v>
      </c>
      <c r="W116" s="3" t="str">
        <f t="shared" si="44"/>
        <v/>
      </c>
      <c r="X116" s="3" t="str">
        <f t="shared" si="45"/>
        <v/>
      </c>
      <c r="Y116" s="3" t="str">
        <f t="shared" si="46"/>
        <v>X</v>
      </c>
      <c r="Z116" s="3" t="str">
        <f t="shared" si="47"/>
        <v>X</v>
      </c>
      <c r="AA116" s="3" t="str">
        <f t="shared" si="49"/>
        <v/>
      </c>
      <c r="AB116" s="3" t="str">
        <f t="shared" si="50"/>
        <v/>
      </c>
      <c r="AC116" s="3" t="str">
        <f t="shared" si="51"/>
        <v>(15 downto 8)</v>
      </c>
      <c r="AD116" s="3" t="str">
        <f t="shared" si="52"/>
        <v>(7 downto 0)</v>
      </c>
      <c r="AE116" s="3" t="str">
        <f t="shared" si="53"/>
        <v/>
      </c>
      <c r="AF116" s="3" t="str">
        <f t="shared" si="54"/>
        <v/>
      </c>
      <c r="AG116" s="3" t="str">
        <f t="shared" si="55"/>
        <v>(15 downto 8)</v>
      </c>
      <c r="AH116" s="3" t="str">
        <f t="shared" si="56"/>
        <v>(7 downto 0)</v>
      </c>
    </row>
    <row r="117" spans="2:34" x14ac:dyDescent="0.25">
      <c r="B117" s="3" t="s">
        <v>195</v>
      </c>
      <c r="D117" s="3" t="s">
        <v>0</v>
      </c>
      <c r="E117" s="3" t="s">
        <v>144</v>
      </c>
      <c r="F117" s="3" t="s">
        <v>187</v>
      </c>
      <c r="G117" s="3" t="s">
        <v>188</v>
      </c>
      <c r="H117" s="3" t="s">
        <v>189</v>
      </c>
      <c r="I117" s="3" t="s">
        <v>41</v>
      </c>
      <c r="J117" s="3">
        <v>1</v>
      </c>
      <c r="K117" s="3" t="s">
        <v>40</v>
      </c>
      <c r="L117" s="3" t="s">
        <v>40</v>
      </c>
      <c r="M117" s="3" t="s">
        <v>143</v>
      </c>
      <c r="N117" s="3" t="s">
        <v>180</v>
      </c>
      <c r="O117" s="3" t="s">
        <v>181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188</v>
      </c>
      <c r="T117" s="3" t="str">
        <f t="shared" si="42"/>
        <v>0BC</v>
      </c>
      <c r="U117" s="3">
        <f t="shared" si="48"/>
        <v>47</v>
      </c>
      <c r="V117" s="3" t="str">
        <f t="shared" si="43"/>
        <v>2F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49"/>
        <v/>
      </c>
      <c r="AB117" s="3" t="str">
        <f t="shared" si="50"/>
        <v/>
      </c>
      <c r="AC117" s="3" t="str">
        <f t="shared" si="51"/>
        <v/>
      </c>
      <c r="AD117" s="3" t="str">
        <f t="shared" si="52"/>
        <v>(0)</v>
      </c>
      <c r="AE117" s="3" t="str">
        <f t="shared" si="53"/>
        <v/>
      </c>
      <c r="AF117" s="3" t="str">
        <f t="shared" si="54"/>
        <v/>
      </c>
      <c r="AG117" s="3" t="str">
        <f t="shared" si="55"/>
        <v/>
      </c>
      <c r="AH117" s="3" t="str">
        <f t="shared" si="56"/>
        <v/>
      </c>
    </row>
    <row r="118" spans="2:34" x14ac:dyDescent="0.25">
      <c r="B118" s="3" t="s">
        <v>195</v>
      </c>
      <c r="D118" s="3" t="s">
        <v>0</v>
      </c>
      <c r="E118" s="3" t="s">
        <v>144</v>
      </c>
      <c r="F118" s="3" t="s">
        <v>187</v>
      </c>
      <c r="G118" s="3" t="s">
        <v>188</v>
      </c>
      <c r="H118" s="3" t="s">
        <v>190</v>
      </c>
      <c r="I118" s="3" t="s">
        <v>41</v>
      </c>
      <c r="J118" s="3">
        <v>1</v>
      </c>
      <c r="K118" s="3" t="s">
        <v>40</v>
      </c>
      <c r="L118" s="3" t="s">
        <v>40</v>
      </c>
      <c r="M118" s="3" t="s">
        <v>143</v>
      </c>
      <c r="N118" s="3" t="s">
        <v>180</v>
      </c>
      <c r="O118" s="3" t="s">
        <v>182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192</v>
      </c>
      <c r="T118" s="3" t="str">
        <f t="shared" si="42"/>
        <v>0C0</v>
      </c>
      <c r="U118" s="3">
        <f t="shared" si="48"/>
        <v>48</v>
      </c>
      <c r="V118" s="3" t="str">
        <f t="shared" si="43"/>
        <v>30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49"/>
        <v/>
      </c>
      <c r="AB118" s="3" t="str">
        <f t="shared" si="50"/>
        <v/>
      </c>
      <c r="AC118" s="3" t="str">
        <f t="shared" si="51"/>
        <v/>
      </c>
      <c r="AD118" s="3" t="str">
        <f t="shared" si="52"/>
        <v>(0)</v>
      </c>
      <c r="AE118" s="3" t="str">
        <f t="shared" si="53"/>
        <v/>
      </c>
      <c r="AF118" s="3" t="str">
        <f t="shared" si="54"/>
        <v/>
      </c>
      <c r="AG118" s="3" t="str">
        <f t="shared" si="55"/>
        <v/>
      </c>
      <c r="AH118" s="3" t="str">
        <f t="shared" si="56"/>
        <v/>
      </c>
    </row>
    <row r="119" spans="2:34" x14ac:dyDescent="0.25">
      <c r="B119" s="3" t="s">
        <v>195</v>
      </c>
      <c r="D119" s="3" t="s">
        <v>0</v>
      </c>
      <c r="E119" s="3" t="s">
        <v>144</v>
      </c>
      <c r="F119" s="3" t="s">
        <v>187</v>
      </c>
      <c r="G119" s="3" t="s">
        <v>188</v>
      </c>
      <c r="H119" s="3" t="s">
        <v>191</v>
      </c>
      <c r="I119" s="3" t="s">
        <v>41</v>
      </c>
      <c r="J119" s="3">
        <v>1</v>
      </c>
      <c r="K119" s="3" t="s">
        <v>40</v>
      </c>
      <c r="L119" s="3" t="s">
        <v>40</v>
      </c>
      <c r="M119" s="3" t="s">
        <v>143</v>
      </c>
      <c r="N119" s="3" t="s">
        <v>180</v>
      </c>
      <c r="O119" s="3" t="s">
        <v>183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196</v>
      </c>
      <c r="T119" s="3" t="str">
        <f t="shared" si="42"/>
        <v>0C4</v>
      </c>
      <c r="U119" s="3">
        <f t="shared" si="48"/>
        <v>49</v>
      </c>
      <c r="V119" s="3" t="str">
        <f t="shared" si="43"/>
        <v>31</v>
      </c>
      <c r="W119" s="3" t="str">
        <f t="shared" si="44"/>
        <v/>
      </c>
      <c r="X119" s="3" t="str">
        <f t="shared" si="45"/>
        <v/>
      </c>
      <c r="Y119" s="3" t="str">
        <f t="shared" si="46"/>
        <v/>
      </c>
      <c r="Z119" s="3" t="str">
        <f t="shared" si="47"/>
        <v>X</v>
      </c>
      <c r="AA119" s="3" t="str">
        <f t="shared" si="49"/>
        <v/>
      </c>
      <c r="AB119" s="3" t="str">
        <f t="shared" si="50"/>
        <v/>
      </c>
      <c r="AC119" s="3" t="str">
        <f t="shared" si="51"/>
        <v/>
      </c>
      <c r="AD119" s="3" t="str">
        <f t="shared" si="52"/>
        <v>(0)</v>
      </c>
      <c r="AE119" s="3" t="str">
        <f t="shared" si="53"/>
        <v/>
      </c>
      <c r="AF119" s="3" t="str">
        <f t="shared" si="54"/>
        <v/>
      </c>
      <c r="AG119" s="3" t="str">
        <f t="shared" si="55"/>
        <v/>
      </c>
      <c r="AH119" s="3" t="str">
        <f t="shared" si="56"/>
        <v/>
      </c>
    </row>
    <row r="120" spans="2:34" x14ac:dyDescent="0.25">
      <c r="B120" s="3" t="s">
        <v>195</v>
      </c>
      <c r="D120" s="3" t="s">
        <v>0</v>
      </c>
      <c r="E120" s="3" t="s">
        <v>144</v>
      </c>
      <c r="F120" s="3" t="s">
        <v>187</v>
      </c>
      <c r="G120" s="3" t="s">
        <v>188</v>
      </c>
      <c r="H120" s="3" t="s">
        <v>192</v>
      </c>
      <c r="I120" s="3" t="s">
        <v>41</v>
      </c>
      <c r="J120" s="3">
        <v>1</v>
      </c>
      <c r="K120" s="3" t="s">
        <v>40</v>
      </c>
      <c r="L120" s="3" t="s">
        <v>40</v>
      </c>
      <c r="M120" s="3" t="s">
        <v>143</v>
      </c>
      <c r="N120" s="3" t="s">
        <v>180</v>
      </c>
      <c r="O120" s="3" t="s">
        <v>184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200</v>
      </c>
      <c r="T120" s="3" t="str">
        <f t="shared" si="42"/>
        <v>0C8</v>
      </c>
      <c r="U120" s="3">
        <f t="shared" si="48"/>
        <v>50</v>
      </c>
      <c r="V120" s="3" t="str">
        <f t="shared" si="43"/>
        <v>32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49"/>
        <v/>
      </c>
      <c r="AB120" s="3" t="str">
        <f t="shared" si="50"/>
        <v/>
      </c>
      <c r="AC120" s="3" t="str">
        <f t="shared" si="51"/>
        <v/>
      </c>
      <c r="AD120" s="3" t="str">
        <f t="shared" si="52"/>
        <v>(0)</v>
      </c>
      <c r="AE120" s="3" t="str">
        <f t="shared" si="53"/>
        <v/>
      </c>
      <c r="AF120" s="3" t="str">
        <f t="shared" si="54"/>
        <v/>
      </c>
      <c r="AG120" s="3" t="str">
        <f t="shared" si="55"/>
        <v/>
      </c>
      <c r="AH120" s="3" t="str">
        <f t="shared" si="56"/>
        <v/>
      </c>
    </row>
    <row r="121" spans="2:34" x14ac:dyDescent="0.25">
      <c r="B121" s="3" t="s">
        <v>195</v>
      </c>
      <c r="D121" s="3" t="s">
        <v>0</v>
      </c>
      <c r="E121" s="3" t="s">
        <v>144</v>
      </c>
      <c r="F121" s="3" t="s">
        <v>187</v>
      </c>
      <c r="G121" s="3" t="s">
        <v>188</v>
      </c>
      <c r="H121" s="3" t="s">
        <v>193</v>
      </c>
      <c r="I121" s="3" t="s">
        <v>41</v>
      </c>
      <c r="J121" s="3">
        <v>1</v>
      </c>
      <c r="K121" s="3" t="s">
        <v>40</v>
      </c>
      <c r="L121" s="3" t="s">
        <v>40</v>
      </c>
      <c r="M121" s="3" t="s">
        <v>143</v>
      </c>
      <c r="N121" s="3" t="s">
        <v>180</v>
      </c>
      <c r="O121" s="3" t="s">
        <v>185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204</v>
      </c>
      <c r="T121" s="3" t="str">
        <f t="shared" si="42"/>
        <v>0CC</v>
      </c>
      <c r="U121" s="3">
        <f t="shared" si="48"/>
        <v>51</v>
      </c>
      <c r="V121" s="3" t="str">
        <f t="shared" si="43"/>
        <v>33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49"/>
        <v/>
      </c>
      <c r="AB121" s="3" t="str">
        <f t="shared" si="50"/>
        <v/>
      </c>
      <c r="AC121" s="3" t="str">
        <f t="shared" si="51"/>
        <v/>
      </c>
      <c r="AD121" s="3" t="str">
        <f t="shared" si="52"/>
        <v>(0)</v>
      </c>
      <c r="AE121" s="3" t="str">
        <f t="shared" si="53"/>
        <v/>
      </c>
      <c r="AF121" s="3" t="str">
        <f t="shared" si="54"/>
        <v/>
      </c>
      <c r="AG121" s="3" t="str">
        <f t="shared" si="55"/>
        <v/>
      </c>
      <c r="AH121" s="3" t="str">
        <f t="shared" si="56"/>
        <v/>
      </c>
    </row>
    <row r="122" spans="2:34" x14ac:dyDescent="0.25">
      <c r="B122" s="3" t="s">
        <v>195</v>
      </c>
      <c r="D122" s="3" t="s">
        <v>0</v>
      </c>
      <c r="E122" s="3" t="s">
        <v>144</v>
      </c>
      <c r="F122" s="3" t="s">
        <v>187</v>
      </c>
      <c r="G122" s="3" t="s">
        <v>188</v>
      </c>
      <c r="H122" s="3" t="s">
        <v>194</v>
      </c>
      <c r="I122" s="3" t="s">
        <v>41</v>
      </c>
      <c r="J122" s="3">
        <v>1</v>
      </c>
      <c r="K122" s="3" t="s">
        <v>40</v>
      </c>
      <c r="L122" s="3" t="s">
        <v>40</v>
      </c>
      <c r="M122" s="3" t="s">
        <v>143</v>
      </c>
      <c r="N122" s="3" t="s">
        <v>180</v>
      </c>
      <c r="O122" s="3" t="s">
        <v>186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208</v>
      </c>
      <c r="T122" s="3" t="str">
        <f t="shared" si="42"/>
        <v>0D0</v>
      </c>
      <c r="U122" s="3">
        <f t="shared" si="48"/>
        <v>52</v>
      </c>
      <c r="V122" s="3" t="str">
        <f t="shared" si="43"/>
        <v>34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49"/>
        <v/>
      </c>
      <c r="AB122" s="3" t="str">
        <f t="shared" si="50"/>
        <v/>
      </c>
      <c r="AC122" s="3" t="str">
        <f t="shared" si="51"/>
        <v/>
      </c>
      <c r="AD122" s="3" t="str">
        <f t="shared" si="52"/>
        <v>(0)</v>
      </c>
      <c r="AE122" s="3" t="str">
        <f t="shared" si="53"/>
        <v/>
      </c>
      <c r="AF122" s="3" t="str">
        <f t="shared" si="54"/>
        <v/>
      </c>
      <c r="AG122" s="3" t="str">
        <f t="shared" si="55"/>
        <v/>
      </c>
      <c r="AH122" s="3" t="str">
        <f t="shared" si="56"/>
        <v/>
      </c>
    </row>
    <row r="123" spans="2:34" x14ac:dyDescent="0.25">
      <c r="B123" s="3" t="s">
        <v>145</v>
      </c>
      <c r="D123" s="3" t="s">
        <v>0</v>
      </c>
      <c r="E123" s="3" t="s">
        <v>144</v>
      </c>
      <c r="F123" s="3" t="s">
        <v>146</v>
      </c>
      <c r="G123" s="3" t="s">
        <v>147</v>
      </c>
      <c r="H123" s="3" t="s">
        <v>293</v>
      </c>
      <c r="I123" s="3" t="s">
        <v>41</v>
      </c>
      <c r="J123" s="3">
        <v>1</v>
      </c>
      <c r="K123" s="3" t="s">
        <v>40</v>
      </c>
      <c r="L123" s="3" t="s">
        <v>40</v>
      </c>
      <c r="M123" s="3" t="s">
        <v>143</v>
      </c>
      <c r="N123" s="3" t="s">
        <v>148</v>
      </c>
      <c r="O123" s="3" t="s">
        <v>301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212</v>
      </c>
      <c r="T123" s="3" t="str">
        <f t="shared" si="42"/>
        <v>0D4</v>
      </c>
      <c r="U123" s="3">
        <f t="shared" si="48"/>
        <v>53</v>
      </c>
      <c r="V123" s="3" t="str">
        <f t="shared" si="43"/>
        <v>35</v>
      </c>
      <c r="W123" s="3" t="str">
        <f t="shared" si="44"/>
        <v/>
      </c>
      <c r="X123" s="3" t="str">
        <f t="shared" si="45"/>
        <v/>
      </c>
      <c r="Y123" s="3" t="str">
        <f t="shared" si="46"/>
        <v/>
      </c>
      <c r="Z123" s="3" t="str">
        <f t="shared" si="47"/>
        <v>X</v>
      </c>
      <c r="AA123" s="3" t="str">
        <f t="shared" si="49"/>
        <v/>
      </c>
      <c r="AB123" s="3" t="str">
        <f t="shared" si="50"/>
        <v/>
      </c>
      <c r="AC123" s="3" t="str">
        <f t="shared" si="51"/>
        <v/>
      </c>
      <c r="AD123" s="3" t="str">
        <f t="shared" si="52"/>
        <v>(0)</v>
      </c>
      <c r="AE123" s="3" t="str">
        <f t="shared" si="53"/>
        <v/>
      </c>
      <c r="AF123" s="3" t="str">
        <f t="shared" si="54"/>
        <v/>
      </c>
      <c r="AG123" s="3" t="str">
        <f t="shared" si="55"/>
        <v/>
      </c>
      <c r="AH123" s="3" t="str">
        <f t="shared" si="56"/>
        <v/>
      </c>
    </row>
    <row r="124" spans="2:34" x14ac:dyDescent="0.25">
      <c r="B124" s="3" t="s">
        <v>145</v>
      </c>
      <c r="D124" s="3" t="s">
        <v>0</v>
      </c>
      <c r="E124" s="3" t="s">
        <v>144</v>
      </c>
      <c r="F124" s="3" t="s">
        <v>146</v>
      </c>
      <c r="G124" s="3" t="s">
        <v>147</v>
      </c>
      <c r="H124" s="3" t="s">
        <v>294</v>
      </c>
      <c r="I124" s="3" t="s">
        <v>41</v>
      </c>
      <c r="J124" s="3">
        <v>1</v>
      </c>
      <c r="K124" s="3" t="s">
        <v>40</v>
      </c>
      <c r="L124" s="3" t="s">
        <v>40</v>
      </c>
      <c r="M124" s="3" t="s">
        <v>143</v>
      </c>
      <c r="N124" s="3" t="s">
        <v>148</v>
      </c>
      <c r="O124" s="3" t="s">
        <v>302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216</v>
      </c>
      <c r="T124" s="3" t="str">
        <f t="shared" si="42"/>
        <v>0D8</v>
      </c>
      <c r="U124" s="3">
        <f t="shared" si="48"/>
        <v>54</v>
      </c>
      <c r="V124" s="3" t="str">
        <f t="shared" si="43"/>
        <v>36</v>
      </c>
      <c r="W124" s="3" t="str">
        <f t="shared" si="44"/>
        <v/>
      </c>
      <c r="X124" s="3" t="str">
        <f t="shared" si="45"/>
        <v/>
      </c>
      <c r="Y124" s="3" t="str">
        <f t="shared" si="46"/>
        <v/>
      </c>
      <c r="Z124" s="3" t="str">
        <f t="shared" si="47"/>
        <v>X</v>
      </c>
      <c r="AA124" s="3" t="str">
        <f t="shared" si="49"/>
        <v/>
      </c>
      <c r="AB124" s="3" t="str">
        <f t="shared" si="50"/>
        <v/>
      </c>
      <c r="AC124" s="3" t="str">
        <f t="shared" si="51"/>
        <v/>
      </c>
      <c r="AD124" s="3" t="str">
        <f t="shared" si="52"/>
        <v>(0)</v>
      </c>
      <c r="AE124" s="3" t="str">
        <f t="shared" si="53"/>
        <v/>
      </c>
      <c r="AF124" s="3" t="str">
        <f t="shared" si="54"/>
        <v/>
      </c>
      <c r="AG124" s="3" t="str">
        <f t="shared" si="55"/>
        <v/>
      </c>
      <c r="AH124" s="3" t="str">
        <f t="shared" si="56"/>
        <v/>
      </c>
    </row>
    <row r="125" spans="2:34" x14ac:dyDescent="0.25">
      <c r="B125" s="3" t="s">
        <v>145</v>
      </c>
      <c r="D125" s="3" t="s">
        <v>0</v>
      </c>
      <c r="E125" s="3" t="s">
        <v>144</v>
      </c>
      <c r="F125" s="3" t="s">
        <v>146</v>
      </c>
      <c r="G125" s="3" t="s">
        <v>147</v>
      </c>
      <c r="H125" s="3" t="s">
        <v>295</v>
      </c>
      <c r="I125" s="3" t="s">
        <v>41</v>
      </c>
      <c r="J125" s="3">
        <v>16</v>
      </c>
      <c r="K125" s="3" t="s">
        <v>40</v>
      </c>
      <c r="L125" s="3" t="s">
        <v>40</v>
      </c>
      <c r="M125" s="3" t="s">
        <v>143</v>
      </c>
      <c r="N125" s="3" t="s">
        <v>148</v>
      </c>
      <c r="O125" s="3" t="s">
        <v>303</v>
      </c>
      <c r="P125" s="3" t="s">
        <v>49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220</v>
      </c>
      <c r="T125" s="3" t="str">
        <f t="shared" si="42"/>
        <v>0DC</v>
      </c>
      <c r="U125" s="3">
        <f t="shared" si="48"/>
        <v>55</v>
      </c>
      <c r="V125" s="3" t="str">
        <f t="shared" si="43"/>
        <v>37</v>
      </c>
      <c r="W125" s="3" t="str">
        <f t="shared" si="44"/>
        <v/>
      </c>
      <c r="X125" s="3" t="str">
        <f t="shared" si="45"/>
        <v/>
      </c>
      <c r="Y125" s="3" t="str">
        <f t="shared" si="46"/>
        <v>X</v>
      </c>
      <c r="Z125" s="3" t="str">
        <f t="shared" si="47"/>
        <v>X</v>
      </c>
      <c r="AA125" s="3" t="str">
        <f t="shared" si="49"/>
        <v/>
      </c>
      <c r="AB125" s="3" t="str">
        <f t="shared" si="50"/>
        <v/>
      </c>
      <c r="AC125" s="3" t="str">
        <f t="shared" si="51"/>
        <v>(15 downto 8)</v>
      </c>
      <c r="AD125" s="3" t="str">
        <f t="shared" si="52"/>
        <v>(7 downto 0)</v>
      </c>
      <c r="AE125" s="3" t="str">
        <f t="shared" si="53"/>
        <v/>
      </c>
      <c r="AF125" s="3" t="str">
        <f t="shared" si="54"/>
        <v/>
      </c>
      <c r="AG125" s="3" t="str">
        <f t="shared" si="55"/>
        <v>(15 downto 8)</v>
      </c>
      <c r="AH125" s="3" t="str">
        <f t="shared" si="56"/>
        <v>(7 downto 0)</v>
      </c>
    </row>
    <row r="126" spans="2:34" x14ac:dyDescent="0.25">
      <c r="B126" s="3" t="s">
        <v>145</v>
      </c>
      <c r="D126" s="3" t="s">
        <v>0</v>
      </c>
      <c r="E126" s="3" t="s">
        <v>144</v>
      </c>
      <c r="F126" s="3" t="s">
        <v>146</v>
      </c>
      <c r="G126" s="3" t="s">
        <v>147</v>
      </c>
      <c r="H126" s="3" t="s">
        <v>296</v>
      </c>
      <c r="I126" s="3" t="s">
        <v>41</v>
      </c>
      <c r="J126" s="3">
        <v>1</v>
      </c>
      <c r="K126" s="3" t="s">
        <v>40</v>
      </c>
      <c r="L126" s="3" t="s">
        <v>40</v>
      </c>
      <c r="M126" s="3" t="s">
        <v>143</v>
      </c>
      <c r="N126" s="3" t="s">
        <v>148</v>
      </c>
      <c r="O126" s="3" t="s">
        <v>304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224</v>
      </c>
      <c r="T126" s="3" t="str">
        <f t="shared" si="42"/>
        <v>0E0</v>
      </c>
      <c r="U126" s="3">
        <f t="shared" si="48"/>
        <v>56</v>
      </c>
      <c r="V126" s="3" t="str">
        <f t="shared" si="43"/>
        <v>38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49"/>
        <v/>
      </c>
      <c r="AB126" s="3" t="str">
        <f t="shared" si="50"/>
        <v/>
      </c>
      <c r="AC126" s="3" t="str">
        <f t="shared" si="51"/>
        <v/>
      </c>
      <c r="AD126" s="3" t="str">
        <f t="shared" si="52"/>
        <v>(0)</v>
      </c>
      <c r="AE126" s="3" t="str">
        <f t="shared" si="53"/>
        <v/>
      </c>
      <c r="AF126" s="3" t="str">
        <f t="shared" si="54"/>
        <v/>
      </c>
      <c r="AG126" s="3" t="str">
        <f t="shared" si="55"/>
        <v/>
      </c>
      <c r="AH126" s="3" t="str">
        <f t="shared" si="56"/>
        <v/>
      </c>
    </row>
    <row r="127" spans="2:34" x14ac:dyDescent="0.25">
      <c r="B127" s="3" t="s">
        <v>149</v>
      </c>
      <c r="D127" s="3" t="s">
        <v>0</v>
      </c>
      <c r="E127" s="3" t="s">
        <v>144</v>
      </c>
      <c r="F127" s="3" t="s">
        <v>150</v>
      </c>
      <c r="G127" s="3" t="s">
        <v>151</v>
      </c>
      <c r="H127" s="3" t="s">
        <v>297</v>
      </c>
      <c r="I127" s="3" t="s">
        <v>41</v>
      </c>
      <c r="J127" s="3">
        <v>1</v>
      </c>
      <c r="K127" s="3" t="s">
        <v>40</v>
      </c>
      <c r="L127" s="3" t="s">
        <v>40</v>
      </c>
      <c r="M127" s="3" t="s">
        <v>143</v>
      </c>
      <c r="N127" s="3" t="s">
        <v>152</v>
      </c>
      <c r="O127" s="3" t="s">
        <v>305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228</v>
      </c>
      <c r="T127" s="3" t="str">
        <f t="shared" si="42"/>
        <v>0E4</v>
      </c>
      <c r="U127" s="3">
        <f t="shared" si="48"/>
        <v>57</v>
      </c>
      <c r="V127" s="3" t="str">
        <f t="shared" si="43"/>
        <v>39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49"/>
        <v/>
      </c>
      <c r="AB127" s="3" t="str">
        <f t="shared" si="50"/>
        <v/>
      </c>
      <c r="AC127" s="3" t="str">
        <f t="shared" si="51"/>
        <v/>
      </c>
      <c r="AD127" s="3" t="str">
        <f t="shared" si="52"/>
        <v>(0)</v>
      </c>
      <c r="AE127" s="3" t="str">
        <f t="shared" si="53"/>
        <v/>
      </c>
      <c r="AF127" s="3" t="str">
        <f t="shared" si="54"/>
        <v/>
      </c>
      <c r="AG127" s="3" t="str">
        <f t="shared" si="55"/>
        <v/>
      </c>
      <c r="AH127" s="3" t="str">
        <f t="shared" si="56"/>
        <v/>
      </c>
    </row>
    <row r="128" spans="2:34" x14ac:dyDescent="0.25">
      <c r="B128" s="3" t="s">
        <v>149</v>
      </c>
      <c r="D128" s="3" t="s">
        <v>0</v>
      </c>
      <c r="E128" s="3" t="s">
        <v>144</v>
      </c>
      <c r="F128" s="3" t="s">
        <v>150</v>
      </c>
      <c r="G128" s="3" t="s">
        <v>151</v>
      </c>
      <c r="H128" s="3" t="s">
        <v>298</v>
      </c>
      <c r="I128" s="3" t="s">
        <v>41</v>
      </c>
      <c r="J128" s="3">
        <v>1</v>
      </c>
      <c r="K128" s="3" t="s">
        <v>40</v>
      </c>
      <c r="L128" s="3" t="s">
        <v>40</v>
      </c>
      <c r="M128" s="3" t="s">
        <v>143</v>
      </c>
      <c r="N128" s="3" t="s">
        <v>152</v>
      </c>
      <c r="O128" s="3" t="s">
        <v>306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232</v>
      </c>
      <c r="T128" s="3" t="str">
        <f t="shared" si="42"/>
        <v>0E8</v>
      </c>
      <c r="U128" s="3">
        <f t="shared" si="48"/>
        <v>58</v>
      </c>
      <c r="V128" s="3" t="str">
        <f t="shared" si="43"/>
        <v>3A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49"/>
        <v/>
      </c>
      <c r="AB128" s="3" t="str">
        <f t="shared" si="50"/>
        <v/>
      </c>
      <c r="AC128" s="3" t="str">
        <f t="shared" si="51"/>
        <v/>
      </c>
      <c r="AD128" s="3" t="str">
        <f t="shared" si="52"/>
        <v>(0)</v>
      </c>
      <c r="AE128" s="3" t="str">
        <f t="shared" si="53"/>
        <v/>
      </c>
      <c r="AF128" s="3" t="str">
        <f t="shared" si="54"/>
        <v/>
      </c>
      <c r="AG128" s="3" t="str">
        <f t="shared" si="55"/>
        <v/>
      </c>
      <c r="AH128" s="3" t="str">
        <f t="shared" si="56"/>
        <v/>
      </c>
    </row>
    <row r="129" spans="2:34" x14ac:dyDescent="0.25">
      <c r="B129" s="3" t="s">
        <v>149</v>
      </c>
      <c r="D129" s="3" t="s">
        <v>0</v>
      </c>
      <c r="E129" s="3" t="s">
        <v>144</v>
      </c>
      <c r="F129" s="3" t="s">
        <v>150</v>
      </c>
      <c r="G129" s="3" t="s">
        <v>151</v>
      </c>
      <c r="H129" s="3" t="s">
        <v>300</v>
      </c>
      <c r="I129" s="3" t="s">
        <v>41</v>
      </c>
      <c r="J129" s="3">
        <v>16</v>
      </c>
      <c r="K129" s="3" t="s">
        <v>40</v>
      </c>
      <c r="L129" s="3" t="s">
        <v>40</v>
      </c>
      <c r="M129" s="3" t="s">
        <v>143</v>
      </c>
      <c r="N129" s="3" t="s">
        <v>152</v>
      </c>
      <c r="O129" s="3" t="s">
        <v>307</v>
      </c>
      <c r="P129" s="3" t="s">
        <v>49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236</v>
      </c>
      <c r="T129" s="3" t="str">
        <f t="shared" si="42"/>
        <v>0EC</v>
      </c>
      <c r="U129" s="3">
        <f t="shared" si="48"/>
        <v>59</v>
      </c>
      <c r="V129" s="3" t="str">
        <f t="shared" si="43"/>
        <v>3B</v>
      </c>
      <c r="W129" s="3" t="str">
        <f t="shared" si="44"/>
        <v/>
      </c>
      <c r="X129" s="3" t="str">
        <f t="shared" si="45"/>
        <v/>
      </c>
      <c r="Y129" s="3" t="str">
        <f t="shared" si="46"/>
        <v>X</v>
      </c>
      <c r="Z129" s="3" t="str">
        <f t="shared" si="47"/>
        <v>X</v>
      </c>
      <c r="AA129" s="3" t="str">
        <f t="shared" si="49"/>
        <v/>
      </c>
      <c r="AB129" s="3" t="str">
        <f t="shared" si="50"/>
        <v/>
      </c>
      <c r="AC129" s="3" t="str">
        <f t="shared" si="51"/>
        <v>(15 downto 8)</v>
      </c>
      <c r="AD129" s="3" t="str">
        <f t="shared" si="52"/>
        <v>(7 downto 0)</v>
      </c>
      <c r="AE129" s="3" t="str">
        <f t="shared" si="53"/>
        <v/>
      </c>
      <c r="AF129" s="3" t="str">
        <f t="shared" si="54"/>
        <v/>
      </c>
      <c r="AG129" s="3" t="str">
        <f t="shared" si="55"/>
        <v>(15 downto 8)</v>
      </c>
      <c r="AH129" s="3" t="str">
        <f t="shared" si="56"/>
        <v>(7 downto 0)</v>
      </c>
    </row>
    <row r="130" spans="2:34" x14ac:dyDescent="0.25">
      <c r="B130" s="3" t="s">
        <v>149</v>
      </c>
      <c r="D130" s="3" t="s">
        <v>0</v>
      </c>
      <c r="E130" s="3" t="s">
        <v>144</v>
      </c>
      <c r="F130" s="3" t="s">
        <v>150</v>
      </c>
      <c r="G130" s="3" t="s">
        <v>151</v>
      </c>
      <c r="H130" s="3" t="s">
        <v>299</v>
      </c>
      <c r="I130" s="3" t="s">
        <v>41</v>
      </c>
      <c r="J130" s="3">
        <v>1</v>
      </c>
      <c r="K130" s="3" t="s">
        <v>40</v>
      </c>
      <c r="L130" s="3" t="s">
        <v>40</v>
      </c>
      <c r="M130" s="3" t="s">
        <v>143</v>
      </c>
      <c r="N130" s="3" t="s">
        <v>152</v>
      </c>
      <c r="O130" s="3" t="s">
        <v>308</v>
      </c>
      <c r="P130" s="3" t="s">
        <v>5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240</v>
      </c>
      <c r="T130" s="3" t="str">
        <f t="shared" si="42"/>
        <v>0F0</v>
      </c>
      <c r="U130" s="3">
        <f t="shared" si="48"/>
        <v>60</v>
      </c>
      <c r="V130" s="3" t="str">
        <f t="shared" si="43"/>
        <v>3C</v>
      </c>
      <c r="W130" s="3" t="str">
        <f t="shared" si="44"/>
        <v/>
      </c>
      <c r="X130" s="3" t="str">
        <f t="shared" si="45"/>
        <v/>
      </c>
      <c r="Y130" s="3" t="str">
        <f t="shared" si="46"/>
        <v/>
      </c>
      <c r="Z130" s="3" t="str">
        <f t="shared" si="47"/>
        <v>X</v>
      </c>
      <c r="AA130" s="3" t="str">
        <f t="shared" si="49"/>
        <v/>
      </c>
      <c r="AB130" s="3" t="str">
        <f t="shared" si="50"/>
        <v/>
      </c>
      <c r="AC130" s="3" t="str">
        <f t="shared" si="51"/>
        <v/>
      </c>
      <c r="AD130" s="3" t="str">
        <f t="shared" si="52"/>
        <v>(0)</v>
      </c>
      <c r="AE130" s="3" t="str">
        <f t="shared" si="53"/>
        <v/>
      </c>
      <c r="AF130" s="3" t="str">
        <f t="shared" si="54"/>
        <v/>
      </c>
      <c r="AG130" s="3" t="str">
        <f t="shared" si="55"/>
        <v/>
      </c>
      <c r="AH130" s="3" t="str">
        <f t="shared" si="56"/>
        <v/>
      </c>
    </row>
  </sheetData>
  <autoFilter ref="B3:AH128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9" t="s">
        <v>50</v>
      </c>
      <c r="C2" s="29"/>
      <c r="D2" s="29"/>
      <c r="F2" s="29" t="s">
        <v>91</v>
      </c>
      <c r="G2" s="29"/>
      <c r="H2" s="15"/>
      <c r="I2" s="29" t="s">
        <v>85</v>
      </c>
      <c r="J2" s="29"/>
      <c r="K2" s="15"/>
      <c r="L2" s="29" t="s">
        <v>124</v>
      </c>
      <c r="M2" s="29"/>
      <c r="N2" s="29"/>
      <c r="O2" s="29"/>
      <c r="P2" s="29"/>
      <c r="Q2" s="29"/>
    </row>
    <row r="3" spans="2:17" x14ac:dyDescent="0.25">
      <c r="B3" s="6" t="s">
        <v>51</v>
      </c>
      <c r="C3" s="6" t="s">
        <v>52</v>
      </c>
      <c r="D3" s="6" t="s">
        <v>53</v>
      </c>
      <c r="F3" s="13" t="s">
        <v>51</v>
      </c>
      <c r="G3" s="13" t="s">
        <v>92</v>
      </c>
      <c r="H3" s="13"/>
      <c r="I3" s="12" t="s">
        <v>86</v>
      </c>
      <c r="J3" s="12" t="s">
        <v>87</v>
      </c>
      <c r="K3" s="17"/>
      <c r="L3" s="3" t="s">
        <v>40</v>
      </c>
      <c r="M3" s="3" t="s">
        <v>40</v>
      </c>
      <c r="N3" s="29" t="s">
        <v>125</v>
      </c>
      <c r="O3" s="29"/>
      <c r="P3" s="29"/>
      <c r="Q3" s="29"/>
    </row>
    <row r="4" spans="2:17" x14ac:dyDescent="0.25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93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8</v>
      </c>
      <c r="D5" s="3">
        <f t="shared" ref="D5:D28" si="0">C5/8</f>
        <v>1</v>
      </c>
      <c r="F5" s="3" t="s">
        <v>55</v>
      </c>
      <c r="G5" s="3" t="s">
        <v>93</v>
      </c>
      <c r="I5" s="3" t="str">
        <f>Main!$C$2</f>
        <v>Field Comment</v>
      </c>
      <c r="J5" s="3">
        <f>MATCH($I5,Main!$B$2:$AH$2,0)+1</f>
        <v>3</v>
      </c>
      <c r="L5" s="31" t="s">
        <v>123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93</v>
      </c>
      <c r="I6" s="3" t="str">
        <f>Main!$D$2</f>
        <v>R/W</v>
      </c>
      <c r="J6" s="3">
        <f>MATCH($I6,Main!$B$2:$AH$2,0)+1</f>
        <v>4</v>
      </c>
      <c r="L6" s="31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94</v>
      </c>
      <c r="I7" s="3" t="str">
        <f>Main!$E$2</f>
        <v>General Register Type</v>
      </c>
      <c r="J7" s="3">
        <f>MATCH($I7,Main!$B$2:$AH$2,0)+1</f>
        <v>5</v>
      </c>
      <c r="L7" s="31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94</v>
      </c>
      <c r="I8" s="3" t="str">
        <f>Main!$F$2</f>
        <v>Register Name</v>
      </c>
      <c r="J8" s="3">
        <f>MATCH($I8,Main!$B$2:$AH$2,0)+1</f>
        <v>6</v>
      </c>
      <c r="L8" s="31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94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96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96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96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95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95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95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97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97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97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98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98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98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99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67</v>
      </c>
      <c r="C23" s="3">
        <v>64</v>
      </c>
      <c r="D23" s="3">
        <f t="shared" si="0"/>
        <v>8</v>
      </c>
      <c r="F23" s="3" t="s">
        <v>67</v>
      </c>
      <c r="G23" s="3" t="s">
        <v>100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si="0"/>
        <v>8</v>
      </c>
      <c r="F24" s="3" t="s">
        <v>68</v>
      </c>
      <c r="G24" s="3" t="s">
        <v>100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0"/>
        <v>8</v>
      </c>
      <c r="F25" s="3" t="s">
        <v>69</v>
      </c>
      <c r="G25" s="3" t="s">
        <v>100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0"/>
        <v>8</v>
      </c>
      <c r="F26" s="3" t="s">
        <v>70</v>
      </c>
      <c r="G26" s="3" t="s">
        <v>101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0"/>
        <v>8</v>
      </c>
      <c r="F27" s="3" t="s">
        <v>71</v>
      </c>
      <c r="G27" s="3" t="s">
        <v>101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0"/>
        <v>8</v>
      </c>
      <c r="F28" s="3" t="s">
        <v>72</v>
      </c>
      <c r="G28" s="3" t="s">
        <v>101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6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8" t="s">
        <v>113</v>
      </c>
      <c r="H2" s="1" t="s">
        <v>103</v>
      </c>
    </row>
    <row r="3" spans="2:8" x14ac:dyDescent="0.25">
      <c r="B3" s="3" t="s">
        <v>177</v>
      </c>
      <c r="H3" t="s">
        <v>115</v>
      </c>
    </row>
    <row r="5" spans="2:8" x14ac:dyDescent="0.25">
      <c r="B5" s="28" t="s">
        <v>114</v>
      </c>
      <c r="H5" t="s">
        <v>116</v>
      </c>
    </row>
    <row r="6" spans="2:8" x14ac:dyDescent="0.25">
      <c r="B6" s="3" t="s">
        <v>178</v>
      </c>
      <c r="H6" t="s">
        <v>179</v>
      </c>
    </row>
    <row r="7" spans="2:8" x14ac:dyDescent="0.25">
      <c r="H7" t="s">
        <v>368</v>
      </c>
    </row>
    <row r="8" spans="2:8" x14ac:dyDescent="0.25">
      <c r="B8" s="28" t="s">
        <v>112</v>
      </c>
    </row>
    <row r="9" spans="2:8" x14ac:dyDescent="0.25">
      <c r="B9" s="3">
        <v>256</v>
      </c>
      <c r="H9" t="s">
        <v>104</v>
      </c>
    </row>
    <row r="11" spans="2:8" x14ac:dyDescent="0.25">
      <c r="B11" s="27"/>
      <c r="H11" t="s">
        <v>369</v>
      </c>
    </row>
    <row r="12" spans="2:8" x14ac:dyDescent="0.25">
      <c r="H12" t="s">
        <v>370</v>
      </c>
    </row>
    <row r="13" spans="2:8" x14ac:dyDescent="0.25">
      <c r="H13" t="s">
        <v>371</v>
      </c>
    </row>
    <row r="14" spans="2:8" x14ac:dyDescent="0.25">
      <c r="B14" s="27"/>
      <c r="H14" t="s">
        <v>372</v>
      </c>
    </row>
    <row r="15" spans="2:8" x14ac:dyDescent="0.25">
      <c r="H15" t="s">
        <v>373</v>
      </c>
    </row>
    <row r="16" spans="2:8" x14ac:dyDescent="0.25">
      <c r="H16" t="s">
        <v>374</v>
      </c>
    </row>
    <row r="17" spans="2:8" x14ac:dyDescent="0.25">
      <c r="B17" s="27"/>
      <c r="H17" t="s">
        <v>375</v>
      </c>
    </row>
    <row r="18" spans="2:8" x14ac:dyDescent="0.25">
      <c r="H18" t="s">
        <v>376</v>
      </c>
    </row>
    <row r="19" spans="2:8" x14ac:dyDescent="0.25">
      <c r="H19" t="s">
        <v>377</v>
      </c>
    </row>
    <row r="20" spans="2:8" x14ac:dyDescent="0.25">
      <c r="B20" s="27"/>
      <c r="H20" t="s">
        <v>378</v>
      </c>
    </row>
    <row r="21" spans="2:8" x14ac:dyDescent="0.25">
      <c r="H21" t="s">
        <v>379</v>
      </c>
    </row>
    <row r="22" spans="2:8" x14ac:dyDescent="0.25">
      <c r="H22" t="s">
        <v>380</v>
      </c>
    </row>
    <row r="23" spans="2:8" x14ac:dyDescent="0.25">
      <c r="H23" t="s">
        <v>381</v>
      </c>
    </row>
    <row r="24" spans="2:8" x14ac:dyDescent="0.25">
      <c r="H24" t="s">
        <v>382</v>
      </c>
    </row>
    <row r="25" spans="2:8" x14ac:dyDescent="0.25">
      <c r="H25" t="s">
        <v>383</v>
      </c>
    </row>
    <row r="26" spans="2:8" x14ac:dyDescent="0.25">
      <c r="H26" t="s">
        <v>384</v>
      </c>
    </row>
    <row r="27" spans="2:8" x14ac:dyDescent="0.25">
      <c r="H27" t="s">
        <v>385</v>
      </c>
    </row>
    <row r="29" spans="2:8" x14ac:dyDescent="0.25">
      <c r="H29" t="s">
        <v>386</v>
      </c>
    </row>
    <row r="30" spans="2:8" x14ac:dyDescent="0.25">
      <c r="H30" t="s">
        <v>387</v>
      </c>
    </row>
    <row r="31" spans="2:8" x14ac:dyDescent="0.25">
      <c r="H31" t="s">
        <v>388</v>
      </c>
    </row>
    <row r="32" spans="2:8" x14ac:dyDescent="0.25">
      <c r="H32" t="s">
        <v>389</v>
      </c>
    </row>
    <row r="33" spans="8:8" x14ac:dyDescent="0.25">
      <c r="H33" t="s">
        <v>390</v>
      </c>
    </row>
    <row r="35" spans="8:8" x14ac:dyDescent="0.25">
      <c r="H35" t="s">
        <v>105</v>
      </c>
    </row>
    <row r="37" spans="8:8" x14ac:dyDescent="0.25">
      <c r="H37" t="s">
        <v>106</v>
      </c>
    </row>
    <row r="38" spans="8:8" x14ac:dyDescent="0.25">
      <c r="H38" t="s">
        <v>391</v>
      </c>
    </row>
    <row r="39" spans="8:8" x14ac:dyDescent="0.25">
      <c r="H39" t="s">
        <v>392</v>
      </c>
    </row>
    <row r="40" spans="8:8" x14ac:dyDescent="0.25">
      <c r="H40" t="s">
        <v>393</v>
      </c>
    </row>
    <row r="42" spans="8:8" x14ac:dyDescent="0.25">
      <c r="H42" t="s">
        <v>107</v>
      </c>
    </row>
    <row r="43" spans="8:8" x14ac:dyDescent="0.25">
      <c r="H43" t="s">
        <v>394</v>
      </c>
    </row>
    <row r="44" spans="8:8" x14ac:dyDescent="0.25">
      <c r="H44" t="s">
        <v>395</v>
      </c>
    </row>
    <row r="45" spans="8:8" x14ac:dyDescent="0.25">
      <c r="H45" t="s">
        <v>396</v>
      </c>
    </row>
    <row r="46" spans="8:8" x14ac:dyDescent="0.25">
      <c r="H46" s="11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1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109</v>
      </c>
      <c r="H3" t="s">
        <v>36</v>
      </c>
      <c r="I3" s="10"/>
    </row>
    <row r="4" spans="2:9" x14ac:dyDescent="0.25">
      <c r="H4" t="s">
        <v>110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397</v>
      </c>
    </row>
    <row r="7" spans="2:9" x14ac:dyDescent="0.25">
      <c r="H7" t="s">
        <v>126</v>
      </c>
    </row>
    <row r="8" spans="2:9" x14ac:dyDescent="0.25">
      <c r="B8" s="1" t="s">
        <v>20</v>
      </c>
      <c r="H8" t="s">
        <v>401</v>
      </c>
    </row>
    <row r="9" spans="2:9" x14ac:dyDescent="0.25">
      <c r="B9" t="s">
        <v>398</v>
      </c>
      <c r="H9" t="s">
        <v>571</v>
      </c>
    </row>
    <row r="10" spans="2:9" x14ac:dyDescent="0.25">
      <c r="H10" t="s">
        <v>402</v>
      </c>
    </row>
    <row r="11" spans="2:9" x14ac:dyDescent="0.25">
      <c r="B11" s="1" t="s">
        <v>13</v>
      </c>
      <c r="H11" t="s">
        <v>575</v>
      </c>
    </row>
    <row r="12" spans="2:9" x14ac:dyDescent="0.25">
      <c r="B12" t="s">
        <v>15</v>
      </c>
      <c r="H12" t="s">
        <v>572</v>
      </c>
    </row>
    <row r="13" spans="2:9" x14ac:dyDescent="0.25">
      <c r="H13" t="s">
        <v>403</v>
      </c>
    </row>
    <row r="14" spans="2:9" x14ac:dyDescent="0.25">
      <c r="B14" s="1" t="s">
        <v>14</v>
      </c>
      <c r="H14" t="s">
        <v>575</v>
      </c>
    </row>
    <row r="15" spans="2:9" x14ac:dyDescent="0.25">
      <c r="B15" t="s">
        <v>16</v>
      </c>
      <c r="H15" t="s">
        <v>573</v>
      </c>
    </row>
    <row r="16" spans="2:9" x14ac:dyDescent="0.25">
      <c r="H16" t="s">
        <v>404</v>
      </c>
    </row>
    <row r="17" spans="2:8" x14ac:dyDescent="0.25">
      <c r="B17" s="1" t="s">
        <v>21</v>
      </c>
      <c r="H17" t="s">
        <v>575</v>
      </c>
    </row>
    <row r="18" spans="2:8" x14ac:dyDescent="0.25">
      <c r="B18" t="s">
        <v>399</v>
      </c>
      <c r="H18" t="s">
        <v>574</v>
      </c>
    </row>
    <row r="19" spans="2:8" x14ac:dyDescent="0.25">
      <c r="H19" t="s">
        <v>405</v>
      </c>
    </row>
    <row r="20" spans="2:8" x14ac:dyDescent="0.25">
      <c r="B20" s="1" t="s">
        <v>22</v>
      </c>
      <c r="H20" t="s">
        <v>575</v>
      </c>
    </row>
    <row r="21" spans="2:8" x14ac:dyDescent="0.25">
      <c r="B21" t="s">
        <v>400</v>
      </c>
    </row>
    <row r="22" spans="2:8" x14ac:dyDescent="0.25">
      <c r="H22" t="s">
        <v>127</v>
      </c>
    </row>
    <row r="23" spans="2:8" x14ac:dyDescent="0.25">
      <c r="H23" t="s">
        <v>406</v>
      </c>
    </row>
    <row r="24" spans="2:8" x14ac:dyDescent="0.25">
      <c r="H24" t="s">
        <v>571</v>
      </c>
    </row>
    <row r="25" spans="2:8" x14ac:dyDescent="0.25">
      <c r="H25" t="s">
        <v>407</v>
      </c>
    </row>
    <row r="26" spans="2:8" x14ac:dyDescent="0.25">
      <c r="H26" t="s">
        <v>575</v>
      </c>
    </row>
    <row r="27" spans="2:8" x14ac:dyDescent="0.25">
      <c r="H27" t="s">
        <v>572</v>
      </c>
    </row>
    <row r="28" spans="2:8" x14ac:dyDescent="0.25">
      <c r="H28" t="s">
        <v>408</v>
      </c>
    </row>
    <row r="29" spans="2:8" x14ac:dyDescent="0.25">
      <c r="H29" t="s">
        <v>575</v>
      </c>
    </row>
    <row r="30" spans="2:8" x14ac:dyDescent="0.25">
      <c r="H30" t="s">
        <v>573</v>
      </c>
    </row>
    <row r="31" spans="2:8" x14ac:dyDescent="0.25">
      <c r="H31" t="s">
        <v>409</v>
      </c>
    </row>
    <row r="32" spans="2:8" x14ac:dyDescent="0.25">
      <c r="H32" t="s">
        <v>575</v>
      </c>
    </row>
    <row r="33" spans="8:8" x14ac:dyDescent="0.25">
      <c r="H33" t="s">
        <v>574</v>
      </c>
    </row>
    <row r="34" spans="8:8" x14ac:dyDescent="0.25">
      <c r="H34" t="s">
        <v>410</v>
      </c>
    </row>
    <row r="35" spans="8:8" x14ac:dyDescent="0.25">
      <c r="H35" t="s">
        <v>575</v>
      </c>
    </row>
    <row r="37" spans="8:8" x14ac:dyDescent="0.25">
      <c r="H37" t="s">
        <v>128</v>
      </c>
    </row>
    <row r="38" spans="8:8" x14ac:dyDescent="0.25">
      <c r="H38" t="s">
        <v>411</v>
      </c>
    </row>
    <row r="39" spans="8:8" x14ac:dyDescent="0.25">
      <c r="H39" t="s">
        <v>571</v>
      </c>
    </row>
    <row r="40" spans="8:8" x14ac:dyDescent="0.25">
      <c r="H40" t="s">
        <v>412</v>
      </c>
    </row>
    <row r="41" spans="8:8" x14ac:dyDescent="0.25">
      <c r="H41" t="s">
        <v>575</v>
      </c>
    </row>
    <row r="42" spans="8:8" x14ac:dyDescent="0.25">
      <c r="H42" t="s">
        <v>572</v>
      </c>
    </row>
    <row r="43" spans="8:8" x14ac:dyDescent="0.25">
      <c r="H43" t="s">
        <v>413</v>
      </c>
    </row>
    <row r="44" spans="8:8" x14ac:dyDescent="0.25">
      <c r="H44" t="s">
        <v>575</v>
      </c>
    </row>
    <row r="45" spans="8:8" x14ac:dyDescent="0.25">
      <c r="H45" t="s">
        <v>573</v>
      </c>
    </row>
    <row r="46" spans="8:8" x14ac:dyDescent="0.25">
      <c r="H46" t="s">
        <v>414</v>
      </c>
    </row>
    <row r="47" spans="8:8" x14ac:dyDescent="0.25">
      <c r="H47" t="s">
        <v>575</v>
      </c>
    </row>
    <row r="48" spans="8:8" x14ac:dyDescent="0.25">
      <c r="H48" t="s">
        <v>574</v>
      </c>
    </row>
    <row r="49" spans="8:8" x14ac:dyDescent="0.25">
      <c r="H49" t="s">
        <v>415</v>
      </c>
    </row>
    <row r="50" spans="8:8" x14ac:dyDescent="0.25">
      <c r="H50" t="s">
        <v>575</v>
      </c>
    </row>
    <row r="52" spans="8:8" x14ac:dyDescent="0.25">
      <c r="H52" t="s">
        <v>129</v>
      </c>
    </row>
    <row r="53" spans="8:8" x14ac:dyDescent="0.25">
      <c r="H53" t="s">
        <v>416</v>
      </c>
    </row>
    <row r="54" spans="8:8" x14ac:dyDescent="0.25">
      <c r="H54" t="s">
        <v>571</v>
      </c>
    </row>
    <row r="55" spans="8:8" x14ac:dyDescent="0.25">
      <c r="H55" t="s">
        <v>417</v>
      </c>
    </row>
    <row r="56" spans="8:8" x14ac:dyDescent="0.25">
      <c r="H56" t="s">
        <v>575</v>
      </c>
    </row>
    <row r="57" spans="8:8" x14ac:dyDescent="0.25">
      <c r="H57" t="s">
        <v>572</v>
      </c>
    </row>
    <row r="58" spans="8:8" x14ac:dyDescent="0.25">
      <c r="H58" t="s">
        <v>418</v>
      </c>
    </row>
    <row r="59" spans="8:8" x14ac:dyDescent="0.25">
      <c r="H59" t="s">
        <v>575</v>
      </c>
    </row>
    <row r="60" spans="8:8" x14ac:dyDescent="0.25">
      <c r="H60" t="s">
        <v>573</v>
      </c>
    </row>
    <row r="61" spans="8:8" x14ac:dyDescent="0.25">
      <c r="H61" t="s">
        <v>419</v>
      </c>
    </row>
    <row r="62" spans="8:8" x14ac:dyDescent="0.25">
      <c r="H62" t="s">
        <v>575</v>
      </c>
    </row>
    <row r="63" spans="8:8" x14ac:dyDescent="0.25">
      <c r="H63" t="s">
        <v>574</v>
      </c>
    </row>
    <row r="64" spans="8:8" x14ac:dyDescent="0.25">
      <c r="H64" t="s">
        <v>420</v>
      </c>
    </row>
    <row r="65" spans="8:8" x14ac:dyDescent="0.25">
      <c r="H65" t="s">
        <v>575</v>
      </c>
    </row>
    <row r="67" spans="8:8" x14ac:dyDescent="0.25">
      <c r="H67" t="s">
        <v>130</v>
      </c>
    </row>
    <row r="68" spans="8:8" x14ac:dyDescent="0.25">
      <c r="H68" t="s">
        <v>421</v>
      </c>
    </row>
    <row r="69" spans="8:8" x14ac:dyDescent="0.25">
      <c r="H69" t="s">
        <v>571</v>
      </c>
    </row>
    <row r="70" spans="8:8" x14ac:dyDescent="0.25">
      <c r="H70" t="s">
        <v>422</v>
      </c>
    </row>
    <row r="71" spans="8:8" x14ac:dyDescent="0.25">
      <c r="H71" t="s">
        <v>575</v>
      </c>
    </row>
    <row r="72" spans="8:8" x14ac:dyDescent="0.25">
      <c r="H72" t="s">
        <v>572</v>
      </c>
    </row>
    <row r="73" spans="8:8" x14ac:dyDescent="0.25">
      <c r="H73" t="s">
        <v>423</v>
      </c>
    </row>
    <row r="74" spans="8:8" x14ac:dyDescent="0.25">
      <c r="H74" t="s">
        <v>575</v>
      </c>
    </row>
    <row r="75" spans="8:8" x14ac:dyDescent="0.25">
      <c r="H75" t="s">
        <v>573</v>
      </c>
    </row>
    <row r="76" spans="8:8" x14ac:dyDescent="0.25">
      <c r="H76" t="s">
        <v>424</v>
      </c>
    </row>
    <row r="77" spans="8:8" x14ac:dyDescent="0.25">
      <c r="H77" t="s">
        <v>575</v>
      </c>
    </row>
    <row r="78" spans="8:8" x14ac:dyDescent="0.25">
      <c r="H78" t="s">
        <v>574</v>
      </c>
    </row>
    <row r="79" spans="8:8" x14ac:dyDescent="0.25">
      <c r="H79" t="s">
        <v>425</v>
      </c>
    </row>
    <row r="80" spans="8:8" x14ac:dyDescent="0.25">
      <c r="H80" t="s">
        <v>575</v>
      </c>
    </row>
    <row r="82" spans="8:8" x14ac:dyDescent="0.25">
      <c r="H82" t="s">
        <v>131</v>
      </c>
    </row>
    <row r="83" spans="8:8" x14ac:dyDescent="0.25">
      <c r="H83" t="s">
        <v>426</v>
      </c>
    </row>
    <row r="84" spans="8:8" x14ac:dyDescent="0.25">
      <c r="H84" t="s">
        <v>571</v>
      </c>
    </row>
    <row r="85" spans="8:8" x14ac:dyDescent="0.25">
      <c r="H85" t="s">
        <v>427</v>
      </c>
    </row>
    <row r="86" spans="8:8" x14ac:dyDescent="0.25">
      <c r="H86" t="s">
        <v>575</v>
      </c>
    </row>
    <row r="87" spans="8:8" x14ac:dyDescent="0.25">
      <c r="H87" t="s">
        <v>572</v>
      </c>
    </row>
    <row r="88" spans="8:8" x14ac:dyDescent="0.25">
      <c r="H88" t="s">
        <v>428</v>
      </c>
    </row>
    <row r="89" spans="8:8" x14ac:dyDescent="0.25">
      <c r="H89" t="s">
        <v>575</v>
      </c>
    </row>
    <row r="90" spans="8:8" x14ac:dyDescent="0.25">
      <c r="H90" t="s">
        <v>573</v>
      </c>
    </row>
    <row r="91" spans="8:8" x14ac:dyDescent="0.25">
      <c r="H91" t="s">
        <v>429</v>
      </c>
    </row>
    <row r="92" spans="8:8" x14ac:dyDescent="0.25">
      <c r="H92" t="s">
        <v>575</v>
      </c>
    </row>
    <row r="93" spans="8:8" x14ac:dyDescent="0.25">
      <c r="H93" t="s">
        <v>574</v>
      </c>
    </row>
    <row r="94" spans="8:8" x14ac:dyDescent="0.25">
      <c r="H94" t="s">
        <v>430</v>
      </c>
    </row>
    <row r="95" spans="8:8" x14ac:dyDescent="0.25">
      <c r="H95" t="s">
        <v>575</v>
      </c>
    </row>
    <row r="97" spans="8:8" x14ac:dyDescent="0.25">
      <c r="H97" t="s">
        <v>132</v>
      </c>
    </row>
    <row r="98" spans="8:8" x14ac:dyDescent="0.25">
      <c r="H98" t="s">
        <v>431</v>
      </c>
    </row>
    <row r="99" spans="8:8" x14ac:dyDescent="0.25">
      <c r="H99" t="s">
        <v>571</v>
      </c>
    </row>
    <row r="100" spans="8:8" x14ac:dyDescent="0.25">
      <c r="H100" t="s">
        <v>432</v>
      </c>
    </row>
    <row r="101" spans="8:8" x14ac:dyDescent="0.25">
      <c r="H101" t="s">
        <v>575</v>
      </c>
    </row>
    <row r="102" spans="8:8" x14ac:dyDescent="0.25">
      <c r="H102" t="s">
        <v>572</v>
      </c>
    </row>
    <row r="103" spans="8:8" x14ac:dyDescent="0.25">
      <c r="H103" t="s">
        <v>433</v>
      </c>
    </row>
    <row r="104" spans="8:8" x14ac:dyDescent="0.25">
      <c r="H104" t="s">
        <v>575</v>
      </c>
    </row>
    <row r="105" spans="8:8" x14ac:dyDescent="0.25">
      <c r="H105" t="s">
        <v>573</v>
      </c>
    </row>
    <row r="106" spans="8:8" x14ac:dyDescent="0.25">
      <c r="H106" t="s">
        <v>434</v>
      </c>
    </row>
    <row r="107" spans="8:8" x14ac:dyDescent="0.25">
      <c r="H107" t="s">
        <v>575</v>
      </c>
    </row>
    <row r="108" spans="8:8" x14ac:dyDescent="0.25">
      <c r="H108" t="s">
        <v>574</v>
      </c>
    </row>
    <row r="109" spans="8:8" x14ac:dyDescent="0.25">
      <c r="H109" t="s">
        <v>435</v>
      </c>
    </row>
    <row r="110" spans="8:8" x14ac:dyDescent="0.25">
      <c r="H110" t="s">
        <v>575</v>
      </c>
    </row>
    <row r="112" spans="8:8" x14ac:dyDescent="0.25">
      <c r="H112" t="s">
        <v>133</v>
      </c>
    </row>
    <row r="113" spans="8:8" x14ac:dyDescent="0.25">
      <c r="H113" t="s">
        <v>436</v>
      </c>
    </row>
    <row r="114" spans="8:8" x14ac:dyDescent="0.25">
      <c r="H114" t="s">
        <v>571</v>
      </c>
    </row>
    <row r="115" spans="8:8" x14ac:dyDescent="0.25">
      <c r="H115" t="s">
        <v>437</v>
      </c>
    </row>
    <row r="116" spans="8:8" x14ac:dyDescent="0.25">
      <c r="H116" t="s">
        <v>575</v>
      </c>
    </row>
    <row r="117" spans="8:8" x14ac:dyDescent="0.25">
      <c r="H117" t="s">
        <v>572</v>
      </c>
    </row>
    <row r="118" spans="8:8" x14ac:dyDescent="0.25">
      <c r="H118" t="s">
        <v>438</v>
      </c>
    </row>
    <row r="119" spans="8:8" x14ac:dyDescent="0.25">
      <c r="H119" t="s">
        <v>575</v>
      </c>
    </row>
    <row r="120" spans="8:8" x14ac:dyDescent="0.25">
      <c r="H120" t="s">
        <v>573</v>
      </c>
    </row>
    <row r="121" spans="8:8" x14ac:dyDescent="0.25">
      <c r="H121" t="s">
        <v>439</v>
      </c>
    </row>
    <row r="122" spans="8:8" x14ac:dyDescent="0.25">
      <c r="H122" t="s">
        <v>575</v>
      </c>
    </row>
    <row r="123" spans="8:8" x14ac:dyDescent="0.25">
      <c r="H123" t="s">
        <v>574</v>
      </c>
    </row>
    <row r="124" spans="8:8" x14ac:dyDescent="0.25">
      <c r="H124" t="s">
        <v>440</v>
      </c>
    </row>
    <row r="125" spans="8:8" x14ac:dyDescent="0.25">
      <c r="H125" t="s">
        <v>575</v>
      </c>
    </row>
    <row r="127" spans="8:8" x14ac:dyDescent="0.25">
      <c r="H127" t="s">
        <v>134</v>
      </c>
    </row>
    <row r="128" spans="8:8" x14ac:dyDescent="0.25">
      <c r="H128" t="s">
        <v>441</v>
      </c>
    </row>
    <row r="129" spans="8:8" x14ac:dyDescent="0.25">
      <c r="H129" t="s">
        <v>571</v>
      </c>
    </row>
    <row r="130" spans="8:8" x14ac:dyDescent="0.25">
      <c r="H130" t="s">
        <v>442</v>
      </c>
    </row>
    <row r="131" spans="8:8" x14ac:dyDescent="0.25">
      <c r="H131" t="s">
        <v>575</v>
      </c>
    </row>
    <row r="132" spans="8:8" x14ac:dyDescent="0.25">
      <c r="H132" t="s">
        <v>572</v>
      </c>
    </row>
    <row r="133" spans="8:8" x14ac:dyDescent="0.25">
      <c r="H133" t="s">
        <v>443</v>
      </c>
    </row>
    <row r="134" spans="8:8" x14ac:dyDescent="0.25">
      <c r="H134" t="s">
        <v>575</v>
      </c>
    </row>
    <row r="135" spans="8:8" x14ac:dyDescent="0.25">
      <c r="H135" t="s">
        <v>573</v>
      </c>
    </row>
    <row r="136" spans="8:8" x14ac:dyDescent="0.25">
      <c r="H136" t="s">
        <v>444</v>
      </c>
    </row>
    <row r="137" spans="8:8" x14ac:dyDescent="0.25">
      <c r="H137" t="s">
        <v>575</v>
      </c>
    </row>
    <row r="138" spans="8:8" x14ac:dyDescent="0.25">
      <c r="H138" t="s">
        <v>574</v>
      </c>
    </row>
    <row r="139" spans="8:8" x14ac:dyDescent="0.25">
      <c r="H139" t="s">
        <v>445</v>
      </c>
    </row>
    <row r="140" spans="8:8" x14ac:dyDescent="0.25">
      <c r="H140" t="s">
        <v>575</v>
      </c>
    </row>
    <row r="142" spans="8:8" x14ac:dyDescent="0.25">
      <c r="H142" t="s">
        <v>135</v>
      </c>
    </row>
    <row r="143" spans="8:8" x14ac:dyDescent="0.25">
      <c r="H143" t="s">
        <v>446</v>
      </c>
    </row>
    <row r="144" spans="8:8" x14ac:dyDescent="0.25">
      <c r="H144" t="s">
        <v>571</v>
      </c>
    </row>
    <row r="145" spans="8:8" x14ac:dyDescent="0.25">
      <c r="H145" t="s">
        <v>447</v>
      </c>
    </row>
    <row r="146" spans="8:8" x14ac:dyDescent="0.25">
      <c r="H146" t="s">
        <v>575</v>
      </c>
    </row>
    <row r="147" spans="8:8" x14ac:dyDescent="0.25">
      <c r="H147" t="s">
        <v>572</v>
      </c>
    </row>
    <row r="148" spans="8:8" x14ac:dyDescent="0.25">
      <c r="H148" t="s">
        <v>448</v>
      </c>
    </row>
    <row r="149" spans="8:8" x14ac:dyDescent="0.25">
      <c r="H149" t="s">
        <v>575</v>
      </c>
    </row>
    <row r="150" spans="8:8" x14ac:dyDescent="0.25">
      <c r="H150" t="s">
        <v>573</v>
      </c>
    </row>
    <row r="151" spans="8:8" x14ac:dyDescent="0.25">
      <c r="H151" t="s">
        <v>449</v>
      </c>
    </row>
    <row r="152" spans="8:8" x14ac:dyDescent="0.25">
      <c r="H152" t="s">
        <v>575</v>
      </c>
    </row>
    <row r="153" spans="8:8" x14ac:dyDescent="0.25">
      <c r="H153" t="s">
        <v>574</v>
      </c>
    </row>
    <row r="154" spans="8:8" x14ac:dyDescent="0.25">
      <c r="H154" t="s">
        <v>450</v>
      </c>
    </row>
    <row r="155" spans="8:8" x14ac:dyDescent="0.25">
      <c r="H155" t="s">
        <v>575</v>
      </c>
    </row>
    <row r="157" spans="8:8" x14ac:dyDescent="0.25">
      <c r="H157" t="s">
        <v>136</v>
      </c>
    </row>
    <row r="158" spans="8:8" x14ac:dyDescent="0.25">
      <c r="H158" t="s">
        <v>451</v>
      </c>
    </row>
    <row r="159" spans="8:8" x14ac:dyDescent="0.25">
      <c r="H159" t="s">
        <v>571</v>
      </c>
    </row>
    <row r="160" spans="8:8" x14ac:dyDescent="0.25">
      <c r="H160" t="s">
        <v>452</v>
      </c>
    </row>
    <row r="161" spans="8:8" x14ac:dyDescent="0.25">
      <c r="H161" t="s">
        <v>575</v>
      </c>
    </row>
    <row r="162" spans="8:8" x14ac:dyDescent="0.25">
      <c r="H162" t="s">
        <v>572</v>
      </c>
    </row>
    <row r="163" spans="8:8" x14ac:dyDescent="0.25">
      <c r="H163" t="s">
        <v>453</v>
      </c>
    </row>
    <row r="164" spans="8:8" x14ac:dyDescent="0.25">
      <c r="H164" t="s">
        <v>575</v>
      </c>
    </row>
    <row r="165" spans="8:8" x14ac:dyDescent="0.25">
      <c r="H165" t="s">
        <v>573</v>
      </c>
    </row>
    <row r="166" spans="8:8" x14ac:dyDescent="0.25">
      <c r="H166" t="s">
        <v>454</v>
      </c>
    </row>
    <row r="167" spans="8:8" x14ac:dyDescent="0.25">
      <c r="H167" t="s">
        <v>575</v>
      </c>
    </row>
    <row r="168" spans="8:8" x14ac:dyDescent="0.25">
      <c r="H168" t="s">
        <v>574</v>
      </c>
    </row>
    <row r="169" spans="8:8" x14ac:dyDescent="0.25">
      <c r="H169" t="s">
        <v>455</v>
      </c>
    </row>
    <row r="170" spans="8:8" x14ac:dyDescent="0.25">
      <c r="H170" t="s">
        <v>575</v>
      </c>
    </row>
    <row r="172" spans="8:8" x14ac:dyDescent="0.25">
      <c r="H172" t="s">
        <v>137</v>
      </c>
    </row>
    <row r="173" spans="8:8" x14ac:dyDescent="0.25">
      <c r="H173" t="s">
        <v>456</v>
      </c>
    </row>
    <row r="174" spans="8:8" x14ac:dyDescent="0.25">
      <c r="H174" t="s">
        <v>571</v>
      </c>
    </row>
    <row r="175" spans="8:8" x14ac:dyDescent="0.25">
      <c r="H175" t="s">
        <v>457</v>
      </c>
    </row>
    <row r="176" spans="8:8" x14ac:dyDescent="0.25">
      <c r="H176" t="s">
        <v>575</v>
      </c>
    </row>
    <row r="177" spans="8:8" x14ac:dyDescent="0.25">
      <c r="H177" t="s">
        <v>572</v>
      </c>
    </row>
    <row r="178" spans="8:8" x14ac:dyDescent="0.25">
      <c r="H178" t="s">
        <v>458</v>
      </c>
    </row>
    <row r="179" spans="8:8" x14ac:dyDescent="0.25">
      <c r="H179" t="s">
        <v>575</v>
      </c>
    </row>
    <row r="181" spans="8:8" x14ac:dyDescent="0.25">
      <c r="H181" t="s">
        <v>138</v>
      </c>
    </row>
    <row r="182" spans="8:8" x14ac:dyDescent="0.25">
      <c r="H182" t="s">
        <v>459</v>
      </c>
    </row>
    <row r="183" spans="8:8" x14ac:dyDescent="0.25">
      <c r="H183" t="s">
        <v>571</v>
      </c>
    </row>
    <row r="184" spans="8:8" x14ac:dyDescent="0.25">
      <c r="H184" t="s">
        <v>460</v>
      </c>
    </row>
    <row r="185" spans="8:8" x14ac:dyDescent="0.25">
      <c r="H185" t="s">
        <v>575</v>
      </c>
    </row>
    <row r="187" spans="8:8" x14ac:dyDescent="0.25">
      <c r="H187" t="s">
        <v>139</v>
      </c>
    </row>
    <row r="188" spans="8:8" x14ac:dyDescent="0.25">
      <c r="H188" t="s">
        <v>461</v>
      </c>
    </row>
    <row r="189" spans="8:8" x14ac:dyDescent="0.25">
      <c r="H189" t="s">
        <v>571</v>
      </c>
    </row>
    <row r="190" spans="8:8" x14ac:dyDescent="0.25">
      <c r="H190" t="s">
        <v>462</v>
      </c>
    </row>
    <row r="191" spans="8:8" x14ac:dyDescent="0.25">
      <c r="H191" t="s">
        <v>575</v>
      </c>
    </row>
    <row r="193" spans="8:8" x14ac:dyDescent="0.25">
      <c r="H193" t="s">
        <v>140</v>
      </c>
    </row>
    <row r="194" spans="8:8" x14ac:dyDescent="0.25">
      <c r="H194" t="s">
        <v>463</v>
      </c>
    </row>
    <row r="195" spans="8:8" x14ac:dyDescent="0.25">
      <c r="H195" t="s">
        <v>571</v>
      </c>
    </row>
    <row r="196" spans="8:8" x14ac:dyDescent="0.25">
      <c r="H196" t="s">
        <v>464</v>
      </c>
    </row>
    <row r="197" spans="8:8" x14ac:dyDescent="0.25">
      <c r="H197" t="s">
        <v>575</v>
      </c>
    </row>
    <row r="199" spans="8:8" x14ac:dyDescent="0.25">
      <c r="H199" t="s">
        <v>141</v>
      </c>
    </row>
    <row r="200" spans="8:8" x14ac:dyDescent="0.25">
      <c r="H200" t="s">
        <v>465</v>
      </c>
    </row>
    <row r="201" spans="8:8" x14ac:dyDescent="0.25">
      <c r="H201" t="s">
        <v>571</v>
      </c>
    </row>
    <row r="202" spans="8:8" x14ac:dyDescent="0.25">
      <c r="H202" t="s">
        <v>466</v>
      </c>
    </row>
    <row r="203" spans="8:8" x14ac:dyDescent="0.25">
      <c r="H203" t="s">
        <v>575</v>
      </c>
    </row>
    <row r="205" spans="8:8" x14ac:dyDescent="0.25">
      <c r="H205" t="s">
        <v>29</v>
      </c>
    </row>
    <row r="206" spans="8:8" x14ac:dyDescent="0.25">
      <c r="H206" t="s">
        <v>120</v>
      </c>
    </row>
    <row r="207" spans="8:8" x14ac:dyDescent="0.25">
      <c r="H207" t="s">
        <v>467</v>
      </c>
    </row>
    <row r="209" spans="8:8" x14ac:dyDescent="0.25">
      <c r="H209" t="s">
        <v>30</v>
      </c>
    </row>
    <row r="210" spans="8:8" x14ac:dyDescent="0.25">
      <c r="H210" s="11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9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39</v>
      </c>
    </row>
    <row r="3" spans="1:8" x14ac:dyDescent="0.25">
      <c r="B3" t="s">
        <v>108</v>
      </c>
      <c r="H3" t="s">
        <v>37</v>
      </c>
    </row>
    <row r="4" spans="1:8" x14ac:dyDescent="0.25">
      <c r="H4" t="s">
        <v>111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397</v>
      </c>
    </row>
    <row r="7" spans="1:8" x14ac:dyDescent="0.25">
      <c r="H7" t="s">
        <v>126</v>
      </c>
    </row>
    <row r="8" spans="1:8" x14ac:dyDescent="0.25">
      <c r="B8" s="1" t="s">
        <v>20</v>
      </c>
      <c r="H8" t="s">
        <v>401</v>
      </c>
    </row>
    <row r="9" spans="1:8" x14ac:dyDescent="0.25">
      <c r="B9" t="s">
        <v>398</v>
      </c>
      <c r="H9" t="s">
        <v>571</v>
      </c>
    </row>
    <row r="10" spans="1:8" x14ac:dyDescent="0.25">
      <c r="H10" t="s">
        <v>469</v>
      </c>
    </row>
    <row r="11" spans="1:8" x14ac:dyDescent="0.25">
      <c r="B11" s="1" t="s">
        <v>13</v>
      </c>
      <c r="H11" t="s">
        <v>575</v>
      </c>
    </row>
    <row r="12" spans="1:8" x14ac:dyDescent="0.25">
      <c r="B12" t="s">
        <v>15</v>
      </c>
      <c r="H12" t="s">
        <v>572</v>
      </c>
    </row>
    <row r="13" spans="1:8" x14ac:dyDescent="0.25">
      <c r="H13" t="s">
        <v>470</v>
      </c>
    </row>
    <row r="14" spans="1:8" x14ac:dyDescent="0.25">
      <c r="B14" s="1" t="s">
        <v>35</v>
      </c>
      <c r="H14" t="s">
        <v>575</v>
      </c>
    </row>
    <row r="15" spans="1:8" x14ac:dyDescent="0.25">
      <c r="B15" t="s">
        <v>34</v>
      </c>
      <c r="H15" t="s">
        <v>573</v>
      </c>
    </row>
    <row r="16" spans="1:8" x14ac:dyDescent="0.25">
      <c r="H16" t="s">
        <v>471</v>
      </c>
    </row>
    <row r="17" spans="2:8" x14ac:dyDescent="0.25">
      <c r="B17" s="1" t="s">
        <v>21</v>
      </c>
      <c r="H17" t="s">
        <v>575</v>
      </c>
    </row>
    <row r="18" spans="2:8" x14ac:dyDescent="0.25">
      <c r="B18" t="s">
        <v>468</v>
      </c>
      <c r="H18" t="s">
        <v>574</v>
      </c>
    </row>
    <row r="19" spans="2:8" x14ac:dyDescent="0.25">
      <c r="H19" t="s">
        <v>472</v>
      </c>
    </row>
    <row r="20" spans="2:8" x14ac:dyDescent="0.25">
      <c r="B20" s="1"/>
      <c r="H20" t="s">
        <v>575</v>
      </c>
    </row>
    <row r="22" spans="2:8" x14ac:dyDescent="0.25">
      <c r="H22" t="s">
        <v>127</v>
      </c>
    </row>
    <row r="23" spans="2:8" x14ac:dyDescent="0.25">
      <c r="H23" t="s">
        <v>406</v>
      </c>
    </row>
    <row r="24" spans="2:8" x14ac:dyDescent="0.25">
      <c r="H24" t="s">
        <v>571</v>
      </c>
    </row>
    <row r="25" spans="2:8" x14ac:dyDescent="0.25">
      <c r="H25" t="s">
        <v>473</v>
      </c>
    </row>
    <row r="26" spans="2:8" x14ac:dyDescent="0.25">
      <c r="H26" t="s">
        <v>575</v>
      </c>
    </row>
    <row r="27" spans="2:8" x14ac:dyDescent="0.25">
      <c r="H27" t="s">
        <v>572</v>
      </c>
    </row>
    <row r="28" spans="2:8" x14ac:dyDescent="0.25">
      <c r="H28" t="s">
        <v>474</v>
      </c>
    </row>
    <row r="29" spans="2:8" x14ac:dyDescent="0.25">
      <c r="H29" t="s">
        <v>575</v>
      </c>
    </row>
    <row r="30" spans="2:8" x14ac:dyDescent="0.25">
      <c r="H30" t="s">
        <v>573</v>
      </c>
    </row>
    <row r="31" spans="2:8" x14ac:dyDescent="0.25">
      <c r="H31" t="s">
        <v>475</v>
      </c>
    </row>
    <row r="32" spans="2:8" x14ac:dyDescent="0.25">
      <c r="H32" t="s">
        <v>575</v>
      </c>
    </row>
    <row r="33" spans="8:8" x14ac:dyDescent="0.25">
      <c r="H33" t="s">
        <v>574</v>
      </c>
    </row>
    <row r="34" spans="8:8" x14ac:dyDescent="0.25">
      <c r="H34" t="s">
        <v>476</v>
      </c>
    </row>
    <row r="35" spans="8:8" x14ac:dyDescent="0.25">
      <c r="H35" t="s">
        <v>575</v>
      </c>
    </row>
    <row r="37" spans="8:8" x14ac:dyDescent="0.25">
      <c r="H37" t="s">
        <v>128</v>
      </c>
    </row>
    <row r="38" spans="8:8" x14ac:dyDescent="0.25">
      <c r="H38" t="s">
        <v>411</v>
      </c>
    </row>
    <row r="39" spans="8:8" x14ac:dyDescent="0.25">
      <c r="H39" t="s">
        <v>571</v>
      </c>
    </row>
    <row r="40" spans="8:8" x14ac:dyDescent="0.25">
      <c r="H40" t="s">
        <v>477</v>
      </c>
    </row>
    <row r="41" spans="8:8" x14ac:dyDescent="0.25">
      <c r="H41" t="s">
        <v>575</v>
      </c>
    </row>
    <row r="42" spans="8:8" x14ac:dyDescent="0.25">
      <c r="H42" t="s">
        <v>572</v>
      </c>
    </row>
    <row r="43" spans="8:8" x14ac:dyDescent="0.25">
      <c r="H43" t="s">
        <v>478</v>
      </c>
    </row>
    <row r="44" spans="8:8" x14ac:dyDescent="0.25">
      <c r="H44" t="s">
        <v>575</v>
      </c>
    </row>
    <row r="45" spans="8:8" x14ac:dyDescent="0.25">
      <c r="H45" t="s">
        <v>573</v>
      </c>
    </row>
    <row r="46" spans="8:8" x14ac:dyDescent="0.25">
      <c r="H46" t="s">
        <v>479</v>
      </c>
    </row>
    <row r="47" spans="8:8" x14ac:dyDescent="0.25">
      <c r="H47" t="s">
        <v>575</v>
      </c>
    </row>
    <row r="48" spans="8:8" x14ac:dyDescent="0.25">
      <c r="H48" t="s">
        <v>574</v>
      </c>
    </row>
    <row r="49" spans="8:8" x14ac:dyDescent="0.25">
      <c r="H49" t="s">
        <v>480</v>
      </c>
    </row>
    <row r="50" spans="8:8" x14ac:dyDescent="0.25">
      <c r="H50" t="s">
        <v>575</v>
      </c>
    </row>
    <row r="52" spans="8:8" x14ac:dyDescent="0.25">
      <c r="H52" t="s">
        <v>129</v>
      </c>
    </row>
    <row r="53" spans="8:8" x14ac:dyDescent="0.25">
      <c r="H53" t="s">
        <v>416</v>
      </c>
    </row>
    <row r="54" spans="8:8" x14ac:dyDescent="0.25">
      <c r="H54" t="s">
        <v>571</v>
      </c>
    </row>
    <row r="55" spans="8:8" x14ac:dyDescent="0.25">
      <c r="H55" t="s">
        <v>481</v>
      </c>
    </row>
    <row r="56" spans="8:8" x14ac:dyDescent="0.25">
      <c r="H56" t="s">
        <v>575</v>
      </c>
    </row>
    <row r="57" spans="8:8" x14ac:dyDescent="0.25">
      <c r="H57" t="s">
        <v>572</v>
      </c>
    </row>
    <row r="58" spans="8:8" x14ac:dyDescent="0.25">
      <c r="H58" t="s">
        <v>482</v>
      </c>
    </row>
    <row r="59" spans="8:8" x14ac:dyDescent="0.25">
      <c r="H59" t="s">
        <v>575</v>
      </c>
    </row>
    <row r="60" spans="8:8" x14ac:dyDescent="0.25">
      <c r="H60" t="s">
        <v>573</v>
      </c>
    </row>
    <row r="61" spans="8:8" x14ac:dyDescent="0.25">
      <c r="H61" t="s">
        <v>483</v>
      </c>
    </row>
    <row r="62" spans="8:8" x14ac:dyDescent="0.25">
      <c r="H62" t="s">
        <v>575</v>
      </c>
    </row>
    <row r="63" spans="8:8" x14ac:dyDescent="0.25">
      <c r="H63" t="s">
        <v>574</v>
      </c>
    </row>
    <row r="64" spans="8:8" x14ac:dyDescent="0.25">
      <c r="H64" t="s">
        <v>484</v>
      </c>
    </row>
    <row r="65" spans="8:8" x14ac:dyDescent="0.25">
      <c r="H65" t="s">
        <v>575</v>
      </c>
    </row>
    <row r="67" spans="8:8" x14ac:dyDescent="0.25">
      <c r="H67" t="s">
        <v>130</v>
      </c>
    </row>
    <row r="68" spans="8:8" x14ac:dyDescent="0.25">
      <c r="H68" t="s">
        <v>421</v>
      </c>
    </row>
    <row r="69" spans="8:8" x14ac:dyDescent="0.25">
      <c r="H69" t="s">
        <v>571</v>
      </c>
    </row>
    <row r="70" spans="8:8" x14ac:dyDescent="0.25">
      <c r="H70" t="s">
        <v>485</v>
      </c>
    </row>
    <row r="71" spans="8:8" x14ac:dyDescent="0.25">
      <c r="H71" t="s">
        <v>575</v>
      </c>
    </row>
    <row r="72" spans="8:8" x14ac:dyDescent="0.25">
      <c r="H72" t="s">
        <v>572</v>
      </c>
    </row>
    <row r="73" spans="8:8" x14ac:dyDescent="0.25">
      <c r="H73" t="s">
        <v>486</v>
      </c>
    </row>
    <row r="74" spans="8:8" x14ac:dyDescent="0.25">
      <c r="H74" t="s">
        <v>575</v>
      </c>
    </row>
    <row r="75" spans="8:8" x14ac:dyDescent="0.25">
      <c r="H75" t="s">
        <v>573</v>
      </c>
    </row>
    <row r="76" spans="8:8" x14ac:dyDescent="0.25">
      <c r="H76" t="s">
        <v>487</v>
      </c>
    </row>
    <row r="77" spans="8:8" x14ac:dyDescent="0.25">
      <c r="H77" t="s">
        <v>575</v>
      </c>
    </row>
    <row r="78" spans="8:8" x14ac:dyDescent="0.25">
      <c r="H78" t="s">
        <v>574</v>
      </c>
    </row>
    <row r="79" spans="8:8" x14ac:dyDescent="0.25">
      <c r="H79" t="s">
        <v>488</v>
      </c>
    </row>
    <row r="80" spans="8:8" x14ac:dyDescent="0.25">
      <c r="H80" t="s">
        <v>575</v>
      </c>
    </row>
    <row r="82" spans="8:8" x14ac:dyDescent="0.25">
      <c r="H82" t="s">
        <v>131</v>
      </c>
    </row>
    <row r="83" spans="8:8" x14ac:dyDescent="0.25">
      <c r="H83" t="s">
        <v>426</v>
      </c>
    </row>
    <row r="84" spans="8:8" x14ac:dyDescent="0.25">
      <c r="H84" t="s">
        <v>571</v>
      </c>
    </row>
    <row r="85" spans="8:8" x14ac:dyDescent="0.25">
      <c r="H85" t="s">
        <v>489</v>
      </c>
    </row>
    <row r="86" spans="8:8" x14ac:dyDescent="0.25">
      <c r="H86" t="s">
        <v>575</v>
      </c>
    </row>
    <row r="87" spans="8:8" x14ac:dyDescent="0.25">
      <c r="H87" t="s">
        <v>572</v>
      </c>
    </row>
    <row r="88" spans="8:8" x14ac:dyDescent="0.25">
      <c r="H88" t="s">
        <v>490</v>
      </c>
    </row>
    <row r="89" spans="8:8" x14ac:dyDescent="0.25">
      <c r="H89" t="s">
        <v>575</v>
      </c>
    </row>
    <row r="90" spans="8:8" x14ac:dyDescent="0.25">
      <c r="H90" t="s">
        <v>573</v>
      </c>
    </row>
    <row r="91" spans="8:8" x14ac:dyDescent="0.25">
      <c r="H91" t="s">
        <v>491</v>
      </c>
    </row>
    <row r="92" spans="8:8" x14ac:dyDescent="0.25">
      <c r="H92" t="s">
        <v>575</v>
      </c>
    </row>
    <row r="93" spans="8:8" x14ac:dyDescent="0.25">
      <c r="H93" t="s">
        <v>574</v>
      </c>
    </row>
    <row r="94" spans="8:8" x14ac:dyDescent="0.25">
      <c r="H94" t="s">
        <v>492</v>
      </c>
    </row>
    <row r="95" spans="8:8" x14ac:dyDescent="0.25">
      <c r="H95" t="s">
        <v>575</v>
      </c>
    </row>
    <row r="97" spans="8:8" x14ac:dyDescent="0.25">
      <c r="H97" t="s">
        <v>132</v>
      </c>
    </row>
    <row r="98" spans="8:8" x14ac:dyDescent="0.25">
      <c r="H98" t="s">
        <v>431</v>
      </c>
    </row>
    <row r="99" spans="8:8" x14ac:dyDescent="0.25">
      <c r="H99" t="s">
        <v>571</v>
      </c>
    </row>
    <row r="100" spans="8:8" x14ac:dyDescent="0.25">
      <c r="H100" t="s">
        <v>493</v>
      </c>
    </row>
    <row r="101" spans="8:8" x14ac:dyDescent="0.25">
      <c r="H101" t="s">
        <v>575</v>
      </c>
    </row>
    <row r="102" spans="8:8" x14ac:dyDescent="0.25">
      <c r="H102" t="s">
        <v>572</v>
      </c>
    </row>
    <row r="103" spans="8:8" x14ac:dyDescent="0.25">
      <c r="H103" t="s">
        <v>494</v>
      </c>
    </row>
    <row r="104" spans="8:8" x14ac:dyDescent="0.25">
      <c r="H104" t="s">
        <v>575</v>
      </c>
    </row>
    <row r="105" spans="8:8" x14ac:dyDescent="0.25">
      <c r="H105" t="s">
        <v>573</v>
      </c>
    </row>
    <row r="106" spans="8:8" x14ac:dyDescent="0.25">
      <c r="H106" t="s">
        <v>495</v>
      </c>
    </row>
    <row r="107" spans="8:8" x14ac:dyDescent="0.25">
      <c r="H107" t="s">
        <v>575</v>
      </c>
    </row>
    <row r="108" spans="8:8" x14ac:dyDescent="0.25">
      <c r="H108" t="s">
        <v>574</v>
      </c>
    </row>
    <row r="109" spans="8:8" x14ac:dyDescent="0.25">
      <c r="H109" t="s">
        <v>496</v>
      </c>
    </row>
    <row r="110" spans="8:8" x14ac:dyDescent="0.25">
      <c r="H110" t="s">
        <v>575</v>
      </c>
    </row>
    <row r="112" spans="8:8" x14ac:dyDescent="0.25">
      <c r="H112" t="s">
        <v>133</v>
      </c>
    </row>
    <row r="113" spans="8:8" x14ac:dyDescent="0.25">
      <c r="H113" t="s">
        <v>436</v>
      </c>
    </row>
    <row r="114" spans="8:8" x14ac:dyDescent="0.25">
      <c r="H114" t="s">
        <v>571</v>
      </c>
    </row>
    <row r="115" spans="8:8" x14ac:dyDescent="0.25">
      <c r="H115" t="s">
        <v>497</v>
      </c>
    </row>
    <row r="116" spans="8:8" x14ac:dyDescent="0.25">
      <c r="H116" t="s">
        <v>575</v>
      </c>
    </row>
    <row r="117" spans="8:8" x14ac:dyDescent="0.25">
      <c r="H117" t="s">
        <v>572</v>
      </c>
    </row>
    <row r="118" spans="8:8" x14ac:dyDescent="0.25">
      <c r="H118" t="s">
        <v>498</v>
      </c>
    </row>
    <row r="119" spans="8:8" x14ac:dyDescent="0.25">
      <c r="H119" t="s">
        <v>575</v>
      </c>
    </row>
    <row r="120" spans="8:8" x14ac:dyDescent="0.25">
      <c r="H120" t="s">
        <v>573</v>
      </c>
    </row>
    <row r="121" spans="8:8" x14ac:dyDescent="0.25">
      <c r="H121" t="s">
        <v>499</v>
      </c>
    </row>
    <row r="122" spans="8:8" x14ac:dyDescent="0.25">
      <c r="H122" t="s">
        <v>575</v>
      </c>
    </row>
    <row r="123" spans="8:8" x14ac:dyDescent="0.25">
      <c r="H123" t="s">
        <v>574</v>
      </c>
    </row>
    <row r="124" spans="8:8" x14ac:dyDescent="0.25">
      <c r="H124" t="s">
        <v>500</v>
      </c>
    </row>
    <row r="125" spans="8:8" x14ac:dyDescent="0.25">
      <c r="H125" t="s">
        <v>575</v>
      </c>
    </row>
    <row r="127" spans="8:8" x14ac:dyDescent="0.25">
      <c r="H127" t="s">
        <v>134</v>
      </c>
    </row>
    <row r="128" spans="8:8" x14ac:dyDescent="0.25">
      <c r="H128" t="s">
        <v>441</v>
      </c>
    </row>
    <row r="129" spans="8:8" x14ac:dyDescent="0.25">
      <c r="H129" t="s">
        <v>571</v>
      </c>
    </row>
    <row r="130" spans="8:8" x14ac:dyDescent="0.25">
      <c r="H130" t="s">
        <v>501</v>
      </c>
    </row>
    <row r="131" spans="8:8" x14ac:dyDescent="0.25">
      <c r="H131" t="s">
        <v>575</v>
      </c>
    </row>
    <row r="132" spans="8:8" x14ac:dyDescent="0.25">
      <c r="H132" t="s">
        <v>572</v>
      </c>
    </row>
    <row r="133" spans="8:8" x14ac:dyDescent="0.25">
      <c r="H133" t="s">
        <v>502</v>
      </c>
    </row>
    <row r="134" spans="8:8" x14ac:dyDescent="0.25">
      <c r="H134" t="s">
        <v>575</v>
      </c>
    </row>
    <row r="135" spans="8:8" x14ac:dyDescent="0.25">
      <c r="H135" t="s">
        <v>573</v>
      </c>
    </row>
    <row r="136" spans="8:8" x14ac:dyDescent="0.25">
      <c r="H136" t="s">
        <v>503</v>
      </c>
    </row>
    <row r="137" spans="8:8" x14ac:dyDescent="0.25">
      <c r="H137" t="s">
        <v>575</v>
      </c>
    </row>
    <row r="138" spans="8:8" x14ac:dyDescent="0.25">
      <c r="H138" t="s">
        <v>574</v>
      </c>
    </row>
    <row r="139" spans="8:8" x14ac:dyDescent="0.25">
      <c r="H139" t="s">
        <v>504</v>
      </c>
    </row>
    <row r="140" spans="8:8" x14ac:dyDescent="0.25">
      <c r="H140" t="s">
        <v>575</v>
      </c>
    </row>
    <row r="142" spans="8:8" x14ac:dyDescent="0.25">
      <c r="H142" t="s">
        <v>135</v>
      </c>
    </row>
    <row r="143" spans="8:8" x14ac:dyDescent="0.25">
      <c r="H143" t="s">
        <v>446</v>
      </c>
    </row>
    <row r="144" spans="8:8" x14ac:dyDescent="0.25">
      <c r="H144" t="s">
        <v>571</v>
      </c>
    </row>
    <row r="145" spans="8:8" x14ac:dyDescent="0.25">
      <c r="H145" t="s">
        <v>505</v>
      </c>
    </row>
    <row r="146" spans="8:8" x14ac:dyDescent="0.25">
      <c r="H146" t="s">
        <v>575</v>
      </c>
    </row>
    <row r="147" spans="8:8" x14ac:dyDescent="0.25">
      <c r="H147" t="s">
        <v>572</v>
      </c>
    </row>
    <row r="148" spans="8:8" x14ac:dyDescent="0.25">
      <c r="H148" t="s">
        <v>506</v>
      </c>
    </row>
    <row r="149" spans="8:8" x14ac:dyDescent="0.25">
      <c r="H149" t="s">
        <v>575</v>
      </c>
    </row>
    <row r="150" spans="8:8" x14ac:dyDescent="0.25">
      <c r="H150" t="s">
        <v>573</v>
      </c>
    </row>
    <row r="151" spans="8:8" x14ac:dyDescent="0.25">
      <c r="H151" t="s">
        <v>507</v>
      </c>
    </row>
    <row r="152" spans="8:8" x14ac:dyDescent="0.25">
      <c r="H152" t="s">
        <v>575</v>
      </c>
    </row>
    <row r="153" spans="8:8" x14ac:dyDescent="0.25">
      <c r="H153" t="s">
        <v>574</v>
      </c>
    </row>
    <row r="154" spans="8:8" x14ac:dyDescent="0.25">
      <c r="H154" t="s">
        <v>508</v>
      </c>
    </row>
    <row r="155" spans="8:8" x14ac:dyDescent="0.25">
      <c r="H155" t="s">
        <v>575</v>
      </c>
    </row>
    <row r="157" spans="8:8" x14ac:dyDescent="0.25">
      <c r="H157" t="s">
        <v>136</v>
      </c>
    </row>
    <row r="158" spans="8:8" x14ac:dyDescent="0.25">
      <c r="H158" t="s">
        <v>451</v>
      </c>
    </row>
    <row r="159" spans="8:8" x14ac:dyDescent="0.25">
      <c r="H159" t="s">
        <v>571</v>
      </c>
    </row>
    <row r="160" spans="8:8" x14ac:dyDescent="0.25">
      <c r="H160" t="s">
        <v>509</v>
      </c>
    </row>
    <row r="161" spans="8:8" x14ac:dyDescent="0.25">
      <c r="H161" t="s">
        <v>575</v>
      </c>
    </row>
    <row r="162" spans="8:8" x14ac:dyDescent="0.25">
      <c r="H162" t="s">
        <v>572</v>
      </c>
    </row>
    <row r="163" spans="8:8" x14ac:dyDescent="0.25">
      <c r="H163" t="s">
        <v>510</v>
      </c>
    </row>
    <row r="164" spans="8:8" x14ac:dyDescent="0.25">
      <c r="H164" t="s">
        <v>575</v>
      </c>
    </row>
    <row r="165" spans="8:8" x14ac:dyDescent="0.25">
      <c r="H165" t="s">
        <v>573</v>
      </c>
    </row>
    <row r="166" spans="8:8" x14ac:dyDescent="0.25">
      <c r="H166" t="s">
        <v>511</v>
      </c>
    </row>
    <row r="167" spans="8:8" x14ac:dyDescent="0.25">
      <c r="H167" t="s">
        <v>575</v>
      </c>
    </row>
    <row r="168" spans="8:8" x14ac:dyDescent="0.25">
      <c r="H168" t="s">
        <v>574</v>
      </c>
    </row>
    <row r="169" spans="8:8" x14ac:dyDescent="0.25">
      <c r="H169" t="s">
        <v>512</v>
      </c>
    </row>
    <row r="170" spans="8:8" x14ac:dyDescent="0.25">
      <c r="H170" t="s">
        <v>575</v>
      </c>
    </row>
    <row r="172" spans="8:8" x14ac:dyDescent="0.25">
      <c r="H172" t="s">
        <v>137</v>
      </c>
    </row>
    <row r="173" spans="8:8" x14ac:dyDescent="0.25">
      <c r="H173" t="s">
        <v>456</v>
      </c>
    </row>
    <row r="174" spans="8:8" x14ac:dyDescent="0.25">
      <c r="H174" t="s">
        <v>571</v>
      </c>
    </row>
    <row r="175" spans="8:8" x14ac:dyDescent="0.25">
      <c r="H175" t="s">
        <v>513</v>
      </c>
    </row>
    <row r="176" spans="8:8" x14ac:dyDescent="0.25">
      <c r="H176" t="s">
        <v>575</v>
      </c>
    </row>
    <row r="177" spans="8:8" x14ac:dyDescent="0.25">
      <c r="H177" t="s">
        <v>572</v>
      </c>
    </row>
    <row r="178" spans="8:8" x14ac:dyDescent="0.25">
      <c r="H178" t="s">
        <v>514</v>
      </c>
    </row>
    <row r="179" spans="8:8" x14ac:dyDescent="0.25">
      <c r="H179" t="s">
        <v>575</v>
      </c>
    </row>
    <row r="181" spans="8:8" x14ac:dyDescent="0.25">
      <c r="H181" t="s">
        <v>138</v>
      </c>
    </row>
    <row r="182" spans="8:8" x14ac:dyDescent="0.25">
      <c r="H182" t="s">
        <v>459</v>
      </c>
    </row>
    <row r="183" spans="8:8" x14ac:dyDescent="0.25">
      <c r="H183" t="s">
        <v>571</v>
      </c>
    </row>
    <row r="184" spans="8:8" x14ac:dyDescent="0.25">
      <c r="H184" t="s">
        <v>515</v>
      </c>
    </row>
    <row r="185" spans="8:8" x14ac:dyDescent="0.25">
      <c r="H185" t="s">
        <v>575</v>
      </c>
    </row>
    <row r="187" spans="8:8" x14ac:dyDescent="0.25">
      <c r="H187" t="s">
        <v>139</v>
      </c>
    </row>
    <row r="188" spans="8:8" x14ac:dyDescent="0.25">
      <c r="H188" t="s">
        <v>461</v>
      </c>
    </row>
    <row r="189" spans="8:8" x14ac:dyDescent="0.25">
      <c r="H189" t="s">
        <v>571</v>
      </c>
    </row>
    <row r="190" spans="8:8" x14ac:dyDescent="0.25">
      <c r="H190" t="s">
        <v>516</v>
      </c>
    </row>
    <row r="191" spans="8:8" x14ac:dyDescent="0.25">
      <c r="H191" t="s">
        <v>575</v>
      </c>
    </row>
    <row r="193" spans="8:8" x14ac:dyDescent="0.25">
      <c r="H193" t="s">
        <v>29</v>
      </c>
    </row>
    <row r="194" spans="8:8" x14ac:dyDescent="0.25">
      <c r="H194" t="s">
        <v>121</v>
      </c>
    </row>
    <row r="195" spans="8:8" x14ac:dyDescent="0.25">
      <c r="H195" t="s">
        <v>38</v>
      </c>
    </row>
    <row r="197" spans="8:8" x14ac:dyDescent="0.25">
      <c r="H197" t="s">
        <v>30</v>
      </c>
    </row>
    <row r="198" spans="8:8" x14ac:dyDescent="0.25">
      <c r="H198" s="11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88</v>
      </c>
      <c r="I2" s="1" t="s">
        <v>89</v>
      </c>
    </row>
    <row r="3" spans="2:9" x14ac:dyDescent="0.25">
      <c r="B3" t="s">
        <v>108</v>
      </c>
      <c r="H3" t="s">
        <v>118</v>
      </c>
      <c r="I3" t="s">
        <v>119</v>
      </c>
    </row>
    <row r="5" spans="2:9" x14ac:dyDescent="0.25">
      <c r="B5" s="1" t="s">
        <v>19</v>
      </c>
      <c r="H5" t="s">
        <v>517</v>
      </c>
      <c r="I5" t="s">
        <v>541</v>
      </c>
    </row>
    <row r="6" spans="2:9" x14ac:dyDescent="0.25">
      <c r="B6" t="s">
        <v>397</v>
      </c>
      <c r="H6" t="s">
        <v>518</v>
      </c>
      <c r="I6" t="s">
        <v>542</v>
      </c>
    </row>
    <row r="7" spans="2:9" x14ac:dyDescent="0.25">
      <c r="H7" t="s">
        <v>519</v>
      </c>
      <c r="I7" t="s">
        <v>543</v>
      </c>
    </row>
    <row r="8" spans="2:9" x14ac:dyDescent="0.25">
      <c r="B8" s="1" t="s">
        <v>20</v>
      </c>
      <c r="H8" t="s">
        <v>520</v>
      </c>
      <c r="I8" t="s">
        <v>544</v>
      </c>
    </row>
    <row r="9" spans="2:9" x14ac:dyDescent="0.25">
      <c r="B9" t="s">
        <v>398</v>
      </c>
      <c r="H9" t="s">
        <v>521</v>
      </c>
      <c r="I9" s="11" t="s">
        <v>84</v>
      </c>
    </row>
    <row r="10" spans="2:9" x14ac:dyDescent="0.25">
      <c r="H10" t="s">
        <v>522</v>
      </c>
    </row>
    <row r="11" spans="2:9" x14ac:dyDescent="0.25">
      <c r="B11" s="1" t="s">
        <v>13</v>
      </c>
      <c r="H11" t="s">
        <v>523</v>
      </c>
    </row>
    <row r="12" spans="2:9" x14ac:dyDescent="0.25">
      <c r="B12" t="s">
        <v>15</v>
      </c>
      <c r="H12" t="s">
        <v>524</v>
      </c>
    </row>
    <row r="13" spans="2:9" x14ac:dyDescent="0.25">
      <c r="H13" t="s">
        <v>525</v>
      </c>
    </row>
    <row r="14" spans="2:9" x14ac:dyDescent="0.25">
      <c r="B14" s="1" t="s">
        <v>35</v>
      </c>
      <c r="H14" t="s">
        <v>526</v>
      </c>
    </row>
    <row r="15" spans="2:9" x14ac:dyDescent="0.25">
      <c r="B15" t="s">
        <v>34</v>
      </c>
      <c r="H15" t="s">
        <v>527</v>
      </c>
    </row>
    <row r="16" spans="2:9" x14ac:dyDescent="0.25">
      <c r="H16" t="s">
        <v>528</v>
      </c>
    </row>
    <row r="17" spans="2:8" x14ac:dyDescent="0.25">
      <c r="B17" s="1" t="s">
        <v>21</v>
      </c>
      <c r="H17" t="s">
        <v>529</v>
      </c>
    </row>
    <row r="18" spans="2:8" x14ac:dyDescent="0.25">
      <c r="B18" t="s">
        <v>468</v>
      </c>
      <c r="H18" t="s">
        <v>530</v>
      </c>
    </row>
    <row r="19" spans="2:8" x14ac:dyDescent="0.25">
      <c r="H19" t="s">
        <v>531</v>
      </c>
    </row>
    <row r="20" spans="2:8" x14ac:dyDescent="0.25">
      <c r="B20" s="1"/>
      <c r="H20" t="s">
        <v>532</v>
      </c>
    </row>
    <row r="21" spans="2:8" x14ac:dyDescent="0.25">
      <c r="H21" t="s">
        <v>533</v>
      </c>
    </row>
    <row r="22" spans="2:8" x14ac:dyDescent="0.25">
      <c r="H22" t="s">
        <v>534</v>
      </c>
    </row>
    <row r="23" spans="2:8" x14ac:dyDescent="0.25">
      <c r="H23" t="s">
        <v>535</v>
      </c>
    </row>
    <row r="24" spans="2:8" x14ac:dyDescent="0.25">
      <c r="H24" t="s">
        <v>536</v>
      </c>
    </row>
    <row r="25" spans="2:8" x14ac:dyDescent="0.25">
      <c r="H25" t="s">
        <v>537</v>
      </c>
    </row>
    <row r="26" spans="2:8" x14ac:dyDescent="0.25">
      <c r="H26" t="s">
        <v>538</v>
      </c>
    </row>
    <row r="27" spans="2:8" x14ac:dyDescent="0.25">
      <c r="H27" t="s">
        <v>539</v>
      </c>
    </row>
    <row r="28" spans="2:8" x14ac:dyDescent="0.25">
      <c r="H28" t="s">
        <v>540</v>
      </c>
    </row>
    <row r="29" spans="2:8" x14ac:dyDescent="0.25">
      <c r="H29" t="s">
        <v>541</v>
      </c>
    </row>
    <row r="30" spans="2:8" x14ac:dyDescent="0.25">
      <c r="H30" t="s">
        <v>542</v>
      </c>
    </row>
    <row r="31" spans="2:8" x14ac:dyDescent="0.25">
      <c r="H31" t="s">
        <v>543</v>
      </c>
    </row>
    <row r="32" spans="2:8" x14ac:dyDescent="0.25">
      <c r="H32" t="s">
        <v>544</v>
      </c>
    </row>
    <row r="33" spans="8:8" x14ac:dyDescent="0.25">
      <c r="H33" s="11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545</v>
      </c>
    </row>
    <row r="4" spans="2:8" x14ac:dyDescent="0.25">
      <c r="H4" t="s">
        <v>546</v>
      </c>
    </row>
    <row r="5" spans="2:8" x14ac:dyDescent="0.25">
      <c r="B5" s="1"/>
      <c r="H5" t="s">
        <v>547</v>
      </c>
    </row>
    <row r="6" spans="2:8" x14ac:dyDescent="0.25">
      <c r="H6" t="s">
        <v>548</v>
      </c>
    </row>
    <row r="7" spans="2:8" x14ac:dyDescent="0.25">
      <c r="H7" t="s">
        <v>549</v>
      </c>
    </row>
    <row r="8" spans="2:8" x14ac:dyDescent="0.25">
      <c r="B8" s="1"/>
      <c r="H8" t="s">
        <v>550</v>
      </c>
    </row>
    <row r="9" spans="2:8" x14ac:dyDescent="0.25">
      <c r="H9" t="s">
        <v>551</v>
      </c>
    </row>
    <row r="10" spans="2:8" x14ac:dyDescent="0.25">
      <c r="H10" t="s">
        <v>552</v>
      </c>
    </row>
    <row r="11" spans="2:8" x14ac:dyDescent="0.25">
      <c r="B11" s="1"/>
      <c r="H11" t="s">
        <v>553</v>
      </c>
    </row>
    <row r="12" spans="2:8" x14ac:dyDescent="0.25">
      <c r="H12" t="s">
        <v>554</v>
      </c>
    </row>
    <row r="13" spans="2:8" x14ac:dyDescent="0.25">
      <c r="H13" t="s">
        <v>555</v>
      </c>
    </row>
    <row r="14" spans="2:8" x14ac:dyDescent="0.25">
      <c r="B14" s="1"/>
      <c r="H14" t="s">
        <v>556</v>
      </c>
    </row>
    <row r="15" spans="2:8" x14ac:dyDescent="0.25">
      <c r="H15" t="s">
        <v>557</v>
      </c>
    </row>
    <row r="16" spans="2:8" x14ac:dyDescent="0.25">
      <c r="H16" t="s">
        <v>558</v>
      </c>
    </row>
    <row r="17" spans="2:8" x14ac:dyDescent="0.25">
      <c r="B17" s="1"/>
      <c r="H17" t="s">
        <v>559</v>
      </c>
    </row>
    <row r="18" spans="2:8" x14ac:dyDescent="0.25">
      <c r="H18" t="s">
        <v>560</v>
      </c>
    </row>
    <row r="19" spans="2:8" x14ac:dyDescent="0.25">
      <c r="H19" t="s">
        <v>561</v>
      </c>
    </row>
    <row r="20" spans="2:8" x14ac:dyDescent="0.25">
      <c r="B20" s="1"/>
    </row>
    <row r="21" spans="2:8" x14ac:dyDescent="0.25">
      <c r="H21" t="s">
        <v>562</v>
      </c>
    </row>
    <row r="22" spans="2:8" x14ac:dyDescent="0.25">
      <c r="H22" t="s">
        <v>563</v>
      </c>
    </row>
    <row r="23" spans="2:8" x14ac:dyDescent="0.25">
      <c r="H23" t="s">
        <v>564</v>
      </c>
    </row>
    <row r="24" spans="2:8" x14ac:dyDescent="0.25">
      <c r="H24" t="s">
        <v>565</v>
      </c>
    </row>
    <row r="25" spans="2:8" x14ac:dyDescent="0.25">
      <c r="H25" t="s">
        <v>566</v>
      </c>
    </row>
    <row r="27" spans="2:8" x14ac:dyDescent="0.25">
      <c r="H27" t="s">
        <v>122</v>
      </c>
    </row>
    <row r="28" spans="2:8" x14ac:dyDescent="0.25">
      <c r="H28" t="s">
        <v>567</v>
      </c>
    </row>
    <row r="29" spans="2:8" x14ac:dyDescent="0.25">
      <c r="H29" t="s">
        <v>568</v>
      </c>
    </row>
    <row r="30" spans="2:8" x14ac:dyDescent="0.25">
      <c r="H30" t="s">
        <v>569</v>
      </c>
    </row>
    <row r="31" spans="2:8" x14ac:dyDescent="0.25">
      <c r="H31" t="s">
        <v>570</v>
      </c>
    </row>
    <row r="32" spans="2:8" x14ac:dyDescent="0.25">
      <c r="H32" s="11" t="s">
        <v>102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2021-03-15T18:20:50Z</dcterms:modified>
</cp:coreProperties>
</file>