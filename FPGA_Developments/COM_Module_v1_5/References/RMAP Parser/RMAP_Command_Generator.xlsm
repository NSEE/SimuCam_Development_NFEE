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defaultThemeVersion="153222"/>
  <mc:AlternateContent xmlns:mc="http://schemas.openxmlformats.org/markup-compatibility/2006">
    <mc:Choice Requires="x15">
      <x15ac:absPath xmlns:x15ac="http://schemas.microsoft.com/office/spreadsheetml/2010/11/ac" url="C:\Users\rfranca\Development\GitHub\SimuCam_Development\FPGA_Developments\COM_Module_v1_5\References\RMAP Parser\"/>
    </mc:Choice>
  </mc:AlternateContent>
  <bookViews>
    <workbookView xWindow="0" yWindow="0" windowWidth="21570" windowHeight="8010"/>
  </bookViews>
  <sheets>
    <sheet name="Write_Command" sheetId="1" r:id="rId1"/>
    <sheet name="Read_Command" sheetId="6"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7" i="6" l="1"/>
  <c r="G41" i="6"/>
  <c r="G40" i="6"/>
  <c r="G39" i="6"/>
  <c r="G38" i="6"/>
  <c r="G37" i="6"/>
  <c r="G36" i="6"/>
  <c r="G35" i="6"/>
  <c r="G34" i="6"/>
  <c r="G33" i="6"/>
  <c r="G32" i="6"/>
  <c r="G31" i="6"/>
  <c r="G18" i="6"/>
  <c r="G15" i="6"/>
  <c r="G41" i="1"/>
  <c r="G34" i="1"/>
  <c r="G35" i="1"/>
  <c r="G36" i="1"/>
  <c r="G37" i="1"/>
  <c r="G38" i="1"/>
  <c r="G40" i="1"/>
  <c r="G39" i="1"/>
  <c r="G32" i="1"/>
  <c r="G33" i="1"/>
  <c r="G17" i="1"/>
  <c r="G31" i="1"/>
  <c r="G18" i="1"/>
  <c r="G15" i="1"/>
  <c r="G42" i="6"/>
  <c r="G42" i="1"/>
</calcChain>
</file>

<file path=xl/sharedStrings.xml><?xml version="1.0" encoding="utf-8"?>
<sst xmlns="http://schemas.openxmlformats.org/spreadsheetml/2006/main" count="222" uniqueCount="55">
  <si>
    <t>Target SpW Address</t>
  </si>
  <si>
    <t>Target Logical Address</t>
  </si>
  <si>
    <t>Protocol Identifier</t>
  </si>
  <si>
    <t>Instruction</t>
  </si>
  <si>
    <t>Key</t>
  </si>
  <si>
    <t>Reply Address</t>
  </si>
  <si>
    <t>Initiator Logical Address</t>
  </si>
  <si>
    <t>Transaction Identifier</t>
  </si>
  <si>
    <t>Transaction Identifier (MS)</t>
  </si>
  <si>
    <t>Transaction Identifier (LS)</t>
  </si>
  <si>
    <t>Extended Address</t>
  </si>
  <si>
    <t>Address (MS)</t>
  </si>
  <si>
    <t>Address</t>
  </si>
  <si>
    <t>Address (LS)</t>
  </si>
  <si>
    <t>Data Length (MS)</t>
  </si>
  <si>
    <t>Data Length</t>
  </si>
  <si>
    <t>Data Length (LS)</t>
  </si>
  <si>
    <t>Header CRC</t>
  </si>
  <si>
    <t>Data</t>
  </si>
  <si>
    <t>Data CRC</t>
  </si>
  <si>
    <t>EOP</t>
  </si>
  <si>
    <t>Field</t>
  </si>
  <si>
    <t>-</t>
  </si>
  <si>
    <t>Packet Data</t>
  </si>
  <si>
    <t>SpaceWire</t>
  </si>
  <si>
    <t>RMAP</t>
  </si>
  <si>
    <t>Write Instruction</t>
  </si>
  <si>
    <t>Verify Data</t>
  </si>
  <si>
    <t>Reply</t>
  </si>
  <si>
    <t>Increment</t>
  </si>
  <si>
    <t>Reply Address Length</t>
  </si>
  <si>
    <t>Packet</t>
  </si>
  <si>
    <t>0x00</t>
  </si>
  <si>
    <t>0x01</t>
  </si>
  <si>
    <t>0x67</t>
  </si>
  <si>
    <t>0xFE</t>
  </si>
  <si>
    <t>0x23</t>
  </si>
  <si>
    <t>0x45</t>
  </si>
  <si>
    <t>0x89</t>
  </si>
  <si>
    <t>0xAB</t>
  </si>
  <si>
    <t>0xCD</t>
  </si>
  <si>
    <t>0xEF</t>
  </si>
  <si>
    <t>0x10</t>
  </si>
  <si>
    <t>0x11</t>
  </si>
  <si>
    <t>0x12</t>
  </si>
  <si>
    <t>0x13</t>
  </si>
  <si>
    <t>0x14</t>
  </si>
  <si>
    <t>0x15</t>
  </si>
  <si>
    <t>0x16</t>
  </si>
  <si>
    <t>0x17</t>
  </si>
  <si>
    <t>StarDundee Brick Format</t>
  </si>
  <si>
    <t>Read Instruction</t>
  </si>
  <si>
    <t>0xFE 0x01 0x4C 0x00 0x67 0x00 0x00 0x00 0xA0 0x00 0x00 0x00 0x00 0x00 0x10 0xE5</t>
  </si>
  <si>
    <t>0x56</t>
  </si>
  <si>
    <t>0xFE 0x01 0x6C 0x00 0x67 0x00 0x00 0x00 0xA0 0x00 0x00 0x00 0x00 0x00 0x10 0x9F 0x01 0x23 0x45 0x67 0x89 0xAB 0xCD 0xEF 0x10 0x11 0x12 0x13 0x14 0x15 0x16 0x17 0x56</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</si>
</sst>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1"/>
      <color theme="1"/>
      <name val="Calibri"/>
      <family val="2"/>
      <scheme val="minor"/>
    </font>
    <font>
      <u/>
      <sz val="11"/>
      <color theme="1"/>
      <name val="Calibri"/>
      <family val="2"/>
      <scheme val="minor"/>
    </font>
    <font>
      <sz val="11"/>
      <color rgb="FF000000"/>
      <name val="Calibri"/>
      <family val="2"/>
    </font>
  </fonts>
  <fills count="7">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9">
    <xf numFmtId="0" fontId="0" fillId="0" borderId="0" xfId="0"/>
    <xf numFmtId="0" fontId="1" fillId="6" borderId="1" xfId="0" applyFont="1" applyFill="1" applyBorder="1" applyAlignment="1">
      <alignment horizontal="center" vertical="center"/>
    </xf>
    <xf numFmtId="0" fontId="0" fillId="0" borderId="0" xfId="0" applyAlignment="1">
      <alignment vertical="center"/>
    </xf>
    <xf numFmtId="0" fontId="0" fillId="4" borderId="1" xfId="0" applyFill="1" applyBorder="1" applyAlignment="1">
      <alignment horizontal="center" vertical="center"/>
    </xf>
    <xf numFmtId="0" fontId="0" fillId="0" borderId="1" xfId="0" applyBorder="1" applyAlignment="1">
      <alignment horizontal="center" vertical="center"/>
    </xf>
    <xf numFmtId="0" fontId="1" fillId="0" borderId="1" xfId="0" applyFont="1" applyBorder="1" applyAlignment="1">
      <alignment horizontal="center" vertical="center"/>
    </xf>
    <xf numFmtId="0" fontId="0" fillId="2" borderId="1" xfId="0" applyFill="1" applyBorder="1" applyAlignment="1">
      <alignment horizontal="center" vertical="center"/>
    </xf>
    <xf numFmtId="0" fontId="0" fillId="3" borderId="1" xfId="0" applyFill="1" applyBorder="1" applyAlignment="1">
      <alignment horizontal="center" vertical="center"/>
    </xf>
    <xf numFmtId="0" fontId="0" fillId="0" borderId="0" xfId="0" applyFont="1" applyAlignment="1">
      <alignment vertical="center"/>
    </xf>
    <xf numFmtId="0" fontId="0" fillId="5" borderId="1" xfId="0" applyFill="1" applyBorder="1" applyAlignment="1">
      <alignment horizontal="center" vertical="center"/>
    </xf>
    <xf numFmtId="0" fontId="0" fillId="0" borderId="1" xfId="0" applyFont="1" applyBorder="1" applyAlignment="1">
      <alignment horizontal="center" vertical="center"/>
    </xf>
    <xf numFmtId="0" fontId="0" fillId="0" borderId="0" xfId="0" applyAlignment="1">
      <alignment horizontal="center" vertical="center"/>
    </xf>
    <xf numFmtId="0" fontId="0" fillId="0" borderId="0" xfId="0" applyFont="1" applyAlignment="1">
      <alignment horizontal="center" vertical="center"/>
    </xf>
    <xf numFmtId="0" fontId="1" fillId="0" borderId="0" xfId="0" applyFont="1" applyAlignment="1">
      <alignment horizontal="center" vertical="center"/>
    </xf>
    <xf numFmtId="0" fontId="2" fillId="0" borderId="0" xfId="0" applyFont="1" applyAlignment="1">
      <alignment vertical="center"/>
    </xf>
    <xf numFmtId="0" fontId="0" fillId="0" borderId="0" xfId="0" applyFont="1"/>
    <xf numFmtId="0" fontId="1" fillId="0" borderId="1" xfId="0" applyFont="1" applyBorder="1" applyAlignment="1">
      <alignment horizontal="left" vertical="top"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22</xdr:row>
          <xdr:rowOff>19050</xdr:rowOff>
        </xdr:from>
        <xdr:to>
          <xdr:col>10</xdr:col>
          <xdr:colOff>0</xdr:colOff>
          <xdr:row>23</xdr:row>
          <xdr:rowOff>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20</xdr:row>
          <xdr:rowOff>0</xdr:rowOff>
        </xdr:from>
        <xdr:to>
          <xdr:col>10</xdr:col>
          <xdr:colOff>0</xdr:colOff>
          <xdr:row>21</xdr:row>
          <xdr:rowOff>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Generate RMAP Write Command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20</xdr:row>
          <xdr:rowOff>0</xdr:rowOff>
        </xdr:from>
        <xdr:to>
          <xdr:col>10</xdr:col>
          <xdr:colOff>0</xdr:colOff>
          <xdr:row>21</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Generate RMAP Read Command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22</xdr:row>
          <xdr:rowOff>0</xdr:rowOff>
        </xdr:from>
        <xdr:to>
          <xdr:col>10</xdr:col>
          <xdr:colOff>0</xdr:colOff>
          <xdr:row>23</xdr:row>
          <xdr:rowOff>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rPr>
                <a:t>Clear all</a:t>
              </a:r>
            </a:p>
          </xdr:txBody>
        </xdr:sp>
        <xdr:clientData fPrintsWithSheet="0"/>
      </xdr:twoCellAnchor>
    </mc:Choice>
    <mc:Fallback/>
  </mc:AlternateContent>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dimension ref="A1:J60"/>
  <sheetViews>
    <sheetView tabSelected="1" zoomScaleNormal="100" workbookViewId="0"/>
  </sheetViews>
  <sheetFormatPr defaultRowHeight="15" x14ac:dyDescent="0.25"/>
  <cols>
    <col min="1" max="1" width="7.140625" customWidth="1"/>
    <col min="2" max="3" width="25" style="11" customWidth="1"/>
    <col min="4" max="5" width="9.140625" style="2"/>
    <col min="6" max="7" width="25" style="2" customWidth="1"/>
    <col min="8" max="9" width="9.140625" style="2"/>
    <col min="10" max="10" width="114.28515625" style="2" customWidth="1"/>
    <col min="11" max="11" width="7.140625" customWidth="1"/>
  </cols>
  <sheetData>
    <row r="1" spans="1:10" x14ac:dyDescent="0.25">
      <c r="A1" s="15"/>
    </row>
    <row r="2" spans="1:10" x14ac:dyDescent="0.25">
      <c r="B2" s="17" t="s">
        <v>24</v>
      </c>
      <c r="C2" s="18"/>
      <c r="F2" s="1" t="s">
        <v>21</v>
      </c>
      <c r="G2" s="1" t="s">
        <v>23</v>
      </c>
      <c r="J2" s="1" t="s">
        <v>50</v>
      </c>
    </row>
    <row r="3" spans="1:10" x14ac:dyDescent="0.25">
      <c r="B3" s="3" t="s">
        <v>0</v>
      </c>
      <c r="C3" s="4" t="s">
        <v>22</v>
      </c>
      <c r="F3" s="3" t="s">
        <v>0</v>
      </c>
      <c r="G3" s="5" t="s">
        <v>22</v>
      </c>
      <c r="J3" s="16" t="s">
        <v>54</v>
      </c>
    </row>
    <row r="4" spans="1:10" x14ac:dyDescent="0.25">
      <c r="B4" s="3" t="s">
        <v>5</v>
      </c>
      <c r="C4" s="4" t="s">
        <v>22</v>
      </c>
      <c r="F4" s="3" t="s">
        <v>0</v>
      </c>
      <c r="G4" s="5" t="s">
        <v>22</v>
      </c>
      <c r="J4" s="16"/>
    </row>
    <row r="5" spans="1:10" x14ac:dyDescent="0.25">
      <c r="B5" s="17" t="s">
        <v>25</v>
      </c>
      <c r="C5" s="18"/>
      <c r="F5" s="3" t="s">
        <v>0</v>
      </c>
      <c r="G5" s="5" t="s">
        <v>22</v>
      </c>
      <c r="J5" s="16"/>
    </row>
    <row r="6" spans="1:10" x14ac:dyDescent="0.25">
      <c r="B6" s="6" t="s">
        <v>6</v>
      </c>
      <c r="C6" s="4" t="s">
        <v>34</v>
      </c>
      <c r="F6" s="3" t="s">
        <v>0</v>
      </c>
      <c r="G6" s="5" t="s">
        <v>22</v>
      </c>
      <c r="J6" s="16"/>
    </row>
    <row r="7" spans="1:10" x14ac:dyDescent="0.25">
      <c r="B7" s="6" t="s">
        <v>4</v>
      </c>
      <c r="C7" s="4" t="s">
        <v>32</v>
      </c>
      <c r="D7" s="8"/>
      <c r="F7" s="3" t="s">
        <v>0</v>
      </c>
      <c r="G7" s="5" t="s">
        <v>22</v>
      </c>
      <c r="J7" s="16"/>
    </row>
    <row r="8" spans="1:10" x14ac:dyDescent="0.25">
      <c r="B8" s="7" t="s">
        <v>1</v>
      </c>
      <c r="C8" s="4" t="s">
        <v>35</v>
      </c>
      <c r="F8" s="3" t="s">
        <v>0</v>
      </c>
      <c r="G8" s="5" t="s">
        <v>22</v>
      </c>
      <c r="J8" s="16"/>
    </row>
    <row r="9" spans="1:10" x14ac:dyDescent="0.25">
      <c r="B9" s="17" t="s">
        <v>26</v>
      </c>
      <c r="C9" s="18"/>
      <c r="F9" s="3" t="s">
        <v>0</v>
      </c>
      <c r="G9" s="5" t="s">
        <v>22</v>
      </c>
      <c r="J9" s="16"/>
    </row>
    <row r="10" spans="1:10" x14ac:dyDescent="0.25">
      <c r="B10" s="6" t="s">
        <v>27</v>
      </c>
      <c r="C10" s="4">
        <v>0</v>
      </c>
      <c r="F10" s="3" t="s">
        <v>0</v>
      </c>
      <c r="G10" s="5" t="s">
        <v>22</v>
      </c>
      <c r="J10" s="16"/>
    </row>
    <row r="11" spans="1:10" x14ac:dyDescent="0.25">
      <c r="B11" s="6" t="s">
        <v>28</v>
      </c>
      <c r="C11" s="10">
        <v>1</v>
      </c>
      <c r="F11" s="3" t="s">
        <v>0</v>
      </c>
      <c r="G11" s="5" t="s">
        <v>22</v>
      </c>
      <c r="J11" s="16"/>
    </row>
    <row r="12" spans="1:10" x14ac:dyDescent="0.25">
      <c r="B12" s="6" t="s">
        <v>29</v>
      </c>
      <c r="C12" s="4">
        <v>1</v>
      </c>
      <c r="F12" s="3" t="s">
        <v>0</v>
      </c>
      <c r="G12" s="5" t="s">
        <v>22</v>
      </c>
      <c r="J12" s="16"/>
    </row>
    <row r="13" spans="1:10" x14ac:dyDescent="0.25">
      <c r="B13" s="6" t="s">
        <v>30</v>
      </c>
      <c r="C13" s="4">
        <v>0</v>
      </c>
      <c r="F13" s="3" t="s">
        <v>0</v>
      </c>
      <c r="G13" s="5" t="s">
        <v>22</v>
      </c>
      <c r="J13" s="16"/>
    </row>
    <row r="14" spans="1:10" x14ac:dyDescent="0.25">
      <c r="B14" s="17" t="s">
        <v>31</v>
      </c>
      <c r="C14" s="18"/>
      <c r="F14" s="3" t="s">
        <v>0</v>
      </c>
      <c r="G14" s="5" t="s">
        <v>22</v>
      </c>
      <c r="J14" s="16"/>
    </row>
    <row r="15" spans="1:10" x14ac:dyDescent="0.25">
      <c r="B15" s="6" t="s">
        <v>7</v>
      </c>
      <c r="C15" s="4">
        <v>0</v>
      </c>
      <c r="F15" s="7" t="s">
        <v>1</v>
      </c>
      <c r="G15" s="5" t="str">
        <f>$C$8</f>
        <v>0xFE</v>
      </c>
      <c r="J15" s="16"/>
    </row>
    <row r="16" spans="1:10" x14ac:dyDescent="0.25">
      <c r="B16" s="17" t="s">
        <v>18</v>
      </c>
      <c r="C16" s="18"/>
      <c r="F16" s="9" t="s">
        <v>2</v>
      </c>
      <c r="G16" s="5" t="s">
        <v>33</v>
      </c>
      <c r="J16" s="16"/>
    </row>
    <row r="17" spans="2:10" x14ac:dyDescent="0.25">
      <c r="B17" s="6" t="s">
        <v>12</v>
      </c>
      <c r="C17" s="4">
        <v>2684354560</v>
      </c>
      <c r="F17" s="6" t="s">
        <v>3</v>
      </c>
      <c r="G17" s="5" t="str">
        <f>CONCATENATE("0x", TEXT(DEC2HEX(64+32+$C$10*16+$C$11*8+$C$12*4+$C$13),"00"))</f>
        <v>0x6C</v>
      </c>
      <c r="J17" s="16"/>
    </row>
    <row r="18" spans="2:10" x14ac:dyDescent="0.25">
      <c r="B18" s="6" t="s">
        <v>15</v>
      </c>
      <c r="C18" s="4">
        <v>16</v>
      </c>
      <c r="F18" s="6" t="s">
        <v>4</v>
      </c>
      <c r="G18" s="5" t="str">
        <f>C7</f>
        <v>0x00</v>
      </c>
      <c r="J18" s="16"/>
    </row>
    <row r="19" spans="2:10" x14ac:dyDescent="0.25">
      <c r="B19" s="3" t="s">
        <v>18</v>
      </c>
      <c r="C19" s="4" t="s">
        <v>22</v>
      </c>
      <c r="F19" s="3" t="s">
        <v>5</v>
      </c>
      <c r="G19" s="5" t="s">
        <v>22</v>
      </c>
      <c r="J19" s="16"/>
    </row>
    <row r="20" spans="2:10" x14ac:dyDescent="0.25">
      <c r="C20" s="12"/>
      <c r="F20" s="3" t="s">
        <v>5</v>
      </c>
      <c r="G20" s="5" t="s">
        <v>22</v>
      </c>
    </row>
    <row r="21" spans="2:10" x14ac:dyDescent="0.25">
      <c r="F21" s="3" t="s">
        <v>5</v>
      </c>
      <c r="G21" s="5" t="s">
        <v>22</v>
      </c>
    </row>
    <row r="22" spans="2:10" x14ac:dyDescent="0.25">
      <c r="F22" s="3" t="s">
        <v>5</v>
      </c>
      <c r="G22" s="5" t="s">
        <v>22</v>
      </c>
    </row>
    <row r="23" spans="2:10" x14ac:dyDescent="0.25">
      <c r="F23" s="3" t="s">
        <v>5</v>
      </c>
      <c r="G23" s="5" t="s">
        <v>22</v>
      </c>
    </row>
    <row r="24" spans="2:10" x14ac:dyDescent="0.25">
      <c r="F24" s="3" t="s">
        <v>5</v>
      </c>
      <c r="G24" s="5" t="s">
        <v>22</v>
      </c>
    </row>
    <row r="25" spans="2:10" x14ac:dyDescent="0.25">
      <c r="F25" s="3" t="s">
        <v>5</v>
      </c>
      <c r="G25" s="5" t="s">
        <v>22</v>
      </c>
      <c r="H25" s="13"/>
    </row>
    <row r="26" spans="2:10" x14ac:dyDescent="0.25">
      <c r="F26" s="3" t="s">
        <v>5</v>
      </c>
      <c r="G26" s="5" t="s">
        <v>22</v>
      </c>
    </row>
    <row r="27" spans="2:10" x14ac:dyDescent="0.25">
      <c r="F27" s="3" t="s">
        <v>5</v>
      </c>
      <c r="G27" s="5" t="s">
        <v>22</v>
      </c>
    </row>
    <row r="28" spans="2:10" x14ac:dyDescent="0.25">
      <c r="F28" s="3" t="s">
        <v>5</v>
      </c>
      <c r="G28" s="5" t="s">
        <v>22</v>
      </c>
    </row>
    <row r="29" spans="2:10" x14ac:dyDescent="0.25">
      <c r="F29" s="3" t="s">
        <v>5</v>
      </c>
      <c r="G29" s="5" t="s">
        <v>22</v>
      </c>
    </row>
    <row r="30" spans="2:10" x14ac:dyDescent="0.25">
      <c r="F30" s="3" t="s">
        <v>5</v>
      </c>
      <c r="G30" s="5" t="s">
        <v>22</v>
      </c>
    </row>
    <row r="31" spans="2:10" x14ac:dyDescent="0.25">
      <c r="F31" s="6" t="s">
        <v>6</v>
      </c>
      <c r="G31" s="5" t="str">
        <f>C6</f>
        <v>0x67</v>
      </c>
    </row>
    <row r="32" spans="2:10" x14ac:dyDescent="0.25">
      <c r="F32" s="6" t="s">
        <v>8</v>
      </c>
      <c r="G32" s="5" t="str">
        <f>CONCATENATE("0x", TEXT(DEC2HEX(QUOTIENT($C$15,256)),"00"))</f>
        <v>0x00</v>
      </c>
    </row>
    <row r="33" spans="6:9" x14ac:dyDescent="0.25">
      <c r="F33" s="6" t="s">
        <v>9</v>
      </c>
      <c r="G33" s="5" t="str">
        <f>CONCATENATE("0x", TEXT(DEC2HEX(MOD($C$15,256)),"00"))</f>
        <v>0x00</v>
      </c>
    </row>
    <row r="34" spans="6:9" x14ac:dyDescent="0.25">
      <c r="F34" s="6" t="s">
        <v>10</v>
      </c>
      <c r="G34" s="5" t="str">
        <f>CONCATENATE("0x", TEXT(DEC2HEX(QUOTIENT($C$17,256*256*256*256)),"00"))</f>
        <v>0x00</v>
      </c>
    </row>
    <row r="35" spans="6:9" x14ac:dyDescent="0.25">
      <c r="F35" s="6" t="s">
        <v>11</v>
      </c>
      <c r="G35" s="5" t="str">
        <f>CONCATENATE("0x", TEXT(DEC2HEX(MOD(QUOTIENT($C$17,256*256*256),256)),"00"))</f>
        <v>0xA0</v>
      </c>
    </row>
    <row r="36" spans="6:9" x14ac:dyDescent="0.25">
      <c r="F36" s="6" t="s">
        <v>12</v>
      </c>
      <c r="G36" s="5" t="str">
        <f>CONCATENATE("0x", TEXT(DEC2HEX(MOD(QUOTIENT($C$17,256*256),256)),"00"))</f>
        <v>0x00</v>
      </c>
    </row>
    <row r="37" spans="6:9" x14ac:dyDescent="0.25">
      <c r="F37" s="6" t="s">
        <v>12</v>
      </c>
      <c r="G37" s="5" t="str">
        <f>CONCATENATE("0x", TEXT(DEC2HEX(MOD(QUOTIENT($C$17,256),256)),"00"))</f>
        <v>0x00</v>
      </c>
      <c r="I37" s="14"/>
    </row>
    <row r="38" spans="6:9" x14ac:dyDescent="0.25">
      <c r="F38" s="6" t="s">
        <v>13</v>
      </c>
      <c r="G38" s="5" t="str">
        <f>CONCATENATE("0x", TEXT(DEC2HEX(MOD($C$17,256)),"00"))</f>
        <v>0x00</v>
      </c>
      <c r="I38" s="8"/>
    </row>
    <row r="39" spans="6:9" x14ac:dyDescent="0.25">
      <c r="F39" s="6" t="s">
        <v>14</v>
      </c>
      <c r="G39" s="5" t="str">
        <f>CONCATENATE("0x", TEXT(DEC2HEX(QUOTIENT($C$18,256*256)),"00"))</f>
        <v>0x00</v>
      </c>
    </row>
    <row r="40" spans="6:9" x14ac:dyDescent="0.25">
      <c r="F40" s="6" t="s">
        <v>15</v>
      </c>
      <c r="G40" s="5" t="str">
        <f>CONCATENATE("0x", TEXT(DEC2HEX(MOD(QUOTIENT($C$18,256),256)),"00"))</f>
        <v>0x00</v>
      </c>
    </row>
    <row r="41" spans="6:9" x14ac:dyDescent="0.25">
      <c r="F41" s="6" t="s">
        <v>16</v>
      </c>
      <c r="G41" s="5" t="str">
        <f>CONCATENATE("0x", TEXT(DEC2HEX(MOD($C$18,256)),"00"))</f>
        <v>0x10</v>
      </c>
    </row>
    <row r="42" spans="6:9" x14ac:dyDescent="0.25">
      <c r="F42" s="6" t="s">
        <v>17</v>
      </c>
      <c r="G42" s="5" t="str">
        <f>CONCATENATE("0x", TEXT(DEC2HEX(CalculateCrc(G15:G41)),"00"))</f>
        <v>0x9F</v>
      </c>
    </row>
    <row r="43" spans="6:9" x14ac:dyDescent="0.25">
      <c r="F43" s="3" t="s">
        <v>18</v>
      </c>
      <c r="G43" s="5" t="s">
        <v>33</v>
      </c>
    </row>
    <row r="44" spans="6:9" x14ac:dyDescent="0.25">
      <c r="F44" s="3" t="s">
        <v>18</v>
      </c>
      <c r="G44" s="5" t="s">
        <v>36</v>
      </c>
    </row>
    <row r="45" spans="6:9" x14ac:dyDescent="0.25">
      <c r="F45" s="3" t="s">
        <v>18</v>
      </c>
      <c r="G45" s="5" t="s">
        <v>37</v>
      </c>
      <c r="I45" s="8"/>
    </row>
    <row r="46" spans="6:9" x14ac:dyDescent="0.25">
      <c r="F46" s="3" t="s">
        <v>18</v>
      </c>
      <c r="G46" s="5" t="s">
        <v>34</v>
      </c>
    </row>
    <row r="47" spans="6:9" x14ac:dyDescent="0.25">
      <c r="F47" s="3" t="s">
        <v>18</v>
      </c>
      <c r="G47" s="5" t="s">
        <v>38</v>
      </c>
    </row>
    <row r="48" spans="6:9" x14ac:dyDescent="0.25">
      <c r="F48" s="3" t="s">
        <v>18</v>
      </c>
      <c r="G48" s="5" t="s">
        <v>39</v>
      </c>
    </row>
    <row r="49" spans="6:7" x14ac:dyDescent="0.25">
      <c r="F49" s="3" t="s">
        <v>18</v>
      </c>
      <c r="G49" s="5" t="s">
        <v>40</v>
      </c>
    </row>
    <row r="50" spans="6:7" x14ac:dyDescent="0.25">
      <c r="F50" s="3" t="s">
        <v>18</v>
      </c>
      <c r="G50" s="5" t="s">
        <v>41</v>
      </c>
    </row>
    <row r="51" spans="6:7" x14ac:dyDescent="0.25">
      <c r="F51" s="3" t="s">
        <v>18</v>
      </c>
      <c r="G51" s="5" t="s">
        <v>42</v>
      </c>
    </row>
    <row r="52" spans="6:7" x14ac:dyDescent="0.25">
      <c r="F52" s="3" t="s">
        <v>18</v>
      </c>
      <c r="G52" s="5" t="s">
        <v>43</v>
      </c>
    </row>
    <row r="53" spans="6:7" x14ac:dyDescent="0.25">
      <c r="F53" s="3" t="s">
        <v>18</v>
      </c>
      <c r="G53" s="5" t="s">
        <v>44</v>
      </c>
    </row>
    <row r="54" spans="6:7" x14ac:dyDescent="0.25">
      <c r="F54" s="3" t="s">
        <v>18</v>
      </c>
      <c r="G54" s="5" t="s">
        <v>45</v>
      </c>
    </row>
    <row r="55" spans="6:7" x14ac:dyDescent="0.25">
      <c r="F55" s="3" t="s">
        <v>18</v>
      </c>
      <c r="G55" s="5" t="s">
        <v>46</v>
      </c>
    </row>
    <row r="56" spans="6:7" x14ac:dyDescent="0.25">
      <c r="F56" s="3" t="s">
        <v>18</v>
      </c>
      <c r="G56" s="5" t="s">
        <v>47</v>
      </c>
    </row>
    <row r="57" spans="6:7" x14ac:dyDescent="0.25">
      <c r="F57" s="3" t="s">
        <v>18</v>
      </c>
      <c r="G57" s="5" t="s">
        <v>48</v>
      </c>
    </row>
    <row r="58" spans="6:7" x14ac:dyDescent="0.25">
      <c r="F58" s="3" t="s">
        <v>18</v>
      </c>
      <c r="G58" s="5" t="s">
        <v>49</v>
      </c>
    </row>
    <row r="59" spans="6:7" x14ac:dyDescent="0.25">
      <c r="F59" s="3" t="s">
        <v>19</v>
      </c>
      <c r="G59" s="5" t="s">
        <v>53</v>
      </c>
    </row>
    <row r="60" spans="6:7" x14ac:dyDescent="0.25">
      <c r="F60" s="7" t="s">
        <v>20</v>
      </c>
      <c r="G60" s="5" t="s">
        <v>22</v>
      </c>
    </row>
  </sheetData>
  <mergeCells count="6">
    <mergeCell ref="J3:J19"/>
    <mergeCell ref="B2:C2"/>
    <mergeCell ref="B5:C5"/>
    <mergeCell ref="B9:C9"/>
    <mergeCell ref="B14:C14"/>
    <mergeCell ref="B16:C16"/>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ClearWrite">
                <anchor moveWithCells="1" sizeWithCells="1">
                  <from>
                    <xdr:col>9</xdr:col>
                    <xdr:colOff>9525</xdr:colOff>
                    <xdr:row>22</xdr:row>
                    <xdr:rowOff>19050</xdr:rowOff>
                  </from>
                  <to>
                    <xdr:col>10</xdr:col>
                    <xdr:colOff>0</xdr:colOff>
                    <xdr:row>23</xdr:row>
                    <xdr:rowOff>0</xdr:rowOff>
                  </to>
                </anchor>
              </controlPr>
            </control>
          </mc:Choice>
        </mc:AlternateContent>
        <mc:AlternateContent xmlns:mc="http://schemas.openxmlformats.org/markup-compatibility/2006">
          <mc:Choice Requires="x14">
            <control shapeId="2052" r:id="rId5" name="Button 4">
              <controlPr defaultSize="0" print="0" autoFill="0" autoPict="0" macro="[0]!StarDundeeFormatWrite">
                <anchor moveWithCells="1" sizeWithCells="1">
                  <from>
                    <xdr:col>9</xdr:col>
                    <xdr:colOff>0</xdr:colOff>
                    <xdr:row>20</xdr:row>
                    <xdr:rowOff>0</xdr:rowOff>
                  </from>
                  <to>
                    <xdr:col>10</xdr:col>
                    <xdr:colOff>0</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dimension ref="B2:J43"/>
  <sheetViews>
    <sheetView zoomScaleNormal="100" workbookViewId="0"/>
  </sheetViews>
  <sheetFormatPr defaultRowHeight="15" x14ac:dyDescent="0.25"/>
  <cols>
    <col min="1" max="1" width="7.140625" customWidth="1"/>
    <col min="2" max="3" width="25" style="11" customWidth="1"/>
    <col min="4" max="5" width="9.140625" style="2"/>
    <col min="6" max="7" width="25" style="2" customWidth="1"/>
    <col min="8" max="9" width="9.140625" style="2"/>
    <col min="10" max="10" width="114.28515625" style="2" customWidth="1"/>
    <col min="11" max="11" width="7.140625" customWidth="1"/>
  </cols>
  <sheetData>
    <row r="2" spans="2:10" x14ac:dyDescent="0.25">
      <c r="B2" s="17" t="s">
        <v>24</v>
      </c>
      <c r="C2" s="18"/>
      <c r="F2" s="1" t="s">
        <v>21</v>
      </c>
      <c r="G2" s="1" t="s">
        <v>23</v>
      </c>
      <c r="J2" s="1" t="s">
        <v>50</v>
      </c>
    </row>
    <row r="3" spans="2:10" x14ac:dyDescent="0.25">
      <c r="B3" s="3" t="s">
        <v>0</v>
      </c>
      <c r="C3" s="4" t="s">
        <v>22</v>
      </c>
      <c r="F3" s="3" t="s">
        <v>0</v>
      </c>
      <c r="G3" s="5" t="s">
        <v>22</v>
      </c>
      <c r="J3" s="16" t="s">
        <v>52</v>
      </c>
    </row>
    <row r="4" spans="2:10" x14ac:dyDescent="0.25">
      <c r="B4" s="3" t="s">
        <v>5</v>
      </c>
      <c r="C4" s="4" t="s">
        <v>22</v>
      </c>
      <c r="F4" s="3" t="s">
        <v>0</v>
      </c>
      <c r="G4" s="5" t="s">
        <v>22</v>
      </c>
      <c r="J4" s="16"/>
    </row>
    <row r="5" spans="2:10" x14ac:dyDescent="0.25">
      <c r="B5" s="17" t="s">
        <v>25</v>
      </c>
      <c r="C5" s="18"/>
      <c r="F5" s="3" t="s">
        <v>0</v>
      </c>
      <c r="G5" s="5" t="s">
        <v>22</v>
      </c>
      <c r="J5" s="16"/>
    </row>
    <row r="6" spans="2:10" x14ac:dyDescent="0.25">
      <c r="B6" s="6" t="s">
        <v>6</v>
      </c>
      <c r="C6" s="4" t="s">
        <v>34</v>
      </c>
      <c r="F6" s="3" t="s">
        <v>0</v>
      </c>
      <c r="G6" s="5" t="s">
        <v>22</v>
      </c>
      <c r="J6" s="16"/>
    </row>
    <row r="7" spans="2:10" x14ac:dyDescent="0.25">
      <c r="B7" s="6" t="s">
        <v>4</v>
      </c>
      <c r="C7" s="4" t="s">
        <v>32</v>
      </c>
      <c r="D7" s="8"/>
      <c r="F7" s="3" t="s">
        <v>0</v>
      </c>
      <c r="G7" s="5" t="s">
        <v>22</v>
      </c>
      <c r="J7" s="16"/>
    </row>
    <row r="8" spans="2:10" x14ac:dyDescent="0.25">
      <c r="B8" s="7" t="s">
        <v>1</v>
      </c>
      <c r="C8" s="4" t="s">
        <v>35</v>
      </c>
      <c r="F8" s="3" t="s">
        <v>0</v>
      </c>
      <c r="G8" s="5" t="s">
        <v>22</v>
      </c>
      <c r="J8" s="16"/>
    </row>
    <row r="9" spans="2:10" x14ac:dyDescent="0.25">
      <c r="B9" s="17" t="s">
        <v>51</v>
      </c>
      <c r="C9" s="18"/>
      <c r="F9" s="3" t="s">
        <v>0</v>
      </c>
      <c r="G9" s="5" t="s">
        <v>22</v>
      </c>
      <c r="J9" s="16"/>
    </row>
    <row r="10" spans="2:10" x14ac:dyDescent="0.25">
      <c r="B10" s="6" t="s">
        <v>29</v>
      </c>
      <c r="C10" s="4">
        <v>1</v>
      </c>
      <c r="F10" s="3" t="s">
        <v>0</v>
      </c>
      <c r="G10" s="5" t="s">
        <v>22</v>
      </c>
      <c r="J10" s="16"/>
    </row>
    <row r="11" spans="2:10" x14ac:dyDescent="0.25">
      <c r="B11" s="6" t="s">
        <v>30</v>
      </c>
      <c r="C11" s="4">
        <v>0</v>
      </c>
      <c r="F11" s="3" t="s">
        <v>0</v>
      </c>
      <c r="G11" s="5" t="s">
        <v>22</v>
      </c>
      <c r="J11" s="16"/>
    </row>
    <row r="12" spans="2:10" x14ac:dyDescent="0.25">
      <c r="B12" s="17" t="s">
        <v>31</v>
      </c>
      <c r="C12" s="18"/>
      <c r="F12" s="3" t="s">
        <v>0</v>
      </c>
      <c r="G12" s="5" t="s">
        <v>22</v>
      </c>
      <c r="J12" s="16"/>
    </row>
    <row r="13" spans="2:10" x14ac:dyDescent="0.25">
      <c r="B13" s="6" t="s">
        <v>7</v>
      </c>
      <c r="C13" s="4">
        <v>0</v>
      </c>
      <c r="F13" s="3" t="s">
        <v>0</v>
      </c>
      <c r="G13" s="5" t="s">
        <v>22</v>
      </c>
      <c r="J13" s="16"/>
    </row>
    <row r="14" spans="2:10" x14ac:dyDescent="0.25">
      <c r="B14" s="17" t="s">
        <v>18</v>
      </c>
      <c r="C14" s="18"/>
      <c r="F14" s="3" t="s">
        <v>0</v>
      </c>
      <c r="G14" s="5" t="s">
        <v>22</v>
      </c>
      <c r="J14" s="16"/>
    </row>
    <row r="15" spans="2:10" x14ac:dyDescent="0.25">
      <c r="B15" s="6" t="s">
        <v>12</v>
      </c>
      <c r="C15" s="4">
        <v>2684354560</v>
      </c>
      <c r="F15" s="7" t="s">
        <v>1</v>
      </c>
      <c r="G15" s="5" t="str">
        <f>$C$8</f>
        <v>0xFE</v>
      </c>
      <c r="J15" s="16"/>
    </row>
    <row r="16" spans="2:10" x14ac:dyDescent="0.25">
      <c r="B16" s="6" t="s">
        <v>15</v>
      </c>
      <c r="C16" s="4">
        <v>16</v>
      </c>
      <c r="F16" s="9" t="s">
        <v>2</v>
      </c>
      <c r="G16" s="5" t="s">
        <v>33</v>
      </c>
      <c r="J16" s="16"/>
    </row>
    <row r="17" spans="2:10" x14ac:dyDescent="0.25">
      <c r="B17" s="3" t="s">
        <v>18</v>
      </c>
      <c r="C17" s="4" t="s">
        <v>22</v>
      </c>
      <c r="F17" s="6" t="s">
        <v>3</v>
      </c>
      <c r="G17" s="5" t="str">
        <f>CONCATENATE("0x", TEXT(DEC2HEX(64+8+$C$10*4+$C$11),"00"))</f>
        <v>0x4C</v>
      </c>
      <c r="J17" s="16"/>
    </row>
    <row r="18" spans="2:10" x14ac:dyDescent="0.25">
      <c r="C18" s="12"/>
      <c r="F18" s="6" t="s">
        <v>4</v>
      </c>
      <c r="G18" s="5" t="str">
        <f>C7</f>
        <v>0x00</v>
      </c>
      <c r="J18" s="16"/>
    </row>
    <row r="19" spans="2:10" x14ac:dyDescent="0.25">
      <c r="F19" s="3" t="s">
        <v>5</v>
      </c>
      <c r="G19" s="5" t="s">
        <v>22</v>
      </c>
      <c r="J19" s="16"/>
    </row>
    <row r="20" spans="2:10" x14ac:dyDescent="0.25">
      <c r="F20" s="3" t="s">
        <v>5</v>
      </c>
      <c r="G20" s="5" t="s">
        <v>22</v>
      </c>
    </row>
    <row r="21" spans="2:10" x14ac:dyDescent="0.25">
      <c r="F21" s="3" t="s">
        <v>5</v>
      </c>
      <c r="G21" s="5" t="s">
        <v>22</v>
      </c>
    </row>
    <row r="22" spans="2:10" x14ac:dyDescent="0.25">
      <c r="F22" s="3" t="s">
        <v>5</v>
      </c>
      <c r="G22" s="5" t="s">
        <v>22</v>
      </c>
    </row>
    <row r="23" spans="2:10" x14ac:dyDescent="0.25">
      <c r="F23" s="3" t="s">
        <v>5</v>
      </c>
      <c r="G23" s="5" t="s">
        <v>22</v>
      </c>
    </row>
    <row r="24" spans="2:10" x14ac:dyDescent="0.25">
      <c r="F24" s="3" t="s">
        <v>5</v>
      </c>
      <c r="G24" s="5" t="s">
        <v>22</v>
      </c>
    </row>
    <row r="25" spans="2:10" x14ac:dyDescent="0.25">
      <c r="F25" s="3" t="s">
        <v>5</v>
      </c>
      <c r="G25" s="5" t="s">
        <v>22</v>
      </c>
      <c r="H25" s="13"/>
    </row>
    <row r="26" spans="2:10" x14ac:dyDescent="0.25">
      <c r="F26" s="3" t="s">
        <v>5</v>
      </c>
      <c r="G26" s="5" t="s">
        <v>22</v>
      </c>
    </row>
    <row r="27" spans="2:10" x14ac:dyDescent="0.25">
      <c r="F27" s="3" t="s">
        <v>5</v>
      </c>
      <c r="G27" s="5" t="s">
        <v>22</v>
      </c>
    </row>
    <row r="28" spans="2:10" x14ac:dyDescent="0.25">
      <c r="F28" s="3" t="s">
        <v>5</v>
      </c>
      <c r="G28" s="5" t="s">
        <v>22</v>
      </c>
    </row>
    <row r="29" spans="2:10" x14ac:dyDescent="0.25">
      <c r="F29" s="3" t="s">
        <v>5</v>
      </c>
      <c r="G29" s="5" t="s">
        <v>22</v>
      </c>
    </row>
    <row r="30" spans="2:10" x14ac:dyDescent="0.25">
      <c r="F30" s="3" t="s">
        <v>5</v>
      </c>
      <c r="G30" s="5" t="s">
        <v>22</v>
      </c>
    </row>
    <row r="31" spans="2:10" x14ac:dyDescent="0.25">
      <c r="F31" s="6" t="s">
        <v>6</v>
      </c>
      <c r="G31" s="5" t="str">
        <f>C6</f>
        <v>0x67</v>
      </c>
    </row>
    <row r="32" spans="2:10" x14ac:dyDescent="0.25">
      <c r="F32" s="6" t="s">
        <v>8</v>
      </c>
      <c r="G32" s="5" t="str">
        <f>CONCATENATE("0x", TEXT(DEC2HEX(QUOTIENT($C$13,256)),"00"))</f>
        <v>0x00</v>
      </c>
    </row>
    <row r="33" spans="2:9" x14ac:dyDescent="0.25">
      <c r="F33" s="6" t="s">
        <v>9</v>
      </c>
      <c r="G33" s="5" t="str">
        <f>CONCATENATE("0x", TEXT(DEC2HEX(MOD($C$13,256)),"00"))</f>
        <v>0x00</v>
      </c>
    </row>
    <row r="34" spans="2:9" x14ac:dyDescent="0.25">
      <c r="F34" s="6" t="s">
        <v>10</v>
      </c>
      <c r="G34" s="5" t="str">
        <f>CONCATENATE("0x", TEXT(DEC2HEX(QUOTIENT($C$15,256*256*256*256)),"00"))</f>
        <v>0x00</v>
      </c>
    </row>
    <row r="35" spans="2:9" x14ac:dyDescent="0.25">
      <c r="F35" s="6" t="s">
        <v>11</v>
      </c>
      <c r="G35" s="5" t="str">
        <f>CONCATENATE("0x", TEXT(DEC2HEX(MOD(QUOTIENT($C$15,256*256*256),256)),"00"))</f>
        <v>0xA0</v>
      </c>
    </row>
    <row r="36" spans="2:9" x14ac:dyDescent="0.25">
      <c r="F36" s="6" t="s">
        <v>12</v>
      </c>
      <c r="G36" s="5" t="str">
        <f>CONCATENATE("0x", TEXT(DEC2HEX(MOD(QUOTIENT($C$15,256*256),256)),"00"))</f>
        <v>0x00</v>
      </c>
    </row>
    <row r="37" spans="2:9" x14ac:dyDescent="0.25">
      <c r="F37" s="6" t="s">
        <v>12</v>
      </c>
      <c r="G37" s="5" t="str">
        <f>CONCATENATE("0x", TEXT(DEC2HEX(MOD(QUOTIENT($C$15,256),256)),"00"))</f>
        <v>0x00</v>
      </c>
      <c r="I37" s="14"/>
    </row>
    <row r="38" spans="2:9" x14ac:dyDescent="0.25">
      <c r="F38" s="6" t="s">
        <v>13</v>
      </c>
      <c r="G38" s="5" t="str">
        <f>CONCATENATE("0x", TEXT(DEC2HEX(MOD($C$15,256)),"00"))</f>
        <v>0x00</v>
      </c>
      <c r="I38" s="8"/>
    </row>
    <row r="39" spans="2:9" x14ac:dyDescent="0.25">
      <c r="F39" s="6" t="s">
        <v>14</v>
      </c>
      <c r="G39" s="5" t="str">
        <f>CONCATENATE("0x", TEXT(DEC2HEX(QUOTIENT($C$16,256*256)),"00"))</f>
        <v>0x00</v>
      </c>
    </row>
    <row r="40" spans="2:9" x14ac:dyDescent="0.25">
      <c r="F40" s="6" t="s">
        <v>15</v>
      </c>
      <c r="G40" s="5" t="str">
        <f>CONCATENATE("0x", TEXT(DEC2HEX(MOD(QUOTIENT($C$16,256),256)),"00"))</f>
        <v>0x00</v>
      </c>
    </row>
    <row r="41" spans="2:9" x14ac:dyDescent="0.25">
      <c r="F41" s="6" t="s">
        <v>16</v>
      </c>
      <c r="G41" s="5" t="str">
        <f>CONCATENATE("0x", TEXT(DEC2HEX(MOD($C$16,256)),"00"))</f>
        <v>0x10</v>
      </c>
    </row>
    <row r="42" spans="2:9" x14ac:dyDescent="0.25">
      <c r="F42" s="6" t="s">
        <v>17</v>
      </c>
      <c r="G42" s="5" t="str">
        <f>CONCATENATE("0x", TEXT(DEC2HEX(CalculateCrc(G15:G41)),"00"))</f>
        <v>0xE5</v>
      </c>
    </row>
    <row r="43" spans="2:9" s="2" customFormat="1" x14ac:dyDescent="0.25">
      <c r="B43" s="11"/>
      <c r="C43" s="11"/>
      <c r="F43" s="7" t="s">
        <v>20</v>
      </c>
      <c r="G43" s="5" t="s">
        <v>22</v>
      </c>
    </row>
  </sheetData>
  <mergeCells count="6">
    <mergeCell ref="J3:J19"/>
    <mergeCell ref="B2:C2"/>
    <mergeCell ref="B5:C5"/>
    <mergeCell ref="B9:C9"/>
    <mergeCell ref="B12:C12"/>
    <mergeCell ref="B14:C14"/>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DundeeFormatRead">
                <anchor moveWithCells="1" sizeWithCells="1">
                  <from>
                    <xdr:col>9</xdr:col>
                    <xdr:colOff>0</xdr:colOff>
                    <xdr:row>20</xdr:row>
                    <xdr:rowOff>0</xdr:rowOff>
                  </from>
                  <to>
                    <xdr:col>10</xdr:col>
                    <xdr:colOff>0</xdr:colOff>
                    <xdr:row>21</xdr:row>
                    <xdr:rowOff>0</xdr:rowOff>
                  </to>
                </anchor>
              </controlPr>
            </control>
          </mc:Choice>
        </mc:AlternateContent>
        <mc:AlternateContent xmlns:mc="http://schemas.openxmlformats.org/markup-compatibility/2006">
          <mc:Choice Requires="x14">
            <control shapeId="1028" r:id="rId5" name="Button 4">
              <controlPr defaultSize="0" print="0" autoFill="0" autoPict="0" macro="[0]!ClearRead">
                <anchor moveWithCells="1" sizeWithCells="1">
                  <from>
                    <xdr:col>9</xdr:col>
                    <xdr:colOff>9525</xdr:colOff>
                    <xdr:row>22</xdr:row>
                    <xdr:rowOff>0</xdr:rowOff>
                  </from>
                  <to>
                    <xdr:col>10</xdr:col>
                    <xdr:colOff>0</xdr:colOff>
                    <xdr:row>23</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2</vt:i4>
      </vt:variant>
    </vt:vector>
  </HeadingPairs>
  <TitlesOfParts>
    <vt:vector size="2" baseType="lpstr">
      <vt:lpstr>Write_Command</vt:lpstr>
      <vt:lpstr>Read_Command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rfranca</dc:creator>
  <cp:lastModifiedBy>rfranca</cp:lastModifiedBy>
  <dcterms:created xsi:type="dcterms:W3CDTF">2019-01-16T16:11:40Z</dcterms:created>
  <dcterms:modified xsi:type="dcterms:W3CDTF">2019-01-16T21:47:24Z</dcterms:modified>
</cp:coreProperties>
</file>