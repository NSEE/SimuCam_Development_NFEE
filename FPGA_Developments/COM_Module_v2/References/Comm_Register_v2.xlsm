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2\References\"/>
    </mc:Choice>
  </mc:AlternateContent>
  <xr:revisionPtr revIDLastSave="0" documentId="13_ncr:1_{AC0D4D96-6411-433D-BF72-1CD26864C3D2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63" i="1" l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S7" i="1" s="1"/>
  <c r="Q7" i="1"/>
  <c r="W7" i="1" l="1"/>
  <c r="X7" i="1"/>
  <c r="T7" i="1"/>
  <c r="Z7" i="1"/>
  <c r="S8" i="1"/>
  <c r="Y7" i="1"/>
  <c r="U7" i="1"/>
  <c r="V7" i="1" s="1"/>
  <c r="Q5" i="1"/>
  <c r="R5" i="1"/>
  <c r="R6" i="1"/>
  <c r="Q6" i="1"/>
  <c r="S9" i="1" l="1"/>
  <c r="Y8" i="1"/>
  <c r="U8" i="1"/>
  <c r="V8" i="1" s="1"/>
  <c r="Z8" i="1"/>
  <c r="X8" i="1"/>
  <c r="T8" i="1"/>
  <c r="W8" i="1"/>
  <c r="AD7" i="1"/>
  <c r="AH7" i="1"/>
  <c r="AG7" i="1"/>
  <c r="AC7" i="1"/>
  <c r="AF7" i="1"/>
  <c r="AB7" i="1"/>
  <c r="AE7" i="1"/>
  <c r="AA7" i="1"/>
  <c r="Y4" i="1"/>
  <c r="Z4" i="1"/>
  <c r="X4" i="1"/>
  <c r="W4" i="1"/>
  <c r="U4" i="1"/>
  <c r="AE8" i="1" l="1"/>
  <c r="AA8" i="1"/>
  <c r="AH8" i="1"/>
  <c r="AD8" i="1"/>
  <c r="AG8" i="1"/>
  <c r="AC8" i="1"/>
  <c r="AF8" i="1"/>
  <c r="AB8" i="1"/>
  <c r="W9" i="1"/>
  <c r="Z9" i="1"/>
  <c r="T9" i="1"/>
  <c r="X9" i="1"/>
  <c r="S10" i="1"/>
  <c r="Y9" i="1"/>
  <c r="U9" i="1"/>
  <c r="V9" i="1" s="1"/>
  <c r="V4" i="1"/>
  <c r="Q4" i="1"/>
  <c r="T4" i="1"/>
  <c r="AF9" i="1" l="1"/>
  <c r="AB9" i="1"/>
  <c r="AG9" i="1"/>
  <c r="AC9" i="1"/>
  <c r="AH9" i="1"/>
  <c r="AD9" i="1"/>
  <c r="S11" i="1"/>
  <c r="Y10" i="1"/>
  <c r="U10" i="1"/>
  <c r="V10" i="1" s="1"/>
  <c r="X10" i="1"/>
  <c r="T10" i="1"/>
  <c r="W10" i="1"/>
  <c r="Z10" i="1"/>
  <c r="AE9" i="1"/>
  <c r="AA9" i="1"/>
  <c r="AG4" i="1"/>
  <c r="AC4" i="1"/>
  <c r="AD4" i="1"/>
  <c r="AH4" i="1"/>
  <c r="AE10" i="1" l="1"/>
  <c r="AA10" i="1"/>
  <c r="W11" i="1"/>
  <c r="Z11" i="1"/>
  <c r="X11" i="1"/>
  <c r="T11" i="1"/>
  <c r="S12" i="1"/>
  <c r="Y11" i="1"/>
  <c r="U11" i="1"/>
  <c r="V11" i="1" s="1"/>
  <c r="AD10" i="1"/>
  <c r="AH10" i="1"/>
  <c r="AG10" i="1"/>
  <c r="AC10" i="1"/>
  <c r="AF10" i="1"/>
  <c r="AB10" i="1"/>
  <c r="AF4" i="1"/>
  <c r="AB4" i="1"/>
  <c r="AG11" i="1" l="1"/>
  <c r="AC11" i="1"/>
  <c r="S13" i="1"/>
  <c r="Y12" i="1"/>
  <c r="U12" i="1"/>
  <c r="V12" i="1" s="1"/>
  <c r="Z12" i="1"/>
  <c r="X12" i="1"/>
  <c r="T12" i="1"/>
  <c r="W12" i="1"/>
  <c r="AE11" i="1"/>
  <c r="AA11" i="1"/>
  <c r="AD11" i="1"/>
  <c r="AH11" i="1"/>
  <c r="AF11" i="1"/>
  <c r="AB11" i="1"/>
  <c r="AE4" i="1"/>
  <c r="AA4" i="1"/>
  <c r="AF12" i="1" l="1"/>
  <c r="AB12" i="1"/>
  <c r="W13" i="1"/>
  <c r="Z13" i="1"/>
  <c r="T13" i="1"/>
  <c r="X13" i="1"/>
  <c r="S14" i="1"/>
  <c r="Y13" i="1"/>
  <c r="U13" i="1"/>
  <c r="V13" i="1" s="1"/>
  <c r="AG12" i="1"/>
  <c r="AC12" i="1"/>
  <c r="AH12" i="1"/>
  <c r="AD12" i="1"/>
  <c r="AE12" i="1"/>
  <c r="AA12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S15" i="1" l="1"/>
  <c r="Y14" i="1"/>
  <c r="U14" i="1"/>
  <c r="V14" i="1" s="1"/>
  <c r="X14" i="1"/>
  <c r="T14" i="1"/>
  <c r="W14" i="1"/>
  <c r="Z14" i="1"/>
  <c r="AE13" i="1"/>
  <c r="AA13" i="1"/>
  <c r="AG13" i="1"/>
  <c r="AC13" i="1"/>
  <c r="AH13" i="1"/>
  <c r="AD13" i="1"/>
  <c r="AB13" i="1"/>
  <c r="AF13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F14" i="1" l="1"/>
  <c r="AB14" i="1"/>
  <c r="AH14" i="1"/>
  <c r="AD14" i="1"/>
  <c r="AE14" i="1"/>
  <c r="AA14" i="1"/>
  <c r="AG14" i="1"/>
  <c r="AC14" i="1"/>
  <c r="W15" i="1"/>
  <c r="Z15" i="1"/>
  <c r="X15" i="1"/>
  <c r="S16" i="1"/>
  <c r="Y15" i="1"/>
  <c r="U15" i="1"/>
  <c r="V15" i="1" s="1"/>
  <c r="T15" i="1"/>
  <c r="R4" i="1"/>
  <c r="S5" i="1" s="1"/>
  <c r="S17" i="1" l="1"/>
  <c r="Y16" i="1"/>
  <c r="U16" i="1"/>
  <c r="V16" i="1" s="1"/>
  <c r="X16" i="1"/>
  <c r="T16" i="1"/>
  <c r="Z16" i="1"/>
  <c r="W16" i="1"/>
  <c r="AF15" i="1"/>
  <c r="AB15" i="1"/>
  <c r="AH15" i="1"/>
  <c r="AD15" i="1"/>
  <c r="AG15" i="1"/>
  <c r="AC15" i="1"/>
  <c r="AE15" i="1"/>
  <c r="AA15" i="1"/>
  <c r="Z5" i="1"/>
  <c r="T5" i="1"/>
  <c r="W5" i="1"/>
  <c r="X5" i="1"/>
  <c r="U5" i="1"/>
  <c r="Y5" i="1"/>
  <c r="AF16" i="1" l="1"/>
  <c r="AB16" i="1"/>
  <c r="AE16" i="1"/>
  <c r="AA16" i="1"/>
  <c r="AH16" i="1"/>
  <c r="AD16" i="1"/>
  <c r="AG16" i="1"/>
  <c r="AC16" i="1"/>
  <c r="W17" i="1"/>
  <c r="Z17" i="1"/>
  <c r="X17" i="1"/>
  <c r="T17" i="1"/>
  <c r="Y17" i="1"/>
  <c r="U17" i="1"/>
  <c r="V17" i="1" s="1"/>
  <c r="V5" i="1"/>
  <c r="S6" i="1"/>
  <c r="Z6" i="1" s="1"/>
  <c r="AG5" i="1"/>
  <c r="AC5" i="1"/>
  <c r="AE5" i="1"/>
  <c r="AA5" i="1"/>
  <c r="AF5" i="1"/>
  <c r="AB5" i="1"/>
  <c r="AH5" i="1"/>
  <c r="AD5" i="1"/>
  <c r="AF17" i="1" l="1"/>
  <c r="AB17" i="1"/>
  <c r="AG17" i="1"/>
  <c r="AC17" i="1"/>
  <c r="AH17" i="1"/>
  <c r="AD17" i="1"/>
  <c r="S18" i="1"/>
  <c r="AE17" i="1"/>
  <c r="AA17" i="1"/>
  <c r="U6" i="1"/>
  <c r="V6" i="1" s="1"/>
  <c r="W6" i="1"/>
  <c r="X6" i="1"/>
  <c r="AB6" i="1" s="1"/>
  <c r="Y6" i="1"/>
  <c r="AG6" i="1" s="1"/>
  <c r="T6" i="1"/>
  <c r="AF6" i="1"/>
  <c r="AA6" i="1"/>
  <c r="AE6" i="1"/>
  <c r="AC6" i="1"/>
  <c r="AD6" i="1"/>
  <c r="AH6" i="1"/>
  <c r="S19" i="1" l="1"/>
  <c r="Y18" i="1"/>
  <c r="U18" i="1"/>
  <c r="V18" i="1" s="1"/>
  <c r="X18" i="1"/>
  <c r="T18" i="1"/>
  <c r="Z18" i="1"/>
  <c r="W18" i="1"/>
  <c r="AG18" i="1" l="1"/>
  <c r="AC18" i="1"/>
  <c r="AF18" i="1"/>
  <c r="AB18" i="1"/>
  <c r="AE18" i="1"/>
  <c r="AA18" i="1"/>
  <c r="AH18" i="1"/>
  <c r="AD18" i="1"/>
  <c r="W19" i="1"/>
  <c r="X19" i="1"/>
  <c r="Z19" i="1"/>
  <c r="T19" i="1"/>
  <c r="S20" i="1"/>
  <c r="Y19" i="1"/>
  <c r="U19" i="1"/>
  <c r="V19" i="1" s="1"/>
  <c r="S21" i="1" l="1"/>
  <c r="Y20" i="1"/>
  <c r="U20" i="1"/>
  <c r="V20" i="1" s="1"/>
  <c r="X20" i="1"/>
  <c r="T20" i="1"/>
  <c r="W20" i="1"/>
  <c r="Z20" i="1"/>
  <c r="AD19" i="1"/>
  <c r="AH19" i="1"/>
  <c r="AG19" i="1"/>
  <c r="AC19" i="1"/>
  <c r="AB19" i="1"/>
  <c r="AF19" i="1"/>
  <c r="AE19" i="1"/>
  <c r="AA19" i="1"/>
  <c r="AH20" i="1" l="1"/>
  <c r="AD20" i="1"/>
  <c r="AE20" i="1"/>
  <c r="AA20" i="1"/>
  <c r="AG20" i="1"/>
  <c r="AC20" i="1"/>
  <c r="AF20" i="1"/>
  <c r="AB20" i="1"/>
  <c r="W21" i="1"/>
  <c r="Z21" i="1"/>
  <c r="S22" i="1"/>
  <c r="Y21" i="1"/>
  <c r="U21" i="1"/>
  <c r="V21" i="1" s="1"/>
  <c r="X21" i="1"/>
  <c r="T21" i="1"/>
  <c r="S23" i="1" l="1"/>
  <c r="Y22" i="1"/>
  <c r="U22" i="1"/>
  <c r="V22" i="1" s="1"/>
  <c r="X22" i="1"/>
  <c r="T22" i="1"/>
  <c r="W22" i="1"/>
  <c r="Z22" i="1"/>
  <c r="AG21" i="1"/>
  <c r="AC21" i="1"/>
  <c r="AB21" i="1"/>
  <c r="AF21" i="1"/>
  <c r="AD21" i="1"/>
  <c r="AH21" i="1"/>
  <c r="AE21" i="1"/>
  <c r="AA21" i="1"/>
  <c r="AF22" i="1" l="1"/>
  <c r="AB22" i="1"/>
  <c r="AH22" i="1"/>
  <c r="AD22" i="1"/>
  <c r="AE22" i="1"/>
  <c r="AA22" i="1"/>
  <c r="AG22" i="1"/>
  <c r="AC22" i="1"/>
  <c r="Z23" i="1"/>
  <c r="W23" i="1"/>
  <c r="S24" i="1"/>
  <c r="X23" i="1"/>
  <c r="Y23" i="1"/>
  <c r="U23" i="1"/>
  <c r="V23" i="1" s="1"/>
  <c r="T23" i="1"/>
  <c r="X24" i="1" l="1"/>
  <c r="T24" i="1"/>
  <c r="Z24" i="1"/>
  <c r="U24" i="1"/>
  <c r="V24" i="1" s="1"/>
  <c r="Y24" i="1"/>
  <c r="S25" i="1"/>
  <c r="W24" i="1"/>
  <c r="AB23" i="1"/>
  <c r="AF23" i="1"/>
  <c r="AA23" i="1"/>
  <c r="AE23" i="1"/>
  <c r="AG23" i="1"/>
  <c r="AC23" i="1"/>
  <c r="AH23" i="1"/>
  <c r="AD23" i="1"/>
  <c r="AE24" i="1" l="1"/>
  <c r="AA24" i="1"/>
  <c r="AD24" i="1"/>
  <c r="AH24" i="1"/>
  <c r="Z25" i="1"/>
  <c r="W25" i="1"/>
  <c r="S26" i="1"/>
  <c r="X25" i="1"/>
  <c r="U25" i="1"/>
  <c r="V25" i="1" s="1"/>
  <c r="Y25" i="1"/>
  <c r="T25" i="1"/>
  <c r="AC24" i="1"/>
  <c r="AG24" i="1"/>
  <c r="AF24" i="1"/>
  <c r="AB24" i="1"/>
  <c r="X26" i="1" l="1"/>
  <c r="T26" i="1"/>
  <c r="Z26" i="1"/>
  <c r="U26" i="1"/>
  <c r="V26" i="1" s="1"/>
  <c r="Y26" i="1"/>
  <c r="W26" i="1"/>
  <c r="AG25" i="1"/>
  <c r="AC25" i="1"/>
  <c r="AA25" i="1"/>
  <c r="AE25" i="1"/>
  <c r="AB25" i="1"/>
  <c r="AF25" i="1"/>
  <c r="AH25" i="1"/>
  <c r="AD25" i="1"/>
  <c r="AE26" i="1" l="1"/>
  <c r="AA26" i="1"/>
  <c r="AD26" i="1"/>
  <c r="AH26" i="1"/>
  <c r="S27" i="1"/>
  <c r="AG26" i="1"/>
  <c r="AC26" i="1"/>
  <c r="AF26" i="1"/>
  <c r="AB26" i="1"/>
  <c r="Z27" i="1" l="1"/>
  <c r="W27" i="1"/>
  <c r="X27" i="1"/>
  <c r="S28" i="1"/>
  <c r="U27" i="1"/>
  <c r="V27" i="1" s="1"/>
  <c r="Y27" i="1"/>
  <c r="T27" i="1"/>
  <c r="X28" i="1" l="1"/>
  <c r="T28" i="1"/>
  <c r="Z28" i="1"/>
  <c r="U28" i="1"/>
  <c r="V28" i="1" s="1"/>
  <c r="Y28" i="1"/>
  <c r="W28" i="1"/>
  <c r="S29" i="1"/>
  <c r="AB27" i="1"/>
  <c r="AF27" i="1"/>
  <c r="AA27" i="1"/>
  <c r="AE27" i="1"/>
  <c r="AG27" i="1"/>
  <c r="AC27" i="1"/>
  <c r="AH27" i="1"/>
  <c r="AD27" i="1"/>
  <c r="Z29" i="1" l="1"/>
  <c r="W29" i="1"/>
  <c r="S30" i="1"/>
  <c r="U29" i="1"/>
  <c r="V29" i="1" s="1"/>
  <c r="X29" i="1"/>
  <c r="Y29" i="1"/>
  <c r="T29" i="1"/>
  <c r="AE28" i="1"/>
  <c r="AA28" i="1"/>
  <c r="AD28" i="1"/>
  <c r="AH28" i="1"/>
  <c r="AG28" i="1"/>
  <c r="AC28" i="1"/>
  <c r="AF28" i="1"/>
  <c r="AB28" i="1"/>
  <c r="X30" i="1" l="1"/>
  <c r="T30" i="1"/>
  <c r="Z30" i="1"/>
  <c r="U30" i="1"/>
  <c r="V30" i="1" s="1"/>
  <c r="S31" i="1"/>
  <c r="Y30" i="1"/>
  <c r="W30" i="1"/>
  <c r="AG29" i="1"/>
  <c r="AC29" i="1"/>
  <c r="AA29" i="1"/>
  <c r="AE29" i="1"/>
  <c r="AB29" i="1"/>
  <c r="AF29" i="1"/>
  <c r="AH29" i="1"/>
  <c r="AD29" i="1"/>
  <c r="AD30" i="1" l="1"/>
  <c r="AH30" i="1"/>
  <c r="AG30" i="1"/>
  <c r="AC30" i="1"/>
  <c r="AE30" i="1"/>
  <c r="AA30" i="1"/>
  <c r="Z31" i="1"/>
  <c r="W31" i="1"/>
  <c r="S32" i="1"/>
  <c r="X31" i="1"/>
  <c r="U31" i="1"/>
  <c r="V31" i="1" s="1"/>
  <c r="Y31" i="1"/>
  <c r="T31" i="1"/>
  <c r="AF30" i="1"/>
  <c r="AB30" i="1"/>
  <c r="AG31" i="1" l="1"/>
  <c r="AC31" i="1"/>
  <c r="AH31" i="1"/>
  <c r="AD31" i="1"/>
  <c r="AB31" i="1"/>
  <c r="AF31" i="1"/>
  <c r="AA31" i="1"/>
  <c r="AE31" i="1"/>
  <c r="X32" i="1"/>
  <c r="T32" i="1"/>
  <c r="Z32" i="1"/>
  <c r="U32" i="1"/>
  <c r="V32" i="1" s="1"/>
  <c r="Y32" i="1"/>
  <c r="S33" i="1"/>
  <c r="W32" i="1"/>
  <c r="Z33" i="1" l="1"/>
  <c r="W33" i="1"/>
  <c r="S34" i="1"/>
  <c r="U33" i="1"/>
  <c r="V33" i="1" s="1"/>
  <c r="Y33" i="1"/>
  <c r="T33" i="1"/>
  <c r="X33" i="1"/>
  <c r="AE32" i="1"/>
  <c r="AA32" i="1"/>
  <c r="AD32" i="1"/>
  <c r="AH32" i="1"/>
  <c r="AC32" i="1"/>
  <c r="AG32" i="1"/>
  <c r="AF32" i="1"/>
  <c r="AB32" i="1"/>
  <c r="X34" i="1" l="1"/>
  <c r="T34" i="1"/>
  <c r="Z34" i="1"/>
  <c r="U34" i="1"/>
  <c r="V34" i="1" s="1"/>
  <c r="Y34" i="1"/>
  <c r="W34" i="1"/>
  <c r="AA33" i="1"/>
  <c r="AE33" i="1"/>
  <c r="AB33" i="1"/>
  <c r="AF33" i="1"/>
  <c r="AG33" i="1"/>
  <c r="AC33" i="1"/>
  <c r="AH33" i="1"/>
  <c r="AD33" i="1"/>
  <c r="AE34" i="1" l="1"/>
  <c r="AA34" i="1"/>
  <c r="AD34" i="1"/>
  <c r="AH34" i="1"/>
  <c r="AG34" i="1"/>
  <c r="AC34" i="1"/>
  <c r="S35" i="1"/>
  <c r="AF34" i="1"/>
  <c r="AB34" i="1"/>
  <c r="Z35" i="1" l="1"/>
  <c r="W35" i="1"/>
  <c r="S36" i="1"/>
  <c r="U35" i="1"/>
  <c r="V35" i="1" s="1"/>
  <c r="X35" i="1"/>
  <c r="Y35" i="1"/>
  <c r="T35" i="1"/>
  <c r="AA35" i="1" l="1"/>
  <c r="AE35" i="1"/>
  <c r="X36" i="1"/>
  <c r="T36" i="1"/>
  <c r="Z36" i="1"/>
  <c r="U36" i="1"/>
  <c r="V36" i="1" s="1"/>
  <c r="Y36" i="1"/>
  <c r="W36" i="1"/>
  <c r="S37" i="1"/>
  <c r="AG35" i="1"/>
  <c r="AC35" i="1"/>
  <c r="AB35" i="1"/>
  <c r="AF35" i="1"/>
  <c r="AH35" i="1"/>
  <c r="AD35" i="1"/>
  <c r="AE36" i="1" l="1"/>
  <c r="AA36" i="1"/>
  <c r="AG36" i="1"/>
  <c r="AC36" i="1"/>
  <c r="AF36" i="1"/>
  <c r="AB36" i="1"/>
  <c r="Z37" i="1"/>
  <c r="W37" i="1"/>
  <c r="X37" i="1"/>
  <c r="S38" i="1"/>
  <c r="U37" i="1"/>
  <c r="V37" i="1" s="1"/>
  <c r="Y37" i="1"/>
  <c r="T37" i="1"/>
  <c r="AD36" i="1"/>
  <c r="AH36" i="1"/>
  <c r="AH37" i="1" l="1"/>
  <c r="AD37" i="1"/>
  <c r="X38" i="1"/>
  <c r="T38" i="1"/>
  <c r="Z38" i="1"/>
  <c r="U38" i="1"/>
  <c r="V38" i="1" s="1"/>
  <c r="Y38" i="1"/>
  <c r="S39" i="1"/>
  <c r="W38" i="1"/>
  <c r="AG37" i="1"/>
  <c r="AC37" i="1"/>
  <c r="AA37" i="1"/>
  <c r="AE37" i="1"/>
  <c r="AB37" i="1"/>
  <c r="AF37" i="1"/>
  <c r="Z39" i="1" l="1"/>
  <c r="W39" i="1"/>
  <c r="X39" i="1"/>
  <c r="S40" i="1"/>
  <c r="U39" i="1"/>
  <c r="V39" i="1" s="1"/>
  <c r="Y39" i="1"/>
  <c r="T39" i="1"/>
  <c r="AF38" i="1"/>
  <c r="AB38" i="1"/>
  <c r="AG38" i="1"/>
  <c r="AC38" i="1"/>
  <c r="AE38" i="1"/>
  <c r="AA38" i="1"/>
  <c r="AD38" i="1"/>
  <c r="AH38" i="1"/>
  <c r="AB39" i="1" l="1"/>
  <c r="AF39" i="1"/>
  <c r="AG39" i="1"/>
  <c r="AC39" i="1"/>
  <c r="AA39" i="1"/>
  <c r="AE39" i="1"/>
  <c r="X40" i="1"/>
  <c r="T40" i="1"/>
  <c r="Z40" i="1"/>
  <c r="U40" i="1"/>
  <c r="V40" i="1" s="1"/>
  <c r="Y40" i="1"/>
  <c r="W40" i="1"/>
  <c r="S41" i="1"/>
  <c r="AH39" i="1"/>
  <c r="AD39" i="1"/>
  <c r="AE40" i="1" l="1"/>
  <c r="AA40" i="1"/>
  <c r="AG40" i="1"/>
  <c r="AC40" i="1"/>
  <c r="AF40" i="1"/>
  <c r="AB40" i="1"/>
  <c r="Z41" i="1"/>
  <c r="W41" i="1"/>
  <c r="S42" i="1"/>
  <c r="U41" i="1"/>
  <c r="V41" i="1" s="1"/>
  <c r="Y41" i="1"/>
  <c r="T41" i="1"/>
  <c r="X41" i="1"/>
  <c r="AD40" i="1"/>
  <c r="AH40" i="1"/>
  <c r="AA41" i="1" l="1"/>
  <c r="AE41" i="1"/>
  <c r="AG41" i="1"/>
  <c r="AC41" i="1"/>
  <c r="AH41" i="1"/>
  <c r="AD41" i="1"/>
  <c r="AB41" i="1"/>
  <c r="AF41" i="1"/>
  <c r="X42" i="1"/>
  <c r="T42" i="1"/>
  <c r="Z42" i="1"/>
  <c r="U42" i="1"/>
  <c r="V42" i="1" s="1"/>
  <c r="Y42" i="1"/>
  <c r="S43" i="1"/>
  <c r="W42" i="1"/>
  <c r="AE42" i="1" l="1"/>
  <c r="AA42" i="1"/>
  <c r="AD42" i="1"/>
  <c r="AH42" i="1"/>
  <c r="X43" i="1"/>
  <c r="T43" i="1"/>
  <c r="Z43" i="1"/>
  <c r="Y43" i="1"/>
  <c r="S44" i="1"/>
  <c r="W43" i="1"/>
  <c r="U43" i="1"/>
  <c r="V43" i="1" s="1"/>
  <c r="AC42" i="1"/>
  <c r="AG42" i="1"/>
  <c r="AF42" i="1"/>
  <c r="AB42" i="1"/>
  <c r="AG43" i="1" l="1"/>
  <c r="AC43" i="1"/>
  <c r="AH43" i="1"/>
  <c r="AD43" i="1"/>
  <c r="AE43" i="1"/>
  <c r="AA43" i="1"/>
  <c r="Z44" i="1"/>
  <c r="X44" i="1"/>
  <c r="T44" i="1"/>
  <c r="U44" i="1"/>
  <c r="V44" i="1" s="1"/>
  <c r="S45" i="1"/>
  <c r="Y44" i="1"/>
  <c r="W44" i="1"/>
  <c r="AF43" i="1"/>
  <c r="AB43" i="1"/>
  <c r="AF44" i="1" l="1"/>
  <c r="AB44" i="1"/>
  <c r="X45" i="1"/>
  <c r="T45" i="1"/>
  <c r="Z45" i="1"/>
  <c r="Y45" i="1"/>
  <c r="S46" i="1"/>
  <c r="W45" i="1"/>
  <c r="U45" i="1"/>
  <c r="V45" i="1" s="1"/>
  <c r="AH44" i="1"/>
  <c r="AD44" i="1"/>
  <c r="AC44" i="1"/>
  <c r="AG44" i="1"/>
  <c r="AE44" i="1"/>
  <c r="AA44" i="1"/>
  <c r="AE45" i="1" l="1"/>
  <c r="AA45" i="1"/>
  <c r="Z46" i="1"/>
  <c r="S47" i="1"/>
  <c r="Y46" i="1"/>
  <c r="U46" i="1"/>
  <c r="V46" i="1" s="1"/>
  <c r="X46" i="1"/>
  <c r="T46" i="1"/>
  <c r="W46" i="1"/>
  <c r="AG45" i="1"/>
  <c r="AC45" i="1"/>
  <c r="AF45" i="1"/>
  <c r="AB45" i="1"/>
  <c r="AH45" i="1"/>
  <c r="AD45" i="1"/>
  <c r="AH46" i="1" l="1"/>
  <c r="AD46" i="1"/>
  <c r="X47" i="1"/>
  <c r="T47" i="1"/>
  <c r="W47" i="1"/>
  <c r="Z47" i="1"/>
  <c r="S48" i="1"/>
  <c r="U47" i="1"/>
  <c r="V47" i="1" s="1"/>
  <c r="Y47" i="1"/>
  <c r="AF46" i="1"/>
  <c r="AB46" i="1"/>
  <c r="AA46" i="1"/>
  <c r="AE46" i="1"/>
  <c r="AG46" i="1"/>
  <c r="AC46" i="1"/>
  <c r="Z48" i="1" l="1"/>
  <c r="S49" i="1"/>
  <c r="Y48" i="1"/>
  <c r="U48" i="1"/>
  <c r="V48" i="1" s="1"/>
  <c r="X48" i="1"/>
  <c r="T48" i="1"/>
  <c r="W48" i="1"/>
  <c r="AF47" i="1"/>
  <c r="AB47" i="1"/>
  <c r="AH47" i="1"/>
  <c r="AD47" i="1"/>
  <c r="AG47" i="1"/>
  <c r="AC47" i="1"/>
  <c r="AE47" i="1"/>
  <c r="AA47" i="1"/>
  <c r="X49" i="1" l="1"/>
  <c r="T49" i="1"/>
  <c r="W49" i="1"/>
  <c r="Z49" i="1"/>
  <c r="U49" i="1"/>
  <c r="V49" i="1" s="1"/>
  <c r="S50" i="1"/>
  <c r="Y49" i="1"/>
  <c r="AA48" i="1"/>
  <c r="AE48" i="1"/>
  <c r="AG48" i="1"/>
  <c r="AC48" i="1"/>
  <c r="AF48" i="1"/>
  <c r="AB48" i="1"/>
  <c r="AH48" i="1"/>
  <c r="AD48" i="1"/>
  <c r="AE49" i="1" l="1"/>
  <c r="AA49" i="1"/>
  <c r="Z50" i="1"/>
  <c r="S51" i="1"/>
  <c r="Y50" i="1"/>
  <c r="U50" i="1"/>
  <c r="V50" i="1" s="1"/>
  <c r="X50" i="1"/>
  <c r="T50" i="1"/>
  <c r="W50" i="1"/>
  <c r="AH49" i="1"/>
  <c r="AD49" i="1"/>
  <c r="AG49" i="1"/>
  <c r="AC49" i="1"/>
  <c r="AF49" i="1"/>
  <c r="AB49" i="1"/>
  <c r="AH50" i="1" l="1"/>
  <c r="AD50" i="1"/>
  <c r="X51" i="1"/>
  <c r="Y51" i="1"/>
  <c r="T51" i="1"/>
  <c r="W51" i="1"/>
  <c r="S52" i="1"/>
  <c r="U51" i="1"/>
  <c r="V51" i="1" s="1"/>
  <c r="Z51" i="1"/>
  <c r="AF50" i="1"/>
  <c r="AB50" i="1"/>
  <c r="AA50" i="1"/>
  <c r="AE50" i="1"/>
  <c r="AG50" i="1"/>
  <c r="AC50" i="1"/>
  <c r="AC51" i="1" l="1"/>
  <c r="AG51" i="1"/>
  <c r="AA51" i="1"/>
  <c r="AE51" i="1"/>
  <c r="Z52" i="1"/>
  <c r="S53" i="1"/>
  <c r="U52" i="1"/>
  <c r="V52" i="1" s="1"/>
  <c r="Y52" i="1"/>
  <c r="T52" i="1"/>
  <c r="X52" i="1"/>
  <c r="W52" i="1"/>
  <c r="AF51" i="1"/>
  <c r="AB51" i="1"/>
  <c r="AD51" i="1"/>
  <c r="AH51" i="1"/>
  <c r="AC52" i="1" l="1"/>
  <c r="AG52" i="1"/>
  <c r="AA52" i="1"/>
  <c r="AE52" i="1"/>
  <c r="AF52" i="1"/>
  <c r="AB52" i="1"/>
  <c r="X53" i="1"/>
  <c r="T53" i="1"/>
  <c r="Y53" i="1"/>
  <c r="W53" i="1"/>
  <c r="S54" i="1"/>
  <c r="Z53" i="1"/>
  <c r="U53" i="1"/>
  <c r="V53" i="1" s="1"/>
  <c r="AH52" i="1"/>
  <c r="AD52" i="1"/>
  <c r="AD53" i="1" l="1"/>
  <c r="AH53" i="1"/>
  <c r="Z54" i="1"/>
  <c r="S55" i="1"/>
  <c r="U54" i="1"/>
  <c r="V54" i="1" s="1"/>
  <c r="Y54" i="1"/>
  <c r="T54" i="1"/>
  <c r="X54" i="1"/>
  <c r="W54" i="1"/>
  <c r="AF53" i="1"/>
  <c r="AB53" i="1"/>
  <c r="AA53" i="1"/>
  <c r="AE53" i="1"/>
  <c r="AC53" i="1"/>
  <c r="AG53" i="1"/>
  <c r="X55" i="1" l="1"/>
  <c r="T55" i="1"/>
  <c r="Y55" i="1"/>
  <c r="W55" i="1"/>
  <c r="S56" i="1"/>
  <c r="U55" i="1"/>
  <c r="V55" i="1" s="1"/>
  <c r="Z55" i="1"/>
  <c r="AH54" i="1"/>
  <c r="AD54" i="1"/>
  <c r="AC54" i="1"/>
  <c r="AG54" i="1"/>
  <c r="AF54" i="1"/>
  <c r="AB54" i="1"/>
  <c r="AA54" i="1"/>
  <c r="AE54" i="1"/>
  <c r="AA55" i="1" l="1"/>
  <c r="AE55" i="1"/>
  <c r="AC55" i="1"/>
  <c r="AG55" i="1"/>
  <c r="AD55" i="1"/>
  <c r="AH55" i="1"/>
  <c r="Z56" i="1"/>
  <c r="S57" i="1"/>
  <c r="U56" i="1"/>
  <c r="V56" i="1" s="1"/>
  <c r="Y56" i="1"/>
  <c r="T56" i="1"/>
  <c r="X56" i="1"/>
  <c r="W56" i="1"/>
  <c r="AF55" i="1"/>
  <c r="AB55" i="1"/>
  <c r="AH56" i="1" l="1"/>
  <c r="AD56" i="1"/>
  <c r="AF56" i="1"/>
  <c r="AB56" i="1"/>
  <c r="X57" i="1"/>
  <c r="T57" i="1"/>
  <c r="Y57" i="1"/>
  <c r="W57" i="1"/>
  <c r="S58" i="1"/>
  <c r="Z57" i="1"/>
  <c r="U57" i="1"/>
  <c r="V57" i="1" s="1"/>
  <c r="AC56" i="1"/>
  <c r="AG56" i="1"/>
  <c r="AA56" i="1"/>
  <c r="AE56" i="1"/>
  <c r="AA57" i="1" l="1"/>
  <c r="AE57" i="1"/>
  <c r="AC57" i="1"/>
  <c r="AG57" i="1"/>
  <c r="AD57" i="1"/>
  <c r="AH57" i="1"/>
  <c r="Z58" i="1"/>
  <c r="U58" i="1"/>
  <c r="V58" i="1" s="1"/>
  <c r="S59" i="1"/>
  <c r="Y58" i="1"/>
  <c r="T58" i="1"/>
  <c r="X58" i="1"/>
  <c r="W58" i="1"/>
  <c r="AF57" i="1"/>
  <c r="AB57" i="1"/>
  <c r="AF58" i="1" l="1"/>
  <c r="AB58" i="1"/>
  <c r="AH58" i="1"/>
  <c r="AD58" i="1"/>
  <c r="AG58" i="1"/>
  <c r="AC58" i="1"/>
  <c r="AA58" i="1"/>
  <c r="AE58" i="1"/>
  <c r="X59" i="1"/>
  <c r="T59" i="1"/>
  <c r="Z59" i="1"/>
  <c r="U59" i="1"/>
  <c r="V59" i="1" s="1"/>
  <c r="Y59" i="1"/>
  <c r="W59" i="1"/>
  <c r="AA59" i="1" l="1"/>
  <c r="AE59" i="1"/>
  <c r="AH59" i="1"/>
  <c r="AD59" i="1"/>
  <c r="S60" i="1"/>
  <c r="AC59" i="1"/>
  <c r="AG59" i="1"/>
  <c r="AF59" i="1"/>
  <c r="AB59" i="1"/>
  <c r="Z60" i="1" l="1"/>
  <c r="X60" i="1"/>
  <c r="T60" i="1"/>
  <c r="Y60" i="1"/>
  <c r="S61" i="1"/>
  <c r="W60" i="1"/>
  <c r="U60" i="1"/>
  <c r="V60" i="1" s="1"/>
  <c r="AG60" i="1" l="1"/>
  <c r="AC60" i="1"/>
  <c r="AF60" i="1"/>
  <c r="AB60" i="1"/>
  <c r="AE60" i="1"/>
  <c r="AA60" i="1"/>
  <c r="X61" i="1"/>
  <c r="T61" i="1"/>
  <c r="Z61" i="1"/>
  <c r="U61" i="1"/>
  <c r="V61" i="1" s="1"/>
  <c r="Y61" i="1"/>
  <c r="S62" i="1"/>
  <c r="W61" i="1"/>
  <c r="AH60" i="1"/>
  <c r="AD60" i="1"/>
  <c r="AC61" i="1" l="1"/>
  <c r="AG61" i="1"/>
  <c r="Z62" i="1"/>
  <c r="X62" i="1"/>
  <c r="T62" i="1"/>
  <c r="Y62" i="1"/>
  <c r="S63" i="1"/>
  <c r="W62" i="1"/>
  <c r="U62" i="1"/>
  <c r="V62" i="1" s="1"/>
  <c r="AF61" i="1"/>
  <c r="AB61" i="1"/>
  <c r="AA61" i="1"/>
  <c r="AE61" i="1"/>
  <c r="AH61" i="1"/>
  <c r="AD61" i="1"/>
  <c r="AE62" i="1" l="1"/>
  <c r="AA62" i="1"/>
  <c r="AF62" i="1"/>
  <c r="AB62" i="1"/>
  <c r="AH62" i="1"/>
  <c r="AD62" i="1"/>
  <c r="AG62" i="1"/>
  <c r="AC62" i="1"/>
  <c r="X63" i="1"/>
  <c r="T63" i="1"/>
  <c r="Z63" i="1"/>
  <c r="U63" i="1"/>
  <c r="V63" i="1" s="1"/>
  <c r="Y63" i="1"/>
  <c r="W63" i="1"/>
  <c r="AA63" i="1" l="1"/>
  <c r="AE63" i="1"/>
  <c r="AH63" i="1"/>
  <c r="AD63" i="1"/>
  <c r="S64" i="1"/>
  <c r="AC63" i="1"/>
  <c r="AG63" i="1"/>
  <c r="AF63" i="1"/>
  <c r="AB63" i="1"/>
  <c r="Z64" i="1" l="1"/>
  <c r="X64" i="1"/>
  <c r="T64" i="1"/>
  <c r="Y64" i="1"/>
  <c r="S65" i="1"/>
  <c r="W64" i="1"/>
  <c r="U64" i="1"/>
  <c r="V64" i="1" s="1"/>
  <c r="AG64" i="1" l="1"/>
  <c r="AC64" i="1"/>
  <c r="AE64" i="1"/>
  <c r="AA64" i="1"/>
  <c r="AF64" i="1"/>
  <c r="AB64" i="1"/>
  <c r="X65" i="1"/>
  <c r="T65" i="1"/>
  <c r="Z65" i="1"/>
  <c r="U65" i="1"/>
  <c r="V65" i="1" s="1"/>
  <c r="Y65" i="1"/>
  <c r="S66" i="1"/>
  <c r="W65" i="1"/>
  <c r="AH64" i="1"/>
  <c r="AD64" i="1"/>
  <c r="Z66" i="1" l="1"/>
  <c r="S67" i="1"/>
  <c r="Y66" i="1"/>
  <c r="U66" i="1"/>
  <c r="V66" i="1" s="1"/>
  <c r="X66" i="1"/>
  <c r="T66" i="1"/>
  <c r="W66" i="1"/>
  <c r="AC65" i="1"/>
  <c r="AG65" i="1"/>
  <c r="AF65" i="1"/>
  <c r="AB65" i="1"/>
  <c r="AA65" i="1"/>
  <c r="AE65" i="1"/>
  <c r="AH65" i="1"/>
  <c r="AD65" i="1"/>
  <c r="AE66" i="1" l="1"/>
  <c r="AA66" i="1"/>
  <c r="AG66" i="1"/>
  <c r="AC66" i="1"/>
  <c r="X67" i="1"/>
  <c r="T67" i="1"/>
  <c r="W67" i="1"/>
  <c r="Z67" i="1"/>
  <c r="Y67" i="1"/>
  <c r="U67" i="1"/>
  <c r="V67" i="1" s="1"/>
  <c r="S68" i="1"/>
  <c r="AF66" i="1"/>
  <c r="AB66" i="1"/>
  <c r="AH66" i="1"/>
  <c r="AD66" i="1"/>
  <c r="AH67" i="1" l="1"/>
  <c r="AD67" i="1"/>
  <c r="AE67" i="1"/>
  <c r="AA67" i="1"/>
  <c r="Z68" i="1"/>
  <c r="S69" i="1"/>
  <c r="Y68" i="1"/>
  <c r="U68" i="1"/>
  <c r="V68" i="1" s="1"/>
  <c r="X68" i="1"/>
  <c r="T68" i="1"/>
  <c r="W68" i="1"/>
  <c r="AG67" i="1"/>
  <c r="AC67" i="1"/>
  <c r="AF67" i="1"/>
  <c r="AB67" i="1"/>
  <c r="AG68" i="1" l="1"/>
  <c r="AC68" i="1"/>
  <c r="AE68" i="1"/>
  <c r="AA68" i="1"/>
  <c r="X69" i="1"/>
  <c r="T69" i="1"/>
  <c r="W69" i="1"/>
  <c r="Z69" i="1"/>
  <c r="Y69" i="1"/>
  <c r="U69" i="1"/>
  <c r="V69" i="1" s="1"/>
  <c r="S70" i="1"/>
  <c r="AF68" i="1"/>
  <c r="AB68" i="1"/>
  <c r="AH68" i="1"/>
  <c r="AD68" i="1"/>
  <c r="AH69" i="1" l="1"/>
  <c r="AD69" i="1"/>
  <c r="AE69" i="1"/>
  <c r="AA69" i="1"/>
  <c r="Z70" i="1"/>
  <c r="S71" i="1"/>
  <c r="Y70" i="1"/>
  <c r="U70" i="1"/>
  <c r="V70" i="1" s="1"/>
  <c r="X70" i="1"/>
  <c r="T70" i="1"/>
  <c r="W70" i="1"/>
  <c r="AG69" i="1"/>
  <c r="AC69" i="1"/>
  <c r="AF69" i="1"/>
  <c r="AB69" i="1"/>
  <c r="AG70" i="1" l="1"/>
  <c r="AC70" i="1"/>
  <c r="AE70" i="1"/>
  <c r="AA70" i="1"/>
  <c r="X71" i="1"/>
  <c r="T71" i="1"/>
  <c r="W71" i="1"/>
  <c r="Z71" i="1"/>
  <c r="Y71" i="1"/>
  <c r="U71" i="1"/>
  <c r="V71" i="1" s="1"/>
  <c r="S72" i="1"/>
  <c r="AF70" i="1"/>
  <c r="AB70" i="1"/>
  <c r="AH70" i="1"/>
  <c r="AD70" i="1"/>
  <c r="AH71" i="1" l="1"/>
  <c r="AD71" i="1"/>
  <c r="Z72" i="1"/>
  <c r="S73" i="1"/>
  <c r="Y72" i="1"/>
  <c r="U72" i="1"/>
  <c r="V72" i="1" s="1"/>
  <c r="X72" i="1"/>
  <c r="T72" i="1"/>
  <c r="W72" i="1"/>
  <c r="AE71" i="1"/>
  <c r="AA71" i="1"/>
  <c r="AG71" i="1"/>
  <c r="AC71" i="1"/>
  <c r="AF71" i="1"/>
  <c r="AB71" i="1"/>
  <c r="X73" i="1" l="1"/>
  <c r="T73" i="1"/>
  <c r="W73" i="1"/>
  <c r="Z73" i="1"/>
  <c r="Y73" i="1"/>
  <c r="U73" i="1"/>
  <c r="V73" i="1" s="1"/>
  <c r="S74" i="1"/>
  <c r="AH72" i="1"/>
  <c r="AD72" i="1"/>
  <c r="AF72" i="1"/>
  <c r="AB72" i="1"/>
  <c r="AE72" i="1"/>
  <c r="AA72" i="1"/>
  <c r="AG72" i="1"/>
  <c r="AC72" i="1"/>
  <c r="Z74" i="1" l="1"/>
  <c r="S75" i="1"/>
  <c r="Y74" i="1"/>
  <c r="U74" i="1"/>
  <c r="V74" i="1" s="1"/>
  <c r="X74" i="1"/>
  <c r="T74" i="1"/>
  <c r="W74" i="1"/>
  <c r="AE73" i="1"/>
  <c r="AA73" i="1"/>
  <c r="AH73" i="1"/>
  <c r="AD73" i="1"/>
  <c r="AG73" i="1"/>
  <c r="AC73" i="1"/>
  <c r="AF73" i="1"/>
  <c r="AB73" i="1"/>
  <c r="X75" i="1" l="1"/>
  <c r="T75" i="1"/>
  <c r="W75" i="1"/>
  <c r="Z75" i="1"/>
  <c r="Y75" i="1"/>
  <c r="U75" i="1"/>
  <c r="V75" i="1" s="1"/>
  <c r="S76" i="1"/>
  <c r="AE74" i="1"/>
  <c r="AA74" i="1"/>
  <c r="AG74" i="1"/>
  <c r="AC74" i="1"/>
  <c r="AF74" i="1"/>
  <c r="AB74" i="1"/>
  <c r="AH74" i="1"/>
  <c r="AD74" i="1"/>
  <c r="AH75" i="1" l="1"/>
  <c r="AD75" i="1"/>
  <c r="AE75" i="1"/>
  <c r="AA75" i="1"/>
  <c r="Z76" i="1"/>
  <c r="S77" i="1"/>
  <c r="Y76" i="1"/>
  <c r="U76" i="1"/>
  <c r="V76" i="1" s="1"/>
  <c r="X76" i="1"/>
  <c r="T76" i="1"/>
  <c r="W76" i="1"/>
  <c r="AG75" i="1"/>
  <c r="AC75" i="1"/>
  <c r="AF75" i="1"/>
  <c r="AB75" i="1"/>
  <c r="AE76" i="1" l="1"/>
  <c r="AA76" i="1"/>
  <c r="AG76" i="1"/>
  <c r="AC76" i="1"/>
  <c r="AF76" i="1"/>
  <c r="AB76" i="1"/>
  <c r="AH76" i="1"/>
  <c r="AD76" i="1"/>
  <c r="X77" i="1"/>
  <c r="T77" i="1"/>
  <c r="W77" i="1"/>
  <c r="Z77" i="1"/>
  <c r="Y77" i="1"/>
  <c r="U77" i="1"/>
  <c r="V77" i="1" s="1"/>
  <c r="S78" i="1"/>
  <c r="Z78" i="1" l="1"/>
  <c r="Y78" i="1"/>
  <c r="U78" i="1"/>
  <c r="V78" i="1" s="1"/>
  <c r="X78" i="1"/>
  <c r="T78" i="1"/>
  <c r="W78" i="1"/>
  <c r="AH77" i="1"/>
  <c r="AD77" i="1"/>
  <c r="AE77" i="1"/>
  <c r="AA77" i="1"/>
  <c r="AG77" i="1"/>
  <c r="AC77" i="1"/>
  <c r="AF77" i="1"/>
  <c r="AB77" i="1"/>
  <c r="AE78" i="1" l="1"/>
  <c r="AA78" i="1"/>
  <c r="AG78" i="1"/>
  <c r="AC78" i="1"/>
  <c r="S79" i="1"/>
  <c r="AF78" i="1"/>
  <c r="AB78" i="1"/>
  <c r="AH78" i="1"/>
  <c r="AD78" i="1"/>
  <c r="X79" i="1" l="1"/>
  <c r="T79" i="1"/>
  <c r="W79" i="1"/>
  <c r="Z79" i="1"/>
  <c r="Y79" i="1"/>
  <c r="U79" i="1"/>
  <c r="V79" i="1" s="1"/>
  <c r="S80" i="1"/>
  <c r="AE79" i="1" l="1"/>
  <c r="AA79" i="1"/>
  <c r="AH79" i="1"/>
  <c r="AD79" i="1"/>
  <c r="X80" i="1"/>
  <c r="S81" i="1"/>
  <c r="Z80" i="1"/>
  <c r="U80" i="1"/>
  <c r="V80" i="1" s="1"/>
  <c r="Y80" i="1"/>
  <c r="T80" i="1"/>
  <c r="W80" i="1"/>
  <c r="AG79" i="1"/>
  <c r="AC79" i="1"/>
  <c r="AF79" i="1"/>
  <c r="AB79" i="1"/>
  <c r="AA80" i="1" l="1"/>
  <c r="AE80" i="1"/>
  <c r="AD80" i="1"/>
  <c r="AH80" i="1"/>
  <c r="Z81" i="1"/>
  <c r="S82" i="1"/>
  <c r="X81" i="1"/>
  <c r="W81" i="1"/>
  <c r="U81" i="1"/>
  <c r="V81" i="1" s="1"/>
  <c r="Y81" i="1"/>
  <c r="T81" i="1"/>
  <c r="AG80" i="1"/>
  <c r="AC80" i="1"/>
  <c r="AF80" i="1"/>
  <c r="AB80" i="1"/>
  <c r="AB81" i="1" l="1"/>
  <c r="AF81" i="1"/>
  <c r="AG81" i="1"/>
  <c r="AC81" i="1"/>
  <c r="X82" i="1"/>
  <c r="T82" i="1"/>
  <c r="W82" i="1"/>
  <c r="U82" i="1"/>
  <c r="V82" i="1" s="1"/>
  <c r="Z82" i="1"/>
  <c r="S83" i="1"/>
  <c r="Y82" i="1"/>
  <c r="AE81" i="1"/>
  <c r="AA81" i="1"/>
  <c r="AH81" i="1"/>
  <c r="AD81" i="1"/>
  <c r="AE82" i="1" l="1"/>
  <c r="AA82" i="1"/>
  <c r="AC82" i="1"/>
  <c r="AG82" i="1"/>
  <c r="Z83" i="1"/>
  <c r="S84" i="1"/>
  <c r="Y83" i="1"/>
  <c r="U83" i="1"/>
  <c r="V83" i="1" s="1"/>
  <c r="W83" i="1"/>
  <c r="T83" i="1"/>
  <c r="X83" i="1"/>
  <c r="AH82" i="1"/>
  <c r="AD82" i="1"/>
  <c r="AF82" i="1"/>
  <c r="AB82" i="1"/>
  <c r="AB83" i="1" l="1"/>
  <c r="AF83" i="1"/>
  <c r="AG83" i="1"/>
  <c r="AC83" i="1"/>
  <c r="X84" i="1"/>
  <c r="T84" i="1"/>
  <c r="W84" i="1"/>
  <c r="U84" i="1"/>
  <c r="V84" i="1" s="1"/>
  <c r="Z84" i="1"/>
  <c r="S85" i="1"/>
  <c r="Y84" i="1"/>
  <c r="AE83" i="1"/>
  <c r="AA83" i="1"/>
  <c r="AH83" i="1"/>
  <c r="AD83" i="1"/>
  <c r="AE84" i="1" l="1"/>
  <c r="AA84" i="1"/>
  <c r="Z85" i="1"/>
  <c r="S86" i="1"/>
  <c r="Y85" i="1"/>
  <c r="U85" i="1"/>
  <c r="V85" i="1" s="1"/>
  <c r="W85" i="1"/>
  <c r="T85" i="1"/>
  <c r="X85" i="1"/>
  <c r="AC84" i="1"/>
  <c r="AG84" i="1"/>
  <c r="AH84" i="1"/>
  <c r="AD84" i="1"/>
  <c r="AF84" i="1"/>
  <c r="AB84" i="1"/>
  <c r="AE85" i="1" l="1"/>
  <c r="AA85" i="1"/>
  <c r="AH85" i="1"/>
  <c r="AD85" i="1"/>
  <c r="X86" i="1"/>
  <c r="T86" i="1"/>
  <c r="W86" i="1"/>
  <c r="U86" i="1"/>
  <c r="V86" i="1" s="1"/>
  <c r="Z86" i="1"/>
  <c r="S87" i="1"/>
  <c r="Y86" i="1"/>
  <c r="AB85" i="1"/>
  <c r="AF85" i="1"/>
  <c r="AG85" i="1"/>
  <c r="AC85" i="1"/>
  <c r="AC86" i="1" l="1"/>
  <c r="AG86" i="1"/>
  <c r="AE86" i="1"/>
  <c r="AA86" i="1"/>
  <c r="Z87" i="1"/>
  <c r="S88" i="1"/>
  <c r="Y87" i="1"/>
  <c r="U87" i="1"/>
  <c r="V87" i="1" s="1"/>
  <c r="W87" i="1"/>
  <c r="T87" i="1"/>
  <c r="X87" i="1"/>
  <c r="AH86" i="1"/>
  <c r="AD86" i="1"/>
  <c r="AF86" i="1"/>
  <c r="AB86" i="1"/>
  <c r="AG87" i="1" l="1"/>
  <c r="AC87" i="1"/>
  <c r="X88" i="1"/>
  <c r="T88" i="1"/>
  <c r="W88" i="1"/>
  <c r="U88" i="1"/>
  <c r="V88" i="1" s="1"/>
  <c r="Z88" i="1"/>
  <c r="S89" i="1"/>
  <c r="Y88" i="1"/>
  <c r="AB87" i="1"/>
  <c r="AF87" i="1"/>
  <c r="AE87" i="1"/>
  <c r="AA87" i="1"/>
  <c r="AH87" i="1"/>
  <c r="AD87" i="1"/>
  <c r="Z89" i="1" l="1"/>
  <c r="S90" i="1"/>
  <c r="Y89" i="1"/>
  <c r="U89" i="1"/>
  <c r="V89" i="1" s="1"/>
  <c r="W89" i="1"/>
  <c r="T89" i="1"/>
  <c r="X89" i="1"/>
  <c r="AF88" i="1"/>
  <c r="AB88" i="1"/>
  <c r="AH88" i="1"/>
  <c r="AD88" i="1"/>
  <c r="AC88" i="1"/>
  <c r="AG88" i="1"/>
  <c r="AE88" i="1"/>
  <c r="AA88" i="1"/>
  <c r="AB89" i="1" l="1"/>
  <c r="AF89" i="1"/>
  <c r="AG89" i="1"/>
  <c r="AC89" i="1"/>
  <c r="S91" i="1"/>
  <c r="X90" i="1"/>
  <c r="T90" i="1"/>
  <c r="W90" i="1"/>
  <c r="U90" i="1"/>
  <c r="V90" i="1" s="1"/>
  <c r="Z90" i="1"/>
  <c r="Y90" i="1"/>
  <c r="AE89" i="1"/>
  <c r="AA89" i="1"/>
  <c r="AH89" i="1"/>
  <c r="AD89" i="1"/>
  <c r="AG90" i="1" l="1"/>
  <c r="AC90" i="1"/>
  <c r="AE90" i="1"/>
  <c r="AA90" i="1"/>
  <c r="AD90" i="1"/>
  <c r="AH90" i="1"/>
  <c r="AF90" i="1"/>
  <c r="AB90" i="1"/>
  <c r="W91" i="1"/>
  <c r="Z91" i="1"/>
  <c r="S92" i="1"/>
  <c r="Y91" i="1"/>
  <c r="U91" i="1"/>
  <c r="V91" i="1" s="1"/>
  <c r="T91" i="1"/>
  <c r="X91" i="1"/>
  <c r="AF91" i="1" l="1"/>
  <c r="AB91" i="1"/>
  <c r="S93" i="1"/>
  <c r="Y92" i="1"/>
  <c r="U92" i="1"/>
  <c r="V92" i="1" s="1"/>
  <c r="X92" i="1"/>
  <c r="T92" i="1"/>
  <c r="W92" i="1"/>
  <c r="Z92" i="1"/>
  <c r="AH91" i="1"/>
  <c r="AD91" i="1"/>
  <c r="AG91" i="1"/>
  <c r="AC91" i="1"/>
  <c r="AE91" i="1"/>
  <c r="AA91" i="1"/>
  <c r="W93" i="1" l="1"/>
  <c r="Z93" i="1"/>
  <c r="S94" i="1"/>
  <c r="Y93" i="1"/>
  <c r="U93" i="1"/>
  <c r="V93" i="1" s="1"/>
  <c r="T93" i="1"/>
  <c r="X93" i="1"/>
  <c r="AE92" i="1"/>
  <c r="AA92" i="1"/>
  <c r="AF92" i="1"/>
  <c r="AB92" i="1"/>
  <c r="AG92" i="1"/>
  <c r="AC92" i="1"/>
  <c r="AD92" i="1"/>
  <c r="AH92" i="1"/>
  <c r="S95" i="1" l="1"/>
  <c r="Y94" i="1"/>
  <c r="U94" i="1"/>
  <c r="V94" i="1" s="1"/>
  <c r="X94" i="1"/>
  <c r="T94" i="1"/>
  <c r="W94" i="1"/>
  <c r="Z94" i="1"/>
  <c r="AG93" i="1"/>
  <c r="AC93" i="1"/>
  <c r="AF93" i="1"/>
  <c r="AB93" i="1"/>
  <c r="AH93" i="1"/>
  <c r="AD93" i="1"/>
  <c r="AE93" i="1"/>
  <c r="AA93" i="1"/>
  <c r="AF94" i="1" l="1"/>
  <c r="AB94" i="1"/>
  <c r="AD94" i="1"/>
  <c r="AH94" i="1"/>
  <c r="AE94" i="1"/>
  <c r="AA94" i="1"/>
  <c r="AG94" i="1"/>
  <c r="AC94" i="1"/>
  <c r="W95" i="1"/>
  <c r="Z95" i="1"/>
  <c r="S96" i="1"/>
  <c r="Y95" i="1"/>
  <c r="U95" i="1"/>
  <c r="V95" i="1" s="1"/>
  <c r="T95" i="1"/>
  <c r="X95" i="1"/>
  <c r="Y96" i="1" l="1"/>
  <c r="U96" i="1"/>
  <c r="V96" i="1" s="1"/>
  <c r="X96" i="1"/>
  <c r="T96" i="1"/>
  <c r="W96" i="1"/>
  <c r="Z96" i="1"/>
  <c r="AG95" i="1"/>
  <c r="AC95" i="1"/>
  <c r="AF95" i="1"/>
  <c r="AB95" i="1"/>
  <c r="AH95" i="1"/>
  <c r="AD95" i="1"/>
  <c r="AE95" i="1"/>
  <c r="AA95" i="1"/>
  <c r="AF96" i="1" l="1"/>
  <c r="AB96" i="1"/>
  <c r="AD96" i="1"/>
  <c r="AH96" i="1"/>
  <c r="AE96" i="1"/>
  <c r="AA96" i="1"/>
  <c r="AG96" i="1"/>
  <c r="AC96" i="1"/>
  <c r="S97" i="1"/>
  <c r="W97" i="1" l="1"/>
  <c r="Z97" i="1"/>
  <c r="S98" i="1"/>
  <c r="Y97" i="1"/>
  <c r="U97" i="1"/>
  <c r="V97" i="1" s="1"/>
  <c r="T97" i="1"/>
  <c r="X97" i="1"/>
  <c r="Y98" i="1" l="1"/>
  <c r="U98" i="1"/>
  <c r="V98" i="1" s="1"/>
  <c r="X98" i="1"/>
  <c r="T98" i="1"/>
  <c r="W98" i="1"/>
  <c r="Z98" i="1"/>
  <c r="AF97" i="1"/>
  <c r="AB97" i="1"/>
  <c r="AH97" i="1"/>
  <c r="AD97" i="1"/>
  <c r="AG97" i="1"/>
  <c r="AC97" i="1"/>
  <c r="AE97" i="1"/>
  <c r="AA97" i="1"/>
  <c r="AF98" i="1" l="1"/>
  <c r="AB98" i="1"/>
  <c r="AD98" i="1"/>
  <c r="AH98" i="1"/>
  <c r="AE98" i="1"/>
  <c r="AA98" i="1"/>
  <c r="AG98" i="1"/>
  <c r="AC98" i="1"/>
  <c r="S99" i="1"/>
  <c r="W99" i="1" l="1"/>
  <c r="Z99" i="1"/>
  <c r="S100" i="1"/>
  <c r="Y99" i="1"/>
  <c r="U99" i="1"/>
  <c r="V99" i="1" s="1"/>
  <c r="T99" i="1"/>
  <c r="X99" i="1"/>
  <c r="S101" i="1" l="1"/>
  <c r="Y100" i="1"/>
  <c r="U100" i="1"/>
  <c r="V100" i="1" s="1"/>
  <c r="X100" i="1"/>
  <c r="T100" i="1"/>
  <c r="W100" i="1"/>
  <c r="Z100" i="1"/>
  <c r="AF99" i="1"/>
  <c r="AB99" i="1"/>
  <c r="AH99" i="1"/>
  <c r="AD99" i="1"/>
  <c r="AG99" i="1"/>
  <c r="AC99" i="1"/>
  <c r="AE99" i="1"/>
  <c r="AA99" i="1"/>
  <c r="AF100" i="1" l="1"/>
  <c r="AB100" i="1"/>
  <c r="AD100" i="1"/>
  <c r="AH100" i="1"/>
  <c r="AE100" i="1"/>
  <c r="AA100" i="1"/>
  <c r="AG100" i="1"/>
  <c r="AC100" i="1"/>
  <c r="W101" i="1"/>
  <c r="Z101" i="1"/>
  <c r="S102" i="1"/>
  <c r="Y101" i="1"/>
  <c r="U101" i="1"/>
  <c r="V101" i="1" s="1"/>
  <c r="T101" i="1"/>
  <c r="X101" i="1"/>
  <c r="AF101" i="1" l="1"/>
  <c r="AB101" i="1"/>
  <c r="S103" i="1"/>
  <c r="Y102" i="1"/>
  <c r="U102" i="1"/>
  <c r="V102" i="1" s="1"/>
  <c r="X102" i="1"/>
  <c r="T102" i="1"/>
  <c r="W102" i="1"/>
  <c r="Z102" i="1"/>
  <c r="AH101" i="1"/>
  <c r="AD101" i="1"/>
  <c r="AG101" i="1"/>
  <c r="AC101" i="1"/>
  <c r="AE101" i="1"/>
  <c r="AA101" i="1"/>
  <c r="W103" i="1" l="1"/>
  <c r="Z103" i="1"/>
  <c r="S104" i="1"/>
  <c r="Y103" i="1"/>
  <c r="U103" i="1"/>
  <c r="V103" i="1" s="1"/>
  <c r="T103" i="1"/>
  <c r="X103" i="1"/>
  <c r="AG102" i="1"/>
  <c r="AC102" i="1"/>
  <c r="AF102" i="1"/>
  <c r="AB102" i="1"/>
  <c r="AE102" i="1"/>
  <c r="AA102" i="1"/>
  <c r="AD102" i="1"/>
  <c r="AH102" i="1"/>
  <c r="S105" i="1" l="1"/>
  <c r="Y104" i="1"/>
  <c r="U104" i="1"/>
  <c r="V104" i="1" s="1"/>
  <c r="X104" i="1"/>
  <c r="T104" i="1"/>
  <c r="W104" i="1"/>
  <c r="Z104" i="1"/>
  <c r="AG103" i="1"/>
  <c r="AC103" i="1"/>
  <c r="AF103" i="1"/>
  <c r="AB103" i="1"/>
  <c r="AH103" i="1"/>
  <c r="AD103" i="1"/>
  <c r="AE103" i="1"/>
  <c r="AA103" i="1"/>
  <c r="AF104" i="1" l="1"/>
  <c r="AB104" i="1"/>
  <c r="AD104" i="1"/>
  <c r="AH104" i="1"/>
  <c r="AE104" i="1"/>
  <c r="AA104" i="1"/>
  <c r="AG104" i="1"/>
  <c r="AC104" i="1"/>
  <c r="W105" i="1"/>
  <c r="Z105" i="1"/>
  <c r="S106" i="1"/>
  <c r="Y105" i="1"/>
  <c r="U105" i="1"/>
  <c r="V105" i="1" s="1"/>
  <c r="T105" i="1"/>
  <c r="X105" i="1"/>
  <c r="S107" i="1" l="1"/>
  <c r="Y106" i="1"/>
  <c r="U106" i="1"/>
  <c r="V106" i="1" s="1"/>
  <c r="X106" i="1"/>
  <c r="T106" i="1"/>
  <c r="W106" i="1"/>
  <c r="Z106" i="1"/>
  <c r="AH105" i="1"/>
  <c r="AD105" i="1"/>
  <c r="AG105" i="1"/>
  <c r="AC105" i="1"/>
  <c r="AF105" i="1"/>
  <c r="AB105" i="1"/>
  <c r="AE105" i="1"/>
  <c r="AA105" i="1"/>
  <c r="AF106" i="1" l="1"/>
  <c r="AB106" i="1"/>
  <c r="AD106" i="1"/>
  <c r="AH106" i="1"/>
  <c r="AE106" i="1"/>
  <c r="AA106" i="1"/>
  <c r="AG106" i="1"/>
  <c r="AC106" i="1"/>
  <c r="S108" i="1"/>
  <c r="Y107" i="1"/>
  <c r="U107" i="1"/>
  <c r="V107" i="1" s="1"/>
  <c r="X107" i="1"/>
  <c r="W107" i="1"/>
  <c r="T107" i="1"/>
  <c r="Z107" i="1"/>
  <c r="AA107" i="1" l="1"/>
  <c r="AE107" i="1"/>
  <c r="AB107" i="1"/>
  <c r="AF107" i="1"/>
  <c r="AD107" i="1"/>
  <c r="AH107" i="1"/>
  <c r="AG107" i="1"/>
  <c r="AC107" i="1"/>
  <c r="W108" i="1"/>
  <c r="S109" i="1"/>
  <c r="Z108" i="1"/>
  <c r="U108" i="1"/>
  <c r="V108" i="1" s="1"/>
  <c r="Y108" i="1"/>
  <c r="T108" i="1"/>
  <c r="X108" i="1"/>
  <c r="AD108" i="1" l="1"/>
  <c r="AH108" i="1"/>
  <c r="AB108" i="1"/>
  <c r="AF108" i="1"/>
  <c r="S110" i="1"/>
  <c r="Y109" i="1"/>
  <c r="U109" i="1"/>
  <c r="V109" i="1" s="1"/>
  <c r="X109" i="1"/>
  <c r="W109" i="1"/>
  <c r="Z109" i="1"/>
  <c r="T109" i="1"/>
  <c r="AG108" i="1"/>
  <c r="AC108" i="1"/>
  <c r="AE108" i="1"/>
  <c r="AA108" i="1"/>
  <c r="AB109" i="1" l="1"/>
  <c r="AF109" i="1"/>
  <c r="AD109" i="1"/>
  <c r="AH109" i="1"/>
  <c r="AG109" i="1"/>
  <c r="AC109" i="1"/>
  <c r="AA109" i="1"/>
  <c r="AE109" i="1"/>
  <c r="W110" i="1"/>
  <c r="S111" i="1"/>
  <c r="Z110" i="1"/>
  <c r="U110" i="1"/>
  <c r="V110" i="1" s="1"/>
  <c r="Y110" i="1"/>
  <c r="T110" i="1"/>
  <c r="X110" i="1"/>
  <c r="AB110" i="1" l="1"/>
  <c r="AF110" i="1"/>
  <c r="AD110" i="1"/>
  <c r="AH110" i="1"/>
  <c r="S112" i="1"/>
  <c r="Y111" i="1"/>
  <c r="U111" i="1"/>
  <c r="V111" i="1" s="1"/>
  <c r="X111" i="1"/>
  <c r="W111" i="1"/>
  <c r="T111" i="1"/>
  <c r="Z111" i="1"/>
  <c r="AG110" i="1"/>
  <c r="AC110" i="1"/>
  <c r="AE110" i="1"/>
  <c r="AA110" i="1"/>
  <c r="AB111" i="1" l="1"/>
  <c r="AF111" i="1"/>
  <c r="AD111" i="1"/>
  <c r="AH111" i="1"/>
  <c r="AG111" i="1"/>
  <c r="AC111" i="1"/>
  <c r="AA111" i="1"/>
  <c r="AE111" i="1"/>
  <c r="W112" i="1"/>
  <c r="S113" i="1"/>
  <c r="Z112" i="1"/>
  <c r="U112" i="1"/>
  <c r="V112" i="1" s="1"/>
  <c r="Y112" i="1"/>
  <c r="T112" i="1"/>
  <c r="X112" i="1"/>
  <c r="AB112" i="1" l="1"/>
  <c r="AF112" i="1"/>
  <c r="AD112" i="1"/>
  <c r="AH112" i="1"/>
  <c r="S114" i="1"/>
  <c r="Y113" i="1"/>
  <c r="U113" i="1"/>
  <c r="V113" i="1" s="1"/>
  <c r="X113" i="1"/>
  <c r="W113" i="1"/>
  <c r="Z113" i="1"/>
  <c r="T113" i="1"/>
  <c r="AG112" i="1"/>
  <c r="AC112" i="1"/>
  <c r="AE112" i="1"/>
  <c r="AA112" i="1"/>
  <c r="AB113" i="1" l="1"/>
  <c r="AF113" i="1"/>
  <c r="AD113" i="1"/>
  <c r="AH113" i="1"/>
  <c r="AG113" i="1"/>
  <c r="AC113" i="1"/>
  <c r="AA113" i="1"/>
  <c r="AE113" i="1"/>
  <c r="Z114" i="1"/>
  <c r="W114" i="1"/>
  <c r="U114" i="1"/>
  <c r="V114" i="1" s="1"/>
  <c r="Y114" i="1"/>
  <c r="T114" i="1"/>
  <c r="S115" i="1"/>
  <c r="X114" i="1"/>
  <c r="AB114" i="1" l="1"/>
  <c r="AF114" i="1"/>
  <c r="AG114" i="1"/>
  <c r="AC114" i="1"/>
  <c r="X115" i="1"/>
  <c r="T115" i="1"/>
  <c r="S116" i="1"/>
  <c r="Z115" i="1"/>
  <c r="U115" i="1"/>
  <c r="V115" i="1" s="1"/>
  <c r="Y115" i="1"/>
  <c r="W115" i="1"/>
  <c r="AA114" i="1"/>
  <c r="AE114" i="1"/>
  <c r="AH114" i="1"/>
  <c r="AD114" i="1"/>
  <c r="Z116" i="1" l="1"/>
  <c r="X116" i="1"/>
  <c r="W116" i="1"/>
  <c r="U116" i="1"/>
  <c r="V116" i="1" s="1"/>
  <c r="S117" i="1"/>
  <c r="T116" i="1"/>
  <c r="Y116" i="1"/>
  <c r="AG115" i="1"/>
  <c r="AC115" i="1"/>
  <c r="AH115" i="1"/>
  <c r="AD115" i="1"/>
  <c r="AE115" i="1"/>
  <c r="AA115" i="1"/>
  <c r="AF115" i="1"/>
  <c r="AB115" i="1"/>
  <c r="AC116" i="1" l="1"/>
  <c r="AG116" i="1"/>
  <c r="AE116" i="1"/>
  <c r="AA116" i="1"/>
  <c r="AB116" i="1"/>
  <c r="AF116" i="1"/>
  <c r="X117" i="1"/>
  <c r="T117" i="1"/>
  <c r="S118" i="1"/>
  <c r="Z117" i="1"/>
  <c r="U117" i="1"/>
  <c r="V117" i="1" s="1"/>
  <c r="W117" i="1"/>
  <c r="Y117" i="1"/>
  <c r="AH116" i="1"/>
  <c r="AD116" i="1"/>
  <c r="AG117" i="1" l="1"/>
  <c r="AC117" i="1"/>
  <c r="AF117" i="1"/>
  <c r="AB117" i="1"/>
  <c r="Z118" i="1"/>
  <c r="X118" i="1"/>
  <c r="W118" i="1"/>
  <c r="U118" i="1"/>
  <c r="V118" i="1" s="1"/>
  <c r="S119" i="1"/>
  <c r="T118" i="1"/>
  <c r="Y118" i="1"/>
  <c r="AA117" i="1"/>
  <c r="AE117" i="1"/>
  <c r="AH117" i="1"/>
  <c r="AD117" i="1"/>
  <c r="AC118" i="1" l="1"/>
  <c r="AG118" i="1"/>
  <c r="AE118" i="1"/>
  <c r="AA118" i="1"/>
  <c r="AB118" i="1"/>
  <c r="AF118" i="1"/>
  <c r="X119" i="1"/>
  <c r="T119" i="1"/>
  <c r="S120" i="1"/>
  <c r="Z119" i="1"/>
  <c r="U119" i="1"/>
  <c r="V119" i="1" s="1"/>
  <c r="W119" i="1"/>
  <c r="Y119" i="1"/>
  <c r="AH118" i="1"/>
  <c r="AD118" i="1"/>
  <c r="AF119" i="1" l="1"/>
  <c r="AB119" i="1"/>
  <c r="AH119" i="1"/>
  <c r="AD119" i="1"/>
  <c r="AA119" i="1"/>
  <c r="AE119" i="1"/>
  <c r="AG119" i="1"/>
  <c r="AC119" i="1"/>
  <c r="Z120" i="1"/>
  <c r="X120" i="1"/>
  <c r="W120" i="1"/>
  <c r="U120" i="1"/>
  <c r="V120" i="1" s="1"/>
  <c r="S121" i="1"/>
  <c r="T120" i="1"/>
  <c r="Y120" i="1"/>
  <c r="AE120" i="1" l="1"/>
  <c r="AA120" i="1"/>
  <c r="AC120" i="1"/>
  <c r="AG120" i="1"/>
  <c r="AB120" i="1"/>
  <c r="AF120" i="1"/>
  <c r="X121" i="1"/>
  <c r="T121" i="1"/>
  <c r="S122" i="1"/>
  <c r="Z121" i="1"/>
  <c r="U121" i="1"/>
  <c r="V121" i="1" s="1"/>
  <c r="W121" i="1"/>
  <c r="Y121" i="1"/>
  <c r="AH120" i="1"/>
  <c r="AD120" i="1"/>
  <c r="AA121" i="1" l="1"/>
  <c r="AE121" i="1"/>
  <c r="AF121" i="1"/>
  <c r="AB121" i="1"/>
  <c r="AH121" i="1"/>
  <c r="AD121" i="1"/>
  <c r="AG121" i="1"/>
  <c r="AC121" i="1"/>
  <c r="Z122" i="1"/>
  <c r="X122" i="1"/>
  <c r="W122" i="1"/>
  <c r="U122" i="1"/>
  <c r="V122" i="1" s="1"/>
  <c r="S123" i="1"/>
  <c r="T122" i="1"/>
  <c r="Y122" i="1"/>
  <c r="AC122" i="1" l="1"/>
  <c r="AG122" i="1"/>
  <c r="AE122" i="1"/>
  <c r="AA122" i="1"/>
  <c r="AB122" i="1"/>
  <c r="AF122" i="1"/>
  <c r="X123" i="1"/>
  <c r="T123" i="1"/>
  <c r="S124" i="1"/>
  <c r="Z123" i="1"/>
  <c r="U123" i="1"/>
  <c r="V123" i="1" s="1"/>
  <c r="W123" i="1"/>
  <c r="Y123" i="1"/>
  <c r="AH122" i="1"/>
  <c r="AD122" i="1"/>
  <c r="AF123" i="1" l="1"/>
  <c r="AB123" i="1"/>
  <c r="AA123" i="1"/>
  <c r="AE123" i="1"/>
  <c r="AH123" i="1"/>
  <c r="AD123" i="1"/>
  <c r="AG123" i="1"/>
  <c r="AC123" i="1"/>
  <c r="Z124" i="1"/>
  <c r="X124" i="1"/>
  <c r="W124" i="1"/>
  <c r="U124" i="1"/>
  <c r="V124" i="1" s="1"/>
  <c r="T124" i="1"/>
  <c r="Y124" i="1"/>
  <c r="AC124" i="1" l="1"/>
  <c r="AG124" i="1"/>
  <c r="AE124" i="1"/>
  <c r="AA124" i="1"/>
  <c r="AB124" i="1"/>
  <c r="AF124" i="1"/>
  <c r="S125" i="1"/>
  <c r="AH124" i="1"/>
  <c r="AD124" i="1"/>
  <c r="X125" i="1" l="1"/>
  <c r="T125" i="1"/>
  <c r="S126" i="1"/>
  <c r="Z125" i="1"/>
  <c r="U125" i="1"/>
  <c r="V125" i="1" s="1"/>
  <c r="W125" i="1"/>
  <c r="Y125" i="1"/>
  <c r="Z126" i="1" l="1"/>
  <c r="X126" i="1"/>
  <c r="W126" i="1"/>
  <c r="U126" i="1"/>
  <c r="V126" i="1" s="1"/>
  <c r="S127" i="1"/>
  <c r="T126" i="1"/>
  <c r="Y126" i="1"/>
  <c r="AA125" i="1"/>
  <c r="AE125" i="1"/>
  <c r="AH125" i="1"/>
  <c r="AD125" i="1"/>
  <c r="AG125" i="1"/>
  <c r="AC125" i="1"/>
  <c r="AF125" i="1"/>
  <c r="AB125" i="1"/>
  <c r="AC126" i="1" l="1"/>
  <c r="AG126" i="1"/>
  <c r="AE126" i="1"/>
  <c r="AA126" i="1"/>
  <c r="AB126" i="1"/>
  <c r="AF126" i="1"/>
  <c r="X127" i="1"/>
  <c r="T127" i="1"/>
  <c r="S128" i="1"/>
  <c r="Z127" i="1"/>
  <c r="U127" i="1"/>
  <c r="V127" i="1" s="1"/>
  <c r="W127" i="1"/>
  <c r="Y127" i="1"/>
  <c r="AH126" i="1"/>
  <c r="AD126" i="1"/>
  <c r="AA127" i="1" l="1"/>
  <c r="AE127" i="1"/>
  <c r="AF127" i="1"/>
  <c r="AB127" i="1"/>
  <c r="AH127" i="1"/>
  <c r="AD127" i="1"/>
  <c r="AG127" i="1"/>
  <c r="AC127" i="1"/>
  <c r="Z128" i="1"/>
  <c r="X128" i="1"/>
  <c r="W128" i="1"/>
  <c r="U128" i="1"/>
  <c r="V128" i="1" s="1"/>
  <c r="S129" i="1"/>
  <c r="T128" i="1"/>
  <c r="Y128" i="1"/>
  <c r="AC128" i="1" l="1"/>
  <c r="AG128" i="1"/>
  <c r="AB128" i="1"/>
  <c r="AF128" i="1"/>
  <c r="AE128" i="1"/>
  <c r="AA128" i="1"/>
  <c r="X129" i="1"/>
  <c r="T129" i="1"/>
  <c r="Z129" i="1"/>
  <c r="U129" i="1"/>
  <c r="V129" i="1" s="1"/>
  <c r="W129" i="1"/>
  <c r="Y129" i="1"/>
  <c r="AH128" i="1"/>
  <c r="AD128" i="1"/>
  <c r="AA129" i="1" l="1"/>
  <c r="AE129" i="1"/>
  <c r="AF129" i="1"/>
  <c r="AB129" i="1"/>
  <c r="AH129" i="1"/>
  <c r="AD129" i="1"/>
  <c r="AG129" i="1"/>
  <c r="AC129" i="1"/>
  <c r="S130" i="1"/>
  <c r="Z130" i="1" l="1"/>
  <c r="X130" i="1"/>
  <c r="W130" i="1"/>
  <c r="U130" i="1"/>
  <c r="V130" i="1" s="1"/>
  <c r="S131" i="1"/>
  <c r="T130" i="1"/>
  <c r="Y130" i="1"/>
  <c r="AE130" i="1" l="1"/>
  <c r="AA130" i="1"/>
  <c r="AB130" i="1"/>
  <c r="AF130" i="1"/>
  <c r="AC130" i="1"/>
  <c r="AG130" i="1"/>
  <c r="X131" i="1"/>
  <c r="T131" i="1"/>
  <c r="S132" i="1"/>
  <c r="Z131" i="1"/>
  <c r="U131" i="1"/>
  <c r="V131" i="1" s="1"/>
  <c r="W131" i="1"/>
  <c r="Y131" i="1"/>
  <c r="AH130" i="1"/>
  <c r="AD130" i="1"/>
  <c r="AF131" i="1" l="1"/>
  <c r="AB131" i="1"/>
  <c r="AA131" i="1"/>
  <c r="AE131" i="1"/>
  <c r="AH131" i="1"/>
  <c r="AD131" i="1"/>
  <c r="AG131" i="1"/>
  <c r="AC131" i="1"/>
  <c r="Z132" i="1"/>
  <c r="X132" i="1"/>
  <c r="Y132" i="1"/>
  <c r="S133" i="1"/>
  <c r="W132" i="1"/>
  <c r="U132" i="1"/>
  <c r="V132" i="1" s="1"/>
  <c r="T132" i="1"/>
  <c r="X133" i="1" l="1"/>
  <c r="T133" i="1"/>
  <c r="Z133" i="1"/>
  <c r="S134" i="1"/>
  <c r="W133" i="1"/>
  <c r="U133" i="1"/>
  <c r="V133" i="1" s="1"/>
  <c r="Y133" i="1"/>
  <c r="AF132" i="1"/>
  <c r="AB132" i="1"/>
  <c r="AG132" i="1"/>
  <c r="AC132" i="1"/>
  <c r="AE132" i="1"/>
  <c r="AA132" i="1"/>
  <c r="AH132" i="1"/>
  <c r="AD132" i="1"/>
  <c r="AC133" i="1" l="1"/>
  <c r="AG133" i="1"/>
  <c r="AH133" i="1"/>
  <c r="AD133" i="1"/>
  <c r="Z134" i="1"/>
  <c r="X134" i="1"/>
  <c r="T134" i="1"/>
  <c r="Y134" i="1"/>
  <c r="S135" i="1"/>
  <c r="W134" i="1"/>
  <c r="U134" i="1"/>
  <c r="V134" i="1" s="1"/>
  <c r="AE133" i="1"/>
  <c r="AA133" i="1"/>
  <c r="AF133" i="1"/>
  <c r="AB133" i="1"/>
  <c r="AA134" i="1" l="1"/>
  <c r="AE134" i="1"/>
  <c r="AF134" i="1"/>
  <c r="AB134" i="1"/>
  <c r="AG134" i="1"/>
  <c r="AC134" i="1"/>
  <c r="X135" i="1"/>
  <c r="T135" i="1"/>
  <c r="Z135" i="1"/>
  <c r="S136" i="1"/>
  <c r="W135" i="1"/>
  <c r="U135" i="1"/>
  <c r="V135" i="1" s="1"/>
  <c r="Y135" i="1"/>
  <c r="AH134" i="1"/>
  <c r="AD134" i="1"/>
  <c r="AF135" i="1" l="1"/>
  <c r="AB135" i="1"/>
  <c r="Z136" i="1"/>
  <c r="X136" i="1"/>
  <c r="T136" i="1"/>
  <c r="Y136" i="1"/>
  <c r="S137" i="1"/>
  <c r="W136" i="1"/>
  <c r="U136" i="1"/>
  <c r="V136" i="1" s="1"/>
  <c r="AE135" i="1"/>
  <c r="AA135" i="1"/>
  <c r="AC135" i="1"/>
  <c r="AG135" i="1"/>
  <c r="AH135" i="1"/>
  <c r="AD135" i="1"/>
  <c r="AA136" i="1" l="1"/>
  <c r="AE136" i="1"/>
  <c r="X137" i="1"/>
  <c r="T137" i="1"/>
  <c r="Z137" i="1"/>
  <c r="S138" i="1"/>
  <c r="W137" i="1"/>
  <c r="U137" i="1"/>
  <c r="V137" i="1" s="1"/>
  <c r="Y137" i="1"/>
  <c r="AH136" i="1"/>
  <c r="AD136" i="1"/>
  <c r="AF136" i="1"/>
  <c r="AB136" i="1"/>
  <c r="AG136" i="1"/>
  <c r="AC136" i="1"/>
  <c r="AE137" i="1" l="1"/>
  <c r="AA137" i="1"/>
  <c r="AF137" i="1"/>
  <c r="AB137" i="1"/>
  <c r="Z138" i="1"/>
  <c r="X138" i="1"/>
  <c r="T138" i="1"/>
  <c r="Y138" i="1"/>
  <c r="S139" i="1"/>
  <c r="W138" i="1"/>
  <c r="U138" i="1"/>
  <c r="V138" i="1" s="1"/>
  <c r="AC137" i="1"/>
  <c r="AG137" i="1"/>
  <c r="AH137" i="1"/>
  <c r="AD137" i="1"/>
  <c r="AA138" i="1" l="1"/>
  <c r="AE138" i="1"/>
  <c r="AF138" i="1"/>
  <c r="AB138" i="1"/>
  <c r="AG138" i="1"/>
  <c r="AC138" i="1"/>
  <c r="X139" i="1"/>
  <c r="T139" i="1"/>
  <c r="Z139" i="1"/>
  <c r="S140" i="1"/>
  <c r="W139" i="1"/>
  <c r="U139" i="1"/>
  <c r="V139" i="1" s="1"/>
  <c r="Y139" i="1"/>
  <c r="AH138" i="1"/>
  <c r="AD138" i="1"/>
  <c r="AE139" i="1" l="1"/>
  <c r="AA139" i="1"/>
  <c r="AF139" i="1"/>
  <c r="AB139" i="1"/>
  <c r="Z140" i="1"/>
  <c r="X140" i="1"/>
  <c r="T140" i="1"/>
  <c r="Y140" i="1"/>
  <c r="S141" i="1"/>
  <c r="W140" i="1"/>
  <c r="U140" i="1"/>
  <c r="V140" i="1" s="1"/>
  <c r="AC139" i="1"/>
  <c r="AG139" i="1"/>
  <c r="AH139" i="1"/>
  <c r="AD139" i="1"/>
  <c r="AG140" i="1" l="1"/>
  <c r="AC140" i="1"/>
  <c r="AA140" i="1"/>
  <c r="AE140" i="1"/>
  <c r="AF140" i="1"/>
  <c r="AB140" i="1"/>
  <c r="X141" i="1"/>
  <c r="T141" i="1"/>
  <c r="Z141" i="1"/>
  <c r="S142" i="1"/>
  <c r="W141" i="1"/>
  <c r="U141" i="1"/>
  <c r="V141" i="1" s="1"/>
  <c r="Y141" i="1"/>
  <c r="AH140" i="1"/>
  <c r="AD140" i="1"/>
  <c r="AE141" i="1" l="1"/>
  <c r="AA141" i="1"/>
  <c r="AF141" i="1"/>
  <c r="AB141" i="1"/>
  <c r="Z142" i="1"/>
  <c r="S143" i="1"/>
  <c r="X142" i="1"/>
  <c r="T142" i="1"/>
  <c r="Y142" i="1"/>
  <c r="W142" i="1"/>
  <c r="U142" i="1"/>
  <c r="V142" i="1" s="1"/>
  <c r="AC141" i="1"/>
  <c r="AG141" i="1"/>
  <c r="AH141" i="1"/>
  <c r="AD141" i="1"/>
  <c r="AF142" i="1" l="1"/>
  <c r="AB142" i="1"/>
  <c r="Z143" i="1"/>
  <c r="S144" i="1"/>
  <c r="Y143" i="1"/>
  <c r="U143" i="1"/>
  <c r="V143" i="1" s="1"/>
  <c r="W143" i="1"/>
  <c r="X143" i="1"/>
  <c r="T143" i="1"/>
  <c r="AA142" i="1"/>
  <c r="AE142" i="1"/>
  <c r="AG142" i="1"/>
  <c r="AC142" i="1"/>
  <c r="AD142" i="1"/>
  <c r="AH142" i="1"/>
  <c r="AB143" i="1" l="1"/>
  <c r="AF143" i="1"/>
  <c r="AE143" i="1"/>
  <c r="AA143" i="1"/>
  <c r="AH143" i="1"/>
  <c r="AD143" i="1"/>
  <c r="X144" i="1"/>
  <c r="T144" i="1"/>
  <c r="W144" i="1"/>
  <c r="U144" i="1"/>
  <c r="V144" i="1" s="1"/>
  <c r="S145" i="1"/>
  <c r="Y144" i="1"/>
  <c r="Z144" i="1"/>
  <c r="AG143" i="1"/>
  <c r="AC143" i="1"/>
  <c r="AF144" i="1" l="1"/>
  <c r="AB144" i="1"/>
  <c r="AC144" i="1"/>
  <c r="AG144" i="1"/>
  <c r="Z145" i="1"/>
  <c r="S146" i="1"/>
  <c r="Y145" i="1"/>
  <c r="U145" i="1"/>
  <c r="V145" i="1" s="1"/>
  <c r="W145" i="1"/>
  <c r="X145" i="1"/>
  <c r="T145" i="1"/>
  <c r="AH144" i="1"/>
  <c r="AD144" i="1"/>
  <c r="AE144" i="1"/>
  <c r="AA144" i="1"/>
  <c r="AG145" i="1" l="1"/>
  <c r="AC145" i="1"/>
  <c r="AB145" i="1"/>
  <c r="AF145" i="1"/>
  <c r="X146" i="1"/>
  <c r="T146" i="1"/>
  <c r="W146" i="1"/>
  <c r="U146" i="1"/>
  <c r="V146" i="1" s="1"/>
  <c r="S147" i="1"/>
  <c r="Y146" i="1"/>
  <c r="Z146" i="1"/>
  <c r="AE145" i="1"/>
  <c r="AA145" i="1"/>
  <c r="AH145" i="1"/>
  <c r="AD145" i="1"/>
  <c r="AH146" i="1" l="1"/>
  <c r="AD146" i="1"/>
  <c r="AE146" i="1"/>
  <c r="AA146" i="1"/>
  <c r="AC146" i="1"/>
  <c r="AG146" i="1"/>
  <c r="Z147" i="1"/>
  <c r="S148" i="1"/>
  <c r="Y147" i="1"/>
  <c r="U147" i="1"/>
  <c r="V147" i="1" s="1"/>
  <c r="W147" i="1"/>
  <c r="X147" i="1"/>
  <c r="T147" i="1"/>
  <c r="AF146" i="1"/>
  <c r="AB146" i="1"/>
  <c r="AB147" i="1" l="1"/>
  <c r="AF147" i="1"/>
  <c r="AE147" i="1"/>
  <c r="AA147" i="1"/>
  <c r="AH147" i="1"/>
  <c r="AD147" i="1"/>
  <c r="X148" i="1"/>
  <c r="T148" i="1"/>
  <c r="W148" i="1"/>
  <c r="U148" i="1"/>
  <c r="V148" i="1" s="1"/>
  <c r="S149" i="1"/>
  <c r="Y148" i="1"/>
  <c r="Z148" i="1"/>
  <c r="AG147" i="1"/>
  <c r="AC147" i="1"/>
  <c r="AH148" i="1" l="1"/>
  <c r="AD148" i="1"/>
  <c r="Z149" i="1"/>
  <c r="S150" i="1"/>
  <c r="Y149" i="1"/>
  <c r="U149" i="1"/>
  <c r="V149" i="1" s="1"/>
  <c r="W149" i="1"/>
  <c r="X149" i="1"/>
  <c r="T149" i="1"/>
  <c r="AF148" i="1"/>
  <c r="AB148" i="1"/>
  <c r="AE148" i="1"/>
  <c r="AA148" i="1"/>
  <c r="AC148" i="1"/>
  <c r="AG148" i="1"/>
  <c r="AE149" i="1" l="1"/>
  <c r="AA149" i="1"/>
  <c r="AH149" i="1"/>
  <c r="AD149" i="1"/>
  <c r="AB149" i="1"/>
  <c r="AF149" i="1"/>
  <c r="X150" i="1"/>
  <c r="T150" i="1"/>
  <c r="W150" i="1"/>
  <c r="U150" i="1"/>
  <c r="V150" i="1" s="1"/>
  <c r="S151" i="1"/>
  <c r="Y150" i="1"/>
  <c r="Z150" i="1"/>
  <c r="AG149" i="1"/>
  <c r="AC149" i="1"/>
  <c r="AH150" i="1" l="1"/>
  <c r="AD150" i="1"/>
  <c r="AE150" i="1"/>
  <c r="AA150" i="1"/>
  <c r="AC150" i="1"/>
  <c r="AG150" i="1"/>
  <c r="Z151" i="1"/>
  <c r="S152" i="1"/>
  <c r="Y151" i="1"/>
  <c r="U151" i="1"/>
  <c r="V151" i="1" s="1"/>
  <c r="W151" i="1"/>
  <c r="X151" i="1"/>
  <c r="T151" i="1"/>
  <c r="AF150" i="1"/>
  <c r="AB150" i="1"/>
  <c r="X152" i="1" l="1"/>
  <c r="T152" i="1"/>
  <c r="W152" i="1"/>
  <c r="U152" i="1"/>
  <c r="V152" i="1" s="1"/>
  <c r="S153" i="1"/>
  <c r="Y152" i="1"/>
  <c r="Z152" i="1"/>
  <c r="AE151" i="1"/>
  <c r="AA151" i="1"/>
  <c r="AH151" i="1"/>
  <c r="AD151" i="1"/>
  <c r="AB151" i="1"/>
  <c r="AF151" i="1"/>
  <c r="AG151" i="1"/>
  <c r="AC151" i="1"/>
  <c r="AH152" i="1" l="1"/>
  <c r="AD152" i="1"/>
  <c r="AE152" i="1"/>
  <c r="AA152" i="1"/>
  <c r="AC152" i="1"/>
  <c r="AG152" i="1"/>
  <c r="Z153" i="1"/>
  <c r="S154" i="1"/>
  <c r="Y153" i="1"/>
  <c r="U153" i="1"/>
  <c r="V153" i="1" s="1"/>
  <c r="W153" i="1"/>
  <c r="X153" i="1"/>
  <c r="T153" i="1"/>
  <c r="AF152" i="1"/>
  <c r="AB152" i="1"/>
  <c r="AB153" i="1" l="1"/>
  <c r="AF153" i="1"/>
  <c r="AE153" i="1"/>
  <c r="AA153" i="1"/>
  <c r="AH153" i="1"/>
  <c r="AD153" i="1"/>
  <c r="AG153" i="1"/>
  <c r="AC153" i="1"/>
  <c r="X154" i="1"/>
  <c r="T154" i="1"/>
  <c r="W154" i="1"/>
  <c r="U154" i="1"/>
  <c r="V154" i="1" s="1"/>
  <c r="S155" i="1"/>
  <c r="Y154" i="1"/>
  <c r="Z154" i="1"/>
  <c r="AH154" i="1" l="1"/>
  <c r="AD154" i="1"/>
  <c r="AE154" i="1"/>
  <c r="AA154" i="1"/>
  <c r="AC154" i="1"/>
  <c r="AG154" i="1"/>
  <c r="Z155" i="1"/>
  <c r="S156" i="1"/>
  <c r="Y155" i="1"/>
  <c r="U155" i="1"/>
  <c r="V155" i="1" s="1"/>
  <c r="W155" i="1"/>
  <c r="X155" i="1"/>
  <c r="T155" i="1"/>
  <c r="AF154" i="1"/>
  <c r="AB154" i="1"/>
  <c r="X156" i="1" l="1"/>
  <c r="T156" i="1"/>
  <c r="W156" i="1"/>
  <c r="U156" i="1"/>
  <c r="V156" i="1" s="1"/>
  <c r="Z156" i="1"/>
  <c r="S157" i="1"/>
  <c r="Y156" i="1"/>
  <c r="AE155" i="1"/>
  <c r="AA155" i="1"/>
  <c r="AH155" i="1"/>
  <c r="AD155" i="1"/>
  <c r="AB155" i="1"/>
  <c r="AF155" i="1"/>
  <c r="AG155" i="1"/>
  <c r="AC155" i="1"/>
  <c r="AC156" i="1" l="1"/>
  <c r="AG156" i="1"/>
  <c r="AE156" i="1"/>
  <c r="AA156" i="1"/>
  <c r="AH156" i="1"/>
  <c r="AD156" i="1"/>
  <c r="Z157" i="1"/>
  <c r="S158" i="1"/>
  <c r="Y157" i="1"/>
  <c r="U157" i="1"/>
  <c r="V157" i="1" s="1"/>
  <c r="W157" i="1"/>
  <c r="T157" i="1"/>
  <c r="X157" i="1"/>
  <c r="AF156" i="1"/>
  <c r="AB156" i="1"/>
  <c r="AE157" i="1" l="1"/>
  <c r="AA157" i="1"/>
  <c r="AH157" i="1"/>
  <c r="AD157" i="1"/>
  <c r="X158" i="1"/>
  <c r="T158" i="1"/>
  <c r="W158" i="1"/>
  <c r="U158" i="1"/>
  <c r="V158" i="1" s="1"/>
  <c r="Z158" i="1"/>
  <c r="S159" i="1"/>
  <c r="Y158" i="1"/>
  <c r="AB157" i="1"/>
  <c r="AF157" i="1"/>
  <c r="AG157" i="1"/>
  <c r="AC157" i="1"/>
  <c r="AC158" i="1" l="1"/>
  <c r="AG158" i="1"/>
  <c r="AE158" i="1"/>
  <c r="AA158" i="1"/>
  <c r="Z159" i="1"/>
  <c r="S160" i="1"/>
  <c r="Y159" i="1"/>
  <c r="U159" i="1"/>
  <c r="V159" i="1" s="1"/>
  <c r="W159" i="1"/>
  <c r="T159" i="1"/>
  <c r="X159" i="1"/>
  <c r="AH158" i="1"/>
  <c r="AD158" i="1"/>
  <c r="AF158" i="1"/>
  <c r="AB158" i="1"/>
  <c r="AB159" i="1" l="1"/>
  <c r="AF159" i="1"/>
  <c r="AG159" i="1"/>
  <c r="AC159" i="1"/>
  <c r="X160" i="1"/>
  <c r="T160" i="1"/>
  <c r="W160" i="1"/>
  <c r="U160" i="1"/>
  <c r="V160" i="1" s="1"/>
  <c r="Z160" i="1"/>
  <c r="S161" i="1"/>
  <c r="Y160" i="1"/>
  <c r="AE159" i="1"/>
  <c r="AA159" i="1"/>
  <c r="AH159" i="1"/>
  <c r="AD159" i="1"/>
  <c r="AC160" i="1" l="1"/>
  <c r="AG160" i="1"/>
  <c r="AE160" i="1"/>
  <c r="AA160" i="1"/>
  <c r="Z161" i="1"/>
  <c r="S162" i="1"/>
  <c r="Y161" i="1"/>
  <c r="U161" i="1"/>
  <c r="V161" i="1" s="1"/>
  <c r="W161" i="1"/>
  <c r="T161" i="1"/>
  <c r="X161" i="1"/>
  <c r="AH160" i="1"/>
  <c r="AD160" i="1"/>
  <c r="AF160" i="1"/>
  <c r="AB160" i="1"/>
  <c r="AB161" i="1" l="1"/>
  <c r="AF161" i="1"/>
  <c r="AG161" i="1"/>
  <c r="AC161" i="1"/>
  <c r="X162" i="1"/>
  <c r="T162" i="1"/>
  <c r="W162" i="1"/>
  <c r="U162" i="1"/>
  <c r="V162" i="1" s="1"/>
  <c r="Z162" i="1"/>
  <c r="S163" i="1"/>
  <c r="Y162" i="1"/>
  <c r="AE161" i="1"/>
  <c r="AA161" i="1"/>
  <c r="AH161" i="1"/>
  <c r="AD161" i="1"/>
  <c r="AC162" i="1" l="1"/>
  <c r="AG162" i="1"/>
  <c r="Z163" i="1"/>
  <c r="Y163" i="1"/>
  <c r="U163" i="1"/>
  <c r="V163" i="1" s="1"/>
  <c r="W163" i="1"/>
  <c r="T163" i="1"/>
  <c r="X163" i="1"/>
  <c r="AE162" i="1"/>
  <c r="AA162" i="1"/>
  <c r="AH162" i="1"/>
  <c r="AD162" i="1"/>
  <c r="AF162" i="1"/>
  <c r="AB162" i="1"/>
  <c r="AH163" i="1" l="1"/>
  <c r="AD163" i="1"/>
  <c r="AF163" i="1"/>
  <c r="AB163" i="1"/>
  <c r="AE163" i="1"/>
  <c r="AA163" i="1"/>
  <c r="AG163" i="1"/>
  <c r="AC163" i="1"/>
</calcChain>
</file>

<file path=xl/sharedStrings.xml><?xml version="1.0" encoding="utf-8"?>
<sst xmlns="http://schemas.openxmlformats.org/spreadsheetml/2006/main" count="5541" uniqueCount="2501">
  <si>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</si>
  <si>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</si>
  <si>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</si>
  <si>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</si>
  <si>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</si>
  <si>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</si>
  <si>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</si>
  <si>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</si>
  <si>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</si>
  <si>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</si>
  <si>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</si>
  <si>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</si>
  <si>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</si>
  <si>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</si>
  <si>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</si>
  <si>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</si>
  <si>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</si>
  <si>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</si>
  <si>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</si>
  <si>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</si>
  <si>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</si>
  <si>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</si>
  <si>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</si>
  <si>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</si>
  <si>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</si>
  <si>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</si>
  <si>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</si>
  <si>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</si>
  <si>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</si>
  <si>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</si>
  <si>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</si>
  <si>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</si>
  <si>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</si>
  <si>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</si>
  <si>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</si>
  <si>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</si>
  <si>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</si>
  <si>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</si>
  <si>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</si>
  <si>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</si>
  <si>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</si>
  <si>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</si>
  <si>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</si>
  <si>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</si>
  <si>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</si>
  <si>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</si>
  <si>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</si>
  <si>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</si>
  <si>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</si>
  <si>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</si>
  <si>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</si>
  <si>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</si>
  <si>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</si>
  <si>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</si>
  <si>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</si>
  <si>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</si>
  <si>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</si>
  <si>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</si>
  <si>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</si>
  <si>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</si>
  <si>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</si>
  <si>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</si>
  <si>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</si>
  <si>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</si>
  <si>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</si>
  <si>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</si>
  <si>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</si>
  <si>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</si>
  <si>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</si>
  <si>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</si>
  <si>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</si>
  <si>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</si>
  <si>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</si>
  <si>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</si>
  <si>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</si>
  <si>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</si>
  <si>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</si>
  <si>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</si>
  <si>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</si>
  <si>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</si>
  <si>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</si>
  <si>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</si>
  <si>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</si>
  <si>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</si>
  <si>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</si>
  <si>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</si>
  <si>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</si>
  <si>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</si>
  <si>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</si>
  <si>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</si>
  <si>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</si>
  <si>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</si>
  <si>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</si>
  <si>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</si>
  <si>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</si>
  <si>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</si>
  <si>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</si>
  <si>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</si>
  <si>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</si>
  <si>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</si>
  <si>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</si>
  <si>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</si>
  <si>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</si>
  <si>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</si>
  <si>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</si>
  <si>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</si>
  <si>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</si>
  <si>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</si>
  <si>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</si>
  <si>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</si>
  <si>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</si>
  <si>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</si>
  <si>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</si>
  <si>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</si>
  <si>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</si>
  <si>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</si>
  <si>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</si>
  <si>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</si>
  <si>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</si>
  <si>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</si>
  <si>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</si>
  <si>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</si>
  <si>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</si>
  <si>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</si>
  <si>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</si>
  <si>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</si>
  <si>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</si>
  <si>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</si>
  <si>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</si>
  <si>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</si>
  <si>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</si>
  <si>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</si>
  <si>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</si>
  <si>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</si>
  <si>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</si>
  <si>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</si>
  <si>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</si>
  <si>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</si>
  <si>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</si>
  <si>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</si>
  <si>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</si>
  <si>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</si>
  <si>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</si>
  <si>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</si>
  <si>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</si>
  <si>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</si>
  <si>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</si>
  <si>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</si>
  <si>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</si>
  <si>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</si>
  <si>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</si>
  <si>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</si>
  <si>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</si>
  <si>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</si>
  <si>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</si>
  <si>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</si>
  <si>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</si>
  <si>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</si>
  <si>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</si>
  <si>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</si>
  <si>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</si>
  <si>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</si>
  <si>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</si>
  <si>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</si>
  <si>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</si>
  <si>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</si>
  <si>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</si>
  <si>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</si>
  <si>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</si>
  <si>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</si>
  <si>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</si>
  <si>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</si>
  <si>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</si>
  <si>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</si>
  <si>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</si>
  <si>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</si>
  <si>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</si>
  <si>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</si>
  <si>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</si>
  <si>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</si>
  <si>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</si>
  <si>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</si>
  <si>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</si>
  <si>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</si>
  <si>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</si>
  <si>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</si>
  <si>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</si>
  <si>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</si>
  <si>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</si>
  <si>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</si>
  <si>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</si>
  <si>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</si>
  <si>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</si>
  <si>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</si>
  <si>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</si>
  <si>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</si>
  <si>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</si>
  <si>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</si>
  <si>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</si>
  <si>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</si>
  <si>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</si>
  <si>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</si>
  <si>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</si>
  <si>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</si>
  <si>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</si>
  <si>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</si>
  <si>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</si>
  <si>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</si>
  <si>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</si>
  <si>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</si>
  <si>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</si>
  <si>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</si>
  <si>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</si>
  <si>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</si>
  <si>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</si>
  <si>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</si>
  <si>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</si>
  <si>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</si>
  <si>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</si>
  <si>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</si>
  <si>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</si>
  <si>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</si>
  <si>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</si>
  <si>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</si>
  <si>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</si>
  <si>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</si>
  <si>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</si>
  <si>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</si>
  <si>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</si>
  <si>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</si>
  <si>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</si>
  <si>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</si>
  <si>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</si>
  <si>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</si>
  <si>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</si>
  <si>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</si>
  <si>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</si>
  <si>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</si>
  <si>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</si>
  <si>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</si>
  <si>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</si>
  <si>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</si>
  <si>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</si>
  <si>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</si>
  <si>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</si>
  <si>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</si>
  <si>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</si>
  <si>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</si>
  <si>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</si>
  <si>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</si>
  <si>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</si>
  <si>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</si>
  <si>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</si>
  <si>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</si>
  <si>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</si>
  <si>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</si>
  <si>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</si>
  <si>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</si>
  <si>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</si>
  <si>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</si>
  <si>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</si>
  <si>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</si>
  <si>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</si>
  <si>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</si>
  <si>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</si>
  <si>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</si>
  <si>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</si>
  <si>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</si>
  <si>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</si>
  <si>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</si>
  <si>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</si>
  <si>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</si>
  <si>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</si>
  <si>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</si>
  <si>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</si>
  <si>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</si>
  <si>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</si>
  <si>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</si>
  <si>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</si>
  <si>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</si>
  <si>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</si>
  <si>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</si>
  <si>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</si>
  <si>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</si>
  <si>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</si>
  <si>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</si>
  <si>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</si>
  <si>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</si>
  <si>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</si>
  <si>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</si>
  <si>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</si>
  <si>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</si>
  <si>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</si>
  <si>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</si>
  <si>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</si>
  <si>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</si>
  <si>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</si>
  <si>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</si>
  <si>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</si>
  <si>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</si>
  <si>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</si>
  <si>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</si>
  <si>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</si>
  <si>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</si>
  <si>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</si>
  <si>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</si>
  <si>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</si>
  <si>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</si>
  <si>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</si>
  <si>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</si>
  <si>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</si>
  <si>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</si>
  <si>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</si>
  <si>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</si>
  <si>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</si>
  <si>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</si>
  <si>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</si>
  <si>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</si>
  <si>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</si>
  <si>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</si>
  <si>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</si>
  <si>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</si>
  <si>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</si>
  <si>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</si>
  <si>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</si>
  <si>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</si>
  <si>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</si>
  <si>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</si>
  <si>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</si>
  <si>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</si>
  <si>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</si>
  <si>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</si>
  <si>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</si>
  <si>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</si>
  <si>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</si>
  <si>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</si>
  <si>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</si>
  <si>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</si>
  <si>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</si>
  <si>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</si>
  <si>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</si>
  <si>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</si>
  <si>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</si>
  <si>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</si>
  <si>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</si>
  <si>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</si>
  <si>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</si>
  <si>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</si>
  <si>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</si>
  <si>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</si>
  <si>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</si>
  <si>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</si>
  <si>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</si>
  <si>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</si>
  <si>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</si>
  <si>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</si>
  <si>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</si>
  <si>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</si>
  <si>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</si>
  <si>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</si>
  <si>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</si>
  <si>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</si>
  <si>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</si>
  <si>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</si>
  <si>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</si>
  <si>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</si>
  <si>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</si>
  <si>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</si>
  <si>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</si>
  <si>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</si>
  <si>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</si>
  <si>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</si>
  <si>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</si>
  <si>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</si>
  <si>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</si>
  <si>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</si>
  <si>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</si>
  <si>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</si>
  <si>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</si>
  <si>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</si>
  <si>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</si>
  <si>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</si>
  <si>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</si>
  <si>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</si>
  <si>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</si>
  <si>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</si>
  <si>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</si>
  <si>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</si>
  <si>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</si>
  <si>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</si>
  <si>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</si>
  <si>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</si>
  <si>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</si>
  <si>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</si>
  <si>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</si>
  <si>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</si>
  <si>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</si>
  <si>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</si>
  <si>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</si>
  <si>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</si>
  <si>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</si>
  <si>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</si>
  <si>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</si>
  <si>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</si>
  <si>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</si>
  <si>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</si>
  <si>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</si>
  <si>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</si>
  <si>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</si>
  <si>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</si>
  <si>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</si>
  <si>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</si>
  <si>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</si>
  <si>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</si>
  <si>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</si>
  <si>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</si>
  <si>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</si>
  <si>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</si>
  <si>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</si>
  <si>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</si>
  <si>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</si>
  <si>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</si>
  <si>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</si>
  <si>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</si>
  <si>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</si>
  <si>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</si>
  <si>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</si>
  <si>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</si>
  <si>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</si>
  <si>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</si>
  <si>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</si>
  <si>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</si>
  <si>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</si>
  <si>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</si>
  <si>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</si>
  <si>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</si>
  <si>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</si>
  <si>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</si>
  <si>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</si>
  <si>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</si>
  <si>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</si>
  <si>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</si>
  <si>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</si>
  <si>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</si>
  <si>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</si>
  <si>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</si>
  <si>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</si>
  <si>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</si>
  <si>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</si>
  <si>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</si>
  <si>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</si>
  <si>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</si>
  <si>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</si>
  <si>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</si>
  <si>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</si>
  <si>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</si>
  <si>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</si>
  <si>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</si>
  <si>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</si>
  <si>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</si>
  <si>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</si>
  <si>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</si>
  <si>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</si>
  <si>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</si>
  <si>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</si>
  <si>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</si>
  <si>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</si>
  <si>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</si>
  <si>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</si>
  <si>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</si>
  <si>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</si>
  <si>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</si>
  <si>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</si>
  <si>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</si>
  <si>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</si>
  <si>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</si>
  <si>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</si>
  <si>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</si>
  <si>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</si>
  <si>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</si>
  <si>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</si>
  <si>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</si>
  <si>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</si>
  <si>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</si>
  <si>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</si>
  <si>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</si>
  <si>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</si>
  <si>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</si>
  <si>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</si>
  <si>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</si>
  <si>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</si>
  <si>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</si>
  <si>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</si>
  <si>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</si>
  <si>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</si>
  <si>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</si>
  <si>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</si>
  <si>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</si>
  <si>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</si>
  <si>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</si>
  <si>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</si>
  <si>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</si>
  <si>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</si>
  <si>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</si>
  <si>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</si>
  <si>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</si>
  <si>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</si>
  <si>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</si>
  <si>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</si>
  <si>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</si>
  <si>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</si>
  <si>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</si>
  <si>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</si>
  <si>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</si>
  <si>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</si>
  <si>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</si>
  <si>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</si>
  <si>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</si>
  <si>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</si>
  <si>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</si>
  <si>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</si>
  <si>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</si>
  <si>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</si>
  <si>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</si>
  <si>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</si>
  <si>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</si>
  <si>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</si>
  <si>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</si>
  <si>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</si>
  <si>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</si>
  <si>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</si>
  <si>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</si>
  <si>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</si>
  <si>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</si>
  <si>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</si>
  <si>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</si>
  <si>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</si>
  <si>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</si>
  <si>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</si>
  <si>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</si>
  <si>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</si>
  <si>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</si>
  <si>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</si>
  <si>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</si>
  <si>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</si>
  <si>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</si>
  <si>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</si>
  <si>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</si>
  <si>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</si>
  <si>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</si>
  <si>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</si>
  <si>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</si>
  <si>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</si>
  <si>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</si>
  <si>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</si>
  <si>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</si>
  <si>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</si>
  <si>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</si>
  <si>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</si>
  <si>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</si>
  <si>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</si>
  <si>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</si>
  <si>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</si>
  <si>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</si>
  <si>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</si>
  <si>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</si>
  <si>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</si>
  <si>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</si>
  <si>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</si>
  <si>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</si>
  <si>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</si>
  <si>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</si>
  <si>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</si>
  <si>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</si>
  <si>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</si>
  <si>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</si>
  <si>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</si>
  <si>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</si>
  <si>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</si>
  <si>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</si>
  <si>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</si>
  <si>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</si>
  <si>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</si>
  <si>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</si>
  <si>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</si>
  <si>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</si>
  <si>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</si>
  <si>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</si>
  <si>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</si>
  <si>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</si>
  <si>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</si>
  <si>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</si>
  <si>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</si>
  <si>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</si>
  <si>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</si>
  <si>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</si>
  <si>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</si>
  <si>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</si>
  <si>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</si>
  <si>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</si>
  <si>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</si>
  <si>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</si>
  <si>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</si>
  <si>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</si>
  <si>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</si>
  <si>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</si>
  <si>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</si>
  <si>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</si>
  <si>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</si>
  <si>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</si>
  <si>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</si>
  <si>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</si>
  <si>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</si>
  <si>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</si>
  <si>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</si>
  <si>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</si>
  <si>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</si>
  <si>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</si>
  <si>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</si>
  <si>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</si>
  <si>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</si>
  <si>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</si>
  <si>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</si>
  <si>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</si>
  <si>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</si>
  <si>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</si>
  <si>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</si>
  <si>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</si>
  <si>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</si>
  <si>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</si>
  <si>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</si>
  <si>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</si>
  <si>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</si>
  <si>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</si>
  <si>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</si>
  <si>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</si>
  <si>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</si>
  <si>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</si>
  <si>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</si>
  <si>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</si>
  <si>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</si>
  <si>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</si>
  <si>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</si>
  <si>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</si>
  <si>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</si>
  <si>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</si>
  <si>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</si>
  <si>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</si>
  <si>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</si>
  <si>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</si>
  <si>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</si>
  <si>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</si>
  <si>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</si>
  <si>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</si>
  <si>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</si>
  <si>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</si>
  <si>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</si>
  <si>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</si>
  <si>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</si>
  <si>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</si>
  <si>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</si>
  <si>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</si>
  <si>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</si>
  <si>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</si>
  <si>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</si>
  <si>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</si>
  <si>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</si>
  <si>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</si>
  <si>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</si>
  <si>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</si>
  <si>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</si>
  <si>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</si>
  <si>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</si>
  <si>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</si>
  <si>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</si>
  <si>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</si>
  <si>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</si>
  <si>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</si>
  <si>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</si>
  <si>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</si>
  <si>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</si>
  <si>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</si>
  <si>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</si>
  <si>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</si>
  <si>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</si>
  <si>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</si>
  <si>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</si>
  <si>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</si>
  <si>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</si>
  <si>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</si>
  <si>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</si>
  <si>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</si>
  <si>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</si>
  <si>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</si>
  <si>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</si>
  <si>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</si>
  <si>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</si>
  <si>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</si>
  <si>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</si>
  <si>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</si>
  <si>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</si>
  <si>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</si>
  <si>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</si>
  <si>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</si>
  <si>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</si>
  <si>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</si>
  <si>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</si>
  <si>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</si>
  <si>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</si>
  <si>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</si>
  <si>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</si>
  <si>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</si>
  <si>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</si>
  <si>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</si>
  <si>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</si>
  <si>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</si>
  <si>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</si>
  <si>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</si>
  <si>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</si>
  <si>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</si>
  <si>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</si>
  <si>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</si>
  <si>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</si>
  <si>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</si>
  <si>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</si>
  <si>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</si>
  <si>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</si>
  <si>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</si>
  <si>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</si>
  <si>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</si>
  <si>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</si>
  <si>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</si>
  <si>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</si>
  <si>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</si>
  <si>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</si>
  <si>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</si>
  <si>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</si>
  <si>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</si>
  <si>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</si>
  <si>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</si>
  <si>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</si>
  <si>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</si>
  <si>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</si>
  <si>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</si>
  <si>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</si>
  <si>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</si>
  <si>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</si>
  <si>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</si>
  <si>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</si>
  <si>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</si>
  <si>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</si>
  <si>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</si>
  <si>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</si>
  <si>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</si>
  <si>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</si>
  <si>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</si>
  <si>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</si>
  <si>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</si>
  <si>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</si>
  <si>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</si>
  <si>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</si>
  <si>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</si>
  <si>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</si>
  <si>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</si>
  <si>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</si>
  <si>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</si>
  <si>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</si>
  <si>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</si>
  <si>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</si>
  <si>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</si>
  <si>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</si>
  <si>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</si>
  <si>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</si>
  <si>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</si>
  <si>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</si>
  <si>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</si>
  <si>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</si>
  <si>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</si>
  <si>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</si>
  <si>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</si>
  <si>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</si>
  <si>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</si>
  <si>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</si>
  <si>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</si>
  <si>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</si>
  <si>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</si>
  <si>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</si>
  <si>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</si>
  <si>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</si>
  <si>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</si>
  <si>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</si>
  <si>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</si>
  <si>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</si>
  <si>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</si>
  <si>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</si>
  <si>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</si>
  <si>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</si>
  <si>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</si>
  <si>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</si>
  <si>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</si>
  <si>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</si>
  <si>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</si>
  <si>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</si>
  <si>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</si>
  <si>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</si>
  <si>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</si>
  <si>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</si>
  <si>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</si>
  <si>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</si>
  <si>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</si>
  <si>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</si>
  <si>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</si>
  <si>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</si>
  <si>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</si>
  <si>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</si>
  <si>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</si>
  <si>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</si>
  <si>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</si>
  <si>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</si>
  <si>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</si>
  <si>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</si>
  <si>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</si>
  <si>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</si>
  <si>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</si>
  <si>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</si>
  <si>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</si>
  <si>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</si>
  <si>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</si>
  <si>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</si>
  <si>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</si>
  <si>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</si>
  <si>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</si>
  <si>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</si>
  <si>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</si>
  <si>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</si>
  <si>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</si>
  <si>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</si>
  <si>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</si>
  <si>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</si>
  <si>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</si>
  <si>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</si>
  <si>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</si>
  <si>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</si>
  <si>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</si>
  <si>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</si>
  <si>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</si>
  <si>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</si>
  <si>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</si>
  <si>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</si>
  <si>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</si>
  <si>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</si>
  <si>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</si>
  <si>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</si>
  <si>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</si>
  <si>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</si>
  <si>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</si>
  <si>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</si>
  <si>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</si>
  <si>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</si>
  <si>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</si>
  <si>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</si>
  <si>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</si>
  <si>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</si>
  <si>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</si>
  <si>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</si>
  <si>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</si>
  <si>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</si>
  <si>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</si>
  <si>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</si>
  <si>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</si>
  <si>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</si>
  <si>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</si>
  <si>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</si>
  <si>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</si>
  <si>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</si>
  <si>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</si>
  <si>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</si>
  <si>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</si>
  <si>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</si>
  <si>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</si>
  <si>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</si>
  <si>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</si>
  <si>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</si>
  <si>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</si>
  <si>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</si>
  <si>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</si>
  <si>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</si>
  <si>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</si>
  <si>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</si>
  <si>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</si>
  <si>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</si>
  <si>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</si>
  <si>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</si>
  <si>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</si>
  <si>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</si>
  <si>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</si>
  <si>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</si>
  <si>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</si>
  <si>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</si>
  <si>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</si>
  <si>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</si>
  <si>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</si>
  <si>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</si>
  <si>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</si>
  <si>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</si>
  <si>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</si>
  <si>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</si>
  <si>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</si>
  <si>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</si>
  <si>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</si>
  <si>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</si>
  <si>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</si>
  <si>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</si>
  <si>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</si>
  <si>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</si>
  <si>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</si>
  <si>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</si>
  <si>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</si>
  <si>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</si>
  <si>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</si>
  <si>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</si>
  <si>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</si>
  <si>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</si>
  <si>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</si>
  <si>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</si>
  <si>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</si>
  <si>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</si>
  <si>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</si>
  <si>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</si>
  <si>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</si>
  <si>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</si>
  <si>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</si>
  <si>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</si>
  <si>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</si>
  <si>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</si>
  <si>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</si>
  <si>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</si>
  <si>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</si>
  <si>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</si>
  <si>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</si>
  <si>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</si>
  <si>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</si>
  <si>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</si>
  <si>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</si>
  <si>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</si>
  <si>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</si>
  <si>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</si>
  <si>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</si>
  <si>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</si>
  <si>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</si>
  <si>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</si>
  <si>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</si>
  <si>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</si>
  <si>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</si>
  <si>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</si>
  <si>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</si>
  <si>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</si>
  <si>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</si>
  <si>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</si>
  <si>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</si>
  <si>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</si>
  <si>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</si>
  <si>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</si>
  <si>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</si>
  <si>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</si>
  <si>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</si>
  <si>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</si>
  <si>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</si>
  <si>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</si>
  <si>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</si>
  <si>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</si>
  <si>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</si>
  <si>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</si>
  <si>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</si>
  <si>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</si>
  <si>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</si>
  <si>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</si>
  <si>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</si>
  <si>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</si>
  <si>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</si>
  <si>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</si>
  <si>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</si>
  <si>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</si>
  <si>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</si>
  <si>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</si>
  <si>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</si>
  <si>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</si>
  <si>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</si>
  <si>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</si>
  <si>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</si>
  <si>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</si>
  <si>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</si>
  <si>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</si>
  <si>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</si>
  <si>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</si>
  <si>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</si>
  <si>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</si>
  <si>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</si>
  <si>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</si>
  <si>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</si>
  <si>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</si>
  <si>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</si>
  <si>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</si>
  <si>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</si>
  <si>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</si>
  <si>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</si>
  <si>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</si>
  <si>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</si>
  <si>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</si>
  <si>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</si>
  <si>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</si>
  <si>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</si>
  <si>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</si>
  <si>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</si>
  <si>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</si>
  <si>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</si>
  <si>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</si>
  <si>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</si>
  <si>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</si>
  <si>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</si>
  <si>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</si>
  <si>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</si>
  <si>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</si>
  <si>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</si>
  <si>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</si>
  <si>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</si>
  <si>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</si>
  <si>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</si>
  <si>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</si>
  <si>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</si>
  <si>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</si>
  <si>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</si>
  <si>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</si>
  <si>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</si>
  <si>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</si>
  <si>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</si>
  <si>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</si>
  <si>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</si>
  <si>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</si>
  <si>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</si>
  <si>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</si>
  <si>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</si>
  <si>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</si>
  <si>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</si>
  <si>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</si>
  <si>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</si>
  <si>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</si>
  <si>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</si>
  <si>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</si>
  <si>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</si>
  <si>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</si>
  <si>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</si>
  <si>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</si>
  <si>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</si>
  <si>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</si>
  <si>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</si>
  <si>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</si>
  <si>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</si>
  <si>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</si>
  <si>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</si>
  <si>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</si>
  <si>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</si>
  <si>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</si>
  <si>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</si>
  <si>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</si>
  <si>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</si>
  <si>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</si>
  <si>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</si>
  <si>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</si>
  <si>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</si>
  <si>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</si>
  <si>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</si>
  <si>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</si>
  <si>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</si>
  <si>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</si>
  <si>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</si>
  <si>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</si>
  <si>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</si>
  <si>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</si>
  <si>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</si>
  <si>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</si>
  <si>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</si>
  <si>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</si>
  <si>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</si>
  <si>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</si>
  <si>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</si>
  <si>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</si>
  <si>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</si>
  <si>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</si>
  <si>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</si>
  <si>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</si>
  <si>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</si>
  <si>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</si>
  <si>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</si>
  <si>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</si>
  <si>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</si>
  <si>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</si>
  <si>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</si>
  <si>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</si>
  <si>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</si>
  <si>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</si>
  <si>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</si>
  <si>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</si>
  <si>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</si>
  <si>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</si>
  <si>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</si>
  <si>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</si>
  <si>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</si>
  <si>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</si>
  <si>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</si>
  <si>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</si>
  <si>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</si>
  <si>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</si>
  <si>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</si>
  <si>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</si>
  <si>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</si>
  <si>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</si>
  <si>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</si>
  <si>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</si>
  <si>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</si>
  <si>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</si>
  <si>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</si>
  <si>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</si>
  <si>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</si>
  <si>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</si>
  <si>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</si>
  <si>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</si>
  <si>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</si>
  <si>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</si>
  <si>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</si>
  <si>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</si>
  <si>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</si>
  <si>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</si>
  <si>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</si>
  <si>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</si>
  <si>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</si>
  <si>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</si>
  <si>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</si>
  <si>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</si>
  <si>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</si>
  <si>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</si>
  <si>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</si>
  <si>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</si>
  <si>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</si>
  <si>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</si>
  <si>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</si>
  <si>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</si>
  <si>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</si>
  <si>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</si>
  <si>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</si>
  <si>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</si>
  <si>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</si>
  <si>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</si>
  <si>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</si>
  <si>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</si>
  <si>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</si>
  <si>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</si>
  <si>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</si>
  <si>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</si>
  <si>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</si>
  <si>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</si>
  <si>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</si>
  <si>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</si>
  <si>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</si>
  <si>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</si>
  <si>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</si>
  <si>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</si>
  <si>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</si>
  <si>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</si>
  <si>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</si>
  <si>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</si>
  <si>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</si>
  <si>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</si>
  <si>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</si>
  <si>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</si>
  <si>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</si>
  <si>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</si>
  <si>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</si>
  <si>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</si>
  <si>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</si>
  <si>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</si>
  <si>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</si>
  <si>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</si>
  <si>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</si>
  <si>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</si>
  <si>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</si>
  <si>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</si>
  <si>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</si>
  <si>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</si>
  <si>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</si>
  <si>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</si>
  <si>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</si>
  <si>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</si>
  <si>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</si>
  <si>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</si>
  <si>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</si>
  <si>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</si>
  <si>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</si>
  <si>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</si>
  <si>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</si>
  <si>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</si>
  <si>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</si>
  <si>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</si>
  <si>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</si>
  <si>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</si>
  <si>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</si>
  <si>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</si>
  <si>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</si>
  <si>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</si>
  <si>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</si>
  <si>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</si>
  <si>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</si>
  <si>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</si>
  <si>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</si>
  <si>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</si>
  <si>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</si>
  <si>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</si>
  <si>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</si>
  <si>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</si>
  <si>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</si>
  <si>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</si>
  <si>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</si>
  <si>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</si>
  <si>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</si>
  <si>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</si>
  <si>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</si>
  <si>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</si>
  <si>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</si>
  <si>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</si>
  <si>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</si>
  <si>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</si>
  <si>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</si>
  <si>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</si>
  <si>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</si>
  <si>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</si>
  <si>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</si>
  <si>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</si>
  <si>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</si>
  <si>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</si>
  <si>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</si>
  <si>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</si>
  <si>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</si>
  <si>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</si>
  <si>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</si>
  <si>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</si>
  <si>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</si>
  <si>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</si>
  <si>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</si>
  <si>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</si>
  <si>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</si>
  <si>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</si>
  <si>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</si>
  <si>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</si>
  <si>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</si>
  <si>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</si>
  <si>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</si>
  <si>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</si>
  <si>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</si>
  <si>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</si>
  <si>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</si>
  <si>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</si>
  <si>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</si>
  <si>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</si>
  <si>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</si>
  <si>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</si>
  <si>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</si>
  <si>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</si>
  <si>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</si>
  <si>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</si>
  <si>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</si>
  <si>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</si>
  <si>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</si>
  <si>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</si>
  <si>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</si>
  <si>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</si>
  <si>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</si>
  <si>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</si>
  <si>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</si>
  <si>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</si>
  <si>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</si>
  <si>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</si>
  <si>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</si>
  <si>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</si>
  <si>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</si>
  <si>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</si>
  <si>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</si>
  <si>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</si>
  <si>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</si>
  <si>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</si>
  <si>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</si>
  <si>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</si>
  <si>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</si>
  <si>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</si>
  <si>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</si>
  <si>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</si>
  <si>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</si>
  <si>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</si>
  <si>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</si>
  <si>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</si>
  <si>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</si>
  <si>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</si>
  <si>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</si>
  <si>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</si>
  <si>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</si>
  <si>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</si>
  <si>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</si>
  <si>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</si>
  <si>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</si>
  <si>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</si>
  <si>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</si>
  <si>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</si>
  <si>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</si>
  <si>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</si>
  <si>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</si>
  <si>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</si>
  <si>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</si>
  <si>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</si>
  <si>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</si>
  <si>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</si>
  <si>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</si>
  <si>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</si>
  <si>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</si>
  <si>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</si>
  <si>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</si>
  <si>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</si>
  <si>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</si>
  <si>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</si>
  <si>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</si>
  <si>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</si>
  <si>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</si>
  <si>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</si>
  <si>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</si>
  <si>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</si>
  <si>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</si>
  <si>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</si>
  <si>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</si>
  <si>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</si>
  <si>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</si>
  <si>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</si>
  <si>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</si>
  <si>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</si>
  <si>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</si>
  <si>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</si>
  <si>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</si>
  <si>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</si>
  <si>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</si>
  <si>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</si>
  <si>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</si>
  <si>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</si>
  <si>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</si>
  <si>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</si>
  <si>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</si>
  <si>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</si>
  <si>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</si>
  <si>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</si>
  <si>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</si>
  <si>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</si>
  <si>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</si>
  <si>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</si>
  <si>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</si>
  <si>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</si>
  <si>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</si>
  <si>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</si>
  <si>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</si>
  <si>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</si>
  <si>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</si>
  <si>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</si>
  <si>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</si>
  <si>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</si>
  <si>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</si>
  <si>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</si>
  <si>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</si>
  <si>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</si>
  <si>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</si>
  <si>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</si>
  <si>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</si>
  <si>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</si>
  <si>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</si>
  <si>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</si>
  <si>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</si>
  <si>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</si>
  <si>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</si>
  <si>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</si>
  <si>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</si>
  <si>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</si>
  <si>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</si>
  <si>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</si>
  <si>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</si>
  <si>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</si>
  <si>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</si>
  <si>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</si>
  <si>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</si>
  <si>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</si>
  <si>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</si>
  <si>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</si>
  <si>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</si>
  <si>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</si>
  <si>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</si>
  <si>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</si>
  <si>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</si>
  <si>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</si>
  <si>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</si>
  <si>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</si>
  <si>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</si>
  <si>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</si>
  <si>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</si>
  <si>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</si>
  <si>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</si>
  <si>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</si>
  <si>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</si>
  <si>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</si>
  <si>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</si>
  <si>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</si>
  <si>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</si>
  <si>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</si>
  <si>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</si>
  <si>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</si>
  <si>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</si>
  <si>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</si>
  <si>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</si>
  <si>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</si>
  <si>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</si>
  <si>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</si>
  <si>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</si>
  <si>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</si>
  <si>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</si>
  <si>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</si>
  <si>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</si>
  <si>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</si>
  <si>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</si>
  <si>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</si>
  <si>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</si>
  <si>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</si>
  <si>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</si>
  <si>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</si>
  <si>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</si>
  <si>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</si>
  <si>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</si>
  <si>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</si>
  <si>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</si>
  <si>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</si>
  <si>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</si>
  <si>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</si>
  <si>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</si>
  <si>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</si>
  <si>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</si>
  <si>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</si>
  <si>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</si>
  <si>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</si>
  <si>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</si>
  <si>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</si>
  <si>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</si>
  <si>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</si>
  <si>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</si>
  <si>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</si>
  <si>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</si>
  <si>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</si>
  <si>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</si>
  <si>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</si>
  <si>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</si>
  <si>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</si>
  <si>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</si>
  <si>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</si>
  <si>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</si>
  <si>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</si>
  <si>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</si>
  <si>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</si>
  <si>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</si>
  <si>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</si>
  <si>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</si>
  <si>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</si>
  <si>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</si>
  <si>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</si>
  <si>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</si>
  <si>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</si>
  <si>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</si>
  <si>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</si>
  <si>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</si>
  <si>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</si>
  <si>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</si>
  <si>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</si>
  <si>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</si>
  <si>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</si>
  <si>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</si>
  <si>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</si>
  <si>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</si>
  <si>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</si>
  <si>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</si>
  <si>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</si>
  <si>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</si>
  <si>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</si>
  <si>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</si>
  <si>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</si>
  <si>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</si>
  <si>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</si>
  <si>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</si>
  <si>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</si>
  <si>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</si>
  <si>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</si>
  <si>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</si>
  <si>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</si>
  <si>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</si>
  <si>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</si>
  <si>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</si>
  <si>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</si>
  <si>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</si>
  <si>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</si>
  <si>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</si>
  <si>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</si>
  <si>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</si>
  <si>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</si>
  <si>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</si>
  <si>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</si>
  <si>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</si>
  <si>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</si>
  <si>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</si>
  <si>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</si>
  <si>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</si>
  <si>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</si>
  <si>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</si>
  <si>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</si>
  <si>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</si>
  <si>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</si>
  <si>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</si>
  <si>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</si>
  <si>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</si>
  <si>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</si>
  <si>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</si>
  <si>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</si>
  <si>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</si>
  <si>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</si>
  <si>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</si>
  <si>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</si>
  <si>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</si>
  <si>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</si>
  <si>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</si>
  <si>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</si>
  <si>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</si>
  <si>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</si>
  <si>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</si>
  <si>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</si>
  <si>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</si>
  <si>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</si>
  <si>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</si>
  <si>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</si>
  <si>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</si>
  <si>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</si>
  <si>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</si>
  <si>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</si>
  <si>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</si>
  <si>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</si>
  <si>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</si>
  <si>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</si>
  <si>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</si>
  <si>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</si>
  <si>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</si>
  <si>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</si>
  <si>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</si>
  <si>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</si>
  <si>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</si>
  <si>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</si>
  <si>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</si>
  <si>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</si>
  <si>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</si>
  <si>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</si>
  <si>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</si>
  <si>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</si>
  <si>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</si>
  <si>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</si>
  <si>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</si>
  <si>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</si>
  <si>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</si>
  <si>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</si>
  <si>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</si>
  <si>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</si>
  <si>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</si>
  <si>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</si>
  <si>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</si>
  <si>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</si>
  <si>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</si>
  <si>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</si>
  <si>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</si>
  <si>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</si>
  <si>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</si>
  <si>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</si>
  <si>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</si>
  <si>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</si>
  <si>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</si>
  <si>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</si>
  <si>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</si>
  <si>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</si>
  <si>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</si>
  <si>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</si>
  <si>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</si>
  <si>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</si>
  <si>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</si>
  <si>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</si>
  <si>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</si>
  <si>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</si>
  <si>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</si>
  <si>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</si>
  <si>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</si>
  <si>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</si>
  <si>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</si>
  <si>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</si>
  <si>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</si>
  <si>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</si>
  <si>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</si>
  <si>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</si>
  <si>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</si>
  <si>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</si>
  <si>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</si>
  <si>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</si>
  <si>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</si>
  <si>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</si>
  <si>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</si>
  <si>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</si>
  <si>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</si>
  <si>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</si>
  <si>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</si>
  <si>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</si>
  <si>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</si>
  <si>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</si>
  <si>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</si>
  <si>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</si>
  <si>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</si>
  <si>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</si>
  <si>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</si>
  <si>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</si>
  <si>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</si>
  <si>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</si>
  <si>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</si>
  <si>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</si>
  <si>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</si>
  <si>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</si>
  <si>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</si>
  <si>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</si>
  <si>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</si>
  <si>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</si>
  <si>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</si>
  <si>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</si>
  <si>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</si>
  <si>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</si>
  <si>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</si>
  <si>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</si>
  <si>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</si>
  <si>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</si>
  <si>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</si>
  <si>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</si>
  <si>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</si>
  <si>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</si>
  <si>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</si>
  <si>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</si>
  <si>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</si>
  <si>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</si>
  <si>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</si>
  <si>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</si>
  <si>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</si>
  <si>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</si>
  <si>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</si>
  <si>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</si>
  <si>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</si>
  <si>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</si>
  <si>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</si>
  <si>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</si>
  <si>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</si>
  <si>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</si>
  <si>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</si>
  <si>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</si>
  <si>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</si>
  <si>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</si>
  <si>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</si>
  <si>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</si>
  <si>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</si>
  <si>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</si>
  <si>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</si>
  <si>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</si>
  <si>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</si>
  <si>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</si>
  <si>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</si>
  <si>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</si>
  <si>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</si>
  <si>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</si>
  <si>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</si>
  <si>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</si>
  <si>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</si>
  <si>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</si>
  <si>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</si>
  <si>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</si>
  <si>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</si>
  <si>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</si>
  <si>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</si>
  <si>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</si>
  <si>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</si>
  <si>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</si>
  <si>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</si>
  <si>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</si>
  <si>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</si>
  <si>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</si>
  <si>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</si>
  <si>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</si>
  <si>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</si>
  <si>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</si>
  <si>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</si>
  <si>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</si>
  <si>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</si>
  <si>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</si>
  <si>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</si>
  <si>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</si>
  <si>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</si>
  <si>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</si>
  <si>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</si>
  <si>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</si>
  <si>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</si>
  <si>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</si>
  <si>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</si>
  <si>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</si>
  <si>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</si>
  <si>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</si>
  <si>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</si>
  <si>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</si>
  <si>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</si>
  <si>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</si>
  <si>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</si>
  <si>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</si>
  <si>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</si>
  <si>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</si>
  <si>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</si>
  <si>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</si>
  <si>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</si>
  <si>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</si>
  <si>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</si>
  <si>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</si>
  <si>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</si>
  <si>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</si>
  <si>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</si>
  <si>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</si>
  <si>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</si>
  <si>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</si>
  <si>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</si>
  <si>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</si>
  <si>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</si>
  <si>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</si>
  <si>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</si>
  <si>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</si>
  <si>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</si>
  <si>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</si>
  <si>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</si>
  <si>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</si>
  <si>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</si>
  <si>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</si>
  <si>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</si>
  <si>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</si>
  <si>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</si>
  <si>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</si>
  <si>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</si>
  <si>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</si>
  <si>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</si>
  <si>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</si>
  <si>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</si>
  <si>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</si>
  <si>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</si>
  <si>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</si>
  <si>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</si>
  <si>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</si>
  <si>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</si>
  <si>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</si>
  <si>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</si>
  <si>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</si>
  <si>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</si>
  <si>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</si>
  <si>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</si>
  <si>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</si>
  <si>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</si>
  <si>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</si>
  <si>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</si>
  <si>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</si>
  <si>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</si>
  <si>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</si>
  <si>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</si>
  <si>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</si>
  <si>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</si>
  <si>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</si>
  <si>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</si>
  <si>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</si>
  <si>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</si>
  <si>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</si>
  <si>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</si>
  <si>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</si>
  <si>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</si>
  <si>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</si>
  <si>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</si>
  <si>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</si>
  <si>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</si>
  <si>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</si>
  <si>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</si>
  <si>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</si>
  <si>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</si>
  <si>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</si>
  <si>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</si>
  <si>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</si>
  <si>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</si>
  <si>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</si>
  <si>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</si>
  <si>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</si>
  <si>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</si>
  <si>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</si>
  <si>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</si>
  <si>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</si>
  <si>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</si>
  <si>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</si>
  <si>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</si>
  <si>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</si>
  <si>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</si>
  <si>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</si>
  <si>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</si>
  <si>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</si>
  <si>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</si>
  <si>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</si>
  <si>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</si>
  <si>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</si>
  <si>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</si>
  <si>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</si>
  <si>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</si>
  <si>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</si>
  <si>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</si>
  <si>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</si>
  <si>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</si>
  <si>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</si>
  <si>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</si>
  <si>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</si>
  <si>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</si>
  <si>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</si>
  <si>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</si>
  <si>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</si>
  <si>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</si>
  <si>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</si>
  <si>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</si>
  <si>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</si>
  <si>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</si>
  <si>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</si>
  <si>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</si>
  <si>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</si>
  <si>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</si>
  <si>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</si>
  <si>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</si>
  <si>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</si>
  <si>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</si>
  <si>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</si>
  <si>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</si>
  <si>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</si>
  <si>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</si>
  <si>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</si>
  <si>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</si>
  <si>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</si>
  <si>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</si>
  <si>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</si>
  <si>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</si>
  <si>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</si>
  <si>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</si>
  <si>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</si>
  <si>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</si>
  <si>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</si>
  <si>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</si>
  <si>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</si>
  <si>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</si>
  <si>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</si>
  <si>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</si>
  <si>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</si>
  <si>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</si>
  <si>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</si>
  <si>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</si>
  <si>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</si>
  <si>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</si>
  <si>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</si>
  <si>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</si>
  <si>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</si>
  <si>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</si>
  <si>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</si>
  <si>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</si>
  <si>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</si>
  <si>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</si>
  <si>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</si>
  <si>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</si>
  <si>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</si>
  <si>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</si>
  <si>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</si>
  <si>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</si>
  <si>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</si>
  <si>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</si>
  <si>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</si>
  <si>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</si>
  <si>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</si>
  <si>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</si>
  <si>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</si>
  <si>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</si>
  <si>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</si>
  <si>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</si>
  <si>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</si>
  <si>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</si>
  <si>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</si>
  <si>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</si>
  <si>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</si>
  <si>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</si>
  <si>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</si>
  <si>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</si>
  <si>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</si>
  <si>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</si>
  <si>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</si>
  <si>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</si>
  <si>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</si>
  <si>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</si>
  <si>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</si>
  <si>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</si>
  <si>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</si>
  <si>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</si>
  <si>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</si>
  <si>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</si>
  <si>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</si>
  <si>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</si>
  <si>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</si>
  <si>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</si>
  <si>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</si>
  <si>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</si>
  <si>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</si>
  <si>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</si>
  <si>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</si>
  <si>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</si>
  <si>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</si>
  <si>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</si>
  <si>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</si>
  <si>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</si>
  <si>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</si>
  <si>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</si>
  <si>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</si>
  <si>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</si>
  <si>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</si>
  <si>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</si>
  <si>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</si>
  <si>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</si>
  <si>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</si>
  <si>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</si>
  <si>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</si>
  <si>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</si>
  <si>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</si>
  <si>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</si>
  <si>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</si>
  <si>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</si>
  <si>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</si>
  <si>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</si>
  <si>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</si>
  <si>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</si>
  <si>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</si>
  <si>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</si>
  <si>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</si>
  <si>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</si>
  <si>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</si>
  <si>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</si>
  <si>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</si>
  <si>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</si>
  <si>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</si>
  <si>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</si>
  <si>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</si>
  <si>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</si>
  <si>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</si>
  <si>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</si>
  <si>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</si>
  <si>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</si>
  <si>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</si>
  <si>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</si>
  <si>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</si>
  <si>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</si>
  <si>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</si>
  <si>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</si>
  <si>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</si>
  <si>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</si>
  <si>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</si>
  <si>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</si>
  <si>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</si>
  <si>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</si>
  <si>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</si>
  <si>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</si>
  <si>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</si>
  <si>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</si>
  <si>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</si>
  <si>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</si>
  <si>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</si>
  <si>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</si>
  <si>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</si>
  <si>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</si>
  <si>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</si>
  <si>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</si>
  <si>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</si>
  <si>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</si>
  <si>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</si>
  <si>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</si>
  <si>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</si>
  <si>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</si>
  <si>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</si>
  <si>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</si>
  <si>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</si>
  <si>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</si>
  <si>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</si>
  <si>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</si>
  <si>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</si>
  <si>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</si>
  <si>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</si>
  <si>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</si>
  <si>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</si>
  <si>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</si>
  <si>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</si>
  <si>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</si>
  <si>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</si>
  <si>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</si>
  <si>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</si>
  <si>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</si>
  <si>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</si>
  <si>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</si>
  <si>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</si>
  <si>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</si>
  <si>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</si>
  <si>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</si>
  <si>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</si>
  <si>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</si>
  <si>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</si>
  <si>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</si>
  <si>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</si>
  <si>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</si>
  <si>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</si>
  <si>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</si>
  <si>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</si>
  <si>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</si>
  <si>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</si>
  <si>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</si>
  <si>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</si>
  <si>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</si>
  <si>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</si>
  <si>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</si>
  <si>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</si>
  <si>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</si>
  <si>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</si>
  <si>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</si>
  <si>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</si>
  <si>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</si>
  <si>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</si>
  <si>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</si>
  <si>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</si>
  <si>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</si>
  <si>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</si>
  <si>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</si>
  <si>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</si>
  <si>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</si>
  <si>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</si>
  <si>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</si>
  <si>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</si>
  <si>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</si>
  <si>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</si>
  <si>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</si>
  <si>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</si>
  <si>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</si>
  <si>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</si>
  <si>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</si>
  <si>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</si>
  <si>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</si>
  <si>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</si>
  <si>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</si>
  <si>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</si>
  <si>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</si>
  <si>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</si>
  <si>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</si>
  <si>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</si>
  <si>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</si>
  <si>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</si>
  <si>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</si>
  <si>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</si>
  <si>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</si>
  <si>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</si>
  <si>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</si>
  <si>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</si>
  <si>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</si>
  <si>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</si>
  <si>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</si>
  <si>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</si>
  <si>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</si>
  <si>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</si>
  <si>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</si>
  <si>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</si>
  <si>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</si>
  <si>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</si>
  <si>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</si>
  <si>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</si>
  <si>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</si>
  <si>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</si>
  <si>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</si>
  <si>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</si>
  <si>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</si>
  <si>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</si>
  <si>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</si>
  <si>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</si>
  <si>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</si>
  <si>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</si>
  <si>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</si>
  <si>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</si>
  <si>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</si>
  <si>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</si>
  <si>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</si>
  <si>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</si>
  <si>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</si>
  <si>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</si>
  <si>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</si>
  <si>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</si>
  <si>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</si>
  <si>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</si>
  <si>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</si>
  <si>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</si>
  <si>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</si>
  <si>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</si>
  <si>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</si>
  <si>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</si>
  <si>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</si>
  <si>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</si>
  <si>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</si>
  <si>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</si>
  <si>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</si>
  <si>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</si>
  <si>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</si>
  <si>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</si>
  <si>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</si>
  <si>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</si>
  <si>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</si>
  <si>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</si>
  <si>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</si>
  <si>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</si>
  <si>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</si>
  <si>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</si>
  <si>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</si>
  <si>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</si>
  <si>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</si>
  <si>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</si>
  <si>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</si>
  <si>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</si>
  <si>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</si>
  <si>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</si>
  <si>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</si>
  <si>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</si>
  <si>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</si>
  <si>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</si>
  <si>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</si>
  <si>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</si>
  <si>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</si>
  <si>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</si>
  <si>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</si>
  <si>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</si>
  <si>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</si>
  <si>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</si>
  <si>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</si>
  <si>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</si>
  <si>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</si>
  <si>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</si>
  <si>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</si>
  <si>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</si>
  <si>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</si>
  <si>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</si>
  <si>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</si>
  <si>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</si>
  <si>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</si>
  <si>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</si>
  <si>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</si>
  <si>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</si>
  <si>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</si>
  <si>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</si>
  <si>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</si>
  <si>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</si>
  <si>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</si>
  <si>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</si>
  <si>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</si>
  <si>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</si>
  <si>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</si>
  <si>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</si>
  <si>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</si>
  <si>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</si>
  <si>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</si>
  <si>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</si>
  <si>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</si>
  <si>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</si>
  <si>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</si>
  <si>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</si>
  <si>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</si>
  <si>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</si>
  <si>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</si>
  <si>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</si>
  <si>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</si>
  <si>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</si>
  <si>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</si>
  <si>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</si>
  <si>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</si>
  <si>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</si>
  <si>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</si>
  <si>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</si>
  <si>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</si>
  <si>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</si>
  <si>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</si>
  <si>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</si>
  <si>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</si>
  <si>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</si>
  <si>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</si>
  <si>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</si>
  <si>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</si>
  <si>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</si>
  <si>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</si>
  <si>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</si>
  <si>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</si>
  <si>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</si>
  <si>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</si>
  <si>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</si>
  <si>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Target Enable</t>
  </si>
  <si>
    <t>rmap_target_enable</t>
  </si>
  <si>
    <t>Data Packet CCD Image V-End</t>
  </si>
  <si>
    <t>data_pkt_ccd_img_v_end</t>
  </si>
  <si>
    <t>std_logic_vector(to_unsigned(4509, 16))</t>
  </si>
  <si>
    <t>usiCcdImgVEnd</t>
  </si>
  <si>
    <t>Data Packet CCD Overscan V-End</t>
  </si>
  <si>
    <t>data_pkt_ccd_ovs_v_end</t>
  </si>
  <si>
    <t>std_logic_vector(to_unsigned(29, 16))</t>
  </si>
  <si>
    <t>usiCcdOvsVEnd</t>
  </si>
  <si>
    <t>Data Packet CCD H-Start</t>
  </si>
  <si>
    <t>data_pkt_ccd_h_start</t>
  </si>
  <si>
    <t>usiCcdHStart</t>
  </si>
  <si>
    <t>Data Packet CCD H-End</t>
  </si>
  <si>
    <t>data_pkt_ccd_h_end</t>
  </si>
  <si>
    <t>std_logic_vector(to_unsigned(2294, 16))</t>
  </si>
  <si>
    <t>usiCcdHEnd</t>
  </si>
  <si>
    <t>Data Packet CCD Image Enable</t>
  </si>
  <si>
    <t>data_pkt_ccd_img_en</t>
  </si>
  <si>
    <t>bCcdImgEn</t>
  </si>
  <si>
    <t>Data Packet CCD Overscan Enable</t>
  </si>
  <si>
    <t>data_pkt_ccd_ovs_en</t>
  </si>
  <si>
    <t>bCcdOvsEn</t>
  </si>
  <si>
    <t xml:space="preserve">  rmap_target_enable : std_logic; -- RMAP Target Enable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</si>
  <si>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</si>
  <si>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</si>
  <si>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</si>
  <si>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</si>
  <si>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</si>
  <si>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</si>
  <si>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</si>
  <si>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</si>
  <si>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</si>
  <si>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</si>
  <si>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</si>
  <si>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</si>
  <si>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</si>
  <si>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</si>
  <si>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</si>
  <si>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</si>
  <si>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</si>
  <si>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</si>
  <si>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</si>
  <si>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</si>
  <si>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</si>
  <si>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</si>
  <si>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</si>
  <si>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</si>
  <si>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</si>
  <si>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</si>
  <si>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</si>
  <si>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</si>
  <si>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</si>
  <si>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>-- RMAP Codec Config Register : RMAP Target Enable</t>
  </si>
  <si>
    <t>spacewire_write_registers_o.rmap_codec_config_reg.rmap_target_enable &lt;= '1';</t>
  </si>
  <si>
    <t>-- Data Packet Config Register : Data Packet CCD Image V-End</t>
  </si>
  <si>
    <t>spacewire_write_registers_o.data_packet_config_reg.data_pkt_ccd_img_v_end &lt;= std_logic_vector(to_unsigned(4509, 16));</t>
  </si>
  <si>
    <t>-- Data Packet Config Register : Data Packet CCD Overscan V-End</t>
  </si>
  <si>
    <t>spacewire_write_registers_o.data_packet_config_reg.data_pkt_ccd_ovs_v_end &lt;= std_logic_vector(to_unsigned(29,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</si>
  <si>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</si>
  <si>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</si>
  <si>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</si>
  <si>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</si>
  <si>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</si>
  <si>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</si>
  <si>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</si>
  <si>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</si>
  <si>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 xml:space="preserve">      spacewire_write_registers_o.rmap_codec_config_reg.rmap_target_enable &lt;= avalon_mm_spacewire_i.writedata(0);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</si>
  <si>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</si>
  <si>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</si>
  <si>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</si>
  <si>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</si>
  <si>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</si>
  <si>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</si>
  <si>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</si>
  <si>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</si>
  <si>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</si>
  <si>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</si>
  <si>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bool bEnable; /* RMAP Target Enable */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</si>
  <si>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</si>
  <si>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</si>
  <si>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</si>
  <si>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</si>
  <si>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 xml:space="preserve">  bool bCcdImgEn; /* Data Packet CCD Image Enable */</t>
  </si>
  <si>
    <t xml:space="preserve">  bool bCcdOvsEn; /* Data Packet CCD Overscan Enable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</si>
  <si>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</si>
  <si>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</si>
  <si>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</si>
  <si>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</si>
  <si>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</si>
  <si>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</si>
  <si>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</si>
  <si>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</si>
  <si>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</si>
  <si>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</si>
  <si>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</si>
  <si>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</si>
  <si>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</si>
  <si>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</si>
  <si>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</si>
  <si>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Window List Enable</t>
  </si>
  <si>
    <t>fee_window_list_en</t>
  </si>
  <si>
    <t>bWindowListEn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</si>
  <si>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</si>
  <si>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</si>
  <si>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</si>
  <si>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</si>
  <si>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</si>
  <si>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</si>
  <si>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</si>
  <si>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</si>
  <si>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</si>
  <si>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</si>
  <si>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</si>
  <si>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</si>
  <si>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</si>
  <si>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</si>
  <si>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</si>
  <si>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</si>
  <si>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</si>
  <si>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</si>
  <si>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</si>
  <si>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</si>
  <si>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</si>
  <si>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</si>
  <si>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</si>
  <si>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</si>
  <si>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</si>
  <si>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</si>
  <si>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</si>
  <si>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</si>
  <si>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</si>
  <si>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</si>
  <si>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</si>
  <si>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</si>
  <si>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>constant c_AVALON_MM_SPACEWIRE_MAX_ADDR : natural range 0 to 255 := 16#8F#;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</si>
  <si>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</si>
  <si>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</si>
  <si>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</si>
  <si>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</si>
  <si>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</si>
  <si>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fee_window_list_en : std_logic; -- FEE Window List Enable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</si>
  <si>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</si>
  <si>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</si>
  <si>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</si>
  <si>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</si>
  <si>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</si>
  <si>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</si>
  <si>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</si>
  <si>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</si>
  <si>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</si>
  <si>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</si>
  <si>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</si>
  <si>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</si>
  <si>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</si>
  <si>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</si>
  <si>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</si>
  <si>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</si>
  <si>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 xml:space="preserve">  spw_error_injection_control_reg : t_comm_spw_error_injection_control_wr_reg; -- SpaceWire Error Injection Control Register</t>
  </si>
  <si>
    <t xml:space="preserve">  trans_error_injection_control_reg : t_comm_trans_error_injection_control_wr_reg; -- Transmission Error Injection Control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</si>
  <si>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</si>
  <si>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</si>
  <si>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</si>
  <si>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</si>
  <si>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</si>
  <si>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</si>
  <si>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</si>
  <si>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</si>
  <si>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</si>
  <si>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</si>
  <si>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</si>
  <si>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</si>
  <si>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</si>
  <si>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</si>
  <si>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</si>
  <si>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</si>
  <si>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</si>
  <si>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</si>
  <si>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</si>
  <si>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</si>
  <si>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</si>
  <si>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avalon_mm_spacewire_o.readdata(23 downto 16) &lt;= spacewire_write_registers_i.spw_error_injection_control_reg.spw_errinj_n_repeat(7 downto 0);</t>
  </si>
  <si>
    <t xml:space="preserve">      avalon_mm_spacewire_o.readdata(31 downto 24) &lt;= spacewire_write_registers_i.spw_error_injection_control_reg.spw_errinj_n_repeat(15 downto 8);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</si>
  <si>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</si>
  <si>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</si>
  <si>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</si>
  <si>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</si>
  <si>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</si>
  <si>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</si>
  <si>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</si>
  <si>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</si>
  <si>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</si>
  <si>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avalon_mm_spacewire_o.readdata(23 downto 16) &lt;= spacewire_write_registers_i.trans_error_injection_control_reg.trans_errinj_sequence_cnt(7 downto 0);</t>
  </si>
  <si>
    <t xml:space="preserve">      avalon_mm_spacewire_o.readdata(31 downto 24) &lt;= spacewire_write_registers_i.trans_error_injection_control_reg.trans_errinj_sequence_cnt(15 downto 8);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</si>
  <si>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</si>
  <si>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</si>
  <si>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</si>
  <si>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</si>
  <si>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avalon_mm_spacewire_o.readdata(23 downto 16) &lt;= spacewire_write_registers_i.trans_error_injection_control_reg.trans_errinj_n_repeat(7 downto 0);</t>
  </si>
  <si>
    <t xml:space="preserve">      avalon_mm_spacewire_o.readdata(31 downto 24) &lt;= spacewire_write_registers_i.trans_error_injection_control_reg.trans_errinj_n_repeat(15 downto 8);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</si>
  <si>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</si>
  <si>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</si>
  <si>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</si>
  <si>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</si>
  <si>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</si>
  <si>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</si>
  <si>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</si>
  <si>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</si>
  <si>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</si>
  <si>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</si>
  <si>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</si>
  <si>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</si>
  <si>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</si>
  <si>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</si>
  <si>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</si>
  <si>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</si>
  <si>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</si>
  <si>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</si>
  <si>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spacewire_write_registers_o.spw_error_injection_control_reg.spw_errinj_n_repeat(7 downto 0) &lt;= avalon_mm_spacewire_i.writedata(23 downto 16);</t>
  </si>
  <si>
    <t xml:space="preserve">      spacewire_write_registers_o.spw_error_injection_control_reg.spw_errinj_n_repeat(15 downto 8)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</si>
  <si>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</si>
  <si>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</si>
  <si>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</si>
  <si>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</si>
  <si>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spacewire_write_registers_o.trans_error_injection_control_reg.trans_errinj_sequence_cnt(7 downto 0) &lt;= avalon_mm_spacewire_i.writedata(23 downto 16);</t>
  </si>
  <si>
    <t xml:space="preserve">      spacewire_write_registers_o.trans_error_injection_control_reg.trans_errinj_sequence_cnt(15 downto 8) &lt;= avalon_mm_spacewire_i.writedata(31 downto 24);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</si>
  <si>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</si>
  <si>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</si>
  <si>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spacewire_write_registers_o.trans_error_injection_control_reg.trans_errinj_n_repeat(7 downto 0) &lt;= avalon_mm_spacewire_i.writedata(23 downto 16);</t>
  </si>
  <si>
    <t xml:space="preserve">      spacewire_write_registers_o.trans_error_injection_control_reg.trans_errinj_n_repeat(15 downto 8) &lt;= avalon_mm_spacewire_i.writedata(31 downto 24);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</si>
  <si>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</si>
  <si>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</si>
  <si>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</si>
  <si>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</si>
  <si>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</si>
  <si>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</si>
  <si>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</si>
  <si>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</si>
  <si>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</si>
  <si>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</si>
  <si>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Window List Enable</t>
  </si>
  <si>
    <t>spacewire_write_registers_o.fee_machine_config_reg.fee_window_list_en &lt;= '1';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</si>
  <si>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</si>
  <si>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</si>
  <si>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</si>
  <si>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</si>
  <si>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</si>
  <si>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</si>
  <si>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</si>
  <si>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</si>
  <si>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</si>
  <si>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</si>
  <si>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</si>
  <si>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</si>
  <si>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</si>
  <si>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</si>
  <si>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</si>
  <si>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</si>
  <si>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</si>
  <si>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</si>
  <si>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</si>
  <si>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</si>
  <si>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</si>
  <si>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</si>
  <si>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</si>
  <si>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</si>
  <si>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</si>
  <si>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bool bWindowListEn; /* FEE Window List Enable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</si>
  <si>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</si>
  <si>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</si>
  <si>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</si>
  <si>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</si>
  <si>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</si>
  <si>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</si>
  <si>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</si>
  <si>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</si>
  <si>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</si>
  <si>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</si>
  <si>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</si>
  <si>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</si>
  <si>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</si>
  <si>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</si>
  <si>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</si>
  <si>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</si>
  <si>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 TDpktSpacewireErrInj xDpktSpacewireErrInj;</t>
  </si>
  <si>
    <t xml:space="preserve">  TDpktTransmissionErrInj xDpktTransmissionErrInj;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</si>
</sst>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17">IF(W7="","",CONCATENATE("(",IF(($J7-COUNTIF($X7:$Z7,"X")*8)=1,"24)",CONCATENATE(IF(($J7-COUNTIF($X7:$Z7,"X")*8)&gt;=8,32,($J7-COUNTIF($X7:$Z7,"X")*8)+24)-1," downto 24)"))))</f>
        <v/>
      </c>
      <c r="AB7" s="3" t="str">
        <f t="shared" ref="AB7:AB70" si="18">IF(X7="","",CONCATENATE("(",IF(($J7-COUNTIF($Y7:$Z7,"X")*8)=1,"16)",CONCATENATE(IF(($J7-COUNTIF($Y7:$Z7,"X")*8)&gt;=8,24,($J7-COUNTIF($Y7:$Z7,"X")*8)+16)-1," downto 16)"))))</f>
        <v/>
      </c>
      <c r="AC7" s="3" t="str">
        <f t="shared" ref="AC7:AC70" si="19">IF(Y7="","",CONCATENATE("(",IF(($J7-COUNTIF($Z7,"X")*8)=1,"8)",CONCATENATE(IF(($J7-COUNTIF($Z7,"X")*8)&gt;=8,16,($J7-COUNTIF($Z7,"X")*8)+8)-1," downto 8)"))))</f>
        <v/>
      </c>
      <c r="AD7" s="3" t="str">
        <f t="shared" ref="AD7:AD70" si="20">IF(Z7="","",CONCATENATE("(",IF($J7=1,"0)",CONCATENATE(IF($J7&gt;=8,8,$J7)-1," downto 0)"))))</f>
        <v>(0)</v>
      </c>
      <c r="AE7" s="3" t="str">
        <f t="shared" ref="AE7:AE70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6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7"/>
        <v/>
      </c>
      <c r="AB15" s="3" t="str">
        <f t="shared" si="18"/>
        <v/>
      </c>
      <c r="AC15" s="3" t="str">
        <f t="shared" si="19"/>
        <v/>
      </c>
      <c r="AD15" s="3" t="str">
        <f t="shared" si="20"/>
        <v>(0)</v>
      </c>
      <c r="AE15" s="3" t="str">
        <f t="shared" si="21"/>
        <v/>
      </c>
      <c r="AF15" s="3" t="str">
        <f t="shared" si="22"/>
        <v/>
      </c>
      <c r="AG15" s="3" t="str">
        <f t="shared" si="23"/>
        <v/>
      </c>
      <c r="AH15" s="3" t="str">
        <f t="shared" si="24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6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7"/>
        <v/>
      </c>
      <c r="AB16" s="3" t="str">
        <f t="shared" si="18"/>
        <v/>
      </c>
      <c r="AC16" s="3" t="str">
        <f t="shared" si="19"/>
        <v/>
      </c>
      <c r="AD16" s="3" t="str">
        <f t="shared" si="20"/>
        <v>(0)</v>
      </c>
      <c r="AE16" s="3" t="str">
        <f t="shared" si="21"/>
        <v/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6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7"/>
        <v/>
      </c>
      <c r="AB17" s="3" t="str">
        <f t="shared" si="18"/>
        <v/>
      </c>
      <c r="AC17" s="3" t="str">
        <f t="shared" si="19"/>
        <v/>
      </c>
      <c r="AD17" s="3" t="str">
        <f t="shared" si="20"/>
        <v>(0)</v>
      </c>
      <c r="AE17" s="3" t="str">
        <f t="shared" si="21"/>
        <v/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6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7"/>
        <v/>
      </c>
      <c r="AB18" s="3" t="str">
        <f t="shared" si="18"/>
        <v/>
      </c>
      <c r="AC18" s="3" t="str">
        <f t="shared" si="19"/>
        <v/>
      </c>
      <c r="AD18" s="3" t="str">
        <f t="shared" si="20"/>
        <v>(0)</v>
      </c>
      <c r="AE18" s="3" t="str">
        <f t="shared" si="21"/>
        <v/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</row>
    <row r="19" spans="2:34" x14ac:dyDescent="0.25">
      <c r="B19" s="3" t="s">
        <v>199</v>
      </c>
      <c r="C19" s="3" t="s">
        <v>2300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2301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2302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6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7"/>
        <v/>
      </c>
      <c r="AB19" s="3" t="str">
        <f t="shared" si="18"/>
        <v/>
      </c>
      <c r="AC19" s="3" t="str">
        <f t="shared" si="19"/>
        <v/>
      </c>
      <c r="AD19" s="3" t="str">
        <f t="shared" si="20"/>
        <v>(0)</v>
      </c>
      <c r="AE19" s="3" t="str">
        <f t="shared" si="21"/>
        <v/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</row>
    <row r="20" spans="2:34" x14ac:dyDescent="0.25">
      <c r="B20" s="3" t="s">
        <v>199</v>
      </c>
      <c r="C20" s="3" t="s">
        <v>2303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2304</v>
      </c>
      <c r="I20" s="3" t="s">
        <v>42</v>
      </c>
      <c r="J20" s="3">
        <v>1</v>
      </c>
      <c r="K20" s="9" t="s">
        <v>129</v>
      </c>
      <c r="L20" s="9" t="s">
        <v>41</v>
      </c>
      <c r="M20" s="3" t="s">
        <v>153</v>
      </c>
      <c r="N20" s="3" t="s">
        <v>204</v>
      </c>
      <c r="O20" s="3" t="s">
        <v>2305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6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7"/>
        <v/>
      </c>
      <c r="AB20" s="3" t="str">
        <f t="shared" si="18"/>
        <v/>
      </c>
      <c r="AC20" s="3" t="str">
        <f t="shared" si="19"/>
        <v/>
      </c>
      <c r="AD20" s="3" t="str">
        <f t="shared" si="20"/>
        <v>(0)</v>
      </c>
      <c r="AE20" s="3" t="str">
        <f t="shared" si="21"/>
        <v/>
      </c>
      <c r="AF20" s="3" t="str">
        <f t="shared" si="22"/>
        <v/>
      </c>
      <c r="AG20" s="3" t="str">
        <f t="shared" si="23"/>
        <v/>
      </c>
      <c r="AH20" s="3" t="str">
        <f t="shared" si="24"/>
        <v/>
      </c>
    </row>
    <row r="21" spans="2:34" x14ac:dyDescent="0.25">
      <c r="B21" s="3" t="s">
        <v>199</v>
      </c>
      <c r="C21" s="3" t="s">
        <v>2306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2307</v>
      </c>
      <c r="I21" s="3" t="s">
        <v>42</v>
      </c>
      <c r="J21" s="3">
        <v>6</v>
      </c>
      <c r="K21" s="9" t="s">
        <v>130</v>
      </c>
      <c r="L21" s="9" t="s">
        <v>41</v>
      </c>
      <c r="M21" s="3" t="s">
        <v>153</v>
      </c>
      <c r="N21" s="3" t="s">
        <v>204</v>
      </c>
      <c r="O21" s="3" t="s">
        <v>2308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6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7"/>
        <v/>
      </c>
      <c r="AB21" s="3" t="str">
        <f t="shared" si="18"/>
        <v/>
      </c>
      <c r="AC21" s="3" t="str">
        <f t="shared" si="19"/>
        <v/>
      </c>
      <c r="AD21" s="3" t="str">
        <f t="shared" si="20"/>
        <v>(5 downto 0)</v>
      </c>
      <c r="AE21" s="3" t="str">
        <f t="shared" si="21"/>
        <v/>
      </c>
      <c r="AF21" s="3" t="str">
        <f t="shared" si="22"/>
        <v/>
      </c>
      <c r="AG21" s="3" t="str">
        <f t="shared" si="23"/>
        <v/>
      </c>
      <c r="AH21" s="3" t="str">
        <f t="shared" si="24"/>
        <v/>
      </c>
    </row>
    <row r="22" spans="2:34" x14ac:dyDescent="0.25">
      <c r="B22" s="3" t="s">
        <v>199</v>
      </c>
      <c r="C22" s="3" t="s">
        <v>2309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2310</v>
      </c>
      <c r="I22" s="3" t="s">
        <v>42</v>
      </c>
      <c r="J22" s="3">
        <v>1</v>
      </c>
      <c r="K22" s="9" t="s">
        <v>82</v>
      </c>
      <c r="L22" s="9" t="s">
        <v>41</v>
      </c>
      <c r="M22" s="3" t="s">
        <v>153</v>
      </c>
      <c r="N22" s="3" t="s">
        <v>204</v>
      </c>
      <c r="O22" s="3" t="s">
        <v>2311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6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7"/>
        <v/>
      </c>
      <c r="AB22" s="3" t="str">
        <f t="shared" si="18"/>
        <v/>
      </c>
      <c r="AC22" s="3" t="str">
        <f t="shared" si="19"/>
        <v/>
      </c>
      <c r="AD22" s="3" t="str">
        <f t="shared" si="20"/>
        <v>(0)</v>
      </c>
      <c r="AE22" s="3" t="str">
        <f t="shared" si="21"/>
        <v/>
      </c>
      <c r="AF22" s="3" t="str">
        <f t="shared" si="22"/>
        <v/>
      </c>
      <c r="AG22" s="3" t="str">
        <f t="shared" si="23"/>
        <v/>
      </c>
      <c r="AH22" s="3" t="str">
        <f t="shared" si="24"/>
        <v/>
      </c>
    </row>
    <row r="23" spans="2:34" x14ac:dyDescent="0.25">
      <c r="B23" s="3" t="s">
        <v>199</v>
      </c>
      <c r="C23" s="3" t="s">
        <v>2312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2313</v>
      </c>
      <c r="I23" s="3" t="s">
        <v>42</v>
      </c>
      <c r="J23" s="3">
        <v>32</v>
      </c>
      <c r="K23" s="9" t="s">
        <v>130</v>
      </c>
      <c r="L23" s="9" t="s">
        <v>41</v>
      </c>
      <c r="M23" s="3" t="s">
        <v>153</v>
      </c>
      <c r="N23" s="3" t="s">
        <v>204</v>
      </c>
      <c r="O23" s="3" t="s">
        <v>2314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6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17"/>
        <v>(31 downto 24)</v>
      </c>
      <c r="AB23" s="3" t="str">
        <f t="shared" si="18"/>
        <v>(23 downto 16)</v>
      </c>
      <c r="AC23" s="3" t="str">
        <f t="shared" si="19"/>
        <v>(15 downto 8)</v>
      </c>
      <c r="AD23" s="3" t="str">
        <f t="shared" si="20"/>
        <v>(7 downto 0)</v>
      </c>
      <c r="AE23" s="3" t="str">
        <f t="shared" si="21"/>
        <v>(31 downto 24)</v>
      </c>
      <c r="AF23" s="3" t="str">
        <f t="shared" si="22"/>
        <v>(23 downto 16)</v>
      </c>
      <c r="AG23" s="3" t="str">
        <f t="shared" si="23"/>
        <v>(15 downto 8)</v>
      </c>
      <c r="AH23" s="3" t="str">
        <f t="shared" si="24"/>
        <v>(7 downto 0)</v>
      </c>
    </row>
    <row r="24" spans="2:34" x14ac:dyDescent="0.25">
      <c r="B24" s="3" t="s">
        <v>207</v>
      </c>
      <c r="C24" s="3" t="s">
        <v>208</v>
      </c>
      <c r="D24" s="3" t="s">
        <v>0</v>
      </c>
      <c r="E24" s="3" t="s">
        <v>175</v>
      </c>
      <c r="F24" s="3" t="s">
        <v>209</v>
      </c>
      <c r="G24" s="3" t="s">
        <v>210</v>
      </c>
      <c r="H24" s="3" t="s">
        <v>211</v>
      </c>
      <c r="I24" s="3" t="s">
        <v>42</v>
      </c>
      <c r="J24" s="3">
        <v>6</v>
      </c>
      <c r="K24" s="3" t="s">
        <v>41</v>
      </c>
      <c r="L24" s="3" t="s">
        <v>41</v>
      </c>
      <c r="M24" s="3" t="s">
        <v>153</v>
      </c>
      <c r="N24" s="3" t="s">
        <v>212</v>
      </c>
      <c r="O24" s="3" t="s">
        <v>213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6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7"/>
        <v/>
      </c>
      <c r="AB24" s="3" t="str">
        <f t="shared" si="18"/>
        <v/>
      </c>
      <c r="AC24" s="3" t="str">
        <f t="shared" si="19"/>
        <v/>
      </c>
      <c r="AD24" s="3" t="str">
        <f t="shared" si="20"/>
        <v>(5 downto 0)</v>
      </c>
      <c r="AE24" s="3" t="str">
        <f t="shared" si="21"/>
        <v/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</row>
    <row r="25" spans="2:34" x14ac:dyDescent="0.25">
      <c r="B25" s="3" t="s">
        <v>207</v>
      </c>
      <c r="C25" s="3" t="s">
        <v>214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215</v>
      </c>
      <c r="I25" s="3" t="s">
        <v>42</v>
      </c>
      <c r="J25" s="3">
        <v>2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216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81</v>
      </c>
      <c r="T25" s="3" t="str">
        <f t="shared" si="0"/>
        <v>051</v>
      </c>
      <c r="U25" s="3">
        <f t="shared" si="16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/>
      </c>
      <c r="AA25" s="3" t="str">
        <f t="shared" si="17"/>
        <v/>
      </c>
      <c r="AB25" s="3" t="str">
        <f t="shared" si="18"/>
        <v/>
      </c>
      <c r="AC25" s="3" t="str">
        <f t="shared" si="19"/>
        <v>(9 downto 8)</v>
      </c>
      <c r="AD25" s="3" t="str">
        <f t="shared" si="20"/>
        <v/>
      </c>
      <c r="AE25" s="3" t="str">
        <f t="shared" si="21"/>
        <v/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</row>
    <row r="26" spans="2:34" x14ac:dyDescent="0.25">
      <c r="B26" s="3" t="s">
        <v>217</v>
      </c>
      <c r="C26" s="3" t="s">
        <v>218</v>
      </c>
      <c r="D26" s="3" t="s">
        <v>1</v>
      </c>
      <c r="E26" s="3" t="s">
        <v>134</v>
      </c>
      <c r="F26" s="3" t="s">
        <v>219</v>
      </c>
      <c r="G26" s="3" t="s">
        <v>220</v>
      </c>
      <c r="H26" s="3" t="s">
        <v>221</v>
      </c>
      <c r="I26" s="3" t="s">
        <v>42</v>
      </c>
      <c r="J26" s="3">
        <v>32</v>
      </c>
      <c r="K26" s="3" t="s">
        <v>130</v>
      </c>
      <c r="L26" s="3" t="s">
        <v>41</v>
      </c>
      <c r="M26" s="3" t="s">
        <v>222</v>
      </c>
      <c r="N26" s="3" t="s">
        <v>223</v>
      </c>
      <c r="O26" s="3" t="s">
        <v>224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3" t="str">
        <f t="shared" si="0"/>
        <v>054</v>
      </c>
      <c r="U26" s="3">
        <f t="shared" si="16"/>
        <v>21</v>
      </c>
      <c r="V26" s="3" t="str">
        <f t="shared" si="1"/>
        <v>15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17"/>
        <v>(31 downto 24)</v>
      </c>
      <c r="AB26" s="3" t="str">
        <f t="shared" si="18"/>
        <v>(23 downto 16)</v>
      </c>
      <c r="AC26" s="3" t="str">
        <f t="shared" si="19"/>
        <v>(15 downto 8)</v>
      </c>
      <c r="AD26" s="3" t="str">
        <f t="shared" si="20"/>
        <v>(7 downto 0)</v>
      </c>
      <c r="AE26" s="3" t="str">
        <f t="shared" si="21"/>
        <v>(31 downto 24)</v>
      </c>
      <c r="AF26" s="3" t="str">
        <f t="shared" si="22"/>
        <v>(23 downto 16)</v>
      </c>
      <c r="AG26" s="3" t="str">
        <f t="shared" si="23"/>
        <v>(15 downto 8)</v>
      </c>
      <c r="AH26" s="3" t="str">
        <f t="shared" si="24"/>
        <v>(7 downto 0)</v>
      </c>
    </row>
    <row r="27" spans="2:34" x14ac:dyDescent="0.25">
      <c r="B27" s="3" t="s">
        <v>225</v>
      </c>
      <c r="C27" s="3" t="s">
        <v>226</v>
      </c>
      <c r="D27" s="3" t="s">
        <v>1</v>
      </c>
      <c r="E27" s="3" t="s">
        <v>134</v>
      </c>
      <c r="F27" s="3" t="s">
        <v>227</v>
      </c>
      <c r="G27" s="3" t="s">
        <v>228</v>
      </c>
      <c r="H27" s="3" t="s">
        <v>229</v>
      </c>
      <c r="I27" s="3" t="s">
        <v>42</v>
      </c>
      <c r="J27" s="3">
        <v>1</v>
      </c>
      <c r="K27" s="9" t="s">
        <v>82</v>
      </c>
      <c r="L27" s="3" t="s">
        <v>82</v>
      </c>
      <c r="M27" s="3" t="s">
        <v>222</v>
      </c>
      <c r="N27" s="3" t="s">
        <v>230</v>
      </c>
      <c r="O27" s="3" t="s">
        <v>205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16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7"/>
        <v/>
      </c>
      <c r="AB27" s="3" t="str">
        <f t="shared" si="18"/>
        <v/>
      </c>
      <c r="AC27" s="3" t="str">
        <f t="shared" si="19"/>
        <v/>
      </c>
      <c r="AD27" s="3" t="str">
        <f t="shared" si="20"/>
        <v>(0)</v>
      </c>
      <c r="AE27" s="3" t="str">
        <f t="shared" si="21"/>
        <v/>
      </c>
      <c r="AF27" s="3" t="str">
        <f t="shared" si="22"/>
        <v/>
      </c>
      <c r="AG27" s="3" t="str">
        <f t="shared" si="23"/>
        <v/>
      </c>
      <c r="AH27" s="3" t="str">
        <f t="shared" si="24"/>
        <v/>
      </c>
    </row>
    <row r="28" spans="2:34" x14ac:dyDescent="0.25">
      <c r="B28" s="3" t="s">
        <v>225</v>
      </c>
      <c r="C28" s="3" t="s">
        <v>231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232</v>
      </c>
      <c r="I28" s="3" t="s">
        <v>42</v>
      </c>
      <c r="J28" s="3">
        <v>1</v>
      </c>
      <c r="K28" s="9" t="s">
        <v>82</v>
      </c>
      <c r="L28" s="3" t="s">
        <v>82</v>
      </c>
      <c r="M28" s="3" t="s">
        <v>222</v>
      </c>
      <c r="N28" s="3" t="s">
        <v>230</v>
      </c>
      <c r="O28" s="3" t="s">
        <v>233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16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7"/>
        <v/>
      </c>
      <c r="AB28" s="3" t="str">
        <f t="shared" si="18"/>
        <v/>
      </c>
      <c r="AC28" s="3" t="str">
        <f t="shared" si="19"/>
        <v/>
      </c>
      <c r="AD28" s="3" t="str">
        <f t="shared" si="20"/>
        <v>(0)</v>
      </c>
      <c r="AE28" s="3" t="str">
        <f t="shared" si="21"/>
        <v/>
      </c>
      <c r="AF28" s="3" t="str">
        <f t="shared" si="22"/>
        <v/>
      </c>
      <c r="AG28" s="3" t="str">
        <f t="shared" si="23"/>
        <v/>
      </c>
      <c r="AH28" s="3" t="str">
        <f t="shared" si="24"/>
        <v/>
      </c>
    </row>
    <row r="29" spans="2:34" x14ac:dyDescent="0.25">
      <c r="B29" s="3" t="s">
        <v>225</v>
      </c>
      <c r="C29" s="3" t="s">
        <v>234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235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222</v>
      </c>
      <c r="N29" s="3" t="s">
        <v>230</v>
      </c>
      <c r="O29" s="3" t="s">
        <v>236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16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7"/>
        <v/>
      </c>
      <c r="AB29" s="3" t="str">
        <f t="shared" si="18"/>
        <v/>
      </c>
      <c r="AC29" s="3" t="str">
        <f t="shared" si="19"/>
        <v/>
      </c>
      <c r="AD29" s="3" t="str">
        <f t="shared" si="20"/>
        <v>(0)</v>
      </c>
      <c r="AE29" s="3" t="str">
        <f t="shared" si="21"/>
        <v/>
      </c>
      <c r="AF29" s="3" t="str">
        <f t="shared" si="22"/>
        <v/>
      </c>
      <c r="AG29" s="3" t="str">
        <f t="shared" si="23"/>
        <v/>
      </c>
      <c r="AH29" s="3" t="str">
        <f t="shared" si="24"/>
        <v/>
      </c>
    </row>
    <row r="30" spans="2:34" x14ac:dyDescent="0.25">
      <c r="B30" s="3" t="s">
        <v>225</v>
      </c>
      <c r="C30" s="3" t="s">
        <v>1637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1639</v>
      </c>
      <c r="I30" s="3" t="s">
        <v>42</v>
      </c>
      <c r="J30" s="3">
        <v>1</v>
      </c>
      <c r="K30" s="3" t="s">
        <v>129</v>
      </c>
      <c r="L30" s="3" t="s">
        <v>41</v>
      </c>
      <c r="M30" s="3" t="s">
        <v>222</v>
      </c>
      <c r="N30" s="3" t="s">
        <v>230</v>
      </c>
      <c r="O30" s="3" t="s">
        <v>1638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16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7"/>
        <v/>
      </c>
      <c r="AB30" s="3" t="str">
        <f t="shared" si="18"/>
        <v/>
      </c>
      <c r="AC30" s="3" t="str">
        <f t="shared" si="19"/>
        <v/>
      </c>
      <c r="AD30" s="3" t="str">
        <f t="shared" si="20"/>
        <v>(0)</v>
      </c>
      <c r="AE30" s="3" t="str">
        <f t="shared" si="21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</row>
    <row r="31" spans="2:34" x14ac:dyDescent="0.25">
      <c r="B31" s="3" t="s">
        <v>225</v>
      </c>
      <c r="C31" s="3" t="s">
        <v>237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238</v>
      </c>
      <c r="I31" s="3" t="s">
        <v>42</v>
      </c>
      <c r="J31" s="3">
        <v>1</v>
      </c>
      <c r="K31" s="3" t="s">
        <v>129</v>
      </c>
      <c r="L31" s="9" t="s">
        <v>41</v>
      </c>
      <c r="M31" s="3" t="s">
        <v>222</v>
      </c>
      <c r="N31" s="3" t="s">
        <v>230</v>
      </c>
      <c r="O31" s="3" t="s">
        <v>239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16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7"/>
        <v/>
      </c>
      <c r="AB31" s="3" t="str">
        <f t="shared" si="18"/>
        <v/>
      </c>
      <c r="AC31" s="3" t="str">
        <f t="shared" si="19"/>
        <v/>
      </c>
      <c r="AD31" s="3" t="str">
        <f t="shared" si="20"/>
        <v>(0)</v>
      </c>
      <c r="AE31" s="3" t="str">
        <f t="shared" si="21"/>
        <v/>
      </c>
      <c r="AF31" s="3" t="str">
        <f t="shared" si="22"/>
        <v/>
      </c>
      <c r="AG31" s="3" t="str">
        <f t="shared" si="23"/>
        <v/>
      </c>
      <c r="AH31" s="3" t="str">
        <f t="shared" si="24"/>
        <v/>
      </c>
    </row>
    <row r="32" spans="2:34" x14ac:dyDescent="0.25">
      <c r="B32" s="3" t="s">
        <v>225</v>
      </c>
      <c r="C32" s="3" t="s">
        <v>1890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1891</v>
      </c>
      <c r="I32" s="3" t="s">
        <v>42</v>
      </c>
      <c r="J32" s="3">
        <v>1</v>
      </c>
      <c r="K32" s="3" t="s">
        <v>129</v>
      </c>
      <c r="L32" s="9" t="s">
        <v>41</v>
      </c>
      <c r="M32" s="3" t="s">
        <v>222</v>
      </c>
      <c r="N32" s="3" t="s">
        <v>230</v>
      </c>
      <c r="O32" s="3" t="s">
        <v>1892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16"/>
        <v>27</v>
      </c>
      <c r="V32" s="3" t="str">
        <f t="shared" si="1"/>
        <v>1B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7"/>
        <v/>
      </c>
      <c r="AB32" s="3" t="str">
        <f t="shared" si="18"/>
        <v/>
      </c>
      <c r="AC32" s="3" t="str">
        <f t="shared" si="19"/>
        <v/>
      </c>
      <c r="AD32" s="3" t="str">
        <f t="shared" si="20"/>
        <v>(0)</v>
      </c>
      <c r="AE32" s="3" t="str">
        <f t="shared" si="21"/>
        <v/>
      </c>
      <c r="AF32" s="3" t="str">
        <f t="shared" si="22"/>
        <v/>
      </c>
      <c r="AG32" s="3" t="str">
        <f t="shared" si="23"/>
        <v/>
      </c>
      <c r="AH32" s="3" t="str">
        <f t="shared" si="24"/>
        <v/>
      </c>
    </row>
    <row r="33" spans="2:34" x14ac:dyDescent="0.25">
      <c r="B33" s="3" t="s">
        <v>225</v>
      </c>
      <c r="C33" s="3" t="s">
        <v>2315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2316</v>
      </c>
      <c r="I33" s="3" t="s">
        <v>42</v>
      </c>
      <c r="J33" s="3">
        <v>1</v>
      </c>
      <c r="K33" s="3" t="s">
        <v>129</v>
      </c>
      <c r="L33" s="9" t="s">
        <v>41</v>
      </c>
      <c r="M33" s="3" t="s">
        <v>222</v>
      </c>
      <c r="N33" s="3" t="s">
        <v>230</v>
      </c>
      <c r="O33" s="3" t="s">
        <v>2317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16"/>
        <v>28</v>
      </c>
      <c r="V33" s="3" t="str">
        <f t="shared" si="1"/>
        <v>1C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7"/>
        <v/>
      </c>
      <c r="AB33" s="3" t="str">
        <f t="shared" si="18"/>
        <v/>
      </c>
      <c r="AC33" s="3" t="str">
        <f t="shared" si="19"/>
        <v/>
      </c>
      <c r="AD33" s="3" t="str">
        <f t="shared" si="20"/>
        <v>(0)</v>
      </c>
      <c r="AE33" s="3" t="str">
        <f t="shared" si="21"/>
        <v/>
      </c>
      <c r="AF33" s="3" t="str">
        <f t="shared" si="22"/>
        <v/>
      </c>
      <c r="AG33" s="3" t="str">
        <f t="shared" si="23"/>
        <v/>
      </c>
      <c r="AH33" s="3" t="str">
        <f t="shared" si="24"/>
        <v/>
      </c>
    </row>
    <row r="34" spans="2:34" x14ac:dyDescent="0.25">
      <c r="B34" s="3" t="s">
        <v>225</v>
      </c>
      <c r="C34" s="3" t="s">
        <v>1894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1906</v>
      </c>
      <c r="I34" s="3" t="s">
        <v>42</v>
      </c>
      <c r="J34" s="3">
        <v>1</v>
      </c>
      <c r="K34" s="3" t="s">
        <v>82</v>
      </c>
      <c r="L34" s="9" t="s">
        <v>82</v>
      </c>
      <c r="M34" s="3" t="s">
        <v>222</v>
      </c>
      <c r="N34" s="3" t="s">
        <v>230</v>
      </c>
      <c r="O34" s="3" t="s">
        <v>1917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16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7"/>
        <v/>
      </c>
      <c r="AB34" s="3" t="str">
        <f t="shared" si="18"/>
        <v/>
      </c>
      <c r="AC34" s="3" t="str">
        <f t="shared" si="19"/>
        <v/>
      </c>
      <c r="AD34" s="3" t="str">
        <f t="shared" si="20"/>
        <v>(0)</v>
      </c>
      <c r="AE34" s="3" t="str">
        <f t="shared" si="21"/>
        <v/>
      </c>
      <c r="AF34" s="3" t="str">
        <f t="shared" si="22"/>
        <v/>
      </c>
      <c r="AG34" s="3" t="str">
        <f t="shared" si="23"/>
        <v/>
      </c>
      <c r="AH34" s="3" t="str">
        <f t="shared" si="24"/>
        <v/>
      </c>
    </row>
    <row r="35" spans="2:34" x14ac:dyDescent="0.25">
      <c r="B35" s="3" t="s">
        <v>1893</v>
      </c>
      <c r="C35" s="3" t="s">
        <v>1895</v>
      </c>
      <c r="D35" s="3" t="s">
        <v>0</v>
      </c>
      <c r="E35" s="3" t="s">
        <v>175</v>
      </c>
      <c r="F35" s="3" t="s">
        <v>1904</v>
      </c>
      <c r="G35" s="3" t="s">
        <v>1905</v>
      </c>
      <c r="H35" s="3" t="s">
        <v>1907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222</v>
      </c>
      <c r="N35" s="3" t="s">
        <v>1916</v>
      </c>
      <c r="O35" s="3" t="s">
        <v>1918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16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7"/>
        <v>(31 downto 24)</v>
      </c>
      <c r="AB35" s="3" t="str">
        <f t="shared" si="18"/>
        <v>(23 downto 16)</v>
      </c>
      <c r="AC35" s="3" t="str">
        <f t="shared" si="19"/>
        <v>(15 downto 8)</v>
      </c>
      <c r="AD35" s="3" t="str">
        <f t="shared" si="20"/>
        <v>(7 downto 0)</v>
      </c>
      <c r="AE35" s="3" t="str">
        <f t="shared" si="21"/>
        <v>(31 downto 24)</v>
      </c>
      <c r="AF35" s="3" t="str">
        <f t="shared" si="22"/>
        <v>(23 downto 16)</v>
      </c>
      <c r="AG35" s="3" t="str">
        <f t="shared" si="23"/>
        <v>(15 downto 8)</v>
      </c>
      <c r="AH35" s="3" t="str">
        <f t="shared" si="24"/>
        <v>(7 downto 0)</v>
      </c>
    </row>
    <row r="36" spans="2:34" x14ac:dyDescent="0.25">
      <c r="B36" s="3" t="s">
        <v>1893</v>
      </c>
      <c r="C36" s="3" t="s">
        <v>1896</v>
      </c>
      <c r="D36" s="3" t="s">
        <v>0</v>
      </c>
      <c r="E36" s="3" t="s">
        <v>175</v>
      </c>
      <c r="F36" s="3" t="s">
        <v>1904</v>
      </c>
      <c r="G36" s="3" t="s">
        <v>1905</v>
      </c>
      <c r="H36" s="3" t="s">
        <v>1909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222</v>
      </c>
      <c r="N36" s="3" t="s">
        <v>1916</v>
      </c>
      <c r="O36" s="3" t="s">
        <v>1919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16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7"/>
        <v>(31 downto 24)</v>
      </c>
      <c r="AB36" s="3" t="str">
        <f t="shared" si="18"/>
        <v>(23 downto 16)</v>
      </c>
      <c r="AC36" s="3" t="str">
        <f t="shared" si="19"/>
        <v>(15 downto 8)</v>
      </c>
      <c r="AD36" s="3" t="str">
        <f t="shared" si="20"/>
        <v>(7 downto 0)</v>
      </c>
      <c r="AE36" s="3" t="str">
        <f t="shared" si="21"/>
        <v>(31 downto 24)</v>
      </c>
      <c r="AF36" s="3" t="str">
        <f t="shared" si="22"/>
        <v>(23 downto 16)</v>
      </c>
      <c r="AG36" s="3" t="str">
        <f t="shared" si="23"/>
        <v>(15 downto 8)</v>
      </c>
      <c r="AH36" s="3" t="str">
        <f t="shared" si="24"/>
        <v>(7 downto 0)</v>
      </c>
    </row>
    <row r="37" spans="2:34" x14ac:dyDescent="0.25">
      <c r="B37" s="3" t="s">
        <v>1893</v>
      </c>
      <c r="C37" s="3" t="s">
        <v>1897</v>
      </c>
      <c r="D37" s="3" t="s">
        <v>0</v>
      </c>
      <c r="E37" s="3" t="s">
        <v>175</v>
      </c>
      <c r="F37" s="3" t="s">
        <v>1904</v>
      </c>
      <c r="G37" s="3" t="s">
        <v>1905</v>
      </c>
      <c r="H37" s="3" t="s">
        <v>1908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222</v>
      </c>
      <c r="N37" s="3" t="s">
        <v>1916</v>
      </c>
      <c r="O37" s="3" t="s">
        <v>1920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16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7"/>
        <v>(31 downto 24)</v>
      </c>
      <c r="AB37" s="3" t="str">
        <f t="shared" si="18"/>
        <v>(23 downto 16)</v>
      </c>
      <c r="AC37" s="3" t="str">
        <f t="shared" si="19"/>
        <v>(15 downto 8)</v>
      </c>
      <c r="AD37" s="3" t="str">
        <f t="shared" si="20"/>
        <v>(7 downto 0)</v>
      </c>
      <c r="AE37" s="3" t="str">
        <f t="shared" si="21"/>
        <v>(31 downto 24)</v>
      </c>
      <c r="AF37" s="3" t="str">
        <f t="shared" si="22"/>
        <v>(23 downto 16)</v>
      </c>
      <c r="AG37" s="3" t="str">
        <f t="shared" si="23"/>
        <v>(15 downto 8)</v>
      </c>
      <c r="AH37" s="3" t="str">
        <f t="shared" si="24"/>
        <v>(7 downto 0)</v>
      </c>
    </row>
    <row r="38" spans="2:34" x14ac:dyDescent="0.25">
      <c r="B38" s="3" t="s">
        <v>1893</v>
      </c>
      <c r="C38" s="3" t="s">
        <v>1898</v>
      </c>
      <c r="D38" s="3" t="s">
        <v>0</v>
      </c>
      <c r="E38" s="3" t="s">
        <v>175</v>
      </c>
      <c r="F38" s="3" t="s">
        <v>1904</v>
      </c>
      <c r="G38" s="3" t="s">
        <v>1905</v>
      </c>
      <c r="H38" s="3" t="s">
        <v>1910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222</v>
      </c>
      <c r="N38" s="3" t="s">
        <v>1916</v>
      </c>
      <c r="O38" s="3" t="s">
        <v>1921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16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7"/>
        <v>(31 downto 24)</v>
      </c>
      <c r="AB38" s="3" t="str">
        <f t="shared" si="18"/>
        <v>(23 downto 16)</v>
      </c>
      <c r="AC38" s="3" t="str">
        <f t="shared" si="19"/>
        <v>(15 downto 8)</v>
      </c>
      <c r="AD38" s="3" t="str">
        <f t="shared" si="20"/>
        <v>(7 downto 0)</v>
      </c>
      <c r="AE38" s="3" t="str">
        <f t="shared" si="21"/>
        <v>(31 downto 24)</v>
      </c>
      <c r="AF38" s="3" t="str">
        <f t="shared" si="22"/>
        <v>(23 downto 16)</v>
      </c>
      <c r="AG38" s="3" t="str">
        <f t="shared" si="23"/>
        <v>(15 downto 8)</v>
      </c>
      <c r="AH38" s="3" t="str">
        <f t="shared" si="24"/>
        <v>(7 downto 0)</v>
      </c>
    </row>
    <row r="39" spans="2:34" x14ac:dyDescent="0.25">
      <c r="B39" s="3" t="s">
        <v>1893</v>
      </c>
      <c r="C39" s="3" t="s">
        <v>1900</v>
      </c>
      <c r="D39" s="3" t="s">
        <v>0</v>
      </c>
      <c r="E39" s="3" t="s">
        <v>175</v>
      </c>
      <c r="F39" s="3" t="s">
        <v>1904</v>
      </c>
      <c r="G39" s="3" t="s">
        <v>1905</v>
      </c>
      <c r="H39" s="3" t="s">
        <v>1912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222</v>
      </c>
      <c r="N39" s="3" t="s">
        <v>1916</v>
      </c>
      <c r="O39" s="3" t="s">
        <v>1922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16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7"/>
        <v>(31 downto 24)</v>
      </c>
      <c r="AB39" s="3" t="str">
        <f t="shared" si="18"/>
        <v>(23 downto 16)</v>
      </c>
      <c r="AC39" s="3" t="str">
        <f t="shared" si="19"/>
        <v>(15 downto 8)</v>
      </c>
      <c r="AD39" s="3" t="str">
        <f t="shared" si="20"/>
        <v>(7 downto 0)</v>
      </c>
      <c r="AE39" s="3" t="str">
        <f t="shared" si="21"/>
        <v>(31 downto 24)</v>
      </c>
      <c r="AF39" s="3" t="str">
        <f t="shared" si="22"/>
        <v>(23 downto 16)</v>
      </c>
      <c r="AG39" s="3" t="str">
        <f t="shared" si="23"/>
        <v>(15 downto 8)</v>
      </c>
      <c r="AH39" s="3" t="str">
        <f t="shared" si="24"/>
        <v>(7 downto 0)</v>
      </c>
    </row>
    <row r="40" spans="2:34" x14ac:dyDescent="0.25">
      <c r="B40" s="3" t="s">
        <v>1893</v>
      </c>
      <c r="C40" s="3" t="s">
        <v>1902</v>
      </c>
      <c r="D40" s="3" t="s">
        <v>0</v>
      </c>
      <c r="E40" s="3" t="s">
        <v>175</v>
      </c>
      <c r="F40" s="3" t="s">
        <v>1904</v>
      </c>
      <c r="G40" s="3" t="s">
        <v>1905</v>
      </c>
      <c r="H40" s="3" t="s">
        <v>1913</v>
      </c>
      <c r="I40" s="3" t="s">
        <v>42</v>
      </c>
      <c r="J40" s="3">
        <v>32</v>
      </c>
      <c r="K40" s="3" t="s">
        <v>130</v>
      </c>
      <c r="L40" s="3" t="s">
        <v>41</v>
      </c>
      <c r="M40" s="3" t="s">
        <v>222</v>
      </c>
      <c r="N40" s="3" t="s">
        <v>1916</v>
      </c>
      <c r="O40" s="3" t="s">
        <v>1923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16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7"/>
        <v>(31 downto 24)</v>
      </c>
      <c r="AB40" s="3" t="str">
        <f t="shared" si="18"/>
        <v>(23 downto 16)</v>
      </c>
      <c r="AC40" s="3" t="str">
        <f t="shared" si="19"/>
        <v>(15 downto 8)</v>
      </c>
      <c r="AD40" s="3" t="str">
        <f t="shared" si="20"/>
        <v>(7 downto 0)</v>
      </c>
      <c r="AE40" s="3" t="str">
        <f t="shared" si="21"/>
        <v>(31 downto 24)</v>
      </c>
      <c r="AF40" s="3" t="str">
        <f t="shared" si="22"/>
        <v>(23 downto 16)</v>
      </c>
      <c r="AG40" s="3" t="str">
        <f t="shared" si="23"/>
        <v>(15 downto 8)</v>
      </c>
      <c r="AH40" s="3" t="str">
        <f t="shared" si="24"/>
        <v>(7 downto 0)</v>
      </c>
    </row>
    <row r="41" spans="2:34" x14ac:dyDescent="0.25">
      <c r="B41" s="3" t="s">
        <v>1893</v>
      </c>
      <c r="C41" s="3" t="s">
        <v>1901</v>
      </c>
      <c r="D41" s="3" t="s">
        <v>0</v>
      </c>
      <c r="E41" s="3" t="s">
        <v>175</v>
      </c>
      <c r="F41" s="3" t="s">
        <v>1904</v>
      </c>
      <c r="G41" s="3" t="s">
        <v>1905</v>
      </c>
      <c r="H41" s="3" t="s">
        <v>1914</v>
      </c>
      <c r="I41" s="3" t="s">
        <v>42</v>
      </c>
      <c r="J41" s="3">
        <v>32</v>
      </c>
      <c r="K41" s="3" t="s">
        <v>130</v>
      </c>
      <c r="L41" s="3" t="s">
        <v>41</v>
      </c>
      <c r="M41" s="3" t="s">
        <v>222</v>
      </c>
      <c r="N41" s="3" t="s">
        <v>1916</v>
      </c>
      <c r="O41" s="3" t="s">
        <v>1924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3" t="str">
        <f t="shared" si="0"/>
        <v>090</v>
      </c>
      <c r="U41" s="3">
        <f t="shared" si="16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7"/>
        <v>(31 downto 24)</v>
      </c>
      <c r="AB41" s="3" t="str">
        <f t="shared" si="18"/>
        <v>(23 downto 16)</v>
      </c>
      <c r="AC41" s="3" t="str">
        <f t="shared" si="19"/>
        <v>(15 downto 8)</v>
      </c>
      <c r="AD41" s="3" t="str">
        <f t="shared" si="20"/>
        <v>(7 downto 0)</v>
      </c>
      <c r="AE41" s="3" t="str">
        <f t="shared" si="21"/>
        <v>(31 downto 24)</v>
      </c>
      <c r="AF41" s="3" t="str">
        <f t="shared" si="22"/>
        <v>(23 downto 16)</v>
      </c>
      <c r="AG41" s="3" t="str">
        <f t="shared" si="23"/>
        <v>(15 downto 8)</v>
      </c>
      <c r="AH41" s="3" t="str">
        <f t="shared" si="24"/>
        <v>(7 downto 0)</v>
      </c>
    </row>
    <row r="42" spans="2:34" x14ac:dyDescent="0.25">
      <c r="B42" s="3" t="s">
        <v>1893</v>
      </c>
      <c r="C42" s="3" t="s">
        <v>1903</v>
      </c>
      <c r="D42" s="3" t="s">
        <v>0</v>
      </c>
      <c r="E42" s="3" t="s">
        <v>175</v>
      </c>
      <c r="F42" s="3" t="s">
        <v>1904</v>
      </c>
      <c r="G42" s="3" t="s">
        <v>1905</v>
      </c>
      <c r="H42" s="3" t="s">
        <v>1915</v>
      </c>
      <c r="I42" s="3" t="s">
        <v>42</v>
      </c>
      <c r="J42" s="3">
        <v>32</v>
      </c>
      <c r="K42" s="9" t="s">
        <v>130</v>
      </c>
      <c r="L42" s="9" t="s">
        <v>41</v>
      </c>
      <c r="M42" s="3" t="s">
        <v>222</v>
      </c>
      <c r="N42" s="3" t="s">
        <v>1916</v>
      </c>
      <c r="O42" s="3" t="s">
        <v>1925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3" t="str">
        <f t="shared" si="0"/>
        <v>094</v>
      </c>
      <c r="U42" s="3">
        <f t="shared" si="16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7"/>
        <v>(31 downto 24)</v>
      </c>
      <c r="AB42" s="3" t="str">
        <f t="shared" si="18"/>
        <v>(23 downto 16)</v>
      </c>
      <c r="AC42" s="3" t="str">
        <f t="shared" si="19"/>
        <v>(15 downto 8)</v>
      </c>
      <c r="AD42" s="3" t="str">
        <f t="shared" si="20"/>
        <v>(7 downto 0)</v>
      </c>
      <c r="AE42" s="3" t="str">
        <f t="shared" si="21"/>
        <v>(31 downto 24)</v>
      </c>
      <c r="AF42" s="3" t="str">
        <f t="shared" si="22"/>
        <v>(23 downto 16)</v>
      </c>
      <c r="AG42" s="3" t="str">
        <f t="shared" si="23"/>
        <v>(15 downto 8)</v>
      </c>
      <c r="AH42" s="3" t="str">
        <f t="shared" si="24"/>
        <v>(7 downto 0)</v>
      </c>
    </row>
    <row r="43" spans="2:34" x14ac:dyDescent="0.25">
      <c r="B43" s="3" t="s">
        <v>1893</v>
      </c>
      <c r="C43" s="3" t="s">
        <v>1899</v>
      </c>
      <c r="D43" s="3" t="s">
        <v>0</v>
      </c>
      <c r="E43" s="3" t="s">
        <v>175</v>
      </c>
      <c r="F43" s="3" t="s">
        <v>1904</v>
      </c>
      <c r="G43" s="3" t="s">
        <v>1905</v>
      </c>
      <c r="H43" s="3" t="s">
        <v>1911</v>
      </c>
      <c r="I43" s="3" t="s">
        <v>42</v>
      </c>
      <c r="J43" s="3">
        <v>32</v>
      </c>
      <c r="K43" s="9" t="s">
        <v>130</v>
      </c>
      <c r="L43" s="9" t="s">
        <v>41</v>
      </c>
      <c r="M43" s="3" t="s">
        <v>222</v>
      </c>
      <c r="N43" s="3" t="s">
        <v>1916</v>
      </c>
      <c r="O43" s="3" t="s">
        <v>1926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3" t="str">
        <f t="shared" si="0"/>
        <v>098</v>
      </c>
      <c r="U43" s="3">
        <f t="shared" si="16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7"/>
        <v>(31 downto 24)</v>
      </c>
      <c r="AB43" s="3" t="str">
        <f t="shared" si="18"/>
        <v>(23 downto 16)</v>
      </c>
      <c r="AC43" s="3" t="str">
        <f t="shared" si="19"/>
        <v>(15 downto 8)</v>
      </c>
      <c r="AD43" s="3" t="str">
        <f t="shared" si="20"/>
        <v>(7 downto 0)</v>
      </c>
      <c r="AE43" s="3" t="str">
        <f t="shared" si="21"/>
        <v>(31 downto 24)</v>
      </c>
      <c r="AF43" s="3" t="str">
        <f t="shared" si="22"/>
        <v>(23 downto 16)</v>
      </c>
      <c r="AG43" s="3" t="str">
        <f t="shared" si="23"/>
        <v>(15 downto 8)</v>
      </c>
      <c r="AH43" s="3" t="str">
        <f t="shared" si="24"/>
        <v>(7 downto 0)</v>
      </c>
    </row>
    <row r="44" spans="2:34" x14ac:dyDescent="0.25">
      <c r="B44" s="3" t="s">
        <v>240</v>
      </c>
      <c r="C44" s="3" t="s">
        <v>241</v>
      </c>
      <c r="D44" s="3" t="s">
        <v>1</v>
      </c>
      <c r="E44" s="3" t="s">
        <v>134</v>
      </c>
      <c r="F44" s="3" t="s">
        <v>242</v>
      </c>
      <c r="G44" s="3" t="s">
        <v>243</v>
      </c>
      <c r="H44" s="3" t="s">
        <v>244</v>
      </c>
      <c r="I44" s="3" t="s">
        <v>42</v>
      </c>
      <c r="J44" s="3">
        <v>4</v>
      </c>
      <c r="K44" s="9" t="s">
        <v>245</v>
      </c>
      <c r="L44" s="9" t="s">
        <v>41</v>
      </c>
      <c r="M44" s="3" t="s">
        <v>222</v>
      </c>
      <c r="N44" s="3" t="s">
        <v>246</v>
      </c>
      <c r="O44" s="3" t="s">
        <v>247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3" t="str">
        <f t="shared" si="0"/>
        <v>09C</v>
      </c>
      <c r="U44" s="3">
        <f t="shared" si="16"/>
        <v>39</v>
      </c>
      <c r="V44" s="3" t="str">
        <f t="shared" si="1"/>
        <v>27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7"/>
        <v/>
      </c>
      <c r="AB44" s="3" t="str">
        <f t="shared" si="18"/>
        <v/>
      </c>
      <c r="AC44" s="3" t="str">
        <f t="shared" si="19"/>
        <v/>
      </c>
      <c r="AD44" s="3" t="str">
        <f t="shared" si="20"/>
        <v>(3 downto 0)</v>
      </c>
      <c r="AE44" s="3" t="str">
        <f t="shared" si="21"/>
        <v/>
      </c>
      <c r="AF44" s="3" t="str">
        <f t="shared" si="22"/>
        <v/>
      </c>
      <c r="AG44" s="3" t="str">
        <f t="shared" si="23"/>
        <v/>
      </c>
      <c r="AH44" s="3" t="str">
        <f t="shared" si="24"/>
        <v/>
      </c>
    </row>
    <row r="45" spans="2:34" x14ac:dyDescent="0.25">
      <c r="B45" s="3" t="s">
        <v>240</v>
      </c>
      <c r="C45" s="3" t="s">
        <v>248</v>
      </c>
      <c r="D45" s="3" t="s">
        <v>1</v>
      </c>
      <c r="E45" s="3" t="s">
        <v>134</v>
      </c>
      <c r="F45" s="3" t="s">
        <v>242</v>
      </c>
      <c r="G45" s="3" t="s">
        <v>243</v>
      </c>
      <c r="H45" s="3" t="s">
        <v>249</v>
      </c>
      <c r="I45" s="3" t="s">
        <v>42</v>
      </c>
      <c r="J45" s="3">
        <v>4</v>
      </c>
      <c r="K45" s="9" t="s">
        <v>245</v>
      </c>
      <c r="L45" s="9" t="s">
        <v>41</v>
      </c>
      <c r="M45" s="3" t="s">
        <v>222</v>
      </c>
      <c r="N45" s="3" t="s">
        <v>246</v>
      </c>
      <c r="O45" s="3" t="s">
        <v>250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157</v>
      </c>
      <c r="T45" s="3" t="str">
        <f t="shared" si="0"/>
        <v>09D</v>
      </c>
      <c r="U45" s="3">
        <f t="shared" si="16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/>
      </c>
      <c r="AA45" s="3" t="str">
        <f t="shared" si="17"/>
        <v/>
      </c>
      <c r="AB45" s="3" t="str">
        <f t="shared" si="18"/>
        <v/>
      </c>
      <c r="AC45" s="3" t="str">
        <f t="shared" si="19"/>
        <v>(11 downto 8)</v>
      </c>
      <c r="AD45" s="3" t="str">
        <f t="shared" si="20"/>
        <v/>
      </c>
      <c r="AE45" s="3" t="str">
        <f t="shared" si="21"/>
        <v/>
      </c>
      <c r="AF45" s="3" t="str">
        <f t="shared" si="22"/>
        <v/>
      </c>
      <c r="AG45" s="3" t="str">
        <f t="shared" si="23"/>
        <v/>
      </c>
      <c r="AH45" s="3" t="str">
        <f t="shared" si="24"/>
        <v/>
      </c>
    </row>
    <row r="46" spans="2:34" x14ac:dyDescent="0.25">
      <c r="B46" s="3" t="s">
        <v>251</v>
      </c>
      <c r="C46" s="3" t="s">
        <v>252</v>
      </c>
      <c r="D46" s="3" t="s">
        <v>0</v>
      </c>
      <c r="E46" s="3" t="s">
        <v>175</v>
      </c>
      <c r="F46" s="3" t="s">
        <v>253</v>
      </c>
      <c r="G46" s="3" t="s">
        <v>254</v>
      </c>
      <c r="H46" s="3" t="s">
        <v>255</v>
      </c>
      <c r="I46" s="3" t="s">
        <v>42</v>
      </c>
      <c r="J46" s="3">
        <v>1</v>
      </c>
      <c r="K46" s="9" t="s">
        <v>41</v>
      </c>
      <c r="L46" s="9" t="s">
        <v>41</v>
      </c>
      <c r="M46" s="3" t="s">
        <v>222</v>
      </c>
      <c r="N46" s="3" t="s">
        <v>246</v>
      </c>
      <c r="O46" s="3" t="s">
        <v>256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160</v>
      </c>
      <c r="T46" s="3" t="str">
        <f t="shared" si="0"/>
        <v>0A0</v>
      </c>
      <c r="U46" s="3">
        <f t="shared" si="16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7"/>
        <v/>
      </c>
      <c r="AB46" s="3" t="str">
        <f t="shared" si="18"/>
        <v/>
      </c>
      <c r="AC46" s="3" t="str">
        <f t="shared" si="19"/>
        <v/>
      </c>
      <c r="AD46" s="3" t="str">
        <f t="shared" si="20"/>
        <v>(0)</v>
      </c>
      <c r="AE46" s="3" t="str">
        <f t="shared" si="21"/>
        <v/>
      </c>
      <c r="AF46" s="3" t="str">
        <f t="shared" si="22"/>
        <v/>
      </c>
      <c r="AG46" s="3" t="str">
        <f t="shared" si="23"/>
        <v/>
      </c>
      <c r="AH46" s="3" t="str">
        <f t="shared" si="24"/>
        <v/>
      </c>
    </row>
    <row r="47" spans="2:34" x14ac:dyDescent="0.25">
      <c r="B47" s="3" t="s">
        <v>251</v>
      </c>
      <c r="C47" s="3" t="s">
        <v>257</v>
      </c>
      <c r="D47" s="3" t="s">
        <v>0</v>
      </c>
      <c r="E47" s="3" t="s">
        <v>175</v>
      </c>
      <c r="F47" s="3" t="s">
        <v>253</v>
      </c>
      <c r="G47" s="3" t="s">
        <v>254</v>
      </c>
      <c r="H47" s="3" t="s">
        <v>258</v>
      </c>
      <c r="I47" s="3" t="s">
        <v>42</v>
      </c>
      <c r="J47" s="3">
        <v>1</v>
      </c>
      <c r="K47" s="9" t="s">
        <v>41</v>
      </c>
      <c r="L47" s="9" t="s">
        <v>41</v>
      </c>
      <c r="M47" s="3" t="s">
        <v>222</v>
      </c>
      <c r="N47" s="3" t="s">
        <v>246</v>
      </c>
      <c r="O47" s="3" t="s">
        <v>259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164</v>
      </c>
      <c r="T47" s="3" t="str">
        <f t="shared" si="0"/>
        <v>0A4</v>
      </c>
      <c r="U47" s="3">
        <f t="shared" si="16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7"/>
        <v/>
      </c>
      <c r="AB47" s="3" t="str">
        <f t="shared" si="18"/>
        <v/>
      </c>
      <c r="AC47" s="3" t="str">
        <f t="shared" si="19"/>
        <v/>
      </c>
      <c r="AD47" s="3" t="str">
        <f t="shared" si="20"/>
        <v>(0)</v>
      </c>
      <c r="AE47" s="3" t="str">
        <f t="shared" si="21"/>
        <v/>
      </c>
      <c r="AF47" s="3" t="str">
        <f t="shared" si="22"/>
        <v/>
      </c>
      <c r="AG47" s="3" t="str">
        <f t="shared" si="23"/>
        <v/>
      </c>
      <c r="AH47" s="3" t="str">
        <f t="shared" si="24"/>
        <v/>
      </c>
    </row>
    <row r="48" spans="2:34" x14ac:dyDescent="0.25">
      <c r="B48" s="3" t="s">
        <v>251</v>
      </c>
      <c r="C48" s="3" t="s">
        <v>260</v>
      </c>
      <c r="D48" s="3" t="s">
        <v>0</v>
      </c>
      <c r="E48" s="3" t="s">
        <v>175</v>
      </c>
      <c r="F48" s="3" t="s">
        <v>253</v>
      </c>
      <c r="G48" s="3" t="s">
        <v>254</v>
      </c>
      <c r="H48" s="3" t="s">
        <v>261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222</v>
      </c>
      <c r="N48" s="3" t="s">
        <v>246</v>
      </c>
      <c r="O48" s="3" t="s">
        <v>262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16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7"/>
        <v/>
      </c>
      <c r="AB48" s="3" t="str">
        <f t="shared" si="18"/>
        <v/>
      </c>
      <c r="AC48" s="3" t="str">
        <f t="shared" si="19"/>
        <v/>
      </c>
      <c r="AD48" s="3" t="str">
        <f t="shared" si="20"/>
        <v>(0)</v>
      </c>
      <c r="AE48" s="3" t="str">
        <f t="shared" si="21"/>
        <v/>
      </c>
      <c r="AF48" s="3" t="str">
        <f t="shared" si="22"/>
        <v/>
      </c>
      <c r="AG48" s="3" t="str">
        <f t="shared" si="23"/>
        <v/>
      </c>
      <c r="AH48" s="3" t="str">
        <f t="shared" si="24"/>
        <v/>
      </c>
    </row>
    <row r="49" spans="2:34" x14ac:dyDescent="0.25">
      <c r="B49" s="3" t="s">
        <v>251</v>
      </c>
      <c r="C49" s="3" t="s">
        <v>263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264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222</v>
      </c>
      <c r="N49" s="3" t="s">
        <v>246</v>
      </c>
      <c r="O49" s="3" t="s">
        <v>265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16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7"/>
        <v/>
      </c>
      <c r="AB49" s="3" t="str">
        <f t="shared" si="18"/>
        <v/>
      </c>
      <c r="AC49" s="3" t="str">
        <f t="shared" si="19"/>
        <v/>
      </c>
      <c r="AD49" s="3" t="str">
        <f t="shared" si="20"/>
        <v>(0)</v>
      </c>
      <c r="AE49" s="3" t="str">
        <f t="shared" si="21"/>
        <v/>
      </c>
      <c r="AF49" s="3" t="str">
        <f t="shared" si="22"/>
        <v/>
      </c>
      <c r="AG49" s="3" t="str">
        <f t="shared" si="23"/>
        <v/>
      </c>
      <c r="AH49" s="3" t="str">
        <f t="shared" si="24"/>
        <v/>
      </c>
    </row>
    <row r="50" spans="2:34" x14ac:dyDescent="0.25">
      <c r="B50" s="3" t="s">
        <v>2029</v>
      </c>
      <c r="C50" s="3" t="s">
        <v>2030</v>
      </c>
      <c r="D50" s="3" t="s">
        <v>1</v>
      </c>
      <c r="E50" s="3" t="s">
        <v>134</v>
      </c>
      <c r="F50" s="3" t="s">
        <v>2031</v>
      </c>
      <c r="G50" s="3" t="s">
        <v>2032</v>
      </c>
      <c r="H50" s="3" t="s">
        <v>2033</v>
      </c>
      <c r="I50" s="3" t="s">
        <v>42</v>
      </c>
      <c r="J50" s="3">
        <v>32</v>
      </c>
      <c r="K50" s="9" t="s">
        <v>130</v>
      </c>
      <c r="L50" s="9" t="s">
        <v>41</v>
      </c>
      <c r="M50" s="3" t="s">
        <v>222</v>
      </c>
      <c r="N50" s="3" t="s">
        <v>2034</v>
      </c>
      <c r="O50" s="3" t="s">
        <v>2035</v>
      </c>
      <c r="P50" s="3" t="s">
        <v>49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16"/>
        <v>44</v>
      </c>
      <c r="V50" s="3" t="str">
        <f t="shared" si="1"/>
        <v>2C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17"/>
        <v>(31 downto 24)</v>
      </c>
      <c r="AB50" s="3" t="str">
        <f t="shared" si="18"/>
        <v>(23 downto 16)</v>
      </c>
      <c r="AC50" s="3" t="str">
        <f t="shared" si="19"/>
        <v>(15 downto 8)</v>
      </c>
      <c r="AD50" s="3" t="str">
        <f t="shared" si="20"/>
        <v>(7 downto 0)</v>
      </c>
      <c r="AE50" s="3" t="str">
        <f t="shared" si="21"/>
        <v>(31 downto 24)</v>
      </c>
      <c r="AF50" s="3" t="str">
        <f t="shared" si="22"/>
        <v>(23 downto 16)</v>
      </c>
      <c r="AG50" s="3" t="str">
        <f t="shared" si="23"/>
        <v>(15 downto 8)</v>
      </c>
      <c r="AH50" s="3" t="str">
        <f t="shared" si="24"/>
        <v>(7 downto 0)</v>
      </c>
    </row>
    <row r="51" spans="2:34" x14ac:dyDescent="0.25">
      <c r="B51" s="3" t="s">
        <v>2029</v>
      </c>
      <c r="C51" s="3" t="s">
        <v>2036</v>
      </c>
      <c r="D51" s="3" t="s">
        <v>1</v>
      </c>
      <c r="E51" s="3" t="s">
        <v>134</v>
      </c>
      <c r="F51" s="3" t="s">
        <v>2031</v>
      </c>
      <c r="G51" s="3" t="s">
        <v>2032</v>
      </c>
      <c r="H51" s="3" t="s">
        <v>2037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222</v>
      </c>
      <c r="N51" s="3" t="s">
        <v>2034</v>
      </c>
      <c r="O51" s="3" t="s">
        <v>2038</v>
      </c>
      <c r="P51" s="3" t="s">
        <v>49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16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7"/>
        <v>(31 downto 24)</v>
      </c>
      <c r="AB51" s="3" t="str">
        <f t="shared" si="18"/>
        <v>(23 downto 16)</v>
      </c>
      <c r="AC51" s="3" t="str">
        <f t="shared" si="19"/>
        <v>(15 downto 8)</v>
      </c>
      <c r="AD51" s="3" t="str">
        <f t="shared" si="20"/>
        <v>(7 downto 0)</v>
      </c>
      <c r="AE51" s="3" t="str">
        <f t="shared" si="21"/>
        <v>(31 downto 24)</v>
      </c>
      <c r="AF51" s="3" t="str">
        <f t="shared" si="22"/>
        <v>(23 downto 16)</v>
      </c>
      <c r="AG51" s="3" t="str">
        <f t="shared" si="23"/>
        <v>(15 downto 8)</v>
      </c>
      <c r="AH51" s="3" t="str">
        <f t="shared" si="24"/>
        <v>(7 downto 0)</v>
      </c>
    </row>
    <row r="52" spans="2:34" x14ac:dyDescent="0.25">
      <c r="B52" s="3" t="s">
        <v>2029</v>
      </c>
      <c r="C52" s="3" t="s">
        <v>2039</v>
      </c>
      <c r="D52" s="3" t="s">
        <v>1</v>
      </c>
      <c r="E52" s="3" t="s">
        <v>134</v>
      </c>
      <c r="F52" s="3" t="s">
        <v>2031</v>
      </c>
      <c r="G52" s="3" t="s">
        <v>2032</v>
      </c>
      <c r="H52" s="3" t="s">
        <v>2040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222</v>
      </c>
      <c r="N52" s="3" t="s">
        <v>2034</v>
      </c>
      <c r="O52" s="3" t="s">
        <v>2041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16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17"/>
        <v>(31 downto 24)</v>
      </c>
      <c r="AB52" s="3" t="str">
        <f t="shared" si="18"/>
        <v>(23 downto 16)</v>
      </c>
      <c r="AC52" s="3" t="str">
        <f t="shared" si="19"/>
        <v>(15 downto 8)</v>
      </c>
      <c r="AD52" s="3" t="str">
        <f t="shared" si="20"/>
        <v>(7 downto 0)</v>
      </c>
      <c r="AE52" s="3" t="str">
        <f t="shared" si="21"/>
        <v>(31 downto 24)</v>
      </c>
      <c r="AF52" s="3" t="str">
        <f t="shared" si="22"/>
        <v>(23 downto 16)</v>
      </c>
      <c r="AG52" s="3" t="str">
        <f t="shared" si="23"/>
        <v>(15 downto 8)</v>
      </c>
      <c r="AH52" s="3" t="str">
        <f t="shared" si="24"/>
        <v>(7 downto 0)</v>
      </c>
    </row>
    <row r="53" spans="2:34" x14ac:dyDescent="0.25">
      <c r="B53" s="3" t="s">
        <v>2029</v>
      </c>
      <c r="C53" s="3" t="s">
        <v>2042</v>
      </c>
      <c r="D53" s="3" t="s">
        <v>1</v>
      </c>
      <c r="E53" s="3" t="s">
        <v>134</v>
      </c>
      <c r="F53" s="3" t="s">
        <v>2031</v>
      </c>
      <c r="G53" s="3" t="s">
        <v>2032</v>
      </c>
      <c r="H53" s="3" t="s">
        <v>2043</v>
      </c>
      <c r="I53" s="3" t="s">
        <v>42</v>
      </c>
      <c r="J53" s="3">
        <v>1</v>
      </c>
      <c r="K53" s="9" t="s">
        <v>82</v>
      </c>
      <c r="L53" s="9" t="s">
        <v>82</v>
      </c>
      <c r="M53" s="3" t="s">
        <v>222</v>
      </c>
      <c r="N53" s="3" t="s">
        <v>2034</v>
      </c>
      <c r="O53" s="3" t="s">
        <v>2044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16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7"/>
        <v/>
      </c>
      <c r="AB53" s="3" t="str">
        <f t="shared" si="18"/>
        <v/>
      </c>
      <c r="AC53" s="3" t="str">
        <f t="shared" si="19"/>
        <v/>
      </c>
      <c r="AD53" s="3" t="str">
        <f t="shared" si="20"/>
        <v>(0)</v>
      </c>
      <c r="AE53" s="3" t="str">
        <f t="shared" si="21"/>
        <v/>
      </c>
      <c r="AF53" s="3" t="str">
        <f t="shared" si="22"/>
        <v/>
      </c>
      <c r="AG53" s="3" t="str">
        <f t="shared" si="23"/>
        <v/>
      </c>
      <c r="AH53" s="3" t="str">
        <f t="shared" si="24"/>
        <v/>
      </c>
    </row>
    <row r="54" spans="2:34" x14ac:dyDescent="0.25">
      <c r="B54" s="3" t="s">
        <v>2029</v>
      </c>
      <c r="C54" s="3" t="s">
        <v>2045</v>
      </c>
      <c r="D54" s="3" t="s">
        <v>1</v>
      </c>
      <c r="E54" s="3" t="s">
        <v>134</v>
      </c>
      <c r="F54" s="3" t="s">
        <v>2031</v>
      </c>
      <c r="G54" s="3" t="s">
        <v>2032</v>
      </c>
      <c r="H54" s="3" t="s">
        <v>2046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222</v>
      </c>
      <c r="N54" s="3" t="s">
        <v>2034</v>
      </c>
      <c r="O54" s="3" t="s">
        <v>2047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16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7"/>
        <v/>
      </c>
      <c r="AB54" s="3" t="str">
        <f t="shared" si="18"/>
        <v/>
      </c>
      <c r="AC54" s="3" t="str">
        <f t="shared" si="19"/>
        <v/>
      </c>
      <c r="AD54" s="3" t="str">
        <f t="shared" si="20"/>
        <v>(0)</v>
      </c>
      <c r="AE54" s="3" t="str">
        <f t="shared" si="21"/>
        <v/>
      </c>
      <c r="AF54" s="3" t="str">
        <f t="shared" si="22"/>
        <v/>
      </c>
      <c r="AG54" s="3" t="str">
        <f t="shared" si="23"/>
        <v/>
      </c>
      <c r="AH54" s="3" t="str">
        <f t="shared" si="24"/>
        <v/>
      </c>
    </row>
    <row r="55" spans="2:34" x14ac:dyDescent="0.25">
      <c r="B55" s="3" t="s">
        <v>2029</v>
      </c>
      <c r="C55" s="3" t="s">
        <v>2048</v>
      </c>
      <c r="D55" s="3" t="s">
        <v>1</v>
      </c>
      <c r="E55" s="3" t="s">
        <v>134</v>
      </c>
      <c r="F55" s="3" t="s">
        <v>2031</v>
      </c>
      <c r="G55" s="3" t="s">
        <v>2032</v>
      </c>
      <c r="H55" s="3" t="s">
        <v>2049</v>
      </c>
      <c r="I55" s="3" t="s">
        <v>42</v>
      </c>
      <c r="J55" s="3">
        <v>32</v>
      </c>
      <c r="K55" s="9" t="s">
        <v>130</v>
      </c>
      <c r="L55" s="9" t="s">
        <v>41</v>
      </c>
      <c r="M55" s="3" t="s">
        <v>222</v>
      </c>
      <c r="N55" s="3" t="s">
        <v>2034</v>
      </c>
      <c r="O55" s="3" t="s">
        <v>2050</v>
      </c>
      <c r="P55" s="3" t="s">
        <v>49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16"/>
        <v>49</v>
      </c>
      <c r="V55" s="3" t="str">
        <f t="shared" si="1"/>
        <v>31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7"/>
        <v>(31 downto 24)</v>
      </c>
      <c r="AB55" s="3" t="str">
        <f t="shared" si="18"/>
        <v>(23 downto 16)</v>
      </c>
      <c r="AC55" s="3" t="str">
        <f t="shared" si="19"/>
        <v>(15 downto 8)</v>
      </c>
      <c r="AD55" s="3" t="str">
        <f t="shared" si="20"/>
        <v>(7 downto 0)</v>
      </c>
      <c r="AE55" s="3" t="str">
        <f t="shared" si="21"/>
        <v>(31 downto 24)</v>
      </c>
      <c r="AF55" s="3" t="str">
        <f t="shared" si="22"/>
        <v>(23 downto 16)</v>
      </c>
      <c r="AG55" s="3" t="str">
        <f t="shared" si="23"/>
        <v>(15 downto 8)</v>
      </c>
      <c r="AH55" s="3" t="str">
        <f t="shared" si="24"/>
        <v>(7 downto 0)</v>
      </c>
    </row>
    <row r="56" spans="2:34" x14ac:dyDescent="0.25">
      <c r="B56" s="3" t="s">
        <v>2029</v>
      </c>
      <c r="C56" s="3" t="s">
        <v>2051</v>
      </c>
      <c r="D56" s="3" t="s">
        <v>1</v>
      </c>
      <c r="E56" s="3" t="s">
        <v>134</v>
      </c>
      <c r="F56" s="3" t="s">
        <v>2031</v>
      </c>
      <c r="G56" s="3" t="s">
        <v>2032</v>
      </c>
      <c r="H56" s="3" t="s">
        <v>2052</v>
      </c>
      <c r="I56" s="3" t="s">
        <v>42</v>
      </c>
      <c r="J56" s="3">
        <v>32</v>
      </c>
      <c r="K56" s="9" t="s">
        <v>130</v>
      </c>
      <c r="L56" s="9" t="s">
        <v>41</v>
      </c>
      <c r="M56" s="3" t="s">
        <v>222</v>
      </c>
      <c r="N56" s="3" t="s">
        <v>2034</v>
      </c>
      <c r="O56" s="3" t="s">
        <v>2053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16"/>
        <v>50</v>
      </c>
      <c r="V56" s="3" t="str">
        <f t="shared" si="1"/>
        <v>32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17"/>
        <v>(31 downto 24)</v>
      </c>
      <c r="AB56" s="3" t="str">
        <f t="shared" si="18"/>
        <v>(23 downto 16)</v>
      </c>
      <c r="AC56" s="3" t="str">
        <f t="shared" si="19"/>
        <v>(15 downto 8)</v>
      </c>
      <c r="AD56" s="3" t="str">
        <f t="shared" si="20"/>
        <v>(7 downto 0)</v>
      </c>
      <c r="AE56" s="3" t="str">
        <f t="shared" si="21"/>
        <v>(31 downto 24)</v>
      </c>
      <c r="AF56" s="3" t="str">
        <f t="shared" si="22"/>
        <v>(23 downto 16)</v>
      </c>
      <c r="AG56" s="3" t="str">
        <f t="shared" si="23"/>
        <v>(15 downto 8)</v>
      </c>
      <c r="AH56" s="3" t="str">
        <f t="shared" si="24"/>
        <v>(7 downto 0)</v>
      </c>
    </row>
    <row r="57" spans="2:34" x14ac:dyDescent="0.25">
      <c r="B57" s="3" t="s">
        <v>2029</v>
      </c>
      <c r="C57" s="3" t="s">
        <v>2054</v>
      </c>
      <c r="D57" s="3" t="s">
        <v>1</v>
      </c>
      <c r="E57" s="3" t="s">
        <v>134</v>
      </c>
      <c r="F57" s="3" t="s">
        <v>2031</v>
      </c>
      <c r="G57" s="3" t="s">
        <v>2032</v>
      </c>
      <c r="H57" s="3" t="s">
        <v>2055</v>
      </c>
      <c r="I57" s="3" t="s">
        <v>42</v>
      </c>
      <c r="J57" s="3">
        <v>32</v>
      </c>
      <c r="K57" s="9" t="s">
        <v>130</v>
      </c>
      <c r="L57" s="9" t="s">
        <v>41</v>
      </c>
      <c r="M57" s="3" t="s">
        <v>222</v>
      </c>
      <c r="N57" s="3" t="s">
        <v>2034</v>
      </c>
      <c r="O57" s="3" t="s">
        <v>2056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16"/>
        <v>51</v>
      </c>
      <c r="V57" s="3" t="str">
        <f t="shared" si="1"/>
        <v>33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17"/>
        <v>(31 downto 24)</v>
      </c>
      <c r="AB57" s="3" t="str">
        <f t="shared" si="18"/>
        <v>(23 downto 16)</v>
      </c>
      <c r="AC57" s="3" t="str">
        <f t="shared" si="19"/>
        <v>(15 downto 8)</v>
      </c>
      <c r="AD57" s="3" t="str">
        <f t="shared" si="20"/>
        <v>(7 downto 0)</v>
      </c>
      <c r="AE57" s="3" t="str">
        <f t="shared" si="21"/>
        <v>(31 downto 24)</v>
      </c>
      <c r="AF57" s="3" t="str">
        <f t="shared" si="22"/>
        <v>(23 downto 16)</v>
      </c>
      <c r="AG57" s="3" t="str">
        <f t="shared" si="23"/>
        <v>(15 downto 8)</v>
      </c>
      <c r="AH57" s="3" t="str">
        <f t="shared" si="24"/>
        <v>(7 downto 0)</v>
      </c>
    </row>
    <row r="58" spans="2:34" x14ac:dyDescent="0.25">
      <c r="B58" s="3" t="s">
        <v>2029</v>
      </c>
      <c r="C58" s="3" t="s">
        <v>2057</v>
      </c>
      <c r="D58" s="3" t="s">
        <v>1</v>
      </c>
      <c r="E58" s="3" t="s">
        <v>134</v>
      </c>
      <c r="F58" s="3" t="s">
        <v>2031</v>
      </c>
      <c r="G58" s="3" t="s">
        <v>2032</v>
      </c>
      <c r="H58" s="3" t="s">
        <v>2058</v>
      </c>
      <c r="I58" s="3" t="s">
        <v>42</v>
      </c>
      <c r="J58" s="3">
        <v>1</v>
      </c>
      <c r="K58" s="9" t="s">
        <v>82</v>
      </c>
      <c r="L58" s="9" t="s">
        <v>82</v>
      </c>
      <c r="M58" s="3" t="s">
        <v>222</v>
      </c>
      <c r="N58" s="3" t="s">
        <v>2034</v>
      </c>
      <c r="O58" s="3" t="s">
        <v>2059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16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7"/>
        <v/>
      </c>
      <c r="AB58" s="3" t="str">
        <f t="shared" si="18"/>
        <v/>
      </c>
      <c r="AC58" s="3" t="str">
        <f t="shared" si="19"/>
        <v/>
      </c>
      <c r="AD58" s="3" t="str">
        <f t="shared" si="20"/>
        <v>(0)</v>
      </c>
      <c r="AE58" s="3" t="str">
        <f t="shared" si="21"/>
        <v/>
      </c>
      <c r="AF58" s="3" t="str">
        <f t="shared" si="22"/>
        <v/>
      </c>
      <c r="AG58" s="3" t="str">
        <f t="shared" si="23"/>
        <v/>
      </c>
      <c r="AH58" s="3" t="str">
        <f t="shared" si="24"/>
        <v/>
      </c>
    </row>
    <row r="59" spans="2:34" x14ac:dyDescent="0.25">
      <c r="B59" s="3" t="s">
        <v>2029</v>
      </c>
      <c r="C59" s="3" t="s">
        <v>2060</v>
      </c>
      <c r="D59" s="3" t="s">
        <v>1</v>
      </c>
      <c r="E59" s="3" t="s">
        <v>134</v>
      </c>
      <c r="F59" s="3" t="s">
        <v>2031</v>
      </c>
      <c r="G59" s="3" t="s">
        <v>2032</v>
      </c>
      <c r="H59" s="3" t="s">
        <v>2061</v>
      </c>
      <c r="I59" s="3" t="s">
        <v>42</v>
      </c>
      <c r="J59" s="3">
        <v>1</v>
      </c>
      <c r="K59" s="9" t="s">
        <v>82</v>
      </c>
      <c r="L59" s="9" t="s">
        <v>82</v>
      </c>
      <c r="M59" s="3" t="s">
        <v>222</v>
      </c>
      <c r="N59" s="3" t="s">
        <v>2034</v>
      </c>
      <c r="O59" s="3" t="s">
        <v>2062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16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7"/>
        <v/>
      </c>
      <c r="AB59" s="3" t="str">
        <f t="shared" si="18"/>
        <v/>
      </c>
      <c r="AC59" s="3" t="str">
        <f t="shared" si="19"/>
        <v/>
      </c>
      <c r="AD59" s="3" t="str">
        <f t="shared" si="20"/>
        <v>(0)</v>
      </c>
      <c r="AE59" s="3" t="str">
        <f t="shared" si="21"/>
        <v/>
      </c>
      <c r="AF59" s="3" t="str">
        <f t="shared" si="22"/>
        <v/>
      </c>
      <c r="AG59" s="3" t="str">
        <f t="shared" si="23"/>
        <v/>
      </c>
      <c r="AH59" s="3" t="str">
        <f t="shared" si="24"/>
        <v/>
      </c>
    </row>
    <row r="60" spans="2:34" x14ac:dyDescent="0.25">
      <c r="B60" s="3" t="s">
        <v>2063</v>
      </c>
      <c r="C60" s="3" t="s">
        <v>2064</v>
      </c>
      <c r="D60" s="3" t="s">
        <v>0</v>
      </c>
      <c r="E60" s="3" t="s">
        <v>175</v>
      </c>
      <c r="F60" s="3" t="s">
        <v>2065</v>
      </c>
      <c r="G60" s="3" t="s">
        <v>2066</v>
      </c>
      <c r="H60" s="3" t="s">
        <v>2067</v>
      </c>
      <c r="I60" s="3" t="s">
        <v>42</v>
      </c>
      <c r="J60" s="3">
        <v>1</v>
      </c>
      <c r="K60" s="9" t="s">
        <v>82</v>
      </c>
      <c r="L60" s="9" t="s">
        <v>41</v>
      </c>
      <c r="M60" s="3" t="s">
        <v>222</v>
      </c>
      <c r="N60" s="3" t="s">
        <v>2068</v>
      </c>
      <c r="O60" s="3" t="s">
        <v>2069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16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7"/>
        <v/>
      </c>
      <c r="AB60" s="3" t="str">
        <f t="shared" si="18"/>
        <v/>
      </c>
      <c r="AC60" s="3" t="str">
        <f t="shared" si="19"/>
        <v/>
      </c>
      <c r="AD60" s="3" t="str">
        <f t="shared" si="20"/>
        <v>(0)</v>
      </c>
      <c r="AE60" s="3" t="str">
        <f t="shared" si="21"/>
        <v/>
      </c>
      <c r="AF60" s="3" t="str">
        <f t="shared" si="22"/>
        <v/>
      </c>
      <c r="AG60" s="3" t="str">
        <f t="shared" si="23"/>
        <v/>
      </c>
      <c r="AH60" s="3" t="str">
        <f t="shared" si="24"/>
        <v/>
      </c>
    </row>
    <row r="61" spans="2:34" x14ac:dyDescent="0.25">
      <c r="B61" s="3" t="s">
        <v>2063</v>
      </c>
      <c r="C61" s="3" t="s">
        <v>2070</v>
      </c>
      <c r="D61" s="3" t="s">
        <v>0</v>
      </c>
      <c r="E61" s="3" t="s">
        <v>175</v>
      </c>
      <c r="F61" s="3" t="s">
        <v>2065</v>
      </c>
      <c r="G61" s="3" t="s">
        <v>2066</v>
      </c>
      <c r="H61" s="3" t="s">
        <v>2071</v>
      </c>
      <c r="I61" s="3" t="s">
        <v>42</v>
      </c>
      <c r="J61" s="3">
        <v>1</v>
      </c>
      <c r="K61" s="9" t="s">
        <v>82</v>
      </c>
      <c r="L61" s="9" t="s">
        <v>41</v>
      </c>
      <c r="M61" s="3" t="s">
        <v>222</v>
      </c>
      <c r="N61" s="3" t="s">
        <v>2068</v>
      </c>
      <c r="O61" s="3" t="s">
        <v>2072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16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7"/>
        <v/>
      </c>
      <c r="AB61" s="3" t="str">
        <f t="shared" si="18"/>
        <v/>
      </c>
      <c r="AC61" s="3" t="str">
        <f t="shared" si="19"/>
        <v/>
      </c>
      <c r="AD61" s="3" t="str">
        <f t="shared" si="20"/>
        <v>(0)</v>
      </c>
      <c r="AE61" s="3" t="str">
        <f t="shared" si="21"/>
        <v/>
      </c>
      <c r="AF61" s="3" t="str">
        <f t="shared" si="22"/>
        <v/>
      </c>
      <c r="AG61" s="3" t="str">
        <f t="shared" si="23"/>
        <v/>
      </c>
      <c r="AH61" s="3" t="str">
        <f t="shared" si="24"/>
        <v/>
      </c>
    </row>
    <row r="62" spans="2:34" x14ac:dyDescent="0.25">
      <c r="B62" s="3" t="s">
        <v>266</v>
      </c>
      <c r="C62" s="3" t="s">
        <v>267</v>
      </c>
      <c r="D62" s="3" t="s">
        <v>1</v>
      </c>
      <c r="E62" s="3" t="s">
        <v>134</v>
      </c>
      <c r="F62" s="3" t="s">
        <v>268</v>
      </c>
      <c r="G62" s="3" t="s">
        <v>269</v>
      </c>
      <c r="H62" s="3" t="s">
        <v>270</v>
      </c>
      <c r="I62" s="3" t="s">
        <v>42</v>
      </c>
      <c r="J62" s="3">
        <v>1</v>
      </c>
      <c r="K62" s="9" t="s">
        <v>82</v>
      </c>
      <c r="L62" s="9" t="s">
        <v>41</v>
      </c>
      <c r="M62" s="3" t="s">
        <v>222</v>
      </c>
      <c r="N62" s="3" t="s">
        <v>271</v>
      </c>
      <c r="O62" s="3" t="s">
        <v>272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16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7"/>
        <v/>
      </c>
      <c r="AB62" s="3" t="str">
        <f t="shared" si="18"/>
        <v/>
      </c>
      <c r="AC62" s="3" t="str">
        <f t="shared" si="19"/>
        <v/>
      </c>
      <c r="AD62" s="3" t="str">
        <f t="shared" si="20"/>
        <v>(0)</v>
      </c>
      <c r="AE62" s="3" t="str">
        <f t="shared" si="21"/>
        <v/>
      </c>
      <c r="AF62" s="3" t="str">
        <f t="shared" si="22"/>
        <v/>
      </c>
      <c r="AG62" s="3" t="str">
        <f t="shared" si="23"/>
        <v/>
      </c>
      <c r="AH62" s="3" t="str">
        <f t="shared" si="24"/>
        <v/>
      </c>
    </row>
    <row r="63" spans="2:34" x14ac:dyDescent="0.25">
      <c r="B63" s="3" t="s">
        <v>266</v>
      </c>
      <c r="C63" s="3" t="s">
        <v>273</v>
      </c>
      <c r="D63" s="3" t="s">
        <v>1</v>
      </c>
      <c r="E63" s="3" t="s">
        <v>134</v>
      </c>
      <c r="F63" s="3" t="s">
        <v>268</v>
      </c>
      <c r="G63" s="3" t="s">
        <v>269</v>
      </c>
      <c r="H63" s="3" t="s">
        <v>274</v>
      </c>
      <c r="I63" s="3" t="s">
        <v>42</v>
      </c>
      <c r="J63" s="3">
        <v>1</v>
      </c>
      <c r="K63" s="9" t="s">
        <v>82</v>
      </c>
      <c r="L63" s="9" t="s">
        <v>41</v>
      </c>
      <c r="M63" s="3" t="s">
        <v>222</v>
      </c>
      <c r="N63" s="3" t="s">
        <v>271</v>
      </c>
      <c r="O63" s="3" t="s">
        <v>275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16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7"/>
        <v/>
      </c>
      <c r="AB63" s="3" t="str">
        <f t="shared" si="18"/>
        <v/>
      </c>
      <c r="AC63" s="3" t="str">
        <f t="shared" si="19"/>
        <v/>
      </c>
      <c r="AD63" s="3" t="str">
        <f t="shared" si="20"/>
        <v>(0)</v>
      </c>
      <c r="AE63" s="3" t="str">
        <f t="shared" si="21"/>
        <v/>
      </c>
      <c r="AF63" s="3" t="str">
        <f t="shared" si="22"/>
        <v/>
      </c>
      <c r="AG63" s="3" t="str">
        <f t="shared" si="23"/>
        <v/>
      </c>
      <c r="AH63" s="3" t="str">
        <f t="shared" si="24"/>
        <v/>
      </c>
    </row>
    <row r="64" spans="2:34" x14ac:dyDescent="0.25">
      <c r="B64" s="3" t="s">
        <v>276</v>
      </c>
      <c r="C64" s="3" t="s">
        <v>277</v>
      </c>
      <c r="D64" s="3" t="s">
        <v>0</v>
      </c>
      <c r="E64" s="3" t="s">
        <v>175</v>
      </c>
      <c r="F64" s="3" t="s">
        <v>278</v>
      </c>
      <c r="G64" s="3" t="s">
        <v>279</v>
      </c>
      <c r="H64" s="3" t="s">
        <v>280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222</v>
      </c>
      <c r="N64" s="3" t="s">
        <v>281</v>
      </c>
      <c r="O64" s="3" t="s">
        <v>282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16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7"/>
        <v/>
      </c>
      <c r="AB64" s="3" t="str">
        <f t="shared" si="18"/>
        <v/>
      </c>
      <c r="AC64" s="3" t="str">
        <f t="shared" si="19"/>
        <v/>
      </c>
      <c r="AD64" s="3" t="str">
        <f t="shared" si="20"/>
        <v>(0)</v>
      </c>
      <c r="AE64" s="3" t="str">
        <f t="shared" si="21"/>
        <v/>
      </c>
      <c r="AF64" s="3" t="str">
        <f t="shared" si="22"/>
        <v/>
      </c>
      <c r="AG64" s="3" t="str">
        <f t="shared" si="23"/>
        <v/>
      </c>
      <c r="AH64" s="3" t="str">
        <f t="shared" si="24"/>
        <v/>
      </c>
    </row>
    <row r="65" spans="2:34" x14ac:dyDescent="0.25">
      <c r="B65" s="3" t="s">
        <v>276</v>
      </c>
      <c r="C65" s="3" t="s">
        <v>283</v>
      </c>
      <c r="D65" s="3" t="s">
        <v>0</v>
      </c>
      <c r="E65" s="3" t="s">
        <v>175</v>
      </c>
      <c r="F65" s="3" t="s">
        <v>278</v>
      </c>
      <c r="G65" s="3" t="s">
        <v>279</v>
      </c>
      <c r="H65" s="3" t="s">
        <v>284</v>
      </c>
      <c r="I65" s="3" t="s">
        <v>42</v>
      </c>
      <c r="J65" s="3">
        <v>1</v>
      </c>
      <c r="K65" s="9" t="s">
        <v>41</v>
      </c>
      <c r="L65" s="9" t="s">
        <v>41</v>
      </c>
      <c r="M65" s="3" t="s">
        <v>222</v>
      </c>
      <c r="N65" s="3" t="s">
        <v>281</v>
      </c>
      <c r="O65" s="3" t="s">
        <v>285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16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7"/>
        <v/>
      </c>
      <c r="AB65" s="3" t="str">
        <f t="shared" si="18"/>
        <v/>
      </c>
      <c r="AC65" s="3" t="str">
        <f t="shared" si="19"/>
        <v/>
      </c>
      <c r="AD65" s="3" t="str">
        <f t="shared" si="20"/>
        <v>(0)</v>
      </c>
      <c r="AE65" s="3" t="str">
        <f t="shared" si="21"/>
        <v/>
      </c>
      <c r="AF65" s="3" t="str">
        <f t="shared" si="22"/>
        <v/>
      </c>
      <c r="AG65" s="3" t="str">
        <f t="shared" si="23"/>
        <v/>
      </c>
      <c r="AH65" s="3" t="str">
        <f t="shared" si="24"/>
        <v/>
      </c>
    </row>
    <row r="66" spans="2:34" x14ac:dyDescent="0.25">
      <c r="B66" s="3" t="s">
        <v>276</v>
      </c>
      <c r="C66" s="3" t="s">
        <v>286</v>
      </c>
      <c r="D66" s="3" t="s">
        <v>0</v>
      </c>
      <c r="E66" s="3" t="s">
        <v>175</v>
      </c>
      <c r="F66" s="3" t="s">
        <v>278</v>
      </c>
      <c r="G66" s="3" t="s">
        <v>279</v>
      </c>
      <c r="H66" s="3" t="s">
        <v>287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222</v>
      </c>
      <c r="N66" s="3" t="s">
        <v>281</v>
      </c>
      <c r="O66" s="3" t="s">
        <v>288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16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7"/>
        <v/>
      </c>
      <c r="AB66" s="3" t="str">
        <f t="shared" si="18"/>
        <v/>
      </c>
      <c r="AC66" s="3" t="str">
        <f t="shared" si="19"/>
        <v/>
      </c>
      <c r="AD66" s="3" t="str">
        <f t="shared" si="20"/>
        <v>(0)</v>
      </c>
      <c r="AE66" s="3" t="str">
        <f t="shared" si="21"/>
        <v/>
      </c>
      <c r="AF66" s="3" t="str">
        <f t="shared" si="22"/>
        <v/>
      </c>
      <c r="AG66" s="3" t="str">
        <f t="shared" si="23"/>
        <v/>
      </c>
      <c r="AH66" s="3" t="str">
        <f t="shared" si="24"/>
        <v/>
      </c>
    </row>
    <row r="67" spans="2:34" x14ac:dyDescent="0.25">
      <c r="B67" s="3" t="s">
        <v>276</v>
      </c>
      <c r="C67" s="3" t="s">
        <v>289</v>
      </c>
      <c r="D67" s="3" t="s">
        <v>0</v>
      </c>
      <c r="E67" s="3" t="s">
        <v>175</v>
      </c>
      <c r="F67" s="3" t="s">
        <v>278</v>
      </c>
      <c r="G67" s="3" t="s">
        <v>279</v>
      </c>
      <c r="H67" s="3" t="s">
        <v>290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222</v>
      </c>
      <c r="N67" s="3" t="s">
        <v>281</v>
      </c>
      <c r="O67" s="3" t="s">
        <v>291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16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7"/>
        <v/>
      </c>
      <c r="AB67" s="3" t="str">
        <f t="shared" si="18"/>
        <v/>
      </c>
      <c r="AC67" s="3" t="str">
        <f t="shared" si="19"/>
        <v/>
      </c>
      <c r="AD67" s="3" t="str">
        <f t="shared" si="20"/>
        <v>(0)</v>
      </c>
      <c r="AE67" s="3" t="str">
        <f t="shared" si="21"/>
        <v/>
      </c>
      <c r="AF67" s="3" t="str">
        <f t="shared" si="22"/>
        <v/>
      </c>
      <c r="AG67" s="3" t="str">
        <f t="shared" si="23"/>
        <v/>
      </c>
      <c r="AH67" s="3" t="str">
        <f t="shared" si="24"/>
        <v/>
      </c>
    </row>
    <row r="68" spans="2:34" x14ac:dyDescent="0.25">
      <c r="B68" s="3" t="s">
        <v>292</v>
      </c>
      <c r="C68" s="3" t="s">
        <v>293</v>
      </c>
      <c r="D68" s="3" t="s">
        <v>1</v>
      </c>
      <c r="E68" s="3" t="s">
        <v>134</v>
      </c>
      <c r="F68" s="3" t="s">
        <v>294</v>
      </c>
      <c r="G68" s="3" t="s">
        <v>295</v>
      </c>
      <c r="H68" s="3" t="s">
        <v>296</v>
      </c>
      <c r="I68" s="3" t="s">
        <v>42</v>
      </c>
      <c r="J68" s="3">
        <v>1</v>
      </c>
      <c r="K68" s="9" t="s">
        <v>82</v>
      </c>
      <c r="L68" s="9" t="s">
        <v>82</v>
      </c>
      <c r="M68" s="3" t="s">
        <v>222</v>
      </c>
      <c r="N68" s="3" t="s">
        <v>297</v>
      </c>
      <c r="O68" s="3" t="s">
        <v>298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si="0"/>
        <v>0F8</v>
      </c>
      <c r="U68" s="3">
        <f t="shared" si="16"/>
        <v>62</v>
      </c>
      <c r="V68" s="3" t="str">
        <f t="shared" si="1"/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7"/>
        <v/>
      </c>
      <c r="AB68" s="3" t="str">
        <f t="shared" si="18"/>
        <v/>
      </c>
      <c r="AC68" s="3" t="str">
        <f t="shared" si="19"/>
        <v/>
      </c>
      <c r="AD68" s="3" t="str">
        <f t="shared" si="20"/>
        <v>(0)</v>
      </c>
      <c r="AE68" s="3" t="str">
        <f t="shared" si="21"/>
        <v/>
      </c>
      <c r="AF68" s="3" t="str">
        <f t="shared" si="22"/>
        <v/>
      </c>
      <c r="AG68" s="3" t="str">
        <f t="shared" si="23"/>
        <v/>
      </c>
      <c r="AH68" s="3" t="str">
        <f t="shared" si="24"/>
        <v/>
      </c>
    </row>
    <row r="69" spans="2:34" x14ac:dyDescent="0.25">
      <c r="B69" s="3" t="s">
        <v>292</v>
      </c>
      <c r="C69" s="3" t="s">
        <v>299</v>
      </c>
      <c r="D69" s="3" t="s">
        <v>1</v>
      </c>
      <c r="E69" s="3" t="s">
        <v>134</v>
      </c>
      <c r="F69" s="3" t="s">
        <v>294</v>
      </c>
      <c r="G69" s="3" t="s">
        <v>295</v>
      </c>
      <c r="H69" s="3" t="s">
        <v>300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222</v>
      </c>
      <c r="N69" s="3" t="s">
        <v>297</v>
      </c>
      <c r="O69" s="3" t="s">
        <v>301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0"/>
        <v>0FC</v>
      </c>
      <c r="U69" s="3">
        <f t="shared" si="16"/>
        <v>63</v>
      </c>
      <c r="V69" s="3" t="str">
        <f t="shared" si="1"/>
        <v>3F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7"/>
        <v/>
      </c>
      <c r="AB69" s="3" t="str">
        <f t="shared" si="18"/>
        <v/>
      </c>
      <c r="AC69" s="3" t="str">
        <f t="shared" si="19"/>
        <v/>
      </c>
      <c r="AD69" s="3" t="str">
        <f t="shared" si="20"/>
        <v>(0)</v>
      </c>
      <c r="AE69" s="3" t="str">
        <f t="shared" si="21"/>
        <v/>
      </c>
      <c r="AF69" s="3" t="str">
        <f t="shared" si="22"/>
        <v/>
      </c>
      <c r="AG69" s="3" t="str">
        <f t="shared" si="23"/>
        <v/>
      </c>
      <c r="AH69" s="3" t="str">
        <f t="shared" si="24"/>
        <v/>
      </c>
    </row>
    <row r="70" spans="2:34" x14ac:dyDescent="0.25">
      <c r="B70" s="3" t="s">
        <v>292</v>
      </c>
      <c r="C70" s="3" t="s">
        <v>302</v>
      </c>
      <c r="D70" s="3" t="s">
        <v>1</v>
      </c>
      <c r="E70" s="3" t="s">
        <v>134</v>
      </c>
      <c r="F70" s="3" t="s">
        <v>294</v>
      </c>
      <c r="G70" s="3" t="s">
        <v>295</v>
      </c>
      <c r="H70" s="3" t="s">
        <v>303</v>
      </c>
      <c r="I70" s="3" t="s">
        <v>42</v>
      </c>
      <c r="J70" s="3">
        <v>1</v>
      </c>
      <c r="K70" s="9" t="s">
        <v>82</v>
      </c>
      <c r="L70" s="9" t="s">
        <v>82</v>
      </c>
      <c r="M70" s="3" t="s">
        <v>222</v>
      </c>
      <c r="N70" s="3" t="s">
        <v>297</v>
      </c>
      <c r="O70" s="3" t="s">
        <v>304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0"/>
        <v>100</v>
      </c>
      <c r="U70" s="3">
        <f t="shared" si="16"/>
        <v>64</v>
      </c>
      <c r="V70" s="3" t="str">
        <f t="shared" si="1"/>
        <v>40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17"/>
        <v/>
      </c>
      <c r="AB70" s="3" t="str">
        <f t="shared" si="18"/>
        <v/>
      </c>
      <c r="AC70" s="3" t="str">
        <f t="shared" si="19"/>
        <v/>
      </c>
      <c r="AD70" s="3" t="str">
        <f t="shared" si="20"/>
        <v>(0)</v>
      </c>
      <c r="AE70" s="3" t="str">
        <f t="shared" si="21"/>
        <v/>
      </c>
      <c r="AF70" s="3" t="str">
        <f t="shared" si="22"/>
        <v/>
      </c>
      <c r="AG70" s="3" t="str">
        <f t="shared" si="23"/>
        <v/>
      </c>
      <c r="AH70" s="3" t="str">
        <f t="shared" si="24"/>
        <v/>
      </c>
    </row>
    <row r="71" spans="2:34" x14ac:dyDescent="0.25">
      <c r="B71" s="3" t="s">
        <v>292</v>
      </c>
      <c r="C71" s="3" t="s">
        <v>305</v>
      </c>
      <c r="D71" s="3" t="s">
        <v>1</v>
      </c>
      <c r="E71" s="3" t="s">
        <v>134</v>
      </c>
      <c r="F71" s="3" t="s">
        <v>294</v>
      </c>
      <c r="G71" s="3" t="s">
        <v>295</v>
      </c>
      <c r="H71" s="3" t="s">
        <v>306</v>
      </c>
      <c r="I71" s="3" t="s">
        <v>42</v>
      </c>
      <c r="J71" s="3">
        <v>1</v>
      </c>
      <c r="K71" s="9" t="s">
        <v>82</v>
      </c>
      <c r="L71" s="9" t="s">
        <v>82</v>
      </c>
      <c r="M71" s="3" t="s">
        <v>222</v>
      </c>
      <c r="N71" s="3" t="s">
        <v>297</v>
      </c>
      <c r="O71" s="3" t="s">
        <v>307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0"/>
        <v>104</v>
      </c>
      <c r="U71" s="3">
        <f t="shared" ref="U71:U134" si="25">ROUNDDOWN(S71/4,0)</f>
        <v>65</v>
      </c>
      <c r="V71" s="3" t="str">
        <f t="shared" si="1"/>
        <v>41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ref="AA71:AA134" si="26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34" si="27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34" si="28">IF(Y71="","",CONCATENATE("(",IF(($J71-COUNTIF($Z71,"X")*8)=1,"8)",CONCATENATE(IF(($J71-COUNTIF($Z71,"X")*8)&gt;=8,16,($J71-COUNTIF($Z71,"X")*8)+8)-1," downto 8)"))))</f>
        <v/>
      </c>
      <c r="AD71" s="3" t="str">
        <f t="shared" ref="AD71:AD134" si="29">IF(Z71="","",CONCATENATE("(",IF($J71=1,"0)",CONCATENATE(IF($J71&gt;=8,8,$J71)-1," downto 0)"))))</f>
        <v>(0)</v>
      </c>
      <c r="AE71" s="3" t="str">
        <f t="shared" ref="AE71:AE134" si="30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34" si="31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34" si="32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34" si="33">IF(Z71="","",IF($J71&lt;=8,"",CONCATENATE("(",IF($J71&gt;=8,7,$J71-1)," downto ",0,")")))</f>
        <v/>
      </c>
    </row>
    <row r="72" spans="2:34" x14ac:dyDescent="0.25">
      <c r="B72" s="3" t="s">
        <v>308</v>
      </c>
      <c r="C72" s="3" t="s">
        <v>309</v>
      </c>
      <c r="D72" s="3" t="s">
        <v>0</v>
      </c>
      <c r="E72" s="3" t="s">
        <v>175</v>
      </c>
      <c r="F72" s="3" t="s">
        <v>310</v>
      </c>
      <c r="G72" s="3" t="s">
        <v>311</v>
      </c>
      <c r="H72" s="3" t="s">
        <v>312</v>
      </c>
      <c r="I72" s="3" t="s">
        <v>42</v>
      </c>
      <c r="J72" s="3">
        <v>32</v>
      </c>
      <c r="K72" s="9" t="s">
        <v>41</v>
      </c>
      <c r="L72" s="9" t="s">
        <v>41</v>
      </c>
      <c r="M72" s="3" t="s">
        <v>222</v>
      </c>
      <c r="N72" s="3" t="s">
        <v>313</v>
      </c>
      <c r="O72" s="3" t="s">
        <v>314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0"/>
        <v>108</v>
      </c>
      <c r="U72" s="3">
        <f t="shared" si="25"/>
        <v>66</v>
      </c>
      <c r="V72" s="3" t="str">
        <f t="shared" si="1"/>
        <v>42</v>
      </c>
      <c r="W72" s="3" t="str">
        <f t="shared" si="11"/>
        <v>X</v>
      </c>
      <c r="X72" s="3" t="str">
        <f t="shared" si="12"/>
        <v>X</v>
      </c>
      <c r="Y72" s="3" t="str">
        <f t="shared" si="13"/>
        <v>X</v>
      </c>
      <c r="Z72" s="3" t="str">
        <f t="shared" si="14"/>
        <v>X</v>
      </c>
      <c r="AA72" s="3" t="str">
        <f t="shared" si="26"/>
        <v>(31 downto 24)</v>
      </c>
      <c r="AB72" s="3" t="str">
        <f t="shared" si="27"/>
        <v>(23 downto 16)</v>
      </c>
      <c r="AC72" s="3" t="str">
        <f t="shared" si="28"/>
        <v>(15 downto 8)</v>
      </c>
      <c r="AD72" s="3" t="str">
        <f t="shared" si="29"/>
        <v>(7 downto 0)</v>
      </c>
      <c r="AE72" s="3" t="str">
        <f t="shared" si="30"/>
        <v>(31 downto 24)</v>
      </c>
      <c r="AF72" s="3" t="str">
        <f t="shared" si="31"/>
        <v>(23 downto 16)</v>
      </c>
      <c r="AG72" s="3" t="str">
        <f t="shared" si="32"/>
        <v>(15 downto 8)</v>
      </c>
      <c r="AH72" s="3" t="str">
        <f t="shared" si="33"/>
        <v>(7 downto 0)</v>
      </c>
    </row>
    <row r="73" spans="2:34" x14ac:dyDescent="0.25">
      <c r="B73" s="3" t="s">
        <v>315</v>
      </c>
      <c r="C73" s="3" t="s">
        <v>316</v>
      </c>
      <c r="D73" s="3" t="s">
        <v>1</v>
      </c>
      <c r="E73" s="3" t="s">
        <v>134</v>
      </c>
      <c r="F73" s="3" t="s">
        <v>317</v>
      </c>
      <c r="G73" s="3" t="s">
        <v>318</v>
      </c>
      <c r="H73" s="3" t="s">
        <v>319</v>
      </c>
      <c r="I73" s="3" t="s">
        <v>42</v>
      </c>
      <c r="J73" s="3">
        <v>32</v>
      </c>
      <c r="K73" s="9" t="s">
        <v>130</v>
      </c>
      <c r="L73" s="9" t="s">
        <v>41</v>
      </c>
      <c r="M73" s="3" t="s">
        <v>320</v>
      </c>
      <c r="N73" s="3" t="s">
        <v>321</v>
      </c>
      <c r="O73" s="3" t="s">
        <v>322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0"/>
        <v>10C</v>
      </c>
      <c r="U73" s="3">
        <f t="shared" si="25"/>
        <v>67</v>
      </c>
      <c r="V73" s="3" t="str">
        <f t="shared" si="1"/>
        <v>43</v>
      </c>
      <c r="W73" s="3" t="str">
        <f t="shared" si="11"/>
        <v>X</v>
      </c>
      <c r="X73" s="3" t="str">
        <f t="shared" si="12"/>
        <v>X</v>
      </c>
      <c r="Y73" s="3" t="str">
        <f t="shared" si="13"/>
        <v>X</v>
      </c>
      <c r="Z73" s="3" t="str">
        <f t="shared" si="14"/>
        <v>X</v>
      </c>
      <c r="AA73" s="3" t="str">
        <f t="shared" si="26"/>
        <v>(31 downto 24)</v>
      </c>
      <c r="AB73" s="3" t="str">
        <f t="shared" si="27"/>
        <v>(23 downto 16)</v>
      </c>
      <c r="AC73" s="3" t="str">
        <f t="shared" si="28"/>
        <v>(15 downto 8)</v>
      </c>
      <c r="AD73" s="3" t="str">
        <f t="shared" si="29"/>
        <v>(7 downto 0)</v>
      </c>
      <c r="AE73" s="3" t="str">
        <f t="shared" si="30"/>
        <v>(31 downto 24)</v>
      </c>
      <c r="AF73" s="3" t="str">
        <f t="shared" si="31"/>
        <v>(23 downto 16)</v>
      </c>
      <c r="AG73" s="3" t="str">
        <f t="shared" si="32"/>
        <v>(15 downto 8)</v>
      </c>
      <c r="AH73" s="3" t="str">
        <f t="shared" si="33"/>
        <v>(7 downto 0)</v>
      </c>
    </row>
    <row r="74" spans="2:34" x14ac:dyDescent="0.25">
      <c r="B74" s="3" t="s">
        <v>1640</v>
      </c>
      <c r="C74" s="3" t="s">
        <v>1641</v>
      </c>
      <c r="D74" s="3" t="s">
        <v>1</v>
      </c>
      <c r="E74" s="3" t="s">
        <v>134</v>
      </c>
      <c r="F74" s="3" t="s">
        <v>1642</v>
      </c>
      <c r="G74" s="3" t="s">
        <v>1643</v>
      </c>
      <c r="H74" s="3" t="s">
        <v>1644</v>
      </c>
      <c r="I74" s="3" t="s">
        <v>42</v>
      </c>
      <c r="J74" s="3">
        <v>1</v>
      </c>
      <c r="K74" s="9" t="s">
        <v>82</v>
      </c>
      <c r="L74" s="9" t="s">
        <v>41</v>
      </c>
      <c r="M74" s="3" t="s">
        <v>320</v>
      </c>
      <c r="N74" s="3" t="s">
        <v>1645</v>
      </c>
      <c r="O74" s="3" t="s">
        <v>1646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272</v>
      </c>
      <c r="T74" s="3" t="str">
        <f t="shared" si="0"/>
        <v>110</v>
      </c>
      <c r="U74" s="3">
        <f t="shared" si="25"/>
        <v>68</v>
      </c>
      <c r="V74" s="3" t="str">
        <f t="shared" si="1"/>
        <v>44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6"/>
        <v/>
      </c>
      <c r="AB74" s="3" t="str">
        <f t="shared" si="27"/>
        <v/>
      </c>
      <c r="AC74" s="3" t="str">
        <f t="shared" si="28"/>
        <v/>
      </c>
      <c r="AD74" s="3" t="str">
        <f t="shared" si="29"/>
        <v>(0)</v>
      </c>
      <c r="AE74" s="3" t="str">
        <f t="shared" si="30"/>
        <v/>
      </c>
      <c r="AF74" s="3" t="str">
        <f t="shared" si="31"/>
        <v/>
      </c>
      <c r="AG74" s="3" t="str">
        <f t="shared" si="32"/>
        <v/>
      </c>
      <c r="AH74" s="3" t="str">
        <f t="shared" si="33"/>
        <v/>
      </c>
    </row>
    <row r="75" spans="2:34" x14ac:dyDescent="0.25">
      <c r="B75" s="3" t="s">
        <v>1640</v>
      </c>
      <c r="C75" s="3" t="s">
        <v>1647</v>
      </c>
      <c r="D75" s="3" t="s">
        <v>1</v>
      </c>
      <c r="E75" s="3" t="s">
        <v>134</v>
      </c>
      <c r="F75" s="3" t="s">
        <v>1642</v>
      </c>
      <c r="G75" s="3" t="s">
        <v>1643</v>
      </c>
      <c r="H75" s="3" t="s">
        <v>1648</v>
      </c>
      <c r="I75" s="3" t="s">
        <v>42</v>
      </c>
      <c r="J75" s="3">
        <v>1</v>
      </c>
      <c r="K75" s="9" t="s">
        <v>82</v>
      </c>
      <c r="L75" s="9" t="s">
        <v>41</v>
      </c>
      <c r="M75" s="3" t="s">
        <v>320</v>
      </c>
      <c r="N75" s="3" t="s">
        <v>1645</v>
      </c>
      <c r="O75" s="3" t="s">
        <v>1649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276</v>
      </c>
      <c r="T75" s="3" t="str">
        <f t="shared" si="0"/>
        <v>114</v>
      </c>
      <c r="U75" s="3">
        <f t="shared" si="25"/>
        <v>69</v>
      </c>
      <c r="V75" s="3" t="str">
        <f t="shared" si="1"/>
        <v>45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6"/>
        <v/>
      </c>
      <c r="AB75" s="3" t="str">
        <f t="shared" si="27"/>
        <v/>
      </c>
      <c r="AC75" s="3" t="str">
        <f t="shared" si="28"/>
        <v/>
      </c>
      <c r="AD75" s="3" t="str">
        <f t="shared" si="29"/>
        <v>(0)</v>
      </c>
      <c r="AE75" s="3" t="str">
        <f t="shared" si="30"/>
        <v/>
      </c>
      <c r="AF75" s="3" t="str">
        <f t="shared" si="31"/>
        <v/>
      </c>
      <c r="AG75" s="3" t="str">
        <f t="shared" si="32"/>
        <v/>
      </c>
      <c r="AH75" s="3" t="str">
        <f t="shared" si="33"/>
        <v/>
      </c>
    </row>
    <row r="76" spans="2:34" x14ac:dyDescent="0.25">
      <c r="B76" s="3" t="s">
        <v>323</v>
      </c>
      <c r="C76" s="3" t="s">
        <v>2215</v>
      </c>
      <c r="D76" s="3" t="s">
        <v>1</v>
      </c>
      <c r="E76" s="3" t="s">
        <v>134</v>
      </c>
      <c r="F76" s="3" t="s">
        <v>325</v>
      </c>
      <c r="G76" s="3" t="s">
        <v>326</v>
      </c>
      <c r="H76" s="3" t="s">
        <v>2216</v>
      </c>
      <c r="I76" s="3" t="s">
        <v>42</v>
      </c>
      <c r="J76" s="3">
        <v>1</v>
      </c>
      <c r="K76" s="9" t="s">
        <v>129</v>
      </c>
      <c r="L76" s="9" t="s">
        <v>41</v>
      </c>
      <c r="M76" s="3" t="s">
        <v>320</v>
      </c>
      <c r="N76" s="3" t="s">
        <v>329</v>
      </c>
      <c r="O76" s="3" t="s">
        <v>206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280</v>
      </c>
      <c r="T76" s="3" t="str">
        <f t="shared" si="0"/>
        <v>118</v>
      </c>
      <c r="U76" s="3">
        <f t="shared" si="25"/>
        <v>70</v>
      </c>
      <c r="V76" s="3" t="str">
        <f t="shared" si="1"/>
        <v>46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6"/>
        <v/>
      </c>
      <c r="AB76" s="3" t="str">
        <f t="shared" si="27"/>
        <v/>
      </c>
      <c r="AC76" s="3" t="str">
        <f t="shared" si="28"/>
        <v/>
      </c>
      <c r="AD76" s="3" t="str">
        <f t="shared" si="29"/>
        <v>(0)</v>
      </c>
      <c r="AE76" s="3" t="str">
        <f t="shared" si="30"/>
        <v/>
      </c>
      <c r="AF76" s="3" t="str">
        <f t="shared" si="31"/>
        <v/>
      </c>
      <c r="AG76" s="3" t="str">
        <f t="shared" si="32"/>
        <v/>
      </c>
      <c r="AH76" s="3" t="str">
        <f t="shared" si="33"/>
        <v/>
      </c>
    </row>
    <row r="77" spans="2:34" x14ac:dyDescent="0.25">
      <c r="B77" s="3" t="s">
        <v>323</v>
      </c>
      <c r="C77" s="3" t="s">
        <v>324</v>
      </c>
      <c r="D77" s="3" t="s">
        <v>1</v>
      </c>
      <c r="E77" s="3" t="s">
        <v>134</v>
      </c>
      <c r="F77" s="3" t="s">
        <v>325</v>
      </c>
      <c r="G77" s="3" t="s">
        <v>326</v>
      </c>
      <c r="H77" s="3" t="s">
        <v>327</v>
      </c>
      <c r="I77" s="3" t="s">
        <v>42</v>
      </c>
      <c r="J77" s="3">
        <v>8</v>
      </c>
      <c r="K77" s="9" t="s">
        <v>328</v>
      </c>
      <c r="L77" s="9" t="s">
        <v>41</v>
      </c>
      <c r="M77" s="3" t="s">
        <v>320</v>
      </c>
      <c r="N77" s="3" t="s">
        <v>329</v>
      </c>
      <c r="O77" s="3" t="s">
        <v>330</v>
      </c>
      <c r="P77" s="3" t="s">
        <v>48</v>
      </c>
      <c r="Q77" s="3">
        <f>INDEX(Tables!$C$4:$C$28,MATCH($P77,Tables!$B$4:$B$28,0))</f>
        <v>8</v>
      </c>
      <c r="R77" s="3">
        <f>INDEX(Tables!$D$4:$D$28,MATCH($P77,Tables!$B$4:$B$28,0))</f>
        <v>1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284</v>
      </c>
      <c r="T77" s="3" t="str">
        <f t="shared" si="0"/>
        <v>11C</v>
      </c>
      <c r="U77" s="3">
        <f t="shared" si="25"/>
        <v>71</v>
      </c>
      <c r="V77" s="3" t="str">
        <f t="shared" si="1"/>
        <v>47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6"/>
        <v/>
      </c>
      <c r="AB77" s="3" t="str">
        <f t="shared" si="27"/>
        <v/>
      </c>
      <c r="AC77" s="3" t="str">
        <f t="shared" si="28"/>
        <v/>
      </c>
      <c r="AD77" s="3" t="str">
        <f t="shared" si="29"/>
        <v>(7 downto 0)</v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33"/>
        <v/>
      </c>
    </row>
    <row r="78" spans="2:34" x14ac:dyDescent="0.25">
      <c r="B78" s="3" t="s">
        <v>323</v>
      </c>
      <c r="C78" s="3" t="s">
        <v>331</v>
      </c>
      <c r="D78" s="3" t="s">
        <v>1</v>
      </c>
      <c r="E78" s="3" t="s">
        <v>134</v>
      </c>
      <c r="F78" s="3" t="s">
        <v>325</v>
      </c>
      <c r="G78" s="3" t="s">
        <v>326</v>
      </c>
      <c r="H78" s="3" t="s">
        <v>332</v>
      </c>
      <c r="I78" s="3" t="s">
        <v>42</v>
      </c>
      <c r="J78" s="3">
        <v>8</v>
      </c>
      <c r="K78" s="9" t="s">
        <v>333</v>
      </c>
      <c r="L78" s="9" t="s">
        <v>41</v>
      </c>
      <c r="M78" s="3" t="s">
        <v>320</v>
      </c>
      <c r="N78" s="3" t="s">
        <v>329</v>
      </c>
      <c r="O78" s="3" t="s">
        <v>334</v>
      </c>
      <c r="P78" s="3" t="s">
        <v>48</v>
      </c>
      <c r="Q78" s="3">
        <f>INDEX(Tables!$C$4:$C$28,MATCH($P78,Tables!$B$4:$B$28,0))</f>
        <v>8</v>
      </c>
      <c r="R78" s="3">
        <f>INDEX(Tables!$D$4:$D$28,MATCH($P78,Tables!$B$4:$B$28,0))</f>
        <v>1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285</v>
      </c>
      <c r="T78" s="3" t="str">
        <f t="shared" si="0"/>
        <v>11D</v>
      </c>
      <c r="U78" s="3">
        <f t="shared" si="25"/>
        <v>71</v>
      </c>
      <c r="V78" s="3" t="str">
        <f t="shared" si="1"/>
        <v>47</v>
      </c>
      <c r="W78" s="3" t="str">
        <f t="shared" si="11"/>
        <v/>
      </c>
      <c r="X78" s="3" t="str">
        <f t="shared" si="12"/>
        <v/>
      </c>
      <c r="Y78" s="3" t="str">
        <f t="shared" si="13"/>
        <v>X</v>
      </c>
      <c r="Z78" s="3" t="str">
        <f t="shared" si="14"/>
        <v/>
      </c>
      <c r="AA78" s="3" t="str">
        <f t="shared" si="26"/>
        <v/>
      </c>
      <c r="AB78" s="3" t="str">
        <f t="shared" si="27"/>
        <v/>
      </c>
      <c r="AC78" s="3" t="str">
        <f t="shared" si="28"/>
        <v>(15 downto 8)</v>
      </c>
      <c r="AD78" s="3" t="str">
        <f t="shared" si="29"/>
        <v/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33"/>
        <v/>
      </c>
    </row>
    <row r="79" spans="2:34" x14ac:dyDescent="0.25">
      <c r="B79" s="3" t="s">
        <v>335</v>
      </c>
      <c r="C79" s="3" t="s">
        <v>336</v>
      </c>
      <c r="D79" s="3" t="s">
        <v>0</v>
      </c>
      <c r="E79" s="3" t="s">
        <v>175</v>
      </c>
      <c r="F79" s="3" t="s">
        <v>337</v>
      </c>
      <c r="G79" s="3" t="s">
        <v>338</v>
      </c>
      <c r="H79" s="3" t="s">
        <v>339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320</v>
      </c>
      <c r="N79" s="3" t="s">
        <v>340</v>
      </c>
      <c r="O79" s="3" t="s">
        <v>341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ref="T79:T142" si="34">DEC2HEX($S79,3)</f>
        <v>120</v>
      </c>
      <c r="U79" s="3">
        <f t="shared" si="25"/>
        <v>72</v>
      </c>
      <c r="V79" s="3" t="str">
        <f t="shared" ref="V79:V142" si="35">DEC2HEX($U79,2)</f>
        <v>48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26"/>
        <v/>
      </c>
      <c r="AB79" s="3" t="str">
        <f t="shared" si="27"/>
        <v/>
      </c>
      <c r="AC79" s="3" t="str">
        <f t="shared" si="28"/>
        <v/>
      </c>
      <c r="AD79" s="3" t="str">
        <f t="shared" si="29"/>
        <v>(0)</v>
      </c>
      <c r="AE79" s="3" t="str">
        <f t="shared" si="30"/>
        <v/>
      </c>
      <c r="AF79" s="3" t="str">
        <f t="shared" si="31"/>
        <v/>
      </c>
      <c r="AG79" s="3" t="str">
        <f t="shared" si="32"/>
        <v/>
      </c>
      <c r="AH79" s="3" t="str">
        <f t="shared" si="33"/>
        <v/>
      </c>
    </row>
    <row r="80" spans="2:34" x14ac:dyDescent="0.25">
      <c r="B80" s="3" t="s">
        <v>335</v>
      </c>
      <c r="C80" s="3" t="s">
        <v>342</v>
      </c>
      <c r="D80" s="3" t="s">
        <v>0</v>
      </c>
      <c r="E80" s="3" t="s">
        <v>175</v>
      </c>
      <c r="F80" s="3" t="s">
        <v>337</v>
      </c>
      <c r="G80" s="3" t="s">
        <v>338</v>
      </c>
      <c r="H80" s="3" t="s">
        <v>343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320</v>
      </c>
      <c r="N80" s="3" t="s">
        <v>340</v>
      </c>
      <c r="O80" s="3" t="s">
        <v>344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34"/>
        <v>124</v>
      </c>
      <c r="U80" s="3">
        <f t="shared" si="25"/>
        <v>73</v>
      </c>
      <c r="V80" s="3" t="str">
        <f t="shared" si="35"/>
        <v>49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26"/>
        <v/>
      </c>
      <c r="AB80" s="3" t="str">
        <f t="shared" si="27"/>
        <v/>
      </c>
      <c r="AC80" s="3" t="str">
        <f t="shared" si="28"/>
        <v/>
      </c>
      <c r="AD80" s="3" t="str">
        <f t="shared" si="29"/>
        <v>(0)</v>
      </c>
      <c r="AE80" s="3" t="str">
        <f t="shared" si="30"/>
        <v/>
      </c>
      <c r="AF80" s="3" t="str">
        <f t="shared" si="31"/>
        <v/>
      </c>
      <c r="AG80" s="3" t="str">
        <f t="shared" si="32"/>
        <v/>
      </c>
      <c r="AH80" s="3" t="str">
        <f t="shared" si="33"/>
        <v/>
      </c>
    </row>
    <row r="81" spans="1:34" x14ac:dyDescent="0.25">
      <c r="B81" s="3" t="s">
        <v>335</v>
      </c>
      <c r="C81" s="3" t="s">
        <v>345</v>
      </c>
      <c r="D81" s="3" t="s">
        <v>0</v>
      </c>
      <c r="E81" s="3" t="s">
        <v>175</v>
      </c>
      <c r="F81" s="3" t="s">
        <v>337</v>
      </c>
      <c r="G81" s="3" t="s">
        <v>338</v>
      </c>
      <c r="H81" s="3" t="s">
        <v>346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320</v>
      </c>
      <c r="N81" s="3" t="s">
        <v>340</v>
      </c>
      <c r="O81" s="3" t="s">
        <v>347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34"/>
        <v>128</v>
      </c>
      <c r="U81" s="3">
        <f t="shared" si="25"/>
        <v>74</v>
      </c>
      <c r="V81" s="3" t="str">
        <f t="shared" si="35"/>
        <v>4A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26"/>
        <v/>
      </c>
      <c r="AB81" s="3" t="str">
        <f t="shared" si="27"/>
        <v/>
      </c>
      <c r="AC81" s="3" t="str">
        <f t="shared" si="28"/>
        <v/>
      </c>
      <c r="AD81" s="3" t="str">
        <f t="shared" si="29"/>
        <v>(0)</v>
      </c>
      <c r="AE81" s="3" t="str">
        <f t="shared" si="30"/>
        <v/>
      </c>
      <c r="AF81" s="3" t="str">
        <f t="shared" si="31"/>
        <v/>
      </c>
      <c r="AG81" s="3" t="str">
        <f t="shared" si="32"/>
        <v/>
      </c>
      <c r="AH81" s="3" t="str">
        <f t="shared" si="33"/>
        <v/>
      </c>
    </row>
    <row r="82" spans="1:34" x14ac:dyDescent="0.25">
      <c r="A82" s="18"/>
      <c r="B82" s="3" t="s">
        <v>335</v>
      </c>
      <c r="C82" s="3" t="s">
        <v>348</v>
      </c>
      <c r="D82" s="3" t="s">
        <v>0</v>
      </c>
      <c r="E82" s="3" t="s">
        <v>175</v>
      </c>
      <c r="F82" s="3" t="s">
        <v>337</v>
      </c>
      <c r="G82" s="3" t="s">
        <v>338</v>
      </c>
      <c r="H82" s="3" t="s">
        <v>349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320</v>
      </c>
      <c r="N82" s="3" t="s">
        <v>340</v>
      </c>
      <c r="O82" s="3" t="s">
        <v>350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34"/>
        <v>12C</v>
      </c>
      <c r="U82" s="3">
        <f t="shared" si="25"/>
        <v>75</v>
      </c>
      <c r="V82" s="3" t="str">
        <f t="shared" si="35"/>
        <v>4B</v>
      </c>
      <c r="W82" s="3" t="str">
        <f t="shared" ref="W82:W145" si="36">IF(MOD($S82,4)=3,"X",IF(AND(MOD($S82,4)=2,$J82&gt;8),"X",IF(AND(MOD($S82,4)=1,$J82&gt;16),"X",IF(AND(MOD($S82,4)=0,$J82&gt;24),"X",""))))</f>
        <v/>
      </c>
      <c r="X82" s="3" t="str">
        <f t="shared" ref="X82:X145" si="37">IF(MOD($S82,4)=2,"X",IF(AND(MOD($S82,4)=1,$J82&gt;8),"X",IF(AND(MOD($S82,4)=0,$J82&gt;16),"X","")))</f>
        <v/>
      </c>
      <c r="Y82" s="3" t="str">
        <f t="shared" ref="Y82:Y145" si="38">IF(MOD($S82,4)=1,"X",IF(AND(MOD($S82,4)=0,$J82&gt;8),"X",""))</f>
        <v/>
      </c>
      <c r="Z82" s="3" t="str">
        <f t="shared" ref="Z82:Z145" si="39">IF(MOD($S82,4)=0,"X","")</f>
        <v>X</v>
      </c>
      <c r="AA82" s="3" t="str">
        <f t="shared" si="26"/>
        <v/>
      </c>
      <c r="AB82" s="3" t="str">
        <f t="shared" si="27"/>
        <v/>
      </c>
      <c r="AC82" s="3" t="str">
        <f t="shared" si="28"/>
        <v/>
      </c>
      <c r="AD82" s="3" t="str">
        <f t="shared" si="29"/>
        <v>(0)</v>
      </c>
      <c r="AE82" s="3" t="str">
        <f t="shared" si="30"/>
        <v/>
      </c>
      <c r="AF82" s="3" t="str">
        <f t="shared" si="31"/>
        <v/>
      </c>
      <c r="AG82" s="3" t="str">
        <f t="shared" si="32"/>
        <v/>
      </c>
      <c r="AH82" s="3" t="str">
        <f t="shared" si="33"/>
        <v/>
      </c>
    </row>
    <row r="83" spans="1:34" x14ac:dyDescent="0.25">
      <c r="B83" s="3" t="s">
        <v>335</v>
      </c>
      <c r="C83" s="3" t="s">
        <v>351</v>
      </c>
      <c r="D83" s="3" t="s">
        <v>0</v>
      </c>
      <c r="E83" s="3" t="s">
        <v>175</v>
      </c>
      <c r="F83" s="3" t="s">
        <v>337</v>
      </c>
      <c r="G83" s="3" t="s">
        <v>338</v>
      </c>
      <c r="H83" s="3" t="s">
        <v>352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320</v>
      </c>
      <c r="N83" s="3" t="s">
        <v>340</v>
      </c>
      <c r="O83" s="3" t="s">
        <v>353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34"/>
        <v>130</v>
      </c>
      <c r="U83" s="3">
        <f t="shared" si="25"/>
        <v>76</v>
      </c>
      <c r="V83" s="3" t="str">
        <f t="shared" si="35"/>
        <v>4C</v>
      </c>
      <c r="W83" s="3" t="str">
        <f t="shared" si="36"/>
        <v/>
      </c>
      <c r="X83" s="3" t="str">
        <f t="shared" si="37"/>
        <v/>
      </c>
      <c r="Y83" s="3" t="str">
        <f t="shared" si="38"/>
        <v/>
      </c>
      <c r="Z83" s="3" t="str">
        <f t="shared" si="39"/>
        <v>X</v>
      </c>
      <c r="AA83" s="3" t="str">
        <f t="shared" si="26"/>
        <v/>
      </c>
      <c r="AB83" s="3" t="str">
        <f t="shared" si="27"/>
        <v/>
      </c>
      <c r="AC83" s="3" t="str">
        <f t="shared" si="28"/>
        <v/>
      </c>
      <c r="AD83" s="3" t="str">
        <f t="shared" si="29"/>
        <v>(0)</v>
      </c>
      <c r="AE83" s="3" t="str">
        <f t="shared" si="30"/>
        <v/>
      </c>
      <c r="AF83" s="3" t="str">
        <f t="shared" si="31"/>
        <v/>
      </c>
      <c r="AG83" s="3" t="str">
        <f t="shared" si="32"/>
        <v/>
      </c>
      <c r="AH83" s="3" t="str">
        <f t="shared" si="33"/>
        <v/>
      </c>
    </row>
    <row r="84" spans="1:34" x14ac:dyDescent="0.25">
      <c r="B84" s="3" t="s">
        <v>335</v>
      </c>
      <c r="C84" s="3" t="s">
        <v>354</v>
      </c>
      <c r="D84" s="3" t="s">
        <v>0</v>
      </c>
      <c r="E84" s="3" t="s">
        <v>175</v>
      </c>
      <c r="F84" s="3" t="s">
        <v>337</v>
      </c>
      <c r="G84" s="3" t="s">
        <v>338</v>
      </c>
      <c r="H84" s="3" t="s">
        <v>355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320</v>
      </c>
      <c r="N84" s="3" t="s">
        <v>340</v>
      </c>
      <c r="O84" s="3" t="s">
        <v>356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34"/>
        <v>134</v>
      </c>
      <c r="U84" s="3">
        <f t="shared" si="25"/>
        <v>77</v>
      </c>
      <c r="V84" s="3" t="str">
        <f t="shared" si="35"/>
        <v>4D</v>
      </c>
      <c r="W84" s="3" t="str">
        <f t="shared" si="36"/>
        <v/>
      </c>
      <c r="X84" s="3" t="str">
        <f t="shared" si="37"/>
        <v/>
      </c>
      <c r="Y84" s="3" t="str">
        <f t="shared" si="38"/>
        <v/>
      </c>
      <c r="Z84" s="3" t="str">
        <f t="shared" si="39"/>
        <v>X</v>
      </c>
      <c r="AA84" s="3" t="str">
        <f t="shared" si="26"/>
        <v/>
      </c>
      <c r="AB84" s="3" t="str">
        <f t="shared" si="27"/>
        <v/>
      </c>
      <c r="AC84" s="3" t="str">
        <f t="shared" si="28"/>
        <v/>
      </c>
      <c r="AD84" s="3" t="str">
        <f t="shared" si="29"/>
        <v>(0)</v>
      </c>
      <c r="AE84" s="3" t="str">
        <f t="shared" si="30"/>
        <v/>
      </c>
      <c r="AF84" s="3" t="str">
        <f t="shared" si="31"/>
        <v/>
      </c>
      <c r="AG84" s="3" t="str">
        <f t="shared" si="32"/>
        <v/>
      </c>
      <c r="AH84" s="3" t="str">
        <f t="shared" si="33"/>
        <v/>
      </c>
    </row>
    <row r="85" spans="1:34" x14ac:dyDescent="0.25">
      <c r="B85" s="3" t="s">
        <v>335</v>
      </c>
      <c r="C85" s="3" t="s">
        <v>357</v>
      </c>
      <c r="D85" s="3" t="s">
        <v>0</v>
      </c>
      <c r="E85" s="3" t="s">
        <v>175</v>
      </c>
      <c r="F85" s="3" t="s">
        <v>337</v>
      </c>
      <c r="G85" s="3" t="s">
        <v>338</v>
      </c>
      <c r="H85" s="3" t="s">
        <v>358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320</v>
      </c>
      <c r="N85" s="3" t="s">
        <v>340</v>
      </c>
      <c r="O85" s="3" t="s">
        <v>359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34"/>
        <v>138</v>
      </c>
      <c r="U85" s="3">
        <f t="shared" si="25"/>
        <v>78</v>
      </c>
      <c r="V85" s="3" t="str">
        <f t="shared" si="35"/>
        <v>4E</v>
      </c>
      <c r="W85" s="3" t="str">
        <f t="shared" si="36"/>
        <v/>
      </c>
      <c r="X85" s="3" t="str">
        <f t="shared" si="37"/>
        <v/>
      </c>
      <c r="Y85" s="3" t="str">
        <f t="shared" si="38"/>
        <v/>
      </c>
      <c r="Z85" s="3" t="str">
        <f t="shared" si="39"/>
        <v>X</v>
      </c>
      <c r="AA85" s="3" t="str">
        <f t="shared" si="26"/>
        <v/>
      </c>
      <c r="AB85" s="3" t="str">
        <f t="shared" si="27"/>
        <v/>
      </c>
      <c r="AC85" s="3" t="str">
        <f t="shared" si="28"/>
        <v/>
      </c>
      <c r="AD85" s="3" t="str">
        <f t="shared" si="29"/>
        <v>(0)</v>
      </c>
      <c r="AE85" s="3" t="str">
        <f t="shared" si="30"/>
        <v/>
      </c>
      <c r="AF85" s="3" t="str">
        <f t="shared" si="31"/>
        <v/>
      </c>
      <c r="AG85" s="3" t="str">
        <f t="shared" si="32"/>
        <v/>
      </c>
      <c r="AH85" s="3" t="str">
        <f t="shared" si="33"/>
        <v/>
      </c>
    </row>
    <row r="86" spans="1:34" x14ac:dyDescent="0.25">
      <c r="B86" s="3" t="s">
        <v>335</v>
      </c>
      <c r="C86" s="3" t="s">
        <v>360</v>
      </c>
      <c r="D86" s="3" t="s">
        <v>0</v>
      </c>
      <c r="E86" s="3" t="s">
        <v>175</v>
      </c>
      <c r="F86" s="3" t="s">
        <v>337</v>
      </c>
      <c r="G86" s="3" t="s">
        <v>338</v>
      </c>
      <c r="H86" s="3" t="s">
        <v>361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320</v>
      </c>
      <c r="N86" s="3" t="s">
        <v>362</v>
      </c>
      <c r="O86" s="3" t="s">
        <v>363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34"/>
        <v>13C</v>
      </c>
      <c r="U86" s="3">
        <f t="shared" si="25"/>
        <v>79</v>
      </c>
      <c r="V86" s="3" t="str">
        <f t="shared" si="35"/>
        <v>4F</v>
      </c>
      <c r="W86" s="3" t="str">
        <f t="shared" si="36"/>
        <v/>
      </c>
      <c r="X86" s="3" t="str">
        <f t="shared" si="37"/>
        <v/>
      </c>
      <c r="Y86" s="3" t="str">
        <f t="shared" si="38"/>
        <v/>
      </c>
      <c r="Z86" s="3" t="str">
        <f t="shared" si="39"/>
        <v>X</v>
      </c>
      <c r="AA86" s="3" t="str">
        <f t="shared" si="26"/>
        <v/>
      </c>
      <c r="AB86" s="3" t="str">
        <f t="shared" si="27"/>
        <v/>
      </c>
      <c r="AC86" s="3" t="str">
        <f t="shared" si="28"/>
        <v/>
      </c>
      <c r="AD86" s="3" t="str">
        <f t="shared" si="29"/>
        <v>(0)</v>
      </c>
      <c r="AE86" s="3" t="str">
        <f t="shared" si="30"/>
        <v/>
      </c>
      <c r="AF86" s="3" t="str">
        <f t="shared" si="31"/>
        <v/>
      </c>
      <c r="AG86" s="3" t="str">
        <f t="shared" si="32"/>
        <v/>
      </c>
      <c r="AH86" s="3" t="str">
        <f t="shared" si="33"/>
        <v/>
      </c>
    </row>
    <row r="87" spans="1:34" x14ac:dyDescent="0.25">
      <c r="B87" s="3" t="s">
        <v>335</v>
      </c>
      <c r="C87" s="3" t="s">
        <v>364</v>
      </c>
      <c r="D87" s="3" t="s">
        <v>0</v>
      </c>
      <c r="E87" s="3" t="s">
        <v>175</v>
      </c>
      <c r="F87" s="3" t="s">
        <v>337</v>
      </c>
      <c r="G87" s="3" t="s">
        <v>338</v>
      </c>
      <c r="H87" s="3" t="s">
        <v>365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320</v>
      </c>
      <c r="N87" s="3" t="s">
        <v>362</v>
      </c>
      <c r="O87" s="3" t="s">
        <v>366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34"/>
        <v>140</v>
      </c>
      <c r="U87" s="3">
        <f t="shared" si="25"/>
        <v>80</v>
      </c>
      <c r="V87" s="3" t="str">
        <f t="shared" si="35"/>
        <v>50</v>
      </c>
      <c r="W87" s="3" t="str">
        <f t="shared" si="36"/>
        <v/>
      </c>
      <c r="X87" s="3" t="str">
        <f t="shared" si="37"/>
        <v/>
      </c>
      <c r="Y87" s="3" t="str">
        <f t="shared" si="38"/>
        <v/>
      </c>
      <c r="Z87" s="3" t="str">
        <f t="shared" si="39"/>
        <v>X</v>
      </c>
      <c r="AA87" s="3" t="str">
        <f t="shared" si="26"/>
        <v/>
      </c>
      <c r="AB87" s="3" t="str">
        <f t="shared" si="27"/>
        <v/>
      </c>
      <c r="AC87" s="3" t="str">
        <f t="shared" si="28"/>
        <v/>
      </c>
      <c r="AD87" s="3" t="str">
        <f t="shared" si="29"/>
        <v>(0)</v>
      </c>
      <c r="AE87" s="3" t="str">
        <f t="shared" si="30"/>
        <v/>
      </c>
      <c r="AF87" s="3" t="str">
        <f t="shared" si="31"/>
        <v/>
      </c>
      <c r="AG87" s="3" t="str">
        <f t="shared" si="32"/>
        <v/>
      </c>
      <c r="AH87" s="3" t="str">
        <f t="shared" si="33"/>
        <v/>
      </c>
    </row>
    <row r="88" spans="1:34" x14ac:dyDescent="0.25">
      <c r="B88" s="3" t="s">
        <v>335</v>
      </c>
      <c r="C88" s="3" t="s">
        <v>367</v>
      </c>
      <c r="D88" s="3" t="s">
        <v>0</v>
      </c>
      <c r="E88" s="3" t="s">
        <v>175</v>
      </c>
      <c r="F88" s="3" t="s">
        <v>337</v>
      </c>
      <c r="G88" s="3" t="s">
        <v>338</v>
      </c>
      <c r="H88" s="3" t="s">
        <v>368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320</v>
      </c>
      <c r="N88" s="3" t="s">
        <v>362</v>
      </c>
      <c r="O88" s="3" t="s">
        <v>369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34"/>
        <v>144</v>
      </c>
      <c r="U88" s="3">
        <f t="shared" si="25"/>
        <v>81</v>
      </c>
      <c r="V88" s="3" t="str">
        <f t="shared" si="35"/>
        <v>51</v>
      </c>
      <c r="W88" s="3" t="str">
        <f t="shared" si="36"/>
        <v/>
      </c>
      <c r="X88" s="3" t="str">
        <f t="shared" si="37"/>
        <v/>
      </c>
      <c r="Y88" s="3" t="str">
        <f t="shared" si="38"/>
        <v/>
      </c>
      <c r="Z88" s="3" t="str">
        <f t="shared" si="39"/>
        <v>X</v>
      </c>
      <c r="AA88" s="3" t="str">
        <f t="shared" si="26"/>
        <v/>
      </c>
      <c r="AB88" s="3" t="str">
        <f t="shared" si="27"/>
        <v/>
      </c>
      <c r="AC88" s="3" t="str">
        <f t="shared" si="28"/>
        <v/>
      </c>
      <c r="AD88" s="3" t="str">
        <f t="shared" si="29"/>
        <v>(0)</v>
      </c>
      <c r="AE88" s="3" t="str">
        <f t="shared" si="30"/>
        <v/>
      </c>
      <c r="AF88" s="3" t="str">
        <f t="shared" si="31"/>
        <v/>
      </c>
      <c r="AG88" s="3" t="str">
        <f t="shared" si="32"/>
        <v/>
      </c>
      <c r="AH88" s="3" t="str">
        <f t="shared" si="33"/>
        <v/>
      </c>
    </row>
    <row r="89" spans="1:34" x14ac:dyDescent="0.25">
      <c r="B89" s="3" t="s">
        <v>335</v>
      </c>
      <c r="C89" s="3" t="s">
        <v>370</v>
      </c>
      <c r="D89" s="3" t="s">
        <v>0</v>
      </c>
      <c r="E89" s="3" t="s">
        <v>175</v>
      </c>
      <c r="F89" s="3" t="s">
        <v>337</v>
      </c>
      <c r="G89" s="3" t="s">
        <v>338</v>
      </c>
      <c r="H89" s="3" t="s">
        <v>371</v>
      </c>
      <c r="I89" s="3" t="s">
        <v>42</v>
      </c>
      <c r="J89" s="3">
        <v>1</v>
      </c>
      <c r="K89" s="9" t="s">
        <v>41</v>
      </c>
      <c r="L89" s="9" t="s">
        <v>41</v>
      </c>
      <c r="M89" s="3" t="s">
        <v>320</v>
      </c>
      <c r="N89" s="3" t="s">
        <v>362</v>
      </c>
      <c r="O89" s="3" t="s">
        <v>372</v>
      </c>
      <c r="P89" s="3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34"/>
        <v>148</v>
      </c>
      <c r="U89" s="3">
        <f t="shared" si="25"/>
        <v>82</v>
      </c>
      <c r="V89" s="3" t="str">
        <f t="shared" si="35"/>
        <v>52</v>
      </c>
      <c r="W89" s="3" t="str">
        <f t="shared" si="36"/>
        <v/>
      </c>
      <c r="X89" s="3" t="str">
        <f t="shared" si="37"/>
        <v/>
      </c>
      <c r="Y89" s="3" t="str">
        <f t="shared" si="38"/>
        <v/>
      </c>
      <c r="Z89" s="3" t="str">
        <f t="shared" si="39"/>
        <v>X</v>
      </c>
      <c r="AA89" s="3" t="str">
        <f t="shared" si="26"/>
        <v/>
      </c>
      <c r="AB89" s="3" t="str">
        <f t="shared" si="27"/>
        <v/>
      </c>
      <c r="AC89" s="3" t="str">
        <f t="shared" si="28"/>
        <v/>
      </c>
      <c r="AD89" s="3" t="str">
        <f t="shared" si="29"/>
        <v>(0)</v>
      </c>
      <c r="AE89" s="3" t="str">
        <f t="shared" si="30"/>
        <v/>
      </c>
      <c r="AF89" s="3" t="str">
        <f t="shared" si="31"/>
        <v/>
      </c>
      <c r="AG89" s="3" t="str">
        <f t="shared" si="32"/>
        <v/>
      </c>
      <c r="AH89" s="3" t="str">
        <f t="shared" si="33"/>
        <v/>
      </c>
    </row>
    <row r="90" spans="1:34" x14ac:dyDescent="0.25">
      <c r="B90" s="3" t="s">
        <v>335</v>
      </c>
      <c r="C90" s="3" t="s">
        <v>373</v>
      </c>
      <c r="D90" s="3" t="s">
        <v>0</v>
      </c>
      <c r="E90" s="3" t="s">
        <v>175</v>
      </c>
      <c r="F90" s="3" t="s">
        <v>337</v>
      </c>
      <c r="G90" s="3" t="s">
        <v>338</v>
      </c>
      <c r="H90" s="3" t="s">
        <v>374</v>
      </c>
      <c r="I90" s="3" t="s">
        <v>42</v>
      </c>
      <c r="J90" s="3">
        <v>1</v>
      </c>
      <c r="K90" s="9" t="s">
        <v>41</v>
      </c>
      <c r="L90" s="9" t="s">
        <v>41</v>
      </c>
      <c r="M90" s="3" t="s">
        <v>320</v>
      </c>
      <c r="N90" s="3" t="s">
        <v>362</v>
      </c>
      <c r="O90" s="3" t="s">
        <v>375</v>
      </c>
      <c r="P90" s="3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34"/>
        <v>14C</v>
      </c>
      <c r="U90" s="3">
        <f t="shared" si="25"/>
        <v>83</v>
      </c>
      <c r="V90" s="3" t="str">
        <f t="shared" si="35"/>
        <v>53</v>
      </c>
      <c r="W90" s="3" t="str">
        <f t="shared" si="36"/>
        <v/>
      </c>
      <c r="X90" s="3" t="str">
        <f t="shared" si="37"/>
        <v/>
      </c>
      <c r="Y90" s="3" t="str">
        <f t="shared" si="38"/>
        <v/>
      </c>
      <c r="Z90" s="3" t="str">
        <f t="shared" si="39"/>
        <v>X</v>
      </c>
      <c r="AA90" s="3" t="str">
        <f t="shared" si="26"/>
        <v/>
      </c>
      <c r="AB90" s="3" t="str">
        <f t="shared" si="27"/>
        <v/>
      </c>
      <c r="AC90" s="3" t="str">
        <f t="shared" si="28"/>
        <v/>
      </c>
      <c r="AD90" s="3" t="str">
        <f t="shared" si="29"/>
        <v>(0)</v>
      </c>
      <c r="AE90" s="3" t="str">
        <f t="shared" si="30"/>
        <v/>
      </c>
      <c r="AF90" s="3" t="str">
        <f t="shared" si="31"/>
        <v/>
      </c>
      <c r="AG90" s="3" t="str">
        <f t="shared" si="32"/>
        <v/>
      </c>
      <c r="AH90" s="3" t="str">
        <f t="shared" si="33"/>
        <v/>
      </c>
    </row>
    <row r="91" spans="1:34" x14ac:dyDescent="0.25">
      <c r="B91" s="3" t="s">
        <v>335</v>
      </c>
      <c r="C91" s="3" t="s">
        <v>376</v>
      </c>
      <c r="D91" s="3" t="s">
        <v>0</v>
      </c>
      <c r="E91" s="3" t="s">
        <v>175</v>
      </c>
      <c r="F91" s="3" t="s">
        <v>337</v>
      </c>
      <c r="G91" s="3" t="s">
        <v>338</v>
      </c>
      <c r="H91" s="3" t="s">
        <v>377</v>
      </c>
      <c r="I91" s="3" t="s">
        <v>42</v>
      </c>
      <c r="J91" s="3">
        <v>1</v>
      </c>
      <c r="K91" s="9" t="s">
        <v>41</v>
      </c>
      <c r="L91" s="9" t="s">
        <v>41</v>
      </c>
      <c r="M91" s="3" t="s">
        <v>320</v>
      </c>
      <c r="N91" s="3" t="s">
        <v>362</v>
      </c>
      <c r="O91" s="3" t="s">
        <v>378</v>
      </c>
      <c r="P91" s="3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34"/>
        <v>150</v>
      </c>
      <c r="U91" s="3">
        <f t="shared" si="25"/>
        <v>84</v>
      </c>
      <c r="V91" s="3" t="str">
        <f t="shared" si="35"/>
        <v>54</v>
      </c>
      <c r="W91" s="3" t="str">
        <f t="shared" si="36"/>
        <v/>
      </c>
      <c r="X91" s="3" t="str">
        <f t="shared" si="37"/>
        <v/>
      </c>
      <c r="Y91" s="3" t="str">
        <f t="shared" si="38"/>
        <v/>
      </c>
      <c r="Z91" s="3" t="str">
        <f t="shared" si="39"/>
        <v>X</v>
      </c>
      <c r="AA91" s="3" t="str">
        <f t="shared" si="26"/>
        <v/>
      </c>
      <c r="AB91" s="3" t="str">
        <f t="shared" si="27"/>
        <v/>
      </c>
      <c r="AC91" s="3" t="str">
        <f t="shared" si="28"/>
        <v/>
      </c>
      <c r="AD91" s="3" t="str">
        <f t="shared" si="29"/>
        <v>(0)</v>
      </c>
      <c r="AE91" s="3" t="str">
        <f t="shared" si="30"/>
        <v/>
      </c>
      <c r="AF91" s="3" t="str">
        <f t="shared" si="31"/>
        <v/>
      </c>
      <c r="AG91" s="3" t="str">
        <f t="shared" si="32"/>
        <v/>
      </c>
      <c r="AH91" s="3" t="str">
        <f t="shared" si="33"/>
        <v/>
      </c>
    </row>
    <row r="92" spans="1:34" x14ac:dyDescent="0.25">
      <c r="B92" s="3" t="s">
        <v>335</v>
      </c>
      <c r="C92" s="3" t="s">
        <v>379</v>
      </c>
      <c r="D92" s="3" t="s">
        <v>0</v>
      </c>
      <c r="E92" s="3" t="s">
        <v>175</v>
      </c>
      <c r="F92" s="3" t="s">
        <v>337</v>
      </c>
      <c r="G92" s="3" t="s">
        <v>338</v>
      </c>
      <c r="H92" s="3" t="s">
        <v>380</v>
      </c>
      <c r="I92" s="3" t="s">
        <v>42</v>
      </c>
      <c r="J92" s="3">
        <v>1</v>
      </c>
      <c r="K92" s="9" t="s">
        <v>41</v>
      </c>
      <c r="L92" s="9" t="s">
        <v>41</v>
      </c>
      <c r="M92" s="3" t="s">
        <v>320</v>
      </c>
      <c r="N92" s="3" t="s">
        <v>362</v>
      </c>
      <c r="O92" s="3" t="s">
        <v>381</v>
      </c>
      <c r="P92" s="3" t="s">
        <v>5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34"/>
        <v>154</v>
      </c>
      <c r="U92" s="3">
        <f t="shared" si="25"/>
        <v>85</v>
      </c>
      <c r="V92" s="3" t="str">
        <f t="shared" si="35"/>
        <v>55</v>
      </c>
      <c r="W92" s="3" t="str">
        <f t="shared" si="36"/>
        <v/>
      </c>
      <c r="X92" s="3" t="str">
        <f t="shared" si="37"/>
        <v/>
      </c>
      <c r="Y92" s="3" t="str">
        <f t="shared" si="38"/>
        <v/>
      </c>
      <c r="Z92" s="3" t="str">
        <f t="shared" si="39"/>
        <v>X</v>
      </c>
      <c r="AA92" s="3" t="str">
        <f t="shared" si="26"/>
        <v/>
      </c>
      <c r="AB92" s="3" t="str">
        <f t="shared" si="27"/>
        <v/>
      </c>
      <c r="AC92" s="3" t="str">
        <f t="shared" si="28"/>
        <v/>
      </c>
      <c r="AD92" s="3" t="str">
        <f t="shared" si="29"/>
        <v>(0)</v>
      </c>
      <c r="AE92" s="3" t="str">
        <f t="shared" si="30"/>
        <v/>
      </c>
      <c r="AF92" s="3" t="str">
        <f t="shared" si="31"/>
        <v/>
      </c>
      <c r="AG92" s="3" t="str">
        <f t="shared" si="32"/>
        <v/>
      </c>
      <c r="AH92" s="3" t="str">
        <f t="shared" si="33"/>
        <v/>
      </c>
    </row>
    <row r="93" spans="1:34" x14ac:dyDescent="0.25">
      <c r="B93" s="3" t="s">
        <v>382</v>
      </c>
      <c r="C93" s="3" t="s">
        <v>383</v>
      </c>
      <c r="D93" s="3" t="s">
        <v>0</v>
      </c>
      <c r="E93" s="3" t="s">
        <v>175</v>
      </c>
      <c r="F93" s="3" t="s">
        <v>384</v>
      </c>
      <c r="G93" s="3" t="s">
        <v>385</v>
      </c>
      <c r="H93" s="3" t="s">
        <v>386</v>
      </c>
      <c r="I93" s="3" t="s">
        <v>42</v>
      </c>
      <c r="J93" s="3">
        <v>32</v>
      </c>
      <c r="K93" s="9" t="s">
        <v>41</v>
      </c>
      <c r="L93" s="9" t="s">
        <v>41</v>
      </c>
      <c r="M93" s="3" t="s">
        <v>320</v>
      </c>
      <c r="N93" s="3" t="s">
        <v>1681</v>
      </c>
      <c r="O93" s="3" t="s">
        <v>387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34"/>
        <v>158</v>
      </c>
      <c r="U93" s="3">
        <f t="shared" si="25"/>
        <v>86</v>
      </c>
      <c r="V93" s="3" t="str">
        <f t="shared" si="35"/>
        <v>56</v>
      </c>
      <c r="W93" s="3" t="str">
        <f t="shared" si="36"/>
        <v>X</v>
      </c>
      <c r="X93" s="3" t="str">
        <f t="shared" si="37"/>
        <v>X</v>
      </c>
      <c r="Y93" s="3" t="str">
        <f t="shared" si="38"/>
        <v>X</v>
      </c>
      <c r="Z93" s="3" t="str">
        <f t="shared" si="39"/>
        <v>X</v>
      </c>
      <c r="AA93" s="3" t="str">
        <f t="shared" si="26"/>
        <v>(31 downto 24)</v>
      </c>
      <c r="AB93" s="3" t="str">
        <f t="shared" si="27"/>
        <v>(23 downto 16)</v>
      </c>
      <c r="AC93" s="3" t="str">
        <f t="shared" si="28"/>
        <v>(15 downto 8)</v>
      </c>
      <c r="AD93" s="3" t="str">
        <f t="shared" si="29"/>
        <v>(7 downto 0)</v>
      </c>
      <c r="AE93" s="3" t="str">
        <f t="shared" si="30"/>
        <v>(31 downto 24)</v>
      </c>
      <c r="AF93" s="3" t="str">
        <f t="shared" si="31"/>
        <v>(23 downto 16)</v>
      </c>
      <c r="AG93" s="3" t="str">
        <f t="shared" si="32"/>
        <v>(15 downto 8)</v>
      </c>
      <c r="AH93" s="3" t="str">
        <f t="shared" si="33"/>
        <v>(7 downto 0)</v>
      </c>
    </row>
    <row r="94" spans="1:34" x14ac:dyDescent="0.25">
      <c r="B94" s="3" t="s">
        <v>382</v>
      </c>
      <c r="C94" s="3" t="s">
        <v>1682</v>
      </c>
      <c r="D94" s="3" t="s">
        <v>0</v>
      </c>
      <c r="E94" s="3" t="s">
        <v>175</v>
      </c>
      <c r="F94" s="3" t="s">
        <v>384</v>
      </c>
      <c r="G94" s="3" t="s">
        <v>385</v>
      </c>
      <c r="H94" s="3" t="s">
        <v>1683</v>
      </c>
      <c r="I94" s="3" t="s">
        <v>42</v>
      </c>
      <c r="J94" s="3">
        <v>32</v>
      </c>
      <c r="K94" s="9" t="s">
        <v>41</v>
      </c>
      <c r="L94" s="9" t="s">
        <v>41</v>
      </c>
      <c r="M94" s="3" t="s">
        <v>320</v>
      </c>
      <c r="N94" s="3" t="s">
        <v>1681</v>
      </c>
      <c r="O94" s="3" t="s">
        <v>1684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34"/>
        <v>15C</v>
      </c>
      <c r="U94" s="3">
        <f t="shared" si="25"/>
        <v>87</v>
      </c>
      <c r="V94" s="3" t="str">
        <f t="shared" si="35"/>
        <v>57</v>
      </c>
      <c r="W94" s="3" t="str">
        <f t="shared" si="36"/>
        <v>X</v>
      </c>
      <c r="X94" s="3" t="str">
        <f t="shared" si="37"/>
        <v>X</v>
      </c>
      <c r="Y94" s="3" t="str">
        <f t="shared" si="38"/>
        <v>X</v>
      </c>
      <c r="Z94" s="3" t="str">
        <f t="shared" si="39"/>
        <v>X</v>
      </c>
      <c r="AA94" s="3" t="str">
        <f t="shared" si="26"/>
        <v>(31 downto 24)</v>
      </c>
      <c r="AB94" s="3" t="str">
        <f t="shared" si="27"/>
        <v>(23 downto 16)</v>
      </c>
      <c r="AC94" s="3" t="str">
        <f t="shared" si="28"/>
        <v>(15 downto 8)</v>
      </c>
      <c r="AD94" s="3" t="str">
        <f t="shared" si="29"/>
        <v>(7 downto 0)</v>
      </c>
      <c r="AE94" s="3" t="str">
        <f t="shared" si="30"/>
        <v>(31 downto 24)</v>
      </c>
      <c r="AF94" s="3" t="str">
        <f t="shared" si="31"/>
        <v>(23 downto 16)</v>
      </c>
      <c r="AG94" s="3" t="str">
        <f t="shared" si="32"/>
        <v>(15 downto 8)</v>
      </c>
      <c r="AH94" s="3" t="str">
        <f t="shared" si="33"/>
        <v>(7 downto 0)</v>
      </c>
    </row>
    <row r="95" spans="1:34" x14ac:dyDescent="0.25">
      <c r="B95" s="3" t="s">
        <v>382</v>
      </c>
      <c r="C95" s="3" t="s">
        <v>388</v>
      </c>
      <c r="D95" s="3" t="s">
        <v>0</v>
      </c>
      <c r="E95" s="3" t="s">
        <v>175</v>
      </c>
      <c r="F95" s="3" t="s">
        <v>384</v>
      </c>
      <c r="G95" s="3" t="s">
        <v>385</v>
      </c>
      <c r="H95" s="3" t="s">
        <v>389</v>
      </c>
      <c r="I95" s="3" t="s">
        <v>42</v>
      </c>
      <c r="J95" s="3">
        <v>32</v>
      </c>
      <c r="K95" s="9" t="s">
        <v>41</v>
      </c>
      <c r="L95" s="9" t="s">
        <v>41</v>
      </c>
      <c r="M95" s="3" t="s">
        <v>320</v>
      </c>
      <c r="N95" s="3" t="s">
        <v>1681</v>
      </c>
      <c r="O95" s="3" t="s">
        <v>390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34"/>
        <v>160</v>
      </c>
      <c r="U95" s="3">
        <f t="shared" si="25"/>
        <v>88</v>
      </c>
      <c r="V95" s="3" t="str">
        <f t="shared" si="35"/>
        <v>58</v>
      </c>
      <c r="W95" s="3" t="str">
        <f t="shared" si="36"/>
        <v>X</v>
      </c>
      <c r="X95" s="3" t="str">
        <f t="shared" si="37"/>
        <v>X</v>
      </c>
      <c r="Y95" s="3" t="str">
        <f t="shared" si="38"/>
        <v>X</v>
      </c>
      <c r="Z95" s="3" t="str">
        <f t="shared" si="39"/>
        <v>X</v>
      </c>
      <c r="AA95" s="3" t="str">
        <f t="shared" si="26"/>
        <v>(31 downto 24)</v>
      </c>
      <c r="AB95" s="3" t="str">
        <f t="shared" si="27"/>
        <v>(23 downto 16)</v>
      </c>
      <c r="AC95" s="3" t="str">
        <f t="shared" si="28"/>
        <v>(15 downto 8)</v>
      </c>
      <c r="AD95" s="3" t="str">
        <f t="shared" si="29"/>
        <v>(7 downto 0)</v>
      </c>
      <c r="AE95" s="3" t="str">
        <f t="shared" si="30"/>
        <v>(31 downto 24)</v>
      </c>
      <c r="AF95" s="3" t="str">
        <f t="shared" si="31"/>
        <v>(23 downto 16)</v>
      </c>
      <c r="AG95" s="3" t="str">
        <f t="shared" si="32"/>
        <v>(15 downto 8)</v>
      </c>
      <c r="AH95" s="3" t="str">
        <f t="shared" si="33"/>
        <v>(7 downto 0)</v>
      </c>
    </row>
    <row r="96" spans="1:34" x14ac:dyDescent="0.25">
      <c r="B96" s="3" t="s">
        <v>382</v>
      </c>
      <c r="C96" s="3" t="s">
        <v>1685</v>
      </c>
      <c r="D96" s="3" t="s">
        <v>0</v>
      </c>
      <c r="E96" s="3" t="s">
        <v>175</v>
      </c>
      <c r="F96" s="3" t="s">
        <v>384</v>
      </c>
      <c r="G96" s="3" t="s">
        <v>385</v>
      </c>
      <c r="H96" s="3" t="s">
        <v>1686</v>
      </c>
      <c r="I96" s="3" t="s">
        <v>42</v>
      </c>
      <c r="J96" s="3">
        <v>32</v>
      </c>
      <c r="K96" s="9" t="s">
        <v>41</v>
      </c>
      <c r="L96" s="9" t="s">
        <v>41</v>
      </c>
      <c r="M96" s="3" t="s">
        <v>320</v>
      </c>
      <c r="N96" s="3" t="s">
        <v>1681</v>
      </c>
      <c r="O96" s="3" t="s">
        <v>1687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34"/>
        <v>164</v>
      </c>
      <c r="U96" s="3">
        <f t="shared" si="25"/>
        <v>89</v>
      </c>
      <c r="V96" s="3" t="str">
        <f t="shared" si="35"/>
        <v>59</v>
      </c>
      <c r="W96" s="3" t="str">
        <f t="shared" si="36"/>
        <v>X</v>
      </c>
      <c r="X96" s="3" t="str">
        <f t="shared" si="37"/>
        <v>X</v>
      </c>
      <c r="Y96" s="3" t="str">
        <f t="shared" si="38"/>
        <v>X</v>
      </c>
      <c r="Z96" s="3" t="str">
        <f t="shared" si="39"/>
        <v>X</v>
      </c>
      <c r="AA96" s="3" t="str">
        <f t="shared" si="26"/>
        <v>(31 downto 24)</v>
      </c>
      <c r="AB96" s="3" t="str">
        <f t="shared" si="27"/>
        <v>(23 downto 16)</v>
      </c>
      <c r="AC96" s="3" t="str">
        <f t="shared" si="28"/>
        <v>(15 downto 8)</v>
      </c>
      <c r="AD96" s="3" t="str">
        <f t="shared" si="29"/>
        <v>(7 downto 0)</v>
      </c>
      <c r="AE96" s="3" t="str">
        <f t="shared" si="30"/>
        <v>(31 downto 24)</v>
      </c>
      <c r="AF96" s="3" t="str">
        <f t="shared" si="31"/>
        <v>(23 downto 16)</v>
      </c>
      <c r="AG96" s="3" t="str">
        <f t="shared" si="32"/>
        <v>(15 downto 8)</v>
      </c>
      <c r="AH96" s="3" t="str">
        <f t="shared" si="33"/>
        <v>(7 downto 0)</v>
      </c>
    </row>
    <row r="97" spans="2:38" x14ac:dyDescent="0.25">
      <c r="B97" s="3" t="s">
        <v>1688</v>
      </c>
      <c r="C97" s="3" t="s">
        <v>1689</v>
      </c>
      <c r="D97" s="3" t="s">
        <v>1</v>
      </c>
      <c r="E97" s="3" t="s">
        <v>134</v>
      </c>
      <c r="F97" s="3" t="s">
        <v>1690</v>
      </c>
      <c r="G97" s="3" t="s">
        <v>1691</v>
      </c>
      <c r="H97" s="3" t="s">
        <v>1692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320</v>
      </c>
      <c r="N97" s="3" t="s">
        <v>1693</v>
      </c>
      <c r="O97" s="3" t="s">
        <v>1694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34"/>
        <v>168</v>
      </c>
      <c r="U97" s="3">
        <f t="shared" si="25"/>
        <v>90</v>
      </c>
      <c r="V97" s="3" t="str">
        <f t="shared" si="35"/>
        <v>5A</v>
      </c>
      <c r="W97" s="3" t="str">
        <f t="shared" si="36"/>
        <v>X</v>
      </c>
      <c r="X97" s="3" t="str">
        <f t="shared" si="37"/>
        <v>X</v>
      </c>
      <c r="Y97" s="3" t="str">
        <f t="shared" si="38"/>
        <v>X</v>
      </c>
      <c r="Z97" s="3" t="str">
        <f t="shared" si="39"/>
        <v>X</v>
      </c>
      <c r="AA97" s="3" t="str">
        <f t="shared" si="26"/>
        <v>(31 downto 24)</v>
      </c>
      <c r="AB97" s="3" t="str">
        <f t="shared" si="27"/>
        <v>(23 downto 16)</v>
      </c>
      <c r="AC97" s="3" t="str">
        <f t="shared" si="28"/>
        <v>(15 downto 8)</v>
      </c>
      <c r="AD97" s="3" t="str">
        <f t="shared" si="29"/>
        <v>(7 downto 0)</v>
      </c>
      <c r="AE97" s="3" t="str">
        <f t="shared" si="30"/>
        <v>(31 downto 24)</v>
      </c>
      <c r="AF97" s="3" t="str">
        <f t="shared" si="31"/>
        <v>(23 downto 16)</v>
      </c>
      <c r="AG97" s="3" t="str">
        <f t="shared" si="32"/>
        <v>(15 downto 8)</v>
      </c>
      <c r="AH97" s="3" t="str">
        <f t="shared" si="33"/>
        <v>(7 downto 0)</v>
      </c>
    </row>
    <row r="98" spans="2:38" x14ac:dyDescent="0.25">
      <c r="B98" s="3" t="s">
        <v>1688</v>
      </c>
      <c r="C98" s="3" t="s">
        <v>1695</v>
      </c>
      <c r="D98" s="3" t="s">
        <v>1</v>
      </c>
      <c r="E98" s="3" t="s">
        <v>134</v>
      </c>
      <c r="F98" s="3" t="s">
        <v>1690</v>
      </c>
      <c r="G98" s="3" t="s">
        <v>1691</v>
      </c>
      <c r="H98" s="3" t="s">
        <v>1696</v>
      </c>
      <c r="I98" s="3" t="s">
        <v>42</v>
      </c>
      <c r="J98" s="3">
        <v>32</v>
      </c>
      <c r="K98" s="9" t="s">
        <v>130</v>
      </c>
      <c r="L98" s="9" t="s">
        <v>41</v>
      </c>
      <c r="M98" s="3" t="s">
        <v>320</v>
      </c>
      <c r="N98" s="3" t="s">
        <v>1693</v>
      </c>
      <c r="O98" s="3" t="s">
        <v>1697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34"/>
        <v>16C</v>
      </c>
      <c r="U98" s="3">
        <f t="shared" si="25"/>
        <v>91</v>
      </c>
      <c r="V98" s="3" t="str">
        <f t="shared" si="35"/>
        <v>5B</v>
      </c>
      <c r="W98" s="3" t="str">
        <f t="shared" si="36"/>
        <v>X</v>
      </c>
      <c r="X98" s="3" t="str">
        <f t="shared" si="37"/>
        <v>X</v>
      </c>
      <c r="Y98" s="3" t="str">
        <f t="shared" si="38"/>
        <v>X</v>
      </c>
      <c r="Z98" s="3" t="str">
        <f t="shared" si="39"/>
        <v>X</v>
      </c>
      <c r="AA98" s="3" t="str">
        <f t="shared" si="26"/>
        <v>(31 downto 24)</v>
      </c>
      <c r="AB98" s="3" t="str">
        <f t="shared" si="27"/>
        <v>(23 downto 16)</v>
      </c>
      <c r="AC98" s="3" t="str">
        <f t="shared" si="28"/>
        <v>(15 downto 8)</v>
      </c>
      <c r="AD98" s="3" t="str">
        <f t="shared" si="29"/>
        <v>(7 downto 0)</v>
      </c>
      <c r="AE98" s="3" t="str">
        <f t="shared" si="30"/>
        <v>(31 downto 24)</v>
      </c>
      <c r="AF98" s="3" t="str">
        <f t="shared" si="31"/>
        <v>(23 downto 16)</v>
      </c>
      <c r="AG98" s="3" t="str">
        <f t="shared" si="32"/>
        <v>(15 downto 8)</v>
      </c>
      <c r="AH98" s="3" t="str">
        <f t="shared" si="33"/>
        <v>(7 downto 0)</v>
      </c>
    </row>
    <row r="99" spans="2:38" x14ac:dyDescent="0.25">
      <c r="B99" s="3" t="s">
        <v>1698</v>
      </c>
      <c r="C99" s="3" t="s">
        <v>1699</v>
      </c>
      <c r="D99" s="3" t="s">
        <v>1</v>
      </c>
      <c r="E99" s="3" t="s">
        <v>134</v>
      </c>
      <c r="F99" s="3" t="s">
        <v>1700</v>
      </c>
      <c r="G99" s="3" t="s">
        <v>1701</v>
      </c>
      <c r="H99" s="3" t="s">
        <v>1702</v>
      </c>
      <c r="I99" s="3" t="s">
        <v>42</v>
      </c>
      <c r="J99" s="3">
        <v>32</v>
      </c>
      <c r="K99" s="9" t="s">
        <v>130</v>
      </c>
      <c r="L99" s="9" t="s">
        <v>41</v>
      </c>
      <c r="M99" s="3" t="s">
        <v>320</v>
      </c>
      <c r="N99" s="3" t="s">
        <v>1703</v>
      </c>
      <c r="O99" s="3" t="s">
        <v>1704</v>
      </c>
      <c r="P99" s="3" t="s">
        <v>49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34"/>
        <v>170</v>
      </c>
      <c r="U99" s="3">
        <f t="shared" si="25"/>
        <v>92</v>
      </c>
      <c r="V99" s="3" t="str">
        <f t="shared" si="35"/>
        <v>5C</v>
      </c>
      <c r="W99" s="3" t="str">
        <f t="shared" si="36"/>
        <v>X</v>
      </c>
      <c r="X99" s="3" t="str">
        <f t="shared" si="37"/>
        <v>X</v>
      </c>
      <c r="Y99" s="3" t="str">
        <f t="shared" si="38"/>
        <v>X</v>
      </c>
      <c r="Z99" s="3" t="str">
        <f t="shared" si="39"/>
        <v>X</v>
      </c>
      <c r="AA99" s="3" t="str">
        <f t="shared" si="26"/>
        <v>(31 downto 24)</v>
      </c>
      <c r="AB99" s="3" t="str">
        <f t="shared" si="27"/>
        <v>(23 downto 16)</v>
      </c>
      <c r="AC99" s="3" t="str">
        <f t="shared" si="28"/>
        <v>(15 downto 8)</v>
      </c>
      <c r="AD99" s="3" t="str">
        <f t="shared" si="29"/>
        <v>(7 downto 0)</v>
      </c>
      <c r="AE99" s="3" t="str">
        <f t="shared" si="30"/>
        <v>(31 downto 24)</v>
      </c>
      <c r="AF99" s="3" t="str">
        <f t="shared" si="31"/>
        <v>(23 downto 16)</v>
      </c>
      <c r="AG99" s="3" t="str">
        <f t="shared" si="32"/>
        <v>(15 downto 8)</v>
      </c>
      <c r="AH99" s="3" t="str">
        <f t="shared" si="33"/>
        <v>(7 downto 0)</v>
      </c>
    </row>
    <row r="100" spans="2:38" x14ac:dyDescent="0.25">
      <c r="B100" s="3" t="s">
        <v>391</v>
      </c>
      <c r="C100" s="3" t="s">
        <v>1705</v>
      </c>
      <c r="D100" s="3" t="s">
        <v>1</v>
      </c>
      <c r="E100" s="3" t="s">
        <v>134</v>
      </c>
      <c r="F100" s="3" t="s">
        <v>392</v>
      </c>
      <c r="G100" s="3" t="s">
        <v>393</v>
      </c>
      <c r="H100" s="3" t="s">
        <v>1706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320</v>
      </c>
      <c r="N100" s="3" t="s">
        <v>394</v>
      </c>
      <c r="O100" s="3" t="s">
        <v>1707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34"/>
        <v>174</v>
      </c>
      <c r="U100" s="3">
        <f t="shared" si="25"/>
        <v>93</v>
      </c>
      <c r="V100" s="3" t="str">
        <f t="shared" si="35"/>
        <v>5D</v>
      </c>
      <c r="W100" s="3" t="str">
        <f t="shared" si="36"/>
        <v/>
      </c>
      <c r="X100" s="3" t="str">
        <f t="shared" si="37"/>
        <v/>
      </c>
      <c r="Y100" s="3" t="str">
        <f t="shared" si="38"/>
        <v/>
      </c>
      <c r="Z100" s="3" t="str">
        <f t="shared" si="39"/>
        <v>X</v>
      </c>
      <c r="AA100" s="3" t="str">
        <f t="shared" si="26"/>
        <v/>
      </c>
      <c r="AB100" s="3" t="str">
        <f t="shared" si="27"/>
        <v/>
      </c>
      <c r="AC100" s="3" t="str">
        <f t="shared" si="28"/>
        <v/>
      </c>
      <c r="AD100" s="3" t="str">
        <f t="shared" si="29"/>
        <v>(0)</v>
      </c>
      <c r="AE100" s="3" t="str">
        <f t="shared" si="30"/>
        <v/>
      </c>
      <c r="AF100" s="3" t="str">
        <f t="shared" si="31"/>
        <v/>
      </c>
      <c r="AG100" s="3" t="str">
        <f t="shared" si="32"/>
        <v/>
      </c>
      <c r="AH100" s="3" t="str">
        <f t="shared" si="33"/>
        <v/>
      </c>
    </row>
    <row r="101" spans="2:38" x14ac:dyDescent="0.25">
      <c r="B101" s="3" t="s">
        <v>391</v>
      </c>
      <c r="C101" s="3" t="s">
        <v>1708</v>
      </c>
      <c r="D101" s="3" t="s">
        <v>1</v>
      </c>
      <c r="E101" s="3" t="s">
        <v>134</v>
      </c>
      <c r="F101" s="3" t="s">
        <v>392</v>
      </c>
      <c r="G101" s="3" t="s">
        <v>393</v>
      </c>
      <c r="H101" s="3" t="s">
        <v>1709</v>
      </c>
      <c r="I101" s="3" t="s">
        <v>42</v>
      </c>
      <c r="J101" s="3">
        <v>1</v>
      </c>
      <c r="K101" s="9" t="s">
        <v>82</v>
      </c>
      <c r="L101" s="9" t="s">
        <v>41</v>
      </c>
      <c r="M101" s="3" t="s">
        <v>320</v>
      </c>
      <c r="N101" s="3" t="s">
        <v>394</v>
      </c>
      <c r="O101" s="3" t="s">
        <v>1710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34"/>
        <v>178</v>
      </c>
      <c r="U101" s="3">
        <f t="shared" si="25"/>
        <v>94</v>
      </c>
      <c r="V101" s="3" t="str">
        <f t="shared" si="35"/>
        <v>5E</v>
      </c>
      <c r="W101" s="3" t="str">
        <f t="shared" si="36"/>
        <v/>
      </c>
      <c r="X101" s="3" t="str">
        <f t="shared" si="37"/>
        <v/>
      </c>
      <c r="Y101" s="3" t="str">
        <f t="shared" si="38"/>
        <v/>
      </c>
      <c r="Z101" s="3" t="str">
        <f t="shared" si="39"/>
        <v>X</v>
      </c>
      <c r="AA101" s="3" t="str">
        <f t="shared" si="26"/>
        <v/>
      </c>
      <c r="AB101" s="3" t="str">
        <f t="shared" si="27"/>
        <v/>
      </c>
      <c r="AC101" s="3" t="str">
        <f t="shared" si="28"/>
        <v/>
      </c>
      <c r="AD101" s="3" t="str">
        <f t="shared" si="29"/>
        <v>(0)</v>
      </c>
      <c r="AE101" s="3" t="str">
        <f t="shared" si="30"/>
        <v/>
      </c>
      <c r="AF101" s="3" t="str">
        <f t="shared" si="31"/>
        <v/>
      </c>
      <c r="AG101" s="3" t="str">
        <f t="shared" si="32"/>
        <v/>
      </c>
      <c r="AH101" s="3" t="str">
        <f t="shared" si="33"/>
        <v/>
      </c>
    </row>
    <row r="102" spans="2:38" x14ac:dyDescent="0.25">
      <c r="B102" s="3" t="s">
        <v>395</v>
      </c>
      <c r="C102" s="3" t="s">
        <v>1711</v>
      </c>
      <c r="D102" s="3" t="s">
        <v>0</v>
      </c>
      <c r="E102" s="3" t="s">
        <v>175</v>
      </c>
      <c r="F102" s="3" t="s">
        <v>396</v>
      </c>
      <c r="G102" s="3" t="s">
        <v>397</v>
      </c>
      <c r="H102" s="3" t="s">
        <v>1712</v>
      </c>
      <c r="I102" s="3" t="s">
        <v>42</v>
      </c>
      <c r="J102" s="3">
        <v>1</v>
      </c>
      <c r="K102" s="9" t="s">
        <v>41</v>
      </c>
      <c r="L102" s="9" t="s">
        <v>41</v>
      </c>
      <c r="M102" s="3" t="s">
        <v>320</v>
      </c>
      <c r="N102" s="3" t="s">
        <v>398</v>
      </c>
      <c r="O102" s="3" t="s">
        <v>1713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34"/>
        <v>17C</v>
      </c>
      <c r="U102" s="3">
        <f t="shared" si="25"/>
        <v>95</v>
      </c>
      <c r="V102" s="3" t="str">
        <f t="shared" si="35"/>
        <v>5F</v>
      </c>
      <c r="W102" s="3" t="str">
        <f t="shared" si="36"/>
        <v/>
      </c>
      <c r="X102" s="3" t="str">
        <f t="shared" si="37"/>
        <v/>
      </c>
      <c r="Y102" s="3" t="str">
        <f t="shared" si="38"/>
        <v/>
      </c>
      <c r="Z102" s="3" t="str">
        <f t="shared" si="39"/>
        <v>X</v>
      </c>
      <c r="AA102" s="3" t="str">
        <f t="shared" si="26"/>
        <v/>
      </c>
      <c r="AB102" s="3" t="str">
        <f t="shared" si="27"/>
        <v/>
      </c>
      <c r="AC102" s="3" t="str">
        <f t="shared" si="28"/>
        <v/>
      </c>
      <c r="AD102" s="3" t="str">
        <f t="shared" si="29"/>
        <v>(0)</v>
      </c>
      <c r="AE102" s="3" t="str">
        <f t="shared" si="30"/>
        <v/>
      </c>
      <c r="AF102" s="3" t="str">
        <f t="shared" si="31"/>
        <v/>
      </c>
      <c r="AG102" s="3" t="str">
        <f t="shared" si="32"/>
        <v/>
      </c>
      <c r="AH102" s="3" t="str">
        <f t="shared" si="33"/>
        <v/>
      </c>
      <c r="AI102" s="8"/>
      <c r="AJ102" s="8"/>
      <c r="AK102" s="8"/>
      <c r="AL102" s="8"/>
    </row>
    <row r="103" spans="2:38" x14ac:dyDescent="0.25">
      <c r="B103" s="3" t="s">
        <v>395</v>
      </c>
      <c r="C103" s="3" t="s">
        <v>1711</v>
      </c>
      <c r="D103" s="3" t="s">
        <v>0</v>
      </c>
      <c r="E103" s="3" t="s">
        <v>175</v>
      </c>
      <c r="F103" s="3" t="s">
        <v>396</v>
      </c>
      <c r="G103" s="3" t="s">
        <v>397</v>
      </c>
      <c r="H103" s="3" t="s">
        <v>1714</v>
      </c>
      <c r="I103" s="3" t="s">
        <v>42</v>
      </c>
      <c r="J103" s="3">
        <v>1</v>
      </c>
      <c r="K103" s="9" t="s">
        <v>41</v>
      </c>
      <c r="L103" s="9" t="s">
        <v>41</v>
      </c>
      <c r="M103" s="3" t="s">
        <v>320</v>
      </c>
      <c r="N103" s="3" t="s">
        <v>398</v>
      </c>
      <c r="O103" s="3" t="s">
        <v>1715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34"/>
        <v>180</v>
      </c>
      <c r="U103" s="3">
        <f t="shared" si="25"/>
        <v>96</v>
      </c>
      <c r="V103" s="3" t="str">
        <f t="shared" si="35"/>
        <v>60</v>
      </c>
      <c r="W103" s="3" t="str">
        <f t="shared" si="36"/>
        <v/>
      </c>
      <c r="X103" s="3" t="str">
        <f t="shared" si="37"/>
        <v/>
      </c>
      <c r="Y103" s="3" t="str">
        <f t="shared" si="38"/>
        <v/>
      </c>
      <c r="Z103" s="3" t="str">
        <f t="shared" si="39"/>
        <v>X</v>
      </c>
      <c r="AA103" s="3" t="str">
        <f t="shared" si="26"/>
        <v/>
      </c>
      <c r="AB103" s="3" t="str">
        <f t="shared" si="27"/>
        <v/>
      </c>
      <c r="AC103" s="3" t="str">
        <f t="shared" si="28"/>
        <v/>
      </c>
      <c r="AD103" s="3" t="str">
        <f t="shared" si="29"/>
        <v>(0)</v>
      </c>
      <c r="AE103" s="3" t="str">
        <f t="shared" si="30"/>
        <v/>
      </c>
      <c r="AF103" s="3" t="str">
        <f t="shared" si="31"/>
        <v/>
      </c>
      <c r="AG103" s="3" t="str">
        <f t="shared" si="32"/>
        <v/>
      </c>
      <c r="AH103" s="3" t="str">
        <f t="shared" si="33"/>
        <v/>
      </c>
    </row>
    <row r="104" spans="2:38" s="18" customFormat="1" x14ac:dyDescent="0.25">
      <c r="B104" s="10" t="s">
        <v>399</v>
      </c>
      <c r="C104" s="10" t="s">
        <v>1716</v>
      </c>
      <c r="D104" s="3" t="s">
        <v>1</v>
      </c>
      <c r="E104" s="3" t="s">
        <v>134</v>
      </c>
      <c r="F104" s="10" t="s">
        <v>400</v>
      </c>
      <c r="G104" s="3" t="s">
        <v>401</v>
      </c>
      <c r="H104" s="10" t="s">
        <v>1717</v>
      </c>
      <c r="I104" s="3" t="s">
        <v>42</v>
      </c>
      <c r="J104" s="3">
        <v>1</v>
      </c>
      <c r="K104" s="30" t="s">
        <v>82</v>
      </c>
      <c r="L104" s="9" t="s">
        <v>82</v>
      </c>
      <c r="M104" s="3" t="s">
        <v>320</v>
      </c>
      <c r="N104" s="3" t="s">
        <v>402</v>
      </c>
      <c r="O104" s="10" t="s">
        <v>1718</v>
      </c>
      <c r="P104" s="10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34"/>
        <v>184</v>
      </c>
      <c r="U104" s="3">
        <f t="shared" si="25"/>
        <v>97</v>
      </c>
      <c r="V104" s="3" t="str">
        <f t="shared" si="35"/>
        <v>61</v>
      </c>
      <c r="W104" s="3" t="str">
        <f t="shared" si="36"/>
        <v/>
      </c>
      <c r="X104" s="3" t="str">
        <f t="shared" si="37"/>
        <v/>
      </c>
      <c r="Y104" s="3" t="str">
        <f t="shared" si="38"/>
        <v/>
      </c>
      <c r="Z104" s="3" t="str">
        <f t="shared" si="39"/>
        <v>X</v>
      </c>
      <c r="AA104" s="3" t="str">
        <f t="shared" si="26"/>
        <v/>
      </c>
      <c r="AB104" s="3" t="str">
        <f t="shared" si="27"/>
        <v/>
      </c>
      <c r="AC104" s="3" t="str">
        <f t="shared" si="28"/>
        <v/>
      </c>
      <c r="AD104" s="3" t="str">
        <f t="shared" si="29"/>
        <v>(0)</v>
      </c>
      <c r="AE104" s="3" t="str">
        <f t="shared" si="30"/>
        <v/>
      </c>
      <c r="AF104" s="3" t="str">
        <f t="shared" si="31"/>
        <v/>
      </c>
      <c r="AG104" s="3" t="str">
        <f t="shared" si="32"/>
        <v/>
      </c>
      <c r="AH104" s="3" t="str">
        <f t="shared" si="33"/>
        <v/>
      </c>
    </row>
    <row r="105" spans="2:38" x14ac:dyDescent="0.25">
      <c r="B105" s="10" t="s">
        <v>399</v>
      </c>
      <c r="C105" s="10" t="s">
        <v>1716</v>
      </c>
      <c r="D105" s="3" t="s">
        <v>1</v>
      </c>
      <c r="E105" s="3" t="s">
        <v>134</v>
      </c>
      <c r="F105" s="10" t="s">
        <v>400</v>
      </c>
      <c r="G105" s="3" t="s">
        <v>401</v>
      </c>
      <c r="H105" s="3" t="s">
        <v>1719</v>
      </c>
      <c r="I105" s="3" t="s">
        <v>42</v>
      </c>
      <c r="J105" s="3">
        <v>1</v>
      </c>
      <c r="K105" s="30" t="s">
        <v>82</v>
      </c>
      <c r="L105" s="9" t="s">
        <v>82</v>
      </c>
      <c r="M105" s="3" t="s">
        <v>320</v>
      </c>
      <c r="N105" s="3" t="s">
        <v>402</v>
      </c>
      <c r="O105" s="3" t="s">
        <v>1720</v>
      </c>
      <c r="P105" s="10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34"/>
        <v>188</v>
      </c>
      <c r="U105" s="3">
        <f t="shared" si="25"/>
        <v>98</v>
      </c>
      <c r="V105" s="3" t="str">
        <f t="shared" si="35"/>
        <v>62</v>
      </c>
      <c r="W105" s="3" t="str">
        <f t="shared" si="36"/>
        <v/>
      </c>
      <c r="X105" s="3" t="str">
        <f t="shared" si="37"/>
        <v/>
      </c>
      <c r="Y105" s="3" t="str">
        <f t="shared" si="38"/>
        <v/>
      </c>
      <c r="Z105" s="3" t="str">
        <f t="shared" si="39"/>
        <v>X</v>
      </c>
      <c r="AA105" s="3" t="str">
        <f t="shared" si="26"/>
        <v/>
      </c>
      <c r="AB105" s="3" t="str">
        <f t="shared" si="27"/>
        <v/>
      </c>
      <c r="AC105" s="3" t="str">
        <f t="shared" si="28"/>
        <v/>
      </c>
      <c r="AD105" s="3" t="str">
        <f t="shared" si="29"/>
        <v>(0)</v>
      </c>
      <c r="AE105" s="3" t="str">
        <f t="shared" si="30"/>
        <v/>
      </c>
      <c r="AF105" s="3" t="str">
        <f t="shared" si="31"/>
        <v/>
      </c>
      <c r="AG105" s="3" t="str">
        <f t="shared" si="32"/>
        <v/>
      </c>
      <c r="AH105" s="3" t="str">
        <f t="shared" si="33"/>
        <v/>
      </c>
    </row>
    <row r="106" spans="2:38" x14ac:dyDescent="0.25">
      <c r="B106" s="10" t="s">
        <v>403</v>
      </c>
      <c r="C106" s="10" t="s">
        <v>404</v>
      </c>
      <c r="D106" s="3" t="s">
        <v>0</v>
      </c>
      <c r="E106" s="3" t="s">
        <v>175</v>
      </c>
      <c r="F106" s="10" t="s">
        <v>405</v>
      </c>
      <c r="G106" s="3" t="s">
        <v>406</v>
      </c>
      <c r="H106" s="3" t="s">
        <v>407</v>
      </c>
      <c r="I106" s="3" t="s">
        <v>42</v>
      </c>
      <c r="J106" s="3">
        <v>32</v>
      </c>
      <c r="K106" s="30" t="s">
        <v>41</v>
      </c>
      <c r="L106" s="9" t="s">
        <v>41</v>
      </c>
      <c r="M106" s="3" t="s">
        <v>320</v>
      </c>
      <c r="N106" s="3" t="s">
        <v>408</v>
      </c>
      <c r="O106" s="3" t="s">
        <v>409</v>
      </c>
      <c r="P106" s="10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34"/>
        <v>18C</v>
      </c>
      <c r="U106" s="3">
        <f t="shared" si="25"/>
        <v>99</v>
      </c>
      <c r="V106" s="3" t="str">
        <f t="shared" si="35"/>
        <v>63</v>
      </c>
      <c r="W106" s="3" t="str">
        <f t="shared" si="36"/>
        <v>X</v>
      </c>
      <c r="X106" s="3" t="str">
        <f t="shared" si="37"/>
        <v>X</v>
      </c>
      <c r="Y106" s="3" t="str">
        <f t="shared" si="38"/>
        <v>X</v>
      </c>
      <c r="Z106" s="3" t="str">
        <f t="shared" si="39"/>
        <v>X</v>
      </c>
      <c r="AA106" s="3" t="str">
        <f t="shared" si="26"/>
        <v>(31 downto 24)</v>
      </c>
      <c r="AB106" s="3" t="str">
        <f t="shared" si="27"/>
        <v>(23 downto 16)</v>
      </c>
      <c r="AC106" s="3" t="str">
        <f t="shared" si="28"/>
        <v>(15 downto 8)</v>
      </c>
      <c r="AD106" s="3" t="str">
        <f t="shared" si="29"/>
        <v>(7 downto 0)</v>
      </c>
      <c r="AE106" s="3" t="str">
        <f t="shared" si="30"/>
        <v>(31 downto 24)</v>
      </c>
      <c r="AF106" s="3" t="str">
        <f t="shared" si="31"/>
        <v>(23 downto 16)</v>
      </c>
      <c r="AG106" s="3" t="str">
        <f t="shared" si="32"/>
        <v>(15 downto 8)</v>
      </c>
      <c r="AH106" s="3" t="str">
        <f t="shared" si="33"/>
        <v>(7 downto 0)</v>
      </c>
    </row>
    <row r="107" spans="2:38" x14ac:dyDescent="0.25">
      <c r="B107" s="10" t="s">
        <v>410</v>
      </c>
      <c r="C107" s="10" t="s">
        <v>411</v>
      </c>
      <c r="D107" s="3" t="s">
        <v>1</v>
      </c>
      <c r="E107" s="3" t="s">
        <v>134</v>
      </c>
      <c r="F107" s="10" t="s">
        <v>412</v>
      </c>
      <c r="G107" s="3" t="s">
        <v>413</v>
      </c>
      <c r="H107" s="3" t="s">
        <v>414</v>
      </c>
      <c r="I107" s="3" t="s">
        <v>42</v>
      </c>
      <c r="J107" s="3">
        <v>32</v>
      </c>
      <c r="K107" s="9" t="s">
        <v>130</v>
      </c>
      <c r="L107" s="9" t="s">
        <v>41</v>
      </c>
      <c r="M107" s="3" t="s">
        <v>415</v>
      </c>
      <c r="N107" s="3" t="s">
        <v>416</v>
      </c>
      <c r="O107" s="3" t="s">
        <v>417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400</v>
      </c>
      <c r="T107" s="3" t="str">
        <f t="shared" si="34"/>
        <v>190</v>
      </c>
      <c r="U107" s="3">
        <f t="shared" si="25"/>
        <v>100</v>
      </c>
      <c r="V107" s="3" t="str">
        <f t="shared" si="35"/>
        <v>64</v>
      </c>
      <c r="W107" s="3" t="str">
        <f t="shared" si="36"/>
        <v>X</v>
      </c>
      <c r="X107" s="3" t="str">
        <f t="shared" si="37"/>
        <v>X</v>
      </c>
      <c r="Y107" s="3" t="str">
        <f t="shared" si="38"/>
        <v>X</v>
      </c>
      <c r="Z107" s="3" t="str">
        <f t="shared" si="39"/>
        <v>X</v>
      </c>
      <c r="AA107" s="3" t="str">
        <f t="shared" si="26"/>
        <v>(31 downto 24)</v>
      </c>
      <c r="AB107" s="3" t="str">
        <f t="shared" si="27"/>
        <v>(23 downto 16)</v>
      </c>
      <c r="AC107" s="3" t="str">
        <f t="shared" si="28"/>
        <v>(15 downto 8)</v>
      </c>
      <c r="AD107" s="3" t="str">
        <f t="shared" si="29"/>
        <v>(7 downto 0)</v>
      </c>
      <c r="AE107" s="3" t="str">
        <f t="shared" si="30"/>
        <v>(31 downto 24)</v>
      </c>
      <c r="AF107" s="3" t="str">
        <f t="shared" si="31"/>
        <v>(23 downto 16)</v>
      </c>
      <c r="AG107" s="3" t="str">
        <f t="shared" si="32"/>
        <v>(15 downto 8)</v>
      </c>
      <c r="AH107" s="3" t="str">
        <f t="shared" si="33"/>
        <v>(7 downto 0)</v>
      </c>
    </row>
    <row r="108" spans="2:38" x14ac:dyDescent="0.25">
      <c r="B108" s="10" t="s">
        <v>418</v>
      </c>
      <c r="C108" s="10" t="s">
        <v>419</v>
      </c>
      <c r="D108" s="3" t="s">
        <v>1</v>
      </c>
      <c r="E108" s="3" t="s">
        <v>134</v>
      </c>
      <c r="F108" s="10" t="s">
        <v>420</v>
      </c>
      <c r="G108" s="3" t="s">
        <v>421</v>
      </c>
      <c r="H108" s="3" t="s">
        <v>422</v>
      </c>
      <c r="I108" s="3" t="s">
        <v>42</v>
      </c>
      <c r="J108" s="3">
        <v>16</v>
      </c>
      <c r="K108" s="9" t="s">
        <v>423</v>
      </c>
      <c r="L108" s="9" t="s">
        <v>41</v>
      </c>
      <c r="M108" s="3" t="s">
        <v>415</v>
      </c>
      <c r="N108" s="3" t="s">
        <v>424</v>
      </c>
      <c r="O108" s="3" t="s">
        <v>425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404</v>
      </c>
      <c r="T108" s="3" t="str">
        <f t="shared" si="34"/>
        <v>194</v>
      </c>
      <c r="U108" s="3">
        <f t="shared" si="25"/>
        <v>101</v>
      </c>
      <c r="V108" s="3" t="str">
        <f t="shared" si="35"/>
        <v>65</v>
      </c>
      <c r="W108" s="3" t="str">
        <f t="shared" si="36"/>
        <v/>
      </c>
      <c r="X108" s="3" t="str">
        <f t="shared" si="37"/>
        <v/>
      </c>
      <c r="Y108" s="3" t="str">
        <f t="shared" si="38"/>
        <v>X</v>
      </c>
      <c r="Z108" s="3" t="str">
        <f t="shared" si="39"/>
        <v>X</v>
      </c>
      <c r="AA108" s="3" t="str">
        <f t="shared" si="26"/>
        <v/>
      </c>
      <c r="AB108" s="3" t="str">
        <f t="shared" si="27"/>
        <v/>
      </c>
      <c r="AC108" s="3" t="str">
        <f t="shared" si="28"/>
        <v>(15 downto 8)</v>
      </c>
      <c r="AD108" s="3" t="str">
        <f t="shared" si="29"/>
        <v>(7 downto 0)</v>
      </c>
      <c r="AE108" s="3" t="str">
        <f t="shared" si="30"/>
        <v/>
      </c>
      <c r="AF108" s="3" t="str">
        <f t="shared" si="31"/>
        <v/>
      </c>
      <c r="AG108" s="3" t="str">
        <f t="shared" si="32"/>
        <v>(15 downto 8)</v>
      </c>
      <c r="AH108" s="3" t="str">
        <f t="shared" si="33"/>
        <v>(7 downto 0)</v>
      </c>
    </row>
    <row r="109" spans="2:38" x14ac:dyDescent="0.25">
      <c r="B109" s="10" t="s">
        <v>418</v>
      </c>
      <c r="C109" s="10" t="s">
        <v>426</v>
      </c>
      <c r="D109" s="3" t="s">
        <v>1</v>
      </c>
      <c r="E109" s="3" t="s">
        <v>134</v>
      </c>
      <c r="F109" s="10" t="s">
        <v>420</v>
      </c>
      <c r="G109" s="3" t="s">
        <v>421</v>
      </c>
      <c r="H109" s="3" t="s">
        <v>427</v>
      </c>
      <c r="I109" s="3" t="s">
        <v>42</v>
      </c>
      <c r="J109" s="3">
        <v>16</v>
      </c>
      <c r="K109" s="9" t="s">
        <v>2022</v>
      </c>
      <c r="L109" s="9" t="s">
        <v>41</v>
      </c>
      <c r="M109" s="3" t="s">
        <v>415</v>
      </c>
      <c r="N109" s="3" t="s">
        <v>424</v>
      </c>
      <c r="O109" s="3" t="s">
        <v>428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406</v>
      </c>
      <c r="T109" s="3" t="str">
        <f t="shared" si="34"/>
        <v>196</v>
      </c>
      <c r="U109" s="3">
        <f t="shared" si="25"/>
        <v>101</v>
      </c>
      <c r="V109" s="3" t="str">
        <f t="shared" si="35"/>
        <v>65</v>
      </c>
      <c r="W109" s="3" t="str">
        <f t="shared" si="36"/>
        <v>X</v>
      </c>
      <c r="X109" s="3" t="str">
        <f t="shared" si="37"/>
        <v>X</v>
      </c>
      <c r="Y109" s="3" t="str">
        <f t="shared" si="38"/>
        <v/>
      </c>
      <c r="Z109" s="3" t="str">
        <f t="shared" si="39"/>
        <v/>
      </c>
      <c r="AA109" s="3" t="str">
        <f t="shared" si="26"/>
        <v>(31 downto 24)</v>
      </c>
      <c r="AB109" s="3" t="str">
        <f t="shared" si="27"/>
        <v>(23 downto 16)</v>
      </c>
      <c r="AC109" s="3" t="str">
        <f t="shared" si="28"/>
        <v/>
      </c>
      <c r="AD109" s="3" t="str">
        <f t="shared" si="29"/>
        <v/>
      </c>
      <c r="AE109" s="3" t="str">
        <f t="shared" si="30"/>
        <v>(15 downto 8)</v>
      </c>
      <c r="AF109" s="3" t="str">
        <f t="shared" si="31"/>
        <v>(7 downto 0)</v>
      </c>
      <c r="AG109" s="3" t="str">
        <f t="shared" si="32"/>
        <v/>
      </c>
      <c r="AH109" s="3" t="str">
        <f t="shared" si="33"/>
        <v/>
      </c>
    </row>
    <row r="110" spans="2:38" x14ac:dyDescent="0.25">
      <c r="B110" s="10" t="s">
        <v>418</v>
      </c>
      <c r="C110" s="10" t="s">
        <v>429</v>
      </c>
      <c r="D110" s="3" t="s">
        <v>1</v>
      </c>
      <c r="E110" s="3" t="s">
        <v>134</v>
      </c>
      <c r="F110" s="10" t="s">
        <v>420</v>
      </c>
      <c r="G110" s="3" t="s">
        <v>421</v>
      </c>
      <c r="H110" s="3" t="s">
        <v>430</v>
      </c>
      <c r="I110" s="3" t="s">
        <v>42</v>
      </c>
      <c r="J110" s="3">
        <v>16</v>
      </c>
      <c r="K110" s="9" t="s">
        <v>431</v>
      </c>
      <c r="L110" s="9" t="s">
        <v>41</v>
      </c>
      <c r="M110" s="3" t="s">
        <v>415</v>
      </c>
      <c r="N110" s="3" t="s">
        <v>424</v>
      </c>
      <c r="O110" s="3" t="s">
        <v>432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408</v>
      </c>
      <c r="T110" s="3" t="str">
        <f t="shared" si="34"/>
        <v>198</v>
      </c>
      <c r="U110" s="3">
        <f t="shared" si="25"/>
        <v>102</v>
      </c>
      <c r="V110" s="3" t="str">
        <f t="shared" si="35"/>
        <v>66</v>
      </c>
      <c r="W110" s="3" t="str">
        <f t="shared" si="36"/>
        <v/>
      </c>
      <c r="X110" s="3" t="str">
        <f t="shared" si="37"/>
        <v/>
      </c>
      <c r="Y110" s="3" t="str">
        <f t="shared" si="38"/>
        <v>X</v>
      </c>
      <c r="Z110" s="3" t="str">
        <f t="shared" si="39"/>
        <v>X</v>
      </c>
      <c r="AA110" s="3" t="str">
        <f t="shared" si="26"/>
        <v/>
      </c>
      <c r="AB110" s="3" t="str">
        <f t="shared" si="27"/>
        <v/>
      </c>
      <c r="AC110" s="3" t="str">
        <f t="shared" si="28"/>
        <v>(15 downto 8)</v>
      </c>
      <c r="AD110" s="3" t="str">
        <f t="shared" si="29"/>
        <v>(7 downto 0)</v>
      </c>
      <c r="AE110" s="3" t="str">
        <f t="shared" si="30"/>
        <v/>
      </c>
      <c r="AF110" s="3" t="str">
        <f t="shared" si="31"/>
        <v/>
      </c>
      <c r="AG110" s="3" t="str">
        <f t="shared" si="32"/>
        <v>(15 downto 8)</v>
      </c>
      <c r="AH110" s="3" t="str">
        <f t="shared" si="33"/>
        <v>(7 downto 0)</v>
      </c>
    </row>
    <row r="111" spans="2:38" x14ac:dyDescent="0.25">
      <c r="B111" s="3" t="s">
        <v>418</v>
      </c>
      <c r="C111" s="3" t="s">
        <v>433</v>
      </c>
      <c r="D111" s="3" t="s">
        <v>1</v>
      </c>
      <c r="E111" s="3" t="s">
        <v>134</v>
      </c>
      <c r="F111" s="3" t="s">
        <v>420</v>
      </c>
      <c r="G111" s="3" t="s">
        <v>421</v>
      </c>
      <c r="H111" s="3" t="s">
        <v>434</v>
      </c>
      <c r="I111" s="3" t="s">
        <v>42</v>
      </c>
      <c r="J111" s="3">
        <v>16</v>
      </c>
      <c r="K111" s="3" t="s">
        <v>2023</v>
      </c>
      <c r="L111" s="9" t="s">
        <v>41</v>
      </c>
      <c r="M111" s="3" t="s">
        <v>415</v>
      </c>
      <c r="N111" s="3" t="s">
        <v>424</v>
      </c>
      <c r="O111" s="3" t="s">
        <v>435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410</v>
      </c>
      <c r="T111" s="3" t="str">
        <f t="shared" si="34"/>
        <v>19A</v>
      </c>
      <c r="U111" s="3">
        <f t="shared" si="25"/>
        <v>102</v>
      </c>
      <c r="V111" s="3" t="str">
        <f t="shared" si="35"/>
        <v>66</v>
      </c>
      <c r="W111" s="3" t="str">
        <f t="shared" si="36"/>
        <v>X</v>
      </c>
      <c r="X111" s="3" t="str">
        <f t="shared" si="37"/>
        <v>X</v>
      </c>
      <c r="Y111" s="3" t="str">
        <f t="shared" si="38"/>
        <v/>
      </c>
      <c r="Z111" s="3" t="str">
        <f t="shared" si="39"/>
        <v/>
      </c>
      <c r="AA111" s="3" t="str">
        <f t="shared" si="26"/>
        <v>(31 downto 24)</v>
      </c>
      <c r="AB111" s="3" t="str">
        <f t="shared" si="27"/>
        <v>(23 downto 16)</v>
      </c>
      <c r="AC111" s="3" t="str">
        <f t="shared" si="28"/>
        <v/>
      </c>
      <c r="AD111" s="3" t="str">
        <f t="shared" si="29"/>
        <v/>
      </c>
      <c r="AE111" s="3" t="str">
        <f t="shared" si="30"/>
        <v>(15 downto 8)</v>
      </c>
      <c r="AF111" s="3" t="str">
        <f t="shared" si="31"/>
        <v>(7 downto 0)</v>
      </c>
      <c r="AG111" s="3" t="str">
        <f t="shared" si="32"/>
        <v/>
      </c>
      <c r="AH111" s="3" t="str">
        <f t="shared" si="33"/>
        <v/>
      </c>
    </row>
    <row r="112" spans="2:38" x14ac:dyDescent="0.25">
      <c r="B112" s="3" t="s">
        <v>418</v>
      </c>
      <c r="C112" s="3" t="s">
        <v>1310</v>
      </c>
      <c r="D112" s="3" t="s">
        <v>1</v>
      </c>
      <c r="E112" s="3" t="s">
        <v>134</v>
      </c>
      <c r="F112" s="3" t="s">
        <v>420</v>
      </c>
      <c r="G112" s="3" t="s">
        <v>421</v>
      </c>
      <c r="H112" s="3" t="s">
        <v>1312</v>
      </c>
      <c r="I112" s="3" t="s">
        <v>42</v>
      </c>
      <c r="J112" s="3">
        <v>16</v>
      </c>
      <c r="K112" s="3" t="s">
        <v>84</v>
      </c>
      <c r="L112" s="9" t="s">
        <v>41</v>
      </c>
      <c r="M112" s="3" t="s">
        <v>415</v>
      </c>
      <c r="N112" s="3" t="s">
        <v>424</v>
      </c>
      <c r="O112" s="3" t="s">
        <v>1314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412</v>
      </c>
      <c r="T112" s="3" t="str">
        <f t="shared" si="34"/>
        <v>19C</v>
      </c>
      <c r="U112" s="3">
        <f t="shared" si="25"/>
        <v>103</v>
      </c>
      <c r="V112" s="3" t="str">
        <f t="shared" si="35"/>
        <v>67</v>
      </c>
      <c r="W112" s="3" t="str">
        <f t="shared" si="36"/>
        <v/>
      </c>
      <c r="X112" s="3" t="str">
        <f t="shared" si="37"/>
        <v/>
      </c>
      <c r="Y112" s="3" t="str">
        <f t="shared" si="38"/>
        <v>X</v>
      </c>
      <c r="Z112" s="3" t="str">
        <f t="shared" si="39"/>
        <v>X</v>
      </c>
      <c r="AA112" s="3" t="str">
        <f t="shared" si="26"/>
        <v/>
      </c>
      <c r="AB112" s="3" t="str">
        <f t="shared" si="27"/>
        <v/>
      </c>
      <c r="AC112" s="3" t="str">
        <f t="shared" si="28"/>
        <v>(15 downto 8)</v>
      </c>
      <c r="AD112" s="3" t="str">
        <f t="shared" si="29"/>
        <v>(7 downto 0)</v>
      </c>
      <c r="AE112" s="3" t="str">
        <f t="shared" si="30"/>
        <v/>
      </c>
      <c r="AF112" s="3" t="str">
        <f t="shared" si="31"/>
        <v/>
      </c>
      <c r="AG112" s="3" t="str">
        <f t="shared" si="32"/>
        <v>(15 downto 8)</v>
      </c>
      <c r="AH112" s="3" t="str">
        <f t="shared" si="33"/>
        <v>(7 downto 0)</v>
      </c>
    </row>
    <row r="113" spans="2:34" x14ac:dyDescent="0.25">
      <c r="B113" s="3" t="s">
        <v>418</v>
      </c>
      <c r="C113" s="3" t="s">
        <v>1311</v>
      </c>
      <c r="D113" s="3" t="s">
        <v>1</v>
      </c>
      <c r="E113" s="3" t="s">
        <v>134</v>
      </c>
      <c r="F113" s="3" t="s">
        <v>420</v>
      </c>
      <c r="G113" s="3" t="s">
        <v>421</v>
      </c>
      <c r="H113" s="3" t="s">
        <v>1313</v>
      </c>
      <c r="I113" s="3" t="s">
        <v>42</v>
      </c>
      <c r="J113" s="3">
        <v>16</v>
      </c>
      <c r="K113" s="3" t="s">
        <v>2024</v>
      </c>
      <c r="L113" s="9" t="s">
        <v>41</v>
      </c>
      <c r="M113" s="3" t="s">
        <v>415</v>
      </c>
      <c r="N113" s="3" t="s">
        <v>424</v>
      </c>
      <c r="O113" s="3" t="s">
        <v>1315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414</v>
      </c>
      <c r="T113" s="3" t="str">
        <f t="shared" si="34"/>
        <v>19E</v>
      </c>
      <c r="U113" s="3">
        <f t="shared" si="25"/>
        <v>103</v>
      </c>
      <c r="V113" s="3" t="str">
        <f t="shared" si="35"/>
        <v>67</v>
      </c>
      <c r="W113" s="3" t="str">
        <f t="shared" si="36"/>
        <v>X</v>
      </c>
      <c r="X113" s="3" t="str">
        <f t="shared" si="37"/>
        <v>X</v>
      </c>
      <c r="Y113" s="3" t="str">
        <f t="shared" si="38"/>
        <v/>
      </c>
      <c r="Z113" s="3" t="str">
        <f t="shared" si="39"/>
        <v/>
      </c>
      <c r="AA113" s="3" t="str">
        <f t="shared" si="26"/>
        <v>(31 downto 24)</v>
      </c>
      <c r="AB113" s="3" t="str">
        <f t="shared" si="27"/>
        <v>(23 downto 16)</v>
      </c>
      <c r="AC113" s="3" t="str">
        <f t="shared" si="28"/>
        <v/>
      </c>
      <c r="AD113" s="3" t="str">
        <f t="shared" si="29"/>
        <v/>
      </c>
      <c r="AE113" s="3" t="str">
        <f t="shared" si="30"/>
        <v>(15 downto 8)</v>
      </c>
      <c r="AF113" s="3" t="str">
        <f t="shared" si="31"/>
        <v>(7 downto 0)</v>
      </c>
      <c r="AG113" s="3" t="str">
        <f t="shared" si="32"/>
        <v/>
      </c>
      <c r="AH113" s="3" t="str">
        <f t="shared" si="33"/>
        <v/>
      </c>
    </row>
    <row r="114" spans="2:34" x14ac:dyDescent="0.25">
      <c r="B114" s="3" t="s">
        <v>418</v>
      </c>
      <c r="C114" s="3" t="s">
        <v>2217</v>
      </c>
      <c r="D114" s="3" t="s">
        <v>1</v>
      </c>
      <c r="E114" s="3" t="s">
        <v>134</v>
      </c>
      <c r="F114" s="3" t="s">
        <v>420</v>
      </c>
      <c r="G114" s="3" t="s">
        <v>421</v>
      </c>
      <c r="H114" s="3" t="s">
        <v>2218</v>
      </c>
      <c r="I114" s="3" t="s">
        <v>42</v>
      </c>
      <c r="J114" s="3">
        <v>16</v>
      </c>
      <c r="K114" s="3" t="s">
        <v>2219</v>
      </c>
      <c r="L114" s="9" t="s">
        <v>41</v>
      </c>
      <c r="M114" s="3" t="s">
        <v>415</v>
      </c>
      <c r="N114" s="3" t="s">
        <v>424</v>
      </c>
      <c r="O114" s="3" t="s">
        <v>2220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416</v>
      </c>
      <c r="T114" s="3" t="str">
        <f t="shared" si="34"/>
        <v>1A0</v>
      </c>
      <c r="U114" s="3">
        <f t="shared" si="25"/>
        <v>104</v>
      </c>
      <c r="V114" s="3" t="str">
        <f t="shared" si="35"/>
        <v>68</v>
      </c>
      <c r="W114" s="3" t="str">
        <f t="shared" si="36"/>
        <v/>
      </c>
      <c r="X114" s="3" t="str">
        <f t="shared" si="37"/>
        <v/>
      </c>
      <c r="Y114" s="3" t="str">
        <f t="shared" si="38"/>
        <v>X</v>
      </c>
      <c r="Z114" s="3" t="str">
        <f t="shared" si="39"/>
        <v>X</v>
      </c>
      <c r="AA114" s="3" t="str">
        <f t="shared" si="26"/>
        <v/>
      </c>
      <c r="AB114" s="3" t="str">
        <f t="shared" si="27"/>
        <v/>
      </c>
      <c r="AC114" s="3" t="str">
        <f t="shared" si="28"/>
        <v>(15 downto 8)</v>
      </c>
      <c r="AD114" s="3" t="str">
        <f t="shared" si="29"/>
        <v>(7 downto 0)</v>
      </c>
      <c r="AE114" s="3" t="str">
        <f t="shared" si="30"/>
        <v/>
      </c>
      <c r="AF114" s="3" t="str">
        <f t="shared" si="31"/>
        <v/>
      </c>
      <c r="AG114" s="3" t="str">
        <f t="shared" si="32"/>
        <v>(15 downto 8)</v>
      </c>
      <c r="AH114" s="3" t="str">
        <f t="shared" si="33"/>
        <v>(7 downto 0)</v>
      </c>
    </row>
    <row r="115" spans="2:34" x14ac:dyDescent="0.25">
      <c r="B115" s="3" t="s">
        <v>418</v>
      </c>
      <c r="C115" s="3" t="s">
        <v>2221</v>
      </c>
      <c r="D115" s="3" t="s">
        <v>1</v>
      </c>
      <c r="E115" s="3" t="s">
        <v>134</v>
      </c>
      <c r="F115" s="3" t="s">
        <v>420</v>
      </c>
      <c r="G115" s="3" t="s">
        <v>421</v>
      </c>
      <c r="H115" s="3" t="s">
        <v>2222</v>
      </c>
      <c r="I115" s="3" t="s">
        <v>42</v>
      </c>
      <c r="J115" s="3">
        <v>16</v>
      </c>
      <c r="K115" s="3" t="s">
        <v>2223</v>
      </c>
      <c r="L115" s="9" t="s">
        <v>41</v>
      </c>
      <c r="M115" s="3" t="s">
        <v>415</v>
      </c>
      <c r="N115" s="3" t="s">
        <v>424</v>
      </c>
      <c r="O115" s="3" t="s">
        <v>2224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418</v>
      </c>
      <c r="T115" s="3" t="str">
        <f t="shared" si="34"/>
        <v>1A2</v>
      </c>
      <c r="U115" s="3">
        <f t="shared" si="25"/>
        <v>104</v>
      </c>
      <c r="V115" s="3" t="str">
        <f t="shared" si="35"/>
        <v>68</v>
      </c>
      <c r="W115" s="3" t="str">
        <f t="shared" si="36"/>
        <v>X</v>
      </c>
      <c r="X115" s="3" t="str">
        <f t="shared" si="37"/>
        <v>X</v>
      </c>
      <c r="Y115" s="3" t="str">
        <f t="shared" si="38"/>
        <v/>
      </c>
      <c r="Z115" s="3" t="str">
        <f t="shared" si="39"/>
        <v/>
      </c>
      <c r="AA115" s="3" t="str">
        <f t="shared" si="26"/>
        <v>(31 downto 24)</v>
      </c>
      <c r="AB115" s="3" t="str">
        <f t="shared" si="27"/>
        <v>(23 downto 16)</v>
      </c>
      <c r="AC115" s="3" t="str">
        <f t="shared" si="28"/>
        <v/>
      </c>
      <c r="AD115" s="3" t="str">
        <f t="shared" si="29"/>
        <v/>
      </c>
      <c r="AE115" s="3" t="str">
        <f t="shared" si="30"/>
        <v>(15 downto 8)</v>
      </c>
      <c r="AF115" s="3" t="str">
        <f t="shared" si="31"/>
        <v>(7 downto 0)</v>
      </c>
      <c r="AG115" s="3" t="str">
        <f t="shared" si="32"/>
        <v/>
      </c>
      <c r="AH115" s="3" t="str">
        <f t="shared" si="33"/>
        <v/>
      </c>
    </row>
    <row r="116" spans="2:34" x14ac:dyDescent="0.25">
      <c r="B116" s="3" t="s">
        <v>418</v>
      </c>
      <c r="C116" s="3" t="s">
        <v>2225</v>
      </c>
      <c r="D116" s="3" t="s">
        <v>1</v>
      </c>
      <c r="E116" s="3" t="s">
        <v>134</v>
      </c>
      <c r="F116" s="3" t="s">
        <v>420</v>
      </c>
      <c r="G116" s="3" t="s">
        <v>421</v>
      </c>
      <c r="H116" s="3" t="s">
        <v>2226</v>
      </c>
      <c r="I116" s="3" t="s">
        <v>42</v>
      </c>
      <c r="J116" s="3">
        <v>16</v>
      </c>
      <c r="K116" s="3" t="s">
        <v>84</v>
      </c>
      <c r="L116" s="9" t="s">
        <v>41</v>
      </c>
      <c r="M116" s="3" t="s">
        <v>415</v>
      </c>
      <c r="N116" s="3" t="s">
        <v>424</v>
      </c>
      <c r="O116" s="3" t="s">
        <v>2227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420</v>
      </c>
      <c r="T116" s="3" t="str">
        <f t="shared" si="34"/>
        <v>1A4</v>
      </c>
      <c r="U116" s="3">
        <f t="shared" si="25"/>
        <v>105</v>
      </c>
      <c r="V116" s="3" t="str">
        <f t="shared" si="35"/>
        <v>69</v>
      </c>
      <c r="W116" s="3" t="str">
        <f t="shared" si="36"/>
        <v/>
      </c>
      <c r="X116" s="3" t="str">
        <f t="shared" si="37"/>
        <v/>
      </c>
      <c r="Y116" s="3" t="str">
        <f t="shared" si="38"/>
        <v>X</v>
      </c>
      <c r="Z116" s="3" t="str">
        <f t="shared" si="39"/>
        <v>X</v>
      </c>
      <c r="AA116" s="3" t="str">
        <f t="shared" si="26"/>
        <v/>
      </c>
      <c r="AB116" s="3" t="str">
        <f t="shared" si="27"/>
        <v/>
      </c>
      <c r="AC116" s="3" t="str">
        <f t="shared" si="28"/>
        <v>(15 downto 8)</v>
      </c>
      <c r="AD116" s="3" t="str">
        <f t="shared" si="29"/>
        <v>(7 downto 0)</v>
      </c>
      <c r="AE116" s="3" t="str">
        <f t="shared" si="30"/>
        <v/>
      </c>
      <c r="AF116" s="3" t="str">
        <f t="shared" si="31"/>
        <v/>
      </c>
      <c r="AG116" s="3" t="str">
        <f t="shared" si="32"/>
        <v>(15 downto 8)</v>
      </c>
      <c r="AH116" s="3" t="str">
        <f t="shared" si="33"/>
        <v>(7 downto 0)</v>
      </c>
    </row>
    <row r="117" spans="2:34" x14ac:dyDescent="0.25">
      <c r="B117" s="3" t="s">
        <v>418</v>
      </c>
      <c r="C117" s="3" t="s">
        <v>2228</v>
      </c>
      <c r="D117" s="3" t="s">
        <v>1</v>
      </c>
      <c r="E117" s="3" t="s">
        <v>134</v>
      </c>
      <c r="F117" s="3" t="s">
        <v>420</v>
      </c>
      <c r="G117" s="3" t="s">
        <v>421</v>
      </c>
      <c r="H117" s="3" t="s">
        <v>2229</v>
      </c>
      <c r="I117" s="3" t="s">
        <v>42</v>
      </c>
      <c r="J117" s="3">
        <v>16</v>
      </c>
      <c r="K117" s="3" t="s">
        <v>2230</v>
      </c>
      <c r="L117" s="9" t="s">
        <v>41</v>
      </c>
      <c r="M117" s="3" t="s">
        <v>415</v>
      </c>
      <c r="N117" s="3" t="s">
        <v>424</v>
      </c>
      <c r="O117" s="3" t="s">
        <v>2231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422</v>
      </c>
      <c r="T117" s="3" t="str">
        <f t="shared" si="34"/>
        <v>1A6</v>
      </c>
      <c r="U117" s="3">
        <f t="shared" si="25"/>
        <v>105</v>
      </c>
      <c r="V117" s="3" t="str">
        <f t="shared" si="35"/>
        <v>69</v>
      </c>
      <c r="W117" s="3" t="str">
        <f t="shared" si="36"/>
        <v>X</v>
      </c>
      <c r="X117" s="3" t="str">
        <f t="shared" si="37"/>
        <v>X</v>
      </c>
      <c r="Y117" s="3" t="str">
        <f t="shared" si="38"/>
        <v/>
      </c>
      <c r="Z117" s="3" t="str">
        <f t="shared" si="39"/>
        <v/>
      </c>
      <c r="AA117" s="3" t="str">
        <f t="shared" si="26"/>
        <v>(31 downto 24)</v>
      </c>
      <c r="AB117" s="3" t="str">
        <f t="shared" si="27"/>
        <v>(23 downto 16)</v>
      </c>
      <c r="AC117" s="3" t="str">
        <f t="shared" si="28"/>
        <v/>
      </c>
      <c r="AD117" s="3" t="str">
        <f t="shared" si="29"/>
        <v/>
      </c>
      <c r="AE117" s="3" t="str">
        <f t="shared" si="30"/>
        <v>(15 downto 8)</v>
      </c>
      <c r="AF117" s="3" t="str">
        <f t="shared" si="31"/>
        <v>(7 downto 0)</v>
      </c>
      <c r="AG117" s="3" t="str">
        <f t="shared" si="32"/>
        <v/>
      </c>
      <c r="AH117" s="3" t="str">
        <f t="shared" si="33"/>
        <v/>
      </c>
    </row>
    <row r="118" spans="2:34" x14ac:dyDescent="0.25">
      <c r="B118" s="3" t="s">
        <v>418</v>
      </c>
      <c r="C118" s="3" t="s">
        <v>2232</v>
      </c>
      <c r="D118" s="3" t="s">
        <v>1</v>
      </c>
      <c r="E118" s="3" t="s">
        <v>134</v>
      </c>
      <c r="F118" s="3" t="s">
        <v>420</v>
      </c>
      <c r="G118" s="3" t="s">
        <v>421</v>
      </c>
      <c r="H118" s="3" t="s">
        <v>2233</v>
      </c>
      <c r="I118" s="3" t="s">
        <v>42</v>
      </c>
      <c r="J118" s="3">
        <v>1</v>
      </c>
      <c r="K118" s="3" t="s">
        <v>129</v>
      </c>
      <c r="L118" s="9" t="s">
        <v>41</v>
      </c>
      <c r="M118" s="3" t="s">
        <v>415</v>
      </c>
      <c r="N118" s="3" t="s">
        <v>424</v>
      </c>
      <c r="O118" s="3" t="s">
        <v>2234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424</v>
      </c>
      <c r="T118" s="3" t="str">
        <f t="shared" si="34"/>
        <v>1A8</v>
      </c>
      <c r="U118" s="3">
        <f t="shared" si="25"/>
        <v>106</v>
      </c>
      <c r="V118" s="3" t="str">
        <f t="shared" si="35"/>
        <v>6A</v>
      </c>
      <c r="W118" s="3" t="str">
        <f t="shared" si="36"/>
        <v/>
      </c>
      <c r="X118" s="3" t="str">
        <f t="shared" si="37"/>
        <v/>
      </c>
      <c r="Y118" s="3" t="str">
        <f t="shared" si="38"/>
        <v/>
      </c>
      <c r="Z118" s="3" t="str">
        <f t="shared" si="39"/>
        <v>X</v>
      </c>
      <c r="AA118" s="3" t="str">
        <f t="shared" si="26"/>
        <v/>
      </c>
      <c r="AB118" s="3" t="str">
        <f t="shared" si="27"/>
        <v/>
      </c>
      <c r="AC118" s="3" t="str">
        <f t="shared" si="28"/>
        <v/>
      </c>
      <c r="AD118" s="3" t="str">
        <f t="shared" si="29"/>
        <v>(0)</v>
      </c>
      <c r="AE118" s="3" t="str">
        <f t="shared" si="30"/>
        <v/>
      </c>
      <c r="AF118" s="3" t="str">
        <f t="shared" si="31"/>
        <v/>
      </c>
      <c r="AG118" s="3" t="str">
        <f t="shared" si="32"/>
        <v/>
      </c>
      <c r="AH118" s="3" t="str">
        <f t="shared" si="33"/>
        <v/>
      </c>
    </row>
    <row r="119" spans="2:34" x14ac:dyDescent="0.25">
      <c r="B119" s="3" t="s">
        <v>418</v>
      </c>
      <c r="C119" s="3" t="s">
        <v>2235</v>
      </c>
      <c r="D119" s="3" t="s">
        <v>1</v>
      </c>
      <c r="E119" s="3" t="s">
        <v>134</v>
      </c>
      <c r="F119" s="3" t="s">
        <v>420</v>
      </c>
      <c r="G119" s="3" t="s">
        <v>421</v>
      </c>
      <c r="H119" s="3" t="s">
        <v>2236</v>
      </c>
      <c r="I119" s="3" t="s">
        <v>42</v>
      </c>
      <c r="J119" s="3">
        <v>1</v>
      </c>
      <c r="K119" s="3" t="s">
        <v>129</v>
      </c>
      <c r="L119" s="9" t="s">
        <v>41</v>
      </c>
      <c r="M119" s="3" t="s">
        <v>415</v>
      </c>
      <c r="N119" s="3" t="s">
        <v>424</v>
      </c>
      <c r="O119" s="3" t="s">
        <v>2237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428</v>
      </c>
      <c r="T119" s="3" t="str">
        <f t="shared" si="34"/>
        <v>1AC</v>
      </c>
      <c r="U119" s="3">
        <f t="shared" si="25"/>
        <v>107</v>
      </c>
      <c r="V119" s="3" t="str">
        <f t="shared" si="35"/>
        <v>6B</v>
      </c>
      <c r="W119" s="3" t="str">
        <f t="shared" si="36"/>
        <v/>
      </c>
      <c r="X119" s="3" t="str">
        <f t="shared" si="37"/>
        <v/>
      </c>
      <c r="Y119" s="3" t="str">
        <f t="shared" si="38"/>
        <v/>
      </c>
      <c r="Z119" s="3" t="str">
        <f t="shared" si="39"/>
        <v>X</v>
      </c>
      <c r="AA119" s="3" t="str">
        <f t="shared" si="26"/>
        <v/>
      </c>
      <c r="AB119" s="3" t="str">
        <f t="shared" si="27"/>
        <v/>
      </c>
      <c r="AC119" s="3" t="str">
        <f t="shared" si="28"/>
        <v/>
      </c>
      <c r="AD119" s="3" t="str">
        <f t="shared" si="29"/>
        <v>(0)</v>
      </c>
      <c r="AE119" s="3" t="str">
        <f t="shared" si="30"/>
        <v/>
      </c>
      <c r="AF119" s="3" t="str">
        <f t="shared" si="31"/>
        <v/>
      </c>
      <c r="AG119" s="3" t="str">
        <f t="shared" si="32"/>
        <v/>
      </c>
      <c r="AH119" s="3" t="str">
        <f t="shared" si="33"/>
        <v/>
      </c>
    </row>
    <row r="120" spans="2:34" x14ac:dyDescent="0.25">
      <c r="B120" s="3" t="s">
        <v>418</v>
      </c>
      <c r="C120" s="3" t="s">
        <v>436</v>
      </c>
      <c r="D120" s="3" t="s">
        <v>1</v>
      </c>
      <c r="E120" s="3" t="s">
        <v>134</v>
      </c>
      <c r="F120" s="3" t="s">
        <v>420</v>
      </c>
      <c r="G120" s="3" t="s">
        <v>421</v>
      </c>
      <c r="H120" s="3" t="s">
        <v>437</v>
      </c>
      <c r="I120" s="3" t="s">
        <v>42</v>
      </c>
      <c r="J120" s="3">
        <v>16</v>
      </c>
      <c r="K120" s="3" t="s">
        <v>438</v>
      </c>
      <c r="L120" s="9" t="s">
        <v>41</v>
      </c>
      <c r="M120" s="3" t="s">
        <v>415</v>
      </c>
      <c r="N120" s="3" t="s">
        <v>424</v>
      </c>
      <c r="O120" s="3" t="s">
        <v>439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432</v>
      </c>
      <c r="T120" s="3" t="str">
        <f t="shared" si="34"/>
        <v>1B0</v>
      </c>
      <c r="U120" s="3">
        <f t="shared" si="25"/>
        <v>108</v>
      </c>
      <c r="V120" s="3" t="str">
        <f t="shared" si="35"/>
        <v>6C</v>
      </c>
      <c r="W120" s="3" t="str">
        <f t="shared" si="36"/>
        <v/>
      </c>
      <c r="X120" s="3" t="str">
        <f t="shared" si="37"/>
        <v/>
      </c>
      <c r="Y120" s="3" t="str">
        <f t="shared" si="38"/>
        <v>X</v>
      </c>
      <c r="Z120" s="3" t="str">
        <f t="shared" si="39"/>
        <v>X</v>
      </c>
      <c r="AA120" s="3" t="str">
        <f t="shared" si="26"/>
        <v/>
      </c>
      <c r="AB120" s="3" t="str">
        <f t="shared" si="27"/>
        <v/>
      </c>
      <c r="AC120" s="3" t="str">
        <f t="shared" si="28"/>
        <v>(15 downto 8)</v>
      </c>
      <c r="AD120" s="3" t="str">
        <f t="shared" si="29"/>
        <v>(7 downto 0)</v>
      </c>
      <c r="AE120" s="3" t="str">
        <f t="shared" si="30"/>
        <v/>
      </c>
      <c r="AF120" s="3" t="str">
        <f t="shared" si="31"/>
        <v/>
      </c>
      <c r="AG120" s="3" t="str">
        <f t="shared" si="32"/>
        <v>(15 downto 8)</v>
      </c>
      <c r="AH120" s="3" t="str">
        <f t="shared" si="33"/>
        <v>(7 downto 0)</v>
      </c>
    </row>
    <row r="121" spans="2:34" x14ac:dyDescent="0.25">
      <c r="B121" s="3" t="s">
        <v>418</v>
      </c>
      <c r="C121" s="3" t="s">
        <v>440</v>
      </c>
      <c r="D121" s="3" t="s">
        <v>1</v>
      </c>
      <c r="E121" s="3" t="s">
        <v>134</v>
      </c>
      <c r="F121" s="3" t="s">
        <v>420</v>
      </c>
      <c r="G121" s="3" t="s">
        <v>421</v>
      </c>
      <c r="H121" s="3" t="s">
        <v>441</v>
      </c>
      <c r="I121" s="3" t="s">
        <v>42</v>
      </c>
      <c r="J121" s="3">
        <v>8</v>
      </c>
      <c r="K121" s="3" t="s">
        <v>442</v>
      </c>
      <c r="L121" s="9" t="s">
        <v>41</v>
      </c>
      <c r="M121" s="3" t="s">
        <v>415</v>
      </c>
      <c r="N121" s="3" t="s">
        <v>424</v>
      </c>
      <c r="O121" s="3" t="s">
        <v>443</v>
      </c>
      <c r="P121" s="3" t="s">
        <v>48</v>
      </c>
      <c r="Q121" s="3">
        <f>INDEX(Tables!$C$4:$C$28,MATCH($P121,Tables!$B$4:$B$28,0))</f>
        <v>8</v>
      </c>
      <c r="R121" s="3">
        <f>INDEX(Tables!$D$4:$D$28,MATCH($P121,Tables!$B$4:$B$28,0))</f>
        <v>1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434</v>
      </c>
      <c r="T121" s="3" t="str">
        <f t="shared" si="34"/>
        <v>1B2</v>
      </c>
      <c r="U121" s="3">
        <f t="shared" si="25"/>
        <v>108</v>
      </c>
      <c r="V121" s="3" t="str">
        <f t="shared" si="35"/>
        <v>6C</v>
      </c>
      <c r="W121" s="3" t="str">
        <f t="shared" si="36"/>
        <v/>
      </c>
      <c r="X121" s="3" t="str">
        <f t="shared" si="37"/>
        <v>X</v>
      </c>
      <c r="Y121" s="3" t="str">
        <f t="shared" si="38"/>
        <v/>
      </c>
      <c r="Z121" s="3" t="str">
        <f t="shared" si="39"/>
        <v/>
      </c>
      <c r="AA121" s="3" t="str">
        <f t="shared" si="26"/>
        <v/>
      </c>
      <c r="AB121" s="3" t="str">
        <f t="shared" si="27"/>
        <v>(23 downto 16)</v>
      </c>
      <c r="AC121" s="3" t="str">
        <f t="shared" si="28"/>
        <v/>
      </c>
      <c r="AD121" s="3" t="str">
        <f t="shared" si="29"/>
        <v/>
      </c>
      <c r="AE121" s="3" t="str">
        <f t="shared" si="30"/>
        <v/>
      </c>
      <c r="AF121" s="3" t="str">
        <f t="shared" si="31"/>
        <v/>
      </c>
      <c r="AG121" s="3" t="str">
        <f t="shared" si="32"/>
        <v/>
      </c>
      <c r="AH121" s="3" t="str">
        <f t="shared" si="33"/>
        <v/>
      </c>
    </row>
    <row r="122" spans="2:34" x14ac:dyDescent="0.25">
      <c r="B122" s="3" t="s">
        <v>418</v>
      </c>
      <c r="C122" s="3" t="s">
        <v>444</v>
      </c>
      <c r="D122" s="3" t="s">
        <v>1</v>
      </c>
      <c r="E122" s="3" t="s">
        <v>134</v>
      </c>
      <c r="F122" s="3" t="s">
        <v>420</v>
      </c>
      <c r="G122" s="3" t="s">
        <v>421</v>
      </c>
      <c r="H122" s="3" t="s">
        <v>445</v>
      </c>
      <c r="I122" s="3" t="s">
        <v>42</v>
      </c>
      <c r="J122" s="3">
        <v>8</v>
      </c>
      <c r="K122" s="3" t="s">
        <v>446</v>
      </c>
      <c r="L122" s="9" t="s">
        <v>41</v>
      </c>
      <c r="M122" s="3" t="s">
        <v>415</v>
      </c>
      <c r="N122" s="3" t="s">
        <v>424</v>
      </c>
      <c r="O122" s="3" t="s">
        <v>447</v>
      </c>
      <c r="P122" s="3" t="s">
        <v>48</v>
      </c>
      <c r="Q122" s="3">
        <f>INDEX(Tables!$C$4:$C$28,MATCH($P122,Tables!$B$4:$B$28,0))</f>
        <v>8</v>
      </c>
      <c r="R122" s="3">
        <f>INDEX(Tables!$D$4:$D$28,MATCH($P122,Tables!$B$4:$B$28,0))</f>
        <v>1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435</v>
      </c>
      <c r="T122" s="3" t="str">
        <f t="shared" si="34"/>
        <v>1B3</v>
      </c>
      <c r="U122" s="3">
        <f t="shared" si="25"/>
        <v>108</v>
      </c>
      <c r="V122" s="3" t="str">
        <f t="shared" si="35"/>
        <v>6C</v>
      </c>
      <c r="W122" s="3" t="str">
        <f t="shared" si="36"/>
        <v>X</v>
      </c>
      <c r="X122" s="3" t="str">
        <f t="shared" si="37"/>
        <v/>
      </c>
      <c r="Y122" s="3" t="str">
        <f t="shared" si="38"/>
        <v/>
      </c>
      <c r="Z122" s="3" t="str">
        <f t="shared" si="39"/>
        <v/>
      </c>
      <c r="AA122" s="3" t="str">
        <f t="shared" si="26"/>
        <v>(31 downto 24)</v>
      </c>
      <c r="AB122" s="3" t="str">
        <f t="shared" si="27"/>
        <v/>
      </c>
      <c r="AC122" s="3" t="str">
        <f t="shared" si="28"/>
        <v/>
      </c>
      <c r="AD122" s="3" t="str">
        <f t="shared" si="29"/>
        <v/>
      </c>
      <c r="AE122" s="3" t="str">
        <f t="shared" si="30"/>
        <v/>
      </c>
      <c r="AF122" s="3" t="str">
        <f t="shared" si="31"/>
        <v/>
      </c>
      <c r="AG122" s="3" t="str">
        <f t="shared" si="32"/>
        <v/>
      </c>
      <c r="AH122" s="3" t="str">
        <f t="shared" si="33"/>
        <v/>
      </c>
    </row>
    <row r="123" spans="2:34" x14ac:dyDescent="0.25">
      <c r="B123" s="3" t="s">
        <v>418</v>
      </c>
      <c r="C123" s="3" t="s">
        <v>448</v>
      </c>
      <c r="D123" s="3" t="s">
        <v>1</v>
      </c>
      <c r="E123" s="3" t="s">
        <v>134</v>
      </c>
      <c r="F123" s="3" t="s">
        <v>420</v>
      </c>
      <c r="G123" s="3" t="s">
        <v>421</v>
      </c>
      <c r="H123" s="3" t="s">
        <v>449</v>
      </c>
      <c r="I123" s="3" t="s">
        <v>42</v>
      </c>
      <c r="J123" s="3">
        <v>5</v>
      </c>
      <c r="K123" s="3" t="s">
        <v>1832</v>
      </c>
      <c r="L123" s="9" t="s">
        <v>41</v>
      </c>
      <c r="M123" s="3" t="s">
        <v>415</v>
      </c>
      <c r="N123" s="3" t="s">
        <v>424</v>
      </c>
      <c r="O123" s="3" t="s">
        <v>450</v>
      </c>
      <c r="P123" s="3" t="s">
        <v>48</v>
      </c>
      <c r="Q123" s="3">
        <f>INDEX(Tables!$C$4:$C$28,MATCH($P123,Tables!$B$4:$B$28,0))</f>
        <v>8</v>
      </c>
      <c r="R123" s="3">
        <f>INDEX(Tables!$D$4:$D$28,MATCH($P123,Tables!$B$4:$B$28,0))</f>
        <v>1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436</v>
      </c>
      <c r="T123" s="3" t="str">
        <f t="shared" si="34"/>
        <v>1B4</v>
      </c>
      <c r="U123" s="3">
        <f t="shared" si="25"/>
        <v>109</v>
      </c>
      <c r="V123" s="3" t="str">
        <f t="shared" si="35"/>
        <v>6D</v>
      </c>
      <c r="W123" s="3" t="str">
        <f t="shared" si="36"/>
        <v/>
      </c>
      <c r="X123" s="3" t="str">
        <f t="shared" si="37"/>
        <v/>
      </c>
      <c r="Y123" s="3" t="str">
        <f t="shared" si="38"/>
        <v/>
      </c>
      <c r="Z123" s="3" t="str">
        <f t="shared" si="39"/>
        <v>X</v>
      </c>
      <c r="AA123" s="3" t="str">
        <f t="shared" si="26"/>
        <v/>
      </c>
      <c r="AB123" s="3" t="str">
        <f t="shared" si="27"/>
        <v/>
      </c>
      <c r="AC123" s="3" t="str">
        <f t="shared" si="28"/>
        <v/>
      </c>
      <c r="AD123" s="3" t="str">
        <f t="shared" si="29"/>
        <v>(4 downto 0)</v>
      </c>
      <c r="AE123" s="3" t="str">
        <f t="shared" si="30"/>
        <v/>
      </c>
      <c r="AF123" s="3" t="str">
        <f t="shared" si="31"/>
        <v/>
      </c>
      <c r="AG123" s="3" t="str">
        <f t="shared" si="32"/>
        <v/>
      </c>
      <c r="AH123" s="3" t="str">
        <f t="shared" si="33"/>
        <v/>
      </c>
    </row>
    <row r="124" spans="2:34" x14ac:dyDescent="0.25">
      <c r="B124" s="3" t="s">
        <v>418</v>
      </c>
      <c r="C124" s="3" t="s">
        <v>451</v>
      </c>
      <c r="D124" s="3" t="s">
        <v>1</v>
      </c>
      <c r="E124" s="3" t="s">
        <v>134</v>
      </c>
      <c r="F124" s="3" t="s">
        <v>420</v>
      </c>
      <c r="G124" s="3" t="s">
        <v>421</v>
      </c>
      <c r="H124" s="3" t="s">
        <v>452</v>
      </c>
      <c r="I124" s="3" t="s">
        <v>42</v>
      </c>
      <c r="J124" s="3">
        <v>2</v>
      </c>
      <c r="K124" s="3" t="s">
        <v>83</v>
      </c>
      <c r="L124" s="9" t="s">
        <v>41</v>
      </c>
      <c r="M124" s="3" t="s">
        <v>415</v>
      </c>
      <c r="N124" s="3" t="s">
        <v>424</v>
      </c>
      <c r="O124" s="3" t="s">
        <v>453</v>
      </c>
      <c r="P124" s="3" t="s">
        <v>48</v>
      </c>
      <c r="Q124" s="3">
        <f>INDEX(Tables!$C$4:$C$28,MATCH($P124,Tables!$B$4:$B$28,0))</f>
        <v>8</v>
      </c>
      <c r="R124" s="3">
        <f>INDEX(Tables!$D$4:$D$28,MATCH($P124,Tables!$B$4:$B$28,0))</f>
        <v>1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437</v>
      </c>
      <c r="T124" s="3" t="str">
        <f t="shared" si="34"/>
        <v>1B5</v>
      </c>
      <c r="U124" s="3">
        <f t="shared" si="25"/>
        <v>109</v>
      </c>
      <c r="V124" s="3" t="str">
        <f t="shared" si="35"/>
        <v>6D</v>
      </c>
      <c r="W124" s="3" t="str">
        <f t="shared" si="36"/>
        <v/>
      </c>
      <c r="X124" s="3" t="str">
        <f t="shared" si="37"/>
        <v/>
      </c>
      <c r="Y124" s="3" t="str">
        <f t="shared" si="38"/>
        <v>X</v>
      </c>
      <c r="Z124" s="3" t="str">
        <f t="shared" si="39"/>
        <v/>
      </c>
      <c r="AA124" s="3" t="str">
        <f t="shared" si="26"/>
        <v/>
      </c>
      <c r="AB124" s="3" t="str">
        <f t="shared" si="27"/>
        <v/>
      </c>
      <c r="AC124" s="3" t="str">
        <f t="shared" si="28"/>
        <v>(9 downto 8)</v>
      </c>
      <c r="AD124" s="3" t="str">
        <f t="shared" si="29"/>
        <v/>
      </c>
      <c r="AE124" s="3" t="str">
        <f t="shared" si="30"/>
        <v/>
      </c>
      <c r="AF124" s="3" t="str">
        <f t="shared" si="31"/>
        <v/>
      </c>
      <c r="AG124" s="3" t="str">
        <f t="shared" si="32"/>
        <v/>
      </c>
      <c r="AH124" s="3" t="str">
        <f t="shared" si="33"/>
        <v/>
      </c>
    </row>
    <row r="125" spans="2:34" x14ac:dyDescent="0.25">
      <c r="B125" s="3" t="s">
        <v>1837</v>
      </c>
      <c r="C125" s="3" t="s">
        <v>1838</v>
      </c>
      <c r="D125" s="3" t="s">
        <v>1</v>
      </c>
      <c r="E125" s="3" t="s">
        <v>134</v>
      </c>
      <c r="F125" s="3" t="s">
        <v>1839</v>
      </c>
      <c r="G125" s="3" t="s">
        <v>1840</v>
      </c>
      <c r="H125" s="3" t="s">
        <v>1841</v>
      </c>
      <c r="I125" s="3" t="s">
        <v>42</v>
      </c>
      <c r="J125" s="3">
        <v>1</v>
      </c>
      <c r="K125" s="3" t="s">
        <v>82</v>
      </c>
      <c r="L125" s="9" t="s">
        <v>82</v>
      </c>
      <c r="M125" s="3" t="s">
        <v>415</v>
      </c>
      <c r="N125" s="3" t="s">
        <v>1842</v>
      </c>
      <c r="O125" s="3" t="s">
        <v>1843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34"/>
        <v>1B8</v>
      </c>
      <c r="U125" s="3">
        <f t="shared" si="25"/>
        <v>110</v>
      </c>
      <c r="V125" s="3" t="str">
        <f t="shared" si="35"/>
        <v>6E</v>
      </c>
      <c r="W125" s="3" t="str">
        <f t="shared" si="36"/>
        <v/>
      </c>
      <c r="X125" s="3" t="str">
        <f t="shared" si="37"/>
        <v/>
      </c>
      <c r="Y125" s="3" t="str">
        <f t="shared" si="38"/>
        <v/>
      </c>
      <c r="Z125" s="3" t="str">
        <f t="shared" si="39"/>
        <v>X</v>
      </c>
      <c r="AA125" s="3" t="str">
        <f t="shared" si="26"/>
        <v/>
      </c>
      <c r="AB125" s="3" t="str">
        <f t="shared" si="27"/>
        <v/>
      </c>
      <c r="AC125" s="3" t="str">
        <f t="shared" si="28"/>
        <v/>
      </c>
      <c r="AD125" s="3" t="str">
        <f t="shared" si="29"/>
        <v>(0)</v>
      </c>
      <c r="AE125" s="3" t="str">
        <f t="shared" si="30"/>
        <v/>
      </c>
      <c r="AF125" s="3" t="str">
        <f t="shared" si="31"/>
        <v/>
      </c>
      <c r="AG125" s="3" t="str">
        <f t="shared" si="32"/>
        <v/>
      </c>
      <c r="AH125" s="3" t="str">
        <f t="shared" si="33"/>
        <v/>
      </c>
    </row>
    <row r="126" spans="2:34" x14ac:dyDescent="0.25">
      <c r="B126" s="3" t="s">
        <v>454</v>
      </c>
      <c r="C126" s="3" t="s">
        <v>455</v>
      </c>
      <c r="D126" s="3" t="s">
        <v>0</v>
      </c>
      <c r="E126" s="3" t="s">
        <v>175</v>
      </c>
      <c r="F126" s="3" t="s">
        <v>456</v>
      </c>
      <c r="G126" s="3" t="s">
        <v>457</v>
      </c>
      <c r="H126" s="3" t="s">
        <v>458</v>
      </c>
      <c r="I126" s="3" t="s">
        <v>42</v>
      </c>
      <c r="J126" s="3">
        <v>16</v>
      </c>
      <c r="K126" s="3" t="s">
        <v>41</v>
      </c>
      <c r="L126" s="9" t="s">
        <v>41</v>
      </c>
      <c r="M126" s="3" t="s">
        <v>415</v>
      </c>
      <c r="N126" s="3" t="s">
        <v>459</v>
      </c>
      <c r="O126" s="3" t="s">
        <v>460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444</v>
      </c>
      <c r="T126" s="3" t="str">
        <f t="shared" si="34"/>
        <v>1BC</v>
      </c>
      <c r="U126" s="3">
        <f t="shared" si="25"/>
        <v>111</v>
      </c>
      <c r="V126" s="3" t="str">
        <f t="shared" si="35"/>
        <v>6F</v>
      </c>
      <c r="W126" s="3" t="str">
        <f t="shared" si="36"/>
        <v/>
      </c>
      <c r="X126" s="3" t="str">
        <f t="shared" si="37"/>
        <v/>
      </c>
      <c r="Y126" s="3" t="str">
        <f t="shared" si="38"/>
        <v>X</v>
      </c>
      <c r="Z126" s="3" t="str">
        <f t="shared" si="39"/>
        <v>X</v>
      </c>
      <c r="AA126" s="3" t="str">
        <f t="shared" si="26"/>
        <v/>
      </c>
      <c r="AB126" s="3" t="str">
        <f t="shared" si="27"/>
        <v/>
      </c>
      <c r="AC126" s="3" t="str">
        <f t="shared" si="28"/>
        <v>(15 downto 8)</v>
      </c>
      <c r="AD126" s="3" t="str">
        <f t="shared" si="29"/>
        <v>(7 downto 0)</v>
      </c>
      <c r="AE126" s="3" t="str">
        <f t="shared" si="30"/>
        <v/>
      </c>
      <c r="AF126" s="3" t="str">
        <f t="shared" si="31"/>
        <v/>
      </c>
      <c r="AG126" s="3" t="str">
        <f t="shared" si="32"/>
        <v>(15 downto 8)</v>
      </c>
      <c r="AH126" s="3" t="str">
        <f t="shared" si="33"/>
        <v>(7 downto 0)</v>
      </c>
    </row>
    <row r="127" spans="2:34" x14ac:dyDescent="0.25">
      <c r="B127" s="3" t="s">
        <v>454</v>
      </c>
      <c r="C127" s="3" t="s">
        <v>461</v>
      </c>
      <c r="D127" s="3" t="s">
        <v>0</v>
      </c>
      <c r="E127" s="3" t="s">
        <v>175</v>
      </c>
      <c r="F127" s="3" t="s">
        <v>456</v>
      </c>
      <c r="G127" s="3" t="s">
        <v>457</v>
      </c>
      <c r="H127" s="3" t="s">
        <v>462</v>
      </c>
      <c r="I127" s="3" t="s">
        <v>42</v>
      </c>
      <c r="J127" s="3">
        <v>16</v>
      </c>
      <c r="K127" s="3" t="s">
        <v>41</v>
      </c>
      <c r="L127" s="9" t="s">
        <v>41</v>
      </c>
      <c r="M127" s="3" t="s">
        <v>415</v>
      </c>
      <c r="N127" s="3" t="s">
        <v>459</v>
      </c>
      <c r="O127" s="3" t="s">
        <v>463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446</v>
      </c>
      <c r="T127" s="3" t="str">
        <f t="shared" si="34"/>
        <v>1BE</v>
      </c>
      <c r="U127" s="3">
        <f t="shared" si="25"/>
        <v>111</v>
      </c>
      <c r="V127" s="3" t="str">
        <f t="shared" si="35"/>
        <v>6F</v>
      </c>
      <c r="W127" s="3" t="str">
        <f t="shared" si="36"/>
        <v>X</v>
      </c>
      <c r="X127" s="3" t="str">
        <f t="shared" si="37"/>
        <v>X</v>
      </c>
      <c r="Y127" s="3" t="str">
        <f t="shared" si="38"/>
        <v/>
      </c>
      <c r="Z127" s="3" t="str">
        <f t="shared" si="39"/>
        <v/>
      </c>
      <c r="AA127" s="3" t="str">
        <f t="shared" si="26"/>
        <v>(31 downto 24)</v>
      </c>
      <c r="AB127" s="3" t="str">
        <f t="shared" si="27"/>
        <v>(23 downto 16)</v>
      </c>
      <c r="AC127" s="3" t="str">
        <f t="shared" si="28"/>
        <v/>
      </c>
      <c r="AD127" s="3" t="str">
        <f t="shared" si="29"/>
        <v/>
      </c>
      <c r="AE127" s="3" t="str">
        <f t="shared" si="30"/>
        <v>(15 downto 8)</v>
      </c>
      <c r="AF127" s="3" t="str">
        <f t="shared" si="31"/>
        <v>(7 downto 0)</v>
      </c>
      <c r="AG127" s="3" t="str">
        <f t="shared" si="32"/>
        <v/>
      </c>
      <c r="AH127" s="3" t="str">
        <f t="shared" si="33"/>
        <v/>
      </c>
    </row>
    <row r="128" spans="2:34" x14ac:dyDescent="0.25">
      <c r="B128" s="3" t="s">
        <v>454</v>
      </c>
      <c r="C128" s="3" t="s">
        <v>464</v>
      </c>
      <c r="D128" s="3" t="s">
        <v>0</v>
      </c>
      <c r="E128" s="3" t="s">
        <v>175</v>
      </c>
      <c r="F128" s="3" t="s">
        <v>456</v>
      </c>
      <c r="G128" s="3" t="s">
        <v>457</v>
      </c>
      <c r="H128" s="3" t="s">
        <v>465</v>
      </c>
      <c r="I128" s="3" t="s">
        <v>42</v>
      </c>
      <c r="J128" s="3">
        <v>16</v>
      </c>
      <c r="K128" s="3" t="s">
        <v>41</v>
      </c>
      <c r="L128" s="9" t="s">
        <v>41</v>
      </c>
      <c r="M128" s="3" t="s">
        <v>415</v>
      </c>
      <c r="N128" s="3" t="s">
        <v>459</v>
      </c>
      <c r="O128" s="3" t="s">
        <v>131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448</v>
      </c>
      <c r="T128" s="3" t="str">
        <f t="shared" si="34"/>
        <v>1C0</v>
      </c>
      <c r="U128" s="3">
        <f t="shared" si="25"/>
        <v>112</v>
      </c>
      <c r="V128" s="3" t="str">
        <f t="shared" si="35"/>
        <v>70</v>
      </c>
      <c r="W128" s="3" t="str">
        <f t="shared" si="36"/>
        <v/>
      </c>
      <c r="X128" s="3" t="str">
        <f t="shared" si="37"/>
        <v/>
      </c>
      <c r="Y128" s="3" t="str">
        <f t="shared" si="38"/>
        <v>X</v>
      </c>
      <c r="Z128" s="3" t="str">
        <f t="shared" si="39"/>
        <v>X</v>
      </c>
      <c r="AA128" s="3" t="str">
        <f t="shared" si="26"/>
        <v/>
      </c>
      <c r="AB128" s="3" t="str">
        <f t="shared" si="27"/>
        <v/>
      </c>
      <c r="AC128" s="3" t="str">
        <f t="shared" si="28"/>
        <v>(15 downto 8)</v>
      </c>
      <c r="AD128" s="3" t="str">
        <f t="shared" si="29"/>
        <v>(7 downto 0)</v>
      </c>
      <c r="AE128" s="3" t="str">
        <f t="shared" si="30"/>
        <v/>
      </c>
      <c r="AF128" s="3" t="str">
        <f t="shared" si="31"/>
        <v/>
      </c>
      <c r="AG128" s="3" t="str">
        <f t="shared" si="32"/>
        <v>(15 downto 8)</v>
      </c>
      <c r="AH128" s="3" t="str">
        <f t="shared" si="33"/>
        <v>(7 downto 0)</v>
      </c>
    </row>
    <row r="129" spans="2:34" x14ac:dyDescent="0.25">
      <c r="B129" s="3" t="s">
        <v>454</v>
      </c>
      <c r="C129" s="3" t="s">
        <v>466</v>
      </c>
      <c r="D129" s="3" t="s">
        <v>0</v>
      </c>
      <c r="E129" s="3" t="s">
        <v>175</v>
      </c>
      <c r="F129" s="3" t="s">
        <v>456</v>
      </c>
      <c r="G129" s="3" t="s">
        <v>457</v>
      </c>
      <c r="H129" s="3" t="s">
        <v>467</v>
      </c>
      <c r="I129" s="3" t="s">
        <v>42</v>
      </c>
      <c r="J129" s="3">
        <v>16</v>
      </c>
      <c r="K129" s="3" t="s">
        <v>41</v>
      </c>
      <c r="L129" s="3" t="s">
        <v>41</v>
      </c>
      <c r="M129" s="3" t="s">
        <v>415</v>
      </c>
      <c r="N129" s="3" t="s">
        <v>459</v>
      </c>
      <c r="O129" s="3" t="s">
        <v>468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450</v>
      </c>
      <c r="T129" s="3" t="str">
        <f t="shared" si="34"/>
        <v>1C2</v>
      </c>
      <c r="U129" s="3">
        <f t="shared" si="25"/>
        <v>112</v>
      </c>
      <c r="V129" s="3" t="str">
        <f t="shared" si="35"/>
        <v>70</v>
      </c>
      <c r="W129" s="3" t="str">
        <f t="shared" si="36"/>
        <v>X</v>
      </c>
      <c r="X129" s="3" t="str">
        <f t="shared" si="37"/>
        <v>X</v>
      </c>
      <c r="Y129" s="3" t="str">
        <f t="shared" si="38"/>
        <v/>
      </c>
      <c r="Z129" s="3" t="str">
        <f t="shared" si="39"/>
        <v/>
      </c>
      <c r="AA129" s="3" t="str">
        <f t="shared" si="26"/>
        <v>(31 downto 24)</v>
      </c>
      <c r="AB129" s="3" t="str">
        <f t="shared" si="27"/>
        <v>(23 downto 16)</v>
      </c>
      <c r="AC129" s="3" t="str">
        <f t="shared" si="28"/>
        <v/>
      </c>
      <c r="AD129" s="3" t="str">
        <f t="shared" si="29"/>
        <v/>
      </c>
      <c r="AE129" s="3" t="str">
        <f t="shared" si="30"/>
        <v>(15 downto 8)</v>
      </c>
      <c r="AF129" s="3" t="str">
        <f t="shared" si="31"/>
        <v>(7 downto 0)</v>
      </c>
      <c r="AG129" s="3" t="str">
        <f t="shared" si="32"/>
        <v/>
      </c>
      <c r="AH129" s="3" t="str">
        <f t="shared" si="33"/>
        <v/>
      </c>
    </row>
    <row r="130" spans="2:34" x14ac:dyDescent="0.25">
      <c r="B130" s="3" t="s">
        <v>469</v>
      </c>
      <c r="C130" s="3" t="s">
        <v>1298</v>
      </c>
      <c r="D130" s="3" t="s">
        <v>1</v>
      </c>
      <c r="E130" s="3" t="s">
        <v>134</v>
      </c>
      <c r="F130" s="3" t="s">
        <v>471</v>
      </c>
      <c r="G130" s="3" t="s">
        <v>472</v>
      </c>
      <c r="H130" s="3" t="s">
        <v>1300</v>
      </c>
      <c r="I130" s="3" t="s">
        <v>42</v>
      </c>
      <c r="J130" s="3">
        <v>32</v>
      </c>
      <c r="K130" s="3" t="s">
        <v>1305</v>
      </c>
      <c r="L130" s="3" t="s">
        <v>41</v>
      </c>
      <c r="M130" s="3" t="s">
        <v>415</v>
      </c>
      <c r="N130" s="3" t="s">
        <v>474</v>
      </c>
      <c r="O130" s="3" t="s">
        <v>1306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452</v>
      </c>
      <c r="T130" s="3" t="str">
        <f t="shared" si="34"/>
        <v>1C4</v>
      </c>
      <c r="U130" s="3">
        <f t="shared" si="25"/>
        <v>113</v>
      </c>
      <c r="V130" s="3" t="str">
        <f t="shared" si="35"/>
        <v>71</v>
      </c>
      <c r="W130" s="3" t="str">
        <f t="shared" si="36"/>
        <v>X</v>
      </c>
      <c r="X130" s="3" t="str">
        <f t="shared" si="37"/>
        <v>X</v>
      </c>
      <c r="Y130" s="3" t="str">
        <f t="shared" si="38"/>
        <v>X</v>
      </c>
      <c r="Z130" s="3" t="str">
        <f t="shared" si="39"/>
        <v>X</v>
      </c>
      <c r="AA130" s="3" t="str">
        <f t="shared" si="26"/>
        <v>(31 downto 24)</v>
      </c>
      <c r="AB130" s="3" t="str">
        <f t="shared" si="27"/>
        <v>(23 downto 16)</v>
      </c>
      <c r="AC130" s="3" t="str">
        <f t="shared" si="28"/>
        <v>(15 downto 8)</v>
      </c>
      <c r="AD130" s="3" t="str">
        <f t="shared" si="29"/>
        <v>(7 downto 0)</v>
      </c>
      <c r="AE130" s="3" t="str">
        <f t="shared" si="30"/>
        <v>(31 downto 24)</v>
      </c>
      <c r="AF130" s="3" t="str">
        <f t="shared" si="31"/>
        <v>(23 downto 16)</v>
      </c>
      <c r="AG130" s="3" t="str">
        <f t="shared" si="32"/>
        <v>(15 downto 8)</v>
      </c>
      <c r="AH130" s="3" t="str">
        <f t="shared" si="33"/>
        <v>(7 downto 0)</v>
      </c>
    </row>
    <row r="131" spans="2:34" x14ac:dyDescent="0.25">
      <c r="B131" s="3" t="s">
        <v>469</v>
      </c>
      <c r="C131" s="3" t="s">
        <v>1299</v>
      </c>
      <c r="D131" s="3" t="s">
        <v>1</v>
      </c>
      <c r="E131" s="3" t="s">
        <v>134</v>
      </c>
      <c r="F131" s="3" t="s">
        <v>471</v>
      </c>
      <c r="G131" s="3" t="s">
        <v>472</v>
      </c>
      <c r="H131" s="3" t="s">
        <v>1301</v>
      </c>
      <c r="I131" s="3" t="s">
        <v>42</v>
      </c>
      <c r="J131" s="3">
        <v>32</v>
      </c>
      <c r="K131" s="3" t="s">
        <v>1304</v>
      </c>
      <c r="L131" s="3" t="s">
        <v>41</v>
      </c>
      <c r="M131" s="3" t="s">
        <v>415</v>
      </c>
      <c r="N131" s="3" t="s">
        <v>474</v>
      </c>
      <c r="O131" s="3" t="s">
        <v>1307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456</v>
      </c>
      <c r="T131" s="3" t="str">
        <f t="shared" si="34"/>
        <v>1C8</v>
      </c>
      <c r="U131" s="3">
        <f t="shared" si="25"/>
        <v>114</v>
      </c>
      <c r="V131" s="3" t="str">
        <f t="shared" si="35"/>
        <v>72</v>
      </c>
      <c r="W131" s="3" t="str">
        <f t="shared" si="36"/>
        <v>X</v>
      </c>
      <c r="X131" s="3" t="str">
        <f t="shared" si="37"/>
        <v>X</v>
      </c>
      <c r="Y131" s="3" t="str">
        <f t="shared" si="38"/>
        <v>X</v>
      </c>
      <c r="Z131" s="3" t="str">
        <f t="shared" si="39"/>
        <v>X</v>
      </c>
      <c r="AA131" s="3" t="str">
        <f t="shared" si="26"/>
        <v>(31 downto 24)</v>
      </c>
      <c r="AB131" s="3" t="str">
        <f t="shared" si="27"/>
        <v>(23 downto 16)</v>
      </c>
      <c r="AC131" s="3" t="str">
        <f t="shared" si="28"/>
        <v>(15 downto 8)</v>
      </c>
      <c r="AD131" s="3" t="str">
        <f t="shared" si="29"/>
        <v>(7 downto 0)</v>
      </c>
      <c r="AE131" s="3" t="str">
        <f t="shared" si="30"/>
        <v>(31 downto 24)</v>
      </c>
      <c r="AF131" s="3" t="str">
        <f t="shared" si="31"/>
        <v>(23 downto 16)</v>
      </c>
      <c r="AG131" s="3" t="str">
        <f t="shared" si="32"/>
        <v>(15 downto 8)</v>
      </c>
      <c r="AH131" s="3" t="str">
        <f t="shared" si="33"/>
        <v>(7 downto 0)</v>
      </c>
    </row>
    <row r="132" spans="2:34" x14ac:dyDescent="0.25">
      <c r="B132" s="3" t="s">
        <v>469</v>
      </c>
      <c r="C132" s="3" t="s">
        <v>470</v>
      </c>
      <c r="D132" s="3" t="s">
        <v>1</v>
      </c>
      <c r="E132" s="3" t="s">
        <v>134</v>
      </c>
      <c r="F132" s="3" t="s">
        <v>471</v>
      </c>
      <c r="G132" s="3" t="s">
        <v>472</v>
      </c>
      <c r="H132" s="3" t="s">
        <v>473</v>
      </c>
      <c r="I132" s="3" t="s">
        <v>42</v>
      </c>
      <c r="J132" s="3">
        <v>32</v>
      </c>
      <c r="K132" s="3" t="s">
        <v>1303</v>
      </c>
      <c r="L132" s="3" t="s">
        <v>41</v>
      </c>
      <c r="M132" s="3" t="s">
        <v>415</v>
      </c>
      <c r="N132" s="3" t="s">
        <v>474</v>
      </c>
      <c r="O132" s="3" t="s">
        <v>1308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460</v>
      </c>
      <c r="T132" s="3" t="str">
        <f t="shared" si="34"/>
        <v>1CC</v>
      </c>
      <c r="U132" s="3">
        <f t="shared" si="25"/>
        <v>115</v>
      </c>
      <c r="V132" s="3" t="str">
        <f t="shared" si="35"/>
        <v>73</v>
      </c>
      <c r="W132" s="3" t="str">
        <f t="shared" si="36"/>
        <v>X</v>
      </c>
      <c r="X132" s="3" t="str">
        <f t="shared" si="37"/>
        <v>X</v>
      </c>
      <c r="Y132" s="3" t="str">
        <f t="shared" si="38"/>
        <v>X</v>
      </c>
      <c r="Z132" s="3" t="str">
        <f t="shared" si="39"/>
        <v>X</v>
      </c>
      <c r="AA132" s="3" t="str">
        <f t="shared" si="26"/>
        <v>(31 downto 24)</v>
      </c>
      <c r="AB132" s="3" t="str">
        <f t="shared" si="27"/>
        <v>(23 downto 16)</v>
      </c>
      <c r="AC132" s="3" t="str">
        <f t="shared" si="28"/>
        <v>(15 downto 8)</v>
      </c>
      <c r="AD132" s="3" t="str">
        <f t="shared" si="29"/>
        <v>(7 downto 0)</v>
      </c>
      <c r="AE132" s="3" t="str">
        <f t="shared" si="30"/>
        <v>(31 downto 24)</v>
      </c>
      <c r="AF132" s="3" t="str">
        <f t="shared" si="31"/>
        <v>(23 downto 16)</v>
      </c>
      <c r="AG132" s="3" t="str">
        <f t="shared" si="32"/>
        <v>(15 downto 8)</v>
      </c>
      <c r="AH132" s="3" t="str">
        <f t="shared" si="33"/>
        <v>(7 downto 0)</v>
      </c>
    </row>
    <row r="133" spans="2:34" x14ac:dyDescent="0.25">
      <c r="B133" s="3" t="s">
        <v>469</v>
      </c>
      <c r="C133" s="3" t="s">
        <v>475</v>
      </c>
      <c r="D133" s="3" t="s">
        <v>1</v>
      </c>
      <c r="E133" s="3" t="s">
        <v>134</v>
      </c>
      <c r="F133" s="3" t="s">
        <v>471</v>
      </c>
      <c r="G133" s="3" t="s">
        <v>472</v>
      </c>
      <c r="H133" s="3" t="s">
        <v>476</v>
      </c>
      <c r="I133" s="3" t="s">
        <v>42</v>
      </c>
      <c r="J133" s="3">
        <v>32</v>
      </c>
      <c r="K133" s="3" t="s">
        <v>1302</v>
      </c>
      <c r="L133" s="3" t="s">
        <v>41</v>
      </c>
      <c r="M133" s="3" t="s">
        <v>415</v>
      </c>
      <c r="N133" s="3" t="s">
        <v>474</v>
      </c>
      <c r="O133" s="3" t="s">
        <v>1309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464</v>
      </c>
      <c r="T133" s="3" t="str">
        <f t="shared" si="34"/>
        <v>1D0</v>
      </c>
      <c r="U133" s="3">
        <f t="shared" si="25"/>
        <v>116</v>
      </c>
      <c r="V133" s="3" t="str">
        <f t="shared" si="35"/>
        <v>74</v>
      </c>
      <c r="W133" s="3" t="str">
        <f t="shared" si="36"/>
        <v>X</v>
      </c>
      <c r="X133" s="3" t="str">
        <f t="shared" si="37"/>
        <v>X</v>
      </c>
      <c r="Y133" s="3" t="str">
        <f t="shared" si="38"/>
        <v>X</v>
      </c>
      <c r="Z133" s="3" t="str">
        <f t="shared" si="39"/>
        <v>X</v>
      </c>
      <c r="AA133" s="3" t="str">
        <f t="shared" si="26"/>
        <v>(31 downto 24)</v>
      </c>
      <c r="AB133" s="3" t="str">
        <f t="shared" si="27"/>
        <v>(23 downto 16)</v>
      </c>
      <c r="AC133" s="3" t="str">
        <f t="shared" si="28"/>
        <v>(15 downto 8)</v>
      </c>
      <c r="AD133" s="3" t="str">
        <f t="shared" si="29"/>
        <v>(7 downto 0)</v>
      </c>
      <c r="AE133" s="3" t="str">
        <f t="shared" si="30"/>
        <v>(31 downto 24)</v>
      </c>
      <c r="AF133" s="3" t="str">
        <f t="shared" si="31"/>
        <v>(23 downto 16)</v>
      </c>
      <c r="AG133" s="3" t="str">
        <f t="shared" si="32"/>
        <v>(15 downto 8)</v>
      </c>
      <c r="AH133" s="3" t="str">
        <f t="shared" si="33"/>
        <v>(7 downto 0)</v>
      </c>
    </row>
    <row r="134" spans="2:34" x14ac:dyDescent="0.25">
      <c r="B134" s="3" t="s">
        <v>2318</v>
      </c>
      <c r="C134" s="3" t="s">
        <v>2319</v>
      </c>
      <c r="D134" s="3" t="s">
        <v>1</v>
      </c>
      <c r="E134" s="3" t="s">
        <v>134</v>
      </c>
      <c r="F134" s="3" t="s">
        <v>2320</v>
      </c>
      <c r="G134" s="3" t="s">
        <v>2321</v>
      </c>
      <c r="H134" s="3" t="s">
        <v>2322</v>
      </c>
      <c r="I134" s="3" t="s">
        <v>42</v>
      </c>
      <c r="J134" s="3">
        <v>1</v>
      </c>
      <c r="K134" s="3" t="s">
        <v>82</v>
      </c>
      <c r="L134" s="3" t="s">
        <v>41</v>
      </c>
      <c r="M134" s="3" t="s">
        <v>415</v>
      </c>
      <c r="N134" s="3" t="s">
        <v>2323</v>
      </c>
      <c r="O134" s="3" t="s">
        <v>2324</v>
      </c>
      <c r="P134" s="3" t="s">
        <v>5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468</v>
      </c>
      <c r="T134" s="3" t="str">
        <f t="shared" si="34"/>
        <v>1D4</v>
      </c>
      <c r="U134" s="3">
        <f t="shared" si="25"/>
        <v>117</v>
      </c>
      <c r="V134" s="3" t="str">
        <f t="shared" si="35"/>
        <v>75</v>
      </c>
      <c r="W134" s="3" t="str">
        <f t="shared" si="36"/>
        <v/>
      </c>
      <c r="X134" s="3" t="str">
        <f t="shared" si="37"/>
        <v/>
      </c>
      <c r="Y134" s="3" t="str">
        <f t="shared" si="38"/>
        <v/>
      </c>
      <c r="Z134" s="3" t="str">
        <f t="shared" si="39"/>
        <v>X</v>
      </c>
      <c r="AA134" s="3" t="str">
        <f t="shared" si="26"/>
        <v/>
      </c>
      <c r="AB134" s="3" t="str">
        <f t="shared" si="27"/>
        <v/>
      </c>
      <c r="AC134" s="3" t="str">
        <f t="shared" si="28"/>
        <v/>
      </c>
      <c r="AD134" s="3" t="str">
        <f t="shared" si="29"/>
        <v>(0)</v>
      </c>
      <c r="AE134" s="3" t="str">
        <f t="shared" si="30"/>
        <v/>
      </c>
      <c r="AF134" s="3" t="str">
        <f t="shared" si="31"/>
        <v/>
      </c>
      <c r="AG134" s="3" t="str">
        <f t="shared" si="32"/>
        <v/>
      </c>
      <c r="AH134" s="3" t="str">
        <f t="shared" si="33"/>
        <v/>
      </c>
    </row>
    <row r="135" spans="2:34" x14ac:dyDescent="0.25">
      <c r="B135" s="3" t="s">
        <v>2318</v>
      </c>
      <c r="C135" s="3" t="s">
        <v>2325</v>
      </c>
      <c r="D135" s="3" t="s">
        <v>1</v>
      </c>
      <c r="E135" s="3" t="s">
        <v>134</v>
      </c>
      <c r="F135" s="3" t="s">
        <v>2320</v>
      </c>
      <c r="G135" s="3" t="s">
        <v>2321</v>
      </c>
      <c r="H135" s="3" t="s">
        <v>2326</v>
      </c>
      <c r="I135" s="3" t="s">
        <v>42</v>
      </c>
      <c r="J135" s="3">
        <v>16</v>
      </c>
      <c r="K135" s="3" t="s">
        <v>84</v>
      </c>
      <c r="L135" s="3" t="s">
        <v>41</v>
      </c>
      <c r="M135" s="3" t="s">
        <v>415</v>
      </c>
      <c r="N135" s="3" t="s">
        <v>2323</v>
      </c>
      <c r="O135" s="3" t="s">
        <v>1231</v>
      </c>
      <c r="P135" s="3" t="s">
        <v>50</v>
      </c>
      <c r="Q135" s="3">
        <f>INDEX(Tables!$C$4:$C$28,MATCH($P135,Tables!$B$4:$B$28,0))</f>
        <v>16</v>
      </c>
      <c r="R135" s="3">
        <f>INDEX(Tables!$D$4:$D$28,MATCH($P135,Tables!$B$4:$B$28,0))</f>
        <v>2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472</v>
      </c>
      <c r="T135" s="3" t="str">
        <f t="shared" si="34"/>
        <v>1D8</v>
      </c>
      <c r="U135" s="3">
        <f t="shared" ref="U135:U163" si="40">ROUNDDOWN(S135/4,0)</f>
        <v>118</v>
      </c>
      <c r="V135" s="3" t="str">
        <f t="shared" si="35"/>
        <v>76</v>
      </c>
      <c r="W135" s="3" t="str">
        <f t="shared" si="36"/>
        <v/>
      </c>
      <c r="X135" s="3" t="str">
        <f t="shared" si="37"/>
        <v/>
      </c>
      <c r="Y135" s="3" t="str">
        <f t="shared" si="38"/>
        <v>X</v>
      </c>
      <c r="Z135" s="3" t="str">
        <f t="shared" si="39"/>
        <v>X</v>
      </c>
      <c r="AA135" s="3" t="str">
        <f t="shared" ref="AA135:AA163" si="41">IF(W135="","",CONCATENATE("(",IF(($J135-COUNTIF($X135:$Z135,"X")*8)=1,"24)",CONCATENATE(IF(($J135-COUNTIF($X135:$Z135,"X")*8)&gt;=8,32,($J135-COUNTIF($X135:$Z135,"X")*8)+24)-1," downto 24)"))))</f>
        <v/>
      </c>
      <c r="AB135" s="3" t="str">
        <f t="shared" ref="AB135:AB163" si="42">IF(X135="","",CONCATENATE("(",IF(($J135-COUNTIF($Y135:$Z135,"X")*8)=1,"16)",CONCATENATE(IF(($J135-COUNTIF($Y135:$Z135,"X")*8)&gt;=8,24,($J135-COUNTIF($Y135:$Z135,"X")*8)+16)-1," downto 16)"))))</f>
        <v/>
      </c>
      <c r="AC135" s="3" t="str">
        <f t="shared" ref="AC135:AC163" si="43">IF(Y135="","",CONCATENATE("(",IF(($J135-COUNTIF($Z135,"X")*8)=1,"8)",CONCATENATE(IF(($J135-COUNTIF($Z135,"X")*8)&gt;=8,16,($J135-COUNTIF($Z135,"X")*8)+8)-1," downto 8)"))))</f>
        <v>(15 downto 8)</v>
      </c>
      <c r="AD135" s="3" t="str">
        <f t="shared" ref="AD135:AD163" si="44">IF(Z135="","",CONCATENATE("(",IF($J135=1,"0)",CONCATENATE(IF($J135&gt;=8,8,$J135)-1," downto 0)"))))</f>
        <v>(7 downto 0)</v>
      </c>
      <c r="AE135" s="3" t="str">
        <f t="shared" ref="AE135:AE163" si="45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3" t="str">
        <f t="shared" ref="AF135:AF163" si="46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3" t="str">
        <f t="shared" ref="AG135:AG163" si="47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3" t="str">
        <f t="shared" ref="AH135:AH163" si="48">IF(Z135="","",IF($J135&lt;=8,"",CONCATENATE("(",IF($J135&gt;=8,7,$J135-1)," downto ",0,")")))</f>
        <v>(7 downto 0)</v>
      </c>
    </row>
    <row r="136" spans="2:34" x14ac:dyDescent="0.25">
      <c r="B136" s="3" t="s">
        <v>2318</v>
      </c>
      <c r="C136" s="3" t="s">
        <v>2327</v>
      </c>
      <c r="D136" s="3" t="s">
        <v>1</v>
      </c>
      <c r="E136" s="3" t="s">
        <v>134</v>
      </c>
      <c r="F136" s="3" t="s">
        <v>2320</v>
      </c>
      <c r="G136" s="3" t="s">
        <v>2321</v>
      </c>
      <c r="H136" s="3" t="s">
        <v>2328</v>
      </c>
      <c r="I136" s="3" t="s">
        <v>42</v>
      </c>
      <c r="J136" s="3">
        <v>16</v>
      </c>
      <c r="K136" s="3" t="s">
        <v>84</v>
      </c>
      <c r="L136" s="3" t="s">
        <v>41</v>
      </c>
      <c r="M136" s="3" t="s">
        <v>415</v>
      </c>
      <c r="N136" s="3" t="s">
        <v>2323</v>
      </c>
      <c r="O136" s="3" t="s">
        <v>1233</v>
      </c>
      <c r="P136" s="3" t="s">
        <v>50</v>
      </c>
      <c r="Q136" s="3">
        <f>INDEX(Tables!$C$4:$C$28,MATCH($P136,Tables!$B$4:$B$28,0))</f>
        <v>16</v>
      </c>
      <c r="R136" s="3">
        <f>INDEX(Tables!$D$4:$D$28,MATCH($P136,Tables!$B$4:$B$28,0))</f>
        <v>2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474</v>
      </c>
      <c r="T136" s="3" t="str">
        <f t="shared" si="34"/>
        <v>1DA</v>
      </c>
      <c r="U136" s="3">
        <f t="shared" si="40"/>
        <v>118</v>
      </c>
      <c r="V136" s="3" t="str">
        <f t="shared" si="35"/>
        <v>76</v>
      </c>
      <c r="W136" s="3" t="str">
        <f t="shared" si="36"/>
        <v>X</v>
      </c>
      <c r="X136" s="3" t="str">
        <f t="shared" si="37"/>
        <v>X</v>
      </c>
      <c r="Y136" s="3" t="str">
        <f t="shared" si="38"/>
        <v/>
      </c>
      <c r="Z136" s="3" t="str">
        <f t="shared" si="39"/>
        <v/>
      </c>
      <c r="AA136" s="3" t="str">
        <f t="shared" si="41"/>
        <v>(31 downto 24)</v>
      </c>
      <c r="AB136" s="3" t="str">
        <f t="shared" si="42"/>
        <v>(23 downto 16)</v>
      </c>
      <c r="AC136" s="3" t="str">
        <f t="shared" si="43"/>
        <v/>
      </c>
      <c r="AD136" s="3" t="str">
        <f t="shared" si="44"/>
        <v/>
      </c>
      <c r="AE136" s="3" t="str">
        <f t="shared" si="45"/>
        <v>(15 downto 8)</v>
      </c>
      <c r="AF136" s="3" t="str">
        <f t="shared" si="46"/>
        <v>(7 downto 0)</v>
      </c>
      <c r="AG136" s="3" t="str">
        <f t="shared" si="47"/>
        <v/>
      </c>
      <c r="AH136" s="3" t="str">
        <f t="shared" si="48"/>
        <v/>
      </c>
    </row>
    <row r="137" spans="2:34" x14ac:dyDescent="0.25">
      <c r="B137" s="3" t="s">
        <v>2329</v>
      </c>
      <c r="C137" s="3" t="s">
        <v>2330</v>
      </c>
      <c r="D137" s="3" t="s">
        <v>1</v>
      </c>
      <c r="E137" s="3" t="s">
        <v>134</v>
      </c>
      <c r="F137" s="3" t="s">
        <v>2331</v>
      </c>
      <c r="G137" s="3" t="s">
        <v>2332</v>
      </c>
      <c r="H137" s="3" t="s">
        <v>2333</v>
      </c>
      <c r="I137" s="3" t="s">
        <v>42</v>
      </c>
      <c r="J137" s="3">
        <v>1</v>
      </c>
      <c r="K137" s="3" t="s">
        <v>82</v>
      </c>
      <c r="L137" s="3" t="s">
        <v>41</v>
      </c>
      <c r="M137" s="3" t="s">
        <v>415</v>
      </c>
      <c r="N137" s="3" t="s">
        <v>2334</v>
      </c>
      <c r="O137" s="3" t="s">
        <v>2335</v>
      </c>
      <c r="P137" s="3" t="s">
        <v>5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476</v>
      </c>
      <c r="T137" s="3" t="str">
        <f t="shared" si="34"/>
        <v>1DC</v>
      </c>
      <c r="U137" s="3">
        <f t="shared" si="40"/>
        <v>119</v>
      </c>
      <c r="V137" s="3" t="str">
        <f t="shared" si="35"/>
        <v>77</v>
      </c>
      <c r="W137" s="3" t="str">
        <f t="shared" si="36"/>
        <v/>
      </c>
      <c r="X137" s="3" t="str">
        <f t="shared" si="37"/>
        <v/>
      </c>
      <c r="Y137" s="3" t="str">
        <f t="shared" si="38"/>
        <v/>
      </c>
      <c r="Z137" s="3" t="str">
        <f t="shared" si="39"/>
        <v>X</v>
      </c>
      <c r="AA137" s="3" t="str">
        <f t="shared" si="41"/>
        <v/>
      </c>
      <c r="AB137" s="3" t="str">
        <f t="shared" si="42"/>
        <v/>
      </c>
      <c r="AC137" s="3" t="str">
        <f t="shared" si="43"/>
        <v/>
      </c>
      <c r="AD137" s="3" t="str">
        <f t="shared" si="44"/>
        <v>(0)</v>
      </c>
      <c r="AE137" s="3" t="str">
        <f t="shared" si="45"/>
        <v/>
      </c>
      <c r="AF137" s="3" t="str">
        <f t="shared" si="46"/>
        <v/>
      </c>
      <c r="AG137" s="3" t="str">
        <f t="shared" si="47"/>
        <v/>
      </c>
      <c r="AH137" s="3" t="str">
        <f t="shared" si="48"/>
        <v/>
      </c>
    </row>
    <row r="138" spans="2:34" x14ac:dyDescent="0.25">
      <c r="B138" s="3" t="s">
        <v>2329</v>
      </c>
      <c r="C138" s="3" t="s">
        <v>2336</v>
      </c>
      <c r="D138" s="3" t="s">
        <v>1</v>
      </c>
      <c r="E138" s="3" t="s">
        <v>134</v>
      </c>
      <c r="F138" s="3" t="s">
        <v>2331</v>
      </c>
      <c r="G138" s="3" t="s">
        <v>2332</v>
      </c>
      <c r="H138" s="3" t="s">
        <v>2337</v>
      </c>
      <c r="I138" s="3" t="s">
        <v>42</v>
      </c>
      <c r="J138" s="3">
        <v>1</v>
      </c>
      <c r="K138" s="3" t="s">
        <v>82</v>
      </c>
      <c r="L138" s="3" t="s">
        <v>41</v>
      </c>
      <c r="M138" s="3" t="s">
        <v>415</v>
      </c>
      <c r="N138" s="3" t="s">
        <v>2334</v>
      </c>
      <c r="O138" s="3" t="s">
        <v>2338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480</v>
      </c>
      <c r="T138" s="3" t="str">
        <f t="shared" si="34"/>
        <v>1E0</v>
      </c>
      <c r="U138" s="3">
        <f t="shared" si="40"/>
        <v>120</v>
      </c>
      <c r="V138" s="3" t="str">
        <f t="shared" si="35"/>
        <v>78</v>
      </c>
      <c r="W138" s="3" t="str">
        <f t="shared" si="36"/>
        <v/>
      </c>
      <c r="X138" s="3" t="str">
        <f t="shared" si="37"/>
        <v/>
      </c>
      <c r="Y138" s="3" t="str">
        <f t="shared" si="38"/>
        <v/>
      </c>
      <c r="Z138" s="3" t="str">
        <f t="shared" si="39"/>
        <v>X</v>
      </c>
      <c r="AA138" s="3" t="str">
        <f t="shared" si="41"/>
        <v/>
      </c>
      <c r="AB138" s="3" t="str">
        <f t="shared" si="42"/>
        <v/>
      </c>
      <c r="AC138" s="3" t="str">
        <f t="shared" si="43"/>
        <v/>
      </c>
      <c r="AD138" s="3" t="str">
        <f t="shared" si="44"/>
        <v>(0)</v>
      </c>
      <c r="AE138" s="3" t="str">
        <f t="shared" si="45"/>
        <v/>
      </c>
      <c r="AF138" s="3" t="str">
        <f t="shared" si="46"/>
        <v/>
      </c>
      <c r="AG138" s="3" t="str">
        <f t="shared" si="47"/>
        <v/>
      </c>
      <c r="AH138" s="3" t="str">
        <f t="shared" si="48"/>
        <v/>
      </c>
    </row>
    <row r="139" spans="2:34" x14ac:dyDescent="0.25">
      <c r="B139" s="3" t="s">
        <v>2329</v>
      </c>
      <c r="C139" s="3" t="s">
        <v>2339</v>
      </c>
      <c r="D139" s="3" t="s">
        <v>1</v>
      </c>
      <c r="E139" s="3" t="s">
        <v>134</v>
      </c>
      <c r="F139" s="3" t="s">
        <v>2331</v>
      </c>
      <c r="G139" s="3" t="s">
        <v>2332</v>
      </c>
      <c r="H139" s="3" t="s">
        <v>2340</v>
      </c>
      <c r="I139" s="3" t="s">
        <v>42</v>
      </c>
      <c r="J139" s="3">
        <v>1</v>
      </c>
      <c r="K139" s="3" t="s">
        <v>82</v>
      </c>
      <c r="L139" s="3" t="s">
        <v>41</v>
      </c>
      <c r="M139" s="3" t="s">
        <v>415</v>
      </c>
      <c r="N139" s="3" t="s">
        <v>2334</v>
      </c>
      <c r="O139" s="3" t="s">
        <v>2341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484</v>
      </c>
      <c r="T139" s="3" t="str">
        <f t="shared" si="34"/>
        <v>1E4</v>
      </c>
      <c r="U139" s="3">
        <f t="shared" si="40"/>
        <v>121</v>
      </c>
      <c r="V139" s="3" t="str">
        <f t="shared" si="35"/>
        <v>79</v>
      </c>
      <c r="W139" s="3" t="str">
        <f t="shared" si="36"/>
        <v/>
      </c>
      <c r="X139" s="3" t="str">
        <f t="shared" si="37"/>
        <v/>
      </c>
      <c r="Y139" s="3" t="str">
        <f t="shared" si="38"/>
        <v/>
      </c>
      <c r="Z139" s="3" t="str">
        <f t="shared" si="39"/>
        <v>X</v>
      </c>
      <c r="AA139" s="3" t="str">
        <f t="shared" si="41"/>
        <v/>
      </c>
      <c r="AB139" s="3" t="str">
        <f t="shared" si="42"/>
        <v/>
      </c>
      <c r="AC139" s="3" t="str">
        <f t="shared" si="43"/>
        <v/>
      </c>
      <c r="AD139" s="3" t="str">
        <f t="shared" si="44"/>
        <v>(0)</v>
      </c>
      <c r="AE139" s="3" t="str">
        <f t="shared" si="45"/>
        <v/>
      </c>
      <c r="AF139" s="3" t="str">
        <f t="shared" si="46"/>
        <v/>
      </c>
      <c r="AG139" s="3" t="str">
        <f t="shared" si="47"/>
        <v/>
      </c>
      <c r="AH139" s="3" t="str">
        <f t="shared" si="48"/>
        <v/>
      </c>
    </row>
    <row r="140" spans="2:34" x14ac:dyDescent="0.25">
      <c r="B140" s="3" t="s">
        <v>2329</v>
      </c>
      <c r="C140" s="3" t="s">
        <v>2342</v>
      </c>
      <c r="D140" s="3" t="s">
        <v>1</v>
      </c>
      <c r="E140" s="3" t="s">
        <v>134</v>
      </c>
      <c r="F140" s="3" t="s">
        <v>2331</v>
      </c>
      <c r="G140" s="3" t="s">
        <v>2332</v>
      </c>
      <c r="H140" s="3" t="s">
        <v>2343</v>
      </c>
      <c r="I140" s="3" t="s">
        <v>42</v>
      </c>
      <c r="J140" s="3">
        <v>2</v>
      </c>
      <c r="K140" s="3" t="s">
        <v>83</v>
      </c>
      <c r="L140" s="3" t="s">
        <v>41</v>
      </c>
      <c r="M140" s="3" t="s">
        <v>415</v>
      </c>
      <c r="N140" s="3" t="s">
        <v>2334</v>
      </c>
      <c r="O140" s="3" t="s">
        <v>1230</v>
      </c>
      <c r="P140" s="3" t="s">
        <v>48</v>
      </c>
      <c r="Q140" s="3">
        <f>INDEX(Tables!$C$4:$C$28,MATCH($P140,Tables!$B$4:$B$28,0))</f>
        <v>8</v>
      </c>
      <c r="R140" s="3">
        <f>INDEX(Tables!$D$4:$D$28,MATCH($P140,Tables!$B$4:$B$28,0))</f>
        <v>1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488</v>
      </c>
      <c r="T140" s="3" t="str">
        <f t="shared" si="34"/>
        <v>1E8</v>
      </c>
      <c r="U140" s="3">
        <f t="shared" si="40"/>
        <v>122</v>
      </c>
      <c r="V140" s="3" t="str">
        <f t="shared" si="35"/>
        <v>7A</v>
      </c>
      <c r="W140" s="3" t="str">
        <f t="shared" si="36"/>
        <v/>
      </c>
      <c r="X140" s="3" t="str">
        <f t="shared" si="37"/>
        <v/>
      </c>
      <c r="Y140" s="3" t="str">
        <f t="shared" si="38"/>
        <v/>
      </c>
      <c r="Z140" s="3" t="str">
        <f t="shared" si="39"/>
        <v>X</v>
      </c>
      <c r="AA140" s="3" t="str">
        <f t="shared" si="41"/>
        <v/>
      </c>
      <c r="AB140" s="3" t="str">
        <f t="shared" si="42"/>
        <v/>
      </c>
      <c r="AC140" s="3" t="str">
        <f t="shared" si="43"/>
        <v/>
      </c>
      <c r="AD140" s="3" t="str">
        <f t="shared" si="44"/>
        <v>(1 downto 0)</v>
      </c>
      <c r="AE140" s="3" t="str">
        <f t="shared" si="45"/>
        <v/>
      </c>
      <c r="AF140" s="3" t="str">
        <f t="shared" si="46"/>
        <v/>
      </c>
      <c r="AG140" s="3" t="str">
        <f t="shared" si="47"/>
        <v/>
      </c>
      <c r="AH140" s="3" t="str">
        <f t="shared" si="48"/>
        <v/>
      </c>
    </row>
    <row r="141" spans="2:34" x14ac:dyDescent="0.25">
      <c r="B141" s="3" t="s">
        <v>2329</v>
      </c>
      <c r="C141" s="3" t="s">
        <v>2344</v>
      </c>
      <c r="D141" s="3" t="s">
        <v>1</v>
      </c>
      <c r="E141" s="3" t="s">
        <v>134</v>
      </c>
      <c r="F141" s="3" t="s">
        <v>2331</v>
      </c>
      <c r="G141" s="3" t="s">
        <v>2332</v>
      </c>
      <c r="H141" s="3" t="s">
        <v>2345</v>
      </c>
      <c r="I141" s="3" t="s">
        <v>42</v>
      </c>
      <c r="J141" s="3">
        <v>16</v>
      </c>
      <c r="K141" s="3" t="s">
        <v>84</v>
      </c>
      <c r="L141" s="3" t="s">
        <v>41</v>
      </c>
      <c r="M141" s="3" t="s">
        <v>415</v>
      </c>
      <c r="N141" s="3" t="s">
        <v>2334</v>
      </c>
      <c r="O141" s="3" t="s">
        <v>1231</v>
      </c>
      <c r="P141" s="3" t="s">
        <v>50</v>
      </c>
      <c r="Q141" s="3">
        <f>INDEX(Tables!$C$4:$C$28,MATCH($P141,Tables!$B$4:$B$28,0))</f>
        <v>16</v>
      </c>
      <c r="R141" s="3">
        <f>INDEX(Tables!$D$4:$D$28,MATCH($P141,Tables!$B$4:$B$28,0))</f>
        <v>2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490</v>
      </c>
      <c r="T141" s="3" t="str">
        <f t="shared" si="34"/>
        <v>1EA</v>
      </c>
      <c r="U141" s="3">
        <f t="shared" si="40"/>
        <v>122</v>
      </c>
      <c r="V141" s="3" t="str">
        <f t="shared" si="35"/>
        <v>7A</v>
      </c>
      <c r="W141" s="3" t="str">
        <f t="shared" si="36"/>
        <v>X</v>
      </c>
      <c r="X141" s="3" t="str">
        <f t="shared" si="37"/>
        <v>X</v>
      </c>
      <c r="Y141" s="3" t="str">
        <f t="shared" si="38"/>
        <v/>
      </c>
      <c r="Z141" s="3" t="str">
        <f t="shared" si="39"/>
        <v/>
      </c>
      <c r="AA141" s="3" t="str">
        <f t="shared" si="41"/>
        <v>(31 downto 24)</v>
      </c>
      <c r="AB141" s="3" t="str">
        <f t="shared" si="42"/>
        <v>(23 downto 16)</v>
      </c>
      <c r="AC141" s="3" t="str">
        <f t="shared" si="43"/>
        <v/>
      </c>
      <c r="AD141" s="3" t="str">
        <f t="shared" si="44"/>
        <v/>
      </c>
      <c r="AE141" s="3" t="str">
        <f t="shared" si="45"/>
        <v>(15 downto 8)</v>
      </c>
      <c r="AF141" s="3" t="str">
        <f t="shared" si="46"/>
        <v>(7 downto 0)</v>
      </c>
      <c r="AG141" s="3" t="str">
        <f t="shared" si="47"/>
        <v/>
      </c>
      <c r="AH141" s="3" t="str">
        <f t="shared" si="48"/>
        <v/>
      </c>
    </row>
    <row r="142" spans="2:34" x14ac:dyDescent="0.25">
      <c r="B142" s="3" t="s">
        <v>2329</v>
      </c>
      <c r="C142" s="3" t="s">
        <v>2346</v>
      </c>
      <c r="D142" s="3" t="s">
        <v>1</v>
      </c>
      <c r="E142" s="3" t="s">
        <v>134</v>
      </c>
      <c r="F142" s="3" t="s">
        <v>2331</v>
      </c>
      <c r="G142" s="3" t="s">
        <v>2332</v>
      </c>
      <c r="H142" s="3" t="s">
        <v>2347</v>
      </c>
      <c r="I142" s="3" t="s">
        <v>42</v>
      </c>
      <c r="J142" s="3">
        <v>16</v>
      </c>
      <c r="K142" s="3" t="s">
        <v>84</v>
      </c>
      <c r="L142" s="3" t="s">
        <v>41</v>
      </c>
      <c r="M142" s="3" t="s">
        <v>415</v>
      </c>
      <c r="N142" s="3" t="s">
        <v>2334</v>
      </c>
      <c r="O142" s="3" t="s">
        <v>1232</v>
      </c>
      <c r="P142" s="3" t="s">
        <v>50</v>
      </c>
      <c r="Q142" s="3">
        <f>INDEX(Tables!$C$4:$C$28,MATCH($P142,Tables!$B$4:$B$28,0))</f>
        <v>16</v>
      </c>
      <c r="R142" s="3">
        <f>INDEX(Tables!$D$4:$D$28,MATCH($P142,Tables!$B$4:$B$28,0))</f>
        <v>2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492</v>
      </c>
      <c r="T142" s="3" t="str">
        <f t="shared" si="34"/>
        <v>1EC</v>
      </c>
      <c r="U142" s="3">
        <f t="shared" si="40"/>
        <v>123</v>
      </c>
      <c r="V142" s="3" t="str">
        <f t="shared" si="35"/>
        <v>7B</v>
      </c>
      <c r="W142" s="3" t="str">
        <f t="shared" si="36"/>
        <v/>
      </c>
      <c r="X142" s="3" t="str">
        <f t="shared" si="37"/>
        <v/>
      </c>
      <c r="Y142" s="3" t="str">
        <f t="shared" si="38"/>
        <v>X</v>
      </c>
      <c r="Z142" s="3" t="str">
        <f t="shared" si="39"/>
        <v>X</v>
      </c>
      <c r="AA142" s="3" t="str">
        <f t="shared" si="41"/>
        <v/>
      </c>
      <c r="AB142" s="3" t="str">
        <f t="shared" si="42"/>
        <v/>
      </c>
      <c r="AC142" s="3" t="str">
        <f t="shared" si="43"/>
        <v>(15 downto 8)</v>
      </c>
      <c r="AD142" s="3" t="str">
        <f t="shared" si="44"/>
        <v>(7 downto 0)</v>
      </c>
      <c r="AE142" s="3" t="str">
        <f t="shared" si="45"/>
        <v/>
      </c>
      <c r="AF142" s="3" t="str">
        <f t="shared" si="46"/>
        <v/>
      </c>
      <c r="AG142" s="3" t="str">
        <f t="shared" si="47"/>
        <v>(15 downto 8)</v>
      </c>
      <c r="AH142" s="3" t="str">
        <f t="shared" si="48"/>
        <v>(7 downto 0)</v>
      </c>
    </row>
    <row r="143" spans="2:34" x14ac:dyDescent="0.25">
      <c r="B143" s="3" t="s">
        <v>2329</v>
      </c>
      <c r="C143" s="3" t="s">
        <v>2348</v>
      </c>
      <c r="D143" s="3" t="s">
        <v>1</v>
      </c>
      <c r="E143" s="3" t="s">
        <v>134</v>
      </c>
      <c r="F143" s="3" t="s">
        <v>2331</v>
      </c>
      <c r="G143" s="3" t="s">
        <v>2332</v>
      </c>
      <c r="H143" s="3" t="s">
        <v>2349</v>
      </c>
      <c r="I143" s="3" t="s">
        <v>42</v>
      </c>
      <c r="J143" s="3">
        <v>16</v>
      </c>
      <c r="K143" s="3" t="s">
        <v>84</v>
      </c>
      <c r="L143" s="3" t="s">
        <v>41</v>
      </c>
      <c r="M143" s="3" t="s">
        <v>415</v>
      </c>
      <c r="N143" s="3" t="s">
        <v>2334</v>
      </c>
      <c r="O143" s="3" t="s">
        <v>1233</v>
      </c>
      <c r="P143" s="3" t="s">
        <v>50</v>
      </c>
      <c r="Q143" s="3">
        <f>INDEX(Tables!$C$4:$C$28,MATCH($P143,Tables!$B$4:$B$28,0))</f>
        <v>16</v>
      </c>
      <c r="R143" s="3">
        <f>INDEX(Tables!$D$4:$D$28,MATCH($P143,Tables!$B$4:$B$28,0))</f>
        <v>2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494</v>
      </c>
      <c r="T143" s="3" t="str">
        <f t="shared" ref="T143:T163" si="49">DEC2HEX($S143,3)</f>
        <v>1EE</v>
      </c>
      <c r="U143" s="3">
        <f t="shared" si="40"/>
        <v>123</v>
      </c>
      <c r="V143" s="3" t="str">
        <f t="shared" ref="V143:V163" si="50">DEC2HEX($U143,2)</f>
        <v>7B</v>
      </c>
      <c r="W143" s="3" t="str">
        <f t="shared" si="36"/>
        <v>X</v>
      </c>
      <c r="X143" s="3" t="str">
        <f t="shared" si="37"/>
        <v>X</v>
      </c>
      <c r="Y143" s="3" t="str">
        <f t="shared" si="38"/>
        <v/>
      </c>
      <c r="Z143" s="3" t="str">
        <f t="shared" si="39"/>
        <v/>
      </c>
      <c r="AA143" s="3" t="str">
        <f t="shared" si="41"/>
        <v>(31 downto 24)</v>
      </c>
      <c r="AB143" s="3" t="str">
        <f t="shared" si="42"/>
        <v>(23 downto 16)</v>
      </c>
      <c r="AC143" s="3" t="str">
        <f t="shared" si="43"/>
        <v/>
      </c>
      <c r="AD143" s="3" t="str">
        <f t="shared" si="44"/>
        <v/>
      </c>
      <c r="AE143" s="3" t="str">
        <f t="shared" si="45"/>
        <v>(15 downto 8)</v>
      </c>
      <c r="AF143" s="3" t="str">
        <f t="shared" si="46"/>
        <v>(7 downto 0)</v>
      </c>
      <c r="AG143" s="3" t="str">
        <f t="shared" si="47"/>
        <v/>
      </c>
      <c r="AH143" s="3" t="str">
        <f t="shared" si="48"/>
        <v/>
      </c>
    </row>
    <row r="144" spans="2:34" x14ac:dyDescent="0.25">
      <c r="B144" s="3" t="s">
        <v>1240</v>
      </c>
      <c r="C144" s="3" t="s">
        <v>1256</v>
      </c>
      <c r="D144" s="3" t="s">
        <v>1</v>
      </c>
      <c r="E144" s="3" t="s">
        <v>134</v>
      </c>
      <c r="F144" s="3" t="s">
        <v>1259</v>
      </c>
      <c r="G144" s="3" t="s">
        <v>1260</v>
      </c>
      <c r="H144" s="3" t="s">
        <v>1276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415</v>
      </c>
      <c r="N144" s="3" t="s">
        <v>1279</v>
      </c>
      <c r="O144" s="3" t="s">
        <v>1295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496</v>
      </c>
      <c r="T144" s="3" t="str">
        <f t="shared" si="49"/>
        <v>1F0</v>
      </c>
      <c r="U144" s="3">
        <f t="shared" si="40"/>
        <v>124</v>
      </c>
      <c r="V144" s="3" t="str">
        <f t="shared" si="50"/>
        <v>7C</v>
      </c>
      <c r="W144" s="3" t="str">
        <f t="shared" si="36"/>
        <v>X</v>
      </c>
      <c r="X144" s="3" t="str">
        <f t="shared" si="37"/>
        <v>X</v>
      </c>
      <c r="Y144" s="3" t="str">
        <f t="shared" si="38"/>
        <v>X</v>
      </c>
      <c r="Z144" s="3" t="str">
        <f t="shared" si="39"/>
        <v>X</v>
      </c>
      <c r="AA144" s="3" t="str">
        <f t="shared" si="41"/>
        <v>(31 downto 24)</v>
      </c>
      <c r="AB144" s="3" t="str">
        <f t="shared" si="42"/>
        <v>(23 downto 16)</v>
      </c>
      <c r="AC144" s="3" t="str">
        <f t="shared" si="43"/>
        <v>(15 downto 8)</v>
      </c>
      <c r="AD144" s="3" t="str">
        <f t="shared" si="44"/>
        <v>(7 downto 0)</v>
      </c>
      <c r="AE144" s="3" t="str">
        <f t="shared" si="45"/>
        <v>(31 downto 24)</v>
      </c>
      <c r="AF144" s="3" t="str">
        <f t="shared" si="46"/>
        <v>(23 downto 16)</v>
      </c>
      <c r="AG144" s="3" t="str">
        <f t="shared" si="47"/>
        <v>(15 downto 8)</v>
      </c>
      <c r="AH144" s="3" t="str">
        <f t="shared" si="48"/>
        <v>(7 downto 0)</v>
      </c>
    </row>
    <row r="145" spans="2:34" x14ac:dyDescent="0.25">
      <c r="B145" s="3" t="s">
        <v>1240</v>
      </c>
      <c r="C145" s="3" t="s">
        <v>1255</v>
      </c>
      <c r="D145" s="3" t="s">
        <v>1</v>
      </c>
      <c r="E145" s="3" t="s">
        <v>134</v>
      </c>
      <c r="F145" s="3" t="s">
        <v>1259</v>
      </c>
      <c r="G145" s="3" t="s">
        <v>1260</v>
      </c>
      <c r="H145" s="3" t="s">
        <v>1275</v>
      </c>
      <c r="I145" s="3" t="s">
        <v>42</v>
      </c>
      <c r="J145" s="3">
        <v>32</v>
      </c>
      <c r="K145" s="3" t="s">
        <v>130</v>
      </c>
      <c r="L145" s="3" t="s">
        <v>41</v>
      </c>
      <c r="M145" s="3" t="s">
        <v>415</v>
      </c>
      <c r="N145" s="3" t="s">
        <v>1279</v>
      </c>
      <c r="O145" s="3" t="s">
        <v>1294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500</v>
      </c>
      <c r="T145" s="3" t="str">
        <f t="shared" si="49"/>
        <v>1F4</v>
      </c>
      <c r="U145" s="3">
        <f t="shared" si="40"/>
        <v>125</v>
      </c>
      <c r="V145" s="3" t="str">
        <f t="shared" si="50"/>
        <v>7D</v>
      </c>
      <c r="W145" s="3" t="str">
        <f t="shared" si="36"/>
        <v>X</v>
      </c>
      <c r="X145" s="3" t="str">
        <f t="shared" si="37"/>
        <v>X</v>
      </c>
      <c r="Y145" s="3" t="str">
        <f t="shared" si="38"/>
        <v>X</v>
      </c>
      <c r="Z145" s="3" t="str">
        <f t="shared" si="39"/>
        <v>X</v>
      </c>
      <c r="AA145" s="3" t="str">
        <f t="shared" si="41"/>
        <v>(31 downto 24)</v>
      </c>
      <c r="AB145" s="3" t="str">
        <f t="shared" si="42"/>
        <v>(23 downto 16)</v>
      </c>
      <c r="AC145" s="3" t="str">
        <f t="shared" si="43"/>
        <v>(15 downto 8)</v>
      </c>
      <c r="AD145" s="3" t="str">
        <f t="shared" si="44"/>
        <v>(7 downto 0)</v>
      </c>
      <c r="AE145" s="3" t="str">
        <f t="shared" si="45"/>
        <v>(31 downto 24)</v>
      </c>
      <c r="AF145" s="3" t="str">
        <f t="shared" si="46"/>
        <v>(23 downto 16)</v>
      </c>
      <c r="AG145" s="3" t="str">
        <f t="shared" si="47"/>
        <v>(15 downto 8)</v>
      </c>
      <c r="AH145" s="3" t="str">
        <f t="shared" si="48"/>
        <v>(7 downto 0)</v>
      </c>
    </row>
    <row r="146" spans="2:34" x14ac:dyDescent="0.25">
      <c r="B146" s="3" t="s">
        <v>1240</v>
      </c>
      <c r="C146" s="3" t="s">
        <v>1254</v>
      </c>
      <c r="D146" s="3" t="s">
        <v>1</v>
      </c>
      <c r="E146" s="3" t="s">
        <v>134</v>
      </c>
      <c r="F146" s="3" t="s">
        <v>1259</v>
      </c>
      <c r="G146" s="3" t="s">
        <v>1260</v>
      </c>
      <c r="H146" s="3" t="s">
        <v>1274</v>
      </c>
      <c r="I146" s="3" t="s">
        <v>42</v>
      </c>
      <c r="J146" s="3">
        <v>32</v>
      </c>
      <c r="K146" s="3" t="s">
        <v>130</v>
      </c>
      <c r="L146" s="3" t="s">
        <v>41</v>
      </c>
      <c r="M146" s="3" t="s">
        <v>415</v>
      </c>
      <c r="N146" s="3" t="s">
        <v>1279</v>
      </c>
      <c r="O146" s="3" t="s">
        <v>1293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504</v>
      </c>
      <c r="T146" s="3" t="str">
        <f t="shared" si="49"/>
        <v>1F8</v>
      </c>
      <c r="U146" s="3">
        <f t="shared" si="40"/>
        <v>126</v>
      </c>
      <c r="V146" s="3" t="str">
        <f t="shared" si="50"/>
        <v>7E</v>
      </c>
      <c r="W146" s="3" t="str">
        <f t="shared" ref="W146:W163" si="51">IF(MOD($S146,4)=3,"X",IF(AND(MOD($S146,4)=2,$J146&gt;8),"X",IF(AND(MOD($S146,4)=1,$J146&gt;16),"X",IF(AND(MOD($S146,4)=0,$J146&gt;24),"X",""))))</f>
        <v>X</v>
      </c>
      <c r="X146" s="3" t="str">
        <f t="shared" ref="X146:X163" si="52">IF(MOD($S146,4)=2,"X",IF(AND(MOD($S146,4)=1,$J146&gt;8),"X",IF(AND(MOD($S146,4)=0,$J146&gt;16),"X","")))</f>
        <v>X</v>
      </c>
      <c r="Y146" s="3" t="str">
        <f t="shared" ref="Y146:Y163" si="53">IF(MOD($S146,4)=1,"X",IF(AND(MOD($S146,4)=0,$J146&gt;8),"X",""))</f>
        <v>X</v>
      </c>
      <c r="Z146" s="3" t="str">
        <f t="shared" ref="Z146:Z163" si="54">IF(MOD($S146,4)=0,"X","")</f>
        <v>X</v>
      </c>
      <c r="AA146" s="3" t="str">
        <f t="shared" si="41"/>
        <v>(31 downto 24)</v>
      </c>
      <c r="AB146" s="3" t="str">
        <f t="shared" si="42"/>
        <v>(23 downto 16)</v>
      </c>
      <c r="AC146" s="3" t="str">
        <f t="shared" si="43"/>
        <v>(15 downto 8)</v>
      </c>
      <c r="AD146" s="3" t="str">
        <f t="shared" si="44"/>
        <v>(7 downto 0)</v>
      </c>
      <c r="AE146" s="3" t="str">
        <f t="shared" si="45"/>
        <v>(31 downto 24)</v>
      </c>
      <c r="AF146" s="3" t="str">
        <f t="shared" si="46"/>
        <v>(23 downto 16)</v>
      </c>
      <c r="AG146" s="3" t="str">
        <f t="shared" si="47"/>
        <v>(15 downto 8)</v>
      </c>
      <c r="AH146" s="3" t="str">
        <f t="shared" si="48"/>
        <v>(7 downto 0)</v>
      </c>
    </row>
    <row r="147" spans="2:34" x14ac:dyDescent="0.25">
      <c r="B147" s="3" t="s">
        <v>1240</v>
      </c>
      <c r="C147" s="3" t="s">
        <v>1253</v>
      </c>
      <c r="D147" s="3" t="s">
        <v>1</v>
      </c>
      <c r="E147" s="3" t="s">
        <v>134</v>
      </c>
      <c r="F147" s="3" t="s">
        <v>1259</v>
      </c>
      <c r="G147" s="3" t="s">
        <v>1260</v>
      </c>
      <c r="H147" s="3" t="s">
        <v>1273</v>
      </c>
      <c r="I147" s="3" t="s">
        <v>42</v>
      </c>
      <c r="J147" s="3">
        <v>32</v>
      </c>
      <c r="K147" s="3" t="s">
        <v>130</v>
      </c>
      <c r="L147" s="3" t="s">
        <v>41</v>
      </c>
      <c r="M147" s="3" t="s">
        <v>415</v>
      </c>
      <c r="N147" s="3" t="s">
        <v>1279</v>
      </c>
      <c r="O147" s="3" t="s">
        <v>1292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508</v>
      </c>
      <c r="T147" s="3" t="str">
        <f t="shared" si="49"/>
        <v>1FC</v>
      </c>
      <c r="U147" s="3">
        <f t="shared" si="40"/>
        <v>127</v>
      </c>
      <c r="V147" s="3" t="str">
        <f t="shared" si="50"/>
        <v>7F</v>
      </c>
      <c r="W147" s="3" t="str">
        <f t="shared" si="51"/>
        <v>X</v>
      </c>
      <c r="X147" s="3" t="str">
        <f t="shared" si="52"/>
        <v>X</v>
      </c>
      <c r="Y147" s="3" t="str">
        <f t="shared" si="53"/>
        <v>X</v>
      </c>
      <c r="Z147" s="3" t="str">
        <f t="shared" si="54"/>
        <v>X</v>
      </c>
      <c r="AA147" s="3" t="str">
        <f t="shared" si="41"/>
        <v>(31 downto 24)</v>
      </c>
      <c r="AB147" s="3" t="str">
        <f t="shared" si="42"/>
        <v>(23 downto 16)</v>
      </c>
      <c r="AC147" s="3" t="str">
        <f t="shared" si="43"/>
        <v>(15 downto 8)</v>
      </c>
      <c r="AD147" s="3" t="str">
        <f t="shared" si="44"/>
        <v>(7 downto 0)</v>
      </c>
      <c r="AE147" s="3" t="str">
        <f t="shared" si="45"/>
        <v>(31 downto 24)</v>
      </c>
      <c r="AF147" s="3" t="str">
        <f t="shared" si="46"/>
        <v>(23 downto 16)</v>
      </c>
      <c r="AG147" s="3" t="str">
        <f t="shared" si="47"/>
        <v>(15 downto 8)</v>
      </c>
      <c r="AH147" s="3" t="str">
        <f t="shared" si="48"/>
        <v>(7 downto 0)</v>
      </c>
    </row>
    <row r="148" spans="2:34" x14ac:dyDescent="0.25">
      <c r="B148" s="3" t="s">
        <v>1240</v>
      </c>
      <c r="C148" s="3" t="s">
        <v>1252</v>
      </c>
      <c r="D148" s="3" t="s">
        <v>1</v>
      </c>
      <c r="E148" s="3" t="s">
        <v>134</v>
      </c>
      <c r="F148" s="3" t="s">
        <v>1259</v>
      </c>
      <c r="G148" s="3" t="s">
        <v>1260</v>
      </c>
      <c r="H148" s="3" t="s">
        <v>1272</v>
      </c>
      <c r="I148" s="3" t="s">
        <v>42</v>
      </c>
      <c r="J148" s="3">
        <v>32</v>
      </c>
      <c r="K148" s="3" t="s">
        <v>130</v>
      </c>
      <c r="L148" s="3" t="s">
        <v>41</v>
      </c>
      <c r="M148" s="3" t="s">
        <v>415</v>
      </c>
      <c r="N148" s="3" t="s">
        <v>1279</v>
      </c>
      <c r="O148" s="3" t="s">
        <v>1291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512</v>
      </c>
      <c r="T148" s="3" t="str">
        <f t="shared" si="49"/>
        <v>200</v>
      </c>
      <c r="U148" s="3">
        <f t="shared" si="40"/>
        <v>128</v>
      </c>
      <c r="V148" s="3" t="str">
        <f t="shared" si="50"/>
        <v>80</v>
      </c>
      <c r="W148" s="3" t="str">
        <f t="shared" si="51"/>
        <v>X</v>
      </c>
      <c r="X148" s="3" t="str">
        <f t="shared" si="52"/>
        <v>X</v>
      </c>
      <c r="Y148" s="3" t="str">
        <f t="shared" si="53"/>
        <v>X</v>
      </c>
      <c r="Z148" s="3" t="str">
        <f t="shared" si="54"/>
        <v>X</v>
      </c>
      <c r="AA148" s="3" t="str">
        <f t="shared" si="41"/>
        <v>(31 downto 24)</v>
      </c>
      <c r="AB148" s="3" t="str">
        <f t="shared" si="42"/>
        <v>(23 downto 16)</v>
      </c>
      <c r="AC148" s="3" t="str">
        <f t="shared" si="43"/>
        <v>(15 downto 8)</v>
      </c>
      <c r="AD148" s="3" t="str">
        <f t="shared" si="44"/>
        <v>(7 downto 0)</v>
      </c>
      <c r="AE148" s="3" t="str">
        <f t="shared" si="45"/>
        <v>(31 downto 24)</v>
      </c>
      <c r="AF148" s="3" t="str">
        <f t="shared" si="46"/>
        <v>(23 downto 16)</v>
      </c>
      <c r="AG148" s="3" t="str">
        <f t="shared" si="47"/>
        <v>(15 downto 8)</v>
      </c>
      <c r="AH148" s="3" t="str">
        <f t="shared" si="48"/>
        <v>(7 downto 0)</v>
      </c>
    </row>
    <row r="149" spans="2:34" x14ac:dyDescent="0.25">
      <c r="B149" s="3" t="s">
        <v>1240</v>
      </c>
      <c r="C149" s="3" t="s">
        <v>1251</v>
      </c>
      <c r="D149" s="3" t="s">
        <v>1</v>
      </c>
      <c r="E149" s="3" t="s">
        <v>134</v>
      </c>
      <c r="F149" s="3" t="s">
        <v>1259</v>
      </c>
      <c r="G149" s="3" t="s">
        <v>1260</v>
      </c>
      <c r="H149" s="3" t="s">
        <v>1271</v>
      </c>
      <c r="I149" s="3" t="s">
        <v>42</v>
      </c>
      <c r="J149" s="3">
        <v>32</v>
      </c>
      <c r="K149" s="3" t="s">
        <v>130</v>
      </c>
      <c r="L149" s="3" t="s">
        <v>41</v>
      </c>
      <c r="M149" s="3" t="s">
        <v>415</v>
      </c>
      <c r="N149" s="3" t="s">
        <v>1279</v>
      </c>
      <c r="O149" s="3" t="s">
        <v>1290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516</v>
      </c>
      <c r="T149" s="3" t="str">
        <f t="shared" si="49"/>
        <v>204</v>
      </c>
      <c r="U149" s="3">
        <f t="shared" si="40"/>
        <v>129</v>
      </c>
      <c r="V149" s="3" t="str">
        <f t="shared" si="50"/>
        <v>81</v>
      </c>
      <c r="W149" s="3" t="str">
        <f t="shared" si="51"/>
        <v>X</v>
      </c>
      <c r="X149" s="3" t="str">
        <f t="shared" si="52"/>
        <v>X</v>
      </c>
      <c r="Y149" s="3" t="str">
        <f t="shared" si="53"/>
        <v>X</v>
      </c>
      <c r="Z149" s="3" t="str">
        <f t="shared" si="54"/>
        <v>X</v>
      </c>
      <c r="AA149" s="3" t="str">
        <f t="shared" si="41"/>
        <v>(31 downto 24)</v>
      </c>
      <c r="AB149" s="3" t="str">
        <f t="shared" si="42"/>
        <v>(23 downto 16)</v>
      </c>
      <c r="AC149" s="3" t="str">
        <f t="shared" si="43"/>
        <v>(15 downto 8)</v>
      </c>
      <c r="AD149" s="3" t="str">
        <f t="shared" si="44"/>
        <v>(7 downto 0)</v>
      </c>
      <c r="AE149" s="3" t="str">
        <f t="shared" si="45"/>
        <v>(31 downto 24)</v>
      </c>
      <c r="AF149" s="3" t="str">
        <f t="shared" si="46"/>
        <v>(23 downto 16)</v>
      </c>
      <c r="AG149" s="3" t="str">
        <f t="shared" si="47"/>
        <v>(15 downto 8)</v>
      </c>
      <c r="AH149" s="3" t="str">
        <f t="shared" si="48"/>
        <v>(7 downto 0)</v>
      </c>
    </row>
    <row r="150" spans="2:34" x14ac:dyDescent="0.25">
      <c r="B150" s="3" t="s">
        <v>1240</v>
      </c>
      <c r="C150" s="3" t="s">
        <v>1250</v>
      </c>
      <c r="D150" s="3" t="s">
        <v>1</v>
      </c>
      <c r="E150" s="3" t="s">
        <v>134</v>
      </c>
      <c r="F150" s="3" t="s">
        <v>1259</v>
      </c>
      <c r="G150" s="3" t="s">
        <v>1260</v>
      </c>
      <c r="H150" s="3" t="s">
        <v>1270</v>
      </c>
      <c r="I150" s="3" t="s">
        <v>42</v>
      </c>
      <c r="J150" s="3">
        <v>32</v>
      </c>
      <c r="K150" s="3" t="s">
        <v>130</v>
      </c>
      <c r="L150" s="3" t="s">
        <v>41</v>
      </c>
      <c r="M150" s="3" t="s">
        <v>415</v>
      </c>
      <c r="N150" s="3" t="s">
        <v>1279</v>
      </c>
      <c r="O150" s="3" t="s">
        <v>1289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520</v>
      </c>
      <c r="T150" s="3" t="str">
        <f t="shared" si="49"/>
        <v>208</v>
      </c>
      <c r="U150" s="3">
        <f t="shared" si="40"/>
        <v>130</v>
      </c>
      <c r="V150" s="3" t="str">
        <f t="shared" si="50"/>
        <v>82</v>
      </c>
      <c r="W150" s="3" t="str">
        <f t="shared" si="51"/>
        <v>X</v>
      </c>
      <c r="X150" s="3" t="str">
        <f t="shared" si="52"/>
        <v>X</v>
      </c>
      <c r="Y150" s="3" t="str">
        <f t="shared" si="53"/>
        <v>X</v>
      </c>
      <c r="Z150" s="3" t="str">
        <f t="shared" si="54"/>
        <v>X</v>
      </c>
      <c r="AA150" s="3" t="str">
        <f t="shared" si="41"/>
        <v>(31 downto 24)</v>
      </c>
      <c r="AB150" s="3" t="str">
        <f t="shared" si="42"/>
        <v>(23 downto 16)</v>
      </c>
      <c r="AC150" s="3" t="str">
        <f t="shared" si="43"/>
        <v>(15 downto 8)</v>
      </c>
      <c r="AD150" s="3" t="str">
        <f t="shared" si="44"/>
        <v>(7 downto 0)</v>
      </c>
      <c r="AE150" s="3" t="str">
        <f t="shared" si="45"/>
        <v>(31 downto 24)</v>
      </c>
      <c r="AF150" s="3" t="str">
        <f t="shared" si="46"/>
        <v>(23 downto 16)</v>
      </c>
      <c r="AG150" s="3" t="str">
        <f t="shared" si="47"/>
        <v>(15 downto 8)</v>
      </c>
      <c r="AH150" s="3" t="str">
        <f t="shared" si="48"/>
        <v>(7 downto 0)</v>
      </c>
    </row>
    <row r="151" spans="2:34" x14ac:dyDescent="0.25">
      <c r="B151" s="3" t="s">
        <v>1240</v>
      </c>
      <c r="C151" s="3" t="s">
        <v>1249</v>
      </c>
      <c r="D151" s="3" t="s">
        <v>1</v>
      </c>
      <c r="E151" s="3" t="s">
        <v>134</v>
      </c>
      <c r="F151" s="3" t="s">
        <v>1259</v>
      </c>
      <c r="G151" s="3" t="s">
        <v>1260</v>
      </c>
      <c r="H151" s="3" t="s">
        <v>1269</v>
      </c>
      <c r="I151" s="3" t="s">
        <v>42</v>
      </c>
      <c r="J151" s="3">
        <v>32</v>
      </c>
      <c r="K151" s="3" t="s">
        <v>130</v>
      </c>
      <c r="L151" s="3" t="s">
        <v>41</v>
      </c>
      <c r="M151" s="3" t="s">
        <v>415</v>
      </c>
      <c r="N151" s="3" t="s">
        <v>1279</v>
      </c>
      <c r="O151" s="3" t="s">
        <v>1288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524</v>
      </c>
      <c r="T151" s="3" t="str">
        <f t="shared" si="49"/>
        <v>20C</v>
      </c>
      <c r="U151" s="3">
        <f t="shared" si="40"/>
        <v>131</v>
      </c>
      <c r="V151" s="3" t="str">
        <f t="shared" si="50"/>
        <v>83</v>
      </c>
      <c r="W151" s="3" t="str">
        <f t="shared" si="51"/>
        <v>X</v>
      </c>
      <c r="X151" s="3" t="str">
        <f t="shared" si="52"/>
        <v>X</v>
      </c>
      <c r="Y151" s="3" t="str">
        <f t="shared" si="53"/>
        <v>X</v>
      </c>
      <c r="Z151" s="3" t="str">
        <f t="shared" si="54"/>
        <v>X</v>
      </c>
      <c r="AA151" s="3" t="str">
        <f t="shared" si="41"/>
        <v>(31 downto 24)</v>
      </c>
      <c r="AB151" s="3" t="str">
        <f t="shared" si="42"/>
        <v>(23 downto 16)</v>
      </c>
      <c r="AC151" s="3" t="str">
        <f t="shared" si="43"/>
        <v>(15 downto 8)</v>
      </c>
      <c r="AD151" s="3" t="str">
        <f t="shared" si="44"/>
        <v>(7 downto 0)</v>
      </c>
      <c r="AE151" s="3" t="str">
        <f t="shared" si="45"/>
        <v>(31 downto 24)</v>
      </c>
      <c r="AF151" s="3" t="str">
        <f t="shared" si="46"/>
        <v>(23 downto 16)</v>
      </c>
      <c r="AG151" s="3" t="str">
        <f t="shared" si="47"/>
        <v>(15 downto 8)</v>
      </c>
      <c r="AH151" s="3" t="str">
        <f t="shared" si="48"/>
        <v>(7 downto 0)</v>
      </c>
    </row>
    <row r="152" spans="2:34" x14ac:dyDescent="0.25">
      <c r="B152" s="3" t="s">
        <v>1240</v>
      </c>
      <c r="C152" s="3" t="s">
        <v>1248</v>
      </c>
      <c r="D152" s="3" t="s">
        <v>1</v>
      </c>
      <c r="E152" s="3" t="s">
        <v>134</v>
      </c>
      <c r="F152" s="3" t="s">
        <v>1259</v>
      </c>
      <c r="G152" s="3" t="s">
        <v>1260</v>
      </c>
      <c r="H152" s="3" t="s">
        <v>1268</v>
      </c>
      <c r="I152" s="3" t="s">
        <v>42</v>
      </c>
      <c r="J152" s="3">
        <v>32</v>
      </c>
      <c r="K152" s="3" t="s">
        <v>130</v>
      </c>
      <c r="L152" s="3" t="s">
        <v>41</v>
      </c>
      <c r="M152" s="3" t="s">
        <v>415</v>
      </c>
      <c r="N152" s="3" t="s">
        <v>1279</v>
      </c>
      <c r="O152" s="3" t="s">
        <v>1287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528</v>
      </c>
      <c r="T152" s="3" t="str">
        <f t="shared" si="49"/>
        <v>210</v>
      </c>
      <c r="U152" s="3">
        <f t="shared" si="40"/>
        <v>132</v>
      </c>
      <c r="V152" s="3" t="str">
        <f t="shared" si="50"/>
        <v>84</v>
      </c>
      <c r="W152" s="3" t="str">
        <f t="shared" si="51"/>
        <v>X</v>
      </c>
      <c r="X152" s="3" t="str">
        <f t="shared" si="52"/>
        <v>X</v>
      </c>
      <c r="Y152" s="3" t="str">
        <f t="shared" si="53"/>
        <v>X</v>
      </c>
      <c r="Z152" s="3" t="str">
        <f t="shared" si="54"/>
        <v>X</v>
      </c>
      <c r="AA152" s="3" t="str">
        <f t="shared" si="41"/>
        <v>(31 downto 24)</v>
      </c>
      <c r="AB152" s="3" t="str">
        <f t="shared" si="42"/>
        <v>(23 downto 16)</v>
      </c>
      <c r="AC152" s="3" t="str">
        <f t="shared" si="43"/>
        <v>(15 downto 8)</v>
      </c>
      <c r="AD152" s="3" t="str">
        <f t="shared" si="44"/>
        <v>(7 downto 0)</v>
      </c>
      <c r="AE152" s="3" t="str">
        <f t="shared" si="45"/>
        <v>(31 downto 24)</v>
      </c>
      <c r="AF152" s="3" t="str">
        <f t="shared" si="46"/>
        <v>(23 downto 16)</v>
      </c>
      <c r="AG152" s="3" t="str">
        <f t="shared" si="47"/>
        <v>(15 downto 8)</v>
      </c>
      <c r="AH152" s="3" t="str">
        <f t="shared" si="48"/>
        <v>(7 downto 0)</v>
      </c>
    </row>
    <row r="153" spans="2:34" x14ac:dyDescent="0.25">
      <c r="B153" s="3" t="s">
        <v>1240</v>
      </c>
      <c r="C153" s="3" t="s">
        <v>1247</v>
      </c>
      <c r="D153" s="3" t="s">
        <v>1</v>
      </c>
      <c r="E153" s="3" t="s">
        <v>134</v>
      </c>
      <c r="F153" s="3" t="s">
        <v>1259</v>
      </c>
      <c r="G153" s="3" t="s">
        <v>1260</v>
      </c>
      <c r="H153" s="3" t="s">
        <v>1267</v>
      </c>
      <c r="I153" s="3" t="s">
        <v>42</v>
      </c>
      <c r="J153" s="3">
        <v>32</v>
      </c>
      <c r="K153" s="3" t="s">
        <v>130</v>
      </c>
      <c r="L153" s="3" t="s">
        <v>41</v>
      </c>
      <c r="M153" s="3" t="s">
        <v>415</v>
      </c>
      <c r="N153" s="3" t="s">
        <v>1279</v>
      </c>
      <c r="O153" s="3" t="s">
        <v>1286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532</v>
      </c>
      <c r="T153" s="3" t="str">
        <f t="shared" si="49"/>
        <v>214</v>
      </c>
      <c r="U153" s="3">
        <f t="shared" si="40"/>
        <v>133</v>
      </c>
      <c r="V153" s="3" t="str">
        <f t="shared" si="50"/>
        <v>85</v>
      </c>
      <c r="W153" s="3" t="str">
        <f t="shared" si="51"/>
        <v>X</v>
      </c>
      <c r="X153" s="3" t="str">
        <f t="shared" si="52"/>
        <v>X</v>
      </c>
      <c r="Y153" s="3" t="str">
        <f t="shared" si="53"/>
        <v>X</v>
      </c>
      <c r="Z153" s="3" t="str">
        <f t="shared" si="54"/>
        <v>X</v>
      </c>
      <c r="AA153" s="3" t="str">
        <f t="shared" si="41"/>
        <v>(31 downto 24)</v>
      </c>
      <c r="AB153" s="3" t="str">
        <f t="shared" si="42"/>
        <v>(23 downto 16)</v>
      </c>
      <c r="AC153" s="3" t="str">
        <f t="shared" si="43"/>
        <v>(15 downto 8)</v>
      </c>
      <c r="AD153" s="3" t="str">
        <f t="shared" si="44"/>
        <v>(7 downto 0)</v>
      </c>
      <c r="AE153" s="3" t="str">
        <f t="shared" si="45"/>
        <v>(31 downto 24)</v>
      </c>
      <c r="AF153" s="3" t="str">
        <f t="shared" si="46"/>
        <v>(23 downto 16)</v>
      </c>
      <c r="AG153" s="3" t="str">
        <f t="shared" si="47"/>
        <v>(15 downto 8)</v>
      </c>
      <c r="AH153" s="3" t="str">
        <f t="shared" si="48"/>
        <v>(7 downto 0)</v>
      </c>
    </row>
    <row r="154" spans="2:34" x14ac:dyDescent="0.25">
      <c r="B154" s="3" t="s">
        <v>1240</v>
      </c>
      <c r="C154" s="3" t="s">
        <v>1246</v>
      </c>
      <c r="D154" s="3" t="s">
        <v>1</v>
      </c>
      <c r="E154" s="3" t="s">
        <v>134</v>
      </c>
      <c r="F154" s="3" t="s">
        <v>1259</v>
      </c>
      <c r="G154" s="3" t="s">
        <v>1260</v>
      </c>
      <c r="H154" s="3" t="s">
        <v>1266</v>
      </c>
      <c r="I154" s="3" t="s">
        <v>42</v>
      </c>
      <c r="J154" s="3">
        <v>32</v>
      </c>
      <c r="K154" s="3" t="s">
        <v>130</v>
      </c>
      <c r="L154" s="3" t="s">
        <v>41</v>
      </c>
      <c r="M154" s="3" t="s">
        <v>415</v>
      </c>
      <c r="N154" s="3" t="s">
        <v>1279</v>
      </c>
      <c r="O154" s="3" t="s">
        <v>1285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536</v>
      </c>
      <c r="T154" s="3" t="str">
        <f t="shared" si="49"/>
        <v>218</v>
      </c>
      <c r="U154" s="3">
        <f t="shared" si="40"/>
        <v>134</v>
      </c>
      <c r="V154" s="3" t="str">
        <f t="shared" si="50"/>
        <v>86</v>
      </c>
      <c r="W154" s="3" t="str">
        <f t="shared" si="51"/>
        <v>X</v>
      </c>
      <c r="X154" s="3" t="str">
        <f t="shared" si="52"/>
        <v>X</v>
      </c>
      <c r="Y154" s="3" t="str">
        <f t="shared" si="53"/>
        <v>X</v>
      </c>
      <c r="Z154" s="3" t="str">
        <f t="shared" si="54"/>
        <v>X</v>
      </c>
      <c r="AA154" s="3" t="str">
        <f t="shared" si="41"/>
        <v>(31 downto 24)</v>
      </c>
      <c r="AB154" s="3" t="str">
        <f t="shared" si="42"/>
        <v>(23 downto 16)</v>
      </c>
      <c r="AC154" s="3" t="str">
        <f t="shared" si="43"/>
        <v>(15 downto 8)</v>
      </c>
      <c r="AD154" s="3" t="str">
        <f t="shared" si="44"/>
        <v>(7 downto 0)</v>
      </c>
      <c r="AE154" s="3" t="str">
        <f t="shared" si="45"/>
        <v>(31 downto 24)</v>
      </c>
      <c r="AF154" s="3" t="str">
        <f t="shared" si="46"/>
        <v>(23 downto 16)</v>
      </c>
      <c r="AG154" s="3" t="str">
        <f t="shared" si="47"/>
        <v>(15 downto 8)</v>
      </c>
      <c r="AH154" s="3" t="str">
        <f t="shared" si="48"/>
        <v>(7 downto 0)</v>
      </c>
    </row>
    <row r="155" spans="2:34" x14ac:dyDescent="0.25">
      <c r="B155" s="3" t="s">
        <v>1240</v>
      </c>
      <c r="C155" s="3" t="s">
        <v>1245</v>
      </c>
      <c r="D155" s="3" t="s">
        <v>1</v>
      </c>
      <c r="E155" s="3" t="s">
        <v>134</v>
      </c>
      <c r="F155" s="3" t="s">
        <v>1259</v>
      </c>
      <c r="G155" s="3" t="s">
        <v>1260</v>
      </c>
      <c r="H155" s="3" t="s">
        <v>1265</v>
      </c>
      <c r="I155" s="3" t="s">
        <v>42</v>
      </c>
      <c r="J155" s="3">
        <v>32</v>
      </c>
      <c r="K155" s="3" t="s">
        <v>130</v>
      </c>
      <c r="L155" s="3" t="s">
        <v>41</v>
      </c>
      <c r="M155" s="3" t="s">
        <v>415</v>
      </c>
      <c r="N155" s="3" t="s">
        <v>1279</v>
      </c>
      <c r="O155" s="3" t="s">
        <v>1284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540</v>
      </c>
      <c r="T155" s="3" t="str">
        <f t="shared" si="49"/>
        <v>21C</v>
      </c>
      <c r="U155" s="3">
        <f t="shared" si="40"/>
        <v>135</v>
      </c>
      <c r="V155" s="3" t="str">
        <f t="shared" si="50"/>
        <v>87</v>
      </c>
      <c r="W155" s="3" t="str">
        <f t="shared" si="51"/>
        <v>X</v>
      </c>
      <c r="X155" s="3" t="str">
        <f t="shared" si="52"/>
        <v>X</v>
      </c>
      <c r="Y155" s="3" t="str">
        <f t="shared" si="53"/>
        <v>X</v>
      </c>
      <c r="Z155" s="3" t="str">
        <f t="shared" si="54"/>
        <v>X</v>
      </c>
      <c r="AA155" s="3" t="str">
        <f t="shared" si="41"/>
        <v>(31 downto 24)</v>
      </c>
      <c r="AB155" s="3" t="str">
        <f t="shared" si="42"/>
        <v>(23 downto 16)</v>
      </c>
      <c r="AC155" s="3" t="str">
        <f t="shared" si="43"/>
        <v>(15 downto 8)</v>
      </c>
      <c r="AD155" s="3" t="str">
        <f t="shared" si="44"/>
        <v>(7 downto 0)</v>
      </c>
      <c r="AE155" s="3" t="str">
        <f t="shared" si="45"/>
        <v>(31 downto 24)</v>
      </c>
      <c r="AF155" s="3" t="str">
        <f t="shared" si="46"/>
        <v>(23 downto 16)</v>
      </c>
      <c r="AG155" s="3" t="str">
        <f t="shared" si="47"/>
        <v>(15 downto 8)</v>
      </c>
      <c r="AH155" s="3" t="str">
        <f t="shared" si="48"/>
        <v>(7 downto 0)</v>
      </c>
    </row>
    <row r="156" spans="2:34" x14ac:dyDescent="0.25">
      <c r="B156" s="3" t="s">
        <v>1240</v>
      </c>
      <c r="C156" s="3" t="s">
        <v>1244</v>
      </c>
      <c r="D156" s="3" t="s">
        <v>1</v>
      </c>
      <c r="E156" s="3" t="s">
        <v>134</v>
      </c>
      <c r="F156" s="3" t="s">
        <v>1259</v>
      </c>
      <c r="G156" s="3" t="s">
        <v>1260</v>
      </c>
      <c r="H156" s="3" t="s">
        <v>1264</v>
      </c>
      <c r="I156" s="3" t="s">
        <v>42</v>
      </c>
      <c r="J156" s="3">
        <v>32</v>
      </c>
      <c r="K156" s="3" t="s">
        <v>130</v>
      </c>
      <c r="L156" s="3" t="s">
        <v>41</v>
      </c>
      <c r="M156" s="3" t="s">
        <v>415</v>
      </c>
      <c r="N156" s="3" t="s">
        <v>1279</v>
      </c>
      <c r="O156" s="3" t="s">
        <v>1283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544</v>
      </c>
      <c r="T156" s="3" t="str">
        <f t="shared" si="49"/>
        <v>220</v>
      </c>
      <c r="U156" s="3">
        <f t="shared" si="40"/>
        <v>136</v>
      </c>
      <c r="V156" s="3" t="str">
        <f t="shared" si="50"/>
        <v>88</v>
      </c>
      <c r="W156" s="3" t="str">
        <f t="shared" si="51"/>
        <v>X</v>
      </c>
      <c r="X156" s="3" t="str">
        <f t="shared" si="52"/>
        <v>X</v>
      </c>
      <c r="Y156" s="3" t="str">
        <f t="shared" si="53"/>
        <v>X</v>
      </c>
      <c r="Z156" s="3" t="str">
        <f t="shared" si="54"/>
        <v>X</v>
      </c>
      <c r="AA156" s="3" t="str">
        <f t="shared" si="41"/>
        <v>(31 downto 24)</v>
      </c>
      <c r="AB156" s="3" t="str">
        <f t="shared" si="42"/>
        <v>(23 downto 16)</v>
      </c>
      <c r="AC156" s="3" t="str">
        <f t="shared" si="43"/>
        <v>(15 downto 8)</v>
      </c>
      <c r="AD156" s="3" t="str">
        <f t="shared" si="44"/>
        <v>(7 downto 0)</v>
      </c>
      <c r="AE156" s="3" t="str">
        <f t="shared" si="45"/>
        <v>(31 downto 24)</v>
      </c>
      <c r="AF156" s="3" t="str">
        <f t="shared" si="46"/>
        <v>(23 downto 16)</v>
      </c>
      <c r="AG156" s="3" t="str">
        <f t="shared" si="47"/>
        <v>(15 downto 8)</v>
      </c>
      <c r="AH156" s="3" t="str">
        <f t="shared" si="48"/>
        <v>(7 downto 0)</v>
      </c>
    </row>
    <row r="157" spans="2:34" x14ac:dyDescent="0.25">
      <c r="B157" s="3" t="s">
        <v>1240</v>
      </c>
      <c r="C157" s="3" t="s">
        <v>1243</v>
      </c>
      <c r="D157" s="3" t="s">
        <v>1</v>
      </c>
      <c r="E157" s="3" t="s">
        <v>134</v>
      </c>
      <c r="F157" s="3" t="s">
        <v>1259</v>
      </c>
      <c r="G157" s="3" t="s">
        <v>1260</v>
      </c>
      <c r="H157" s="3" t="s">
        <v>1263</v>
      </c>
      <c r="I157" s="3" t="s">
        <v>42</v>
      </c>
      <c r="J157" s="3">
        <v>32</v>
      </c>
      <c r="K157" s="3" t="s">
        <v>130</v>
      </c>
      <c r="L157" s="3" t="s">
        <v>41</v>
      </c>
      <c r="M157" s="3" t="s">
        <v>415</v>
      </c>
      <c r="N157" s="3" t="s">
        <v>1279</v>
      </c>
      <c r="O157" s="3" t="s">
        <v>1282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548</v>
      </c>
      <c r="T157" s="3" t="str">
        <f t="shared" si="49"/>
        <v>224</v>
      </c>
      <c r="U157" s="3">
        <f t="shared" si="40"/>
        <v>137</v>
      </c>
      <c r="V157" s="3" t="str">
        <f t="shared" si="50"/>
        <v>89</v>
      </c>
      <c r="W157" s="3" t="str">
        <f t="shared" si="51"/>
        <v>X</v>
      </c>
      <c r="X157" s="3" t="str">
        <f t="shared" si="52"/>
        <v>X</v>
      </c>
      <c r="Y157" s="3" t="str">
        <f t="shared" si="53"/>
        <v>X</v>
      </c>
      <c r="Z157" s="3" t="str">
        <f t="shared" si="54"/>
        <v>X</v>
      </c>
      <c r="AA157" s="3" t="str">
        <f t="shared" si="41"/>
        <v>(31 downto 24)</v>
      </c>
      <c r="AB157" s="3" t="str">
        <f t="shared" si="42"/>
        <v>(23 downto 16)</v>
      </c>
      <c r="AC157" s="3" t="str">
        <f t="shared" si="43"/>
        <v>(15 downto 8)</v>
      </c>
      <c r="AD157" s="3" t="str">
        <f t="shared" si="44"/>
        <v>(7 downto 0)</v>
      </c>
      <c r="AE157" s="3" t="str">
        <f t="shared" si="45"/>
        <v>(31 downto 24)</v>
      </c>
      <c r="AF157" s="3" t="str">
        <f t="shared" si="46"/>
        <v>(23 downto 16)</v>
      </c>
      <c r="AG157" s="3" t="str">
        <f t="shared" si="47"/>
        <v>(15 downto 8)</v>
      </c>
      <c r="AH157" s="3" t="str">
        <f t="shared" si="48"/>
        <v>(7 downto 0)</v>
      </c>
    </row>
    <row r="158" spans="2:34" x14ac:dyDescent="0.25">
      <c r="B158" s="3" t="s">
        <v>1240</v>
      </c>
      <c r="C158" s="3" t="s">
        <v>1242</v>
      </c>
      <c r="D158" s="3" t="s">
        <v>1</v>
      </c>
      <c r="E158" s="3" t="s">
        <v>134</v>
      </c>
      <c r="F158" s="3" t="s">
        <v>1259</v>
      </c>
      <c r="G158" s="3" t="s">
        <v>1260</v>
      </c>
      <c r="H158" s="3" t="s">
        <v>1262</v>
      </c>
      <c r="I158" s="3" t="s">
        <v>42</v>
      </c>
      <c r="J158" s="3">
        <v>32</v>
      </c>
      <c r="K158" s="3" t="s">
        <v>130</v>
      </c>
      <c r="L158" s="3" t="s">
        <v>41</v>
      </c>
      <c r="M158" s="3" t="s">
        <v>415</v>
      </c>
      <c r="N158" s="3" t="s">
        <v>1279</v>
      </c>
      <c r="O158" s="3" t="s">
        <v>1281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552</v>
      </c>
      <c r="T158" s="3" t="str">
        <f t="shared" si="49"/>
        <v>228</v>
      </c>
      <c r="U158" s="3">
        <f t="shared" si="40"/>
        <v>138</v>
      </c>
      <c r="V158" s="3" t="str">
        <f t="shared" si="50"/>
        <v>8A</v>
      </c>
      <c r="W158" s="3" t="str">
        <f t="shared" si="51"/>
        <v>X</v>
      </c>
      <c r="X158" s="3" t="str">
        <f t="shared" si="52"/>
        <v>X</v>
      </c>
      <c r="Y158" s="3" t="str">
        <f t="shared" si="53"/>
        <v>X</v>
      </c>
      <c r="Z158" s="3" t="str">
        <f t="shared" si="54"/>
        <v>X</v>
      </c>
      <c r="AA158" s="3" t="str">
        <f t="shared" si="41"/>
        <v>(31 downto 24)</v>
      </c>
      <c r="AB158" s="3" t="str">
        <f t="shared" si="42"/>
        <v>(23 downto 16)</v>
      </c>
      <c r="AC158" s="3" t="str">
        <f t="shared" si="43"/>
        <v>(15 downto 8)</v>
      </c>
      <c r="AD158" s="3" t="str">
        <f t="shared" si="44"/>
        <v>(7 downto 0)</v>
      </c>
      <c r="AE158" s="3" t="str">
        <f t="shared" si="45"/>
        <v>(31 downto 24)</v>
      </c>
      <c r="AF158" s="3" t="str">
        <f t="shared" si="46"/>
        <v>(23 downto 16)</v>
      </c>
      <c r="AG158" s="3" t="str">
        <f t="shared" si="47"/>
        <v>(15 downto 8)</v>
      </c>
      <c r="AH158" s="3" t="str">
        <f t="shared" si="48"/>
        <v>(7 downto 0)</v>
      </c>
    </row>
    <row r="159" spans="2:34" ht="14.25" customHeight="1" x14ac:dyDescent="0.25">
      <c r="B159" s="3" t="s">
        <v>1240</v>
      </c>
      <c r="C159" s="3" t="s">
        <v>1241</v>
      </c>
      <c r="D159" s="3" t="s">
        <v>1</v>
      </c>
      <c r="E159" s="3" t="s">
        <v>134</v>
      </c>
      <c r="F159" s="3" t="s">
        <v>1259</v>
      </c>
      <c r="G159" s="3" t="s">
        <v>1260</v>
      </c>
      <c r="H159" s="3" t="s">
        <v>1261</v>
      </c>
      <c r="I159" s="3" t="s">
        <v>42</v>
      </c>
      <c r="J159" s="3">
        <v>32</v>
      </c>
      <c r="K159" s="3" t="s">
        <v>130</v>
      </c>
      <c r="L159" s="3" t="s">
        <v>41</v>
      </c>
      <c r="M159" s="3" t="s">
        <v>415</v>
      </c>
      <c r="N159" s="3" t="s">
        <v>1279</v>
      </c>
      <c r="O159" s="3" t="s">
        <v>1280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556</v>
      </c>
      <c r="T159" s="3" t="str">
        <f t="shared" si="49"/>
        <v>22C</v>
      </c>
      <c r="U159" s="3">
        <f t="shared" si="40"/>
        <v>139</v>
      </c>
      <c r="V159" s="3" t="str">
        <f t="shared" si="50"/>
        <v>8B</v>
      </c>
      <c r="W159" s="3" t="str">
        <f t="shared" si="51"/>
        <v>X</v>
      </c>
      <c r="X159" s="3" t="str">
        <f t="shared" si="52"/>
        <v>X</v>
      </c>
      <c r="Y159" s="3" t="str">
        <f t="shared" si="53"/>
        <v>X</v>
      </c>
      <c r="Z159" s="3" t="str">
        <f t="shared" si="54"/>
        <v>X</v>
      </c>
      <c r="AA159" s="3" t="str">
        <f t="shared" si="41"/>
        <v>(31 downto 24)</v>
      </c>
      <c r="AB159" s="3" t="str">
        <f t="shared" si="42"/>
        <v>(23 downto 16)</v>
      </c>
      <c r="AC159" s="3" t="str">
        <f t="shared" si="43"/>
        <v>(15 downto 8)</v>
      </c>
      <c r="AD159" s="3" t="str">
        <f t="shared" si="44"/>
        <v>(7 downto 0)</v>
      </c>
      <c r="AE159" s="3" t="str">
        <f t="shared" si="45"/>
        <v>(31 downto 24)</v>
      </c>
      <c r="AF159" s="3" t="str">
        <f t="shared" si="46"/>
        <v>(23 downto 16)</v>
      </c>
      <c r="AG159" s="3" t="str">
        <f t="shared" si="47"/>
        <v>(15 downto 8)</v>
      </c>
      <c r="AH159" s="3" t="str">
        <f t="shared" si="48"/>
        <v>(7 downto 0)</v>
      </c>
    </row>
    <row r="160" spans="2:34" x14ac:dyDescent="0.25">
      <c r="B160" s="3" t="s">
        <v>1240</v>
      </c>
      <c r="C160" s="3" t="s">
        <v>1257</v>
      </c>
      <c r="D160" s="3" t="s">
        <v>1</v>
      </c>
      <c r="E160" s="3" t="s">
        <v>134</v>
      </c>
      <c r="F160" s="3" t="s">
        <v>1259</v>
      </c>
      <c r="G160" s="3" t="s">
        <v>1260</v>
      </c>
      <c r="H160" s="3" t="s">
        <v>1277</v>
      </c>
      <c r="I160" s="3" t="s">
        <v>42</v>
      </c>
      <c r="J160" s="3">
        <v>10</v>
      </c>
      <c r="K160" s="3" t="s">
        <v>130</v>
      </c>
      <c r="L160" s="3" t="s">
        <v>41</v>
      </c>
      <c r="M160" s="3" t="s">
        <v>415</v>
      </c>
      <c r="N160" s="3" t="s">
        <v>1279</v>
      </c>
      <c r="O160" s="3" t="s">
        <v>1296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560</v>
      </c>
      <c r="T160" s="3" t="str">
        <f t="shared" si="49"/>
        <v>230</v>
      </c>
      <c r="U160" s="3">
        <f t="shared" si="40"/>
        <v>140</v>
      </c>
      <c r="V160" s="3" t="str">
        <f t="shared" si="50"/>
        <v>8C</v>
      </c>
      <c r="W160" s="3" t="str">
        <f t="shared" si="51"/>
        <v/>
      </c>
      <c r="X160" s="3" t="str">
        <f t="shared" si="52"/>
        <v/>
      </c>
      <c r="Y160" s="3" t="str">
        <f t="shared" si="53"/>
        <v>X</v>
      </c>
      <c r="Z160" s="3" t="str">
        <f t="shared" si="54"/>
        <v>X</v>
      </c>
      <c r="AA160" s="3" t="str">
        <f t="shared" si="41"/>
        <v/>
      </c>
      <c r="AB160" s="3" t="str">
        <f t="shared" si="42"/>
        <v/>
      </c>
      <c r="AC160" s="3" t="str">
        <f t="shared" si="43"/>
        <v>(9 downto 8)</v>
      </c>
      <c r="AD160" s="3" t="str">
        <f t="shared" si="44"/>
        <v>(7 downto 0)</v>
      </c>
      <c r="AE160" s="3" t="str">
        <f t="shared" si="45"/>
        <v/>
      </c>
      <c r="AF160" s="3" t="str">
        <f t="shared" si="46"/>
        <v/>
      </c>
      <c r="AG160" s="3" t="str">
        <f t="shared" si="47"/>
        <v>(9 downto 8)</v>
      </c>
      <c r="AH160" s="3" t="str">
        <f t="shared" si="48"/>
        <v>(7 downto 0)</v>
      </c>
    </row>
    <row r="161" spans="2:34" x14ac:dyDescent="0.25">
      <c r="B161" s="3" t="s">
        <v>1240</v>
      </c>
      <c r="C161" s="3" t="s">
        <v>1258</v>
      </c>
      <c r="D161" s="3" t="s">
        <v>1</v>
      </c>
      <c r="E161" s="3" t="s">
        <v>134</v>
      </c>
      <c r="F161" s="3" t="s">
        <v>1259</v>
      </c>
      <c r="G161" s="3" t="s">
        <v>1260</v>
      </c>
      <c r="H161" s="3" t="s">
        <v>1278</v>
      </c>
      <c r="I161" s="3" t="s">
        <v>42</v>
      </c>
      <c r="J161" s="3">
        <v>10</v>
      </c>
      <c r="K161" s="3" t="s">
        <v>130</v>
      </c>
      <c r="L161" s="3" t="s">
        <v>41</v>
      </c>
      <c r="M161" s="3" t="s">
        <v>415</v>
      </c>
      <c r="N161" s="3" t="s">
        <v>1279</v>
      </c>
      <c r="O161" s="3" t="s">
        <v>1297</v>
      </c>
      <c r="P161" s="3" t="s">
        <v>49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564</v>
      </c>
      <c r="T161" s="3" t="str">
        <f t="shared" si="49"/>
        <v>234</v>
      </c>
      <c r="U161" s="3">
        <f t="shared" si="40"/>
        <v>141</v>
      </c>
      <c r="V161" s="3" t="str">
        <f t="shared" si="50"/>
        <v>8D</v>
      </c>
      <c r="W161" s="3" t="str">
        <f t="shared" si="51"/>
        <v/>
      </c>
      <c r="X161" s="3" t="str">
        <f t="shared" si="52"/>
        <v/>
      </c>
      <c r="Y161" s="3" t="str">
        <f t="shared" si="53"/>
        <v>X</v>
      </c>
      <c r="Z161" s="3" t="str">
        <f t="shared" si="54"/>
        <v>X</v>
      </c>
      <c r="AA161" s="3" t="str">
        <f t="shared" si="41"/>
        <v/>
      </c>
      <c r="AB161" s="3" t="str">
        <f t="shared" si="42"/>
        <v/>
      </c>
      <c r="AC161" s="3" t="str">
        <f t="shared" si="43"/>
        <v>(9 downto 8)</v>
      </c>
      <c r="AD161" s="3" t="str">
        <f t="shared" si="44"/>
        <v>(7 downto 0)</v>
      </c>
      <c r="AE161" s="3" t="str">
        <f t="shared" si="45"/>
        <v/>
      </c>
      <c r="AF161" s="3" t="str">
        <f t="shared" si="46"/>
        <v/>
      </c>
      <c r="AG161" s="3" t="str">
        <f t="shared" si="47"/>
        <v>(9 downto 8)</v>
      </c>
      <c r="AH161" s="3" t="str">
        <f t="shared" si="48"/>
        <v>(7 downto 0)</v>
      </c>
    </row>
    <row r="162" spans="2:34" x14ac:dyDescent="0.25">
      <c r="B162" s="3" t="s">
        <v>1240</v>
      </c>
      <c r="C162" s="3" t="s">
        <v>1844</v>
      </c>
      <c r="D162" s="3" t="s">
        <v>1</v>
      </c>
      <c r="E162" s="3" t="s">
        <v>134</v>
      </c>
      <c r="F162" s="3" t="s">
        <v>1259</v>
      </c>
      <c r="G162" s="3" t="s">
        <v>1260</v>
      </c>
      <c r="H162" s="3" t="s">
        <v>1845</v>
      </c>
      <c r="I162" s="3" t="s">
        <v>42</v>
      </c>
      <c r="J162" s="3">
        <v>1</v>
      </c>
      <c r="K162" s="3" t="s">
        <v>82</v>
      </c>
      <c r="L162" s="3" t="s">
        <v>82</v>
      </c>
      <c r="M162" s="3" t="s">
        <v>415</v>
      </c>
      <c r="N162" s="3" t="s">
        <v>1279</v>
      </c>
      <c r="O162" s="3" t="s">
        <v>1846</v>
      </c>
      <c r="P162" s="3" t="s">
        <v>49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568</v>
      </c>
      <c r="T162" s="3" t="str">
        <f t="shared" si="49"/>
        <v>238</v>
      </c>
      <c r="U162" s="3">
        <f t="shared" si="40"/>
        <v>142</v>
      </c>
      <c r="V162" s="3" t="str">
        <f t="shared" si="50"/>
        <v>8E</v>
      </c>
      <c r="W162" s="3" t="str">
        <f t="shared" si="51"/>
        <v/>
      </c>
      <c r="X162" s="3" t="str">
        <f t="shared" si="52"/>
        <v/>
      </c>
      <c r="Y162" s="3" t="str">
        <f t="shared" si="53"/>
        <v/>
      </c>
      <c r="Z162" s="3" t="str">
        <f t="shared" si="54"/>
        <v>X</v>
      </c>
      <c r="AA162" s="3" t="str">
        <f t="shared" si="41"/>
        <v/>
      </c>
      <c r="AB162" s="3" t="str">
        <f t="shared" si="42"/>
        <v/>
      </c>
      <c r="AC162" s="3" t="str">
        <f t="shared" si="43"/>
        <v/>
      </c>
      <c r="AD162" s="3" t="str">
        <f t="shared" si="44"/>
        <v>(0)</v>
      </c>
      <c r="AE162" s="3" t="str">
        <f t="shared" si="45"/>
        <v/>
      </c>
      <c r="AF162" s="3" t="str">
        <f t="shared" si="46"/>
        <v/>
      </c>
      <c r="AG162" s="3" t="str">
        <f t="shared" si="47"/>
        <v/>
      </c>
      <c r="AH162" s="3" t="str">
        <f t="shared" si="48"/>
        <v/>
      </c>
    </row>
    <row r="163" spans="2:34" x14ac:dyDescent="0.25">
      <c r="B163" s="3" t="s">
        <v>1240</v>
      </c>
      <c r="C163" s="3" t="s">
        <v>1847</v>
      </c>
      <c r="D163" s="3" t="s">
        <v>1</v>
      </c>
      <c r="E163" s="3" t="s">
        <v>134</v>
      </c>
      <c r="F163" s="3" t="s">
        <v>1259</v>
      </c>
      <c r="G163" s="3" t="s">
        <v>1260</v>
      </c>
      <c r="H163" s="3" t="s">
        <v>1848</v>
      </c>
      <c r="I163" s="3" t="s">
        <v>42</v>
      </c>
      <c r="J163" s="3">
        <v>1</v>
      </c>
      <c r="K163" s="3" t="s">
        <v>82</v>
      </c>
      <c r="L163" s="3" t="s">
        <v>82</v>
      </c>
      <c r="M163" s="3" t="s">
        <v>415</v>
      </c>
      <c r="N163" s="3" t="s">
        <v>1279</v>
      </c>
      <c r="O163" s="3" t="s">
        <v>1849</v>
      </c>
      <c r="P163" s="3" t="s">
        <v>49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572</v>
      </c>
      <c r="T163" s="3" t="str">
        <f t="shared" si="49"/>
        <v>23C</v>
      </c>
      <c r="U163" s="3">
        <f t="shared" si="40"/>
        <v>143</v>
      </c>
      <c r="V163" s="3" t="str">
        <f t="shared" si="50"/>
        <v>8F</v>
      </c>
      <c r="W163" s="3" t="str">
        <f t="shared" si="51"/>
        <v/>
      </c>
      <c r="X163" s="3" t="str">
        <f t="shared" si="52"/>
        <v/>
      </c>
      <c r="Y163" s="3" t="str">
        <f t="shared" si="53"/>
        <v/>
      </c>
      <c r="Z163" s="3" t="str">
        <f t="shared" si="54"/>
        <v>X</v>
      </c>
      <c r="AA163" s="3" t="str">
        <f t="shared" si="41"/>
        <v/>
      </c>
      <c r="AB163" s="3" t="str">
        <f t="shared" si="42"/>
        <v/>
      </c>
      <c r="AC163" s="3" t="str">
        <f t="shared" si="43"/>
        <v/>
      </c>
      <c r="AD163" s="3" t="str">
        <f t="shared" si="44"/>
        <v>(0)</v>
      </c>
      <c r="AE163" s="3" t="str">
        <f t="shared" si="45"/>
        <v/>
      </c>
      <c r="AF163" s="3" t="str">
        <f t="shared" si="46"/>
        <v/>
      </c>
      <c r="AG163" s="3" t="str">
        <f t="shared" si="47"/>
        <v/>
      </c>
      <c r="AH163" s="3" t="str">
        <f t="shared" si="48"/>
        <v/>
      </c>
    </row>
    <row r="164" spans="2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:34" x14ac:dyDescent="0.25">
      <c r="AA165" s="3"/>
      <c r="AB165" s="3"/>
      <c r="AC165" s="3"/>
      <c r="AD165" s="3"/>
      <c r="AE165" s="3"/>
      <c r="AF165" s="3"/>
      <c r="AG165" s="3"/>
      <c r="AH165" s="3"/>
    </row>
    <row r="166" spans="2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:34" x14ac:dyDescent="0.25">
      <c r="AA167" s="3"/>
      <c r="AB167" s="3"/>
      <c r="AC167" s="3"/>
      <c r="AD167" s="3"/>
      <c r="AE167" s="3"/>
      <c r="AF167" s="3"/>
      <c r="AG167" s="3"/>
      <c r="AH167" s="3"/>
    </row>
    <row r="168" spans="2:34" x14ac:dyDescent="0.25">
      <c r="AA168" s="3"/>
      <c r="AB168" s="3"/>
      <c r="AC168" s="3"/>
      <c r="AD168" s="3"/>
      <c r="AE168" s="3"/>
      <c r="AF168" s="3"/>
      <c r="AG168" s="3"/>
      <c r="AH168" s="3"/>
    </row>
    <row r="169" spans="2:34" x14ac:dyDescent="0.25">
      <c r="AA169" s="3"/>
      <c r="AB169" s="3"/>
      <c r="AC169" s="3"/>
      <c r="AD169" s="3"/>
      <c r="AE169" s="3"/>
      <c r="AF169" s="3"/>
      <c r="AG169" s="3"/>
      <c r="AH169" s="3"/>
    </row>
    <row r="170" spans="2:34" x14ac:dyDescent="0.25">
      <c r="AA170" s="3"/>
      <c r="AB170" s="3"/>
      <c r="AC170" s="3"/>
      <c r="AD170" s="3"/>
      <c r="AE170" s="3"/>
      <c r="AF170" s="3"/>
      <c r="AG170" s="3"/>
      <c r="AH170" s="3"/>
    </row>
  </sheetData>
  <autoFilter ref="B3:AH10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65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662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661</v>
      </c>
      <c r="H6" t="s">
        <v>1234</v>
      </c>
    </row>
    <row r="7" spans="2:8" x14ac:dyDescent="0.25">
      <c r="H7" t="s">
        <v>2350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477</v>
      </c>
    </row>
    <row r="12" spans="2:8" x14ac:dyDescent="0.25">
      <c r="H12" t="s">
        <v>478</v>
      </c>
    </row>
    <row r="13" spans="2:8" x14ac:dyDescent="0.25">
      <c r="H13" t="s">
        <v>479</v>
      </c>
    </row>
    <row r="14" spans="2:8" x14ac:dyDescent="0.25">
      <c r="B14" s="29"/>
      <c r="H14" t="s">
        <v>480</v>
      </c>
    </row>
    <row r="16" spans="2:8" x14ac:dyDescent="0.25">
      <c r="H16" t="s">
        <v>481</v>
      </c>
    </row>
    <row r="17" spans="2:8" x14ac:dyDescent="0.25">
      <c r="B17" s="29"/>
      <c r="H17" t="s">
        <v>482</v>
      </c>
    </row>
    <row r="18" spans="2:8" x14ac:dyDescent="0.25">
      <c r="H18" t="s">
        <v>483</v>
      </c>
    </row>
    <row r="19" spans="2:8" x14ac:dyDescent="0.25">
      <c r="H19" t="s">
        <v>484</v>
      </c>
    </row>
    <row r="20" spans="2:8" x14ac:dyDescent="0.25">
      <c r="B20" s="29"/>
    </row>
    <row r="21" spans="2:8" x14ac:dyDescent="0.25">
      <c r="H21" t="s">
        <v>485</v>
      </c>
    </row>
    <row r="22" spans="2:8" x14ac:dyDescent="0.25">
      <c r="H22" t="s">
        <v>486</v>
      </c>
    </row>
    <row r="23" spans="2:8" x14ac:dyDescent="0.25">
      <c r="H23" t="s">
        <v>487</v>
      </c>
    </row>
    <row r="24" spans="2:8" x14ac:dyDescent="0.25">
      <c r="H24" t="s">
        <v>488</v>
      </c>
    </row>
    <row r="26" spans="2:8" x14ac:dyDescent="0.25">
      <c r="H26" t="s">
        <v>489</v>
      </c>
    </row>
    <row r="27" spans="2:8" x14ac:dyDescent="0.25">
      <c r="H27" t="s">
        <v>490</v>
      </c>
    </row>
    <row r="28" spans="2:8" x14ac:dyDescent="0.25">
      <c r="H28" t="s">
        <v>491</v>
      </c>
    </row>
    <row r="29" spans="2:8" x14ac:dyDescent="0.25">
      <c r="H29" t="s">
        <v>492</v>
      </c>
    </row>
    <row r="30" spans="2:8" x14ac:dyDescent="0.25">
      <c r="H30" t="s">
        <v>493</v>
      </c>
    </row>
    <row r="31" spans="2:8" x14ac:dyDescent="0.25">
      <c r="H31" t="s">
        <v>494</v>
      </c>
    </row>
    <row r="32" spans="2:8" x14ac:dyDescent="0.25">
      <c r="H32" t="s">
        <v>495</v>
      </c>
    </row>
    <row r="34" spans="8:8" x14ac:dyDescent="0.25">
      <c r="H34" t="s">
        <v>496</v>
      </c>
    </row>
    <row r="35" spans="8:8" x14ac:dyDescent="0.25">
      <c r="H35" t="s">
        <v>497</v>
      </c>
    </row>
    <row r="36" spans="8:8" x14ac:dyDescent="0.25">
      <c r="H36" t="s">
        <v>498</v>
      </c>
    </row>
    <row r="37" spans="8:8" x14ac:dyDescent="0.25">
      <c r="H37" t="s">
        <v>499</v>
      </c>
    </row>
    <row r="38" spans="8:8" x14ac:dyDescent="0.25">
      <c r="H38" t="s">
        <v>500</v>
      </c>
    </row>
    <row r="39" spans="8:8" x14ac:dyDescent="0.25">
      <c r="H39" t="s">
        <v>501</v>
      </c>
    </row>
    <row r="40" spans="8:8" x14ac:dyDescent="0.25">
      <c r="H40" t="s">
        <v>502</v>
      </c>
    </row>
    <row r="41" spans="8:8" x14ac:dyDescent="0.25">
      <c r="H41" t="s">
        <v>503</v>
      </c>
    </row>
    <row r="42" spans="8:8" x14ac:dyDescent="0.25">
      <c r="H42" t="s">
        <v>504</v>
      </c>
    </row>
    <row r="43" spans="8:8" x14ac:dyDescent="0.25">
      <c r="H43" t="s">
        <v>505</v>
      </c>
    </row>
    <row r="45" spans="8:8" x14ac:dyDescent="0.25">
      <c r="H45" t="s">
        <v>506</v>
      </c>
    </row>
    <row r="46" spans="8:8" x14ac:dyDescent="0.25">
      <c r="H46" t="s">
        <v>507</v>
      </c>
    </row>
    <row r="47" spans="8:8" x14ac:dyDescent="0.25">
      <c r="H47" t="s">
        <v>508</v>
      </c>
    </row>
    <row r="48" spans="8:8" x14ac:dyDescent="0.25">
      <c r="H48" t="s">
        <v>2351</v>
      </c>
    </row>
    <row r="49" spans="8:8" x14ac:dyDescent="0.25">
      <c r="H49" t="s">
        <v>2352</v>
      </c>
    </row>
    <row r="50" spans="8:8" x14ac:dyDescent="0.25">
      <c r="H50" t="s">
        <v>2353</v>
      </c>
    </row>
    <row r="51" spans="8:8" x14ac:dyDescent="0.25">
      <c r="H51" t="s">
        <v>2354</v>
      </c>
    </row>
    <row r="52" spans="8:8" x14ac:dyDescent="0.25">
      <c r="H52" t="s">
        <v>2355</v>
      </c>
    </row>
    <row r="53" spans="8:8" x14ac:dyDescent="0.25">
      <c r="H53" t="s">
        <v>509</v>
      </c>
    </row>
    <row r="55" spans="8:8" x14ac:dyDescent="0.25">
      <c r="H55" t="s">
        <v>510</v>
      </c>
    </row>
    <row r="56" spans="8:8" x14ac:dyDescent="0.25">
      <c r="H56" t="s">
        <v>511</v>
      </c>
    </row>
    <row r="57" spans="8:8" x14ac:dyDescent="0.25">
      <c r="H57" t="s">
        <v>512</v>
      </c>
    </row>
    <row r="58" spans="8:8" x14ac:dyDescent="0.25">
      <c r="H58" t="s">
        <v>513</v>
      </c>
    </row>
    <row r="59" spans="8:8" x14ac:dyDescent="0.25">
      <c r="H59" t="s">
        <v>514</v>
      </c>
    </row>
    <row r="61" spans="8:8" x14ac:dyDescent="0.25">
      <c r="H61" t="s">
        <v>515</v>
      </c>
    </row>
    <row r="62" spans="8:8" x14ac:dyDescent="0.25">
      <c r="H62" t="s">
        <v>516</v>
      </c>
    </row>
    <row r="63" spans="8:8" x14ac:dyDescent="0.25">
      <c r="H63" t="s">
        <v>517</v>
      </c>
    </row>
    <row r="64" spans="8:8" x14ac:dyDescent="0.25">
      <c r="H64" t="s">
        <v>518</v>
      </c>
    </row>
    <row r="66" spans="8:8" x14ac:dyDescent="0.25">
      <c r="H66" t="s">
        <v>519</v>
      </c>
    </row>
    <row r="67" spans="8:8" x14ac:dyDescent="0.25">
      <c r="H67" t="s">
        <v>520</v>
      </c>
    </row>
    <row r="68" spans="8:8" x14ac:dyDescent="0.25">
      <c r="H68" t="s">
        <v>521</v>
      </c>
    </row>
    <row r="69" spans="8:8" x14ac:dyDescent="0.25">
      <c r="H69" t="s">
        <v>522</v>
      </c>
    </row>
    <row r="70" spans="8:8" x14ac:dyDescent="0.25">
      <c r="H70" t="s">
        <v>523</v>
      </c>
    </row>
    <row r="71" spans="8:8" x14ac:dyDescent="0.25">
      <c r="H71" t="s">
        <v>1650</v>
      </c>
    </row>
    <row r="72" spans="8:8" x14ac:dyDescent="0.25">
      <c r="H72" t="s">
        <v>524</v>
      </c>
    </row>
    <row r="73" spans="8:8" x14ac:dyDescent="0.25">
      <c r="H73" t="s">
        <v>1927</v>
      </c>
    </row>
    <row r="74" spans="8:8" x14ac:dyDescent="0.25">
      <c r="H74" t="s">
        <v>2356</v>
      </c>
    </row>
    <row r="75" spans="8:8" x14ac:dyDescent="0.25">
      <c r="H75" t="s">
        <v>1928</v>
      </c>
    </row>
    <row r="76" spans="8:8" x14ac:dyDescent="0.25">
      <c r="H76" t="s">
        <v>525</v>
      </c>
    </row>
    <row r="78" spans="8:8" x14ac:dyDescent="0.25">
      <c r="H78" t="s">
        <v>1929</v>
      </c>
    </row>
    <row r="79" spans="8:8" x14ac:dyDescent="0.25">
      <c r="H79" t="s">
        <v>1930</v>
      </c>
    </row>
    <row r="80" spans="8:8" x14ac:dyDescent="0.25">
      <c r="H80" t="s">
        <v>1931</v>
      </c>
    </row>
    <row r="81" spans="8:8" x14ac:dyDescent="0.25">
      <c r="H81" t="s">
        <v>1932</v>
      </c>
    </row>
    <row r="82" spans="8:8" x14ac:dyDescent="0.25">
      <c r="H82" t="s">
        <v>1933</v>
      </c>
    </row>
    <row r="83" spans="8:8" x14ac:dyDescent="0.25">
      <c r="H83" t="s">
        <v>1934</v>
      </c>
    </row>
    <row r="84" spans="8:8" x14ac:dyDescent="0.25">
      <c r="H84" t="s">
        <v>1935</v>
      </c>
    </row>
    <row r="85" spans="8:8" x14ac:dyDescent="0.25">
      <c r="H85" t="s">
        <v>1936</v>
      </c>
    </row>
    <row r="86" spans="8:8" x14ac:dyDescent="0.25">
      <c r="H86" t="s">
        <v>1937</v>
      </c>
    </row>
    <row r="87" spans="8:8" x14ac:dyDescent="0.25">
      <c r="H87" t="s">
        <v>1938</v>
      </c>
    </row>
    <row r="88" spans="8:8" x14ac:dyDescent="0.25">
      <c r="H88" t="s">
        <v>1939</v>
      </c>
    </row>
    <row r="89" spans="8:8" x14ac:dyDescent="0.25">
      <c r="H89" t="s">
        <v>1940</v>
      </c>
    </row>
    <row r="91" spans="8:8" x14ac:dyDescent="0.25">
      <c r="H91" t="s">
        <v>526</v>
      </c>
    </row>
    <row r="92" spans="8:8" x14ac:dyDescent="0.25">
      <c r="H92" t="s">
        <v>527</v>
      </c>
    </row>
    <row r="93" spans="8:8" x14ac:dyDescent="0.25">
      <c r="H93" t="s">
        <v>528</v>
      </c>
    </row>
    <row r="94" spans="8:8" x14ac:dyDescent="0.25">
      <c r="H94" t="s">
        <v>529</v>
      </c>
    </row>
    <row r="95" spans="8:8" x14ac:dyDescent="0.25">
      <c r="H95" t="s">
        <v>530</v>
      </c>
    </row>
    <row r="97" spans="8:8" x14ac:dyDescent="0.25">
      <c r="H97" t="s">
        <v>531</v>
      </c>
    </row>
    <row r="98" spans="8:8" x14ac:dyDescent="0.25">
      <c r="H98" t="s">
        <v>532</v>
      </c>
    </row>
    <row r="99" spans="8:8" x14ac:dyDescent="0.25">
      <c r="H99" t="s">
        <v>533</v>
      </c>
    </row>
    <row r="100" spans="8:8" x14ac:dyDescent="0.25">
      <c r="H100" t="s">
        <v>534</v>
      </c>
    </row>
    <row r="101" spans="8:8" x14ac:dyDescent="0.25">
      <c r="H101" t="s">
        <v>535</v>
      </c>
    </row>
    <row r="102" spans="8:8" x14ac:dyDescent="0.25">
      <c r="H102" t="s">
        <v>536</v>
      </c>
    </row>
    <row r="103" spans="8:8" x14ac:dyDescent="0.25">
      <c r="H103" t="s">
        <v>537</v>
      </c>
    </row>
    <row r="105" spans="8:8" x14ac:dyDescent="0.25">
      <c r="H105" t="s">
        <v>2073</v>
      </c>
    </row>
    <row r="106" spans="8:8" x14ac:dyDescent="0.25">
      <c r="H106" t="s">
        <v>2074</v>
      </c>
    </row>
    <row r="107" spans="8:8" x14ac:dyDescent="0.25">
      <c r="H107" t="s">
        <v>2075</v>
      </c>
    </row>
    <row r="108" spans="8:8" x14ac:dyDescent="0.25">
      <c r="H108" t="s">
        <v>2076</v>
      </c>
    </row>
    <row r="109" spans="8:8" x14ac:dyDescent="0.25">
      <c r="H109" t="s">
        <v>2077</v>
      </c>
    </row>
    <row r="110" spans="8:8" x14ac:dyDescent="0.25">
      <c r="H110" t="s">
        <v>2078</v>
      </c>
    </row>
    <row r="111" spans="8:8" x14ac:dyDescent="0.25">
      <c r="H111" t="s">
        <v>2079</v>
      </c>
    </row>
    <row r="112" spans="8:8" x14ac:dyDescent="0.25">
      <c r="H112" t="s">
        <v>2080</v>
      </c>
    </row>
    <row r="113" spans="8:8" x14ac:dyDescent="0.25">
      <c r="H113" t="s">
        <v>2081</v>
      </c>
    </row>
    <row r="114" spans="8:8" x14ac:dyDescent="0.25">
      <c r="H114" t="s">
        <v>2082</v>
      </c>
    </row>
    <row r="115" spans="8:8" x14ac:dyDescent="0.25">
      <c r="H115" t="s">
        <v>2083</v>
      </c>
    </row>
    <row r="116" spans="8:8" x14ac:dyDescent="0.25">
      <c r="H116" t="s">
        <v>2084</v>
      </c>
    </row>
    <row r="117" spans="8:8" x14ac:dyDescent="0.25">
      <c r="H117" t="s">
        <v>2085</v>
      </c>
    </row>
    <row r="119" spans="8:8" x14ac:dyDescent="0.25">
      <c r="H119" t="s">
        <v>2086</v>
      </c>
    </row>
    <row r="120" spans="8:8" x14ac:dyDescent="0.25">
      <c r="H120" t="s">
        <v>2087</v>
      </c>
    </row>
    <row r="121" spans="8:8" x14ac:dyDescent="0.25">
      <c r="H121" t="s">
        <v>2088</v>
      </c>
    </row>
    <row r="122" spans="8:8" x14ac:dyDescent="0.25">
      <c r="H122" t="s">
        <v>2089</v>
      </c>
    </row>
    <row r="123" spans="8:8" x14ac:dyDescent="0.25">
      <c r="H123" t="s">
        <v>2090</v>
      </c>
    </row>
    <row r="125" spans="8:8" x14ac:dyDescent="0.25">
      <c r="H125" t="s">
        <v>538</v>
      </c>
    </row>
    <row r="126" spans="8:8" x14ac:dyDescent="0.25">
      <c r="H126" t="s">
        <v>539</v>
      </c>
    </row>
    <row r="127" spans="8:8" x14ac:dyDescent="0.25">
      <c r="H127" t="s">
        <v>540</v>
      </c>
    </row>
    <row r="128" spans="8:8" x14ac:dyDescent="0.25">
      <c r="H128" t="s">
        <v>541</v>
      </c>
    </row>
    <row r="129" spans="8:8" x14ac:dyDescent="0.25">
      <c r="H129" t="s">
        <v>542</v>
      </c>
    </row>
    <row r="131" spans="8:8" x14ac:dyDescent="0.25">
      <c r="H131" t="s">
        <v>543</v>
      </c>
    </row>
    <row r="132" spans="8:8" x14ac:dyDescent="0.25">
      <c r="H132" t="s">
        <v>544</v>
      </c>
    </row>
    <row r="133" spans="8:8" x14ac:dyDescent="0.25">
      <c r="H133" t="s">
        <v>545</v>
      </c>
    </row>
    <row r="134" spans="8:8" x14ac:dyDescent="0.25">
      <c r="H134" t="s">
        <v>546</v>
      </c>
    </row>
    <row r="135" spans="8:8" x14ac:dyDescent="0.25">
      <c r="H135" t="s">
        <v>547</v>
      </c>
    </row>
    <row r="136" spans="8:8" x14ac:dyDescent="0.25">
      <c r="H136" t="s">
        <v>548</v>
      </c>
    </row>
    <row r="137" spans="8:8" x14ac:dyDescent="0.25">
      <c r="H137" t="s">
        <v>549</v>
      </c>
    </row>
    <row r="139" spans="8:8" x14ac:dyDescent="0.25">
      <c r="H139" t="s">
        <v>550</v>
      </c>
    </row>
    <row r="140" spans="8:8" x14ac:dyDescent="0.25">
      <c r="H140" t="s">
        <v>551</v>
      </c>
    </row>
    <row r="141" spans="8:8" x14ac:dyDescent="0.25">
      <c r="H141" t="s">
        <v>552</v>
      </c>
    </row>
    <row r="142" spans="8:8" x14ac:dyDescent="0.25">
      <c r="H142" t="s">
        <v>553</v>
      </c>
    </row>
    <row r="143" spans="8:8" x14ac:dyDescent="0.25">
      <c r="H143" t="s">
        <v>554</v>
      </c>
    </row>
    <row r="144" spans="8:8" x14ac:dyDescent="0.25">
      <c r="H144" t="s">
        <v>555</v>
      </c>
    </row>
    <row r="145" spans="8:8" x14ac:dyDescent="0.25">
      <c r="H145" t="s">
        <v>556</v>
      </c>
    </row>
    <row r="147" spans="8:8" x14ac:dyDescent="0.25">
      <c r="H147" t="s">
        <v>557</v>
      </c>
    </row>
    <row r="148" spans="8:8" x14ac:dyDescent="0.25">
      <c r="H148" t="s">
        <v>558</v>
      </c>
    </row>
    <row r="149" spans="8:8" x14ac:dyDescent="0.25">
      <c r="H149" t="s">
        <v>559</v>
      </c>
    </row>
    <row r="150" spans="8:8" x14ac:dyDescent="0.25">
      <c r="H150" t="s">
        <v>560</v>
      </c>
    </row>
    <row r="152" spans="8:8" x14ac:dyDescent="0.25">
      <c r="H152" t="s">
        <v>561</v>
      </c>
    </row>
    <row r="153" spans="8:8" x14ac:dyDescent="0.25">
      <c r="H153" t="s">
        <v>562</v>
      </c>
    </row>
    <row r="154" spans="8:8" x14ac:dyDescent="0.25">
      <c r="H154" t="s">
        <v>563</v>
      </c>
    </row>
    <row r="155" spans="8:8" x14ac:dyDescent="0.25">
      <c r="H155" t="s">
        <v>564</v>
      </c>
    </row>
    <row r="157" spans="8:8" x14ac:dyDescent="0.25">
      <c r="H157" t="s">
        <v>1651</v>
      </c>
    </row>
    <row r="158" spans="8:8" x14ac:dyDescent="0.25">
      <c r="H158" t="s">
        <v>1652</v>
      </c>
    </row>
    <row r="159" spans="8:8" x14ac:dyDescent="0.25">
      <c r="H159" t="s">
        <v>1653</v>
      </c>
    </row>
    <row r="160" spans="8:8" x14ac:dyDescent="0.25">
      <c r="H160" t="s">
        <v>1654</v>
      </c>
    </row>
    <row r="161" spans="8:8" x14ac:dyDescent="0.25">
      <c r="H161" t="s">
        <v>1655</v>
      </c>
    </row>
    <row r="163" spans="8:8" x14ac:dyDescent="0.25">
      <c r="H163" t="s">
        <v>565</v>
      </c>
    </row>
    <row r="164" spans="8:8" x14ac:dyDescent="0.25">
      <c r="H164" t="s">
        <v>566</v>
      </c>
    </row>
    <row r="165" spans="8:8" x14ac:dyDescent="0.25">
      <c r="H165" t="s">
        <v>2238</v>
      </c>
    </row>
    <row r="166" spans="8:8" x14ac:dyDescent="0.25">
      <c r="H166" t="s">
        <v>567</v>
      </c>
    </row>
    <row r="167" spans="8:8" x14ac:dyDescent="0.25">
      <c r="H167" t="s">
        <v>568</v>
      </c>
    </row>
    <row r="168" spans="8:8" x14ac:dyDescent="0.25">
      <c r="H168" t="s">
        <v>569</v>
      </c>
    </row>
    <row r="170" spans="8:8" x14ac:dyDescent="0.25">
      <c r="H170" t="s">
        <v>570</v>
      </c>
    </row>
    <row r="171" spans="8:8" x14ac:dyDescent="0.25">
      <c r="H171" t="s">
        <v>571</v>
      </c>
    </row>
    <row r="172" spans="8:8" x14ac:dyDescent="0.25">
      <c r="H172" t="s">
        <v>572</v>
      </c>
    </row>
    <row r="173" spans="8:8" x14ac:dyDescent="0.25">
      <c r="H173" t="s">
        <v>573</v>
      </c>
    </row>
    <row r="174" spans="8:8" x14ac:dyDescent="0.25">
      <c r="H174" t="s">
        <v>574</v>
      </c>
    </row>
    <row r="175" spans="8:8" x14ac:dyDescent="0.25">
      <c r="H175" t="s">
        <v>575</v>
      </c>
    </row>
    <row r="176" spans="8:8" x14ac:dyDescent="0.25">
      <c r="H176" t="s">
        <v>576</v>
      </c>
    </row>
    <row r="177" spans="8:8" x14ac:dyDescent="0.25">
      <c r="H177" t="s">
        <v>577</v>
      </c>
    </row>
    <row r="178" spans="8:8" x14ac:dyDescent="0.25">
      <c r="H178" t="s">
        <v>578</v>
      </c>
    </row>
    <row r="179" spans="8:8" x14ac:dyDescent="0.25">
      <c r="H179" t="s">
        <v>579</v>
      </c>
    </row>
    <row r="180" spans="8:8" x14ac:dyDescent="0.25">
      <c r="H180" t="s">
        <v>580</v>
      </c>
    </row>
    <row r="181" spans="8:8" x14ac:dyDescent="0.25">
      <c r="H181" t="s">
        <v>581</v>
      </c>
    </row>
    <row r="182" spans="8:8" x14ac:dyDescent="0.25">
      <c r="H182" t="s">
        <v>582</v>
      </c>
    </row>
    <row r="183" spans="8:8" x14ac:dyDescent="0.25">
      <c r="H183" t="s">
        <v>583</v>
      </c>
    </row>
    <row r="184" spans="8:8" x14ac:dyDescent="0.25">
      <c r="H184" t="s">
        <v>584</v>
      </c>
    </row>
    <row r="185" spans="8:8" x14ac:dyDescent="0.25">
      <c r="H185" t="s">
        <v>585</v>
      </c>
    </row>
    <row r="186" spans="8:8" x14ac:dyDescent="0.25">
      <c r="H186" t="s">
        <v>586</v>
      </c>
    </row>
    <row r="188" spans="8:8" x14ac:dyDescent="0.25">
      <c r="H188" t="s">
        <v>587</v>
      </c>
    </row>
    <row r="189" spans="8:8" x14ac:dyDescent="0.25">
      <c r="H189" t="s">
        <v>588</v>
      </c>
    </row>
    <row r="190" spans="8:8" x14ac:dyDescent="0.25">
      <c r="H190" t="s">
        <v>589</v>
      </c>
    </row>
    <row r="191" spans="8:8" x14ac:dyDescent="0.25">
      <c r="H191" t="s">
        <v>1721</v>
      </c>
    </row>
    <row r="192" spans="8:8" x14ac:dyDescent="0.25">
      <c r="H192" t="s">
        <v>590</v>
      </c>
    </row>
    <row r="193" spans="8:8" x14ac:dyDescent="0.25">
      <c r="H193" t="s">
        <v>1722</v>
      </c>
    </row>
    <row r="194" spans="8:8" x14ac:dyDescent="0.25">
      <c r="H194" t="s">
        <v>591</v>
      </c>
    </row>
    <row r="196" spans="8:8" x14ac:dyDescent="0.25">
      <c r="H196" t="s">
        <v>1723</v>
      </c>
    </row>
    <row r="197" spans="8:8" x14ac:dyDescent="0.25">
      <c r="H197" t="s">
        <v>1724</v>
      </c>
    </row>
    <row r="198" spans="8:8" x14ac:dyDescent="0.25">
      <c r="H198" t="s">
        <v>1725</v>
      </c>
    </row>
    <row r="199" spans="8:8" x14ac:dyDescent="0.25">
      <c r="H199" t="s">
        <v>1726</v>
      </c>
    </row>
    <row r="200" spans="8:8" x14ac:dyDescent="0.25">
      <c r="H200" t="s">
        <v>1727</v>
      </c>
    </row>
    <row r="202" spans="8:8" x14ac:dyDescent="0.25">
      <c r="H202" t="s">
        <v>1728</v>
      </c>
    </row>
    <row r="203" spans="8:8" x14ac:dyDescent="0.25">
      <c r="H203" t="s">
        <v>1729</v>
      </c>
    </row>
    <row r="204" spans="8:8" x14ac:dyDescent="0.25">
      <c r="H204" t="s">
        <v>1730</v>
      </c>
    </row>
    <row r="205" spans="8:8" x14ac:dyDescent="0.25">
      <c r="H205" t="s">
        <v>1731</v>
      </c>
    </row>
    <row r="207" spans="8:8" x14ac:dyDescent="0.25">
      <c r="H207" t="s">
        <v>592</v>
      </c>
    </row>
    <row r="208" spans="8:8" x14ac:dyDescent="0.25">
      <c r="H208" t="s">
        <v>593</v>
      </c>
    </row>
    <row r="209" spans="8:8" x14ac:dyDescent="0.25">
      <c r="H209" t="s">
        <v>1732</v>
      </c>
    </row>
    <row r="210" spans="8:8" x14ac:dyDescent="0.25">
      <c r="H210" t="s">
        <v>1733</v>
      </c>
    </row>
    <row r="211" spans="8:8" x14ac:dyDescent="0.25">
      <c r="H211" t="s">
        <v>594</v>
      </c>
    </row>
    <row r="213" spans="8:8" x14ac:dyDescent="0.25">
      <c r="H213" t="s">
        <v>595</v>
      </c>
    </row>
    <row r="214" spans="8:8" x14ac:dyDescent="0.25">
      <c r="H214" t="s">
        <v>596</v>
      </c>
    </row>
    <row r="215" spans="8:8" x14ac:dyDescent="0.25">
      <c r="H215" t="s">
        <v>1734</v>
      </c>
    </row>
    <row r="216" spans="8:8" x14ac:dyDescent="0.25">
      <c r="H216" t="s">
        <v>1735</v>
      </c>
    </row>
    <row r="217" spans="8:8" x14ac:dyDescent="0.25">
      <c r="H217" t="s">
        <v>597</v>
      </c>
    </row>
    <row r="219" spans="8:8" x14ac:dyDescent="0.25">
      <c r="H219" t="s">
        <v>598</v>
      </c>
    </row>
    <row r="220" spans="8:8" x14ac:dyDescent="0.25">
      <c r="H220" t="s">
        <v>599</v>
      </c>
    </row>
    <row r="221" spans="8:8" x14ac:dyDescent="0.25">
      <c r="H221" t="s">
        <v>1736</v>
      </c>
    </row>
    <row r="222" spans="8:8" x14ac:dyDescent="0.25">
      <c r="H222" t="s">
        <v>1737</v>
      </c>
    </row>
    <row r="223" spans="8:8" x14ac:dyDescent="0.25">
      <c r="H223" t="s">
        <v>600</v>
      </c>
    </row>
    <row r="225" spans="8:8" x14ac:dyDescent="0.25">
      <c r="H225" t="s">
        <v>601</v>
      </c>
    </row>
    <row r="226" spans="8:8" x14ac:dyDescent="0.25">
      <c r="H226" t="s">
        <v>602</v>
      </c>
    </row>
    <row r="227" spans="8:8" x14ac:dyDescent="0.25">
      <c r="H227" t="s">
        <v>603</v>
      </c>
    </row>
    <row r="228" spans="8:8" x14ac:dyDescent="0.25">
      <c r="H228" t="s">
        <v>604</v>
      </c>
    </row>
    <row r="230" spans="8:8" x14ac:dyDescent="0.25">
      <c r="H230" t="s">
        <v>605</v>
      </c>
    </row>
    <row r="231" spans="8:8" x14ac:dyDescent="0.25">
      <c r="H231" t="s">
        <v>606</v>
      </c>
    </row>
    <row r="232" spans="8:8" x14ac:dyDescent="0.25">
      <c r="H232" t="s">
        <v>607</v>
      </c>
    </row>
    <row r="233" spans="8:8" x14ac:dyDescent="0.25">
      <c r="H233" t="s">
        <v>608</v>
      </c>
    </row>
    <row r="235" spans="8:8" x14ac:dyDescent="0.25">
      <c r="H235" t="s">
        <v>609</v>
      </c>
    </row>
    <row r="236" spans="8:8" x14ac:dyDescent="0.25">
      <c r="H236" t="s">
        <v>610</v>
      </c>
    </row>
    <row r="237" spans="8:8" x14ac:dyDescent="0.25">
      <c r="H237" t="s">
        <v>611</v>
      </c>
    </row>
    <row r="238" spans="8:8" x14ac:dyDescent="0.25">
      <c r="H238" t="s">
        <v>612</v>
      </c>
    </row>
    <row r="239" spans="8:8" x14ac:dyDescent="0.25">
      <c r="H239" t="s">
        <v>613</v>
      </c>
    </row>
    <row r="240" spans="8:8" x14ac:dyDescent="0.25">
      <c r="H240" t="s">
        <v>614</v>
      </c>
    </row>
    <row r="241" spans="8:8" x14ac:dyDescent="0.25">
      <c r="H241" t="s">
        <v>1316</v>
      </c>
    </row>
    <row r="242" spans="8:8" x14ac:dyDescent="0.25">
      <c r="H242" t="s">
        <v>1317</v>
      </c>
    </row>
    <row r="243" spans="8:8" x14ac:dyDescent="0.25">
      <c r="H243" t="s">
        <v>2239</v>
      </c>
    </row>
    <row r="244" spans="8:8" x14ac:dyDescent="0.25">
      <c r="H244" t="s">
        <v>2240</v>
      </c>
    </row>
    <row r="245" spans="8:8" x14ac:dyDescent="0.25">
      <c r="H245" t="s">
        <v>2241</v>
      </c>
    </row>
    <row r="246" spans="8:8" x14ac:dyDescent="0.25">
      <c r="H246" t="s">
        <v>2242</v>
      </c>
    </row>
    <row r="247" spans="8:8" x14ac:dyDescent="0.25">
      <c r="H247" t="s">
        <v>2243</v>
      </c>
    </row>
    <row r="248" spans="8:8" x14ac:dyDescent="0.25">
      <c r="H248" t="s">
        <v>2244</v>
      </c>
    </row>
    <row r="249" spans="8:8" x14ac:dyDescent="0.25">
      <c r="H249" t="s">
        <v>615</v>
      </c>
    </row>
    <row r="250" spans="8:8" x14ac:dyDescent="0.25">
      <c r="H250" t="s">
        <v>616</v>
      </c>
    </row>
    <row r="251" spans="8:8" x14ac:dyDescent="0.25">
      <c r="H251" t="s">
        <v>617</v>
      </c>
    </row>
    <row r="252" spans="8:8" x14ac:dyDescent="0.25">
      <c r="H252" t="s">
        <v>1833</v>
      </c>
    </row>
    <row r="253" spans="8:8" x14ac:dyDescent="0.25">
      <c r="H253" t="s">
        <v>618</v>
      </c>
    </row>
    <row r="254" spans="8:8" x14ac:dyDescent="0.25">
      <c r="H254" t="s">
        <v>619</v>
      </c>
    </row>
    <row r="256" spans="8:8" x14ac:dyDescent="0.25">
      <c r="H256" t="s">
        <v>1850</v>
      </c>
    </row>
    <row r="257" spans="8:8" x14ac:dyDescent="0.25">
      <c r="H257" t="s">
        <v>1851</v>
      </c>
    </row>
    <row r="258" spans="8:8" x14ac:dyDescent="0.25">
      <c r="H258" t="s">
        <v>1852</v>
      </c>
    </row>
    <row r="259" spans="8:8" x14ac:dyDescent="0.25">
      <c r="H259" t="s">
        <v>1853</v>
      </c>
    </row>
    <row r="261" spans="8:8" x14ac:dyDescent="0.25">
      <c r="H261" t="s">
        <v>620</v>
      </c>
    </row>
    <row r="262" spans="8:8" x14ac:dyDescent="0.25">
      <c r="H262" t="s">
        <v>621</v>
      </c>
    </row>
    <row r="263" spans="8:8" x14ac:dyDescent="0.25">
      <c r="H263" t="s">
        <v>622</v>
      </c>
    </row>
    <row r="264" spans="8:8" x14ac:dyDescent="0.25">
      <c r="H264" t="s">
        <v>623</v>
      </c>
    </row>
    <row r="265" spans="8:8" x14ac:dyDescent="0.25">
      <c r="H265" t="s">
        <v>624</v>
      </c>
    </row>
    <row r="266" spans="8:8" x14ac:dyDescent="0.25">
      <c r="H266" t="s">
        <v>625</v>
      </c>
    </row>
    <row r="267" spans="8:8" x14ac:dyDescent="0.25">
      <c r="H267" t="s">
        <v>626</v>
      </c>
    </row>
    <row r="269" spans="8:8" x14ac:dyDescent="0.25">
      <c r="H269" t="s">
        <v>627</v>
      </c>
    </row>
    <row r="270" spans="8:8" x14ac:dyDescent="0.25">
      <c r="H270" t="s">
        <v>628</v>
      </c>
    </row>
    <row r="271" spans="8:8" x14ac:dyDescent="0.25">
      <c r="H271" t="s">
        <v>1318</v>
      </c>
    </row>
    <row r="272" spans="8:8" x14ac:dyDescent="0.25">
      <c r="H272" t="s">
        <v>1319</v>
      </c>
    </row>
    <row r="273" spans="8:8" x14ac:dyDescent="0.25">
      <c r="H273" t="s">
        <v>1320</v>
      </c>
    </row>
    <row r="274" spans="8:8" x14ac:dyDescent="0.25">
      <c r="H274" t="s">
        <v>1321</v>
      </c>
    </row>
    <row r="275" spans="8:8" x14ac:dyDescent="0.25">
      <c r="H275" t="s">
        <v>629</v>
      </c>
    </row>
    <row r="277" spans="8:8" x14ac:dyDescent="0.25">
      <c r="H277" t="s">
        <v>2357</v>
      </c>
    </row>
    <row r="278" spans="8:8" x14ac:dyDescent="0.25">
      <c r="H278" t="s">
        <v>2358</v>
      </c>
    </row>
    <row r="279" spans="8:8" x14ac:dyDescent="0.25">
      <c r="H279" t="s">
        <v>2359</v>
      </c>
    </row>
    <row r="280" spans="8:8" x14ac:dyDescent="0.25">
      <c r="H280" t="s">
        <v>2360</v>
      </c>
    </row>
    <row r="281" spans="8:8" x14ac:dyDescent="0.25">
      <c r="H281" t="s">
        <v>2361</v>
      </c>
    </row>
    <row r="282" spans="8:8" x14ac:dyDescent="0.25">
      <c r="H282" t="s">
        <v>2362</v>
      </c>
    </row>
    <row r="284" spans="8:8" x14ac:dyDescent="0.25">
      <c r="H284" t="s">
        <v>2363</v>
      </c>
    </row>
    <row r="285" spans="8:8" x14ac:dyDescent="0.25">
      <c r="H285" t="s">
        <v>2364</v>
      </c>
    </row>
    <row r="286" spans="8:8" x14ac:dyDescent="0.25">
      <c r="H286" t="s">
        <v>2365</v>
      </c>
    </row>
    <row r="287" spans="8:8" x14ac:dyDescent="0.25">
      <c r="H287" t="s">
        <v>2366</v>
      </c>
    </row>
    <row r="288" spans="8:8" x14ac:dyDescent="0.25">
      <c r="H288" t="s">
        <v>2367</v>
      </c>
    </row>
    <row r="289" spans="8:8" x14ac:dyDescent="0.25">
      <c r="H289" t="s">
        <v>2368</v>
      </c>
    </row>
    <row r="290" spans="8:8" x14ac:dyDescent="0.25">
      <c r="H290" t="s">
        <v>2369</v>
      </c>
    </row>
    <row r="291" spans="8:8" x14ac:dyDescent="0.25">
      <c r="H291" t="s">
        <v>2370</v>
      </c>
    </row>
    <row r="292" spans="8:8" x14ac:dyDescent="0.25">
      <c r="H292" t="s">
        <v>2371</v>
      </c>
    </row>
    <row r="293" spans="8:8" x14ac:dyDescent="0.25">
      <c r="H293" t="s">
        <v>2372</v>
      </c>
    </row>
    <row r="295" spans="8:8" x14ac:dyDescent="0.25">
      <c r="H295" t="s">
        <v>1322</v>
      </c>
    </row>
    <row r="296" spans="8:8" x14ac:dyDescent="0.25">
      <c r="H296" t="s">
        <v>1323</v>
      </c>
    </row>
    <row r="297" spans="8:8" x14ac:dyDescent="0.25">
      <c r="H297" t="s">
        <v>1339</v>
      </c>
    </row>
    <row r="298" spans="8:8" x14ac:dyDescent="0.25">
      <c r="H298" t="s">
        <v>1338</v>
      </c>
    </row>
    <row r="299" spans="8:8" x14ac:dyDescent="0.25">
      <c r="H299" t="s">
        <v>1337</v>
      </c>
    </row>
    <row r="300" spans="8:8" x14ac:dyDescent="0.25">
      <c r="H300" t="s">
        <v>1336</v>
      </c>
    </row>
    <row r="301" spans="8:8" x14ac:dyDescent="0.25">
      <c r="H301" t="s">
        <v>1335</v>
      </c>
    </row>
    <row r="302" spans="8:8" x14ac:dyDescent="0.25">
      <c r="H302" t="s">
        <v>1334</v>
      </c>
    </row>
    <row r="303" spans="8:8" x14ac:dyDescent="0.25">
      <c r="H303" t="s">
        <v>1333</v>
      </c>
    </row>
    <row r="304" spans="8:8" x14ac:dyDescent="0.25">
      <c r="H304" t="s">
        <v>1332</v>
      </c>
    </row>
    <row r="305" spans="8:8" x14ac:dyDescent="0.25">
      <c r="H305" t="s">
        <v>1331</v>
      </c>
    </row>
    <row r="306" spans="8:8" x14ac:dyDescent="0.25">
      <c r="H306" t="s">
        <v>1330</v>
      </c>
    </row>
    <row r="307" spans="8:8" x14ac:dyDescent="0.25">
      <c r="H307" t="s">
        <v>1329</v>
      </c>
    </row>
    <row r="308" spans="8:8" x14ac:dyDescent="0.25">
      <c r="H308" t="s">
        <v>1328</v>
      </c>
    </row>
    <row r="309" spans="8:8" x14ac:dyDescent="0.25">
      <c r="H309" t="s">
        <v>1327</v>
      </c>
    </row>
    <row r="310" spans="8:8" x14ac:dyDescent="0.25">
      <c r="H310" t="s">
        <v>1326</v>
      </c>
    </row>
    <row r="311" spans="8:8" x14ac:dyDescent="0.25">
      <c r="H311" t="s">
        <v>1325</v>
      </c>
    </row>
    <row r="312" spans="8:8" x14ac:dyDescent="0.25">
      <c r="H312" t="s">
        <v>1324</v>
      </c>
    </row>
    <row r="313" spans="8:8" x14ac:dyDescent="0.25">
      <c r="H313" t="s">
        <v>1631</v>
      </c>
    </row>
    <row r="314" spans="8:8" x14ac:dyDescent="0.25">
      <c r="H314" t="s">
        <v>1632</v>
      </c>
    </row>
    <row r="315" spans="8:8" x14ac:dyDescent="0.25">
      <c r="H315" t="s">
        <v>1854</v>
      </c>
    </row>
    <row r="316" spans="8:8" x14ac:dyDescent="0.25">
      <c r="H316" t="s">
        <v>1855</v>
      </c>
    </row>
    <row r="317" spans="8:8" x14ac:dyDescent="0.25">
      <c r="H317" t="s">
        <v>1340</v>
      </c>
    </row>
    <row r="319" spans="8:8" x14ac:dyDescent="0.25">
      <c r="H319" t="s">
        <v>108</v>
      </c>
    </row>
    <row r="321" spans="8:8" x14ac:dyDescent="0.25">
      <c r="H321" t="s">
        <v>109</v>
      </c>
    </row>
    <row r="322" spans="8:8" x14ac:dyDescent="0.25">
      <c r="H322" t="s">
        <v>630</v>
      </c>
    </row>
    <row r="323" spans="8:8" x14ac:dyDescent="0.25">
      <c r="H323" t="s">
        <v>631</v>
      </c>
    </row>
    <row r="324" spans="8:8" x14ac:dyDescent="0.25">
      <c r="H324" t="s">
        <v>632</v>
      </c>
    </row>
    <row r="325" spans="8:8" x14ac:dyDescent="0.25">
      <c r="H325" t="s">
        <v>633</v>
      </c>
    </row>
    <row r="326" spans="8:8" x14ac:dyDescent="0.25">
      <c r="H326" t="s">
        <v>634</v>
      </c>
    </row>
    <row r="327" spans="8:8" x14ac:dyDescent="0.25">
      <c r="H327" t="s">
        <v>635</v>
      </c>
    </row>
    <row r="328" spans="8:8" x14ac:dyDescent="0.25">
      <c r="H328" t="s">
        <v>636</v>
      </c>
    </row>
    <row r="329" spans="8:8" x14ac:dyDescent="0.25">
      <c r="H329" t="s">
        <v>637</v>
      </c>
    </row>
    <row r="330" spans="8:8" x14ac:dyDescent="0.25">
      <c r="H330" t="s">
        <v>638</v>
      </c>
    </row>
    <row r="331" spans="8:8" x14ac:dyDescent="0.25">
      <c r="H331" t="s">
        <v>2091</v>
      </c>
    </row>
    <row r="332" spans="8:8" x14ac:dyDescent="0.25">
      <c r="H332" t="s">
        <v>639</v>
      </c>
    </row>
    <row r="333" spans="8:8" x14ac:dyDescent="0.25">
      <c r="H333" t="s">
        <v>640</v>
      </c>
    </row>
    <row r="334" spans="8:8" x14ac:dyDescent="0.25">
      <c r="H334" t="s">
        <v>641</v>
      </c>
    </row>
    <row r="335" spans="8:8" x14ac:dyDescent="0.25">
      <c r="H335" t="s">
        <v>1656</v>
      </c>
    </row>
    <row r="336" spans="8:8" x14ac:dyDescent="0.25">
      <c r="H336" t="s">
        <v>642</v>
      </c>
    </row>
    <row r="337" spans="8:8" x14ac:dyDescent="0.25">
      <c r="H337" t="s">
        <v>1738</v>
      </c>
    </row>
    <row r="338" spans="8:8" x14ac:dyDescent="0.25">
      <c r="H338" t="s">
        <v>1739</v>
      </c>
    </row>
    <row r="339" spans="8:8" x14ac:dyDescent="0.25">
      <c r="H339" t="s">
        <v>643</v>
      </c>
    </row>
    <row r="340" spans="8:8" x14ac:dyDescent="0.25">
      <c r="H340" t="s">
        <v>644</v>
      </c>
    </row>
    <row r="341" spans="8:8" x14ac:dyDescent="0.25">
      <c r="H341" t="s">
        <v>645</v>
      </c>
    </row>
    <row r="342" spans="8:8" x14ac:dyDescent="0.25">
      <c r="H342" t="s">
        <v>646</v>
      </c>
    </row>
    <row r="343" spans="8:8" x14ac:dyDescent="0.25">
      <c r="H343" t="s">
        <v>1856</v>
      </c>
    </row>
    <row r="344" spans="8:8" x14ac:dyDescent="0.25">
      <c r="H344" t="s">
        <v>647</v>
      </c>
    </row>
    <row r="345" spans="8:8" x14ac:dyDescent="0.25">
      <c r="H345" t="s">
        <v>2373</v>
      </c>
    </row>
    <row r="346" spans="8:8" x14ac:dyDescent="0.25">
      <c r="H346" t="s">
        <v>2374</v>
      </c>
    </row>
    <row r="347" spans="8:8" x14ac:dyDescent="0.25">
      <c r="H347" t="s">
        <v>1341</v>
      </c>
    </row>
    <row r="348" spans="8:8" x14ac:dyDescent="0.25">
      <c r="H348" t="s">
        <v>648</v>
      </c>
    </row>
    <row r="350" spans="8:8" x14ac:dyDescent="0.25">
      <c r="H350" t="s">
        <v>110</v>
      </c>
    </row>
    <row r="351" spans="8:8" x14ac:dyDescent="0.25">
      <c r="H351" t="s">
        <v>649</v>
      </c>
    </row>
    <row r="352" spans="8:8" x14ac:dyDescent="0.25">
      <c r="H352" t="s">
        <v>650</v>
      </c>
    </row>
    <row r="353" spans="8:8" x14ac:dyDescent="0.25">
      <c r="H353" t="s">
        <v>651</v>
      </c>
    </row>
    <row r="354" spans="8:8" x14ac:dyDescent="0.25">
      <c r="H354" t="s">
        <v>1941</v>
      </c>
    </row>
    <row r="355" spans="8:8" x14ac:dyDescent="0.25">
      <c r="H355" t="s">
        <v>652</v>
      </c>
    </row>
    <row r="356" spans="8:8" x14ac:dyDescent="0.25">
      <c r="H356" t="s">
        <v>2092</v>
      </c>
    </row>
    <row r="357" spans="8:8" x14ac:dyDescent="0.25">
      <c r="H357" t="s">
        <v>653</v>
      </c>
    </row>
    <row r="358" spans="8:8" x14ac:dyDescent="0.25">
      <c r="H358" t="s">
        <v>654</v>
      </c>
    </row>
    <row r="359" spans="8:8" x14ac:dyDescent="0.25">
      <c r="H359" t="s">
        <v>655</v>
      </c>
    </row>
    <row r="360" spans="8:8" x14ac:dyDescent="0.25">
      <c r="H360" t="s">
        <v>656</v>
      </c>
    </row>
    <row r="361" spans="8:8" x14ac:dyDescent="0.25">
      <c r="H361" t="s">
        <v>657</v>
      </c>
    </row>
    <row r="362" spans="8:8" x14ac:dyDescent="0.25">
      <c r="H362" t="s">
        <v>658</v>
      </c>
    </row>
    <row r="363" spans="8:8" x14ac:dyDescent="0.25">
      <c r="H363" t="s">
        <v>659</v>
      </c>
    </row>
    <row r="364" spans="8:8" x14ac:dyDescent="0.25">
      <c r="H364" t="s">
        <v>660</v>
      </c>
    </row>
    <row r="365" spans="8:8" x14ac:dyDescent="0.25">
      <c r="H365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45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663</v>
      </c>
    </row>
    <row r="7" spans="2:9" x14ac:dyDescent="0.25">
      <c r="H7" t="s">
        <v>668</v>
      </c>
    </row>
    <row r="8" spans="2:9" x14ac:dyDescent="0.25">
      <c r="B8" s="1" t="s">
        <v>20</v>
      </c>
      <c r="H8" t="s">
        <v>669</v>
      </c>
    </row>
    <row r="9" spans="2:9" x14ac:dyDescent="0.25">
      <c r="B9" t="s">
        <v>664</v>
      </c>
      <c r="H9" t="s">
        <v>670</v>
      </c>
    </row>
    <row r="10" spans="2:9" x14ac:dyDescent="0.25">
      <c r="H10" t="s">
        <v>671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672</v>
      </c>
    </row>
    <row r="13" spans="2:9" x14ac:dyDescent="0.25">
      <c r="H13" t="s">
        <v>673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674</v>
      </c>
    </row>
    <row r="16" spans="2:9" x14ac:dyDescent="0.25">
      <c r="H16" t="s">
        <v>675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665</v>
      </c>
      <c r="H18" t="s">
        <v>676</v>
      </c>
    </row>
    <row r="19" spans="2:8" x14ac:dyDescent="0.25">
      <c r="H19" t="s">
        <v>677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666</v>
      </c>
    </row>
    <row r="22" spans="2:8" x14ac:dyDescent="0.25">
      <c r="H22" t="s">
        <v>678</v>
      </c>
    </row>
    <row r="23" spans="2:8" x14ac:dyDescent="0.25">
      <c r="H23" t="s">
        <v>679</v>
      </c>
    </row>
    <row r="24" spans="2:8" x14ac:dyDescent="0.25">
      <c r="H24" t="s">
        <v>670</v>
      </c>
    </row>
    <row r="25" spans="2:8" x14ac:dyDescent="0.25">
      <c r="H25" t="s">
        <v>680</v>
      </c>
    </row>
    <row r="26" spans="2:8" x14ac:dyDescent="0.25">
      <c r="H26" t="s">
        <v>31</v>
      </c>
    </row>
    <row r="28" spans="2:8" x14ac:dyDescent="0.25">
      <c r="H28" t="s">
        <v>681</v>
      </c>
    </row>
    <row r="29" spans="2:8" x14ac:dyDescent="0.25">
      <c r="H29" t="s">
        <v>682</v>
      </c>
    </row>
    <row r="30" spans="2:8" x14ac:dyDescent="0.25">
      <c r="H30" t="s">
        <v>670</v>
      </c>
    </row>
    <row r="31" spans="2:8" x14ac:dyDescent="0.25">
      <c r="H31" t="s">
        <v>683</v>
      </c>
    </row>
    <row r="32" spans="2:8" x14ac:dyDescent="0.25">
      <c r="H32" t="s">
        <v>31</v>
      </c>
    </row>
    <row r="33" spans="8:8" x14ac:dyDescent="0.25">
      <c r="H33" t="s">
        <v>672</v>
      </c>
    </row>
    <row r="34" spans="8:8" x14ac:dyDescent="0.25">
      <c r="H34" t="s">
        <v>684</v>
      </c>
    </row>
    <row r="35" spans="8:8" x14ac:dyDescent="0.25">
      <c r="H35" t="s">
        <v>31</v>
      </c>
    </row>
    <row r="36" spans="8:8" x14ac:dyDescent="0.25">
      <c r="H36" t="s">
        <v>674</v>
      </c>
    </row>
    <row r="37" spans="8:8" x14ac:dyDescent="0.25">
      <c r="H37" t="s">
        <v>685</v>
      </c>
    </row>
    <row r="38" spans="8:8" x14ac:dyDescent="0.25">
      <c r="H38" t="s">
        <v>31</v>
      </c>
    </row>
    <row r="39" spans="8:8" x14ac:dyDescent="0.25">
      <c r="H39" t="s">
        <v>676</v>
      </c>
    </row>
    <row r="40" spans="8:8" x14ac:dyDescent="0.25">
      <c r="H40" t="s">
        <v>686</v>
      </c>
    </row>
    <row r="41" spans="8:8" x14ac:dyDescent="0.25">
      <c r="H41" t="s">
        <v>31</v>
      </c>
    </row>
    <row r="43" spans="8:8" x14ac:dyDescent="0.25">
      <c r="H43" t="s">
        <v>687</v>
      </c>
    </row>
    <row r="44" spans="8:8" x14ac:dyDescent="0.25">
      <c r="H44" t="s">
        <v>688</v>
      </c>
    </row>
    <row r="45" spans="8:8" x14ac:dyDescent="0.25">
      <c r="H45" t="s">
        <v>670</v>
      </c>
    </row>
    <row r="46" spans="8:8" x14ac:dyDescent="0.25">
      <c r="H46" t="s">
        <v>689</v>
      </c>
    </row>
    <row r="47" spans="8:8" x14ac:dyDescent="0.25">
      <c r="H47" t="s">
        <v>31</v>
      </c>
    </row>
    <row r="49" spans="8:8" x14ac:dyDescent="0.25">
      <c r="H49" t="s">
        <v>690</v>
      </c>
    </row>
    <row r="50" spans="8:8" x14ac:dyDescent="0.25">
      <c r="H50" t="s">
        <v>691</v>
      </c>
    </row>
    <row r="51" spans="8:8" x14ac:dyDescent="0.25">
      <c r="H51" t="s">
        <v>670</v>
      </c>
    </row>
    <row r="52" spans="8:8" x14ac:dyDescent="0.25">
      <c r="H52" t="s">
        <v>692</v>
      </c>
    </row>
    <row r="53" spans="8:8" x14ac:dyDescent="0.25">
      <c r="H53" t="s">
        <v>31</v>
      </c>
    </row>
    <row r="55" spans="8:8" x14ac:dyDescent="0.25">
      <c r="H55" t="s">
        <v>693</v>
      </c>
    </row>
    <row r="56" spans="8:8" x14ac:dyDescent="0.25">
      <c r="H56" t="s">
        <v>694</v>
      </c>
    </row>
    <row r="57" spans="8:8" x14ac:dyDescent="0.25">
      <c r="H57" t="s">
        <v>670</v>
      </c>
    </row>
    <row r="58" spans="8:8" x14ac:dyDescent="0.25">
      <c r="H58" t="s">
        <v>695</v>
      </c>
    </row>
    <row r="59" spans="8:8" x14ac:dyDescent="0.25">
      <c r="H59" t="s">
        <v>31</v>
      </c>
    </row>
    <row r="61" spans="8:8" x14ac:dyDescent="0.25">
      <c r="H61" t="s">
        <v>696</v>
      </c>
    </row>
    <row r="62" spans="8:8" x14ac:dyDescent="0.25">
      <c r="H62" t="s">
        <v>697</v>
      </c>
    </row>
    <row r="63" spans="8:8" x14ac:dyDescent="0.25">
      <c r="H63" t="s">
        <v>670</v>
      </c>
    </row>
    <row r="64" spans="8:8" x14ac:dyDescent="0.25">
      <c r="H64" t="s">
        <v>698</v>
      </c>
    </row>
    <row r="65" spans="8:8" x14ac:dyDescent="0.25">
      <c r="H65" t="s">
        <v>31</v>
      </c>
    </row>
    <row r="67" spans="8:8" x14ac:dyDescent="0.25">
      <c r="H67" t="s">
        <v>699</v>
      </c>
    </row>
    <row r="68" spans="8:8" x14ac:dyDescent="0.25">
      <c r="H68" t="s">
        <v>700</v>
      </c>
    </row>
    <row r="69" spans="8:8" x14ac:dyDescent="0.25">
      <c r="H69" t="s">
        <v>670</v>
      </c>
    </row>
    <row r="70" spans="8:8" x14ac:dyDescent="0.25">
      <c r="H70" t="s">
        <v>701</v>
      </c>
    </row>
    <row r="71" spans="8:8" x14ac:dyDescent="0.25">
      <c r="H71" t="s">
        <v>31</v>
      </c>
    </row>
    <row r="73" spans="8:8" x14ac:dyDescent="0.25">
      <c r="H73" t="s">
        <v>702</v>
      </c>
    </row>
    <row r="74" spans="8:8" x14ac:dyDescent="0.25">
      <c r="H74" t="s">
        <v>703</v>
      </c>
    </row>
    <row r="75" spans="8:8" x14ac:dyDescent="0.25">
      <c r="H75" t="s">
        <v>670</v>
      </c>
    </row>
    <row r="76" spans="8:8" x14ac:dyDescent="0.25">
      <c r="H76" t="s">
        <v>704</v>
      </c>
    </row>
    <row r="77" spans="8:8" x14ac:dyDescent="0.25">
      <c r="H77" t="s">
        <v>31</v>
      </c>
    </row>
    <row r="79" spans="8:8" x14ac:dyDescent="0.25">
      <c r="H79" t="s">
        <v>705</v>
      </c>
    </row>
    <row r="80" spans="8:8" x14ac:dyDescent="0.25">
      <c r="H80" t="s">
        <v>706</v>
      </c>
    </row>
    <row r="81" spans="8:8" x14ac:dyDescent="0.25">
      <c r="H81" t="s">
        <v>670</v>
      </c>
    </row>
    <row r="82" spans="8:8" x14ac:dyDescent="0.25">
      <c r="H82" t="s">
        <v>707</v>
      </c>
    </row>
    <row r="83" spans="8:8" x14ac:dyDescent="0.25">
      <c r="H83" t="s">
        <v>31</v>
      </c>
    </row>
    <row r="85" spans="8:8" x14ac:dyDescent="0.25">
      <c r="H85" t="s">
        <v>708</v>
      </c>
    </row>
    <row r="86" spans="8:8" x14ac:dyDescent="0.25">
      <c r="H86" t="s">
        <v>709</v>
      </c>
    </row>
    <row r="87" spans="8:8" x14ac:dyDescent="0.25">
      <c r="H87" t="s">
        <v>670</v>
      </c>
    </row>
    <row r="88" spans="8:8" x14ac:dyDescent="0.25">
      <c r="H88" t="s">
        <v>710</v>
      </c>
    </row>
    <row r="89" spans="8:8" x14ac:dyDescent="0.25">
      <c r="H89" t="s">
        <v>31</v>
      </c>
    </row>
    <row r="91" spans="8:8" x14ac:dyDescent="0.25">
      <c r="H91" t="s">
        <v>711</v>
      </c>
    </row>
    <row r="92" spans="8:8" x14ac:dyDescent="0.25">
      <c r="H92" t="s">
        <v>712</v>
      </c>
    </row>
    <row r="93" spans="8:8" x14ac:dyDescent="0.25">
      <c r="H93" t="s">
        <v>670</v>
      </c>
    </row>
    <row r="94" spans="8:8" x14ac:dyDescent="0.25">
      <c r="H94" t="s">
        <v>713</v>
      </c>
    </row>
    <row r="95" spans="8:8" x14ac:dyDescent="0.25">
      <c r="H95" t="s">
        <v>31</v>
      </c>
    </row>
    <row r="97" spans="8:8" x14ac:dyDescent="0.25">
      <c r="H97" t="s">
        <v>714</v>
      </c>
    </row>
    <row r="98" spans="8:8" x14ac:dyDescent="0.25">
      <c r="H98" t="s">
        <v>715</v>
      </c>
    </row>
    <row r="99" spans="8:8" x14ac:dyDescent="0.25">
      <c r="H99" t="s">
        <v>670</v>
      </c>
    </row>
    <row r="100" spans="8:8" x14ac:dyDescent="0.25">
      <c r="H100" t="s">
        <v>716</v>
      </c>
    </row>
    <row r="101" spans="8:8" x14ac:dyDescent="0.25">
      <c r="H101" t="s">
        <v>31</v>
      </c>
    </row>
    <row r="103" spans="8:8" x14ac:dyDescent="0.25">
      <c r="H103" t="s">
        <v>717</v>
      </c>
    </row>
    <row r="104" spans="8:8" x14ac:dyDescent="0.25">
      <c r="H104" t="s">
        <v>718</v>
      </c>
    </row>
    <row r="105" spans="8:8" x14ac:dyDescent="0.25">
      <c r="H105" t="s">
        <v>670</v>
      </c>
    </row>
    <row r="106" spans="8:8" x14ac:dyDescent="0.25">
      <c r="H106" t="s">
        <v>719</v>
      </c>
    </row>
    <row r="107" spans="8:8" x14ac:dyDescent="0.25">
      <c r="H107" t="s">
        <v>31</v>
      </c>
    </row>
    <row r="109" spans="8:8" x14ac:dyDescent="0.25">
      <c r="H109" t="s">
        <v>720</v>
      </c>
    </row>
    <row r="110" spans="8:8" x14ac:dyDescent="0.25">
      <c r="H110" t="s">
        <v>721</v>
      </c>
    </row>
    <row r="111" spans="8:8" x14ac:dyDescent="0.25">
      <c r="H111" t="s">
        <v>670</v>
      </c>
    </row>
    <row r="112" spans="8:8" x14ac:dyDescent="0.25">
      <c r="H112" t="s">
        <v>722</v>
      </c>
    </row>
    <row r="113" spans="8:8" x14ac:dyDescent="0.25">
      <c r="H113" t="s">
        <v>31</v>
      </c>
    </row>
    <row r="115" spans="8:8" x14ac:dyDescent="0.25">
      <c r="H115" t="s">
        <v>723</v>
      </c>
    </row>
    <row r="116" spans="8:8" x14ac:dyDescent="0.25">
      <c r="H116" t="s">
        <v>2375</v>
      </c>
    </row>
    <row r="117" spans="8:8" x14ac:dyDescent="0.25">
      <c r="H117" t="s">
        <v>670</v>
      </c>
    </row>
    <row r="118" spans="8:8" x14ac:dyDescent="0.25">
      <c r="H118" t="s">
        <v>2376</v>
      </c>
    </row>
    <row r="119" spans="8:8" x14ac:dyDescent="0.25">
      <c r="H119" t="s">
        <v>31</v>
      </c>
    </row>
    <row r="121" spans="8:8" x14ac:dyDescent="0.25">
      <c r="H121" t="s">
        <v>724</v>
      </c>
    </row>
    <row r="122" spans="8:8" x14ac:dyDescent="0.25">
      <c r="H122" t="s">
        <v>2377</v>
      </c>
    </row>
    <row r="123" spans="8:8" x14ac:dyDescent="0.25">
      <c r="H123" t="s">
        <v>670</v>
      </c>
    </row>
    <row r="124" spans="8:8" x14ac:dyDescent="0.25">
      <c r="H124" t="s">
        <v>2378</v>
      </c>
    </row>
    <row r="125" spans="8:8" x14ac:dyDescent="0.25">
      <c r="H125" t="s">
        <v>31</v>
      </c>
    </row>
    <row r="127" spans="8:8" x14ac:dyDescent="0.25">
      <c r="H127" t="s">
        <v>729</v>
      </c>
    </row>
    <row r="128" spans="8:8" x14ac:dyDescent="0.25">
      <c r="H128" t="s">
        <v>2379</v>
      </c>
    </row>
    <row r="129" spans="8:8" x14ac:dyDescent="0.25">
      <c r="H129" t="s">
        <v>670</v>
      </c>
    </row>
    <row r="130" spans="8:8" x14ac:dyDescent="0.25">
      <c r="H130" t="s">
        <v>2380</v>
      </c>
    </row>
    <row r="131" spans="8:8" x14ac:dyDescent="0.25">
      <c r="H131" t="s">
        <v>31</v>
      </c>
    </row>
    <row r="133" spans="8:8" x14ac:dyDescent="0.25">
      <c r="H133" t="s">
        <v>735</v>
      </c>
    </row>
    <row r="134" spans="8:8" x14ac:dyDescent="0.25">
      <c r="H134" t="s">
        <v>2381</v>
      </c>
    </row>
    <row r="135" spans="8:8" x14ac:dyDescent="0.25">
      <c r="H135" t="s">
        <v>670</v>
      </c>
    </row>
    <row r="136" spans="8:8" x14ac:dyDescent="0.25">
      <c r="H136" t="s">
        <v>2382</v>
      </c>
    </row>
    <row r="137" spans="8:8" x14ac:dyDescent="0.25">
      <c r="H137" t="s">
        <v>31</v>
      </c>
    </row>
    <row r="139" spans="8:8" x14ac:dyDescent="0.25">
      <c r="H139" t="s">
        <v>738</v>
      </c>
    </row>
    <row r="140" spans="8:8" x14ac:dyDescent="0.25">
      <c r="H140" t="s">
        <v>2383</v>
      </c>
    </row>
    <row r="141" spans="8:8" x14ac:dyDescent="0.25">
      <c r="H141" t="s">
        <v>670</v>
      </c>
    </row>
    <row r="142" spans="8:8" x14ac:dyDescent="0.25">
      <c r="H142" t="s">
        <v>2384</v>
      </c>
    </row>
    <row r="143" spans="8:8" x14ac:dyDescent="0.25">
      <c r="H143" t="s">
        <v>31</v>
      </c>
    </row>
    <row r="144" spans="8:8" x14ac:dyDescent="0.25">
      <c r="H144" t="s">
        <v>672</v>
      </c>
    </row>
    <row r="145" spans="8:8" x14ac:dyDescent="0.25">
      <c r="H145" t="s">
        <v>2385</v>
      </c>
    </row>
    <row r="146" spans="8:8" x14ac:dyDescent="0.25">
      <c r="H146" t="s">
        <v>31</v>
      </c>
    </row>
    <row r="147" spans="8:8" x14ac:dyDescent="0.25">
      <c r="H147" t="s">
        <v>674</v>
      </c>
    </row>
    <row r="148" spans="8:8" x14ac:dyDescent="0.25">
      <c r="H148" t="s">
        <v>2386</v>
      </c>
    </row>
    <row r="149" spans="8:8" x14ac:dyDescent="0.25">
      <c r="H149" t="s">
        <v>31</v>
      </c>
    </row>
    <row r="150" spans="8:8" x14ac:dyDescent="0.25">
      <c r="H150" t="s">
        <v>676</v>
      </c>
    </row>
    <row r="151" spans="8:8" x14ac:dyDescent="0.25">
      <c r="H151" t="s">
        <v>2387</v>
      </c>
    </row>
    <row r="152" spans="8:8" x14ac:dyDescent="0.25">
      <c r="H152" t="s">
        <v>31</v>
      </c>
    </row>
    <row r="154" spans="8:8" x14ac:dyDescent="0.25">
      <c r="H154" t="s">
        <v>741</v>
      </c>
    </row>
    <row r="155" spans="8:8" x14ac:dyDescent="0.25">
      <c r="H155" t="s">
        <v>725</v>
      </c>
    </row>
    <row r="156" spans="8:8" x14ac:dyDescent="0.25">
      <c r="H156" t="s">
        <v>670</v>
      </c>
    </row>
    <row r="157" spans="8:8" x14ac:dyDescent="0.25">
      <c r="H157" t="s">
        <v>726</v>
      </c>
    </row>
    <row r="158" spans="8:8" x14ac:dyDescent="0.25">
      <c r="H158" t="s">
        <v>31</v>
      </c>
    </row>
    <row r="159" spans="8:8" x14ac:dyDescent="0.25">
      <c r="H159" t="s">
        <v>727</v>
      </c>
    </row>
    <row r="160" spans="8:8" x14ac:dyDescent="0.25">
      <c r="H160" t="s">
        <v>672</v>
      </c>
    </row>
    <row r="161" spans="8:8" x14ac:dyDescent="0.25">
      <c r="H161" t="s">
        <v>728</v>
      </c>
    </row>
    <row r="162" spans="8:8" x14ac:dyDescent="0.25">
      <c r="H162" t="s">
        <v>31</v>
      </c>
    </row>
    <row r="164" spans="8:8" x14ac:dyDescent="0.25">
      <c r="H164" t="s">
        <v>744</v>
      </c>
    </row>
    <row r="165" spans="8:8" x14ac:dyDescent="0.25">
      <c r="H165" t="s">
        <v>730</v>
      </c>
    </row>
    <row r="166" spans="8:8" x14ac:dyDescent="0.25">
      <c r="H166" t="s">
        <v>670</v>
      </c>
    </row>
    <row r="167" spans="8:8" x14ac:dyDescent="0.25">
      <c r="H167" t="s">
        <v>731</v>
      </c>
    </row>
    <row r="168" spans="8:8" x14ac:dyDescent="0.25">
      <c r="H168" t="s">
        <v>31</v>
      </c>
    </row>
    <row r="169" spans="8:8" x14ac:dyDescent="0.25">
      <c r="H169" t="s">
        <v>672</v>
      </c>
    </row>
    <row r="170" spans="8:8" x14ac:dyDescent="0.25">
      <c r="H170" t="s">
        <v>732</v>
      </c>
    </row>
    <row r="171" spans="8:8" x14ac:dyDescent="0.25">
      <c r="H171" t="s">
        <v>31</v>
      </c>
    </row>
    <row r="172" spans="8:8" x14ac:dyDescent="0.25">
      <c r="H172" t="s">
        <v>674</v>
      </c>
    </row>
    <row r="173" spans="8:8" x14ac:dyDescent="0.25">
      <c r="H173" t="s">
        <v>733</v>
      </c>
    </row>
    <row r="174" spans="8:8" x14ac:dyDescent="0.25">
      <c r="H174" t="s">
        <v>31</v>
      </c>
    </row>
    <row r="175" spans="8:8" x14ac:dyDescent="0.25">
      <c r="H175" t="s">
        <v>676</v>
      </c>
    </row>
    <row r="176" spans="8:8" x14ac:dyDescent="0.25">
      <c r="H176" t="s">
        <v>734</v>
      </c>
    </row>
    <row r="177" spans="8:8" x14ac:dyDescent="0.25">
      <c r="H177" t="s">
        <v>31</v>
      </c>
    </row>
    <row r="179" spans="8:8" x14ac:dyDescent="0.25">
      <c r="H179" t="s">
        <v>745</v>
      </c>
    </row>
    <row r="180" spans="8:8" x14ac:dyDescent="0.25">
      <c r="H180" t="s">
        <v>736</v>
      </c>
    </row>
    <row r="181" spans="8:8" x14ac:dyDescent="0.25">
      <c r="H181" t="s">
        <v>670</v>
      </c>
    </row>
    <row r="182" spans="8:8" x14ac:dyDescent="0.25">
      <c r="H182" t="s">
        <v>737</v>
      </c>
    </row>
    <row r="183" spans="8:8" x14ac:dyDescent="0.25">
      <c r="H183" t="s">
        <v>31</v>
      </c>
    </row>
    <row r="185" spans="8:8" x14ac:dyDescent="0.25">
      <c r="H185" t="s">
        <v>748</v>
      </c>
    </row>
    <row r="186" spans="8:8" x14ac:dyDescent="0.25">
      <c r="H186" t="s">
        <v>739</v>
      </c>
    </row>
    <row r="187" spans="8:8" x14ac:dyDescent="0.25">
      <c r="H187" t="s">
        <v>670</v>
      </c>
    </row>
    <row r="188" spans="8:8" x14ac:dyDescent="0.25">
      <c r="H188" t="s">
        <v>740</v>
      </c>
    </row>
    <row r="189" spans="8:8" x14ac:dyDescent="0.25">
      <c r="H189" t="s">
        <v>31</v>
      </c>
    </row>
    <row r="191" spans="8:8" x14ac:dyDescent="0.25">
      <c r="H191" t="s">
        <v>749</v>
      </c>
    </row>
    <row r="192" spans="8:8" x14ac:dyDescent="0.25">
      <c r="H192" t="s">
        <v>742</v>
      </c>
    </row>
    <row r="193" spans="8:8" x14ac:dyDescent="0.25">
      <c r="H193" t="s">
        <v>670</v>
      </c>
    </row>
    <row r="194" spans="8:8" x14ac:dyDescent="0.25">
      <c r="H194" t="s">
        <v>743</v>
      </c>
    </row>
    <row r="195" spans="8:8" x14ac:dyDescent="0.25">
      <c r="H195" t="s">
        <v>31</v>
      </c>
    </row>
    <row r="197" spans="8:8" x14ac:dyDescent="0.25">
      <c r="H197" t="s">
        <v>754</v>
      </c>
    </row>
    <row r="198" spans="8:8" x14ac:dyDescent="0.25">
      <c r="H198" t="s">
        <v>1657</v>
      </c>
    </row>
    <row r="199" spans="8:8" x14ac:dyDescent="0.25">
      <c r="H199" t="s">
        <v>670</v>
      </c>
    </row>
    <row r="200" spans="8:8" x14ac:dyDescent="0.25">
      <c r="H200" t="s">
        <v>1658</v>
      </c>
    </row>
    <row r="201" spans="8:8" x14ac:dyDescent="0.25">
      <c r="H201" t="s">
        <v>31</v>
      </c>
    </row>
    <row r="203" spans="8:8" x14ac:dyDescent="0.25">
      <c r="H203" t="s">
        <v>757</v>
      </c>
    </row>
    <row r="204" spans="8:8" x14ac:dyDescent="0.25">
      <c r="H204" t="s">
        <v>746</v>
      </c>
    </row>
    <row r="205" spans="8:8" x14ac:dyDescent="0.25">
      <c r="H205" t="s">
        <v>670</v>
      </c>
    </row>
    <row r="206" spans="8:8" x14ac:dyDescent="0.25">
      <c r="H206" t="s">
        <v>747</v>
      </c>
    </row>
    <row r="207" spans="8:8" x14ac:dyDescent="0.25">
      <c r="H207" t="s">
        <v>31</v>
      </c>
    </row>
    <row r="209" spans="8:8" x14ac:dyDescent="0.25">
      <c r="H209" t="s">
        <v>760</v>
      </c>
    </row>
    <row r="210" spans="8:8" x14ac:dyDescent="0.25">
      <c r="H210" t="s">
        <v>1942</v>
      </c>
    </row>
    <row r="211" spans="8:8" x14ac:dyDescent="0.25">
      <c r="H211" t="s">
        <v>670</v>
      </c>
    </row>
    <row r="212" spans="8:8" x14ac:dyDescent="0.25">
      <c r="H212" t="s">
        <v>1943</v>
      </c>
    </row>
    <row r="213" spans="8:8" x14ac:dyDescent="0.25">
      <c r="H213" t="s">
        <v>31</v>
      </c>
    </row>
    <row r="215" spans="8:8" x14ac:dyDescent="0.25">
      <c r="H215" t="s">
        <v>763</v>
      </c>
    </row>
    <row r="216" spans="8:8" x14ac:dyDescent="0.25">
      <c r="H216" t="s">
        <v>2388</v>
      </c>
    </row>
    <row r="217" spans="8:8" x14ac:dyDescent="0.25">
      <c r="H217" t="s">
        <v>670</v>
      </c>
    </row>
    <row r="218" spans="8:8" x14ac:dyDescent="0.25">
      <c r="H218" t="s">
        <v>2389</v>
      </c>
    </row>
    <row r="219" spans="8:8" x14ac:dyDescent="0.25">
      <c r="H219" t="s">
        <v>31</v>
      </c>
    </row>
    <row r="221" spans="8:8" x14ac:dyDescent="0.25">
      <c r="H221" t="s">
        <v>766</v>
      </c>
    </row>
    <row r="222" spans="8:8" x14ac:dyDescent="0.25">
      <c r="H222" t="s">
        <v>1944</v>
      </c>
    </row>
    <row r="223" spans="8:8" x14ac:dyDescent="0.25">
      <c r="H223" t="s">
        <v>670</v>
      </c>
    </row>
    <row r="224" spans="8:8" x14ac:dyDescent="0.25">
      <c r="H224" t="s">
        <v>1945</v>
      </c>
    </row>
    <row r="225" spans="8:8" x14ac:dyDescent="0.25">
      <c r="H225" t="s">
        <v>31</v>
      </c>
    </row>
    <row r="227" spans="8:8" x14ac:dyDescent="0.25">
      <c r="H227" t="s">
        <v>769</v>
      </c>
    </row>
    <row r="228" spans="8:8" x14ac:dyDescent="0.25">
      <c r="H228" t="s">
        <v>1946</v>
      </c>
    </row>
    <row r="229" spans="8:8" x14ac:dyDescent="0.25">
      <c r="H229" t="s">
        <v>670</v>
      </c>
    </row>
    <row r="230" spans="8:8" x14ac:dyDescent="0.25">
      <c r="H230" t="s">
        <v>1947</v>
      </c>
    </row>
    <row r="231" spans="8:8" x14ac:dyDescent="0.25">
      <c r="H231" t="s">
        <v>31</v>
      </c>
    </row>
    <row r="232" spans="8:8" x14ac:dyDescent="0.25">
      <c r="H232" t="s">
        <v>672</v>
      </c>
    </row>
    <row r="233" spans="8:8" x14ac:dyDescent="0.25">
      <c r="H233" t="s">
        <v>1948</v>
      </c>
    </row>
    <row r="234" spans="8:8" x14ac:dyDescent="0.25">
      <c r="H234" t="s">
        <v>31</v>
      </c>
    </row>
    <row r="235" spans="8:8" x14ac:dyDescent="0.25">
      <c r="H235" t="s">
        <v>674</v>
      </c>
    </row>
    <row r="236" spans="8:8" x14ac:dyDescent="0.25">
      <c r="H236" t="s">
        <v>1949</v>
      </c>
    </row>
    <row r="237" spans="8:8" x14ac:dyDescent="0.25">
      <c r="H237" t="s">
        <v>31</v>
      </c>
    </row>
    <row r="238" spans="8:8" x14ac:dyDescent="0.25">
      <c r="H238" t="s">
        <v>676</v>
      </c>
    </row>
    <row r="239" spans="8:8" x14ac:dyDescent="0.25">
      <c r="H239" t="s">
        <v>1950</v>
      </c>
    </row>
    <row r="240" spans="8:8" x14ac:dyDescent="0.25">
      <c r="H240" t="s">
        <v>31</v>
      </c>
    </row>
    <row r="242" spans="8:8" x14ac:dyDescent="0.25">
      <c r="H242" t="s">
        <v>772</v>
      </c>
    </row>
    <row r="243" spans="8:8" x14ac:dyDescent="0.25">
      <c r="H243" t="s">
        <v>1951</v>
      </c>
    </row>
    <row r="244" spans="8:8" x14ac:dyDescent="0.25">
      <c r="H244" t="s">
        <v>670</v>
      </c>
    </row>
    <row r="245" spans="8:8" x14ac:dyDescent="0.25">
      <c r="H245" t="s">
        <v>1952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1953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1954</v>
      </c>
    </row>
    <row r="252" spans="8:8" x14ac:dyDescent="0.25">
      <c r="H252" t="s">
        <v>31</v>
      </c>
    </row>
    <row r="253" spans="8:8" x14ac:dyDescent="0.25">
      <c r="H253" t="s">
        <v>676</v>
      </c>
    </row>
    <row r="254" spans="8:8" x14ac:dyDescent="0.25">
      <c r="H254" t="s">
        <v>1955</v>
      </c>
    </row>
    <row r="255" spans="8:8" x14ac:dyDescent="0.25">
      <c r="H255" t="s">
        <v>31</v>
      </c>
    </row>
    <row r="257" spans="8:8" x14ac:dyDescent="0.25">
      <c r="H257" t="s">
        <v>775</v>
      </c>
    </row>
    <row r="258" spans="8:8" x14ac:dyDescent="0.25">
      <c r="H258" t="s">
        <v>1956</v>
      </c>
    </row>
    <row r="259" spans="8:8" x14ac:dyDescent="0.25">
      <c r="H259" t="s">
        <v>670</v>
      </c>
    </row>
    <row r="260" spans="8:8" x14ac:dyDescent="0.25">
      <c r="H260" t="s">
        <v>1957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1958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1959</v>
      </c>
    </row>
    <row r="267" spans="8:8" x14ac:dyDescent="0.25">
      <c r="H267" t="s">
        <v>31</v>
      </c>
    </row>
    <row r="268" spans="8:8" x14ac:dyDescent="0.25">
      <c r="H268" t="s">
        <v>676</v>
      </c>
    </row>
    <row r="269" spans="8:8" x14ac:dyDescent="0.25">
      <c r="H269" t="s">
        <v>1960</v>
      </c>
    </row>
    <row r="270" spans="8:8" x14ac:dyDescent="0.25">
      <c r="H270" t="s">
        <v>31</v>
      </c>
    </row>
    <row r="272" spans="8:8" x14ac:dyDescent="0.25">
      <c r="H272" t="s">
        <v>778</v>
      </c>
    </row>
    <row r="273" spans="8:8" x14ac:dyDescent="0.25">
      <c r="H273" t="s">
        <v>1961</v>
      </c>
    </row>
    <row r="274" spans="8:8" x14ac:dyDescent="0.25">
      <c r="H274" t="s">
        <v>670</v>
      </c>
    </row>
    <row r="275" spans="8:8" x14ac:dyDescent="0.25">
      <c r="H275" t="s">
        <v>1962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1963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1964</v>
      </c>
    </row>
    <row r="282" spans="8:8" x14ac:dyDescent="0.25">
      <c r="H282" t="s">
        <v>31</v>
      </c>
    </row>
    <row r="283" spans="8:8" x14ac:dyDescent="0.25">
      <c r="H283" t="s">
        <v>676</v>
      </c>
    </row>
    <row r="284" spans="8:8" x14ac:dyDescent="0.25">
      <c r="H284" t="s">
        <v>1965</v>
      </c>
    </row>
    <row r="285" spans="8:8" x14ac:dyDescent="0.25">
      <c r="H285" t="s">
        <v>31</v>
      </c>
    </row>
    <row r="287" spans="8:8" x14ac:dyDescent="0.25">
      <c r="H287" t="s">
        <v>781</v>
      </c>
    </row>
    <row r="288" spans="8:8" x14ac:dyDescent="0.25">
      <c r="H288" t="s">
        <v>1966</v>
      </c>
    </row>
    <row r="289" spans="8:8" x14ac:dyDescent="0.25">
      <c r="H289" t="s">
        <v>670</v>
      </c>
    </row>
    <row r="290" spans="8:8" x14ac:dyDescent="0.25">
      <c r="H290" t="s">
        <v>1967</v>
      </c>
    </row>
    <row r="291" spans="8:8" x14ac:dyDescent="0.25">
      <c r="H291" t="s">
        <v>31</v>
      </c>
    </row>
    <row r="292" spans="8:8" x14ac:dyDescent="0.25">
      <c r="H292" t="s">
        <v>672</v>
      </c>
    </row>
    <row r="293" spans="8:8" x14ac:dyDescent="0.25">
      <c r="H293" t="s">
        <v>1968</v>
      </c>
    </row>
    <row r="294" spans="8:8" x14ac:dyDescent="0.25">
      <c r="H294" t="s">
        <v>31</v>
      </c>
    </row>
    <row r="295" spans="8:8" x14ac:dyDescent="0.25">
      <c r="H295" t="s">
        <v>674</v>
      </c>
    </row>
    <row r="296" spans="8:8" x14ac:dyDescent="0.25">
      <c r="H296" t="s">
        <v>1969</v>
      </c>
    </row>
    <row r="297" spans="8:8" x14ac:dyDescent="0.25">
      <c r="H297" t="s">
        <v>31</v>
      </c>
    </row>
    <row r="298" spans="8:8" x14ac:dyDescent="0.25">
      <c r="H298" t="s">
        <v>676</v>
      </c>
    </row>
    <row r="299" spans="8:8" x14ac:dyDescent="0.25">
      <c r="H299" t="s">
        <v>1970</v>
      </c>
    </row>
    <row r="300" spans="8:8" x14ac:dyDescent="0.25">
      <c r="H300" t="s">
        <v>31</v>
      </c>
    </row>
    <row r="302" spans="8:8" x14ac:dyDescent="0.25">
      <c r="H302" t="s">
        <v>784</v>
      </c>
    </row>
    <row r="303" spans="8:8" x14ac:dyDescent="0.25">
      <c r="H303" t="s">
        <v>1971</v>
      </c>
    </row>
    <row r="304" spans="8:8" x14ac:dyDescent="0.25">
      <c r="H304" t="s">
        <v>670</v>
      </c>
    </row>
    <row r="305" spans="8:8" x14ac:dyDescent="0.25">
      <c r="H305" t="s">
        <v>1972</v>
      </c>
    </row>
    <row r="306" spans="8:8" x14ac:dyDescent="0.25">
      <c r="H306" t="s">
        <v>31</v>
      </c>
    </row>
    <row r="307" spans="8:8" x14ac:dyDescent="0.25">
      <c r="H307" t="s">
        <v>672</v>
      </c>
    </row>
    <row r="308" spans="8:8" x14ac:dyDescent="0.25">
      <c r="H308" t="s">
        <v>1973</v>
      </c>
    </row>
    <row r="309" spans="8:8" x14ac:dyDescent="0.25">
      <c r="H309" t="s">
        <v>31</v>
      </c>
    </row>
    <row r="310" spans="8:8" x14ac:dyDescent="0.25">
      <c r="H310" t="s">
        <v>674</v>
      </c>
    </row>
    <row r="311" spans="8:8" x14ac:dyDescent="0.25">
      <c r="H311" t="s">
        <v>1974</v>
      </c>
    </row>
    <row r="312" spans="8:8" x14ac:dyDescent="0.25">
      <c r="H312" t="s">
        <v>31</v>
      </c>
    </row>
    <row r="313" spans="8:8" x14ac:dyDescent="0.25">
      <c r="H313" t="s">
        <v>676</v>
      </c>
    </row>
    <row r="314" spans="8:8" x14ac:dyDescent="0.25">
      <c r="H314" t="s">
        <v>1975</v>
      </c>
    </row>
    <row r="315" spans="8:8" x14ac:dyDescent="0.25">
      <c r="H315" t="s">
        <v>31</v>
      </c>
    </row>
    <row r="317" spans="8:8" x14ac:dyDescent="0.25">
      <c r="H317" t="s">
        <v>787</v>
      </c>
    </row>
    <row r="318" spans="8:8" x14ac:dyDescent="0.25">
      <c r="H318" t="s">
        <v>1976</v>
      </c>
    </row>
    <row r="319" spans="8:8" x14ac:dyDescent="0.25">
      <c r="H319" t="s">
        <v>670</v>
      </c>
    </row>
    <row r="320" spans="8:8" x14ac:dyDescent="0.25">
      <c r="H320" t="s">
        <v>1977</v>
      </c>
    </row>
    <row r="321" spans="8:8" x14ac:dyDescent="0.25">
      <c r="H321" t="s">
        <v>31</v>
      </c>
    </row>
    <row r="322" spans="8:8" x14ac:dyDescent="0.25">
      <c r="H322" t="s">
        <v>672</v>
      </c>
    </row>
    <row r="323" spans="8:8" x14ac:dyDescent="0.25">
      <c r="H323" t="s">
        <v>1978</v>
      </c>
    </row>
    <row r="324" spans="8:8" x14ac:dyDescent="0.25">
      <c r="H324" t="s">
        <v>31</v>
      </c>
    </row>
    <row r="325" spans="8:8" x14ac:dyDescent="0.25">
      <c r="H325" t="s">
        <v>674</v>
      </c>
    </row>
    <row r="326" spans="8:8" x14ac:dyDescent="0.25">
      <c r="H326" t="s">
        <v>1979</v>
      </c>
    </row>
    <row r="327" spans="8:8" x14ac:dyDescent="0.25">
      <c r="H327" t="s">
        <v>31</v>
      </c>
    </row>
    <row r="328" spans="8:8" x14ac:dyDescent="0.25">
      <c r="H328" t="s">
        <v>676</v>
      </c>
    </row>
    <row r="329" spans="8:8" x14ac:dyDescent="0.25">
      <c r="H329" t="s">
        <v>1980</v>
      </c>
    </row>
    <row r="330" spans="8:8" x14ac:dyDescent="0.25">
      <c r="H330" t="s">
        <v>31</v>
      </c>
    </row>
    <row r="332" spans="8:8" x14ac:dyDescent="0.25">
      <c r="H332" t="s">
        <v>790</v>
      </c>
    </row>
    <row r="333" spans="8:8" x14ac:dyDescent="0.25">
      <c r="H333" t="s">
        <v>1981</v>
      </c>
    </row>
    <row r="334" spans="8:8" x14ac:dyDescent="0.25">
      <c r="H334" t="s">
        <v>670</v>
      </c>
    </row>
    <row r="335" spans="8:8" x14ac:dyDescent="0.25">
      <c r="H335" t="s">
        <v>1982</v>
      </c>
    </row>
    <row r="336" spans="8:8" x14ac:dyDescent="0.25">
      <c r="H336" t="s">
        <v>31</v>
      </c>
    </row>
    <row r="337" spans="8:8" x14ac:dyDescent="0.25">
      <c r="H337" t="s">
        <v>672</v>
      </c>
    </row>
    <row r="338" spans="8:8" x14ac:dyDescent="0.25">
      <c r="H338" t="s">
        <v>1983</v>
      </c>
    </row>
    <row r="339" spans="8:8" x14ac:dyDescent="0.25">
      <c r="H339" t="s">
        <v>31</v>
      </c>
    </row>
    <row r="340" spans="8:8" x14ac:dyDescent="0.25">
      <c r="H340" t="s">
        <v>674</v>
      </c>
    </row>
    <row r="341" spans="8:8" x14ac:dyDescent="0.25">
      <c r="H341" t="s">
        <v>1984</v>
      </c>
    </row>
    <row r="342" spans="8:8" x14ac:dyDescent="0.25">
      <c r="H342" t="s">
        <v>31</v>
      </c>
    </row>
    <row r="343" spans="8:8" x14ac:dyDescent="0.25">
      <c r="H343" t="s">
        <v>676</v>
      </c>
    </row>
    <row r="344" spans="8:8" x14ac:dyDescent="0.25">
      <c r="H344" t="s">
        <v>1985</v>
      </c>
    </row>
    <row r="345" spans="8:8" x14ac:dyDescent="0.25">
      <c r="H345" t="s">
        <v>31</v>
      </c>
    </row>
    <row r="347" spans="8:8" x14ac:dyDescent="0.25">
      <c r="H347" t="s">
        <v>793</v>
      </c>
    </row>
    <row r="348" spans="8:8" x14ac:dyDescent="0.25">
      <c r="H348" t="s">
        <v>1986</v>
      </c>
    </row>
    <row r="349" spans="8:8" x14ac:dyDescent="0.25">
      <c r="H349" t="s">
        <v>670</v>
      </c>
    </row>
    <row r="350" spans="8:8" x14ac:dyDescent="0.25">
      <c r="H350" t="s">
        <v>1987</v>
      </c>
    </row>
    <row r="351" spans="8:8" x14ac:dyDescent="0.25">
      <c r="H351" t="s">
        <v>31</v>
      </c>
    </row>
    <row r="352" spans="8:8" x14ac:dyDescent="0.25">
      <c r="H352" t="s">
        <v>672</v>
      </c>
    </row>
    <row r="353" spans="8:8" x14ac:dyDescent="0.25">
      <c r="H353" t="s">
        <v>1988</v>
      </c>
    </row>
    <row r="354" spans="8:8" x14ac:dyDescent="0.25">
      <c r="H354" t="s">
        <v>31</v>
      </c>
    </row>
    <row r="355" spans="8:8" x14ac:dyDescent="0.25">
      <c r="H355" t="s">
        <v>674</v>
      </c>
    </row>
    <row r="356" spans="8:8" x14ac:dyDescent="0.25">
      <c r="H356" t="s">
        <v>1989</v>
      </c>
    </row>
    <row r="357" spans="8:8" x14ac:dyDescent="0.25">
      <c r="H357" t="s">
        <v>31</v>
      </c>
    </row>
    <row r="358" spans="8:8" x14ac:dyDescent="0.25">
      <c r="H358" t="s">
        <v>676</v>
      </c>
    </row>
    <row r="359" spans="8:8" x14ac:dyDescent="0.25">
      <c r="H359" t="s">
        <v>1990</v>
      </c>
    </row>
    <row r="360" spans="8:8" x14ac:dyDescent="0.25">
      <c r="H360" t="s">
        <v>31</v>
      </c>
    </row>
    <row r="362" spans="8:8" x14ac:dyDescent="0.25">
      <c r="H362" t="s">
        <v>796</v>
      </c>
    </row>
    <row r="363" spans="8:8" x14ac:dyDescent="0.25">
      <c r="H363" t="s">
        <v>750</v>
      </c>
    </row>
    <row r="364" spans="8:8" x14ac:dyDescent="0.25">
      <c r="H364" t="s">
        <v>670</v>
      </c>
    </row>
    <row r="365" spans="8:8" x14ac:dyDescent="0.25">
      <c r="H365" t="s">
        <v>751</v>
      </c>
    </row>
    <row r="366" spans="8:8" x14ac:dyDescent="0.25">
      <c r="H366" t="s">
        <v>31</v>
      </c>
    </row>
    <row r="367" spans="8:8" x14ac:dyDescent="0.25">
      <c r="H367" t="s">
        <v>752</v>
      </c>
    </row>
    <row r="368" spans="8:8" x14ac:dyDescent="0.25">
      <c r="H368" t="s">
        <v>672</v>
      </c>
    </row>
    <row r="369" spans="8:8" x14ac:dyDescent="0.25">
      <c r="H369" t="s">
        <v>753</v>
      </c>
    </row>
    <row r="370" spans="8:8" x14ac:dyDescent="0.25">
      <c r="H370" t="s">
        <v>31</v>
      </c>
    </row>
    <row r="372" spans="8:8" x14ac:dyDescent="0.25">
      <c r="H372" t="s">
        <v>802</v>
      </c>
    </row>
    <row r="373" spans="8:8" x14ac:dyDescent="0.25">
      <c r="H373" t="s">
        <v>755</v>
      </c>
    </row>
    <row r="374" spans="8:8" x14ac:dyDescent="0.25">
      <c r="H374" t="s">
        <v>670</v>
      </c>
    </row>
    <row r="375" spans="8:8" x14ac:dyDescent="0.25">
      <c r="H375" t="s">
        <v>756</v>
      </c>
    </row>
    <row r="376" spans="8:8" x14ac:dyDescent="0.25">
      <c r="H376" t="s">
        <v>31</v>
      </c>
    </row>
    <row r="378" spans="8:8" x14ac:dyDescent="0.25">
      <c r="H378" t="s">
        <v>808</v>
      </c>
    </row>
    <row r="379" spans="8:8" x14ac:dyDescent="0.25">
      <c r="H379" t="s">
        <v>758</v>
      </c>
    </row>
    <row r="380" spans="8:8" x14ac:dyDescent="0.25">
      <c r="H380" t="s">
        <v>670</v>
      </c>
    </row>
    <row r="381" spans="8:8" x14ac:dyDescent="0.25">
      <c r="H381" t="s">
        <v>759</v>
      </c>
    </row>
    <row r="382" spans="8:8" x14ac:dyDescent="0.25">
      <c r="H382" t="s">
        <v>31</v>
      </c>
    </row>
    <row r="384" spans="8:8" x14ac:dyDescent="0.25">
      <c r="H384" t="s">
        <v>813</v>
      </c>
    </row>
    <row r="385" spans="8:8" x14ac:dyDescent="0.25">
      <c r="H385" t="s">
        <v>761</v>
      </c>
    </row>
    <row r="386" spans="8:8" x14ac:dyDescent="0.25">
      <c r="H386" t="s">
        <v>670</v>
      </c>
    </row>
    <row r="387" spans="8:8" x14ac:dyDescent="0.25">
      <c r="H387" t="s">
        <v>762</v>
      </c>
    </row>
    <row r="388" spans="8:8" x14ac:dyDescent="0.25">
      <c r="H388" t="s">
        <v>31</v>
      </c>
    </row>
    <row r="390" spans="8:8" x14ac:dyDescent="0.25">
      <c r="H390" t="s">
        <v>816</v>
      </c>
    </row>
    <row r="391" spans="8:8" x14ac:dyDescent="0.25">
      <c r="H391" t="s">
        <v>764</v>
      </c>
    </row>
    <row r="392" spans="8:8" x14ac:dyDescent="0.25">
      <c r="H392" t="s">
        <v>670</v>
      </c>
    </row>
    <row r="393" spans="8:8" x14ac:dyDescent="0.25">
      <c r="H393" t="s">
        <v>765</v>
      </c>
    </row>
    <row r="394" spans="8:8" x14ac:dyDescent="0.25">
      <c r="H394" t="s">
        <v>31</v>
      </c>
    </row>
    <row r="396" spans="8:8" x14ac:dyDescent="0.25">
      <c r="H396" t="s">
        <v>819</v>
      </c>
    </row>
    <row r="397" spans="8:8" x14ac:dyDescent="0.25">
      <c r="H397" t="s">
        <v>2093</v>
      </c>
    </row>
    <row r="398" spans="8:8" x14ac:dyDescent="0.25">
      <c r="H398" t="s">
        <v>670</v>
      </c>
    </row>
    <row r="399" spans="8:8" x14ac:dyDescent="0.25">
      <c r="H399" t="s">
        <v>2094</v>
      </c>
    </row>
    <row r="400" spans="8:8" x14ac:dyDescent="0.25">
      <c r="H400" t="s">
        <v>31</v>
      </c>
    </row>
    <row r="401" spans="8:8" x14ac:dyDescent="0.25">
      <c r="H401" t="s">
        <v>672</v>
      </c>
    </row>
    <row r="402" spans="8:8" x14ac:dyDescent="0.25">
      <c r="H402" t="s">
        <v>2095</v>
      </c>
    </row>
    <row r="403" spans="8:8" x14ac:dyDescent="0.25">
      <c r="H403" t="s">
        <v>31</v>
      </c>
    </row>
    <row r="404" spans="8:8" x14ac:dyDescent="0.25">
      <c r="H404" t="s">
        <v>674</v>
      </c>
    </row>
    <row r="405" spans="8:8" x14ac:dyDescent="0.25">
      <c r="H405" t="s">
        <v>2096</v>
      </c>
    </row>
    <row r="406" spans="8:8" x14ac:dyDescent="0.25">
      <c r="H406" t="s">
        <v>31</v>
      </c>
    </row>
    <row r="407" spans="8:8" x14ac:dyDescent="0.25">
      <c r="H407" t="s">
        <v>676</v>
      </c>
    </row>
    <row r="408" spans="8:8" x14ac:dyDescent="0.25">
      <c r="H408" t="s">
        <v>2097</v>
      </c>
    </row>
    <row r="409" spans="8:8" x14ac:dyDescent="0.25">
      <c r="H409" t="s">
        <v>31</v>
      </c>
    </row>
    <row r="411" spans="8:8" x14ac:dyDescent="0.25">
      <c r="H411" t="s">
        <v>822</v>
      </c>
    </row>
    <row r="412" spans="8:8" x14ac:dyDescent="0.25">
      <c r="H412" t="s">
        <v>2098</v>
      </c>
    </row>
    <row r="413" spans="8:8" x14ac:dyDescent="0.25">
      <c r="H413" t="s">
        <v>670</v>
      </c>
    </row>
    <row r="414" spans="8:8" x14ac:dyDescent="0.25">
      <c r="H414" t="s">
        <v>2099</v>
      </c>
    </row>
    <row r="415" spans="8:8" x14ac:dyDescent="0.25">
      <c r="H415" t="s">
        <v>31</v>
      </c>
    </row>
    <row r="416" spans="8:8" x14ac:dyDescent="0.25">
      <c r="H416" t="s">
        <v>672</v>
      </c>
    </row>
    <row r="417" spans="8:8" x14ac:dyDescent="0.25">
      <c r="H417" t="s">
        <v>2100</v>
      </c>
    </row>
    <row r="418" spans="8:8" x14ac:dyDescent="0.25">
      <c r="H418" t="s">
        <v>31</v>
      </c>
    </row>
    <row r="419" spans="8:8" x14ac:dyDescent="0.25">
      <c r="H419" t="s">
        <v>674</v>
      </c>
    </row>
    <row r="420" spans="8:8" x14ac:dyDescent="0.25">
      <c r="H420" t="s">
        <v>2101</v>
      </c>
    </row>
    <row r="421" spans="8:8" x14ac:dyDescent="0.25">
      <c r="H421" t="s">
        <v>31</v>
      </c>
    </row>
    <row r="422" spans="8:8" x14ac:dyDescent="0.25">
      <c r="H422" t="s">
        <v>676</v>
      </c>
    </row>
    <row r="423" spans="8:8" x14ac:dyDescent="0.25">
      <c r="H423" t="s">
        <v>2102</v>
      </c>
    </row>
    <row r="424" spans="8:8" x14ac:dyDescent="0.25">
      <c r="H424" t="s">
        <v>31</v>
      </c>
    </row>
    <row r="426" spans="8:8" x14ac:dyDescent="0.25">
      <c r="H426" t="s">
        <v>825</v>
      </c>
    </row>
    <row r="427" spans="8:8" x14ac:dyDescent="0.25">
      <c r="H427" t="s">
        <v>2103</v>
      </c>
    </row>
    <row r="428" spans="8:8" x14ac:dyDescent="0.25">
      <c r="H428" t="s">
        <v>670</v>
      </c>
    </row>
    <row r="429" spans="8:8" x14ac:dyDescent="0.25">
      <c r="H429" t="s">
        <v>2104</v>
      </c>
    </row>
    <row r="430" spans="8:8" x14ac:dyDescent="0.25">
      <c r="H430" t="s">
        <v>31</v>
      </c>
    </row>
    <row r="431" spans="8:8" x14ac:dyDescent="0.25">
      <c r="H431" t="s">
        <v>672</v>
      </c>
    </row>
    <row r="432" spans="8:8" x14ac:dyDescent="0.25">
      <c r="H432" t="s">
        <v>2105</v>
      </c>
    </row>
    <row r="433" spans="8:8" x14ac:dyDescent="0.25">
      <c r="H433" t="s">
        <v>31</v>
      </c>
    </row>
    <row r="434" spans="8:8" x14ac:dyDescent="0.25">
      <c r="H434" t="s">
        <v>674</v>
      </c>
    </row>
    <row r="435" spans="8:8" x14ac:dyDescent="0.25">
      <c r="H435" t="s">
        <v>2106</v>
      </c>
    </row>
    <row r="436" spans="8:8" x14ac:dyDescent="0.25">
      <c r="H436" t="s">
        <v>31</v>
      </c>
    </row>
    <row r="437" spans="8:8" x14ac:dyDescent="0.25">
      <c r="H437" t="s">
        <v>676</v>
      </c>
    </row>
    <row r="438" spans="8:8" x14ac:dyDescent="0.25">
      <c r="H438" t="s">
        <v>2107</v>
      </c>
    </row>
    <row r="439" spans="8:8" x14ac:dyDescent="0.25">
      <c r="H439" t="s">
        <v>31</v>
      </c>
    </row>
    <row r="441" spans="8:8" x14ac:dyDescent="0.25">
      <c r="H441" t="s">
        <v>828</v>
      </c>
    </row>
    <row r="442" spans="8:8" x14ac:dyDescent="0.25">
      <c r="H442" t="s">
        <v>2108</v>
      </c>
    </row>
    <row r="443" spans="8:8" x14ac:dyDescent="0.25">
      <c r="H443" t="s">
        <v>670</v>
      </c>
    </row>
    <row r="444" spans="8:8" x14ac:dyDescent="0.25">
      <c r="H444" t="s">
        <v>2109</v>
      </c>
    </row>
    <row r="445" spans="8:8" x14ac:dyDescent="0.25">
      <c r="H445" t="s">
        <v>31</v>
      </c>
    </row>
    <row r="447" spans="8:8" x14ac:dyDescent="0.25">
      <c r="H447" t="s">
        <v>831</v>
      </c>
    </row>
    <row r="448" spans="8:8" x14ac:dyDescent="0.25">
      <c r="H448" t="s">
        <v>2110</v>
      </c>
    </row>
    <row r="449" spans="8:8" x14ac:dyDescent="0.25">
      <c r="H449" t="s">
        <v>670</v>
      </c>
    </row>
    <row r="450" spans="8:8" x14ac:dyDescent="0.25">
      <c r="H450" t="s">
        <v>2111</v>
      </c>
    </row>
    <row r="451" spans="8:8" x14ac:dyDescent="0.25">
      <c r="H451" t="s">
        <v>31</v>
      </c>
    </row>
    <row r="453" spans="8:8" x14ac:dyDescent="0.25">
      <c r="H453" t="s">
        <v>834</v>
      </c>
    </row>
    <row r="454" spans="8:8" x14ac:dyDescent="0.25">
      <c r="H454" t="s">
        <v>2112</v>
      </c>
    </row>
    <row r="455" spans="8:8" x14ac:dyDescent="0.25">
      <c r="H455" t="s">
        <v>670</v>
      </c>
    </row>
    <row r="456" spans="8:8" x14ac:dyDescent="0.25">
      <c r="H456" t="s">
        <v>2113</v>
      </c>
    </row>
    <row r="457" spans="8:8" x14ac:dyDescent="0.25">
      <c r="H457" t="s">
        <v>31</v>
      </c>
    </row>
    <row r="458" spans="8:8" x14ac:dyDescent="0.25">
      <c r="H458" t="s">
        <v>672</v>
      </c>
    </row>
    <row r="459" spans="8:8" x14ac:dyDescent="0.25">
      <c r="H459" t="s">
        <v>2114</v>
      </c>
    </row>
    <row r="460" spans="8:8" x14ac:dyDescent="0.25">
      <c r="H460" t="s">
        <v>31</v>
      </c>
    </row>
    <row r="461" spans="8:8" x14ac:dyDescent="0.25">
      <c r="H461" t="s">
        <v>674</v>
      </c>
    </row>
    <row r="462" spans="8:8" x14ac:dyDescent="0.25">
      <c r="H462" t="s">
        <v>2115</v>
      </c>
    </row>
    <row r="463" spans="8:8" x14ac:dyDescent="0.25">
      <c r="H463" t="s">
        <v>31</v>
      </c>
    </row>
    <row r="464" spans="8:8" x14ac:dyDescent="0.25">
      <c r="H464" t="s">
        <v>676</v>
      </c>
    </row>
    <row r="465" spans="8:8" x14ac:dyDescent="0.25">
      <c r="H465" t="s">
        <v>2116</v>
      </c>
    </row>
    <row r="466" spans="8:8" x14ac:dyDescent="0.25">
      <c r="H466" t="s">
        <v>31</v>
      </c>
    </row>
    <row r="468" spans="8:8" x14ac:dyDescent="0.25">
      <c r="H468" t="s">
        <v>837</v>
      </c>
    </row>
    <row r="469" spans="8:8" x14ac:dyDescent="0.25">
      <c r="H469" t="s">
        <v>2117</v>
      </c>
    </row>
    <row r="470" spans="8:8" x14ac:dyDescent="0.25">
      <c r="H470" t="s">
        <v>670</v>
      </c>
    </row>
    <row r="471" spans="8:8" x14ac:dyDescent="0.25">
      <c r="H471" t="s">
        <v>2118</v>
      </c>
    </row>
    <row r="472" spans="8:8" x14ac:dyDescent="0.25">
      <c r="H472" t="s">
        <v>31</v>
      </c>
    </row>
    <row r="473" spans="8:8" x14ac:dyDescent="0.25">
      <c r="H473" t="s">
        <v>672</v>
      </c>
    </row>
    <row r="474" spans="8:8" x14ac:dyDescent="0.25">
      <c r="H474" t="s">
        <v>2119</v>
      </c>
    </row>
    <row r="475" spans="8:8" x14ac:dyDescent="0.25">
      <c r="H475" t="s">
        <v>31</v>
      </c>
    </row>
    <row r="476" spans="8:8" x14ac:dyDescent="0.25">
      <c r="H476" t="s">
        <v>674</v>
      </c>
    </row>
    <row r="477" spans="8:8" x14ac:dyDescent="0.25">
      <c r="H477" t="s">
        <v>2120</v>
      </c>
    </row>
    <row r="478" spans="8:8" x14ac:dyDescent="0.25">
      <c r="H478" t="s">
        <v>31</v>
      </c>
    </row>
    <row r="479" spans="8:8" x14ac:dyDescent="0.25">
      <c r="H479" t="s">
        <v>676</v>
      </c>
    </row>
    <row r="480" spans="8:8" x14ac:dyDescent="0.25">
      <c r="H480" t="s">
        <v>2121</v>
      </c>
    </row>
    <row r="481" spans="8:8" x14ac:dyDescent="0.25">
      <c r="H481" t="s">
        <v>31</v>
      </c>
    </row>
    <row r="483" spans="8:8" x14ac:dyDescent="0.25">
      <c r="H483" t="s">
        <v>840</v>
      </c>
    </row>
    <row r="484" spans="8:8" x14ac:dyDescent="0.25">
      <c r="H484" t="s">
        <v>2122</v>
      </c>
    </row>
    <row r="485" spans="8:8" x14ac:dyDescent="0.25">
      <c r="H485" t="s">
        <v>670</v>
      </c>
    </row>
    <row r="486" spans="8:8" x14ac:dyDescent="0.25">
      <c r="H486" t="s">
        <v>2123</v>
      </c>
    </row>
    <row r="487" spans="8:8" x14ac:dyDescent="0.25">
      <c r="H487" t="s">
        <v>31</v>
      </c>
    </row>
    <row r="488" spans="8:8" x14ac:dyDescent="0.25">
      <c r="H488" t="s">
        <v>672</v>
      </c>
    </row>
    <row r="489" spans="8:8" x14ac:dyDescent="0.25">
      <c r="H489" t="s">
        <v>2124</v>
      </c>
    </row>
    <row r="490" spans="8:8" x14ac:dyDescent="0.25">
      <c r="H490" t="s">
        <v>31</v>
      </c>
    </row>
    <row r="491" spans="8:8" x14ac:dyDescent="0.25">
      <c r="H491" t="s">
        <v>674</v>
      </c>
    </row>
    <row r="492" spans="8:8" x14ac:dyDescent="0.25">
      <c r="H492" t="s">
        <v>2125</v>
      </c>
    </row>
    <row r="493" spans="8:8" x14ac:dyDescent="0.25">
      <c r="H493" t="s">
        <v>31</v>
      </c>
    </row>
    <row r="494" spans="8:8" x14ac:dyDescent="0.25">
      <c r="H494" t="s">
        <v>676</v>
      </c>
    </row>
    <row r="495" spans="8:8" x14ac:dyDescent="0.25">
      <c r="H495" t="s">
        <v>2126</v>
      </c>
    </row>
    <row r="496" spans="8:8" x14ac:dyDescent="0.25">
      <c r="H496" t="s">
        <v>31</v>
      </c>
    </row>
    <row r="498" spans="8:8" x14ac:dyDescent="0.25">
      <c r="H498" t="s">
        <v>843</v>
      </c>
    </row>
    <row r="499" spans="8:8" x14ac:dyDescent="0.25">
      <c r="H499" t="s">
        <v>2127</v>
      </c>
    </row>
    <row r="500" spans="8:8" x14ac:dyDescent="0.25">
      <c r="H500" t="s">
        <v>670</v>
      </c>
    </row>
    <row r="501" spans="8:8" x14ac:dyDescent="0.25">
      <c r="H501" t="s">
        <v>2128</v>
      </c>
    </row>
    <row r="502" spans="8:8" x14ac:dyDescent="0.25">
      <c r="H502" t="s">
        <v>31</v>
      </c>
    </row>
    <row r="504" spans="8:8" x14ac:dyDescent="0.25">
      <c r="H504" t="s">
        <v>846</v>
      </c>
    </row>
    <row r="505" spans="8:8" x14ac:dyDescent="0.25">
      <c r="H505" t="s">
        <v>2129</v>
      </c>
    </row>
    <row r="506" spans="8:8" x14ac:dyDescent="0.25">
      <c r="H506" t="s">
        <v>670</v>
      </c>
    </row>
    <row r="507" spans="8:8" x14ac:dyDescent="0.25">
      <c r="H507" t="s">
        <v>2130</v>
      </c>
    </row>
    <row r="508" spans="8:8" x14ac:dyDescent="0.25">
      <c r="H508" t="s">
        <v>31</v>
      </c>
    </row>
    <row r="510" spans="8:8" x14ac:dyDescent="0.25">
      <c r="H510" t="s">
        <v>849</v>
      </c>
    </row>
    <row r="511" spans="8:8" x14ac:dyDescent="0.25">
      <c r="H511" t="s">
        <v>2131</v>
      </c>
    </row>
    <row r="512" spans="8:8" x14ac:dyDescent="0.25">
      <c r="H512" t="s">
        <v>670</v>
      </c>
    </row>
    <row r="513" spans="8:8" x14ac:dyDescent="0.25">
      <c r="H513" t="s">
        <v>2132</v>
      </c>
    </row>
    <row r="514" spans="8:8" x14ac:dyDescent="0.25">
      <c r="H514" t="s">
        <v>31</v>
      </c>
    </row>
    <row r="516" spans="8:8" x14ac:dyDescent="0.25">
      <c r="H516" t="s">
        <v>852</v>
      </c>
    </row>
    <row r="517" spans="8:8" x14ac:dyDescent="0.25">
      <c r="H517" t="s">
        <v>2133</v>
      </c>
    </row>
    <row r="518" spans="8:8" x14ac:dyDescent="0.25">
      <c r="H518" t="s">
        <v>670</v>
      </c>
    </row>
    <row r="519" spans="8:8" x14ac:dyDescent="0.25">
      <c r="H519" t="s">
        <v>2134</v>
      </c>
    </row>
    <row r="520" spans="8:8" x14ac:dyDescent="0.25">
      <c r="H520" t="s">
        <v>31</v>
      </c>
    </row>
    <row r="522" spans="8:8" x14ac:dyDescent="0.25">
      <c r="H522" t="s">
        <v>855</v>
      </c>
    </row>
    <row r="523" spans="8:8" x14ac:dyDescent="0.25">
      <c r="H523" t="s">
        <v>767</v>
      </c>
    </row>
    <row r="524" spans="8:8" x14ac:dyDescent="0.25">
      <c r="H524" t="s">
        <v>670</v>
      </c>
    </row>
    <row r="525" spans="8:8" x14ac:dyDescent="0.25">
      <c r="H525" t="s">
        <v>768</v>
      </c>
    </row>
    <row r="526" spans="8:8" x14ac:dyDescent="0.25">
      <c r="H526" t="s">
        <v>31</v>
      </c>
    </row>
    <row r="528" spans="8:8" x14ac:dyDescent="0.25">
      <c r="H528" t="s">
        <v>861</v>
      </c>
    </row>
    <row r="529" spans="8:8" x14ac:dyDescent="0.25">
      <c r="H529" t="s">
        <v>770</v>
      </c>
    </row>
    <row r="530" spans="8:8" x14ac:dyDescent="0.25">
      <c r="H530" t="s">
        <v>670</v>
      </c>
    </row>
    <row r="531" spans="8:8" x14ac:dyDescent="0.25">
      <c r="H531" t="s">
        <v>771</v>
      </c>
    </row>
    <row r="532" spans="8:8" x14ac:dyDescent="0.25">
      <c r="H532" t="s">
        <v>31</v>
      </c>
    </row>
    <row r="534" spans="8:8" x14ac:dyDescent="0.25">
      <c r="H534" t="s">
        <v>867</v>
      </c>
    </row>
    <row r="535" spans="8:8" x14ac:dyDescent="0.25">
      <c r="H535" t="s">
        <v>773</v>
      </c>
    </row>
    <row r="536" spans="8:8" x14ac:dyDescent="0.25">
      <c r="H536" t="s">
        <v>670</v>
      </c>
    </row>
    <row r="537" spans="8:8" x14ac:dyDescent="0.25">
      <c r="H537" t="s">
        <v>774</v>
      </c>
    </row>
    <row r="538" spans="8:8" x14ac:dyDescent="0.25">
      <c r="H538" t="s">
        <v>31</v>
      </c>
    </row>
    <row r="540" spans="8:8" x14ac:dyDescent="0.25">
      <c r="H540" t="s">
        <v>868</v>
      </c>
    </row>
    <row r="541" spans="8:8" x14ac:dyDescent="0.25">
      <c r="H541" t="s">
        <v>776</v>
      </c>
    </row>
    <row r="542" spans="8:8" x14ac:dyDescent="0.25">
      <c r="H542" t="s">
        <v>670</v>
      </c>
    </row>
    <row r="543" spans="8:8" x14ac:dyDescent="0.25">
      <c r="H543" t="s">
        <v>777</v>
      </c>
    </row>
    <row r="544" spans="8:8" x14ac:dyDescent="0.25">
      <c r="H544" t="s">
        <v>31</v>
      </c>
    </row>
    <row r="546" spans="8:8" x14ac:dyDescent="0.25">
      <c r="H546" t="s">
        <v>869</v>
      </c>
    </row>
    <row r="547" spans="8:8" x14ac:dyDescent="0.25">
      <c r="H547" t="s">
        <v>779</v>
      </c>
    </row>
    <row r="548" spans="8:8" x14ac:dyDescent="0.25">
      <c r="H548" t="s">
        <v>670</v>
      </c>
    </row>
    <row r="549" spans="8:8" x14ac:dyDescent="0.25">
      <c r="H549" t="s">
        <v>780</v>
      </c>
    </row>
    <row r="550" spans="8:8" x14ac:dyDescent="0.25">
      <c r="H550" t="s">
        <v>31</v>
      </c>
    </row>
    <row r="552" spans="8:8" x14ac:dyDescent="0.25">
      <c r="H552" t="s">
        <v>870</v>
      </c>
    </row>
    <row r="553" spans="8:8" x14ac:dyDescent="0.25">
      <c r="H553" t="s">
        <v>782</v>
      </c>
    </row>
    <row r="554" spans="8:8" x14ac:dyDescent="0.25">
      <c r="H554" t="s">
        <v>670</v>
      </c>
    </row>
    <row r="555" spans="8:8" x14ac:dyDescent="0.25">
      <c r="H555" t="s">
        <v>783</v>
      </c>
    </row>
    <row r="556" spans="8:8" x14ac:dyDescent="0.25">
      <c r="H556" t="s">
        <v>31</v>
      </c>
    </row>
    <row r="558" spans="8:8" x14ac:dyDescent="0.25">
      <c r="H558" t="s">
        <v>871</v>
      </c>
    </row>
    <row r="559" spans="8:8" x14ac:dyDescent="0.25">
      <c r="H559" t="s">
        <v>785</v>
      </c>
    </row>
    <row r="560" spans="8:8" x14ac:dyDescent="0.25">
      <c r="H560" t="s">
        <v>670</v>
      </c>
    </row>
    <row r="561" spans="8:8" x14ac:dyDescent="0.25">
      <c r="H561" t="s">
        <v>786</v>
      </c>
    </row>
    <row r="562" spans="8:8" x14ac:dyDescent="0.25">
      <c r="H562" t="s">
        <v>31</v>
      </c>
    </row>
    <row r="564" spans="8:8" x14ac:dyDescent="0.25">
      <c r="H564" t="s">
        <v>872</v>
      </c>
    </row>
    <row r="565" spans="8:8" x14ac:dyDescent="0.25">
      <c r="H565" t="s">
        <v>788</v>
      </c>
    </row>
    <row r="566" spans="8:8" x14ac:dyDescent="0.25">
      <c r="H566" t="s">
        <v>670</v>
      </c>
    </row>
    <row r="567" spans="8:8" x14ac:dyDescent="0.25">
      <c r="H567" t="s">
        <v>789</v>
      </c>
    </row>
    <row r="568" spans="8:8" x14ac:dyDescent="0.25">
      <c r="H568" t="s">
        <v>31</v>
      </c>
    </row>
    <row r="570" spans="8:8" x14ac:dyDescent="0.25">
      <c r="H570" t="s">
        <v>878</v>
      </c>
    </row>
    <row r="571" spans="8:8" x14ac:dyDescent="0.25">
      <c r="H571" t="s">
        <v>791</v>
      </c>
    </row>
    <row r="572" spans="8:8" x14ac:dyDescent="0.25">
      <c r="H572" t="s">
        <v>670</v>
      </c>
    </row>
    <row r="573" spans="8:8" x14ac:dyDescent="0.25">
      <c r="H573" t="s">
        <v>792</v>
      </c>
    </row>
    <row r="574" spans="8:8" x14ac:dyDescent="0.25">
      <c r="H574" t="s">
        <v>31</v>
      </c>
    </row>
    <row r="576" spans="8:8" x14ac:dyDescent="0.25">
      <c r="H576" t="s">
        <v>884</v>
      </c>
    </row>
    <row r="577" spans="8:8" x14ac:dyDescent="0.25">
      <c r="H577" t="s">
        <v>794</v>
      </c>
    </row>
    <row r="578" spans="8:8" x14ac:dyDescent="0.25">
      <c r="H578" t="s">
        <v>670</v>
      </c>
    </row>
    <row r="579" spans="8:8" x14ac:dyDescent="0.25">
      <c r="H579" t="s">
        <v>795</v>
      </c>
    </row>
    <row r="580" spans="8:8" x14ac:dyDescent="0.25">
      <c r="H580" t="s">
        <v>31</v>
      </c>
    </row>
    <row r="582" spans="8:8" x14ac:dyDescent="0.25">
      <c r="H582" t="s">
        <v>891</v>
      </c>
    </row>
    <row r="583" spans="8:8" x14ac:dyDescent="0.25">
      <c r="H583" t="s">
        <v>797</v>
      </c>
    </row>
    <row r="584" spans="8:8" x14ac:dyDescent="0.25">
      <c r="H584" t="s">
        <v>670</v>
      </c>
    </row>
    <row r="585" spans="8:8" x14ac:dyDescent="0.25">
      <c r="H585" t="s">
        <v>798</v>
      </c>
    </row>
    <row r="586" spans="8:8" x14ac:dyDescent="0.25">
      <c r="H586" t="s">
        <v>31</v>
      </c>
    </row>
    <row r="587" spans="8:8" x14ac:dyDescent="0.25">
      <c r="H587" t="s">
        <v>672</v>
      </c>
    </row>
    <row r="588" spans="8:8" x14ac:dyDescent="0.25">
      <c r="H588" t="s">
        <v>799</v>
      </c>
    </row>
    <row r="589" spans="8:8" x14ac:dyDescent="0.25">
      <c r="H589" t="s">
        <v>31</v>
      </c>
    </row>
    <row r="590" spans="8:8" x14ac:dyDescent="0.25">
      <c r="H590" t="s">
        <v>674</v>
      </c>
    </row>
    <row r="591" spans="8:8" x14ac:dyDescent="0.25">
      <c r="H591" t="s">
        <v>800</v>
      </c>
    </row>
    <row r="592" spans="8:8" x14ac:dyDescent="0.25">
      <c r="H592" t="s">
        <v>31</v>
      </c>
    </row>
    <row r="593" spans="8:8" x14ac:dyDescent="0.25">
      <c r="H593" t="s">
        <v>676</v>
      </c>
    </row>
    <row r="594" spans="8:8" x14ac:dyDescent="0.25">
      <c r="H594" t="s">
        <v>801</v>
      </c>
    </row>
    <row r="595" spans="8:8" x14ac:dyDescent="0.25">
      <c r="H595" t="s">
        <v>31</v>
      </c>
    </row>
    <row r="597" spans="8:8" x14ac:dyDescent="0.25">
      <c r="H597" t="s">
        <v>898</v>
      </c>
    </row>
    <row r="598" spans="8:8" x14ac:dyDescent="0.25">
      <c r="H598" t="s">
        <v>803</v>
      </c>
    </row>
    <row r="599" spans="8:8" x14ac:dyDescent="0.25">
      <c r="H599" t="s">
        <v>670</v>
      </c>
    </row>
    <row r="600" spans="8:8" x14ac:dyDescent="0.25">
      <c r="H600" t="s">
        <v>804</v>
      </c>
    </row>
    <row r="601" spans="8:8" x14ac:dyDescent="0.25">
      <c r="H601" t="s">
        <v>31</v>
      </c>
    </row>
    <row r="602" spans="8:8" x14ac:dyDescent="0.25">
      <c r="H602" t="s">
        <v>672</v>
      </c>
    </row>
    <row r="603" spans="8:8" x14ac:dyDescent="0.25">
      <c r="H603" t="s">
        <v>805</v>
      </c>
    </row>
    <row r="604" spans="8:8" x14ac:dyDescent="0.25">
      <c r="H604" t="s">
        <v>31</v>
      </c>
    </row>
    <row r="605" spans="8:8" x14ac:dyDescent="0.25">
      <c r="H605" t="s">
        <v>674</v>
      </c>
    </row>
    <row r="606" spans="8:8" x14ac:dyDescent="0.25">
      <c r="H606" t="s">
        <v>806</v>
      </c>
    </row>
    <row r="607" spans="8:8" x14ac:dyDescent="0.25">
      <c r="H607" t="s">
        <v>31</v>
      </c>
    </row>
    <row r="608" spans="8:8" x14ac:dyDescent="0.25">
      <c r="H608" t="s">
        <v>676</v>
      </c>
    </row>
    <row r="609" spans="8:8" x14ac:dyDescent="0.25">
      <c r="H609" t="s">
        <v>807</v>
      </c>
    </row>
    <row r="610" spans="8:8" x14ac:dyDescent="0.25">
      <c r="H610" t="s">
        <v>31</v>
      </c>
    </row>
    <row r="612" spans="8:8" x14ac:dyDescent="0.25">
      <c r="H612" t="s">
        <v>906</v>
      </c>
    </row>
    <row r="613" spans="8:8" x14ac:dyDescent="0.25">
      <c r="H613" t="s">
        <v>1659</v>
      </c>
    </row>
    <row r="614" spans="8:8" x14ac:dyDescent="0.25">
      <c r="H614" t="s">
        <v>670</v>
      </c>
    </row>
    <row r="615" spans="8:8" x14ac:dyDescent="0.25">
      <c r="H615" t="s">
        <v>1660</v>
      </c>
    </row>
    <row r="616" spans="8:8" x14ac:dyDescent="0.25">
      <c r="H616" t="s">
        <v>31</v>
      </c>
    </row>
    <row r="618" spans="8:8" x14ac:dyDescent="0.25">
      <c r="H618" t="s">
        <v>911</v>
      </c>
    </row>
    <row r="619" spans="8:8" x14ac:dyDescent="0.25">
      <c r="H619" t="s">
        <v>1661</v>
      </c>
    </row>
    <row r="620" spans="8:8" x14ac:dyDescent="0.25">
      <c r="H620" t="s">
        <v>670</v>
      </c>
    </row>
    <row r="621" spans="8:8" x14ac:dyDescent="0.25">
      <c r="H621" t="s">
        <v>1662</v>
      </c>
    </row>
    <row r="622" spans="8:8" x14ac:dyDescent="0.25">
      <c r="H622" t="s">
        <v>31</v>
      </c>
    </row>
    <row r="624" spans="8:8" x14ac:dyDescent="0.25">
      <c r="H624" t="s">
        <v>914</v>
      </c>
    </row>
    <row r="625" spans="8:8" x14ac:dyDescent="0.25">
      <c r="H625" t="s">
        <v>2245</v>
      </c>
    </row>
    <row r="626" spans="8:8" x14ac:dyDescent="0.25">
      <c r="H626" t="s">
        <v>670</v>
      </c>
    </row>
    <row r="627" spans="8:8" x14ac:dyDescent="0.25">
      <c r="H627" t="s">
        <v>2246</v>
      </c>
    </row>
    <row r="628" spans="8:8" x14ac:dyDescent="0.25">
      <c r="H628" t="s">
        <v>31</v>
      </c>
    </row>
    <row r="630" spans="8:8" x14ac:dyDescent="0.25">
      <c r="H630" t="s">
        <v>917</v>
      </c>
    </row>
    <row r="631" spans="8:8" x14ac:dyDescent="0.25">
      <c r="H631" t="s">
        <v>809</v>
      </c>
    </row>
    <row r="632" spans="8:8" x14ac:dyDescent="0.25">
      <c r="H632" t="s">
        <v>670</v>
      </c>
    </row>
    <row r="633" spans="8:8" x14ac:dyDescent="0.25">
      <c r="H633" t="s">
        <v>810</v>
      </c>
    </row>
    <row r="634" spans="8:8" x14ac:dyDescent="0.25">
      <c r="H634" t="s">
        <v>31</v>
      </c>
    </row>
    <row r="635" spans="8:8" x14ac:dyDescent="0.25">
      <c r="H635" t="s">
        <v>811</v>
      </c>
    </row>
    <row r="636" spans="8:8" x14ac:dyDescent="0.25">
      <c r="H636" t="s">
        <v>672</v>
      </c>
    </row>
    <row r="637" spans="8:8" x14ac:dyDescent="0.25">
      <c r="H637" t="s">
        <v>812</v>
      </c>
    </row>
    <row r="638" spans="8:8" x14ac:dyDescent="0.25">
      <c r="H638" t="s">
        <v>31</v>
      </c>
    </row>
    <row r="640" spans="8:8" x14ac:dyDescent="0.25">
      <c r="H640" t="s">
        <v>1235</v>
      </c>
    </row>
    <row r="641" spans="8:8" x14ac:dyDescent="0.25">
      <c r="H641" t="s">
        <v>814</v>
      </c>
    </row>
    <row r="642" spans="8:8" x14ac:dyDescent="0.25">
      <c r="H642" t="s">
        <v>670</v>
      </c>
    </row>
    <row r="643" spans="8:8" x14ac:dyDescent="0.25">
      <c r="H643" t="s">
        <v>815</v>
      </c>
    </row>
    <row r="644" spans="8:8" x14ac:dyDescent="0.25">
      <c r="H644" t="s">
        <v>31</v>
      </c>
    </row>
    <row r="646" spans="8:8" x14ac:dyDescent="0.25">
      <c r="H646" t="s">
        <v>1236</v>
      </c>
    </row>
    <row r="647" spans="8:8" x14ac:dyDescent="0.25">
      <c r="H647" t="s">
        <v>817</v>
      </c>
    </row>
    <row r="648" spans="8:8" x14ac:dyDescent="0.25">
      <c r="H648" t="s">
        <v>670</v>
      </c>
    </row>
    <row r="649" spans="8:8" x14ac:dyDescent="0.25">
      <c r="H649" t="s">
        <v>818</v>
      </c>
    </row>
    <row r="650" spans="8:8" x14ac:dyDescent="0.25">
      <c r="H650" t="s">
        <v>31</v>
      </c>
    </row>
    <row r="652" spans="8:8" x14ac:dyDescent="0.25">
      <c r="H652" t="s">
        <v>1237</v>
      </c>
    </row>
    <row r="653" spans="8:8" x14ac:dyDescent="0.25">
      <c r="H653" t="s">
        <v>820</v>
      </c>
    </row>
    <row r="654" spans="8:8" x14ac:dyDescent="0.25">
      <c r="H654" t="s">
        <v>670</v>
      </c>
    </row>
    <row r="655" spans="8:8" x14ac:dyDescent="0.25">
      <c r="H655" t="s">
        <v>821</v>
      </c>
    </row>
    <row r="656" spans="8:8" x14ac:dyDescent="0.25">
      <c r="H656" t="s">
        <v>31</v>
      </c>
    </row>
    <row r="658" spans="8:8" x14ac:dyDescent="0.25">
      <c r="H658" t="s">
        <v>1238</v>
      </c>
    </row>
    <row r="659" spans="8:8" x14ac:dyDescent="0.25">
      <c r="H659" t="s">
        <v>823</v>
      </c>
    </row>
    <row r="660" spans="8:8" x14ac:dyDescent="0.25">
      <c r="H660" t="s">
        <v>670</v>
      </c>
    </row>
    <row r="661" spans="8:8" x14ac:dyDescent="0.25">
      <c r="H661" t="s">
        <v>824</v>
      </c>
    </row>
    <row r="662" spans="8:8" x14ac:dyDescent="0.25">
      <c r="H662" t="s">
        <v>31</v>
      </c>
    </row>
    <row r="664" spans="8:8" x14ac:dyDescent="0.25">
      <c r="H664" t="s">
        <v>1239</v>
      </c>
    </row>
    <row r="665" spans="8:8" x14ac:dyDescent="0.25">
      <c r="H665" t="s">
        <v>826</v>
      </c>
    </row>
    <row r="666" spans="8:8" x14ac:dyDescent="0.25">
      <c r="H666" t="s">
        <v>670</v>
      </c>
    </row>
    <row r="667" spans="8:8" x14ac:dyDescent="0.25">
      <c r="H667" t="s">
        <v>827</v>
      </c>
    </row>
    <row r="668" spans="8:8" x14ac:dyDescent="0.25">
      <c r="H668" t="s">
        <v>31</v>
      </c>
    </row>
    <row r="670" spans="8:8" x14ac:dyDescent="0.25">
      <c r="H670" t="s">
        <v>1366</v>
      </c>
    </row>
    <row r="671" spans="8:8" x14ac:dyDescent="0.25">
      <c r="H671" t="s">
        <v>829</v>
      </c>
    </row>
    <row r="672" spans="8:8" x14ac:dyDescent="0.25">
      <c r="H672" t="s">
        <v>670</v>
      </c>
    </row>
    <row r="673" spans="8:8" x14ac:dyDescent="0.25">
      <c r="H673" t="s">
        <v>830</v>
      </c>
    </row>
    <row r="674" spans="8:8" x14ac:dyDescent="0.25">
      <c r="H674" t="s">
        <v>31</v>
      </c>
    </row>
    <row r="676" spans="8:8" x14ac:dyDescent="0.25">
      <c r="H676" t="s">
        <v>1367</v>
      </c>
    </row>
    <row r="677" spans="8:8" x14ac:dyDescent="0.25">
      <c r="H677" t="s">
        <v>832</v>
      </c>
    </row>
    <row r="678" spans="8:8" x14ac:dyDescent="0.25">
      <c r="H678" t="s">
        <v>670</v>
      </c>
    </row>
    <row r="679" spans="8:8" x14ac:dyDescent="0.25">
      <c r="H679" t="s">
        <v>833</v>
      </c>
    </row>
    <row r="680" spans="8:8" x14ac:dyDescent="0.25">
      <c r="H680" t="s">
        <v>31</v>
      </c>
    </row>
    <row r="682" spans="8:8" x14ac:dyDescent="0.25">
      <c r="H682" t="s">
        <v>1368</v>
      </c>
    </row>
    <row r="683" spans="8:8" x14ac:dyDescent="0.25">
      <c r="H683" t="s">
        <v>835</v>
      </c>
    </row>
    <row r="684" spans="8:8" x14ac:dyDescent="0.25">
      <c r="H684" t="s">
        <v>670</v>
      </c>
    </row>
    <row r="685" spans="8:8" x14ac:dyDescent="0.25">
      <c r="H685" t="s">
        <v>836</v>
      </c>
    </row>
    <row r="686" spans="8:8" x14ac:dyDescent="0.25">
      <c r="H686" t="s">
        <v>31</v>
      </c>
    </row>
    <row r="688" spans="8:8" x14ac:dyDescent="0.25">
      <c r="H688" t="s">
        <v>1369</v>
      </c>
    </row>
    <row r="689" spans="8:8" x14ac:dyDescent="0.25">
      <c r="H689" t="s">
        <v>838</v>
      </c>
    </row>
    <row r="690" spans="8:8" x14ac:dyDescent="0.25">
      <c r="H690" t="s">
        <v>670</v>
      </c>
    </row>
    <row r="691" spans="8:8" x14ac:dyDescent="0.25">
      <c r="H691" t="s">
        <v>839</v>
      </c>
    </row>
    <row r="692" spans="8:8" x14ac:dyDescent="0.25">
      <c r="H692" t="s">
        <v>31</v>
      </c>
    </row>
    <row r="694" spans="8:8" x14ac:dyDescent="0.25">
      <c r="H694" t="s">
        <v>1370</v>
      </c>
    </row>
    <row r="695" spans="8:8" x14ac:dyDescent="0.25">
      <c r="H695" t="s">
        <v>841</v>
      </c>
    </row>
    <row r="696" spans="8:8" x14ac:dyDescent="0.25">
      <c r="H696" t="s">
        <v>670</v>
      </c>
    </row>
    <row r="697" spans="8:8" x14ac:dyDescent="0.25">
      <c r="H697" t="s">
        <v>842</v>
      </c>
    </row>
    <row r="698" spans="8:8" x14ac:dyDescent="0.25">
      <c r="H698" t="s">
        <v>31</v>
      </c>
    </row>
    <row r="700" spans="8:8" x14ac:dyDescent="0.25">
      <c r="H700" t="s">
        <v>1376</v>
      </c>
    </row>
    <row r="701" spans="8:8" x14ac:dyDescent="0.25">
      <c r="H701" t="s">
        <v>844</v>
      </c>
    </row>
    <row r="702" spans="8:8" x14ac:dyDescent="0.25">
      <c r="H702" t="s">
        <v>670</v>
      </c>
    </row>
    <row r="703" spans="8:8" x14ac:dyDescent="0.25">
      <c r="H703" t="s">
        <v>845</v>
      </c>
    </row>
    <row r="704" spans="8:8" x14ac:dyDescent="0.25">
      <c r="H704" t="s">
        <v>31</v>
      </c>
    </row>
    <row r="706" spans="8:8" x14ac:dyDescent="0.25">
      <c r="H706" t="s">
        <v>1382</v>
      </c>
    </row>
    <row r="707" spans="8:8" x14ac:dyDescent="0.25">
      <c r="H707" t="s">
        <v>847</v>
      </c>
    </row>
    <row r="708" spans="8:8" x14ac:dyDescent="0.25">
      <c r="H708" t="s">
        <v>670</v>
      </c>
    </row>
    <row r="709" spans="8:8" x14ac:dyDescent="0.25">
      <c r="H709" t="s">
        <v>848</v>
      </c>
    </row>
    <row r="710" spans="8:8" x14ac:dyDescent="0.25">
      <c r="H710" t="s">
        <v>31</v>
      </c>
    </row>
    <row r="712" spans="8:8" x14ac:dyDescent="0.25">
      <c r="H712" t="s">
        <v>1388</v>
      </c>
    </row>
    <row r="713" spans="8:8" x14ac:dyDescent="0.25">
      <c r="H713" t="s">
        <v>850</v>
      </c>
    </row>
    <row r="714" spans="8:8" x14ac:dyDescent="0.25">
      <c r="H714" t="s">
        <v>670</v>
      </c>
    </row>
    <row r="715" spans="8:8" x14ac:dyDescent="0.25">
      <c r="H715" t="s">
        <v>851</v>
      </c>
    </row>
    <row r="716" spans="8:8" x14ac:dyDescent="0.25">
      <c r="H716" t="s">
        <v>31</v>
      </c>
    </row>
    <row r="718" spans="8:8" x14ac:dyDescent="0.25">
      <c r="H718" t="s">
        <v>1394</v>
      </c>
    </row>
    <row r="719" spans="8:8" x14ac:dyDescent="0.25">
      <c r="H719" t="s">
        <v>853</v>
      </c>
    </row>
    <row r="720" spans="8:8" x14ac:dyDescent="0.25">
      <c r="H720" t="s">
        <v>670</v>
      </c>
    </row>
    <row r="721" spans="8:8" x14ac:dyDescent="0.25">
      <c r="H721" t="s">
        <v>854</v>
      </c>
    </row>
    <row r="722" spans="8:8" x14ac:dyDescent="0.25">
      <c r="H722" t="s">
        <v>31</v>
      </c>
    </row>
    <row r="724" spans="8:8" x14ac:dyDescent="0.25">
      <c r="H724" t="s">
        <v>1400</v>
      </c>
    </row>
    <row r="725" spans="8:8" x14ac:dyDescent="0.25">
      <c r="H725" t="s">
        <v>856</v>
      </c>
    </row>
    <row r="726" spans="8:8" x14ac:dyDescent="0.25">
      <c r="H726" t="s">
        <v>670</v>
      </c>
    </row>
    <row r="727" spans="8:8" x14ac:dyDescent="0.25">
      <c r="H727" t="s">
        <v>857</v>
      </c>
    </row>
    <row r="728" spans="8:8" x14ac:dyDescent="0.25">
      <c r="H728" t="s">
        <v>31</v>
      </c>
    </row>
    <row r="729" spans="8:8" x14ac:dyDescent="0.25">
      <c r="H729" t="s">
        <v>672</v>
      </c>
    </row>
    <row r="730" spans="8:8" x14ac:dyDescent="0.25">
      <c r="H730" t="s">
        <v>858</v>
      </c>
    </row>
    <row r="731" spans="8:8" x14ac:dyDescent="0.25">
      <c r="H731" t="s">
        <v>31</v>
      </c>
    </row>
    <row r="732" spans="8:8" x14ac:dyDescent="0.25">
      <c r="H732" t="s">
        <v>674</v>
      </c>
    </row>
    <row r="733" spans="8:8" x14ac:dyDescent="0.25">
      <c r="H733" t="s">
        <v>859</v>
      </c>
    </row>
    <row r="734" spans="8:8" x14ac:dyDescent="0.25">
      <c r="H734" t="s">
        <v>31</v>
      </c>
    </row>
    <row r="735" spans="8:8" x14ac:dyDescent="0.25">
      <c r="H735" t="s">
        <v>676</v>
      </c>
    </row>
    <row r="736" spans="8:8" x14ac:dyDescent="0.25">
      <c r="H736" t="s">
        <v>860</v>
      </c>
    </row>
    <row r="737" spans="8:8" x14ac:dyDescent="0.25">
      <c r="H737" t="s">
        <v>31</v>
      </c>
    </row>
    <row r="739" spans="8:8" x14ac:dyDescent="0.25">
      <c r="H739" t="s">
        <v>1406</v>
      </c>
    </row>
    <row r="740" spans="8:8" x14ac:dyDescent="0.25">
      <c r="H740" t="s">
        <v>1740</v>
      </c>
    </row>
    <row r="741" spans="8:8" x14ac:dyDescent="0.25">
      <c r="H741" t="s">
        <v>670</v>
      </c>
    </row>
    <row r="742" spans="8:8" x14ac:dyDescent="0.25">
      <c r="H742" t="s">
        <v>1741</v>
      </c>
    </row>
    <row r="743" spans="8:8" x14ac:dyDescent="0.25">
      <c r="H743" t="s">
        <v>31</v>
      </c>
    </row>
    <row r="744" spans="8:8" x14ac:dyDescent="0.25">
      <c r="H744" t="s">
        <v>672</v>
      </c>
    </row>
    <row r="745" spans="8:8" x14ac:dyDescent="0.25">
      <c r="H745" t="s">
        <v>1742</v>
      </c>
    </row>
    <row r="746" spans="8:8" x14ac:dyDescent="0.25">
      <c r="H746" t="s">
        <v>31</v>
      </c>
    </row>
    <row r="747" spans="8:8" x14ac:dyDescent="0.25">
      <c r="H747" t="s">
        <v>674</v>
      </c>
    </row>
    <row r="748" spans="8:8" x14ac:dyDescent="0.25">
      <c r="H748" t="s">
        <v>1743</v>
      </c>
    </row>
    <row r="749" spans="8:8" x14ac:dyDescent="0.25">
      <c r="H749" t="s">
        <v>31</v>
      </c>
    </row>
    <row r="750" spans="8:8" x14ac:dyDescent="0.25">
      <c r="H750" t="s">
        <v>676</v>
      </c>
    </row>
    <row r="751" spans="8:8" x14ac:dyDescent="0.25">
      <c r="H751" t="s">
        <v>1744</v>
      </c>
    </row>
    <row r="752" spans="8:8" x14ac:dyDescent="0.25">
      <c r="H752" t="s">
        <v>31</v>
      </c>
    </row>
    <row r="754" spans="8:8" x14ac:dyDescent="0.25">
      <c r="H754" t="s">
        <v>1412</v>
      </c>
    </row>
    <row r="755" spans="8:8" x14ac:dyDescent="0.25">
      <c r="H755" t="s">
        <v>862</v>
      </c>
    </row>
    <row r="756" spans="8:8" x14ac:dyDescent="0.25">
      <c r="H756" t="s">
        <v>670</v>
      </c>
    </row>
    <row r="757" spans="8:8" x14ac:dyDescent="0.25">
      <c r="H757" t="s">
        <v>863</v>
      </c>
    </row>
    <row r="758" spans="8:8" x14ac:dyDescent="0.25">
      <c r="H758" t="s">
        <v>31</v>
      </c>
    </row>
    <row r="759" spans="8:8" x14ac:dyDescent="0.25">
      <c r="H759" t="s">
        <v>672</v>
      </c>
    </row>
    <row r="760" spans="8:8" x14ac:dyDescent="0.25">
      <c r="H760" t="s">
        <v>864</v>
      </c>
    </row>
    <row r="761" spans="8:8" x14ac:dyDescent="0.25">
      <c r="H761" t="s">
        <v>31</v>
      </c>
    </row>
    <row r="762" spans="8:8" x14ac:dyDescent="0.25">
      <c r="H762" t="s">
        <v>674</v>
      </c>
    </row>
    <row r="763" spans="8:8" x14ac:dyDescent="0.25">
      <c r="H763" t="s">
        <v>865</v>
      </c>
    </row>
    <row r="764" spans="8:8" x14ac:dyDescent="0.25">
      <c r="H764" t="s">
        <v>31</v>
      </c>
    </row>
    <row r="765" spans="8:8" x14ac:dyDescent="0.25">
      <c r="H765" t="s">
        <v>676</v>
      </c>
    </row>
    <row r="766" spans="8:8" x14ac:dyDescent="0.25">
      <c r="H766" t="s">
        <v>866</v>
      </c>
    </row>
    <row r="767" spans="8:8" x14ac:dyDescent="0.25">
      <c r="H767" t="s">
        <v>31</v>
      </c>
    </row>
    <row r="769" spans="8:8" x14ac:dyDescent="0.25">
      <c r="H769" t="s">
        <v>1418</v>
      </c>
    </row>
    <row r="770" spans="8:8" x14ac:dyDescent="0.25">
      <c r="H770" t="s">
        <v>1745</v>
      </c>
    </row>
    <row r="771" spans="8:8" x14ac:dyDescent="0.25">
      <c r="H771" t="s">
        <v>670</v>
      </c>
    </row>
    <row r="772" spans="8:8" x14ac:dyDescent="0.25">
      <c r="H772" t="s">
        <v>1746</v>
      </c>
    </row>
    <row r="773" spans="8:8" x14ac:dyDescent="0.25">
      <c r="H773" t="s">
        <v>31</v>
      </c>
    </row>
    <row r="774" spans="8:8" x14ac:dyDescent="0.25">
      <c r="H774" t="s">
        <v>672</v>
      </c>
    </row>
    <row r="775" spans="8:8" x14ac:dyDescent="0.25">
      <c r="H775" t="s">
        <v>1747</v>
      </c>
    </row>
    <row r="776" spans="8:8" x14ac:dyDescent="0.25">
      <c r="H776" t="s">
        <v>31</v>
      </c>
    </row>
    <row r="777" spans="8:8" x14ac:dyDescent="0.25">
      <c r="H777" t="s">
        <v>674</v>
      </c>
    </row>
    <row r="778" spans="8:8" x14ac:dyDescent="0.25">
      <c r="H778" t="s">
        <v>1748</v>
      </c>
    </row>
    <row r="779" spans="8:8" x14ac:dyDescent="0.25">
      <c r="H779" t="s">
        <v>31</v>
      </c>
    </row>
    <row r="780" spans="8:8" x14ac:dyDescent="0.25">
      <c r="H780" t="s">
        <v>676</v>
      </c>
    </row>
    <row r="781" spans="8:8" x14ac:dyDescent="0.25">
      <c r="H781" t="s">
        <v>1749</v>
      </c>
    </row>
    <row r="782" spans="8:8" x14ac:dyDescent="0.25">
      <c r="H782" t="s">
        <v>31</v>
      </c>
    </row>
    <row r="784" spans="8:8" x14ac:dyDescent="0.25">
      <c r="H784" t="s">
        <v>1424</v>
      </c>
    </row>
    <row r="785" spans="8:8" x14ac:dyDescent="0.25">
      <c r="H785" t="s">
        <v>1750</v>
      </c>
    </row>
    <row r="786" spans="8:8" x14ac:dyDescent="0.25">
      <c r="H786" t="s">
        <v>670</v>
      </c>
    </row>
    <row r="787" spans="8:8" x14ac:dyDescent="0.25">
      <c r="H787" t="s">
        <v>1751</v>
      </c>
    </row>
    <row r="788" spans="8:8" x14ac:dyDescent="0.25">
      <c r="H788" t="s">
        <v>31</v>
      </c>
    </row>
    <row r="789" spans="8:8" x14ac:dyDescent="0.25">
      <c r="H789" t="s">
        <v>672</v>
      </c>
    </row>
    <row r="790" spans="8:8" x14ac:dyDescent="0.25">
      <c r="H790" t="s">
        <v>1752</v>
      </c>
    </row>
    <row r="791" spans="8:8" x14ac:dyDescent="0.25">
      <c r="H791" t="s">
        <v>31</v>
      </c>
    </row>
    <row r="792" spans="8:8" x14ac:dyDescent="0.25">
      <c r="H792" t="s">
        <v>674</v>
      </c>
    </row>
    <row r="793" spans="8:8" x14ac:dyDescent="0.25">
      <c r="H793" t="s">
        <v>1753</v>
      </c>
    </row>
    <row r="794" spans="8:8" x14ac:dyDescent="0.25">
      <c r="H794" t="s">
        <v>31</v>
      </c>
    </row>
    <row r="795" spans="8:8" x14ac:dyDescent="0.25">
      <c r="H795" t="s">
        <v>676</v>
      </c>
    </row>
    <row r="796" spans="8:8" x14ac:dyDescent="0.25">
      <c r="H796" t="s">
        <v>1754</v>
      </c>
    </row>
    <row r="797" spans="8:8" x14ac:dyDescent="0.25">
      <c r="H797" t="s">
        <v>31</v>
      </c>
    </row>
    <row r="799" spans="8:8" x14ac:dyDescent="0.25">
      <c r="H799" t="s">
        <v>1430</v>
      </c>
    </row>
    <row r="800" spans="8:8" x14ac:dyDescent="0.25">
      <c r="H800" t="s">
        <v>1755</v>
      </c>
    </row>
    <row r="801" spans="8:8" x14ac:dyDescent="0.25">
      <c r="H801" t="s">
        <v>670</v>
      </c>
    </row>
    <row r="802" spans="8:8" x14ac:dyDescent="0.25">
      <c r="H802" t="s">
        <v>1756</v>
      </c>
    </row>
    <row r="803" spans="8:8" x14ac:dyDescent="0.25">
      <c r="H803" t="s">
        <v>31</v>
      </c>
    </row>
    <row r="804" spans="8:8" x14ac:dyDescent="0.25">
      <c r="H804" t="s">
        <v>672</v>
      </c>
    </row>
    <row r="805" spans="8:8" x14ac:dyDescent="0.25">
      <c r="H805" t="s">
        <v>1757</v>
      </c>
    </row>
    <row r="806" spans="8:8" x14ac:dyDescent="0.25">
      <c r="H806" t="s">
        <v>31</v>
      </c>
    </row>
    <row r="807" spans="8:8" x14ac:dyDescent="0.25">
      <c r="H807" t="s">
        <v>674</v>
      </c>
    </row>
    <row r="808" spans="8:8" x14ac:dyDescent="0.25">
      <c r="H808" t="s">
        <v>1758</v>
      </c>
    </row>
    <row r="809" spans="8:8" x14ac:dyDescent="0.25">
      <c r="H809" t="s">
        <v>31</v>
      </c>
    </row>
    <row r="810" spans="8:8" x14ac:dyDescent="0.25">
      <c r="H810" t="s">
        <v>676</v>
      </c>
    </row>
    <row r="811" spans="8:8" x14ac:dyDescent="0.25">
      <c r="H811" t="s">
        <v>1759</v>
      </c>
    </row>
    <row r="812" spans="8:8" x14ac:dyDescent="0.25">
      <c r="H812" t="s">
        <v>31</v>
      </c>
    </row>
    <row r="814" spans="8:8" x14ac:dyDescent="0.25">
      <c r="H814" t="s">
        <v>1436</v>
      </c>
    </row>
    <row r="815" spans="8:8" x14ac:dyDescent="0.25">
      <c r="H815" t="s">
        <v>1760</v>
      </c>
    </row>
    <row r="816" spans="8:8" x14ac:dyDescent="0.25">
      <c r="H816" t="s">
        <v>670</v>
      </c>
    </row>
    <row r="817" spans="8:8" x14ac:dyDescent="0.25">
      <c r="H817" t="s">
        <v>1761</v>
      </c>
    </row>
    <row r="818" spans="8:8" x14ac:dyDescent="0.25">
      <c r="H818" t="s">
        <v>31</v>
      </c>
    </row>
    <row r="819" spans="8:8" x14ac:dyDescent="0.25">
      <c r="H819" t="s">
        <v>672</v>
      </c>
    </row>
    <row r="820" spans="8:8" x14ac:dyDescent="0.25">
      <c r="H820" t="s">
        <v>1762</v>
      </c>
    </row>
    <row r="821" spans="8:8" x14ac:dyDescent="0.25">
      <c r="H821" t="s">
        <v>31</v>
      </c>
    </row>
    <row r="822" spans="8:8" x14ac:dyDescent="0.25">
      <c r="H822" t="s">
        <v>674</v>
      </c>
    </row>
    <row r="823" spans="8:8" x14ac:dyDescent="0.25">
      <c r="H823" t="s">
        <v>1763</v>
      </c>
    </row>
    <row r="824" spans="8:8" x14ac:dyDescent="0.25">
      <c r="H824" t="s">
        <v>31</v>
      </c>
    </row>
    <row r="825" spans="8:8" x14ac:dyDescent="0.25">
      <c r="H825" t="s">
        <v>676</v>
      </c>
    </row>
    <row r="826" spans="8:8" x14ac:dyDescent="0.25">
      <c r="H826" t="s">
        <v>1764</v>
      </c>
    </row>
    <row r="827" spans="8:8" x14ac:dyDescent="0.25">
      <c r="H827" t="s">
        <v>31</v>
      </c>
    </row>
    <row r="829" spans="8:8" x14ac:dyDescent="0.25">
      <c r="H829" t="s">
        <v>1442</v>
      </c>
    </row>
    <row r="830" spans="8:8" x14ac:dyDescent="0.25">
      <c r="H830" t="s">
        <v>1765</v>
      </c>
    </row>
    <row r="831" spans="8:8" x14ac:dyDescent="0.25">
      <c r="H831" t="s">
        <v>670</v>
      </c>
    </row>
    <row r="832" spans="8:8" x14ac:dyDescent="0.25">
      <c r="H832" t="s">
        <v>1766</v>
      </c>
    </row>
    <row r="833" spans="8:8" x14ac:dyDescent="0.25">
      <c r="H833" t="s">
        <v>31</v>
      </c>
    </row>
    <row r="835" spans="8:8" x14ac:dyDescent="0.25">
      <c r="H835" t="s">
        <v>1448</v>
      </c>
    </row>
    <row r="836" spans="8:8" x14ac:dyDescent="0.25">
      <c r="H836" t="s">
        <v>1767</v>
      </c>
    </row>
    <row r="837" spans="8:8" x14ac:dyDescent="0.25">
      <c r="H837" t="s">
        <v>670</v>
      </c>
    </row>
    <row r="838" spans="8:8" x14ac:dyDescent="0.25">
      <c r="H838" t="s">
        <v>1768</v>
      </c>
    </row>
    <row r="839" spans="8:8" x14ac:dyDescent="0.25">
      <c r="H839" t="s">
        <v>31</v>
      </c>
    </row>
    <row r="841" spans="8:8" x14ac:dyDescent="0.25">
      <c r="H841" t="s">
        <v>1454</v>
      </c>
    </row>
    <row r="842" spans="8:8" x14ac:dyDescent="0.25">
      <c r="H842" t="s">
        <v>1769</v>
      </c>
    </row>
    <row r="843" spans="8:8" x14ac:dyDescent="0.25">
      <c r="H843" t="s">
        <v>670</v>
      </c>
    </row>
    <row r="844" spans="8:8" x14ac:dyDescent="0.25">
      <c r="H844" t="s">
        <v>1770</v>
      </c>
    </row>
    <row r="845" spans="8:8" x14ac:dyDescent="0.25">
      <c r="H845" t="s">
        <v>31</v>
      </c>
    </row>
    <row r="847" spans="8:8" x14ac:dyDescent="0.25">
      <c r="H847" t="s">
        <v>1460</v>
      </c>
    </row>
    <row r="848" spans="8:8" x14ac:dyDescent="0.25">
      <c r="H848" t="s">
        <v>1769</v>
      </c>
    </row>
    <row r="849" spans="8:8" x14ac:dyDescent="0.25">
      <c r="H849" t="s">
        <v>670</v>
      </c>
    </row>
    <row r="850" spans="8:8" x14ac:dyDescent="0.25">
      <c r="H850" t="s">
        <v>1771</v>
      </c>
    </row>
    <row r="851" spans="8:8" x14ac:dyDescent="0.25">
      <c r="H851" t="s">
        <v>31</v>
      </c>
    </row>
    <row r="853" spans="8:8" x14ac:dyDescent="0.25">
      <c r="H853" t="s">
        <v>1466</v>
      </c>
    </row>
    <row r="854" spans="8:8" x14ac:dyDescent="0.25">
      <c r="H854" t="s">
        <v>1772</v>
      </c>
    </row>
    <row r="855" spans="8:8" x14ac:dyDescent="0.25">
      <c r="H855" t="s">
        <v>670</v>
      </c>
    </row>
    <row r="856" spans="8:8" x14ac:dyDescent="0.25">
      <c r="H856" t="s">
        <v>1773</v>
      </c>
    </row>
    <row r="857" spans="8:8" x14ac:dyDescent="0.25">
      <c r="H857" t="s">
        <v>31</v>
      </c>
    </row>
    <row r="859" spans="8:8" x14ac:dyDescent="0.25">
      <c r="H859" t="s">
        <v>1469</v>
      </c>
    </row>
    <row r="860" spans="8:8" x14ac:dyDescent="0.25">
      <c r="H860" t="s">
        <v>1772</v>
      </c>
    </row>
    <row r="861" spans="8:8" x14ac:dyDescent="0.25">
      <c r="H861" t="s">
        <v>670</v>
      </c>
    </row>
    <row r="862" spans="8:8" x14ac:dyDescent="0.25">
      <c r="H862" t="s">
        <v>1774</v>
      </c>
    </row>
    <row r="863" spans="8:8" x14ac:dyDescent="0.25">
      <c r="H863" t="s">
        <v>31</v>
      </c>
    </row>
    <row r="865" spans="8:8" x14ac:dyDescent="0.25">
      <c r="H865" t="s">
        <v>1663</v>
      </c>
    </row>
    <row r="866" spans="8:8" x14ac:dyDescent="0.25">
      <c r="H866" t="s">
        <v>873</v>
      </c>
    </row>
    <row r="867" spans="8:8" x14ac:dyDescent="0.25">
      <c r="H867" t="s">
        <v>670</v>
      </c>
    </row>
    <row r="868" spans="8:8" x14ac:dyDescent="0.25">
      <c r="H868" t="s">
        <v>874</v>
      </c>
    </row>
    <row r="869" spans="8:8" x14ac:dyDescent="0.25">
      <c r="H869" t="s">
        <v>31</v>
      </c>
    </row>
    <row r="870" spans="8:8" x14ac:dyDescent="0.25">
      <c r="H870" t="s">
        <v>672</v>
      </c>
    </row>
    <row r="871" spans="8:8" x14ac:dyDescent="0.25">
      <c r="H871" t="s">
        <v>875</v>
      </c>
    </row>
    <row r="872" spans="8:8" x14ac:dyDescent="0.25">
      <c r="H872" t="s">
        <v>31</v>
      </c>
    </row>
    <row r="873" spans="8:8" x14ac:dyDescent="0.25">
      <c r="H873" t="s">
        <v>674</v>
      </c>
    </row>
    <row r="874" spans="8:8" x14ac:dyDescent="0.25">
      <c r="H874" t="s">
        <v>876</v>
      </c>
    </row>
    <row r="875" spans="8:8" x14ac:dyDescent="0.25">
      <c r="H875" t="s">
        <v>31</v>
      </c>
    </row>
    <row r="876" spans="8:8" x14ac:dyDescent="0.25">
      <c r="H876" t="s">
        <v>676</v>
      </c>
    </row>
    <row r="877" spans="8:8" x14ac:dyDescent="0.25">
      <c r="H877" t="s">
        <v>877</v>
      </c>
    </row>
    <row r="878" spans="8:8" x14ac:dyDescent="0.25">
      <c r="H878" t="s">
        <v>31</v>
      </c>
    </row>
    <row r="880" spans="8:8" x14ac:dyDescent="0.25">
      <c r="H880" t="s">
        <v>1664</v>
      </c>
    </row>
    <row r="881" spans="8:8" x14ac:dyDescent="0.25">
      <c r="H881" t="s">
        <v>879</v>
      </c>
    </row>
    <row r="882" spans="8:8" x14ac:dyDescent="0.25">
      <c r="H882" t="s">
        <v>670</v>
      </c>
    </row>
    <row r="883" spans="8:8" x14ac:dyDescent="0.25">
      <c r="H883" t="s">
        <v>880</v>
      </c>
    </row>
    <row r="884" spans="8:8" x14ac:dyDescent="0.25">
      <c r="H884" t="s">
        <v>31</v>
      </c>
    </row>
    <row r="885" spans="8:8" x14ac:dyDescent="0.25">
      <c r="H885" t="s">
        <v>672</v>
      </c>
    </row>
    <row r="886" spans="8:8" x14ac:dyDescent="0.25">
      <c r="H886" t="s">
        <v>881</v>
      </c>
    </row>
    <row r="887" spans="8:8" x14ac:dyDescent="0.25">
      <c r="H887" t="s">
        <v>31</v>
      </c>
    </row>
    <row r="888" spans="8:8" x14ac:dyDescent="0.25">
      <c r="H888" t="s">
        <v>674</v>
      </c>
    </row>
    <row r="889" spans="8:8" x14ac:dyDescent="0.25">
      <c r="H889" t="s">
        <v>882</v>
      </c>
    </row>
    <row r="890" spans="8:8" x14ac:dyDescent="0.25">
      <c r="H890" t="s">
        <v>31</v>
      </c>
    </row>
    <row r="891" spans="8:8" x14ac:dyDescent="0.25">
      <c r="H891" t="s">
        <v>676</v>
      </c>
    </row>
    <row r="892" spans="8:8" x14ac:dyDescent="0.25">
      <c r="H892" t="s">
        <v>883</v>
      </c>
    </row>
    <row r="893" spans="8:8" x14ac:dyDescent="0.25">
      <c r="H893" t="s">
        <v>31</v>
      </c>
    </row>
    <row r="895" spans="8:8" x14ac:dyDescent="0.25">
      <c r="H895" t="s">
        <v>1775</v>
      </c>
    </row>
    <row r="896" spans="8:8" x14ac:dyDescent="0.25">
      <c r="H896" t="s">
        <v>885</v>
      </c>
    </row>
    <row r="897" spans="8:8" x14ac:dyDescent="0.25">
      <c r="H897" t="s">
        <v>670</v>
      </c>
    </row>
    <row r="898" spans="8:8" x14ac:dyDescent="0.25">
      <c r="H898" t="s">
        <v>886</v>
      </c>
    </row>
    <row r="899" spans="8:8" x14ac:dyDescent="0.25">
      <c r="H899" t="s">
        <v>31</v>
      </c>
    </row>
    <row r="900" spans="8:8" x14ac:dyDescent="0.25">
      <c r="H900" t="s">
        <v>672</v>
      </c>
    </row>
    <row r="901" spans="8:8" x14ac:dyDescent="0.25">
      <c r="H901" t="s">
        <v>887</v>
      </c>
    </row>
    <row r="902" spans="8:8" x14ac:dyDescent="0.25">
      <c r="H902" t="s">
        <v>31</v>
      </c>
    </row>
    <row r="903" spans="8:8" x14ac:dyDescent="0.25">
      <c r="H903" t="s">
        <v>888</v>
      </c>
    </row>
    <row r="904" spans="8:8" x14ac:dyDescent="0.25">
      <c r="H904" t="s">
        <v>674</v>
      </c>
    </row>
    <row r="905" spans="8:8" x14ac:dyDescent="0.25">
      <c r="H905" t="s">
        <v>889</v>
      </c>
    </row>
    <row r="906" spans="8:8" x14ac:dyDescent="0.25">
      <c r="H906" t="s">
        <v>31</v>
      </c>
    </row>
    <row r="907" spans="8:8" x14ac:dyDescent="0.25">
      <c r="H907" t="s">
        <v>676</v>
      </c>
    </row>
    <row r="908" spans="8:8" x14ac:dyDescent="0.25">
      <c r="H908" t="s">
        <v>890</v>
      </c>
    </row>
    <row r="909" spans="8:8" x14ac:dyDescent="0.25">
      <c r="H909" t="s">
        <v>31</v>
      </c>
    </row>
    <row r="911" spans="8:8" x14ac:dyDescent="0.25">
      <c r="H911" t="s">
        <v>1776</v>
      </c>
    </row>
    <row r="912" spans="8:8" x14ac:dyDescent="0.25">
      <c r="H912" t="s">
        <v>892</v>
      </c>
    </row>
    <row r="913" spans="8:8" x14ac:dyDescent="0.25">
      <c r="H913" t="s">
        <v>670</v>
      </c>
    </row>
    <row r="914" spans="8:8" x14ac:dyDescent="0.25">
      <c r="H914" t="s">
        <v>893</v>
      </c>
    </row>
    <row r="915" spans="8:8" x14ac:dyDescent="0.25">
      <c r="H915" t="s">
        <v>31</v>
      </c>
    </row>
    <row r="916" spans="8:8" x14ac:dyDescent="0.25">
      <c r="H916" t="s">
        <v>672</v>
      </c>
    </row>
    <row r="917" spans="8:8" x14ac:dyDescent="0.25">
      <c r="H917" t="s">
        <v>894</v>
      </c>
    </row>
    <row r="918" spans="8:8" x14ac:dyDescent="0.25">
      <c r="H918" t="s">
        <v>31</v>
      </c>
    </row>
    <row r="919" spans="8:8" x14ac:dyDescent="0.25">
      <c r="H919" t="s">
        <v>895</v>
      </c>
    </row>
    <row r="920" spans="8:8" x14ac:dyDescent="0.25">
      <c r="H920" t="s">
        <v>674</v>
      </c>
    </row>
    <row r="921" spans="8:8" x14ac:dyDescent="0.25">
      <c r="H921" t="s">
        <v>896</v>
      </c>
    </row>
    <row r="922" spans="8:8" x14ac:dyDescent="0.25">
      <c r="H922" t="s">
        <v>31</v>
      </c>
    </row>
    <row r="923" spans="8:8" x14ac:dyDescent="0.25">
      <c r="H923" t="s">
        <v>676</v>
      </c>
    </row>
    <row r="924" spans="8:8" x14ac:dyDescent="0.25">
      <c r="H924" t="s">
        <v>897</v>
      </c>
    </row>
    <row r="925" spans="8:8" x14ac:dyDescent="0.25">
      <c r="H925" t="s">
        <v>31</v>
      </c>
    </row>
    <row r="927" spans="8:8" x14ac:dyDescent="0.25">
      <c r="H927" t="s">
        <v>1777</v>
      </c>
    </row>
    <row r="928" spans="8:8" x14ac:dyDescent="0.25">
      <c r="H928" t="s">
        <v>1342</v>
      </c>
    </row>
    <row r="929" spans="8:8" x14ac:dyDescent="0.25">
      <c r="H929" t="s">
        <v>670</v>
      </c>
    </row>
    <row r="930" spans="8:8" x14ac:dyDescent="0.25">
      <c r="H930" t="s">
        <v>1343</v>
      </c>
    </row>
    <row r="931" spans="8:8" x14ac:dyDescent="0.25">
      <c r="H931" t="s">
        <v>31</v>
      </c>
    </row>
    <row r="932" spans="8:8" x14ac:dyDescent="0.25">
      <c r="H932" t="s">
        <v>672</v>
      </c>
    </row>
    <row r="933" spans="8:8" x14ac:dyDescent="0.25">
      <c r="H933" t="s">
        <v>1344</v>
      </c>
    </row>
    <row r="934" spans="8:8" x14ac:dyDescent="0.25">
      <c r="H934" t="s">
        <v>31</v>
      </c>
    </row>
    <row r="935" spans="8:8" x14ac:dyDescent="0.25">
      <c r="H935" t="s">
        <v>1345</v>
      </c>
    </row>
    <row r="936" spans="8:8" x14ac:dyDescent="0.25">
      <c r="H936" t="s">
        <v>674</v>
      </c>
    </row>
    <row r="937" spans="8:8" x14ac:dyDescent="0.25">
      <c r="H937" t="s">
        <v>1346</v>
      </c>
    </row>
    <row r="938" spans="8:8" x14ac:dyDescent="0.25">
      <c r="H938" t="s">
        <v>31</v>
      </c>
    </row>
    <row r="939" spans="8:8" x14ac:dyDescent="0.25">
      <c r="H939" t="s">
        <v>676</v>
      </c>
    </row>
    <row r="940" spans="8:8" x14ac:dyDescent="0.25">
      <c r="H940" t="s">
        <v>1347</v>
      </c>
    </row>
    <row r="941" spans="8:8" x14ac:dyDescent="0.25">
      <c r="H941" t="s">
        <v>31</v>
      </c>
    </row>
    <row r="943" spans="8:8" x14ac:dyDescent="0.25">
      <c r="H943" t="s">
        <v>1778</v>
      </c>
    </row>
    <row r="944" spans="8:8" x14ac:dyDescent="0.25">
      <c r="H944" t="s">
        <v>2247</v>
      </c>
    </row>
    <row r="945" spans="8:8" x14ac:dyDescent="0.25">
      <c r="H945" t="s">
        <v>670</v>
      </c>
    </row>
    <row r="946" spans="8:8" x14ac:dyDescent="0.25">
      <c r="H946" t="s">
        <v>2248</v>
      </c>
    </row>
    <row r="947" spans="8:8" x14ac:dyDescent="0.25">
      <c r="H947" t="s">
        <v>31</v>
      </c>
    </row>
    <row r="948" spans="8:8" x14ac:dyDescent="0.25">
      <c r="H948" t="s">
        <v>672</v>
      </c>
    </row>
    <row r="949" spans="8:8" x14ac:dyDescent="0.25">
      <c r="H949" t="s">
        <v>2249</v>
      </c>
    </row>
    <row r="950" spans="8:8" x14ac:dyDescent="0.25">
      <c r="H950" t="s">
        <v>31</v>
      </c>
    </row>
    <row r="951" spans="8:8" x14ac:dyDescent="0.25">
      <c r="H951" t="s">
        <v>2250</v>
      </c>
    </row>
    <row r="952" spans="8:8" x14ac:dyDescent="0.25">
      <c r="H952" t="s">
        <v>674</v>
      </c>
    </row>
    <row r="953" spans="8:8" x14ac:dyDescent="0.25">
      <c r="H953" t="s">
        <v>2251</v>
      </c>
    </row>
    <row r="954" spans="8:8" x14ac:dyDescent="0.25">
      <c r="H954" t="s">
        <v>31</v>
      </c>
    </row>
    <row r="955" spans="8:8" x14ac:dyDescent="0.25">
      <c r="H955" t="s">
        <v>676</v>
      </c>
    </row>
    <row r="956" spans="8:8" x14ac:dyDescent="0.25">
      <c r="H956" t="s">
        <v>2252</v>
      </c>
    </row>
    <row r="957" spans="8:8" x14ac:dyDescent="0.25">
      <c r="H957" t="s">
        <v>31</v>
      </c>
    </row>
    <row r="959" spans="8:8" x14ac:dyDescent="0.25">
      <c r="H959" t="s">
        <v>1779</v>
      </c>
    </row>
    <row r="960" spans="8:8" x14ac:dyDescent="0.25">
      <c r="H960" t="s">
        <v>2253</v>
      </c>
    </row>
    <row r="961" spans="8:8" x14ac:dyDescent="0.25">
      <c r="H961" t="s">
        <v>670</v>
      </c>
    </row>
    <row r="962" spans="8:8" x14ac:dyDescent="0.25">
      <c r="H962" t="s">
        <v>2254</v>
      </c>
    </row>
    <row r="963" spans="8:8" x14ac:dyDescent="0.25">
      <c r="H963" t="s">
        <v>31</v>
      </c>
    </row>
    <row r="964" spans="8:8" x14ac:dyDescent="0.25">
      <c r="H964" t="s">
        <v>672</v>
      </c>
    </row>
    <row r="965" spans="8:8" x14ac:dyDescent="0.25">
      <c r="H965" t="s">
        <v>2255</v>
      </c>
    </row>
    <row r="966" spans="8:8" x14ac:dyDescent="0.25">
      <c r="H966" t="s">
        <v>31</v>
      </c>
    </row>
    <row r="967" spans="8:8" x14ac:dyDescent="0.25">
      <c r="H967" t="s">
        <v>2256</v>
      </c>
    </row>
    <row r="968" spans="8:8" x14ac:dyDescent="0.25">
      <c r="H968" t="s">
        <v>674</v>
      </c>
    </row>
    <row r="969" spans="8:8" x14ac:dyDescent="0.25">
      <c r="H969" t="s">
        <v>2257</v>
      </c>
    </row>
    <row r="970" spans="8:8" x14ac:dyDescent="0.25">
      <c r="H970" t="s">
        <v>31</v>
      </c>
    </row>
    <row r="971" spans="8:8" x14ac:dyDescent="0.25">
      <c r="H971" t="s">
        <v>676</v>
      </c>
    </row>
    <row r="972" spans="8:8" x14ac:dyDescent="0.25">
      <c r="H972" t="s">
        <v>2258</v>
      </c>
    </row>
    <row r="973" spans="8:8" x14ac:dyDescent="0.25">
      <c r="H973" t="s">
        <v>31</v>
      </c>
    </row>
    <row r="975" spans="8:8" x14ac:dyDescent="0.25">
      <c r="H975" t="s">
        <v>1780</v>
      </c>
    </row>
    <row r="976" spans="8:8" x14ac:dyDescent="0.25">
      <c r="H976" t="s">
        <v>2259</v>
      </c>
    </row>
    <row r="977" spans="8:8" x14ac:dyDescent="0.25">
      <c r="H977" t="s">
        <v>670</v>
      </c>
    </row>
    <row r="978" spans="8:8" x14ac:dyDescent="0.25">
      <c r="H978" t="s">
        <v>2260</v>
      </c>
    </row>
    <row r="979" spans="8:8" x14ac:dyDescent="0.25">
      <c r="H979" t="s">
        <v>31</v>
      </c>
    </row>
    <row r="981" spans="8:8" x14ac:dyDescent="0.25">
      <c r="H981" t="s">
        <v>1867</v>
      </c>
    </row>
    <row r="982" spans="8:8" x14ac:dyDescent="0.25">
      <c r="H982" t="s">
        <v>2261</v>
      </c>
    </row>
    <row r="983" spans="8:8" x14ac:dyDescent="0.25">
      <c r="H983" t="s">
        <v>670</v>
      </c>
    </row>
    <row r="984" spans="8:8" x14ac:dyDescent="0.25">
      <c r="H984" t="s">
        <v>2262</v>
      </c>
    </row>
    <row r="985" spans="8:8" x14ac:dyDescent="0.25">
      <c r="H985" t="s">
        <v>31</v>
      </c>
    </row>
    <row r="987" spans="8:8" x14ac:dyDescent="0.25">
      <c r="H987" t="s">
        <v>1868</v>
      </c>
    </row>
    <row r="988" spans="8:8" x14ac:dyDescent="0.25">
      <c r="H988" t="s">
        <v>899</v>
      </c>
    </row>
    <row r="989" spans="8:8" x14ac:dyDescent="0.25">
      <c r="H989" t="s">
        <v>670</v>
      </c>
    </row>
    <row r="990" spans="8:8" x14ac:dyDescent="0.25">
      <c r="H990" t="s">
        <v>900</v>
      </c>
    </row>
    <row r="991" spans="8:8" x14ac:dyDescent="0.25">
      <c r="H991" t="s">
        <v>31</v>
      </c>
    </row>
    <row r="992" spans="8:8" x14ac:dyDescent="0.25">
      <c r="H992" t="s">
        <v>672</v>
      </c>
    </row>
    <row r="993" spans="8:8" x14ac:dyDescent="0.25">
      <c r="H993" t="s">
        <v>901</v>
      </c>
    </row>
    <row r="994" spans="8:8" x14ac:dyDescent="0.25">
      <c r="H994" t="s">
        <v>31</v>
      </c>
    </row>
    <row r="995" spans="8:8" x14ac:dyDescent="0.25">
      <c r="H995" t="s">
        <v>902</v>
      </c>
    </row>
    <row r="996" spans="8:8" x14ac:dyDescent="0.25">
      <c r="H996" t="s">
        <v>674</v>
      </c>
    </row>
    <row r="997" spans="8:8" x14ac:dyDescent="0.25">
      <c r="H997" t="s">
        <v>903</v>
      </c>
    </row>
    <row r="998" spans="8:8" x14ac:dyDescent="0.25">
      <c r="H998" t="s">
        <v>31</v>
      </c>
    </row>
    <row r="999" spans="8:8" x14ac:dyDescent="0.25">
      <c r="H999" t="s">
        <v>904</v>
      </c>
    </row>
    <row r="1000" spans="8:8" x14ac:dyDescent="0.25">
      <c r="H1000" t="s">
        <v>676</v>
      </c>
    </row>
    <row r="1001" spans="8:8" x14ac:dyDescent="0.25">
      <c r="H1001" t="s">
        <v>905</v>
      </c>
    </row>
    <row r="1002" spans="8:8" x14ac:dyDescent="0.25">
      <c r="H1002" t="s">
        <v>31</v>
      </c>
    </row>
    <row r="1004" spans="8:8" x14ac:dyDescent="0.25">
      <c r="H1004" t="s">
        <v>1871</v>
      </c>
    </row>
    <row r="1005" spans="8:8" x14ac:dyDescent="0.25">
      <c r="H1005" t="s">
        <v>907</v>
      </c>
    </row>
    <row r="1006" spans="8:8" x14ac:dyDescent="0.25">
      <c r="H1006" t="s">
        <v>670</v>
      </c>
    </row>
    <row r="1007" spans="8:8" x14ac:dyDescent="0.25">
      <c r="H1007" t="s">
        <v>1834</v>
      </c>
    </row>
    <row r="1008" spans="8:8" x14ac:dyDescent="0.25">
      <c r="H1008" t="s">
        <v>31</v>
      </c>
    </row>
    <row r="1009" spans="8:8" x14ac:dyDescent="0.25">
      <c r="H1009" t="s">
        <v>908</v>
      </c>
    </row>
    <row r="1010" spans="8:8" x14ac:dyDescent="0.25">
      <c r="H1010" t="s">
        <v>672</v>
      </c>
    </row>
    <row r="1011" spans="8:8" x14ac:dyDescent="0.25">
      <c r="H1011" t="s">
        <v>909</v>
      </c>
    </row>
    <row r="1012" spans="8:8" x14ac:dyDescent="0.25">
      <c r="H1012" t="s">
        <v>31</v>
      </c>
    </row>
    <row r="1014" spans="8:8" x14ac:dyDescent="0.25">
      <c r="H1014" t="s">
        <v>1991</v>
      </c>
    </row>
    <row r="1015" spans="8:8" x14ac:dyDescent="0.25">
      <c r="H1015" t="s">
        <v>1857</v>
      </c>
    </row>
    <row r="1016" spans="8:8" x14ac:dyDescent="0.25">
      <c r="H1016" t="s">
        <v>670</v>
      </c>
    </row>
    <row r="1017" spans="8:8" x14ac:dyDescent="0.25">
      <c r="H1017" t="s">
        <v>1858</v>
      </c>
    </row>
    <row r="1018" spans="8:8" x14ac:dyDescent="0.25">
      <c r="H1018" t="s">
        <v>31</v>
      </c>
    </row>
    <row r="1020" spans="8:8" x14ac:dyDescent="0.25">
      <c r="H1020" t="s">
        <v>1992</v>
      </c>
    </row>
    <row r="1021" spans="8:8" x14ac:dyDescent="0.25">
      <c r="H1021" t="s">
        <v>910</v>
      </c>
    </row>
    <row r="1022" spans="8:8" x14ac:dyDescent="0.25">
      <c r="H1022" t="s">
        <v>670</v>
      </c>
    </row>
    <row r="1023" spans="8:8" x14ac:dyDescent="0.25">
      <c r="H1023" t="s">
        <v>1859</v>
      </c>
    </row>
    <row r="1024" spans="8:8" x14ac:dyDescent="0.25">
      <c r="H1024" t="s">
        <v>31</v>
      </c>
    </row>
    <row r="1025" spans="8:8" x14ac:dyDescent="0.25">
      <c r="H1025" t="s">
        <v>672</v>
      </c>
    </row>
    <row r="1026" spans="8:8" x14ac:dyDescent="0.25">
      <c r="H1026" t="s">
        <v>1860</v>
      </c>
    </row>
    <row r="1027" spans="8:8" x14ac:dyDescent="0.25">
      <c r="H1027" t="s">
        <v>31</v>
      </c>
    </row>
    <row r="1028" spans="8:8" x14ac:dyDescent="0.25">
      <c r="H1028" t="s">
        <v>912</v>
      </c>
    </row>
    <row r="1029" spans="8:8" x14ac:dyDescent="0.25">
      <c r="H1029" t="s">
        <v>674</v>
      </c>
    </row>
    <row r="1030" spans="8:8" x14ac:dyDescent="0.25">
      <c r="H1030" t="s">
        <v>1861</v>
      </c>
    </row>
    <row r="1031" spans="8:8" x14ac:dyDescent="0.25">
      <c r="H1031" t="s">
        <v>31</v>
      </c>
    </row>
    <row r="1032" spans="8:8" x14ac:dyDescent="0.25">
      <c r="H1032" t="s">
        <v>676</v>
      </c>
    </row>
    <row r="1033" spans="8:8" x14ac:dyDescent="0.25">
      <c r="H1033" t="s">
        <v>1862</v>
      </c>
    </row>
    <row r="1034" spans="8:8" x14ac:dyDescent="0.25">
      <c r="H1034" t="s">
        <v>31</v>
      </c>
    </row>
    <row r="1036" spans="8:8" x14ac:dyDescent="0.25">
      <c r="H1036" t="s">
        <v>1993</v>
      </c>
    </row>
    <row r="1037" spans="8:8" x14ac:dyDescent="0.25">
      <c r="H1037" t="s">
        <v>913</v>
      </c>
    </row>
    <row r="1038" spans="8:8" x14ac:dyDescent="0.25">
      <c r="H1038" t="s">
        <v>670</v>
      </c>
    </row>
    <row r="1039" spans="8:8" x14ac:dyDescent="0.25">
      <c r="H1039" t="s">
        <v>1863</v>
      </c>
    </row>
    <row r="1040" spans="8:8" x14ac:dyDescent="0.25">
      <c r="H1040" t="s">
        <v>31</v>
      </c>
    </row>
    <row r="1041" spans="8:8" x14ac:dyDescent="0.25">
      <c r="H1041" t="s">
        <v>672</v>
      </c>
    </row>
    <row r="1042" spans="8:8" x14ac:dyDescent="0.25">
      <c r="H1042" t="s">
        <v>1864</v>
      </c>
    </row>
    <row r="1043" spans="8:8" x14ac:dyDescent="0.25">
      <c r="H1043" t="s">
        <v>31</v>
      </c>
    </row>
    <row r="1044" spans="8:8" x14ac:dyDescent="0.25">
      <c r="H1044" t="s">
        <v>915</v>
      </c>
    </row>
    <row r="1045" spans="8:8" x14ac:dyDescent="0.25">
      <c r="H1045" t="s">
        <v>674</v>
      </c>
    </row>
    <row r="1046" spans="8:8" x14ac:dyDescent="0.25">
      <c r="H1046" t="s">
        <v>1865</v>
      </c>
    </row>
    <row r="1047" spans="8:8" x14ac:dyDescent="0.25">
      <c r="H1047" t="s">
        <v>31</v>
      </c>
    </row>
    <row r="1048" spans="8:8" x14ac:dyDescent="0.25">
      <c r="H1048" t="s">
        <v>676</v>
      </c>
    </row>
    <row r="1049" spans="8:8" x14ac:dyDescent="0.25">
      <c r="H1049" t="s">
        <v>1866</v>
      </c>
    </row>
    <row r="1050" spans="8:8" x14ac:dyDescent="0.25">
      <c r="H1050" t="s">
        <v>31</v>
      </c>
    </row>
    <row r="1052" spans="8:8" x14ac:dyDescent="0.25">
      <c r="H1052" t="s">
        <v>1994</v>
      </c>
    </row>
    <row r="1053" spans="8:8" x14ac:dyDescent="0.25">
      <c r="H1053" t="s">
        <v>1348</v>
      </c>
    </row>
    <row r="1054" spans="8:8" x14ac:dyDescent="0.25">
      <c r="H1054" t="s">
        <v>670</v>
      </c>
    </row>
    <row r="1055" spans="8:8" x14ac:dyDescent="0.25">
      <c r="H1055" t="s">
        <v>1349</v>
      </c>
    </row>
    <row r="1056" spans="8:8" x14ac:dyDescent="0.25">
      <c r="H1056" t="s">
        <v>31</v>
      </c>
    </row>
    <row r="1057" spans="8:8" x14ac:dyDescent="0.25">
      <c r="H1057" t="s">
        <v>672</v>
      </c>
    </row>
    <row r="1058" spans="8:8" x14ac:dyDescent="0.25">
      <c r="H1058" t="s">
        <v>1350</v>
      </c>
    </row>
    <row r="1059" spans="8:8" x14ac:dyDescent="0.25">
      <c r="H1059" t="s">
        <v>31</v>
      </c>
    </row>
    <row r="1060" spans="8:8" x14ac:dyDescent="0.25">
      <c r="H1060" t="s">
        <v>674</v>
      </c>
    </row>
    <row r="1061" spans="8:8" x14ac:dyDescent="0.25">
      <c r="H1061" t="s">
        <v>1351</v>
      </c>
    </row>
    <row r="1062" spans="8:8" x14ac:dyDescent="0.25">
      <c r="H1062" t="s">
        <v>31</v>
      </c>
    </row>
    <row r="1063" spans="8:8" x14ac:dyDescent="0.25">
      <c r="H1063" t="s">
        <v>676</v>
      </c>
    </row>
    <row r="1064" spans="8:8" x14ac:dyDescent="0.25">
      <c r="H1064" t="s">
        <v>1352</v>
      </c>
    </row>
    <row r="1065" spans="8:8" x14ac:dyDescent="0.25">
      <c r="H1065" t="s">
        <v>31</v>
      </c>
    </row>
    <row r="1067" spans="8:8" x14ac:dyDescent="0.25">
      <c r="H1067" t="s">
        <v>1995</v>
      </c>
    </row>
    <row r="1068" spans="8:8" x14ac:dyDescent="0.25">
      <c r="H1068" t="s">
        <v>1353</v>
      </c>
    </row>
    <row r="1069" spans="8:8" x14ac:dyDescent="0.25">
      <c r="H1069" t="s">
        <v>670</v>
      </c>
    </row>
    <row r="1070" spans="8:8" x14ac:dyDescent="0.25">
      <c r="H1070" t="s">
        <v>1354</v>
      </c>
    </row>
    <row r="1071" spans="8:8" x14ac:dyDescent="0.25">
      <c r="H1071" t="s">
        <v>31</v>
      </c>
    </row>
    <row r="1072" spans="8:8" x14ac:dyDescent="0.25">
      <c r="H1072" t="s">
        <v>672</v>
      </c>
    </row>
    <row r="1073" spans="8:8" x14ac:dyDescent="0.25">
      <c r="H1073" t="s">
        <v>1355</v>
      </c>
    </row>
    <row r="1074" spans="8:8" x14ac:dyDescent="0.25">
      <c r="H1074" t="s">
        <v>31</v>
      </c>
    </row>
    <row r="1075" spans="8:8" x14ac:dyDescent="0.25">
      <c r="H1075" t="s">
        <v>674</v>
      </c>
    </row>
    <row r="1076" spans="8:8" x14ac:dyDescent="0.25">
      <c r="H1076" t="s">
        <v>1356</v>
      </c>
    </row>
    <row r="1077" spans="8:8" x14ac:dyDescent="0.25">
      <c r="H1077" t="s">
        <v>31</v>
      </c>
    </row>
    <row r="1078" spans="8:8" x14ac:dyDescent="0.25">
      <c r="H1078" t="s">
        <v>676</v>
      </c>
    </row>
    <row r="1079" spans="8:8" x14ac:dyDescent="0.25">
      <c r="H1079" t="s">
        <v>1357</v>
      </c>
    </row>
    <row r="1080" spans="8:8" x14ac:dyDescent="0.25">
      <c r="H1080" t="s">
        <v>31</v>
      </c>
    </row>
    <row r="1082" spans="8:8" x14ac:dyDescent="0.25">
      <c r="H1082" t="s">
        <v>1996</v>
      </c>
    </row>
    <row r="1083" spans="8:8" x14ac:dyDescent="0.25">
      <c r="H1083" t="s">
        <v>916</v>
      </c>
    </row>
    <row r="1084" spans="8:8" x14ac:dyDescent="0.25">
      <c r="H1084" t="s">
        <v>670</v>
      </c>
    </row>
    <row r="1085" spans="8:8" x14ac:dyDescent="0.25">
      <c r="H1085" t="s">
        <v>1358</v>
      </c>
    </row>
    <row r="1086" spans="8:8" x14ac:dyDescent="0.25">
      <c r="H1086" t="s">
        <v>31</v>
      </c>
    </row>
    <row r="1087" spans="8:8" x14ac:dyDescent="0.25">
      <c r="H1087" t="s">
        <v>672</v>
      </c>
    </row>
    <row r="1088" spans="8:8" x14ac:dyDescent="0.25">
      <c r="H1088" t="s">
        <v>1359</v>
      </c>
    </row>
    <row r="1089" spans="8:8" x14ac:dyDescent="0.25">
      <c r="H1089" t="s">
        <v>31</v>
      </c>
    </row>
    <row r="1090" spans="8:8" x14ac:dyDescent="0.25">
      <c r="H1090" t="s">
        <v>674</v>
      </c>
    </row>
    <row r="1091" spans="8:8" x14ac:dyDescent="0.25">
      <c r="H1091" t="s">
        <v>1360</v>
      </c>
    </row>
    <row r="1092" spans="8:8" x14ac:dyDescent="0.25">
      <c r="H1092" t="s">
        <v>31</v>
      </c>
    </row>
    <row r="1093" spans="8:8" x14ac:dyDescent="0.25">
      <c r="H1093" t="s">
        <v>676</v>
      </c>
    </row>
    <row r="1094" spans="8:8" x14ac:dyDescent="0.25">
      <c r="H1094" t="s">
        <v>1361</v>
      </c>
    </row>
    <row r="1095" spans="8:8" x14ac:dyDescent="0.25">
      <c r="H1095" t="s">
        <v>31</v>
      </c>
    </row>
    <row r="1097" spans="8:8" x14ac:dyDescent="0.25">
      <c r="H1097" t="s">
        <v>1997</v>
      </c>
    </row>
    <row r="1098" spans="8:8" x14ac:dyDescent="0.25">
      <c r="H1098" t="s">
        <v>918</v>
      </c>
    </row>
    <row r="1099" spans="8:8" x14ac:dyDescent="0.25">
      <c r="H1099" t="s">
        <v>670</v>
      </c>
    </row>
    <row r="1100" spans="8:8" x14ac:dyDescent="0.25">
      <c r="H1100" t="s">
        <v>1362</v>
      </c>
    </row>
    <row r="1101" spans="8:8" x14ac:dyDescent="0.25">
      <c r="H1101" t="s">
        <v>31</v>
      </c>
    </row>
    <row r="1102" spans="8:8" x14ac:dyDescent="0.25">
      <c r="H1102" t="s">
        <v>672</v>
      </c>
    </row>
    <row r="1103" spans="8:8" x14ac:dyDescent="0.25">
      <c r="H1103" t="s">
        <v>1363</v>
      </c>
    </row>
    <row r="1104" spans="8:8" x14ac:dyDescent="0.25">
      <c r="H1104" t="s">
        <v>31</v>
      </c>
    </row>
    <row r="1105" spans="8:8" x14ac:dyDescent="0.25">
      <c r="H1105" t="s">
        <v>674</v>
      </c>
    </row>
    <row r="1106" spans="8:8" x14ac:dyDescent="0.25">
      <c r="H1106" t="s">
        <v>1364</v>
      </c>
    </row>
    <row r="1107" spans="8:8" x14ac:dyDescent="0.25">
      <c r="H1107" t="s">
        <v>31</v>
      </c>
    </row>
    <row r="1108" spans="8:8" x14ac:dyDescent="0.25">
      <c r="H1108" t="s">
        <v>676</v>
      </c>
    </row>
    <row r="1109" spans="8:8" x14ac:dyDescent="0.25">
      <c r="H1109" t="s">
        <v>1365</v>
      </c>
    </row>
    <row r="1110" spans="8:8" x14ac:dyDescent="0.25">
      <c r="H1110" t="s">
        <v>31</v>
      </c>
    </row>
    <row r="1112" spans="8:8" x14ac:dyDescent="0.25">
      <c r="H1112" t="s">
        <v>1998</v>
      </c>
    </row>
    <row r="1113" spans="8:8" x14ac:dyDescent="0.25">
      <c r="H1113" t="s">
        <v>2390</v>
      </c>
    </row>
    <row r="1114" spans="8:8" x14ac:dyDescent="0.25">
      <c r="H1114" t="s">
        <v>670</v>
      </c>
    </row>
    <row r="1115" spans="8:8" x14ac:dyDescent="0.25">
      <c r="H1115" t="s">
        <v>2391</v>
      </c>
    </row>
    <row r="1116" spans="8:8" x14ac:dyDescent="0.25">
      <c r="H1116" t="s">
        <v>31</v>
      </c>
    </row>
    <row r="1118" spans="8:8" x14ac:dyDescent="0.25">
      <c r="H1118" t="s">
        <v>1999</v>
      </c>
    </row>
    <row r="1119" spans="8:8" x14ac:dyDescent="0.25">
      <c r="H1119" t="s">
        <v>2392</v>
      </c>
    </row>
    <row r="1120" spans="8:8" x14ac:dyDescent="0.25">
      <c r="H1120" t="s">
        <v>670</v>
      </c>
    </row>
    <row r="1121" spans="8:8" x14ac:dyDescent="0.25">
      <c r="H1121" t="s">
        <v>2393</v>
      </c>
    </row>
    <row r="1122" spans="8:8" x14ac:dyDescent="0.25">
      <c r="H1122" t="s">
        <v>31</v>
      </c>
    </row>
    <row r="1123" spans="8:8" x14ac:dyDescent="0.25">
      <c r="H1123" t="s">
        <v>672</v>
      </c>
    </row>
    <row r="1124" spans="8:8" x14ac:dyDescent="0.25">
      <c r="H1124" t="s">
        <v>2394</v>
      </c>
    </row>
    <row r="1125" spans="8:8" x14ac:dyDescent="0.25">
      <c r="H1125" t="s">
        <v>31</v>
      </c>
    </row>
    <row r="1126" spans="8:8" x14ac:dyDescent="0.25">
      <c r="H1126" t="s">
        <v>2395</v>
      </c>
    </row>
    <row r="1127" spans="8:8" x14ac:dyDescent="0.25">
      <c r="H1127" t="s">
        <v>674</v>
      </c>
    </row>
    <row r="1128" spans="8:8" x14ac:dyDescent="0.25">
      <c r="H1128" t="s">
        <v>2396</v>
      </c>
    </row>
    <row r="1129" spans="8:8" x14ac:dyDescent="0.25">
      <c r="H1129" t="s">
        <v>31</v>
      </c>
    </row>
    <row r="1130" spans="8:8" x14ac:dyDescent="0.25">
      <c r="H1130" t="s">
        <v>676</v>
      </c>
    </row>
    <row r="1131" spans="8:8" x14ac:dyDescent="0.25">
      <c r="H1131" t="s">
        <v>2397</v>
      </c>
    </row>
    <row r="1132" spans="8:8" x14ac:dyDescent="0.25">
      <c r="H1132" t="s">
        <v>31</v>
      </c>
    </row>
    <row r="1134" spans="8:8" x14ac:dyDescent="0.25">
      <c r="H1134" t="s">
        <v>2000</v>
      </c>
    </row>
    <row r="1135" spans="8:8" x14ac:dyDescent="0.25">
      <c r="H1135" t="s">
        <v>2398</v>
      </c>
    </row>
    <row r="1136" spans="8:8" x14ac:dyDescent="0.25">
      <c r="H1136" t="s">
        <v>670</v>
      </c>
    </row>
    <row r="1137" spans="8:8" x14ac:dyDescent="0.25">
      <c r="H1137" t="s">
        <v>2399</v>
      </c>
    </row>
    <row r="1138" spans="8:8" x14ac:dyDescent="0.25">
      <c r="H1138" t="s">
        <v>31</v>
      </c>
    </row>
    <row r="1140" spans="8:8" x14ac:dyDescent="0.25">
      <c r="H1140" t="s">
        <v>2001</v>
      </c>
    </row>
    <row r="1141" spans="8:8" x14ac:dyDescent="0.25">
      <c r="H1141" t="s">
        <v>2400</v>
      </c>
    </row>
    <row r="1142" spans="8:8" x14ac:dyDescent="0.25">
      <c r="H1142" t="s">
        <v>670</v>
      </c>
    </row>
    <row r="1143" spans="8:8" x14ac:dyDescent="0.25">
      <c r="H1143" t="s">
        <v>2401</v>
      </c>
    </row>
    <row r="1144" spans="8:8" x14ac:dyDescent="0.25">
      <c r="H1144" t="s">
        <v>31</v>
      </c>
    </row>
    <row r="1146" spans="8:8" x14ac:dyDescent="0.25">
      <c r="H1146" t="s">
        <v>2135</v>
      </c>
    </row>
    <row r="1147" spans="8:8" x14ac:dyDescent="0.25">
      <c r="H1147" t="s">
        <v>2402</v>
      </c>
    </row>
    <row r="1148" spans="8:8" x14ac:dyDescent="0.25">
      <c r="H1148" t="s">
        <v>670</v>
      </c>
    </row>
    <row r="1149" spans="8:8" x14ac:dyDescent="0.25">
      <c r="H1149" t="s">
        <v>2403</v>
      </c>
    </row>
    <row r="1150" spans="8:8" x14ac:dyDescent="0.25">
      <c r="H1150" t="s">
        <v>31</v>
      </c>
    </row>
    <row r="1152" spans="8:8" x14ac:dyDescent="0.25">
      <c r="H1152" t="s">
        <v>2136</v>
      </c>
    </row>
    <row r="1153" spans="8:8" x14ac:dyDescent="0.25">
      <c r="H1153" t="s">
        <v>2404</v>
      </c>
    </row>
    <row r="1154" spans="8:8" x14ac:dyDescent="0.25">
      <c r="H1154" t="s">
        <v>670</v>
      </c>
    </row>
    <row r="1155" spans="8:8" x14ac:dyDescent="0.25">
      <c r="H1155" t="s">
        <v>2405</v>
      </c>
    </row>
    <row r="1156" spans="8:8" x14ac:dyDescent="0.25">
      <c r="H1156" t="s">
        <v>31</v>
      </c>
    </row>
    <row r="1157" spans="8:8" x14ac:dyDescent="0.25">
      <c r="H1157" t="s">
        <v>2406</v>
      </c>
    </row>
    <row r="1158" spans="8:8" x14ac:dyDescent="0.25">
      <c r="H1158" t="s">
        <v>674</v>
      </c>
    </row>
    <row r="1159" spans="8:8" x14ac:dyDescent="0.25">
      <c r="H1159" t="s">
        <v>2407</v>
      </c>
    </row>
    <row r="1160" spans="8:8" x14ac:dyDescent="0.25">
      <c r="H1160" t="s">
        <v>31</v>
      </c>
    </row>
    <row r="1161" spans="8:8" x14ac:dyDescent="0.25">
      <c r="H1161" t="s">
        <v>676</v>
      </c>
    </row>
    <row r="1162" spans="8:8" x14ac:dyDescent="0.25">
      <c r="H1162" t="s">
        <v>2408</v>
      </c>
    </row>
    <row r="1163" spans="8:8" x14ac:dyDescent="0.25">
      <c r="H1163" t="s">
        <v>31</v>
      </c>
    </row>
    <row r="1165" spans="8:8" x14ac:dyDescent="0.25">
      <c r="H1165" t="s">
        <v>2137</v>
      </c>
    </row>
    <row r="1166" spans="8:8" x14ac:dyDescent="0.25">
      <c r="H1166" t="s">
        <v>2409</v>
      </c>
    </row>
    <row r="1167" spans="8:8" x14ac:dyDescent="0.25">
      <c r="H1167" t="s">
        <v>670</v>
      </c>
    </row>
    <row r="1168" spans="8:8" x14ac:dyDescent="0.25">
      <c r="H1168" t="s">
        <v>2410</v>
      </c>
    </row>
    <row r="1169" spans="8:8" x14ac:dyDescent="0.25">
      <c r="H1169" t="s">
        <v>31</v>
      </c>
    </row>
    <row r="1170" spans="8:8" x14ac:dyDescent="0.25">
      <c r="H1170" t="s">
        <v>672</v>
      </c>
    </row>
    <row r="1171" spans="8:8" x14ac:dyDescent="0.25">
      <c r="H1171" t="s">
        <v>2411</v>
      </c>
    </row>
    <row r="1172" spans="8:8" x14ac:dyDescent="0.25">
      <c r="H1172" t="s">
        <v>31</v>
      </c>
    </row>
    <row r="1173" spans="8:8" x14ac:dyDescent="0.25">
      <c r="H1173" t="s">
        <v>2412</v>
      </c>
    </row>
    <row r="1174" spans="8:8" x14ac:dyDescent="0.25">
      <c r="H1174" t="s">
        <v>674</v>
      </c>
    </row>
    <row r="1175" spans="8:8" x14ac:dyDescent="0.25">
      <c r="H1175" t="s">
        <v>2413</v>
      </c>
    </row>
    <row r="1176" spans="8:8" x14ac:dyDescent="0.25">
      <c r="H1176" t="s">
        <v>31</v>
      </c>
    </row>
    <row r="1177" spans="8:8" x14ac:dyDescent="0.25">
      <c r="H1177" t="s">
        <v>676</v>
      </c>
    </row>
    <row r="1178" spans="8:8" x14ac:dyDescent="0.25">
      <c r="H1178" t="s">
        <v>2414</v>
      </c>
    </row>
    <row r="1179" spans="8:8" x14ac:dyDescent="0.25">
      <c r="H1179" t="s">
        <v>31</v>
      </c>
    </row>
    <row r="1181" spans="8:8" x14ac:dyDescent="0.25">
      <c r="H1181" t="s">
        <v>2138</v>
      </c>
    </row>
    <row r="1182" spans="8:8" x14ac:dyDescent="0.25">
      <c r="H1182" t="s">
        <v>1461</v>
      </c>
    </row>
    <row r="1183" spans="8:8" x14ac:dyDescent="0.25">
      <c r="H1183" t="s">
        <v>670</v>
      </c>
    </row>
    <row r="1184" spans="8:8" x14ac:dyDescent="0.25">
      <c r="H1184" t="s">
        <v>1462</v>
      </c>
    </row>
    <row r="1185" spans="8:8" x14ac:dyDescent="0.25">
      <c r="H1185" t="s">
        <v>31</v>
      </c>
    </row>
    <row r="1186" spans="8:8" x14ac:dyDescent="0.25">
      <c r="H1186" t="s">
        <v>672</v>
      </c>
    </row>
    <row r="1187" spans="8:8" x14ac:dyDescent="0.25">
      <c r="H1187" t="s">
        <v>1463</v>
      </c>
    </row>
    <row r="1188" spans="8:8" x14ac:dyDescent="0.25">
      <c r="H1188" t="s">
        <v>31</v>
      </c>
    </row>
    <row r="1189" spans="8:8" x14ac:dyDescent="0.25">
      <c r="H1189" t="s">
        <v>674</v>
      </c>
    </row>
    <row r="1190" spans="8:8" x14ac:dyDescent="0.25">
      <c r="H1190" t="s">
        <v>1464</v>
      </c>
    </row>
    <row r="1191" spans="8:8" x14ac:dyDescent="0.25">
      <c r="H1191" t="s">
        <v>31</v>
      </c>
    </row>
    <row r="1192" spans="8:8" x14ac:dyDescent="0.25">
      <c r="H1192" t="s">
        <v>676</v>
      </c>
    </row>
    <row r="1193" spans="8:8" x14ac:dyDescent="0.25">
      <c r="H1193" t="s">
        <v>1465</v>
      </c>
    </row>
    <row r="1194" spans="8:8" x14ac:dyDescent="0.25">
      <c r="H1194" t="s">
        <v>31</v>
      </c>
    </row>
    <row r="1196" spans="8:8" x14ac:dyDescent="0.25">
      <c r="H1196" t="s">
        <v>2139</v>
      </c>
    </row>
    <row r="1197" spans="8:8" x14ac:dyDescent="0.25">
      <c r="H1197" t="s">
        <v>1455</v>
      </c>
    </row>
    <row r="1198" spans="8:8" x14ac:dyDescent="0.25">
      <c r="H1198" t="s">
        <v>670</v>
      </c>
    </row>
    <row r="1199" spans="8:8" x14ac:dyDescent="0.25">
      <c r="H1199" t="s">
        <v>1456</v>
      </c>
    </row>
    <row r="1200" spans="8:8" x14ac:dyDescent="0.25">
      <c r="H1200" t="s">
        <v>31</v>
      </c>
    </row>
    <row r="1201" spans="8:8" x14ac:dyDescent="0.25">
      <c r="H1201" t="s">
        <v>672</v>
      </c>
    </row>
    <row r="1202" spans="8:8" x14ac:dyDescent="0.25">
      <c r="H1202" t="s">
        <v>1457</v>
      </c>
    </row>
    <row r="1203" spans="8:8" x14ac:dyDescent="0.25">
      <c r="H1203" t="s">
        <v>31</v>
      </c>
    </row>
    <row r="1204" spans="8:8" x14ac:dyDescent="0.25">
      <c r="H1204" t="s">
        <v>674</v>
      </c>
    </row>
    <row r="1205" spans="8:8" x14ac:dyDescent="0.25">
      <c r="H1205" t="s">
        <v>1458</v>
      </c>
    </row>
    <row r="1206" spans="8:8" x14ac:dyDescent="0.25">
      <c r="H1206" t="s">
        <v>31</v>
      </c>
    </row>
    <row r="1207" spans="8:8" x14ac:dyDescent="0.25">
      <c r="H1207" t="s">
        <v>676</v>
      </c>
    </row>
    <row r="1208" spans="8:8" x14ac:dyDescent="0.25">
      <c r="H1208" t="s">
        <v>1459</v>
      </c>
    </row>
    <row r="1209" spans="8:8" x14ac:dyDescent="0.25">
      <c r="H1209" t="s">
        <v>31</v>
      </c>
    </row>
    <row r="1211" spans="8:8" x14ac:dyDescent="0.25">
      <c r="H1211" t="s">
        <v>2140</v>
      </c>
    </row>
    <row r="1212" spans="8:8" x14ac:dyDescent="0.25">
      <c r="H1212" t="s">
        <v>1449</v>
      </c>
    </row>
    <row r="1213" spans="8:8" x14ac:dyDescent="0.25">
      <c r="H1213" t="s">
        <v>670</v>
      </c>
    </row>
    <row r="1214" spans="8:8" x14ac:dyDescent="0.25">
      <c r="H1214" t="s">
        <v>1450</v>
      </c>
    </row>
    <row r="1215" spans="8:8" x14ac:dyDescent="0.25">
      <c r="H1215" t="s">
        <v>31</v>
      </c>
    </row>
    <row r="1216" spans="8:8" x14ac:dyDescent="0.25">
      <c r="H1216" t="s">
        <v>672</v>
      </c>
    </row>
    <row r="1217" spans="8:8" x14ac:dyDescent="0.25">
      <c r="H1217" t="s">
        <v>1451</v>
      </c>
    </row>
    <row r="1218" spans="8:8" x14ac:dyDescent="0.25">
      <c r="H1218" t="s">
        <v>31</v>
      </c>
    </row>
    <row r="1219" spans="8:8" x14ac:dyDescent="0.25">
      <c r="H1219" t="s">
        <v>674</v>
      </c>
    </row>
    <row r="1220" spans="8:8" x14ac:dyDescent="0.25">
      <c r="H1220" t="s">
        <v>1452</v>
      </c>
    </row>
    <row r="1221" spans="8:8" x14ac:dyDescent="0.25">
      <c r="H1221" t="s">
        <v>31</v>
      </c>
    </row>
    <row r="1222" spans="8:8" x14ac:dyDescent="0.25">
      <c r="H1222" t="s">
        <v>676</v>
      </c>
    </row>
    <row r="1223" spans="8:8" x14ac:dyDescent="0.25">
      <c r="H1223" t="s">
        <v>1453</v>
      </c>
    </row>
    <row r="1224" spans="8:8" x14ac:dyDescent="0.25">
      <c r="H1224" t="s">
        <v>31</v>
      </c>
    </row>
    <row r="1226" spans="8:8" x14ac:dyDescent="0.25">
      <c r="H1226" t="s">
        <v>2141</v>
      </c>
    </row>
    <row r="1227" spans="8:8" x14ac:dyDescent="0.25">
      <c r="H1227" t="s">
        <v>1443</v>
      </c>
    </row>
    <row r="1228" spans="8:8" x14ac:dyDescent="0.25">
      <c r="H1228" t="s">
        <v>670</v>
      </c>
    </row>
    <row r="1229" spans="8:8" x14ac:dyDescent="0.25">
      <c r="H1229" t="s">
        <v>1444</v>
      </c>
    </row>
    <row r="1230" spans="8:8" x14ac:dyDescent="0.25">
      <c r="H1230" t="s">
        <v>31</v>
      </c>
    </row>
    <row r="1231" spans="8:8" x14ac:dyDescent="0.25">
      <c r="H1231" t="s">
        <v>672</v>
      </c>
    </row>
    <row r="1232" spans="8:8" x14ac:dyDescent="0.25">
      <c r="H1232" t="s">
        <v>1445</v>
      </c>
    </row>
    <row r="1233" spans="8:8" x14ac:dyDescent="0.25">
      <c r="H1233" t="s">
        <v>31</v>
      </c>
    </row>
    <row r="1234" spans="8:8" x14ac:dyDescent="0.25">
      <c r="H1234" t="s">
        <v>674</v>
      </c>
    </row>
    <row r="1235" spans="8:8" x14ac:dyDescent="0.25">
      <c r="H1235" t="s">
        <v>1446</v>
      </c>
    </row>
    <row r="1236" spans="8:8" x14ac:dyDescent="0.25">
      <c r="H1236" t="s">
        <v>31</v>
      </c>
    </row>
    <row r="1237" spans="8:8" x14ac:dyDescent="0.25">
      <c r="H1237" t="s">
        <v>676</v>
      </c>
    </row>
    <row r="1238" spans="8:8" x14ac:dyDescent="0.25">
      <c r="H1238" t="s">
        <v>1447</v>
      </c>
    </row>
    <row r="1239" spans="8:8" x14ac:dyDescent="0.25">
      <c r="H1239" t="s">
        <v>31</v>
      </c>
    </row>
    <row r="1241" spans="8:8" x14ac:dyDescent="0.25">
      <c r="H1241" t="s">
        <v>2142</v>
      </c>
    </row>
    <row r="1242" spans="8:8" x14ac:dyDescent="0.25">
      <c r="H1242" t="s">
        <v>1437</v>
      </c>
    </row>
    <row r="1243" spans="8:8" x14ac:dyDescent="0.25">
      <c r="H1243" t="s">
        <v>670</v>
      </c>
    </row>
    <row r="1244" spans="8:8" x14ac:dyDescent="0.25">
      <c r="H1244" t="s">
        <v>1438</v>
      </c>
    </row>
    <row r="1245" spans="8:8" x14ac:dyDescent="0.25">
      <c r="H1245" t="s">
        <v>31</v>
      </c>
    </row>
    <row r="1246" spans="8:8" x14ac:dyDescent="0.25">
      <c r="H1246" t="s">
        <v>672</v>
      </c>
    </row>
    <row r="1247" spans="8:8" x14ac:dyDescent="0.25">
      <c r="H1247" t="s">
        <v>1439</v>
      </c>
    </row>
    <row r="1248" spans="8:8" x14ac:dyDescent="0.25">
      <c r="H1248" t="s">
        <v>31</v>
      </c>
    </row>
    <row r="1249" spans="8:8" x14ac:dyDescent="0.25">
      <c r="H1249" t="s">
        <v>674</v>
      </c>
    </row>
    <row r="1250" spans="8:8" x14ac:dyDescent="0.25">
      <c r="H1250" t="s">
        <v>1440</v>
      </c>
    </row>
    <row r="1251" spans="8:8" x14ac:dyDescent="0.25">
      <c r="H1251" t="s">
        <v>31</v>
      </c>
    </row>
    <row r="1252" spans="8:8" x14ac:dyDescent="0.25">
      <c r="H1252" t="s">
        <v>676</v>
      </c>
    </row>
    <row r="1253" spans="8:8" x14ac:dyDescent="0.25">
      <c r="H1253" t="s">
        <v>1441</v>
      </c>
    </row>
    <row r="1254" spans="8:8" x14ac:dyDescent="0.25">
      <c r="H1254" t="s">
        <v>31</v>
      </c>
    </row>
    <row r="1256" spans="8:8" x14ac:dyDescent="0.25">
      <c r="H1256" t="s">
        <v>2143</v>
      </c>
    </row>
    <row r="1257" spans="8:8" x14ac:dyDescent="0.25">
      <c r="H1257" t="s">
        <v>1431</v>
      </c>
    </row>
    <row r="1258" spans="8:8" x14ac:dyDescent="0.25">
      <c r="H1258" t="s">
        <v>670</v>
      </c>
    </row>
    <row r="1259" spans="8:8" x14ac:dyDescent="0.25">
      <c r="H1259" t="s">
        <v>1432</v>
      </c>
    </row>
    <row r="1260" spans="8:8" x14ac:dyDescent="0.25">
      <c r="H1260" t="s">
        <v>31</v>
      </c>
    </row>
    <row r="1261" spans="8:8" x14ac:dyDescent="0.25">
      <c r="H1261" t="s">
        <v>672</v>
      </c>
    </row>
    <row r="1262" spans="8:8" x14ac:dyDescent="0.25">
      <c r="H1262" t="s">
        <v>1433</v>
      </c>
    </row>
    <row r="1263" spans="8:8" x14ac:dyDescent="0.25">
      <c r="H1263" t="s">
        <v>31</v>
      </c>
    </row>
    <row r="1264" spans="8:8" x14ac:dyDescent="0.25">
      <c r="H1264" t="s">
        <v>674</v>
      </c>
    </row>
    <row r="1265" spans="8:8" x14ac:dyDescent="0.25">
      <c r="H1265" t="s">
        <v>1434</v>
      </c>
    </row>
    <row r="1266" spans="8:8" x14ac:dyDescent="0.25">
      <c r="H1266" t="s">
        <v>31</v>
      </c>
    </row>
    <row r="1267" spans="8:8" x14ac:dyDescent="0.25">
      <c r="H1267" t="s">
        <v>676</v>
      </c>
    </row>
    <row r="1268" spans="8:8" x14ac:dyDescent="0.25">
      <c r="H1268" t="s">
        <v>1435</v>
      </c>
    </row>
    <row r="1269" spans="8:8" x14ac:dyDescent="0.25">
      <c r="H1269" t="s">
        <v>31</v>
      </c>
    </row>
    <row r="1271" spans="8:8" x14ac:dyDescent="0.25">
      <c r="H1271" t="s">
        <v>2144</v>
      </c>
    </row>
    <row r="1272" spans="8:8" x14ac:dyDescent="0.25">
      <c r="H1272" t="s">
        <v>1425</v>
      </c>
    </row>
    <row r="1273" spans="8:8" x14ac:dyDescent="0.25">
      <c r="H1273" t="s">
        <v>670</v>
      </c>
    </row>
    <row r="1274" spans="8:8" x14ac:dyDescent="0.25">
      <c r="H1274" t="s">
        <v>1426</v>
      </c>
    </row>
    <row r="1275" spans="8:8" x14ac:dyDescent="0.25">
      <c r="H1275" t="s">
        <v>31</v>
      </c>
    </row>
    <row r="1276" spans="8:8" x14ac:dyDescent="0.25">
      <c r="H1276" t="s">
        <v>672</v>
      </c>
    </row>
    <row r="1277" spans="8:8" x14ac:dyDescent="0.25">
      <c r="H1277" t="s">
        <v>1427</v>
      </c>
    </row>
    <row r="1278" spans="8:8" x14ac:dyDescent="0.25">
      <c r="H1278" t="s">
        <v>31</v>
      </c>
    </row>
    <row r="1279" spans="8:8" x14ac:dyDescent="0.25">
      <c r="H1279" t="s">
        <v>674</v>
      </c>
    </row>
    <row r="1280" spans="8:8" x14ac:dyDescent="0.25">
      <c r="H1280" t="s">
        <v>1428</v>
      </c>
    </row>
    <row r="1281" spans="8:8" x14ac:dyDescent="0.25">
      <c r="H1281" t="s">
        <v>31</v>
      </c>
    </row>
    <row r="1282" spans="8:8" x14ac:dyDescent="0.25">
      <c r="H1282" t="s">
        <v>676</v>
      </c>
    </row>
    <row r="1283" spans="8:8" x14ac:dyDescent="0.25">
      <c r="H1283" t="s">
        <v>1429</v>
      </c>
    </row>
    <row r="1284" spans="8:8" x14ac:dyDescent="0.25">
      <c r="H1284" t="s">
        <v>31</v>
      </c>
    </row>
    <row r="1286" spans="8:8" x14ac:dyDescent="0.25">
      <c r="H1286" t="s">
        <v>2145</v>
      </c>
    </row>
    <row r="1287" spans="8:8" x14ac:dyDescent="0.25">
      <c r="H1287" t="s">
        <v>1419</v>
      </c>
    </row>
    <row r="1288" spans="8:8" x14ac:dyDescent="0.25">
      <c r="H1288" t="s">
        <v>670</v>
      </c>
    </row>
    <row r="1289" spans="8:8" x14ac:dyDescent="0.25">
      <c r="H1289" t="s">
        <v>1420</v>
      </c>
    </row>
    <row r="1290" spans="8:8" x14ac:dyDescent="0.25">
      <c r="H1290" t="s">
        <v>31</v>
      </c>
    </row>
    <row r="1291" spans="8:8" x14ac:dyDescent="0.25">
      <c r="H1291" t="s">
        <v>672</v>
      </c>
    </row>
    <row r="1292" spans="8:8" x14ac:dyDescent="0.25">
      <c r="H1292" t="s">
        <v>1421</v>
      </c>
    </row>
    <row r="1293" spans="8:8" x14ac:dyDescent="0.25">
      <c r="H1293" t="s">
        <v>31</v>
      </c>
    </row>
    <row r="1294" spans="8:8" x14ac:dyDescent="0.25">
      <c r="H1294" t="s">
        <v>674</v>
      </c>
    </row>
    <row r="1295" spans="8:8" x14ac:dyDescent="0.25">
      <c r="H1295" t="s">
        <v>1422</v>
      </c>
    </row>
    <row r="1296" spans="8:8" x14ac:dyDescent="0.25">
      <c r="H1296" t="s">
        <v>31</v>
      </c>
    </row>
    <row r="1297" spans="8:8" x14ac:dyDescent="0.25">
      <c r="H1297" t="s">
        <v>676</v>
      </c>
    </row>
    <row r="1298" spans="8:8" x14ac:dyDescent="0.25">
      <c r="H1298" t="s">
        <v>1423</v>
      </c>
    </row>
    <row r="1299" spans="8:8" x14ac:dyDescent="0.25">
      <c r="H1299" t="s">
        <v>31</v>
      </c>
    </row>
    <row r="1301" spans="8:8" x14ac:dyDescent="0.25">
      <c r="H1301" t="s">
        <v>2146</v>
      </c>
    </row>
    <row r="1302" spans="8:8" x14ac:dyDescent="0.25">
      <c r="H1302" t="s">
        <v>1413</v>
      </c>
    </row>
    <row r="1303" spans="8:8" x14ac:dyDescent="0.25">
      <c r="H1303" t="s">
        <v>670</v>
      </c>
    </row>
    <row r="1304" spans="8:8" x14ac:dyDescent="0.25">
      <c r="H1304" t="s">
        <v>1414</v>
      </c>
    </row>
    <row r="1305" spans="8:8" x14ac:dyDescent="0.25">
      <c r="H1305" t="s">
        <v>31</v>
      </c>
    </row>
    <row r="1306" spans="8:8" x14ac:dyDescent="0.25">
      <c r="H1306" t="s">
        <v>672</v>
      </c>
    </row>
    <row r="1307" spans="8:8" x14ac:dyDescent="0.25">
      <c r="H1307" t="s">
        <v>1415</v>
      </c>
    </row>
    <row r="1308" spans="8:8" x14ac:dyDescent="0.25">
      <c r="H1308" t="s">
        <v>31</v>
      </c>
    </row>
    <row r="1309" spans="8:8" x14ac:dyDescent="0.25">
      <c r="H1309" t="s">
        <v>674</v>
      </c>
    </row>
    <row r="1310" spans="8:8" x14ac:dyDescent="0.25">
      <c r="H1310" t="s">
        <v>1416</v>
      </c>
    </row>
    <row r="1311" spans="8:8" x14ac:dyDescent="0.25">
      <c r="H1311" t="s">
        <v>31</v>
      </c>
    </row>
    <row r="1312" spans="8:8" x14ac:dyDescent="0.25">
      <c r="H1312" t="s">
        <v>676</v>
      </c>
    </row>
    <row r="1313" spans="8:8" x14ac:dyDescent="0.25">
      <c r="H1313" t="s">
        <v>1417</v>
      </c>
    </row>
    <row r="1314" spans="8:8" x14ac:dyDescent="0.25">
      <c r="H1314" t="s">
        <v>31</v>
      </c>
    </row>
    <row r="1316" spans="8:8" x14ac:dyDescent="0.25">
      <c r="H1316" t="s">
        <v>2263</v>
      </c>
    </row>
    <row r="1317" spans="8:8" x14ac:dyDescent="0.25">
      <c r="H1317" t="s">
        <v>1407</v>
      </c>
    </row>
    <row r="1318" spans="8:8" x14ac:dyDescent="0.25">
      <c r="H1318" t="s">
        <v>670</v>
      </c>
    </row>
    <row r="1319" spans="8:8" x14ac:dyDescent="0.25">
      <c r="H1319" t="s">
        <v>1408</v>
      </c>
    </row>
    <row r="1320" spans="8:8" x14ac:dyDescent="0.25">
      <c r="H1320" t="s">
        <v>31</v>
      </c>
    </row>
    <row r="1321" spans="8:8" x14ac:dyDescent="0.25">
      <c r="H1321" t="s">
        <v>672</v>
      </c>
    </row>
    <row r="1322" spans="8:8" x14ac:dyDescent="0.25">
      <c r="H1322" t="s">
        <v>1409</v>
      </c>
    </row>
    <row r="1323" spans="8:8" x14ac:dyDescent="0.25">
      <c r="H1323" t="s">
        <v>31</v>
      </c>
    </row>
    <row r="1324" spans="8:8" x14ac:dyDescent="0.25">
      <c r="H1324" t="s">
        <v>674</v>
      </c>
    </row>
    <row r="1325" spans="8:8" x14ac:dyDescent="0.25">
      <c r="H1325" t="s">
        <v>1410</v>
      </c>
    </row>
    <row r="1326" spans="8:8" x14ac:dyDescent="0.25">
      <c r="H1326" t="s">
        <v>31</v>
      </c>
    </row>
    <row r="1327" spans="8:8" x14ac:dyDescent="0.25">
      <c r="H1327" t="s">
        <v>676</v>
      </c>
    </row>
    <row r="1328" spans="8:8" x14ac:dyDescent="0.25">
      <c r="H1328" t="s">
        <v>1411</v>
      </c>
    </row>
    <row r="1329" spans="8:8" x14ac:dyDescent="0.25">
      <c r="H1329" t="s">
        <v>31</v>
      </c>
    </row>
    <row r="1331" spans="8:8" x14ac:dyDescent="0.25">
      <c r="H1331" t="s">
        <v>2264</v>
      </c>
    </row>
    <row r="1332" spans="8:8" x14ac:dyDescent="0.25">
      <c r="H1332" t="s">
        <v>1401</v>
      </c>
    </row>
    <row r="1333" spans="8:8" x14ac:dyDescent="0.25">
      <c r="H1333" t="s">
        <v>670</v>
      </c>
    </row>
    <row r="1334" spans="8:8" x14ac:dyDescent="0.25">
      <c r="H1334" t="s">
        <v>1402</v>
      </c>
    </row>
    <row r="1335" spans="8:8" x14ac:dyDescent="0.25">
      <c r="H1335" t="s">
        <v>31</v>
      </c>
    </row>
    <row r="1336" spans="8:8" x14ac:dyDescent="0.25">
      <c r="H1336" t="s">
        <v>672</v>
      </c>
    </row>
    <row r="1337" spans="8:8" x14ac:dyDescent="0.25">
      <c r="H1337" t="s">
        <v>1403</v>
      </c>
    </row>
    <row r="1338" spans="8:8" x14ac:dyDescent="0.25">
      <c r="H1338" t="s">
        <v>31</v>
      </c>
    </row>
    <row r="1339" spans="8:8" x14ac:dyDescent="0.25">
      <c r="H1339" t="s">
        <v>674</v>
      </c>
    </row>
    <row r="1340" spans="8:8" x14ac:dyDescent="0.25">
      <c r="H1340" t="s">
        <v>1404</v>
      </c>
    </row>
    <row r="1341" spans="8:8" x14ac:dyDescent="0.25">
      <c r="H1341" t="s">
        <v>31</v>
      </c>
    </row>
    <row r="1342" spans="8:8" x14ac:dyDescent="0.25">
      <c r="H1342" t="s">
        <v>676</v>
      </c>
    </row>
    <row r="1343" spans="8:8" x14ac:dyDescent="0.25">
      <c r="H1343" t="s">
        <v>1405</v>
      </c>
    </row>
    <row r="1344" spans="8:8" x14ac:dyDescent="0.25">
      <c r="H1344" t="s">
        <v>31</v>
      </c>
    </row>
    <row r="1346" spans="8:8" x14ac:dyDescent="0.25">
      <c r="H1346" t="s">
        <v>2265</v>
      </c>
    </row>
    <row r="1347" spans="8:8" x14ac:dyDescent="0.25">
      <c r="H1347" t="s">
        <v>1395</v>
      </c>
    </row>
    <row r="1348" spans="8:8" x14ac:dyDescent="0.25">
      <c r="H1348" t="s">
        <v>670</v>
      </c>
    </row>
    <row r="1349" spans="8:8" x14ac:dyDescent="0.25">
      <c r="H1349" t="s">
        <v>1396</v>
      </c>
    </row>
    <row r="1350" spans="8:8" x14ac:dyDescent="0.25">
      <c r="H1350" t="s">
        <v>31</v>
      </c>
    </row>
    <row r="1351" spans="8:8" x14ac:dyDescent="0.25">
      <c r="H1351" t="s">
        <v>672</v>
      </c>
    </row>
    <row r="1352" spans="8:8" x14ac:dyDescent="0.25">
      <c r="H1352" t="s">
        <v>1397</v>
      </c>
    </row>
    <row r="1353" spans="8:8" x14ac:dyDescent="0.25">
      <c r="H1353" t="s">
        <v>31</v>
      </c>
    </row>
    <row r="1354" spans="8:8" x14ac:dyDescent="0.25">
      <c r="H1354" t="s">
        <v>674</v>
      </c>
    </row>
    <row r="1355" spans="8:8" x14ac:dyDescent="0.25">
      <c r="H1355" t="s">
        <v>1398</v>
      </c>
    </row>
    <row r="1356" spans="8:8" x14ac:dyDescent="0.25">
      <c r="H1356" t="s">
        <v>31</v>
      </c>
    </row>
    <row r="1357" spans="8:8" x14ac:dyDescent="0.25">
      <c r="H1357" t="s">
        <v>676</v>
      </c>
    </row>
    <row r="1358" spans="8:8" x14ac:dyDescent="0.25">
      <c r="H1358" t="s">
        <v>1399</v>
      </c>
    </row>
    <row r="1359" spans="8:8" x14ac:dyDescent="0.25">
      <c r="H1359" t="s">
        <v>31</v>
      </c>
    </row>
    <row r="1361" spans="8:8" x14ac:dyDescent="0.25">
      <c r="H1361" t="s">
        <v>2266</v>
      </c>
    </row>
    <row r="1362" spans="8:8" x14ac:dyDescent="0.25">
      <c r="H1362" t="s">
        <v>1389</v>
      </c>
    </row>
    <row r="1363" spans="8:8" x14ac:dyDescent="0.25">
      <c r="H1363" t="s">
        <v>670</v>
      </c>
    </row>
    <row r="1364" spans="8:8" x14ac:dyDescent="0.25">
      <c r="H1364" t="s">
        <v>1390</v>
      </c>
    </row>
    <row r="1365" spans="8:8" x14ac:dyDescent="0.25">
      <c r="H1365" t="s">
        <v>31</v>
      </c>
    </row>
    <row r="1366" spans="8:8" x14ac:dyDescent="0.25">
      <c r="H1366" t="s">
        <v>672</v>
      </c>
    </row>
    <row r="1367" spans="8:8" x14ac:dyDescent="0.25">
      <c r="H1367" t="s">
        <v>1391</v>
      </c>
    </row>
    <row r="1368" spans="8:8" x14ac:dyDescent="0.25">
      <c r="H1368" t="s">
        <v>31</v>
      </c>
    </row>
    <row r="1369" spans="8:8" x14ac:dyDescent="0.25">
      <c r="H1369" t="s">
        <v>674</v>
      </c>
    </row>
    <row r="1370" spans="8:8" x14ac:dyDescent="0.25">
      <c r="H1370" t="s">
        <v>1392</v>
      </c>
    </row>
    <row r="1371" spans="8:8" x14ac:dyDescent="0.25">
      <c r="H1371" t="s">
        <v>31</v>
      </c>
    </row>
    <row r="1372" spans="8:8" x14ac:dyDescent="0.25">
      <c r="H1372" t="s">
        <v>676</v>
      </c>
    </row>
    <row r="1373" spans="8:8" x14ac:dyDescent="0.25">
      <c r="H1373" t="s">
        <v>1393</v>
      </c>
    </row>
    <row r="1374" spans="8:8" x14ac:dyDescent="0.25">
      <c r="H1374" t="s">
        <v>31</v>
      </c>
    </row>
    <row r="1376" spans="8:8" x14ac:dyDescent="0.25">
      <c r="H1376" t="s">
        <v>2267</v>
      </c>
    </row>
    <row r="1377" spans="8:8" x14ac:dyDescent="0.25">
      <c r="H1377" t="s">
        <v>1383</v>
      </c>
    </row>
    <row r="1378" spans="8:8" x14ac:dyDescent="0.25">
      <c r="H1378" t="s">
        <v>670</v>
      </c>
    </row>
    <row r="1379" spans="8:8" x14ac:dyDescent="0.25">
      <c r="H1379" t="s">
        <v>1384</v>
      </c>
    </row>
    <row r="1380" spans="8:8" x14ac:dyDescent="0.25">
      <c r="H1380" t="s">
        <v>31</v>
      </c>
    </row>
    <row r="1381" spans="8:8" x14ac:dyDescent="0.25">
      <c r="H1381" t="s">
        <v>672</v>
      </c>
    </row>
    <row r="1382" spans="8:8" x14ac:dyDescent="0.25">
      <c r="H1382" t="s">
        <v>1385</v>
      </c>
    </row>
    <row r="1383" spans="8:8" x14ac:dyDescent="0.25">
      <c r="H1383" t="s">
        <v>31</v>
      </c>
    </row>
    <row r="1384" spans="8:8" x14ac:dyDescent="0.25">
      <c r="H1384" t="s">
        <v>674</v>
      </c>
    </row>
    <row r="1385" spans="8:8" x14ac:dyDescent="0.25">
      <c r="H1385" t="s">
        <v>1386</v>
      </c>
    </row>
    <row r="1386" spans="8:8" x14ac:dyDescent="0.25">
      <c r="H1386" t="s">
        <v>31</v>
      </c>
    </row>
    <row r="1387" spans="8:8" x14ac:dyDescent="0.25">
      <c r="H1387" t="s">
        <v>676</v>
      </c>
    </row>
    <row r="1388" spans="8:8" x14ac:dyDescent="0.25">
      <c r="H1388" t="s">
        <v>1387</v>
      </c>
    </row>
    <row r="1389" spans="8:8" x14ac:dyDescent="0.25">
      <c r="H1389" t="s">
        <v>31</v>
      </c>
    </row>
    <row r="1391" spans="8:8" x14ac:dyDescent="0.25">
      <c r="H1391" t="s">
        <v>2415</v>
      </c>
    </row>
    <row r="1392" spans="8:8" x14ac:dyDescent="0.25">
      <c r="H1392" t="s">
        <v>1377</v>
      </c>
    </row>
    <row r="1393" spans="8:8" x14ac:dyDescent="0.25">
      <c r="H1393" t="s">
        <v>670</v>
      </c>
    </row>
    <row r="1394" spans="8:8" x14ac:dyDescent="0.25">
      <c r="H1394" t="s">
        <v>1378</v>
      </c>
    </row>
    <row r="1395" spans="8:8" x14ac:dyDescent="0.25">
      <c r="H1395" t="s">
        <v>31</v>
      </c>
    </row>
    <row r="1396" spans="8:8" x14ac:dyDescent="0.25">
      <c r="H1396" t="s">
        <v>672</v>
      </c>
    </row>
    <row r="1397" spans="8:8" x14ac:dyDescent="0.25">
      <c r="H1397" t="s">
        <v>1379</v>
      </c>
    </row>
    <row r="1398" spans="8:8" x14ac:dyDescent="0.25">
      <c r="H1398" t="s">
        <v>31</v>
      </c>
    </row>
    <row r="1399" spans="8:8" x14ac:dyDescent="0.25">
      <c r="H1399" t="s">
        <v>674</v>
      </c>
    </row>
    <row r="1400" spans="8:8" x14ac:dyDescent="0.25">
      <c r="H1400" t="s">
        <v>1380</v>
      </c>
    </row>
    <row r="1401" spans="8:8" x14ac:dyDescent="0.25">
      <c r="H1401" t="s">
        <v>31</v>
      </c>
    </row>
    <row r="1402" spans="8:8" x14ac:dyDescent="0.25">
      <c r="H1402" t="s">
        <v>676</v>
      </c>
    </row>
    <row r="1403" spans="8:8" x14ac:dyDescent="0.25">
      <c r="H1403" t="s">
        <v>1381</v>
      </c>
    </row>
    <row r="1404" spans="8:8" x14ac:dyDescent="0.25">
      <c r="H1404" t="s">
        <v>31</v>
      </c>
    </row>
    <row r="1406" spans="8:8" x14ac:dyDescent="0.25">
      <c r="H1406" t="s">
        <v>2416</v>
      </c>
    </row>
    <row r="1407" spans="8:8" x14ac:dyDescent="0.25">
      <c r="H1407" t="s">
        <v>1371</v>
      </c>
    </row>
    <row r="1408" spans="8:8" x14ac:dyDescent="0.25">
      <c r="H1408" t="s">
        <v>670</v>
      </c>
    </row>
    <row r="1409" spans="8:8" x14ac:dyDescent="0.25">
      <c r="H1409" t="s">
        <v>1372</v>
      </c>
    </row>
    <row r="1410" spans="8:8" x14ac:dyDescent="0.25">
      <c r="H1410" t="s">
        <v>31</v>
      </c>
    </row>
    <row r="1411" spans="8:8" x14ac:dyDescent="0.25">
      <c r="H1411" t="s">
        <v>672</v>
      </c>
    </row>
    <row r="1412" spans="8:8" x14ac:dyDescent="0.25">
      <c r="H1412" t="s">
        <v>1373</v>
      </c>
    </row>
    <row r="1413" spans="8:8" x14ac:dyDescent="0.25">
      <c r="H1413" t="s">
        <v>31</v>
      </c>
    </row>
    <row r="1414" spans="8:8" x14ac:dyDescent="0.25">
      <c r="H1414" t="s">
        <v>674</v>
      </c>
    </row>
    <row r="1415" spans="8:8" x14ac:dyDescent="0.25">
      <c r="H1415" t="s">
        <v>1374</v>
      </c>
    </row>
    <row r="1416" spans="8:8" x14ac:dyDescent="0.25">
      <c r="H1416" t="s">
        <v>31</v>
      </c>
    </row>
    <row r="1417" spans="8:8" x14ac:dyDescent="0.25">
      <c r="H1417" t="s">
        <v>676</v>
      </c>
    </row>
    <row r="1418" spans="8:8" x14ac:dyDescent="0.25">
      <c r="H1418" t="s">
        <v>1375</v>
      </c>
    </row>
    <row r="1419" spans="8:8" x14ac:dyDescent="0.25">
      <c r="H1419" t="s">
        <v>31</v>
      </c>
    </row>
    <row r="1421" spans="8:8" x14ac:dyDescent="0.25">
      <c r="H1421" t="s">
        <v>2417</v>
      </c>
    </row>
    <row r="1422" spans="8:8" x14ac:dyDescent="0.25">
      <c r="H1422" t="s">
        <v>1467</v>
      </c>
    </row>
    <row r="1423" spans="8:8" x14ac:dyDescent="0.25">
      <c r="H1423" t="s">
        <v>670</v>
      </c>
    </row>
    <row r="1424" spans="8:8" x14ac:dyDescent="0.25">
      <c r="H1424" t="s">
        <v>1468</v>
      </c>
    </row>
    <row r="1425" spans="8:8" x14ac:dyDescent="0.25">
      <c r="H1425" t="s">
        <v>31</v>
      </c>
    </row>
    <row r="1426" spans="8:8" x14ac:dyDescent="0.25">
      <c r="H1426" t="s">
        <v>672</v>
      </c>
    </row>
    <row r="1427" spans="8:8" x14ac:dyDescent="0.25">
      <c r="H1427" t="s">
        <v>1633</v>
      </c>
    </row>
    <row r="1428" spans="8:8" x14ac:dyDescent="0.25">
      <c r="H1428" t="s">
        <v>31</v>
      </c>
    </row>
    <row r="1430" spans="8:8" x14ac:dyDescent="0.25">
      <c r="H1430" t="s">
        <v>2418</v>
      </c>
    </row>
    <row r="1431" spans="8:8" x14ac:dyDescent="0.25">
      <c r="H1431" t="s">
        <v>1470</v>
      </c>
    </row>
    <row r="1432" spans="8:8" x14ac:dyDescent="0.25">
      <c r="H1432" t="s">
        <v>670</v>
      </c>
    </row>
    <row r="1433" spans="8:8" x14ac:dyDescent="0.25">
      <c r="H1433" t="s">
        <v>1471</v>
      </c>
    </row>
    <row r="1434" spans="8:8" x14ac:dyDescent="0.25">
      <c r="H1434" t="s">
        <v>31</v>
      </c>
    </row>
    <row r="1435" spans="8:8" x14ac:dyDescent="0.25">
      <c r="H1435" t="s">
        <v>672</v>
      </c>
    </row>
    <row r="1436" spans="8:8" x14ac:dyDescent="0.25">
      <c r="H1436" t="s">
        <v>1634</v>
      </c>
    </row>
    <row r="1437" spans="8:8" x14ac:dyDescent="0.25">
      <c r="H1437" t="s">
        <v>31</v>
      </c>
    </row>
    <row r="1439" spans="8:8" x14ac:dyDescent="0.25">
      <c r="H1439" t="s">
        <v>2419</v>
      </c>
    </row>
    <row r="1440" spans="8:8" x14ac:dyDescent="0.25">
      <c r="H1440" t="s">
        <v>1869</v>
      </c>
    </row>
    <row r="1441" spans="8:8" x14ac:dyDescent="0.25">
      <c r="H1441" t="s">
        <v>670</v>
      </c>
    </row>
    <row r="1442" spans="8:8" x14ac:dyDescent="0.25">
      <c r="H1442" t="s">
        <v>1870</v>
      </c>
    </row>
    <row r="1443" spans="8:8" x14ac:dyDescent="0.25">
      <c r="H1443" t="s">
        <v>31</v>
      </c>
    </row>
    <row r="1445" spans="8:8" x14ac:dyDescent="0.25">
      <c r="H1445" t="s">
        <v>2420</v>
      </c>
    </row>
    <row r="1446" spans="8:8" x14ac:dyDescent="0.25">
      <c r="H1446" t="s">
        <v>1872</v>
      </c>
    </row>
    <row r="1447" spans="8:8" x14ac:dyDescent="0.25">
      <c r="H1447" t="s">
        <v>670</v>
      </c>
    </row>
    <row r="1448" spans="8:8" x14ac:dyDescent="0.25">
      <c r="H1448" t="s">
        <v>1873</v>
      </c>
    </row>
    <row r="1449" spans="8:8" x14ac:dyDescent="0.25">
      <c r="H1449" t="s">
        <v>31</v>
      </c>
    </row>
    <row r="1451" spans="8:8" x14ac:dyDescent="0.25">
      <c r="H1451" t="s">
        <v>29</v>
      </c>
    </row>
    <row r="1452" spans="8:8" x14ac:dyDescent="0.25">
      <c r="H1452" t="s">
        <v>123</v>
      </c>
    </row>
    <row r="1453" spans="8:8" x14ac:dyDescent="0.25">
      <c r="H1453" t="s">
        <v>919</v>
      </c>
    </row>
    <row r="1455" spans="8:8" x14ac:dyDescent="0.25">
      <c r="H1455" t="s">
        <v>30</v>
      </c>
    </row>
    <row r="1456" spans="8:8" x14ac:dyDescent="0.25">
      <c r="H145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99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663</v>
      </c>
    </row>
    <row r="7" spans="1:8" x14ac:dyDescent="0.25">
      <c r="H7" t="s">
        <v>668</v>
      </c>
    </row>
    <row r="8" spans="1:8" x14ac:dyDescent="0.25">
      <c r="B8" s="1" t="s">
        <v>20</v>
      </c>
      <c r="H8" t="s">
        <v>669</v>
      </c>
    </row>
    <row r="9" spans="1:8" x14ac:dyDescent="0.25">
      <c r="B9" t="s">
        <v>664</v>
      </c>
      <c r="H9" t="s">
        <v>670</v>
      </c>
    </row>
    <row r="10" spans="1:8" x14ac:dyDescent="0.25">
      <c r="H10" t="s">
        <v>920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672</v>
      </c>
    </row>
    <row r="13" spans="1:8" x14ac:dyDescent="0.25">
      <c r="H13" t="s">
        <v>921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674</v>
      </c>
    </row>
    <row r="16" spans="1:8" x14ac:dyDescent="0.25">
      <c r="H16" t="s">
        <v>922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667</v>
      </c>
      <c r="H18" t="s">
        <v>676</v>
      </c>
    </row>
    <row r="19" spans="2:8" x14ac:dyDescent="0.25">
      <c r="H19" t="s">
        <v>923</v>
      </c>
    </row>
    <row r="20" spans="2:8" x14ac:dyDescent="0.25">
      <c r="B20" s="1"/>
      <c r="H20" t="s">
        <v>31</v>
      </c>
    </row>
    <row r="22" spans="2:8" x14ac:dyDescent="0.25">
      <c r="H22" t="s">
        <v>678</v>
      </c>
    </row>
    <row r="23" spans="2:8" x14ac:dyDescent="0.25">
      <c r="H23" t="s">
        <v>679</v>
      </c>
    </row>
    <row r="24" spans="2:8" x14ac:dyDescent="0.25">
      <c r="H24" t="s">
        <v>670</v>
      </c>
    </row>
    <row r="25" spans="2:8" x14ac:dyDescent="0.25">
      <c r="H25" t="s">
        <v>924</v>
      </c>
    </row>
    <row r="26" spans="2:8" x14ac:dyDescent="0.25">
      <c r="H26" t="s">
        <v>31</v>
      </c>
    </row>
    <row r="28" spans="2:8" x14ac:dyDescent="0.25">
      <c r="H28" t="s">
        <v>681</v>
      </c>
    </row>
    <row r="29" spans="2:8" x14ac:dyDescent="0.25">
      <c r="H29" t="s">
        <v>682</v>
      </c>
    </row>
    <row r="30" spans="2:8" x14ac:dyDescent="0.25">
      <c r="H30" t="s">
        <v>670</v>
      </c>
    </row>
    <row r="31" spans="2:8" x14ac:dyDescent="0.25">
      <c r="H31" t="s">
        <v>925</v>
      </c>
    </row>
    <row r="32" spans="2:8" x14ac:dyDescent="0.25">
      <c r="H32" t="s">
        <v>31</v>
      </c>
    </row>
    <row r="33" spans="8:8" x14ac:dyDescent="0.25">
      <c r="H33" t="s">
        <v>672</v>
      </c>
    </row>
    <row r="34" spans="8:8" x14ac:dyDescent="0.25">
      <c r="H34" t="s">
        <v>926</v>
      </c>
    </row>
    <row r="35" spans="8:8" x14ac:dyDescent="0.25">
      <c r="H35" t="s">
        <v>31</v>
      </c>
    </row>
    <row r="36" spans="8:8" x14ac:dyDescent="0.25">
      <c r="H36" t="s">
        <v>674</v>
      </c>
    </row>
    <row r="37" spans="8:8" x14ac:dyDescent="0.25">
      <c r="H37" t="s">
        <v>927</v>
      </c>
    </row>
    <row r="38" spans="8:8" x14ac:dyDescent="0.25">
      <c r="H38" t="s">
        <v>31</v>
      </c>
    </row>
    <row r="39" spans="8:8" x14ac:dyDescent="0.25">
      <c r="H39" t="s">
        <v>676</v>
      </c>
    </row>
    <row r="40" spans="8:8" x14ac:dyDescent="0.25">
      <c r="H40" t="s">
        <v>928</v>
      </c>
    </row>
    <row r="41" spans="8:8" x14ac:dyDescent="0.25">
      <c r="H41" t="s">
        <v>31</v>
      </c>
    </row>
    <row r="43" spans="8:8" x14ac:dyDescent="0.25">
      <c r="H43" t="s">
        <v>687</v>
      </c>
    </row>
    <row r="44" spans="8:8" x14ac:dyDescent="0.25">
      <c r="H44" t="s">
        <v>688</v>
      </c>
    </row>
    <row r="45" spans="8:8" x14ac:dyDescent="0.25">
      <c r="H45" t="s">
        <v>670</v>
      </c>
    </row>
    <row r="46" spans="8:8" x14ac:dyDescent="0.25">
      <c r="H46" t="s">
        <v>929</v>
      </c>
    </row>
    <row r="47" spans="8:8" x14ac:dyDescent="0.25">
      <c r="H47" t="s">
        <v>31</v>
      </c>
    </row>
    <row r="49" spans="8:8" x14ac:dyDescent="0.25">
      <c r="H49" t="s">
        <v>690</v>
      </c>
    </row>
    <row r="50" spans="8:8" x14ac:dyDescent="0.25">
      <c r="H50" t="s">
        <v>691</v>
      </c>
    </row>
    <row r="51" spans="8:8" x14ac:dyDescent="0.25">
      <c r="H51" t="s">
        <v>670</v>
      </c>
    </row>
    <row r="52" spans="8:8" x14ac:dyDescent="0.25">
      <c r="H52" t="s">
        <v>930</v>
      </c>
    </row>
    <row r="53" spans="8:8" x14ac:dyDescent="0.25">
      <c r="H53" t="s">
        <v>31</v>
      </c>
    </row>
    <row r="55" spans="8:8" x14ac:dyDescent="0.25">
      <c r="H55" t="s">
        <v>693</v>
      </c>
    </row>
    <row r="56" spans="8:8" x14ac:dyDescent="0.25">
      <c r="H56" t="s">
        <v>694</v>
      </c>
    </row>
    <row r="57" spans="8:8" x14ac:dyDescent="0.25">
      <c r="H57" t="s">
        <v>670</v>
      </c>
    </row>
    <row r="58" spans="8:8" x14ac:dyDescent="0.25">
      <c r="H58" t="s">
        <v>931</v>
      </c>
    </row>
    <row r="59" spans="8:8" x14ac:dyDescent="0.25">
      <c r="H59" t="s">
        <v>31</v>
      </c>
    </row>
    <row r="61" spans="8:8" x14ac:dyDescent="0.25">
      <c r="H61" t="s">
        <v>696</v>
      </c>
    </row>
    <row r="62" spans="8:8" x14ac:dyDescent="0.25">
      <c r="H62" t="s">
        <v>697</v>
      </c>
    </row>
    <row r="63" spans="8:8" x14ac:dyDescent="0.25">
      <c r="H63" t="s">
        <v>670</v>
      </c>
    </row>
    <row r="64" spans="8:8" x14ac:dyDescent="0.25">
      <c r="H64" t="s">
        <v>932</v>
      </c>
    </row>
    <row r="65" spans="8:8" x14ac:dyDescent="0.25">
      <c r="H65" t="s">
        <v>31</v>
      </c>
    </row>
    <row r="67" spans="8:8" x14ac:dyDescent="0.25">
      <c r="H67" t="s">
        <v>720</v>
      </c>
    </row>
    <row r="68" spans="8:8" x14ac:dyDescent="0.25">
      <c r="H68" t="s">
        <v>721</v>
      </c>
    </row>
    <row r="69" spans="8:8" x14ac:dyDescent="0.25">
      <c r="H69" t="s">
        <v>670</v>
      </c>
    </row>
    <row r="70" spans="8:8" x14ac:dyDescent="0.25">
      <c r="H70" t="s">
        <v>933</v>
      </c>
    </row>
    <row r="71" spans="8:8" x14ac:dyDescent="0.25">
      <c r="H71" t="s">
        <v>31</v>
      </c>
    </row>
    <row r="73" spans="8:8" x14ac:dyDescent="0.25">
      <c r="H73" t="s">
        <v>723</v>
      </c>
    </row>
    <row r="74" spans="8:8" x14ac:dyDescent="0.25">
      <c r="H74" t="s">
        <v>2375</v>
      </c>
    </row>
    <row r="75" spans="8:8" x14ac:dyDescent="0.25">
      <c r="H75" t="s">
        <v>670</v>
      </c>
    </row>
    <row r="76" spans="8:8" x14ac:dyDescent="0.25">
      <c r="H76" t="s">
        <v>2421</v>
      </c>
    </row>
    <row r="77" spans="8:8" x14ac:dyDescent="0.25">
      <c r="H77" t="s">
        <v>31</v>
      </c>
    </row>
    <row r="79" spans="8:8" x14ac:dyDescent="0.25">
      <c r="H79" t="s">
        <v>724</v>
      </c>
    </row>
    <row r="80" spans="8:8" x14ac:dyDescent="0.25">
      <c r="H80" t="s">
        <v>2377</v>
      </c>
    </row>
    <row r="81" spans="8:8" x14ac:dyDescent="0.25">
      <c r="H81" t="s">
        <v>670</v>
      </c>
    </row>
    <row r="82" spans="8:8" x14ac:dyDescent="0.25">
      <c r="H82" t="s">
        <v>2422</v>
      </c>
    </row>
    <row r="83" spans="8:8" x14ac:dyDescent="0.25">
      <c r="H83" t="s">
        <v>31</v>
      </c>
    </row>
    <row r="85" spans="8:8" x14ac:dyDescent="0.25">
      <c r="H85" t="s">
        <v>729</v>
      </c>
    </row>
    <row r="86" spans="8:8" x14ac:dyDescent="0.25">
      <c r="H86" t="s">
        <v>2379</v>
      </c>
    </row>
    <row r="87" spans="8:8" x14ac:dyDescent="0.25">
      <c r="H87" t="s">
        <v>670</v>
      </c>
    </row>
    <row r="88" spans="8:8" x14ac:dyDescent="0.25">
      <c r="H88" t="s">
        <v>2423</v>
      </c>
    </row>
    <row r="89" spans="8:8" x14ac:dyDescent="0.25">
      <c r="H89" t="s">
        <v>31</v>
      </c>
    </row>
    <row r="91" spans="8:8" x14ac:dyDescent="0.25">
      <c r="H91" t="s">
        <v>735</v>
      </c>
    </row>
    <row r="92" spans="8:8" x14ac:dyDescent="0.25">
      <c r="H92" t="s">
        <v>2381</v>
      </c>
    </row>
    <row r="93" spans="8:8" x14ac:dyDescent="0.25">
      <c r="H93" t="s">
        <v>670</v>
      </c>
    </row>
    <row r="94" spans="8:8" x14ac:dyDescent="0.25">
      <c r="H94" t="s">
        <v>2424</v>
      </c>
    </row>
    <row r="95" spans="8:8" x14ac:dyDescent="0.25">
      <c r="H95" t="s">
        <v>31</v>
      </c>
    </row>
    <row r="97" spans="8:8" x14ac:dyDescent="0.25">
      <c r="H97" t="s">
        <v>738</v>
      </c>
    </row>
    <row r="98" spans="8:8" x14ac:dyDescent="0.25">
      <c r="H98" t="s">
        <v>2383</v>
      </c>
    </row>
    <row r="99" spans="8:8" x14ac:dyDescent="0.25">
      <c r="H99" t="s">
        <v>670</v>
      </c>
    </row>
    <row r="100" spans="8:8" x14ac:dyDescent="0.25">
      <c r="H100" t="s">
        <v>2425</v>
      </c>
    </row>
    <row r="101" spans="8:8" x14ac:dyDescent="0.25">
      <c r="H101" t="s">
        <v>31</v>
      </c>
    </row>
    <row r="102" spans="8:8" x14ac:dyDescent="0.25">
      <c r="H102" t="s">
        <v>672</v>
      </c>
    </row>
    <row r="103" spans="8:8" x14ac:dyDescent="0.25">
      <c r="H103" t="s">
        <v>2426</v>
      </c>
    </row>
    <row r="104" spans="8:8" x14ac:dyDescent="0.25">
      <c r="H104" t="s">
        <v>31</v>
      </c>
    </row>
    <row r="105" spans="8:8" x14ac:dyDescent="0.25">
      <c r="H105" t="s">
        <v>674</v>
      </c>
    </row>
    <row r="106" spans="8:8" x14ac:dyDescent="0.25">
      <c r="H106" t="s">
        <v>2427</v>
      </c>
    </row>
    <row r="107" spans="8:8" x14ac:dyDescent="0.25">
      <c r="H107" t="s">
        <v>31</v>
      </c>
    </row>
    <row r="108" spans="8:8" x14ac:dyDescent="0.25">
      <c r="H108" t="s">
        <v>676</v>
      </c>
    </row>
    <row r="109" spans="8:8" x14ac:dyDescent="0.25">
      <c r="H109" t="s">
        <v>2428</v>
      </c>
    </row>
    <row r="110" spans="8:8" x14ac:dyDescent="0.25">
      <c r="H110" t="s">
        <v>31</v>
      </c>
    </row>
    <row r="112" spans="8:8" x14ac:dyDescent="0.25">
      <c r="H112" t="s">
        <v>744</v>
      </c>
    </row>
    <row r="113" spans="8:8" x14ac:dyDescent="0.25">
      <c r="H113" t="s">
        <v>730</v>
      </c>
    </row>
    <row r="114" spans="8:8" x14ac:dyDescent="0.25">
      <c r="H114" t="s">
        <v>670</v>
      </c>
    </row>
    <row r="115" spans="8:8" x14ac:dyDescent="0.25">
      <c r="H115" t="s">
        <v>934</v>
      </c>
    </row>
    <row r="116" spans="8:8" x14ac:dyDescent="0.25">
      <c r="H116" t="s">
        <v>31</v>
      </c>
    </row>
    <row r="117" spans="8:8" x14ac:dyDescent="0.25">
      <c r="H117" t="s">
        <v>672</v>
      </c>
    </row>
    <row r="118" spans="8:8" x14ac:dyDescent="0.25">
      <c r="H118" t="s">
        <v>935</v>
      </c>
    </row>
    <row r="119" spans="8:8" x14ac:dyDescent="0.25">
      <c r="H119" t="s">
        <v>31</v>
      </c>
    </row>
    <row r="120" spans="8:8" x14ac:dyDescent="0.25">
      <c r="H120" t="s">
        <v>674</v>
      </c>
    </row>
    <row r="121" spans="8:8" x14ac:dyDescent="0.25">
      <c r="H121" t="s">
        <v>936</v>
      </c>
    </row>
    <row r="122" spans="8:8" x14ac:dyDescent="0.25">
      <c r="H122" t="s">
        <v>31</v>
      </c>
    </row>
    <row r="123" spans="8:8" x14ac:dyDescent="0.25">
      <c r="H123" t="s">
        <v>676</v>
      </c>
    </row>
    <row r="124" spans="8:8" x14ac:dyDescent="0.25">
      <c r="H124" t="s">
        <v>937</v>
      </c>
    </row>
    <row r="125" spans="8:8" x14ac:dyDescent="0.25">
      <c r="H125" t="s">
        <v>31</v>
      </c>
    </row>
    <row r="127" spans="8:8" x14ac:dyDescent="0.25">
      <c r="H127" t="s">
        <v>745</v>
      </c>
    </row>
    <row r="128" spans="8:8" x14ac:dyDescent="0.25">
      <c r="H128" t="s">
        <v>736</v>
      </c>
    </row>
    <row r="129" spans="8:8" x14ac:dyDescent="0.25">
      <c r="H129" t="s">
        <v>670</v>
      </c>
    </row>
    <row r="130" spans="8:8" x14ac:dyDescent="0.25">
      <c r="H130" t="s">
        <v>938</v>
      </c>
    </row>
    <row r="131" spans="8:8" x14ac:dyDescent="0.25">
      <c r="H131" t="s">
        <v>31</v>
      </c>
    </row>
    <row r="133" spans="8:8" x14ac:dyDescent="0.25">
      <c r="H133" t="s">
        <v>748</v>
      </c>
    </row>
    <row r="134" spans="8:8" x14ac:dyDescent="0.25">
      <c r="H134" t="s">
        <v>739</v>
      </c>
    </row>
    <row r="135" spans="8:8" x14ac:dyDescent="0.25">
      <c r="H135" t="s">
        <v>670</v>
      </c>
    </row>
    <row r="136" spans="8:8" x14ac:dyDescent="0.25">
      <c r="H136" t="s">
        <v>939</v>
      </c>
    </row>
    <row r="137" spans="8:8" x14ac:dyDescent="0.25">
      <c r="H137" t="s">
        <v>31</v>
      </c>
    </row>
    <row r="139" spans="8:8" x14ac:dyDescent="0.25">
      <c r="H139" t="s">
        <v>749</v>
      </c>
    </row>
    <row r="140" spans="8:8" x14ac:dyDescent="0.25">
      <c r="H140" t="s">
        <v>742</v>
      </c>
    </row>
    <row r="141" spans="8:8" x14ac:dyDescent="0.25">
      <c r="H141" t="s">
        <v>670</v>
      </c>
    </row>
    <row r="142" spans="8:8" x14ac:dyDescent="0.25">
      <c r="H142" t="s">
        <v>940</v>
      </c>
    </row>
    <row r="143" spans="8:8" x14ac:dyDescent="0.25">
      <c r="H143" t="s">
        <v>31</v>
      </c>
    </row>
    <row r="145" spans="8:8" x14ac:dyDescent="0.25">
      <c r="H145" t="s">
        <v>754</v>
      </c>
    </row>
    <row r="146" spans="8:8" x14ac:dyDescent="0.25">
      <c r="H146" t="s">
        <v>1657</v>
      </c>
    </row>
    <row r="147" spans="8:8" x14ac:dyDescent="0.25">
      <c r="H147" t="s">
        <v>670</v>
      </c>
    </row>
    <row r="148" spans="8:8" x14ac:dyDescent="0.25">
      <c r="H148" t="s">
        <v>1665</v>
      </c>
    </row>
    <row r="149" spans="8:8" x14ac:dyDescent="0.25">
      <c r="H149" t="s">
        <v>31</v>
      </c>
    </row>
    <row r="151" spans="8:8" x14ac:dyDescent="0.25">
      <c r="H151" t="s">
        <v>757</v>
      </c>
    </row>
    <row r="152" spans="8:8" x14ac:dyDescent="0.25">
      <c r="H152" t="s">
        <v>746</v>
      </c>
    </row>
    <row r="153" spans="8:8" x14ac:dyDescent="0.25">
      <c r="H153" t="s">
        <v>670</v>
      </c>
    </row>
    <row r="154" spans="8:8" x14ac:dyDescent="0.25">
      <c r="H154" t="s">
        <v>941</v>
      </c>
    </row>
    <row r="155" spans="8:8" x14ac:dyDescent="0.25">
      <c r="H155" t="s">
        <v>31</v>
      </c>
    </row>
    <row r="157" spans="8:8" x14ac:dyDescent="0.25">
      <c r="H157" t="s">
        <v>760</v>
      </c>
    </row>
    <row r="158" spans="8:8" x14ac:dyDescent="0.25">
      <c r="H158" t="s">
        <v>1942</v>
      </c>
    </row>
    <row r="159" spans="8:8" x14ac:dyDescent="0.25">
      <c r="H159" t="s">
        <v>670</v>
      </c>
    </row>
    <row r="160" spans="8:8" x14ac:dyDescent="0.25">
      <c r="H160" t="s">
        <v>2002</v>
      </c>
    </row>
    <row r="161" spans="8:8" x14ac:dyDescent="0.25">
      <c r="H161" t="s">
        <v>31</v>
      </c>
    </row>
    <row r="163" spans="8:8" x14ac:dyDescent="0.25">
      <c r="H163" t="s">
        <v>763</v>
      </c>
    </row>
    <row r="164" spans="8:8" x14ac:dyDescent="0.25">
      <c r="H164" t="s">
        <v>2388</v>
      </c>
    </row>
    <row r="165" spans="8:8" x14ac:dyDescent="0.25">
      <c r="H165" t="s">
        <v>670</v>
      </c>
    </row>
    <row r="166" spans="8:8" x14ac:dyDescent="0.25">
      <c r="H166" t="s">
        <v>2429</v>
      </c>
    </row>
    <row r="167" spans="8:8" x14ac:dyDescent="0.25">
      <c r="H167" t="s">
        <v>31</v>
      </c>
    </row>
    <row r="169" spans="8:8" x14ac:dyDescent="0.25">
      <c r="H169" t="s">
        <v>766</v>
      </c>
    </row>
    <row r="170" spans="8:8" x14ac:dyDescent="0.25">
      <c r="H170" t="s">
        <v>1944</v>
      </c>
    </row>
    <row r="171" spans="8:8" x14ac:dyDescent="0.25">
      <c r="H171" t="s">
        <v>670</v>
      </c>
    </row>
    <row r="172" spans="8:8" x14ac:dyDescent="0.25">
      <c r="H172" t="s">
        <v>2003</v>
      </c>
    </row>
    <row r="173" spans="8:8" x14ac:dyDescent="0.25">
      <c r="H173" t="s">
        <v>31</v>
      </c>
    </row>
    <row r="175" spans="8:8" x14ac:dyDescent="0.25">
      <c r="H175" t="s">
        <v>796</v>
      </c>
    </row>
    <row r="176" spans="8:8" x14ac:dyDescent="0.25">
      <c r="H176" t="s">
        <v>750</v>
      </c>
    </row>
    <row r="177" spans="8:8" x14ac:dyDescent="0.25">
      <c r="H177" t="s">
        <v>670</v>
      </c>
    </row>
    <row r="178" spans="8:8" x14ac:dyDescent="0.25">
      <c r="H178" t="s">
        <v>942</v>
      </c>
    </row>
    <row r="179" spans="8:8" x14ac:dyDescent="0.25">
      <c r="H179" t="s">
        <v>31</v>
      </c>
    </row>
    <row r="180" spans="8:8" x14ac:dyDescent="0.25">
      <c r="H180" t="s">
        <v>752</v>
      </c>
    </row>
    <row r="181" spans="8:8" x14ac:dyDescent="0.25">
      <c r="H181" t="s">
        <v>672</v>
      </c>
    </row>
    <row r="182" spans="8:8" x14ac:dyDescent="0.25">
      <c r="H182" t="s">
        <v>943</v>
      </c>
    </row>
    <row r="183" spans="8:8" x14ac:dyDescent="0.25">
      <c r="H183" t="s">
        <v>31</v>
      </c>
    </row>
    <row r="185" spans="8:8" x14ac:dyDescent="0.25">
      <c r="H185" t="s">
        <v>819</v>
      </c>
    </row>
    <row r="186" spans="8:8" x14ac:dyDescent="0.25">
      <c r="H186" t="s">
        <v>2093</v>
      </c>
    </row>
    <row r="187" spans="8:8" x14ac:dyDescent="0.25">
      <c r="H187" t="s">
        <v>670</v>
      </c>
    </row>
    <row r="188" spans="8:8" x14ac:dyDescent="0.25">
      <c r="H188" t="s">
        <v>2147</v>
      </c>
    </row>
    <row r="189" spans="8:8" x14ac:dyDescent="0.25">
      <c r="H189" t="s">
        <v>31</v>
      </c>
    </row>
    <row r="190" spans="8:8" x14ac:dyDescent="0.25">
      <c r="H190" t="s">
        <v>672</v>
      </c>
    </row>
    <row r="191" spans="8:8" x14ac:dyDescent="0.25">
      <c r="H191" t="s">
        <v>2148</v>
      </c>
    </row>
    <row r="192" spans="8:8" x14ac:dyDescent="0.25">
      <c r="H192" t="s">
        <v>31</v>
      </c>
    </row>
    <row r="193" spans="8:8" x14ac:dyDescent="0.25">
      <c r="H193" t="s">
        <v>674</v>
      </c>
    </row>
    <row r="194" spans="8:8" x14ac:dyDescent="0.25">
      <c r="H194" t="s">
        <v>2149</v>
      </c>
    </row>
    <row r="195" spans="8:8" x14ac:dyDescent="0.25">
      <c r="H195" t="s">
        <v>31</v>
      </c>
    </row>
    <row r="196" spans="8:8" x14ac:dyDescent="0.25">
      <c r="H196" t="s">
        <v>676</v>
      </c>
    </row>
    <row r="197" spans="8:8" x14ac:dyDescent="0.25">
      <c r="H197" t="s">
        <v>2150</v>
      </c>
    </row>
    <row r="198" spans="8:8" x14ac:dyDescent="0.25">
      <c r="H198" t="s">
        <v>31</v>
      </c>
    </row>
    <row r="200" spans="8:8" x14ac:dyDescent="0.25">
      <c r="H200" t="s">
        <v>822</v>
      </c>
    </row>
    <row r="201" spans="8:8" x14ac:dyDescent="0.25">
      <c r="H201" t="s">
        <v>2098</v>
      </c>
    </row>
    <row r="202" spans="8:8" x14ac:dyDescent="0.25">
      <c r="H202" t="s">
        <v>670</v>
      </c>
    </row>
    <row r="203" spans="8:8" x14ac:dyDescent="0.25">
      <c r="H203" t="s">
        <v>2151</v>
      </c>
    </row>
    <row r="204" spans="8:8" x14ac:dyDescent="0.25">
      <c r="H204" t="s">
        <v>31</v>
      </c>
    </row>
    <row r="205" spans="8:8" x14ac:dyDescent="0.25">
      <c r="H205" t="s">
        <v>672</v>
      </c>
    </row>
    <row r="206" spans="8:8" x14ac:dyDescent="0.25">
      <c r="H206" t="s">
        <v>2152</v>
      </c>
    </row>
    <row r="207" spans="8:8" x14ac:dyDescent="0.25">
      <c r="H207" t="s">
        <v>31</v>
      </c>
    </row>
    <row r="208" spans="8:8" x14ac:dyDescent="0.25">
      <c r="H208" t="s">
        <v>674</v>
      </c>
    </row>
    <row r="209" spans="8:8" x14ac:dyDescent="0.25">
      <c r="H209" t="s">
        <v>2153</v>
      </c>
    </row>
    <row r="210" spans="8:8" x14ac:dyDescent="0.25">
      <c r="H210" t="s">
        <v>31</v>
      </c>
    </row>
    <row r="211" spans="8:8" x14ac:dyDescent="0.25">
      <c r="H211" t="s">
        <v>676</v>
      </c>
    </row>
    <row r="212" spans="8:8" x14ac:dyDescent="0.25">
      <c r="H212" t="s">
        <v>2154</v>
      </c>
    </row>
    <row r="213" spans="8:8" x14ac:dyDescent="0.25">
      <c r="H213" t="s">
        <v>31</v>
      </c>
    </row>
    <row r="215" spans="8:8" x14ac:dyDescent="0.25">
      <c r="H215" t="s">
        <v>825</v>
      </c>
    </row>
    <row r="216" spans="8:8" x14ac:dyDescent="0.25">
      <c r="H216" t="s">
        <v>2103</v>
      </c>
    </row>
    <row r="217" spans="8:8" x14ac:dyDescent="0.25">
      <c r="H217" t="s">
        <v>670</v>
      </c>
    </row>
    <row r="218" spans="8:8" x14ac:dyDescent="0.25">
      <c r="H218" t="s">
        <v>2155</v>
      </c>
    </row>
    <row r="219" spans="8:8" x14ac:dyDescent="0.25">
      <c r="H219" t="s">
        <v>31</v>
      </c>
    </row>
    <row r="220" spans="8:8" x14ac:dyDescent="0.25">
      <c r="H220" t="s">
        <v>672</v>
      </c>
    </row>
    <row r="221" spans="8:8" x14ac:dyDescent="0.25">
      <c r="H221" t="s">
        <v>2156</v>
      </c>
    </row>
    <row r="222" spans="8:8" x14ac:dyDescent="0.25">
      <c r="H222" t="s">
        <v>31</v>
      </c>
    </row>
    <row r="223" spans="8:8" x14ac:dyDescent="0.25">
      <c r="H223" t="s">
        <v>674</v>
      </c>
    </row>
    <row r="224" spans="8:8" x14ac:dyDescent="0.25">
      <c r="H224" t="s">
        <v>2157</v>
      </c>
    </row>
    <row r="225" spans="8:8" x14ac:dyDescent="0.25">
      <c r="H225" t="s">
        <v>31</v>
      </c>
    </row>
    <row r="226" spans="8:8" x14ac:dyDescent="0.25">
      <c r="H226" t="s">
        <v>676</v>
      </c>
    </row>
    <row r="227" spans="8:8" x14ac:dyDescent="0.25">
      <c r="H227" t="s">
        <v>2158</v>
      </c>
    </row>
    <row r="228" spans="8:8" x14ac:dyDescent="0.25">
      <c r="H228" t="s">
        <v>31</v>
      </c>
    </row>
    <row r="230" spans="8:8" x14ac:dyDescent="0.25">
      <c r="H230" t="s">
        <v>828</v>
      </c>
    </row>
    <row r="231" spans="8:8" x14ac:dyDescent="0.25">
      <c r="H231" t="s">
        <v>2108</v>
      </c>
    </row>
    <row r="232" spans="8:8" x14ac:dyDescent="0.25">
      <c r="H232" t="s">
        <v>670</v>
      </c>
    </row>
    <row r="233" spans="8:8" x14ac:dyDescent="0.25">
      <c r="H233" t="s">
        <v>2159</v>
      </c>
    </row>
    <row r="234" spans="8:8" x14ac:dyDescent="0.25">
      <c r="H234" t="s">
        <v>31</v>
      </c>
    </row>
    <row r="236" spans="8:8" x14ac:dyDescent="0.25">
      <c r="H236" t="s">
        <v>831</v>
      </c>
    </row>
    <row r="237" spans="8:8" x14ac:dyDescent="0.25">
      <c r="H237" t="s">
        <v>2110</v>
      </c>
    </row>
    <row r="238" spans="8:8" x14ac:dyDescent="0.25">
      <c r="H238" t="s">
        <v>670</v>
      </c>
    </row>
    <row r="239" spans="8:8" x14ac:dyDescent="0.25">
      <c r="H239" t="s">
        <v>2160</v>
      </c>
    </row>
    <row r="240" spans="8:8" x14ac:dyDescent="0.25">
      <c r="H240" t="s">
        <v>31</v>
      </c>
    </row>
    <row r="242" spans="8:8" x14ac:dyDescent="0.25">
      <c r="H242" t="s">
        <v>834</v>
      </c>
    </row>
    <row r="243" spans="8:8" x14ac:dyDescent="0.25">
      <c r="H243" t="s">
        <v>2112</v>
      </c>
    </row>
    <row r="244" spans="8:8" x14ac:dyDescent="0.25">
      <c r="H244" t="s">
        <v>670</v>
      </c>
    </row>
    <row r="245" spans="8:8" x14ac:dyDescent="0.25">
      <c r="H245" t="s">
        <v>2161</v>
      </c>
    </row>
    <row r="246" spans="8:8" x14ac:dyDescent="0.25">
      <c r="H246" t="s">
        <v>31</v>
      </c>
    </row>
    <row r="247" spans="8:8" x14ac:dyDescent="0.25">
      <c r="H247" t="s">
        <v>672</v>
      </c>
    </row>
    <row r="248" spans="8:8" x14ac:dyDescent="0.25">
      <c r="H248" t="s">
        <v>2162</v>
      </c>
    </row>
    <row r="249" spans="8:8" x14ac:dyDescent="0.25">
      <c r="H249" t="s">
        <v>31</v>
      </c>
    </row>
    <row r="250" spans="8:8" x14ac:dyDescent="0.25">
      <c r="H250" t="s">
        <v>674</v>
      </c>
    </row>
    <row r="251" spans="8:8" x14ac:dyDescent="0.25">
      <c r="H251" t="s">
        <v>2163</v>
      </c>
    </row>
    <row r="252" spans="8:8" x14ac:dyDescent="0.25">
      <c r="H252" t="s">
        <v>31</v>
      </c>
    </row>
    <row r="253" spans="8:8" x14ac:dyDescent="0.25">
      <c r="H253" t="s">
        <v>676</v>
      </c>
    </row>
    <row r="254" spans="8:8" x14ac:dyDescent="0.25">
      <c r="H254" t="s">
        <v>2164</v>
      </c>
    </row>
    <row r="255" spans="8:8" x14ac:dyDescent="0.25">
      <c r="H255" t="s">
        <v>31</v>
      </c>
    </row>
    <row r="257" spans="8:8" x14ac:dyDescent="0.25">
      <c r="H257" t="s">
        <v>837</v>
      </c>
    </row>
    <row r="258" spans="8:8" x14ac:dyDescent="0.25">
      <c r="H258" t="s">
        <v>2117</v>
      </c>
    </row>
    <row r="259" spans="8:8" x14ac:dyDescent="0.25">
      <c r="H259" t="s">
        <v>670</v>
      </c>
    </row>
    <row r="260" spans="8:8" x14ac:dyDescent="0.25">
      <c r="H260" t="s">
        <v>2165</v>
      </c>
    </row>
    <row r="261" spans="8:8" x14ac:dyDescent="0.25">
      <c r="H261" t="s">
        <v>31</v>
      </c>
    </row>
    <row r="262" spans="8:8" x14ac:dyDescent="0.25">
      <c r="H262" t="s">
        <v>672</v>
      </c>
    </row>
    <row r="263" spans="8:8" x14ac:dyDescent="0.25">
      <c r="H263" t="s">
        <v>2166</v>
      </c>
    </row>
    <row r="264" spans="8:8" x14ac:dyDescent="0.25">
      <c r="H264" t="s">
        <v>31</v>
      </c>
    </row>
    <row r="265" spans="8:8" x14ac:dyDescent="0.25">
      <c r="H265" t="s">
        <v>674</v>
      </c>
    </row>
    <row r="266" spans="8:8" x14ac:dyDescent="0.25">
      <c r="H266" t="s">
        <v>2167</v>
      </c>
    </row>
    <row r="267" spans="8:8" x14ac:dyDescent="0.25">
      <c r="H267" t="s">
        <v>31</v>
      </c>
    </row>
    <row r="268" spans="8:8" x14ac:dyDescent="0.25">
      <c r="H268" t="s">
        <v>676</v>
      </c>
    </row>
    <row r="269" spans="8:8" x14ac:dyDescent="0.25">
      <c r="H269" t="s">
        <v>2168</v>
      </c>
    </row>
    <row r="270" spans="8:8" x14ac:dyDescent="0.25">
      <c r="H270" t="s">
        <v>31</v>
      </c>
    </row>
    <row r="272" spans="8:8" x14ac:dyDescent="0.25">
      <c r="H272" t="s">
        <v>840</v>
      </c>
    </row>
    <row r="273" spans="8:8" x14ac:dyDescent="0.25">
      <c r="H273" t="s">
        <v>2122</v>
      </c>
    </row>
    <row r="274" spans="8:8" x14ac:dyDescent="0.25">
      <c r="H274" t="s">
        <v>670</v>
      </c>
    </row>
    <row r="275" spans="8:8" x14ac:dyDescent="0.25">
      <c r="H275" t="s">
        <v>2169</v>
      </c>
    </row>
    <row r="276" spans="8:8" x14ac:dyDescent="0.25">
      <c r="H276" t="s">
        <v>31</v>
      </c>
    </row>
    <row r="277" spans="8:8" x14ac:dyDescent="0.25">
      <c r="H277" t="s">
        <v>672</v>
      </c>
    </row>
    <row r="278" spans="8:8" x14ac:dyDescent="0.25">
      <c r="H278" t="s">
        <v>2170</v>
      </c>
    </row>
    <row r="279" spans="8:8" x14ac:dyDescent="0.25">
      <c r="H279" t="s">
        <v>31</v>
      </c>
    </row>
    <row r="280" spans="8:8" x14ac:dyDescent="0.25">
      <c r="H280" t="s">
        <v>674</v>
      </c>
    </row>
    <row r="281" spans="8:8" x14ac:dyDescent="0.25">
      <c r="H281" t="s">
        <v>2171</v>
      </c>
    </row>
    <row r="282" spans="8:8" x14ac:dyDescent="0.25">
      <c r="H282" t="s">
        <v>31</v>
      </c>
    </row>
    <row r="283" spans="8:8" x14ac:dyDescent="0.25">
      <c r="H283" t="s">
        <v>676</v>
      </c>
    </row>
    <row r="284" spans="8:8" x14ac:dyDescent="0.25">
      <c r="H284" t="s">
        <v>2172</v>
      </c>
    </row>
    <row r="285" spans="8:8" x14ac:dyDescent="0.25">
      <c r="H285" t="s">
        <v>31</v>
      </c>
    </row>
    <row r="287" spans="8:8" x14ac:dyDescent="0.25">
      <c r="H287" t="s">
        <v>843</v>
      </c>
    </row>
    <row r="288" spans="8:8" x14ac:dyDescent="0.25">
      <c r="H288" t="s">
        <v>2127</v>
      </c>
    </row>
    <row r="289" spans="8:8" x14ac:dyDescent="0.25">
      <c r="H289" t="s">
        <v>670</v>
      </c>
    </row>
    <row r="290" spans="8:8" x14ac:dyDescent="0.25">
      <c r="H290" t="s">
        <v>2173</v>
      </c>
    </row>
    <row r="291" spans="8:8" x14ac:dyDescent="0.25">
      <c r="H291" t="s">
        <v>31</v>
      </c>
    </row>
    <row r="293" spans="8:8" x14ac:dyDescent="0.25">
      <c r="H293" t="s">
        <v>846</v>
      </c>
    </row>
    <row r="294" spans="8:8" x14ac:dyDescent="0.25">
      <c r="H294" t="s">
        <v>2129</v>
      </c>
    </row>
    <row r="295" spans="8:8" x14ac:dyDescent="0.25">
      <c r="H295" t="s">
        <v>670</v>
      </c>
    </row>
    <row r="296" spans="8:8" x14ac:dyDescent="0.25">
      <c r="H296" t="s">
        <v>2174</v>
      </c>
    </row>
    <row r="297" spans="8:8" x14ac:dyDescent="0.25">
      <c r="H297" t="s">
        <v>31</v>
      </c>
    </row>
    <row r="299" spans="8:8" x14ac:dyDescent="0.25">
      <c r="H299" t="s">
        <v>855</v>
      </c>
    </row>
    <row r="300" spans="8:8" x14ac:dyDescent="0.25">
      <c r="H300" t="s">
        <v>767</v>
      </c>
    </row>
    <row r="301" spans="8:8" x14ac:dyDescent="0.25">
      <c r="H301" t="s">
        <v>670</v>
      </c>
    </row>
    <row r="302" spans="8:8" x14ac:dyDescent="0.25">
      <c r="H302" t="s">
        <v>944</v>
      </c>
    </row>
    <row r="303" spans="8:8" x14ac:dyDescent="0.25">
      <c r="H303" t="s">
        <v>31</v>
      </c>
    </row>
    <row r="305" spans="8:8" x14ac:dyDescent="0.25">
      <c r="H305" t="s">
        <v>861</v>
      </c>
    </row>
    <row r="306" spans="8:8" x14ac:dyDescent="0.25">
      <c r="H306" t="s">
        <v>770</v>
      </c>
    </row>
    <row r="307" spans="8:8" x14ac:dyDescent="0.25">
      <c r="H307" t="s">
        <v>670</v>
      </c>
    </row>
    <row r="308" spans="8:8" x14ac:dyDescent="0.25">
      <c r="H308" t="s">
        <v>945</v>
      </c>
    </row>
    <row r="309" spans="8:8" x14ac:dyDescent="0.25">
      <c r="H309" t="s">
        <v>31</v>
      </c>
    </row>
    <row r="311" spans="8:8" x14ac:dyDescent="0.25">
      <c r="H311" t="s">
        <v>871</v>
      </c>
    </row>
    <row r="312" spans="8:8" x14ac:dyDescent="0.25">
      <c r="H312" t="s">
        <v>785</v>
      </c>
    </row>
    <row r="313" spans="8:8" x14ac:dyDescent="0.25">
      <c r="H313" t="s">
        <v>670</v>
      </c>
    </row>
    <row r="314" spans="8:8" x14ac:dyDescent="0.25">
      <c r="H314" t="s">
        <v>946</v>
      </c>
    </row>
    <row r="315" spans="8:8" x14ac:dyDescent="0.25">
      <c r="H315" t="s">
        <v>31</v>
      </c>
    </row>
    <row r="317" spans="8:8" x14ac:dyDescent="0.25">
      <c r="H317" t="s">
        <v>872</v>
      </c>
    </row>
    <row r="318" spans="8:8" x14ac:dyDescent="0.25">
      <c r="H318" t="s">
        <v>788</v>
      </c>
    </row>
    <row r="319" spans="8:8" x14ac:dyDescent="0.25">
      <c r="H319" t="s">
        <v>670</v>
      </c>
    </row>
    <row r="320" spans="8:8" x14ac:dyDescent="0.25">
      <c r="H320" t="s">
        <v>947</v>
      </c>
    </row>
    <row r="321" spans="8:8" x14ac:dyDescent="0.25">
      <c r="H321" t="s">
        <v>31</v>
      </c>
    </row>
    <row r="323" spans="8:8" x14ac:dyDescent="0.25">
      <c r="H323" t="s">
        <v>878</v>
      </c>
    </row>
    <row r="324" spans="8:8" x14ac:dyDescent="0.25">
      <c r="H324" t="s">
        <v>791</v>
      </c>
    </row>
    <row r="325" spans="8:8" x14ac:dyDescent="0.25">
      <c r="H325" t="s">
        <v>670</v>
      </c>
    </row>
    <row r="326" spans="8:8" x14ac:dyDescent="0.25">
      <c r="H326" t="s">
        <v>948</v>
      </c>
    </row>
    <row r="327" spans="8:8" x14ac:dyDescent="0.25">
      <c r="H327" t="s">
        <v>31</v>
      </c>
    </row>
    <row r="329" spans="8:8" x14ac:dyDescent="0.25">
      <c r="H329" t="s">
        <v>884</v>
      </c>
    </row>
    <row r="330" spans="8:8" x14ac:dyDescent="0.25">
      <c r="H330" t="s">
        <v>794</v>
      </c>
    </row>
    <row r="331" spans="8:8" x14ac:dyDescent="0.25">
      <c r="H331" t="s">
        <v>670</v>
      </c>
    </row>
    <row r="332" spans="8:8" x14ac:dyDescent="0.25">
      <c r="H332" t="s">
        <v>949</v>
      </c>
    </row>
    <row r="333" spans="8:8" x14ac:dyDescent="0.25">
      <c r="H333" t="s">
        <v>31</v>
      </c>
    </row>
    <row r="335" spans="8:8" x14ac:dyDescent="0.25">
      <c r="H335" t="s">
        <v>898</v>
      </c>
    </row>
    <row r="336" spans="8:8" x14ac:dyDescent="0.25">
      <c r="H336" t="s">
        <v>803</v>
      </c>
    </row>
    <row r="337" spans="8:8" x14ac:dyDescent="0.25">
      <c r="H337" t="s">
        <v>670</v>
      </c>
    </row>
    <row r="338" spans="8:8" x14ac:dyDescent="0.25">
      <c r="H338" t="s">
        <v>950</v>
      </c>
    </row>
    <row r="339" spans="8:8" x14ac:dyDescent="0.25">
      <c r="H339" t="s">
        <v>31</v>
      </c>
    </row>
    <row r="340" spans="8:8" x14ac:dyDescent="0.25">
      <c r="H340" t="s">
        <v>672</v>
      </c>
    </row>
    <row r="341" spans="8:8" x14ac:dyDescent="0.25">
      <c r="H341" t="s">
        <v>951</v>
      </c>
    </row>
    <row r="342" spans="8:8" x14ac:dyDescent="0.25">
      <c r="H342" t="s">
        <v>31</v>
      </c>
    </row>
    <row r="343" spans="8:8" x14ac:dyDescent="0.25">
      <c r="H343" t="s">
        <v>674</v>
      </c>
    </row>
    <row r="344" spans="8:8" x14ac:dyDescent="0.25">
      <c r="H344" t="s">
        <v>952</v>
      </c>
    </row>
    <row r="345" spans="8:8" x14ac:dyDescent="0.25">
      <c r="H345" t="s">
        <v>31</v>
      </c>
    </row>
    <row r="346" spans="8:8" x14ac:dyDescent="0.25">
      <c r="H346" t="s">
        <v>676</v>
      </c>
    </row>
    <row r="347" spans="8:8" x14ac:dyDescent="0.25">
      <c r="H347" t="s">
        <v>953</v>
      </c>
    </row>
    <row r="348" spans="8:8" x14ac:dyDescent="0.25">
      <c r="H348" t="s">
        <v>31</v>
      </c>
    </row>
    <row r="350" spans="8:8" x14ac:dyDescent="0.25">
      <c r="H350" t="s">
        <v>906</v>
      </c>
    </row>
    <row r="351" spans="8:8" x14ac:dyDescent="0.25">
      <c r="H351" t="s">
        <v>1659</v>
      </c>
    </row>
    <row r="352" spans="8:8" x14ac:dyDescent="0.25">
      <c r="H352" t="s">
        <v>670</v>
      </c>
    </row>
    <row r="353" spans="8:8" x14ac:dyDescent="0.25">
      <c r="H353" t="s">
        <v>1666</v>
      </c>
    </row>
    <row r="354" spans="8:8" x14ac:dyDescent="0.25">
      <c r="H354" t="s">
        <v>31</v>
      </c>
    </row>
    <row r="356" spans="8:8" x14ac:dyDescent="0.25">
      <c r="H356" t="s">
        <v>911</v>
      </c>
    </row>
    <row r="357" spans="8:8" x14ac:dyDescent="0.25">
      <c r="H357" t="s">
        <v>1661</v>
      </c>
    </row>
    <row r="358" spans="8:8" x14ac:dyDescent="0.25">
      <c r="H358" t="s">
        <v>670</v>
      </c>
    </row>
    <row r="359" spans="8:8" x14ac:dyDescent="0.25">
      <c r="H359" t="s">
        <v>1667</v>
      </c>
    </row>
    <row r="360" spans="8:8" x14ac:dyDescent="0.25">
      <c r="H360" t="s">
        <v>31</v>
      </c>
    </row>
    <row r="362" spans="8:8" x14ac:dyDescent="0.25">
      <c r="H362" t="s">
        <v>914</v>
      </c>
    </row>
    <row r="363" spans="8:8" x14ac:dyDescent="0.25">
      <c r="H363" t="s">
        <v>2245</v>
      </c>
    </row>
    <row r="364" spans="8:8" x14ac:dyDescent="0.25">
      <c r="H364" t="s">
        <v>670</v>
      </c>
    </row>
    <row r="365" spans="8:8" x14ac:dyDescent="0.25">
      <c r="H365" t="s">
        <v>2282</v>
      </c>
    </row>
    <row r="366" spans="8:8" x14ac:dyDescent="0.25">
      <c r="H366" t="s">
        <v>31</v>
      </c>
    </row>
    <row r="368" spans="8:8" x14ac:dyDescent="0.25">
      <c r="H368" t="s">
        <v>917</v>
      </c>
    </row>
    <row r="369" spans="8:8" x14ac:dyDescent="0.25">
      <c r="H369" t="s">
        <v>809</v>
      </c>
    </row>
    <row r="370" spans="8:8" x14ac:dyDescent="0.25">
      <c r="H370" t="s">
        <v>670</v>
      </c>
    </row>
    <row r="371" spans="8:8" x14ac:dyDescent="0.25">
      <c r="H371" t="s">
        <v>954</v>
      </c>
    </row>
    <row r="372" spans="8:8" x14ac:dyDescent="0.25">
      <c r="H372" t="s">
        <v>31</v>
      </c>
    </row>
    <row r="373" spans="8:8" x14ac:dyDescent="0.25">
      <c r="H373" t="s">
        <v>811</v>
      </c>
    </row>
    <row r="374" spans="8:8" x14ac:dyDescent="0.25">
      <c r="H374" t="s">
        <v>672</v>
      </c>
    </row>
    <row r="375" spans="8:8" x14ac:dyDescent="0.25">
      <c r="H375" t="s">
        <v>955</v>
      </c>
    </row>
    <row r="376" spans="8:8" x14ac:dyDescent="0.25">
      <c r="H376" t="s">
        <v>31</v>
      </c>
    </row>
    <row r="378" spans="8:8" x14ac:dyDescent="0.25">
      <c r="H378" t="s">
        <v>1424</v>
      </c>
    </row>
    <row r="379" spans="8:8" x14ac:dyDescent="0.25">
      <c r="H379" t="s">
        <v>1750</v>
      </c>
    </row>
    <row r="380" spans="8:8" x14ac:dyDescent="0.25">
      <c r="H380" t="s">
        <v>670</v>
      </c>
    </row>
    <row r="381" spans="8:8" x14ac:dyDescent="0.25">
      <c r="H381" t="s">
        <v>1781</v>
      </c>
    </row>
    <row r="382" spans="8:8" x14ac:dyDescent="0.25">
      <c r="H382" t="s">
        <v>31</v>
      </c>
    </row>
    <row r="383" spans="8:8" x14ac:dyDescent="0.25">
      <c r="H383" t="s">
        <v>672</v>
      </c>
    </row>
    <row r="384" spans="8:8" x14ac:dyDescent="0.25">
      <c r="H384" t="s">
        <v>1782</v>
      </c>
    </row>
    <row r="385" spans="8:8" x14ac:dyDescent="0.25">
      <c r="H385" t="s">
        <v>31</v>
      </c>
    </row>
    <row r="386" spans="8:8" x14ac:dyDescent="0.25">
      <c r="H386" t="s">
        <v>674</v>
      </c>
    </row>
    <row r="387" spans="8:8" x14ac:dyDescent="0.25">
      <c r="H387" t="s">
        <v>1783</v>
      </c>
    </row>
    <row r="388" spans="8:8" x14ac:dyDescent="0.25">
      <c r="H388" t="s">
        <v>31</v>
      </c>
    </row>
    <row r="389" spans="8:8" x14ac:dyDescent="0.25">
      <c r="H389" t="s">
        <v>676</v>
      </c>
    </row>
    <row r="390" spans="8:8" x14ac:dyDescent="0.25">
      <c r="H390" t="s">
        <v>1784</v>
      </c>
    </row>
    <row r="391" spans="8:8" x14ac:dyDescent="0.25">
      <c r="H391" t="s">
        <v>31</v>
      </c>
    </row>
    <row r="393" spans="8:8" x14ac:dyDescent="0.25">
      <c r="H393" t="s">
        <v>1430</v>
      </c>
    </row>
    <row r="394" spans="8:8" x14ac:dyDescent="0.25">
      <c r="H394" t="s">
        <v>1755</v>
      </c>
    </row>
    <row r="395" spans="8:8" x14ac:dyDescent="0.25">
      <c r="H395" t="s">
        <v>670</v>
      </c>
    </row>
    <row r="396" spans="8:8" x14ac:dyDescent="0.25">
      <c r="H396" t="s">
        <v>1785</v>
      </c>
    </row>
    <row r="397" spans="8:8" x14ac:dyDescent="0.25">
      <c r="H397" t="s">
        <v>31</v>
      </c>
    </row>
    <row r="398" spans="8:8" x14ac:dyDescent="0.25">
      <c r="H398" t="s">
        <v>672</v>
      </c>
    </row>
    <row r="399" spans="8:8" x14ac:dyDescent="0.25">
      <c r="H399" t="s">
        <v>1786</v>
      </c>
    </row>
    <row r="400" spans="8:8" x14ac:dyDescent="0.25">
      <c r="H400" t="s">
        <v>31</v>
      </c>
    </row>
    <row r="401" spans="8:8" x14ac:dyDescent="0.25">
      <c r="H401" t="s">
        <v>674</v>
      </c>
    </row>
    <row r="402" spans="8:8" x14ac:dyDescent="0.25">
      <c r="H402" t="s">
        <v>1787</v>
      </c>
    </row>
    <row r="403" spans="8:8" x14ac:dyDescent="0.25">
      <c r="H403" t="s">
        <v>31</v>
      </c>
    </row>
    <row r="404" spans="8:8" x14ac:dyDescent="0.25">
      <c r="H404" t="s">
        <v>676</v>
      </c>
    </row>
    <row r="405" spans="8:8" x14ac:dyDescent="0.25">
      <c r="H405" t="s">
        <v>1788</v>
      </c>
    </row>
    <row r="406" spans="8:8" x14ac:dyDescent="0.25">
      <c r="H406" t="s">
        <v>31</v>
      </c>
    </row>
    <row r="408" spans="8:8" x14ac:dyDescent="0.25">
      <c r="H408" t="s">
        <v>1436</v>
      </c>
    </row>
    <row r="409" spans="8:8" x14ac:dyDescent="0.25">
      <c r="H409" t="s">
        <v>1760</v>
      </c>
    </row>
    <row r="410" spans="8:8" x14ac:dyDescent="0.25">
      <c r="H410" t="s">
        <v>670</v>
      </c>
    </row>
    <row r="411" spans="8:8" x14ac:dyDescent="0.25">
      <c r="H411" t="s">
        <v>1789</v>
      </c>
    </row>
    <row r="412" spans="8:8" x14ac:dyDescent="0.25">
      <c r="H412" t="s">
        <v>31</v>
      </c>
    </row>
    <row r="413" spans="8:8" x14ac:dyDescent="0.25">
      <c r="H413" t="s">
        <v>672</v>
      </c>
    </row>
    <row r="414" spans="8:8" x14ac:dyDescent="0.25">
      <c r="H414" t="s">
        <v>1790</v>
      </c>
    </row>
    <row r="415" spans="8:8" x14ac:dyDescent="0.25">
      <c r="H415" t="s">
        <v>31</v>
      </c>
    </row>
    <row r="416" spans="8:8" x14ac:dyDescent="0.25">
      <c r="H416" t="s">
        <v>674</v>
      </c>
    </row>
    <row r="417" spans="8:8" x14ac:dyDescent="0.25">
      <c r="H417" t="s">
        <v>1791</v>
      </c>
    </row>
    <row r="418" spans="8:8" x14ac:dyDescent="0.25">
      <c r="H418" t="s">
        <v>31</v>
      </c>
    </row>
    <row r="419" spans="8:8" x14ac:dyDescent="0.25">
      <c r="H419" t="s">
        <v>676</v>
      </c>
    </row>
    <row r="420" spans="8:8" x14ac:dyDescent="0.25">
      <c r="H420" t="s">
        <v>1792</v>
      </c>
    </row>
    <row r="421" spans="8:8" x14ac:dyDescent="0.25">
      <c r="H421" t="s">
        <v>31</v>
      </c>
    </row>
    <row r="423" spans="8:8" x14ac:dyDescent="0.25">
      <c r="H423" t="s">
        <v>1442</v>
      </c>
    </row>
    <row r="424" spans="8:8" x14ac:dyDescent="0.25">
      <c r="H424" t="s">
        <v>1765</v>
      </c>
    </row>
    <row r="425" spans="8:8" x14ac:dyDescent="0.25">
      <c r="H425" t="s">
        <v>670</v>
      </c>
    </row>
    <row r="426" spans="8:8" x14ac:dyDescent="0.25">
      <c r="H426" t="s">
        <v>1793</v>
      </c>
    </row>
    <row r="427" spans="8:8" x14ac:dyDescent="0.25">
      <c r="H427" t="s">
        <v>31</v>
      </c>
    </row>
    <row r="429" spans="8:8" x14ac:dyDescent="0.25">
      <c r="H429" t="s">
        <v>1448</v>
      </c>
    </row>
    <row r="430" spans="8:8" x14ac:dyDescent="0.25">
      <c r="H430" t="s">
        <v>1767</v>
      </c>
    </row>
    <row r="431" spans="8:8" x14ac:dyDescent="0.25">
      <c r="H431" t="s">
        <v>670</v>
      </c>
    </row>
    <row r="432" spans="8:8" x14ac:dyDescent="0.25">
      <c r="H432" t="s">
        <v>1794</v>
      </c>
    </row>
    <row r="433" spans="8:8" x14ac:dyDescent="0.25">
      <c r="H433" t="s">
        <v>31</v>
      </c>
    </row>
    <row r="435" spans="8:8" x14ac:dyDescent="0.25">
      <c r="H435" t="s">
        <v>1466</v>
      </c>
    </row>
    <row r="436" spans="8:8" x14ac:dyDescent="0.25">
      <c r="H436" t="s">
        <v>1772</v>
      </c>
    </row>
    <row r="437" spans="8:8" x14ac:dyDescent="0.25">
      <c r="H437" t="s">
        <v>670</v>
      </c>
    </row>
    <row r="438" spans="8:8" x14ac:dyDescent="0.25">
      <c r="H438" t="s">
        <v>1795</v>
      </c>
    </row>
    <row r="439" spans="8:8" x14ac:dyDescent="0.25">
      <c r="H439" t="s">
        <v>31</v>
      </c>
    </row>
    <row r="441" spans="8:8" x14ac:dyDescent="0.25">
      <c r="H441" t="s">
        <v>1469</v>
      </c>
    </row>
    <row r="442" spans="8:8" x14ac:dyDescent="0.25">
      <c r="H442" t="s">
        <v>1772</v>
      </c>
    </row>
    <row r="443" spans="8:8" x14ac:dyDescent="0.25">
      <c r="H443" t="s">
        <v>670</v>
      </c>
    </row>
    <row r="444" spans="8:8" x14ac:dyDescent="0.25">
      <c r="H444" t="s">
        <v>1796</v>
      </c>
    </row>
    <row r="445" spans="8:8" x14ac:dyDescent="0.25">
      <c r="H445" t="s">
        <v>31</v>
      </c>
    </row>
    <row r="447" spans="8:8" x14ac:dyDescent="0.25">
      <c r="H447" t="s">
        <v>1664</v>
      </c>
    </row>
    <row r="448" spans="8:8" x14ac:dyDescent="0.25">
      <c r="H448" t="s">
        <v>879</v>
      </c>
    </row>
    <row r="449" spans="8:8" x14ac:dyDescent="0.25">
      <c r="H449" t="s">
        <v>670</v>
      </c>
    </row>
    <row r="450" spans="8:8" x14ac:dyDescent="0.25">
      <c r="H450" t="s">
        <v>956</v>
      </c>
    </row>
    <row r="451" spans="8:8" x14ac:dyDescent="0.25">
      <c r="H451" t="s">
        <v>31</v>
      </c>
    </row>
    <row r="452" spans="8:8" x14ac:dyDescent="0.25">
      <c r="H452" t="s">
        <v>672</v>
      </c>
    </row>
    <row r="453" spans="8:8" x14ac:dyDescent="0.25">
      <c r="H453" t="s">
        <v>957</v>
      </c>
    </row>
    <row r="454" spans="8:8" x14ac:dyDescent="0.25">
      <c r="H454" t="s">
        <v>31</v>
      </c>
    </row>
    <row r="455" spans="8:8" x14ac:dyDescent="0.25">
      <c r="H455" t="s">
        <v>674</v>
      </c>
    </row>
    <row r="456" spans="8:8" x14ac:dyDescent="0.25">
      <c r="H456" t="s">
        <v>958</v>
      </c>
    </row>
    <row r="457" spans="8:8" x14ac:dyDescent="0.25">
      <c r="H457" t="s">
        <v>31</v>
      </c>
    </row>
    <row r="458" spans="8:8" x14ac:dyDescent="0.25">
      <c r="H458" t="s">
        <v>676</v>
      </c>
    </row>
    <row r="459" spans="8:8" x14ac:dyDescent="0.25">
      <c r="H459" t="s">
        <v>959</v>
      </c>
    </row>
    <row r="460" spans="8:8" x14ac:dyDescent="0.25">
      <c r="H460" t="s">
        <v>31</v>
      </c>
    </row>
    <row r="462" spans="8:8" x14ac:dyDescent="0.25">
      <c r="H462" t="s">
        <v>1775</v>
      </c>
    </row>
    <row r="463" spans="8:8" x14ac:dyDescent="0.25">
      <c r="H463" t="s">
        <v>885</v>
      </c>
    </row>
    <row r="464" spans="8:8" x14ac:dyDescent="0.25">
      <c r="H464" t="s">
        <v>670</v>
      </c>
    </row>
    <row r="465" spans="8:8" x14ac:dyDescent="0.25">
      <c r="H465" t="s">
        <v>960</v>
      </c>
    </row>
    <row r="466" spans="8:8" x14ac:dyDescent="0.25">
      <c r="H466" t="s">
        <v>31</v>
      </c>
    </row>
    <row r="467" spans="8:8" x14ac:dyDescent="0.25">
      <c r="H467" t="s">
        <v>672</v>
      </c>
    </row>
    <row r="468" spans="8:8" x14ac:dyDescent="0.25">
      <c r="H468" t="s">
        <v>961</v>
      </c>
    </row>
    <row r="469" spans="8:8" x14ac:dyDescent="0.25">
      <c r="H469" t="s">
        <v>31</v>
      </c>
    </row>
    <row r="470" spans="8:8" x14ac:dyDescent="0.25">
      <c r="H470" t="s">
        <v>888</v>
      </c>
    </row>
    <row r="471" spans="8:8" x14ac:dyDescent="0.25">
      <c r="H471" t="s">
        <v>674</v>
      </c>
    </row>
    <row r="472" spans="8:8" x14ac:dyDescent="0.25">
      <c r="H472" t="s">
        <v>962</v>
      </c>
    </row>
    <row r="473" spans="8:8" x14ac:dyDescent="0.25">
      <c r="H473" t="s">
        <v>31</v>
      </c>
    </row>
    <row r="474" spans="8:8" x14ac:dyDescent="0.25">
      <c r="H474" t="s">
        <v>676</v>
      </c>
    </row>
    <row r="475" spans="8:8" x14ac:dyDescent="0.25">
      <c r="H475" t="s">
        <v>963</v>
      </c>
    </row>
    <row r="476" spans="8:8" x14ac:dyDescent="0.25">
      <c r="H476" t="s">
        <v>31</v>
      </c>
    </row>
    <row r="478" spans="8:8" x14ac:dyDescent="0.25">
      <c r="H478" t="s">
        <v>1776</v>
      </c>
    </row>
    <row r="479" spans="8:8" x14ac:dyDescent="0.25">
      <c r="H479" t="s">
        <v>892</v>
      </c>
    </row>
    <row r="480" spans="8:8" x14ac:dyDescent="0.25">
      <c r="H480" t="s">
        <v>670</v>
      </c>
    </row>
    <row r="481" spans="8:8" x14ac:dyDescent="0.25">
      <c r="H481" t="s">
        <v>964</v>
      </c>
    </row>
    <row r="482" spans="8:8" x14ac:dyDescent="0.25">
      <c r="H482" t="s">
        <v>31</v>
      </c>
    </row>
    <row r="483" spans="8:8" x14ac:dyDescent="0.25">
      <c r="H483" t="s">
        <v>672</v>
      </c>
    </row>
    <row r="484" spans="8:8" x14ac:dyDescent="0.25">
      <c r="H484" t="s">
        <v>965</v>
      </c>
    </row>
    <row r="485" spans="8:8" x14ac:dyDescent="0.25">
      <c r="H485" t="s">
        <v>31</v>
      </c>
    </row>
    <row r="486" spans="8:8" x14ac:dyDescent="0.25">
      <c r="H486" t="s">
        <v>895</v>
      </c>
    </row>
    <row r="487" spans="8:8" x14ac:dyDescent="0.25">
      <c r="H487" t="s">
        <v>674</v>
      </c>
    </row>
    <row r="488" spans="8:8" x14ac:dyDescent="0.25">
      <c r="H488" t="s">
        <v>966</v>
      </c>
    </row>
    <row r="489" spans="8:8" x14ac:dyDescent="0.25">
      <c r="H489" t="s">
        <v>31</v>
      </c>
    </row>
    <row r="490" spans="8:8" x14ac:dyDescent="0.25">
      <c r="H490" t="s">
        <v>676</v>
      </c>
    </row>
    <row r="491" spans="8:8" x14ac:dyDescent="0.25">
      <c r="H491" t="s">
        <v>967</v>
      </c>
    </row>
    <row r="492" spans="8:8" x14ac:dyDescent="0.25">
      <c r="H492" t="s">
        <v>31</v>
      </c>
    </row>
    <row r="494" spans="8:8" x14ac:dyDescent="0.25">
      <c r="H494" t="s">
        <v>1777</v>
      </c>
    </row>
    <row r="495" spans="8:8" x14ac:dyDescent="0.25">
      <c r="H495" t="s">
        <v>1342</v>
      </c>
    </row>
    <row r="496" spans="8:8" x14ac:dyDescent="0.25">
      <c r="H496" t="s">
        <v>670</v>
      </c>
    </row>
    <row r="497" spans="8:8" x14ac:dyDescent="0.25">
      <c r="H497" t="s">
        <v>1472</v>
      </c>
    </row>
    <row r="498" spans="8:8" x14ac:dyDescent="0.25">
      <c r="H498" t="s">
        <v>31</v>
      </c>
    </row>
    <row r="499" spans="8:8" x14ac:dyDescent="0.25">
      <c r="H499" t="s">
        <v>672</v>
      </c>
    </row>
    <row r="500" spans="8:8" x14ac:dyDescent="0.25">
      <c r="H500" t="s">
        <v>1473</v>
      </c>
    </row>
    <row r="501" spans="8:8" x14ac:dyDescent="0.25">
      <c r="H501" t="s">
        <v>31</v>
      </c>
    </row>
    <row r="502" spans="8:8" x14ac:dyDescent="0.25">
      <c r="H502" t="s">
        <v>1345</v>
      </c>
    </row>
    <row r="503" spans="8:8" x14ac:dyDescent="0.25">
      <c r="H503" t="s">
        <v>674</v>
      </c>
    </row>
    <row r="504" spans="8:8" x14ac:dyDescent="0.25">
      <c r="H504" t="s">
        <v>1474</v>
      </c>
    </row>
    <row r="505" spans="8:8" x14ac:dyDescent="0.25">
      <c r="H505" t="s">
        <v>31</v>
      </c>
    </row>
    <row r="506" spans="8:8" x14ac:dyDescent="0.25">
      <c r="H506" t="s">
        <v>676</v>
      </c>
    </row>
    <row r="507" spans="8:8" x14ac:dyDescent="0.25">
      <c r="H507" t="s">
        <v>1475</v>
      </c>
    </row>
    <row r="508" spans="8:8" x14ac:dyDescent="0.25">
      <c r="H508" t="s">
        <v>31</v>
      </c>
    </row>
    <row r="510" spans="8:8" x14ac:dyDescent="0.25">
      <c r="H510" t="s">
        <v>1778</v>
      </c>
    </row>
    <row r="511" spans="8:8" x14ac:dyDescent="0.25">
      <c r="H511" t="s">
        <v>2247</v>
      </c>
    </row>
    <row r="512" spans="8:8" x14ac:dyDescent="0.25">
      <c r="H512" t="s">
        <v>670</v>
      </c>
    </row>
    <row r="513" spans="8:8" x14ac:dyDescent="0.25">
      <c r="H513" t="s">
        <v>2283</v>
      </c>
    </row>
    <row r="514" spans="8:8" x14ac:dyDescent="0.25">
      <c r="H514" t="s">
        <v>31</v>
      </c>
    </row>
    <row r="515" spans="8:8" x14ac:dyDescent="0.25">
      <c r="H515" t="s">
        <v>672</v>
      </c>
    </row>
    <row r="516" spans="8:8" x14ac:dyDescent="0.25">
      <c r="H516" t="s">
        <v>2284</v>
      </c>
    </row>
    <row r="517" spans="8:8" x14ac:dyDescent="0.25">
      <c r="H517" t="s">
        <v>31</v>
      </c>
    </row>
    <row r="518" spans="8:8" x14ac:dyDescent="0.25">
      <c r="H518" t="s">
        <v>2250</v>
      </c>
    </row>
    <row r="519" spans="8:8" x14ac:dyDescent="0.25">
      <c r="H519" t="s">
        <v>674</v>
      </c>
    </row>
    <row r="520" spans="8:8" x14ac:dyDescent="0.25">
      <c r="H520" t="s">
        <v>2285</v>
      </c>
    </row>
    <row r="521" spans="8:8" x14ac:dyDescent="0.25">
      <c r="H521" t="s">
        <v>31</v>
      </c>
    </row>
    <row r="522" spans="8:8" x14ac:dyDescent="0.25">
      <c r="H522" t="s">
        <v>676</v>
      </c>
    </row>
    <row r="523" spans="8:8" x14ac:dyDescent="0.25">
      <c r="H523" t="s">
        <v>2286</v>
      </c>
    </row>
    <row r="524" spans="8:8" x14ac:dyDescent="0.25">
      <c r="H524" t="s">
        <v>31</v>
      </c>
    </row>
    <row r="526" spans="8:8" x14ac:dyDescent="0.25">
      <c r="H526" t="s">
        <v>1779</v>
      </c>
    </row>
    <row r="527" spans="8:8" x14ac:dyDescent="0.25">
      <c r="H527" t="s">
        <v>2253</v>
      </c>
    </row>
    <row r="528" spans="8:8" x14ac:dyDescent="0.25">
      <c r="H528" t="s">
        <v>670</v>
      </c>
    </row>
    <row r="529" spans="8:8" x14ac:dyDescent="0.25">
      <c r="H529" t="s">
        <v>2287</v>
      </c>
    </row>
    <row r="530" spans="8:8" x14ac:dyDescent="0.25">
      <c r="H530" t="s">
        <v>31</v>
      </c>
    </row>
    <row r="531" spans="8:8" x14ac:dyDescent="0.25">
      <c r="H531" t="s">
        <v>672</v>
      </c>
    </row>
    <row r="532" spans="8:8" x14ac:dyDescent="0.25">
      <c r="H532" t="s">
        <v>2288</v>
      </c>
    </row>
    <row r="533" spans="8:8" x14ac:dyDescent="0.25">
      <c r="H533" t="s">
        <v>31</v>
      </c>
    </row>
    <row r="534" spans="8:8" x14ac:dyDescent="0.25">
      <c r="H534" t="s">
        <v>2256</v>
      </c>
    </row>
    <row r="535" spans="8:8" x14ac:dyDescent="0.25">
      <c r="H535" t="s">
        <v>674</v>
      </c>
    </row>
    <row r="536" spans="8:8" x14ac:dyDescent="0.25">
      <c r="H536" t="s">
        <v>2289</v>
      </c>
    </row>
    <row r="537" spans="8:8" x14ac:dyDescent="0.25">
      <c r="H537" t="s">
        <v>31</v>
      </c>
    </row>
    <row r="538" spans="8:8" x14ac:dyDescent="0.25">
      <c r="H538" t="s">
        <v>676</v>
      </c>
    </row>
    <row r="539" spans="8:8" x14ac:dyDescent="0.25">
      <c r="H539" t="s">
        <v>2290</v>
      </c>
    </row>
    <row r="540" spans="8:8" x14ac:dyDescent="0.25">
      <c r="H540" t="s">
        <v>31</v>
      </c>
    </row>
    <row r="542" spans="8:8" x14ac:dyDescent="0.25">
      <c r="H542" t="s">
        <v>1780</v>
      </c>
    </row>
    <row r="543" spans="8:8" x14ac:dyDescent="0.25">
      <c r="H543" t="s">
        <v>2259</v>
      </c>
    </row>
    <row r="544" spans="8:8" x14ac:dyDescent="0.25">
      <c r="H544" t="s">
        <v>670</v>
      </c>
    </row>
    <row r="545" spans="8:8" x14ac:dyDescent="0.25">
      <c r="H545" t="s">
        <v>2291</v>
      </c>
    </row>
    <row r="546" spans="8:8" x14ac:dyDescent="0.25">
      <c r="H546" t="s">
        <v>31</v>
      </c>
    </row>
    <row r="548" spans="8:8" x14ac:dyDescent="0.25">
      <c r="H548" t="s">
        <v>1867</v>
      </c>
    </row>
    <row r="549" spans="8:8" x14ac:dyDescent="0.25">
      <c r="H549" t="s">
        <v>2261</v>
      </c>
    </row>
    <row r="550" spans="8:8" x14ac:dyDescent="0.25">
      <c r="H550" t="s">
        <v>670</v>
      </c>
    </row>
    <row r="551" spans="8:8" x14ac:dyDescent="0.25">
      <c r="H551" t="s">
        <v>2292</v>
      </c>
    </row>
    <row r="552" spans="8:8" x14ac:dyDescent="0.25">
      <c r="H552" t="s">
        <v>31</v>
      </c>
    </row>
    <row r="554" spans="8:8" x14ac:dyDescent="0.25">
      <c r="H554" t="s">
        <v>1868</v>
      </c>
    </row>
    <row r="555" spans="8:8" x14ac:dyDescent="0.25">
      <c r="H555" t="s">
        <v>899</v>
      </c>
    </row>
    <row r="556" spans="8:8" x14ac:dyDescent="0.25">
      <c r="H556" t="s">
        <v>670</v>
      </c>
    </row>
    <row r="557" spans="8:8" x14ac:dyDescent="0.25">
      <c r="H557" t="s">
        <v>968</v>
      </c>
    </row>
    <row r="558" spans="8:8" x14ac:dyDescent="0.25">
      <c r="H558" t="s">
        <v>31</v>
      </c>
    </row>
    <row r="559" spans="8:8" x14ac:dyDescent="0.25">
      <c r="H559" t="s">
        <v>672</v>
      </c>
    </row>
    <row r="560" spans="8:8" x14ac:dyDescent="0.25">
      <c r="H560" t="s">
        <v>969</v>
      </c>
    </row>
    <row r="561" spans="8:8" x14ac:dyDescent="0.25">
      <c r="H561" t="s">
        <v>31</v>
      </c>
    </row>
    <row r="562" spans="8:8" x14ac:dyDescent="0.25">
      <c r="H562" t="s">
        <v>902</v>
      </c>
    </row>
    <row r="563" spans="8:8" x14ac:dyDescent="0.25">
      <c r="H563" t="s">
        <v>674</v>
      </c>
    </row>
    <row r="564" spans="8:8" x14ac:dyDescent="0.25">
      <c r="H564" t="s">
        <v>970</v>
      </c>
    </row>
    <row r="565" spans="8:8" x14ac:dyDescent="0.25">
      <c r="H565" t="s">
        <v>31</v>
      </c>
    </row>
    <row r="566" spans="8:8" x14ac:dyDescent="0.25">
      <c r="H566" t="s">
        <v>904</v>
      </c>
    </row>
    <row r="567" spans="8:8" x14ac:dyDescent="0.25">
      <c r="H567" t="s">
        <v>676</v>
      </c>
    </row>
    <row r="568" spans="8:8" x14ac:dyDescent="0.25">
      <c r="H568" t="s">
        <v>971</v>
      </c>
    </row>
    <row r="569" spans="8:8" x14ac:dyDescent="0.25">
      <c r="H569" t="s">
        <v>31</v>
      </c>
    </row>
    <row r="571" spans="8:8" x14ac:dyDescent="0.25">
      <c r="H571" t="s">
        <v>1871</v>
      </c>
    </row>
    <row r="572" spans="8:8" x14ac:dyDescent="0.25">
      <c r="H572" t="s">
        <v>907</v>
      </c>
    </row>
    <row r="573" spans="8:8" x14ac:dyDescent="0.25">
      <c r="H573" t="s">
        <v>670</v>
      </c>
    </row>
    <row r="574" spans="8:8" x14ac:dyDescent="0.25">
      <c r="H574" t="s">
        <v>1835</v>
      </c>
    </row>
    <row r="575" spans="8:8" x14ac:dyDescent="0.25">
      <c r="H575" t="s">
        <v>31</v>
      </c>
    </row>
    <row r="576" spans="8:8" x14ac:dyDescent="0.25">
      <c r="H576" t="s">
        <v>908</v>
      </c>
    </row>
    <row r="577" spans="8:8" x14ac:dyDescent="0.25">
      <c r="H577" t="s">
        <v>672</v>
      </c>
    </row>
    <row r="578" spans="8:8" x14ac:dyDescent="0.25">
      <c r="H578" t="s">
        <v>972</v>
      </c>
    </row>
    <row r="579" spans="8:8" x14ac:dyDescent="0.25">
      <c r="H579" t="s">
        <v>31</v>
      </c>
    </row>
    <row r="581" spans="8:8" x14ac:dyDescent="0.25">
      <c r="H581" t="s">
        <v>1991</v>
      </c>
    </row>
    <row r="582" spans="8:8" x14ac:dyDescent="0.25">
      <c r="H582" t="s">
        <v>1857</v>
      </c>
    </row>
    <row r="583" spans="8:8" x14ac:dyDescent="0.25">
      <c r="H583" t="s">
        <v>670</v>
      </c>
    </row>
    <row r="584" spans="8:8" x14ac:dyDescent="0.25">
      <c r="H584" t="s">
        <v>1874</v>
      </c>
    </row>
    <row r="585" spans="8:8" x14ac:dyDescent="0.25">
      <c r="H585" t="s">
        <v>31</v>
      </c>
    </row>
    <row r="587" spans="8:8" x14ac:dyDescent="0.25">
      <c r="H587" t="s">
        <v>1994</v>
      </c>
    </row>
    <row r="588" spans="8:8" x14ac:dyDescent="0.25">
      <c r="H588" t="s">
        <v>1348</v>
      </c>
    </row>
    <row r="589" spans="8:8" x14ac:dyDescent="0.25">
      <c r="H589" t="s">
        <v>670</v>
      </c>
    </row>
    <row r="590" spans="8:8" x14ac:dyDescent="0.25">
      <c r="H590" t="s">
        <v>1476</v>
      </c>
    </row>
    <row r="591" spans="8:8" x14ac:dyDescent="0.25">
      <c r="H591" t="s">
        <v>31</v>
      </c>
    </row>
    <row r="592" spans="8:8" x14ac:dyDescent="0.25">
      <c r="H592" t="s">
        <v>672</v>
      </c>
    </row>
    <row r="593" spans="8:8" x14ac:dyDescent="0.25">
      <c r="H593" t="s">
        <v>1477</v>
      </c>
    </row>
    <row r="594" spans="8:8" x14ac:dyDescent="0.25">
      <c r="H594" t="s">
        <v>31</v>
      </c>
    </row>
    <row r="595" spans="8:8" x14ac:dyDescent="0.25">
      <c r="H595" t="s">
        <v>674</v>
      </c>
    </row>
    <row r="596" spans="8:8" x14ac:dyDescent="0.25">
      <c r="H596" t="s">
        <v>1478</v>
      </c>
    </row>
    <row r="597" spans="8:8" x14ac:dyDescent="0.25">
      <c r="H597" t="s">
        <v>31</v>
      </c>
    </row>
    <row r="598" spans="8:8" x14ac:dyDescent="0.25">
      <c r="H598" t="s">
        <v>676</v>
      </c>
    </row>
    <row r="599" spans="8:8" x14ac:dyDescent="0.25">
      <c r="H599" t="s">
        <v>1479</v>
      </c>
    </row>
    <row r="600" spans="8:8" x14ac:dyDescent="0.25">
      <c r="H600" t="s">
        <v>31</v>
      </c>
    </row>
    <row r="602" spans="8:8" x14ac:dyDescent="0.25">
      <c r="H602" t="s">
        <v>1995</v>
      </c>
    </row>
    <row r="603" spans="8:8" x14ac:dyDescent="0.25">
      <c r="H603" t="s">
        <v>1353</v>
      </c>
    </row>
    <row r="604" spans="8:8" x14ac:dyDescent="0.25">
      <c r="H604" t="s">
        <v>670</v>
      </c>
    </row>
    <row r="605" spans="8:8" x14ac:dyDescent="0.25">
      <c r="H605" t="s">
        <v>1480</v>
      </c>
    </row>
    <row r="606" spans="8:8" x14ac:dyDescent="0.25">
      <c r="H606" t="s">
        <v>31</v>
      </c>
    </row>
    <row r="607" spans="8:8" x14ac:dyDescent="0.25">
      <c r="H607" t="s">
        <v>672</v>
      </c>
    </row>
    <row r="608" spans="8:8" x14ac:dyDescent="0.25">
      <c r="H608" t="s">
        <v>1481</v>
      </c>
    </row>
    <row r="609" spans="8:8" x14ac:dyDescent="0.25">
      <c r="H609" t="s">
        <v>31</v>
      </c>
    </row>
    <row r="610" spans="8:8" x14ac:dyDescent="0.25">
      <c r="H610" t="s">
        <v>674</v>
      </c>
    </row>
    <row r="611" spans="8:8" x14ac:dyDescent="0.25">
      <c r="H611" t="s">
        <v>1482</v>
      </c>
    </row>
    <row r="612" spans="8:8" x14ac:dyDescent="0.25">
      <c r="H612" t="s">
        <v>31</v>
      </c>
    </row>
    <row r="613" spans="8:8" x14ac:dyDescent="0.25">
      <c r="H613" t="s">
        <v>676</v>
      </c>
    </row>
    <row r="614" spans="8:8" x14ac:dyDescent="0.25">
      <c r="H614" t="s">
        <v>1483</v>
      </c>
    </row>
    <row r="615" spans="8:8" x14ac:dyDescent="0.25">
      <c r="H615" t="s">
        <v>31</v>
      </c>
    </row>
    <row r="617" spans="8:8" x14ac:dyDescent="0.25">
      <c r="H617" t="s">
        <v>1996</v>
      </c>
    </row>
    <row r="618" spans="8:8" x14ac:dyDescent="0.25">
      <c r="H618" t="s">
        <v>916</v>
      </c>
    </row>
    <row r="619" spans="8:8" x14ac:dyDescent="0.25">
      <c r="H619" t="s">
        <v>670</v>
      </c>
    </row>
    <row r="620" spans="8:8" x14ac:dyDescent="0.25">
      <c r="H620" t="s">
        <v>1484</v>
      </c>
    </row>
    <row r="621" spans="8:8" x14ac:dyDescent="0.25">
      <c r="H621" t="s">
        <v>31</v>
      </c>
    </row>
    <row r="622" spans="8:8" x14ac:dyDescent="0.25">
      <c r="H622" t="s">
        <v>672</v>
      </c>
    </row>
    <row r="623" spans="8:8" x14ac:dyDescent="0.25">
      <c r="H623" t="s">
        <v>1485</v>
      </c>
    </row>
    <row r="624" spans="8:8" x14ac:dyDescent="0.25">
      <c r="H624" t="s">
        <v>31</v>
      </c>
    </row>
    <row r="625" spans="8:8" x14ac:dyDescent="0.25">
      <c r="H625" t="s">
        <v>674</v>
      </c>
    </row>
    <row r="626" spans="8:8" x14ac:dyDescent="0.25">
      <c r="H626" t="s">
        <v>1486</v>
      </c>
    </row>
    <row r="627" spans="8:8" x14ac:dyDescent="0.25">
      <c r="H627" t="s">
        <v>31</v>
      </c>
    </row>
    <row r="628" spans="8:8" x14ac:dyDescent="0.25">
      <c r="H628" t="s">
        <v>676</v>
      </c>
    </row>
    <row r="629" spans="8:8" x14ac:dyDescent="0.25">
      <c r="H629" t="s">
        <v>1487</v>
      </c>
    </row>
    <row r="630" spans="8:8" x14ac:dyDescent="0.25">
      <c r="H630" t="s">
        <v>31</v>
      </c>
    </row>
    <row r="632" spans="8:8" x14ac:dyDescent="0.25">
      <c r="H632" t="s">
        <v>1997</v>
      </c>
    </row>
    <row r="633" spans="8:8" x14ac:dyDescent="0.25">
      <c r="H633" t="s">
        <v>918</v>
      </c>
    </row>
    <row r="634" spans="8:8" x14ac:dyDescent="0.25">
      <c r="H634" t="s">
        <v>670</v>
      </c>
    </row>
    <row r="635" spans="8:8" x14ac:dyDescent="0.25">
      <c r="H635" t="s">
        <v>1488</v>
      </c>
    </row>
    <row r="636" spans="8:8" x14ac:dyDescent="0.25">
      <c r="H636" t="s">
        <v>31</v>
      </c>
    </row>
    <row r="637" spans="8:8" x14ac:dyDescent="0.25">
      <c r="H637" t="s">
        <v>672</v>
      </c>
    </row>
    <row r="638" spans="8:8" x14ac:dyDescent="0.25">
      <c r="H638" t="s">
        <v>1489</v>
      </c>
    </row>
    <row r="639" spans="8:8" x14ac:dyDescent="0.25">
      <c r="H639" t="s">
        <v>31</v>
      </c>
    </row>
    <row r="640" spans="8:8" x14ac:dyDescent="0.25">
      <c r="H640" t="s">
        <v>674</v>
      </c>
    </row>
    <row r="641" spans="8:8" x14ac:dyDescent="0.25">
      <c r="H641" t="s">
        <v>1490</v>
      </c>
    </row>
    <row r="642" spans="8:8" x14ac:dyDescent="0.25">
      <c r="H642" t="s">
        <v>31</v>
      </c>
    </row>
    <row r="643" spans="8:8" x14ac:dyDescent="0.25">
      <c r="H643" t="s">
        <v>676</v>
      </c>
    </row>
    <row r="644" spans="8:8" x14ac:dyDescent="0.25">
      <c r="H644" t="s">
        <v>1491</v>
      </c>
    </row>
    <row r="645" spans="8:8" x14ac:dyDescent="0.25">
      <c r="H645" t="s">
        <v>31</v>
      </c>
    </row>
    <row r="647" spans="8:8" x14ac:dyDescent="0.25">
      <c r="H647" t="s">
        <v>1998</v>
      </c>
    </row>
    <row r="648" spans="8:8" x14ac:dyDescent="0.25">
      <c r="H648" t="s">
        <v>2390</v>
      </c>
    </row>
    <row r="649" spans="8:8" x14ac:dyDescent="0.25">
      <c r="H649" t="s">
        <v>670</v>
      </c>
    </row>
    <row r="650" spans="8:8" x14ac:dyDescent="0.25">
      <c r="H650" t="s">
        <v>2430</v>
      </c>
    </row>
    <row r="651" spans="8:8" x14ac:dyDescent="0.25">
      <c r="H651" t="s">
        <v>31</v>
      </c>
    </row>
    <row r="653" spans="8:8" x14ac:dyDescent="0.25">
      <c r="H653" t="s">
        <v>1999</v>
      </c>
    </row>
    <row r="654" spans="8:8" x14ac:dyDescent="0.25">
      <c r="H654" t="s">
        <v>2392</v>
      </c>
    </row>
    <row r="655" spans="8:8" x14ac:dyDescent="0.25">
      <c r="H655" t="s">
        <v>670</v>
      </c>
    </row>
    <row r="656" spans="8:8" x14ac:dyDescent="0.25">
      <c r="H656" t="s">
        <v>2431</v>
      </c>
    </row>
    <row r="657" spans="8:8" x14ac:dyDescent="0.25">
      <c r="H657" t="s">
        <v>31</v>
      </c>
    </row>
    <row r="658" spans="8:8" x14ac:dyDescent="0.25">
      <c r="H658" t="s">
        <v>672</v>
      </c>
    </row>
    <row r="659" spans="8:8" x14ac:dyDescent="0.25">
      <c r="H659" t="s">
        <v>2432</v>
      </c>
    </row>
    <row r="660" spans="8:8" x14ac:dyDescent="0.25">
      <c r="H660" t="s">
        <v>31</v>
      </c>
    </row>
    <row r="661" spans="8:8" x14ac:dyDescent="0.25">
      <c r="H661" t="s">
        <v>2395</v>
      </c>
    </row>
    <row r="662" spans="8:8" x14ac:dyDescent="0.25">
      <c r="H662" t="s">
        <v>674</v>
      </c>
    </row>
    <row r="663" spans="8:8" x14ac:dyDescent="0.25">
      <c r="H663" t="s">
        <v>2433</v>
      </c>
    </row>
    <row r="664" spans="8:8" x14ac:dyDescent="0.25">
      <c r="H664" t="s">
        <v>31</v>
      </c>
    </row>
    <row r="665" spans="8:8" x14ac:dyDescent="0.25">
      <c r="H665" t="s">
        <v>676</v>
      </c>
    </row>
    <row r="666" spans="8:8" x14ac:dyDescent="0.25">
      <c r="H666" t="s">
        <v>2434</v>
      </c>
    </row>
    <row r="667" spans="8:8" x14ac:dyDescent="0.25">
      <c r="H667" t="s">
        <v>31</v>
      </c>
    </row>
    <row r="669" spans="8:8" x14ac:dyDescent="0.25">
      <c r="H669" t="s">
        <v>2000</v>
      </c>
    </row>
    <row r="670" spans="8:8" x14ac:dyDescent="0.25">
      <c r="H670" t="s">
        <v>2398</v>
      </c>
    </row>
    <row r="671" spans="8:8" x14ac:dyDescent="0.25">
      <c r="H671" t="s">
        <v>670</v>
      </c>
    </row>
    <row r="672" spans="8:8" x14ac:dyDescent="0.25">
      <c r="H672" t="s">
        <v>2435</v>
      </c>
    </row>
    <row r="673" spans="8:8" x14ac:dyDescent="0.25">
      <c r="H673" t="s">
        <v>31</v>
      </c>
    </row>
    <row r="675" spans="8:8" x14ac:dyDescent="0.25">
      <c r="H675" t="s">
        <v>2001</v>
      </c>
    </row>
    <row r="676" spans="8:8" x14ac:dyDescent="0.25">
      <c r="H676" t="s">
        <v>2400</v>
      </c>
    </row>
    <row r="677" spans="8:8" x14ac:dyDescent="0.25">
      <c r="H677" t="s">
        <v>670</v>
      </c>
    </row>
    <row r="678" spans="8:8" x14ac:dyDescent="0.25">
      <c r="H678" t="s">
        <v>2436</v>
      </c>
    </row>
    <row r="679" spans="8:8" x14ac:dyDescent="0.25">
      <c r="H679" t="s">
        <v>31</v>
      </c>
    </row>
    <row r="681" spans="8:8" x14ac:dyDescent="0.25">
      <c r="H681" t="s">
        <v>2135</v>
      </c>
    </row>
    <row r="682" spans="8:8" x14ac:dyDescent="0.25">
      <c r="H682" t="s">
        <v>2402</v>
      </c>
    </row>
    <row r="683" spans="8:8" x14ac:dyDescent="0.25">
      <c r="H683" t="s">
        <v>670</v>
      </c>
    </row>
    <row r="684" spans="8:8" x14ac:dyDescent="0.25">
      <c r="H684" t="s">
        <v>2437</v>
      </c>
    </row>
    <row r="685" spans="8:8" x14ac:dyDescent="0.25">
      <c r="H685" t="s">
        <v>31</v>
      </c>
    </row>
    <row r="687" spans="8:8" x14ac:dyDescent="0.25">
      <c r="H687" t="s">
        <v>2136</v>
      </c>
    </row>
    <row r="688" spans="8:8" x14ac:dyDescent="0.25">
      <c r="H688" t="s">
        <v>2404</v>
      </c>
    </row>
    <row r="689" spans="8:8" x14ac:dyDescent="0.25">
      <c r="H689" t="s">
        <v>670</v>
      </c>
    </row>
    <row r="690" spans="8:8" x14ac:dyDescent="0.25">
      <c r="H690" t="s">
        <v>2438</v>
      </c>
    </row>
    <row r="691" spans="8:8" x14ac:dyDescent="0.25">
      <c r="H691" t="s">
        <v>31</v>
      </c>
    </row>
    <row r="692" spans="8:8" x14ac:dyDescent="0.25">
      <c r="H692" t="s">
        <v>2406</v>
      </c>
    </row>
    <row r="693" spans="8:8" x14ac:dyDescent="0.25">
      <c r="H693" t="s">
        <v>674</v>
      </c>
    </row>
    <row r="694" spans="8:8" x14ac:dyDescent="0.25">
      <c r="H694" t="s">
        <v>2439</v>
      </c>
    </row>
    <row r="695" spans="8:8" x14ac:dyDescent="0.25">
      <c r="H695" t="s">
        <v>31</v>
      </c>
    </row>
    <row r="696" spans="8:8" x14ac:dyDescent="0.25">
      <c r="H696" t="s">
        <v>676</v>
      </c>
    </row>
    <row r="697" spans="8:8" x14ac:dyDescent="0.25">
      <c r="H697" t="s">
        <v>2440</v>
      </c>
    </row>
    <row r="698" spans="8:8" x14ac:dyDescent="0.25">
      <c r="H698" t="s">
        <v>31</v>
      </c>
    </row>
    <row r="700" spans="8:8" x14ac:dyDescent="0.25">
      <c r="H700" t="s">
        <v>2137</v>
      </c>
    </row>
    <row r="701" spans="8:8" x14ac:dyDescent="0.25">
      <c r="H701" t="s">
        <v>2409</v>
      </c>
    </row>
    <row r="702" spans="8:8" x14ac:dyDescent="0.25">
      <c r="H702" t="s">
        <v>670</v>
      </c>
    </row>
    <row r="703" spans="8:8" x14ac:dyDescent="0.25">
      <c r="H703" t="s">
        <v>2441</v>
      </c>
    </row>
    <row r="704" spans="8:8" x14ac:dyDescent="0.25">
      <c r="H704" t="s">
        <v>31</v>
      </c>
    </row>
    <row r="705" spans="8:8" x14ac:dyDescent="0.25">
      <c r="H705" t="s">
        <v>672</v>
      </c>
    </row>
    <row r="706" spans="8:8" x14ac:dyDescent="0.25">
      <c r="H706" t="s">
        <v>2442</v>
      </c>
    </row>
    <row r="707" spans="8:8" x14ac:dyDescent="0.25">
      <c r="H707" t="s">
        <v>31</v>
      </c>
    </row>
    <row r="708" spans="8:8" x14ac:dyDescent="0.25">
      <c r="H708" t="s">
        <v>2412</v>
      </c>
    </row>
    <row r="709" spans="8:8" x14ac:dyDescent="0.25">
      <c r="H709" t="s">
        <v>674</v>
      </c>
    </row>
    <row r="710" spans="8:8" x14ac:dyDescent="0.25">
      <c r="H710" t="s">
        <v>2443</v>
      </c>
    </row>
    <row r="711" spans="8:8" x14ac:dyDescent="0.25">
      <c r="H711" t="s">
        <v>31</v>
      </c>
    </row>
    <row r="712" spans="8:8" x14ac:dyDescent="0.25">
      <c r="H712" t="s">
        <v>676</v>
      </c>
    </row>
    <row r="713" spans="8:8" x14ac:dyDescent="0.25">
      <c r="H713" t="s">
        <v>2444</v>
      </c>
    </row>
    <row r="714" spans="8:8" x14ac:dyDescent="0.25">
      <c r="H714" t="s">
        <v>31</v>
      </c>
    </row>
    <row r="716" spans="8:8" x14ac:dyDescent="0.25">
      <c r="H716" t="s">
        <v>2138</v>
      </c>
    </row>
    <row r="717" spans="8:8" x14ac:dyDescent="0.25">
      <c r="H717" t="s">
        <v>1461</v>
      </c>
    </row>
    <row r="718" spans="8:8" x14ac:dyDescent="0.25">
      <c r="H718" t="s">
        <v>670</v>
      </c>
    </row>
    <row r="719" spans="8:8" x14ac:dyDescent="0.25">
      <c r="H719" t="s">
        <v>1552</v>
      </c>
    </row>
    <row r="720" spans="8:8" x14ac:dyDescent="0.25">
      <c r="H720" t="s">
        <v>31</v>
      </c>
    </row>
    <row r="721" spans="8:8" x14ac:dyDescent="0.25">
      <c r="H721" t="s">
        <v>672</v>
      </c>
    </row>
    <row r="722" spans="8:8" x14ac:dyDescent="0.25">
      <c r="H722" t="s">
        <v>1553</v>
      </c>
    </row>
    <row r="723" spans="8:8" x14ac:dyDescent="0.25">
      <c r="H723" t="s">
        <v>31</v>
      </c>
    </row>
    <row r="724" spans="8:8" x14ac:dyDescent="0.25">
      <c r="H724" t="s">
        <v>674</v>
      </c>
    </row>
    <row r="725" spans="8:8" x14ac:dyDescent="0.25">
      <c r="H725" t="s">
        <v>1554</v>
      </c>
    </row>
    <row r="726" spans="8:8" x14ac:dyDescent="0.25">
      <c r="H726" t="s">
        <v>31</v>
      </c>
    </row>
    <row r="727" spans="8:8" x14ac:dyDescent="0.25">
      <c r="H727" t="s">
        <v>676</v>
      </c>
    </row>
    <row r="728" spans="8:8" x14ac:dyDescent="0.25">
      <c r="H728" t="s">
        <v>1555</v>
      </c>
    </row>
    <row r="729" spans="8:8" x14ac:dyDescent="0.25">
      <c r="H729" t="s">
        <v>31</v>
      </c>
    </row>
    <row r="731" spans="8:8" x14ac:dyDescent="0.25">
      <c r="H731" t="s">
        <v>2139</v>
      </c>
    </row>
    <row r="732" spans="8:8" x14ac:dyDescent="0.25">
      <c r="H732" t="s">
        <v>1455</v>
      </c>
    </row>
    <row r="733" spans="8:8" x14ac:dyDescent="0.25">
      <c r="H733" t="s">
        <v>670</v>
      </c>
    </row>
    <row r="734" spans="8:8" x14ac:dyDescent="0.25">
      <c r="H734" t="s">
        <v>1548</v>
      </c>
    </row>
    <row r="735" spans="8:8" x14ac:dyDescent="0.25">
      <c r="H735" t="s">
        <v>31</v>
      </c>
    </row>
    <row r="736" spans="8:8" x14ac:dyDescent="0.25">
      <c r="H736" t="s">
        <v>672</v>
      </c>
    </row>
    <row r="737" spans="8:8" x14ac:dyDescent="0.25">
      <c r="H737" t="s">
        <v>1549</v>
      </c>
    </row>
    <row r="738" spans="8:8" x14ac:dyDescent="0.25">
      <c r="H738" t="s">
        <v>31</v>
      </c>
    </row>
    <row r="739" spans="8:8" x14ac:dyDescent="0.25">
      <c r="H739" t="s">
        <v>674</v>
      </c>
    </row>
    <row r="740" spans="8:8" x14ac:dyDescent="0.25">
      <c r="H740" t="s">
        <v>1550</v>
      </c>
    </row>
    <row r="741" spans="8:8" x14ac:dyDescent="0.25">
      <c r="H741" t="s">
        <v>31</v>
      </c>
    </row>
    <row r="742" spans="8:8" x14ac:dyDescent="0.25">
      <c r="H742" t="s">
        <v>676</v>
      </c>
    </row>
    <row r="743" spans="8:8" x14ac:dyDescent="0.25">
      <c r="H743" t="s">
        <v>1551</v>
      </c>
    </row>
    <row r="744" spans="8:8" x14ac:dyDescent="0.25">
      <c r="H744" t="s">
        <v>31</v>
      </c>
    </row>
    <row r="746" spans="8:8" x14ac:dyDescent="0.25">
      <c r="H746" t="s">
        <v>2140</v>
      </c>
    </row>
    <row r="747" spans="8:8" x14ac:dyDescent="0.25">
      <c r="H747" t="s">
        <v>1449</v>
      </c>
    </row>
    <row r="748" spans="8:8" x14ac:dyDescent="0.25">
      <c r="H748" t="s">
        <v>670</v>
      </c>
    </row>
    <row r="749" spans="8:8" x14ac:dyDescent="0.25">
      <c r="H749" t="s">
        <v>1544</v>
      </c>
    </row>
    <row r="750" spans="8:8" x14ac:dyDescent="0.25">
      <c r="H750" t="s">
        <v>31</v>
      </c>
    </row>
    <row r="751" spans="8:8" x14ac:dyDescent="0.25">
      <c r="H751" t="s">
        <v>672</v>
      </c>
    </row>
    <row r="752" spans="8:8" x14ac:dyDescent="0.25">
      <c r="H752" t="s">
        <v>1545</v>
      </c>
    </row>
    <row r="753" spans="8:8" x14ac:dyDescent="0.25">
      <c r="H753" t="s">
        <v>31</v>
      </c>
    </row>
    <row r="754" spans="8:8" x14ac:dyDescent="0.25">
      <c r="H754" t="s">
        <v>674</v>
      </c>
    </row>
    <row r="755" spans="8:8" x14ac:dyDescent="0.25">
      <c r="H755" t="s">
        <v>1546</v>
      </c>
    </row>
    <row r="756" spans="8:8" x14ac:dyDescent="0.25">
      <c r="H756" t="s">
        <v>31</v>
      </c>
    </row>
    <row r="757" spans="8:8" x14ac:dyDescent="0.25">
      <c r="H757" t="s">
        <v>676</v>
      </c>
    </row>
    <row r="758" spans="8:8" x14ac:dyDescent="0.25">
      <c r="H758" t="s">
        <v>1547</v>
      </c>
    </row>
    <row r="759" spans="8:8" x14ac:dyDescent="0.25">
      <c r="H759" t="s">
        <v>31</v>
      </c>
    </row>
    <row r="761" spans="8:8" x14ac:dyDescent="0.25">
      <c r="H761" t="s">
        <v>2141</v>
      </c>
    </row>
    <row r="762" spans="8:8" x14ac:dyDescent="0.25">
      <c r="H762" t="s">
        <v>1443</v>
      </c>
    </row>
    <row r="763" spans="8:8" x14ac:dyDescent="0.25">
      <c r="H763" t="s">
        <v>670</v>
      </c>
    </row>
    <row r="764" spans="8:8" x14ac:dyDescent="0.25">
      <c r="H764" t="s">
        <v>1540</v>
      </c>
    </row>
    <row r="765" spans="8:8" x14ac:dyDescent="0.25">
      <c r="H765" t="s">
        <v>31</v>
      </c>
    </row>
    <row r="766" spans="8:8" x14ac:dyDescent="0.25">
      <c r="H766" t="s">
        <v>672</v>
      </c>
    </row>
    <row r="767" spans="8:8" x14ac:dyDescent="0.25">
      <c r="H767" t="s">
        <v>1541</v>
      </c>
    </row>
    <row r="768" spans="8:8" x14ac:dyDescent="0.25">
      <c r="H768" t="s">
        <v>31</v>
      </c>
    </row>
    <row r="769" spans="8:8" x14ac:dyDescent="0.25">
      <c r="H769" t="s">
        <v>674</v>
      </c>
    </row>
    <row r="770" spans="8:8" x14ac:dyDescent="0.25">
      <c r="H770" t="s">
        <v>1542</v>
      </c>
    </row>
    <row r="771" spans="8:8" x14ac:dyDescent="0.25">
      <c r="H771" t="s">
        <v>31</v>
      </c>
    </row>
    <row r="772" spans="8:8" x14ac:dyDescent="0.25">
      <c r="H772" t="s">
        <v>676</v>
      </c>
    </row>
    <row r="773" spans="8:8" x14ac:dyDescent="0.25">
      <c r="H773" t="s">
        <v>1543</v>
      </c>
    </row>
    <row r="774" spans="8:8" x14ac:dyDescent="0.25">
      <c r="H774" t="s">
        <v>31</v>
      </c>
    </row>
    <row r="776" spans="8:8" x14ac:dyDescent="0.25">
      <c r="H776" t="s">
        <v>2142</v>
      </c>
    </row>
    <row r="777" spans="8:8" x14ac:dyDescent="0.25">
      <c r="H777" t="s">
        <v>1437</v>
      </c>
    </row>
    <row r="778" spans="8:8" x14ac:dyDescent="0.25">
      <c r="H778" t="s">
        <v>670</v>
      </c>
    </row>
    <row r="779" spans="8:8" x14ac:dyDescent="0.25">
      <c r="H779" t="s">
        <v>1536</v>
      </c>
    </row>
    <row r="780" spans="8:8" x14ac:dyDescent="0.25">
      <c r="H780" t="s">
        <v>31</v>
      </c>
    </row>
    <row r="781" spans="8:8" x14ac:dyDescent="0.25">
      <c r="H781" t="s">
        <v>672</v>
      </c>
    </row>
    <row r="782" spans="8:8" x14ac:dyDescent="0.25">
      <c r="H782" t="s">
        <v>1537</v>
      </c>
    </row>
    <row r="783" spans="8:8" x14ac:dyDescent="0.25">
      <c r="H783" t="s">
        <v>31</v>
      </c>
    </row>
    <row r="784" spans="8:8" x14ac:dyDescent="0.25">
      <c r="H784" t="s">
        <v>674</v>
      </c>
    </row>
    <row r="785" spans="8:8" x14ac:dyDescent="0.25">
      <c r="H785" t="s">
        <v>1538</v>
      </c>
    </row>
    <row r="786" spans="8:8" x14ac:dyDescent="0.25">
      <c r="H786" t="s">
        <v>31</v>
      </c>
    </row>
    <row r="787" spans="8:8" x14ac:dyDescent="0.25">
      <c r="H787" t="s">
        <v>676</v>
      </c>
    </row>
    <row r="788" spans="8:8" x14ac:dyDescent="0.25">
      <c r="H788" t="s">
        <v>1539</v>
      </c>
    </row>
    <row r="789" spans="8:8" x14ac:dyDescent="0.25">
      <c r="H789" t="s">
        <v>31</v>
      </c>
    </row>
    <row r="791" spans="8:8" x14ac:dyDescent="0.25">
      <c r="H791" t="s">
        <v>2143</v>
      </c>
    </row>
    <row r="792" spans="8:8" x14ac:dyDescent="0.25">
      <c r="H792" t="s">
        <v>1431</v>
      </c>
    </row>
    <row r="793" spans="8:8" x14ac:dyDescent="0.25">
      <c r="H793" t="s">
        <v>670</v>
      </c>
    </row>
    <row r="794" spans="8:8" x14ac:dyDescent="0.25">
      <c r="H794" t="s">
        <v>1532</v>
      </c>
    </row>
    <row r="795" spans="8:8" x14ac:dyDescent="0.25">
      <c r="H795" t="s">
        <v>31</v>
      </c>
    </row>
    <row r="796" spans="8:8" x14ac:dyDescent="0.25">
      <c r="H796" t="s">
        <v>672</v>
      </c>
    </row>
    <row r="797" spans="8:8" x14ac:dyDescent="0.25">
      <c r="H797" t="s">
        <v>1533</v>
      </c>
    </row>
    <row r="798" spans="8:8" x14ac:dyDescent="0.25">
      <c r="H798" t="s">
        <v>31</v>
      </c>
    </row>
    <row r="799" spans="8:8" x14ac:dyDescent="0.25">
      <c r="H799" t="s">
        <v>674</v>
      </c>
    </row>
    <row r="800" spans="8:8" x14ac:dyDescent="0.25">
      <c r="H800" t="s">
        <v>1534</v>
      </c>
    </row>
    <row r="801" spans="8:8" x14ac:dyDescent="0.25">
      <c r="H801" t="s">
        <v>31</v>
      </c>
    </row>
    <row r="802" spans="8:8" x14ac:dyDescent="0.25">
      <c r="H802" t="s">
        <v>676</v>
      </c>
    </row>
    <row r="803" spans="8:8" x14ac:dyDescent="0.25">
      <c r="H803" t="s">
        <v>1535</v>
      </c>
    </row>
    <row r="804" spans="8:8" x14ac:dyDescent="0.25">
      <c r="H804" t="s">
        <v>31</v>
      </c>
    </row>
    <row r="806" spans="8:8" x14ac:dyDescent="0.25">
      <c r="H806" t="s">
        <v>2144</v>
      </c>
    </row>
    <row r="807" spans="8:8" x14ac:dyDescent="0.25">
      <c r="H807" t="s">
        <v>1425</v>
      </c>
    </row>
    <row r="808" spans="8:8" x14ac:dyDescent="0.25">
      <c r="H808" t="s">
        <v>670</v>
      </c>
    </row>
    <row r="809" spans="8:8" x14ac:dyDescent="0.25">
      <c r="H809" t="s">
        <v>1528</v>
      </c>
    </row>
    <row r="810" spans="8:8" x14ac:dyDescent="0.25">
      <c r="H810" t="s">
        <v>31</v>
      </c>
    </row>
    <row r="811" spans="8:8" x14ac:dyDescent="0.25">
      <c r="H811" t="s">
        <v>672</v>
      </c>
    </row>
    <row r="812" spans="8:8" x14ac:dyDescent="0.25">
      <c r="H812" t="s">
        <v>1529</v>
      </c>
    </row>
    <row r="813" spans="8:8" x14ac:dyDescent="0.25">
      <c r="H813" t="s">
        <v>31</v>
      </c>
    </row>
    <row r="814" spans="8:8" x14ac:dyDescent="0.25">
      <c r="H814" t="s">
        <v>674</v>
      </c>
    </row>
    <row r="815" spans="8:8" x14ac:dyDescent="0.25">
      <c r="H815" t="s">
        <v>1530</v>
      </c>
    </row>
    <row r="816" spans="8:8" x14ac:dyDescent="0.25">
      <c r="H816" t="s">
        <v>31</v>
      </c>
    </row>
    <row r="817" spans="8:8" x14ac:dyDescent="0.25">
      <c r="H817" t="s">
        <v>676</v>
      </c>
    </row>
    <row r="818" spans="8:8" x14ac:dyDescent="0.25">
      <c r="H818" t="s">
        <v>1531</v>
      </c>
    </row>
    <row r="819" spans="8:8" x14ac:dyDescent="0.25">
      <c r="H819" t="s">
        <v>31</v>
      </c>
    </row>
    <row r="821" spans="8:8" x14ac:dyDescent="0.25">
      <c r="H821" t="s">
        <v>2145</v>
      </c>
    </row>
    <row r="822" spans="8:8" x14ac:dyDescent="0.25">
      <c r="H822" t="s">
        <v>1419</v>
      </c>
    </row>
    <row r="823" spans="8:8" x14ac:dyDescent="0.25">
      <c r="H823" t="s">
        <v>670</v>
      </c>
    </row>
    <row r="824" spans="8:8" x14ac:dyDescent="0.25">
      <c r="H824" t="s">
        <v>1524</v>
      </c>
    </row>
    <row r="825" spans="8:8" x14ac:dyDescent="0.25">
      <c r="H825" t="s">
        <v>31</v>
      </c>
    </row>
    <row r="826" spans="8:8" x14ac:dyDescent="0.25">
      <c r="H826" t="s">
        <v>672</v>
      </c>
    </row>
    <row r="827" spans="8:8" x14ac:dyDescent="0.25">
      <c r="H827" t="s">
        <v>1525</v>
      </c>
    </row>
    <row r="828" spans="8:8" x14ac:dyDescent="0.25">
      <c r="H828" t="s">
        <v>31</v>
      </c>
    </row>
    <row r="829" spans="8:8" x14ac:dyDescent="0.25">
      <c r="H829" t="s">
        <v>674</v>
      </c>
    </row>
    <row r="830" spans="8:8" x14ac:dyDescent="0.25">
      <c r="H830" t="s">
        <v>1526</v>
      </c>
    </row>
    <row r="831" spans="8:8" x14ac:dyDescent="0.25">
      <c r="H831" t="s">
        <v>31</v>
      </c>
    </row>
    <row r="832" spans="8:8" x14ac:dyDescent="0.25">
      <c r="H832" t="s">
        <v>676</v>
      </c>
    </row>
    <row r="833" spans="8:8" x14ac:dyDescent="0.25">
      <c r="H833" t="s">
        <v>1527</v>
      </c>
    </row>
    <row r="834" spans="8:8" x14ac:dyDescent="0.25">
      <c r="H834" t="s">
        <v>31</v>
      </c>
    </row>
    <row r="836" spans="8:8" x14ac:dyDescent="0.25">
      <c r="H836" t="s">
        <v>2146</v>
      </c>
    </row>
    <row r="837" spans="8:8" x14ac:dyDescent="0.25">
      <c r="H837" t="s">
        <v>1413</v>
      </c>
    </row>
    <row r="838" spans="8:8" x14ac:dyDescent="0.25">
      <c r="H838" t="s">
        <v>670</v>
      </c>
    </row>
    <row r="839" spans="8:8" x14ac:dyDescent="0.25">
      <c r="H839" t="s">
        <v>1520</v>
      </c>
    </row>
    <row r="840" spans="8:8" x14ac:dyDescent="0.25">
      <c r="H840" t="s">
        <v>31</v>
      </c>
    </row>
    <row r="841" spans="8:8" x14ac:dyDescent="0.25">
      <c r="H841" t="s">
        <v>672</v>
      </c>
    </row>
    <row r="842" spans="8:8" x14ac:dyDescent="0.25">
      <c r="H842" t="s">
        <v>1521</v>
      </c>
    </row>
    <row r="843" spans="8:8" x14ac:dyDescent="0.25">
      <c r="H843" t="s">
        <v>31</v>
      </c>
    </row>
    <row r="844" spans="8:8" x14ac:dyDescent="0.25">
      <c r="H844" t="s">
        <v>674</v>
      </c>
    </row>
    <row r="845" spans="8:8" x14ac:dyDescent="0.25">
      <c r="H845" t="s">
        <v>1522</v>
      </c>
    </row>
    <row r="846" spans="8:8" x14ac:dyDescent="0.25">
      <c r="H846" t="s">
        <v>31</v>
      </c>
    </row>
    <row r="847" spans="8:8" x14ac:dyDescent="0.25">
      <c r="H847" t="s">
        <v>676</v>
      </c>
    </row>
    <row r="848" spans="8:8" x14ac:dyDescent="0.25">
      <c r="H848" t="s">
        <v>1523</v>
      </c>
    </row>
    <row r="849" spans="8:8" x14ac:dyDescent="0.25">
      <c r="H849" t="s">
        <v>31</v>
      </c>
    </row>
    <row r="851" spans="8:8" x14ac:dyDescent="0.25">
      <c r="H851" t="s">
        <v>2263</v>
      </c>
    </row>
    <row r="852" spans="8:8" x14ac:dyDescent="0.25">
      <c r="H852" t="s">
        <v>1407</v>
      </c>
    </row>
    <row r="853" spans="8:8" x14ac:dyDescent="0.25">
      <c r="H853" t="s">
        <v>670</v>
      </c>
    </row>
    <row r="854" spans="8:8" x14ac:dyDescent="0.25">
      <c r="H854" t="s">
        <v>1516</v>
      </c>
    </row>
    <row r="855" spans="8:8" x14ac:dyDescent="0.25">
      <c r="H855" t="s">
        <v>31</v>
      </c>
    </row>
    <row r="856" spans="8:8" x14ac:dyDescent="0.25">
      <c r="H856" t="s">
        <v>672</v>
      </c>
    </row>
    <row r="857" spans="8:8" x14ac:dyDescent="0.25">
      <c r="H857" t="s">
        <v>1517</v>
      </c>
    </row>
    <row r="858" spans="8:8" x14ac:dyDescent="0.25">
      <c r="H858" t="s">
        <v>31</v>
      </c>
    </row>
    <row r="859" spans="8:8" x14ac:dyDescent="0.25">
      <c r="H859" t="s">
        <v>674</v>
      </c>
    </row>
    <row r="860" spans="8:8" x14ac:dyDescent="0.25">
      <c r="H860" t="s">
        <v>1518</v>
      </c>
    </row>
    <row r="861" spans="8:8" x14ac:dyDescent="0.25">
      <c r="H861" t="s">
        <v>31</v>
      </c>
    </row>
    <row r="862" spans="8:8" x14ac:dyDescent="0.25">
      <c r="H862" t="s">
        <v>676</v>
      </c>
    </row>
    <row r="863" spans="8:8" x14ac:dyDescent="0.25">
      <c r="H863" t="s">
        <v>1519</v>
      </c>
    </row>
    <row r="864" spans="8:8" x14ac:dyDescent="0.25">
      <c r="H864" t="s">
        <v>31</v>
      </c>
    </row>
    <row r="866" spans="8:8" x14ac:dyDescent="0.25">
      <c r="H866" t="s">
        <v>2264</v>
      </c>
    </row>
    <row r="867" spans="8:8" x14ac:dyDescent="0.25">
      <c r="H867" t="s">
        <v>1401</v>
      </c>
    </row>
    <row r="868" spans="8:8" x14ac:dyDescent="0.25">
      <c r="H868" t="s">
        <v>670</v>
      </c>
    </row>
    <row r="869" spans="8:8" x14ac:dyDescent="0.25">
      <c r="H869" t="s">
        <v>1512</v>
      </c>
    </row>
    <row r="870" spans="8:8" x14ac:dyDescent="0.25">
      <c r="H870" t="s">
        <v>31</v>
      </c>
    </row>
    <row r="871" spans="8:8" x14ac:dyDescent="0.25">
      <c r="H871" t="s">
        <v>672</v>
      </c>
    </row>
    <row r="872" spans="8:8" x14ac:dyDescent="0.25">
      <c r="H872" t="s">
        <v>1513</v>
      </c>
    </row>
    <row r="873" spans="8:8" x14ac:dyDescent="0.25">
      <c r="H873" t="s">
        <v>31</v>
      </c>
    </row>
    <row r="874" spans="8:8" x14ac:dyDescent="0.25">
      <c r="H874" t="s">
        <v>674</v>
      </c>
    </row>
    <row r="875" spans="8:8" x14ac:dyDescent="0.25">
      <c r="H875" t="s">
        <v>1514</v>
      </c>
    </row>
    <row r="876" spans="8:8" x14ac:dyDescent="0.25">
      <c r="H876" t="s">
        <v>31</v>
      </c>
    </row>
    <row r="877" spans="8:8" x14ac:dyDescent="0.25">
      <c r="H877" t="s">
        <v>676</v>
      </c>
    </row>
    <row r="878" spans="8:8" x14ac:dyDescent="0.25">
      <c r="H878" t="s">
        <v>1515</v>
      </c>
    </row>
    <row r="879" spans="8:8" x14ac:dyDescent="0.25">
      <c r="H879" t="s">
        <v>31</v>
      </c>
    </row>
    <row r="881" spans="8:8" x14ac:dyDescent="0.25">
      <c r="H881" t="s">
        <v>2265</v>
      </c>
    </row>
    <row r="882" spans="8:8" x14ac:dyDescent="0.25">
      <c r="H882" t="s">
        <v>1395</v>
      </c>
    </row>
    <row r="883" spans="8:8" x14ac:dyDescent="0.25">
      <c r="H883" t="s">
        <v>670</v>
      </c>
    </row>
    <row r="884" spans="8:8" x14ac:dyDescent="0.25">
      <c r="H884" t="s">
        <v>1508</v>
      </c>
    </row>
    <row r="885" spans="8:8" x14ac:dyDescent="0.25">
      <c r="H885" t="s">
        <v>31</v>
      </c>
    </row>
    <row r="886" spans="8:8" x14ac:dyDescent="0.25">
      <c r="H886" t="s">
        <v>672</v>
      </c>
    </row>
    <row r="887" spans="8:8" x14ac:dyDescent="0.25">
      <c r="H887" t="s">
        <v>1509</v>
      </c>
    </row>
    <row r="888" spans="8:8" x14ac:dyDescent="0.25">
      <c r="H888" t="s">
        <v>31</v>
      </c>
    </row>
    <row r="889" spans="8:8" x14ac:dyDescent="0.25">
      <c r="H889" t="s">
        <v>674</v>
      </c>
    </row>
    <row r="890" spans="8:8" x14ac:dyDescent="0.25">
      <c r="H890" t="s">
        <v>1510</v>
      </c>
    </row>
    <row r="891" spans="8:8" x14ac:dyDescent="0.25">
      <c r="H891" t="s">
        <v>31</v>
      </c>
    </row>
    <row r="892" spans="8:8" x14ac:dyDescent="0.25">
      <c r="H892" t="s">
        <v>676</v>
      </c>
    </row>
    <row r="893" spans="8:8" x14ac:dyDescent="0.25">
      <c r="H893" t="s">
        <v>1511</v>
      </c>
    </row>
    <row r="894" spans="8:8" x14ac:dyDescent="0.25">
      <c r="H894" t="s">
        <v>31</v>
      </c>
    </row>
    <row r="896" spans="8:8" x14ac:dyDescent="0.25">
      <c r="H896" t="s">
        <v>2266</v>
      </c>
    </row>
    <row r="897" spans="8:8" x14ac:dyDescent="0.25">
      <c r="H897" t="s">
        <v>1389</v>
      </c>
    </row>
    <row r="898" spans="8:8" x14ac:dyDescent="0.25">
      <c r="H898" t="s">
        <v>670</v>
      </c>
    </row>
    <row r="899" spans="8:8" x14ac:dyDescent="0.25">
      <c r="H899" t="s">
        <v>1504</v>
      </c>
    </row>
    <row r="900" spans="8:8" x14ac:dyDescent="0.25">
      <c r="H900" t="s">
        <v>31</v>
      </c>
    </row>
    <row r="901" spans="8:8" x14ac:dyDescent="0.25">
      <c r="H901" t="s">
        <v>672</v>
      </c>
    </row>
    <row r="902" spans="8:8" x14ac:dyDescent="0.25">
      <c r="H902" t="s">
        <v>1505</v>
      </c>
    </row>
    <row r="903" spans="8:8" x14ac:dyDescent="0.25">
      <c r="H903" t="s">
        <v>31</v>
      </c>
    </row>
    <row r="904" spans="8:8" x14ac:dyDescent="0.25">
      <c r="H904" t="s">
        <v>674</v>
      </c>
    </row>
    <row r="905" spans="8:8" x14ac:dyDescent="0.25">
      <c r="H905" t="s">
        <v>1506</v>
      </c>
    </row>
    <row r="906" spans="8:8" x14ac:dyDescent="0.25">
      <c r="H906" t="s">
        <v>31</v>
      </c>
    </row>
    <row r="907" spans="8:8" x14ac:dyDescent="0.25">
      <c r="H907" t="s">
        <v>676</v>
      </c>
    </row>
    <row r="908" spans="8:8" x14ac:dyDescent="0.25">
      <c r="H908" t="s">
        <v>1507</v>
      </c>
    </row>
    <row r="909" spans="8:8" x14ac:dyDescent="0.25">
      <c r="H909" t="s">
        <v>31</v>
      </c>
    </row>
    <row r="911" spans="8:8" x14ac:dyDescent="0.25">
      <c r="H911" t="s">
        <v>2267</v>
      </c>
    </row>
    <row r="912" spans="8:8" x14ac:dyDescent="0.25">
      <c r="H912" t="s">
        <v>1383</v>
      </c>
    </row>
    <row r="913" spans="8:8" x14ac:dyDescent="0.25">
      <c r="H913" t="s">
        <v>670</v>
      </c>
    </row>
    <row r="914" spans="8:8" x14ac:dyDescent="0.25">
      <c r="H914" t="s">
        <v>1500</v>
      </c>
    </row>
    <row r="915" spans="8:8" x14ac:dyDescent="0.25">
      <c r="H915" t="s">
        <v>31</v>
      </c>
    </row>
    <row r="916" spans="8:8" x14ac:dyDescent="0.25">
      <c r="H916" t="s">
        <v>672</v>
      </c>
    </row>
    <row r="917" spans="8:8" x14ac:dyDescent="0.25">
      <c r="H917" t="s">
        <v>1501</v>
      </c>
    </row>
    <row r="918" spans="8:8" x14ac:dyDescent="0.25">
      <c r="H918" t="s">
        <v>31</v>
      </c>
    </row>
    <row r="919" spans="8:8" x14ac:dyDescent="0.25">
      <c r="H919" t="s">
        <v>674</v>
      </c>
    </row>
    <row r="920" spans="8:8" x14ac:dyDescent="0.25">
      <c r="H920" t="s">
        <v>1502</v>
      </c>
    </row>
    <row r="921" spans="8:8" x14ac:dyDescent="0.25">
      <c r="H921" t="s">
        <v>31</v>
      </c>
    </row>
    <row r="922" spans="8:8" x14ac:dyDescent="0.25">
      <c r="H922" t="s">
        <v>676</v>
      </c>
    </row>
    <row r="923" spans="8:8" x14ac:dyDescent="0.25">
      <c r="H923" t="s">
        <v>1503</v>
      </c>
    </row>
    <row r="924" spans="8:8" x14ac:dyDescent="0.25">
      <c r="H924" t="s">
        <v>31</v>
      </c>
    </row>
    <row r="926" spans="8:8" x14ac:dyDescent="0.25">
      <c r="H926" t="s">
        <v>2415</v>
      </c>
    </row>
    <row r="927" spans="8:8" x14ac:dyDescent="0.25">
      <c r="H927" t="s">
        <v>1377</v>
      </c>
    </row>
    <row r="928" spans="8:8" x14ac:dyDescent="0.25">
      <c r="H928" t="s">
        <v>670</v>
      </c>
    </row>
    <row r="929" spans="8:8" x14ac:dyDescent="0.25">
      <c r="H929" t="s">
        <v>1496</v>
      </c>
    </row>
    <row r="930" spans="8:8" x14ac:dyDescent="0.25">
      <c r="H930" t="s">
        <v>31</v>
      </c>
    </row>
    <row r="931" spans="8:8" x14ac:dyDescent="0.25">
      <c r="H931" t="s">
        <v>672</v>
      </c>
    </row>
    <row r="932" spans="8:8" x14ac:dyDescent="0.25">
      <c r="H932" t="s">
        <v>1497</v>
      </c>
    </row>
    <row r="933" spans="8:8" x14ac:dyDescent="0.25">
      <c r="H933" t="s">
        <v>31</v>
      </c>
    </row>
    <row r="934" spans="8:8" x14ac:dyDescent="0.25">
      <c r="H934" t="s">
        <v>674</v>
      </c>
    </row>
    <row r="935" spans="8:8" x14ac:dyDescent="0.25">
      <c r="H935" t="s">
        <v>1498</v>
      </c>
    </row>
    <row r="936" spans="8:8" x14ac:dyDescent="0.25">
      <c r="H936" t="s">
        <v>31</v>
      </c>
    </row>
    <row r="937" spans="8:8" x14ac:dyDescent="0.25">
      <c r="H937" t="s">
        <v>676</v>
      </c>
    </row>
    <row r="938" spans="8:8" x14ac:dyDescent="0.25">
      <c r="H938" t="s">
        <v>1499</v>
      </c>
    </row>
    <row r="939" spans="8:8" x14ac:dyDescent="0.25">
      <c r="H939" t="s">
        <v>31</v>
      </c>
    </row>
    <row r="941" spans="8:8" x14ac:dyDescent="0.25">
      <c r="H941" t="s">
        <v>2416</v>
      </c>
    </row>
    <row r="942" spans="8:8" x14ac:dyDescent="0.25">
      <c r="H942" t="s">
        <v>1371</v>
      </c>
    </row>
    <row r="943" spans="8:8" x14ac:dyDescent="0.25">
      <c r="H943" t="s">
        <v>670</v>
      </c>
    </row>
    <row r="944" spans="8:8" x14ac:dyDescent="0.25">
      <c r="H944" t="s">
        <v>1492</v>
      </c>
    </row>
    <row r="945" spans="8:8" x14ac:dyDescent="0.25">
      <c r="H945" t="s">
        <v>31</v>
      </c>
    </row>
    <row r="946" spans="8:8" x14ac:dyDescent="0.25">
      <c r="H946" t="s">
        <v>672</v>
      </c>
    </row>
    <row r="947" spans="8:8" x14ac:dyDescent="0.25">
      <c r="H947" t="s">
        <v>1493</v>
      </c>
    </row>
    <row r="948" spans="8:8" x14ac:dyDescent="0.25">
      <c r="H948" t="s">
        <v>31</v>
      </c>
    </row>
    <row r="949" spans="8:8" x14ac:dyDescent="0.25">
      <c r="H949" t="s">
        <v>674</v>
      </c>
    </row>
    <row r="950" spans="8:8" x14ac:dyDescent="0.25">
      <c r="H950" t="s">
        <v>1494</v>
      </c>
    </row>
    <row r="951" spans="8:8" x14ac:dyDescent="0.25">
      <c r="H951" t="s">
        <v>31</v>
      </c>
    </row>
    <row r="952" spans="8:8" x14ac:dyDescent="0.25">
      <c r="H952" t="s">
        <v>676</v>
      </c>
    </row>
    <row r="953" spans="8:8" x14ac:dyDescent="0.25">
      <c r="H953" t="s">
        <v>1495</v>
      </c>
    </row>
    <row r="954" spans="8:8" x14ac:dyDescent="0.25">
      <c r="H954" t="s">
        <v>31</v>
      </c>
    </row>
    <row r="956" spans="8:8" x14ac:dyDescent="0.25">
      <c r="H956" t="s">
        <v>2417</v>
      </c>
    </row>
    <row r="957" spans="8:8" x14ac:dyDescent="0.25">
      <c r="H957" t="s">
        <v>1467</v>
      </c>
    </row>
    <row r="958" spans="8:8" x14ac:dyDescent="0.25">
      <c r="H958" t="s">
        <v>670</v>
      </c>
    </row>
    <row r="959" spans="8:8" x14ac:dyDescent="0.25">
      <c r="H959" t="s">
        <v>1556</v>
      </c>
    </row>
    <row r="960" spans="8:8" x14ac:dyDescent="0.25">
      <c r="H960" t="s">
        <v>31</v>
      </c>
    </row>
    <row r="961" spans="8:8" x14ac:dyDescent="0.25">
      <c r="H961" t="s">
        <v>672</v>
      </c>
    </row>
    <row r="962" spans="8:8" x14ac:dyDescent="0.25">
      <c r="H962" t="s">
        <v>1635</v>
      </c>
    </row>
    <row r="963" spans="8:8" x14ac:dyDescent="0.25">
      <c r="H963" t="s">
        <v>31</v>
      </c>
    </row>
    <row r="965" spans="8:8" x14ac:dyDescent="0.25">
      <c r="H965" t="s">
        <v>2418</v>
      </c>
    </row>
    <row r="966" spans="8:8" x14ac:dyDescent="0.25">
      <c r="H966" t="s">
        <v>1470</v>
      </c>
    </row>
    <row r="967" spans="8:8" x14ac:dyDescent="0.25">
      <c r="H967" t="s">
        <v>670</v>
      </c>
    </row>
    <row r="968" spans="8:8" x14ac:dyDescent="0.25">
      <c r="H968" t="s">
        <v>1557</v>
      </c>
    </row>
    <row r="969" spans="8:8" x14ac:dyDescent="0.25">
      <c r="H969" t="s">
        <v>31</v>
      </c>
    </row>
    <row r="970" spans="8:8" x14ac:dyDescent="0.25">
      <c r="H970" t="s">
        <v>672</v>
      </c>
    </row>
    <row r="971" spans="8:8" x14ac:dyDescent="0.25">
      <c r="H971" t="s">
        <v>1636</v>
      </c>
    </row>
    <row r="972" spans="8:8" x14ac:dyDescent="0.25">
      <c r="H972" t="s">
        <v>31</v>
      </c>
    </row>
    <row r="974" spans="8:8" x14ac:dyDescent="0.25">
      <c r="H974" t="s">
        <v>2419</v>
      </c>
    </row>
    <row r="975" spans="8:8" x14ac:dyDescent="0.25">
      <c r="H975" t="s">
        <v>1869</v>
      </c>
    </row>
    <row r="976" spans="8:8" x14ac:dyDescent="0.25">
      <c r="H976" t="s">
        <v>670</v>
      </c>
    </row>
    <row r="977" spans="8:8" x14ac:dyDescent="0.25">
      <c r="H977" t="s">
        <v>1875</v>
      </c>
    </row>
    <row r="978" spans="8:8" x14ac:dyDescent="0.25">
      <c r="H978" t="s">
        <v>31</v>
      </c>
    </row>
    <row r="980" spans="8:8" x14ac:dyDescent="0.25">
      <c r="H980" t="s">
        <v>2420</v>
      </c>
    </row>
    <row r="981" spans="8:8" x14ac:dyDescent="0.25">
      <c r="H981" t="s">
        <v>1872</v>
      </c>
    </row>
    <row r="982" spans="8:8" x14ac:dyDescent="0.25">
      <c r="H982" t="s">
        <v>670</v>
      </c>
    </row>
    <row r="983" spans="8:8" x14ac:dyDescent="0.25">
      <c r="H983" t="s">
        <v>1876</v>
      </c>
    </row>
    <row r="984" spans="8:8" x14ac:dyDescent="0.25">
      <c r="H984" t="s">
        <v>31</v>
      </c>
    </row>
    <row r="986" spans="8:8" x14ac:dyDescent="0.25">
      <c r="H986" t="s">
        <v>29</v>
      </c>
    </row>
    <row r="987" spans="8:8" x14ac:dyDescent="0.25">
      <c r="H987" t="s">
        <v>124</v>
      </c>
    </row>
    <row r="988" spans="8:8" x14ac:dyDescent="0.25">
      <c r="H988" t="s">
        <v>39</v>
      </c>
    </row>
    <row r="990" spans="8:8" x14ac:dyDescent="0.25">
      <c r="H990" t="s">
        <v>30</v>
      </c>
    </row>
    <row r="991" spans="8:8" x14ac:dyDescent="0.25">
      <c r="H991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1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973</v>
      </c>
      <c r="I5" t="s">
        <v>987</v>
      </c>
    </row>
    <row r="6" spans="2:9" x14ac:dyDescent="0.25">
      <c r="B6" t="s">
        <v>663</v>
      </c>
      <c r="H6" t="s">
        <v>974</v>
      </c>
      <c r="I6" t="s">
        <v>988</v>
      </c>
    </row>
    <row r="7" spans="2:9" x14ac:dyDescent="0.25">
      <c r="H7" t="s">
        <v>975</v>
      </c>
      <c r="I7" t="s">
        <v>991</v>
      </c>
    </row>
    <row r="8" spans="2:9" x14ac:dyDescent="0.25">
      <c r="B8" s="1" t="s">
        <v>20</v>
      </c>
      <c r="H8" t="s">
        <v>976</v>
      </c>
      <c r="I8" t="s">
        <v>992</v>
      </c>
    </row>
    <row r="9" spans="2:9" x14ac:dyDescent="0.25">
      <c r="B9" t="s">
        <v>664</v>
      </c>
      <c r="H9" t="s">
        <v>977</v>
      </c>
      <c r="I9" t="s">
        <v>993</v>
      </c>
    </row>
    <row r="10" spans="2:9" x14ac:dyDescent="0.25">
      <c r="H10" t="s">
        <v>978</v>
      </c>
      <c r="I10" t="s">
        <v>994</v>
      </c>
    </row>
    <row r="11" spans="2:9" x14ac:dyDescent="0.25">
      <c r="B11" s="1" t="s">
        <v>13</v>
      </c>
      <c r="H11" t="s">
        <v>979</v>
      </c>
      <c r="I11" t="s">
        <v>995</v>
      </c>
    </row>
    <row r="12" spans="2:9" x14ac:dyDescent="0.25">
      <c r="B12" t="s">
        <v>15</v>
      </c>
      <c r="H12" t="s">
        <v>980</v>
      </c>
      <c r="I12" t="s">
        <v>996</v>
      </c>
    </row>
    <row r="13" spans="2:9" x14ac:dyDescent="0.25">
      <c r="H13" t="s">
        <v>981</v>
      </c>
      <c r="I13" t="s">
        <v>2005</v>
      </c>
    </row>
    <row r="14" spans="2:9" x14ac:dyDescent="0.25">
      <c r="B14" s="1" t="s">
        <v>36</v>
      </c>
      <c r="H14" t="s">
        <v>982</v>
      </c>
      <c r="I14" t="s">
        <v>2006</v>
      </c>
    </row>
    <row r="15" spans="2:9" x14ac:dyDescent="0.25">
      <c r="B15" t="s">
        <v>35</v>
      </c>
      <c r="H15" t="s">
        <v>983</v>
      </c>
      <c r="I15" t="s">
        <v>2181</v>
      </c>
    </row>
    <row r="16" spans="2:9" x14ac:dyDescent="0.25">
      <c r="H16" t="s">
        <v>984</v>
      </c>
      <c r="I16" t="s">
        <v>2182</v>
      </c>
    </row>
    <row r="17" spans="2:9" x14ac:dyDescent="0.25">
      <c r="B17" s="1" t="s">
        <v>21</v>
      </c>
      <c r="H17" t="s">
        <v>985</v>
      </c>
      <c r="I17" t="s">
        <v>2183</v>
      </c>
    </row>
    <row r="18" spans="2:9" x14ac:dyDescent="0.25">
      <c r="B18" t="s">
        <v>667</v>
      </c>
      <c r="H18" t="s">
        <v>986</v>
      </c>
      <c r="I18" t="s">
        <v>2184</v>
      </c>
    </row>
    <row r="19" spans="2:9" x14ac:dyDescent="0.25">
      <c r="H19" t="s">
        <v>987</v>
      </c>
      <c r="I19" t="s">
        <v>2191</v>
      </c>
    </row>
    <row r="20" spans="2:9" x14ac:dyDescent="0.25">
      <c r="B20" s="1"/>
      <c r="H20" t="s">
        <v>988</v>
      </c>
      <c r="I20" t="s">
        <v>2192</v>
      </c>
    </row>
    <row r="21" spans="2:9" x14ac:dyDescent="0.25">
      <c r="H21" t="s">
        <v>2445</v>
      </c>
      <c r="I21" t="s">
        <v>2193</v>
      </c>
    </row>
    <row r="22" spans="2:9" x14ac:dyDescent="0.25">
      <c r="H22" t="s">
        <v>2446</v>
      </c>
      <c r="I22" t="s">
        <v>2194</v>
      </c>
    </row>
    <row r="23" spans="2:9" x14ac:dyDescent="0.25">
      <c r="H23" t="s">
        <v>2447</v>
      </c>
      <c r="I23" t="s">
        <v>1007</v>
      </c>
    </row>
    <row r="24" spans="2:9" x14ac:dyDescent="0.25">
      <c r="H24" t="s">
        <v>2448</v>
      </c>
      <c r="I24" t="s">
        <v>1008</v>
      </c>
    </row>
    <row r="25" spans="2:9" x14ac:dyDescent="0.25">
      <c r="H25" t="s">
        <v>2449</v>
      </c>
      <c r="I25" t="s">
        <v>1009</v>
      </c>
    </row>
    <row r="26" spans="2:9" x14ac:dyDescent="0.25">
      <c r="H26" t="s">
        <v>2450</v>
      </c>
      <c r="I26" t="s">
        <v>1010</v>
      </c>
    </row>
    <row r="27" spans="2:9" x14ac:dyDescent="0.25">
      <c r="H27" t="s">
        <v>2451</v>
      </c>
      <c r="I27" t="s">
        <v>1011</v>
      </c>
    </row>
    <row r="28" spans="2:9" x14ac:dyDescent="0.25">
      <c r="H28" t="s">
        <v>2452</v>
      </c>
      <c r="I28" t="s">
        <v>1012</v>
      </c>
    </row>
    <row r="29" spans="2:9" x14ac:dyDescent="0.25">
      <c r="H29" t="s">
        <v>2453</v>
      </c>
      <c r="I29" t="s">
        <v>1013</v>
      </c>
    </row>
    <row r="30" spans="2:9" x14ac:dyDescent="0.25">
      <c r="H30" t="s">
        <v>2454</v>
      </c>
      <c r="I30" t="s">
        <v>1014</v>
      </c>
    </row>
    <row r="31" spans="2:9" x14ac:dyDescent="0.25">
      <c r="H31" t="s">
        <v>989</v>
      </c>
      <c r="I31" t="s">
        <v>1807</v>
      </c>
    </row>
    <row r="32" spans="2:9" x14ac:dyDescent="0.25">
      <c r="H32" t="s">
        <v>990</v>
      </c>
      <c r="I32" t="s">
        <v>1808</v>
      </c>
    </row>
    <row r="33" spans="8:9" x14ac:dyDescent="0.25">
      <c r="H33" t="s">
        <v>991</v>
      </c>
      <c r="I33" t="s">
        <v>1807</v>
      </c>
    </row>
    <row r="34" spans="8:9" x14ac:dyDescent="0.25">
      <c r="H34" t="s">
        <v>992</v>
      </c>
      <c r="I34" t="s">
        <v>1809</v>
      </c>
    </row>
    <row r="35" spans="8:9" x14ac:dyDescent="0.25">
      <c r="H35" t="s">
        <v>993</v>
      </c>
      <c r="I35" t="s">
        <v>1877</v>
      </c>
    </row>
    <row r="36" spans="8:9" x14ac:dyDescent="0.25">
      <c r="H36" t="s">
        <v>994</v>
      </c>
      <c r="I36" t="s">
        <v>1878</v>
      </c>
    </row>
    <row r="37" spans="8:9" x14ac:dyDescent="0.25">
      <c r="H37" t="s">
        <v>995</v>
      </c>
      <c r="I37" t="s">
        <v>1879</v>
      </c>
    </row>
    <row r="38" spans="8:9" x14ac:dyDescent="0.25">
      <c r="H38" t="s">
        <v>996</v>
      </c>
      <c r="I38" t="s">
        <v>1880</v>
      </c>
    </row>
    <row r="39" spans="8:9" x14ac:dyDescent="0.25">
      <c r="H39" t="s">
        <v>1668</v>
      </c>
      <c r="I39" t="s">
        <v>1881</v>
      </c>
    </row>
    <row r="40" spans="8:9" x14ac:dyDescent="0.25">
      <c r="H40" t="s">
        <v>1669</v>
      </c>
      <c r="I40" t="s">
        <v>1882</v>
      </c>
    </row>
    <row r="41" spans="8:9" x14ac:dyDescent="0.25">
      <c r="H41" t="s">
        <v>997</v>
      </c>
      <c r="I41" s="13" t="s">
        <v>87</v>
      </c>
    </row>
    <row r="42" spans="8:9" x14ac:dyDescent="0.25">
      <c r="H42" t="s">
        <v>998</v>
      </c>
    </row>
    <row r="43" spans="8:9" x14ac:dyDescent="0.25">
      <c r="H43" t="s">
        <v>2004</v>
      </c>
    </row>
    <row r="44" spans="8:9" x14ac:dyDescent="0.25">
      <c r="H44" t="s">
        <v>2025</v>
      </c>
    </row>
    <row r="45" spans="8:9" x14ac:dyDescent="0.25">
      <c r="H45" t="s">
        <v>2455</v>
      </c>
    </row>
    <row r="46" spans="8:9" x14ac:dyDescent="0.25">
      <c r="H46" t="s">
        <v>2456</v>
      </c>
    </row>
    <row r="47" spans="8:9" x14ac:dyDescent="0.25">
      <c r="H47" t="s">
        <v>2005</v>
      </c>
    </row>
    <row r="48" spans="8:9" x14ac:dyDescent="0.25">
      <c r="H48" t="s">
        <v>2006</v>
      </c>
    </row>
    <row r="49" spans="8:8" x14ac:dyDescent="0.25">
      <c r="H49" t="s">
        <v>999</v>
      </c>
    </row>
    <row r="50" spans="8:8" x14ac:dyDescent="0.25">
      <c r="H50" t="s">
        <v>1000</v>
      </c>
    </row>
    <row r="51" spans="8:8" x14ac:dyDescent="0.25">
      <c r="H51" t="s">
        <v>1001</v>
      </c>
    </row>
    <row r="52" spans="8:8" x14ac:dyDescent="0.25">
      <c r="H52" t="s">
        <v>1002</v>
      </c>
    </row>
    <row r="53" spans="8:8" x14ac:dyDescent="0.25">
      <c r="H53" t="s">
        <v>2175</v>
      </c>
    </row>
    <row r="54" spans="8:8" x14ac:dyDescent="0.25">
      <c r="H54" t="s">
        <v>2176</v>
      </c>
    </row>
    <row r="55" spans="8:8" x14ac:dyDescent="0.25">
      <c r="H55" t="s">
        <v>2177</v>
      </c>
    </row>
    <row r="56" spans="8:8" x14ac:dyDescent="0.25">
      <c r="H56" t="s">
        <v>2178</v>
      </c>
    </row>
    <row r="57" spans="8:8" x14ac:dyDescent="0.25">
      <c r="H57" t="s">
        <v>2179</v>
      </c>
    </row>
    <row r="58" spans="8:8" x14ac:dyDescent="0.25">
      <c r="H58" t="s">
        <v>2180</v>
      </c>
    </row>
    <row r="59" spans="8:8" x14ac:dyDescent="0.25">
      <c r="H59" t="s">
        <v>2181</v>
      </c>
    </row>
    <row r="60" spans="8:8" x14ac:dyDescent="0.25">
      <c r="H60" t="s">
        <v>2182</v>
      </c>
    </row>
    <row r="61" spans="8:8" x14ac:dyDescent="0.25">
      <c r="H61" t="s">
        <v>2183</v>
      </c>
    </row>
    <row r="62" spans="8:8" x14ac:dyDescent="0.25">
      <c r="H62" t="s">
        <v>2184</v>
      </c>
    </row>
    <row r="63" spans="8:8" x14ac:dyDescent="0.25">
      <c r="H63" t="s">
        <v>2185</v>
      </c>
    </row>
    <row r="64" spans="8:8" x14ac:dyDescent="0.25">
      <c r="H64" t="s">
        <v>2186</v>
      </c>
    </row>
    <row r="65" spans="8:8" x14ac:dyDescent="0.25">
      <c r="H65" t="s">
        <v>2187</v>
      </c>
    </row>
    <row r="66" spans="8:8" x14ac:dyDescent="0.25">
      <c r="H66" t="s">
        <v>2188</v>
      </c>
    </row>
    <row r="67" spans="8:8" x14ac:dyDescent="0.25">
      <c r="H67" t="s">
        <v>2189</v>
      </c>
    </row>
    <row r="68" spans="8:8" x14ac:dyDescent="0.25">
      <c r="H68" t="s">
        <v>2190</v>
      </c>
    </row>
    <row r="69" spans="8:8" x14ac:dyDescent="0.25">
      <c r="H69" t="s">
        <v>2191</v>
      </c>
    </row>
    <row r="70" spans="8:8" x14ac:dyDescent="0.25">
      <c r="H70" t="s">
        <v>2192</v>
      </c>
    </row>
    <row r="71" spans="8:8" x14ac:dyDescent="0.25">
      <c r="H71" t="s">
        <v>2193</v>
      </c>
    </row>
    <row r="72" spans="8:8" x14ac:dyDescent="0.25">
      <c r="H72" t="s">
        <v>2194</v>
      </c>
    </row>
    <row r="73" spans="8:8" x14ac:dyDescent="0.25">
      <c r="H73" t="s">
        <v>1003</v>
      </c>
    </row>
    <row r="74" spans="8:8" x14ac:dyDescent="0.25">
      <c r="H74" t="s">
        <v>1004</v>
      </c>
    </row>
    <row r="75" spans="8:8" x14ac:dyDescent="0.25">
      <c r="H75" t="s">
        <v>1005</v>
      </c>
    </row>
    <row r="76" spans="8:8" x14ac:dyDescent="0.25">
      <c r="H76" t="s">
        <v>1006</v>
      </c>
    </row>
    <row r="77" spans="8:8" x14ac:dyDescent="0.25">
      <c r="H77" t="s">
        <v>1007</v>
      </c>
    </row>
    <row r="78" spans="8:8" x14ac:dyDescent="0.25">
      <c r="H78" t="s">
        <v>1008</v>
      </c>
    </row>
    <row r="79" spans="8:8" x14ac:dyDescent="0.25">
      <c r="H79" t="s">
        <v>1009</v>
      </c>
    </row>
    <row r="80" spans="8:8" x14ac:dyDescent="0.25">
      <c r="H80" t="s">
        <v>1010</v>
      </c>
    </row>
    <row r="81" spans="8:8" x14ac:dyDescent="0.25">
      <c r="H81" t="s">
        <v>1011</v>
      </c>
    </row>
    <row r="82" spans="8:8" x14ac:dyDescent="0.25">
      <c r="H82" t="s">
        <v>1012</v>
      </c>
    </row>
    <row r="83" spans="8:8" x14ac:dyDescent="0.25">
      <c r="H83" t="s">
        <v>1013</v>
      </c>
    </row>
    <row r="84" spans="8:8" x14ac:dyDescent="0.25">
      <c r="H84" t="s">
        <v>1014</v>
      </c>
    </row>
    <row r="85" spans="8:8" x14ac:dyDescent="0.25">
      <c r="H85" t="s">
        <v>1015</v>
      </c>
    </row>
    <row r="86" spans="8:8" x14ac:dyDescent="0.25">
      <c r="H86" t="s">
        <v>1016</v>
      </c>
    </row>
    <row r="87" spans="8:8" x14ac:dyDescent="0.25">
      <c r="H87" t="s">
        <v>1670</v>
      </c>
    </row>
    <row r="88" spans="8:8" x14ac:dyDescent="0.25">
      <c r="H88" t="s">
        <v>1671</v>
      </c>
    </row>
    <row r="89" spans="8:8" x14ac:dyDescent="0.25">
      <c r="H89" t="s">
        <v>1672</v>
      </c>
    </row>
    <row r="90" spans="8:8" x14ac:dyDescent="0.25">
      <c r="H90" t="s">
        <v>1673</v>
      </c>
    </row>
    <row r="91" spans="8:8" x14ac:dyDescent="0.25">
      <c r="H91" t="s">
        <v>2268</v>
      </c>
    </row>
    <row r="92" spans="8:8" x14ac:dyDescent="0.25">
      <c r="H92" t="s">
        <v>2269</v>
      </c>
    </row>
    <row r="93" spans="8:8" x14ac:dyDescent="0.25">
      <c r="H93" t="s">
        <v>1017</v>
      </c>
    </row>
    <row r="94" spans="8:8" x14ac:dyDescent="0.25">
      <c r="H94" t="s">
        <v>1018</v>
      </c>
    </row>
    <row r="95" spans="8:8" x14ac:dyDescent="0.25">
      <c r="H95" t="s">
        <v>1019</v>
      </c>
    </row>
    <row r="96" spans="8:8" x14ac:dyDescent="0.25">
      <c r="H96" t="s">
        <v>1020</v>
      </c>
    </row>
    <row r="97" spans="8:8" x14ac:dyDescent="0.25">
      <c r="H97" t="s">
        <v>1797</v>
      </c>
    </row>
    <row r="98" spans="8:8" x14ac:dyDescent="0.25">
      <c r="H98" t="s">
        <v>1798</v>
      </c>
    </row>
    <row r="99" spans="8:8" x14ac:dyDescent="0.25">
      <c r="H99" t="s">
        <v>1799</v>
      </c>
    </row>
    <row r="100" spans="8:8" x14ac:dyDescent="0.25">
      <c r="H100" t="s">
        <v>1800</v>
      </c>
    </row>
    <row r="101" spans="8:8" x14ac:dyDescent="0.25">
      <c r="H101" t="s">
        <v>1801</v>
      </c>
    </row>
    <row r="102" spans="8:8" x14ac:dyDescent="0.25">
      <c r="H102" t="s">
        <v>1802</v>
      </c>
    </row>
    <row r="103" spans="8:8" x14ac:dyDescent="0.25">
      <c r="H103" t="s">
        <v>1803</v>
      </c>
    </row>
    <row r="104" spans="8:8" x14ac:dyDescent="0.25">
      <c r="H104" t="s">
        <v>1804</v>
      </c>
    </row>
    <row r="105" spans="8:8" x14ac:dyDescent="0.25">
      <c r="H105" t="s">
        <v>1805</v>
      </c>
    </row>
    <row r="106" spans="8:8" x14ac:dyDescent="0.25">
      <c r="H106" t="s">
        <v>1806</v>
      </c>
    </row>
    <row r="107" spans="8:8" x14ac:dyDescent="0.25">
      <c r="H107" t="s">
        <v>1807</v>
      </c>
    </row>
    <row r="108" spans="8:8" x14ac:dyDescent="0.25">
      <c r="H108" t="s">
        <v>1808</v>
      </c>
    </row>
    <row r="109" spans="8:8" x14ac:dyDescent="0.25">
      <c r="H109" t="s">
        <v>1807</v>
      </c>
    </row>
    <row r="110" spans="8:8" x14ac:dyDescent="0.25">
      <c r="H110" t="s">
        <v>1809</v>
      </c>
    </row>
    <row r="111" spans="8:8" x14ac:dyDescent="0.25">
      <c r="H111" t="s">
        <v>1021</v>
      </c>
    </row>
    <row r="112" spans="8:8" x14ac:dyDescent="0.25">
      <c r="H112" t="s">
        <v>1022</v>
      </c>
    </row>
    <row r="113" spans="8:8" x14ac:dyDescent="0.25">
      <c r="H113" t="s">
        <v>1023</v>
      </c>
    </row>
    <row r="114" spans="8:8" x14ac:dyDescent="0.25">
      <c r="H114" t="s">
        <v>1024</v>
      </c>
    </row>
    <row r="115" spans="8:8" x14ac:dyDescent="0.25">
      <c r="H115" t="s">
        <v>1025</v>
      </c>
    </row>
    <row r="116" spans="8:8" x14ac:dyDescent="0.25">
      <c r="H116" t="s">
        <v>2026</v>
      </c>
    </row>
    <row r="117" spans="8:8" x14ac:dyDescent="0.25">
      <c r="H117" t="s">
        <v>1026</v>
      </c>
    </row>
    <row r="118" spans="8:8" x14ac:dyDescent="0.25">
      <c r="H118" t="s">
        <v>1027</v>
      </c>
    </row>
    <row r="119" spans="8:8" x14ac:dyDescent="0.25">
      <c r="H119" t="s">
        <v>1028</v>
      </c>
    </row>
    <row r="120" spans="8:8" x14ac:dyDescent="0.25">
      <c r="H120" t="s">
        <v>2027</v>
      </c>
    </row>
    <row r="121" spans="8:8" x14ac:dyDescent="0.25">
      <c r="H121" t="s">
        <v>1558</v>
      </c>
    </row>
    <row r="122" spans="8:8" x14ac:dyDescent="0.25">
      <c r="H122" t="s">
        <v>1559</v>
      </c>
    </row>
    <row r="123" spans="8:8" x14ac:dyDescent="0.25">
      <c r="H123" t="s">
        <v>1560</v>
      </c>
    </row>
    <row r="124" spans="8:8" x14ac:dyDescent="0.25">
      <c r="H124" t="s">
        <v>2028</v>
      </c>
    </row>
    <row r="125" spans="8:8" x14ac:dyDescent="0.25">
      <c r="H125" t="s">
        <v>2270</v>
      </c>
    </row>
    <row r="126" spans="8:8" x14ac:dyDescent="0.25">
      <c r="H126" t="s">
        <v>2271</v>
      </c>
    </row>
    <row r="127" spans="8:8" x14ac:dyDescent="0.25">
      <c r="H127" t="s">
        <v>2272</v>
      </c>
    </row>
    <row r="128" spans="8:8" x14ac:dyDescent="0.25">
      <c r="H128" t="s">
        <v>2273</v>
      </c>
    </row>
    <row r="129" spans="8:8" x14ac:dyDescent="0.25">
      <c r="H129" t="s">
        <v>2274</v>
      </c>
    </row>
    <row r="130" spans="8:8" x14ac:dyDescent="0.25">
      <c r="H130" t="s">
        <v>2275</v>
      </c>
    </row>
    <row r="131" spans="8:8" x14ac:dyDescent="0.25">
      <c r="H131" t="s">
        <v>2276</v>
      </c>
    </row>
    <row r="132" spans="8:8" x14ac:dyDescent="0.25">
      <c r="H132" t="s">
        <v>2277</v>
      </c>
    </row>
    <row r="133" spans="8:8" x14ac:dyDescent="0.25">
      <c r="H133" t="s">
        <v>2278</v>
      </c>
    </row>
    <row r="134" spans="8:8" x14ac:dyDescent="0.25">
      <c r="H134" t="s">
        <v>2279</v>
      </c>
    </row>
    <row r="135" spans="8:8" x14ac:dyDescent="0.25">
      <c r="H135" t="s">
        <v>2280</v>
      </c>
    </row>
    <row r="136" spans="8:8" x14ac:dyDescent="0.25">
      <c r="H136" t="s">
        <v>2281</v>
      </c>
    </row>
    <row r="137" spans="8:8" x14ac:dyDescent="0.25">
      <c r="H137" t="s">
        <v>1029</v>
      </c>
    </row>
    <row r="138" spans="8:8" x14ac:dyDescent="0.25">
      <c r="H138" t="s">
        <v>1030</v>
      </c>
    </row>
    <row r="139" spans="8:8" x14ac:dyDescent="0.25">
      <c r="H139" t="s">
        <v>1031</v>
      </c>
    </row>
    <row r="140" spans="8:8" x14ac:dyDescent="0.25">
      <c r="H140" t="s">
        <v>1032</v>
      </c>
    </row>
    <row r="141" spans="8:8" x14ac:dyDescent="0.25">
      <c r="H141" t="s">
        <v>1033</v>
      </c>
    </row>
    <row r="142" spans="8:8" x14ac:dyDescent="0.25">
      <c r="H142" t="s">
        <v>1034</v>
      </c>
    </row>
    <row r="143" spans="8:8" x14ac:dyDescent="0.25">
      <c r="H143" t="s">
        <v>1035</v>
      </c>
    </row>
    <row r="144" spans="8:8" x14ac:dyDescent="0.25">
      <c r="H144" t="s">
        <v>1836</v>
      </c>
    </row>
    <row r="145" spans="8:8" x14ac:dyDescent="0.25">
      <c r="H145" t="s">
        <v>1036</v>
      </c>
    </row>
    <row r="146" spans="8:8" x14ac:dyDescent="0.25">
      <c r="H146" t="s">
        <v>1037</v>
      </c>
    </row>
    <row r="147" spans="8:8" x14ac:dyDescent="0.25">
      <c r="H147" t="s">
        <v>1877</v>
      </c>
    </row>
    <row r="148" spans="8:8" x14ac:dyDescent="0.25">
      <c r="H148" t="s">
        <v>1878</v>
      </c>
    </row>
    <row r="149" spans="8:8" x14ac:dyDescent="0.25">
      <c r="H149" t="s">
        <v>1561</v>
      </c>
    </row>
    <row r="150" spans="8:8" x14ac:dyDescent="0.25">
      <c r="H150" t="s">
        <v>1562</v>
      </c>
    </row>
    <row r="151" spans="8:8" x14ac:dyDescent="0.25">
      <c r="H151" t="s">
        <v>1563</v>
      </c>
    </row>
    <row r="152" spans="8:8" x14ac:dyDescent="0.25">
      <c r="H152" t="s">
        <v>1564</v>
      </c>
    </row>
    <row r="153" spans="8:8" x14ac:dyDescent="0.25">
      <c r="H153" t="s">
        <v>1038</v>
      </c>
    </row>
    <row r="154" spans="8:8" x14ac:dyDescent="0.25">
      <c r="H154" t="s">
        <v>1565</v>
      </c>
    </row>
    <row r="155" spans="8:8" x14ac:dyDescent="0.25">
      <c r="H155" t="s">
        <v>1039</v>
      </c>
    </row>
    <row r="156" spans="8:8" x14ac:dyDescent="0.25">
      <c r="H156" t="s">
        <v>1566</v>
      </c>
    </row>
    <row r="157" spans="8:8" x14ac:dyDescent="0.25">
      <c r="H157" t="s">
        <v>2457</v>
      </c>
    </row>
    <row r="158" spans="8:8" x14ac:dyDescent="0.25">
      <c r="H158" t="s">
        <v>2458</v>
      </c>
    </row>
    <row r="159" spans="8:8" x14ac:dyDescent="0.25">
      <c r="H159" t="s">
        <v>2459</v>
      </c>
    </row>
    <row r="160" spans="8:8" x14ac:dyDescent="0.25">
      <c r="H160" t="s">
        <v>2460</v>
      </c>
    </row>
    <row r="161" spans="8:8" x14ac:dyDescent="0.25">
      <c r="H161" t="s">
        <v>2461</v>
      </c>
    </row>
    <row r="162" spans="8:8" x14ac:dyDescent="0.25">
      <c r="H162" t="s">
        <v>2462</v>
      </c>
    </row>
    <row r="163" spans="8:8" x14ac:dyDescent="0.25">
      <c r="H163" t="s">
        <v>2463</v>
      </c>
    </row>
    <row r="164" spans="8:8" x14ac:dyDescent="0.25">
      <c r="H164" t="s">
        <v>2464</v>
      </c>
    </row>
    <row r="165" spans="8:8" x14ac:dyDescent="0.25">
      <c r="H165" t="s">
        <v>2465</v>
      </c>
    </row>
    <row r="166" spans="8:8" x14ac:dyDescent="0.25">
      <c r="H166" t="s">
        <v>2466</v>
      </c>
    </row>
    <row r="167" spans="8:8" x14ac:dyDescent="0.25">
      <c r="H167" t="s">
        <v>2467</v>
      </c>
    </row>
    <row r="168" spans="8:8" x14ac:dyDescent="0.25">
      <c r="H168" t="s">
        <v>2468</v>
      </c>
    </row>
    <row r="169" spans="8:8" x14ac:dyDescent="0.25">
      <c r="H169" t="s">
        <v>2469</v>
      </c>
    </row>
    <row r="170" spans="8:8" x14ac:dyDescent="0.25">
      <c r="H170" t="s">
        <v>2470</v>
      </c>
    </row>
    <row r="171" spans="8:8" x14ac:dyDescent="0.25">
      <c r="H171" t="s">
        <v>2471</v>
      </c>
    </row>
    <row r="172" spans="8:8" x14ac:dyDescent="0.25">
      <c r="H172" t="s">
        <v>2472</v>
      </c>
    </row>
    <row r="173" spans="8:8" x14ac:dyDescent="0.25">
      <c r="H173" t="s">
        <v>2473</v>
      </c>
    </row>
    <row r="174" spans="8:8" x14ac:dyDescent="0.25">
      <c r="H174" t="s">
        <v>2474</v>
      </c>
    </row>
    <row r="175" spans="8:8" x14ac:dyDescent="0.25">
      <c r="H175" t="s">
        <v>2475</v>
      </c>
    </row>
    <row r="176" spans="8:8" x14ac:dyDescent="0.25">
      <c r="H176" t="s">
        <v>2476</v>
      </c>
    </row>
    <row r="177" spans="8:8" x14ac:dyDescent="0.25">
      <c r="H177" t="s">
        <v>1597</v>
      </c>
    </row>
    <row r="178" spans="8:8" x14ac:dyDescent="0.25">
      <c r="H178" t="s">
        <v>1598</v>
      </c>
    </row>
    <row r="179" spans="8:8" x14ac:dyDescent="0.25">
      <c r="H179" t="s">
        <v>1595</v>
      </c>
    </row>
    <row r="180" spans="8:8" x14ac:dyDescent="0.25">
      <c r="H180" t="s">
        <v>1596</v>
      </c>
    </row>
    <row r="181" spans="8:8" x14ac:dyDescent="0.25">
      <c r="H181" t="s">
        <v>1593</v>
      </c>
    </row>
    <row r="182" spans="8:8" x14ac:dyDescent="0.25">
      <c r="H182" t="s">
        <v>1594</v>
      </c>
    </row>
    <row r="183" spans="8:8" x14ac:dyDescent="0.25">
      <c r="H183" t="s">
        <v>1591</v>
      </c>
    </row>
    <row r="184" spans="8:8" x14ac:dyDescent="0.25">
      <c r="H184" t="s">
        <v>1592</v>
      </c>
    </row>
    <row r="185" spans="8:8" x14ac:dyDescent="0.25">
      <c r="H185" t="s">
        <v>1589</v>
      </c>
    </row>
    <row r="186" spans="8:8" x14ac:dyDescent="0.25">
      <c r="H186" t="s">
        <v>1590</v>
      </c>
    </row>
    <row r="187" spans="8:8" x14ac:dyDescent="0.25">
      <c r="H187" t="s">
        <v>1587</v>
      </c>
    </row>
    <row r="188" spans="8:8" x14ac:dyDescent="0.25">
      <c r="H188" t="s">
        <v>1588</v>
      </c>
    </row>
    <row r="189" spans="8:8" x14ac:dyDescent="0.25">
      <c r="H189" t="s">
        <v>1585</v>
      </c>
    </row>
    <row r="190" spans="8:8" x14ac:dyDescent="0.25">
      <c r="H190" t="s">
        <v>1586</v>
      </c>
    </row>
    <row r="191" spans="8:8" x14ac:dyDescent="0.25">
      <c r="H191" t="s">
        <v>1583</v>
      </c>
    </row>
    <row r="192" spans="8:8" x14ac:dyDescent="0.25">
      <c r="H192" t="s">
        <v>1584</v>
      </c>
    </row>
    <row r="193" spans="8:8" x14ac:dyDescent="0.25">
      <c r="H193" t="s">
        <v>1581</v>
      </c>
    </row>
    <row r="194" spans="8:8" x14ac:dyDescent="0.25">
      <c r="H194" t="s">
        <v>1582</v>
      </c>
    </row>
    <row r="195" spans="8:8" x14ac:dyDescent="0.25">
      <c r="H195" t="s">
        <v>1579</v>
      </c>
    </row>
    <row r="196" spans="8:8" x14ac:dyDescent="0.25">
      <c r="H196" t="s">
        <v>1580</v>
      </c>
    </row>
    <row r="197" spans="8:8" x14ac:dyDescent="0.25">
      <c r="H197" t="s">
        <v>1577</v>
      </c>
    </row>
    <row r="198" spans="8:8" x14ac:dyDescent="0.25">
      <c r="H198" t="s">
        <v>1578</v>
      </c>
    </row>
    <row r="199" spans="8:8" x14ac:dyDescent="0.25">
      <c r="H199" t="s">
        <v>1575</v>
      </c>
    </row>
    <row r="200" spans="8:8" x14ac:dyDescent="0.25">
      <c r="H200" t="s">
        <v>1576</v>
      </c>
    </row>
    <row r="201" spans="8:8" x14ac:dyDescent="0.25">
      <c r="H201" t="s">
        <v>1573</v>
      </c>
    </row>
    <row r="202" spans="8:8" x14ac:dyDescent="0.25">
      <c r="H202" t="s">
        <v>1574</v>
      </c>
    </row>
    <row r="203" spans="8:8" x14ac:dyDescent="0.25">
      <c r="H203" t="s">
        <v>1571</v>
      </c>
    </row>
    <row r="204" spans="8:8" x14ac:dyDescent="0.25">
      <c r="H204" t="s">
        <v>1572</v>
      </c>
    </row>
    <row r="205" spans="8:8" x14ac:dyDescent="0.25">
      <c r="H205" t="s">
        <v>1569</v>
      </c>
    </row>
    <row r="206" spans="8:8" x14ac:dyDescent="0.25">
      <c r="H206" t="s">
        <v>1570</v>
      </c>
    </row>
    <row r="207" spans="8:8" x14ac:dyDescent="0.25">
      <c r="H207" t="s">
        <v>1567</v>
      </c>
    </row>
    <row r="208" spans="8:8" x14ac:dyDescent="0.25">
      <c r="H208" t="s">
        <v>1568</v>
      </c>
    </row>
    <row r="209" spans="8:8" x14ac:dyDescent="0.25">
      <c r="H209" t="s">
        <v>1599</v>
      </c>
    </row>
    <row r="210" spans="8:8" x14ac:dyDescent="0.25">
      <c r="H210" t="s">
        <v>1600</v>
      </c>
    </row>
    <row r="211" spans="8:8" x14ac:dyDescent="0.25">
      <c r="H211" t="s">
        <v>1601</v>
      </c>
    </row>
    <row r="212" spans="8:8" x14ac:dyDescent="0.25">
      <c r="H212" t="s">
        <v>1602</v>
      </c>
    </row>
    <row r="213" spans="8:8" x14ac:dyDescent="0.25">
      <c r="H213" t="s">
        <v>1879</v>
      </c>
    </row>
    <row r="214" spans="8:8" x14ac:dyDescent="0.25">
      <c r="H214" t="s">
        <v>1880</v>
      </c>
    </row>
    <row r="215" spans="8:8" x14ac:dyDescent="0.25">
      <c r="H215" t="s">
        <v>1881</v>
      </c>
    </row>
    <row r="216" spans="8:8" x14ac:dyDescent="0.25">
      <c r="H216" t="s">
        <v>1882</v>
      </c>
    </row>
    <row r="217" spans="8:8" x14ac:dyDescent="0.25">
      <c r="H217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7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1040</v>
      </c>
    </row>
    <row r="4" spans="2:8" x14ac:dyDescent="0.25">
      <c r="H4" t="s">
        <v>1041</v>
      </c>
    </row>
    <row r="5" spans="2:8" x14ac:dyDescent="0.25">
      <c r="B5" s="1"/>
      <c r="H5" t="s">
        <v>1042</v>
      </c>
    </row>
    <row r="6" spans="2:8" x14ac:dyDescent="0.25">
      <c r="H6" t="s">
        <v>1043</v>
      </c>
    </row>
    <row r="8" spans="2:8" x14ac:dyDescent="0.25">
      <c r="B8" s="1"/>
      <c r="H8" t="s">
        <v>1044</v>
      </c>
    </row>
    <row r="9" spans="2:8" x14ac:dyDescent="0.25">
      <c r="H9" t="s">
        <v>1045</v>
      </c>
    </row>
    <row r="10" spans="2:8" x14ac:dyDescent="0.25">
      <c r="H10" t="s">
        <v>1046</v>
      </c>
    </row>
    <row r="11" spans="2:8" x14ac:dyDescent="0.25">
      <c r="B11" s="1"/>
      <c r="H11" t="s">
        <v>1047</v>
      </c>
    </row>
    <row r="13" spans="2:8" x14ac:dyDescent="0.25">
      <c r="H13" t="s">
        <v>1048</v>
      </c>
    </row>
    <row r="14" spans="2:8" x14ac:dyDescent="0.25">
      <c r="B14" s="1"/>
      <c r="H14" t="s">
        <v>1049</v>
      </c>
    </row>
    <row r="15" spans="2:8" x14ac:dyDescent="0.25">
      <c r="H15" t="s">
        <v>1050</v>
      </c>
    </row>
    <row r="16" spans="2:8" x14ac:dyDescent="0.25">
      <c r="H16" t="s">
        <v>1051</v>
      </c>
    </row>
    <row r="17" spans="2:8" x14ac:dyDescent="0.25">
      <c r="B17" s="1"/>
    </row>
    <row r="18" spans="2:8" x14ac:dyDescent="0.25">
      <c r="H18" t="s">
        <v>1052</v>
      </c>
    </row>
    <row r="19" spans="2:8" x14ac:dyDescent="0.25">
      <c r="H19" t="s">
        <v>1053</v>
      </c>
    </row>
    <row r="20" spans="2:8" x14ac:dyDescent="0.25">
      <c r="B20" s="1"/>
      <c r="H20" t="s">
        <v>1054</v>
      </c>
    </row>
    <row r="21" spans="2:8" x14ac:dyDescent="0.25">
      <c r="H21" t="s">
        <v>1055</v>
      </c>
    </row>
    <row r="22" spans="2:8" x14ac:dyDescent="0.25">
      <c r="H22" t="s">
        <v>1056</v>
      </c>
    </row>
    <row r="23" spans="2:8" x14ac:dyDescent="0.25">
      <c r="H23" t="s">
        <v>1057</v>
      </c>
    </row>
    <row r="24" spans="2:8" x14ac:dyDescent="0.25">
      <c r="H24" t="s">
        <v>1058</v>
      </c>
    </row>
    <row r="26" spans="2:8" x14ac:dyDescent="0.25">
      <c r="H26" t="s">
        <v>1059</v>
      </c>
    </row>
    <row r="27" spans="2:8" x14ac:dyDescent="0.25">
      <c r="H27" t="s">
        <v>1060</v>
      </c>
    </row>
    <row r="28" spans="2:8" x14ac:dyDescent="0.25">
      <c r="H28" t="s">
        <v>1061</v>
      </c>
    </row>
    <row r="29" spans="2:8" x14ac:dyDescent="0.25">
      <c r="H29" t="s">
        <v>1062</v>
      </c>
    </row>
    <row r="30" spans="2:8" x14ac:dyDescent="0.25">
      <c r="H30" t="s">
        <v>1063</v>
      </c>
    </row>
    <row r="31" spans="2:8" x14ac:dyDescent="0.25">
      <c r="H31" t="s">
        <v>1064</v>
      </c>
    </row>
    <row r="33" spans="8:8" x14ac:dyDescent="0.25">
      <c r="H33" t="s">
        <v>1059</v>
      </c>
    </row>
    <row r="34" spans="8:8" x14ac:dyDescent="0.25">
      <c r="H34" t="s">
        <v>1065</v>
      </c>
    </row>
    <row r="35" spans="8:8" x14ac:dyDescent="0.25">
      <c r="H35" t="s">
        <v>1066</v>
      </c>
    </row>
    <row r="36" spans="8:8" x14ac:dyDescent="0.25">
      <c r="H36" t="s">
        <v>1067</v>
      </c>
    </row>
    <row r="37" spans="8:8" x14ac:dyDescent="0.25">
      <c r="H37" t="s">
        <v>1068</v>
      </c>
    </row>
    <row r="38" spans="8:8" x14ac:dyDescent="0.25">
      <c r="H38" t="s">
        <v>1069</v>
      </c>
    </row>
    <row r="39" spans="8:8" x14ac:dyDescent="0.25">
      <c r="H39" t="s">
        <v>1070</v>
      </c>
    </row>
    <row r="41" spans="8:8" x14ac:dyDescent="0.25">
      <c r="H41" t="s">
        <v>1071</v>
      </c>
    </row>
    <row r="42" spans="8:8" x14ac:dyDescent="0.25">
      <c r="H42" t="s">
        <v>1072</v>
      </c>
    </row>
    <row r="43" spans="8:8" x14ac:dyDescent="0.25">
      <c r="H43" t="s">
        <v>1073</v>
      </c>
    </row>
    <row r="44" spans="8:8" x14ac:dyDescent="0.25">
      <c r="H44" t="s">
        <v>2477</v>
      </c>
    </row>
    <row r="45" spans="8:8" x14ac:dyDescent="0.25">
      <c r="H45" t="s">
        <v>2478</v>
      </c>
    </row>
    <row r="46" spans="8:8" x14ac:dyDescent="0.25">
      <c r="H46" t="s">
        <v>2479</v>
      </c>
    </row>
    <row r="47" spans="8:8" x14ac:dyDescent="0.25">
      <c r="H47" t="s">
        <v>2480</v>
      </c>
    </row>
    <row r="48" spans="8:8" x14ac:dyDescent="0.25">
      <c r="H48" t="s">
        <v>2481</v>
      </c>
    </row>
    <row r="49" spans="8:8" x14ac:dyDescent="0.25">
      <c r="H49" t="s">
        <v>1074</v>
      </c>
    </row>
    <row r="51" spans="8:8" x14ac:dyDescent="0.25">
      <c r="H51" t="s">
        <v>1075</v>
      </c>
    </row>
    <row r="52" spans="8:8" x14ac:dyDescent="0.25">
      <c r="H52" t="s">
        <v>1076</v>
      </c>
    </row>
    <row r="53" spans="8:8" x14ac:dyDescent="0.25">
      <c r="H53" t="s">
        <v>1077</v>
      </c>
    </row>
    <row r="54" spans="8:8" x14ac:dyDescent="0.25">
      <c r="H54" t="s">
        <v>1078</v>
      </c>
    </row>
    <row r="55" spans="8:8" x14ac:dyDescent="0.25">
      <c r="H55" t="s">
        <v>1079</v>
      </c>
    </row>
    <row r="57" spans="8:8" x14ac:dyDescent="0.25">
      <c r="H57" t="s">
        <v>1080</v>
      </c>
    </row>
    <row r="58" spans="8:8" x14ac:dyDescent="0.25">
      <c r="H58" t="s">
        <v>1081</v>
      </c>
    </row>
    <row r="59" spans="8:8" x14ac:dyDescent="0.25">
      <c r="H59" t="s">
        <v>1082</v>
      </c>
    </row>
    <row r="60" spans="8:8" x14ac:dyDescent="0.25">
      <c r="H60" t="s">
        <v>1083</v>
      </c>
    </row>
    <row r="62" spans="8:8" x14ac:dyDescent="0.25">
      <c r="H62" t="s">
        <v>1084</v>
      </c>
    </row>
    <row r="63" spans="8:8" x14ac:dyDescent="0.25">
      <c r="H63" t="s">
        <v>1085</v>
      </c>
    </row>
    <row r="64" spans="8:8" x14ac:dyDescent="0.25">
      <c r="H64" t="s">
        <v>1086</v>
      </c>
    </row>
    <row r="65" spans="8:8" x14ac:dyDescent="0.25">
      <c r="H65" t="s">
        <v>1087</v>
      </c>
    </row>
    <row r="66" spans="8:8" x14ac:dyDescent="0.25">
      <c r="H66" t="s">
        <v>1088</v>
      </c>
    </row>
    <row r="67" spans="8:8" x14ac:dyDescent="0.25">
      <c r="H67" t="s">
        <v>1674</v>
      </c>
    </row>
    <row r="68" spans="8:8" x14ac:dyDescent="0.25">
      <c r="H68" t="s">
        <v>1089</v>
      </c>
    </row>
    <row r="69" spans="8:8" x14ac:dyDescent="0.25">
      <c r="H69" t="s">
        <v>2007</v>
      </c>
    </row>
    <row r="70" spans="8:8" x14ac:dyDescent="0.25">
      <c r="H70" t="s">
        <v>2482</v>
      </c>
    </row>
    <row r="71" spans="8:8" x14ac:dyDescent="0.25">
      <c r="H71" t="s">
        <v>2008</v>
      </c>
    </row>
    <row r="72" spans="8:8" x14ac:dyDescent="0.25">
      <c r="H72" t="s">
        <v>1090</v>
      </c>
    </row>
    <row r="74" spans="8:8" x14ac:dyDescent="0.25">
      <c r="H74" t="s">
        <v>2009</v>
      </c>
    </row>
    <row r="75" spans="8:8" x14ac:dyDescent="0.25">
      <c r="H75" t="s">
        <v>2010</v>
      </c>
    </row>
    <row r="76" spans="8:8" x14ac:dyDescent="0.25">
      <c r="H76" t="s">
        <v>2011</v>
      </c>
    </row>
    <row r="77" spans="8:8" x14ac:dyDescent="0.25">
      <c r="H77" t="s">
        <v>2012</v>
      </c>
    </row>
    <row r="78" spans="8:8" x14ac:dyDescent="0.25">
      <c r="H78" t="s">
        <v>2013</v>
      </c>
    </row>
    <row r="79" spans="8:8" x14ac:dyDescent="0.25">
      <c r="H79" t="s">
        <v>2014</v>
      </c>
    </row>
    <row r="80" spans="8:8" x14ac:dyDescent="0.25">
      <c r="H80" t="s">
        <v>2015</v>
      </c>
    </row>
    <row r="81" spans="8:8" x14ac:dyDescent="0.25">
      <c r="H81" t="s">
        <v>2016</v>
      </c>
    </row>
    <row r="82" spans="8:8" x14ac:dyDescent="0.25">
      <c r="H82" t="s">
        <v>2017</v>
      </c>
    </row>
    <row r="83" spans="8:8" x14ac:dyDescent="0.25">
      <c r="H83" t="s">
        <v>2018</v>
      </c>
    </row>
    <row r="84" spans="8:8" x14ac:dyDescent="0.25">
      <c r="H84" t="s">
        <v>2019</v>
      </c>
    </row>
    <row r="85" spans="8:8" x14ac:dyDescent="0.25">
      <c r="H85" t="s">
        <v>2020</v>
      </c>
    </row>
    <row r="87" spans="8:8" x14ac:dyDescent="0.25">
      <c r="H87" t="s">
        <v>1091</v>
      </c>
    </row>
    <row r="88" spans="8:8" x14ac:dyDescent="0.25">
      <c r="H88" t="s">
        <v>1092</v>
      </c>
    </row>
    <row r="89" spans="8:8" x14ac:dyDescent="0.25">
      <c r="H89" t="s">
        <v>1093</v>
      </c>
    </row>
    <row r="90" spans="8:8" x14ac:dyDescent="0.25">
      <c r="H90" t="s">
        <v>1094</v>
      </c>
    </row>
    <row r="91" spans="8:8" x14ac:dyDescent="0.25">
      <c r="H91" t="s">
        <v>1095</v>
      </c>
    </row>
    <row r="92" spans="8:8" x14ac:dyDescent="0.25">
      <c r="H92" t="s">
        <v>1096</v>
      </c>
    </row>
    <row r="93" spans="8:8" x14ac:dyDescent="0.25">
      <c r="H93" t="s">
        <v>1097</v>
      </c>
    </row>
    <row r="94" spans="8:8" x14ac:dyDescent="0.25">
      <c r="H94" t="s">
        <v>1098</v>
      </c>
    </row>
    <row r="95" spans="8:8" x14ac:dyDescent="0.25">
      <c r="H95" t="s">
        <v>1099</v>
      </c>
    </row>
    <row r="97" spans="8:8" x14ac:dyDescent="0.25">
      <c r="H97" t="s">
        <v>2195</v>
      </c>
    </row>
    <row r="98" spans="8:8" x14ac:dyDescent="0.25">
      <c r="H98" t="s">
        <v>2196</v>
      </c>
    </row>
    <row r="99" spans="8:8" x14ac:dyDescent="0.25">
      <c r="H99" t="s">
        <v>2197</v>
      </c>
    </row>
    <row r="100" spans="8:8" x14ac:dyDescent="0.25">
      <c r="H100" t="s">
        <v>2198</v>
      </c>
    </row>
    <row r="101" spans="8:8" x14ac:dyDescent="0.25">
      <c r="H101" t="s">
        <v>2199</v>
      </c>
    </row>
    <row r="102" spans="8:8" x14ac:dyDescent="0.25">
      <c r="H102" t="s">
        <v>2200</v>
      </c>
    </row>
    <row r="103" spans="8:8" x14ac:dyDescent="0.25">
      <c r="H103" t="s">
        <v>2201</v>
      </c>
    </row>
    <row r="104" spans="8:8" x14ac:dyDescent="0.25">
      <c r="H104" t="s">
        <v>2202</v>
      </c>
    </row>
    <row r="105" spans="8:8" x14ac:dyDescent="0.25">
      <c r="H105" t="s">
        <v>2203</v>
      </c>
    </row>
    <row r="106" spans="8:8" x14ac:dyDescent="0.25">
      <c r="H106" t="s">
        <v>2204</v>
      </c>
    </row>
    <row r="107" spans="8:8" x14ac:dyDescent="0.25">
      <c r="H107" t="s">
        <v>2205</v>
      </c>
    </row>
    <row r="108" spans="8:8" x14ac:dyDescent="0.25">
      <c r="H108" t="s">
        <v>2206</v>
      </c>
    </row>
    <row r="109" spans="8:8" x14ac:dyDescent="0.25">
      <c r="H109" t="s">
        <v>2207</v>
      </c>
    </row>
    <row r="111" spans="8:8" x14ac:dyDescent="0.25">
      <c r="H111" t="s">
        <v>2208</v>
      </c>
    </row>
    <row r="112" spans="8:8" x14ac:dyDescent="0.25">
      <c r="H112" t="s">
        <v>2209</v>
      </c>
    </row>
    <row r="113" spans="8:8" x14ac:dyDescent="0.25">
      <c r="H113" t="s">
        <v>2210</v>
      </c>
    </row>
    <row r="114" spans="8:8" x14ac:dyDescent="0.25">
      <c r="H114" t="s">
        <v>2211</v>
      </c>
    </row>
    <row r="115" spans="8:8" x14ac:dyDescent="0.25">
      <c r="H115" t="s">
        <v>2212</v>
      </c>
    </row>
    <row r="117" spans="8:8" x14ac:dyDescent="0.25">
      <c r="H117" t="s">
        <v>1100</v>
      </c>
    </row>
    <row r="118" spans="8:8" x14ac:dyDescent="0.25">
      <c r="H118" t="s">
        <v>1101</v>
      </c>
    </row>
    <row r="119" spans="8:8" x14ac:dyDescent="0.25">
      <c r="H119" t="s">
        <v>1102</v>
      </c>
    </row>
    <row r="120" spans="8:8" x14ac:dyDescent="0.25">
      <c r="H120" t="s">
        <v>1103</v>
      </c>
    </row>
    <row r="121" spans="8:8" x14ac:dyDescent="0.25">
      <c r="H121" t="s">
        <v>1104</v>
      </c>
    </row>
    <row r="123" spans="8:8" x14ac:dyDescent="0.25">
      <c r="H123" t="s">
        <v>1105</v>
      </c>
    </row>
    <row r="124" spans="8:8" x14ac:dyDescent="0.25">
      <c r="H124" t="s">
        <v>1106</v>
      </c>
    </row>
    <row r="125" spans="8:8" x14ac:dyDescent="0.25">
      <c r="H125" t="s">
        <v>1107</v>
      </c>
    </row>
    <row r="126" spans="8:8" x14ac:dyDescent="0.25">
      <c r="H126" t="s">
        <v>1108</v>
      </c>
    </row>
    <row r="127" spans="8:8" x14ac:dyDescent="0.25">
      <c r="H127" t="s">
        <v>1109</v>
      </c>
    </row>
    <row r="128" spans="8:8" x14ac:dyDescent="0.25">
      <c r="H128" t="s">
        <v>1110</v>
      </c>
    </row>
    <row r="129" spans="8:8" x14ac:dyDescent="0.25">
      <c r="H129" t="s">
        <v>1111</v>
      </c>
    </row>
    <row r="131" spans="8:8" x14ac:dyDescent="0.25">
      <c r="H131" t="s">
        <v>1112</v>
      </c>
    </row>
    <row r="132" spans="8:8" x14ac:dyDescent="0.25">
      <c r="H132" t="s">
        <v>1113</v>
      </c>
    </row>
    <row r="133" spans="8:8" x14ac:dyDescent="0.25">
      <c r="H133" t="s">
        <v>1114</v>
      </c>
    </row>
    <row r="134" spans="8:8" x14ac:dyDescent="0.25">
      <c r="H134" t="s">
        <v>1115</v>
      </c>
    </row>
    <row r="135" spans="8:8" x14ac:dyDescent="0.25">
      <c r="H135" t="s">
        <v>1116</v>
      </c>
    </row>
    <row r="136" spans="8:8" x14ac:dyDescent="0.25">
      <c r="H136" t="s">
        <v>1117</v>
      </c>
    </row>
    <row r="137" spans="8:8" x14ac:dyDescent="0.25">
      <c r="H137" t="s">
        <v>1118</v>
      </c>
    </row>
    <row r="139" spans="8:8" x14ac:dyDescent="0.25">
      <c r="H139" t="s">
        <v>1119</v>
      </c>
    </row>
    <row r="140" spans="8:8" x14ac:dyDescent="0.25">
      <c r="H140" t="s">
        <v>1120</v>
      </c>
    </row>
    <row r="141" spans="8:8" x14ac:dyDescent="0.25">
      <c r="H141" t="s">
        <v>1121</v>
      </c>
    </row>
    <row r="142" spans="8:8" x14ac:dyDescent="0.25">
      <c r="H142" t="s">
        <v>1122</v>
      </c>
    </row>
    <row r="144" spans="8:8" x14ac:dyDescent="0.25">
      <c r="H144" t="s">
        <v>1123</v>
      </c>
    </row>
    <row r="145" spans="8:8" x14ac:dyDescent="0.25">
      <c r="H145" t="s">
        <v>1124</v>
      </c>
    </row>
    <row r="146" spans="8:8" x14ac:dyDescent="0.25">
      <c r="H146" t="s">
        <v>1125</v>
      </c>
    </row>
    <row r="147" spans="8:8" x14ac:dyDescent="0.25">
      <c r="H147" t="s">
        <v>1126</v>
      </c>
    </row>
    <row r="149" spans="8:8" x14ac:dyDescent="0.25">
      <c r="H149" t="s">
        <v>1675</v>
      </c>
    </row>
    <row r="150" spans="8:8" x14ac:dyDescent="0.25">
      <c r="H150" t="s">
        <v>1676</v>
      </c>
    </row>
    <row r="151" spans="8:8" x14ac:dyDescent="0.25">
      <c r="H151" t="s">
        <v>1677</v>
      </c>
    </row>
    <row r="152" spans="8:8" x14ac:dyDescent="0.25">
      <c r="H152" t="s">
        <v>1678</v>
      </c>
    </row>
    <row r="153" spans="8:8" x14ac:dyDescent="0.25">
      <c r="H153" t="s">
        <v>1679</v>
      </c>
    </row>
    <row r="155" spans="8:8" x14ac:dyDescent="0.25">
      <c r="H155" t="s">
        <v>1127</v>
      </c>
    </row>
    <row r="156" spans="8:8" x14ac:dyDescent="0.25">
      <c r="H156" t="s">
        <v>1128</v>
      </c>
    </row>
    <row r="157" spans="8:8" x14ac:dyDescent="0.25">
      <c r="H157" t="s">
        <v>2293</v>
      </c>
    </row>
    <row r="158" spans="8:8" x14ac:dyDescent="0.25">
      <c r="H158" t="s">
        <v>1129</v>
      </c>
    </row>
    <row r="159" spans="8:8" x14ac:dyDescent="0.25">
      <c r="H159" t="s">
        <v>1130</v>
      </c>
    </row>
    <row r="160" spans="8:8" x14ac:dyDescent="0.25">
      <c r="H160" t="s">
        <v>1131</v>
      </c>
    </row>
    <row r="162" spans="8:8" x14ac:dyDescent="0.25">
      <c r="H162" t="s">
        <v>1132</v>
      </c>
    </row>
    <row r="163" spans="8:8" x14ac:dyDescent="0.25">
      <c r="H163" t="s">
        <v>1133</v>
      </c>
    </row>
    <row r="164" spans="8:8" x14ac:dyDescent="0.25">
      <c r="H164" t="s">
        <v>1134</v>
      </c>
    </row>
    <row r="165" spans="8:8" x14ac:dyDescent="0.25">
      <c r="H165" t="s">
        <v>1135</v>
      </c>
    </row>
    <row r="166" spans="8:8" x14ac:dyDescent="0.25">
      <c r="H166" t="s">
        <v>1136</v>
      </c>
    </row>
    <row r="167" spans="8:8" x14ac:dyDescent="0.25">
      <c r="H167" t="s">
        <v>1137</v>
      </c>
    </row>
    <row r="168" spans="8:8" x14ac:dyDescent="0.25">
      <c r="H168" t="s">
        <v>1138</v>
      </c>
    </row>
    <row r="169" spans="8:8" x14ac:dyDescent="0.25">
      <c r="H169" t="s">
        <v>1139</v>
      </c>
    </row>
    <row r="170" spans="8:8" x14ac:dyDescent="0.25">
      <c r="H170" t="s">
        <v>1140</v>
      </c>
    </row>
    <row r="171" spans="8:8" x14ac:dyDescent="0.25">
      <c r="H171" t="s">
        <v>1141</v>
      </c>
    </row>
    <row r="173" spans="8:8" x14ac:dyDescent="0.25">
      <c r="H173" t="s">
        <v>1132</v>
      </c>
    </row>
    <row r="174" spans="8:8" x14ac:dyDescent="0.25">
      <c r="H174" t="s">
        <v>1142</v>
      </c>
    </row>
    <row r="175" spans="8:8" x14ac:dyDescent="0.25">
      <c r="H175" t="s">
        <v>1143</v>
      </c>
    </row>
    <row r="176" spans="8:8" x14ac:dyDescent="0.25">
      <c r="H176" t="s">
        <v>1144</v>
      </c>
    </row>
    <row r="177" spans="8:8" x14ac:dyDescent="0.25">
      <c r="H177" t="s">
        <v>1145</v>
      </c>
    </row>
    <row r="178" spans="8:8" x14ac:dyDescent="0.25">
      <c r="H178" t="s">
        <v>1146</v>
      </c>
    </row>
    <row r="179" spans="8:8" x14ac:dyDescent="0.25">
      <c r="H179" t="s">
        <v>1147</v>
      </c>
    </row>
    <row r="180" spans="8:8" x14ac:dyDescent="0.25">
      <c r="H180" t="s">
        <v>1148</v>
      </c>
    </row>
    <row r="181" spans="8:8" x14ac:dyDescent="0.25">
      <c r="H181" t="s">
        <v>1149</v>
      </c>
    </row>
    <row r="182" spans="8:8" x14ac:dyDescent="0.25">
      <c r="H182" t="s">
        <v>1150</v>
      </c>
    </row>
    <row r="184" spans="8:8" x14ac:dyDescent="0.25">
      <c r="H184" t="s">
        <v>1151</v>
      </c>
    </row>
    <row r="185" spans="8:8" x14ac:dyDescent="0.25">
      <c r="H185" t="s">
        <v>1810</v>
      </c>
    </row>
    <row r="186" spans="8:8" x14ac:dyDescent="0.25">
      <c r="H186" t="s">
        <v>1152</v>
      </c>
    </row>
    <row r="187" spans="8:8" x14ac:dyDescent="0.25">
      <c r="H187" t="s">
        <v>1811</v>
      </c>
    </row>
    <row r="188" spans="8:8" x14ac:dyDescent="0.25">
      <c r="H188" t="s">
        <v>1153</v>
      </c>
    </row>
    <row r="189" spans="8:8" x14ac:dyDescent="0.25">
      <c r="H189" t="s">
        <v>1812</v>
      </c>
    </row>
    <row r="190" spans="8:8" x14ac:dyDescent="0.25">
      <c r="H190" t="s">
        <v>1813</v>
      </c>
    </row>
    <row r="192" spans="8:8" x14ac:dyDescent="0.25">
      <c r="H192" t="s">
        <v>1814</v>
      </c>
    </row>
    <row r="193" spans="8:8" x14ac:dyDescent="0.25">
      <c r="H193" t="s">
        <v>1815</v>
      </c>
    </row>
    <row r="194" spans="8:8" x14ac:dyDescent="0.25">
      <c r="H194" t="s">
        <v>1816</v>
      </c>
    </row>
    <row r="195" spans="8:8" x14ac:dyDescent="0.25">
      <c r="H195" t="s">
        <v>1817</v>
      </c>
    </row>
    <row r="196" spans="8:8" x14ac:dyDescent="0.25">
      <c r="H196" t="s">
        <v>1818</v>
      </c>
    </row>
    <row r="198" spans="8:8" x14ac:dyDescent="0.25">
      <c r="H198" t="s">
        <v>1819</v>
      </c>
    </row>
    <row r="199" spans="8:8" x14ac:dyDescent="0.25">
      <c r="H199" t="s">
        <v>1820</v>
      </c>
    </row>
    <row r="200" spans="8:8" x14ac:dyDescent="0.25">
      <c r="H200" t="s">
        <v>1821</v>
      </c>
    </row>
    <row r="201" spans="8:8" x14ac:dyDescent="0.25">
      <c r="H201" t="s">
        <v>1822</v>
      </c>
    </row>
    <row r="203" spans="8:8" x14ac:dyDescent="0.25">
      <c r="H203" t="s">
        <v>1154</v>
      </c>
    </row>
    <row r="204" spans="8:8" x14ac:dyDescent="0.25">
      <c r="H204" t="s">
        <v>1155</v>
      </c>
    </row>
    <row r="205" spans="8:8" x14ac:dyDescent="0.25">
      <c r="H205" t="s">
        <v>1823</v>
      </c>
    </row>
    <row r="206" spans="8:8" x14ac:dyDescent="0.25">
      <c r="H206" t="s">
        <v>1824</v>
      </c>
    </row>
    <row r="207" spans="8:8" x14ac:dyDescent="0.25">
      <c r="H207" t="s">
        <v>1156</v>
      </c>
    </row>
    <row r="209" spans="8:8" x14ac:dyDescent="0.25">
      <c r="H209" t="s">
        <v>1157</v>
      </c>
    </row>
    <row r="210" spans="8:8" x14ac:dyDescent="0.25">
      <c r="H210" t="s">
        <v>1158</v>
      </c>
    </row>
    <row r="211" spans="8:8" x14ac:dyDescent="0.25">
      <c r="H211" t="s">
        <v>1825</v>
      </c>
    </row>
    <row r="212" spans="8:8" x14ac:dyDescent="0.25">
      <c r="H212" t="s">
        <v>1826</v>
      </c>
    </row>
    <row r="213" spans="8:8" x14ac:dyDescent="0.25">
      <c r="H213" t="s">
        <v>1159</v>
      </c>
    </row>
    <row r="215" spans="8:8" x14ac:dyDescent="0.25">
      <c r="H215" t="s">
        <v>1160</v>
      </c>
    </row>
    <row r="216" spans="8:8" x14ac:dyDescent="0.25">
      <c r="H216" t="s">
        <v>1161</v>
      </c>
    </row>
    <row r="217" spans="8:8" x14ac:dyDescent="0.25">
      <c r="H217" t="s">
        <v>1827</v>
      </c>
    </row>
    <row r="218" spans="8:8" x14ac:dyDescent="0.25">
      <c r="H218" t="s">
        <v>1828</v>
      </c>
    </row>
    <row r="219" spans="8:8" x14ac:dyDescent="0.25">
      <c r="H219" t="s">
        <v>1162</v>
      </c>
    </row>
    <row r="221" spans="8:8" x14ac:dyDescent="0.25">
      <c r="H221" t="s">
        <v>1163</v>
      </c>
    </row>
    <row r="222" spans="8:8" x14ac:dyDescent="0.25">
      <c r="H222" t="s">
        <v>1164</v>
      </c>
    </row>
    <row r="223" spans="8:8" x14ac:dyDescent="0.25">
      <c r="H223" t="s">
        <v>1165</v>
      </c>
    </row>
    <row r="224" spans="8:8" x14ac:dyDescent="0.25">
      <c r="H224" t="s">
        <v>1166</v>
      </c>
    </row>
    <row r="226" spans="8:8" x14ac:dyDescent="0.25">
      <c r="H226" t="s">
        <v>1167</v>
      </c>
    </row>
    <row r="227" spans="8:8" x14ac:dyDescent="0.25">
      <c r="H227" t="s">
        <v>1168</v>
      </c>
    </row>
    <row r="228" spans="8:8" x14ac:dyDescent="0.25">
      <c r="H228" t="s">
        <v>1169</v>
      </c>
    </row>
    <row r="229" spans="8:8" x14ac:dyDescent="0.25">
      <c r="H229" t="s">
        <v>1170</v>
      </c>
    </row>
    <row r="231" spans="8:8" x14ac:dyDescent="0.25">
      <c r="H231" t="s">
        <v>1171</v>
      </c>
    </row>
    <row r="232" spans="8:8" x14ac:dyDescent="0.25">
      <c r="H232" t="s">
        <v>1172</v>
      </c>
    </row>
    <row r="233" spans="8:8" x14ac:dyDescent="0.25">
      <c r="H233" t="s">
        <v>1173</v>
      </c>
    </row>
    <row r="234" spans="8:8" x14ac:dyDescent="0.25">
      <c r="H234" t="s">
        <v>1174</v>
      </c>
    </row>
    <row r="235" spans="8:8" x14ac:dyDescent="0.25">
      <c r="H235" t="s">
        <v>1175</v>
      </c>
    </row>
    <row r="236" spans="8:8" x14ac:dyDescent="0.25">
      <c r="H236" t="s">
        <v>1176</v>
      </c>
    </row>
    <row r="237" spans="8:8" x14ac:dyDescent="0.25">
      <c r="H237" t="s">
        <v>1603</v>
      </c>
    </row>
    <row r="238" spans="8:8" x14ac:dyDescent="0.25">
      <c r="H238" t="s">
        <v>1604</v>
      </c>
    </row>
    <row r="239" spans="8:8" x14ac:dyDescent="0.25">
      <c r="H239" t="s">
        <v>2294</v>
      </c>
    </row>
    <row r="240" spans="8:8" x14ac:dyDescent="0.25">
      <c r="H240" t="s">
        <v>2295</v>
      </c>
    </row>
    <row r="241" spans="8:8" x14ac:dyDescent="0.25">
      <c r="H241" t="s">
        <v>2296</v>
      </c>
    </row>
    <row r="242" spans="8:8" x14ac:dyDescent="0.25">
      <c r="H242" t="s">
        <v>2297</v>
      </c>
    </row>
    <row r="243" spans="8:8" x14ac:dyDescent="0.25">
      <c r="H243" t="s">
        <v>2298</v>
      </c>
    </row>
    <row r="244" spans="8:8" x14ac:dyDescent="0.25">
      <c r="H244" t="s">
        <v>2299</v>
      </c>
    </row>
    <row r="245" spans="8:8" x14ac:dyDescent="0.25">
      <c r="H245" t="s">
        <v>1177</v>
      </c>
    </row>
    <row r="246" spans="8:8" x14ac:dyDescent="0.25">
      <c r="H246" t="s">
        <v>1178</v>
      </c>
    </row>
    <row r="247" spans="8:8" x14ac:dyDescent="0.25">
      <c r="H247" t="s">
        <v>1179</v>
      </c>
    </row>
    <row r="248" spans="8:8" x14ac:dyDescent="0.25">
      <c r="H248" t="s">
        <v>1180</v>
      </c>
    </row>
    <row r="249" spans="8:8" x14ac:dyDescent="0.25">
      <c r="H249" t="s">
        <v>1181</v>
      </c>
    </row>
    <row r="250" spans="8:8" x14ac:dyDescent="0.25">
      <c r="H250" t="s">
        <v>1182</v>
      </c>
    </row>
    <row r="252" spans="8:8" x14ac:dyDescent="0.25">
      <c r="H252" t="s">
        <v>1883</v>
      </c>
    </row>
    <row r="253" spans="8:8" x14ac:dyDescent="0.25">
      <c r="H253" t="s">
        <v>1884</v>
      </c>
    </row>
    <row r="254" spans="8:8" x14ac:dyDescent="0.25">
      <c r="H254" t="s">
        <v>1885</v>
      </c>
    </row>
    <row r="255" spans="8:8" x14ac:dyDescent="0.25">
      <c r="H255" t="s">
        <v>1886</v>
      </c>
    </row>
    <row r="257" spans="8:8" x14ac:dyDescent="0.25">
      <c r="H257" t="s">
        <v>1183</v>
      </c>
    </row>
    <row r="258" spans="8:8" x14ac:dyDescent="0.25">
      <c r="H258" t="s">
        <v>1184</v>
      </c>
    </row>
    <row r="259" spans="8:8" x14ac:dyDescent="0.25">
      <c r="H259" t="s">
        <v>1185</v>
      </c>
    </row>
    <row r="260" spans="8:8" x14ac:dyDescent="0.25">
      <c r="H260" t="s">
        <v>1186</v>
      </c>
    </row>
    <row r="261" spans="8:8" x14ac:dyDescent="0.25">
      <c r="H261" t="s">
        <v>1187</v>
      </c>
    </row>
    <row r="262" spans="8:8" x14ac:dyDescent="0.25">
      <c r="H262" t="s">
        <v>1188</v>
      </c>
    </row>
    <row r="263" spans="8:8" x14ac:dyDescent="0.25">
      <c r="H263" t="s">
        <v>1189</v>
      </c>
    </row>
    <row r="265" spans="8:8" x14ac:dyDescent="0.25">
      <c r="H265" t="s">
        <v>1190</v>
      </c>
    </row>
    <row r="266" spans="8:8" x14ac:dyDescent="0.25">
      <c r="H266" t="s">
        <v>1191</v>
      </c>
    </row>
    <row r="267" spans="8:8" x14ac:dyDescent="0.25">
      <c r="H267" t="s">
        <v>1605</v>
      </c>
    </row>
    <row r="268" spans="8:8" x14ac:dyDescent="0.25">
      <c r="H268" t="s">
        <v>1606</v>
      </c>
    </row>
    <row r="269" spans="8:8" x14ac:dyDescent="0.25">
      <c r="H269" t="s">
        <v>1607</v>
      </c>
    </row>
    <row r="270" spans="8:8" x14ac:dyDescent="0.25">
      <c r="H270" t="s">
        <v>1608</v>
      </c>
    </row>
    <row r="271" spans="8:8" x14ac:dyDescent="0.25">
      <c r="H271" t="s">
        <v>1192</v>
      </c>
    </row>
    <row r="273" spans="8:8" x14ac:dyDescent="0.25">
      <c r="H273" t="s">
        <v>2483</v>
      </c>
    </row>
    <row r="274" spans="8:8" x14ac:dyDescent="0.25">
      <c r="H274" t="s">
        <v>2484</v>
      </c>
    </row>
    <row r="275" spans="8:8" x14ac:dyDescent="0.25">
      <c r="H275" t="s">
        <v>2485</v>
      </c>
    </row>
    <row r="276" spans="8:8" x14ac:dyDescent="0.25">
      <c r="H276" t="s">
        <v>2486</v>
      </c>
    </row>
    <row r="277" spans="8:8" x14ac:dyDescent="0.25">
      <c r="H277" t="s">
        <v>2487</v>
      </c>
    </row>
    <row r="278" spans="8:8" x14ac:dyDescent="0.25">
      <c r="H278" t="s">
        <v>2488</v>
      </c>
    </row>
    <row r="280" spans="8:8" x14ac:dyDescent="0.25">
      <c r="H280" t="s">
        <v>2489</v>
      </c>
    </row>
    <row r="281" spans="8:8" x14ac:dyDescent="0.25">
      <c r="H281" t="s">
        <v>2490</v>
      </c>
    </row>
    <row r="282" spans="8:8" x14ac:dyDescent="0.25">
      <c r="H282" t="s">
        <v>2491</v>
      </c>
    </row>
    <row r="283" spans="8:8" x14ac:dyDescent="0.25">
      <c r="H283" t="s">
        <v>2492</v>
      </c>
    </row>
    <row r="284" spans="8:8" x14ac:dyDescent="0.25">
      <c r="H284" t="s">
        <v>2493</v>
      </c>
    </row>
    <row r="285" spans="8:8" x14ac:dyDescent="0.25">
      <c r="H285" t="s">
        <v>2494</v>
      </c>
    </row>
    <row r="286" spans="8:8" x14ac:dyDescent="0.25">
      <c r="H286" t="s">
        <v>2495</v>
      </c>
    </row>
    <row r="287" spans="8:8" x14ac:dyDescent="0.25">
      <c r="H287" t="s">
        <v>2496</v>
      </c>
    </row>
    <row r="288" spans="8:8" x14ac:dyDescent="0.25">
      <c r="H288" t="s">
        <v>2497</v>
      </c>
    </row>
    <row r="289" spans="8:8" x14ac:dyDescent="0.25">
      <c r="H289" t="s">
        <v>2498</v>
      </c>
    </row>
    <row r="291" spans="8:8" x14ac:dyDescent="0.25">
      <c r="H291" t="s">
        <v>1609</v>
      </c>
    </row>
    <row r="292" spans="8:8" x14ac:dyDescent="0.25">
      <c r="H292" t="s">
        <v>1610</v>
      </c>
    </row>
    <row r="293" spans="8:8" x14ac:dyDescent="0.25">
      <c r="H293" t="s">
        <v>1626</v>
      </c>
    </row>
    <row r="294" spans="8:8" x14ac:dyDescent="0.25">
      <c r="H294" t="s">
        <v>1625</v>
      </c>
    </row>
    <row r="295" spans="8:8" x14ac:dyDescent="0.25">
      <c r="H295" t="s">
        <v>1624</v>
      </c>
    </row>
    <row r="296" spans="8:8" x14ac:dyDescent="0.25">
      <c r="H296" t="s">
        <v>1623</v>
      </c>
    </row>
    <row r="297" spans="8:8" x14ac:dyDescent="0.25">
      <c r="H297" t="s">
        <v>1622</v>
      </c>
    </row>
    <row r="298" spans="8:8" x14ac:dyDescent="0.25">
      <c r="H298" t="s">
        <v>1621</v>
      </c>
    </row>
    <row r="299" spans="8:8" x14ac:dyDescent="0.25">
      <c r="H299" t="s">
        <v>1620</v>
      </c>
    </row>
    <row r="300" spans="8:8" x14ac:dyDescent="0.25">
      <c r="H300" t="s">
        <v>1619</v>
      </c>
    </row>
    <row r="301" spans="8:8" x14ac:dyDescent="0.25">
      <c r="H301" t="s">
        <v>1618</v>
      </c>
    </row>
    <row r="302" spans="8:8" x14ac:dyDescent="0.25">
      <c r="H302" t="s">
        <v>1617</v>
      </c>
    </row>
    <row r="303" spans="8:8" x14ac:dyDescent="0.25">
      <c r="H303" t="s">
        <v>1616</v>
      </c>
    </row>
    <row r="304" spans="8:8" x14ac:dyDescent="0.25">
      <c r="H304" t="s">
        <v>1615</v>
      </c>
    </row>
    <row r="305" spans="8:8" x14ac:dyDescent="0.25">
      <c r="H305" t="s">
        <v>1614</v>
      </c>
    </row>
    <row r="306" spans="8:8" x14ac:dyDescent="0.25">
      <c r="H306" t="s">
        <v>1613</v>
      </c>
    </row>
    <row r="307" spans="8:8" x14ac:dyDescent="0.25">
      <c r="H307" t="s">
        <v>1612</v>
      </c>
    </row>
    <row r="308" spans="8:8" x14ac:dyDescent="0.25">
      <c r="H308" t="s">
        <v>1611</v>
      </c>
    </row>
    <row r="309" spans="8:8" x14ac:dyDescent="0.25">
      <c r="H309" t="s">
        <v>1627</v>
      </c>
    </row>
    <row r="310" spans="8:8" x14ac:dyDescent="0.25">
      <c r="H310" t="s">
        <v>1628</v>
      </c>
    </row>
    <row r="311" spans="8:8" x14ac:dyDescent="0.25">
      <c r="H311" t="s">
        <v>1887</v>
      </c>
    </row>
    <row r="312" spans="8:8" x14ac:dyDescent="0.25">
      <c r="H312" t="s">
        <v>1888</v>
      </c>
    </row>
    <row r="313" spans="8:8" x14ac:dyDescent="0.25">
      <c r="H313" t="s">
        <v>1629</v>
      </c>
    </row>
    <row r="315" spans="8:8" x14ac:dyDescent="0.25">
      <c r="H315" t="s">
        <v>125</v>
      </c>
    </row>
    <row r="316" spans="8:8" x14ac:dyDescent="0.25">
      <c r="H316" t="s">
        <v>1193</v>
      </c>
    </row>
    <row r="317" spans="8:8" x14ac:dyDescent="0.25">
      <c r="H317" t="s">
        <v>1194</v>
      </c>
    </row>
    <row r="318" spans="8:8" x14ac:dyDescent="0.25">
      <c r="H318" t="s">
        <v>1195</v>
      </c>
    </row>
    <row r="319" spans="8:8" x14ac:dyDescent="0.25">
      <c r="H319" t="s">
        <v>1196</v>
      </c>
    </row>
    <row r="321" spans="8:8" x14ac:dyDescent="0.25">
      <c r="H321" t="s">
        <v>125</v>
      </c>
    </row>
    <row r="322" spans="8:8" x14ac:dyDescent="0.25">
      <c r="H322" t="s">
        <v>1197</v>
      </c>
    </row>
    <row r="323" spans="8:8" x14ac:dyDescent="0.25">
      <c r="H323" t="s">
        <v>1198</v>
      </c>
    </row>
    <row r="324" spans="8:8" x14ac:dyDescent="0.25">
      <c r="H324" t="s">
        <v>1199</v>
      </c>
    </row>
    <row r="325" spans="8:8" x14ac:dyDescent="0.25">
      <c r="H325" t="s">
        <v>1200</v>
      </c>
    </row>
    <row r="326" spans="8:8" x14ac:dyDescent="0.25">
      <c r="H326" t="s">
        <v>1201</v>
      </c>
    </row>
    <row r="327" spans="8:8" x14ac:dyDescent="0.25">
      <c r="H327" t="s">
        <v>1202</v>
      </c>
    </row>
    <row r="328" spans="8:8" x14ac:dyDescent="0.25">
      <c r="H328" t="s">
        <v>1203</v>
      </c>
    </row>
    <row r="329" spans="8:8" x14ac:dyDescent="0.25">
      <c r="H329" t="s">
        <v>1204</v>
      </c>
    </row>
    <row r="331" spans="8:8" x14ac:dyDescent="0.25">
      <c r="H331" t="s">
        <v>125</v>
      </c>
    </row>
    <row r="332" spans="8:8" x14ac:dyDescent="0.25">
      <c r="H332" t="s">
        <v>1205</v>
      </c>
    </row>
    <row r="333" spans="8:8" x14ac:dyDescent="0.25">
      <c r="H333" t="s">
        <v>1206</v>
      </c>
    </row>
    <row r="334" spans="8:8" x14ac:dyDescent="0.25">
      <c r="H334" t="s">
        <v>1207</v>
      </c>
    </row>
    <row r="335" spans="8:8" x14ac:dyDescent="0.25">
      <c r="H335" t="s">
        <v>2021</v>
      </c>
    </row>
    <row r="336" spans="8:8" x14ac:dyDescent="0.25">
      <c r="H336" t="s">
        <v>1208</v>
      </c>
    </row>
    <row r="337" spans="8:8" x14ac:dyDescent="0.25">
      <c r="H337" t="s">
        <v>2213</v>
      </c>
    </row>
    <row r="338" spans="8:8" x14ac:dyDescent="0.25">
      <c r="H338" t="s">
        <v>2214</v>
      </c>
    </row>
    <row r="339" spans="8:8" x14ac:dyDescent="0.25">
      <c r="H339" t="s">
        <v>1209</v>
      </c>
    </row>
    <row r="340" spans="8:8" x14ac:dyDescent="0.25">
      <c r="H340" t="s">
        <v>1210</v>
      </c>
    </row>
    <row r="341" spans="8:8" x14ac:dyDescent="0.25">
      <c r="H341" t="s">
        <v>1211</v>
      </c>
    </row>
    <row r="342" spans="8:8" x14ac:dyDescent="0.25">
      <c r="H342" t="s">
        <v>1212</v>
      </c>
    </row>
    <row r="343" spans="8:8" x14ac:dyDescent="0.25">
      <c r="H343" t="s">
        <v>1213</v>
      </c>
    </row>
    <row r="345" spans="8:8" x14ac:dyDescent="0.25">
      <c r="H345" t="s">
        <v>125</v>
      </c>
    </row>
    <row r="346" spans="8:8" x14ac:dyDescent="0.25">
      <c r="H346" t="s">
        <v>1214</v>
      </c>
    </row>
    <row r="347" spans="8:8" x14ac:dyDescent="0.25">
      <c r="H347" t="s">
        <v>1215</v>
      </c>
    </row>
    <row r="348" spans="8:8" x14ac:dyDescent="0.25">
      <c r="H348" t="s">
        <v>1680</v>
      </c>
    </row>
    <row r="349" spans="8:8" x14ac:dyDescent="0.25">
      <c r="H349" t="s">
        <v>1216</v>
      </c>
    </row>
    <row r="350" spans="8:8" x14ac:dyDescent="0.25">
      <c r="H350" t="s">
        <v>1217</v>
      </c>
    </row>
    <row r="351" spans="8:8" x14ac:dyDescent="0.25">
      <c r="H351" t="s">
        <v>1218</v>
      </c>
    </row>
    <row r="352" spans="8:8" x14ac:dyDescent="0.25">
      <c r="H352" t="s">
        <v>1829</v>
      </c>
    </row>
    <row r="353" spans="8:8" x14ac:dyDescent="0.25">
      <c r="H353" t="s">
        <v>1830</v>
      </c>
    </row>
    <row r="354" spans="8:8" x14ac:dyDescent="0.25">
      <c r="H354" t="s">
        <v>1831</v>
      </c>
    </row>
    <row r="355" spans="8:8" x14ac:dyDescent="0.25">
      <c r="H355" t="s">
        <v>1219</v>
      </c>
    </row>
    <row r="356" spans="8:8" x14ac:dyDescent="0.25">
      <c r="H356" t="s">
        <v>1220</v>
      </c>
    </row>
    <row r="357" spans="8:8" x14ac:dyDescent="0.25">
      <c r="H357" t="s">
        <v>1221</v>
      </c>
    </row>
    <row r="358" spans="8:8" x14ac:dyDescent="0.25">
      <c r="H358" t="s">
        <v>1222</v>
      </c>
    </row>
    <row r="359" spans="8:8" x14ac:dyDescent="0.25">
      <c r="H359" t="s">
        <v>1223</v>
      </c>
    </row>
    <row r="361" spans="8:8" x14ac:dyDescent="0.25">
      <c r="H361" t="s">
        <v>125</v>
      </c>
    </row>
    <row r="362" spans="8:8" x14ac:dyDescent="0.25">
      <c r="H362" t="s">
        <v>1224</v>
      </c>
    </row>
    <row r="363" spans="8:8" x14ac:dyDescent="0.25">
      <c r="H363" t="s">
        <v>1225</v>
      </c>
    </row>
    <row r="364" spans="8:8" x14ac:dyDescent="0.25">
      <c r="H364" t="s">
        <v>1226</v>
      </c>
    </row>
    <row r="365" spans="8:8" x14ac:dyDescent="0.25">
      <c r="H365" t="s">
        <v>1889</v>
      </c>
    </row>
    <row r="366" spans="8:8" x14ac:dyDescent="0.25">
      <c r="H366" t="s">
        <v>1227</v>
      </c>
    </row>
    <row r="367" spans="8:8" x14ac:dyDescent="0.25">
      <c r="H367" t="s">
        <v>1228</v>
      </c>
    </row>
    <row r="368" spans="8:8" x14ac:dyDescent="0.25">
      <c r="H368" t="s">
        <v>2499</v>
      </c>
    </row>
    <row r="369" spans="8:8" x14ac:dyDescent="0.25">
      <c r="H369" t="s">
        <v>2500</v>
      </c>
    </row>
    <row r="370" spans="8:8" x14ac:dyDescent="0.25">
      <c r="H370" t="s">
        <v>1630</v>
      </c>
    </row>
    <row r="371" spans="8:8" x14ac:dyDescent="0.25">
      <c r="H371" t="s">
        <v>1229</v>
      </c>
    </row>
    <row r="372" spans="8:8" x14ac:dyDescent="0.25">
      <c r="H372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2020-07-28T22:36:11Z</dcterms:modified>
</cp:coreProperties>
</file>