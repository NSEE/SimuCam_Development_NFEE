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E:\cassio\repo_simucam\SimuCam_Development\FPGA_Developments\Rmap\doc\"/>
    </mc:Choice>
  </mc:AlternateContent>
  <bookViews>
    <workbookView xWindow="0" yWindow="0" windowWidth="28800" windowHeight="13020" activeTab="1"/>
  </bookViews>
  <sheets>
    <sheet name="Write_Reply" sheetId="7" r:id="rId1"/>
    <sheet name="Read_Reply" sheetId="6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7" l="1"/>
  <c r="J7" i="6" l="1"/>
  <c r="J5" i="7" l="1"/>
  <c r="J7" i="7"/>
  <c r="J9" i="6" l="1"/>
  <c r="J10" i="7"/>
  <c r="J9" i="7"/>
  <c r="J13" i="7"/>
  <c r="J11" i="7"/>
  <c r="J6" i="7"/>
  <c r="J12" i="6"/>
  <c r="J14" i="6"/>
  <c r="J10" i="6"/>
  <c r="J6" i="6"/>
  <c r="J5" i="6"/>
  <c r="J17" i="6"/>
  <c r="J15" i="7"/>
</calcChain>
</file>

<file path=xl/sharedStrings.xml><?xml version="1.0" encoding="utf-8"?>
<sst xmlns="http://schemas.openxmlformats.org/spreadsheetml/2006/main" count="155" uniqueCount="47">
  <si>
    <t>Target SpW Address</t>
  </si>
  <si>
    <t>Target Logical Address</t>
  </si>
  <si>
    <t>Protocol Identifier</t>
  </si>
  <si>
    <t>Instruction</t>
  </si>
  <si>
    <t>Initiator Logical Address</t>
  </si>
  <si>
    <t>Transaction Identifier</t>
  </si>
  <si>
    <t>Transaction Identifier (MS)</t>
  </si>
  <si>
    <t>Transaction Identifier (LS)</t>
  </si>
  <si>
    <t>Data Length (MS)</t>
  </si>
  <si>
    <t>Data Length</t>
  </si>
  <si>
    <t>Data Length (LS)</t>
  </si>
  <si>
    <t>Header CRC</t>
  </si>
  <si>
    <t>Data</t>
  </si>
  <si>
    <t>Data CRC</t>
  </si>
  <si>
    <t>EOP</t>
  </si>
  <si>
    <t>Field</t>
  </si>
  <si>
    <t>-</t>
  </si>
  <si>
    <t>Packet Data</t>
  </si>
  <si>
    <t>SpaceWire</t>
  </si>
  <si>
    <t>RMAP</t>
  </si>
  <si>
    <t>Verify Data</t>
  </si>
  <si>
    <t>Increment</t>
  </si>
  <si>
    <t>Reply Address Length</t>
  </si>
  <si>
    <t>Packet</t>
  </si>
  <si>
    <t>0x00</t>
  </si>
  <si>
    <t>0x01</t>
  </si>
  <si>
    <t>StarDundee Brick Format</t>
  </si>
  <si>
    <t>Read Instruction</t>
  </si>
  <si>
    <t>Reply SpW Address</t>
  </si>
  <si>
    <t>Status</t>
  </si>
  <si>
    <t>Reserved</t>
  </si>
  <si>
    <t>CRC</t>
  </si>
  <si>
    <t>0x50</t>
  </si>
  <si>
    <t>0x3C</t>
  </si>
  <si>
    <t>0x51</t>
  </si>
  <si>
    <t>Hex</t>
  </si>
  <si>
    <t xml:space="preserve">    </t>
  </si>
  <si>
    <t xml:space="preserve">  </t>
  </si>
  <si>
    <t>0x5E</t>
  </si>
  <si>
    <t>0x50 0x01 0x0C 0x00 0x51 0x00 0x02 0x00 0x00 0x00 0x04 0xCC 0x00 0x0B 0xCC 0xDC 0x12</t>
  </si>
  <si>
    <t>0x0C</t>
  </si>
  <si>
    <t>0x02</t>
  </si>
  <si>
    <t>0x04</t>
  </si>
  <si>
    <t>0xCC</t>
  </si>
  <si>
    <t>0x0B</t>
  </si>
  <si>
    <t>0xDC</t>
  </si>
  <si>
    <t>0x12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</si>
</sst>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FF00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8CBAD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6" borderId="1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4" borderId="1" xfId="0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0" xfId="0" applyFont="1" applyAlignment="1">
      <alignment vertical="center"/>
    </xf>
    <xf numFmtId="0" fontId="0" fillId="5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ont="1"/>
    <xf numFmtId="0" fontId="0" fillId="7" borderId="1" xfId="0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6" borderId="2" xfId="0" applyFont="1" applyFill="1" applyBorder="1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466725</xdr:colOff>
          <xdr:row>19</xdr:row>
          <xdr:rowOff>180975</xdr:rowOff>
        </xdr:from>
        <xdr:to>
          <xdr:col>2</xdr:col>
          <xdr:colOff>0</xdr:colOff>
          <xdr:row>21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Parse RMAP Write Reply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466725</xdr:colOff>
          <xdr:row>21</xdr:row>
          <xdr:rowOff>180975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466725</xdr:colOff>
          <xdr:row>19</xdr:row>
          <xdr:rowOff>180975</xdr:rowOff>
        </xdr:from>
        <xdr:to>
          <xdr:col>2</xdr:col>
          <xdr:colOff>0</xdr:colOff>
          <xdr:row>21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Parse RMAP Read Reply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22</xdr:row>
          <xdr:rowOff>0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/>
  <dimension ref="A1:J57"/>
  <sheetViews>
    <sheetView zoomScale="70" zoomScaleNormal="70" workbookViewId="0">
      <selection activeCell="B27" sqref="B27"/>
    </sheetView>
  </sheetViews>
  <sheetFormatPr defaultRowHeight="15" x14ac:dyDescent="0.25"/>
  <cols>
    <col min="1" max="1" width="7.140625" customWidth="1"/>
    <col min="2" max="2" width="114.28515625" style="2" customWidth="1"/>
    <col min="3" max="4" width="9.140625" customWidth="1"/>
    <col min="5" max="6" width="25" style="2" customWidth="1"/>
    <col min="7" max="8" width="9.140625" customWidth="1"/>
    <col min="9" max="10" width="25" style="9" customWidth="1"/>
    <col min="11" max="11" width="7.140625" customWidth="1"/>
  </cols>
  <sheetData>
    <row r="1" spans="1:10" x14ac:dyDescent="0.25">
      <c r="A1" s="10"/>
    </row>
    <row r="2" spans="1:10" x14ac:dyDescent="0.25">
      <c r="B2" s="1" t="s">
        <v>26</v>
      </c>
      <c r="E2" s="1" t="s">
        <v>15</v>
      </c>
      <c r="F2" s="1" t="s">
        <v>17</v>
      </c>
      <c r="I2" s="14" t="s">
        <v>18</v>
      </c>
      <c r="J2" s="15"/>
    </row>
    <row r="3" spans="1:10" x14ac:dyDescent="0.25">
      <c r="B3" s="16" t="str">
        <f>CONCATENATE(B27," ",B28," ",B29," ",B30," ",B31," ",B32," ",B33," ",B34," ",B35," ",B36," ",B37," ",B38," ",B39," ",B40," ",B41," ",B42," ",B43," ",B44," ",B45," ",B46," ",B47)</f>
        <v xml:space="preserve">0x50 0x01 0x3C 0x00 0x51 0x00 0x01 0x5E             </v>
      </c>
      <c r="E3" s="3" t="s">
        <v>28</v>
      </c>
      <c r="F3" s="4" t="s">
        <v>16</v>
      </c>
      <c r="I3" s="3" t="s">
        <v>28</v>
      </c>
      <c r="J3" s="4" t="s">
        <v>16</v>
      </c>
    </row>
    <row r="4" spans="1:10" x14ac:dyDescent="0.25">
      <c r="B4" s="16"/>
      <c r="E4" s="3" t="s">
        <v>28</v>
      </c>
      <c r="F4" s="4" t="s">
        <v>16</v>
      </c>
      <c r="I4" s="14" t="s">
        <v>19</v>
      </c>
      <c r="J4" s="15"/>
    </row>
    <row r="5" spans="1:10" x14ac:dyDescent="0.25">
      <c r="B5" s="16"/>
      <c r="E5" s="3" t="s">
        <v>28</v>
      </c>
      <c r="F5" s="4" t="s">
        <v>16</v>
      </c>
      <c r="I5" s="6" t="s">
        <v>4</v>
      </c>
      <c r="J5" s="4" t="str">
        <f>F15</f>
        <v>0x50</v>
      </c>
    </row>
    <row r="6" spans="1:10" x14ac:dyDescent="0.25">
      <c r="B6" s="16"/>
      <c r="E6" s="3" t="s">
        <v>28</v>
      </c>
      <c r="F6" s="4" t="s">
        <v>16</v>
      </c>
      <c r="I6" s="5" t="s">
        <v>29</v>
      </c>
      <c r="J6" s="4" t="str">
        <f>F18</f>
        <v>0x00</v>
      </c>
    </row>
    <row r="7" spans="1:10" x14ac:dyDescent="0.25">
      <c r="B7" s="16"/>
      <c r="E7" s="3" t="s">
        <v>28</v>
      </c>
      <c r="F7" s="4" t="s">
        <v>16</v>
      </c>
      <c r="I7" s="5" t="s">
        <v>1</v>
      </c>
      <c r="J7" s="4" t="str">
        <f>F19</f>
        <v>0x51</v>
      </c>
    </row>
    <row r="8" spans="1:10" x14ac:dyDescent="0.25">
      <c r="B8" s="16"/>
      <c r="E8" s="3" t="s">
        <v>28</v>
      </c>
      <c r="F8" s="4" t="s">
        <v>16</v>
      </c>
      <c r="I8" s="14" t="s">
        <v>27</v>
      </c>
      <c r="J8" s="15"/>
    </row>
    <row r="9" spans="1:10" x14ac:dyDescent="0.25">
      <c r="B9" s="16"/>
      <c r="E9" s="3" t="s">
        <v>28</v>
      </c>
      <c r="F9" s="4" t="s">
        <v>16</v>
      </c>
      <c r="I9" s="5" t="s">
        <v>20</v>
      </c>
      <c r="J9" s="4">
        <f>MOD(QUOTIENT(HEX2DEC(RIGHT($F$17,2)),16),2)</f>
        <v>1</v>
      </c>
    </row>
    <row r="10" spans="1:10" x14ac:dyDescent="0.25">
      <c r="B10" s="16"/>
      <c r="E10" s="3" t="s">
        <v>28</v>
      </c>
      <c r="F10" s="4" t="s">
        <v>16</v>
      </c>
      <c r="I10" s="5" t="s">
        <v>21</v>
      </c>
      <c r="J10" s="4">
        <f>MOD(QUOTIENT(HEX2DEC(RIGHT($F$17,2)),4),2)</f>
        <v>1</v>
      </c>
    </row>
    <row r="11" spans="1:10" x14ac:dyDescent="0.25">
      <c r="B11" s="16"/>
      <c r="E11" s="3" t="s">
        <v>28</v>
      </c>
      <c r="F11" s="4" t="s">
        <v>16</v>
      </c>
      <c r="I11" s="5" t="s">
        <v>22</v>
      </c>
      <c r="J11" s="4">
        <f>MOD(HEX2DEC(RIGHT($F$17,2)),2)</f>
        <v>0</v>
      </c>
    </row>
    <row r="12" spans="1:10" x14ac:dyDescent="0.25">
      <c r="B12" s="16"/>
      <c r="E12" s="3" t="s">
        <v>28</v>
      </c>
      <c r="F12" s="4" t="s">
        <v>16</v>
      </c>
      <c r="I12" s="14" t="s">
        <v>23</v>
      </c>
      <c r="J12" s="15"/>
    </row>
    <row r="13" spans="1:10" x14ac:dyDescent="0.25">
      <c r="B13" s="16"/>
      <c r="E13" s="3" t="s">
        <v>28</v>
      </c>
      <c r="F13" s="4" t="s">
        <v>16</v>
      </c>
      <c r="I13" s="5" t="s">
        <v>5</v>
      </c>
      <c r="J13" s="4">
        <f>HEX2DEC(RIGHT($F$20,2))*256+HEX2DEC(RIGHT($F$21,2))</f>
        <v>1</v>
      </c>
    </row>
    <row r="14" spans="1:10" x14ac:dyDescent="0.25">
      <c r="B14" s="16"/>
      <c r="E14" s="3" t="s">
        <v>28</v>
      </c>
      <c r="F14" s="4" t="s">
        <v>16</v>
      </c>
      <c r="I14" s="14" t="s">
        <v>31</v>
      </c>
      <c r="J14" s="15"/>
    </row>
    <row r="15" spans="1:10" x14ac:dyDescent="0.25">
      <c r="B15" s="16"/>
      <c r="E15" s="6" t="s">
        <v>4</v>
      </c>
      <c r="F15" s="4" t="s">
        <v>32</v>
      </c>
      <c r="I15" s="5" t="s">
        <v>11</v>
      </c>
      <c r="J15" s="12" t="str">
        <f>CONCATENATE("0x", TEXT(DEC2HEX(CalculateCrc($F$15:$F$21)),"00"))</f>
        <v>0x5E</v>
      </c>
    </row>
    <row r="16" spans="1:10" x14ac:dyDescent="0.25">
      <c r="B16" s="16"/>
      <c r="E16" s="8" t="s">
        <v>2</v>
      </c>
      <c r="F16" s="4" t="s">
        <v>25</v>
      </c>
      <c r="I16"/>
      <c r="J16"/>
    </row>
    <row r="17" spans="2:6" x14ac:dyDescent="0.25">
      <c r="B17" s="16"/>
      <c r="E17" s="5" t="s">
        <v>3</v>
      </c>
      <c r="F17" s="4" t="s">
        <v>33</v>
      </c>
    </row>
    <row r="18" spans="2:6" x14ac:dyDescent="0.25">
      <c r="B18" s="16"/>
      <c r="E18" s="5" t="s">
        <v>29</v>
      </c>
      <c r="F18" s="4" t="s">
        <v>24</v>
      </c>
    </row>
    <row r="19" spans="2:6" x14ac:dyDescent="0.25">
      <c r="B19" s="16"/>
      <c r="E19" s="5" t="s">
        <v>1</v>
      </c>
      <c r="F19" s="4" t="s">
        <v>34</v>
      </c>
    </row>
    <row r="20" spans="2:6" x14ac:dyDescent="0.25">
      <c r="E20" s="5" t="s">
        <v>6</v>
      </c>
      <c r="F20" s="4" t="s">
        <v>24</v>
      </c>
    </row>
    <row r="21" spans="2:6" x14ac:dyDescent="0.25">
      <c r="E21" s="5" t="s">
        <v>7</v>
      </c>
      <c r="F21" s="4" t="s">
        <v>25</v>
      </c>
    </row>
    <row r="22" spans="2:6" x14ac:dyDescent="0.25">
      <c r="E22" s="5" t="s">
        <v>11</v>
      </c>
      <c r="F22" s="4" t="s">
        <v>38</v>
      </c>
    </row>
    <row r="23" spans="2:6" x14ac:dyDescent="0.25">
      <c r="E23" s="11" t="s">
        <v>14</v>
      </c>
      <c r="F23" s="4" t="s">
        <v>36</v>
      </c>
    </row>
    <row r="24" spans="2:6" x14ac:dyDescent="0.25">
      <c r="F24" s="2" t="s">
        <v>36</v>
      </c>
    </row>
    <row r="25" spans="2:6" x14ac:dyDescent="0.25">
      <c r="F25" s="2" t="s">
        <v>37</v>
      </c>
    </row>
    <row r="26" spans="2:6" x14ac:dyDescent="0.25">
      <c r="B26" s="13" t="s">
        <v>35</v>
      </c>
    </row>
    <row r="27" spans="2:6" x14ac:dyDescent="0.25">
      <c r="B27" s="2" t="s">
        <v>32</v>
      </c>
    </row>
    <row r="28" spans="2:6" x14ac:dyDescent="0.25">
      <c r="B28" s="2" t="s">
        <v>25</v>
      </c>
    </row>
    <row r="29" spans="2:6" x14ac:dyDescent="0.25">
      <c r="B29" s="2" t="s">
        <v>33</v>
      </c>
    </row>
    <row r="30" spans="2:6" x14ac:dyDescent="0.25">
      <c r="B30" s="2" t="s">
        <v>24</v>
      </c>
    </row>
    <row r="31" spans="2:6" x14ac:dyDescent="0.25">
      <c r="B31" s="2" t="s">
        <v>34</v>
      </c>
    </row>
    <row r="32" spans="2:6" x14ac:dyDescent="0.25">
      <c r="B32" s="2" t="s">
        <v>24</v>
      </c>
    </row>
    <row r="33" spans="2:10" x14ac:dyDescent="0.25">
      <c r="B33" s="2" t="s">
        <v>25</v>
      </c>
      <c r="H33" s="10"/>
    </row>
    <row r="34" spans="2:10" x14ac:dyDescent="0.25">
      <c r="B34" s="2" t="s">
        <v>38</v>
      </c>
    </row>
    <row r="41" spans="2:10" x14ac:dyDescent="0.25">
      <c r="I41"/>
      <c r="J41"/>
    </row>
    <row r="42" spans="2:10" x14ac:dyDescent="0.25">
      <c r="I42"/>
      <c r="J42"/>
    </row>
    <row r="46" spans="2:10" x14ac:dyDescent="0.25">
      <c r="G46" s="9"/>
      <c r="H46" s="9"/>
    </row>
    <row r="47" spans="2:10" x14ac:dyDescent="0.25">
      <c r="G47" s="9"/>
      <c r="H47" s="9"/>
    </row>
    <row r="57" spans="9:10" s="2" customFormat="1" x14ac:dyDescent="0.25">
      <c r="I57" s="9"/>
      <c r="J57" s="9"/>
    </row>
  </sheetData>
  <mergeCells count="6">
    <mergeCell ref="I2:J2"/>
    <mergeCell ref="B3:B19"/>
    <mergeCell ref="I4:J4"/>
    <mergeCell ref="I8:J8"/>
    <mergeCell ref="I12:J12"/>
    <mergeCell ref="I14:J14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tarDundeeParserWrite">
                <anchor moveWithCells="1" sizeWithCells="1">
                  <from>
                    <xdr:col>0</xdr:col>
                    <xdr:colOff>466725</xdr:colOff>
                    <xdr:row>19</xdr:row>
                    <xdr:rowOff>180975</xdr:rowOff>
                  </from>
                  <to>
                    <xdr:col>2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learWrite">
                <anchor moveWithCells="1" sizeWithCells="1">
                  <from>
                    <xdr:col>0</xdr:col>
                    <xdr:colOff>466725</xdr:colOff>
                    <xdr:row>21</xdr:row>
                    <xdr:rowOff>180975</xdr:rowOff>
                  </from>
                  <to>
                    <xdr:col>2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A1:J57"/>
  <sheetViews>
    <sheetView tabSelected="1" zoomScale="70" zoomScaleNormal="70" workbookViewId="0">
      <selection activeCell="B3" sqref="B3:B19"/>
    </sheetView>
  </sheetViews>
  <sheetFormatPr defaultRowHeight="15" x14ac:dyDescent="0.25"/>
  <cols>
    <col min="1" max="1" width="7.140625" customWidth="1"/>
    <col min="2" max="2" width="114.28515625" style="2" customWidth="1"/>
    <col min="3" max="4" width="9.140625" customWidth="1"/>
    <col min="5" max="6" width="25" style="2" customWidth="1"/>
    <col min="7" max="8" width="9.140625" customWidth="1"/>
    <col min="9" max="10" width="25" style="9" customWidth="1"/>
    <col min="11" max="11" width="7.140625" customWidth="1"/>
  </cols>
  <sheetData>
    <row r="1" spans="1:10" x14ac:dyDescent="0.25">
      <c r="A1" s="10"/>
    </row>
    <row r="2" spans="1:10" x14ac:dyDescent="0.25">
      <c r="B2" s="1" t="s">
        <v>26</v>
      </c>
      <c r="E2" s="1" t="s">
        <v>15</v>
      </c>
      <c r="F2" s="1" t="s">
        <v>17</v>
      </c>
      <c r="I2" s="14" t="s">
        <v>18</v>
      </c>
      <c r="J2" s="15"/>
    </row>
    <row r="3" spans="1:10" x14ac:dyDescent="0.25">
      <c r="B3" s="16" t="s">
        <v>39</v>
      </c>
      <c r="E3" s="3" t="s">
        <v>28</v>
      </c>
      <c r="F3" s="4" t="s">
        <v>16</v>
      </c>
      <c r="I3" s="3" t="s">
        <v>0</v>
      </c>
      <c r="J3" s="4" t="s">
        <v>16</v>
      </c>
    </row>
    <row r="4" spans="1:10" x14ac:dyDescent="0.25">
      <c r="B4" s="16"/>
      <c r="E4" s="3" t="s">
        <v>28</v>
      </c>
      <c r="F4" s="4" t="s">
        <v>16</v>
      </c>
      <c r="I4" s="14" t="s">
        <v>19</v>
      </c>
      <c r="J4" s="15"/>
    </row>
    <row r="5" spans="1:10" x14ac:dyDescent="0.25">
      <c r="B5" s="16"/>
      <c r="E5" s="3" t="s">
        <v>28</v>
      </c>
      <c r="F5" s="4" t="s">
        <v>16</v>
      </c>
      <c r="I5" s="6" t="s">
        <v>4</v>
      </c>
      <c r="J5" s="4" t="str">
        <f>F15</f>
        <v>0x50</v>
      </c>
    </row>
    <row r="6" spans="1:10" x14ac:dyDescent="0.25">
      <c r="B6" s="16"/>
      <c r="E6" s="3" t="s">
        <v>28</v>
      </c>
      <c r="F6" s="4" t="s">
        <v>16</v>
      </c>
      <c r="I6" s="5" t="s">
        <v>29</v>
      </c>
      <c r="J6" s="4" t="str">
        <f>F18</f>
        <v>0x00</v>
      </c>
    </row>
    <row r="7" spans="1:10" x14ac:dyDescent="0.25">
      <c r="B7" s="16"/>
      <c r="E7" s="3" t="s">
        <v>28</v>
      </c>
      <c r="F7" s="4" t="s">
        <v>16</v>
      </c>
      <c r="I7" s="5" t="s">
        <v>1</v>
      </c>
      <c r="J7" s="4" t="str">
        <f>F19</f>
        <v>0x51</v>
      </c>
    </row>
    <row r="8" spans="1:10" x14ac:dyDescent="0.25">
      <c r="B8" s="16"/>
      <c r="E8" s="3" t="s">
        <v>28</v>
      </c>
      <c r="F8" s="4" t="s">
        <v>16</v>
      </c>
      <c r="I8" s="14" t="s">
        <v>27</v>
      </c>
      <c r="J8" s="15"/>
    </row>
    <row r="9" spans="1:10" x14ac:dyDescent="0.25">
      <c r="B9" s="16"/>
      <c r="E9" s="3" t="s">
        <v>28</v>
      </c>
      <c r="F9" s="4" t="s">
        <v>16</v>
      </c>
      <c r="I9" s="5" t="s">
        <v>21</v>
      </c>
      <c r="J9" s="4">
        <f>MOD(QUOTIENT(HEX2DEC(RIGHT($F$17,2)),4),2)</f>
        <v>1</v>
      </c>
    </row>
    <row r="10" spans="1:10" x14ac:dyDescent="0.25">
      <c r="B10" s="16"/>
      <c r="E10" s="3" t="s">
        <v>28</v>
      </c>
      <c r="F10" s="4" t="s">
        <v>16</v>
      </c>
      <c r="I10" s="5" t="s">
        <v>22</v>
      </c>
      <c r="J10" s="4">
        <f>MOD(HEX2DEC(RIGHT($F$17,2)),2)</f>
        <v>0</v>
      </c>
    </row>
    <row r="11" spans="1:10" x14ac:dyDescent="0.25">
      <c r="B11" s="16"/>
      <c r="E11" s="3" t="s">
        <v>28</v>
      </c>
      <c r="F11" s="4" t="s">
        <v>16</v>
      </c>
      <c r="I11" s="14" t="s">
        <v>23</v>
      </c>
      <c r="J11" s="15"/>
    </row>
    <row r="12" spans="1:10" x14ac:dyDescent="0.25">
      <c r="B12" s="16"/>
      <c r="E12" s="3" t="s">
        <v>28</v>
      </c>
      <c r="F12" s="4" t="s">
        <v>16</v>
      </c>
      <c r="I12" s="5" t="s">
        <v>5</v>
      </c>
      <c r="J12" s="4">
        <f>HEX2DEC(RIGHT($F$20,2))*256+HEX2DEC(RIGHT($F$21,2))</f>
        <v>2</v>
      </c>
    </row>
    <row r="13" spans="1:10" x14ac:dyDescent="0.25">
      <c r="B13" s="16"/>
      <c r="E13" s="3" t="s">
        <v>28</v>
      </c>
      <c r="F13" s="4" t="s">
        <v>16</v>
      </c>
      <c r="I13" s="14" t="s">
        <v>12</v>
      </c>
      <c r="J13" s="15"/>
    </row>
    <row r="14" spans="1:10" x14ac:dyDescent="0.25">
      <c r="B14" s="16"/>
      <c r="E14" s="3" t="s">
        <v>28</v>
      </c>
      <c r="F14" s="4" t="s">
        <v>16</v>
      </c>
      <c r="I14" s="5" t="s">
        <v>9</v>
      </c>
      <c r="J14" s="4">
        <f>HEX2DEC(RIGHT($F$23,2))*256*256+HEX2DEC(RIGHT($F$24,2))*256+HEX2DEC(RIGHT($F$25,2))</f>
        <v>4</v>
      </c>
    </row>
    <row r="15" spans="1:10" x14ac:dyDescent="0.25">
      <c r="B15" s="16"/>
      <c r="E15" s="6" t="s">
        <v>4</v>
      </c>
      <c r="F15" s="4" t="s">
        <v>32</v>
      </c>
      <c r="I15" s="3" t="s">
        <v>12</v>
      </c>
      <c r="J15" s="4" t="s">
        <v>16</v>
      </c>
    </row>
    <row r="16" spans="1:10" x14ac:dyDescent="0.25">
      <c r="B16" s="16"/>
      <c r="E16" s="8" t="s">
        <v>2</v>
      </c>
      <c r="F16" s="4" t="s">
        <v>25</v>
      </c>
      <c r="I16" s="14" t="s">
        <v>31</v>
      </c>
      <c r="J16" s="15"/>
    </row>
    <row r="17" spans="2:10" x14ac:dyDescent="0.25">
      <c r="B17" s="16"/>
      <c r="E17" s="5" t="s">
        <v>3</v>
      </c>
      <c r="F17" s="4" t="s">
        <v>40</v>
      </c>
      <c r="I17" s="5" t="s">
        <v>11</v>
      </c>
      <c r="J17" s="12" t="str">
        <f>CONCATENATE("0x", TEXT(DEC2HEX(CalculateCrc($F$15:$F$25)),"00"))</f>
        <v>0xCC</v>
      </c>
    </row>
    <row r="18" spans="2:10" x14ac:dyDescent="0.25">
      <c r="B18" s="16"/>
      <c r="E18" s="5" t="s">
        <v>29</v>
      </c>
      <c r="F18" s="4" t="s">
        <v>24</v>
      </c>
      <c r="I18" s="3" t="s">
        <v>13</v>
      </c>
      <c r="J18" s="12" t="s">
        <v>46</v>
      </c>
    </row>
    <row r="19" spans="2:10" x14ac:dyDescent="0.25">
      <c r="B19" s="16"/>
      <c r="E19" s="5" t="s">
        <v>1</v>
      </c>
      <c r="F19" s="4" t="s">
        <v>34</v>
      </c>
    </row>
    <row r="20" spans="2:10" x14ac:dyDescent="0.25">
      <c r="E20" s="5" t="s">
        <v>6</v>
      </c>
      <c r="F20" s="4" t="s">
        <v>24</v>
      </c>
    </row>
    <row r="21" spans="2:10" x14ac:dyDescent="0.25">
      <c r="E21" s="5" t="s">
        <v>7</v>
      </c>
      <c r="F21" s="4" t="s">
        <v>41</v>
      </c>
    </row>
    <row r="22" spans="2:10" x14ac:dyDescent="0.25">
      <c r="E22" s="5" t="s">
        <v>30</v>
      </c>
      <c r="F22" s="4" t="s">
        <v>24</v>
      </c>
    </row>
    <row r="23" spans="2:10" x14ac:dyDescent="0.25">
      <c r="E23" s="5" t="s">
        <v>8</v>
      </c>
      <c r="F23" s="4" t="s">
        <v>24</v>
      </c>
    </row>
    <row r="24" spans="2:10" x14ac:dyDescent="0.25">
      <c r="E24" s="5" t="s">
        <v>9</v>
      </c>
      <c r="F24" s="4" t="s">
        <v>24</v>
      </c>
    </row>
    <row r="25" spans="2:10" x14ac:dyDescent="0.25">
      <c r="E25" s="5" t="s">
        <v>10</v>
      </c>
      <c r="F25" s="4" t="s">
        <v>42</v>
      </c>
    </row>
    <row r="26" spans="2:10" x14ac:dyDescent="0.25">
      <c r="E26" s="5" t="s">
        <v>11</v>
      </c>
      <c r="F26" s="4" t="s">
        <v>43</v>
      </c>
    </row>
    <row r="27" spans="2:10" x14ac:dyDescent="0.25">
      <c r="E27" s="3" t="s">
        <v>12</v>
      </c>
      <c r="F27" s="4" t="s">
        <v>24</v>
      </c>
    </row>
    <row r="28" spans="2:10" x14ac:dyDescent="0.25">
      <c r="E28" s="3" t="s">
        <v>12</v>
      </c>
      <c r="F28" s="4" t="s">
        <v>44</v>
      </c>
    </row>
    <row r="29" spans="2:10" x14ac:dyDescent="0.25">
      <c r="E29" s="3" t="s">
        <v>12</v>
      </c>
      <c r="F29" s="4" t="s">
        <v>43</v>
      </c>
    </row>
    <row r="30" spans="2:10" x14ac:dyDescent="0.25">
      <c r="E30" s="3" t="s">
        <v>12</v>
      </c>
      <c r="F30" s="4" t="s">
        <v>45</v>
      </c>
    </row>
    <row r="31" spans="2:10" x14ac:dyDescent="0.25">
      <c r="E31" s="3" t="s">
        <v>13</v>
      </c>
      <c r="F31" s="4" t="s">
        <v>46</v>
      </c>
    </row>
    <row r="32" spans="2:10" x14ac:dyDescent="0.25">
      <c r="E32" s="11" t="s">
        <v>14</v>
      </c>
      <c r="F32" s="4" t="s">
        <v>16</v>
      </c>
    </row>
    <row r="33" spans="2:10" x14ac:dyDescent="0.25">
      <c r="B33" s="7"/>
      <c r="H33" s="10"/>
    </row>
    <row r="44" spans="2:10" x14ac:dyDescent="0.25">
      <c r="I44"/>
      <c r="J44"/>
    </row>
    <row r="45" spans="2:10" x14ac:dyDescent="0.25">
      <c r="I45"/>
      <c r="J45"/>
    </row>
    <row r="46" spans="2:10" x14ac:dyDescent="0.25">
      <c r="G46" s="9"/>
      <c r="H46" s="9"/>
    </row>
    <row r="47" spans="2:10" x14ac:dyDescent="0.25">
      <c r="G47" s="9"/>
      <c r="H47" s="9"/>
    </row>
    <row r="57" spans="9:10" s="2" customFormat="1" x14ac:dyDescent="0.25">
      <c r="I57" s="9"/>
      <c r="J57" s="9"/>
    </row>
  </sheetData>
  <mergeCells count="7">
    <mergeCell ref="B3:B19"/>
    <mergeCell ref="I2:J2"/>
    <mergeCell ref="I4:J4"/>
    <mergeCell ref="I8:J8"/>
    <mergeCell ref="I11:J11"/>
    <mergeCell ref="I13:J13"/>
    <mergeCell ref="I16:J16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DundeeParserRead">
                <anchor moveWithCells="1" sizeWithCells="1">
                  <from>
                    <xdr:col>0</xdr:col>
                    <xdr:colOff>466725</xdr:colOff>
                    <xdr:row>19</xdr:row>
                    <xdr:rowOff>180975</xdr:rowOff>
                  </from>
                  <to>
                    <xdr:col>2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Read">
                <anchor moveWithCells="1" sizeWithCells="1">
                  <from>
                    <xdr:col>1</xdr:col>
                    <xdr:colOff>0</xdr:colOff>
                    <xdr:row>22</xdr:row>
                    <xdr:rowOff>0</xdr:rowOff>
                  </from>
                  <to>
                    <xdr:col>2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Write_Reply</vt:lpstr>
      <vt:lpstr>Read_Reply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rfranca</dc:creator>
  <cp:lastModifiedBy>Administrador</cp:lastModifiedBy>
  <dcterms:created xsi:type="dcterms:W3CDTF">2019-01-16T16:11:40Z</dcterms:created>
  <dcterms:modified xsi:type="dcterms:W3CDTF">2019-01-24T19:26:03Z</dcterms:modified>
</cp:coreProperties>
</file>