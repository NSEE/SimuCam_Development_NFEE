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cassio\repo_simucam\SimuCam_Development\FPGA_Developments\Rmap\doc\"/>
    </mc:Choice>
  </mc:AlternateContent>
  <bookViews>
    <workbookView xWindow="0" yWindow="0" windowWidth="28800" windowHeight="13020"/>
  </bookViews>
  <sheets>
    <sheet name="Write_Command" sheetId="1" r:id="rId1"/>
    <sheet name="Read_Command" sheetId="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G17" i="1"/>
  <c r="G17" i="6" l="1"/>
  <c r="G41" i="6"/>
  <c r="G40" i="6"/>
  <c r="G39" i="6"/>
  <c r="G38" i="6"/>
  <c r="G37" i="6"/>
  <c r="G36" i="6"/>
  <c r="G35" i="6"/>
  <c r="G34" i="6"/>
  <c r="G33" i="6"/>
  <c r="G32" i="6"/>
  <c r="G31" i="6"/>
  <c r="G18" i="6"/>
  <c r="G15" i="6"/>
  <c r="G41" i="1"/>
  <c r="G34" i="1"/>
  <c r="G35" i="1"/>
  <c r="G36" i="1"/>
  <c r="G37" i="1"/>
  <c r="G38" i="1"/>
  <c r="G40" i="1"/>
  <c r="G39" i="1"/>
  <c r="G32" i="1"/>
  <c r="G33" i="1"/>
  <c r="G31" i="1"/>
  <c r="G18" i="1"/>
  <c r="G42" i="1"/>
  <c r="G42" i="6"/>
</calcChain>
</file>

<file path=xl/sharedStrings.xml><?xml version="1.0" encoding="utf-8"?>
<sst xmlns="http://schemas.openxmlformats.org/spreadsheetml/2006/main" count="198" uniqueCount="42">
  <si>
    <t>Target SpW Address</t>
  </si>
  <si>
    <t>Target Logical Address</t>
  </si>
  <si>
    <t>Protocol Identifier</t>
  </si>
  <si>
    <t>Instruction</t>
  </si>
  <si>
    <t>Key</t>
  </si>
  <si>
    <t>Reply Address</t>
  </si>
  <si>
    <t>Initiator Logical Address</t>
  </si>
  <si>
    <t>Transaction Identifier</t>
  </si>
  <si>
    <t>Transaction Identifier (MS)</t>
  </si>
  <si>
    <t>Transaction Identifier (LS)</t>
  </si>
  <si>
    <t>Extended Address</t>
  </si>
  <si>
    <t>Address (MS)</t>
  </si>
  <si>
    <t>Address</t>
  </si>
  <si>
    <t>Address (LS)</t>
  </si>
  <si>
    <t>Data Length (MS)</t>
  </si>
  <si>
    <t>Data Length</t>
  </si>
  <si>
    <t>Data Length (LS)</t>
  </si>
  <si>
    <t>Header CRC</t>
  </si>
  <si>
    <t>Data</t>
  </si>
  <si>
    <t>Data CRC</t>
  </si>
  <si>
    <t>EOP</t>
  </si>
  <si>
    <t>Field</t>
  </si>
  <si>
    <t>-</t>
  </si>
  <si>
    <t>Packet Data</t>
  </si>
  <si>
    <t>SpaceWire</t>
  </si>
  <si>
    <t>RMAP</t>
  </si>
  <si>
    <t>Write Instruction</t>
  </si>
  <si>
    <t>Verify Data</t>
  </si>
  <si>
    <t>Reply</t>
  </si>
  <si>
    <t>Increment</t>
  </si>
  <si>
    <t>Reply Address Length</t>
  </si>
  <si>
    <t>Packet</t>
  </si>
  <si>
    <t>0x00</t>
  </si>
  <si>
    <t>0x01</t>
  </si>
  <si>
    <t>StarDundee Brick Format</t>
  </si>
  <si>
    <t>Read Instruction</t>
  </si>
  <si>
    <t>0x50</t>
  </si>
  <si>
    <t>0xD1</t>
  </si>
  <si>
    <t>0x51</t>
  </si>
  <si>
    <t>0x0</t>
  </si>
  <si>
    <t>0x51 0x01 0x7C 0xD1 0x50 0x00 0x00 0x00 0x00 0x00 0x00 0x38 0x00 0x00 0x04 0x15 0x00 0x00 0x00 0x00 0x0</t>
  </si>
  <si>
    <t>0x51 0x01 0x4C 0xD1 0x50 0x00 0x03 0x00 0x00 0x00 0x07 0x00 0x00 0x00 0x80 0xEC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</si>
</sst>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BA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Font="1"/>
    <xf numFmtId="0" fontId="0" fillId="7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 wrapText="1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19050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Write Command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RMAP Read 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60"/>
  <sheetViews>
    <sheetView tabSelected="1" zoomScaleNormal="100" workbookViewId="0">
      <selection activeCell="J34" sqref="J34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1" spans="1:10" x14ac:dyDescent="0.25">
      <c r="A1" s="15"/>
    </row>
    <row r="2" spans="1:10" x14ac:dyDescent="0.25">
      <c r="B2" s="18" t="s">
        <v>24</v>
      </c>
      <c r="C2" s="19"/>
      <c r="F2" s="1" t="s">
        <v>21</v>
      </c>
      <c r="G2" s="1" t="s">
        <v>23</v>
      </c>
      <c r="J2" s="1" t="s">
        <v>34</v>
      </c>
    </row>
    <row r="3" spans="1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40</v>
      </c>
    </row>
    <row r="4" spans="1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1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1:10" x14ac:dyDescent="0.25">
      <c r="B6" s="6" t="s">
        <v>6</v>
      </c>
      <c r="C6" s="4" t="s">
        <v>36</v>
      </c>
      <c r="F6" s="3" t="s">
        <v>0</v>
      </c>
      <c r="G6" s="5" t="s">
        <v>22</v>
      </c>
      <c r="J6" s="17"/>
    </row>
    <row r="7" spans="1:10" x14ac:dyDescent="0.25">
      <c r="B7" s="6" t="s">
        <v>4</v>
      </c>
      <c r="C7" s="4" t="s">
        <v>37</v>
      </c>
      <c r="D7" s="8"/>
      <c r="F7" s="3" t="s">
        <v>0</v>
      </c>
      <c r="G7" s="5" t="s">
        <v>22</v>
      </c>
      <c r="J7" s="17"/>
    </row>
    <row r="8" spans="1:10" x14ac:dyDescent="0.25">
      <c r="B8" s="7" t="s">
        <v>1</v>
      </c>
      <c r="C8" s="4" t="s">
        <v>38</v>
      </c>
      <c r="F8" s="3" t="s">
        <v>0</v>
      </c>
      <c r="G8" s="5" t="s">
        <v>22</v>
      </c>
      <c r="J8" s="17"/>
    </row>
    <row r="9" spans="1:10" x14ac:dyDescent="0.25">
      <c r="B9" s="18" t="s">
        <v>26</v>
      </c>
      <c r="C9" s="19"/>
      <c r="F9" s="3" t="s">
        <v>0</v>
      </c>
      <c r="G9" s="5" t="s">
        <v>22</v>
      </c>
      <c r="J9" s="17"/>
    </row>
    <row r="10" spans="1:10" x14ac:dyDescent="0.25">
      <c r="B10" s="6" t="s">
        <v>27</v>
      </c>
      <c r="C10" s="4">
        <v>1</v>
      </c>
      <c r="F10" s="3" t="s">
        <v>0</v>
      </c>
      <c r="G10" s="5" t="s">
        <v>22</v>
      </c>
      <c r="J10" s="17"/>
    </row>
    <row r="11" spans="1:10" x14ac:dyDescent="0.25">
      <c r="B11" s="6" t="s">
        <v>28</v>
      </c>
      <c r="C11" s="10">
        <v>1</v>
      </c>
      <c r="F11" s="3" t="s">
        <v>0</v>
      </c>
      <c r="G11" s="5" t="s">
        <v>22</v>
      </c>
      <c r="J11" s="17"/>
    </row>
    <row r="12" spans="1:10" x14ac:dyDescent="0.25">
      <c r="B12" s="6" t="s">
        <v>29</v>
      </c>
      <c r="C12" s="4">
        <v>1</v>
      </c>
      <c r="F12" s="3" t="s">
        <v>0</v>
      </c>
      <c r="G12" s="5" t="s">
        <v>22</v>
      </c>
      <c r="J12" s="17"/>
    </row>
    <row r="13" spans="1:10" x14ac:dyDescent="0.25">
      <c r="B13" s="6" t="s">
        <v>30</v>
      </c>
      <c r="C13" s="4">
        <v>0</v>
      </c>
      <c r="F13" s="3" t="s">
        <v>0</v>
      </c>
      <c r="G13" s="5" t="s">
        <v>22</v>
      </c>
      <c r="J13" s="17"/>
    </row>
    <row r="14" spans="1:10" x14ac:dyDescent="0.25">
      <c r="B14" s="18" t="s">
        <v>31</v>
      </c>
      <c r="C14" s="19"/>
      <c r="F14" s="3" t="s">
        <v>0</v>
      </c>
      <c r="G14" s="5" t="s">
        <v>22</v>
      </c>
      <c r="J14" s="17"/>
    </row>
    <row r="15" spans="1:10" x14ac:dyDescent="0.25">
      <c r="B15" s="6" t="s">
        <v>7</v>
      </c>
      <c r="C15" s="4">
        <v>0</v>
      </c>
      <c r="F15" s="7" t="s">
        <v>1</v>
      </c>
      <c r="G15" s="5" t="str">
        <f>$C$8</f>
        <v>0x51</v>
      </c>
      <c r="J15" s="17"/>
    </row>
    <row r="16" spans="1:10" x14ac:dyDescent="0.25">
      <c r="B16" s="18" t="s">
        <v>18</v>
      </c>
      <c r="C16" s="19"/>
      <c r="F16" s="9" t="s">
        <v>2</v>
      </c>
      <c r="G16" s="5" t="s">
        <v>33</v>
      </c>
      <c r="J16" s="17"/>
    </row>
    <row r="17" spans="2:10" x14ac:dyDescent="0.25">
      <c r="B17" s="6" t="s">
        <v>12</v>
      </c>
      <c r="C17" s="4">
        <v>56</v>
      </c>
      <c r="F17" s="6" t="s">
        <v>3</v>
      </c>
      <c r="G17" s="5" t="str">
        <f>CONCATENATE("0x", TEXT(DEC2HEX(64+32+$C$10*16+$C$11*8+$C$12*4+$C$13),"00"))</f>
        <v>0x7C</v>
      </c>
      <c r="J17" s="17"/>
    </row>
    <row r="18" spans="2:10" x14ac:dyDescent="0.25">
      <c r="B18" s="6" t="s">
        <v>15</v>
      </c>
      <c r="C18" s="4">
        <v>4</v>
      </c>
      <c r="F18" s="6" t="s">
        <v>4</v>
      </c>
      <c r="G18" s="5" t="str">
        <f>C7</f>
        <v>0xD1</v>
      </c>
      <c r="J18" s="17"/>
    </row>
    <row r="19" spans="2:10" x14ac:dyDescent="0.25">
      <c r="B19" s="3" t="s">
        <v>18</v>
      </c>
      <c r="C19" s="4" t="s">
        <v>22</v>
      </c>
      <c r="F19" s="3" t="s">
        <v>5</v>
      </c>
      <c r="G19" s="5" t="s">
        <v>22</v>
      </c>
      <c r="J19" s="17"/>
    </row>
    <row r="20" spans="2:10" x14ac:dyDescent="0.25">
      <c r="C20" s="12"/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TEXT(DEC2HEX(QUOTIENT($C$15,256)),"00"))</f>
        <v>0x00</v>
      </c>
    </row>
    <row r="33" spans="6:9" x14ac:dyDescent="0.25">
      <c r="F33" s="6" t="s">
        <v>9</v>
      </c>
      <c r="G33" s="5" t="str">
        <f>CONCATENATE("0x", TEXT(DEC2HEX(MOD($C$15,256)),"00"))</f>
        <v>0x00</v>
      </c>
    </row>
    <row r="34" spans="6:9" x14ac:dyDescent="0.25">
      <c r="F34" s="6" t="s">
        <v>10</v>
      </c>
      <c r="G34" s="5" t="str">
        <f>CONCATENATE("0x", TEXT(DEC2HEX(QUOTIENT($C$17,256*256*256*256)),"00"))</f>
        <v>0x00</v>
      </c>
    </row>
    <row r="35" spans="6:9" x14ac:dyDescent="0.25">
      <c r="F35" s="6" t="s">
        <v>11</v>
      </c>
      <c r="G35" s="5" t="str">
        <f>CONCATENATE("0x", TEXT(DEC2HEX(MOD(QUOTIENT($C$17,256*256*256),256)),"00"))</f>
        <v>0x00</v>
      </c>
    </row>
    <row r="36" spans="6:9" x14ac:dyDescent="0.25">
      <c r="F36" s="6" t="s">
        <v>12</v>
      </c>
      <c r="G36" s="5" t="str">
        <f>CONCATENATE("0x", TEXT(DEC2HEX(MOD(QUOTIENT($C$17,256*256),256)),"00"))</f>
        <v>0x00</v>
      </c>
    </row>
    <row r="37" spans="6:9" x14ac:dyDescent="0.25">
      <c r="F37" s="6" t="s">
        <v>12</v>
      </c>
      <c r="G37" s="5" t="str">
        <f>CONCATENATE("0x", TEXT(DEC2HEX(MOD(QUOTIENT($C$17,256),256)),"00"))</f>
        <v>0x00</v>
      </c>
      <c r="I37" s="14"/>
    </row>
    <row r="38" spans="6:9" x14ac:dyDescent="0.25">
      <c r="F38" s="6" t="s">
        <v>13</v>
      </c>
      <c r="G38" s="5" t="str">
        <f>CONCATENATE("0x", TEXT(DEC2HEX(MOD($C$17,256)),"00"))</f>
        <v>0x38</v>
      </c>
      <c r="I38" s="8"/>
    </row>
    <row r="39" spans="6:9" x14ac:dyDescent="0.25">
      <c r="F39" s="6" t="s">
        <v>14</v>
      </c>
      <c r="G39" s="5" t="str">
        <f>CONCATENATE("0x", TEXT(DEC2HEX(QUOTIENT($C$18,256*256)),"00"))</f>
        <v>0x00</v>
      </c>
    </row>
    <row r="40" spans="6:9" x14ac:dyDescent="0.25">
      <c r="F40" s="6" t="s">
        <v>15</v>
      </c>
      <c r="G40" s="5" t="str">
        <f>CONCATENATE("0x", TEXT(DEC2HEX(MOD(QUOTIENT($C$18,256),256)),"00"))</f>
        <v>0x00</v>
      </c>
    </row>
    <row r="41" spans="6:9" x14ac:dyDescent="0.25">
      <c r="F41" s="6" t="s">
        <v>16</v>
      </c>
      <c r="G41" s="5" t="str">
        <f>CONCATENATE("0x", TEXT(DEC2HEX(MOD($C$18,256)),"00"))</f>
        <v>0x04</v>
      </c>
    </row>
    <row r="42" spans="6:9" x14ac:dyDescent="0.25">
      <c r="F42" s="6" t="s">
        <v>17</v>
      </c>
      <c r="G42" s="5" t="str">
        <f>CONCATENATE("0x", TEXT(DEC2HEX(CalculateCrc(G15:G41)),"00"))</f>
        <v>0x15</v>
      </c>
    </row>
    <row r="43" spans="6:9" x14ac:dyDescent="0.25">
      <c r="F43" s="3" t="s">
        <v>18</v>
      </c>
      <c r="G43" s="5" t="s">
        <v>32</v>
      </c>
    </row>
    <row r="44" spans="6:9" x14ac:dyDescent="0.25">
      <c r="F44" s="3" t="s">
        <v>18</v>
      </c>
      <c r="G44" s="5" t="s">
        <v>32</v>
      </c>
    </row>
    <row r="45" spans="6:9" x14ac:dyDescent="0.25">
      <c r="F45" s="3" t="s">
        <v>18</v>
      </c>
      <c r="G45" s="5" t="s">
        <v>32</v>
      </c>
    </row>
    <row r="46" spans="6:9" x14ac:dyDescent="0.25">
      <c r="F46" s="3" t="s">
        <v>18</v>
      </c>
      <c r="G46" s="5" t="s">
        <v>32</v>
      </c>
    </row>
    <row r="47" spans="6:9" x14ac:dyDescent="0.25">
      <c r="F47" s="3" t="s">
        <v>19</v>
      </c>
      <c r="G47" s="5" t="s">
        <v>39</v>
      </c>
    </row>
    <row r="48" spans="6:9" x14ac:dyDescent="0.25">
      <c r="F48" s="16" t="s">
        <v>20</v>
      </c>
      <c r="G48" s="5" t="s">
        <v>22</v>
      </c>
    </row>
    <row r="60" spans="9:9" x14ac:dyDescent="0.25">
      <c r="I60" s="8"/>
    </row>
  </sheetData>
  <mergeCells count="6">
    <mergeCell ref="J3:J19"/>
    <mergeCell ref="B2:C2"/>
    <mergeCell ref="B5:C5"/>
    <mergeCell ref="B9:C9"/>
    <mergeCell ref="B14:C14"/>
    <mergeCell ref="B16:C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Write">
                <anchor moveWithCells="1" siz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tarDundeeFormatWrite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J43"/>
  <sheetViews>
    <sheetView zoomScaleNormal="100" workbookViewId="0">
      <selection activeCell="C13" sqref="C13"/>
    </sheetView>
  </sheetViews>
  <sheetFormatPr defaultRowHeight="15" x14ac:dyDescent="0.25"/>
  <cols>
    <col min="1" max="1" width="7.140625" customWidth="1"/>
    <col min="2" max="3" width="25" style="11" customWidth="1"/>
    <col min="4" max="5" width="9.140625" style="2"/>
    <col min="6" max="7" width="25" style="2" customWidth="1"/>
    <col min="8" max="9" width="9.140625" style="2"/>
    <col min="10" max="10" width="114.28515625" style="2" customWidth="1"/>
    <col min="11" max="11" width="7.140625" customWidth="1"/>
  </cols>
  <sheetData>
    <row r="2" spans="2:10" x14ac:dyDescent="0.25">
      <c r="B2" s="18" t="s">
        <v>24</v>
      </c>
      <c r="C2" s="19"/>
      <c r="F2" s="1" t="s">
        <v>21</v>
      </c>
      <c r="G2" s="1" t="s">
        <v>23</v>
      </c>
      <c r="J2" s="1" t="s">
        <v>34</v>
      </c>
    </row>
    <row r="3" spans="2:10" x14ac:dyDescent="0.25">
      <c r="B3" s="3" t="s">
        <v>0</v>
      </c>
      <c r="C3" s="4" t="s">
        <v>22</v>
      </c>
      <c r="F3" s="3" t="s">
        <v>0</v>
      </c>
      <c r="G3" s="5" t="s">
        <v>22</v>
      </c>
      <c r="J3" s="17" t="s">
        <v>41</v>
      </c>
    </row>
    <row r="4" spans="2:10" x14ac:dyDescent="0.25">
      <c r="B4" s="3" t="s">
        <v>5</v>
      </c>
      <c r="C4" s="4" t="s">
        <v>22</v>
      </c>
      <c r="F4" s="3" t="s">
        <v>0</v>
      </c>
      <c r="G4" s="5" t="s">
        <v>22</v>
      </c>
      <c r="J4" s="17"/>
    </row>
    <row r="5" spans="2:10" x14ac:dyDescent="0.25">
      <c r="B5" s="18" t="s">
        <v>25</v>
      </c>
      <c r="C5" s="19"/>
      <c r="F5" s="3" t="s">
        <v>0</v>
      </c>
      <c r="G5" s="5" t="s">
        <v>22</v>
      </c>
      <c r="J5" s="17"/>
    </row>
    <row r="6" spans="2:10" x14ac:dyDescent="0.25">
      <c r="B6" s="6" t="s">
        <v>6</v>
      </c>
      <c r="C6" s="4" t="s">
        <v>36</v>
      </c>
      <c r="F6" s="3" t="s">
        <v>0</v>
      </c>
      <c r="G6" s="5" t="s">
        <v>22</v>
      </c>
      <c r="J6" s="17"/>
    </row>
    <row r="7" spans="2:10" x14ac:dyDescent="0.25">
      <c r="B7" s="6" t="s">
        <v>4</v>
      </c>
      <c r="C7" s="4" t="s">
        <v>37</v>
      </c>
      <c r="D7" s="8"/>
      <c r="F7" s="3" t="s">
        <v>0</v>
      </c>
      <c r="G7" s="5" t="s">
        <v>22</v>
      </c>
      <c r="J7" s="17"/>
    </row>
    <row r="8" spans="2:10" x14ac:dyDescent="0.25">
      <c r="B8" s="7" t="s">
        <v>1</v>
      </c>
      <c r="C8" s="4" t="s">
        <v>38</v>
      </c>
      <c r="F8" s="3" t="s">
        <v>0</v>
      </c>
      <c r="G8" s="5" t="s">
        <v>22</v>
      </c>
      <c r="J8" s="17"/>
    </row>
    <row r="9" spans="2:10" x14ac:dyDescent="0.25">
      <c r="B9" s="18" t="s">
        <v>35</v>
      </c>
      <c r="C9" s="19"/>
      <c r="F9" s="3" t="s">
        <v>0</v>
      </c>
      <c r="G9" s="5" t="s">
        <v>22</v>
      </c>
      <c r="J9" s="17"/>
    </row>
    <row r="10" spans="2:10" x14ac:dyDescent="0.25">
      <c r="B10" s="6" t="s">
        <v>29</v>
      </c>
      <c r="C10" s="4">
        <v>1</v>
      </c>
      <c r="F10" s="3" t="s">
        <v>0</v>
      </c>
      <c r="G10" s="5" t="s">
        <v>22</v>
      </c>
      <c r="J10" s="17"/>
    </row>
    <row r="11" spans="2:10" x14ac:dyDescent="0.25">
      <c r="B11" s="6" t="s">
        <v>30</v>
      </c>
      <c r="C11" s="4">
        <v>0</v>
      </c>
      <c r="F11" s="3" t="s">
        <v>0</v>
      </c>
      <c r="G11" s="5" t="s">
        <v>22</v>
      </c>
      <c r="J11" s="17"/>
    </row>
    <row r="12" spans="2:10" x14ac:dyDescent="0.25">
      <c r="B12" s="18" t="s">
        <v>31</v>
      </c>
      <c r="C12" s="19"/>
      <c r="F12" s="3" t="s">
        <v>0</v>
      </c>
      <c r="G12" s="5" t="s">
        <v>22</v>
      </c>
      <c r="J12" s="17"/>
    </row>
    <row r="13" spans="2:10" x14ac:dyDescent="0.25">
      <c r="B13" s="6" t="s">
        <v>7</v>
      </c>
      <c r="C13" s="4">
        <v>3</v>
      </c>
      <c r="F13" s="3" t="s">
        <v>0</v>
      </c>
      <c r="G13" s="5" t="s">
        <v>22</v>
      </c>
      <c r="J13" s="17"/>
    </row>
    <row r="14" spans="2:10" x14ac:dyDescent="0.25">
      <c r="B14" s="18" t="s">
        <v>18</v>
      </c>
      <c r="C14" s="19"/>
      <c r="F14" s="3" t="s">
        <v>0</v>
      </c>
      <c r="G14" s="5" t="s">
        <v>22</v>
      </c>
      <c r="J14" s="17"/>
    </row>
    <row r="15" spans="2:10" x14ac:dyDescent="0.25">
      <c r="B15" s="6" t="s">
        <v>12</v>
      </c>
      <c r="C15" s="4">
        <v>1792</v>
      </c>
      <c r="F15" s="7" t="s">
        <v>1</v>
      </c>
      <c r="G15" s="5" t="str">
        <f>$C$8</f>
        <v>0x51</v>
      </c>
      <c r="J15" s="17"/>
    </row>
    <row r="16" spans="2:10" x14ac:dyDescent="0.25">
      <c r="B16" s="6" t="s">
        <v>15</v>
      </c>
      <c r="C16" s="4">
        <v>128</v>
      </c>
      <c r="F16" s="9" t="s">
        <v>2</v>
      </c>
      <c r="G16" s="5" t="s">
        <v>33</v>
      </c>
      <c r="J16" s="17"/>
    </row>
    <row r="17" spans="2:10" x14ac:dyDescent="0.25">
      <c r="B17" s="3" t="s">
        <v>18</v>
      </c>
      <c r="C17" s="4" t="s">
        <v>22</v>
      </c>
      <c r="F17" s="6" t="s">
        <v>3</v>
      </c>
      <c r="G17" s="5" t="str">
        <f>CONCATENATE("0x", TEXT(DEC2HEX(64+8+$C$10*4+$C$11),"00"))</f>
        <v>0x4C</v>
      </c>
      <c r="J17" s="17"/>
    </row>
    <row r="18" spans="2:10" x14ac:dyDescent="0.25">
      <c r="C18" s="12"/>
      <c r="F18" s="6" t="s">
        <v>4</v>
      </c>
      <c r="G18" s="5" t="str">
        <f>C7</f>
        <v>0xD1</v>
      </c>
      <c r="J18" s="17"/>
    </row>
    <row r="19" spans="2:10" x14ac:dyDescent="0.25">
      <c r="F19" s="3" t="s">
        <v>5</v>
      </c>
      <c r="G19" s="5" t="s">
        <v>22</v>
      </c>
      <c r="J19" s="17"/>
    </row>
    <row r="20" spans="2:10" x14ac:dyDescent="0.25">
      <c r="F20" s="3" t="s">
        <v>5</v>
      </c>
      <c r="G20" s="5" t="s">
        <v>22</v>
      </c>
    </row>
    <row r="21" spans="2:10" x14ac:dyDescent="0.25">
      <c r="F21" s="3" t="s">
        <v>5</v>
      </c>
      <c r="G21" s="5" t="s">
        <v>22</v>
      </c>
    </row>
    <row r="22" spans="2:10" x14ac:dyDescent="0.25">
      <c r="F22" s="3" t="s">
        <v>5</v>
      </c>
      <c r="G22" s="5" t="s">
        <v>22</v>
      </c>
    </row>
    <row r="23" spans="2:10" x14ac:dyDescent="0.25">
      <c r="F23" s="3" t="s">
        <v>5</v>
      </c>
      <c r="G23" s="5" t="s">
        <v>22</v>
      </c>
    </row>
    <row r="24" spans="2:10" x14ac:dyDescent="0.25">
      <c r="F24" s="3" t="s">
        <v>5</v>
      </c>
      <c r="G24" s="5" t="s">
        <v>22</v>
      </c>
    </row>
    <row r="25" spans="2:10" x14ac:dyDescent="0.25">
      <c r="F25" s="3" t="s">
        <v>5</v>
      </c>
      <c r="G25" s="5" t="s">
        <v>22</v>
      </c>
      <c r="H25" s="13"/>
    </row>
    <row r="26" spans="2:10" x14ac:dyDescent="0.25">
      <c r="F26" s="3" t="s">
        <v>5</v>
      </c>
      <c r="G26" s="5" t="s">
        <v>22</v>
      </c>
    </row>
    <row r="27" spans="2:10" x14ac:dyDescent="0.25">
      <c r="F27" s="3" t="s">
        <v>5</v>
      </c>
      <c r="G27" s="5" t="s">
        <v>22</v>
      </c>
    </row>
    <row r="28" spans="2:10" x14ac:dyDescent="0.25">
      <c r="F28" s="3" t="s">
        <v>5</v>
      </c>
      <c r="G28" s="5" t="s">
        <v>22</v>
      </c>
    </row>
    <row r="29" spans="2:10" x14ac:dyDescent="0.25">
      <c r="F29" s="3" t="s">
        <v>5</v>
      </c>
      <c r="G29" s="5" t="s">
        <v>22</v>
      </c>
    </row>
    <row r="30" spans="2:10" x14ac:dyDescent="0.25">
      <c r="F30" s="3" t="s">
        <v>5</v>
      </c>
      <c r="G30" s="5" t="s">
        <v>22</v>
      </c>
    </row>
    <row r="31" spans="2:10" x14ac:dyDescent="0.25">
      <c r="F31" s="6" t="s">
        <v>6</v>
      </c>
      <c r="G31" s="5" t="str">
        <f>C6</f>
        <v>0x50</v>
      </c>
    </row>
    <row r="32" spans="2:10" x14ac:dyDescent="0.25">
      <c r="F32" s="6" t="s">
        <v>8</v>
      </c>
      <c r="G32" s="5" t="str">
        <f>CONCATENATE("0x", TEXT(DEC2HEX(QUOTIENT($C$13,256)),"00"))</f>
        <v>0x00</v>
      </c>
    </row>
    <row r="33" spans="2:9" x14ac:dyDescent="0.25">
      <c r="F33" s="6" t="s">
        <v>9</v>
      </c>
      <c r="G33" s="5" t="str">
        <f>CONCATENATE("0x", TEXT(DEC2HEX(MOD($C$13,256)),"00"))</f>
        <v>0x03</v>
      </c>
    </row>
    <row r="34" spans="2:9" x14ac:dyDescent="0.25">
      <c r="F34" s="6" t="s">
        <v>10</v>
      </c>
      <c r="G34" s="5" t="str">
        <f>CONCATENATE("0x", TEXT(DEC2HEX(QUOTIENT($C$15,256*256*256*256)),"00"))</f>
        <v>0x00</v>
      </c>
    </row>
    <row r="35" spans="2:9" x14ac:dyDescent="0.25">
      <c r="F35" s="6" t="s">
        <v>11</v>
      </c>
      <c r="G35" s="5" t="str">
        <f>CONCATENATE("0x", TEXT(DEC2HEX(MOD(QUOTIENT($C$15,256*256*256),256)),"00"))</f>
        <v>0x00</v>
      </c>
    </row>
    <row r="36" spans="2:9" x14ac:dyDescent="0.25">
      <c r="F36" s="6" t="s">
        <v>12</v>
      </c>
      <c r="G36" s="5" t="str">
        <f>CONCATENATE("0x", TEXT(DEC2HEX(MOD(QUOTIENT($C$15,256*256),256)),"00"))</f>
        <v>0x00</v>
      </c>
    </row>
    <row r="37" spans="2:9" x14ac:dyDescent="0.25">
      <c r="F37" s="6" t="s">
        <v>12</v>
      </c>
      <c r="G37" s="5" t="str">
        <f>CONCATENATE("0x", TEXT(DEC2HEX(MOD(QUOTIENT($C$15,256),256)),"00"))</f>
        <v>0x07</v>
      </c>
      <c r="I37" s="14"/>
    </row>
    <row r="38" spans="2:9" x14ac:dyDescent="0.25">
      <c r="F38" s="6" t="s">
        <v>13</v>
      </c>
      <c r="G38" s="5" t="str">
        <f>CONCATENATE("0x", TEXT(DEC2HEX(MOD($C$15,256)),"00"))</f>
        <v>0x00</v>
      </c>
      <c r="I38" s="8"/>
    </row>
    <row r="39" spans="2:9" x14ac:dyDescent="0.25">
      <c r="F39" s="6" t="s">
        <v>14</v>
      </c>
      <c r="G39" s="5" t="str">
        <f>CONCATENATE("0x", TEXT(DEC2HEX(QUOTIENT($C$16,256*256)),"00"))</f>
        <v>0x00</v>
      </c>
    </row>
    <row r="40" spans="2:9" x14ac:dyDescent="0.25">
      <c r="F40" s="6" t="s">
        <v>15</v>
      </c>
      <c r="G40" s="5" t="str">
        <f>CONCATENATE("0x", TEXT(DEC2HEX(MOD(QUOTIENT($C$16,256),256)),"00"))</f>
        <v>0x00</v>
      </c>
    </row>
    <row r="41" spans="2:9" x14ac:dyDescent="0.25">
      <c r="F41" s="6" t="s">
        <v>16</v>
      </c>
      <c r="G41" s="5" t="str">
        <f>CONCATENATE("0x", TEXT(DEC2HEX(MOD($C$16,256)),"00"))</f>
        <v>0x80</v>
      </c>
    </row>
    <row r="42" spans="2:9" x14ac:dyDescent="0.25">
      <c r="F42" s="6" t="s">
        <v>17</v>
      </c>
      <c r="G42" s="5" t="str">
        <f>CONCATENATE("0x", TEXT(DEC2HEX(CalculateCrc(G15:G41)),"00"))</f>
        <v>0xEC</v>
      </c>
    </row>
    <row r="43" spans="2:9" s="2" customFormat="1" x14ac:dyDescent="0.25">
      <c r="B43" s="11"/>
      <c r="C43" s="11"/>
      <c r="F43" s="7" t="s">
        <v>20</v>
      </c>
      <c r="G43" s="5" t="s">
        <v>22</v>
      </c>
    </row>
  </sheetData>
  <mergeCells count="6">
    <mergeCell ref="J3:J19"/>
    <mergeCell ref="B2:C2"/>
    <mergeCell ref="B5:C5"/>
    <mergeCell ref="B9:C9"/>
    <mergeCell ref="B12:C12"/>
    <mergeCell ref="B14: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DundeeFormatRead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Read">
                <anchor moveWithCells="1" sizeWithCells="1">
                  <from>
                    <xdr:col>9</xdr:col>
                    <xdr:colOff>9525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Write_Command</vt:lpstr>
      <vt:lpstr>Read_Command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rfranca</dc:creator>
  <cp:lastModifiedBy>Administrador</cp:lastModifiedBy>
  <dcterms:created xsi:type="dcterms:W3CDTF">2019-01-16T16:11:40Z</dcterms:created>
  <dcterms:modified xsi:type="dcterms:W3CDTF">2019-01-17T18:56:44Z</dcterms:modified>
</cp:coreProperties>
</file>