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LR\FPGA_Developments\RMAP_Memory_Area\References\"/>
    </mc:Choice>
  </mc:AlternateContent>
  <xr:revisionPtr revIDLastSave="0" documentId="13_ncr:1_{25FF563C-C0D4-4458-B606-5B3206B45DF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138" i="1" l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Q1069" i="1"/>
  <c r="Q1068" i="1"/>
  <c r="Q1067" i="1"/>
  <c r="Q1066" i="1"/>
  <c r="Q1065" i="1"/>
  <c r="Q1064" i="1"/>
  <c r="Q1063" i="1"/>
  <c r="Q1062" i="1"/>
  <c r="Q1061" i="1"/>
  <c r="Q1060" i="1"/>
  <c r="Q1059" i="1"/>
  <c r="Q1058" i="1"/>
  <c r="Q1057" i="1"/>
  <c r="Q1056" i="1"/>
  <c r="Q1055" i="1"/>
  <c r="Q1054" i="1"/>
  <c r="Q1053" i="1"/>
  <c r="Q1052" i="1"/>
  <c r="Q1051" i="1"/>
  <c r="Q1050" i="1"/>
  <c r="Q1049" i="1"/>
  <c r="Q1048" i="1"/>
  <c r="Q1047" i="1"/>
  <c r="Q1046" i="1"/>
  <c r="Q1045" i="1"/>
  <c r="Q1044" i="1"/>
  <c r="Q1043" i="1"/>
  <c r="Q1042" i="1"/>
  <c r="Q1041" i="1"/>
  <c r="Q1040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3" i="1"/>
  <c r="Q1022" i="1"/>
  <c r="Q1021" i="1"/>
  <c r="Q1020" i="1"/>
  <c r="Q1019" i="1"/>
  <c r="Q1018" i="1"/>
  <c r="Q1017" i="1"/>
  <c r="Q1016" i="1"/>
  <c r="Q1015" i="1"/>
  <c r="Q1014" i="1"/>
  <c r="Q1013" i="1"/>
  <c r="Q1012" i="1"/>
  <c r="Q1011" i="1"/>
  <c r="Q1010" i="1"/>
  <c r="Q1009" i="1"/>
  <c r="Q1008" i="1"/>
  <c r="Q1007" i="1"/>
  <c r="Q1006" i="1"/>
  <c r="Q1005" i="1"/>
  <c r="Q1004" i="1"/>
  <c r="Q1003" i="1"/>
  <c r="Q1002" i="1"/>
  <c r="Q1001" i="1"/>
  <c r="Q1000" i="1"/>
  <c r="Q999" i="1"/>
  <c r="Q998" i="1"/>
  <c r="Q997" i="1"/>
  <c r="Q996" i="1"/>
  <c r="Q995" i="1"/>
  <c r="Q994" i="1"/>
  <c r="Q993" i="1"/>
  <c r="Q992" i="1"/>
  <c r="Q991" i="1"/>
  <c r="Q990" i="1"/>
  <c r="Q989" i="1"/>
  <c r="Q988" i="1"/>
  <c r="Q987" i="1"/>
  <c r="Q986" i="1"/>
  <c r="Q985" i="1"/>
  <c r="Q984" i="1"/>
  <c r="Q983" i="1"/>
  <c r="Q982" i="1"/>
  <c r="Q981" i="1"/>
  <c r="Q980" i="1"/>
  <c r="Q979" i="1"/>
  <c r="Q978" i="1"/>
  <c r="Q977" i="1"/>
  <c r="Q976" i="1"/>
  <c r="Q975" i="1"/>
  <c r="Q974" i="1"/>
  <c r="Q973" i="1"/>
  <c r="Q972" i="1"/>
  <c r="Q971" i="1"/>
  <c r="Q970" i="1"/>
  <c r="Q969" i="1"/>
  <c r="Q968" i="1"/>
  <c r="Q967" i="1"/>
  <c r="Q966" i="1"/>
  <c r="Q965" i="1"/>
  <c r="Q964" i="1"/>
  <c r="Q963" i="1"/>
  <c r="Q962" i="1"/>
  <c r="Q961" i="1"/>
  <c r="Q960" i="1"/>
  <c r="Q959" i="1"/>
  <c r="Q958" i="1"/>
  <c r="Q957" i="1"/>
  <c r="Q956" i="1"/>
  <c r="Q955" i="1"/>
  <c r="Q954" i="1"/>
  <c r="Q953" i="1"/>
  <c r="Q952" i="1"/>
  <c r="Q951" i="1"/>
  <c r="Q950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5" i="1"/>
  <c r="Q924" i="1"/>
  <c r="Q923" i="1"/>
  <c r="Q922" i="1"/>
  <c r="Q921" i="1"/>
  <c r="Q920" i="1"/>
  <c r="Q919" i="1"/>
  <c r="Q918" i="1"/>
  <c r="Q917" i="1"/>
  <c r="Q916" i="1"/>
  <c r="Q915" i="1"/>
  <c r="Q914" i="1"/>
  <c r="Q913" i="1"/>
  <c r="Q912" i="1"/>
  <c r="Q911" i="1"/>
  <c r="Q910" i="1"/>
  <c r="Q909" i="1"/>
  <c r="Q908" i="1"/>
  <c r="Q907" i="1"/>
  <c r="Q906" i="1"/>
  <c r="Q905" i="1"/>
  <c r="Q904" i="1"/>
  <c r="Q903" i="1"/>
  <c r="Q902" i="1"/>
  <c r="Q901" i="1"/>
  <c r="Q900" i="1"/>
  <c r="Q899" i="1"/>
  <c r="Q898" i="1"/>
  <c r="Q897" i="1"/>
  <c r="Q896" i="1"/>
  <c r="Q895" i="1"/>
  <c r="Q894" i="1"/>
  <c r="Q893" i="1"/>
  <c r="Q892" i="1"/>
  <c r="Q891" i="1"/>
  <c r="Q890" i="1"/>
  <c r="Q889" i="1"/>
  <c r="Q888" i="1"/>
  <c r="Q887" i="1"/>
  <c r="Q886" i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Q781" i="1"/>
  <c r="Q780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Q759" i="1"/>
  <c r="Q758" i="1"/>
  <c r="Q757" i="1"/>
  <c r="Q756" i="1"/>
  <c r="Q755" i="1"/>
  <c r="Q754" i="1"/>
  <c r="Q753" i="1"/>
  <c r="Q752" i="1"/>
  <c r="Q751" i="1"/>
  <c r="Q750" i="1"/>
  <c r="Q749" i="1"/>
  <c r="Q748" i="1"/>
  <c r="Q747" i="1"/>
  <c r="Q746" i="1"/>
  <c r="Q745" i="1"/>
  <c r="Q744" i="1"/>
  <c r="Q743" i="1"/>
  <c r="Q742" i="1"/>
  <c r="Q741" i="1"/>
  <c r="Q740" i="1"/>
  <c r="Q739" i="1"/>
  <c r="Q738" i="1"/>
  <c r="Q737" i="1"/>
  <c r="Q736" i="1"/>
  <c r="Q735" i="1"/>
  <c r="Q734" i="1"/>
  <c r="Q733" i="1"/>
  <c r="Q732" i="1"/>
  <c r="Q731" i="1"/>
  <c r="Q730" i="1"/>
  <c r="Q729" i="1"/>
  <c r="Q728" i="1"/>
  <c r="Q727" i="1"/>
  <c r="Q726" i="1"/>
  <c r="Q725" i="1"/>
  <c r="Q724" i="1"/>
  <c r="Q723" i="1"/>
  <c r="Q722" i="1"/>
  <c r="Q721" i="1"/>
  <c r="Q720" i="1"/>
  <c r="Q719" i="1"/>
  <c r="Q718" i="1"/>
  <c r="Q717" i="1"/>
  <c r="Q716" i="1"/>
  <c r="Q715" i="1"/>
  <c r="Q714" i="1"/>
  <c r="Q713" i="1"/>
  <c r="Q712" i="1"/>
  <c r="Q711" i="1"/>
  <c r="Q710" i="1"/>
  <c r="Q709" i="1"/>
  <c r="Q708" i="1"/>
  <c r="Q707" i="1"/>
  <c r="Q706" i="1"/>
  <c r="Q705" i="1"/>
  <c r="Q704" i="1"/>
  <c r="Q703" i="1"/>
  <c r="Q702" i="1"/>
  <c r="Q701" i="1"/>
  <c r="Q700" i="1"/>
  <c r="Q699" i="1"/>
  <c r="Q698" i="1"/>
  <c r="Q697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3" i="1"/>
  <c r="Q682" i="1"/>
  <c r="Q681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5" i="1"/>
  <c r="Q664" i="1"/>
  <c r="Q663" i="1"/>
  <c r="Q662" i="1"/>
  <c r="Q661" i="1"/>
  <c r="Q660" i="1"/>
  <c r="Q659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5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T4" i="1"/>
  <c r="W4" i="1" l="1"/>
  <c r="AE4" i="1" s="1"/>
  <c r="Z4" i="1"/>
  <c r="AH4" i="1" s="1"/>
  <c r="Y4" i="1"/>
  <c r="AC4" i="1" s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X4" i="1"/>
  <c r="AF4" i="1" s="1"/>
  <c r="U4" i="1"/>
  <c r="V4" i="1" s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133" i="1" l="1"/>
  <c r="R1087" i="1"/>
  <c r="R1067" i="1"/>
  <c r="R1065" i="1"/>
  <c r="R1132" i="1"/>
  <c r="R1068" i="1"/>
  <c r="R931" i="1"/>
  <c r="R929" i="1"/>
  <c r="R927" i="1"/>
  <c r="R925" i="1"/>
  <c r="R923" i="1"/>
  <c r="R913" i="1"/>
  <c r="R909" i="1"/>
  <c r="R875" i="1"/>
  <c r="R869" i="1"/>
  <c r="R1064" i="1"/>
  <c r="R932" i="1"/>
  <c r="R930" i="1"/>
  <c r="R928" i="1"/>
  <c r="R926" i="1"/>
  <c r="R924" i="1"/>
  <c r="R914" i="1"/>
  <c r="R912" i="1"/>
  <c r="R870" i="1"/>
  <c r="R1066" i="1"/>
  <c r="R805" i="1"/>
  <c r="R803" i="1"/>
  <c r="R801" i="1"/>
  <c r="R669" i="1"/>
  <c r="R667" i="1"/>
  <c r="R665" i="1"/>
  <c r="R663" i="1"/>
  <c r="R661" i="1"/>
  <c r="R651" i="1"/>
  <c r="R649" i="1"/>
  <c r="R607" i="1"/>
  <c r="R561" i="1"/>
  <c r="R541" i="1"/>
  <c r="R539" i="1"/>
  <c r="R824" i="1"/>
  <c r="R804" i="1"/>
  <c r="R802" i="1"/>
  <c r="R668" i="1"/>
  <c r="R666" i="1"/>
  <c r="R664" i="1"/>
  <c r="R662" i="1"/>
  <c r="R660" i="1"/>
  <c r="R650" i="1"/>
  <c r="R646" i="1"/>
  <c r="R612" i="1"/>
  <c r="R606" i="1"/>
  <c r="R542" i="1"/>
  <c r="R540" i="1"/>
  <c r="R538" i="1"/>
  <c r="R406" i="1"/>
  <c r="R404" i="1"/>
  <c r="R402" i="1"/>
  <c r="R400" i="1"/>
  <c r="R398" i="1"/>
  <c r="R388" i="1"/>
  <c r="R386" i="1"/>
  <c r="R344" i="1"/>
  <c r="R405" i="1"/>
  <c r="R403" i="1"/>
  <c r="R401" i="1"/>
  <c r="R399" i="1"/>
  <c r="R397" i="1"/>
  <c r="R387" i="1"/>
  <c r="R383" i="1"/>
  <c r="R349" i="1"/>
  <c r="R343" i="1"/>
  <c r="R279" i="1"/>
  <c r="R277" i="1"/>
  <c r="R275" i="1"/>
  <c r="R298" i="1"/>
  <c r="R276" i="1"/>
  <c r="R278" i="1"/>
  <c r="R142" i="1"/>
  <c r="R140" i="1"/>
  <c r="R138" i="1"/>
  <c r="R136" i="1"/>
  <c r="R134" i="1"/>
  <c r="R124" i="1"/>
  <c r="R120" i="1"/>
  <c r="R86" i="1"/>
  <c r="R56" i="1"/>
  <c r="R50" i="1"/>
  <c r="R48" i="1"/>
  <c r="R40" i="1"/>
  <c r="R38" i="1"/>
  <c r="R36" i="1"/>
  <c r="R34" i="1"/>
  <c r="R32" i="1"/>
  <c r="R22" i="1"/>
  <c r="R20" i="1"/>
  <c r="R18" i="1"/>
  <c r="R16" i="1"/>
  <c r="R14" i="1"/>
  <c r="R143" i="1"/>
  <c r="R141" i="1"/>
  <c r="R139" i="1"/>
  <c r="R137" i="1"/>
  <c r="R135" i="1"/>
  <c r="R125" i="1"/>
  <c r="R123" i="1"/>
  <c r="R79" i="1"/>
  <c r="R51" i="1"/>
  <c r="R49" i="1"/>
  <c r="R39" i="1"/>
  <c r="R37" i="1"/>
  <c r="R35" i="1"/>
  <c r="R33" i="1"/>
  <c r="R23" i="1"/>
  <c r="R21" i="1"/>
  <c r="R19" i="1"/>
  <c r="R17" i="1"/>
  <c r="R15" i="1"/>
  <c r="R13" i="1"/>
  <c r="R1131" i="1"/>
  <c r="R1129" i="1"/>
  <c r="R1127" i="1"/>
  <c r="R1125" i="1"/>
  <c r="R1123" i="1"/>
  <c r="R1121" i="1"/>
  <c r="R1119" i="1"/>
  <c r="R1117" i="1"/>
  <c r="R1115" i="1"/>
  <c r="R1113" i="1"/>
  <c r="R1111" i="1"/>
  <c r="R1109" i="1"/>
  <c r="R1107" i="1"/>
  <c r="R1105" i="1"/>
  <c r="R1103" i="1"/>
  <c r="R1063" i="1"/>
  <c r="R1124" i="1"/>
  <c r="R1116" i="1"/>
  <c r="R1108" i="1"/>
  <c r="R887" i="1"/>
  <c r="R867" i="1"/>
  <c r="R865" i="1"/>
  <c r="R863" i="1"/>
  <c r="R861" i="1"/>
  <c r="R859" i="1"/>
  <c r="R857" i="1"/>
  <c r="R855" i="1"/>
  <c r="R853" i="1"/>
  <c r="R851" i="1"/>
  <c r="R849" i="1"/>
  <c r="R847" i="1"/>
  <c r="R845" i="1"/>
  <c r="R843" i="1"/>
  <c r="R841" i="1"/>
  <c r="R1126" i="1"/>
  <c r="R1118" i="1"/>
  <c r="R1110" i="1"/>
  <c r="R1128" i="1"/>
  <c r="R1120" i="1"/>
  <c r="R1112" i="1"/>
  <c r="R1104" i="1"/>
  <c r="R868" i="1"/>
  <c r="R866" i="1"/>
  <c r="R864" i="1"/>
  <c r="R862" i="1"/>
  <c r="R860" i="1"/>
  <c r="R858" i="1"/>
  <c r="R856" i="1"/>
  <c r="R854" i="1"/>
  <c r="R852" i="1"/>
  <c r="R850" i="1"/>
  <c r="R848" i="1"/>
  <c r="R846" i="1"/>
  <c r="R844" i="1"/>
  <c r="R842" i="1"/>
  <c r="R840" i="1"/>
  <c r="R1130" i="1"/>
  <c r="R605" i="1"/>
  <c r="R603" i="1"/>
  <c r="R601" i="1"/>
  <c r="R599" i="1"/>
  <c r="R597" i="1"/>
  <c r="R595" i="1"/>
  <c r="R593" i="1"/>
  <c r="R591" i="1"/>
  <c r="R589" i="1"/>
  <c r="R587" i="1"/>
  <c r="R585" i="1"/>
  <c r="R583" i="1"/>
  <c r="R581" i="1"/>
  <c r="R579" i="1"/>
  <c r="R577" i="1"/>
  <c r="R537" i="1"/>
  <c r="R1122" i="1"/>
  <c r="R1114" i="1"/>
  <c r="R800" i="1"/>
  <c r="R624" i="1"/>
  <c r="R604" i="1"/>
  <c r="R602" i="1"/>
  <c r="R600" i="1"/>
  <c r="R598" i="1"/>
  <c r="R596" i="1"/>
  <c r="R594" i="1"/>
  <c r="R592" i="1"/>
  <c r="R590" i="1"/>
  <c r="R588" i="1"/>
  <c r="R586" i="1"/>
  <c r="R584" i="1"/>
  <c r="R582" i="1"/>
  <c r="R580" i="1"/>
  <c r="R578" i="1"/>
  <c r="R1106" i="1"/>
  <c r="R342" i="1"/>
  <c r="R361" i="1"/>
  <c r="R341" i="1"/>
  <c r="R339" i="1"/>
  <c r="R337" i="1"/>
  <c r="R335" i="1"/>
  <c r="R333" i="1"/>
  <c r="R331" i="1"/>
  <c r="R329" i="1"/>
  <c r="R327" i="1"/>
  <c r="R325" i="1"/>
  <c r="R323" i="1"/>
  <c r="R321" i="1"/>
  <c r="R319" i="1"/>
  <c r="R317" i="1"/>
  <c r="R315" i="1"/>
  <c r="R336" i="1"/>
  <c r="R328" i="1"/>
  <c r="R320" i="1"/>
  <c r="R338" i="1"/>
  <c r="R330" i="1"/>
  <c r="R322" i="1"/>
  <c r="R314" i="1"/>
  <c r="R274" i="1"/>
  <c r="R334" i="1"/>
  <c r="R318" i="1"/>
  <c r="R340" i="1"/>
  <c r="R332" i="1"/>
  <c r="R324" i="1"/>
  <c r="R316" i="1"/>
  <c r="R326" i="1"/>
  <c r="R98" i="1"/>
  <c r="R80" i="1"/>
  <c r="R46" i="1"/>
  <c r="R10" i="1"/>
  <c r="R8" i="1"/>
  <c r="R11" i="1"/>
  <c r="R9" i="1"/>
  <c r="R1138" i="1"/>
  <c r="R1101" i="1"/>
  <c r="R1099" i="1"/>
  <c r="R1097" i="1"/>
  <c r="R1095" i="1"/>
  <c r="R1093" i="1"/>
  <c r="R1091" i="1"/>
  <c r="R1089" i="1"/>
  <c r="R1083" i="1"/>
  <c r="R1079" i="1"/>
  <c r="R1077" i="1"/>
  <c r="R1073" i="1"/>
  <c r="R1071" i="1"/>
  <c r="R1061" i="1"/>
  <c r="R1059" i="1"/>
  <c r="R1057" i="1"/>
  <c r="R1055" i="1"/>
  <c r="R1053" i="1"/>
  <c r="R1051" i="1"/>
  <c r="R1049" i="1"/>
  <c r="R1047" i="1"/>
  <c r="R1045" i="1"/>
  <c r="R1043" i="1"/>
  <c r="R1041" i="1"/>
  <c r="R1039" i="1"/>
  <c r="R1037" i="1"/>
  <c r="R1035" i="1"/>
  <c r="R1033" i="1"/>
  <c r="R1031" i="1"/>
  <c r="R1029" i="1"/>
  <c r="R1027" i="1"/>
  <c r="R1025" i="1"/>
  <c r="R1023" i="1"/>
  <c r="R1021" i="1"/>
  <c r="R1019" i="1"/>
  <c r="R1017" i="1"/>
  <c r="R1015" i="1"/>
  <c r="R1013" i="1"/>
  <c r="R1011" i="1"/>
  <c r="R1009" i="1"/>
  <c r="R1007" i="1"/>
  <c r="R1005" i="1"/>
  <c r="R1003" i="1"/>
  <c r="R1001" i="1"/>
  <c r="R999" i="1"/>
  <c r="R997" i="1"/>
  <c r="R995" i="1"/>
  <c r="R993" i="1"/>
  <c r="R991" i="1"/>
  <c r="R989" i="1"/>
  <c r="R987" i="1"/>
  <c r="R985" i="1"/>
  <c r="R983" i="1"/>
  <c r="R981" i="1"/>
  <c r="R979" i="1"/>
  <c r="R977" i="1"/>
  <c r="R975" i="1"/>
  <c r="R973" i="1"/>
  <c r="R971" i="1"/>
  <c r="R969" i="1"/>
  <c r="R1100" i="1"/>
  <c r="R1092" i="1"/>
  <c r="R1076" i="1"/>
  <c r="R1060" i="1"/>
  <c r="R1052" i="1"/>
  <c r="R1044" i="1"/>
  <c r="R1036" i="1"/>
  <c r="R1028" i="1"/>
  <c r="R1020" i="1"/>
  <c r="R1012" i="1"/>
  <c r="R1004" i="1"/>
  <c r="R996" i="1"/>
  <c r="R988" i="1"/>
  <c r="R980" i="1"/>
  <c r="R972" i="1"/>
  <c r="R967" i="1"/>
  <c r="R965" i="1"/>
  <c r="R963" i="1"/>
  <c r="R961" i="1"/>
  <c r="R959" i="1"/>
  <c r="R957" i="1"/>
  <c r="R955" i="1"/>
  <c r="R953" i="1"/>
  <c r="R951" i="1"/>
  <c r="R949" i="1"/>
  <c r="R947" i="1"/>
  <c r="R945" i="1"/>
  <c r="R943" i="1"/>
  <c r="R941" i="1"/>
  <c r="R939" i="1"/>
  <c r="R937" i="1"/>
  <c r="R935" i="1"/>
  <c r="R933" i="1"/>
  <c r="R919" i="1"/>
  <c r="R917" i="1"/>
  <c r="R915" i="1"/>
  <c r="R907" i="1"/>
  <c r="R905" i="1"/>
  <c r="R903" i="1"/>
  <c r="R901" i="1"/>
  <c r="R899" i="1"/>
  <c r="R897" i="1"/>
  <c r="R895" i="1"/>
  <c r="R893" i="1"/>
  <c r="R891" i="1"/>
  <c r="R889" i="1"/>
  <c r="R885" i="1"/>
  <c r="R883" i="1"/>
  <c r="R881" i="1"/>
  <c r="R879" i="1"/>
  <c r="R877" i="1"/>
  <c r="R1094" i="1"/>
  <c r="R1070" i="1"/>
  <c r="R1062" i="1"/>
  <c r="R1054" i="1"/>
  <c r="R1046" i="1"/>
  <c r="R1038" i="1"/>
  <c r="R1030" i="1"/>
  <c r="R1022" i="1"/>
  <c r="R1014" i="1"/>
  <c r="R1006" i="1"/>
  <c r="R998" i="1"/>
  <c r="R990" i="1"/>
  <c r="R982" i="1"/>
  <c r="R974" i="1"/>
  <c r="R1096" i="1"/>
  <c r="R1088" i="1"/>
  <c r="R1080" i="1"/>
  <c r="R1056" i="1"/>
  <c r="R1048" i="1"/>
  <c r="R1040" i="1"/>
  <c r="R1032" i="1"/>
  <c r="R1024" i="1"/>
  <c r="R1016" i="1"/>
  <c r="R1008" i="1"/>
  <c r="R1000" i="1"/>
  <c r="R992" i="1"/>
  <c r="R984" i="1"/>
  <c r="R976" i="1"/>
  <c r="R968" i="1"/>
  <c r="R966" i="1"/>
  <c r="R964" i="1"/>
  <c r="R962" i="1"/>
  <c r="R960" i="1"/>
  <c r="R958" i="1"/>
  <c r="R956" i="1"/>
  <c r="R954" i="1"/>
  <c r="R952" i="1"/>
  <c r="R950" i="1"/>
  <c r="R948" i="1"/>
  <c r="R946" i="1"/>
  <c r="R944" i="1"/>
  <c r="R942" i="1"/>
  <c r="R940" i="1"/>
  <c r="R938" i="1"/>
  <c r="R936" i="1"/>
  <c r="R934" i="1"/>
  <c r="R918" i="1"/>
  <c r="R916" i="1"/>
  <c r="R908" i="1"/>
  <c r="R906" i="1"/>
  <c r="R904" i="1"/>
  <c r="R902" i="1"/>
  <c r="R900" i="1"/>
  <c r="R898" i="1"/>
  <c r="R896" i="1"/>
  <c r="R894" i="1"/>
  <c r="R892" i="1"/>
  <c r="R890" i="1"/>
  <c r="R888" i="1"/>
  <c r="R886" i="1"/>
  <c r="R884" i="1"/>
  <c r="R882" i="1"/>
  <c r="R880" i="1"/>
  <c r="R878" i="1"/>
  <c r="R876" i="1"/>
  <c r="R1098" i="1"/>
  <c r="R1034" i="1"/>
  <c r="R1002" i="1"/>
  <c r="R970" i="1"/>
  <c r="R837" i="1"/>
  <c r="R835" i="1"/>
  <c r="R833" i="1"/>
  <c r="R831" i="1"/>
  <c r="R829" i="1"/>
  <c r="R827" i="1"/>
  <c r="R825" i="1"/>
  <c r="R817" i="1"/>
  <c r="R813" i="1"/>
  <c r="R811" i="1"/>
  <c r="R807" i="1"/>
  <c r="R799" i="1"/>
  <c r="R797" i="1"/>
  <c r="R795" i="1"/>
  <c r="R793" i="1"/>
  <c r="R791" i="1"/>
  <c r="R789" i="1"/>
  <c r="R787" i="1"/>
  <c r="R785" i="1"/>
  <c r="R783" i="1"/>
  <c r="R781" i="1"/>
  <c r="R779" i="1"/>
  <c r="R777" i="1"/>
  <c r="R775" i="1"/>
  <c r="R773" i="1"/>
  <c r="R771" i="1"/>
  <c r="R769" i="1"/>
  <c r="R767" i="1"/>
  <c r="R765" i="1"/>
  <c r="R763" i="1"/>
  <c r="R761" i="1"/>
  <c r="R759" i="1"/>
  <c r="R757" i="1"/>
  <c r="R755" i="1"/>
  <c r="R753" i="1"/>
  <c r="R751" i="1"/>
  <c r="R749" i="1"/>
  <c r="R747" i="1"/>
  <c r="R745" i="1"/>
  <c r="R743" i="1"/>
  <c r="R741" i="1"/>
  <c r="R739" i="1"/>
  <c r="R737" i="1"/>
  <c r="R735" i="1"/>
  <c r="R733" i="1"/>
  <c r="R731" i="1"/>
  <c r="R729" i="1"/>
  <c r="R727" i="1"/>
  <c r="R725" i="1"/>
  <c r="R723" i="1"/>
  <c r="R721" i="1"/>
  <c r="R719" i="1"/>
  <c r="R717" i="1"/>
  <c r="R715" i="1"/>
  <c r="R713" i="1"/>
  <c r="R711" i="1"/>
  <c r="R709" i="1"/>
  <c r="R707" i="1"/>
  <c r="R705" i="1"/>
  <c r="R703" i="1"/>
  <c r="R701" i="1"/>
  <c r="R699" i="1"/>
  <c r="R697" i="1"/>
  <c r="R695" i="1"/>
  <c r="R693" i="1"/>
  <c r="R691" i="1"/>
  <c r="R689" i="1"/>
  <c r="R687" i="1"/>
  <c r="R685" i="1"/>
  <c r="R683" i="1"/>
  <c r="R681" i="1"/>
  <c r="R679" i="1"/>
  <c r="R677" i="1"/>
  <c r="R675" i="1"/>
  <c r="R673" i="1"/>
  <c r="R671" i="1"/>
  <c r="R655" i="1"/>
  <c r="R653" i="1"/>
  <c r="R645" i="1"/>
  <c r="R643" i="1"/>
  <c r="R641" i="1"/>
  <c r="R639" i="1"/>
  <c r="R637" i="1"/>
  <c r="R635" i="1"/>
  <c r="R633" i="1"/>
  <c r="R631" i="1"/>
  <c r="R629" i="1"/>
  <c r="R627" i="1"/>
  <c r="R625" i="1"/>
  <c r="R623" i="1"/>
  <c r="R621" i="1"/>
  <c r="R619" i="1"/>
  <c r="R617" i="1"/>
  <c r="R615" i="1"/>
  <c r="R613" i="1"/>
  <c r="R575" i="1"/>
  <c r="R573" i="1"/>
  <c r="R571" i="1"/>
  <c r="R569" i="1"/>
  <c r="R567" i="1"/>
  <c r="R565" i="1"/>
  <c r="R563" i="1"/>
  <c r="R557" i="1"/>
  <c r="R553" i="1"/>
  <c r="R551" i="1"/>
  <c r="R547" i="1"/>
  <c r="R545" i="1"/>
  <c r="R535" i="1"/>
  <c r="R533" i="1"/>
  <c r="R531" i="1"/>
  <c r="R529" i="1"/>
  <c r="R527" i="1"/>
  <c r="R525" i="1"/>
  <c r="R523" i="1"/>
  <c r="R521" i="1"/>
  <c r="R519" i="1"/>
  <c r="R517" i="1"/>
  <c r="R515" i="1"/>
  <c r="R513" i="1"/>
  <c r="R1090" i="1"/>
  <c r="R1058" i="1"/>
  <c r="R1026" i="1"/>
  <c r="R994" i="1"/>
  <c r="R1050" i="1"/>
  <c r="R1018" i="1"/>
  <c r="R986" i="1"/>
  <c r="R838" i="1"/>
  <c r="R836" i="1"/>
  <c r="R834" i="1"/>
  <c r="R832" i="1"/>
  <c r="R830" i="1"/>
  <c r="R828" i="1"/>
  <c r="R826" i="1"/>
  <c r="R820" i="1"/>
  <c r="R816" i="1"/>
  <c r="R814" i="1"/>
  <c r="R810" i="1"/>
  <c r="R808" i="1"/>
  <c r="R798" i="1"/>
  <c r="R796" i="1"/>
  <c r="R794" i="1"/>
  <c r="R792" i="1"/>
  <c r="R790" i="1"/>
  <c r="R788" i="1"/>
  <c r="R786" i="1"/>
  <c r="R784" i="1"/>
  <c r="R782" i="1"/>
  <c r="R780" i="1"/>
  <c r="R778" i="1"/>
  <c r="R776" i="1"/>
  <c r="R774" i="1"/>
  <c r="R772" i="1"/>
  <c r="R770" i="1"/>
  <c r="R768" i="1"/>
  <c r="R766" i="1"/>
  <c r="R764" i="1"/>
  <c r="R762" i="1"/>
  <c r="R760" i="1"/>
  <c r="R758" i="1"/>
  <c r="R756" i="1"/>
  <c r="R754" i="1"/>
  <c r="R752" i="1"/>
  <c r="R750" i="1"/>
  <c r="R748" i="1"/>
  <c r="R746" i="1"/>
  <c r="R744" i="1"/>
  <c r="R742" i="1"/>
  <c r="R740" i="1"/>
  <c r="R738" i="1"/>
  <c r="R736" i="1"/>
  <c r="R734" i="1"/>
  <c r="R732" i="1"/>
  <c r="R730" i="1"/>
  <c r="R728" i="1"/>
  <c r="R726" i="1"/>
  <c r="R724" i="1"/>
  <c r="R722" i="1"/>
  <c r="R720" i="1"/>
  <c r="R718" i="1"/>
  <c r="R716" i="1"/>
  <c r="R714" i="1"/>
  <c r="R712" i="1"/>
  <c r="R710" i="1"/>
  <c r="R708" i="1"/>
  <c r="R706" i="1"/>
  <c r="R704" i="1"/>
  <c r="R702" i="1"/>
  <c r="R700" i="1"/>
  <c r="R698" i="1"/>
  <c r="R696" i="1"/>
  <c r="R694" i="1"/>
  <c r="R692" i="1"/>
  <c r="R690" i="1"/>
  <c r="R688" i="1"/>
  <c r="R686" i="1"/>
  <c r="R684" i="1"/>
  <c r="R682" i="1"/>
  <c r="R680" i="1"/>
  <c r="R678" i="1"/>
  <c r="R676" i="1"/>
  <c r="R674" i="1"/>
  <c r="R672" i="1"/>
  <c r="R670" i="1"/>
  <c r="R656" i="1"/>
  <c r="R654" i="1"/>
  <c r="R652" i="1"/>
  <c r="R644" i="1"/>
  <c r="R642" i="1"/>
  <c r="R640" i="1"/>
  <c r="R638" i="1"/>
  <c r="R636" i="1"/>
  <c r="R634" i="1"/>
  <c r="R632" i="1"/>
  <c r="R630" i="1"/>
  <c r="R628" i="1"/>
  <c r="R626" i="1"/>
  <c r="R622" i="1"/>
  <c r="R620" i="1"/>
  <c r="R618" i="1"/>
  <c r="R616" i="1"/>
  <c r="R614" i="1"/>
  <c r="R574" i="1"/>
  <c r="R572" i="1"/>
  <c r="R570" i="1"/>
  <c r="R568" i="1"/>
  <c r="R566" i="1"/>
  <c r="R564" i="1"/>
  <c r="R562" i="1"/>
  <c r="R554" i="1"/>
  <c r="R550" i="1"/>
  <c r="R548" i="1"/>
  <c r="R544" i="1"/>
  <c r="R536" i="1"/>
  <c r="R534" i="1"/>
  <c r="R532" i="1"/>
  <c r="R530" i="1"/>
  <c r="R528" i="1"/>
  <c r="R526" i="1"/>
  <c r="R524" i="1"/>
  <c r="R522" i="1"/>
  <c r="R520" i="1"/>
  <c r="R518" i="1"/>
  <c r="R516" i="1"/>
  <c r="R514" i="1"/>
  <c r="R512" i="1"/>
  <c r="R1074" i="1"/>
  <c r="R1042" i="1"/>
  <c r="R1010" i="1"/>
  <c r="R978" i="1"/>
  <c r="R510" i="1"/>
  <c r="R508" i="1"/>
  <c r="R506" i="1"/>
  <c r="R504" i="1"/>
  <c r="R502" i="1"/>
  <c r="R500" i="1"/>
  <c r="R498" i="1"/>
  <c r="R496" i="1"/>
  <c r="R494" i="1"/>
  <c r="R492" i="1"/>
  <c r="R490" i="1"/>
  <c r="R488" i="1"/>
  <c r="R486" i="1"/>
  <c r="R484" i="1"/>
  <c r="R482" i="1"/>
  <c r="R480" i="1"/>
  <c r="R478" i="1"/>
  <c r="R476" i="1"/>
  <c r="R474" i="1"/>
  <c r="R472" i="1"/>
  <c r="R470" i="1"/>
  <c r="R468" i="1"/>
  <c r="R466" i="1"/>
  <c r="R464" i="1"/>
  <c r="R462" i="1"/>
  <c r="R460" i="1"/>
  <c r="R458" i="1"/>
  <c r="R456" i="1"/>
  <c r="R454" i="1"/>
  <c r="R452" i="1"/>
  <c r="R450" i="1"/>
  <c r="R448" i="1"/>
  <c r="R446" i="1"/>
  <c r="R444" i="1"/>
  <c r="R442" i="1"/>
  <c r="R440" i="1"/>
  <c r="R438" i="1"/>
  <c r="R436" i="1"/>
  <c r="R434" i="1"/>
  <c r="R432" i="1"/>
  <c r="R430" i="1"/>
  <c r="R428" i="1"/>
  <c r="R426" i="1"/>
  <c r="R424" i="1"/>
  <c r="R422" i="1"/>
  <c r="R420" i="1"/>
  <c r="R418" i="1"/>
  <c r="R416" i="1"/>
  <c r="R414" i="1"/>
  <c r="R412" i="1"/>
  <c r="R410" i="1"/>
  <c r="R408" i="1"/>
  <c r="R392" i="1"/>
  <c r="R390" i="1"/>
  <c r="R382" i="1"/>
  <c r="R380" i="1"/>
  <c r="R378" i="1"/>
  <c r="R376" i="1"/>
  <c r="R374" i="1"/>
  <c r="R372" i="1"/>
  <c r="R370" i="1"/>
  <c r="R368" i="1"/>
  <c r="R366" i="1"/>
  <c r="R364" i="1"/>
  <c r="R362" i="1"/>
  <c r="R360" i="1"/>
  <c r="R358" i="1"/>
  <c r="R356" i="1"/>
  <c r="R354" i="1"/>
  <c r="R352" i="1"/>
  <c r="R350" i="1"/>
  <c r="R511" i="1"/>
  <c r="R509" i="1"/>
  <c r="R507" i="1"/>
  <c r="R505" i="1"/>
  <c r="R503" i="1"/>
  <c r="R501" i="1"/>
  <c r="R499" i="1"/>
  <c r="R497" i="1"/>
  <c r="R495" i="1"/>
  <c r="R493" i="1"/>
  <c r="R491" i="1"/>
  <c r="R489" i="1"/>
  <c r="R487" i="1"/>
  <c r="R485" i="1"/>
  <c r="R483" i="1"/>
  <c r="R481" i="1"/>
  <c r="R479" i="1"/>
  <c r="R477" i="1"/>
  <c r="R475" i="1"/>
  <c r="R473" i="1"/>
  <c r="R471" i="1"/>
  <c r="R469" i="1"/>
  <c r="R467" i="1"/>
  <c r="R465" i="1"/>
  <c r="R463" i="1"/>
  <c r="R461" i="1"/>
  <c r="R459" i="1"/>
  <c r="R457" i="1"/>
  <c r="R455" i="1"/>
  <c r="R453" i="1"/>
  <c r="R451" i="1"/>
  <c r="R449" i="1"/>
  <c r="R447" i="1"/>
  <c r="R445" i="1"/>
  <c r="R443" i="1"/>
  <c r="R441" i="1"/>
  <c r="R439" i="1"/>
  <c r="R437" i="1"/>
  <c r="R435" i="1"/>
  <c r="R433" i="1"/>
  <c r="R431" i="1"/>
  <c r="R429" i="1"/>
  <c r="R427" i="1"/>
  <c r="R425" i="1"/>
  <c r="R423" i="1"/>
  <c r="R421" i="1"/>
  <c r="R419" i="1"/>
  <c r="R417" i="1"/>
  <c r="R415" i="1"/>
  <c r="R413" i="1"/>
  <c r="R411" i="1"/>
  <c r="R409" i="1"/>
  <c r="R407" i="1"/>
  <c r="R393" i="1"/>
  <c r="R391" i="1"/>
  <c r="R389" i="1"/>
  <c r="R381" i="1"/>
  <c r="R379" i="1"/>
  <c r="R377" i="1"/>
  <c r="R375" i="1"/>
  <c r="R373" i="1"/>
  <c r="R371" i="1"/>
  <c r="R369" i="1"/>
  <c r="R367" i="1"/>
  <c r="R365" i="1"/>
  <c r="R363" i="1"/>
  <c r="R359" i="1"/>
  <c r="R357" i="1"/>
  <c r="R355" i="1"/>
  <c r="R353" i="1"/>
  <c r="R351" i="1"/>
  <c r="R311" i="1"/>
  <c r="R309" i="1"/>
  <c r="R307" i="1"/>
  <c r="R305" i="1"/>
  <c r="R303" i="1"/>
  <c r="R301" i="1"/>
  <c r="R299" i="1"/>
  <c r="R291" i="1"/>
  <c r="R287" i="1"/>
  <c r="R285" i="1"/>
  <c r="R281" i="1"/>
  <c r="R273" i="1"/>
  <c r="R271" i="1"/>
  <c r="R269" i="1"/>
  <c r="R267" i="1"/>
  <c r="R265" i="1"/>
  <c r="R263" i="1"/>
  <c r="R261" i="1"/>
  <c r="R259" i="1"/>
  <c r="R257" i="1"/>
  <c r="R255" i="1"/>
  <c r="R253" i="1"/>
  <c r="R251" i="1"/>
  <c r="R249" i="1"/>
  <c r="R247" i="1"/>
  <c r="R245" i="1"/>
  <c r="R243" i="1"/>
  <c r="R241" i="1"/>
  <c r="R239" i="1"/>
  <c r="R237" i="1"/>
  <c r="R235" i="1"/>
  <c r="R233" i="1"/>
  <c r="R231" i="1"/>
  <c r="R229" i="1"/>
  <c r="R227" i="1"/>
  <c r="R225" i="1"/>
  <c r="R223" i="1"/>
  <c r="R221" i="1"/>
  <c r="R219" i="1"/>
  <c r="R217" i="1"/>
  <c r="R215" i="1"/>
  <c r="R213" i="1"/>
  <c r="R211" i="1"/>
  <c r="R209" i="1"/>
  <c r="R207" i="1"/>
  <c r="R205" i="1"/>
  <c r="R203" i="1"/>
  <c r="R201" i="1"/>
  <c r="R199" i="1"/>
  <c r="R197" i="1"/>
  <c r="R195" i="1"/>
  <c r="R193" i="1"/>
  <c r="R191" i="1"/>
  <c r="R189" i="1"/>
  <c r="R187" i="1"/>
  <c r="R185" i="1"/>
  <c r="R183" i="1"/>
  <c r="R181" i="1"/>
  <c r="R179" i="1"/>
  <c r="R177" i="1"/>
  <c r="R175" i="1"/>
  <c r="R173" i="1"/>
  <c r="R312" i="1"/>
  <c r="R304" i="1"/>
  <c r="R288" i="1"/>
  <c r="R272" i="1"/>
  <c r="R264" i="1"/>
  <c r="R256" i="1"/>
  <c r="R248" i="1"/>
  <c r="R240" i="1"/>
  <c r="R232" i="1"/>
  <c r="R224" i="1"/>
  <c r="R216" i="1"/>
  <c r="R208" i="1"/>
  <c r="R200" i="1"/>
  <c r="R192" i="1"/>
  <c r="R184" i="1"/>
  <c r="R176" i="1"/>
  <c r="R171" i="1"/>
  <c r="R306" i="1"/>
  <c r="R290" i="1"/>
  <c r="R282" i="1"/>
  <c r="R266" i="1"/>
  <c r="R258" i="1"/>
  <c r="R250" i="1"/>
  <c r="R242" i="1"/>
  <c r="R234" i="1"/>
  <c r="R226" i="1"/>
  <c r="R218" i="1"/>
  <c r="R210" i="1"/>
  <c r="R202" i="1"/>
  <c r="R194" i="1"/>
  <c r="R186" i="1"/>
  <c r="R178" i="1"/>
  <c r="R170" i="1"/>
  <c r="R302" i="1"/>
  <c r="R270" i="1"/>
  <c r="R254" i="1"/>
  <c r="R238" i="1"/>
  <c r="R222" i="1"/>
  <c r="R206" i="1"/>
  <c r="R198" i="1"/>
  <c r="R190" i="1"/>
  <c r="R182" i="1"/>
  <c r="R174" i="1"/>
  <c r="R308" i="1"/>
  <c r="R300" i="1"/>
  <c r="R284" i="1"/>
  <c r="R268" i="1"/>
  <c r="R260" i="1"/>
  <c r="R252" i="1"/>
  <c r="R244" i="1"/>
  <c r="R236" i="1"/>
  <c r="R228" i="1"/>
  <c r="R220" i="1"/>
  <c r="R212" i="1"/>
  <c r="R204" i="1"/>
  <c r="R196" i="1"/>
  <c r="R188" i="1"/>
  <c r="R180" i="1"/>
  <c r="R172" i="1"/>
  <c r="R310" i="1"/>
  <c r="R294" i="1"/>
  <c r="R262" i="1"/>
  <c r="R246" i="1"/>
  <c r="R230" i="1"/>
  <c r="R214" i="1"/>
  <c r="R168" i="1"/>
  <c r="R166" i="1"/>
  <c r="R164" i="1"/>
  <c r="R162" i="1"/>
  <c r="R160" i="1"/>
  <c r="R158" i="1"/>
  <c r="R156" i="1"/>
  <c r="R154" i="1"/>
  <c r="R152" i="1"/>
  <c r="R150" i="1"/>
  <c r="R148" i="1"/>
  <c r="R146" i="1"/>
  <c r="R144" i="1"/>
  <c r="R130" i="1"/>
  <c r="R128" i="1"/>
  <c r="R126" i="1"/>
  <c r="R118" i="1"/>
  <c r="R116" i="1"/>
  <c r="R114" i="1"/>
  <c r="R112" i="1"/>
  <c r="R110" i="1"/>
  <c r="R108" i="1"/>
  <c r="R106" i="1"/>
  <c r="R104" i="1"/>
  <c r="R102" i="1"/>
  <c r="R100" i="1"/>
  <c r="R96" i="1"/>
  <c r="R94" i="1"/>
  <c r="R92" i="1"/>
  <c r="R90" i="1"/>
  <c r="R88" i="1"/>
  <c r="R78" i="1"/>
  <c r="R76" i="1"/>
  <c r="R74" i="1"/>
  <c r="R72" i="1"/>
  <c r="R70" i="1"/>
  <c r="R68" i="1"/>
  <c r="R66" i="1"/>
  <c r="R64" i="1"/>
  <c r="R62" i="1"/>
  <c r="R60" i="1"/>
  <c r="R58" i="1"/>
  <c r="R54" i="1"/>
  <c r="R52" i="1"/>
  <c r="R44" i="1"/>
  <c r="R12" i="1"/>
  <c r="R6" i="1"/>
  <c r="R169" i="1"/>
  <c r="R167" i="1"/>
  <c r="R165" i="1"/>
  <c r="R163" i="1"/>
  <c r="R161" i="1"/>
  <c r="R159" i="1"/>
  <c r="R157" i="1"/>
  <c r="R155" i="1"/>
  <c r="R153" i="1"/>
  <c r="R151" i="1"/>
  <c r="R149" i="1"/>
  <c r="R147" i="1"/>
  <c r="R145" i="1"/>
  <c r="R129" i="1"/>
  <c r="R127" i="1"/>
  <c r="R119" i="1"/>
  <c r="R117" i="1"/>
  <c r="R115" i="1"/>
  <c r="R113" i="1"/>
  <c r="R111" i="1"/>
  <c r="R109" i="1"/>
  <c r="R107" i="1"/>
  <c r="R105" i="1"/>
  <c r="R103" i="1"/>
  <c r="R101" i="1"/>
  <c r="R99" i="1"/>
  <c r="R97" i="1"/>
  <c r="R95" i="1"/>
  <c r="R93" i="1"/>
  <c r="R91" i="1"/>
  <c r="R89" i="1"/>
  <c r="R87" i="1"/>
  <c r="R77" i="1"/>
  <c r="R75" i="1"/>
  <c r="R73" i="1"/>
  <c r="R71" i="1"/>
  <c r="R69" i="1"/>
  <c r="R67" i="1"/>
  <c r="R65" i="1"/>
  <c r="R63" i="1"/>
  <c r="R61" i="1"/>
  <c r="R59" i="1"/>
  <c r="R57" i="1"/>
  <c r="R55" i="1"/>
  <c r="R53" i="1"/>
  <c r="R45" i="1"/>
  <c r="R43" i="1"/>
  <c r="R41" i="1"/>
  <c r="R7" i="1"/>
  <c r="R5" i="1"/>
  <c r="R4" i="1"/>
  <c r="S5" i="1" s="1"/>
  <c r="R1137" i="1"/>
  <c r="R1135" i="1"/>
  <c r="R1085" i="1"/>
  <c r="R1081" i="1"/>
  <c r="R1075" i="1"/>
  <c r="R1069" i="1"/>
  <c r="R1084" i="1"/>
  <c r="R921" i="1"/>
  <c r="R911" i="1"/>
  <c r="R873" i="1"/>
  <c r="R871" i="1"/>
  <c r="R1134" i="1"/>
  <c r="R1102" i="1"/>
  <c r="R1086" i="1"/>
  <c r="R1078" i="1"/>
  <c r="R1136" i="1"/>
  <c r="R1072" i="1"/>
  <c r="R922" i="1"/>
  <c r="R920" i="1"/>
  <c r="R910" i="1"/>
  <c r="R874" i="1"/>
  <c r="R872" i="1"/>
  <c r="R839" i="1"/>
  <c r="R823" i="1"/>
  <c r="R821" i="1"/>
  <c r="R819" i="1"/>
  <c r="R815" i="1"/>
  <c r="R809" i="1"/>
  <c r="R659" i="1"/>
  <c r="R657" i="1"/>
  <c r="R647" i="1"/>
  <c r="R611" i="1"/>
  <c r="R609" i="1"/>
  <c r="R559" i="1"/>
  <c r="R555" i="1"/>
  <c r="R549" i="1"/>
  <c r="R543" i="1"/>
  <c r="R1082" i="1"/>
  <c r="R822" i="1"/>
  <c r="R818" i="1"/>
  <c r="R812" i="1"/>
  <c r="R806" i="1"/>
  <c r="R658" i="1"/>
  <c r="R648" i="1"/>
  <c r="R610" i="1"/>
  <c r="R608" i="1"/>
  <c r="R576" i="1"/>
  <c r="R560" i="1"/>
  <c r="R558" i="1"/>
  <c r="R556" i="1"/>
  <c r="R552" i="1"/>
  <c r="R546" i="1"/>
  <c r="R396" i="1"/>
  <c r="R394" i="1"/>
  <c r="R384" i="1"/>
  <c r="R348" i="1"/>
  <c r="R346" i="1"/>
  <c r="R395" i="1"/>
  <c r="R385" i="1"/>
  <c r="R347" i="1"/>
  <c r="R345" i="1"/>
  <c r="R313" i="1"/>
  <c r="R297" i="1"/>
  <c r="R295" i="1"/>
  <c r="R293" i="1"/>
  <c r="R289" i="1"/>
  <c r="R283" i="1"/>
  <c r="R296" i="1"/>
  <c r="R280" i="1"/>
  <c r="R286" i="1"/>
  <c r="R292" i="1"/>
  <c r="R132" i="1"/>
  <c r="R122" i="1"/>
  <c r="R84" i="1"/>
  <c r="R82" i="1"/>
  <c r="R42" i="1"/>
  <c r="R30" i="1"/>
  <c r="R28" i="1"/>
  <c r="R26" i="1"/>
  <c r="R24" i="1"/>
  <c r="R133" i="1"/>
  <c r="R131" i="1"/>
  <c r="R121" i="1"/>
  <c r="R85" i="1"/>
  <c r="R83" i="1"/>
  <c r="R81" i="1"/>
  <c r="R47" i="1"/>
  <c r="R31" i="1"/>
  <c r="R29" i="1"/>
  <c r="R27" i="1"/>
  <c r="R25" i="1"/>
  <c r="U5" i="1" l="1"/>
  <c r="V5" i="1" s="1"/>
  <c r="Z5" i="1"/>
  <c r="X5" i="1"/>
  <c r="S6" i="1"/>
  <c r="W5" i="1"/>
  <c r="Y5" i="1"/>
  <c r="T5" i="1"/>
  <c r="W6" i="1" l="1"/>
  <c r="Y6" i="1"/>
  <c r="U6" i="1"/>
  <c r="V6" i="1" s="1"/>
  <c r="S7" i="1"/>
  <c r="Z6" i="1"/>
  <c r="X6" i="1"/>
  <c r="T6" i="1"/>
  <c r="AB5" i="1"/>
  <c r="AF5" i="1"/>
  <c r="AC5" i="1"/>
  <c r="AG5" i="1"/>
  <c r="AH5" i="1"/>
  <c r="AD5" i="1"/>
  <c r="AA5" i="1"/>
  <c r="AE5" i="1"/>
  <c r="W7" i="1" l="1"/>
  <c r="U7" i="1"/>
  <c r="V7" i="1" s="1"/>
  <c r="Y7" i="1"/>
  <c r="T7" i="1"/>
  <c r="S8" i="1"/>
  <c r="Z7" i="1"/>
  <c r="X7" i="1"/>
  <c r="AF6" i="1"/>
  <c r="AB6" i="1"/>
  <c r="AC6" i="1"/>
  <c r="AG6" i="1"/>
  <c r="AH6" i="1"/>
  <c r="AD6" i="1"/>
  <c r="AE6" i="1"/>
  <c r="AA6" i="1"/>
  <c r="AF7" i="1" l="1"/>
  <c r="AB7" i="1"/>
  <c r="AC7" i="1"/>
  <c r="AG7" i="1"/>
  <c r="AH7" i="1"/>
  <c r="AD7" i="1"/>
  <c r="W8" i="1"/>
  <c r="Y8" i="1"/>
  <c r="T8" i="1"/>
  <c r="U8" i="1"/>
  <c r="V8" i="1" s="1"/>
  <c r="Z8" i="1"/>
  <c r="S9" i="1"/>
  <c r="X8" i="1"/>
  <c r="AE7" i="1"/>
  <c r="AA7" i="1"/>
  <c r="S10" i="1" l="1"/>
  <c r="Y9" i="1"/>
  <c r="X9" i="1"/>
  <c r="W9" i="1"/>
  <c r="U9" i="1"/>
  <c r="V9" i="1" s="1"/>
  <c r="Z9" i="1"/>
  <c r="T9" i="1"/>
  <c r="AG8" i="1"/>
  <c r="AC8" i="1"/>
  <c r="AD8" i="1"/>
  <c r="AH8" i="1"/>
  <c r="AE8" i="1"/>
  <c r="AA8" i="1"/>
  <c r="AF8" i="1"/>
  <c r="AB8" i="1"/>
  <c r="AE9" i="1" l="1"/>
  <c r="AA9" i="1"/>
  <c r="AF9" i="1"/>
  <c r="AB9" i="1"/>
  <c r="AG9" i="1"/>
  <c r="AH9" i="1"/>
  <c r="AD9" i="1"/>
  <c r="AC9" i="1"/>
  <c r="W10" i="1"/>
  <c r="Y10" i="1"/>
  <c r="T10" i="1"/>
  <c r="X10" i="1"/>
  <c r="S11" i="1"/>
  <c r="U10" i="1"/>
  <c r="V10" i="1" s="1"/>
  <c r="Z10" i="1"/>
  <c r="AB10" i="1" l="1"/>
  <c r="AF10" i="1"/>
  <c r="AD10" i="1"/>
  <c r="AH10" i="1"/>
  <c r="AG10" i="1"/>
  <c r="AC10" i="1"/>
  <c r="T11" i="1"/>
  <c r="S12" i="1"/>
  <c r="X11" i="1"/>
  <c r="U11" i="1"/>
  <c r="V11" i="1" s="1"/>
  <c r="W11" i="1"/>
  <c r="Y11" i="1"/>
  <c r="Z11" i="1"/>
  <c r="AE10" i="1"/>
  <c r="AA10" i="1"/>
  <c r="AG11" i="1" l="1"/>
  <c r="AC11" i="1"/>
  <c r="AA11" i="1"/>
  <c r="AE11" i="1"/>
  <c r="W12" i="1"/>
  <c r="U12" i="1"/>
  <c r="V12" i="1" s="1"/>
  <c r="X12" i="1"/>
  <c r="T12" i="1"/>
  <c r="Y12" i="1"/>
  <c r="S13" i="1"/>
  <c r="Z12" i="1"/>
  <c r="AH11" i="1"/>
  <c r="AD11" i="1"/>
  <c r="AF11" i="1"/>
  <c r="AB11" i="1"/>
  <c r="AH12" i="1" l="1"/>
  <c r="AD12" i="1"/>
  <c r="W13" i="1"/>
  <c r="S14" i="1"/>
  <c r="T13" i="1"/>
  <c r="X13" i="1"/>
  <c r="U13" i="1"/>
  <c r="V13" i="1" s="1"/>
  <c r="Z13" i="1"/>
  <c r="Y13" i="1"/>
  <c r="AF12" i="1"/>
  <c r="AB12" i="1"/>
  <c r="AG12" i="1"/>
  <c r="AC12" i="1"/>
  <c r="AA12" i="1"/>
  <c r="AE12" i="1"/>
  <c r="AE13" i="1" l="1"/>
  <c r="AA13" i="1"/>
  <c r="W14" i="1"/>
  <c r="X14" i="1"/>
  <c r="S15" i="1"/>
  <c r="Y14" i="1"/>
  <c r="T14" i="1"/>
  <c r="Z14" i="1"/>
  <c r="U14" i="1"/>
  <c r="V14" i="1" s="1"/>
  <c r="AF13" i="1"/>
  <c r="AB13" i="1"/>
  <c r="AH13" i="1"/>
  <c r="AD13" i="1"/>
  <c r="AG13" i="1"/>
  <c r="AC13" i="1"/>
  <c r="AH14" i="1" l="1"/>
  <c r="AD14" i="1"/>
  <c r="AF14" i="1"/>
  <c r="AB14" i="1"/>
  <c r="AE14" i="1"/>
  <c r="AA14" i="1"/>
  <c r="AG14" i="1"/>
  <c r="AC14" i="1"/>
  <c r="W15" i="1"/>
  <c r="Z15" i="1"/>
  <c r="X15" i="1"/>
  <c r="S16" i="1"/>
  <c r="T15" i="1"/>
  <c r="Y15" i="1"/>
  <c r="U15" i="1"/>
  <c r="V15" i="1" s="1"/>
  <c r="AF15" i="1" l="1"/>
  <c r="AB15" i="1"/>
  <c r="AG15" i="1"/>
  <c r="AC15" i="1"/>
  <c r="AH15" i="1"/>
  <c r="AD15" i="1"/>
  <c r="W16" i="1"/>
  <c r="U16" i="1"/>
  <c r="V16" i="1" s="1"/>
  <c r="S17" i="1"/>
  <c r="T16" i="1"/>
  <c r="Y16" i="1"/>
  <c r="X16" i="1"/>
  <c r="Z16" i="1"/>
  <c r="AE15" i="1"/>
  <c r="AA15" i="1"/>
  <c r="AF16" i="1" l="1"/>
  <c r="AB16" i="1"/>
  <c r="AG16" i="1"/>
  <c r="AC16" i="1"/>
  <c r="AA16" i="1"/>
  <c r="AE16" i="1"/>
  <c r="AH16" i="1"/>
  <c r="AD16" i="1"/>
  <c r="W17" i="1"/>
  <c r="S18" i="1"/>
  <c r="X17" i="1"/>
  <c r="T17" i="1"/>
  <c r="U17" i="1"/>
  <c r="V17" i="1" s="1"/>
  <c r="Z17" i="1"/>
  <c r="Y17" i="1"/>
  <c r="AG17" i="1" l="1"/>
  <c r="AC17" i="1"/>
  <c r="AB17" i="1"/>
  <c r="AF17" i="1"/>
  <c r="AH17" i="1"/>
  <c r="AD17" i="1"/>
  <c r="W18" i="1"/>
  <c r="X18" i="1"/>
  <c r="S19" i="1"/>
  <c r="T18" i="1"/>
  <c r="Z18" i="1"/>
  <c r="U18" i="1"/>
  <c r="V18" i="1" s="1"/>
  <c r="Y18" i="1"/>
  <c r="AE17" i="1"/>
  <c r="AA17" i="1"/>
  <c r="AF18" i="1" l="1"/>
  <c r="AB18" i="1"/>
  <c r="AH18" i="1"/>
  <c r="AD18" i="1"/>
  <c r="AE18" i="1"/>
  <c r="AA18" i="1"/>
  <c r="AG18" i="1"/>
  <c r="AC18" i="1"/>
  <c r="W19" i="1"/>
  <c r="Z19" i="1"/>
  <c r="X19" i="1"/>
  <c r="Y19" i="1"/>
  <c r="S20" i="1"/>
  <c r="T19" i="1"/>
  <c r="U19" i="1"/>
  <c r="V19" i="1" s="1"/>
  <c r="AF19" i="1" l="1"/>
  <c r="AB19" i="1"/>
  <c r="AH19" i="1"/>
  <c r="AD19" i="1"/>
  <c r="AG19" i="1"/>
  <c r="AC19" i="1"/>
  <c r="W20" i="1"/>
  <c r="U20" i="1"/>
  <c r="V20" i="1" s="1"/>
  <c r="T20" i="1"/>
  <c r="X20" i="1"/>
  <c r="Y20" i="1"/>
  <c r="S21" i="1"/>
  <c r="Z20" i="1"/>
  <c r="AA19" i="1"/>
  <c r="AE19" i="1"/>
  <c r="AG20" i="1" l="1"/>
  <c r="AC20" i="1"/>
  <c r="AA20" i="1"/>
  <c r="AE20" i="1"/>
  <c r="W21" i="1"/>
  <c r="S22" i="1"/>
  <c r="Z21" i="1"/>
  <c r="Y21" i="1"/>
  <c r="T21" i="1"/>
  <c r="U21" i="1"/>
  <c r="V21" i="1" s="1"/>
  <c r="X21" i="1"/>
  <c r="AF20" i="1"/>
  <c r="AB20" i="1"/>
  <c r="AD20" i="1"/>
  <c r="AH20" i="1"/>
  <c r="AG21" i="1" l="1"/>
  <c r="AC21" i="1"/>
  <c r="AB21" i="1"/>
  <c r="AF21" i="1"/>
  <c r="W22" i="1"/>
  <c r="X22" i="1"/>
  <c r="Y22" i="1"/>
  <c r="T22" i="1"/>
  <c r="Z22" i="1"/>
  <c r="U22" i="1"/>
  <c r="V22" i="1" s="1"/>
  <c r="S23" i="1"/>
  <c r="AH21" i="1"/>
  <c r="AD21" i="1"/>
  <c r="AE21" i="1"/>
  <c r="AA21" i="1"/>
  <c r="AB22" i="1" l="1"/>
  <c r="AF22" i="1"/>
  <c r="W23" i="1"/>
  <c r="U23" i="1"/>
  <c r="V23" i="1" s="1"/>
  <c r="T23" i="1"/>
  <c r="Z23" i="1"/>
  <c r="X23" i="1"/>
  <c r="S24" i="1"/>
  <c r="Y23" i="1"/>
  <c r="AC22" i="1"/>
  <c r="AG22" i="1"/>
  <c r="AD22" i="1"/>
  <c r="AH22" i="1"/>
  <c r="AA22" i="1"/>
  <c r="AE22" i="1"/>
  <c r="AB23" i="1" l="1"/>
  <c r="AF23" i="1"/>
  <c r="AE23" i="1"/>
  <c r="AA23" i="1"/>
  <c r="AH23" i="1"/>
  <c r="AD23" i="1"/>
  <c r="W24" i="1"/>
  <c r="U24" i="1"/>
  <c r="V24" i="1" s="1"/>
  <c r="Y24" i="1"/>
  <c r="S25" i="1"/>
  <c r="T24" i="1"/>
  <c r="Z24" i="1"/>
  <c r="X24" i="1"/>
  <c r="AC23" i="1"/>
  <c r="AG23" i="1"/>
  <c r="AE24" i="1" l="1"/>
  <c r="AA24" i="1"/>
  <c r="W25" i="1"/>
  <c r="Z25" i="1"/>
  <c r="X25" i="1"/>
  <c r="U25" i="1"/>
  <c r="V25" i="1" s="1"/>
  <c r="T25" i="1"/>
  <c r="S26" i="1"/>
  <c r="Y25" i="1"/>
  <c r="AD24" i="1"/>
  <c r="AH24" i="1"/>
  <c r="AB24" i="1"/>
  <c r="AF24" i="1"/>
  <c r="AC24" i="1"/>
  <c r="AG24" i="1"/>
  <c r="AE25" i="1" l="1"/>
  <c r="AA25" i="1"/>
  <c r="W26" i="1"/>
  <c r="Z26" i="1"/>
  <c r="Y26" i="1"/>
  <c r="T26" i="1"/>
  <c r="S27" i="1"/>
  <c r="X26" i="1"/>
  <c r="U26" i="1"/>
  <c r="V26" i="1" s="1"/>
  <c r="AH25" i="1"/>
  <c r="AD25" i="1"/>
  <c r="AG25" i="1"/>
  <c r="AC25" i="1"/>
  <c r="AB25" i="1"/>
  <c r="AF25" i="1"/>
  <c r="AF26" i="1" l="1"/>
  <c r="AB26" i="1"/>
  <c r="AH26" i="1"/>
  <c r="AD26" i="1"/>
  <c r="W27" i="1"/>
  <c r="Y27" i="1"/>
  <c r="T27" i="1"/>
  <c r="U27" i="1"/>
  <c r="V27" i="1" s="1"/>
  <c r="Z27" i="1"/>
  <c r="S28" i="1"/>
  <c r="X27" i="1"/>
  <c r="AE26" i="1"/>
  <c r="AA26" i="1"/>
  <c r="AC26" i="1"/>
  <c r="AG26" i="1"/>
  <c r="AB27" i="1" l="1"/>
  <c r="AF27" i="1"/>
  <c r="AG27" i="1"/>
  <c r="AC27" i="1"/>
  <c r="W28" i="1"/>
  <c r="X28" i="1"/>
  <c r="Y28" i="1"/>
  <c r="S29" i="1"/>
  <c r="T28" i="1"/>
  <c r="U28" i="1"/>
  <c r="V28" i="1" s="1"/>
  <c r="Z28" i="1"/>
  <c r="AH27" i="1"/>
  <c r="AD27" i="1"/>
  <c r="AE27" i="1"/>
  <c r="AA27" i="1"/>
  <c r="W29" i="1" l="1"/>
  <c r="Y29" i="1"/>
  <c r="U29" i="1"/>
  <c r="V29" i="1" s="1"/>
  <c r="T29" i="1"/>
  <c r="Z29" i="1"/>
  <c r="X29" i="1"/>
  <c r="S30" i="1"/>
  <c r="AH28" i="1"/>
  <c r="AD28" i="1"/>
  <c r="AG28" i="1"/>
  <c r="AC28" i="1"/>
  <c r="AF28" i="1"/>
  <c r="AB28" i="1"/>
  <c r="AE28" i="1"/>
  <c r="AA28" i="1"/>
  <c r="W30" i="1" l="1"/>
  <c r="S31" i="1"/>
  <c r="Y30" i="1"/>
  <c r="T30" i="1"/>
  <c r="X30" i="1"/>
  <c r="U30" i="1"/>
  <c r="V30" i="1" s="1"/>
  <c r="Z30" i="1"/>
  <c r="AB29" i="1"/>
  <c r="AF29" i="1"/>
  <c r="AG29" i="1"/>
  <c r="AC29" i="1"/>
  <c r="AH29" i="1"/>
  <c r="AD29" i="1"/>
  <c r="AA29" i="1"/>
  <c r="AE29" i="1"/>
  <c r="AH30" i="1" l="1"/>
  <c r="AD30" i="1"/>
  <c r="AG30" i="1"/>
  <c r="AC30" i="1"/>
  <c r="W31" i="1"/>
  <c r="Z31" i="1"/>
  <c r="X31" i="1"/>
  <c r="S32" i="1"/>
  <c r="T31" i="1"/>
  <c r="Y31" i="1"/>
  <c r="U31" i="1"/>
  <c r="V31" i="1" s="1"/>
  <c r="AF30" i="1"/>
  <c r="AB30" i="1"/>
  <c r="AE30" i="1"/>
  <c r="AA30" i="1"/>
  <c r="AF31" i="1" l="1"/>
  <c r="AB31" i="1"/>
  <c r="W32" i="1"/>
  <c r="T32" i="1"/>
  <c r="Y32" i="1"/>
  <c r="X32" i="1"/>
  <c r="U32" i="1"/>
  <c r="V32" i="1" s="1"/>
  <c r="Z32" i="1"/>
  <c r="S33" i="1"/>
  <c r="AG31" i="1"/>
  <c r="AC31" i="1"/>
  <c r="AH31" i="1"/>
  <c r="AD31" i="1"/>
  <c r="AE31" i="1"/>
  <c r="AA31" i="1"/>
  <c r="AH32" i="1" l="1"/>
  <c r="AD32" i="1"/>
  <c r="AE32" i="1"/>
  <c r="AA32" i="1"/>
  <c r="AF32" i="1"/>
  <c r="AB32" i="1"/>
  <c r="W33" i="1"/>
  <c r="Z33" i="1"/>
  <c r="X33" i="1"/>
  <c r="S34" i="1"/>
  <c r="U33" i="1"/>
  <c r="V33" i="1" s="1"/>
  <c r="T33" i="1"/>
  <c r="Y33" i="1"/>
  <c r="AC32" i="1"/>
  <c r="AG32" i="1"/>
  <c r="AH33" i="1" l="1"/>
  <c r="AD33" i="1"/>
  <c r="AA33" i="1"/>
  <c r="AE33" i="1"/>
  <c r="W34" i="1"/>
  <c r="S35" i="1"/>
  <c r="T34" i="1"/>
  <c r="Y34" i="1"/>
  <c r="X34" i="1"/>
  <c r="U34" i="1"/>
  <c r="V34" i="1" s="1"/>
  <c r="Z34" i="1"/>
  <c r="AG33" i="1"/>
  <c r="AC33" i="1"/>
  <c r="AB33" i="1"/>
  <c r="AF33" i="1"/>
  <c r="AG34" i="1" l="1"/>
  <c r="AC34" i="1"/>
  <c r="AH34" i="1"/>
  <c r="AD34" i="1"/>
  <c r="W35" i="1"/>
  <c r="Z35" i="1"/>
  <c r="X35" i="1"/>
  <c r="T35" i="1"/>
  <c r="S36" i="1"/>
  <c r="U35" i="1"/>
  <c r="V35" i="1" s="1"/>
  <c r="Y35" i="1"/>
  <c r="AF34" i="1"/>
  <c r="AB34" i="1"/>
  <c r="AE34" i="1"/>
  <c r="AA34" i="1"/>
  <c r="AG35" i="1" l="1"/>
  <c r="AC35" i="1"/>
  <c r="AB35" i="1"/>
  <c r="AF35" i="1"/>
  <c r="AH35" i="1"/>
  <c r="AD35" i="1"/>
  <c r="W36" i="1"/>
  <c r="S37" i="1"/>
  <c r="X36" i="1"/>
  <c r="T36" i="1"/>
  <c r="U36" i="1"/>
  <c r="V36" i="1" s="1"/>
  <c r="Y36" i="1"/>
  <c r="Z36" i="1"/>
  <c r="AA35" i="1"/>
  <c r="AE35" i="1"/>
  <c r="AG36" i="1" l="1"/>
  <c r="AC36" i="1"/>
  <c r="AE36" i="1"/>
  <c r="AA36" i="1"/>
  <c r="W37" i="1"/>
  <c r="Z37" i="1"/>
  <c r="X37" i="1"/>
  <c r="S38" i="1"/>
  <c r="Y37" i="1"/>
  <c r="U37" i="1"/>
  <c r="V37" i="1" s="1"/>
  <c r="T37" i="1"/>
  <c r="AH36" i="1"/>
  <c r="AD36" i="1"/>
  <c r="AF36" i="1"/>
  <c r="AB36" i="1"/>
  <c r="W38" i="1" l="1"/>
  <c r="S39" i="1"/>
  <c r="U38" i="1"/>
  <c r="V38" i="1" s="1"/>
  <c r="X38" i="1"/>
  <c r="Y38" i="1"/>
  <c r="Z38" i="1"/>
  <c r="T38" i="1"/>
  <c r="AF37" i="1"/>
  <c r="AB37" i="1"/>
  <c r="AH37" i="1"/>
  <c r="AD37" i="1"/>
  <c r="AG37" i="1"/>
  <c r="AC37" i="1"/>
  <c r="AA37" i="1"/>
  <c r="AE37" i="1"/>
  <c r="AF38" i="1" l="1"/>
  <c r="AB38" i="1"/>
  <c r="AD38" i="1"/>
  <c r="AH38" i="1"/>
  <c r="W39" i="1"/>
  <c r="Y39" i="1"/>
  <c r="T39" i="1"/>
  <c r="U39" i="1"/>
  <c r="V39" i="1" s="1"/>
  <c r="Z39" i="1"/>
  <c r="X39" i="1"/>
  <c r="S40" i="1"/>
  <c r="AG38" i="1"/>
  <c r="AC38" i="1"/>
  <c r="AA38" i="1"/>
  <c r="AE38" i="1"/>
  <c r="W40" i="1" l="1"/>
  <c r="S41" i="1"/>
  <c r="U40" i="1"/>
  <c r="V40" i="1" s="1"/>
  <c r="X40" i="1"/>
  <c r="Y40" i="1"/>
  <c r="Z40" i="1"/>
  <c r="T40" i="1"/>
  <c r="AF39" i="1"/>
  <c r="AB39" i="1"/>
  <c r="AC39" i="1"/>
  <c r="AG39" i="1"/>
  <c r="AH39" i="1"/>
  <c r="AD39" i="1"/>
  <c r="AE39" i="1"/>
  <c r="AA39" i="1"/>
  <c r="W41" i="1" l="1"/>
  <c r="Z41" i="1"/>
  <c r="X41" i="1"/>
  <c r="T41" i="1"/>
  <c r="S42" i="1"/>
  <c r="Y41" i="1"/>
  <c r="U41" i="1"/>
  <c r="V41" i="1" s="1"/>
  <c r="AF40" i="1"/>
  <c r="AB40" i="1"/>
  <c r="AH40" i="1"/>
  <c r="AD40" i="1"/>
  <c r="AG40" i="1"/>
  <c r="AC40" i="1"/>
  <c r="AE40" i="1"/>
  <c r="AA40" i="1"/>
  <c r="AF41" i="1" l="1"/>
  <c r="AB41" i="1"/>
  <c r="AG41" i="1"/>
  <c r="AC41" i="1"/>
  <c r="AH41" i="1"/>
  <c r="AD41" i="1"/>
  <c r="W42" i="1"/>
  <c r="S43" i="1"/>
  <c r="T42" i="1"/>
  <c r="U42" i="1"/>
  <c r="V42" i="1" s="1"/>
  <c r="Z42" i="1"/>
  <c r="X42" i="1"/>
  <c r="Y42" i="1"/>
  <c r="AA41" i="1"/>
  <c r="AE41" i="1"/>
  <c r="W43" i="1" l="1"/>
  <c r="Z43" i="1"/>
  <c r="X43" i="1"/>
  <c r="S44" i="1"/>
  <c r="T43" i="1"/>
  <c r="Y43" i="1"/>
  <c r="U43" i="1"/>
  <c r="V43" i="1" s="1"/>
  <c r="AB42" i="1"/>
  <c r="AF42" i="1"/>
  <c r="AH42" i="1"/>
  <c r="AD42" i="1"/>
  <c r="AE42" i="1"/>
  <c r="AA42" i="1"/>
  <c r="AG42" i="1"/>
  <c r="AC42" i="1"/>
  <c r="W44" i="1" l="1"/>
  <c r="S45" i="1"/>
  <c r="Z44" i="1"/>
  <c r="T44" i="1"/>
  <c r="Y44" i="1"/>
  <c r="X44" i="1"/>
  <c r="U44" i="1"/>
  <c r="V44" i="1" s="1"/>
  <c r="AB43" i="1"/>
  <c r="AF43" i="1"/>
  <c r="AG43" i="1"/>
  <c r="AC43" i="1"/>
  <c r="AH43" i="1"/>
  <c r="AD43" i="1"/>
  <c r="AE43" i="1"/>
  <c r="AA43" i="1"/>
  <c r="AH44" i="1" l="1"/>
  <c r="AD44" i="1"/>
  <c r="AF44" i="1"/>
  <c r="AB44" i="1"/>
  <c r="W45" i="1"/>
  <c r="Z45" i="1"/>
  <c r="X45" i="1"/>
  <c r="T45" i="1"/>
  <c r="S46" i="1"/>
  <c r="Y45" i="1"/>
  <c r="U45" i="1"/>
  <c r="V45" i="1" s="1"/>
  <c r="AG44" i="1"/>
  <c r="AC44" i="1"/>
  <c r="AE44" i="1"/>
  <c r="AA44" i="1"/>
  <c r="AB45" i="1" l="1"/>
  <c r="AF45" i="1"/>
  <c r="AC45" i="1"/>
  <c r="AG45" i="1"/>
  <c r="AH45" i="1"/>
  <c r="AD45" i="1"/>
  <c r="W46" i="1"/>
  <c r="S47" i="1"/>
  <c r="Y46" i="1"/>
  <c r="T46" i="1"/>
  <c r="U46" i="1"/>
  <c r="V46" i="1" s="1"/>
  <c r="Z46" i="1"/>
  <c r="X46" i="1"/>
  <c r="AE45" i="1"/>
  <c r="AA45" i="1"/>
  <c r="AD46" i="1" l="1"/>
  <c r="AH46" i="1"/>
  <c r="AE46" i="1"/>
  <c r="AA46" i="1"/>
  <c r="W47" i="1"/>
  <c r="Z47" i="1"/>
  <c r="X47" i="1"/>
  <c r="T47" i="1"/>
  <c r="S48" i="1"/>
  <c r="Y47" i="1"/>
  <c r="U47" i="1"/>
  <c r="V47" i="1" s="1"/>
  <c r="AB46" i="1"/>
  <c r="AF46" i="1"/>
  <c r="AG46" i="1"/>
  <c r="AC46" i="1"/>
  <c r="AB47" i="1" l="1"/>
  <c r="AF47" i="1"/>
  <c r="AG47" i="1"/>
  <c r="AC47" i="1"/>
  <c r="AH47" i="1"/>
  <c r="AD47" i="1"/>
  <c r="W48" i="1"/>
  <c r="S49" i="1"/>
  <c r="X48" i="1"/>
  <c r="T48" i="1"/>
  <c r="U48" i="1"/>
  <c r="V48" i="1" s="1"/>
  <c r="Z48" i="1"/>
  <c r="Y48" i="1"/>
  <c r="AE47" i="1"/>
  <c r="AA47" i="1"/>
  <c r="W49" i="1" l="1"/>
  <c r="Z49" i="1"/>
  <c r="X49" i="1"/>
  <c r="S50" i="1"/>
  <c r="Y49" i="1"/>
  <c r="U49" i="1"/>
  <c r="V49" i="1" s="1"/>
  <c r="T49" i="1"/>
  <c r="AH48" i="1"/>
  <c r="AD48" i="1"/>
  <c r="AE48" i="1"/>
  <c r="AA48" i="1"/>
  <c r="AG48" i="1"/>
  <c r="AC48" i="1"/>
  <c r="AF48" i="1"/>
  <c r="AB48" i="1"/>
  <c r="AF49" i="1" l="1"/>
  <c r="AB49" i="1"/>
  <c r="AD49" i="1"/>
  <c r="AH49" i="1"/>
  <c r="W50" i="1"/>
  <c r="S51" i="1"/>
  <c r="T50" i="1"/>
  <c r="Y50" i="1"/>
  <c r="Z50" i="1"/>
  <c r="U50" i="1"/>
  <c r="V50" i="1" s="1"/>
  <c r="X50" i="1"/>
  <c r="AG49" i="1"/>
  <c r="AC49" i="1"/>
  <c r="AE49" i="1"/>
  <c r="AA49" i="1"/>
  <c r="AB50" i="1" l="1"/>
  <c r="AF50" i="1"/>
  <c r="W51" i="1"/>
  <c r="Z51" i="1"/>
  <c r="X51" i="1"/>
  <c r="T51" i="1"/>
  <c r="S52" i="1"/>
  <c r="Y51" i="1"/>
  <c r="U51" i="1"/>
  <c r="V51" i="1" s="1"/>
  <c r="AG50" i="1"/>
  <c r="AC50" i="1"/>
  <c r="AD50" i="1"/>
  <c r="AH50" i="1"/>
  <c r="AE50" i="1"/>
  <c r="AA50" i="1"/>
  <c r="W52" i="1" l="1"/>
  <c r="S53" i="1"/>
  <c r="T52" i="1"/>
  <c r="U52" i="1"/>
  <c r="V52" i="1" s="1"/>
  <c r="X52" i="1"/>
  <c r="Y52" i="1"/>
  <c r="Z52" i="1"/>
  <c r="AE51" i="1"/>
  <c r="AA51" i="1"/>
  <c r="AG51" i="1"/>
  <c r="AC51" i="1"/>
  <c r="AH51" i="1"/>
  <c r="AD51" i="1"/>
  <c r="AF51" i="1"/>
  <c r="AB51" i="1"/>
  <c r="AG52" i="1" l="1"/>
  <c r="AC52" i="1"/>
  <c r="W53" i="1"/>
  <c r="Z53" i="1"/>
  <c r="X53" i="1"/>
  <c r="T53" i="1"/>
  <c r="S54" i="1"/>
  <c r="Y53" i="1"/>
  <c r="U53" i="1"/>
  <c r="V53" i="1" s="1"/>
  <c r="AH52" i="1"/>
  <c r="AD52" i="1"/>
  <c r="AF52" i="1"/>
  <c r="AB52" i="1"/>
  <c r="AE52" i="1"/>
  <c r="AA52" i="1"/>
  <c r="AE53" i="1" l="1"/>
  <c r="AA53" i="1"/>
  <c r="AG53" i="1"/>
  <c r="AC53" i="1"/>
  <c r="W54" i="1"/>
  <c r="S55" i="1"/>
  <c r="U54" i="1"/>
  <c r="V54" i="1" s="1"/>
  <c r="X54" i="1"/>
  <c r="Y54" i="1"/>
  <c r="Z54" i="1"/>
  <c r="T54" i="1"/>
  <c r="AH53" i="1"/>
  <c r="AD53" i="1"/>
  <c r="AB53" i="1"/>
  <c r="AF53" i="1"/>
  <c r="AH54" i="1" l="1"/>
  <c r="AD54" i="1"/>
  <c r="W55" i="1"/>
  <c r="Z55" i="1"/>
  <c r="X55" i="1"/>
  <c r="T55" i="1"/>
  <c r="S56" i="1"/>
  <c r="Y55" i="1"/>
  <c r="U55" i="1"/>
  <c r="V55" i="1" s="1"/>
  <c r="AF54" i="1"/>
  <c r="AB54" i="1"/>
  <c r="AG54" i="1"/>
  <c r="AC54" i="1"/>
  <c r="AE54" i="1"/>
  <c r="AA54" i="1"/>
  <c r="W56" i="1" l="1"/>
  <c r="S57" i="1"/>
  <c r="T56" i="1"/>
  <c r="U56" i="1"/>
  <c r="V56" i="1" s="1"/>
  <c r="X56" i="1"/>
  <c r="Y56" i="1"/>
  <c r="Z56" i="1"/>
  <c r="AA55" i="1"/>
  <c r="AE55" i="1"/>
  <c r="AG55" i="1"/>
  <c r="AC55" i="1"/>
  <c r="AH55" i="1"/>
  <c r="AD55" i="1"/>
  <c r="AF55" i="1"/>
  <c r="AB55" i="1"/>
  <c r="AH56" i="1" l="1"/>
  <c r="AD56" i="1"/>
  <c r="AG56" i="1"/>
  <c r="AC56" i="1"/>
  <c r="W57" i="1"/>
  <c r="Z57" i="1"/>
  <c r="X57" i="1"/>
  <c r="T57" i="1"/>
  <c r="S58" i="1"/>
  <c r="Y57" i="1"/>
  <c r="U57" i="1"/>
  <c r="V57" i="1" s="1"/>
  <c r="AF56" i="1"/>
  <c r="AB56" i="1"/>
  <c r="AE56" i="1"/>
  <c r="AA56" i="1"/>
  <c r="AB57" i="1" l="1"/>
  <c r="AF57" i="1"/>
  <c r="AG57" i="1"/>
  <c r="AC57" i="1"/>
  <c r="AH57" i="1"/>
  <c r="AD57" i="1"/>
  <c r="W58" i="1"/>
  <c r="Z58" i="1"/>
  <c r="T58" i="1"/>
  <c r="U58" i="1"/>
  <c r="V58" i="1" s="1"/>
  <c r="Y58" i="1"/>
  <c r="X58" i="1"/>
  <c r="S59" i="1"/>
  <c r="AE57" i="1"/>
  <c r="AA57" i="1"/>
  <c r="AB58" i="1" l="1"/>
  <c r="AF58" i="1"/>
  <c r="AG58" i="1"/>
  <c r="AC58" i="1"/>
  <c r="AE58" i="1"/>
  <c r="AA58" i="1"/>
  <c r="AD58" i="1"/>
  <c r="AH58" i="1"/>
  <c r="W59" i="1"/>
  <c r="U59" i="1"/>
  <c r="V59" i="1" s="1"/>
  <c r="X59" i="1"/>
  <c r="S60" i="1"/>
  <c r="Z59" i="1"/>
  <c r="Y59" i="1"/>
  <c r="T59" i="1"/>
  <c r="AF59" i="1" l="1"/>
  <c r="AB59" i="1"/>
  <c r="W60" i="1"/>
  <c r="S61" i="1"/>
  <c r="X60" i="1"/>
  <c r="Z60" i="1"/>
  <c r="U60" i="1"/>
  <c r="V60" i="1" s="1"/>
  <c r="Y60" i="1"/>
  <c r="T60" i="1"/>
  <c r="AG59" i="1"/>
  <c r="AC59" i="1"/>
  <c r="AD59" i="1"/>
  <c r="AH59" i="1"/>
  <c r="AA59" i="1"/>
  <c r="AE59" i="1"/>
  <c r="AG60" i="1" l="1"/>
  <c r="AC60" i="1"/>
  <c r="AE60" i="1"/>
  <c r="AA60" i="1"/>
  <c r="AD60" i="1"/>
  <c r="AH60" i="1"/>
  <c r="W61" i="1"/>
  <c r="U61" i="1"/>
  <c r="V61" i="1" s="1"/>
  <c r="X61" i="1"/>
  <c r="S62" i="1"/>
  <c r="Z61" i="1"/>
  <c r="Y61" i="1"/>
  <c r="T61" i="1"/>
  <c r="AB60" i="1"/>
  <c r="AF60" i="1"/>
  <c r="AG61" i="1" l="1"/>
  <c r="AC61" i="1"/>
  <c r="AD61" i="1"/>
  <c r="AH61" i="1"/>
  <c r="AA61" i="1"/>
  <c r="AE61" i="1"/>
  <c r="W62" i="1"/>
  <c r="S63" i="1"/>
  <c r="X62" i="1"/>
  <c r="Z62" i="1"/>
  <c r="U62" i="1"/>
  <c r="V62" i="1" s="1"/>
  <c r="T62" i="1"/>
  <c r="Y62" i="1"/>
  <c r="AF61" i="1"/>
  <c r="AB61" i="1"/>
  <c r="W63" i="1" l="1"/>
  <c r="S64" i="1"/>
  <c r="Z63" i="1"/>
  <c r="T63" i="1"/>
  <c r="Y63" i="1"/>
  <c r="U63" i="1"/>
  <c r="V63" i="1" s="1"/>
  <c r="X63" i="1"/>
  <c r="AE62" i="1"/>
  <c r="AA62" i="1"/>
  <c r="AD62" i="1"/>
  <c r="AH62" i="1"/>
  <c r="AG62" i="1"/>
  <c r="AC62" i="1"/>
  <c r="AF62" i="1"/>
  <c r="AB62" i="1"/>
  <c r="AB63" i="1" l="1"/>
  <c r="AF63" i="1"/>
  <c r="AD63" i="1"/>
  <c r="AH63" i="1"/>
  <c r="W64" i="1"/>
  <c r="S65" i="1"/>
  <c r="T64" i="1"/>
  <c r="X64" i="1"/>
  <c r="Z64" i="1"/>
  <c r="U64" i="1"/>
  <c r="V64" i="1" s="1"/>
  <c r="Y64" i="1"/>
  <c r="AG63" i="1"/>
  <c r="AC63" i="1"/>
  <c r="AA63" i="1"/>
  <c r="AE63" i="1"/>
  <c r="AC64" i="1" l="1"/>
  <c r="AG64" i="1"/>
  <c r="W65" i="1"/>
  <c r="U65" i="1"/>
  <c r="V65" i="1" s="1"/>
  <c r="T65" i="1"/>
  <c r="X65" i="1"/>
  <c r="S66" i="1"/>
  <c r="Z65" i="1"/>
  <c r="Y65" i="1"/>
  <c r="AB64" i="1"/>
  <c r="AF64" i="1"/>
  <c r="AH64" i="1"/>
  <c r="AD64" i="1"/>
  <c r="AE64" i="1"/>
  <c r="AA64" i="1"/>
  <c r="W66" i="1" l="1"/>
  <c r="Y66" i="1"/>
  <c r="T66" i="1"/>
  <c r="U66" i="1"/>
  <c r="V66" i="1" s="1"/>
  <c r="Z66" i="1"/>
  <c r="X66" i="1"/>
  <c r="S67" i="1"/>
  <c r="AA65" i="1"/>
  <c r="AE65" i="1"/>
  <c r="AF65" i="1"/>
  <c r="AB65" i="1"/>
  <c r="AD65" i="1"/>
  <c r="AH65" i="1"/>
  <c r="AG65" i="1"/>
  <c r="AC65" i="1"/>
  <c r="W67" i="1" l="1"/>
  <c r="U67" i="1"/>
  <c r="V67" i="1" s="1"/>
  <c r="T67" i="1"/>
  <c r="S68" i="1"/>
  <c r="Y67" i="1"/>
  <c r="X67" i="1"/>
  <c r="Z67" i="1"/>
  <c r="AC66" i="1"/>
  <c r="AG66" i="1"/>
  <c r="AB66" i="1"/>
  <c r="AF66" i="1"/>
  <c r="AD66" i="1"/>
  <c r="AH66" i="1"/>
  <c r="AE66" i="1"/>
  <c r="AA66" i="1"/>
  <c r="AH67" i="1" l="1"/>
  <c r="AD67" i="1"/>
  <c r="AF67" i="1"/>
  <c r="AB67" i="1"/>
  <c r="W68" i="1"/>
  <c r="Y68" i="1"/>
  <c r="T68" i="1"/>
  <c r="U68" i="1"/>
  <c r="V68" i="1" s="1"/>
  <c r="Z68" i="1"/>
  <c r="X68" i="1"/>
  <c r="S69" i="1"/>
  <c r="AG67" i="1"/>
  <c r="AC67" i="1"/>
  <c r="AE67" i="1"/>
  <c r="AA67" i="1"/>
  <c r="W69" i="1" l="1"/>
  <c r="S70" i="1"/>
  <c r="Z69" i="1"/>
  <c r="X69" i="1"/>
  <c r="T69" i="1"/>
  <c r="Y69" i="1"/>
  <c r="U69" i="1"/>
  <c r="V69" i="1" s="1"/>
  <c r="AG68" i="1"/>
  <c r="AC68" i="1"/>
  <c r="AB68" i="1"/>
  <c r="AF68" i="1"/>
  <c r="AH68" i="1"/>
  <c r="AD68" i="1"/>
  <c r="AE68" i="1"/>
  <c r="AA68" i="1"/>
  <c r="AH69" i="1" l="1"/>
  <c r="AD69" i="1"/>
  <c r="W70" i="1"/>
  <c r="Z70" i="1"/>
  <c r="X70" i="1"/>
  <c r="T70" i="1"/>
  <c r="S71" i="1"/>
  <c r="Y70" i="1"/>
  <c r="U70" i="1"/>
  <c r="V70" i="1" s="1"/>
  <c r="AF69" i="1"/>
  <c r="AB69" i="1"/>
  <c r="AG69" i="1"/>
  <c r="AC69" i="1"/>
  <c r="AE69" i="1"/>
  <c r="AA69" i="1"/>
  <c r="W71" i="1" l="1"/>
  <c r="U71" i="1"/>
  <c r="V71" i="1" s="1"/>
  <c r="X71" i="1"/>
  <c r="S72" i="1"/>
  <c r="Z71" i="1"/>
  <c r="Y71" i="1"/>
  <c r="T71" i="1"/>
  <c r="AA70" i="1"/>
  <c r="AE70" i="1"/>
  <c r="AH70" i="1"/>
  <c r="AD70" i="1"/>
  <c r="AG70" i="1"/>
  <c r="AC70" i="1"/>
  <c r="AB70" i="1"/>
  <c r="AF70" i="1"/>
  <c r="AF71" i="1" l="1"/>
  <c r="AB71" i="1"/>
  <c r="W72" i="1"/>
  <c r="Y72" i="1"/>
  <c r="T72" i="1"/>
  <c r="U72" i="1"/>
  <c r="V72" i="1" s="1"/>
  <c r="Z72" i="1"/>
  <c r="X72" i="1"/>
  <c r="S73" i="1"/>
  <c r="AG71" i="1"/>
  <c r="AC71" i="1"/>
  <c r="AH71" i="1"/>
  <c r="AD71" i="1"/>
  <c r="AE71" i="1"/>
  <c r="AA71" i="1"/>
  <c r="AF72" i="1" l="1"/>
  <c r="AB72" i="1"/>
  <c r="AD72" i="1"/>
  <c r="AH72" i="1"/>
  <c r="AE72" i="1"/>
  <c r="AA72" i="1"/>
  <c r="AG72" i="1"/>
  <c r="AC72" i="1"/>
  <c r="W73" i="1"/>
  <c r="S74" i="1"/>
  <c r="Z73" i="1"/>
  <c r="Y73" i="1"/>
  <c r="U73" i="1"/>
  <c r="V73" i="1" s="1"/>
  <c r="X73" i="1"/>
  <c r="T73" i="1"/>
  <c r="AE73" i="1" l="1"/>
  <c r="AA73" i="1"/>
  <c r="AC73" i="1"/>
  <c r="AG73" i="1"/>
  <c r="AH73" i="1"/>
  <c r="AD73" i="1"/>
  <c r="AF73" i="1"/>
  <c r="AB73" i="1"/>
  <c r="W74" i="1"/>
  <c r="Y74" i="1"/>
  <c r="T74" i="1"/>
  <c r="U74" i="1"/>
  <c r="V74" i="1" s="1"/>
  <c r="X74" i="1"/>
  <c r="S75" i="1"/>
  <c r="Z74" i="1"/>
  <c r="W75" i="1" l="1"/>
  <c r="S76" i="1"/>
  <c r="Z75" i="1"/>
  <c r="Y75" i="1"/>
  <c r="U75" i="1"/>
  <c r="V75" i="1" s="1"/>
  <c r="X75" i="1"/>
  <c r="T75" i="1"/>
  <c r="AH74" i="1"/>
  <c r="AD74" i="1"/>
  <c r="AG74" i="1"/>
  <c r="AC74" i="1"/>
  <c r="AF74" i="1"/>
  <c r="AB74" i="1"/>
  <c r="AE74" i="1"/>
  <c r="AA74" i="1"/>
  <c r="AG75" i="1" l="1"/>
  <c r="AC75" i="1"/>
  <c r="AD75" i="1"/>
  <c r="AH75" i="1"/>
  <c r="AF75" i="1"/>
  <c r="AB75" i="1"/>
  <c r="W76" i="1"/>
  <c r="Z76" i="1"/>
  <c r="X76" i="1"/>
  <c r="T76" i="1"/>
  <c r="S77" i="1"/>
  <c r="Y76" i="1"/>
  <c r="U76" i="1"/>
  <c r="V76" i="1" s="1"/>
  <c r="AA75" i="1"/>
  <c r="AE75" i="1"/>
  <c r="W77" i="1" l="1"/>
  <c r="U77" i="1"/>
  <c r="V77" i="1" s="1"/>
  <c r="X77" i="1"/>
  <c r="S78" i="1"/>
  <c r="Z77" i="1"/>
  <c r="Y77" i="1"/>
  <c r="T77" i="1"/>
  <c r="AE76" i="1"/>
  <c r="AA76" i="1"/>
  <c r="AH76" i="1"/>
  <c r="AD76" i="1"/>
  <c r="AG76" i="1"/>
  <c r="AC76" i="1"/>
  <c r="AF76" i="1"/>
  <c r="AB76" i="1"/>
  <c r="W78" i="1" l="1"/>
  <c r="Y78" i="1"/>
  <c r="T78" i="1"/>
  <c r="Z78" i="1"/>
  <c r="X78" i="1"/>
  <c r="S79" i="1"/>
  <c r="U78" i="1"/>
  <c r="V78" i="1" s="1"/>
  <c r="AF77" i="1"/>
  <c r="AB77" i="1"/>
  <c r="AG77" i="1"/>
  <c r="AC77" i="1"/>
  <c r="AH77" i="1"/>
  <c r="AD77" i="1"/>
  <c r="AE77" i="1"/>
  <c r="AA77" i="1"/>
  <c r="AD78" i="1" l="1"/>
  <c r="AH78" i="1"/>
  <c r="W79" i="1"/>
  <c r="S80" i="1"/>
  <c r="Z79" i="1"/>
  <c r="Y79" i="1"/>
  <c r="U79" i="1"/>
  <c r="V79" i="1" s="1"/>
  <c r="X79" i="1"/>
  <c r="T79" i="1"/>
  <c r="AG78" i="1"/>
  <c r="AC78" i="1"/>
  <c r="AF78" i="1"/>
  <c r="AB78" i="1"/>
  <c r="AE78" i="1"/>
  <c r="AA78" i="1"/>
  <c r="AA79" i="1" l="1"/>
  <c r="AE79" i="1"/>
  <c r="W80" i="1"/>
  <c r="Z80" i="1"/>
  <c r="X80" i="1"/>
  <c r="T80" i="1"/>
  <c r="S81" i="1"/>
  <c r="Y80" i="1"/>
  <c r="U80" i="1"/>
  <c r="V80" i="1" s="1"/>
  <c r="AG79" i="1"/>
  <c r="AC79" i="1"/>
  <c r="AF79" i="1"/>
  <c r="AB79" i="1"/>
  <c r="AD79" i="1"/>
  <c r="AH79" i="1"/>
  <c r="AG80" i="1" l="1"/>
  <c r="AC80" i="1"/>
  <c r="W81" i="1"/>
  <c r="U81" i="1"/>
  <c r="V81" i="1" s="1"/>
  <c r="X81" i="1"/>
  <c r="S82" i="1"/>
  <c r="Z81" i="1"/>
  <c r="Y81" i="1"/>
  <c r="T81" i="1"/>
  <c r="AE80" i="1"/>
  <c r="AA80" i="1"/>
  <c r="AH80" i="1"/>
  <c r="AD80" i="1"/>
  <c r="AF80" i="1"/>
  <c r="AB80" i="1"/>
  <c r="AG81" i="1" l="1"/>
  <c r="AC81" i="1"/>
  <c r="AH81" i="1"/>
  <c r="AD81" i="1"/>
  <c r="AE81" i="1"/>
  <c r="AA81" i="1"/>
  <c r="W82" i="1"/>
  <c r="Y82" i="1"/>
  <c r="T82" i="1"/>
  <c r="Z82" i="1"/>
  <c r="X82" i="1"/>
  <c r="S83" i="1"/>
  <c r="U82" i="1"/>
  <c r="V82" i="1" s="1"/>
  <c r="AF81" i="1"/>
  <c r="AB81" i="1"/>
  <c r="X83" i="1" l="1"/>
  <c r="W83" i="1"/>
  <c r="S84" i="1"/>
  <c r="Z83" i="1"/>
  <c r="T83" i="1"/>
  <c r="Y83" i="1"/>
  <c r="U83" i="1"/>
  <c r="V83" i="1" s="1"/>
  <c r="AC82" i="1"/>
  <c r="AG82" i="1"/>
  <c r="AF82" i="1"/>
  <c r="AB82" i="1"/>
  <c r="AE82" i="1"/>
  <c r="AA82" i="1"/>
  <c r="AH82" i="1"/>
  <c r="AD82" i="1"/>
  <c r="Y84" i="1" l="1"/>
  <c r="U84" i="1"/>
  <c r="V84" i="1" s="1"/>
  <c r="W84" i="1"/>
  <c r="Z84" i="1"/>
  <c r="X84" i="1"/>
  <c r="T84" i="1"/>
  <c r="S85" i="1"/>
  <c r="AH83" i="1"/>
  <c r="AD83" i="1"/>
  <c r="AG83" i="1"/>
  <c r="AC83" i="1"/>
  <c r="AE83" i="1"/>
  <c r="AA83" i="1"/>
  <c r="AB83" i="1"/>
  <c r="AF83" i="1"/>
  <c r="AH84" i="1" l="1"/>
  <c r="AD84" i="1"/>
  <c r="W85" i="1"/>
  <c r="U85" i="1"/>
  <c r="V85" i="1" s="1"/>
  <c r="T85" i="1"/>
  <c r="X85" i="1"/>
  <c r="S86" i="1"/>
  <c r="Z85" i="1"/>
  <c r="Y85" i="1"/>
  <c r="AE84" i="1"/>
  <c r="AA84" i="1"/>
  <c r="AF84" i="1"/>
  <c r="AB84" i="1"/>
  <c r="AG84" i="1"/>
  <c r="AC84" i="1"/>
  <c r="AH85" i="1" l="1"/>
  <c r="AD85" i="1"/>
  <c r="AF85" i="1"/>
  <c r="AB85" i="1"/>
  <c r="W86" i="1"/>
  <c r="Y86" i="1"/>
  <c r="T86" i="1"/>
  <c r="Z86" i="1"/>
  <c r="U86" i="1"/>
  <c r="V86" i="1" s="1"/>
  <c r="X86" i="1"/>
  <c r="S87" i="1"/>
  <c r="AE85" i="1"/>
  <c r="AA85" i="1"/>
  <c r="AG85" i="1"/>
  <c r="AC85" i="1"/>
  <c r="W87" i="1" l="1"/>
  <c r="U87" i="1"/>
  <c r="V87" i="1" s="1"/>
  <c r="X87" i="1"/>
  <c r="S88" i="1"/>
  <c r="Z87" i="1"/>
  <c r="Y87" i="1"/>
  <c r="T87" i="1"/>
  <c r="AB86" i="1"/>
  <c r="AF86" i="1"/>
  <c r="AC86" i="1"/>
  <c r="AG86" i="1"/>
  <c r="AH86" i="1"/>
  <c r="AD86" i="1"/>
  <c r="AE86" i="1"/>
  <c r="AA86" i="1"/>
  <c r="AF87" i="1" l="1"/>
  <c r="AB87" i="1"/>
  <c r="AG87" i="1"/>
  <c r="AC87" i="1"/>
  <c r="W88" i="1"/>
  <c r="Y88" i="1"/>
  <c r="T88" i="1"/>
  <c r="U88" i="1"/>
  <c r="V88" i="1" s="1"/>
  <c r="Z88" i="1"/>
  <c r="X88" i="1"/>
  <c r="S89" i="1"/>
  <c r="AH87" i="1"/>
  <c r="AD87" i="1"/>
  <c r="AE87" i="1"/>
  <c r="AA87" i="1"/>
  <c r="W89" i="1" l="1"/>
  <c r="U89" i="1"/>
  <c r="V89" i="1" s="1"/>
  <c r="T89" i="1"/>
  <c r="S90" i="1"/>
  <c r="Y89" i="1"/>
  <c r="X89" i="1"/>
  <c r="Z89" i="1"/>
  <c r="AG88" i="1"/>
  <c r="AC88" i="1"/>
  <c r="AB88" i="1"/>
  <c r="AF88" i="1"/>
  <c r="AH88" i="1"/>
  <c r="AD88" i="1"/>
  <c r="AA88" i="1"/>
  <c r="AE88" i="1"/>
  <c r="AH89" i="1" l="1"/>
  <c r="AD89" i="1"/>
  <c r="W90" i="1"/>
  <c r="Z90" i="1"/>
  <c r="T90" i="1"/>
  <c r="S91" i="1"/>
  <c r="Y90" i="1"/>
  <c r="U90" i="1"/>
  <c r="V90" i="1" s="1"/>
  <c r="X90" i="1"/>
  <c r="AF89" i="1"/>
  <c r="AB89" i="1"/>
  <c r="AG89" i="1"/>
  <c r="AC89" i="1"/>
  <c r="AE89" i="1"/>
  <c r="AA89" i="1"/>
  <c r="AD90" i="1" l="1"/>
  <c r="AH90" i="1"/>
  <c r="AG90" i="1"/>
  <c r="AC90" i="1"/>
  <c r="W91" i="1"/>
  <c r="Z91" i="1"/>
  <c r="T91" i="1"/>
  <c r="S92" i="1"/>
  <c r="X91" i="1"/>
  <c r="Y91" i="1"/>
  <c r="U91" i="1"/>
  <c r="V91" i="1" s="1"/>
  <c r="AA90" i="1"/>
  <c r="AE90" i="1"/>
  <c r="AF90" i="1"/>
  <c r="AB90" i="1"/>
  <c r="W92" i="1" l="1"/>
  <c r="Y92" i="1"/>
  <c r="T92" i="1"/>
  <c r="U92" i="1"/>
  <c r="V92" i="1" s="1"/>
  <c r="Z92" i="1"/>
  <c r="X92" i="1"/>
  <c r="S93" i="1"/>
  <c r="AC91" i="1"/>
  <c r="AG91" i="1"/>
  <c r="AH91" i="1"/>
  <c r="AD91" i="1"/>
  <c r="AF91" i="1"/>
  <c r="AB91" i="1"/>
  <c r="AA91" i="1"/>
  <c r="AE91" i="1"/>
  <c r="W93" i="1" l="1"/>
  <c r="U93" i="1"/>
  <c r="V93" i="1" s="1"/>
  <c r="T93" i="1"/>
  <c r="S94" i="1"/>
  <c r="X93" i="1"/>
  <c r="Y93" i="1"/>
  <c r="Z93" i="1"/>
  <c r="AB92" i="1"/>
  <c r="AF92" i="1"/>
  <c r="AG92" i="1"/>
  <c r="AC92" i="1"/>
  <c r="AD92" i="1"/>
  <c r="AH92" i="1"/>
  <c r="AA92" i="1"/>
  <c r="AE92" i="1"/>
  <c r="W94" i="1" l="1"/>
  <c r="Y94" i="1"/>
  <c r="T94" i="1"/>
  <c r="U94" i="1"/>
  <c r="V94" i="1" s="1"/>
  <c r="Z94" i="1"/>
  <c r="X94" i="1"/>
  <c r="S95" i="1"/>
  <c r="AH93" i="1"/>
  <c r="AD93" i="1"/>
  <c r="AG93" i="1"/>
  <c r="AC93" i="1"/>
  <c r="AF93" i="1"/>
  <c r="AB93" i="1"/>
  <c r="AA93" i="1"/>
  <c r="AE93" i="1"/>
  <c r="Z95" i="1" l="1"/>
  <c r="W95" i="1"/>
  <c r="U95" i="1"/>
  <c r="V95" i="1" s="1"/>
  <c r="T95" i="1"/>
  <c r="S96" i="1"/>
  <c r="X95" i="1"/>
  <c r="Y95" i="1"/>
  <c r="AF94" i="1"/>
  <c r="AB94" i="1"/>
  <c r="AG94" i="1"/>
  <c r="AC94" i="1"/>
  <c r="AH94" i="1"/>
  <c r="AD94" i="1"/>
  <c r="AA94" i="1"/>
  <c r="AE94" i="1"/>
  <c r="AG95" i="1" l="1"/>
  <c r="AC95" i="1"/>
  <c r="AF95" i="1"/>
  <c r="AB95" i="1"/>
  <c r="AE95" i="1"/>
  <c r="AA95" i="1"/>
  <c r="W96" i="1"/>
  <c r="Z96" i="1"/>
  <c r="X96" i="1"/>
  <c r="T96" i="1"/>
  <c r="S97" i="1"/>
  <c r="Y96" i="1"/>
  <c r="U96" i="1"/>
  <c r="V96" i="1" s="1"/>
  <c r="AH95" i="1"/>
  <c r="AD95" i="1"/>
  <c r="AG96" i="1" l="1"/>
  <c r="AC96" i="1"/>
  <c r="W97" i="1"/>
  <c r="U97" i="1"/>
  <c r="V97" i="1" s="1"/>
  <c r="T97" i="1"/>
  <c r="S98" i="1"/>
  <c r="X97" i="1"/>
  <c r="Y97" i="1"/>
  <c r="Z97" i="1"/>
  <c r="AE96" i="1"/>
  <c r="AA96" i="1"/>
  <c r="AH96" i="1"/>
  <c r="AD96" i="1"/>
  <c r="AB96" i="1"/>
  <c r="AF96" i="1"/>
  <c r="AA97" i="1" l="1"/>
  <c r="AE97" i="1"/>
  <c r="U98" i="1"/>
  <c r="V98" i="1" s="1"/>
  <c r="W98" i="1"/>
  <c r="Z98" i="1"/>
  <c r="X98" i="1"/>
  <c r="T98" i="1"/>
  <c r="S99" i="1"/>
  <c r="Y98" i="1"/>
  <c r="AC97" i="1"/>
  <c r="AG97" i="1"/>
  <c r="AF97" i="1"/>
  <c r="AB97" i="1"/>
  <c r="AD97" i="1"/>
  <c r="AH97" i="1"/>
  <c r="AE98" i="1" l="1"/>
  <c r="AA98" i="1"/>
  <c r="AB98" i="1"/>
  <c r="AF98" i="1"/>
  <c r="W99" i="1"/>
  <c r="U99" i="1"/>
  <c r="V99" i="1" s="1"/>
  <c r="T99" i="1"/>
  <c r="S100" i="1"/>
  <c r="X99" i="1"/>
  <c r="Y99" i="1"/>
  <c r="Z99" i="1"/>
  <c r="AG98" i="1"/>
  <c r="AC98" i="1"/>
  <c r="AH98" i="1"/>
  <c r="AD98" i="1"/>
  <c r="W100" i="1" l="1"/>
  <c r="Z100" i="1"/>
  <c r="X100" i="1"/>
  <c r="T100" i="1"/>
  <c r="S101" i="1"/>
  <c r="Y100" i="1"/>
  <c r="U100" i="1"/>
  <c r="V100" i="1" s="1"/>
  <c r="AD99" i="1"/>
  <c r="AH99" i="1"/>
  <c r="AG99" i="1"/>
  <c r="AC99" i="1"/>
  <c r="AF99" i="1"/>
  <c r="AB99" i="1"/>
  <c r="AE99" i="1"/>
  <c r="AA99" i="1"/>
  <c r="AF100" i="1" l="1"/>
  <c r="AB100" i="1"/>
  <c r="AG100" i="1"/>
  <c r="AC100" i="1"/>
  <c r="AH100" i="1"/>
  <c r="AD100" i="1"/>
  <c r="W101" i="1"/>
  <c r="U101" i="1"/>
  <c r="V101" i="1" s="1"/>
  <c r="T101" i="1"/>
  <c r="S102" i="1"/>
  <c r="X101" i="1"/>
  <c r="Z101" i="1"/>
  <c r="Y101" i="1"/>
  <c r="AE100" i="1"/>
  <c r="AA100" i="1"/>
  <c r="AF101" i="1" l="1"/>
  <c r="AB101" i="1"/>
  <c r="AE101" i="1"/>
  <c r="AA101" i="1"/>
  <c r="W102" i="1"/>
  <c r="Z102" i="1"/>
  <c r="X102" i="1"/>
  <c r="T102" i="1"/>
  <c r="S103" i="1"/>
  <c r="Y102" i="1"/>
  <c r="U102" i="1"/>
  <c r="V102" i="1" s="1"/>
  <c r="AH101" i="1"/>
  <c r="AD101" i="1"/>
  <c r="AG101" i="1"/>
  <c r="AC101" i="1"/>
  <c r="AB102" i="1" l="1"/>
  <c r="AF102" i="1"/>
  <c r="AG102" i="1"/>
  <c r="AC102" i="1"/>
  <c r="AH102" i="1"/>
  <c r="AD102" i="1"/>
  <c r="W103" i="1"/>
  <c r="U103" i="1"/>
  <c r="V103" i="1" s="1"/>
  <c r="T103" i="1"/>
  <c r="Y103" i="1"/>
  <c r="Z103" i="1"/>
  <c r="S104" i="1"/>
  <c r="X103" i="1"/>
  <c r="AA102" i="1"/>
  <c r="AE102" i="1"/>
  <c r="AH103" i="1" l="1"/>
  <c r="AD103" i="1"/>
  <c r="AA103" i="1"/>
  <c r="AE103" i="1"/>
  <c r="W104" i="1"/>
  <c r="Z104" i="1"/>
  <c r="X104" i="1"/>
  <c r="T104" i="1"/>
  <c r="S105" i="1"/>
  <c r="Y104" i="1"/>
  <c r="U104" i="1"/>
  <c r="V104" i="1" s="1"/>
  <c r="AG103" i="1"/>
  <c r="AC103" i="1"/>
  <c r="AF103" i="1"/>
  <c r="AB103" i="1"/>
  <c r="AF104" i="1" l="1"/>
  <c r="AB104" i="1"/>
  <c r="AG104" i="1"/>
  <c r="AC104" i="1"/>
  <c r="AD104" i="1"/>
  <c r="AH104" i="1"/>
  <c r="W105" i="1"/>
  <c r="X105" i="1"/>
  <c r="Y105" i="1"/>
  <c r="T105" i="1"/>
  <c r="Z105" i="1"/>
  <c r="U105" i="1"/>
  <c r="V105" i="1" s="1"/>
  <c r="S106" i="1"/>
  <c r="AA104" i="1"/>
  <c r="AE104" i="1"/>
  <c r="AH105" i="1" l="1"/>
  <c r="AD105" i="1"/>
  <c r="AE105" i="1"/>
  <c r="AA105" i="1"/>
  <c r="AF105" i="1"/>
  <c r="AB105" i="1"/>
  <c r="W106" i="1"/>
  <c r="Y106" i="1"/>
  <c r="U106" i="1"/>
  <c r="V106" i="1" s="1"/>
  <c r="Z106" i="1"/>
  <c r="X106" i="1"/>
  <c r="S107" i="1"/>
  <c r="T106" i="1"/>
  <c r="AC105" i="1"/>
  <c r="AG105" i="1"/>
  <c r="AG106" i="1" l="1"/>
  <c r="AC106" i="1"/>
  <c r="AB106" i="1"/>
  <c r="AF106" i="1"/>
  <c r="AA106" i="1"/>
  <c r="AE106" i="1"/>
  <c r="W107" i="1"/>
  <c r="U107" i="1"/>
  <c r="V107" i="1" s="1"/>
  <c r="T107" i="1"/>
  <c r="S108" i="1"/>
  <c r="X107" i="1"/>
  <c r="Y107" i="1"/>
  <c r="Z107" i="1"/>
  <c r="AH106" i="1"/>
  <c r="AD106" i="1"/>
  <c r="AG107" i="1" l="1"/>
  <c r="AC107" i="1"/>
  <c r="AF107" i="1"/>
  <c r="AB107" i="1"/>
  <c r="AA107" i="1"/>
  <c r="AE107" i="1"/>
  <c r="W108" i="1"/>
  <c r="Y108" i="1"/>
  <c r="T108" i="1"/>
  <c r="Z108" i="1"/>
  <c r="S109" i="1"/>
  <c r="U108" i="1"/>
  <c r="V108" i="1" s="1"/>
  <c r="X108" i="1"/>
  <c r="AH107" i="1"/>
  <c r="AD107" i="1"/>
  <c r="AG108" i="1" l="1"/>
  <c r="AC108" i="1"/>
  <c r="AA108" i="1"/>
  <c r="AE108" i="1"/>
  <c r="AH108" i="1"/>
  <c r="AD108" i="1"/>
  <c r="W109" i="1"/>
  <c r="U109" i="1"/>
  <c r="V109" i="1" s="1"/>
  <c r="S110" i="1"/>
  <c r="X109" i="1"/>
  <c r="Y109" i="1"/>
  <c r="Z109" i="1"/>
  <c r="T109" i="1"/>
  <c r="AB108" i="1"/>
  <c r="AF108" i="1"/>
  <c r="AH109" i="1" l="1"/>
  <c r="AD109" i="1"/>
  <c r="AG109" i="1"/>
  <c r="AC109" i="1"/>
  <c r="AE109" i="1"/>
  <c r="AA109" i="1"/>
  <c r="AF109" i="1"/>
  <c r="AB109" i="1"/>
  <c r="W110" i="1"/>
  <c r="Z110" i="1"/>
  <c r="X110" i="1"/>
  <c r="S111" i="1"/>
  <c r="Y110" i="1"/>
  <c r="U110" i="1"/>
  <c r="V110" i="1" s="1"/>
  <c r="T110" i="1"/>
  <c r="W111" i="1" l="1"/>
  <c r="U111" i="1"/>
  <c r="V111" i="1" s="1"/>
  <c r="T111" i="1"/>
  <c r="S112" i="1"/>
  <c r="X111" i="1"/>
  <c r="Y111" i="1"/>
  <c r="Z111" i="1"/>
  <c r="AF110" i="1"/>
  <c r="AB110" i="1"/>
  <c r="AH110" i="1"/>
  <c r="AD110" i="1"/>
  <c r="AG110" i="1"/>
  <c r="AC110" i="1"/>
  <c r="AE110" i="1"/>
  <c r="AA110" i="1"/>
  <c r="AH111" i="1" l="1"/>
  <c r="AD111" i="1"/>
  <c r="U112" i="1"/>
  <c r="V112" i="1" s="1"/>
  <c r="W112" i="1"/>
  <c r="Z112" i="1"/>
  <c r="X112" i="1"/>
  <c r="T112" i="1"/>
  <c r="S113" i="1"/>
  <c r="Y112" i="1"/>
  <c r="AG111" i="1"/>
  <c r="AC111" i="1"/>
  <c r="AF111" i="1"/>
  <c r="AB111" i="1"/>
  <c r="AA111" i="1"/>
  <c r="AE111" i="1"/>
  <c r="AE112" i="1" l="1"/>
  <c r="AA112" i="1"/>
  <c r="W113" i="1"/>
  <c r="U113" i="1"/>
  <c r="V113" i="1" s="1"/>
  <c r="T113" i="1"/>
  <c r="S114" i="1"/>
  <c r="X113" i="1"/>
  <c r="Y113" i="1"/>
  <c r="Z113" i="1"/>
  <c r="AB112" i="1"/>
  <c r="AF112" i="1"/>
  <c r="AG112" i="1"/>
  <c r="AC112" i="1"/>
  <c r="AH112" i="1"/>
  <c r="AD112" i="1"/>
  <c r="AF113" i="1" l="1"/>
  <c r="AB113" i="1"/>
  <c r="AE113" i="1"/>
  <c r="AA113" i="1"/>
  <c r="AG113" i="1"/>
  <c r="AC113" i="1"/>
  <c r="W114" i="1"/>
  <c r="Z114" i="1"/>
  <c r="X114" i="1"/>
  <c r="T114" i="1"/>
  <c r="S115" i="1"/>
  <c r="Y114" i="1"/>
  <c r="U114" i="1"/>
  <c r="V114" i="1" s="1"/>
  <c r="AH113" i="1"/>
  <c r="AD113" i="1"/>
  <c r="Z115" i="1" l="1"/>
  <c r="W115" i="1"/>
  <c r="U115" i="1"/>
  <c r="V115" i="1" s="1"/>
  <c r="T115" i="1"/>
  <c r="S116" i="1"/>
  <c r="X115" i="1"/>
  <c r="Y115" i="1"/>
  <c r="AA114" i="1"/>
  <c r="AE114" i="1"/>
  <c r="AH114" i="1"/>
  <c r="AD114" i="1"/>
  <c r="AG114" i="1"/>
  <c r="AC114" i="1"/>
  <c r="AF114" i="1"/>
  <c r="AB114" i="1"/>
  <c r="AG115" i="1" l="1"/>
  <c r="AC115" i="1"/>
  <c r="AB115" i="1"/>
  <c r="AF115" i="1"/>
  <c r="AE115" i="1"/>
  <c r="AA115" i="1"/>
  <c r="Y116" i="1"/>
  <c r="U116" i="1"/>
  <c r="V116" i="1" s="1"/>
  <c r="W116" i="1"/>
  <c r="Z116" i="1"/>
  <c r="X116" i="1"/>
  <c r="T116" i="1"/>
  <c r="S117" i="1"/>
  <c r="AH115" i="1"/>
  <c r="AD115" i="1"/>
  <c r="AB116" i="1" l="1"/>
  <c r="AF116" i="1"/>
  <c r="AG116" i="1"/>
  <c r="AC116" i="1"/>
  <c r="AH116" i="1"/>
  <c r="AD116" i="1"/>
  <c r="Z117" i="1"/>
  <c r="W117" i="1"/>
  <c r="U117" i="1"/>
  <c r="V117" i="1" s="1"/>
  <c r="T117" i="1"/>
  <c r="S118" i="1"/>
  <c r="X117" i="1"/>
  <c r="Y117" i="1"/>
  <c r="AA116" i="1"/>
  <c r="AE116" i="1"/>
  <c r="AE117" i="1" l="1"/>
  <c r="AA117" i="1"/>
  <c r="AH117" i="1"/>
  <c r="AD117" i="1"/>
  <c r="AF117" i="1"/>
  <c r="AB117" i="1"/>
  <c r="W118" i="1"/>
  <c r="Z118" i="1"/>
  <c r="X118" i="1"/>
  <c r="T118" i="1"/>
  <c r="S119" i="1"/>
  <c r="Y118" i="1"/>
  <c r="U118" i="1"/>
  <c r="V118" i="1" s="1"/>
  <c r="AG117" i="1"/>
  <c r="AC117" i="1"/>
  <c r="W119" i="1" l="1"/>
  <c r="U119" i="1"/>
  <c r="V119" i="1" s="1"/>
  <c r="S120" i="1"/>
  <c r="X119" i="1"/>
  <c r="Y119" i="1"/>
  <c r="Z119" i="1"/>
  <c r="T119" i="1"/>
  <c r="AE118" i="1"/>
  <c r="AA118" i="1"/>
  <c r="AG118" i="1"/>
  <c r="AC118" i="1"/>
  <c r="AH118" i="1"/>
  <c r="AD118" i="1"/>
  <c r="AB118" i="1"/>
  <c r="AF118" i="1"/>
  <c r="U120" i="1" l="1"/>
  <c r="V120" i="1" s="1"/>
  <c r="W120" i="1"/>
  <c r="S121" i="1"/>
  <c r="X120" i="1"/>
  <c r="T120" i="1"/>
  <c r="Z120" i="1"/>
  <c r="Y120" i="1"/>
  <c r="AF119" i="1"/>
  <c r="AB119" i="1"/>
  <c r="AD119" i="1"/>
  <c r="AH119" i="1"/>
  <c r="AG119" i="1"/>
  <c r="AC119" i="1"/>
  <c r="AA119" i="1"/>
  <c r="AE119" i="1"/>
  <c r="W121" i="1" l="1"/>
  <c r="Z121" i="1"/>
  <c r="S122" i="1"/>
  <c r="T121" i="1"/>
  <c r="U121" i="1"/>
  <c r="V121" i="1" s="1"/>
  <c r="Y121" i="1"/>
  <c r="X121" i="1"/>
  <c r="AF120" i="1"/>
  <c r="AB120" i="1"/>
  <c r="AH120" i="1"/>
  <c r="AD120" i="1"/>
  <c r="AE120" i="1"/>
  <c r="AA120" i="1"/>
  <c r="AG120" i="1"/>
  <c r="AC120" i="1"/>
  <c r="Y122" i="1" l="1"/>
  <c r="W122" i="1"/>
  <c r="U122" i="1"/>
  <c r="V122" i="1" s="1"/>
  <c r="T122" i="1"/>
  <c r="Z122" i="1"/>
  <c r="S123" i="1"/>
  <c r="X122" i="1"/>
  <c r="AB121" i="1"/>
  <c r="AF121" i="1"/>
  <c r="AG121" i="1"/>
  <c r="AC121" i="1"/>
  <c r="AD121" i="1"/>
  <c r="AH121" i="1"/>
  <c r="AE121" i="1"/>
  <c r="AA121" i="1"/>
  <c r="AB122" i="1" l="1"/>
  <c r="AF122" i="1"/>
  <c r="W123" i="1"/>
  <c r="S124" i="1"/>
  <c r="T123" i="1"/>
  <c r="Y123" i="1"/>
  <c r="X123" i="1"/>
  <c r="Z123" i="1"/>
  <c r="U123" i="1"/>
  <c r="V123" i="1" s="1"/>
  <c r="AE122" i="1"/>
  <c r="AA122" i="1"/>
  <c r="AH122" i="1"/>
  <c r="AD122" i="1"/>
  <c r="AG122" i="1"/>
  <c r="AC122" i="1"/>
  <c r="AF123" i="1" l="1"/>
  <c r="AB123" i="1"/>
  <c r="AE123" i="1"/>
  <c r="AA123" i="1"/>
  <c r="AH123" i="1"/>
  <c r="AD123" i="1"/>
  <c r="AC123" i="1"/>
  <c r="AG123" i="1"/>
  <c r="W124" i="1"/>
  <c r="S125" i="1"/>
  <c r="X124" i="1"/>
  <c r="Y124" i="1"/>
  <c r="T124" i="1"/>
  <c r="U124" i="1"/>
  <c r="V124" i="1" s="1"/>
  <c r="Z124" i="1"/>
  <c r="AC124" i="1" l="1"/>
  <c r="AG124" i="1"/>
  <c r="AH124" i="1"/>
  <c r="AD124" i="1"/>
  <c r="AF124" i="1"/>
  <c r="AB124" i="1"/>
  <c r="W125" i="1"/>
  <c r="Z125" i="1"/>
  <c r="S126" i="1"/>
  <c r="X125" i="1"/>
  <c r="Y125" i="1"/>
  <c r="U125" i="1"/>
  <c r="V125" i="1" s="1"/>
  <c r="T125" i="1"/>
  <c r="AE124" i="1"/>
  <c r="AA124" i="1"/>
  <c r="AH125" i="1" l="1"/>
  <c r="AD125" i="1"/>
  <c r="AE125" i="1"/>
  <c r="AA125" i="1"/>
  <c r="AC125" i="1"/>
  <c r="AG125" i="1"/>
  <c r="AF125" i="1"/>
  <c r="AB125" i="1"/>
  <c r="W126" i="1"/>
  <c r="U126" i="1"/>
  <c r="V126" i="1" s="1"/>
  <c r="T126" i="1"/>
  <c r="Z126" i="1"/>
  <c r="S127" i="1"/>
  <c r="X126" i="1"/>
  <c r="Y126" i="1"/>
  <c r="AG126" i="1" l="1"/>
  <c r="AC126" i="1"/>
  <c r="AD126" i="1"/>
  <c r="AH126" i="1"/>
  <c r="AB126" i="1"/>
  <c r="AF126" i="1"/>
  <c r="Z127" i="1"/>
  <c r="W127" i="1"/>
  <c r="S128" i="1"/>
  <c r="T127" i="1"/>
  <c r="Y127" i="1"/>
  <c r="X127" i="1"/>
  <c r="U127" i="1"/>
  <c r="V127" i="1" s="1"/>
  <c r="AA126" i="1"/>
  <c r="AE126" i="1"/>
  <c r="AF127" i="1" l="1"/>
  <c r="AB127" i="1"/>
  <c r="AC127" i="1"/>
  <c r="AG127" i="1"/>
  <c r="AH127" i="1"/>
  <c r="AD127" i="1"/>
  <c r="AA127" i="1"/>
  <c r="AE127" i="1"/>
  <c r="U128" i="1"/>
  <c r="V128" i="1" s="1"/>
  <c r="Z128" i="1"/>
  <c r="W128" i="1"/>
  <c r="S129" i="1"/>
  <c r="X128" i="1"/>
  <c r="T128" i="1"/>
  <c r="Y128" i="1"/>
  <c r="U129" i="1" l="1"/>
  <c r="V129" i="1" s="1"/>
  <c r="W129" i="1"/>
  <c r="Z129" i="1"/>
  <c r="T129" i="1"/>
  <c r="S130" i="1"/>
  <c r="X129" i="1"/>
  <c r="Y129" i="1"/>
  <c r="AA128" i="1"/>
  <c r="AE128" i="1"/>
  <c r="AG128" i="1"/>
  <c r="AC128" i="1"/>
  <c r="AH128" i="1"/>
  <c r="AD128" i="1"/>
  <c r="AB128" i="1"/>
  <c r="AF128" i="1"/>
  <c r="AC129" i="1" l="1"/>
  <c r="AG129" i="1"/>
  <c r="AH129" i="1"/>
  <c r="AD129" i="1"/>
  <c r="AF129" i="1"/>
  <c r="AB129" i="1"/>
  <c r="AA129" i="1"/>
  <c r="AE129" i="1"/>
  <c r="U130" i="1"/>
  <c r="V130" i="1" s="1"/>
  <c r="Z130" i="1"/>
  <c r="W130" i="1"/>
  <c r="S131" i="1"/>
  <c r="X130" i="1"/>
  <c r="T130" i="1"/>
  <c r="Y130" i="1"/>
  <c r="AG130" i="1" l="1"/>
  <c r="AC130" i="1"/>
  <c r="AE130" i="1"/>
  <c r="AA130" i="1"/>
  <c r="Y131" i="1"/>
  <c r="W131" i="1"/>
  <c r="X131" i="1"/>
  <c r="U131" i="1"/>
  <c r="V131" i="1" s="1"/>
  <c r="T131" i="1"/>
  <c r="S132" i="1"/>
  <c r="Z131" i="1"/>
  <c r="AD130" i="1"/>
  <c r="AH130" i="1"/>
  <c r="AB130" i="1"/>
  <c r="AF130" i="1"/>
  <c r="AB131" i="1" l="1"/>
  <c r="AF131" i="1"/>
  <c r="AE131" i="1"/>
  <c r="AA131" i="1"/>
  <c r="AH131" i="1"/>
  <c r="AD131" i="1"/>
  <c r="S133" i="1"/>
  <c r="X132" i="1"/>
  <c r="Y132" i="1"/>
  <c r="W132" i="1"/>
  <c r="U132" i="1"/>
  <c r="V132" i="1" s="1"/>
  <c r="T132" i="1"/>
  <c r="Z132" i="1"/>
  <c r="AC131" i="1"/>
  <c r="AG131" i="1"/>
  <c r="AB132" i="1" l="1"/>
  <c r="AF132" i="1"/>
  <c r="W133" i="1"/>
  <c r="T133" i="1"/>
  <c r="S134" i="1"/>
  <c r="Z133" i="1"/>
  <c r="Y133" i="1"/>
  <c r="X133" i="1"/>
  <c r="U133" i="1"/>
  <c r="V133" i="1" s="1"/>
  <c r="AE132" i="1"/>
  <c r="AA132" i="1"/>
  <c r="AH132" i="1"/>
  <c r="AD132" i="1"/>
  <c r="AG132" i="1"/>
  <c r="AC132" i="1"/>
  <c r="AG133" i="1" l="1"/>
  <c r="AC133" i="1"/>
  <c r="AE133" i="1"/>
  <c r="AA133" i="1"/>
  <c r="AD133" i="1"/>
  <c r="AH133" i="1"/>
  <c r="AF133" i="1"/>
  <c r="AB133" i="1"/>
  <c r="W134" i="1"/>
  <c r="U134" i="1"/>
  <c r="V134" i="1" s="1"/>
  <c r="T134" i="1"/>
  <c r="X134" i="1"/>
  <c r="Y134" i="1"/>
  <c r="Z134" i="1"/>
  <c r="S135" i="1"/>
  <c r="AF134" i="1" l="1"/>
  <c r="AB134" i="1"/>
  <c r="W135" i="1"/>
  <c r="Z135" i="1"/>
  <c r="T135" i="1"/>
  <c r="U135" i="1"/>
  <c r="V135" i="1" s="1"/>
  <c r="Y135" i="1"/>
  <c r="X135" i="1"/>
  <c r="S136" i="1"/>
  <c r="AD134" i="1"/>
  <c r="AH134" i="1"/>
  <c r="AC134" i="1"/>
  <c r="AG134" i="1"/>
  <c r="AE134" i="1"/>
  <c r="AA134" i="1"/>
  <c r="AB135" i="1" l="1"/>
  <c r="AF135" i="1"/>
  <c r="AD135" i="1"/>
  <c r="AH135" i="1"/>
  <c r="AG135" i="1"/>
  <c r="AC135" i="1"/>
  <c r="AE135" i="1"/>
  <c r="AA135" i="1"/>
  <c r="W136" i="1"/>
  <c r="U136" i="1"/>
  <c r="V136" i="1" s="1"/>
  <c r="Z136" i="1"/>
  <c r="S137" i="1"/>
  <c r="X136" i="1"/>
  <c r="Y136" i="1"/>
  <c r="T136" i="1"/>
  <c r="AH136" i="1" l="1"/>
  <c r="AD136" i="1"/>
  <c r="AG136" i="1"/>
  <c r="AC136" i="1"/>
  <c r="W137" i="1"/>
  <c r="Z137" i="1"/>
  <c r="T137" i="1"/>
  <c r="S138" i="1"/>
  <c r="U137" i="1"/>
  <c r="V137" i="1" s="1"/>
  <c r="Y137" i="1"/>
  <c r="X137" i="1"/>
  <c r="AF136" i="1"/>
  <c r="AB136" i="1"/>
  <c r="AE136" i="1"/>
  <c r="AA136" i="1"/>
  <c r="W138" i="1" l="1"/>
  <c r="Z138" i="1"/>
  <c r="X138" i="1"/>
  <c r="T138" i="1"/>
  <c r="S139" i="1"/>
  <c r="Y138" i="1"/>
  <c r="U138" i="1"/>
  <c r="V138" i="1" s="1"/>
  <c r="AF137" i="1"/>
  <c r="AB137" i="1"/>
  <c r="AG137" i="1"/>
  <c r="AC137" i="1"/>
  <c r="AD137" i="1"/>
  <c r="AH137" i="1"/>
  <c r="AA137" i="1"/>
  <c r="AE137" i="1"/>
  <c r="AF138" i="1" l="1"/>
  <c r="AB138" i="1"/>
  <c r="AG138" i="1"/>
  <c r="AC138" i="1"/>
  <c r="AH138" i="1"/>
  <c r="AD138" i="1"/>
  <c r="W139" i="1"/>
  <c r="Z139" i="1"/>
  <c r="T139" i="1"/>
  <c r="X139" i="1"/>
  <c r="Y139" i="1"/>
  <c r="S140" i="1"/>
  <c r="U139" i="1"/>
  <c r="V139" i="1" s="1"/>
  <c r="AA138" i="1"/>
  <c r="AE138" i="1"/>
  <c r="AC139" i="1" l="1"/>
  <c r="AG139" i="1"/>
  <c r="W140" i="1"/>
  <c r="Z140" i="1"/>
  <c r="X140" i="1"/>
  <c r="T140" i="1"/>
  <c r="S141" i="1"/>
  <c r="Y140" i="1"/>
  <c r="U140" i="1"/>
  <c r="V140" i="1" s="1"/>
  <c r="AD139" i="1"/>
  <c r="AH139" i="1"/>
  <c r="AA139" i="1"/>
  <c r="AE139" i="1"/>
  <c r="AF139" i="1"/>
  <c r="AB139" i="1"/>
  <c r="AG140" i="1" l="1"/>
  <c r="AC140" i="1"/>
  <c r="AD140" i="1"/>
  <c r="AH140" i="1"/>
  <c r="AA140" i="1"/>
  <c r="AE140" i="1"/>
  <c r="W141" i="1"/>
  <c r="Z141" i="1"/>
  <c r="T141" i="1"/>
  <c r="X141" i="1"/>
  <c r="U141" i="1"/>
  <c r="V141" i="1" s="1"/>
  <c r="Y141" i="1"/>
  <c r="S142" i="1"/>
  <c r="AF140" i="1"/>
  <c r="AB140" i="1"/>
  <c r="AA141" i="1" l="1"/>
  <c r="AE141" i="1"/>
  <c r="AC141" i="1"/>
  <c r="AG141" i="1"/>
  <c r="AD141" i="1"/>
  <c r="AH141" i="1"/>
  <c r="AF141" i="1"/>
  <c r="AB141" i="1"/>
  <c r="W142" i="1"/>
  <c r="Y142" i="1"/>
  <c r="T142" i="1"/>
  <c r="U142" i="1"/>
  <c r="V142" i="1" s="1"/>
  <c r="Z142" i="1"/>
  <c r="X142" i="1"/>
  <c r="S143" i="1"/>
  <c r="AF142" i="1" l="1"/>
  <c r="AB142" i="1"/>
  <c r="AG142" i="1"/>
  <c r="AC142" i="1"/>
  <c r="U143" i="1"/>
  <c r="V143" i="1" s="1"/>
  <c r="W143" i="1"/>
  <c r="Z143" i="1"/>
  <c r="T143" i="1"/>
  <c r="Y143" i="1"/>
  <c r="X143" i="1"/>
  <c r="S144" i="1"/>
  <c r="AH142" i="1"/>
  <c r="AD142" i="1"/>
  <c r="AE142" i="1"/>
  <c r="AA142" i="1"/>
  <c r="Z144" i="1" l="1"/>
  <c r="X144" i="1"/>
  <c r="S145" i="1"/>
  <c r="W144" i="1"/>
  <c r="Y144" i="1"/>
  <c r="T144" i="1"/>
  <c r="U144" i="1"/>
  <c r="V144" i="1" s="1"/>
  <c r="AH143" i="1"/>
  <c r="AD143" i="1"/>
  <c r="AB143" i="1"/>
  <c r="AF143" i="1"/>
  <c r="AE143" i="1"/>
  <c r="AA143" i="1"/>
  <c r="AG143" i="1"/>
  <c r="AC143" i="1"/>
  <c r="W145" i="1" l="1"/>
  <c r="Z145" i="1"/>
  <c r="T145" i="1"/>
  <c r="Y145" i="1"/>
  <c r="X145" i="1"/>
  <c r="S146" i="1"/>
  <c r="U145" i="1"/>
  <c r="V145" i="1" s="1"/>
  <c r="AA144" i="1"/>
  <c r="AE144" i="1"/>
  <c r="AF144" i="1"/>
  <c r="AB144" i="1"/>
  <c r="AG144" i="1"/>
  <c r="AC144" i="1"/>
  <c r="AH144" i="1"/>
  <c r="AD144" i="1"/>
  <c r="W146" i="1" l="1"/>
  <c r="Y146" i="1"/>
  <c r="T146" i="1"/>
  <c r="U146" i="1"/>
  <c r="V146" i="1" s="1"/>
  <c r="Z146" i="1"/>
  <c r="X146" i="1"/>
  <c r="S147" i="1"/>
  <c r="AD145" i="1"/>
  <c r="AH145" i="1"/>
  <c r="AC145" i="1"/>
  <c r="AG145" i="1"/>
  <c r="AF145" i="1"/>
  <c r="AB145" i="1"/>
  <c r="AA145" i="1"/>
  <c r="AE145" i="1"/>
  <c r="W147" i="1" l="1"/>
  <c r="U147" i="1"/>
  <c r="V147" i="1" s="1"/>
  <c r="T147" i="1"/>
  <c r="X147" i="1"/>
  <c r="Z147" i="1"/>
  <c r="S148" i="1"/>
  <c r="Y147" i="1"/>
  <c r="AG146" i="1"/>
  <c r="AC146" i="1"/>
  <c r="AB146" i="1"/>
  <c r="AF146" i="1"/>
  <c r="AH146" i="1"/>
  <c r="AD146" i="1"/>
  <c r="AA146" i="1"/>
  <c r="AE146" i="1"/>
  <c r="AG147" i="1" l="1"/>
  <c r="AC147" i="1"/>
  <c r="AF147" i="1"/>
  <c r="AB147" i="1"/>
  <c r="W148" i="1"/>
  <c r="U148" i="1"/>
  <c r="V148" i="1" s="1"/>
  <c r="S149" i="1"/>
  <c r="Y148" i="1"/>
  <c r="T148" i="1"/>
  <c r="Z148" i="1"/>
  <c r="X148" i="1"/>
  <c r="AH147" i="1"/>
  <c r="AD147" i="1"/>
  <c r="AE147" i="1"/>
  <c r="AA147" i="1"/>
  <c r="W149" i="1" l="1"/>
  <c r="Z149" i="1"/>
  <c r="U149" i="1"/>
  <c r="V149" i="1" s="1"/>
  <c r="T149" i="1"/>
  <c r="X149" i="1"/>
  <c r="Y149" i="1"/>
  <c r="S150" i="1"/>
  <c r="AG148" i="1"/>
  <c r="AC148" i="1"/>
  <c r="AB148" i="1"/>
  <c r="AF148" i="1"/>
  <c r="AH148" i="1"/>
  <c r="AD148" i="1"/>
  <c r="AE148" i="1"/>
  <c r="AA148" i="1"/>
  <c r="W150" i="1" l="1"/>
  <c r="U150" i="1"/>
  <c r="V150" i="1" s="1"/>
  <c r="T150" i="1"/>
  <c r="Y150" i="1"/>
  <c r="Z150" i="1"/>
  <c r="X150" i="1"/>
  <c r="S151" i="1"/>
  <c r="AG149" i="1"/>
  <c r="AC149" i="1"/>
  <c r="AD149" i="1"/>
  <c r="AH149" i="1"/>
  <c r="AF149" i="1"/>
  <c r="AB149" i="1"/>
  <c r="AE149" i="1"/>
  <c r="AA149" i="1"/>
  <c r="W151" i="1" l="1"/>
  <c r="Y151" i="1"/>
  <c r="S152" i="1"/>
  <c r="Z151" i="1"/>
  <c r="U151" i="1"/>
  <c r="V151" i="1" s="1"/>
  <c r="T151" i="1"/>
  <c r="X151" i="1"/>
  <c r="AG150" i="1"/>
  <c r="AC150" i="1"/>
  <c r="AF150" i="1"/>
  <c r="AB150" i="1"/>
  <c r="AH150" i="1"/>
  <c r="AD150" i="1"/>
  <c r="AE150" i="1"/>
  <c r="AA150" i="1"/>
  <c r="W152" i="1" l="1"/>
  <c r="X152" i="1"/>
  <c r="S153" i="1"/>
  <c r="Z152" i="1"/>
  <c r="U152" i="1"/>
  <c r="V152" i="1" s="1"/>
  <c r="Y152" i="1"/>
  <c r="T152" i="1"/>
  <c r="AH151" i="1"/>
  <c r="AD151" i="1"/>
  <c r="AC151" i="1"/>
  <c r="AG151" i="1"/>
  <c r="AF151" i="1"/>
  <c r="AB151" i="1"/>
  <c r="AE151" i="1"/>
  <c r="AA151" i="1"/>
  <c r="W153" i="1" l="1"/>
  <c r="Y153" i="1"/>
  <c r="T153" i="1"/>
  <c r="S154" i="1"/>
  <c r="Z153" i="1"/>
  <c r="U153" i="1"/>
  <c r="V153" i="1" s="1"/>
  <c r="X153" i="1"/>
  <c r="AH152" i="1"/>
  <c r="AD152" i="1"/>
  <c r="AG152" i="1"/>
  <c r="AC152" i="1"/>
  <c r="AF152" i="1"/>
  <c r="AB152" i="1"/>
  <c r="AE152" i="1"/>
  <c r="AA152" i="1"/>
  <c r="AF153" i="1" l="1"/>
  <c r="AB153" i="1"/>
  <c r="AG153" i="1"/>
  <c r="AC153" i="1"/>
  <c r="W154" i="1"/>
  <c r="X154" i="1"/>
  <c r="S155" i="1"/>
  <c r="T154" i="1"/>
  <c r="Z154" i="1"/>
  <c r="U154" i="1"/>
  <c r="V154" i="1" s="1"/>
  <c r="Y154" i="1"/>
  <c r="AH153" i="1"/>
  <c r="AD153" i="1"/>
  <c r="AE153" i="1"/>
  <c r="AA153" i="1"/>
  <c r="AG154" i="1" l="1"/>
  <c r="AC154" i="1"/>
  <c r="AF154" i="1"/>
  <c r="AB154" i="1"/>
  <c r="W155" i="1"/>
  <c r="Y155" i="1"/>
  <c r="T155" i="1"/>
  <c r="S156" i="1"/>
  <c r="Z155" i="1"/>
  <c r="U155" i="1"/>
  <c r="V155" i="1" s="1"/>
  <c r="X155" i="1"/>
  <c r="AH154" i="1"/>
  <c r="AD154" i="1"/>
  <c r="AE154" i="1"/>
  <c r="AA154" i="1"/>
  <c r="W156" i="1" l="1"/>
  <c r="X156" i="1"/>
  <c r="S157" i="1"/>
  <c r="T156" i="1"/>
  <c r="Z156" i="1"/>
  <c r="U156" i="1"/>
  <c r="V156" i="1" s="1"/>
  <c r="Y156" i="1"/>
  <c r="AF155" i="1"/>
  <c r="AB155" i="1"/>
  <c r="AG155" i="1"/>
  <c r="AC155" i="1"/>
  <c r="AH155" i="1"/>
  <c r="AD155" i="1"/>
  <c r="AE155" i="1"/>
  <c r="AA155" i="1"/>
  <c r="W157" i="1" l="1"/>
  <c r="Y157" i="1"/>
  <c r="T157" i="1"/>
  <c r="S158" i="1"/>
  <c r="Z157" i="1"/>
  <c r="U157" i="1"/>
  <c r="V157" i="1" s="1"/>
  <c r="X157" i="1"/>
  <c r="AF156" i="1"/>
  <c r="AB156" i="1"/>
  <c r="AG156" i="1"/>
  <c r="AC156" i="1"/>
  <c r="AH156" i="1"/>
  <c r="AD156" i="1"/>
  <c r="AE156" i="1"/>
  <c r="AA156" i="1"/>
  <c r="AF157" i="1" l="1"/>
  <c r="AB157" i="1"/>
  <c r="AG157" i="1"/>
  <c r="AC157" i="1"/>
  <c r="W158" i="1"/>
  <c r="X158" i="1"/>
  <c r="S159" i="1"/>
  <c r="T158" i="1"/>
  <c r="Z158" i="1"/>
  <c r="U158" i="1"/>
  <c r="V158" i="1" s="1"/>
  <c r="Y158" i="1"/>
  <c r="AH157" i="1"/>
  <c r="AD157" i="1"/>
  <c r="AE157" i="1"/>
  <c r="AA157" i="1"/>
  <c r="W159" i="1" l="1"/>
  <c r="Y159" i="1"/>
  <c r="T159" i="1"/>
  <c r="X159" i="1"/>
  <c r="S160" i="1"/>
  <c r="Z159" i="1"/>
  <c r="U159" i="1"/>
  <c r="V159" i="1" s="1"/>
  <c r="AB158" i="1"/>
  <c r="AF158" i="1"/>
  <c r="AG158" i="1"/>
  <c r="AC158" i="1"/>
  <c r="AH158" i="1"/>
  <c r="AD158" i="1"/>
  <c r="AE158" i="1"/>
  <c r="AA158" i="1"/>
  <c r="AF159" i="1" l="1"/>
  <c r="AB159" i="1"/>
  <c r="AH159" i="1"/>
  <c r="AD159" i="1"/>
  <c r="AG159" i="1"/>
  <c r="AC159" i="1"/>
  <c r="W160" i="1"/>
  <c r="X160" i="1"/>
  <c r="S161" i="1"/>
  <c r="T160" i="1"/>
  <c r="Z160" i="1"/>
  <c r="U160" i="1"/>
  <c r="V160" i="1" s="1"/>
  <c r="Y160" i="1"/>
  <c r="AE159" i="1"/>
  <c r="AA159" i="1"/>
  <c r="AH160" i="1" l="1"/>
  <c r="AD160" i="1"/>
  <c r="AE160" i="1"/>
  <c r="AA160" i="1"/>
  <c r="AB160" i="1"/>
  <c r="AF160" i="1"/>
  <c r="AC160" i="1"/>
  <c r="AG160" i="1"/>
  <c r="W161" i="1"/>
  <c r="Y161" i="1"/>
  <c r="T161" i="1"/>
  <c r="S162" i="1"/>
  <c r="Z161" i="1"/>
  <c r="U161" i="1"/>
  <c r="V161" i="1" s="1"/>
  <c r="X161" i="1"/>
  <c r="W162" i="1" l="1"/>
  <c r="X162" i="1"/>
  <c r="S163" i="1"/>
  <c r="U162" i="1"/>
  <c r="V162" i="1" s="1"/>
  <c r="Y162" i="1"/>
  <c r="T162" i="1"/>
  <c r="Z162" i="1"/>
  <c r="AG161" i="1"/>
  <c r="AC161" i="1"/>
  <c r="AF161" i="1"/>
  <c r="AB161" i="1"/>
  <c r="AH161" i="1"/>
  <c r="AD161" i="1"/>
  <c r="AE161" i="1"/>
  <c r="AA161" i="1"/>
  <c r="AD162" i="1" l="1"/>
  <c r="AH162" i="1"/>
  <c r="W163" i="1"/>
  <c r="Z163" i="1"/>
  <c r="U163" i="1"/>
  <c r="V163" i="1" s="1"/>
  <c r="S164" i="1"/>
  <c r="T163" i="1"/>
  <c r="X163" i="1"/>
  <c r="Y163" i="1"/>
  <c r="AB162" i="1"/>
  <c r="AF162" i="1"/>
  <c r="AG162" i="1"/>
  <c r="AC162" i="1"/>
  <c r="AE162" i="1"/>
  <c r="AA162" i="1"/>
  <c r="AE163" i="1" l="1"/>
  <c r="AA163" i="1"/>
  <c r="AD163" i="1"/>
  <c r="AH163" i="1"/>
  <c r="W164" i="1"/>
  <c r="U164" i="1"/>
  <c r="V164" i="1" s="1"/>
  <c r="T164" i="1"/>
  <c r="Y164" i="1"/>
  <c r="X164" i="1"/>
  <c r="S165" i="1"/>
  <c r="Z164" i="1"/>
  <c r="AB163" i="1"/>
  <c r="AF163" i="1"/>
  <c r="AG163" i="1"/>
  <c r="AC163" i="1"/>
  <c r="AG164" i="1" l="1"/>
  <c r="AC164" i="1"/>
  <c r="AH164" i="1"/>
  <c r="AD164" i="1"/>
  <c r="W165" i="1"/>
  <c r="Y165" i="1"/>
  <c r="U165" i="1"/>
  <c r="V165" i="1" s="1"/>
  <c r="X165" i="1"/>
  <c r="T165" i="1"/>
  <c r="Z165" i="1"/>
  <c r="S166" i="1"/>
  <c r="AF164" i="1"/>
  <c r="AB164" i="1"/>
  <c r="AE164" i="1"/>
  <c r="AA164" i="1"/>
  <c r="AB165" i="1" l="1"/>
  <c r="AF165" i="1"/>
  <c r="W166" i="1"/>
  <c r="Y166" i="1"/>
  <c r="U166" i="1"/>
  <c r="V166" i="1" s="1"/>
  <c r="X166" i="1"/>
  <c r="S167" i="1"/>
  <c r="T166" i="1"/>
  <c r="Z166" i="1"/>
  <c r="AH165" i="1"/>
  <c r="AD165" i="1"/>
  <c r="AG165" i="1"/>
  <c r="AC165" i="1"/>
  <c r="AE165" i="1"/>
  <c r="AA165" i="1"/>
  <c r="W167" i="1" l="1"/>
  <c r="Y167" i="1"/>
  <c r="T167" i="1"/>
  <c r="U167" i="1"/>
  <c r="V167" i="1" s="1"/>
  <c r="Z167" i="1"/>
  <c r="X167" i="1"/>
  <c r="S168" i="1"/>
  <c r="AF166" i="1"/>
  <c r="AB166" i="1"/>
  <c r="AC166" i="1"/>
  <c r="AG166" i="1"/>
  <c r="AA166" i="1"/>
  <c r="AE166" i="1"/>
  <c r="AH166" i="1"/>
  <c r="AD166" i="1"/>
  <c r="W168" i="1" l="1"/>
  <c r="Y168" i="1"/>
  <c r="T168" i="1"/>
  <c r="U168" i="1"/>
  <c r="V168" i="1" s="1"/>
  <c r="X168" i="1"/>
  <c r="S169" i="1"/>
  <c r="Z168" i="1"/>
  <c r="AB167" i="1"/>
  <c r="AF167" i="1"/>
  <c r="AG167" i="1"/>
  <c r="AC167" i="1"/>
  <c r="AH167" i="1"/>
  <c r="AD167" i="1"/>
  <c r="AE167" i="1"/>
  <c r="AA167" i="1"/>
  <c r="AH168" i="1" l="1"/>
  <c r="AD168" i="1"/>
  <c r="W169" i="1"/>
  <c r="X169" i="1"/>
  <c r="S170" i="1"/>
  <c r="Z169" i="1"/>
  <c r="T169" i="1"/>
  <c r="Y169" i="1"/>
  <c r="U169" i="1"/>
  <c r="V169" i="1" s="1"/>
  <c r="AC168" i="1"/>
  <c r="AG168" i="1"/>
  <c r="AF168" i="1"/>
  <c r="AB168" i="1"/>
  <c r="AA168" i="1"/>
  <c r="AE168" i="1"/>
  <c r="AB169" i="1" l="1"/>
  <c r="AF169" i="1"/>
  <c r="AE169" i="1"/>
  <c r="AA169" i="1"/>
  <c r="AC169" i="1"/>
  <c r="AG169" i="1"/>
  <c r="AH169" i="1"/>
  <c r="AD169" i="1"/>
  <c r="Y170" i="1"/>
  <c r="Z170" i="1"/>
  <c r="S171" i="1"/>
  <c r="X170" i="1"/>
  <c r="U170" i="1"/>
  <c r="V170" i="1" s="1"/>
  <c r="W170" i="1"/>
  <c r="T170" i="1"/>
  <c r="U171" i="1" l="1"/>
  <c r="V171" i="1" s="1"/>
  <c r="X171" i="1"/>
  <c r="T171" i="1"/>
  <c r="W171" i="1"/>
  <c r="Y171" i="1"/>
  <c r="S172" i="1"/>
  <c r="Z171" i="1"/>
  <c r="AE170" i="1"/>
  <c r="AA170" i="1"/>
  <c r="AH170" i="1"/>
  <c r="AD170" i="1"/>
  <c r="AB170" i="1"/>
  <c r="AF170" i="1"/>
  <c r="AC170" i="1"/>
  <c r="AG170" i="1"/>
  <c r="AE171" i="1" l="1"/>
  <c r="AA171" i="1"/>
  <c r="AH171" i="1"/>
  <c r="AD171" i="1"/>
  <c r="T172" i="1"/>
  <c r="U172" i="1"/>
  <c r="V172" i="1" s="1"/>
  <c r="Z172" i="1"/>
  <c r="W172" i="1"/>
  <c r="Y172" i="1"/>
  <c r="S173" i="1"/>
  <c r="X172" i="1"/>
  <c r="AF171" i="1"/>
  <c r="AB171" i="1"/>
  <c r="AC171" i="1"/>
  <c r="AG171" i="1"/>
  <c r="AD172" i="1" l="1"/>
  <c r="AH172" i="1"/>
  <c r="AE172" i="1"/>
  <c r="AA172" i="1"/>
  <c r="AB172" i="1"/>
  <c r="AF172" i="1"/>
  <c r="Y173" i="1"/>
  <c r="Z173" i="1"/>
  <c r="U173" i="1"/>
  <c r="V173" i="1" s="1"/>
  <c r="X173" i="1"/>
  <c r="S174" i="1"/>
  <c r="W173" i="1"/>
  <c r="T173" i="1"/>
  <c r="AG172" i="1"/>
  <c r="AC172" i="1"/>
  <c r="AA173" i="1" l="1"/>
  <c r="AE173" i="1"/>
  <c r="AH173" i="1"/>
  <c r="AD173" i="1"/>
  <c r="AC173" i="1"/>
  <c r="AG173" i="1"/>
  <c r="AB173" i="1"/>
  <c r="AF173" i="1"/>
  <c r="S175" i="1"/>
  <c r="X174" i="1"/>
  <c r="W174" i="1"/>
  <c r="T174" i="1"/>
  <c r="Z174" i="1"/>
  <c r="Y174" i="1"/>
  <c r="U174" i="1"/>
  <c r="V174" i="1" s="1"/>
  <c r="AA174" i="1" l="1"/>
  <c r="AE174" i="1"/>
  <c r="AC174" i="1"/>
  <c r="AG174" i="1"/>
  <c r="AB174" i="1"/>
  <c r="AF174" i="1"/>
  <c r="AH174" i="1"/>
  <c r="AD174" i="1"/>
  <c r="X175" i="1"/>
  <c r="U175" i="1"/>
  <c r="V175" i="1" s="1"/>
  <c r="Y175" i="1"/>
  <c r="T175" i="1"/>
  <c r="W175" i="1"/>
  <c r="Z175" i="1"/>
  <c r="S176" i="1"/>
  <c r="T176" i="1" l="1"/>
  <c r="X176" i="1"/>
  <c r="U176" i="1"/>
  <c r="V176" i="1" s="1"/>
  <c r="Y176" i="1"/>
  <c r="W176" i="1"/>
  <c r="Z176" i="1"/>
  <c r="S177" i="1"/>
  <c r="AC175" i="1"/>
  <c r="AG175" i="1"/>
  <c r="AH175" i="1"/>
  <c r="AD175" i="1"/>
  <c r="AE175" i="1"/>
  <c r="AA175" i="1"/>
  <c r="AF175" i="1"/>
  <c r="AB175" i="1"/>
  <c r="AC176" i="1" l="1"/>
  <c r="AG176" i="1"/>
  <c r="AD176" i="1"/>
  <c r="AH176" i="1"/>
  <c r="AB176" i="1"/>
  <c r="AF176" i="1"/>
  <c r="Y177" i="1"/>
  <c r="W177" i="1"/>
  <c r="X177" i="1"/>
  <c r="S178" i="1"/>
  <c r="U177" i="1"/>
  <c r="V177" i="1" s="1"/>
  <c r="T177" i="1"/>
  <c r="Z177" i="1"/>
  <c r="AA176" i="1"/>
  <c r="AE176" i="1"/>
  <c r="AC177" i="1" l="1"/>
  <c r="AG177" i="1"/>
  <c r="AA177" i="1"/>
  <c r="AE177" i="1"/>
  <c r="X178" i="1"/>
  <c r="S179" i="1"/>
  <c r="U178" i="1"/>
  <c r="V178" i="1" s="1"/>
  <c r="T178" i="1"/>
  <c r="W178" i="1"/>
  <c r="Z178" i="1"/>
  <c r="Y178" i="1"/>
  <c r="AH177" i="1"/>
  <c r="AD177" i="1"/>
  <c r="AB177" i="1"/>
  <c r="AF177" i="1"/>
  <c r="AG178" i="1" l="1"/>
  <c r="AC178" i="1"/>
  <c r="Z179" i="1"/>
  <c r="T179" i="1"/>
  <c r="Y179" i="1"/>
  <c r="U179" i="1"/>
  <c r="V179" i="1" s="1"/>
  <c r="X179" i="1"/>
  <c r="W179" i="1"/>
  <c r="S180" i="1"/>
  <c r="AH178" i="1"/>
  <c r="AD178" i="1"/>
  <c r="AE178" i="1"/>
  <c r="AA178" i="1"/>
  <c r="AF178" i="1"/>
  <c r="AB178" i="1"/>
  <c r="AF179" i="1" l="1"/>
  <c r="AB179" i="1"/>
  <c r="AH179" i="1"/>
  <c r="AD179" i="1"/>
  <c r="AE179" i="1"/>
  <c r="AA179" i="1"/>
  <c r="Z180" i="1"/>
  <c r="Y180" i="1"/>
  <c r="U180" i="1"/>
  <c r="V180" i="1" s="1"/>
  <c r="X180" i="1"/>
  <c r="S181" i="1"/>
  <c r="W180" i="1"/>
  <c r="T180" i="1"/>
  <c r="AG179" i="1"/>
  <c r="AC179" i="1"/>
  <c r="AG180" i="1" l="1"/>
  <c r="AC180" i="1"/>
  <c r="AH180" i="1"/>
  <c r="AD180" i="1"/>
  <c r="AA180" i="1"/>
  <c r="AE180" i="1"/>
  <c r="AF180" i="1"/>
  <c r="AB180" i="1"/>
  <c r="T181" i="1"/>
  <c r="U181" i="1"/>
  <c r="V181" i="1" s="1"/>
  <c r="W181" i="1"/>
  <c r="Z181" i="1"/>
  <c r="X181" i="1"/>
  <c r="Y181" i="1"/>
  <c r="S182" i="1"/>
  <c r="Y182" i="1" l="1"/>
  <c r="U182" i="1"/>
  <c r="V182" i="1" s="1"/>
  <c r="W182" i="1"/>
  <c r="X182" i="1"/>
  <c r="T182" i="1"/>
  <c r="Z182" i="1"/>
  <c r="S183" i="1"/>
  <c r="AA181" i="1"/>
  <c r="AE181" i="1"/>
  <c r="AD181" i="1"/>
  <c r="AH181" i="1"/>
  <c r="AC181" i="1"/>
  <c r="AG181" i="1"/>
  <c r="AF181" i="1"/>
  <c r="AB181" i="1"/>
  <c r="AE182" i="1" l="1"/>
  <c r="AA182" i="1"/>
  <c r="AF182" i="1"/>
  <c r="AB182" i="1"/>
  <c r="AD182" i="1"/>
  <c r="AH182" i="1"/>
  <c r="U183" i="1"/>
  <c r="V183" i="1" s="1"/>
  <c r="Y183" i="1"/>
  <c r="Z183" i="1"/>
  <c r="X183" i="1"/>
  <c r="W183" i="1"/>
  <c r="S184" i="1"/>
  <c r="T183" i="1"/>
  <c r="AC182" i="1"/>
  <c r="AG182" i="1"/>
  <c r="AA183" i="1" l="1"/>
  <c r="AE183" i="1"/>
  <c r="S185" i="1"/>
  <c r="Z184" i="1"/>
  <c r="U184" i="1"/>
  <c r="V184" i="1" s="1"/>
  <c r="X184" i="1"/>
  <c r="T184" i="1"/>
  <c r="Y184" i="1"/>
  <c r="W184" i="1"/>
  <c r="AG183" i="1"/>
  <c r="AC183" i="1"/>
  <c r="AB183" i="1"/>
  <c r="AF183" i="1"/>
  <c r="AD183" i="1"/>
  <c r="AH183" i="1"/>
  <c r="AC184" i="1" l="1"/>
  <c r="AG184" i="1"/>
  <c r="T185" i="1"/>
  <c r="Z185" i="1"/>
  <c r="S186" i="1"/>
  <c r="Y185" i="1"/>
  <c r="X185" i="1"/>
  <c r="W185" i="1"/>
  <c r="U185" i="1"/>
  <c r="V185" i="1" s="1"/>
  <c r="AD184" i="1"/>
  <c r="AH184" i="1"/>
  <c r="AF184" i="1"/>
  <c r="AB184" i="1"/>
  <c r="AA184" i="1"/>
  <c r="AE184" i="1"/>
  <c r="AA185" i="1" l="1"/>
  <c r="AE185" i="1"/>
  <c r="AF185" i="1"/>
  <c r="AB185" i="1"/>
  <c r="AC185" i="1"/>
  <c r="AG185" i="1"/>
  <c r="AD185" i="1"/>
  <c r="AH185" i="1"/>
  <c r="T186" i="1"/>
  <c r="U186" i="1"/>
  <c r="V186" i="1" s="1"/>
  <c r="X186" i="1"/>
  <c r="S187" i="1"/>
  <c r="Z186" i="1"/>
  <c r="Y186" i="1"/>
  <c r="W186" i="1"/>
  <c r="AA186" i="1" l="1"/>
  <c r="AE186" i="1"/>
  <c r="AB186" i="1"/>
  <c r="AF186" i="1"/>
  <c r="S188" i="1"/>
  <c r="Z187" i="1"/>
  <c r="W187" i="1"/>
  <c r="Y187" i="1"/>
  <c r="U187" i="1"/>
  <c r="V187" i="1" s="1"/>
  <c r="X187" i="1"/>
  <c r="T187" i="1"/>
  <c r="AG186" i="1"/>
  <c r="AC186" i="1"/>
  <c r="AH186" i="1"/>
  <c r="AD186" i="1"/>
  <c r="AA187" i="1" l="1"/>
  <c r="AE187" i="1"/>
  <c r="AC187" i="1"/>
  <c r="AG187" i="1"/>
  <c r="AB187" i="1"/>
  <c r="AF187" i="1"/>
  <c r="AH187" i="1"/>
  <c r="AD187" i="1"/>
  <c r="W188" i="1"/>
  <c r="Y188" i="1"/>
  <c r="U188" i="1"/>
  <c r="V188" i="1" s="1"/>
  <c r="S189" i="1"/>
  <c r="Z188" i="1"/>
  <c r="T188" i="1"/>
  <c r="X188" i="1"/>
  <c r="AB188" i="1" l="1"/>
  <c r="AF188" i="1"/>
  <c r="AG188" i="1"/>
  <c r="AC188" i="1"/>
  <c r="T189" i="1"/>
  <c r="Z189" i="1"/>
  <c r="Y189" i="1"/>
  <c r="U189" i="1"/>
  <c r="V189" i="1" s="1"/>
  <c r="W189" i="1"/>
  <c r="S190" i="1"/>
  <c r="X189" i="1"/>
  <c r="AD188" i="1"/>
  <c r="AH188" i="1"/>
  <c r="AE188" i="1"/>
  <c r="AA188" i="1"/>
  <c r="AB189" i="1" l="1"/>
  <c r="AF189" i="1"/>
  <c r="AC189" i="1"/>
  <c r="AG189" i="1"/>
  <c r="Z190" i="1"/>
  <c r="S191" i="1"/>
  <c r="X190" i="1"/>
  <c r="T190" i="1"/>
  <c r="Y190" i="1"/>
  <c r="U190" i="1"/>
  <c r="V190" i="1" s="1"/>
  <c r="W190" i="1"/>
  <c r="AH189" i="1"/>
  <c r="AD189" i="1"/>
  <c r="AA189" i="1"/>
  <c r="AE189" i="1"/>
  <c r="AE190" i="1" l="1"/>
  <c r="AA190" i="1"/>
  <c r="AB190" i="1"/>
  <c r="AF190" i="1"/>
  <c r="U191" i="1"/>
  <c r="V191" i="1" s="1"/>
  <c r="Y191" i="1"/>
  <c r="T191" i="1"/>
  <c r="Z191" i="1"/>
  <c r="W191" i="1"/>
  <c r="X191" i="1"/>
  <c r="S192" i="1"/>
  <c r="AG190" i="1"/>
  <c r="AC190" i="1"/>
  <c r="AH190" i="1"/>
  <c r="AD190" i="1"/>
  <c r="X192" i="1" l="1"/>
  <c r="T192" i="1"/>
  <c r="W192" i="1"/>
  <c r="S193" i="1"/>
  <c r="U192" i="1"/>
  <c r="V192" i="1" s="1"/>
  <c r="Y192" i="1"/>
  <c r="Z192" i="1"/>
  <c r="AF191" i="1"/>
  <c r="AB191" i="1"/>
  <c r="AC191" i="1"/>
  <c r="AG191" i="1"/>
  <c r="AH191" i="1"/>
  <c r="AD191" i="1"/>
  <c r="AA191" i="1"/>
  <c r="AE191" i="1"/>
  <c r="AD192" i="1" l="1"/>
  <c r="AH192" i="1"/>
  <c r="AA192" i="1"/>
  <c r="AE192" i="1"/>
  <c r="T193" i="1"/>
  <c r="X193" i="1"/>
  <c r="Y193" i="1"/>
  <c r="S194" i="1"/>
  <c r="W193" i="1"/>
  <c r="U193" i="1"/>
  <c r="V193" i="1" s="1"/>
  <c r="Z193" i="1"/>
  <c r="AC192" i="1"/>
  <c r="AG192" i="1"/>
  <c r="AB192" i="1"/>
  <c r="AF192" i="1"/>
  <c r="AE193" i="1" l="1"/>
  <c r="AA193" i="1"/>
  <c r="X194" i="1"/>
  <c r="Z194" i="1"/>
  <c r="T194" i="1"/>
  <c r="W194" i="1"/>
  <c r="U194" i="1"/>
  <c r="V194" i="1" s="1"/>
  <c r="Y194" i="1"/>
  <c r="S195" i="1"/>
  <c r="AD193" i="1"/>
  <c r="AH193" i="1"/>
  <c r="AC193" i="1"/>
  <c r="AG193" i="1"/>
  <c r="AB193" i="1"/>
  <c r="AF193" i="1"/>
  <c r="AF194" i="1" l="1"/>
  <c r="AB194" i="1"/>
  <c r="AC194" i="1"/>
  <c r="AG194" i="1"/>
  <c r="AE194" i="1"/>
  <c r="AA194" i="1"/>
  <c r="AD194" i="1"/>
  <c r="AH194" i="1"/>
  <c r="S196" i="1"/>
  <c r="U195" i="1"/>
  <c r="V195" i="1" s="1"/>
  <c r="Z195" i="1"/>
  <c r="Y195" i="1"/>
  <c r="T195" i="1"/>
  <c r="X195" i="1"/>
  <c r="W195" i="1"/>
  <c r="AC195" i="1" l="1"/>
  <c r="AG195" i="1"/>
  <c r="AD195" i="1"/>
  <c r="AH195" i="1"/>
  <c r="AA195" i="1"/>
  <c r="AE195" i="1"/>
  <c r="AB195" i="1"/>
  <c r="AF195" i="1"/>
  <c r="W196" i="1"/>
  <c r="Z196" i="1"/>
  <c r="U196" i="1"/>
  <c r="V196" i="1" s="1"/>
  <c r="X196" i="1"/>
  <c r="S197" i="1"/>
  <c r="Y196" i="1"/>
  <c r="T196" i="1"/>
  <c r="AB196" i="1" l="1"/>
  <c r="AF196" i="1"/>
  <c r="AC196" i="1"/>
  <c r="AG196" i="1"/>
  <c r="AD196" i="1"/>
  <c r="AH196" i="1"/>
  <c r="S198" i="1"/>
  <c r="W197" i="1"/>
  <c r="Z197" i="1"/>
  <c r="T197" i="1"/>
  <c r="X197" i="1"/>
  <c r="U197" i="1"/>
  <c r="V197" i="1" s="1"/>
  <c r="Y197" i="1"/>
  <c r="AA196" i="1"/>
  <c r="AE196" i="1"/>
  <c r="AB197" i="1" l="1"/>
  <c r="AF197" i="1"/>
  <c r="AE197" i="1"/>
  <c r="AA197" i="1"/>
  <c r="S199" i="1"/>
  <c r="X198" i="1"/>
  <c r="Y198" i="1"/>
  <c r="U198" i="1"/>
  <c r="V198" i="1" s="1"/>
  <c r="T198" i="1"/>
  <c r="W198" i="1"/>
  <c r="Z198" i="1"/>
  <c r="AC197" i="1"/>
  <c r="AG197" i="1"/>
  <c r="AH197" i="1"/>
  <c r="AD197" i="1"/>
  <c r="AD198" i="1" l="1"/>
  <c r="AH198" i="1"/>
  <c r="AC198" i="1"/>
  <c r="AG198" i="1"/>
  <c r="AE198" i="1"/>
  <c r="AA198" i="1"/>
  <c r="AB198" i="1"/>
  <c r="AF198" i="1"/>
  <c r="X199" i="1"/>
  <c r="Z199" i="1"/>
  <c r="U199" i="1"/>
  <c r="V199" i="1" s="1"/>
  <c r="W199" i="1"/>
  <c r="T199" i="1"/>
  <c r="Y199" i="1"/>
  <c r="S200" i="1"/>
  <c r="AA199" i="1" l="1"/>
  <c r="AE199" i="1"/>
  <c r="Y200" i="1"/>
  <c r="Z200" i="1"/>
  <c r="U200" i="1"/>
  <c r="V200" i="1" s="1"/>
  <c r="S201" i="1"/>
  <c r="T200" i="1"/>
  <c r="X200" i="1"/>
  <c r="W200" i="1"/>
  <c r="AG199" i="1"/>
  <c r="AC199" i="1"/>
  <c r="AD199" i="1"/>
  <c r="AH199" i="1"/>
  <c r="AF199" i="1"/>
  <c r="AB199" i="1"/>
  <c r="AC200" i="1" l="1"/>
  <c r="AG200" i="1"/>
  <c r="AB200" i="1"/>
  <c r="AF200" i="1"/>
  <c r="W201" i="1"/>
  <c r="Z201" i="1"/>
  <c r="T201" i="1"/>
  <c r="X201" i="1"/>
  <c r="S202" i="1"/>
  <c r="U201" i="1"/>
  <c r="V201" i="1" s="1"/>
  <c r="Y201" i="1"/>
  <c r="AH200" i="1"/>
  <c r="AD200" i="1"/>
  <c r="AA200" i="1"/>
  <c r="AE200" i="1"/>
  <c r="AB201" i="1" l="1"/>
  <c r="AF201" i="1"/>
  <c r="AC201" i="1"/>
  <c r="AG201" i="1"/>
  <c r="AD201" i="1"/>
  <c r="AH201" i="1"/>
  <c r="T202" i="1"/>
  <c r="Y202" i="1"/>
  <c r="Z202" i="1"/>
  <c r="S203" i="1"/>
  <c r="X202" i="1"/>
  <c r="U202" i="1"/>
  <c r="V202" i="1" s="1"/>
  <c r="W202" i="1"/>
  <c r="AA201" i="1"/>
  <c r="AE201" i="1"/>
  <c r="AC202" i="1" l="1"/>
  <c r="AG202" i="1"/>
  <c r="AB202" i="1"/>
  <c r="AF202" i="1"/>
  <c r="X203" i="1"/>
  <c r="W203" i="1"/>
  <c r="T203" i="1"/>
  <c r="U203" i="1"/>
  <c r="V203" i="1" s="1"/>
  <c r="S204" i="1"/>
  <c r="Y203" i="1"/>
  <c r="Z203" i="1"/>
  <c r="AE202" i="1"/>
  <c r="AA202" i="1"/>
  <c r="AH202" i="1"/>
  <c r="AD202" i="1"/>
  <c r="AD203" i="1" l="1"/>
  <c r="AH203" i="1"/>
  <c r="AG203" i="1"/>
  <c r="AC203" i="1"/>
  <c r="AE203" i="1"/>
  <c r="AA203" i="1"/>
  <c r="U204" i="1"/>
  <c r="V204" i="1" s="1"/>
  <c r="T204" i="1"/>
  <c r="W204" i="1"/>
  <c r="S205" i="1"/>
  <c r="Z204" i="1"/>
  <c r="X204" i="1"/>
  <c r="Y204" i="1"/>
  <c r="AF203" i="1"/>
  <c r="AB203" i="1"/>
  <c r="W205" i="1" l="1"/>
  <c r="U205" i="1"/>
  <c r="V205" i="1" s="1"/>
  <c r="T205" i="1"/>
  <c r="Z205" i="1"/>
  <c r="Y205" i="1"/>
  <c r="S206" i="1"/>
  <c r="X205" i="1"/>
  <c r="AB204" i="1"/>
  <c r="AF204" i="1"/>
  <c r="AD204" i="1"/>
  <c r="AH204" i="1"/>
  <c r="AG204" i="1"/>
  <c r="AC204" i="1"/>
  <c r="AA204" i="1"/>
  <c r="AE204" i="1"/>
  <c r="AF205" i="1" l="1"/>
  <c r="AB205" i="1"/>
  <c r="AH205" i="1"/>
  <c r="AD205" i="1"/>
  <c r="S207" i="1"/>
  <c r="X206" i="1"/>
  <c r="U206" i="1"/>
  <c r="V206" i="1" s="1"/>
  <c r="Y206" i="1"/>
  <c r="T206" i="1"/>
  <c r="W206" i="1"/>
  <c r="Z206" i="1"/>
  <c r="AC205" i="1"/>
  <c r="AG205" i="1"/>
  <c r="AA205" i="1"/>
  <c r="AE205" i="1"/>
  <c r="AC206" i="1" l="1"/>
  <c r="AG206" i="1"/>
  <c r="AD206" i="1"/>
  <c r="AH206" i="1"/>
  <c r="AE206" i="1"/>
  <c r="AA206" i="1"/>
  <c r="AF206" i="1"/>
  <c r="AB206" i="1"/>
  <c r="X207" i="1"/>
  <c r="T207" i="1"/>
  <c r="S208" i="1"/>
  <c r="W207" i="1"/>
  <c r="Z207" i="1"/>
  <c r="Y207" i="1"/>
  <c r="U207" i="1"/>
  <c r="V207" i="1" s="1"/>
  <c r="AE207" i="1" l="1"/>
  <c r="AA207" i="1"/>
  <c r="Y208" i="1"/>
  <c r="S209" i="1"/>
  <c r="X208" i="1"/>
  <c r="T208" i="1"/>
  <c r="W208" i="1"/>
  <c r="Z208" i="1"/>
  <c r="U208" i="1"/>
  <c r="V208" i="1" s="1"/>
  <c r="AC207" i="1"/>
  <c r="AG207" i="1"/>
  <c r="AH207" i="1"/>
  <c r="AD207" i="1"/>
  <c r="AF207" i="1"/>
  <c r="AB207" i="1"/>
  <c r="AH208" i="1" l="1"/>
  <c r="AD208" i="1"/>
  <c r="AE208" i="1"/>
  <c r="AA208" i="1"/>
  <c r="AC208" i="1"/>
  <c r="AG208" i="1"/>
  <c r="X209" i="1"/>
  <c r="W209" i="1"/>
  <c r="Z209" i="1"/>
  <c r="T209" i="1"/>
  <c r="U209" i="1"/>
  <c r="V209" i="1" s="1"/>
  <c r="S210" i="1"/>
  <c r="Y209" i="1"/>
  <c r="AF208" i="1"/>
  <c r="AB208" i="1"/>
  <c r="AA209" i="1" l="1"/>
  <c r="AE209" i="1"/>
  <c r="AF209" i="1"/>
  <c r="AB209" i="1"/>
  <c r="Z210" i="1"/>
  <c r="W210" i="1"/>
  <c r="S211" i="1"/>
  <c r="Y210" i="1"/>
  <c r="X210" i="1"/>
  <c r="U210" i="1"/>
  <c r="V210" i="1" s="1"/>
  <c r="T210" i="1"/>
  <c r="AG209" i="1"/>
  <c r="AC209" i="1"/>
  <c r="AD209" i="1"/>
  <c r="AH209" i="1"/>
  <c r="AC210" i="1" l="1"/>
  <c r="AG210" i="1"/>
  <c r="W211" i="1"/>
  <c r="Y211" i="1"/>
  <c r="S212" i="1"/>
  <c r="Z211" i="1"/>
  <c r="X211" i="1"/>
  <c r="T211" i="1"/>
  <c r="U211" i="1"/>
  <c r="V211" i="1" s="1"/>
  <c r="AA210" i="1"/>
  <c r="AE210" i="1"/>
  <c r="AF210" i="1"/>
  <c r="AB210" i="1"/>
  <c r="AH210" i="1"/>
  <c r="AD210" i="1"/>
  <c r="AE211" i="1" l="1"/>
  <c r="AA211" i="1"/>
  <c r="AC211" i="1"/>
  <c r="AG211" i="1"/>
  <c r="AF211" i="1"/>
  <c r="AB211" i="1"/>
  <c r="AD211" i="1"/>
  <c r="AH211" i="1"/>
  <c r="S213" i="1"/>
  <c r="Z212" i="1"/>
  <c r="X212" i="1"/>
  <c r="W212" i="1"/>
  <c r="T212" i="1"/>
  <c r="Y212" i="1"/>
  <c r="U212" i="1"/>
  <c r="V212" i="1" s="1"/>
  <c r="AB212" i="1" l="1"/>
  <c r="AF212" i="1"/>
  <c r="AA212" i="1"/>
  <c r="AE212" i="1"/>
  <c r="AG212" i="1"/>
  <c r="AC212" i="1"/>
  <c r="AH212" i="1"/>
  <c r="AD212" i="1"/>
  <c r="U213" i="1"/>
  <c r="V213" i="1" s="1"/>
  <c r="Y213" i="1"/>
  <c r="X213" i="1"/>
  <c r="T213" i="1"/>
  <c r="W213" i="1"/>
  <c r="S214" i="1"/>
  <c r="Z213" i="1"/>
  <c r="AB213" i="1" l="1"/>
  <c r="AF213" i="1"/>
  <c r="W214" i="1"/>
  <c r="Z214" i="1"/>
  <c r="X214" i="1"/>
  <c r="S215" i="1"/>
  <c r="Y214" i="1"/>
  <c r="U214" i="1"/>
  <c r="V214" i="1" s="1"/>
  <c r="T214" i="1"/>
  <c r="AG213" i="1"/>
  <c r="AC213" i="1"/>
  <c r="AH213" i="1"/>
  <c r="AD213" i="1"/>
  <c r="AE213" i="1"/>
  <c r="AA213" i="1"/>
  <c r="AC214" i="1" l="1"/>
  <c r="AG214" i="1"/>
  <c r="AA214" i="1"/>
  <c r="AE214" i="1"/>
  <c r="T215" i="1"/>
  <c r="Y215" i="1"/>
  <c r="Z215" i="1"/>
  <c r="S216" i="1"/>
  <c r="X215" i="1"/>
  <c r="U215" i="1"/>
  <c r="V215" i="1" s="1"/>
  <c r="W215" i="1"/>
  <c r="AH214" i="1"/>
  <c r="AD214" i="1"/>
  <c r="AB214" i="1"/>
  <c r="AF214" i="1"/>
  <c r="AA215" i="1" l="1"/>
  <c r="AE215" i="1"/>
  <c r="AH215" i="1"/>
  <c r="AD215" i="1"/>
  <c r="T216" i="1"/>
  <c r="S217" i="1"/>
  <c r="Y216" i="1"/>
  <c r="Z216" i="1"/>
  <c r="X216" i="1"/>
  <c r="W216" i="1"/>
  <c r="U216" i="1"/>
  <c r="V216" i="1" s="1"/>
  <c r="AC215" i="1"/>
  <c r="AG215" i="1"/>
  <c r="AB215" i="1"/>
  <c r="AF215" i="1"/>
  <c r="AG216" i="1" l="1"/>
  <c r="AC216" i="1"/>
  <c r="AD216" i="1"/>
  <c r="AH216" i="1"/>
  <c r="T217" i="1"/>
  <c r="Z217" i="1"/>
  <c r="X217" i="1"/>
  <c r="U217" i="1"/>
  <c r="V217" i="1" s="1"/>
  <c r="Y217" i="1"/>
  <c r="W217" i="1"/>
  <c r="S218" i="1"/>
  <c r="AE216" i="1"/>
  <c r="AA216" i="1"/>
  <c r="AB216" i="1"/>
  <c r="AF216" i="1"/>
  <c r="AB217" i="1" l="1"/>
  <c r="AF217" i="1"/>
  <c r="W218" i="1"/>
  <c r="U218" i="1"/>
  <c r="V218" i="1" s="1"/>
  <c r="S219" i="1"/>
  <c r="T218" i="1"/>
  <c r="Z218" i="1"/>
  <c r="X218" i="1"/>
  <c r="Y218" i="1"/>
  <c r="AE217" i="1"/>
  <c r="AA217" i="1"/>
  <c r="AD217" i="1"/>
  <c r="AH217" i="1"/>
  <c r="AC217" i="1"/>
  <c r="AG217" i="1"/>
  <c r="AH218" i="1" l="1"/>
  <c r="AD218" i="1"/>
  <c r="AE218" i="1"/>
  <c r="AA218" i="1"/>
  <c r="AF218" i="1"/>
  <c r="AB218" i="1"/>
  <c r="AC218" i="1"/>
  <c r="AG218" i="1"/>
  <c r="W219" i="1"/>
  <c r="Z219" i="1"/>
  <c r="S220" i="1"/>
  <c r="X219" i="1"/>
  <c r="U219" i="1"/>
  <c r="V219" i="1" s="1"/>
  <c r="Y219" i="1"/>
  <c r="T219" i="1"/>
  <c r="AB219" i="1" l="1"/>
  <c r="AF219" i="1"/>
  <c r="Y220" i="1"/>
  <c r="S221" i="1"/>
  <c r="X220" i="1"/>
  <c r="T220" i="1"/>
  <c r="W220" i="1"/>
  <c r="Z220" i="1"/>
  <c r="U220" i="1"/>
  <c r="V220" i="1" s="1"/>
  <c r="AC219" i="1"/>
  <c r="AG219" i="1"/>
  <c r="AD219" i="1"/>
  <c r="AH219" i="1"/>
  <c r="AA219" i="1"/>
  <c r="AE219" i="1"/>
  <c r="Z221" i="1" l="1"/>
  <c r="T221" i="1"/>
  <c r="S222" i="1"/>
  <c r="Y221" i="1"/>
  <c r="X221" i="1"/>
  <c r="W221" i="1"/>
  <c r="U221" i="1"/>
  <c r="V221" i="1" s="1"/>
  <c r="AE220" i="1"/>
  <c r="AA220" i="1"/>
  <c r="AC220" i="1"/>
  <c r="AG220" i="1"/>
  <c r="AD220" i="1"/>
  <c r="AH220" i="1"/>
  <c r="AF220" i="1"/>
  <c r="AB220" i="1"/>
  <c r="AE221" i="1" l="1"/>
  <c r="AA221" i="1"/>
  <c r="AG221" i="1"/>
  <c r="AC221" i="1"/>
  <c r="W222" i="1"/>
  <c r="T222" i="1"/>
  <c r="Y222" i="1"/>
  <c r="U222" i="1"/>
  <c r="V222" i="1" s="1"/>
  <c r="S223" i="1"/>
  <c r="X222" i="1"/>
  <c r="Z222" i="1"/>
  <c r="AB221" i="1"/>
  <c r="AF221" i="1"/>
  <c r="AD221" i="1"/>
  <c r="AH221" i="1"/>
  <c r="AD222" i="1" l="1"/>
  <c r="AH222" i="1"/>
  <c r="AC222" i="1"/>
  <c r="AG222" i="1"/>
  <c r="AF222" i="1"/>
  <c r="AB222" i="1"/>
  <c r="Y223" i="1"/>
  <c r="U223" i="1"/>
  <c r="V223" i="1" s="1"/>
  <c r="X223" i="1"/>
  <c r="S224" i="1"/>
  <c r="Z223" i="1"/>
  <c r="T223" i="1"/>
  <c r="W223" i="1"/>
  <c r="AA222" i="1"/>
  <c r="AE222" i="1"/>
  <c r="AH223" i="1" l="1"/>
  <c r="AD223" i="1"/>
  <c r="AC223" i="1"/>
  <c r="AG223" i="1"/>
  <c r="U224" i="1"/>
  <c r="V224" i="1" s="1"/>
  <c r="Y224" i="1"/>
  <c r="X224" i="1"/>
  <c r="S225" i="1"/>
  <c r="W224" i="1"/>
  <c r="T224" i="1"/>
  <c r="Z224" i="1"/>
  <c r="AA223" i="1"/>
  <c r="AE223" i="1"/>
  <c r="AF223" i="1"/>
  <c r="AB223" i="1"/>
  <c r="U225" i="1" l="1"/>
  <c r="V225" i="1" s="1"/>
  <c r="S226" i="1"/>
  <c r="W225" i="1"/>
  <c r="T225" i="1"/>
  <c r="Y225" i="1"/>
  <c r="X225" i="1"/>
  <c r="Z225" i="1"/>
  <c r="AH224" i="1"/>
  <c r="AD224" i="1"/>
  <c r="AB224" i="1"/>
  <c r="AF224" i="1"/>
  <c r="AC224" i="1"/>
  <c r="AG224" i="1"/>
  <c r="AA224" i="1"/>
  <c r="AE224" i="1"/>
  <c r="AH225" i="1" l="1"/>
  <c r="AD225" i="1"/>
  <c r="AE225" i="1"/>
  <c r="AA225" i="1"/>
  <c r="AF225" i="1"/>
  <c r="AB225" i="1"/>
  <c r="Z226" i="1"/>
  <c r="X226" i="1"/>
  <c r="W226" i="1"/>
  <c r="T226" i="1"/>
  <c r="Y226" i="1"/>
  <c r="S227" i="1"/>
  <c r="U226" i="1"/>
  <c r="V226" i="1" s="1"/>
  <c r="AG225" i="1"/>
  <c r="AC225" i="1"/>
  <c r="X227" i="1" l="1"/>
  <c r="U227" i="1"/>
  <c r="V227" i="1" s="1"/>
  <c r="T227" i="1"/>
  <c r="Y227" i="1"/>
  <c r="W227" i="1"/>
  <c r="Z227" i="1"/>
  <c r="S228" i="1"/>
  <c r="AF226" i="1"/>
  <c r="AB226" i="1"/>
  <c r="AC226" i="1"/>
  <c r="AG226" i="1"/>
  <c r="AH226" i="1"/>
  <c r="AD226" i="1"/>
  <c r="AE226" i="1"/>
  <c r="AA226" i="1"/>
  <c r="Z228" i="1" l="1"/>
  <c r="Y228" i="1"/>
  <c r="X228" i="1"/>
  <c r="S229" i="1"/>
  <c r="T228" i="1"/>
  <c r="W228" i="1"/>
  <c r="U228" i="1"/>
  <c r="V228" i="1" s="1"/>
  <c r="AH227" i="1"/>
  <c r="AD227" i="1"/>
  <c r="AG227" i="1"/>
  <c r="AC227" i="1"/>
  <c r="AA227" i="1"/>
  <c r="AE227" i="1"/>
  <c r="AB227" i="1"/>
  <c r="AF227" i="1"/>
  <c r="AA228" i="1" l="1"/>
  <c r="AE228" i="1"/>
  <c r="AG228" i="1"/>
  <c r="AC228" i="1"/>
  <c r="Z229" i="1"/>
  <c r="T229" i="1"/>
  <c r="U229" i="1"/>
  <c r="V229" i="1" s="1"/>
  <c r="Y229" i="1"/>
  <c r="W229" i="1"/>
  <c r="S230" i="1"/>
  <c r="X229" i="1"/>
  <c r="AF228" i="1"/>
  <c r="AB228" i="1"/>
  <c r="AD228" i="1"/>
  <c r="AH228" i="1"/>
  <c r="X230" i="1" l="1"/>
  <c r="Z230" i="1"/>
  <c r="W230" i="1"/>
  <c r="Y230" i="1"/>
  <c r="S231" i="1"/>
  <c r="T230" i="1"/>
  <c r="U230" i="1"/>
  <c r="V230" i="1" s="1"/>
  <c r="AC229" i="1"/>
  <c r="AG229" i="1"/>
  <c r="AB229" i="1"/>
  <c r="AF229" i="1"/>
  <c r="AA229" i="1"/>
  <c r="AE229" i="1"/>
  <c r="AD229" i="1"/>
  <c r="AH229" i="1"/>
  <c r="AC230" i="1" l="1"/>
  <c r="AG230" i="1"/>
  <c r="AE230" i="1"/>
  <c r="AA230" i="1"/>
  <c r="AH230" i="1"/>
  <c r="AD230" i="1"/>
  <c r="Z231" i="1"/>
  <c r="S232" i="1"/>
  <c r="X231" i="1"/>
  <c r="Y231" i="1"/>
  <c r="U231" i="1"/>
  <c r="V231" i="1" s="1"/>
  <c r="T231" i="1"/>
  <c r="W231" i="1"/>
  <c r="AF230" i="1"/>
  <c r="AB230" i="1"/>
  <c r="AH231" i="1" l="1"/>
  <c r="AD231" i="1"/>
  <c r="T232" i="1"/>
  <c r="Z232" i="1"/>
  <c r="X232" i="1"/>
  <c r="U232" i="1"/>
  <c r="V232" i="1" s="1"/>
  <c r="S233" i="1"/>
  <c r="Y232" i="1"/>
  <c r="W232" i="1"/>
  <c r="AC231" i="1"/>
  <c r="AG231" i="1"/>
  <c r="AA231" i="1"/>
  <c r="AE231" i="1"/>
  <c r="AB231" i="1"/>
  <c r="AF231" i="1"/>
  <c r="AC232" i="1" l="1"/>
  <c r="AG232" i="1"/>
  <c r="AD232" i="1"/>
  <c r="AH232" i="1"/>
  <c r="W233" i="1"/>
  <c r="X233" i="1"/>
  <c r="S234" i="1"/>
  <c r="Z233" i="1"/>
  <c r="T233" i="1"/>
  <c r="U233" i="1"/>
  <c r="V233" i="1" s="1"/>
  <c r="Y233" i="1"/>
  <c r="AE232" i="1"/>
  <c r="AA232" i="1"/>
  <c r="AB232" i="1"/>
  <c r="AF232" i="1"/>
  <c r="AD233" i="1" l="1"/>
  <c r="AH233" i="1"/>
  <c r="S235" i="1"/>
  <c r="T234" i="1"/>
  <c r="W234" i="1"/>
  <c r="U234" i="1"/>
  <c r="V234" i="1" s="1"/>
  <c r="Y234" i="1"/>
  <c r="Z234" i="1"/>
  <c r="X234" i="1"/>
  <c r="AC233" i="1"/>
  <c r="AG233" i="1"/>
  <c r="AB233" i="1"/>
  <c r="AF233" i="1"/>
  <c r="AA233" i="1"/>
  <c r="AE233" i="1"/>
  <c r="AG234" i="1" l="1"/>
  <c r="AC234" i="1"/>
  <c r="X235" i="1"/>
  <c r="Y235" i="1"/>
  <c r="W235" i="1"/>
  <c r="S236" i="1"/>
  <c r="U235" i="1"/>
  <c r="V235" i="1" s="1"/>
  <c r="T235" i="1"/>
  <c r="Z235" i="1"/>
  <c r="AH234" i="1"/>
  <c r="AD234" i="1"/>
  <c r="AF234" i="1"/>
  <c r="AB234" i="1"/>
  <c r="AE234" i="1"/>
  <c r="AA234" i="1"/>
  <c r="AB235" i="1" l="1"/>
  <c r="AF235" i="1"/>
  <c r="AG235" i="1"/>
  <c r="AC235" i="1"/>
  <c r="X236" i="1"/>
  <c r="Y236" i="1"/>
  <c r="S237" i="1"/>
  <c r="U236" i="1"/>
  <c r="V236" i="1" s="1"/>
  <c r="T236" i="1"/>
  <c r="W236" i="1"/>
  <c r="Z236" i="1"/>
  <c r="AH235" i="1"/>
  <c r="AD235" i="1"/>
  <c r="AE235" i="1"/>
  <c r="AA235" i="1"/>
  <c r="Z237" i="1" l="1"/>
  <c r="S238" i="1"/>
  <c r="W237" i="1"/>
  <c r="X237" i="1"/>
  <c r="T237" i="1"/>
  <c r="U237" i="1"/>
  <c r="V237" i="1" s="1"/>
  <c r="Y237" i="1"/>
  <c r="AH236" i="1"/>
  <c r="AD236" i="1"/>
  <c r="AE236" i="1"/>
  <c r="AA236" i="1"/>
  <c r="AC236" i="1"/>
  <c r="AG236" i="1"/>
  <c r="AF236" i="1"/>
  <c r="AB236" i="1"/>
  <c r="AB237" i="1" l="1"/>
  <c r="AF237" i="1"/>
  <c r="AG237" i="1"/>
  <c r="AC237" i="1"/>
  <c r="AE237" i="1"/>
  <c r="AA237" i="1"/>
  <c r="U238" i="1"/>
  <c r="V238" i="1" s="1"/>
  <c r="X238" i="1"/>
  <c r="T238" i="1"/>
  <c r="S239" i="1"/>
  <c r="Z238" i="1"/>
  <c r="W238" i="1"/>
  <c r="Y238" i="1"/>
  <c r="AD237" i="1"/>
  <c r="AH237" i="1"/>
  <c r="AA238" i="1" l="1"/>
  <c r="AE238" i="1"/>
  <c r="AH238" i="1"/>
  <c r="AD238" i="1"/>
  <c r="AB238" i="1"/>
  <c r="AF238" i="1"/>
  <c r="Y239" i="1"/>
  <c r="X239" i="1"/>
  <c r="T239" i="1"/>
  <c r="U239" i="1"/>
  <c r="V239" i="1" s="1"/>
  <c r="S240" i="1"/>
  <c r="Z239" i="1"/>
  <c r="W239" i="1"/>
  <c r="AC238" i="1"/>
  <c r="AG238" i="1"/>
  <c r="AD239" i="1" l="1"/>
  <c r="AH239" i="1"/>
  <c r="AF239" i="1"/>
  <c r="AB239" i="1"/>
  <c r="X240" i="1"/>
  <c r="Y240" i="1"/>
  <c r="Z240" i="1"/>
  <c r="T240" i="1"/>
  <c r="U240" i="1"/>
  <c r="V240" i="1" s="1"/>
  <c r="W240" i="1"/>
  <c r="S241" i="1"/>
  <c r="AC239" i="1"/>
  <c r="AG239" i="1"/>
  <c r="AE239" i="1"/>
  <c r="AA239" i="1"/>
  <c r="U241" i="1" l="1"/>
  <c r="V241" i="1" s="1"/>
  <c r="S242" i="1"/>
  <c r="Z241" i="1"/>
  <c r="T241" i="1"/>
  <c r="Y241" i="1"/>
  <c r="W241" i="1"/>
  <c r="X241" i="1"/>
  <c r="AH240" i="1"/>
  <c r="AD240" i="1"/>
  <c r="AE240" i="1"/>
  <c r="AA240" i="1"/>
  <c r="AC240" i="1"/>
  <c r="AG240" i="1"/>
  <c r="AF240" i="1"/>
  <c r="AB240" i="1"/>
  <c r="AF241" i="1" l="1"/>
  <c r="AB241" i="1"/>
  <c r="AD241" i="1"/>
  <c r="AH241" i="1"/>
  <c r="AE241" i="1"/>
  <c r="AA241" i="1"/>
  <c r="Y242" i="1"/>
  <c r="U242" i="1"/>
  <c r="V242" i="1" s="1"/>
  <c r="Z242" i="1"/>
  <c r="S243" i="1"/>
  <c r="X242" i="1"/>
  <c r="W242" i="1"/>
  <c r="T242" i="1"/>
  <c r="AC241" i="1"/>
  <c r="AG241" i="1"/>
  <c r="AB242" i="1" l="1"/>
  <c r="AF242" i="1"/>
  <c r="AC242" i="1"/>
  <c r="AG242" i="1"/>
  <c r="AA242" i="1"/>
  <c r="AE242" i="1"/>
  <c r="S244" i="1"/>
  <c r="U243" i="1"/>
  <c r="V243" i="1" s="1"/>
  <c r="X243" i="1"/>
  <c r="W243" i="1"/>
  <c r="Y243" i="1"/>
  <c r="Z243" i="1"/>
  <c r="T243" i="1"/>
  <c r="AD242" i="1"/>
  <c r="AH242" i="1"/>
  <c r="AH243" i="1" l="1"/>
  <c r="AD243" i="1"/>
  <c r="U244" i="1"/>
  <c r="V244" i="1" s="1"/>
  <c r="T244" i="1"/>
  <c r="S245" i="1"/>
  <c r="Y244" i="1"/>
  <c r="W244" i="1"/>
  <c r="X244" i="1"/>
  <c r="Z244" i="1"/>
  <c r="AA243" i="1"/>
  <c r="AE243" i="1"/>
  <c r="AG243" i="1"/>
  <c r="AC243" i="1"/>
  <c r="AB243" i="1"/>
  <c r="AF243" i="1"/>
  <c r="AG244" i="1" l="1"/>
  <c r="AC244" i="1"/>
  <c r="AB244" i="1"/>
  <c r="AF244" i="1"/>
  <c r="AA244" i="1"/>
  <c r="AE244" i="1"/>
  <c r="AH244" i="1"/>
  <c r="AD244" i="1"/>
  <c r="S246" i="1"/>
  <c r="U245" i="1"/>
  <c r="V245" i="1" s="1"/>
  <c r="T245" i="1"/>
  <c r="X245" i="1"/>
  <c r="Y245" i="1"/>
  <c r="Z245" i="1"/>
  <c r="W245" i="1"/>
  <c r="AA245" i="1" l="1"/>
  <c r="AE245" i="1"/>
  <c r="AF245" i="1"/>
  <c r="AB245" i="1"/>
  <c r="AD245" i="1"/>
  <c r="AH245" i="1"/>
  <c r="AC245" i="1"/>
  <c r="AG245" i="1"/>
  <c r="X246" i="1"/>
  <c r="W246" i="1"/>
  <c r="Z246" i="1"/>
  <c r="T246" i="1"/>
  <c r="S247" i="1"/>
  <c r="U246" i="1"/>
  <c r="V246" i="1" s="1"/>
  <c r="Y246" i="1"/>
  <c r="AG246" i="1" l="1"/>
  <c r="AC246" i="1"/>
  <c r="AH246" i="1"/>
  <c r="AD246" i="1"/>
  <c r="AA246" i="1"/>
  <c r="AE246" i="1"/>
  <c r="T247" i="1"/>
  <c r="S248" i="1"/>
  <c r="Y247" i="1"/>
  <c r="X247" i="1"/>
  <c r="U247" i="1"/>
  <c r="V247" i="1" s="1"/>
  <c r="W247" i="1"/>
  <c r="Z247" i="1"/>
  <c r="AF246" i="1"/>
  <c r="AB246" i="1"/>
  <c r="AA247" i="1" l="1"/>
  <c r="AE247" i="1"/>
  <c r="AB247" i="1"/>
  <c r="AF247" i="1"/>
  <c r="X248" i="1"/>
  <c r="U248" i="1"/>
  <c r="V248" i="1" s="1"/>
  <c r="S249" i="1"/>
  <c r="T248" i="1"/>
  <c r="W248" i="1"/>
  <c r="Y248" i="1"/>
  <c r="Z248" i="1"/>
  <c r="AD247" i="1"/>
  <c r="AH247" i="1"/>
  <c r="AC247" i="1"/>
  <c r="AG247" i="1"/>
  <c r="AH248" i="1" l="1"/>
  <c r="AD248" i="1"/>
  <c r="S250" i="1"/>
  <c r="T249" i="1"/>
  <c r="Y249" i="1"/>
  <c r="X249" i="1"/>
  <c r="U249" i="1"/>
  <c r="V249" i="1" s="1"/>
  <c r="W249" i="1"/>
  <c r="Z249" i="1"/>
  <c r="AC248" i="1"/>
  <c r="AG248" i="1"/>
  <c r="AA248" i="1"/>
  <c r="AE248" i="1"/>
  <c r="AB248" i="1"/>
  <c r="AF248" i="1"/>
  <c r="U250" i="1" l="1"/>
  <c r="V250" i="1" s="1"/>
  <c r="T250" i="1"/>
  <c r="Z250" i="1"/>
  <c r="S251" i="1"/>
  <c r="X250" i="1"/>
  <c r="W250" i="1"/>
  <c r="Y250" i="1"/>
  <c r="AB249" i="1"/>
  <c r="AF249" i="1"/>
  <c r="AA249" i="1"/>
  <c r="AE249" i="1"/>
  <c r="AH249" i="1"/>
  <c r="AD249" i="1"/>
  <c r="AG249" i="1"/>
  <c r="AC249" i="1"/>
  <c r="T251" i="1" l="1"/>
  <c r="U251" i="1"/>
  <c r="V251" i="1" s="1"/>
  <c r="X251" i="1"/>
  <c r="S252" i="1"/>
  <c r="Z251" i="1"/>
  <c r="Y251" i="1"/>
  <c r="W251" i="1"/>
  <c r="AC250" i="1"/>
  <c r="AG250" i="1"/>
  <c r="AD250" i="1"/>
  <c r="AH250" i="1"/>
  <c r="AE250" i="1"/>
  <c r="AA250" i="1"/>
  <c r="AB250" i="1"/>
  <c r="AF250" i="1"/>
  <c r="U252" i="1" l="1"/>
  <c r="V252" i="1" s="1"/>
  <c r="T252" i="1"/>
  <c r="Z252" i="1"/>
  <c r="X252" i="1"/>
  <c r="S253" i="1"/>
  <c r="W252" i="1"/>
  <c r="Y252" i="1"/>
  <c r="AA251" i="1"/>
  <c r="AE251" i="1"/>
  <c r="AF251" i="1"/>
  <c r="AB251" i="1"/>
  <c r="AC251" i="1"/>
  <c r="AG251" i="1"/>
  <c r="AD251" i="1"/>
  <c r="AH251" i="1"/>
  <c r="AG252" i="1" l="1"/>
  <c r="AC252" i="1"/>
  <c r="AH252" i="1"/>
  <c r="AD252" i="1"/>
  <c r="AB252" i="1"/>
  <c r="AF252" i="1"/>
  <c r="AA252" i="1"/>
  <c r="AE252" i="1"/>
  <c r="U253" i="1"/>
  <c r="V253" i="1" s="1"/>
  <c r="W253" i="1"/>
  <c r="T253" i="1"/>
  <c r="Y253" i="1"/>
  <c r="Z253" i="1"/>
  <c r="S254" i="1"/>
  <c r="X253" i="1"/>
  <c r="AF253" i="1" l="1"/>
  <c r="AB253" i="1"/>
  <c r="Y254" i="1"/>
  <c r="S255" i="1"/>
  <c r="Z254" i="1"/>
  <c r="W254" i="1"/>
  <c r="X254" i="1"/>
  <c r="U254" i="1"/>
  <c r="V254" i="1" s="1"/>
  <c r="T254" i="1"/>
  <c r="AE253" i="1"/>
  <c r="AA253" i="1"/>
  <c r="AG253" i="1"/>
  <c r="AC253" i="1"/>
  <c r="AH253" i="1"/>
  <c r="AD253" i="1"/>
  <c r="AB254" i="1" l="1"/>
  <c r="AF254" i="1"/>
  <c r="AC254" i="1"/>
  <c r="AG254" i="1"/>
  <c r="AE254" i="1"/>
  <c r="AA254" i="1"/>
  <c r="Y255" i="1"/>
  <c r="Z255" i="1"/>
  <c r="X255" i="1"/>
  <c r="S256" i="1"/>
  <c r="T255" i="1"/>
  <c r="W255" i="1"/>
  <c r="U255" i="1"/>
  <c r="V255" i="1" s="1"/>
  <c r="AD254" i="1"/>
  <c r="AH254" i="1"/>
  <c r="AH255" i="1" l="1"/>
  <c r="AD255" i="1"/>
  <c r="AC255" i="1"/>
  <c r="AG255" i="1"/>
  <c r="AA255" i="1"/>
  <c r="AE255" i="1"/>
  <c r="S257" i="1"/>
  <c r="Y256" i="1"/>
  <c r="W256" i="1"/>
  <c r="Z256" i="1"/>
  <c r="T256" i="1"/>
  <c r="X256" i="1"/>
  <c r="U256" i="1"/>
  <c r="V256" i="1" s="1"/>
  <c r="AF255" i="1"/>
  <c r="AB255" i="1"/>
  <c r="Z257" i="1" l="1"/>
  <c r="U257" i="1"/>
  <c r="V257" i="1" s="1"/>
  <c r="Y257" i="1"/>
  <c r="X257" i="1"/>
  <c r="T257" i="1"/>
  <c r="S258" i="1"/>
  <c r="W257" i="1"/>
  <c r="AF256" i="1"/>
  <c r="AB256" i="1"/>
  <c r="AD256" i="1"/>
  <c r="AH256" i="1"/>
  <c r="AG256" i="1"/>
  <c r="AC256" i="1"/>
  <c r="AE256" i="1"/>
  <c r="AA256" i="1"/>
  <c r="AF257" i="1" l="1"/>
  <c r="AB257" i="1"/>
  <c r="AA257" i="1"/>
  <c r="AE257" i="1"/>
  <c r="AG257" i="1"/>
  <c r="AC257" i="1"/>
  <c r="X258" i="1"/>
  <c r="W258" i="1"/>
  <c r="S259" i="1"/>
  <c r="Z258" i="1"/>
  <c r="T258" i="1"/>
  <c r="U258" i="1"/>
  <c r="V258" i="1" s="1"/>
  <c r="Y258" i="1"/>
  <c r="AD257" i="1"/>
  <c r="AH257" i="1"/>
  <c r="AF258" i="1" l="1"/>
  <c r="AB258" i="1"/>
  <c r="AA258" i="1"/>
  <c r="AE258" i="1"/>
  <c r="AH258" i="1"/>
  <c r="AD258" i="1"/>
  <c r="AG258" i="1"/>
  <c r="AC258" i="1"/>
  <c r="Y259" i="1"/>
  <c r="W259" i="1"/>
  <c r="U259" i="1"/>
  <c r="V259" i="1" s="1"/>
  <c r="T259" i="1"/>
  <c r="Z259" i="1"/>
  <c r="S260" i="1"/>
  <c r="X259" i="1"/>
  <c r="AF259" i="1" l="1"/>
  <c r="AB259" i="1"/>
  <c r="X260" i="1"/>
  <c r="S261" i="1"/>
  <c r="Z260" i="1"/>
  <c r="Y260" i="1"/>
  <c r="W260" i="1"/>
  <c r="T260" i="1"/>
  <c r="U260" i="1"/>
  <c r="V260" i="1" s="1"/>
  <c r="AA259" i="1"/>
  <c r="AE259" i="1"/>
  <c r="AD259" i="1"/>
  <c r="AH259" i="1"/>
  <c r="AC259" i="1"/>
  <c r="AG259" i="1"/>
  <c r="AA260" i="1" l="1"/>
  <c r="AE260" i="1"/>
  <c r="AB260" i="1"/>
  <c r="AF260" i="1"/>
  <c r="AG260" i="1"/>
  <c r="AC260" i="1"/>
  <c r="T261" i="1"/>
  <c r="Z261" i="1"/>
  <c r="W261" i="1"/>
  <c r="S262" i="1"/>
  <c r="X261" i="1"/>
  <c r="Y261" i="1"/>
  <c r="U261" i="1"/>
  <c r="V261" i="1" s="1"/>
  <c r="AD260" i="1"/>
  <c r="AH260" i="1"/>
  <c r="AC261" i="1" l="1"/>
  <c r="AG261" i="1"/>
  <c r="AH261" i="1"/>
  <c r="AD261" i="1"/>
  <c r="AF261" i="1"/>
  <c r="AB261" i="1"/>
  <c r="Z262" i="1"/>
  <c r="S263" i="1"/>
  <c r="X262" i="1"/>
  <c r="Y262" i="1"/>
  <c r="T262" i="1"/>
  <c r="U262" i="1"/>
  <c r="V262" i="1" s="1"/>
  <c r="W262" i="1"/>
  <c r="AE261" i="1"/>
  <c r="AA261" i="1"/>
  <c r="AH262" i="1" l="1"/>
  <c r="AD262" i="1"/>
  <c r="AC262" i="1"/>
  <c r="AG262" i="1"/>
  <c r="S264" i="1"/>
  <c r="Z263" i="1"/>
  <c r="W263" i="1"/>
  <c r="X263" i="1"/>
  <c r="T263" i="1"/>
  <c r="U263" i="1"/>
  <c r="V263" i="1" s="1"/>
  <c r="Y263" i="1"/>
  <c r="AA262" i="1"/>
  <c r="AE262" i="1"/>
  <c r="AF262" i="1"/>
  <c r="AB262" i="1"/>
  <c r="AE263" i="1" l="1"/>
  <c r="AA263" i="1"/>
  <c r="AH263" i="1"/>
  <c r="AD263" i="1"/>
  <c r="AF263" i="1"/>
  <c r="AB263" i="1"/>
  <c r="AC263" i="1"/>
  <c r="AG263" i="1"/>
  <c r="Z264" i="1"/>
  <c r="T264" i="1"/>
  <c r="U264" i="1"/>
  <c r="V264" i="1" s="1"/>
  <c r="W264" i="1"/>
  <c r="Y264" i="1"/>
  <c r="X264" i="1"/>
  <c r="S265" i="1"/>
  <c r="AA264" i="1" l="1"/>
  <c r="AE264" i="1"/>
  <c r="U265" i="1"/>
  <c r="V265" i="1" s="1"/>
  <c r="T265" i="1"/>
  <c r="Z265" i="1"/>
  <c r="W265" i="1"/>
  <c r="S266" i="1"/>
  <c r="Y265" i="1"/>
  <c r="X265" i="1"/>
  <c r="AB264" i="1"/>
  <c r="AF264" i="1"/>
  <c r="AC264" i="1"/>
  <c r="AG264" i="1"/>
  <c r="AH264" i="1"/>
  <c r="AD264" i="1"/>
  <c r="Z266" i="1" l="1"/>
  <c r="U266" i="1"/>
  <c r="V266" i="1" s="1"/>
  <c r="Y266" i="1"/>
  <c r="W266" i="1"/>
  <c r="T266" i="1"/>
  <c r="X266" i="1"/>
  <c r="S267" i="1"/>
  <c r="AA265" i="1"/>
  <c r="AE265" i="1"/>
  <c r="AG265" i="1"/>
  <c r="AC265" i="1"/>
  <c r="AF265" i="1"/>
  <c r="AB265" i="1"/>
  <c r="AD265" i="1"/>
  <c r="AH265" i="1"/>
  <c r="X267" i="1" l="1"/>
  <c r="Z267" i="1"/>
  <c r="W267" i="1"/>
  <c r="U267" i="1"/>
  <c r="V267" i="1" s="1"/>
  <c r="S268" i="1"/>
  <c r="Y267" i="1"/>
  <c r="T267" i="1"/>
  <c r="AF266" i="1"/>
  <c r="AB266" i="1"/>
  <c r="AA266" i="1"/>
  <c r="AE266" i="1"/>
  <c r="AG266" i="1"/>
  <c r="AC266" i="1"/>
  <c r="AH266" i="1"/>
  <c r="AD266" i="1"/>
  <c r="AE267" i="1" l="1"/>
  <c r="AA267" i="1"/>
  <c r="AG267" i="1"/>
  <c r="AC267" i="1"/>
  <c r="AD267" i="1"/>
  <c r="AH267" i="1"/>
  <c r="S269" i="1"/>
  <c r="U268" i="1"/>
  <c r="V268" i="1" s="1"/>
  <c r="Z268" i="1"/>
  <c r="Y268" i="1"/>
  <c r="X268" i="1"/>
  <c r="T268" i="1"/>
  <c r="W268" i="1"/>
  <c r="AB267" i="1"/>
  <c r="AF267" i="1"/>
  <c r="U269" i="1" l="1"/>
  <c r="V269" i="1" s="1"/>
  <c r="W269" i="1"/>
  <c r="T269" i="1"/>
  <c r="X269" i="1"/>
  <c r="Y269" i="1"/>
  <c r="Z269" i="1"/>
  <c r="S270" i="1"/>
  <c r="AF268" i="1"/>
  <c r="AB268" i="1"/>
  <c r="AC268" i="1"/>
  <c r="AG268" i="1"/>
  <c r="AE268" i="1"/>
  <c r="AA268" i="1"/>
  <c r="AD268" i="1"/>
  <c r="AH268" i="1"/>
  <c r="T270" i="1" l="1"/>
  <c r="X270" i="1"/>
  <c r="S271" i="1"/>
  <c r="U270" i="1"/>
  <c r="V270" i="1" s="1"/>
  <c r="Z270" i="1"/>
  <c r="W270" i="1"/>
  <c r="Y270" i="1"/>
  <c r="AD269" i="1"/>
  <c r="AH269" i="1"/>
  <c r="AA269" i="1"/>
  <c r="AE269" i="1"/>
  <c r="AF269" i="1"/>
  <c r="AB269" i="1"/>
  <c r="AC269" i="1"/>
  <c r="AG269" i="1"/>
  <c r="AC270" i="1" l="1"/>
  <c r="AG270" i="1"/>
  <c r="AA270" i="1"/>
  <c r="AE270" i="1"/>
  <c r="AF270" i="1"/>
  <c r="AB270" i="1"/>
  <c r="W271" i="1"/>
  <c r="T271" i="1"/>
  <c r="U271" i="1"/>
  <c r="V271" i="1" s="1"/>
  <c r="S272" i="1"/>
  <c r="X271" i="1"/>
  <c r="Z271" i="1"/>
  <c r="Y271" i="1"/>
  <c r="AH270" i="1"/>
  <c r="AD270" i="1"/>
  <c r="AA271" i="1" l="1"/>
  <c r="AE271" i="1"/>
  <c r="Z272" i="1"/>
  <c r="W272" i="1"/>
  <c r="X272" i="1"/>
  <c r="U272" i="1"/>
  <c r="V272" i="1" s="1"/>
  <c r="S273" i="1"/>
  <c r="Y272" i="1"/>
  <c r="T272" i="1"/>
  <c r="AH271" i="1"/>
  <c r="AD271" i="1"/>
  <c r="AB271" i="1"/>
  <c r="AF271" i="1"/>
  <c r="AG271" i="1"/>
  <c r="AC271" i="1"/>
  <c r="U273" i="1" l="1"/>
  <c r="V273" i="1" s="1"/>
  <c r="S274" i="1"/>
  <c r="X273" i="1"/>
  <c r="Y273" i="1"/>
  <c r="W273" i="1"/>
  <c r="Z273" i="1"/>
  <c r="T273" i="1"/>
  <c r="AD272" i="1"/>
  <c r="AH272" i="1"/>
  <c r="AE272" i="1"/>
  <c r="AA272" i="1"/>
  <c r="AC272" i="1"/>
  <c r="AG272" i="1"/>
  <c r="AF272" i="1"/>
  <c r="AB272" i="1"/>
  <c r="AB273" i="1" l="1"/>
  <c r="AF273" i="1"/>
  <c r="AG273" i="1"/>
  <c r="AC273" i="1"/>
  <c r="AH273" i="1"/>
  <c r="AD273" i="1"/>
  <c r="T274" i="1"/>
  <c r="Z274" i="1"/>
  <c r="S275" i="1"/>
  <c r="U274" i="1"/>
  <c r="V274" i="1" s="1"/>
  <c r="Y274" i="1"/>
  <c r="X274" i="1"/>
  <c r="W274" i="1"/>
  <c r="AE273" i="1"/>
  <c r="AA273" i="1"/>
  <c r="AH274" i="1" l="1"/>
  <c r="AD274" i="1"/>
  <c r="AC274" i="1"/>
  <c r="AG274" i="1"/>
  <c r="AB274" i="1"/>
  <c r="AF274" i="1"/>
  <c r="AA274" i="1"/>
  <c r="AE274" i="1"/>
  <c r="Z275" i="1"/>
  <c r="Y275" i="1"/>
  <c r="W275" i="1"/>
  <c r="S276" i="1"/>
  <c r="U275" i="1"/>
  <c r="V275" i="1" s="1"/>
  <c r="X275" i="1"/>
  <c r="T275" i="1"/>
  <c r="T276" i="1" l="1"/>
  <c r="W276" i="1"/>
  <c r="S277" i="1"/>
  <c r="Y276" i="1"/>
  <c r="U276" i="1"/>
  <c r="V276" i="1" s="1"/>
  <c r="Z276" i="1"/>
  <c r="X276" i="1"/>
  <c r="AA275" i="1"/>
  <c r="AE275" i="1"/>
  <c r="AF275" i="1"/>
  <c r="AB275" i="1"/>
  <c r="AG275" i="1"/>
  <c r="AC275" i="1"/>
  <c r="AH275" i="1"/>
  <c r="AD275" i="1"/>
  <c r="AG276" i="1" l="1"/>
  <c r="AC276" i="1"/>
  <c r="AB276" i="1"/>
  <c r="AF276" i="1"/>
  <c r="Z277" i="1"/>
  <c r="W277" i="1"/>
  <c r="Y277" i="1"/>
  <c r="S278" i="1"/>
  <c r="U277" i="1"/>
  <c r="V277" i="1" s="1"/>
  <c r="X277" i="1"/>
  <c r="T277" i="1"/>
  <c r="AH276" i="1"/>
  <c r="AD276" i="1"/>
  <c r="AA276" i="1"/>
  <c r="AE276" i="1"/>
  <c r="AG277" i="1" l="1"/>
  <c r="AC277" i="1"/>
  <c r="AB277" i="1"/>
  <c r="AF277" i="1"/>
  <c r="Z278" i="1"/>
  <c r="S279" i="1"/>
  <c r="U278" i="1"/>
  <c r="V278" i="1" s="1"/>
  <c r="Y278" i="1"/>
  <c r="X278" i="1"/>
  <c r="W278" i="1"/>
  <c r="T278" i="1"/>
  <c r="AA277" i="1"/>
  <c r="AE277" i="1"/>
  <c r="AH277" i="1"/>
  <c r="AD277" i="1"/>
  <c r="AG278" i="1" l="1"/>
  <c r="AC278" i="1"/>
  <c r="AE278" i="1"/>
  <c r="AA278" i="1"/>
  <c r="Z279" i="1"/>
  <c r="X279" i="1"/>
  <c r="S280" i="1"/>
  <c r="W279" i="1"/>
  <c r="U279" i="1"/>
  <c r="V279" i="1" s="1"/>
  <c r="Y279" i="1"/>
  <c r="T279" i="1"/>
  <c r="AB278" i="1"/>
  <c r="AF278" i="1"/>
  <c r="AH278" i="1"/>
  <c r="AD278" i="1"/>
  <c r="Z280" i="1" l="1"/>
  <c r="S281" i="1"/>
  <c r="T280" i="1"/>
  <c r="U280" i="1"/>
  <c r="V280" i="1" s="1"/>
  <c r="Y280" i="1"/>
  <c r="W280" i="1"/>
  <c r="X280" i="1"/>
  <c r="AG279" i="1"/>
  <c r="AC279" i="1"/>
  <c r="AF279" i="1"/>
  <c r="AB279" i="1"/>
  <c r="AE279" i="1"/>
  <c r="AA279" i="1"/>
  <c r="AH279" i="1"/>
  <c r="AD279" i="1"/>
  <c r="AF280" i="1" l="1"/>
  <c r="AB280" i="1"/>
  <c r="AE280" i="1"/>
  <c r="AA280" i="1"/>
  <c r="Z281" i="1"/>
  <c r="W281" i="1"/>
  <c r="S282" i="1"/>
  <c r="X281" i="1"/>
  <c r="U281" i="1"/>
  <c r="V281" i="1" s="1"/>
  <c r="T281" i="1"/>
  <c r="Y281" i="1"/>
  <c r="AC280" i="1"/>
  <c r="AG280" i="1"/>
  <c r="AD280" i="1"/>
  <c r="AH280" i="1"/>
  <c r="S283" i="1" l="1"/>
  <c r="Z282" i="1"/>
  <c r="Y282" i="1"/>
  <c r="U282" i="1"/>
  <c r="V282" i="1" s="1"/>
  <c r="T282" i="1"/>
  <c r="W282" i="1"/>
  <c r="X282" i="1"/>
  <c r="AB281" i="1"/>
  <c r="AF281" i="1"/>
  <c r="AG281" i="1"/>
  <c r="AC281" i="1"/>
  <c r="AA281" i="1"/>
  <c r="AE281" i="1"/>
  <c r="AD281" i="1"/>
  <c r="AH281" i="1"/>
  <c r="AF282" i="1" l="1"/>
  <c r="AB282" i="1"/>
  <c r="AC282" i="1"/>
  <c r="AG282" i="1"/>
  <c r="AA282" i="1"/>
  <c r="AE282" i="1"/>
  <c r="AD282" i="1"/>
  <c r="AH282" i="1"/>
  <c r="T283" i="1"/>
  <c r="S284" i="1"/>
  <c r="X283" i="1"/>
  <c r="W283" i="1"/>
  <c r="Z283" i="1"/>
  <c r="Y283" i="1"/>
  <c r="U283" i="1"/>
  <c r="V283" i="1" s="1"/>
  <c r="AF283" i="1" l="1"/>
  <c r="AB283" i="1"/>
  <c r="AA283" i="1"/>
  <c r="AE283" i="1"/>
  <c r="S285" i="1"/>
  <c r="T284" i="1"/>
  <c r="U284" i="1"/>
  <c r="V284" i="1" s="1"/>
  <c r="W284" i="1"/>
  <c r="Z284" i="1"/>
  <c r="Y284" i="1"/>
  <c r="X284" i="1"/>
  <c r="AC283" i="1"/>
  <c r="AG283" i="1"/>
  <c r="AH283" i="1"/>
  <c r="AD283" i="1"/>
  <c r="AA284" i="1" l="1"/>
  <c r="AE284" i="1"/>
  <c r="AB284" i="1"/>
  <c r="AF284" i="1"/>
  <c r="AG284" i="1"/>
  <c r="AC284" i="1"/>
  <c r="AD284" i="1"/>
  <c r="AH284" i="1"/>
  <c r="W285" i="1"/>
  <c r="U285" i="1"/>
  <c r="V285" i="1" s="1"/>
  <c r="S286" i="1"/>
  <c r="X285" i="1"/>
  <c r="Y285" i="1"/>
  <c r="T285" i="1"/>
  <c r="Z285" i="1"/>
  <c r="AF285" i="1" l="1"/>
  <c r="AB285" i="1"/>
  <c r="AD285" i="1"/>
  <c r="AH285" i="1"/>
  <c r="Y286" i="1"/>
  <c r="T286" i="1"/>
  <c r="X286" i="1"/>
  <c r="U286" i="1"/>
  <c r="V286" i="1" s="1"/>
  <c r="Z286" i="1"/>
  <c r="S287" i="1"/>
  <c r="W286" i="1"/>
  <c r="AG285" i="1"/>
  <c r="AC285" i="1"/>
  <c r="AA285" i="1"/>
  <c r="AE285" i="1"/>
  <c r="AA286" i="1" l="1"/>
  <c r="AE286" i="1"/>
  <c r="AF286" i="1"/>
  <c r="AB286" i="1"/>
  <c r="U287" i="1"/>
  <c r="V287" i="1" s="1"/>
  <c r="W287" i="1"/>
  <c r="S288" i="1"/>
  <c r="Z287" i="1"/>
  <c r="T287" i="1"/>
  <c r="X287" i="1"/>
  <c r="Y287" i="1"/>
  <c r="AD286" i="1"/>
  <c r="AH286" i="1"/>
  <c r="AG286" i="1"/>
  <c r="AC286" i="1"/>
  <c r="AG287" i="1" l="1"/>
  <c r="AC287" i="1"/>
  <c r="Z288" i="1"/>
  <c r="U288" i="1"/>
  <c r="V288" i="1" s="1"/>
  <c r="X288" i="1"/>
  <c r="T288" i="1"/>
  <c r="S289" i="1"/>
  <c r="W288" i="1"/>
  <c r="Y288" i="1"/>
  <c r="AB287" i="1"/>
  <c r="AF287" i="1"/>
  <c r="AE287" i="1"/>
  <c r="AA287" i="1"/>
  <c r="AH287" i="1"/>
  <c r="AD287" i="1"/>
  <c r="AE288" i="1" l="1"/>
  <c r="AA288" i="1"/>
  <c r="S290" i="1"/>
  <c r="U289" i="1"/>
  <c r="V289" i="1" s="1"/>
  <c r="Y289" i="1"/>
  <c r="T289" i="1"/>
  <c r="X289" i="1"/>
  <c r="W289" i="1"/>
  <c r="Z289" i="1"/>
  <c r="AD288" i="1"/>
  <c r="AH288" i="1"/>
  <c r="AG288" i="1"/>
  <c r="AC288" i="1"/>
  <c r="AF288" i="1"/>
  <c r="AB288" i="1"/>
  <c r="AB289" i="1" l="1"/>
  <c r="AF289" i="1"/>
  <c r="AA289" i="1"/>
  <c r="AE289" i="1"/>
  <c r="T290" i="1"/>
  <c r="S291" i="1"/>
  <c r="X290" i="1"/>
  <c r="Z290" i="1"/>
  <c r="Y290" i="1"/>
  <c r="W290" i="1"/>
  <c r="U290" i="1"/>
  <c r="V290" i="1" s="1"/>
  <c r="AD289" i="1"/>
  <c r="AH289" i="1"/>
  <c r="AG289" i="1"/>
  <c r="AC289" i="1"/>
  <c r="AH290" i="1" l="1"/>
  <c r="AD290" i="1"/>
  <c r="U291" i="1"/>
  <c r="V291" i="1" s="1"/>
  <c r="Z291" i="1"/>
  <c r="W291" i="1"/>
  <c r="X291" i="1"/>
  <c r="T291" i="1"/>
  <c r="S292" i="1"/>
  <c r="Y291" i="1"/>
  <c r="AB290" i="1"/>
  <c r="AF290" i="1"/>
  <c r="AA290" i="1"/>
  <c r="AE290" i="1"/>
  <c r="AG290" i="1"/>
  <c r="AC290" i="1"/>
  <c r="AD291" i="1" l="1"/>
  <c r="AH291" i="1"/>
  <c r="AB291" i="1"/>
  <c r="AF291" i="1"/>
  <c r="W292" i="1"/>
  <c r="Y292" i="1"/>
  <c r="U292" i="1"/>
  <c r="V292" i="1" s="1"/>
  <c r="S293" i="1"/>
  <c r="X292" i="1"/>
  <c r="Z292" i="1"/>
  <c r="T292" i="1"/>
  <c r="AG291" i="1"/>
  <c r="AC291" i="1"/>
  <c r="AA291" i="1"/>
  <c r="AE291" i="1"/>
  <c r="AD292" i="1" l="1"/>
  <c r="AH292" i="1"/>
  <c r="AC292" i="1"/>
  <c r="AG292" i="1"/>
  <c r="X293" i="1"/>
  <c r="T293" i="1"/>
  <c r="S294" i="1"/>
  <c r="Z293" i="1"/>
  <c r="U293" i="1"/>
  <c r="V293" i="1" s="1"/>
  <c r="W293" i="1"/>
  <c r="Y293" i="1"/>
  <c r="AB292" i="1"/>
  <c r="AF292" i="1"/>
  <c r="AE292" i="1"/>
  <c r="AA292" i="1"/>
  <c r="AD293" i="1" l="1"/>
  <c r="AH293" i="1"/>
  <c r="AC293" i="1"/>
  <c r="AG293" i="1"/>
  <c r="T294" i="1"/>
  <c r="W294" i="1"/>
  <c r="S295" i="1"/>
  <c r="X294" i="1"/>
  <c r="Z294" i="1"/>
  <c r="Y294" i="1"/>
  <c r="U294" i="1"/>
  <c r="V294" i="1" s="1"/>
  <c r="AE293" i="1"/>
  <c r="AA293" i="1"/>
  <c r="AF293" i="1"/>
  <c r="AB293" i="1"/>
  <c r="T295" i="1" l="1"/>
  <c r="S296" i="1"/>
  <c r="Y295" i="1"/>
  <c r="Z295" i="1"/>
  <c r="X295" i="1"/>
  <c r="U295" i="1"/>
  <c r="V295" i="1" s="1"/>
  <c r="W295" i="1"/>
  <c r="AG294" i="1"/>
  <c r="AC294" i="1"/>
  <c r="AA294" i="1"/>
  <c r="AE294" i="1"/>
  <c r="AF294" i="1"/>
  <c r="AB294" i="1"/>
  <c r="AD294" i="1"/>
  <c r="AH294" i="1"/>
  <c r="AH295" i="1" l="1"/>
  <c r="AD295" i="1"/>
  <c r="AE295" i="1"/>
  <c r="AA295" i="1"/>
  <c r="AG295" i="1"/>
  <c r="AC295" i="1"/>
  <c r="X296" i="1"/>
  <c r="U296" i="1"/>
  <c r="V296" i="1" s="1"/>
  <c r="Z296" i="1"/>
  <c r="W296" i="1"/>
  <c r="S297" i="1"/>
  <c r="T296" i="1"/>
  <c r="Y296" i="1"/>
  <c r="AF295" i="1"/>
  <c r="AB295" i="1"/>
  <c r="X297" i="1" l="1"/>
  <c r="T297" i="1"/>
  <c r="W297" i="1"/>
  <c r="Z297" i="1"/>
  <c r="Y297" i="1"/>
  <c r="S298" i="1"/>
  <c r="U297" i="1"/>
  <c r="V297" i="1" s="1"/>
  <c r="AF296" i="1"/>
  <c r="AB296" i="1"/>
  <c r="AE296" i="1"/>
  <c r="AA296" i="1"/>
  <c r="AC296" i="1"/>
  <c r="AG296" i="1"/>
  <c r="AD296" i="1"/>
  <c r="AH296" i="1"/>
  <c r="AA297" i="1" l="1"/>
  <c r="AE297" i="1"/>
  <c r="W298" i="1"/>
  <c r="X298" i="1"/>
  <c r="U298" i="1"/>
  <c r="V298" i="1" s="1"/>
  <c r="S299" i="1"/>
  <c r="T298" i="1"/>
  <c r="Y298" i="1"/>
  <c r="Z298" i="1"/>
  <c r="AD297" i="1"/>
  <c r="AH297" i="1"/>
  <c r="AC297" i="1"/>
  <c r="AG297" i="1"/>
  <c r="AF297" i="1"/>
  <c r="AB297" i="1"/>
  <c r="AG298" i="1" l="1"/>
  <c r="AC298" i="1"/>
  <c r="AB298" i="1"/>
  <c r="AF298" i="1"/>
  <c r="AA298" i="1"/>
  <c r="AE298" i="1"/>
  <c r="X299" i="1"/>
  <c r="S300" i="1"/>
  <c r="Y299" i="1"/>
  <c r="W299" i="1"/>
  <c r="T299" i="1"/>
  <c r="U299" i="1"/>
  <c r="V299" i="1" s="1"/>
  <c r="Z299" i="1"/>
  <c r="AD298" i="1"/>
  <c r="AH298" i="1"/>
  <c r="Z300" i="1" l="1"/>
  <c r="U300" i="1"/>
  <c r="V300" i="1" s="1"/>
  <c r="X300" i="1"/>
  <c r="T300" i="1"/>
  <c r="S301" i="1"/>
  <c r="Y300" i="1"/>
  <c r="W300" i="1"/>
  <c r="AE299" i="1"/>
  <c r="AA299" i="1"/>
  <c r="AB299" i="1"/>
  <c r="AF299" i="1"/>
  <c r="AD299" i="1"/>
  <c r="AH299" i="1"/>
  <c r="AG299" i="1"/>
  <c r="AC299" i="1"/>
  <c r="AE300" i="1" l="1"/>
  <c r="AA300" i="1"/>
  <c r="AB300" i="1"/>
  <c r="AF300" i="1"/>
  <c r="AC300" i="1"/>
  <c r="AG300" i="1"/>
  <c r="S302" i="1"/>
  <c r="Y301" i="1"/>
  <c r="X301" i="1"/>
  <c r="W301" i="1"/>
  <c r="U301" i="1"/>
  <c r="V301" i="1" s="1"/>
  <c r="T301" i="1"/>
  <c r="Z301" i="1"/>
  <c r="AD300" i="1"/>
  <c r="AH300" i="1"/>
  <c r="U302" i="1" l="1"/>
  <c r="V302" i="1" s="1"/>
  <c r="Y302" i="1"/>
  <c r="T302" i="1"/>
  <c r="W302" i="1"/>
  <c r="Z302" i="1"/>
  <c r="S303" i="1"/>
  <c r="X302" i="1"/>
  <c r="AC301" i="1"/>
  <c r="AG301" i="1"/>
  <c r="AA301" i="1"/>
  <c r="AE301" i="1"/>
  <c r="AH301" i="1"/>
  <c r="AD301" i="1"/>
  <c r="AB301" i="1"/>
  <c r="AF301" i="1"/>
  <c r="AB302" i="1" l="1"/>
  <c r="AF302" i="1"/>
  <c r="W303" i="1"/>
  <c r="Z303" i="1"/>
  <c r="U303" i="1"/>
  <c r="V303" i="1" s="1"/>
  <c r="X303" i="1"/>
  <c r="T303" i="1"/>
  <c r="S304" i="1"/>
  <c r="Y303" i="1"/>
  <c r="AG302" i="1"/>
  <c r="AC302" i="1"/>
  <c r="AA302" i="1"/>
  <c r="AE302" i="1"/>
  <c r="AD302" i="1"/>
  <c r="AH302" i="1"/>
  <c r="AA303" i="1" l="1"/>
  <c r="AE303" i="1"/>
  <c r="AH303" i="1"/>
  <c r="AD303" i="1"/>
  <c r="AB303" i="1"/>
  <c r="AF303" i="1"/>
  <c r="S305" i="1"/>
  <c r="U304" i="1"/>
  <c r="V304" i="1" s="1"/>
  <c r="Y304" i="1"/>
  <c r="X304" i="1"/>
  <c r="Z304" i="1"/>
  <c r="W304" i="1"/>
  <c r="T304" i="1"/>
  <c r="AG303" i="1"/>
  <c r="AC303" i="1"/>
  <c r="AA304" i="1" l="1"/>
  <c r="AE304" i="1"/>
  <c r="AH304" i="1"/>
  <c r="AD304" i="1"/>
  <c r="S306" i="1"/>
  <c r="X305" i="1"/>
  <c r="Z305" i="1"/>
  <c r="W305" i="1"/>
  <c r="T305" i="1"/>
  <c r="U305" i="1"/>
  <c r="V305" i="1" s="1"/>
  <c r="Y305" i="1"/>
  <c r="AF304" i="1"/>
  <c r="AB304" i="1"/>
  <c r="AG304" i="1"/>
  <c r="AC304" i="1"/>
  <c r="AA305" i="1" l="1"/>
  <c r="AE305" i="1"/>
  <c r="AF305" i="1"/>
  <c r="AB305" i="1"/>
  <c r="AG305" i="1"/>
  <c r="AC305" i="1"/>
  <c r="AD305" i="1"/>
  <c r="AH305" i="1"/>
  <c r="S307" i="1"/>
  <c r="Z306" i="1"/>
  <c r="X306" i="1"/>
  <c r="Y306" i="1"/>
  <c r="U306" i="1"/>
  <c r="V306" i="1" s="1"/>
  <c r="T306" i="1"/>
  <c r="W306" i="1"/>
  <c r="AF306" i="1" l="1"/>
  <c r="AB306" i="1"/>
  <c r="AD306" i="1"/>
  <c r="AH306" i="1"/>
  <c r="AC306" i="1"/>
  <c r="AG306" i="1"/>
  <c r="AE306" i="1"/>
  <c r="AA306" i="1"/>
  <c r="T307" i="1"/>
  <c r="U307" i="1"/>
  <c r="V307" i="1" s="1"/>
  <c r="W307" i="1"/>
  <c r="S308" i="1"/>
  <c r="Z307" i="1"/>
  <c r="Y307" i="1"/>
  <c r="X307" i="1"/>
  <c r="U308" i="1" l="1"/>
  <c r="V308" i="1" s="1"/>
  <c r="Z308" i="1"/>
  <c r="T308" i="1"/>
  <c r="Y308" i="1"/>
  <c r="X308" i="1"/>
  <c r="S309" i="1"/>
  <c r="W308" i="1"/>
  <c r="AB307" i="1"/>
  <c r="AF307" i="1"/>
  <c r="AA307" i="1"/>
  <c r="AE307" i="1"/>
  <c r="AG307" i="1"/>
  <c r="AC307" i="1"/>
  <c r="AD307" i="1"/>
  <c r="AH307" i="1"/>
  <c r="AE308" i="1" l="1"/>
  <c r="AA308" i="1"/>
  <c r="X309" i="1"/>
  <c r="T309" i="1"/>
  <c r="W309" i="1"/>
  <c r="S310" i="1"/>
  <c r="U309" i="1"/>
  <c r="V309" i="1" s="1"/>
  <c r="Z309" i="1"/>
  <c r="Y309" i="1"/>
  <c r="AH308" i="1"/>
  <c r="AD308" i="1"/>
  <c r="AC308" i="1"/>
  <c r="AG308" i="1"/>
  <c r="AF308" i="1"/>
  <c r="AB308" i="1"/>
  <c r="AD309" i="1" l="1"/>
  <c r="AH309" i="1"/>
  <c r="AF309" i="1"/>
  <c r="AB309" i="1"/>
  <c r="Y310" i="1"/>
  <c r="W310" i="1"/>
  <c r="U310" i="1"/>
  <c r="V310" i="1" s="1"/>
  <c r="T310" i="1"/>
  <c r="S311" i="1"/>
  <c r="X310" i="1"/>
  <c r="Z310" i="1"/>
  <c r="AG309" i="1"/>
  <c r="AC309" i="1"/>
  <c r="AE309" i="1"/>
  <c r="AA309" i="1"/>
  <c r="AF310" i="1" l="1"/>
  <c r="AB310" i="1"/>
  <c r="AE310" i="1"/>
  <c r="AA310" i="1"/>
  <c r="AD310" i="1"/>
  <c r="AH310" i="1"/>
  <c r="Y311" i="1"/>
  <c r="U311" i="1"/>
  <c r="V311" i="1" s="1"/>
  <c r="Z311" i="1"/>
  <c r="T311" i="1"/>
  <c r="X311" i="1"/>
  <c r="W311" i="1"/>
  <c r="S312" i="1"/>
  <c r="AG310" i="1"/>
  <c r="AC310" i="1"/>
  <c r="AA311" i="1" l="1"/>
  <c r="AE311" i="1"/>
  <c r="AG311" i="1"/>
  <c r="AC311" i="1"/>
  <c r="AB311" i="1"/>
  <c r="AF311" i="1"/>
  <c r="Y312" i="1"/>
  <c r="S313" i="1"/>
  <c r="T312" i="1"/>
  <c r="W312" i="1"/>
  <c r="U312" i="1"/>
  <c r="V312" i="1" s="1"/>
  <c r="Z312" i="1"/>
  <c r="X312" i="1"/>
  <c r="AD311" i="1"/>
  <c r="AH311" i="1"/>
  <c r="W313" i="1" l="1"/>
  <c r="S314" i="1"/>
  <c r="U313" i="1"/>
  <c r="V313" i="1" s="1"/>
  <c r="Z313" i="1"/>
  <c r="Y313" i="1"/>
  <c r="T313" i="1"/>
  <c r="X313" i="1"/>
  <c r="AG312" i="1"/>
  <c r="AC312" i="1"/>
  <c r="AE312" i="1"/>
  <c r="AA312" i="1"/>
  <c r="AH312" i="1"/>
  <c r="AD312" i="1"/>
  <c r="AF312" i="1"/>
  <c r="AB312" i="1"/>
  <c r="AB313" i="1" l="1"/>
  <c r="AF313" i="1"/>
  <c r="S315" i="1"/>
  <c r="X314" i="1"/>
  <c r="Y314" i="1"/>
  <c r="U314" i="1"/>
  <c r="V314" i="1" s="1"/>
  <c r="W314" i="1"/>
  <c r="T314" i="1"/>
  <c r="Z314" i="1"/>
  <c r="AH313" i="1"/>
  <c r="AD313" i="1"/>
  <c r="AC313" i="1"/>
  <c r="AG313" i="1"/>
  <c r="AA313" i="1"/>
  <c r="AE313" i="1"/>
  <c r="AE314" i="1" l="1"/>
  <c r="AA314" i="1"/>
  <c r="W315" i="1"/>
  <c r="S316" i="1"/>
  <c r="U315" i="1"/>
  <c r="V315" i="1" s="1"/>
  <c r="T315" i="1"/>
  <c r="Z315" i="1"/>
  <c r="X315" i="1"/>
  <c r="Y315" i="1"/>
  <c r="AB314" i="1"/>
  <c r="AF314" i="1"/>
  <c r="AD314" i="1"/>
  <c r="AH314" i="1"/>
  <c r="AC314" i="1"/>
  <c r="AG314" i="1"/>
  <c r="AB315" i="1" l="1"/>
  <c r="AF315" i="1"/>
  <c r="AH315" i="1"/>
  <c r="AD315" i="1"/>
  <c r="AA315" i="1"/>
  <c r="AE315" i="1"/>
  <c r="Y316" i="1"/>
  <c r="S317" i="1"/>
  <c r="Z316" i="1"/>
  <c r="U316" i="1"/>
  <c r="V316" i="1" s="1"/>
  <c r="W316" i="1"/>
  <c r="T316" i="1"/>
  <c r="X316" i="1"/>
  <c r="AC315" i="1"/>
  <c r="AG315" i="1"/>
  <c r="AG316" i="1" l="1"/>
  <c r="AC316" i="1"/>
  <c r="X317" i="1"/>
  <c r="U317" i="1"/>
  <c r="V317" i="1" s="1"/>
  <c r="W317" i="1"/>
  <c r="Z317" i="1"/>
  <c r="T317" i="1"/>
  <c r="Y317" i="1"/>
  <c r="S318" i="1"/>
  <c r="AE316" i="1"/>
  <c r="AA316" i="1"/>
  <c r="AB316" i="1"/>
  <c r="AF316" i="1"/>
  <c r="AH316" i="1"/>
  <c r="AD316" i="1"/>
  <c r="AB317" i="1" l="1"/>
  <c r="AF317" i="1"/>
  <c r="AH317" i="1"/>
  <c r="AD317" i="1"/>
  <c r="AG317" i="1"/>
  <c r="AC317" i="1"/>
  <c r="T318" i="1"/>
  <c r="U318" i="1"/>
  <c r="V318" i="1" s="1"/>
  <c r="W318" i="1"/>
  <c r="Z318" i="1"/>
  <c r="S319" i="1"/>
  <c r="X318" i="1"/>
  <c r="Y318" i="1"/>
  <c r="AA317" i="1"/>
  <c r="AE317" i="1"/>
  <c r="AB318" i="1" l="1"/>
  <c r="AF318" i="1"/>
  <c r="X319" i="1"/>
  <c r="Z319" i="1"/>
  <c r="Y319" i="1"/>
  <c r="W319" i="1"/>
  <c r="T319" i="1"/>
  <c r="U319" i="1"/>
  <c r="V319" i="1" s="1"/>
  <c r="S320" i="1"/>
  <c r="AD318" i="1"/>
  <c r="AH318" i="1"/>
  <c r="AC318" i="1"/>
  <c r="AG318" i="1"/>
  <c r="AA318" i="1"/>
  <c r="AE318" i="1"/>
  <c r="AF319" i="1" l="1"/>
  <c r="AB319" i="1"/>
  <c r="AA319" i="1"/>
  <c r="AE319" i="1"/>
  <c r="AD319" i="1"/>
  <c r="AH319" i="1"/>
  <c r="S321" i="1"/>
  <c r="U320" i="1"/>
  <c r="V320" i="1" s="1"/>
  <c r="Z320" i="1"/>
  <c r="Y320" i="1"/>
  <c r="X320" i="1"/>
  <c r="T320" i="1"/>
  <c r="W320" i="1"/>
  <c r="AC319" i="1"/>
  <c r="AG319" i="1"/>
  <c r="AB320" i="1" l="1"/>
  <c r="AF320" i="1"/>
  <c r="AG320" i="1"/>
  <c r="AC320" i="1"/>
  <c r="U321" i="1"/>
  <c r="V321" i="1" s="1"/>
  <c r="Z321" i="1"/>
  <c r="Y321" i="1"/>
  <c r="X321" i="1"/>
  <c r="T321" i="1"/>
  <c r="W321" i="1"/>
  <c r="S322" i="1"/>
  <c r="AE320" i="1"/>
  <c r="AA320" i="1"/>
  <c r="AD320" i="1"/>
  <c r="AH320" i="1"/>
  <c r="AF321" i="1" l="1"/>
  <c r="AB321" i="1"/>
  <c r="AC321" i="1"/>
  <c r="AG321" i="1"/>
  <c r="AE321" i="1"/>
  <c r="AA321" i="1"/>
  <c r="AD321" i="1"/>
  <c r="AH321" i="1"/>
  <c r="Y322" i="1"/>
  <c r="T322" i="1"/>
  <c r="W322" i="1"/>
  <c r="S323" i="1"/>
  <c r="U322" i="1"/>
  <c r="V322" i="1" s="1"/>
  <c r="Z322" i="1"/>
  <c r="X322" i="1"/>
  <c r="Z323" i="1" l="1"/>
  <c r="W323" i="1"/>
  <c r="S324" i="1"/>
  <c r="Y323" i="1"/>
  <c r="T323" i="1"/>
  <c r="X323" i="1"/>
  <c r="U323" i="1"/>
  <c r="V323" i="1" s="1"/>
  <c r="AB322" i="1"/>
  <c r="AF322" i="1"/>
  <c r="AE322" i="1"/>
  <c r="AA322" i="1"/>
  <c r="AH322" i="1"/>
  <c r="AD322" i="1"/>
  <c r="AC322" i="1"/>
  <c r="AG322" i="1"/>
  <c r="U324" i="1" l="1"/>
  <c r="V324" i="1" s="1"/>
  <c r="T324" i="1"/>
  <c r="Z324" i="1"/>
  <c r="S325" i="1"/>
  <c r="Y324" i="1"/>
  <c r="X324" i="1"/>
  <c r="W324" i="1"/>
  <c r="AF323" i="1"/>
  <c r="AB323" i="1"/>
  <c r="AE323" i="1"/>
  <c r="AA323" i="1"/>
  <c r="AC323" i="1"/>
  <c r="AG323" i="1"/>
  <c r="AD323" i="1"/>
  <c r="AH323" i="1"/>
  <c r="AF324" i="1" l="1"/>
  <c r="AB324" i="1"/>
  <c r="U325" i="1"/>
  <c r="V325" i="1" s="1"/>
  <c r="Z325" i="1"/>
  <c r="X325" i="1"/>
  <c r="W325" i="1"/>
  <c r="S326" i="1"/>
  <c r="T325" i="1"/>
  <c r="Y325" i="1"/>
  <c r="AA324" i="1"/>
  <c r="AE324" i="1"/>
  <c r="AH324" i="1"/>
  <c r="AD324" i="1"/>
  <c r="AG324" i="1"/>
  <c r="AC324" i="1"/>
  <c r="AH325" i="1" l="1"/>
  <c r="AD325" i="1"/>
  <c r="X326" i="1"/>
  <c r="Y326" i="1"/>
  <c r="T326" i="1"/>
  <c r="S327" i="1"/>
  <c r="U326" i="1"/>
  <c r="V326" i="1" s="1"/>
  <c r="Z326" i="1"/>
  <c r="W326" i="1"/>
  <c r="AE325" i="1"/>
  <c r="AA325" i="1"/>
  <c r="AC325" i="1"/>
  <c r="AG325" i="1"/>
  <c r="AB325" i="1"/>
  <c r="AF325" i="1"/>
  <c r="AH326" i="1" l="1"/>
  <c r="AD326" i="1"/>
  <c r="AG326" i="1"/>
  <c r="AC326" i="1"/>
  <c r="Y327" i="1"/>
  <c r="U327" i="1"/>
  <c r="V327" i="1" s="1"/>
  <c r="Z327" i="1"/>
  <c r="X327" i="1"/>
  <c r="W327" i="1"/>
  <c r="S328" i="1"/>
  <c r="T327" i="1"/>
  <c r="AB326" i="1"/>
  <c r="AF326" i="1"/>
  <c r="AE326" i="1"/>
  <c r="AA326" i="1"/>
  <c r="AB327" i="1" l="1"/>
  <c r="AF327" i="1"/>
  <c r="S329" i="1"/>
  <c r="W328" i="1"/>
  <c r="Y328" i="1"/>
  <c r="T328" i="1"/>
  <c r="X328" i="1"/>
  <c r="U328" i="1"/>
  <c r="V328" i="1" s="1"/>
  <c r="Z328" i="1"/>
  <c r="AH327" i="1"/>
  <c r="AD327" i="1"/>
  <c r="AE327" i="1"/>
  <c r="AA327" i="1"/>
  <c r="AC327" i="1"/>
  <c r="AG327" i="1"/>
  <c r="AF328" i="1" l="1"/>
  <c r="AB328" i="1"/>
  <c r="T329" i="1"/>
  <c r="W329" i="1"/>
  <c r="Y329" i="1"/>
  <c r="Z329" i="1"/>
  <c r="U329" i="1"/>
  <c r="V329" i="1" s="1"/>
  <c r="X329" i="1"/>
  <c r="S330" i="1"/>
  <c r="AE328" i="1"/>
  <c r="AA328" i="1"/>
  <c r="AD328" i="1"/>
  <c r="AH328" i="1"/>
  <c r="AC328" i="1"/>
  <c r="AG328" i="1"/>
  <c r="S331" i="1" l="1"/>
  <c r="Y330" i="1"/>
  <c r="X330" i="1"/>
  <c r="U330" i="1"/>
  <c r="V330" i="1" s="1"/>
  <c r="W330" i="1"/>
  <c r="T330" i="1"/>
  <c r="Z330" i="1"/>
  <c r="AF329" i="1"/>
  <c r="AB329" i="1"/>
  <c r="AE329" i="1"/>
  <c r="AA329" i="1"/>
  <c r="AH329" i="1"/>
  <c r="AD329" i="1"/>
  <c r="AG329" i="1"/>
  <c r="AC329" i="1"/>
  <c r="AD330" i="1" l="1"/>
  <c r="AH330" i="1"/>
  <c r="AF330" i="1"/>
  <c r="AB330" i="1"/>
  <c r="AC330" i="1"/>
  <c r="AG330" i="1"/>
  <c r="AA330" i="1"/>
  <c r="AE330" i="1"/>
  <c r="Z331" i="1"/>
  <c r="X331" i="1"/>
  <c r="T331" i="1"/>
  <c r="S332" i="1"/>
  <c r="Y331" i="1"/>
  <c r="U331" i="1"/>
  <c r="V331" i="1" s="1"/>
  <c r="W331" i="1"/>
  <c r="W332" i="1" l="1"/>
  <c r="S333" i="1"/>
  <c r="U332" i="1"/>
  <c r="V332" i="1" s="1"/>
  <c r="T332" i="1"/>
  <c r="Y332" i="1"/>
  <c r="X332" i="1"/>
  <c r="Z332" i="1"/>
  <c r="AB331" i="1"/>
  <c r="AF331" i="1"/>
  <c r="AA331" i="1"/>
  <c r="AE331" i="1"/>
  <c r="AC331" i="1"/>
  <c r="AG331" i="1"/>
  <c r="AH331" i="1"/>
  <c r="AD331" i="1"/>
  <c r="AD332" i="1" l="1"/>
  <c r="AH332" i="1"/>
  <c r="AB332" i="1"/>
  <c r="AF332" i="1"/>
  <c r="S334" i="1"/>
  <c r="W333" i="1"/>
  <c r="T333" i="1"/>
  <c r="X333" i="1"/>
  <c r="U333" i="1"/>
  <c r="V333" i="1" s="1"/>
  <c r="Z333" i="1"/>
  <c r="Y333" i="1"/>
  <c r="AG332" i="1"/>
  <c r="AC332" i="1"/>
  <c r="AE332" i="1"/>
  <c r="AA332" i="1"/>
  <c r="AG333" i="1" l="1"/>
  <c r="AC333" i="1"/>
  <c r="AH333" i="1"/>
  <c r="AD333" i="1"/>
  <c r="AE333" i="1"/>
  <c r="AA333" i="1"/>
  <c r="AB333" i="1"/>
  <c r="AF333" i="1"/>
  <c r="Z334" i="1"/>
  <c r="S335" i="1"/>
  <c r="Y334" i="1"/>
  <c r="X334" i="1"/>
  <c r="W334" i="1"/>
  <c r="U334" i="1"/>
  <c r="V334" i="1" s="1"/>
  <c r="T334" i="1"/>
  <c r="AF334" i="1" l="1"/>
  <c r="AB334" i="1"/>
  <c r="AG334" i="1"/>
  <c r="AC334" i="1"/>
  <c r="T335" i="1"/>
  <c r="S336" i="1"/>
  <c r="Z335" i="1"/>
  <c r="U335" i="1"/>
  <c r="V335" i="1" s="1"/>
  <c r="W335" i="1"/>
  <c r="Y335" i="1"/>
  <c r="X335" i="1"/>
  <c r="AA334" i="1"/>
  <c r="AE334" i="1"/>
  <c r="AH334" i="1"/>
  <c r="AD334" i="1"/>
  <c r="AH335" i="1" l="1"/>
  <c r="AD335" i="1"/>
  <c r="AB335" i="1"/>
  <c r="AF335" i="1"/>
  <c r="AC335" i="1"/>
  <c r="AG335" i="1"/>
  <c r="S337" i="1"/>
  <c r="Y336" i="1"/>
  <c r="W336" i="1"/>
  <c r="Z336" i="1"/>
  <c r="X336" i="1"/>
  <c r="U336" i="1"/>
  <c r="V336" i="1" s="1"/>
  <c r="T336" i="1"/>
  <c r="AA335" i="1"/>
  <c r="AE335" i="1"/>
  <c r="AF336" i="1" l="1"/>
  <c r="AB336" i="1"/>
  <c r="Z337" i="1"/>
  <c r="W337" i="1"/>
  <c r="Y337" i="1"/>
  <c r="X337" i="1"/>
  <c r="U337" i="1"/>
  <c r="V337" i="1" s="1"/>
  <c r="T337" i="1"/>
  <c r="S338" i="1"/>
  <c r="AD336" i="1"/>
  <c r="AH336" i="1"/>
  <c r="AG336" i="1"/>
  <c r="AC336" i="1"/>
  <c r="AE336" i="1"/>
  <c r="AA336" i="1"/>
  <c r="AD337" i="1" l="1"/>
  <c r="AH337" i="1"/>
  <c r="AF337" i="1"/>
  <c r="AB337" i="1"/>
  <c r="AE337" i="1"/>
  <c r="AA337" i="1"/>
  <c r="Z338" i="1"/>
  <c r="U338" i="1"/>
  <c r="V338" i="1" s="1"/>
  <c r="Y338" i="1"/>
  <c r="X338" i="1"/>
  <c r="W338" i="1"/>
  <c r="T338" i="1"/>
  <c r="S339" i="1"/>
  <c r="AG337" i="1"/>
  <c r="AC337" i="1"/>
  <c r="AE338" i="1" l="1"/>
  <c r="AA338" i="1"/>
  <c r="AD338" i="1"/>
  <c r="AH338" i="1"/>
  <c r="AF338" i="1"/>
  <c r="AB338" i="1"/>
  <c r="W339" i="1"/>
  <c r="U339" i="1"/>
  <c r="V339" i="1" s="1"/>
  <c r="S340" i="1"/>
  <c r="Z339" i="1"/>
  <c r="T339" i="1"/>
  <c r="X339" i="1"/>
  <c r="Y339" i="1"/>
  <c r="AC338" i="1"/>
  <c r="AG338" i="1"/>
  <c r="AF339" i="1" l="1"/>
  <c r="AB339" i="1"/>
  <c r="AA339" i="1"/>
  <c r="AE339" i="1"/>
  <c r="AD339" i="1"/>
  <c r="AH339" i="1"/>
  <c r="AC339" i="1"/>
  <c r="AG339" i="1"/>
  <c r="Y340" i="1"/>
  <c r="T340" i="1"/>
  <c r="U340" i="1"/>
  <c r="V340" i="1" s="1"/>
  <c r="X340" i="1"/>
  <c r="Z340" i="1"/>
  <c r="S341" i="1"/>
  <c r="W340" i="1"/>
  <c r="AE340" i="1" l="1"/>
  <c r="AA340" i="1"/>
  <c r="W341" i="1"/>
  <c r="X341" i="1"/>
  <c r="Y341" i="1"/>
  <c r="Z341" i="1"/>
  <c r="U341" i="1"/>
  <c r="V341" i="1" s="1"/>
  <c r="S342" i="1"/>
  <c r="T341" i="1"/>
  <c r="AF340" i="1"/>
  <c r="AB340" i="1"/>
  <c r="AD340" i="1"/>
  <c r="AH340" i="1"/>
  <c r="AC340" i="1"/>
  <c r="AG340" i="1"/>
  <c r="Z342" i="1" l="1"/>
  <c r="S343" i="1"/>
  <c r="Y342" i="1"/>
  <c r="X342" i="1"/>
  <c r="W342" i="1"/>
  <c r="U342" i="1"/>
  <c r="V342" i="1" s="1"/>
  <c r="T342" i="1"/>
  <c r="AF341" i="1"/>
  <c r="AB341" i="1"/>
  <c r="AA341" i="1"/>
  <c r="AE341" i="1"/>
  <c r="AD341" i="1"/>
  <c r="AH341" i="1"/>
  <c r="AC341" i="1"/>
  <c r="AG341" i="1"/>
  <c r="AC342" i="1" l="1"/>
  <c r="AG342" i="1"/>
  <c r="Z343" i="1"/>
  <c r="S344" i="1"/>
  <c r="X343" i="1"/>
  <c r="U343" i="1"/>
  <c r="V343" i="1" s="1"/>
  <c r="W343" i="1"/>
  <c r="T343" i="1"/>
  <c r="Y343" i="1"/>
  <c r="AF342" i="1"/>
  <c r="AB342" i="1"/>
  <c r="AE342" i="1"/>
  <c r="AA342" i="1"/>
  <c r="AD342" i="1"/>
  <c r="AH342" i="1"/>
  <c r="Y344" i="1" l="1"/>
  <c r="T344" i="1"/>
  <c r="X344" i="1"/>
  <c r="U344" i="1"/>
  <c r="V344" i="1" s="1"/>
  <c r="S345" i="1"/>
  <c r="Z344" i="1"/>
  <c r="W344" i="1"/>
  <c r="AE343" i="1"/>
  <c r="AA343" i="1"/>
  <c r="AD343" i="1"/>
  <c r="AH343" i="1"/>
  <c r="AC343" i="1"/>
  <c r="AG343" i="1"/>
  <c r="AF343" i="1"/>
  <c r="AB343" i="1"/>
  <c r="AA344" i="1" l="1"/>
  <c r="AE344" i="1"/>
  <c r="AB344" i="1"/>
  <c r="AF344" i="1"/>
  <c r="AH344" i="1"/>
  <c r="AD344" i="1"/>
  <c r="S346" i="1"/>
  <c r="Y345" i="1"/>
  <c r="Z345" i="1"/>
  <c r="U345" i="1"/>
  <c r="V345" i="1" s="1"/>
  <c r="W345" i="1"/>
  <c r="T345" i="1"/>
  <c r="X345" i="1"/>
  <c r="AC344" i="1"/>
  <c r="AG344" i="1"/>
  <c r="S347" i="1" l="1"/>
  <c r="X346" i="1"/>
  <c r="Z346" i="1"/>
  <c r="W346" i="1"/>
  <c r="Y346" i="1"/>
  <c r="T346" i="1"/>
  <c r="U346" i="1"/>
  <c r="V346" i="1" s="1"/>
  <c r="AC345" i="1"/>
  <c r="AG345" i="1"/>
  <c r="AE345" i="1"/>
  <c r="AA345" i="1"/>
  <c r="AB345" i="1"/>
  <c r="AF345" i="1"/>
  <c r="AH345" i="1"/>
  <c r="AD345" i="1"/>
  <c r="AD346" i="1" l="1"/>
  <c r="AH346" i="1"/>
  <c r="AF346" i="1"/>
  <c r="AB346" i="1"/>
  <c r="AA346" i="1"/>
  <c r="AE346" i="1"/>
  <c r="AG346" i="1"/>
  <c r="AC346" i="1"/>
  <c r="X347" i="1"/>
  <c r="T347" i="1"/>
  <c r="W347" i="1"/>
  <c r="S348" i="1"/>
  <c r="Y347" i="1"/>
  <c r="Z347" i="1"/>
  <c r="U347" i="1"/>
  <c r="V347" i="1" s="1"/>
  <c r="Z348" i="1" l="1"/>
  <c r="W348" i="1"/>
  <c r="X348" i="1"/>
  <c r="S349" i="1"/>
  <c r="U348" i="1"/>
  <c r="V348" i="1" s="1"/>
  <c r="Y348" i="1"/>
  <c r="T348" i="1"/>
  <c r="AE347" i="1"/>
  <c r="AA347" i="1"/>
  <c r="AH347" i="1"/>
  <c r="AD347" i="1"/>
  <c r="AC347" i="1"/>
  <c r="AG347" i="1"/>
  <c r="AF347" i="1"/>
  <c r="AB347" i="1"/>
  <c r="AF348" i="1" l="1"/>
  <c r="AB348" i="1"/>
  <c r="AC348" i="1"/>
  <c r="AG348" i="1"/>
  <c r="AA348" i="1"/>
  <c r="AE348" i="1"/>
  <c r="Z349" i="1"/>
  <c r="U349" i="1"/>
  <c r="V349" i="1" s="1"/>
  <c r="T349" i="1"/>
  <c r="Y349" i="1"/>
  <c r="S350" i="1"/>
  <c r="W349" i="1"/>
  <c r="X349" i="1"/>
  <c r="AH348" i="1"/>
  <c r="AD348" i="1"/>
  <c r="AE349" i="1" l="1"/>
  <c r="AA349" i="1"/>
  <c r="W350" i="1"/>
  <c r="S351" i="1"/>
  <c r="T350" i="1"/>
  <c r="Y350" i="1"/>
  <c r="X350" i="1"/>
  <c r="Z350" i="1"/>
  <c r="U350" i="1"/>
  <c r="V350" i="1" s="1"/>
  <c r="AH349" i="1"/>
  <c r="AD349" i="1"/>
  <c r="AC349" i="1"/>
  <c r="AG349" i="1"/>
  <c r="AF349" i="1"/>
  <c r="AB349" i="1"/>
  <c r="S352" i="1" l="1"/>
  <c r="U351" i="1"/>
  <c r="V351" i="1" s="1"/>
  <c r="Z351" i="1"/>
  <c r="T351" i="1"/>
  <c r="X351" i="1"/>
  <c r="Y351" i="1"/>
  <c r="W351" i="1"/>
  <c r="AF350" i="1"/>
  <c r="AB350" i="1"/>
  <c r="AE350" i="1"/>
  <c r="AA350" i="1"/>
  <c r="AC350" i="1"/>
  <c r="AG350" i="1"/>
  <c r="AD350" i="1"/>
  <c r="AH350" i="1"/>
  <c r="AA351" i="1" l="1"/>
  <c r="AE351" i="1"/>
  <c r="AD351" i="1"/>
  <c r="AH351" i="1"/>
  <c r="AG351" i="1"/>
  <c r="AC351" i="1"/>
  <c r="AB351" i="1"/>
  <c r="AF351" i="1"/>
  <c r="X352" i="1"/>
  <c r="S353" i="1"/>
  <c r="W352" i="1"/>
  <c r="T352" i="1"/>
  <c r="Y352" i="1"/>
  <c r="Z352" i="1"/>
  <c r="U352" i="1"/>
  <c r="V352" i="1" s="1"/>
  <c r="X353" i="1" l="1"/>
  <c r="T353" i="1"/>
  <c r="W353" i="1"/>
  <c r="Y353" i="1"/>
  <c r="Z353" i="1"/>
  <c r="U353" i="1"/>
  <c r="V353" i="1" s="1"/>
  <c r="S354" i="1"/>
  <c r="AE352" i="1"/>
  <c r="AA352" i="1"/>
  <c r="AH352" i="1"/>
  <c r="AD352" i="1"/>
  <c r="AC352" i="1"/>
  <c r="AG352" i="1"/>
  <c r="AB352" i="1"/>
  <c r="AF352" i="1"/>
  <c r="Z354" i="1" l="1"/>
  <c r="T354" i="1"/>
  <c r="X354" i="1"/>
  <c r="U354" i="1"/>
  <c r="V354" i="1" s="1"/>
  <c r="W354" i="1"/>
  <c r="Y354" i="1"/>
  <c r="S355" i="1"/>
  <c r="AE353" i="1"/>
  <c r="AA353" i="1"/>
  <c r="AC353" i="1"/>
  <c r="AG353" i="1"/>
  <c r="AD353" i="1"/>
  <c r="AH353" i="1"/>
  <c r="AB353" i="1"/>
  <c r="AF353" i="1"/>
  <c r="X355" i="1" l="1"/>
  <c r="W355" i="1"/>
  <c r="Z355" i="1"/>
  <c r="T355" i="1"/>
  <c r="S356" i="1"/>
  <c r="U355" i="1"/>
  <c r="V355" i="1" s="1"/>
  <c r="Y355" i="1"/>
  <c r="AF354" i="1"/>
  <c r="AB354" i="1"/>
  <c r="AG354" i="1"/>
  <c r="AC354" i="1"/>
  <c r="AA354" i="1"/>
  <c r="AE354" i="1"/>
  <c r="AD354" i="1"/>
  <c r="AH354" i="1"/>
  <c r="AC355" i="1" l="1"/>
  <c r="AG355" i="1"/>
  <c r="AH355" i="1"/>
  <c r="AD355" i="1"/>
  <c r="AE355" i="1"/>
  <c r="AA355" i="1"/>
  <c r="Y356" i="1"/>
  <c r="T356" i="1"/>
  <c r="U356" i="1"/>
  <c r="V356" i="1" s="1"/>
  <c r="S357" i="1"/>
  <c r="W356" i="1"/>
  <c r="X356" i="1"/>
  <c r="Z356" i="1"/>
  <c r="AB355" i="1"/>
  <c r="AF355" i="1"/>
  <c r="AH356" i="1" l="1"/>
  <c r="AD356" i="1"/>
  <c r="AB356" i="1"/>
  <c r="AF356" i="1"/>
  <c r="AA356" i="1"/>
  <c r="AE356" i="1"/>
  <c r="AC356" i="1"/>
  <c r="AG356" i="1"/>
  <c r="S358" i="1"/>
  <c r="U357" i="1"/>
  <c r="V357" i="1" s="1"/>
  <c r="Y357" i="1"/>
  <c r="Z357" i="1"/>
  <c r="X357" i="1"/>
  <c r="W357" i="1"/>
  <c r="T357" i="1"/>
  <c r="AG357" i="1" l="1"/>
  <c r="AC357" i="1"/>
  <c r="AD357" i="1"/>
  <c r="AH357" i="1"/>
  <c r="AE357" i="1"/>
  <c r="AA357" i="1"/>
  <c r="AB357" i="1"/>
  <c r="AF357" i="1"/>
  <c r="W358" i="1"/>
  <c r="Y358" i="1"/>
  <c r="X358" i="1"/>
  <c r="T358" i="1"/>
  <c r="S359" i="1"/>
  <c r="U358" i="1"/>
  <c r="V358" i="1" s="1"/>
  <c r="Z358" i="1"/>
  <c r="AB358" i="1" l="1"/>
  <c r="AF358" i="1"/>
  <c r="AG358" i="1"/>
  <c r="AC358" i="1"/>
  <c r="AH358" i="1"/>
  <c r="AD358" i="1"/>
  <c r="X359" i="1"/>
  <c r="S360" i="1"/>
  <c r="W359" i="1"/>
  <c r="Y359" i="1"/>
  <c r="U359" i="1"/>
  <c r="V359" i="1" s="1"/>
  <c r="Z359" i="1"/>
  <c r="T359" i="1"/>
  <c r="AA358" i="1"/>
  <c r="AE358" i="1"/>
  <c r="AF359" i="1" l="1"/>
  <c r="AB359" i="1"/>
  <c r="U360" i="1"/>
  <c r="V360" i="1" s="1"/>
  <c r="T360" i="1"/>
  <c r="Y360" i="1"/>
  <c r="Z360" i="1"/>
  <c r="S361" i="1"/>
  <c r="X360" i="1"/>
  <c r="W360" i="1"/>
  <c r="AG359" i="1"/>
  <c r="AC359" i="1"/>
  <c r="AH359" i="1"/>
  <c r="AD359" i="1"/>
  <c r="AE359" i="1"/>
  <c r="AA359" i="1"/>
  <c r="AB360" i="1" l="1"/>
  <c r="AF360" i="1"/>
  <c r="AH360" i="1"/>
  <c r="AD360" i="1"/>
  <c r="S362" i="1"/>
  <c r="W361" i="1"/>
  <c r="T361" i="1"/>
  <c r="Z361" i="1"/>
  <c r="U361" i="1"/>
  <c r="V361" i="1" s="1"/>
  <c r="Y361" i="1"/>
  <c r="X361" i="1"/>
  <c r="AA360" i="1"/>
  <c r="AE360" i="1"/>
  <c r="AG360" i="1"/>
  <c r="AC360" i="1"/>
  <c r="AF361" i="1" l="1"/>
  <c r="AB361" i="1"/>
  <c r="AG361" i="1"/>
  <c r="AC361" i="1"/>
  <c r="AA361" i="1"/>
  <c r="AE361" i="1"/>
  <c r="AD361" i="1"/>
  <c r="AH361" i="1"/>
  <c r="Y362" i="1"/>
  <c r="T362" i="1"/>
  <c r="U362" i="1"/>
  <c r="V362" i="1" s="1"/>
  <c r="S363" i="1"/>
  <c r="X362" i="1"/>
  <c r="Z362" i="1"/>
  <c r="W362" i="1"/>
  <c r="T363" i="1" l="1"/>
  <c r="Z363" i="1"/>
  <c r="W363" i="1"/>
  <c r="X363" i="1"/>
  <c r="Y363" i="1"/>
  <c r="U363" i="1"/>
  <c r="V363" i="1" s="1"/>
  <c r="S364" i="1"/>
  <c r="AA362" i="1"/>
  <c r="AE362" i="1"/>
  <c r="AB362" i="1"/>
  <c r="AF362" i="1"/>
  <c r="AD362" i="1"/>
  <c r="AH362" i="1"/>
  <c r="AC362" i="1"/>
  <c r="AG362" i="1"/>
  <c r="AA363" i="1" l="1"/>
  <c r="AE363" i="1"/>
  <c r="AF363" i="1"/>
  <c r="AB363" i="1"/>
  <c r="AH363" i="1"/>
  <c r="AD363" i="1"/>
  <c r="Z364" i="1"/>
  <c r="Y364" i="1"/>
  <c r="U364" i="1"/>
  <c r="V364" i="1" s="1"/>
  <c r="W364" i="1"/>
  <c r="X364" i="1"/>
  <c r="S365" i="1"/>
  <c r="T364" i="1"/>
  <c r="AC363" i="1"/>
  <c r="AG363" i="1"/>
  <c r="AG364" i="1" l="1"/>
  <c r="AC364" i="1"/>
  <c r="AF364" i="1"/>
  <c r="AB364" i="1"/>
  <c r="AH364" i="1"/>
  <c r="AD364" i="1"/>
  <c r="AA364" i="1"/>
  <c r="AE364" i="1"/>
  <c r="X365" i="1"/>
  <c r="S366" i="1"/>
  <c r="U365" i="1"/>
  <c r="V365" i="1" s="1"/>
  <c r="T365" i="1"/>
  <c r="Z365" i="1"/>
  <c r="Y365" i="1"/>
  <c r="W365" i="1"/>
  <c r="AE365" i="1" l="1"/>
  <c r="AA365" i="1"/>
  <c r="AC365" i="1"/>
  <c r="AG365" i="1"/>
  <c r="Y366" i="1"/>
  <c r="Z366" i="1"/>
  <c r="U366" i="1"/>
  <c r="V366" i="1" s="1"/>
  <c r="X366" i="1"/>
  <c r="W366" i="1"/>
  <c r="S367" i="1"/>
  <c r="T366" i="1"/>
  <c r="AH365" i="1"/>
  <c r="AD365" i="1"/>
  <c r="AF365" i="1"/>
  <c r="AB365" i="1"/>
  <c r="AB366" i="1" l="1"/>
  <c r="AF366" i="1"/>
  <c r="X367" i="1"/>
  <c r="S368" i="1"/>
  <c r="W367" i="1"/>
  <c r="Y367" i="1"/>
  <c r="U367" i="1"/>
  <c r="V367" i="1" s="1"/>
  <c r="Z367" i="1"/>
  <c r="T367" i="1"/>
  <c r="AH366" i="1"/>
  <c r="AD366" i="1"/>
  <c r="AA366" i="1"/>
  <c r="AE366" i="1"/>
  <c r="AC366" i="1"/>
  <c r="AG366" i="1"/>
  <c r="AF367" i="1" l="1"/>
  <c r="AB367" i="1"/>
  <c r="U368" i="1"/>
  <c r="V368" i="1" s="1"/>
  <c r="T368" i="1"/>
  <c r="S369" i="1"/>
  <c r="Z368" i="1"/>
  <c r="W368" i="1"/>
  <c r="Y368" i="1"/>
  <c r="X368" i="1"/>
  <c r="AC367" i="1"/>
  <c r="AG367" i="1"/>
  <c r="AD367" i="1"/>
  <c r="AH367" i="1"/>
  <c r="AA367" i="1"/>
  <c r="AE367" i="1"/>
  <c r="AC368" i="1" l="1"/>
  <c r="AG368" i="1"/>
  <c r="AE368" i="1"/>
  <c r="AA368" i="1"/>
  <c r="AH368" i="1"/>
  <c r="AD368" i="1"/>
  <c r="AF368" i="1"/>
  <c r="AB368" i="1"/>
  <c r="X369" i="1"/>
  <c r="W369" i="1"/>
  <c r="S370" i="1"/>
  <c r="U369" i="1"/>
  <c r="V369" i="1" s="1"/>
  <c r="T369" i="1"/>
  <c r="Y369" i="1"/>
  <c r="Z369" i="1"/>
  <c r="W370" i="1" l="1"/>
  <c r="S371" i="1"/>
  <c r="T370" i="1"/>
  <c r="Z370" i="1"/>
  <c r="Y370" i="1"/>
  <c r="U370" i="1"/>
  <c r="V370" i="1" s="1"/>
  <c r="X370" i="1"/>
  <c r="AG369" i="1"/>
  <c r="AC369" i="1"/>
  <c r="AD369" i="1"/>
  <c r="AH369" i="1"/>
  <c r="AE369" i="1"/>
  <c r="AA369" i="1"/>
  <c r="AF369" i="1"/>
  <c r="AB369" i="1"/>
  <c r="AB370" i="1" l="1"/>
  <c r="AF370" i="1"/>
  <c r="T371" i="1"/>
  <c r="W371" i="1"/>
  <c r="X371" i="1"/>
  <c r="Y371" i="1"/>
  <c r="U371" i="1"/>
  <c r="V371" i="1" s="1"/>
  <c r="S372" i="1"/>
  <c r="Z371" i="1"/>
  <c r="AH370" i="1"/>
  <c r="AD370" i="1"/>
  <c r="AC370" i="1"/>
  <c r="AG370" i="1"/>
  <c r="AA370" i="1"/>
  <c r="AE370" i="1"/>
  <c r="Z372" i="1" l="1"/>
  <c r="X372" i="1"/>
  <c r="W372" i="1"/>
  <c r="Y372" i="1"/>
  <c r="U372" i="1"/>
  <c r="V372" i="1" s="1"/>
  <c r="S373" i="1"/>
  <c r="T372" i="1"/>
  <c r="AC371" i="1"/>
  <c r="AG371" i="1"/>
  <c r="AE371" i="1"/>
  <c r="AA371" i="1"/>
  <c r="AH371" i="1"/>
  <c r="AD371" i="1"/>
  <c r="AF371" i="1"/>
  <c r="AB371" i="1"/>
  <c r="AC372" i="1" l="1"/>
  <c r="AG372" i="1"/>
  <c r="AA372" i="1"/>
  <c r="AE372" i="1"/>
  <c r="X373" i="1"/>
  <c r="T373" i="1"/>
  <c r="W373" i="1"/>
  <c r="Z373" i="1"/>
  <c r="U373" i="1"/>
  <c r="V373" i="1" s="1"/>
  <c r="S374" i="1"/>
  <c r="Y373" i="1"/>
  <c r="AF372" i="1"/>
  <c r="AB372" i="1"/>
  <c r="AH372" i="1"/>
  <c r="AD372" i="1"/>
  <c r="AD373" i="1" l="1"/>
  <c r="AH373" i="1"/>
  <c r="AG373" i="1"/>
  <c r="AC373" i="1"/>
  <c r="AA373" i="1"/>
  <c r="AE373" i="1"/>
  <c r="S375" i="1"/>
  <c r="U374" i="1"/>
  <c r="V374" i="1" s="1"/>
  <c r="Y374" i="1"/>
  <c r="X374" i="1"/>
  <c r="Z374" i="1"/>
  <c r="T374" i="1"/>
  <c r="W374" i="1"/>
  <c r="AB373" i="1"/>
  <c r="AF373" i="1"/>
  <c r="Z375" i="1" l="1"/>
  <c r="X375" i="1"/>
  <c r="U375" i="1"/>
  <c r="V375" i="1" s="1"/>
  <c r="Y375" i="1"/>
  <c r="W375" i="1"/>
  <c r="T375" i="1"/>
  <c r="S376" i="1"/>
  <c r="AF374" i="1"/>
  <c r="AB374" i="1"/>
  <c r="AH374" i="1"/>
  <c r="AD374" i="1"/>
  <c r="AE374" i="1"/>
  <c r="AA374" i="1"/>
  <c r="AC374" i="1"/>
  <c r="AG374" i="1"/>
  <c r="AC375" i="1" l="1"/>
  <c r="AG375" i="1"/>
  <c r="AF375" i="1"/>
  <c r="AB375" i="1"/>
  <c r="T376" i="1"/>
  <c r="U376" i="1"/>
  <c r="V376" i="1" s="1"/>
  <c r="X376" i="1"/>
  <c r="Z376" i="1"/>
  <c r="S377" i="1"/>
  <c r="W376" i="1"/>
  <c r="Y376" i="1"/>
  <c r="AE375" i="1"/>
  <c r="AA375" i="1"/>
  <c r="AD375" i="1"/>
  <c r="AH375" i="1"/>
  <c r="AH376" i="1" l="1"/>
  <c r="AD376" i="1"/>
  <c r="AG376" i="1"/>
  <c r="AC376" i="1"/>
  <c r="AF376" i="1"/>
  <c r="AB376" i="1"/>
  <c r="AA376" i="1"/>
  <c r="AE376" i="1"/>
  <c r="T377" i="1"/>
  <c r="X377" i="1"/>
  <c r="U377" i="1"/>
  <c r="V377" i="1" s="1"/>
  <c r="W377" i="1"/>
  <c r="S378" i="1"/>
  <c r="Z377" i="1"/>
  <c r="Y377" i="1"/>
  <c r="AG377" i="1" l="1"/>
  <c r="AC377" i="1"/>
  <c r="AD377" i="1"/>
  <c r="AH377" i="1"/>
  <c r="AF377" i="1"/>
  <c r="AB377" i="1"/>
  <c r="AA377" i="1"/>
  <c r="AE377" i="1"/>
  <c r="Z378" i="1"/>
  <c r="T378" i="1"/>
  <c r="X378" i="1"/>
  <c r="Y378" i="1"/>
  <c r="S379" i="1"/>
  <c r="U378" i="1"/>
  <c r="V378" i="1" s="1"/>
  <c r="W378" i="1"/>
  <c r="AA378" i="1" l="1"/>
  <c r="AE378" i="1"/>
  <c r="AF378" i="1"/>
  <c r="AB378" i="1"/>
  <c r="AC378" i="1"/>
  <c r="AG378" i="1"/>
  <c r="U379" i="1"/>
  <c r="V379" i="1" s="1"/>
  <c r="Y379" i="1"/>
  <c r="X379" i="1"/>
  <c r="Z379" i="1"/>
  <c r="S380" i="1"/>
  <c r="T379" i="1"/>
  <c r="W379" i="1"/>
  <c r="AD378" i="1"/>
  <c r="AH378" i="1"/>
  <c r="AG379" i="1" l="1"/>
  <c r="AC379" i="1"/>
  <c r="Y380" i="1"/>
  <c r="U380" i="1"/>
  <c r="V380" i="1" s="1"/>
  <c r="T380" i="1"/>
  <c r="X380" i="1"/>
  <c r="Z380" i="1"/>
  <c r="S381" i="1"/>
  <c r="W380" i="1"/>
  <c r="AH379" i="1"/>
  <c r="AD379" i="1"/>
  <c r="AE379" i="1"/>
  <c r="AA379" i="1"/>
  <c r="AB379" i="1"/>
  <c r="AF379" i="1"/>
  <c r="AD380" i="1" l="1"/>
  <c r="AH380" i="1"/>
  <c r="AC380" i="1"/>
  <c r="AG380" i="1"/>
  <c r="AB380" i="1"/>
  <c r="AF380" i="1"/>
  <c r="Z381" i="1"/>
  <c r="U381" i="1"/>
  <c r="V381" i="1" s="1"/>
  <c r="W381" i="1"/>
  <c r="X381" i="1"/>
  <c r="T381" i="1"/>
  <c r="S382" i="1"/>
  <c r="Y381" i="1"/>
  <c r="AA380" i="1"/>
  <c r="AE380" i="1"/>
  <c r="Y382" i="1" l="1"/>
  <c r="S383" i="1"/>
  <c r="U382" i="1"/>
  <c r="V382" i="1" s="1"/>
  <c r="W382" i="1"/>
  <c r="X382" i="1"/>
  <c r="T382" i="1"/>
  <c r="Z382" i="1"/>
  <c r="AD381" i="1"/>
  <c r="AH381" i="1"/>
  <c r="AF381" i="1"/>
  <c r="AB381" i="1"/>
  <c r="AC381" i="1"/>
  <c r="AG381" i="1"/>
  <c r="AE381" i="1"/>
  <c r="AA381" i="1"/>
  <c r="AD382" i="1" l="1"/>
  <c r="AH382" i="1"/>
  <c r="U383" i="1"/>
  <c r="V383" i="1" s="1"/>
  <c r="X383" i="1"/>
  <c r="Y383" i="1"/>
  <c r="S384" i="1"/>
  <c r="W383" i="1"/>
  <c r="T383" i="1"/>
  <c r="Z383" i="1"/>
  <c r="AE382" i="1"/>
  <c r="AA382" i="1"/>
  <c r="AF382" i="1"/>
  <c r="AB382" i="1"/>
  <c r="AG382" i="1"/>
  <c r="AC382" i="1"/>
  <c r="AE383" i="1" l="1"/>
  <c r="AA383" i="1"/>
  <c r="S385" i="1"/>
  <c r="Y384" i="1"/>
  <c r="X384" i="1"/>
  <c r="W384" i="1"/>
  <c r="U384" i="1"/>
  <c r="V384" i="1" s="1"/>
  <c r="T384" i="1"/>
  <c r="Z384" i="1"/>
  <c r="AB383" i="1"/>
  <c r="AF383" i="1"/>
  <c r="AH383" i="1"/>
  <c r="AD383" i="1"/>
  <c r="AC383" i="1"/>
  <c r="AG383" i="1"/>
  <c r="U385" i="1" l="1"/>
  <c r="V385" i="1" s="1"/>
  <c r="T385" i="1"/>
  <c r="S386" i="1"/>
  <c r="Y385" i="1"/>
  <c r="W385" i="1"/>
  <c r="Z385" i="1"/>
  <c r="X385" i="1"/>
  <c r="AE384" i="1"/>
  <c r="AA384" i="1"/>
  <c r="AG384" i="1"/>
  <c r="AC384" i="1"/>
  <c r="AH384" i="1"/>
  <c r="AD384" i="1"/>
  <c r="AF384" i="1"/>
  <c r="AB384" i="1"/>
  <c r="AC385" i="1" l="1"/>
  <c r="AG385" i="1"/>
  <c r="X386" i="1"/>
  <c r="Y386" i="1"/>
  <c r="T386" i="1"/>
  <c r="Z386" i="1"/>
  <c r="W386" i="1"/>
  <c r="U386" i="1"/>
  <c r="V386" i="1" s="1"/>
  <c r="S387" i="1"/>
  <c r="AB385" i="1"/>
  <c r="AF385" i="1"/>
  <c r="AH385" i="1"/>
  <c r="AD385" i="1"/>
  <c r="AA385" i="1"/>
  <c r="AE385" i="1"/>
  <c r="AG386" i="1" l="1"/>
  <c r="AC386" i="1"/>
  <c r="AA386" i="1"/>
  <c r="AE386" i="1"/>
  <c r="AB386" i="1"/>
  <c r="AF386" i="1"/>
  <c r="AH386" i="1"/>
  <c r="AD386" i="1"/>
  <c r="Z387" i="1"/>
  <c r="X387" i="1"/>
  <c r="S388" i="1"/>
  <c r="Y387" i="1"/>
  <c r="U387" i="1"/>
  <c r="V387" i="1" s="1"/>
  <c r="T387" i="1"/>
  <c r="W387" i="1"/>
  <c r="AG387" i="1" l="1"/>
  <c r="AC387" i="1"/>
  <c r="AE387" i="1"/>
  <c r="AA387" i="1"/>
  <c r="S389" i="1"/>
  <c r="T388" i="1"/>
  <c r="X388" i="1"/>
  <c r="U388" i="1"/>
  <c r="V388" i="1" s="1"/>
  <c r="Y388" i="1"/>
  <c r="Z388" i="1"/>
  <c r="W388" i="1"/>
  <c r="AF387" i="1"/>
  <c r="AB387" i="1"/>
  <c r="AD387" i="1"/>
  <c r="AH387" i="1"/>
  <c r="AE388" i="1" l="1"/>
  <c r="AA388" i="1"/>
  <c r="AF388" i="1"/>
  <c r="AB388" i="1"/>
  <c r="AD388" i="1"/>
  <c r="AH388" i="1"/>
  <c r="AC388" i="1"/>
  <c r="AG388" i="1"/>
  <c r="S390" i="1"/>
  <c r="U389" i="1"/>
  <c r="V389" i="1" s="1"/>
  <c r="Z389" i="1"/>
  <c r="T389" i="1"/>
  <c r="W389" i="1"/>
  <c r="Y389" i="1"/>
  <c r="X389" i="1"/>
  <c r="AF389" i="1" l="1"/>
  <c r="AB389" i="1"/>
  <c r="AD389" i="1"/>
  <c r="AH389" i="1"/>
  <c r="AC389" i="1"/>
  <c r="AG389" i="1"/>
  <c r="AA389" i="1"/>
  <c r="AE389" i="1"/>
  <c r="Y390" i="1"/>
  <c r="U390" i="1"/>
  <c r="V390" i="1" s="1"/>
  <c r="X390" i="1"/>
  <c r="W390" i="1"/>
  <c r="T390" i="1"/>
  <c r="Z390" i="1"/>
  <c r="S391" i="1"/>
  <c r="AA390" i="1" l="1"/>
  <c r="AE390" i="1"/>
  <c r="U391" i="1"/>
  <c r="V391" i="1" s="1"/>
  <c r="T391" i="1"/>
  <c r="W391" i="1"/>
  <c r="Y391" i="1"/>
  <c r="Z391" i="1"/>
  <c r="S392" i="1"/>
  <c r="X391" i="1"/>
  <c r="AF390" i="1"/>
  <c r="AB390" i="1"/>
  <c r="AH390" i="1"/>
  <c r="AD390" i="1"/>
  <c r="AC390" i="1"/>
  <c r="AG390" i="1"/>
  <c r="AD391" i="1" l="1"/>
  <c r="AH391" i="1"/>
  <c r="Y392" i="1"/>
  <c r="Z392" i="1"/>
  <c r="T392" i="1"/>
  <c r="X392" i="1"/>
  <c r="W392" i="1"/>
  <c r="S393" i="1"/>
  <c r="U392" i="1"/>
  <c r="V392" i="1" s="1"/>
  <c r="AC391" i="1"/>
  <c r="AG391" i="1"/>
  <c r="AB391" i="1"/>
  <c r="AF391" i="1"/>
  <c r="AA391" i="1"/>
  <c r="AE391" i="1"/>
  <c r="X393" i="1" l="1"/>
  <c r="S394" i="1"/>
  <c r="W393" i="1"/>
  <c r="Z393" i="1"/>
  <c r="T393" i="1"/>
  <c r="Y393" i="1"/>
  <c r="U393" i="1"/>
  <c r="V393" i="1" s="1"/>
  <c r="AE392" i="1"/>
  <c r="AA392" i="1"/>
  <c r="AC392" i="1"/>
  <c r="AG392" i="1"/>
  <c r="AH392" i="1"/>
  <c r="AD392" i="1"/>
  <c r="AF392" i="1"/>
  <c r="AB392" i="1"/>
  <c r="AE393" i="1" l="1"/>
  <c r="AA393" i="1"/>
  <c r="AD393" i="1"/>
  <c r="AH393" i="1"/>
  <c r="AG393" i="1"/>
  <c r="AC393" i="1"/>
  <c r="U394" i="1"/>
  <c r="V394" i="1" s="1"/>
  <c r="X394" i="1"/>
  <c r="T394" i="1"/>
  <c r="S395" i="1"/>
  <c r="W394" i="1"/>
  <c r="Y394" i="1"/>
  <c r="Z394" i="1"/>
  <c r="AB393" i="1"/>
  <c r="AF393" i="1"/>
  <c r="AG394" i="1" l="1"/>
  <c r="AC394" i="1"/>
  <c r="AA394" i="1"/>
  <c r="AE394" i="1"/>
  <c r="T395" i="1"/>
  <c r="X395" i="1"/>
  <c r="Y395" i="1"/>
  <c r="W395" i="1"/>
  <c r="S396" i="1"/>
  <c r="Z395" i="1"/>
  <c r="U395" i="1"/>
  <c r="V395" i="1" s="1"/>
  <c r="AB394" i="1"/>
  <c r="AF394" i="1"/>
  <c r="AH394" i="1"/>
  <c r="AD394" i="1"/>
  <c r="AE395" i="1" l="1"/>
  <c r="AA395" i="1"/>
  <c r="AG395" i="1"/>
  <c r="AC395" i="1"/>
  <c r="AD395" i="1"/>
  <c r="AH395" i="1"/>
  <c r="AB395" i="1"/>
  <c r="AF395" i="1"/>
  <c r="X396" i="1"/>
  <c r="W396" i="1"/>
  <c r="Y396" i="1"/>
  <c r="Z396" i="1"/>
  <c r="U396" i="1"/>
  <c r="V396" i="1" s="1"/>
  <c r="T396" i="1"/>
  <c r="S397" i="1"/>
  <c r="S398" i="1" l="1"/>
  <c r="T397" i="1"/>
  <c r="Y397" i="1"/>
  <c r="U397" i="1"/>
  <c r="V397" i="1" s="1"/>
  <c r="X397" i="1"/>
  <c r="Z397" i="1"/>
  <c r="W397" i="1"/>
  <c r="AD396" i="1"/>
  <c r="AH396" i="1"/>
  <c r="AG396" i="1"/>
  <c r="AC396" i="1"/>
  <c r="AA396" i="1"/>
  <c r="AE396" i="1"/>
  <c r="AF396" i="1"/>
  <c r="AB396" i="1"/>
  <c r="AA397" i="1" l="1"/>
  <c r="AE397" i="1"/>
  <c r="AG397" i="1"/>
  <c r="AC397" i="1"/>
  <c r="AD397" i="1"/>
  <c r="AH397" i="1"/>
  <c r="AF397" i="1"/>
  <c r="AB397" i="1"/>
  <c r="Y398" i="1"/>
  <c r="Z398" i="1"/>
  <c r="U398" i="1"/>
  <c r="V398" i="1" s="1"/>
  <c r="X398" i="1"/>
  <c r="W398" i="1"/>
  <c r="T398" i="1"/>
  <c r="S399" i="1"/>
  <c r="Z399" i="1" l="1"/>
  <c r="S400" i="1"/>
  <c r="W399" i="1"/>
  <c r="U399" i="1"/>
  <c r="V399" i="1" s="1"/>
  <c r="X399" i="1"/>
  <c r="T399" i="1"/>
  <c r="Y399" i="1"/>
  <c r="AD398" i="1"/>
  <c r="AH398" i="1"/>
  <c r="AF398" i="1"/>
  <c r="AB398" i="1"/>
  <c r="AE398" i="1"/>
  <c r="AA398" i="1"/>
  <c r="AG398" i="1"/>
  <c r="AC398" i="1"/>
  <c r="AC399" i="1" l="1"/>
  <c r="AG399" i="1"/>
  <c r="AE399" i="1"/>
  <c r="AA399" i="1"/>
  <c r="T400" i="1"/>
  <c r="X400" i="1"/>
  <c r="Y400" i="1"/>
  <c r="Z400" i="1"/>
  <c r="W400" i="1"/>
  <c r="S401" i="1"/>
  <c r="U400" i="1"/>
  <c r="V400" i="1" s="1"/>
  <c r="AB399" i="1"/>
  <c r="AF399" i="1"/>
  <c r="AH399" i="1"/>
  <c r="AD399" i="1"/>
  <c r="AC400" i="1" l="1"/>
  <c r="AG400" i="1"/>
  <c r="AH400" i="1"/>
  <c r="AD400" i="1"/>
  <c r="Y401" i="1"/>
  <c r="Z401" i="1"/>
  <c r="W401" i="1"/>
  <c r="S402" i="1"/>
  <c r="T401" i="1"/>
  <c r="U401" i="1"/>
  <c r="V401" i="1" s="1"/>
  <c r="X401" i="1"/>
  <c r="AB400" i="1"/>
  <c r="AF400" i="1"/>
  <c r="AE400" i="1"/>
  <c r="AA400" i="1"/>
  <c r="W402" i="1" l="1"/>
  <c r="T402" i="1"/>
  <c r="S403" i="1"/>
  <c r="Y402" i="1"/>
  <c r="Z402" i="1"/>
  <c r="X402" i="1"/>
  <c r="U402" i="1"/>
  <c r="V402" i="1" s="1"/>
  <c r="AF401" i="1"/>
  <c r="AB401" i="1"/>
  <c r="AA401" i="1"/>
  <c r="AE401" i="1"/>
  <c r="AH401" i="1"/>
  <c r="AD401" i="1"/>
  <c r="AC401" i="1"/>
  <c r="AG401" i="1"/>
  <c r="U403" i="1" l="1"/>
  <c r="V403" i="1" s="1"/>
  <c r="W403" i="1"/>
  <c r="Z403" i="1"/>
  <c r="X403" i="1"/>
  <c r="S404" i="1"/>
  <c r="T403" i="1"/>
  <c r="Y403" i="1"/>
  <c r="AG402" i="1"/>
  <c r="AC402" i="1"/>
  <c r="AB402" i="1"/>
  <c r="AF402" i="1"/>
  <c r="AD402" i="1"/>
  <c r="AH402" i="1"/>
  <c r="AE402" i="1"/>
  <c r="AA402" i="1"/>
  <c r="AB403" i="1" l="1"/>
  <c r="AF403" i="1"/>
  <c r="AG403" i="1"/>
  <c r="AC403" i="1"/>
  <c r="AH403" i="1"/>
  <c r="AD403" i="1"/>
  <c r="AA403" i="1"/>
  <c r="AE403" i="1"/>
  <c r="Y404" i="1"/>
  <c r="W404" i="1"/>
  <c r="U404" i="1"/>
  <c r="V404" i="1" s="1"/>
  <c r="Z404" i="1"/>
  <c r="T404" i="1"/>
  <c r="X404" i="1"/>
  <c r="S405" i="1"/>
  <c r="AD404" i="1" l="1"/>
  <c r="AH404" i="1"/>
  <c r="AA404" i="1"/>
  <c r="AE404" i="1"/>
  <c r="Y405" i="1"/>
  <c r="X405" i="1"/>
  <c r="S406" i="1"/>
  <c r="W405" i="1"/>
  <c r="U405" i="1"/>
  <c r="V405" i="1" s="1"/>
  <c r="T405" i="1"/>
  <c r="Z405" i="1"/>
  <c r="AB404" i="1"/>
  <c r="AF404" i="1"/>
  <c r="AG404" i="1"/>
  <c r="AC404" i="1"/>
  <c r="W406" i="1" l="1"/>
  <c r="U406" i="1"/>
  <c r="V406" i="1" s="1"/>
  <c r="S407" i="1"/>
  <c r="Y406" i="1"/>
  <c r="Z406" i="1"/>
  <c r="X406" i="1"/>
  <c r="T406" i="1"/>
  <c r="AA405" i="1"/>
  <c r="AE405" i="1"/>
  <c r="AF405" i="1"/>
  <c r="AB405" i="1"/>
  <c r="AH405" i="1"/>
  <c r="AD405" i="1"/>
  <c r="AC405" i="1"/>
  <c r="AG405" i="1"/>
  <c r="X407" i="1" l="1"/>
  <c r="U407" i="1"/>
  <c r="V407" i="1" s="1"/>
  <c r="T407" i="1"/>
  <c r="Z407" i="1"/>
  <c r="W407" i="1"/>
  <c r="S408" i="1"/>
  <c r="Y407" i="1"/>
  <c r="AC406" i="1"/>
  <c r="AG406" i="1"/>
  <c r="AB406" i="1"/>
  <c r="AF406" i="1"/>
  <c r="AD406" i="1"/>
  <c r="AH406" i="1"/>
  <c r="AA406" i="1"/>
  <c r="AE406" i="1"/>
  <c r="AH407" i="1" l="1"/>
  <c r="AD407" i="1"/>
  <c r="AG407" i="1"/>
  <c r="AC407" i="1"/>
  <c r="W408" i="1"/>
  <c r="Z408" i="1"/>
  <c r="Y408" i="1"/>
  <c r="U408" i="1"/>
  <c r="V408" i="1" s="1"/>
  <c r="T408" i="1"/>
  <c r="S409" i="1"/>
  <c r="X408" i="1"/>
  <c r="AE407" i="1"/>
  <c r="AA407" i="1"/>
  <c r="AB407" i="1"/>
  <c r="AF407" i="1"/>
  <c r="AF408" i="1" l="1"/>
  <c r="AB408" i="1"/>
  <c r="AG408" i="1"/>
  <c r="AC408" i="1"/>
  <c r="Y409" i="1"/>
  <c r="W409" i="1"/>
  <c r="T409" i="1"/>
  <c r="S410" i="1"/>
  <c r="X409" i="1"/>
  <c r="Z409" i="1"/>
  <c r="U409" i="1"/>
  <c r="V409" i="1" s="1"/>
  <c r="AD408" i="1"/>
  <c r="AH408" i="1"/>
  <c r="AE408" i="1"/>
  <c r="AA408" i="1"/>
  <c r="AA409" i="1" l="1"/>
  <c r="AE409" i="1"/>
  <c r="S411" i="1"/>
  <c r="T410" i="1"/>
  <c r="Y410" i="1"/>
  <c r="X410" i="1"/>
  <c r="U410" i="1"/>
  <c r="V410" i="1" s="1"/>
  <c r="W410" i="1"/>
  <c r="Z410" i="1"/>
  <c r="AH409" i="1"/>
  <c r="AD409" i="1"/>
  <c r="AF409" i="1"/>
  <c r="AB409" i="1"/>
  <c r="AC409" i="1"/>
  <c r="AG409" i="1"/>
  <c r="AE410" i="1" l="1"/>
  <c r="AA410" i="1"/>
  <c r="Y411" i="1"/>
  <c r="X411" i="1"/>
  <c r="W411" i="1"/>
  <c r="T411" i="1"/>
  <c r="Z411" i="1"/>
  <c r="S412" i="1"/>
  <c r="U411" i="1"/>
  <c r="V411" i="1" s="1"/>
  <c r="AF410" i="1"/>
  <c r="AB410" i="1"/>
  <c r="AD410" i="1"/>
  <c r="AH410" i="1"/>
  <c r="AG410" i="1"/>
  <c r="AC410" i="1"/>
  <c r="AF411" i="1" l="1"/>
  <c r="AB411" i="1"/>
  <c r="AD411" i="1"/>
  <c r="AH411" i="1"/>
  <c r="AG411" i="1"/>
  <c r="AC411" i="1"/>
  <c r="W412" i="1"/>
  <c r="S413" i="1"/>
  <c r="X412" i="1"/>
  <c r="Y412" i="1"/>
  <c r="U412" i="1"/>
  <c r="V412" i="1" s="1"/>
  <c r="Z412" i="1"/>
  <c r="T412" i="1"/>
  <c r="AA411" i="1"/>
  <c r="AE411" i="1"/>
  <c r="U413" i="1" l="1"/>
  <c r="V413" i="1" s="1"/>
  <c r="Z413" i="1"/>
  <c r="T413" i="1"/>
  <c r="S414" i="1"/>
  <c r="W413" i="1"/>
  <c r="X413" i="1"/>
  <c r="Y413" i="1"/>
  <c r="AE412" i="1"/>
  <c r="AA412" i="1"/>
  <c r="AH412" i="1"/>
  <c r="AD412" i="1"/>
  <c r="AG412" i="1"/>
  <c r="AC412" i="1"/>
  <c r="AB412" i="1"/>
  <c r="AF412" i="1"/>
  <c r="AC413" i="1" l="1"/>
  <c r="AG413" i="1"/>
  <c r="AB413" i="1"/>
  <c r="AF413" i="1"/>
  <c r="AH413" i="1"/>
  <c r="AD413" i="1"/>
  <c r="U414" i="1"/>
  <c r="V414" i="1" s="1"/>
  <c r="Y414" i="1"/>
  <c r="T414" i="1"/>
  <c r="S415" i="1"/>
  <c r="Z414" i="1"/>
  <c r="W414" i="1"/>
  <c r="X414" i="1"/>
  <c r="AA413" i="1"/>
  <c r="AE413" i="1"/>
  <c r="T415" i="1" l="1"/>
  <c r="Y415" i="1"/>
  <c r="U415" i="1"/>
  <c r="V415" i="1" s="1"/>
  <c r="X415" i="1"/>
  <c r="Z415" i="1"/>
  <c r="S416" i="1"/>
  <c r="W415" i="1"/>
  <c r="AA414" i="1"/>
  <c r="AE414" i="1"/>
  <c r="AC414" i="1"/>
  <c r="AG414" i="1"/>
  <c r="AD414" i="1"/>
  <c r="AH414" i="1"/>
  <c r="AF414" i="1"/>
  <c r="AB414" i="1"/>
  <c r="AA415" i="1" l="1"/>
  <c r="AE415" i="1"/>
  <c r="Y416" i="1"/>
  <c r="U416" i="1"/>
  <c r="V416" i="1" s="1"/>
  <c r="T416" i="1"/>
  <c r="W416" i="1"/>
  <c r="Z416" i="1"/>
  <c r="X416" i="1"/>
  <c r="S417" i="1"/>
  <c r="AG415" i="1"/>
  <c r="AC415" i="1"/>
  <c r="AB415" i="1"/>
  <c r="AF415" i="1"/>
  <c r="AH415" i="1"/>
  <c r="AD415" i="1"/>
  <c r="AD416" i="1" l="1"/>
  <c r="AH416" i="1"/>
  <c r="AG416" i="1"/>
  <c r="AC416" i="1"/>
  <c r="AA416" i="1"/>
  <c r="AE416" i="1"/>
  <c r="AF416" i="1"/>
  <c r="AB416" i="1"/>
  <c r="S418" i="1"/>
  <c r="T417" i="1"/>
  <c r="U417" i="1"/>
  <c r="V417" i="1" s="1"/>
  <c r="Y417" i="1"/>
  <c r="X417" i="1"/>
  <c r="W417" i="1"/>
  <c r="Z417" i="1"/>
  <c r="AG417" i="1" l="1"/>
  <c r="AC417" i="1"/>
  <c r="AH417" i="1"/>
  <c r="AD417" i="1"/>
  <c r="AE417" i="1"/>
  <c r="AA417" i="1"/>
  <c r="AB417" i="1"/>
  <c r="AF417" i="1"/>
  <c r="S419" i="1"/>
  <c r="T418" i="1"/>
  <c r="W418" i="1"/>
  <c r="Z418" i="1"/>
  <c r="Y418" i="1"/>
  <c r="X418" i="1"/>
  <c r="U418" i="1"/>
  <c r="V418" i="1" s="1"/>
  <c r="AE418" i="1" l="1"/>
  <c r="AA418" i="1"/>
  <c r="AD418" i="1"/>
  <c r="AH418" i="1"/>
  <c r="AF418" i="1"/>
  <c r="AB418" i="1"/>
  <c r="AC418" i="1"/>
  <c r="AG418" i="1"/>
  <c r="Z419" i="1"/>
  <c r="Y419" i="1"/>
  <c r="W419" i="1"/>
  <c r="U419" i="1"/>
  <c r="V419" i="1" s="1"/>
  <c r="X419" i="1"/>
  <c r="T419" i="1"/>
  <c r="S420" i="1"/>
  <c r="T420" i="1" l="1"/>
  <c r="Z420" i="1"/>
  <c r="U420" i="1"/>
  <c r="V420" i="1" s="1"/>
  <c r="S421" i="1"/>
  <c r="Y420" i="1"/>
  <c r="X420" i="1"/>
  <c r="W420" i="1"/>
  <c r="AG419" i="1"/>
  <c r="AC419" i="1"/>
  <c r="AA419" i="1"/>
  <c r="AE419" i="1"/>
  <c r="AB419" i="1"/>
  <c r="AF419" i="1"/>
  <c r="AD419" i="1"/>
  <c r="AH419" i="1"/>
  <c r="W421" i="1" l="1"/>
  <c r="Z421" i="1"/>
  <c r="U421" i="1"/>
  <c r="V421" i="1" s="1"/>
  <c r="X421" i="1"/>
  <c r="Y421" i="1"/>
  <c r="S422" i="1"/>
  <c r="T421" i="1"/>
  <c r="AF420" i="1"/>
  <c r="AB420" i="1"/>
  <c r="AD420" i="1"/>
  <c r="AH420" i="1"/>
  <c r="AA420" i="1"/>
  <c r="AE420" i="1"/>
  <c r="AC420" i="1"/>
  <c r="AG420" i="1"/>
  <c r="AC421" i="1" l="1"/>
  <c r="AG421" i="1"/>
  <c r="AB421" i="1"/>
  <c r="AF421" i="1"/>
  <c r="W422" i="1"/>
  <c r="X422" i="1"/>
  <c r="U422" i="1"/>
  <c r="V422" i="1" s="1"/>
  <c r="T422" i="1"/>
  <c r="S423" i="1"/>
  <c r="Y422" i="1"/>
  <c r="Z422" i="1"/>
  <c r="AH421" i="1"/>
  <c r="AD421" i="1"/>
  <c r="AA421" i="1"/>
  <c r="AE421" i="1"/>
  <c r="AD422" i="1" l="1"/>
  <c r="AH422" i="1"/>
  <c r="AG422" i="1"/>
  <c r="AC422" i="1"/>
  <c r="AF422" i="1"/>
  <c r="AB422" i="1"/>
  <c r="U423" i="1"/>
  <c r="V423" i="1" s="1"/>
  <c r="Z423" i="1"/>
  <c r="S424" i="1"/>
  <c r="Y423" i="1"/>
  <c r="T423" i="1"/>
  <c r="W423" i="1"/>
  <c r="X423" i="1"/>
  <c r="AA422" i="1"/>
  <c r="AE422" i="1"/>
  <c r="AD423" i="1" l="1"/>
  <c r="AH423" i="1"/>
  <c r="AA423" i="1"/>
  <c r="AE423" i="1"/>
  <c r="AC423" i="1"/>
  <c r="AG423" i="1"/>
  <c r="AB423" i="1"/>
  <c r="AF423" i="1"/>
  <c r="Y424" i="1"/>
  <c r="S425" i="1"/>
  <c r="U424" i="1"/>
  <c r="V424" i="1" s="1"/>
  <c r="X424" i="1"/>
  <c r="T424" i="1"/>
  <c r="W424" i="1"/>
  <c r="Z424" i="1"/>
  <c r="AF424" i="1" l="1"/>
  <c r="AB424" i="1"/>
  <c r="AD424" i="1"/>
  <c r="AH424" i="1"/>
  <c r="AA424" i="1"/>
  <c r="AE424" i="1"/>
  <c r="X425" i="1"/>
  <c r="S426" i="1"/>
  <c r="T425" i="1"/>
  <c r="Z425" i="1"/>
  <c r="U425" i="1"/>
  <c r="V425" i="1" s="1"/>
  <c r="Y425" i="1"/>
  <c r="W425" i="1"/>
  <c r="AG424" i="1"/>
  <c r="AC424" i="1"/>
  <c r="AC425" i="1" l="1"/>
  <c r="AG425" i="1"/>
  <c r="AF425" i="1"/>
  <c r="AB425" i="1"/>
  <c r="AD425" i="1"/>
  <c r="AH425" i="1"/>
  <c r="T426" i="1"/>
  <c r="U426" i="1"/>
  <c r="V426" i="1" s="1"/>
  <c r="X426" i="1"/>
  <c r="S427" i="1"/>
  <c r="W426" i="1"/>
  <c r="Y426" i="1"/>
  <c r="Z426" i="1"/>
  <c r="AA425" i="1"/>
  <c r="AE425" i="1"/>
  <c r="AE426" i="1" l="1"/>
  <c r="AA426" i="1"/>
  <c r="AG426" i="1"/>
  <c r="AC426" i="1"/>
  <c r="Y427" i="1"/>
  <c r="Z427" i="1"/>
  <c r="W427" i="1"/>
  <c r="U427" i="1"/>
  <c r="V427" i="1" s="1"/>
  <c r="X427" i="1"/>
  <c r="S428" i="1"/>
  <c r="T427" i="1"/>
  <c r="AH426" i="1"/>
  <c r="AD426" i="1"/>
  <c r="AB426" i="1"/>
  <c r="AF426" i="1"/>
  <c r="AA427" i="1" l="1"/>
  <c r="AE427" i="1"/>
  <c r="Z428" i="1"/>
  <c r="S429" i="1"/>
  <c r="W428" i="1"/>
  <c r="U428" i="1"/>
  <c r="V428" i="1" s="1"/>
  <c r="Y428" i="1"/>
  <c r="T428" i="1"/>
  <c r="X428" i="1"/>
  <c r="AD427" i="1"/>
  <c r="AH427" i="1"/>
  <c r="AF427" i="1"/>
  <c r="AB427" i="1"/>
  <c r="AG427" i="1"/>
  <c r="AC427" i="1"/>
  <c r="W429" i="1" l="1"/>
  <c r="S430" i="1"/>
  <c r="T429" i="1"/>
  <c r="Y429" i="1"/>
  <c r="U429" i="1"/>
  <c r="V429" i="1" s="1"/>
  <c r="Z429" i="1"/>
  <c r="X429" i="1"/>
  <c r="AC428" i="1"/>
  <c r="AG428" i="1"/>
  <c r="AH428" i="1"/>
  <c r="AD428" i="1"/>
  <c r="AB428" i="1"/>
  <c r="AF428" i="1"/>
  <c r="AE428" i="1"/>
  <c r="AA428" i="1"/>
  <c r="AF429" i="1" l="1"/>
  <c r="AB429" i="1"/>
  <c r="AG429" i="1"/>
  <c r="AC429" i="1"/>
  <c r="AH429" i="1"/>
  <c r="AD429" i="1"/>
  <c r="Y430" i="1"/>
  <c r="T430" i="1"/>
  <c r="U430" i="1"/>
  <c r="V430" i="1" s="1"/>
  <c r="X430" i="1"/>
  <c r="S431" i="1"/>
  <c r="Z430" i="1"/>
  <c r="W430" i="1"/>
  <c r="AE429" i="1"/>
  <c r="AA429" i="1"/>
  <c r="U431" i="1" l="1"/>
  <c r="V431" i="1" s="1"/>
  <c r="T431" i="1"/>
  <c r="S432" i="1"/>
  <c r="Z431" i="1"/>
  <c r="W431" i="1"/>
  <c r="Y431" i="1"/>
  <c r="X431" i="1"/>
  <c r="AG430" i="1"/>
  <c r="AC430" i="1"/>
  <c r="AH430" i="1"/>
  <c r="AD430" i="1"/>
  <c r="AF430" i="1"/>
  <c r="AB430" i="1"/>
  <c r="AA430" i="1"/>
  <c r="AE430" i="1"/>
  <c r="AH431" i="1" l="1"/>
  <c r="AD431" i="1"/>
  <c r="AB431" i="1"/>
  <c r="AF431" i="1"/>
  <c r="S433" i="1"/>
  <c r="Y432" i="1"/>
  <c r="U432" i="1"/>
  <c r="V432" i="1" s="1"/>
  <c r="T432" i="1"/>
  <c r="X432" i="1"/>
  <c r="W432" i="1"/>
  <c r="Z432" i="1"/>
  <c r="AC431" i="1"/>
  <c r="AG431" i="1"/>
  <c r="AA431" i="1"/>
  <c r="AE431" i="1"/>
  <c r="AD432" i="1" l="1"/>
  <c r="AH432" i="1"/>
  <c r="AA432" i="1"/>
  <c r="AE432" i="1"/>
  <c r="AC432" i="1"/>
  <c r="AG432" i="1"/>
  <c r="AF432" i="1"/>
  <c r="AB432" i="1"/>
  <c r="Z433" i="1"/>
  <c r="S434" i="1"/>
  <c r="X433" i="1"/>
  <c r="T433" i="1"/>
  <c r="Y433" i="1"/>
  <c r="U433" i="1"/>
  <c r="V433" i="1" s="1"/>
  <c r="W433" i="1"/>
  <c r="AE433" i="1" l="1"/>
  <c r="AA433" i="1"/>
  <c r="AF433" i="1"/>
  <c r="AB433" i="1"/>
  <c r="W434" i="1"/>
  <c r="X434" i="1"/>
  <c r="U434" i="1"/>
  <c r="V434" i="1" s="1"/>
  <c r="Y434" i="1"/>
  <c r="T434" i="1"/>
  <c r="Z434" i="1"/>
  <c r="S435" i="1"/>
  <c r="AC433" i="1"/>
  <c r="AG433" i="1"/>
  <c r="AH433" i="1"/>
  <c r="AD433" i="1"/>
  <c r="AC434" i="1" l="1"/>
  <c r="AG434" i="1"/>
  <c r="W435" i="1"/>
  <c r="T435" i="1"/>
  <c r="U435" i="1"/>
  <c r="V435" i="1" s="1"/>
  <c r="Z435" i="1"/>
  <c r="Y435" i="1"/>
  <c r="S436" i="1"/>
  <c r="X435" i="1"/>
  <c r="AD434" i="1"/>
  <c r="AH434" i="1"/>
  <c r="AB434" i="1"/>
  <c r="AF434" i="1"/>
  <c r="AA434" i="1"/>
  <c r="AE434" i="1"/>
  <c r="AG435" i="1" l="1"/>
  <c r="AC435" i="1"/>
  <c r="AE435" i="1"/>
  <c r="AA435" i="1"/>
  <c r="AD435" i="1"/>
  <c r="AH435" i="1"/>
  <c r="T436" i="1"/>
  <c r="X436" i="1"/>
  <c r="W436" i="1"/>
  <c r="Z436" i="1"/>
  <c r="Y436" i="1"/>
  <c r="U436" i="1"/>
  <c r="V436" i="1" s="1"/>
  <c r="S437" i="1"/>
  <c r="AF435" i="1"/>
  <c r="AB435" i="1"/>
  <c r="AF436" i="1" l="1"/>
  <c r="AB436" i="1"/>
  <c r="AC436" i="1"/>
  <c r="AG436" i="1"/>
  <c r="AD436" i="1"/>
  <c r="AH436" i="1"/>
  <c r="Y437" i="1"/>
  <c r="X437" i="1"/>
  <c r="Z437" i="1"/>
  <c r="W437" i="1"/>
  <c r="T437" i="1"/>
  <c r="S438" i="1"/>
  <c r="U437" i="1"/>
  <c r="V437" i="1" s="1"/>
  <c r="AE436" i="1"/>
  <c r="AA436" i="1"/>
  <c r="Y438" i="1" l="1"/>
  <c r="W438" i="1"/>
  <c r="Z438" i="1"/>
  <c r="U438" i="1"/>
  <c r="V438" i="1" s="1"/>
  <c r="X438" i="1"/>
  <c r="T438" i="1"/>
  <c r="S439" i="1"/>
  <c r="AG437" i="1"/>
  <c r="AC437" i="1"/>
  <c r="AE437" i="1"/>
  <c r="AA437" i="1"/>
  <c r="AB437" i="1"/>
  <c r="AF437" i="1"/>
  <c r="AH437" i="1"/>
  <c r="AD437" i="1"/>
  <c r="S440" i="1" l="1"/>
  <c r="W439" i="1"/>
  <c r="Z439" i="1"/>
  <c r="T439" i="1"/>
  <c r="U439" i="1"/>
  <c r="V439" i="1" s="1"/>
  <c r="X439" i="1"/>
  <c r="Y439" i="1"/>
  <c r="AD438" i="1"/>
  <c r="AH438" i="1"/>
  <c r="AA438" i="1"/>
  <c r="AE438" i="1"/>
  <c r="AB438" i="1"/>
  <c r="AF438" i="1"/>
  <c r="AG438" i="1"/>
  <c r="AC438" i="1"/>
  <c r="AG439" i="1" l="1"/>
  <c r="AC439" i="1"/>
  <c r="AD439" i="1"/>
  <c r="AH439" i="1"/>
  <c r="AF439" i="1"/>
  <c r="AB439" i="1"/>
  <c r="AE439" i="1"/>
  <c r="AA439" i="1"/>
  <c r="X440" i="1"/>
  <c r="S441" i="1"/>
  <c r="T440" i="1"/>
  <c r="Z440" i="1"/>
  <c r="U440" i="1"/>
  <c r="V440" i="1" s="1"/>
  <c r="Y440" i="1"/>
  <c r="W440" i="1"/>
  <c r="AA440" i="1" l="1"/>
  <c r="AE440" i="1"/>
  <c r="AH440" i="1"/>
  <c r="AD440" i="1"/>
  <c r="AG440" i="1"/>
  <c r="AC440" i="1"/>
  <c r="Y441" i="1"/>
  <c r="Z441" i="1"/>
  <c r="X441" i="1"/>
  <c r="S442" i="1"/>
  <c r="T441" i="1"/>
  <c r="U441" i="1"/>
  <c r="V441" i="1" s="1"/>
  <c r="W441" i="1"/>
  <c r="AB440" i="1"/>
  <c r="AF440" i="1"/>
  <c r="AD441" i="1" l="1"/>
  <c r="AH441" i="1"/>
  <c r="AC441" i="1"/>
  <c r="AG441" i="1"/>
  <c r="X442" i="1"/>
  <c r="S443" i="1"/>
  <c r="T442" i="1"/>
  <c r="Z442" i="1"/>
  <c r="Y442" i="1"/>
  <c r="W442" i="1"/>
  <c r="U442" i="1"/>
  <c r="V442" i="1" s="1"/>
  <c r="AA441" i="1"/>
  <c r="AE441" i="1"/>
  <c r="AF441" i="1"/>
  <c r="AB441" i="1"/>
  <c r="AD442" i="1" l="1"/>
  <c r="AH442" i="1"/>
  <c r="Y443" i="1"/>
  <c r="Z443" i="1"/>
  <c r="T443" i="1"/>
  <c r="X443" i="1"/>
  <c r="W443" i="1"/>
  <c r="U443" i="1"/>
  <c r="V443" i="1" s="1"/>
  <c r="S444" i="1"/>
  <c r="AA442" i="1"/>
  <c r="AE442" i="1"/>
  <c r="AC442" i="1"/>
  <c r="AG442" i="1"/>
  <c r="AF442" i="1"/>
  <c r="AB442" i="1"/>
  <c r="AE443" i="1" l="1"/>
  <c r="AA443" i="1"/>
  <c r="AC443" i="1"/>
  <c r="AG443" i="1"/>
  <c r="AH443" i="1"/>
  <c r="AD443" i="1"/>
  <c r="AF443" i="1"/>
  <c r="AB443" i="1"/>
  <c r="Z444" i="1"/>
  <c r="X444" i="1"/>
  <c r="T444" i="1"/>
  <c r="W444" i="1"/>
  <c r="U444" i="1"/>
  <c r="V444" i="1" s="1"/>
  <c r="Y444" i="1"/>
  <c r="S445" i="1"/>
  <c r="W445" i="1" l="1"/>
  <c r="T445" i="1"/>
  <c r="S446" i="1"/>
  <c r="U445" i="1"/>
  <c r="V445" i="1" s="1"/>
  <c r="Y445" i="1"/>
  <c r="X445" i="1"/>
  <c r="Z445" i="1"/>
  <c r="AG444" i="1"/>
  <c r="AC444" i="1"/>
  <c r="AB444" i="1"/>
  <c r="AF444" i="1"/>
  <c r="AA444" i="1"/>
  <c r="AE444" i="1"/>
  <c r="AH444" i="1"/>
  <c r="AD444" i="1"/>
  <c r="Z446" i="1" l="1"/>
  <c r="S447" i="1"/>
  <c r="W446" i="1"/>
  <c r="Y446" i="1"/>
  <c r="T446" i="1"/>
  <c r="U446" i="1"/>
  <c r="V446" i="1" s="1"/>
  <c r="X446" i="1"/>
  <c r="AH445" i="1"/>
  <c r="AD445" i="1"/>
  <c r="AB445" i="1"/>
  <c r="AF445" i="1"/>
  <c r="AC445" i="1"/>
  <c r="AG445" i="1"/>
  <c r="AE445" i="1"/>
  <c r="AA445" i="1"/>
  <c r="AG446" i="1" l="1"/>
  <c r="AC446" i="1"/>
  <c r="AF446" i="1"/>
  <c r="AB446" i="1"/>
  <c r="AA446" i="1"/>
  <c r="AE446" i="1"/>
  <c r="Z447" i="1"/>
  <c r="W447" i="1"/>
  <c r="S448" i="1"/>
  <c r="T447" i="1"/>
  <c r="U447" i="1"/>
  <c r="V447" i="1" s="1"/>
  <c r="X447" i="1"/>
  <c r="Y447" i="1"/>
  <c r="AD446" i="1"/>
  <c r="AH446" i="1"/>
  <c r="AA447" i="1" l="1"/>
  <c r="AE447" i="1"/>
  <c r="AH447" i="1"/>
  <c r="AD447" i="1"/>
  <c r="AF447" i="1"/>
  <c r="AB447" i="1"/>
  <c r="AG447" i="1"/>
  <c r="AC447" i="1"/>
  <c r="W448" i="1"/>
  <c r="S449" i="1"/>
  <c r="X448" i="1"/>
  <c r="Y448" i="1"/>
  <c r="T448" i="1"/>
  <c r="U448" i="1"/>
  <c r="V448" i="1" s="1"/>
  <c r="Z448" i="1"/>
  <c r="AG448" i="1" l="1"/>
  <c r="AC448" i="1"/>
  <c r="AH448" i="1"/>
  <c r="AD448" i="1"/>
  <c r="AF448" i="1"/>
  <c r="AB448" i="1"/>
  <c r="T449" i="1"/>
  <c r="Z449" i="1"/>
  <c r="X449" i="1"/>
  <c r="U449" i="1"/>
  <c r="V449" i="1" s="1"/>
  <c r="S450" i="1"/>
  <c r="W449" i="1"/>
  <c r="Y449" i="1"/>
  <c r="AA448" i="1"/>
  <c r="AE448" i="1"/>
  <c r="T450" i="1" l="1"/>
  <c r="U450" i="1"/>
  <c r="V450" i="1" s="1"/>
  <c r="Y450" i="1"/>
  <c r="X450" i="1"/>
  <c r="S451" i="1"/>
  <c r="W450" i="1"/>
  <c r="Z450" i="1"/>
  <c r="AE449" i="1"/>
  <c r="AA449" i="1"/>
  <c r="AH449" i="1"/>
  <c r="AD449" i="1"/>
  <c r="AC449" i="1"/>
  <c r="AG449" i="1"/>
  <c r="AB449" i="1"/>
  <c r="AF449" i="1"/>
  <c r="AD450" i="1" l="1"/>
  <c r="AH450" i="1"/>
  <c r="AC450" i="1"/>
  <c r="AG450" i="1"/>
  <c r="AE450" i="1"/>
  <c r="AA450" i="1"/>
  <c r="AF450" i="1"/>
  <c r="AB450" i="1"/>
  <c r="Y451" i="1"/>
  <c r="U451" i="1"/>
  <c r="V451" i="1" s="1"/>
  <c r="Z451" i="1"/>
  <c r="S452" i="1"/>
  <c r="T451" i="1"/>
  <c r="X451" i="1"/>
  <c r="W451" i="1"/>
  <c r="X452" i="1" l="1"/>
  <c r="W452" i="1"/>
  <c r="Z452" i="1"/>
  <c r="Y452" i="1"/>
  <c r="S453" i="1"/>
  <c r="T452" i="1"/>
  <c r="U452" i="1"/>
  <c r="V452" i="1" s="1"/>
  <c r="AE451" i="1"/>
  <c r="AA451" i="1"/>
  <c r="AD451" i="1"/>
  <c r="AH451" i="1"/>
  <c r="AF451" i="1"/>
  <c r="AB451" i="1"/>
  <c r="AG451" i="1"/>
  <c r="AC451" i="1"/>
  <c r="AG452" i="1" l="1"/>
  <c r="AC452" i="1"/>
  <c r="AD452" i="1"/>
  <c r="AH452" i="1"/>
  <c r="AA452" i="1"/>
  <c r="AE452" i="1"/>
  <c r="S454" i="1"/>
  <c r="U453" i="1"/>
  <c r="V453" i="1" s="1"/>
  <c r="T453" i="1"/>
  <c r="Y453" i="1"/>
  <c r="Z453" i="1"/>
  <c r="W453" i="1"/>
  <c r="X453" i="1"/>
  <c r="AB452" i="1"/>
  <c r="AF452" i="1"/>
  <c r="AA453" i="1" l="1"/>
  <c r="AE453" i="1"/>
  <c r="Y454" i="1"/>
  <c r="W454" i="1"/>
  <c r="Z454" i="1"/>
  <c r="T454" i="1"/>
  <c r="X454" i="1"/>
  <c r="U454" i="1"/>
  <c r="V454" i="1" s="1"/>
  <c r="S455" i="1"/>
  <c r="AH453" i="1"/>
  <c r="AD453" i="1"/>
  <c r="AG453" i="1"/>
  <c r="AC453" i="1"/>
  <c r="AB453" i="1"/>
  <c r="AF453" i="1"/>
  <c r="AE454" i="1" l="1"/>
  <c r="AA454" i="1"/>
  <c r="AF454" i="1"/>
  <c r="AB454" i="1"/>
  <c r="AC454" i="1"/>
  <c r="AG454" i="1"/>
  <c r="T455" i="1"/>
  <c r="Y455" i="1"/>
  <c r="S456" i="1"/>
  <c r="W455" i="1"/>
  <c r="U455" i="1"/>
  <c r="V455" i="1" s="1"/>
  <c r="X455" i="1"/>
  <c r="Z455" i="1"/>
  <c r="AD454" i="1"/>
  <c r="AH454" i="1"/>
  <c r="AG455" i="1" l="1"/>
  <c r="AC455" i="1"/>
  <c r="AE455" i="1"/>
  <c r="AA455" i="1"/>
  <c r="AF455" i="1"/>
  <c r="AB455" i="1"/>
  <c r="AD455" i="1"/>
  <c r="AH455" i="1"/>
  <c r="S457" i="1"/>
  <c r="U456" i="1"/>
  <c r="V456" i="1" s="1"/>
  <c r="X456" i="1"/>
  <c r="W456" i="1"/>
  <c r="T456" i="1"/>
  <c r="Y456" i="1"/>
  <c r="Z456" i="1"/>
  <c r="AD456" i="1" l="1"/>
  <c r="AH456" i="1"/>
  <c r="AB456" i="1"/>
  <c r="AF456" i="1"/>
  <c r="AA456" i="1"/>
  <c r="AE456" i="1"/>
  <c r="AG456" i="1"/>
  <c r="AC456" i="1"/>
  <c r="T457" i="1"/>
  <c r="U457" i="1"/>
  <c r="V457" i="1" s="1"/>
  <c r="Z457" i="1"/>
  <c r="Y457" i="1"/>
  <c r="S458" i="1"/>
  <c r="X457" i="1"/>
  <c r="W457" i="1"/>
  <c r="AG457" i="1" l="1"/>
  <c r="AC457" i="1"/>
  <c r="AA457" i="1"/>
  <c r="AE457" i="1"/>
  <c r="AH457" i="1"/>
  <c r="AD457" i="1"/>
  <c r="AF457" i="1"/>
  <c r="AB457" i="1"/>
  <c r="S459" i="1"/>
  <c r="Y458" i="1"/>
  <c r="Z458" i="1"/>
  <c r="X458" i="1"/>
  <c r="W458" i="1"/>
  <c r="U458" i="1"/>
  <c r="V458" i="1" s="1"/>
  <c r="T458" i="1"/>
  <c r="AB458" i="1" l="1"/>
  <c r="AF458" i="1"/>
  <c r="AD458" i="1"/>
  <c r="AH458" i="1"/>
  <c r="AC458" i="1"/>
  <c r="AG458" i="1"/>
  <c r="AA458" i="1"/>
  <c r="AE458" i="1"/>
  <c r="X459" i="1"/>
  <c r="Z459" i="1"/>
  <c r="W459" i="1"/>
  <c r="Y459" i="1"/>
  <c r="U459" i="1"/>
  <c r="V459" i="1" s="1"/>
  <c r="S460" i="1"/>
  <c r="T459" i="1"/>
  <c r="AE459" i="1" l="1"/>
  <c r="AA459" i="1"/>
  <c r="AG459" i="1"/>
  <c r="AC459" i="1"/>
  <c r="X460" i="1"/>
  <c r="Y460" i="1"/>
  <c r="T460" i="1"/>
  <c r="Z460" i="1"/>
  <c r="S461" i="1"/>
  <c r="U460" i="1"/>
  <c r="V460" i="1" s="1"/>
  <c r="W460" i="1"/>
  <c r="AH459" i="1"/>
  <c r="AD459" i="1"/>
  <c r="AB459" i="1"/>
  <c r="AF459" i="1"/>
  <c r="AG460" i="1" l="1"/>
  <c r="AC460" i="1"/>
  <c r="AH460" i="1"/>
  <c r="AD460" i="1"/>
  <c r="AA460" i="1"/>
  <c r="AE460" i="1"/>
  <c r="X461" i="1"/>
  <c r="Y461" i="1"/>
  <c r="U461" i="1"/>
  <c r="V461" i="1" s="1"/>
  <c r="W461" i="1"/>
  <c r="S462" i="1"/>
  <c r="T461" i="1"/>
  <c r="Z461" i="1"/>
  <c r="AF460" i="1"/>
  <c r="AB460" i="1"/>
  <c r="AC461" i="1" l="1"/>
  <c r="AG461" i="1"/>
  <c r="AF461" i="1"/>
  <c r="AB461" i="1"/>
  <c r="W462" i="1"/>
  <c r="U462" i="1"/>
  <c r="V462" i="1" s="1"/>
  <c r="S463" i="1"/>
  <c r="Y462" i="1"/>
  <c r="T462" i="1"/>
  <c r="X462" i="1"/>
  <c r="Z462" i="1"/>
  <c r="AE461" i="1"/>
  <c r="AA461" i="1"/>
  <c r="AD461" i="1"/>
  <c r="AH461" i="1"/>
  <c r="AH462" i="1" l="1"/>
  <c r="AD462" i="1"/>
  <c r="U463" i="1"/>
  <c r="V463" i="1" s="1"/>
  <c r="Y463" i="1"/>
  <c r="W463" i="1"/>
  <c r="X463" i="1"/>
  <c r="S464" i="1"/>
  <c r="T463" i="1"/>
  <c r="Z463" i="1"/>
  <c r="AG462" i="1"/>
  <c r="AC462" i="1"/>
  <c r="AF462" i="1"/>
  <c r="AB462" i="1"/>
  <c r="AA462" i="1"/>
  <c r="AE462" i="1"/>
  <c r="U464" i="1" l="1"/>
  <c r="V464" i="1" s="1"/>
  <c r="W464" i="1"/>
  <c r="T464" i="1"/>
  <c r="Y464" i="1"/>
  <c r="S465" i="1"/>
  <c r="X464" i="1"/>
  <c r="Z464" i="1"/>
  <c r="AC463" i="1"/>
  <c r="AG463" i="1"/>
  <c r="AF463" i="1"/>
  <c r="AB463" i="1"/>
  <c r="AH463" i="1"/>
  <c r="AD463" i="1"/>
  <c r="AE463" i="1"/>
  <c r="AA463" i="1"/>
  <c r="AG464" i="1" l="1"/>
  <c r="AC464" i="1"/>
  <c r="AH464" i="1"/>
  <c r="AD464" i="1"/>
  <c r="AB464" i="1"/>
  <c r="AF464" i="1"/>
  <c r="AA464" i="1"/>
  <c r="AE464" i="1"/>
  <c r="U465" i="1"/>
  <c r="V465" i="1" s="1"/>
  <c r="Y465" i="1"/>
  <c r="Z465" i="1"/>
  <c r="X465" i="1"/>
  <c r="W465" i="1"/>
  <c r="S466" i="1"/>
  <c r="T465" i="1"/>
  <c r="AF465" i="1" l="1"/>
  <c r="AB465" i="1"/>
  <c r="AH465" i="1"/>
  <c r="AD465" i="1"/>
  <c r="Y466" i="1"/>
  <c r="W466" i="1"/>
  <c r="S467" i="1"/>
  <c r="U466" i="1"/>
  <c r="V466" i="1" s="1"/>
  <c r="X466" i="1"/>
  <c r="Z466" i="1"/>
  <c r="T466" i="1"/>
  <c r="AC465" i="1"/>
  <c r="AG465" i="1"/>
  <c r="AA465" i="1"/>
  <c r="AE465" i="1"/>
  <c r="AD466" i="1" l="1"/>
  <c r="AH466" i="1"/>
  <c r="Y467" i="1"/>
  <c r="Z467" i="1"/>
  <c r="T467" i="1"/>
  <c r="U467" i="1"/>
  <c r="V467" i="1" s="1"/>
  <c r="W467" i="1"/>
  <c r="S468" i="1"/>
  <c r="X467" i="1"/>
  <c r="AA466" i="1"/>
  <c r="AE466" i="1"/>
  <c r="AB466" i="1"/>
  <c r="AF466" i="1"/>
  <c r="AC466" i="1"/>
  <c r="AG466" i="1"/>
  <c r="U468" i="1" l="1"/>
  <c r="V468" i="1" s="1"/>
  <c r="Y468" i="1"/>
  <c r="X468" i="1"/>
  <c r="Z468" i="1"/>
  <c r="T468" i="1"/>
  <c r="S469" i="1"/>
  <c r="W468" i="1"/>
  <c r="AA467" i="1"/>
  <c r="AE467" i="1"/>
  <c r="AC467" i="1"/>
  <c r="AG467" i="1"/>
  <c r="AH467" i="1"/>
  <c r="AD467" i="1"/>
  <c r="AF467" i="1"/>
  <c r="AB467" i="1"/>
  <c r="AD468" i="1" l="1"/>
  <c r="AH468" i="1"/>
  <c r="AE468" i="1"/>
  <c r="AA468" i="1"/>
  <c r="AF468" i="1"/>
  <c r="AB468" i="1"/>
  <c r="AC468" i="1"/>
  <c r="AG468" i="1"/>
  <c r="S470" i="1"/>
  <c r="Z469" i="1"/>
  <c r="Y469" i="1"/>
  <c r="T469" i="1"/>
  <c r="W469" i="1"/>
  <c r="U469" i="1"/>
  <c r="V469" i="1" s="1"/>
  <c r="X469" i="1"/>
  <c r="AF469" i="1" l="1"/>
  <c r="AB469" i="1"/>
  <c r="AC469" i="1"/>
  <c r="AG469" i="1"/>
  <c r="AH469" i="1"/>
  <c r="AD469" i="1"/>
  <c r="AA469" i="1"/>
  <c r="AE469" i="1"/>
  <c r="W470" i="1"/>
  <c r="U470" i="1"/>
  <c r="V470" i="1" s="1"/>
  <c r="Z470" i="1"/>
  <c r="T470" i="1"/>
  <c r="S471" i="1"/>
  <c r="X470" i="1"/>
  <c r="Y470" i="1"/>
  <c r="AG470" i="1" l="1"/>
  <c r="AC470" i="1"/>
  <c r="AD470" i="1"/>
  <c r="AH470" i="1"/>
  <c r="AF470" i="1"/>
  <c r="AB470" i="1"/>
  <c r="S472" i="1"/>
  <c r="Y471" i="1"/>
  <c r="T471" i="1"/>
  <c r="U471" i="1"/>
  <c r="V471" i="1" s="1"/>
  <c r="W471" i="1"/>
  <c r="X471" i="1"/>
  <c r="Z471" i="1"/>
  <c r="AE470" i="1"/>
  <c r="AA470" i="1"/>
  <c r="AB471" i="1" l="1"/>
  <c r="AF471" i="1"/>
  <c r="X472" i="1"/>
  <c r="W472" i="1"/>
  <c r="T472" i="1"/>
  <c r="S473" i="1"/>
  <c r="Z472" i="1"/>
  <c r="Y472" i="1"/>
  <c r="U472" i="1"/>
  <c r="V472" i="1" s="1"/>
  <c r="AG471" i="1"/>
  <c r="AC471" i="1"/>
  <c r="AA471" i="1"/>
  <c r="AE471" i="1"/>
  <c r="AH471" i="1"/>
  <c r="AD471" i="1"/>
  <c r="AE472" i="1" l="1"/>
  <c r="AA472" i="1"/>
  <c r="AD472" i="1"/>
  <c r="AH472" i="1"/>
  <c r="AB472" i="1"/>
  <c r="AF472" i="1"/>
  <c r="AG472" i="1"/>
  <c r="AC472" i="1"/>
  <c r="U473" i="1"/>
  <c r="V473" i="1" s="1"/>
  <c r="S474" i="1"/>
  <c r="X473" i="1"/>
  <c r="W473" i="1"/>
  <c r="Y473" i="1"/>
  <c r="Z473" i="1"/>
  <c r="T473" i="1"/>
  <c r="AA473" i="1" l="1"/>
  <c r="AE473" i="1"/>
  <c r="AB473" i="1"/>
  <c r="AF473" i="1"/>
  <c r="X474" i="1"/>
  <c r="Z474" i="1"/>
  <c r="T474" i="1"/>
  <c r="W474" i="1"/>
  <c r="Y474" i="1"/>
  <c r="S475" i="1"/>
  <c r="U474" i="1"/>
  <c r="V474" i="1" s="1"/>
  <c r="AH473" i="1"/>
  <c r="AD473" i="1"/>
  <c r="AG473" i="1"/>
  <c r="AC473" i="1"/>
  <c r="AE474" i="1" l="1"/>
  <c r="AA474" i="1"/>
  <c r="Z475" i="1"/>
  <c r="S476" i="1"/>
  <c r="W475" i="1"/>
  <c r="T475" i="1"/>
  <c r="Y475" i="1"/>
  <c r="X475" i="1"/>
  <c r="U475" i="1"/>
  <c r="V475" i="1" s="1"/>
  <c r="AH474" i="1"/>
  <c r="AD474" i="1"/>
  <c r="AC474" i="1"/>
  <c r="AG474" i="1"/>
  <c r="AF474" i="1"/>
  <c r="AB474" i="1"/>
  <c r="AB475" i="1" l="1"/>
  <c r="AF475" i="1"/>
  <c r="U476" i="1"/>
  <c r="V476" i="1" s="1"/>
  <c r="X476" i="1"/>
  <c r="Z476" i="1"/>
  <c r="S477" i="1"/>
  <c r="Y476" i="1"/>
  <c r="T476" i="1"/>
  <c r="W476" i="1"/>
  <c r="AC475" i="1"/>
  <c r="AG475" i="1"/>
  <c r="AD475" i="1"/>
  <c r="AH475" i="1"/>
  <c r="AE475" i="1"/>
  <c r="AA475" i="1"/>
  <c r="AB476" i="1" l="1"/>
  <c r="AF476" i="1"/>
  <c r="AC476" i="1"/>
  <c r="AG476" i="1"/>
  <c r="T477" i="1"/>
  <c r="X477" i="1"/>
  <c r="S478" i="1"/>
  <c r="W477" i="1"/>
  <c r="Z477" i="1"/>
  <c r="U477" i="1"/>
  <c r="V477" i="1" s="1"/>
  <c r="Y477" i="1"/>
  <c r="AA476" i="1"/>
  <c r="AE476" i="1"/>
  <c r="AD476" i="1"/>
  <c r="AH476" i="1"/>
  <c r="AA477" i="1" l="1"/>
  <c r="AE477" i="1"/>
  <c r="W478" i="1"/>
  <c r="U478" i="1"/>
  <c r="V478" i="1" s="1"/>
  <c r="Y478" i="1"/>
  <c r="X478" i="1"/>
  <c r="T478" i="1"/>
  <c r="S479" i="1"/>
  <c r="Z478" i="1"/>
  <c r="AG477" i="1"/>
  <c r="AC477" i="1"/>
  <c r="AB477" i="1"/>
  <c r="AF477" i="1"/>
  <c r="AH477" i="1"/>
  <c r="AD477" i="1"/>
  <c r="Y479" i="1" l="1"/>
  <c r="U479" i="1"/>
  <c r="V479" i="1" s="1"/>
  <c r="T479" i="1"/>
  <c r="Z479" i="1"/>
  <c r="X479" i="1"/>
  <c r="S480" i="1"/>
  <c r="W479" i="1"/>
  <c r="AE478" i="1"/>
  <c r="AA478" i="1"/>
  <c r="AB478" i="1"/>
  <c r="AF478" i="1"/>
  <c r="AD478" i="1"/>
  <c r="AH478" i="1"/>
  <c r="AC478" i="1"/>
  <c r="AG478" i="1"/>
  <c r="AD479" i="1" l="1"/>
  <c r="AH479" i="1"/>
  <c r="AA479" i="1"/>
  <c r="AE479" i="1"/>
  <c r="W480" i="1"/>
  <c r="S481" i="1"/>
  <c r="T480" i="1"/>
  <c r="Y480" i="1"/>
  <c r="Z480" i="1"/>
  <c r="U480" i="1"/>
  <c r="V480" i="1" s="1"/>
  <c r="X480" i="1"/>
  <c r="AF479" i="1"/>
  <c r="AB479" i="1"/>
  <c r="AC479" i="1"/>
  <c r="AG479" i="1"/>
  <c r="AG480" i="1" l="1"/>
  <c r="AC480" i="1"/>
  <c r="AB480" i="1"/>
  <c r="AF480" i="1"/>
  <c r="T481" i="1"/>
  <c r="S482" i="1"/>
  <c r="X481" i="1"/>
  <c r="U481" i="1"/>
  <c r="V481" i="1" s="1"/>
  <c r="Y481" i="1"/>
  <c r="Z481" i="1"/>
  <c r="W481" i="1"/>
  <c r="AD480" i="1"/>
  <c r="AH480" i="1"/>
  <c r="AA480" i="1"/>
  <c r="AE480" i="1"/>
  <c r="AA481" i="1" l="1"/>
  <c r="AE481" i="1"/>
  <c r="AF481" i="1"/>
  <c r="AB481" i="1"/>
  <c r="AH481" i="1"/>
  <c r="AD481" i="1"/>
  <c r="Z482" i="1"/>
  <c r="U482" i="1"/>
  <c r="V482" i="1" s="1"/>
  <c r="S483" i="1"/>
  <c r="W482" i="1"/>
  <c r="Y482" i="1"/>
  <c r="X482" i="1"/>
  <c r="T482" i="1"/>
  <c r="AG481" i="1"/>
  <c r="AC481" i="1"/>
  <c r="AF482" i="1" l="1"/>
  <c r="AB482" i="1"/>
  <c r="AG482" i="1"/>
  <c r="AC482" i="1"/>
  <c r="AH482" i="1"/>
  <c r="AD482" i="1"/>
  <c r="AE482" i="1"/>
  <c r="AA482" i="1"/>
  <c r="W483" i="1"/>
  <c r="Z483" i="1"/>
  <c r="X483" i="1"/>
  <c r="T483" i="1"/>
  <c r="Y483" i="1"/>
  <c r="U483" i="1"/>
  <c r="V483" i="1" s="1"/>
  <c r="S484" i="1"/>
  <c r="AB483" i="1" l="1"/>
  <c r="AF483" i="1"/>
  <c r="U484" i="1"/>
  <c r="V484" i="1" s="1"/>
  <c r="Y484" i="1"/>
  <c r="T484" i="1"/>
  <c r="X484" i="1"/>
  <c r="W484" i="1"/>
  <c r="Z484" i="1"/>
  <c r="S485" i="1"/>
  <c r="AD483" i="1"/>
  <c r="AH483" i="1"/>
  <c r="AC483" i="1"/>
  <c r="AG483" i="1"/>
  <c r="AA483" i="1"/>
  <c r="AE483" i="1"/>
  <c r="AD484" i="1" l="1"/>
  <c r="AH484" i="1"/>
  <c r="AG484" i="1"/>
  <c r="AC484" i="1"/>
  <c r="AA484" i="1"/>
  <c r="AE484" i="1"/>
  <c r="AB484" i="1"/>
  <c r="AF484" i="1"/>
  <c r="T485" i="1"/>
  <c r="X485" i="1"/>
  <c r="S486" i="1"/>
  <c r="W485" i="1"/>
  <c r="Z485" i="1"/>
  <c r="U485" i="1"/>
  <c r="V485" i="1" s="1"/>
  <c r="Y485" i="1"/>
  <c r="AC485" i="1" l="1"/>
  <c r="AG485" i="1"/>
  <c r="AE485" i="1"/>
  <c r="AA485" i="1"/>
  <c r="Y486" i="1"/>
  <c r="X486" i="1"/>
  <c r="W486" i="1"/>
  <c r="U486" i="1"/>
  <c r="V486" i="1" s="1"/>
  <c r="S487" i="1"/>
  <c r="T486" i="1"/>
  <c r="Z486" i="1"/>
  <c r="AB485" i="1"/>
  <c r="AF485" i="1"/>
  <c r="AH485" i="1"/>
  <c r="AD485" i="1"/>
  <c r="AH486" i="1" l="1"/>
  <c r="AD486" i="1"/>
  <c r="AA486" i="1"/>
  <c r="AE486" i="1"/>
  <c r="AF486" i="1"/>
  <c r="AB486" i="1"/>
  <c r="S488" i="1"/>
  <c r="Y487" i="1"/>
  <c r="T487" i="1"/>
  <c r="U487" i="1"/>
  <c r="V487" i="1" s="1"/>
  <c r="W487" i="1"/>
  <c r="Z487" i="1"/>
  <c r="X487" i="1"/>
  <c r="AG486" i="1"/>
  <c r="AC486" i="1"/>
  <c r="AD487" i="1" l="1"/>
  <c r="AH487" i="1"/>
  <c r="AC487" i="1"/>
  <c r="AG487" i="1"/>
  <c r="T488" i="1"/>
  <c r="U488" i="1"/>
  <c r="V488" i="1" s="1"/>
  <c r="X488" i="1"/>
  <c r="Y488" i="1"/>
  <c r="W488" i="1"/>
  <c r="Z488" i="1"/>
  <c r="S489" i="1"/>
  <c r="AE487" i="1"/>
  <c r="AA487" i="1"/>
  <c r="AF487" i="1"/>
  <c r="AB487" i="1"/>
  <c r="AC488" i="1" l="1"/>
  <c r="AG488" i="1"/>
  <c r="X489" i="1"/>
  <c r="S490" i="1"/>
  <c r="U489" i="1"/>
  <c r="V489" i="1" s="1"/>
  <c r="W489" i="1"/>
  <c r="Y489" i="1"/>
  <c r="Z489" i="1"/>
  <c r="T489" i="1"/>
  <c r="AF488" i="1"/>
  <c r="AB488" i="1"/>
  <c r="AD488" i="1"/>
  <c r="AH488" i="1"/>
  <c r="AA488" i="1"/>
  <c r="AE488" i="1"/>
  <c r="AD489" i="1" l="1"/>
  <c r="AH489" i="1"/>
  <c r="T490" i="1"/>
  <c r="U490" i="1"/>
  <c r="V490" i="1" s="1"/>
  <c r="X490" i="1"/>
  <c r="W490" i="1"/>
  <c r="S491" i="1"/>
  <c r="Z490" i="1"/>
  <c r="Y490" i="1"/>
  <c r="AG489" i="1"/>
  <c r="AC489" i="1"/>
  <c r="AF489" i="1"/>
  <c r="AB489" i="1"/>
  <c r="AA489" i="1"/>
  <c r="AE489" i="1"/>
  <c r="AH490" i="1" l="1"/>
  <c r="AD490" i="1"/>
  <c r="AE490" i="1"/>
  <c r="AA490" i="1"/>
  <c r="Y491" i="1"/>
  <c r="S492" i="1"/>
  <c r="T491" i="1"/>
  <c r="Z491" i="1"/>
  <c r="X491" i="1"/>
  <c r="W491" i="1"/>
  <c r="U491" i="1"/>
  <c r="V491" i="1" s="1"/>
  <c r="AG490" i="1"/>
  <c r="AC490" i="1"/>
  <c r="AB490" i="1"/>
  <c r="AF490" i="1"/>
  <c r="AH491" i="1" l="1"/>
  <c r="AD491" i="1"/>
  <c r="T492" i="1"/>
  <c r="X492" i="1"/>
  <c r="Y492" i="1"/>
  <c r="S493" i="1"/>
  <c r="U492" i="1"/>
  <c r="V492" i="1" s="1"/>
  <c r="W492" i="1"/>
  <c r="Z492" i="1"/>
  <c r="AA491" i="1"/>
  <c r="AE491" i="1"/>
  <c r="AB491" i="1"/>
  <c r="AF491" i="1"/>
  <c r="AG491" i="1"/>
  <c r="AC491" i="1"/>
  <c r="AA492" i="1" l="1"/>
  <c r="AE492" i="1"/>
  <c r="AF492" i="1"/>
  <c r="AB492" i="1"/>
  <c r="Y493" i="1"/>
  <c r="S494" i="1"/>
  <c r="Z493" i="1"/>
  <c r="W493" i="1"/>
  <c r="U493" i="1"/>
  <c r="V493" i="1" s="1"/>
  <c r="T493" i="1"/>
  <c r="X493" i="1"/>
  <c r="AH492" i="1"/>
  <c r="AD492" i="1"/>
  <c r="AC492" i="1"/>
  <c r="AG492" i="1"/>
  <c r="AE493" i="1" l="1"/>
  <c r="AA493" i="1"/>
  <c r="AB493" i="1"/>
  <c r="AF493" i="1"/>
  <c r="AH493" i="1"/>
  <c r="AD493" i="1"/>
  <c r="U494" i="1"/>
  <c r="V494" i="1" s="1"/>
  <c r="S495" i="1"/>
  <c r="Y494" i="1"/>
  <c r="X494" i="1"/>
  <c r="W494" i="1"/>
  <c r="T494" i="1"/>
  <c r="Z494" i="1"/>
  <c r="AC493" i="1"/>
  <c r="AG493" i="1"/>
  <c r="S496" i="1" l="1"/>
  <c r="U495" i="1"/>
  <c r="V495" i="1" s="1"/>
  <c r="Z495" i="1"/>
  <c r="T495" i="1"/>
  <c r="Y495" i="1"/>
  <c r="X495" i="1"/>
  <c r="W495" i="1"/>
  <c r="AF494" i="1"/>
  <c r="AB494" i="1"/>
  <c r="AE494" i="1"/>
  <c r="AA494" i="1"/>
  <c r="AH494" i="1"/>
  <c r="AD494" i="1"/>
  <c r="AG494" i="1"/>
  <c r="AC494" i="1"/>
  <c r="AE495" i="1" l="1"/>
  <c r="AA495" i="1"/>
  <c r="AD495" i="1"/>
  <c r="AH495" i="1"/>
  <c r="AB495" i="1"/>
  <c r="AF495" i="1"/>
  <c r="AC495" i="1"/>
  <c r="AG495" i="1"/>
  <c r="X496" i="1"/>
  <c r="U496" i="1"/>
  <c r="V496" i="1" s="1"/>
  <c r="T496" i="1"/>
  <c r="Z496" i="1"/>
  <c r="W496" i="1"/>
  <c r="S497" i="1"/>
  <c r="Y496" i="1"/>
  <c r="AC496" i="1" l="1"/>
  <c r="AG496" i="1"/>
  <c r="AD496" i="1"/>
  <c r="AH496" i="1"/>
  <c r="T497" i="1"/>
  <c r="Y497" i="1"/>
  <c r="X497" i="1"/>
  <c r="U497" i="1"/>
  <c r="V497" i="1" s="1"/>
  <c r="W497" i="1"/>
  <c r="Z497" i="1"/>
  <c r="S498" i="1"/>
  <c r="AA496" i="1"/>
  <c r="AE496" i="1"/>
  <c r="AF496" i="1"/>
  <c r="AB496" i="1"/>
  <c r="AB497" i="1" l="1"/>
  <c r="AF497" i="1"/>
  <c r="S499" i="1"/>
  <c r="T498" i="1"/>
  <c r="U498" i="1"/>
  <c r="V498" i="1" s="1"/>
  <c r="W498" i="1"/>
  <c r="Z498" i="1"/>
  <c r="X498" i="1"/>
  <c r="Y498" i="1"/>
  <c r="AH497" i="1"/>
  <c r="AD497" i="1"/>
  <c r="AC497" i="1"/>
  <c r="AG497" i="1"/>
  <c r="AE497" i="1"/>
  <c r="AA497" i="1"/>
  <c r="AF498" i="1" l="1"/>
  <c r="AB498" i="1"/>
  <c r="S500" i="1"/>
  <c r="U499" i="1"/>
  <c r="V499" i="1" s="1"/>
  <c r="Z499" i="1"/>
  <c r="T499" i="1"/>
  <c r="W499" i="1"/>
  <c r="Y499" i="1"/>
  <c r="X499" i="1"/>
  <c r="AD498" i="1"/>
  <c r="AH498" i="1"/>
  <c r="AE498" i="1"/>
  <c r="AA498" i="1"/>
  <c r="AC498" i="1"/>
  <c r="AG498" i="1"/>
  <c r="AG499" i="1" l="1"/>
  <c r="AC499" i="1"/>
  <c r="U500" i="1"/>
  <c r="V500" i="1" s="1"/>
  <c r="Z500" i="1"/>
  <c r="Y500" i="1"/>
  <c r="T500" i="1"/>
  <c r="W500" i="1"/>
  <c r="X500" i="1"/>
  <c r="S501" i="1"/>
  <c r="AA499" i="1"/>
  <c r="AE499" i="1"/>
  <c r="AF499" i="1"/>
  <c r="AB499" i="1"/>
  <c r="AD499" i="1"/>
  <c r="AH499" i="1"/>
  <c r="AF500" i="1" l="1"/>
  <c r="AB500" i="1"/>
  <c r="AH500" i="1"/>
  <c r="AD500" i="1"/>
  <c r="AE500" i="1"/>
  <c r="AA500" i="1"/>
  <c r="W501" i="1"/>
  <c r="T501" i="1"/>
  <c r="Y501" i="1"/>
  <c r="U501" i="1"/>
  <c r="V501" i="1" s="1"/>
  <c r="X501" i="1"/>
  <c r="Z501" i="1"/>
  <c r="S502" i="1"/>
  <c r="AC500" i="1"/>
  <c r="AG500" i="1"/>
  <c r="AF501" i="1" l="1"/>
  <c r="AB501" i="1"/>
  <c r="AA501" i="1"/>
  <c r="AE501" i="1"/>
  <c r="AD501" i="1"/>
  <c r="AH501" i="1"/>
  <c r="X502" i="1"/>
  <c r="Z502" i="1"/>
  <c r="Y502" i="1"/>
  <c r="S503" i="1"/>
  <c r="W502" i="1"/>
  <c r="T502" i="1"/>
  <c r="U502" i="1"/>
  <c r="V502" i="1" s="1"/>
  <c r="AC501" i="1"/>
  <c r="AG501" i="1"/>
  <c r="AD502" i="1" l="1"/>
  <c r="AH502" i="1"/>
  <c r="AE502" i="1"/>
  <c r="AA502" i="1"/>
  <c r="AF502" i="1"/>
  <c r="AB502" i="1"/>
  <c r="T503" i="1"/>
  <c r="Z503" i="1"/>
  <c r="U503" i="1"/>
  <c r="V503" i="1" s="1"/>
  <c r="S504" i="1"/>
  <c r="Y503" i="1"/>
  <c r="X503" i="1"/>
  <c r="W503" i="1"/>
  <c r="AG502" i="1"/>
  <c r="AC502" i="1"/>
  <c r="AF503" i="1" l="1"/>
  <c r="AB503" i="1"/>
  <c r="AH503" i="1"/>
  <c r="AD503" i="1"/>
  <c r="AG503" i="1"/>
  <c r="AC503" i="1"/>
  <c r="W504" i="1"/>
  <c r="Y504" i="1"/>
  <c r="Z504" i="1"/>
  <c r="U504" i="1"/>
  <c r="V504" i="1" s="1"/>
  <c r="T504" i="1"/>
  <c r="X504" i="1"/>
  <c r="S505" i="1"/>
  <c r="AA503" i="1"/>
  <c r="AE503" i="1"/>
  <c r="AF504" i="1" l="1"/>
  <c r="AB504" i="1"/>
  <c r="AC504" i="1"/>
  <c r="AG504" i="1"/>
  <c r="AA504" i="1"/>
  <c r="AE504" i="1"/>
  <c r="S506" i="1"/>
  <c r="W505" i="1"/>
  <c r="X505" i="1"/>
  <c r="U505" i="1"/>
  <c r="V505" i="1" s="1"/>
  <c r="Y505" i="1"/>
  <c r="Z505" i="1"/>
  <c r="T505" i="1"/>
  <c r="AD504" i="1"/>
  <c r="AH504" i="1"/>
  <c r="AC505" i="1" l="1"/>
  <c r="AG505" i="1"/>
  <c r="AD505" i="1"/>
  <c r="AH505" i="1"/>
  <c r="AE505" i="1"/>
  <c r="AA505" i="1"/>
  <c r="X506" i="1"/>
  <c r="T506" i="1"/>
  <c r="Z506" i="1"/>
  <c r="U506" i="1"/>
  <c r="V506" i="1" s="1"/>
  <c r="Y506" i="1"/>
  <c r="W506" i="1"/>
  <c r="S507" i="1"/>
  <c r="AF505" i="1"/>
  <c r="AB505" i="1"/>
  <c r="AA506" i="1" l="1"/>
  <c r="AE506" i="1"/>
  <c r="AC506" i="1"/>
  <c r="AG506" i="1"/>
  <c r="AB506" i="1"/>
  <c r="AF506" i="1"/>
  <c r="W507" i="1"/>
  <c r="Y507" i="1"/>
  <c r="Z507" i="1"/>
  <c r="S508" i="1"/>
  <c r="X507" i="1"/>
  <c r="U507" i="1"/>
  <c r="V507" i="1" s="1"/>
  <c r="T507" i="1"/>
  <c r="AD506" i="1"/>
  <c r="AH506" i="1"/>
  <c r="AG507" i="1" l="1"/>
  <c r="AC507" i="1"/>
  <c r="AF507" i="1"/>
  <c r="AB507" i="1"/>
  <c r="AA507" i="1"/>
  <c r="AE507" i="1"/>
  <c r="T508" i="1"/>
  <c r="S509" i="1"/>
  <c r="W508" i="1"/>
  <c r="U508" i="1"/>
  <c r="V508" i="1" s="1"/>
  <c r="X508" i="1"/>
  <c r="Y508" i="1"/>
  <c r="Z508" i="1"/>
  <c r="AD507" i="1"/>
  <c r="AH507" i="1"/>
  <c r="AC508" i="1" l="1"/>
  <c r="AG508" i="1"/>
  <c r="W509" i="1"/>
  <c r="X509" i="1"/>
  <c r="Z509" i="1"/>
  <c r="S510" i="1"/>
  <c r="T509" i="1"/>
  <c r="U509" i="1"/>
  <c r="V509" i="1" s="1"/>
  <c r="Y509" i="1"/>
  <c r="AF508" i="1"/>
  <c r="AB508" i="1"/>
  <c r="AH508" i="1"/>
  <c r="AD508" i="1"/>
  <c r="AA508" i="1"/>
  <c r="AE508" i="1"/>
  <c r="AF509" i="1" l="1"/>
  <c r="AB509" i="1"/>
  <c r="AE509" i="1"/>
  <c r="AA509" i="1"/>
  <c r="T510" i="1"/>
  <c r="U510" i="1"/>
  <c r="V510" i="1" s="1"/>
  <c r="S511" i="1"/>
  <c r="W510" i="1"/>
  <c r="Y510" i="1"/>
  <c r="Z510" i="1"/>
  <c r="X510" i="1"/>
  <c r="AC509" i="1"/>
  <c r="AG509" i="1"/>
  <c r="AD509" i="1"/>
  <c r="AH509" i="1"/>
  <c r="AF510" i="1" l="1"/>
  <c r="AB510" i="1"/>
  <c r="X511" i="1"/>
  <c r="W511" i="1"/>
  <c r="Y511" i="1"/>
  <c r="Z511" i="1"/>
  <c r="T511" i="1"/>
  <c r="S512" i="1"/>
  <c r="U511" i="1"/>
  <c r="V511" i="1" s="1"/>
  <c r="AA510" i="1"/>
  <c r="AE510" i="1"/>
  <c r="AH510" i="1"/>
  <c r="AD510" i="1"/>
  <c r="AC510" i="1"/>
  <c r="AG510" i="1"/>
  <c r="U512" i="1" l="1"/>
  <c r="V512" i="1" s="1"/>
  <c r="X512" i="1"/>
  <c r="Y512" i="1"/>
  <c r="W512" i="1"/>
  <c r="T512" i="1"/>
  <c r="Z512" i="1"/>
  <c r="S513" i="1"/>
  <c r="AB511" i="1"/>
  <c r="AF511" i="1"/>
  <c r="AA511" i="1"/>
  <c r="AE511" i="1"/>
  <c r="AD511" i="1"/>
  <c r="AH511" i="1"/>
  <c r="AG511" i="1"/>
  <c r="AC511" i="1"/>
  <c r="AA512" i="1" l="1"/>
  <c r="AE512" i="1"/>
  <c r="W513" i="1"/>
  <c r="S514" i="1"/>
  <c r="T513" i="1"/>
  <c r="U513" i="1"/>
  <c r="V513" i="1" s="1"/>
  <c r="Z513" i="1"/>
  <c r="X513" i="1"/>
  <c r="Y513" i="1"/>
  <c r="AC512" i="1"/>
  <c r="AG512" i="1"/>
  <c r="AH512" i="1"/>
  <c r="AD512" i="1"/>
  <c r="AF512" i="1"/>
  <c r="AB512" i="1"/>
  <c r="AB513" i="1" l="1"/>
  <c r="AF513" i="1"/>
  <c r="Z514" i="1"/>
  <c r="Y514" i="1"/>
  <c r="W514" i="1"/>
  <c r="X514" i="1"/>
  <c r="U514" i="1"/>
  <c r="V514" i="1" s="1"/>
  <c r="S515" i="1"/>
  <c r="T514" i="1"/>
  <c r="AD513" i="1"/>
  <c r="AH513" i="1"/>
  <c r="AE513" i="1"/>
  <c r="AA513" i="1"/>
  <c r="AC513" i="1"/>
  <c r="AG513" i="1"/>
  <c r="W515" i="1" l="1"/>
  <c r="T515" i="1"/>
  <c r="S516" i="1"/>
  <c r="Z515" i="1"/>
  <c r="X515" i="1"/>
  <c r="U515" i="1"/>
  <c r="V515" i="1" s="1"/>
  <c r="Y515" i="1"/>
  <c r="AG514" i="1"/>
  <c r="AC514" i="1"/>
  <c r="AH514" i="1"/>
  <c r="AD514" i="1"/>
  <c r="AF514" i="1"/>
  <c r="AB514" i="1"/>
  <c r="AA514" i="1"/>
  <c r="AE514" i="1"/>
  <c r="AH515" i="1" l="1"/>
  <c r="AD515" i="1"/>
  <c r="AG515" i="1"/>
  <c r="AC515" i="1"/>
  <c r="U516" i="1"/>
  <c r="V516" i="1" s="1"/>
  <c r="W516" i="1"/>
  <c r="Y516" i="1"/>
  <c r="T516" i="1"/>
  <c r="Z516" i="1"/>
  <c r="S517" i="1"/>
  <c r="X516" i="1"/>
  <c r="AF515" i="1"/>
  <c r="AB515" i="1"/>
  <c r="AE515" i="1"/>
  <c r="AA515" i="1"/>
  <c r="AF516" i="1" l="1"/>
  <c r="AB516" i="1"/>
  <c r="AG516" i="1"/>
  <c r="AC516" i="1"/>
  <c r="AE516" i="1"/>
  <c r="AA516" i="1"/>
  <c r="Y517" i="1"/>
  <c r="W517" i="1"/>
  <c r="S518" i="1"/>
  <c r="Z517" i="1"/>
  <c r="U517" i="1"/>
  <c r="V517" i="1" s="1"/>
  <c r="T517" i="1"/>
  <c r="X517" i="1"/>
  <c r="AD516" i="1"/>
  <c r="AH516" i="1"/>
  <c r="AE517" i="1" l="1"/>
  <c r="AA517" i="1"/>
  <c r="AG517" i="1"/>
  <c r="AC517" i="1"/>
  <c r="AH517" i="1"/>
  <c r="AD517" i="1"/>
  <c r="AF517" i="1"/>
  <c r="AB517" i="1"/>
  <c r="T518" i="1"/>
  <c r="Z518" i="1"/>
  <c r="Y518" i="1"/>
  <c r="S519" i="1"/>
  <c r="X518" i="1"/>
  <c r="W518" i="1"/>
  <c r="U518" i="1"/>
  <c r="V518" i="1" s="1"/>
  <c r="S520" i="1" l="1"/>
  <c r="Z519" i="1"/>
  <c r="Y519" i="1"/>
  <c r="X519" i="1"/>
  <c r="W519" i="1"/>
  <c r="T519" i="1"/>
  <c r="U519" i="1"/>
  <c r="V519" i="1" s="1"/>
  <c r="AG518" i="1"/>
  <c r="AC518" i="1"/>
  <c r="AA518" i="1"/>
  <c r="AE518" i="1"/>
  <c r="AH518" i="1"/>
  <c r="AD518" i="1"/>
  <c r="AF518" i="1"/>
  <c r="AB518" i="1"/>
  <c r="AF519" i="1" l="1"/>
  <c r="AB519" i="1"/>
  <c r="AG519" i="1"/>
  <c r="AC519" i="1"/>
  <c r="AD519" i="1"/>
  <c r="AH519" i="1"/>
  <c r="AE519" i="1"/>
  <c r="AA519" i="1"/>
  <c r="X520" i="1"/>
  <c r="T520" i="1"/>
  <c r="Z520" i="1"/>
  <c r="W520" i="1"/>
  <c r="S521" i="1"/>
  <c r="Y520" i="1"/>
  <c r="U520" i="1"/>
  <c r="V520" i="1" s="1"/>
  <c r="AE520" i="1" l="1"/>
  <c r="AA520" i="1"/>
  <c r="AD520" i="1"/>
  <c r="AH520" i="1"/>
  <c r="AC520" i="1"/>
  <c r="AG520" i="1"/>
  <c r="S522" i="1"/>
  <c r="Y521" i="1"/>
  <c r="Z521" i="1"/>
  <c r="X521" i="1"/>
  <c r="T521" i="1"/>
  <c r="W521" i="1"/>
  <c r="U521" i="1"/>
  <c r="V521" i="1" s="1"/>
  <c r="AF520" i="1"/>
  <c r="AB520" i="1"/>
  <c r="AA521" i="1" l="1"/>
  <c r="AE521" i="1"/>
  <c r="AC521" i="1"/>
  <c r="AG521" i="1"/>
  <c r="W522" i="1"/>
  <c r="T522" i="1"/>
  <c r="Y522" i="1"/>
  <c r="X522" i="1"/>
  <c r="S523" i="1"/>
  <c r="U522" i="1"/>
  <c r="V522" i="1" s="1"/>
  <c r="Z522" i="1"/>
  <c r="AB521" i="1"/>
  <c r="AF521" i="1"/>
  <c r="AH521" i="1"/>
  <c r="AD521" i="1"/>
  <c r="AB522" i="1" l="1"/>
  <c r="AF522" i="1"/>
  <c r="AD522" i="1"/>
  <c r="AH522" i="1"/>
  <c r="AG522" i="1"/>
  <c r="AC522" i="1"/>
  <c r="W523" i="1"/>
  <c r="S524" i="1"/>
  <c r="X523" i="1"/>
  <c r="Y523" i="1"/>
  <c r="T523" i="1"/>
  <c r="U523" i="1"/>
  <c r="V523" i="1" s="1"/>
  <c r="Z523" i="1"/>
  <c r="AA522" i="1"/>
  <c r="AE522" i="1"/>
  <c r="U524" i="1" l="1"/>
  <c r="V524" i="1" s="1"/>
  <c r="X524" i="1"/>
  <c r="W524" i="1"/>
  <c r="Z524" i="1"/>
  <c r="Y524" i="1"/>
  <c r="T524" i="1"/>
  <c r="S525" i="1"/>
  <c r="AA523" i="1"/>
  <c r="AE523" i="1"/>
  <c r="AG523" i="1"/>
  <c r="AC523" i="1"/>
  <c r="AD523" i="1"/>
  <c r="AH523" i="1"/>
  <c r="AB523" i="1"/>
  <c r="AF523" i="1"/>
  <c r="AD524" i="1" l="1"/>
  <c r="AH524" i="1"/>
  <c r="S526" i="1"/>
  <c r="U525" i="1"/>
  <c r="V525" i="1" s="1"/>
  <c r="Z525" i="1"/>
  <c r="Y525" i="1"/>
  <c r="X525" i="1"/>
  <c r="W525" i="1"/>
  <c r="T525" i="1"/>
  <c r="AE524" i="1"/>
  <c r="AA524" i="1"/>
  <c r="AF524" i="1"/>
  <c r="AB524" i="1"/>
  <c r="AC524" i="1"/>
  <c r="AG524" i="1"/>
  <c r="AE525" i="1" l="1"/>
  <c r="AA525" i="1"/>
  <c r="Z526" i="1"/>
  <c r="S527" i="1"/>
  <c r="X526" i="1"/>
  <c r="Y526" i="1"/>
  <c r="U526" i="1"/>
  <c r="V526" i="1" s="1"/>
  <c r="T526" i="1"/>
  <c r="W526" i="1"/>
  <c r="AB525" i="1"/>
  <c r="AF525" i="1"/>
  <c r="AG525" i="1"/>
  <c r="AC525" i="1"/>
  <c r="AH525" i="1"/>
  <c r="AD525" i="1"/>
  <c r="W527" i="1" l="1"/>
  <c r="U527" i="1"/>
  <c r="V527" i="1" s="1"/>
  <c r="Y527" i="1"/>
  <c r="T527" i="1"/>
  <c r="Z527" i="1"/>
  <c r="X527" i="1"/>
  <c r="S528" i="1"/>
  <c r="AD526" i="1"/>
  <c r="AH526" i="1"/>
  <c r="AC526" i="1"/>
  <c r="AG526" i="1"/>
  <c r="AE526" i="1"/>
  <c r="AA526" i="1"/>
  <c r="AB526" i="1"/>
  <c r="AF526" i="1"/>
  <c r="S529" i="1" l="1"/>
  <c r="Y528" i="1"/>
  <c r="U528" i="1"/>
  <c r="V528" i="1" s="1"/>
  <c r="Z528" i="1"/>
  <c r="W528" i="1"/>
  <c r="T528" i="1"/>
  <c r="X528" i="1"/>
  <c r="AC527" i="1"/>
  <c r="AG527" i="1"/>
  <c r="AF527" i="1"/>
  <c r="AB527" i="1"/>
  <c r="AD527" i="1"/>
  <c r="AH527" i="1"/>
  <c r="AE527" i="1"/>
  <c r="AA527" i="1"/>
  <c r="AH528" i="1" l="1"/>
  <c r="AD528" i="1"/>
  <c r="AF528" i="1"/>
  <c r="AB528" i="1"/>
  <c r="AG528" i="1"/>
  <c r="AC528" i="1"/>
  <c r="AA528" i="1"/>
  <c r="AE528" i="1"/>
  <c r="W529" i="1"/>
  <c r="Z529" i="1"/>
  <c r="Y529" i="1"/>
  <c r="T529" i="1"/>
  <c r="S530" i="1"/>
  <c r="X529" i="1"/>
  <c r="U529" i="1"/>
  <c r="V529" i="1" s="1"/>
  <c r="AG529" i="1" l="1"/>
  <c r="AC529" i="1"/>
  <c r="AB529" i="1"/>
  <c r="AF529" i="1"/>
  <c r="AD529" i="1"/>
  <c r="AH529" i="1"/>
  <c r="Y530" i="1"/>
  <c r="U530" i="1"/>
  <c r="V530" i="1" s="1"/>
  <c r="W530" i="1"/>
  <c r="Z530" i="1"/>
  <c r="S531" i="1"/>
  <c r="X530" i="1"/>
  <c r="T530" i="1"/>
  <c r="AA529" i="1"/>
  <c r="AE529" i="1"/>
  <c r="AB530" i="1" l="1"/>
  <c r="AF530" i="1"/>
  <c r="AG530" i="1"/>
  <c r="AC530" i="1"/>
  <c r="X531" i="1"/>
  <c r="Y531" i="1"/>
  <c r="U531" i="1"/>
  <c r="V531" i="1" s="1"/>
  <c r="W531" i="1"/>
  <c r="T531" i="1"/>
  <c r="S532" i="1"/>
  <c r="Z531" i="1"/>
  <c r="AD530" i="1"/>
  <c r="AH530" i="1"/>
  <c r="AA530" i="1"/>
  <c r="AE530" i="1"/>
  <c r="AE531" i="1" l="1"/>
  <c r="AA531" i="1"/>
  <c r="Z532" i="1"/>
  <c r="W532" i="1"/>
  <c r="Y532" i="1"/>
  <c r="S533" i="1"/>
  <c r="T532" i="1"/>
  <c r="U532" i="1"/>
  <c r="V532" i="1" s="1"/>
  <c r="X532" i="1"/>
  <c r="AC531" i="1"/>
  <c r="AG531" i="1"/>
  <c r="AH531" i="1"/>
  <c r="AD531" i="1"/>
  <c r="AF531" i="1"/>
  <c r="AB531" i="1"/>
  <c r="AA532" i="1" l="1"/>
  <c r="AE532" i="1"/>
  <c r="AD532" i="1"/>
  <c r="AH532" i="1"/>
  <c r="X533" i="1"/>
  <c r="W533" i="1"/>
  <c r="U533" i="1"/>
  <c r="V533" i="1" s="1"/>
  <c r="Y533" i="1"/>
  <c r="T533" i="1"/>
  <c r="S534" i="1"/>
  <c r="Z533" i="1"/>
  <c r="AB532" i="1"/>
  <c r="AF532" i="1"/>
  <c r="AG532" i="1"/>
  <c r="AC532" i="1"/>
  <c r="AC533" i="1" l="1"/>
  <c r="AG533" i="1"/>
  <c r="AD533" i="1"/>
  <c r="AH533" i="1"/>
  <c r="Y534" i="1"/>
  <c r="T534" i="1"/>
  <c r="S535" i="1"/>
  <c r="X534" i="1"/>
  <c r="U534" i="1"/>
  <c r="V534" i="1" s="1"/>
  <c r="Z534" i="1"/>
  <c r="W534" i="1"/>
  <c r="AA533" i="1"/>
  <c r="AE533" i="1"/>
  <c r="AF533" i="1"/>
  <c r="AB533" i="1"/>
  <c r="AE534" i="1" l="1"/>
  <c r="AA534" i="1"/>
  <c r="W535" i="1"/>
  <c r="U535" i="1"/>
  <c r="V535" i="1" s="1"/>
  <c r="Z535" i="1"/>
  <c r="T535" i="1"/>
  <c r="X535" i="1"/>
  <c r="Y535" i="1"/>
  <c r="S536" i="1"/>
  <c r="AB534" i="1"/>
  <c r="AF534" i="1"/>
  <c r="AH534" i="1"/>
  <c r="AD534" i="1"/>
  <c r="AG534" i="1"/>
  <c r="AC534" i="1"/>
  <c r="AF535" i="1" l="1"/>
  <c r="AB535" i="1"/>
  <c r="AA535" i="1"/>
  <c r="AE535" i="1"/>
  <c r="AC535" i="1"/>
  <c r="AG535" i="1"/>
  <c r="Y536" i="1"/>
  <c r="S537" i="1"/>
  <c r="T536" i="1"/>
  <c r="Z536" i="1"/>
  <c r="U536" i="1"/>
  <c r="V536" i="1" s="1"/>
  <c r="X536" i="1"/>
  <c r="W536" i="1"/>
  <c r="AH535" i="1"/>
  <c r="AD535" i="1"/>
  <c r="Y537" i="1" l="1"/>
  <c r="X537" i="1"/>
  <c r="S538" i="1"/>
  <c r="Z537" i="1"/>
  <c r="T537" i="1"/>
  <c r="W537" i="1"/>
  <c r="U537" i="1"/>
  <c r="V537" i="1" s="1"/>
  <c r="AC536" i="1"/>
  <c r="AG536" i="1"/>
  <c r="AD536" i="1"/>
  <c r="AH536" i="1"/>
  <c r="AB536" i="1"/>
  <c r="AF536" i="1"/>
  <c r="AE536" i="1"/>
  <c r="AA536" i="1"/>
  <c r="AH537" i="1" l="1"/>
  <c r="AD537" i="1"/>
  <c r="U538" i="1"/>
  <c r="V538" i="1" s="1"/>
  <c r="S539" i="1"/>
  <c r="Y538" i="1"/>
  <c r="T538" i="1"/>
  <c r="X538" i="1"/>
  <c r="Z538" i="1"/>
  <c r="W538" i="1"/>
  <c r="AE537" i="1"/>
  <c r="AA537" i="1"/>
  <c r="AB537" i="1"/>
  <c r="AF537" i="1"/>
  <c r="AG537" i="1"/>
  <c r="AC537" i="1"/>
  <c r="AD538" i="1" l="1"/>
  <c r="AH538" i="1"/>
  <c r="Z539" i="1"/>
  <c r="Y539" i="1"/>
  <c r="U539" i="1"/>
  <c r="V539" i="1" s="1"/>
  <c r="S540" i="1"/>
  <c r="X539" i="1"/>
  <c r="W539" i="1"/>
  <c r="T539" i="1"/>
  <c r="AF538" i="1"/>
  <c r="AB538" i="1"/>
  <c r="AE538" i="1"/>
  <c r="AA538" i="1"/>
  <c r="AC538" i="1"/>
  <c r="AG538" i="1"/>
  <c r="AE539" i="1" l="1"/>
  <c r="AA539" i="1"/>
  <c r="AG539" i="1"/>
  <c r="AC539" i="1"/>
  <c r="AB539" i="1"/>
  <c r="AF539" i="1"/>
  <c r="AH539" i="1"/>
  <c r="AD539" i="1"/>
  <c r="Z540" i="1"/>
  <c r="S541" i="1"/>
  <c r="T540" i="1"/>
  <c r="X540" i="1"/>
  <c r="U540" i="1"/>
  <c r="V540" i="1" s="1"/>
  <c r="Y540" i="1"/>
  <c r="W540" i="1"/>
  <c r="AB540" i="1" l="1"/>
  <c r="AF540" i="1"/>
  <c r="T541" i="1"/>
  <c r="U541" i="1"/>
  <c r="V541" i="1" s="1"/>
  <c r="X541" i="1"/>
  <c r="Y541" i="1"/>
  <c r="S542" i="1"/>
  <c r="W541" i="1"/>
  <c r="Z541" i="1"/>
  <c r="AA540" i="1"/>
  <c r="AE540" i="1"/>
  <c r="AG540" i="1"/>
  <c r="AC540" i="1"/>
  <c r="AH540" i="1"/>
  <c r="AD540" i="1"/>
  <c r="AE541" i="1" l="1"/>
  <c r="AA541" i="1"/>
  <c r="U542" i="1"/>
  <c r="V542" i="1" s="1"/>
  <c r="X542" i="1"/>
  <c r="T542" i="1"/>
  <c r="Z542" i="1"/>
  <c r="W542" i="1"/>
  <c r="Y542" i="1"/>
  <c r="S543" i="1"/>
  <c r="AG541" i="1"/>
  <c r="AC541" i="1"/>
  <c r="AH541" i="1"/>
  <c r="AD541" i="1"/>
  <c r="AB541" i="1"/>
  <c r="AF541" i="1"/>
  <c r="AD542" i="1" l="1"/>
  <c r="AH542" i="1"/>
  <c r="AC542" i="1"/>
  <c r="AG542" i="1"/>
  <c r="AB542" i="1"/>
  <c r="AF542" i="1"/>
  <c r="AA542" i="1"/>
  <c r="AE542" i="1"/>
  <c r="W543" i="1"/>
  <c r="S544" i="1"/>
  <c r="T543" i="1"/>
  <c r="X543" i="1"/>
  <c r="Y543" i="1"/>
  <c r="U543" i="1"/>
  <c r="V543" i="1" s="1"/>
  <c r="Z543" i="1"/>
  <c r="AF543" i="1" l="1"/>
  <c r="AB543" i="1"/>
  <c r="AH543" i="1"/>
  <c r="AD543" i="1"/>
  <c r="Y544" i="1"/>
  <c r="X544" i="1"/>
  <c r="U544" i="1"/>
  <c r="V544" i="1" s="1"/>
  <c r="Z544" i="1"/>
  <c r="W544" i="1"/>
  <c r="T544" i="1"/>
  <c r="S545" i="1"/>
  <c r="AG543" i="1"/>
  <c r="AC543" i="1"/>
  <c r="AE543" i="1"/>
  <c r="AA543" i="1"/>
  <c r="AA544" i="1" l="1"/>
  <c r="AE544" i="1"/>
  <c r="AG544" i="1"/>
  <c r="AC544" i="1"/>
  <c r="AD544" i="1"/>
  <c r="AH544" i="1"/>
  <c r="X545" i="1"/>
  <c r="Y545" i="1"/>
  <c r="T545" i="1"/>
  <c r="S546" i="1"/>
  <c r="W545" i="1"/>
  <c r="Z545" i="1"/>
  <c r="U545" i="1"/>
  <c r="V545" i="1" s="1"/>
  <c r="AF544" i="1"/>
  <c r="AB544" i="1"/>
  <c r="AD545" i="1" l="1"/>
  <c r="AH545" i="1"/>
  <c r="AC545" i="1"/>
  <c r="AG545" i="1"/>
  <c r="AE545" i="1"/>
  <c r="AA545" i="1"/>
  <c r="AF545" i="1"/>
  <c r="AB545" i="1"/>
  <c r="T546" i="1"/>
  <c r="W546" i="1"/>
  <c r="U546" i="1"/>
  <c r="V546" i="1" s="1"/>
  <c r="X546" i="1"/>
  <c r="Z546" i="1"/>
  <c r="S547" i="1"/>
  <c r="Y546" i="1"/>
  <c r="AF546" i="1" l="1"/>
  <c r="AB546" i="1"/>
  <c r="AC546" i="1"/>
  <c r="AG546" i="1"/>
  <c r="T547" i="1"/>
  <c r="X547" i="1"/>
  <c r="Z547" i="1"/>
  <c r="S548" i="1"/>
  <c r="Y547" i="1"/>
  <c r="U547" i="1"/>
  <c r="V547" i="1" s="1"/>
  <c r="W547" i="1"/>
  <c r="AE546" i="1"/>
  <c r="AA546" i="1"/>
  <c r="AH546" i="1"/>
  <c r="AD546" i="1"/>
  <c r="AB547" i="1" l="1"/>
  <c r="AF547" i="1"/>
  <c r="Y548" i="1"/>
  <c r="S549" i="1"/>
  <c r="T548" i="1"/>
  <c r="Z548" i="1"/>
  <c r="U548" i="1"/>
  <c r="V548" i="1" s="1"/>
  <c r="W548" i="1"/>
  <c r="X548" i="1"/>
  <c r="AA547" i="1"/>
  <c r="AE547" i="1"/>
  <c r="AH547" i="1"/>
  <c r="AD547" i="1"/>
  <c r="AG547" i="1"/>
  <c r="AC547" i="1"/>
  <c r="AE548" i="1" l="1"/>
  <c r="AA548" i="1"/>
  <c r="T549" i="1"/>
  <c r="S550" i="1"/>
  <c r="U549" i="1"/>
  <c r="V549" i="1" s="1"/>
  <c r="X549" i="1"/>
  <c r="Y549" i="1"/>
  <c r="W549" i="1"/>
  <c r="Z549" i="1"/>
  <c r="AC548" i="1"/>
  <c r="AG548" i="1"/>
  <c r="AD548" i="1"/>
  <c r="AH548" i="1"/>
  <c r="AB548" i="1"/>
  <c r="AF548" i="1"/>
  <c r="S551" i="1" l="1"/>
  <c r="X550" i="1"/>
  <c r="Y550" i="1"/>
  <c r="Z550" i="1"/>
  <c r="W550" i="1"/>
  <c r="U550" i="1"/>
  <c r="V550" i="1" s="1"/>
  <c r="T550" i="1"/>
  <c r="AC549" i="1"/>
  <c r="AG549" i="1"/>
  <c r="AF549" i="1"/>
  <c r="AB549" i="1"/>
  <c r="AE549" i="1"/>
  <c r="AA549" i="1"/>
  <c r="AD549" i="1"/>
  <c r="AH549" i="1"/>
  <c r="AD550" i="1" l="1"/>
  <c r="AH550" i="1"/>
  <c r="AG550" i="1"/>
  <c r="AC550" i="1"/>
  <c r="AB550" i="1"/>
  <c r="AF550" i="1"/>
  <c r="AA550" i="1"/>
  <c r="AE550" i="1"/>
  <c r="T551" i="1"/>
  <c r="U551" i="1"/>
  <c r="V551" i="1" s="1"/>
  <c r="Z551" i="1"/>
  <c r="S552" i="1"/>
  <c r="W551" i="1"/>
  <c r="Y551" i="1"/>
  <c r="X551" i="1"/>
  <c r="Y552" i="1" l="1"/>
  <c r="S553" i="1"/>
  <c r="U552" i="1"/>
  <c r="V552" i="1" s="1"/>
  <c r="X552" i="1"/>
  <c r="Z552" i="1"/>
  <c r="T552" i="1"/>
  <c r="W552" i="1"/>
  <c r="AF551" i="1"/>
  <c r="AB551" i="1"/>
  <c r="AD551" i="1"/>
  <c r="AH551" i="1"/>
  <c r="AG551" i="1"/>
  <c r="AC551" i="1"/>
  <c r="AE551" i="1"/>
  <c r="AA551" i="1"/>
  <c r="AA552" i="1" l="1"/>
  <c r="AE552" i="1"/>
  <c r="Z553" i="1"/>
  <c r="W553" i="1"/>
  <c r="T553" i="1"/>
  <c r="X553" i="1"/>
  <c r="Y553" i="1"/>
  <c r="U553" i="1"/>
  <c r="V553" i="1" s="1"/>
  <c r="S554" i="1"/>
  <c r="AF552" i="1"/>
  <c r="AB552" i="1"/>
  <c r="AH552" i="1"/>
  <c r="AD552" i="1"/>
  <c r="AC552" i="1"/>
  <c r="AG552" i="1"/>
  <c r="AA553" i="1" l="1"/>
  <c r="AE553" i="1"/>
  <c r="AH553" i="1"/>
  <c r="AD553" i="1"/>
  <c r="AG553" i="1"/>
  <c r="AC553" i="1"/>
  <c r="AF553" i="1"/>
  <c r="AB553" i="1"/>
  <c r="W554" i="1"/>
  <c r="Z554" i="1"/>
  <c r="X554" i="1"/>
  <c r="T554" i="1"/>
  <c r="Y554" i="1"/>
  <c r="S555" i="1"/>
  <c r="U554" i="1"/>
  <c r="V554" i="1" s="1"/>
  <c r="AF554" i="1" l="1"/>
  <c r="AB554" i="1"/>
  <c r="AD554" i="1"/>
  <c r="AH554" i="1"/>
  <c r="S556" i="1"/>
  <c r="Y555" i="1"/>
  <c r="X555" i="1"/>
  <c r="T555" i="1"/>
  <c r="Z555" i="1"/>
  <c r="U555" i="1"/>
  <c r="V555" i="1" s="1"/>
  <c r="W555" i="1"/>
  <c r="AC554" i="1"/>
  <c r="AG554" i="1"/>
  <c r="AA554" i="1"/>
  <c r="AE554" i="1"/>
  <c r="AA555" i="1" l="1"/>
  <c r="AE555" i="1"/>
  <c r="AB555" i="1"/>
  <c r="AF555" i="1"/>
  <c r="AC555" i="1"/>
  <c r="AG555" i="1"/>
  <c r="AD555" i="1"/>
  <c r="AH555" i="1"/>
  <c r="S557" i="1"/>
  <c r="T556" i="1"/>
  <c r="X556" i="1"/>
  <c r="Y556" i="1"/>
  <c r="Z556" i="1"/>
  <c r="W556" i="1"/>
  <c r="U556" i="1"/>
  <c r="V556" i="1" s="1"/>
  <c r="AC556" i="1" l="1"/>
  <c r="AG556" i="1"/>
  <c r="AB556" i="1"/>
  <c r="AF556" i="1"/>
  <c r="AE556" i="1"/>
  <c r="AA556" i="1"/>
  <c r="AH556" i="1"/>
  <c r="AD556" i="1"/>
  <c r="Y557" i="1"/>
  <c r="W557" i="1"/>
  <c r="S558" i="1"/>
  <c r="X557" i="1"/>
  <c r="T557" i="1"/>
  <c r="U557" i="1"/>
  <c r="V557" i="1" s="1"/>
  <c r="Z557" i="1"/>
  <c r="AF557" i="1" l="1"/>
  <c r="AB557" i="1"/>
  <c r="S559" i="1"/>
  <c r="T558" i="1"/>
  <c r="X558" i="1"/>
  <c r="Y558" i="1"/>
  <c r="W558" i="1"/>
  <c r="Z558" i="1"/>
  <c r="U558" i="1"/>
  <c r="V558" i="1" s="1"/>
  <c r="AA557" i="1"/>
  <c r="AE557" i="1"/>
  <c r="AH557" i="1"/>
  <c r="AD557" i="1"/>
  <c r="AG557" i="1"/>
  <c r="AC557" i="1"/>
  <c r="AH558" i="1" l="1"/>
  <c r="AD558" i="1"/>
  <c r="X559" i="1"/>
  <c r="S560" i="1"/>
  <c r="Z559" i="1"/>
  <c r="Y559" i="1"/>
  <c r="U559" i="1"/>
  <c r="V559" i="1" s="1"/>
  <c r="W559" i="1"/>
  <c r="T559" i="1"/>
  <c r="AC558" i="1"/>
  <c r="AG558" i="1"/>
  <c r="AE558" i="1"/>
  <c r="AA558" i="1"/>
  <c r="AB558" i="1"/>
  <c r="AF558" i="1"/>
  <c r="AA559" i="1" l="1"/>
  <c r="AE559" i="1"/>
  <c r="Z560" i="1"/>
  <c r="S561" i="1"/>
  <c r="T560" i="1"/>
  <c r="Y560" i="1"/>
  <c r="X560" i="1"/>
  <c r="U560" i="1"/>
  <c r="V560" i="1" s="1"/>
  <c r="W560" i="1"/>
  <c r="AG559" i="1"/>
  <c r="AC559" i="1"/>
  <c r="AF559" i="1"/>
  <c r="AB559" i="1"/>
  <c r="AH559" i="1"/>
  <c r="AD559" i="1"/>
  <c r="U561" i="1" l="1"/>
  <c r="V561" i="1" s="1"/>
  <c r="X561" i="1"/>
  <c r="Z561" i="1"/>
  <c r="W561" i="1"/>
  <c r="T561" i="1"/>
  <c r="Y561" i="1"/>
  <c r="S562" i="1"/>
  <c r="AB560" i="1"/>
  <c r="AF560" i="1"/>
  <c r="AH560" i="1"/>
  <c r="AD560" i="1"/>
  <c r="AC560" i="1"/>
  <c r="AG560" i="1"/>
  <c r="AA560" i="1"/>
  <c r="AE560" i="1"/>
  <c r="AA561" i="1" l="1"/>
  <c r="AE561" i="1"/>
  <c r="U562" i="1"/>
  <c r="V562" i="1" s="1"/>
  <c r="S563" i="1"/>
  <c r="Y562" i="1"/>
  <c r="X562" i="1"/>
  <c r="Z562" i="1"/>
  <c r="W562" i="1"/>
  <c r="T562" i="1"/>
  <c r="AD561" i="1"/>
  <c r="AH561" i="1"/>
  <c r="AG561" i="1"/>
  <c r="AC561" i="1"/>
  <c r="AF561" i="1"/>
  <c r="AB561" i="1"/>
  <c r="AH562" i="1" l="1"/>
  <c r="AD562" i="1"/>
  <c r="AB562" i="1"/>
  <c r="AF562" i="1"/>
  <c r="AG562" i="1"/>
  <c r="AC562" i="1"/>
  <c r="AE562" i="1"/>
  <c r="AA562" i="1"/>
  <c r="W563" i="1"/>
  <c r="U563" i="1"/>
  <c r="V563" i="1" s="1"/>
  <c r="T563" i="1"/>
  <c r="S564" i="1"/>
  <c r="Z563" i="1"/>
  <c r="Y563" i="1"/>
  <c r="X563" i="1"/>
  <c r="AB563" i="1" l="1"/>
  <c r="AF563" i="1"/>
  <c r="AG563" i="1"/>
  <c r="AC563" i="1"/>
  <c r="AH563" i="1"/>
  <c r="AD563" i="1"/>
  <c r="AE563" i="1"/>
  <c r="AA563" i="1"/>
  <c r="X564" i="1"/>
  <c r="T564" i="1"/>
  <c r="U564" i="1"/>
  <c r="V564" i="1" s="1"/>
  <c r="W564" i="1"/>
  <c r="Y564" i="1"/>
  <c r="S565" i="1"/>
  <c r="Z564" i="1"/>
  <c r="AD564" i="1" l="1"/>
  <c r="AH564" i="1"/>
  <c r="W565" i="1"/>
  <c r="S566" i="1"/>
  <c r="T565" i="1"/>
  <c r="U565" i="1"/>
  <c r="V565" i="1" s="1"/>
  <c r="X565" i="1"/>
  <c r="Z565" i="1"/>
  <c r="Y565" i="1"/>
  <c r="AC564" i="1"/>
  <c r="AG564" i="1"/>
  <c r="AF564" i="1"/>
  <c r="AB564" i="1"/>
  <c r="AE564" i="1"/>
  <c r="AA564" i="1"/>
  <c r="AB565" i="1" l="1"/>
  <c r="AF565" i="1"/>
  <c r="AA565" i="1"/>
  <c r="AE565" i="1"/>
  <c r="AG565" i="1"/>
  <c r="AC565" i="1"/>
  <c r="AH565" i="1"/>
  <c r="AD565" i="1"/>
  <c r="X566" i="1"/>
  <c r="T566" i="1"/>
  <c r="Z566" i="1"/>
  <c r="S567" i="1"/>
  <c r="W566" i="1"/>
  <c r="Y566" i="1"/>
  <c r="U566" i="1"/>
  <c r="V566" i="1" s="1"/>
  <c r="AA566" i="1" l="1"/>
  <c r="AE566" i="1"/>
  <c r="Z567" i="1"/>
  <c r="T567" i="1"/>
  <c r="Y567" i="1"/>
  <c r="S568" i="1"/>
  <c r="U567" i="1"/>
  <c r="V567" i="1" s="1"/>
  <c r="W567" i="1"/>
  <c r="X567" i="1"/>
  <c r="AD566" i="1"/>
  <c r="AH566" i="1"/>
  <c r="AG566" i="1"/>
  <c r="AC566" i="1"/>
  <c r="AF566" i="1"/>
  <c r="AB566" i="1"/>
  <c r="AH567" i="1" l="1"/>
  <c r="AD567" i="1"/>
  <c r="AA567" i="1"/>
  <c r="AE567" i="1"/>
  <c r="U568" i="1"/>
  <c r="V568" i="1" s="1"/>
  <c r="S569" i="1"/>
  <c r="W568" i="1"/>
  <c r="Z568" i="1"/>
  <c r="Y568" i="1"/>
  <c r="T568" i="1"/>
  <c r="X568" i="1"/>
  <c r="AF567" i="1"/>
  <c r="AB567" i="1"/>
  <c r="AG567" i="1"/>
  <c r="AC567" i="1"/>
  <c r="AH568" i="1" l="1"/>
  <c r="AD568" i="1"/>
  <c r="AF568" i="1"/>
  <c r="AB568" i="1"/>
  <c r="AE568" i="1"/>
  <c r="AA568" i="1"/>
  <c r="U569" i="1"/>
  <c r="V569" i="1" s="1"/>
  <c r="Y569" i="1"/>
  <c r="Z569" i="1"/>
  <c r="T569" i="1"/>
  <c r="S570" i="1"/>
  <c r="X569" i="1"/>
  <c r="W569" i="1"/>
  <c r="AG568" i="1"/>
  <c r="AC568" i="1"/>
  <c r="AB569" i="1" l="1"/>
  <c r="AF569" i="1"/>
  <c r="AC569" i="1"/>
  <c r="AG569" i="1"/>
  <c r="U570" i="1"/>
  <c r="V570" i="1" s="1"/>
  <c r="X570" i="1"/>
  <c r="S571" i="1"/>
  <c r="Z570" i="1"/>
  <c r="T570" i="1"/>
  <c r="W570" i="1"/>
  <c r="Y570" i="1"/>
  <c r="AA569" i="1"/>
  <c r="AE569" i="1"/>
  <c r="AH569" i="1"/>
  <c r="AD569" i="1"/>
  <c r="AD570" i="1" l="1"/>
  <c r="AH570" i="1"/>
  <c r="AC570" i="1"/>
  <c r="AG570" i="1"/>
  <c r="Z571" i="1"/>
  <c r="Y571" i="1"/>
  <c r="U571" i="1"/>
  <c r="V571" i="1" s="1"/>
  <c r="T571" i="1"/>
  <c r="X571" i="1"/>
  <c r="W571" i="1"/>
  <c r="S572" i="1"/>
  <c r="AE570" i="1"/>
  <c r="AA570" i="1"/>
  <c r="AF570" i="1"/>
  <c r="AB570" i="1"/>
  <c r="X572" i="1" l="1"/>
  <c r="Y572" i="1"/>
  <c r="W572" i="1"/>
  <c r="Z572" i="1"/>
  <c r="S573" i="1"/>
  <c r="T572" i="1"/>
  <c r="U572" i="1"/>
  <c r="V572" i="1" s="1"/>
  <c r="AE571" i="1"/>
  <c r="AA571" i="1"/>
  <c r="AG571" i="1"/>
  <c r="AC571" i="1"/>
  <c r="AB571" i="1"/>
  <c r="AF571" i="1"/>
  <c r="AH571" i="1"/>
  <c r="AD571" i="1"/>
  <c r="AA572" i="1" l="1"/>
  <c r="AE572" i="1"/>
  <c r="AD572" i="1"/>
  <c r="AH572" i="1"/>
  <c r="AC572" i="1"/>
  <c r="AG572" i="1"/>
  <c r="U573" i="1"/>
  <c r="V573" i="1" s="1"/>
  <c r="Y573" i="1"/>
  <c r="W573" i="1"/>
  <c r="T573" i="1"/>
  <c r="S574" i="1"/>
  <c r="Z573" i="1"/>
  <c r="X573" i="1"/>
  <c r="AF572" i="1"/>
  <c r="AB572" i="1"/>
  <c r="AC573" i="1" l="1"/>
  <c r="AG573" i="1"/>
  <c r="AD573" i="1"/>
  <c r="AH573" i="1"/>
  <c r="U574" i="1"/>
  <c r="V574" i="1" s="1"/>
  <c r="Y574" i="1"/>
  <c r="Z574" i="1"/>
  <c r="X574" i="1"/>
  <c r="S575" i="1"/>
  <c r="W574" i="1"/>
  <c r="T574" i="1"/>
  <c r="AB573" i="1"/>
  <c r="AF573" i="1"/>
  <c r="AE573" i="1"/>
  <c r="AA573" i="1"/>
  <c r="AB574" i="1" l="1"/>
  <c r="AF574" i="1"/>
  <c r="AD574" i="1"/>
  <c r="AH574" i="1"/>
  <c r="AE574" i="1"/>
  <c r="AA574" i="1"/>
  <c r="AG574" i="1"/>
  <c r="AC574" i="1"/>
  <c r="W575" i="1"/>
  <c r="S576" i="1"/>
  <c r="U575" i="1"/>
  <c r="V575" i="1" s="1"/>
  <c r="X575" i="1"/>
  <c r="Y575" i="1"/>
  <c r="Z575" i="1"/>
  <c r="T575" i="1"/>
  <c r="AB575" i="1" l="1"/>
  <c r="AF575" i="1"/>
  <c r="Z576" i="1"/>
  <c r="T576" i="1"/>
  <c r="U576" i="1"/>
  <c r="V576" i="1" s="1"/>
  <c r="X576" i="1"/>
  <c r="Y576" i="1"/>
  <c r="S577" i="1"/>
  <c r="W576" i="1"/>
  <c r="AH575" i="1"/>
  <c r="AD575" i="1"/>
  <c r="AG575" i="1"/>
  <c r="AC575" i="1"/>
  <c r="AA575" i="1"/>
  <c r="AE575" i="1"/>
  <c r="AG576" i="1" l="1"/>
  <c r="AC576" i="1"/>
  <c r="AD576" i="1"/>
  <c r="AH576" i="1"/>
  <c r="Y577" i="1"/>
  <c r="T577" i="1"/>
  <c r="U577" i="1"/>
  <c r="V577" i="1" s="1"/>
  <c r="Z577" i="1"/>
  <c r="S578" i="1"/>
  <c r="X577" i="1"/>
  <c r="W577" i="1"/>
  <c r="AF576" i="1"/>
  <c r="AB576" i="1"/>
  <c r="AE576" i="1"/>
  <c r="AA576" i="1"/>
  <c r="AH577" i="1" l="1"/>
  <c r="AD577" i="1"/>
  <c r="AE577" i="1"/>
  <c r="AA577" i="1"/>
  <c r="AB577" i="1"/>
  <c r="AF577" i="1"/>
  <c r="U578" i="1"/>
  <c r="V578" i="1" s="1"/>
  <c r="S579" i="1"/>
  <c r="Z578" i="1"/>
  <c r="Y578" i="1"/>
  <c r="T578" i="1"/>
  <c r="X578" i="1"/>
  <c r="W578" i="1"/>
  <c r="AG577" i="1"/>
  <c r="AC577" i="1"/>
  <c r="S580" i="1" l="1"/>
  <c r="X579" i="1"/>
  <c r="W579" i="1"/>
  <c r="T579" i="1"/>
  <c r="Z579" i="1"/>
  <c r="U579" i="1"/>
  <c r="V579" i="1" s="1"/>
  <c r="Y579" i="1"/>
  <c r="AB578" i="1"/>
  <c r="AF578" i="1"/>
  <c r="AC578" i="1"/>
  <c r="AG578" i="1"/>
  <c r="AE578" i="1"/>
  <c r="AA578" i="1"/>
  <c r="AH578" i="1"/>
  <c r="AD578" i="1"/>
  <c r="AC579" i="1" l="1"/>
  <c r="AG579" i="1"/>
  <c r="AE579" i="1"/>
  <c r="AA579" i="1"/>
  <c r="AF579" i="1"/>
  <c r="AB579" i="1"/>
  <c r="AH579" i="1"/>
  <c r="AD579" i="1"/>
  <c r="W580" i="1"/>
  <c r="S581" i="1"/>
  <c r="Z580" i="1"/>
  <c r="T580" i="1"/>
  <c r="U580" i="1"/>
  <c r="V580" i="1" s="1"/>
  <c r="Y580" i="1"/>
  <c r="X580" i="1"/>
  <c r="AF580" i="1" l="1"/>
  <c r="AB580" i="1"/>
  <c r="AD580" i="1"/>
  <c r="AH580" i="1"/>
  <c r="AG580" i="1"/>
  <c r="AC580" i="1"/>
  <c r="W581" i="1"/>
  <c r="X581" i="1"/>
  <c r="Z581" i="1"/>
  <c r="S582" i="1"/>
  <c r="T581" i="1"/>
  <c r="Y581" i="1"/>
  <c r="U581" i="1"/>
  <c r="V581" i="1" s="1"/>
  <c r="AA580" i="1"/>
  <c r="AE580" i="1"/>
  <c r="AE581" i="1" l="1"/>
  <c r="AA581" i="1"/>
  <c r="AF581" i="1"/>
  <c r="AB581" i="1"/>
  <c r="U582" i="1"/>
  <c r="V582" i="1" s="1"/>
  <c r="Y582" i="1"/>
  <c r="S583" i="1"/>
  <c r="X582" i="1"/>
  <c r="Z582" i="1"/>
  <c r="W582" i="1"/>
  <c r="T582" i="1"/>
  <c r="AG581" i="1"/>
  <c r="AC581" i="1"/>
  <c r="AD581" i="1"/>
  <c r="AH581" i="1"/>
  <c r="AB582" i="1" l="1"/>
  <c r="AF582" i="1"/>
  <c r="Y583" i="1"/>
  <c r="Z583" i="1"/>
  <c r="S584" i="1"/>
  <c r="W583" i="1"/>
  <c r="X583" i="1"/>
  <c r="T583" i="1"/>
  <c r="U583" i="1"/>
  <c r="V583" i="1" s="1"/>
  <c r="AA582" i="1"/>
  <c r="AE582" i="1"/>
  <c r="AC582" i="1"/>
  <c r="AG582" i="1"/>
  <c r="AD582" i="1"/>
  <c r="AH582" i="1"/>
  <c r="AH583" i="1" l="1"/>
  <c r="AD583" i="1"/>
  <c r="AB583" i="1"/>
  <c r="AF583" i="1"/>
  <c r="AG583" i="1"/>
  <c r="AC583" i="1"/>
  <c r="AA583" i="1"/>
  <c r="AE583" i="1"/>
  <c r="U584" i="1"/>
  <c r="V584" i="1" s="1"/>
  <c r="T584" i="1"/>
  <c r="Y584" i="1"/>
  <c r="Z584" i="1"/>
  <c r="X584" i="1"/>
  <c r="S585" i="1"/>
  <c r="W584" i="1"/>
  <c r="AA584" i="1" l="1"/>
  <c r="AE584" i="1"/>
  <c r="AG584" i="1"/>
  <c r="AC584" i="1"/>
  <c r="AD584" i="1"/>
  <c r="AH584" i="1"/>
  <c r="U585" i="1"/>
  <c r="V585" i="1" s="1"/>
  <c r="W585" i="1"/>
  <c r="Z585" i="1"/>
  <c r="X585" i="1"/>
  <c r="T585" i="1"/>
  <c r="Y585" i="1"/>
  <c r="S586" i="1"/>
  <c r="AF584" i="1"/>
  <c r="AB584" i="1"/>
  <c r="AC585" i="1" l="1"/>
  <c r="AG585" i="1"/>
  <c r="AA585" i="1"/>
  <c r="AE585" i="1"/>
  <c r="AB585" i="1"/>
  <c r="AF585" i="1"/>
  <c r="U586" i="1"/>
  <c r="V586" i="1" s="1"/>
  <c r="S587" i="1"/>
  <c r="Z586" i="1"/>
  <c r="Y586" i="1"/>
  <c r="X586" i="1"/>
  <c r="W586" i="1"/>
  <c r="T586" i="1"/>
  <c r="AH585" i="1"/>
  <c r="AD585" i="1"/>
  <c r="AA586" i="1" l="1"/>
  <c r="AE586" i="1"/>
  <c r="AB586" i="1"/>
  <c r="AF586" i="1"/>
  <c r="U587" i="1"/>
  <c r="V587" i="1" s="1"/>
  <c r="Z587" i="1"/>
  <c r="T587" i="1"/>
  <c r="S588" i="1"/>
  <c r="W587" i="1"/>
  <c r="X587" i="1"/>
  <c r="Y587" i="1"/>
  <c r="AG586" i="1"/>
  <c r="AC586" i="1"/>
  <c r="AD586" i="1"/>
  <c r="AH586" i="1"/>
  <c r="T588" i="1" l="1"/>
  <c r="U588" i="1"/>
  <c r="V588" i="1" s="1"/>
  <c r="X588" i="1"/>
  <c r="Y588" i="1"/>
  <c r="Z588" i="1"/>
  <c r="S589" i="1"/>
  <c r="W588" i="1"/>
  <c r="AC587" i="1"/>
  <c r="AG587" i="1"/>
  <c r="AF587" i="1"/>
  <c r="AB587" i="1"/>
  <c r="AD587" i="1"/>
  <c r="AH587" i="1"/>
  <c r="AE587" i="1"/>
  <c r="AA587" i="1"/>
  <c r="AG588" i="1" l="1"/>
  <c r="AC588" i="1"/>
  <c r="AE588" i="1"/>
  <c r="AA588" i="1"/>
  <c r="AF588" i="1"/>
  <c r="AB588" i="1"/>
  <c r="T589" i="1"/>
  <c r="S590" i="1"/>
  <c r="Z589" i="1"/>
  <c r="X589" i="1"/>
  <c r="W589" i="1"/>
  <c r="Y589" i="1"/>
  <c r="U589" i="1"/>
  <c r="V589" i="1" s="1"/>
  <c r="AD588" i="1"/>
  <c r="AH588" i="1"/>
  <c r="U590" i="1" l="1"/>
  <c r="V590" i="1" s="1"/>
  <c r="W590" i="1"/>
  <c r="Z590" i="1"/>
  <c r="S591" i="1"/>
  <c r="T590" i="1"/>
  <c r="Y590" i="1"/>
  <c r="X590" i="1"/>
  <c r="AF589" i="1"/>
  <c r="AB589" i="1"/>
  <c r="AG589" i="1"/>
  <c r="AC589" i="1"/>
  <c r="AA589" i="1"/>
  <c r="AE589" i="1"/>
  <c r="AD589" i="1"/>
  <c r="AH589" i="1"/>
  <c r="S592" i="1" l="1"/>
  <c r="Y591" i="1"/>
  <c r="U591" i="1"/>
  <c r="V591" i="1" s="1"/>
  <c r="X591" i="1"/>
  <c r="T591" i="1"/>
  <c r="W591" i="1"/>
  <c r="Z591" i="1"/>
  <c r="AF590" i="1"/>
  <c r="AB590" i="1"/>
  <c r="AD590" i="1"/>
  <c r="AH590" i="1"/>
  <c r="AC590" i="1"/>
  <c r="AG590" i="1"/>
  <c r="AA590" i="1"/>
  <c r="AE590" i="1"/>
  <c r="AF591" i="1" l="1"/>
  <c r="AB591" i="1"/>
  <c r="AC591" i="1"/>
  <c r="AG591" i="1"/>
  <c r="AD591" i="1"/>
  <c r="AH591" i="1"/>
  <c r="AE591" i="1"/>
  <c r="AA591" i="1"/>
  <c r="Y592" i="1"/>
  <c r="W592" i="1"/>
  <c r="Z592" i="1"/>
  <c r="T592" i="1"/>
  <c r="S593" i="1"/>
  <c r="X592" i="1"/>
  <c r="U592" i="1"/>
  <c r="V592" i="1" s="1"/>
  <c r="AD592" i="1" l="1"/>
  <c r="AH592" i="1"/>
  <c r="AB592" i="1"/>
  <c r="AF592" i="1"/>
  <c r="AA592" i="1"/>
  <c r="AE592" i="1"/>
  <c r="X593" i="1"/>
  <c r="S594" i="1"/>
  <c r="T593" i="1"/>
  <c r="U593" i="1"/>
  <c r="V593" i="1" s="1"/>
  <c r="Z593" i="1"/>
  <c r="W593" i="1"/>
  <c r="Y593" i="1"/>
  <c r="AG592" i="1"/>
  <c r="AC592" i="1"/>
  <c r="AH593" i="1" l="1"/>
  <c r="AD593" i="1"/>
  <c r="AB593" i="1"/>
  <c r="AF593" i="1"/>
  <c r="AE593" i="1"/>
  <c r="AA593" i="1"/>
  <c r="Z594" i="1"/>
  <c r="U594" i="1"/>
  <c r="V594" i="1" s="1"/>
  <c r="Y594" i="1"/>
  <c r="S595" i="1"/>
  <c r="X594" i="1"/>
  <c r="T594" i="1"/>
  <c r="W594" i="1"/>
  <c r="AC593" i="1"/>
  <c r="AG593" i="1"/>
  <c r="AF594" i="1" l="1"/>
  <c r="AB594" i="1"/>
  <c r="AH594" i="1"/>
  <c r="AD594" i="1"/>
  <c r="T595" i="1"/>
  <c r="W595" i="1"/>
  <c r="S596" i="1"/>
  <c r="Z595" i="1"/>
  <c r="X595" i="1"/>
  <c r="U595" i="1"/>
  <c r="V595" i="1" s="1"/>
  <c r="Y595" i="1"/>
  <c r="AE594" i="1"/>
  <c r="AA594" i="1"/>
  <c r="AC594" i="1"/>
  <c r="AG594" i="1"/>
  <c r="AD595" i="1" l="1"/>
  <c r="AH595" i="1"/>
  <c r="AG595" i="1"/>
  <c r="AC595" i="1"/>
  <c r="T596" i="1"/>
  <c r="U596" i="1"/>
  <c r="V596" i="1" s="1"/>
  <c r="X596" i="1"/>
  <c r="S597" i="1"/>
  <c r="Y596" i="1"/>
  <c r="W596" i="1"/>
  <c r="Z596" i="1"/>
  <c r="AA595" i="1"/>
  <c r="AE595" i="1"/>
  <c r="AF595" i="1"/>
  <c r="AB595" i="1"/>
  <c r="W597" i="1" l="1"/>
  <c r="U597" i="1"/>
  <c r="V597" i="1" s="1"/>
  <c r="T597" i="1"/>
  <c r="X597" i="1"/>
  <c r="Y597" i="1"/>
  <c r="Z597" i="1"/>
  <c r="S598" i="1"/>
  <c r="AH596" i="1"/>
  <c r="AD596" i="1"/>
  <c r="AF596" i="1"/>
  <c r="AB596" i="1"/>
  <c r="AE596" i="1"/>
  <c r="AA596" i="1"/>
  <c r="AG596" i="1"/>
  <c r="AC596" i="1"/>
  <c r="AF597" i="1" l="1"/>
  <c r="AB597" i="1"/>
  <c r="W598" i="1"/>
  <c r="Y598" i="1"/>
  <c r="U598" i="1"/>
  <c r="V598" i="1" s="1"/>
  <c r="T598" i="1"/>
  <c r="S599" i="1"/>
  <c r="Z598" i="1"/>
  <c r="X598" i="1"/>
  <c r="AH597" i="1"/>
  <c r="AD597" i="1"/>
  <c r="AG597" i="1"/>
  <c r="AC597" i="1"/>
  <c r="AE597" i="1"/>
  <c r="AA597" i="1"/>
  <c r="AH598" i="1" l="1"/>
  <c r="AD598" i="1"/>
  <c r="AC598" i="1"/>
  <c r="AG598" i="1"/>
  <c r="T599" i="1"/>
  <c r="Z599" i="1"/>
  <c r="X599" i="1"/>
  <c r="S600" i="1"/>
  <c r="Y599" i="1"/>
  <c r="W599" i="1"/>
  <c r="U599" i="1"/>
  <c r="V599" i="1" s="1"/>
  <c r="AA598" i="1"/>
  <c r="AE598" i="1"/>
  <c r="AB598" i="1"/>
  <c r="AF598" i="1"/>
  <c r="AB599" i="1" l="1"/>
  <c r="AF599" i="1"/>
  <c r="AA599" i="1"/>
  <c r="AE599" i="1"/>
  <c r="AD599" i="1"/>
  <c r="AH599" i="1"/>
  <c r="S601" i="1"/>
  <c r="X600" i="1"/>
  <c r="Y600" i="1"/>
  <c r="W600" i="1"/>
  <c r="Z600" i="1"/>
  <c r="U600" i="1"/>
  <c r="V600" i="1" s="1"/>
  <c r="T600" i="1"/>
  <c r="AC599" i="1"/>
  <c r="AG599" i="1"/>
  <c r="W601" i="1" l="1"/>
  <c r="X601" i="1"/>
  <c r="U601" i="1"/>
  <c r="V601" i="1" s="1"/>
  <c r="S602" i="1"/>
  <c r="Z601" i="1"/>
  <c r="Y601" i="1"/>
  <c r="T601" i="1"/>
  <c r="AB600" i="1"/>
  <c r="AF600" i="1"/>
  <c r="AH600" i="1"/>
  <c r="AD600" i="1"/>
  <c r="AA600" i="1"/>
  <c r="AE600" i="1"/>
  <c r="AC600" i="1"/>
  <c r="AG600" i="1"/>
  <c r="AG601" i="1" l="1"/>
  <c r="AC601" i="1"/>
  <c r="AF601" i="1"/>
  <c r="AB601" i="1"/>
  <c r="Z602" i="1"/>
  <c r="X602" i="1"/>
  <c r="S603" i="1"/>
  <c r="T602" i="1"/>
  <c r="W602" i="1"/>
  <c r="U602" i="1"/>
  <c r="V602" i="1" s="1"/>
  <c r="Y602" i="1"/>
  <c r="AH601" i="1"/>
  <c r="AD601" i="1"/>
  <c r="AA601" i="1"/>
  <c r="AE601" i="1"/>
  <c r="AC602" i="1" l="1"/>
  <c r="AG602" i="1"/>
  <c r="AF602" i="1"/>
  <c r="AB602" i="1"/>
  <c r="X603" i="1"/>
  <c r="Y603" i="1"/>
  <c r="T603" i="1"/>
  <c r="U603" i="1"/>
  <c r="V603" i="1" s="1"/>
  <c r="W603" i="1"/>
  <c r="S604" i="1"/>
  <c r="Z603" i="1"/>
  <c r="AE602" i="1"/>
  <c r="AA602" i="1"/>
  <c r="AH602" i="1"/>
  <c r="AD602" i="1"/>
  <c r="AD603" i="1" l="1"/>
  <c r="AH603" i="1"/>
  <c r="Y604" i="1"/>
  <c r="Z604" i="1"/>
  <c r="X604" i="1"/>
  <c r="S605" i="1"/>
  <c r="W604" i="1"/>
  <c r="U604" i="1"/>
  <c r="V604" i="1" s="1"/>
  <c r="T604" i="1"/>
  <c r="AC603" i="1"/>
  <c r="AG603" i="1"/>
  <c r="AA603" i="1"/>
  <c r="AE603" i="1"/>
  <c r="AF603" i="1"/>
  <c r="AB603" i="1"/>
  <c r="U605" i="1" l="1"/>
  <c r="V605" i="1" s="1"/>
  <c r="Y605" i="1"/>
  <c r="T605" i="1"/>
  <c r="X605" i="1"/>
  <c r="W605" i="1"/>
  <c r="Z605" i="1"/>
  <c r="S606" i="1"/>
  <c r="AH604" i="1"/>
  <c r="AD604" i="1"/>
  <c r="AA604" i="1"/>
  <c r="AE604" i="1"/>
  <c r="AC604" i="1"/>
  <c r="AG604" i="1"/>
  <c r="AB604" i="1"/>
  <c r="AF604" i="1"/>
  <c r="Y606" i="1" l="1"/>
  <c r="Z606" i="1"/>
  <c r="X606" i="1"/>
  <c r="W606" i="1"/>
  <c r="U606" i="1"/>
  <c r="V606" i="1" s="1"/>
  <c r="S607" i="1"/>
  <c r="T606" i="1"/>
  <c r="AF605" i="1"/>
  <c r="AB605" i="1"/>
  <c r="AH605" i="1"/>
  <c r="AD605" i="1"/>
  <c r="AG605" i="1"/>
  <c r="AC605" i="1"/>
  <c r="AE605" i="1"/>
  <c r="AA605" i="1"/>
  <c r="AE606" i="1" l="1"/>
  <c r="AA606" i="1"/>
  <c r="AF606" i="1"/>
  <c r="AB606" i="1"/>
  <c r="W607" i="1"/>
  <c r="S608" i="1"/>
  <c r="T607" i="1"/>
  <c r="Z607" i="1"/>
  <c r="X607" i="1"/>
  <c r="U607" i="1"/>
  <c r="V607" i="1" s="1"/>
  <c r="Y607" i="1"/>
  <c r="AD606" i="1"/>
  <c r="AH606" i="1"/>
  <c r="AC606" i="1"/>
  <c r="AG606" i="1"/>
  <c r="AD607" i="1" l="1"/>
  <c r="AH607" i="1"/>
  <c r="AC607" i="1"/>
  <c r="AG607" i="1"/>
  <c r="X608" i="1"/>
  <c r="T608" i="1"/>
  <c r="U608" i="1"/>
  <c r="V608" i="1" s="1"/>
  <c r="W608" i="1"/>
  <c r="Y608" i="1"/>
  <c r="S609" i="1"/>
  <c r="Z608" i="1"/>
  <c r="AF607" i="1"/>
  <c r="AB607" i="1"/>
  <c r="AE607" i="1"/>
  <c r="AA607" i="1"/>
  <c r="AE608" i="1" l="1"/>
  <c r="AA608" i="1"/>
  <c r="AD608" i="1"/>
  <c r="AH608" i="1"/>
  <c r="Y609" i="1"/>
  <c r="Z609" i="1"/>
  <c r="T609" i="1"/>
  <c r="W609" i="1"/>
  <c r="X609" i="1"/>
  <c r="S610" i="1"/>
  <c r="U609" i="1"/>
  <c r="V609" i="1" s="1"/>
  <c r="AC608" i="1"/>
  <c r="AG608" i="1"/>
  <c r="AF608" i="1"/>
  <c r="AB608" i="1"/>
  <c r="AE609" i="1" l="1"/>
  <c r="AA609" i="1"/>
  <c r="S611" i="1"/>
  <c r="X610" i="1"/>
  <c r="Z610" i="1"/>
  <c r="W610" i="1"/>
  <c r="T610" i="1"/>
  <c r="U610" i="1"/>
  <c r="V610" i="1" s="1"/>
  <c r="Y610" i="1"/>
  <c r="AD609" i="1"/>
  <c r="AH609" i="1"/>
  <c r="AB609" i="1"/>
  <c r="AF609" i="1"/>
  <c r="AC609" i="1"/>
  <c r="AG609" i="1"/>
  <c r="Z611" i="1" l="1"/>
  <c r="Y611" i="1"/>
  <c r="W611" i="1"/>
  <c r="U611" i="1"/>
  <c r="V611" i="1" s="1"/>
  <c r="S612" i="1"/>
  <c r="T611" i="1"/>
  <c r="X611" i="1"/>
  <c r="AB610" i="1"/>
  <c r="AF610" i="1"/>
  <c r="AA610" i="1"/>
  <c r="AE610" i="1"/>
  <c r="AG610" i="1"/>
  <c r="AC610" i="1"/>
  <c r="AH610" i="1"/>
  <c r="AD610" i="1"/>
  <c r="AF611" i="1" l="1"/>
  <c r="AB611" i="1"/>
  <c r="AE611" i="1"/>
  <c r="AA611" i="1"/>
  <c r="AC611" i="1"/>
  <c r="AG611" i="1"/>
  <c r="S613" i="1"/>
  <c r="Y612" i="1"/>
  <c r="Z612" i="1"/>
  <c r="T612" i="1"/>
  <c r="X612" i="1"/>
  <c r="U612" i="1"/>
  <c r="V612" i="1" s="1"/>
  <c r="W612" i="1"/>
  <c r="AH611" i="1"/>
  <c r="AD611" i="1"/>
  <c r="AC612" i="1" l="1"/>
  <c r="AG612" i="1"/>
  <c r="AF612" i="1"/>
  <c r="AB612" i="1"/>
  <c r="U613" i="1"/>
  <c r="V613" i="1" s="1"/>
  <c r="W613" i="1"/>
  <c r="X613" i="1"/>
  <c r="T613" i="1"/>
  <c r="S614" i="1"/>
  <c r="Y613" i="1"/>
  <c r="Z613" i="1"/>
  <c r="AE612" i="1"/>
  <c r="AA612" i="1"/>
  <c r="AD612" i="1"/>
  <c r="AH612" i="1"/>
  <c r="AD613" i="1" l="1"/>
  <c r="AH613" i="1"/>
  <c r="AB613" i="1"/>
  <c r="AF613" i="1"/>
  <c r="AC613" i="1"/>
  <c r="AG613" i="1"/>
  <c r="AE613" i="1"/>
  <c r="AA613" i="1"/>
  <c r="X614" i="1"/>
  <c r="Y614" i="1"/>
  <c r="S615" i="1"/>
  <c r="Z614" i="1"/>
  <c r="W614" i="1"/>
  <c r="T614" i="1"/>
  <c r="U614" i="1"/>
  <c r="V614" i="1" s="1"/>
  <c r="AD614" i="1" l="1"/>
  <c r="AH614" i="1"/>
  <c r="X615" i="1"/>
  <c r="Y615" i="1"/>
  <c r="U615" i="1"/>
  <c r="V615" i="1" s="1"/>
  <c r="Z615" i="1"/>
  <c r="W615" i="1"/>
  <c r="T615" i="1"/>
  <c r="S616" i="1"/>
  <c r="AG614" i="1"/>
  <c r="AC614" i="1"/>
  <c r="AE614" i="1"/>
  <c r="AA614" i="1"/>
  <c r="AF614" i="1"/>
  <c r="AB614" i="1"/>
  <c r="AG615" i="1" l="1"/>
  <c r="AC615" i="1"/>
  <c r="AA615" i="1"/>
  <c r="AE615" i="1"/>
  <c r="AB615" i="1"/>
  <c r="AF615" i="1"/>
  <c r="AD615" i="1"/>
  <c r="AH615" i="1"/>
  <c r="X616" i="1"/>
  <c r="Z616" i="1"/>
  <c r="U616" i="1"/>
  <c r="V616" i="1" s="1"/>
  <c r="S617" i="1"/>
  <c r="T616" i="1"/>
  <c r="W616" i="1"/>
  <c r="Y616" i="1"/>
  <c r="Z617" i="1" l="1"/>
  <c r="W617" i="1"/>
  <c r="X617" i="1"/>
  <c r="U617" i="1"/>
  <c r="V617" i="1" s="1"/>
  <c r="T617" i="1"/>
  <c r="S618" i="1"/>
  <c r="Y617" i="1"/>
  <c r="AC616" i="1"/>
  <c r="AG616" i="1"/>
  <c r="AA616" i="1"/>
  <c r="AE616" i="1"/>
  <c r="AD616" i="1"/>
  <c r="AH616" i="1"/>
  <c r="AF616" i="1"/>
  <c r="AB616" i="1"/>
  <c r="AG617" i="1" l="1"/>
  <c r="AC617" i="1"/>
  <c r="AB617" i="1"/>
  <c r="AF617" i="1"/>
  <c r="X618" i="1"/>
  <c r="U618" i="1"/>
  <c r="V618" i="1" s="1"/>
  <c r="W618" i="1"/>
  <c r="S619" i="1"/>
  <c r="Z618" i="1"/>
  <c r="T618" i="1"/>
  <c r="Y618" i="1"/>
  <c r="AA617" i="1"/>
  <c r="AE617" i="1"/>
  <c r="AD617" i="1"/>
  <c r="AH617" i="1"/>
  <c r="AC618" i="1" l="1"/>
  <c r="AG618" i="1"/>
  <c r="AE618" i="1"/>
  <c r="AA618" i="1"/>
  <c r="S620" i="1"/>
  <c r="Z619" i="1"/>
  <c r="X619" i="1"/>
  <c r="W619" i="1"/>
  <c r="U619" i="1"/>
  <c r="V619" i="1" s="1"/>
  <c r="T619" i="1"/>
  <c r="Y619" i="1"/>
  <c r="AD618" i="1"/>
  <c r="AH618" i="1"/>
  <c r="AF618" i="1"/>
  <c r="AB618" i="1"/>
  <c r="AG619" i="1" l="1"/>
  <c r="AC619" i="1"/>
  <c r="AF619" i="1"/>
  <c r="AB619" i="1"/>
  <c r="AA619" i="1"/>
  <c r="AE619" i="1"/>
  <c r="AH619" i="1"/>
  <c r="AD619" i="1"/>
  <c r="X620" i="1"/>
  <c r="Y620" i="1"/>
  <c r="U620" i="1"/>
  <c r="V620" i="1" s="1"/>
  <c r="W620" i="1"/>
  <c r="T620" i="1"/>
  <c r="Z620" i="1"/>
  <c r="S621" i="1"/>
  <c r="AE620" i="1" l="1"/>
  <c r="AA620" i="1"/>
  <c r="U621" i="1"/>
  <c r="V621" i="1" s="1"/>
  <c r="W621" i="1"/>
  <c r="X621" i="1"/>
  <c r="Z621" i="1"/>
  <c r="T621" i="1"/>
  <c r="S622" i="1"/>
  <c r="Y621" i="1"/>
  <c r="AD620" i="1"/>
  <c r="AH620" i="1"/>
  <c r="AC620" i="1"/>
  <c r="AG620" i="1"/>
  <c r="AF620" i="1"/>
  <c r="AB620" i="1"/>
  <c r="S623" i="1" l="1"/>
  <c r="U622" i="1"/>
  <c r="V622" i="1" s="1"/>
  <c r="Z622" i="1"/>
  <c r="X622" i="1"/>
  <c r="T622" i="1"/>
  <c r="W622" i="1"/>
  <c r="Y622" i="1"/>
  <c r="AA621" i="1"/>
  <c r="AE621" i="1"/>
  <c r="AD621" i="1"/>
  <c r="AH621" i="1"/>
  <c r="AC621" i="1"/>
  <c r="AG621" i="1"/>
  <c r="AF621" i="1"/>
  <c r="AB621" i="1"/>
  <c r="AG622" i="1" l="1"/>
  <c r="AC622" i="1"/>
  <c r="AD622" i="1"/>
  <c r="AH622" i="1"/>
  <c r="AF622" i="1"/>
  <c r="AB622" i="1"/>
  <c r="AE622" i="1"/>
  <c r="AA622" i="1"/>
  <c r="S624" i="1"/>
  <c r="W623" i="1"/>
  <c r="Z623" i="1"/>
  <c r="X623" i="1"/>
  <c r="Y623" i="1"/>
  <c r="U623" i="1"/>
  <c r="V623" i="1" s="1"/>
  <c r="T623" i="1"/>
  <c r="AH623" i="1" l="1"/>
  <c r="AD623" i="1"/>
  <c r="AA623" i="1"/>
  <c r="AE623" i="1"/>
  <c r="AB623" i="1"/>
  <c r="AF623" i="1"/>
  <c r="AG623" i="1"/>
  <c r="AC623" i="1"/>
  <c r="W624" i="1"/>
  <c r="Z624" i="1"/>
  <c r="S625" i="1"/>
  <c r="T624" i="1"/>
  <c r="U624" i="1"/>
  <c r="V624" i="1" s="1"/>
  <c r="X624" i="1"/>
  <c r="Y624" i="1"/>
  <c r="T625" i="1" l="1"/>
  <c r="Y625" i="1"/>
  <c r="U625" i="1"/>
  <c r="V625" i="1" s="1"/>
  <c r="S626" i="1"/>
  <c r="Z625" i="1"/>
  <c r="W625" i="1"/>
  <c r="X625" i="1"/>
  <c r="AG624" i="1"/>
  <c r="AC624" i="1"/>
  <c r="AF624" i="1"/>
  <c r="AB624" i="1"/>
  <c r="AD624" i="1"/>
  <c r="AH624" i="1"/>
  <c r="AA624" i="1"/>
  <c r="AE624" i="1"/>
  <c r="Z626" i="1" l="1"/>
  <c r="S627" i="1"/>
  <c r="T626" i="1"/>
  <c r="W626" i="1"/>
  <c r="U626" i="1"/>
  <c r="V626" i="1" s="1"/>
  <c r="X626" i="1"/>
  <c r="Y626" i="1"/>
  <c r="AB625" i="1"/>
  <c r="AF625" i="1"/>
  <c r="AA625" i="1"/>
  <c r="AE625" i="1"/>
  <c r="AG625" i="1"/>
  <c r="AC625" i="1"/>
  <c r="AD625" i="1"/>
  <c r="AH625" i="1"/>
  <c r="AC626" i="1" l="1"/>
  <c r="AG626" i="1"/>
  <c r="AA626" i="1"/>
  <c r="AE626" i="1"/>
  <c r="AF626" i="1"/>
  <c r="AB626" i="1"/>
  <c r="Y627" i="1"/>
  <c r="W627" i="1"/>
  <c r="T627" i="1"/>
  <c r="Z627" i="1"/>
  <c r="X627" i="1"/>
  <c r="S628" i="1"/>
  <c r="U627" i="1"/>
  <c r="V627" i="1" s="1"/>
  <c r="AH626" i="1"/>
  <c r="AD626" i="1"/>
  <c r="Y628" i="1" l="1"/>
  <c r="S629" i="1"/>
  <c r="W628" i="1"/>
  <c r="U628" i="1"/>
  <c r="V628" i="1" s="1"/>
  <c r="T628" i="1"/>
  <c r="Z628" i="1"/>
  <c r="X628" i="1"/>
  <c r="AE627" i="1"/>
  <c r="AA627" i="1"/>
  <c r="AB627" i="1"/>
  <c r="AF627" i="1"/>
  <c r="AG627" i="1"/>
  <c r="AC627" i="1"/>
  <c r="AH627" i="1"/>
  <c r="AD627" i="1"/>
  <c r="AB628" i="1" l="1"/>
  <c r="AF628" i="1"/>
  <c r="AA628" i="1"/>
  <c r="AE628" i="1"/>
  <c r="AD628" i="1"/>
  <c r="AH628" i="1"/>
  <c r="X629" i="1"/>
  <c r="Y629" i="1"/>
  <c r="U629" i="1"/>
  <c r="V629" i="1" s="1"/>
  <c r="W629" i="1"/>
  <c r="T629" i="1"/>
  <c r="Z629" i="1"/>
  <c r="S630" i="1"/>
  <c r="AC628" i="1"/>
  <c r="AG628" i="1"/>
  <c r="AD629" i="1" l="1"/>
  <c r="AH629" i="1"/>
  <c r="AG629" i="1"/>
  <c r="AC629" i="1"/>
  <c r="AF629" i="1"/>
  <c r="AB629" i="1"/>
  <c r="AA629" i="1"/>
  <c r="AE629" i="1"/>
  <c r="U630" i="1"/>
  <c r="V630" i="1" s="1"/>
  <c r="Y630" i="1"/>
  <c r="W630" i="1"/>
  <c r="S631" i="1"/>
  <c r="T630" i="1"/>
  <c r="X630" i="1"/>
  <c r="Z630" i="1"/>
  <c r="X631" i="1" l="1"/>
  <c r="S632" i="1"/>
  <c r="Z631" i="1"/>
  <c r="U631" i="1"/>
  <c r="V631" i="1" s="1"/>
  <c r="Y631" i="1"/>
  <c r="W631" i="1"/>
  <c r="T631" i="1"/>
  <c r="AD630" i="1"/>
  <c r="AH630" i="1"/>
  <c r="AE630" i="1"/>
  <c r="AA630" i="1"/>
  <c r="AB630" i="1"/>
  <c r="AF630" i="1"/>
  <c r="AG630" i="1"/>
  <c r="AC630" i="1"/>
  <c r="AD631" i="1" l="1"/>
  <c r="AH631" i="1"/>
  <c r="S633" i="1"/>
  <c r="U632" i="1"/>
  <c r="V632" i="1" s="1"/>
  <c r="Z632" i="1"/>
  <c r="X632" i="1"/>
  <c r="Y632" i="1"/>
  <c r="T632" i="1"/>
  <c r="W632" i="1"/>
  <c r="AA631" i="1"/>
  <c r="AE631" i="1"/>
  <c r="AG631" i="1"/>
  <c r="AC631" i="1"/>
  <c r="AF631" i="1"/>
  <c r="AB631" i="1"/>
  <c r="T633" i="1" l="1"/>
  <c r="S634" i="1"/>
  <c r="U633" i="1"/>
  <c r="V633" i="1" s="1"/>
  <c r="Y633" i="1"/>
  <c r="Z633" i="1"/>
  <c r="X633" i="1"/>
  <c r="W633" i="1"/>
  <c r="AC632" i="1"/>
  <c r="AG632" i="1"/>
  <c r="AF632" i="1"/>
  <c r="AB632" i="1"/>
  <c r="AE632" i="1"/>
  <c r="AA632" i="1"/>
  <c r="AH632" i="1"/>
  <c r="AD632" i="1"/>
  <c r="AC633" i="1" l="1"/>
  <c r="AG633" i="1"/>
  <c r="AE633" i="1"/>
  <c r="AA633" i="1"/>
  <c r="AB633" i="1"/>
  <c r="AF633" i="1"/>
  <c r="T634" i="1"/>
  <c r="S635" i="1"/>
  <c r="W634" i="1"/>
  <c r="Y634" i="1"/>
  <c r="X634" i="1"/>
  <c r="Z634" i="1"/>
  <c r="U634" i="1"/>
  <c r="V634" i="1" s="1"/>
  <c r="AH633" i="1"/>
  <c r="AD633" i="1"/>
  <c r="U635" i="1" l="1"/>
  <c r="V635" i="1" s="1"/>
  <c r="Z635" i="1"/>
  <c r="Y635" i="1"/>
  <c r="W635" i="1"/>
  <c r="X635" i="1"/>
  <c r="S636" i="1"/>
  <c r="T635" i="1"/>
  <c r="AD634" i="1"/>
  <c r="AH634" i="1"/>
  <c r="AB634" i="1"/>
  <c r="AF634" i="1"/>
  <c r="AG634" i="1"/>
  <c r="AC634" i="1"/>
  <c r="AA634" i="1"/>
  <c r="AE634" i="1"/>
  <c r="AE635" i="1" l="1"/>
  <c r="AA635" i="1"/>
  <c r="AG635" i="1"/>
  <c r="AC635" i="1"/>
  <c r="X636" i="1"/>
  <c r="S637" i="1"/>
  <c r="Y636" i="1"/>
  <c r="W636" i="1"/>
  <c r="U636" i="1"/>
  <c r="V636" i="1" s="1"/>
  <c r="Z636" i="1"/>
  <c r="T636" i="1"/>
  <c r="AD635" i="1"/>
  <c r="AH635" i="1"/>
  <c r="AB635" i="1"/>
  <c r="AF635" i="1"/>
  <c r="AE636" i="1" l="1"/>
  <c r="AA636" i="1"/>
  <c r="AG636" i="1"/>
  <c r="AC636" i="1"/>
  <c r="AH636" i="1"/>
  <c r="AD636" i="1"/>
  <c r="Y637" i="1"/>
  <c r="T637" i="1"/>
  <c r="X637" i="1"/>
  <c r="U637" i="1"/>
  <c r="V637" i="1" s="1"/>
  <c r="Z637" i="1"/>
  <c r="S638" i="1"/>
  <c r="W637" i="1"/>
  <c r="AF636" i="1"/>
  <c r="AB636" i="1"/>
  <c r="X638" i="1" l="1"/>
  <c r="Z638" i="1"/>
  <c r="U638" i="1"/>
  <c r="V638" i="1" s="1"/>
  <c r="S639" i="1"/>
  <c r="T638" i="1"/>
  <c r="Y638" i="1"/>
  <c r="W638" i="1"/>
  <c r="AG637" i="1"/>
  <c r="AC637" i="1"/>
  <c r="AD637" i="1"/>
  <c r="AH637" i="1"/>
  <c r="AE637" i="1"/>
  <c r="AA637" i="1"/>
  <c r="AF637" i="1"/>
  <c r="AB637" i="1"/>
  <c r="S640" i="1" l="1"/>
  <c r="T639" i="1"/>
  <c r="Y639" i="1"/>
  <c r="Z639" i="1"/>
  <c r="X639" i="1"/>
  <c r="U639" i="1"/>
  <c r="V639" i="1" s="1"/>
  <c r="W639" i="1"/>
  <c r="AC638" i="1"/>
  <c r="AG638" i="1"/>
  <c r="AD638" i="1"/>
  <c r="AH638" i="1"/>
  <c r="AE638" i="1"/>
  <c r="AA638" i="1"/>
  <c r="AB638" i="1"/>
  <c r="AF638" i="1"/>
  <c r="AH639" i="1" l="1"/>
  <c r="AD639" i="1"/>
  <c r="AA639" i="1"/>
  <c r="AE639" i="1"/>
  <c r="AC639" i="1"/>
  <c r="AG639" i="1"/>
  <c r="AF639" i="1"/>
  <c r="AB639" i="1"/>
  <c r="S641" i="1"/>
  <c r="X640" i="1"/>
  <c r="Y640" i="1"/>
  <c r="U640" i="1"/>
  <c r="V640" i="1" s="1"/>
  <c r="W640" i="1"/>
  <c r="Z640" i="1"/>
  <c r="T640" i="1"/>
  <c r="AC640" i="1" l="1"/>
  <c r="AG640" i="1"/>
  <c r="AD640" i="1"/>
  <c r="AH640" i="1"/>
  <c r="AB640" i="1"/>
  <c r="AF640" i="1"/>
  <c r="AA640" i="1"/>
  <c r="AE640" i="1"/>
  <c r="S642" i="1"/>
  <c r="X641" i="1"/>
  <c r="T641" i="1"/>
  <c r="Z641" i="1"/>
  <c r="U641" i="1"/>
  <c r="V641" i="1" s="1"/>
  <c r="Y641" i="1"/>
  <c r="W641" i="1"/>
  <c r="AH641" i="1" l="1"/>
  <c r="AD641" i="1"/>
  <c r="AA641" i="1"/>
  <c r="AE641" i="1"/>
  <c r="AG641" i="1"/>
  <c r="AC641" i="1"/>
  <c r="AF641" i="1"/>
  <c r="AB641" i="1"/>
  <c r="W642" i="1"/>
  <c r="Z642" i="1"/>
  <c r="Y642" i="1"/>
  <c r="T642" i="1"/>
  <c r="X642" i="1"/>
  <c r="U642" i="1"/>
  <c r="V642" i="1" s="1"/>
  <c r="S643" i="1"/>
  <c r="W643" i="1" l="1"/>
  <c r="T643" i="1"/>
  <c r="Z643" i="1"/>
  <c r="Y643" i="1"/>
  <c r="U643" i="1"/>
  <c r="V643" i="1" s="1"/>
  <c r="X643" i="1"/>
  <c r="S644" i="1"/>
  <c r="AC642" i="1"/>
  <c r="AG642" i="1"/>
  <c r="AH642" i="1"/>
  <c r="AD642" i="1"/>
  <c r="AB642" i="1"/>
  <c r="AF642" i="1"/>
  <c r="AE642" i="1"/>
  <c r="AA642" i="1"/>
  <c r="AC643" i="1" l="1"/>
  <c r="AG643" i="1"/>
  <c r="Z644" i="1"/>
  <c r="Y644" i="1"/>
  <c r="U644" i="1"/>
  <c r="V644" i="1" s="1"/>
  <c r="W644" i="1"/>
  <c r="S645" i="1"/>
  <c r="T644" i="1"/>
  <c r="X644" i="1"/>
  <c r="AD643" i="1"/>
  <c r="AH643" i="1"/>
  <c r="AB643" i="1"/>
  <c r="AF643" i="1"/>
  <c r="AA643" i="1"/>
  <c r="AE643" i="1"/>
  <c r="AG644" i="1" l="1"/>
  <c r="AC644" i="1"/>
  <c r="T645" i="1"/>
  <c r="U645" i="1"/>
  <c r="V645" i="1" s="1"/>
  <c r="W645" i="1"/>
  <c r="Y645" i="1"/>
  <c r="X645" i="1"/>
  <c r="S646" i="1"/>
  <c r="Z645" i="1"/>
  <c r="AH644" i="1"/>
  <c r="AD644" i="1"/>
  <c r="AA644" i="1"/>
  <c r="AE644" i="1"/>
  <c r="AB644" i="1"/>
  <c r="AF644" i="1"/>
  <c r="X646" i="1" l="1"/>
  <c r="S647" i="1"/>
  <c r="Z646" i="1"/>
  <c r="U646" i="1"/>
  <c r="V646" i="1" s="1"/>
  <c r="Y646" i="1"/>
  <c r="T646" i="1"/>
  <c r="W646" i="1"/>
  <c r="AB645" i="1"/>
  <c r="AF645" i="1"/>
  <c r="AG645" i="1"/>
  <c r="AC645" i="1"/>
  <c r="AD645" i="1"/>
  <c r="AH645" i="1"/>
  <c r="AA645" i="1"/>
  <c r="AE645" i="1"/>
  <c r="AE646" i="1" l="1"/>
  <c r="AA646" i="1"/>
  <c r="AD646" i="1"/>
  <c r="AH646" i="1"/>
  <c r="T647" i="1"/>
  <c r="Z647" i="1"/>
  <c r="S648" i="1"/>
  <c r="X647" i="1"/>
  <c r="U647" i="1"/>
  <c r="V647" i="1" s="1"/>
  <c r="W647" i="1"/>
  <c r="Y647" i="1"/>
  <c r="AC646" i="1"/>
  <c r="AG646" i="1"/>
  <c r="AB646" i="1"/>
  <c r="AF646" i="1"/>
  <c r="AB647" i="1" l="1"/>
  <c r="AF647" i="1"/>
  <c r="S649" i="1"/>
  <c r="Y648" i="1"/>
  <c r="T648" i="1"/>
  <c r="X648" i="1"/>
  <c r="W648" i="1"/>
  <c r="U648" i="1"/>
  <c r="V648" i="1" s="1"/>
  <c r="Z648" i="1"/>
  <c r="AC647" i="1"/>
  <c r="AG647" i="1"/>
  <c r="AA647" i="1"/>
  <c r="AE647" i="1"/>
  <c r="AH647" i="1"/>
  <c r="AD647" i="1"/>
  <c r="AG648" i="1" l="1"/>
  <c r="AC648" i="1"/>
  <c r="AA648" i="1"/>
  <c r="AE648" i="1"/>
  <c r="Z649" i="1"/>
  <c r="S650" i="1"/>
  <c r="W649" i="1"/>
  <c r="U649" i="1"/>
  <c r="V649" i="1" s="1"/>
  <c r="X649" i="1"/>
  <c r="T649" i="1"/>
  <c r="Y649" i="1"/>
  <c r="AB648" i="1"/>
  <c r="AF648" i="1"/>
  <c r="AD648" i="1"/>
  <c r="AH648" i="1"/>
  <c r="AD649" i="1" l="1"/>
  <c r="AH649" i="1"/>
  <c r="AG649" i="1"/>
  <c r="AC649" i="1"/>
  <c r="AA649" i="1"/>
  <c r="AE649" i="1"/>
  <c r="Z650" i="1"/>
  <c r="Y650" i="1"/>
  <c r="W650" i="1"/>
  <c r="X650" i="1"/>
  <c r="T650" i="1"/>
  <c r="S651" i="1"/>
  <c r="U650" i="1"/>
  <c r="V650" i="1" s="1"/>
  <c r="AF649" i="1"/>
  <c r="AB649" i="1"/>
  <c r="U651" i="1" l="1"/>
  <c r="V651" i="1" s="1"/>
  <c r="W651" i="1"/>
  <c r="T651" i="1"/>
  <c r="S652" i="1"/>
  <c r="Y651" i="1"/>
  <c r="X651" i="1"/>
  <c r="Z651" i="1"/>
  <c r="AC650" i="1"/>
  <c r="AG650" i="1"/>
  <c r="AD650" i="1"/>
  <c r="AH650" i="1"/>
  <c r="AB650" i="1"/>
  <c r="AF650" i="1"/>
  <c r="AA650" i="1"/>
  <c r="AE650" i="1"/>
  <c r="Y652" i="1" l="1"/>
  <c r="Z652" i="1"/>
  <c r="X652" i="1"/>
  <c r="W652" i="1"/>
  <c r="U652" i="1"/>
  <c r="V652" i="1" s="1"/>
  <c r="S653" i="1"/>
  <c r="T652" i="1"/>
  <c r="AD651" i="1"/>
  <c r="AH651" i="1"/>
  <c r="AB651" i="1"/>
  <c r="AF651" i="1"/>
  <c r="AE651" i="1"/>
  <c r="AA651" i="1"/>
  <c r="AC651" i="1"/>
  <c r="AG651" i="1"/>
  <c r="AA652" i="1" l="1"/>
  <c r="AE652" i="1"/>
  <c r="AB652" i="1"/>
  <c r="AF652" i="1"/>
  <c r="S654" i="1"/>
  <c r="X653" i="1"/>
  <c r="U653" i="1"/>
  <c r="V653" i="1" s="1"/>
  <c r="W653" i="1"/>
  <c r="Z653" i="1"/>
  <c r="T653" i="1"/>
  <c r="Y653" i="1"/>
  <c r="AH652" i="1"/>
  <c r="AD652" i="1"/>
  <c r="AC652" i="1"/>
  <c r="AG652" i="1"/>
  <c r="AE653" i="1" l="1"/>
  <c r="AA653" i="1"/>
  <c r="AG653" i="1"/>
  <c r="AC653" i="1"/>
  <c r="AB653" i="1"/>
  <c r="AF653" i="1"/>
  <c r="AD653" i="1"/>
  <c r="AH653" i="1"/>
  <c r="X654" i="1"/>
  <c r="U654" i="1"/>
  <c r="V654" i="1" s="1"/>
  <c r="S655" i="1"/>
  <c r="T654" i="1"/>
  <c r="Z654" i="1"/>
  <c r="W654" i="1"/>
  <c r="Y654" i="1"/>
  <c r="AG654" i="1" l="1"/>
  <c r="AC654" i="1"/>
  <c r="Y655" i="1"/>
  <c r="U655" i="1"/>
  <c r="V655" i="1" s="1"/>
  <c r="T655" i="1"/>
  <c r="X655" i="1"/>
  <c r="S656" i="1"/>
  <c r="W655" i="1"/>
  <c r="Z655" i="1"/>
  <c r="AA654" i="1"/>
  <c r="AE654" i="1"/>
  <c r="AH654" i="1"/>
  <c r="AD654" i="1"/>
  <c r="AB654" i="1"/>
  <c r="AF654" i="1"/>
  <c r="AA655" i="1" l="1"/>
  <c r="AE655" i="1"/>
  <c r="S657" i="1"/>
  <c r="Y656" i="1"/>
  <c r="W656" i="1"/>
  <c r="Z656" i="1"/>
  <c r="U656" i="1"/>
  <c r="V656" i="1" s="1"/>
  <c r="X656" i="1"/>
  <c r="T656" i="1"/>
  <c r="AG655" i="1"/>
  <c r="AC655" i="1"/>
  <c r="AB655" i="1"/>
  <c r="AF655" i="1"/>
  <c r="AH655" i="1"/>
  <c r="AD655" i="1"/>
  <c r="AF656" i="1" l="1"/>
  <c r="AB656" i="1"/>
  <c r="AC656" i="1"/>
  <c r="AG656" i="1"/>
  <c r="S658" i="1"/>
  <c r="X657" i="1"/>
  <c r="Z657" i="1"/>
  <c r="T657" i="1"/>
  <c r="Y657" i="1"/>
  <c r="U657" i="1"/>
  <c r="V657" i="1" s="1"/>
  <c r="W657" i="1"/>
  <c r="AH656" i="1"/>
  <c r="AD656" i="1"/>
  <c r="AE656" i="1"/>
  <c r="AA656" i="1"/>
  <c r="AA657" i="1" l="1"/>
  <c r="AE657" i="1"/>
  <c r="AH657" i="1"/>
  <c r="AD657" i="1"/>
  <c r="AB657" i="1"/>
  <c r="AF657" i="1"/>
  <c r="AG657" i="1"/>
  <c r="AC657" i="1"/>
  <c r="U658" i="1"/>
  <c r="V658" i="1" s="1"/>
  <c r="T658" i="1"/>
  <c r="Z658" i="1"/>
  <c r="W658" i="1"/>
  <c r="S659" i="1"/>
  <c r="X658" i="1"/>
  <c r="Y658" i="1"/>
  <c r="AG658" i="1" l="1"/>
  <c r="AC658" i="1"/>
  <c r="AH658" i="1"/>
  <c r="AD658" i="1"/>
  <c r="AF658" i="1"/>
  <c r="AB658" i="1"/>
  <c r="AE658" i="1"/>
  <c r="AA658" i="1"/>
  <c r="X659" i="1"/>
  <c r="Z659" i="1"/>
  <c r="W659" i="1"/>
  <c r="S660" i="1"/>
  <c r="U659" i="1"/>
  <c r="V659" i="1" s="1"/>
  <c r="T659" i="1"/>
  <c r="Y659" i="1"/>
  <c r="X660" i="1" l="1"/>
  <c r="W660" i="1"/>
  <c r="Z660" i="1"/>
  <c r="Y660" i="1"/>
  <c r="T660" i="1"/>
  <c r="U660" i="1"/>
  <c r="V660" i="1" s="1"/>
  <c r="S661" i="1"/>
  <c r="AE659" i="1"/>
  <c r="AA659" i="1"/>
  <c r="AC659" i="1"/>
  <c r="AG659" i="1"/>
  <c r="AH659" i="1"/>
  <c r="AD659" i="1"/>
  <c r="AB659" i="1"/>
  <c r="AF659" i="1"/>
  <c r="AC660" i="1" l="1"/>
  <c r="AG660" i="1"/>
  <c r="T661" i="1"/>
  <c r="Y661" i="1"/>
  <c r="X661" i="1"/>
  <c r="S662" i="1"/>
  <c r="U661" i="1"/>
  <c r="V661" i="1" s="1"/>
  <c r="Z661" i="1"/>
  <c r="W661" i="1"/>
  <c r="AH660" i="1"/>
  <c r="AD660" i="1"/>
  <c r="AE660" i="1"/>
  <c r="AA660" i="1"/>
  <c r="AB660" i="1"/>
  <c r="AF660" i="1"/>
  <c r="AD661" i="1" l="1"/>
  <c r="AH661" i="1"/>
  <c r="AC661" i="1"/>
  <c r="AG661" i="1"/>
  <c r="W662" i="1"/>
  <c r="S663" i="1"/>
  <c r="T662" i="1"/>
  <c r="X662" i="1"/>
  <c r="Y662" i="1"/>
  <c r="Z662" i="1"/>
  <c r="U662" i="1"/>
  <c r="V662" i="1" s="1"/>
  <c r="AA661" i="1"/>
  <c r="AE661" i="1"/>
  <c r="AF661" i="1"/>
  <c r="AB661" i="1"/>
  <c r="AF662" i="1" l="1"/>
  <c r="AB662" i="1"/>
  <c r="T663" i="1"/>
  <c r="Y663" i="1"/>
  <c r="X663" i="1"/>
  <c r="Z663" i="1"/>
  <c r="S664" i="1"/>
  <c r="U663" i="1"/>
  <c r="V663" i="1" s="1"/>
  <c r="W663" i="1"/>
  <c r="AD662" i="1"/>
  <c r="AH662" i="1"/>
  <c r="AC662" i="1"/>
  <c r="AG662" i="1"/>
  <c r="AA662" i="1"/>
  <c r="AE662" i="1"/>
  <c r="U664" i="1" l="1"/>
  <c r="V664" i="1" s="1"/>
  <c r="Z664" i="1"/>
  <c r="T664" i="1"/>
  <c r="Y664" i="1"/>
  <c r="X664" i="1"/>
  <c r="S665" i="1"/>
  <c r="W664" i="1"/>
  <c r="AD663" i="1"/>
  <c r="AH663" i="1"/>
  <c r="AC663" i="1"/>
  <c r="AG663" i="1"/>
  <c r="AE663" i="1"/>
  <c r="AA663" i="1"/>
  <c r="AB663" i="1"/>
  <c r="AF663" i="1"/>
  <c r="AE664" i="1" l="1"/>
  <c r="AA664" i="1"/>
  <c r="W665" i="1"/>
  <c r="T665" i="1"/>
  <c r="X665" i="1"/>
  <c r="Y665" i="1"/>
  <c r="S666" i="1"/>
  <c r="U665" i="1"/>
  <c r="V665" i="1" s="1"/>
  <c r="Z665" i="1"/>
  <c r="AD664" i="1"/>
  <c r="AH664" i="1"/>
  <c r="AG664" i="1"/>
  <c r="AC664" i="1"/>
  <c r="AF664" i="1"/>
  <c r="AB664" i="1"/>
  <c r="S667" i="1" l="1"/>
  <c r="Y666" i="1"/>
  <c r="T666" i="1"/>
  <c r="Z666" i="1"/>
  <c r="X666" i="1"/>
  <c r="W666" i="1"/>
  <c r="U666" i="1"/>
  <c r="V666" i="1" s="1"/>
  <c r="AE665" i="1"/>
  <c r="AA665" i="1"/>
  <c r="AC665" i="1"/>
  <c r="AG665" i="1"/>
  <c r="AD665" i="1"/>
  <c r="AH665" i="1"/>
  <c r="AF665" i="1"/>
  <c r="AB665" i="1"/>
  <c r="AH666" i="1" l="1"/>
  <c r="AD666" i="1"/>
  <c r="AE666" i="1"/>
  <c r="AA666" i="1"/>
  <c r="AG666" i="1"/>
  <c r="AC666" i="1"/>
  <c r="AB666" i="1"/>
  <c r="AF666" i="1"/>
  <c r="Y667" i="1"/>
  <c r="S668" i="1"/>
  <c r="Z667" i="1"/>
  <c r="U667" i="1"/>
  <c r="V667" i="1" s="1"/>
  <c r="X667" i="1"/>
  <c r="T667" i="1"/>
  <c r="W667" i="1"/>
  <c r="AE667" i="1" l="1"/>
  <c r="AA667" i="1"/>
  <c r="AH667" i="1"/>
  <c r="AD667" i="1"/>
  <c r="S669" i="1"/>
  <c r="Z668" i="1"/>
  <c r="X668" i="1"/>
  <c r="Y668" i="1"/>
  <c r="U668" i="1"/>
  <c r="V668" i="1" s="1"/>
  <c r="W668" i="1"/>
  <c r="T668" i="1"/>
  <c r="AF667" i="1"/>
  <c r="AB667" i="1"/>
  <c r="AC667" i="1"/>
  <c r="AG667" i="1"/>
  <c r="AG668" i="1" l="1"/>
  <c r="AC668" i="1"/>
  <c r="AB668" i="1"/>
  <c r="AF668" i="1"/>
  <c r="AE668" i="1"/>
  <c r="AA668" i="1"/>
  <c r="AD668" i="1"/>
  <c r="AH668" i="1"/>
  <c r="Z669" i="1"/>
  <c r="W669" i="1"/>
  <c r="Y669" i="1"/>
  <c r="U669" i="1"/>
  <c r="V669" i="1" s="1"/>
  <c r="T669" i="1"/>
  <c r="X669" i="1"/>
  <c r="S670" i="1"/>
  <c r="X670" i="1" l="1"/>
  <c r="S671" i="1"/>
  <c r="Y670" i="1"/>
  <c r="U670" i="1"/>
  <c r="V670" i="1" s="1"/>
  <c r="T670" i="1"/>
  <c r="W670" i="1"/>
  <c r="Z670" i="1"/>
  <c r="AF669" i="1"/>
  <c r="AB669" i="1"/>
  <c r="AA669" i="1"/>
  <c r="AE669" i="1"/>
  <c r="AC669" i="1"/>
  <c r="AG669" i="1"/>
  <c r="AD669" i="1"/>
  <c r="AH669" i="1"/>
  <c r="AD670" i="1" l="1"/>
  <c r="AH670" i="1"/>
  <c r="AC670" i="1"/>
  <c r="AG670" i="1"/>
  <c r="AE670" i="1"/>
  <c r="AA670" i="1"/>
  <c r="X671" i="1"/>
  <c r="W671" i="1"/>
  <c r="S672" i="1"/>
  <c r="Z671" i="1"/>
  <c r="Y671" i="1"/>
  <c r="U671" i="1"/>
  <c r="V671" i="1" s="1"/>
  <c r="T671" i="1"/>
  <c r="AB670" i="1"/>
  <c r="AF670" i="1"/>
  <c r="AA671" i="1" l="1"/>
  <c r="AE671" i="1"/>
  <c r="AC671" i="1"/>
  <c r="AG671" i="1"/>
  <c r="AF671" i="1"/>
  <c r="AB671" i="1"/>
  <c r="AH671" i="1"/>
  <c r="AD671" i="1"/>
  <c r="T672" i="1"/>
  <c r="Y672" i="1"/>
  <c r="X672" i="1"/>
  <c r="U672" i="1"/>
  <c r="V672" i="1" s="1"/>
  <c r="W672" i="1"/>
  <c r="S673" i="1"/>
  <c r="Z672" i="1"/>
  <c r="AD672" i="1" l="1"/>
  <c r="AH672" i="1"/>
  <c r="AB672" i="1"/>
  <c r="AF672" i="1"/>
  <c r="Z673" i="1"/>
  <c r="X673" i="1"/>
  <c r="Y673" i="1"/>
  <c r="S674" i="1"/>
  <c r="W673" i="1"/>
  <c r="U673" i="1"/>
  <c r="V673" i="1" s="1"/>
  <c r="T673" i="1"/>
  <c r="AG672" i="1"/>
  <c r="AC672" i="1"/>
  <c r="AE672" i="1"/>
  <c r="AA672" i="1"/>
  <c r="AC673" i="1" l="1"/>
  <c r="AG673" i="1"/>
  <c r="AF673" i="1"/>
  <c r="AB673" i="1"/>
  <c r="W674" i="1"/>
  <c r="U674" i="1"/>
  <c r="V674" i="1" s="1"/>
  <c r="S675" i="1"/>
  <c r="Y674" i="1"/>
  <c r="Z674" i="1"/>
  <c r="X674" i="1"/>
  <c r="T674" i="1"/>
  <c r="AE673" i="1"/>
  <c r="AA673" i="1"/>
  <c r="AH673" i="1"/>
  <c r="AD673" i="1"/>
  <c r="AC674" i="1" l="1"/>
  <c r="AG674" i="1"/>
  <c r="T675" i="1"/>
  <c r="Z675" i="1"/>
  <c r="Y675" i="1"/>
  <c r="S676" i="1"/>
  <c r="W675" i="1"/>
  <c r="X675" i="1"/>
  <c r="U675" i="1"/>
  <c r="V675" i="1" s="1"/>
  <c r="AB674" i="1"/>
  <c r="AF674" i="1"/>
  <c r="AH674" i="1"/>
  <c r="AD674" i="1"/>
  <c r="AE674" i="1"/>
  <c r="AA674" i="1"/>
  <c r="AA675" i="1" l="1"/>
  <c r="AE675" i="1"/>
  <c r="AF675" i="1"/>
  <c r="AB675" i="1"/>
  <c r="U676" i="1"/>
  <c r="V676" i="1" s="1"/>
  <c r="W676" i="1"/>
  <c r="X676" i="1"/>
  <c r="T676" i="1"/>
  <c r="S677" i="1"/>
  <c r="Y676" i="1"/>
  <c r="Z676" i="1"/>
  <c r="AH675" i="1"/>
  <c r="AD675" i="1"/>
  <c r="AC675" i="1"/>
  <c r="AG675" i="1"/>
  <c r="AD676" i="1" l="1"/>
  <c r="AH676" i="1"/>
  <c r="AF676" i="1"/>
  <c r="AB676" i="1"/>
  <c r="AG676" i="1"/>
  <c r="AC676" i="1"/>
  <c r="AE676" i="1"/>
  <c r="AA676" i="1"/>
  <c r="T677" i="1"/>
  <c r="Z677" i="1"/>
  <c r="S678" i="1"/>
  <c r="W677" i="1"/>
  <c r="Y677" i="1"/>
  <c r="X677" i="1"/>
  <c r="U677" i="1"/>
  <c r="V677" i="1" s="1"/>
  <c r="AG677" i="1" l="1"/>
  <c r="AC677" i="1"/>
  <c r="AE677" i="1"/>
  <c r="AA677" i="1"/>
  <c r="W678" i="1"/>
  <c r="X678" i="1"/>
  <c r="U678" i="1"/>
  <c r="V678" i="1" s="1"/>
  <c r="S679" i="1"/>
  <c r="T678" i="1"/>
  <c r="Y678" i="1"/>
  <c r="Z678" i="1"/>
  <c r="AB677" i="1"/>
  <c r="AF677" i="1"/>
  <c r="AH677" i="1"/>
  <c r="AD677" i="1"/>
  <c r="AH678" i="1" l="1"/>
  <c r="AD678" i="1"/>
  <c r="Z679" i="1"/>
  <c r="U679" i="1"/>
  <c r="V679" i="1" s="1"/>
  <c r="T679" i="1"/>
  <c r="X679" i="1"/>
  <c r="S680" i="1"/>
  <c r="Y679" i="1"/>
  <c r="W679" i="1"/>
  <c r="AC678" i="1"/>
  <c r="AG678" i="1"/>
  <c r="AB678" i="1"/>
  <c r="AF678" i="1"/>
  <c r="AA678" i="1"/>
  <c r="AE678" i="1"/>
  <c r="AG679" i="1" l="1"/>
  <c r="AC679" i="1"/>
  <c r="X680" i="1"/>
  <c r="U680" i="1"/>
  <c r="V680" i="1" s="1"/>
  <c r="W680" i="1"/>
  <c r="Z680" i="1"/>
  <c r="S681" i="1"/>
  <c r="Y680" i="1"/>
  <c r="T680" i="1"/>
  <c r="AD679" i="1"/>
  <c r="AH679" i="1"/>
  <c r="AF679" i="1"/>
  <c r="AB679" i="1"/>
  <c r="AE679" i="1"/>
  <c r="AA679" i="1"/>
  <c r="AG680" i="1" l="1"/>
  <c r="AC680" i="1"/>
  <c r="Z681" i="1"/>
  <c r="T681" i="1"/>
  <c r="Y681" i="1"/>
  <c r="W681" i="1"/>
  <c r="U681" i="1"/>
  <c r="V681" i="1" s="1"/>
  <c r="S682" i="1"/>
  <c r="X681" i="1"/>
  <c r="AB680" i="1"/>
  <c r="AF680" i="1"/>
  <c r="AH680" i="1"/>
  <c r="AD680" i="1"/>
  <c r="AA680" i="1"/>
  <c r="AE680" i="1"/>
  <c r="W682" i="1" l="1"/>
  <c r="X682" i="1"/>
  <c r="Z682" i="1"/>
  <c r="T682" i="1"/>
  <c r="Y682" i="1"/>
  <c r="S683" i="1"/>
  <c r="U682" i="1"/>
  <c r="V682" i="1" s="1"/>
  <c r="AD681" i="1"/>
  <c r="AH681" i="1"/>
  <c r="AE681" i="1"/>
  <c r="AA681" i="1"/>
  <c r="AB681" i="1"/>
  <c r="AF681" i="1"/>
  <c r="AC681" i="1"/>
  <c r="AG681" i="1"/>
  <c r="AD682" i="1" l="1"/>
  <c r="AH682" i="1"/>
  <c r="T683" i="1"/>
  <c r="Z683" i="1"/>
  <c r="X683" i="1"/>
  <c r="Y683" i="1"/>
  <c r="S684" i="1"/>
  <c r="U683" i="1"/>
  <c r="V683" i="1" s="1"/>
  <c r="W683" i="1"/>
  <c r="AB682" i="1"/>
  <c r="AF682" i="1"/>
  <c r="AC682" i="1"/>
  <c r="AG682" i="1"/>
  <c r="AE682" i="1"/>
  <c r="AA682" i="1"/>
  <c r="AH683" i="1" l="1"/>
  <c r="AD683" i="1"/>
  <c r="X684" i="1"/>
  <c r="T684" i="1"/>
  <c r="W684" i="1"/>
  <c r="Y684" i="1"/>
  <c r="S685" i="1"/>
  <c r="U684" i="1"/>
  <c r="V684" i="1" s="1"/>
  <c r="Z684" i="1"/>
  <c r="AC683" i="1"/>
  <c r="AG683" i="1"/>
  <c r="AA683" i="1"/>
  <c r="AE683" i="1"/>
  <c r="AF683" i="1"/>
  <c r="AB683" i="1"/>
  <c r="S686" i="1" l="1"/>
  <c r="Y685" i="1"/>
  <c r="U685" i="1"/>
  <c r="V685" i="1" s="1"/>
  <c r="Z685" i="1"/>
  <c r="T685" i="1"/>
  <c r="X685" i="1"/>
  <c r="W685" i="1"/>
  <c r="AB684" i="1"/>
  <c r="AF684" i="1"/>
  <c r="AC684" i="1"/>
  <c r="AG684" i="1"/>
  <c r="AD684" i="1"/>
  <c r="AH684" i="1"/>
  <c r="AA684" i="1"/>
  <c r="AE684" i="1"/>
  <c r="AD685" i="1" l="1"/>
  <c r="AH685" i="1"/>
  <c r="AA685" i="1"/>
  <c r="AE685" i="1"/>
  <c r="AB685" i="1"/>
  <c r="AF685" i="1"/>
  <c r="AC685" i="1"/>
  <c r="AG685" i="1"/>
  <c r="S687" i="1"/>
  <c r="T686" i="1"/>
  <c r="W686" i="1"/>
  <c r="U686" i="1"/>
  <c r="V686" i="1" s="1"/>
  <c r="Z686" i="1"/>
  <c r="X686" i="1"/>
  <c r="Y686" i="1"/>
  <c r="AD686" i="1" l="1"/>
  <c r="AH686" i="1"/>
  <c r="AG686" i="1"/>
  <c r="AC686" i="1"/>
  <c r="AE686" i="1"/>
  <c r="AA686" i="1"/>
  <c r="AF686" i="1"/>
  <c r="AB686" i="1"/>
  <c r="W687" i="1"/>
  <c r="S688" i="1"/>
  <c r="U687" i="1"/>
  <c r="V687" i="1" s="1"/>
  <c r="T687" i="1"/>
  <c r="Y687" i="1"/>
  <c r="X687" i="1"/>
  <c r="Z687" i="1"/>
  <c r="AD687" i="1" l="1"/>
  <c r="AH687" i="1"/>
  <c r="Z688" i="1"/>
  <c r="W688" i="1"/>
  <c r="Y688" i="1"/>
  <c r="S689" i="1"/>
  <c r="T688" i="1"/>
  <c r="X688" i="1"/>
  <c r="U688" i="1"/>
  <c r="V688" i="1" s="1"/>
  <c r="AB687" i="1"/>
  <c r="AF687" i="1"/>
  <c r="AG687" i="1"/>
  <c r="AC687" i="1"/>
  <c r="AE687" i="1"/>
  <c r="AA687" i="1"/>
  <c r="AB688" i="1" l="1"/>
  <c r="AF688" i="1"/>
  <c r="AA688" i="1"/>
  <c r="AE688" i="1"/>
  <c r="AH688" i="1"/>
  <c r="AD688" i="1"/>
  <c r="U689" i="1"/>
  <c r="V689" i="1" s="1"/>
  <c r="W689" i="1"/>
  <c r="Y689" i="1"/>
  <c r="X689" i="1"/>
  <c r="T689" i="1"/>
  <c r="S690" i="1"/>
  <c r="Z689" i="1"/>
  <c r="AC688" i="1"/>
  <c r="AG688" i="1"/>
  <c r="U690" i="1" l="1"/>
  <c r="V690" i="1" s="1"/>
  <c r="X690" i="1"/>
  <c r="W690" i="1"/>
  <c r="S691" i="1"/>
  <c r="T690" i="1"/>
  <c r="Y690" i="1"/>
  <c r="Z690" i="1"/>
  <c r="AA689" i="1"/>
  <c r="AE689" i="1"/>
  <c r="AB689" i="1"/>
  <c r="AF689" i="1"/>
  <c r="AH689" i="1"/>
  <c r="AD689" i="1"/>
  <c r="AC689" i="1"/>
  <c r="AG689" i="1"/>
  <c r="AH690" i="1" l="1"/>
  <c r="AD690" i="1"/>
  <c r="AE690" i="1"/>
  <c r="AA690" i="1"/>
  <c r="U691" i="1"/>
  <c r="V691" i="1" s="1"/>
  <c r="T691" i="1"/>
  <c r="Y691" i="1"/>
  <c r="Z691" i="1"/>
  <c r="X691" i="1"/>
  <c r="S692" i="1"/>
  <c r="W691" i="1"/>
  <c r="AC690" i="1"/>
  <c r="AG690" i="1"/>
  <c r="AB690" i="1"/>
  <c r="AF690" i="1"/>
  <c r="AH691" i="1" l="1"/>
  <c r="AD691" i="1"/>
  <c r="AA691" i="1"/>
  <c r="AE691" i="1"/>
  <c r="AG691" i="1"/>
  <c r="AC691" i="1"/>
  <c r="Y692" i="1"/>
  <c r="S693" i="1"/>
  <c r="U692" i="1"/>
  <c r="V692" i="1" s="1"/>
  <c r="T692" i="1"/>
  <c r="Z692" i="1"/>
  <c r="X692" i="1"/>
  <c r="W692" i="1"/>
  <c r="AF691" i="1"/>
  <c r="AB691" i="1"/>
  <c r="S694" i="1" l="1"/>
  <c r="Y693" i="1"/>
  <c r="W693" i="1"/>
  <c r="Z693" i="1"/>
  <c r="X693" i="1"/>
  <c r="T693" i="1"/>
  <c r="U693" i="1"/>
  <c r="V693" i="1" s="1"/>
  <c r="AD692" i="1"/>
  <c r="AH692" i="1"/>
  <c r="AC692" i="1"/>
  <c r="AG692" i="1"/>
  <c r="AB692" i="1"/>
  <c r="AF692" i="1"/>
  <c r="AA692" i="1"/>
  <c r="AE692" i="1"/>
  <c r="AE693" i="1" l="1"/>
  <c r="AA693" i="1"/>
  <c r="AG693" i="1"/>
  <c r="AC693" i="1"/>
  <c r="AH693" i="1"/>
  <c r="AD693" i="1"/>
  <c r="AF693" i="1"/>
  <c r="AB693" i="1"/>
  <c r="S695" i="1"/>
  <c r="Y694" i="1"/>
  <c r="Z694" i="1"/>
  <c r="W694" i="1"/>
  <c r="X694" i="1"/>
  <c r="U694" i="1"/>
  <c r="V694" i="1" s="1"/>
  <c r="T694" i="1"/>
  <c r="AH694" i="1" l="1"/>
  <c r="AD694" i="1"/>
  <c r="AG694" i="1"/>
  <c r="AC694" i="1"/>
  <c r="AA694" i="1"/>
  <c r="AE694" i="1"/>
  <c r="AF694" i="1"/>
  <c r="AB694" i="1"/>
  <c r="W695" i="1"/>
  <c r="U695" i="1"/>
  <c r="V695" i="1" s="1"/>
  <c r="Y695" i="1"/>
  <c r="Z695" i="1"/>
  <c r="X695" i="1"/>
  <c r="T695" i="1"/>
  <c r="S696" i="1"/>
  <c r="U696" i="1" l="1"/>
  <c r="V696" i="1" s="1"/>
  <c r="S697" i="1"/>
  <c r="Z696" i="1"/>
  <c r="X696" i="1"/>
  <c r="T696" i="1"/>
  <c r="Y696" i="1"/>
  <c r="W696" i="1"/>
  <c r="AC695" i="1"/>
  <c r="AG695" i="1"/>
  <c r="AD695" i="1"/>
  <c r="AH695" i="1"/>
  <c r="AF695" i="1"/>
  <c r="AB695" i="1"/>
  <c r="AA695" i="1"/>
  <c r="AE695" i="1"/>
  <c r="AB696" i="1" l="1"/>
  <c r="AF696" i="1"/>
  <c r="AE696" i="1"/>
  <c r="AA696" i="1"/>
  <c r="AH696" i="1"/>
  <c r="AD696" i="1"/>
  <c r="AC696" i="1"/>
  <c r="AG696" i="1"/>
  <c r="Y697" i="1"/>
  <c r="W697" i="1"/>
  <c r="T697" i="1"/>
  <c r="X697" i="1"/>
  <c r="S698" i="1"/>
  <c r="Z697" i="1"/>
  <c r="U697" i="1"/>
  <c r="V697" i="1" s="1"/>
  <c r="AH697" i="1" l="1"/>
  <c r="AD697" i="1"/>
  <c r="AE697" i="1"/>
  <c r="AA697" i="1"/>
  <c r="AF697" i="1"/>
  <c r="AB697" i="1"/>
  <c r="Y698" i="1"/>
  <c r="U698" i="1"/>
  <c r="V698" i="1" s="1"/>
  <c r="W698" i="1"/>
  <c r="Z698" i="1"/>
  <c r="T698" i="1"/>
  <c r="S699" i="1"/>
  <c r="X698" i="1"/>
  <c r="AG697" i="1"/>
  <c r="AC697" i="1"/>
  <c r="AG698" i="1" l="1"/>
  <c r="AC698" i="1"/>
  <c r="AD698" i="1"/>
  <c r="AH698" i="1"/>
  <c r="U699" i="1"/>
  <c r="V699" i="1" s="1"/>
  <c r="W699" i="1"/>
  <c r="T699" i="1"/>
  <c r="Z699" i="1"/>
  <c r="Y699" i="1"/>
  <c r="X699" i="1"/>
  <c r="S700" i="1"/>
  <c r="AB698" i="1"/>
  <c r="AF698" i="1"/>
  <c r="AA698" i="1"/>
  <c r="AE698" i="1"/>
  <c r="AH699" i="1" l="1"/>
  <c r="AD699" i="1"/>
  <c r="X700" i="1"/>
  <c r="Y700" i="1"/>
  <c r="U700" i="1"/>
  <c r="V700" i="1" s="1"/>
  <c r="W700" i="1"/>
  <c r="Z700" i="1"/>
  <c r="T700" i="1"/>
  <c r="S701" i="1"/>
  <c r="AB699" i="1"/>
  <c r="AF699" i="1"/>
  <c r="AA699" i="1"/>
  <c r="AE699" i="1"/>
  <c r="AC699" i="1"/>
  <c r="AG699" i="1"/>
  <c r="AF700" i="1" l="1"/>
  <c r="AB700" i="1"/>
  <c r="AH700" i="1"/>
  <c r="AD700" i="1"/>
  <c r="AA700" i="1"/>
  <c r="AE700" i="1"/>
  <c r="AC700" i="1"/>
  <c r="AG700" i="1"/>
  <c r="Z701" i="1"/>
  <c r="W701" i="1"/>
  <c r="X701" i="1"/>
  <c r="T701" i="1"/>
  <c r="U701" i="1"/>
  <c r="V701" i="1" s="1"/>
  <c r="Y701" i="1"/>
  <c r="S702" i="1"/>
  <c r="U702" i="1" l="1"/>
  <c r="V702" i="1" s="1"/>
  <c r="W702" i="1"/>
  <c r="Y702" i="1"/>
  <c r="Z702" i="1"/>
  <c r="S703" i="1"/>
  <c r="X702" i="1"/>
  <c r="T702" i="1"/>
  <c r="AB701" i="1"/>
  <c r="AF701" i="1"/>
  <c r="AC701" i="1"/>
  <c r="AG701" i="1"/>
  <c r="AE701" i="1"/>
  <c r="AA701" i="1"/>
  <c r="AD701" i="1"/>
  <c r="AH701" i="1"/>
  <c r="AC702" i="1" l="1"/>
  <c r="AG702" i="1"/>
  <c r="AH702" i="1"/>
  <c r="AD702" i="1"/>
  <c r="AB702" i="1"/>
  <c r="AF702" i="1"/>
  <c r="AA702" i="1"/>
  <c r="AE702" i="1"/>
  <c r="S704" i="1"/>
  <c r="T703" i="1"/>
  <c r="Y703" i="1"/>
  <c r="W703" i="1"/>
  <c r="X703" i="1"/>
  <c r="U703" i="1"/>
  <c r="V703" i="1" s="1"/>
  <c r="Z703" i="1"/>
  <c r="AA703" i="1" l="1"/>
  <c r="AE703" i="1"/>
  <c r="AH703" i="1"/>
  <c r="AD703" i="1"/>
  <c r="AC703" i="1"/>
  <c r="AG703" i="1"/>
  <c r="AF703" i="1"/>
  <c r="AB703" i="1"/>
  <c r="S705" i="1"/>
  <c r="Z704" i="1"/>
  <c r="W704" i="1"/>
  <c r="Y704" i="1"/>
  <c r="U704" i="1"/>
  <c r="V704" i="1" s="1"/>
  <c r="T704" i="1"/>
  <c r="X704" i="1"/>
  <c r="AF704" i="1" l="1"/>
  <c r="AB704" i="1"/>
  <c r="AA704" i="1"/>
  <c r="AE704" i="1"/>
  <c r="AC704" i="1"/>
  <c r="AG704" i="1"/>
  <c r="AH704" i="1"/>
  <c r="AD704" i="1"/>
  <c r="T705" i="1"/>
  <c r="S706" i="1"/>
  <c r="Z705" i="1"/>
  <c r="X705" i="1"/>
  <c r="Y705" i="1"/>
  <c r="W705" i="1"/>
  <c r="U705" i="1"/>
  <c r="V705" i="1" s="1"/>
  <c r="AB705" i="1" l="1"/>
  <c r="AF705" i="1"/>
  <c r="AH705" i="1"/>
  <c r="AD705" i="1"/>
  <c r="T706" i="1"/>
  <c r="Z706" i="1"/>
  <c r="W706" i="1"/>
  <c r="X706" i="1"/>
  <c r="U706" i="1"/>
  <c r="V706" i="1" s="1"/>
  <c r="S707" i="1"/>
  <c r="Y706" i="1"/>
  <c r="AA705" i="1"/>
  <c r="AE705" i="1"/>
  <c r="AG705" i="1"/>
  <c r="AC705" i="1"/>
  <c r="AB706" i="1" l="1"/>
  <c r="AF706" i="1"/>
  <c r="T707" i="1"/>
  <c r="W707" i="1"/>
  <c r="Z707" i="1"/>
  <c r="Y707" i="1"/>
  <c r="X707" i="1"/>
  <c r="S708" i="1"/>
  <c r="U707" i="1"/>
  <c r="V707" i="1" s="1"/>
  <c r="AD706" i="1"/>
  <c r="AH706" i="1"/>
  <c r="AC706" i="1"/>
  <c r="AG706" i="1"/>
  <c r="AA706" i="1"/>
  <c r="AE706" i="1"/>
  <c r="W708" i="1" l="1"/>
  <c r="Y708" i="1"/>
  <c r="S709" i="1"/>
  <c r="U708" i="1"/>
  <c r="V708" i="1" s="1"/>
  <c r="X708" i="1"/>
  <c r="T708" i="1"/>
  <c r="Z708" i="1"/>
  <c r="AC707" i="1"/>
  <c r="AG707" i="1"/>
  <c r="AA707" i="1"/>
  <c r="AE707" i="1"/>
  <c r="AF707" i="1"/>
  <c r="AB707" i="1"/>
  <c r="AH707" i="1"/>
  <c r="AD707" i="1"/>
  <c r="AD708" i="1" l="1"/>
  <c r="AH708" i="1"/>
  <c r="T709" i="1"/>
  <c r="Z709" i="1"/>
  <c r="X709" i="1"/>
  <c r="Y709" i="1"/>
  <c r="U709" i="1"/>
  <c r="V709" i="1" s="1"/>
  <c r="S710" i="1"/>
  <c r="W709" i="1"/>
  <c r="AC708" i="1"/>
  <c r="AG708" i="1"/>
  <c r="AF708" i="1"/>
  <c r="AB708" i="1"/>
  <c r="AA708" i="1"/>
  <c r="AE708" i="1"/>
  <c r="Z710" i="1" l="1"/>
  <c r="W710" i="1"/>
  <c r="U710" i="1"/>
  <c r="V710" i="1" s="1"/>
  <c r="X710" i="1"/>
  <c r="Y710" i="1"/>
  <c r="T710" i="1"/>
  <c r="S711" i="1"/>
  <c r="AE709" i="1"/>
  <c r="AA709" i="1"/>
  <c r="AH709" i="1"/>
  <c r="AD709" i="1"/>
  <c r="AG709" i="1"/>
  <c r="AC709" i="1"/>
  <c r="AB709" i="1"/>
  <c r="AF709" i="1"/>
  <c r="S712" i="1" l="1"/>
  <c r="X711" i="1"/>
  <c r="T711" i="1"/>
  <c r="Z711" i="1"/>
  <c r="W711" i="1"/>
  <c r="Y711" i="1"/>
  <c r="U711" i="1"/>
  <c r="V711" i="1" s="1"/>
  <c r="AE710" i="1"/>
  <c r="AA710" i="1"/>
  <c r="AF710" i="1"/>
  <c r="AB710" i="1"/>
  <c r="AC710" i="1"/>
  <c r="AG710" i="1"/>
  <c r="AD710" i="1"/>
  <c r="AH710" i="1"/>
  <c r="AC711" i="1" l="1"/>
  <c r="AG711" i="1"/>
  <c r="AF711" i="1"/>
  <c r="AB711" i="1"/>
  <c r="AE711" i="1"/>
  <c r="AA711" i="1"/>
  <c r="X712" i="1"/>
  <c r="U712" i="1"/>
  <c r="V712" i="1" s="1"/>
  <c r="W712" i="1"/>
  <c r="T712" i="1"/>
  <c r="Z712" i="1"/>
  <c r="Y712" i="1"/>
  <c r="S713" i="1"/>
  <c r="AH711" i="1"/>
  <c r="AD711" i="1"/>
  <c r="AD712" i="1" l="1"/>
  <c r="AH712" i="1"/>
  <c r="AB712" i="1"/>
  <c r="AF712" i="1"/>
  <c r="AG712" i="1"/>
  <c r="AC712" i="1"/>
  <c r="S714" i="1"/>
  <c r="X713" i="1"/>
  <c r="T713" i="1"/>
  <c r="W713" i="1"/>
  <c r="Y713" i="1"/>
  <c r="Z713" i="1"/>
  <c r="U713" i="1"/>
  <c r="V713" i="1" s="1"/>
  <c r="AA712" i="1"/>
  <c r="AE712" i="1"/>
  <c r="AH713" i="1" l="1"/>
  <c r="AD713" i="1"/>
  <c r="AC713" i="1"/>
  <c r="AG713" i="1"/>
  <c r="U714" i="1"/>
  <c r="V714" i="1" s="1"/>
  <c r="Y714" i="1"/>
  <c r="W714" i="1"/>
  <c r="T714" i="1"/>
  <c r="S715" i="1"/>
  <c r="X714" i="1"/>
  <c r="Z714" i="1"/>
  <c r="AA713" i="1"/>
  <c r="AE713" i="1"/>
  <c r="AF713" i="1"/>
  <c r="AB713" i="1"/>
  <c r="AB714" i="1" l="1"/>
  <c r="AF714" i="1"/>
  <c r="AH714" i="1"/>
  <c r="AD714" i="1"/>
  <c r="AE714" i="1"/>
  <c r="AA714" i="1"/>
  <c r="AC714" i="1"/>
  <c r="AG714" i="1"/>
  <c r="S716" i="1"/>
  <c r="Z715" i="1"/>
  <c r="X715" i="1"/>
  <c r="T715" i="1"/>
  <c r="W715" i="1"/>
  <c r="U715" i="1"/>
  <c r="V715" i="1" s="1"/>
  <c r="Y715" i="1"/>
  <c r="AG715" i="1" l="1"/>
  <c r="AC715" i="1"/>
  <c r="AF715" i="1"/>
  <c r="AB715" i="1"/>
  <c r="AH715" i="1"/>
  <c r="AD715" i="1"/>
  <c r="AA715" i="1"/>
  <c r="AE715" i="1"/>
  <c r="S717" i="1"/>
  <c r="W716" i="1"/>
  <c r="X716" i="1"/>
  <c r="Y716" i="1"/>
  <c r="T716" i="1"/>
  <c r="U716" i="1"/>
  <c r="V716" i="1" s="1"/>
  <c r="Z716" i="1"/>
  <c r="AH716" i="1" l="1"/>
  <c r="AD716" i="1"/>
  <c r="AA716" i="1"/>
  <c r="AE716" i="1"/>
  <c r="AC716" i="1"/>
  <c r="AG716" i="1"/>
  <c r="AF716" i="1"/>
  <c r="AB716" i="1"/>
  <c r="W717" i="1"/>
  <c r="S718" i="1"/>
  <c r="T717" i="1"/>
  <c r="X717" i="1"/>
  <c r="Y717" i="1"/>
  <c r="Z717" i="1"/>
  <c r="U717" i="1"/>
  <c r="V717" i="1" s="1"/>
  <c r="AB717" i="1" l="1"/>
  <c r="AF717" i="1"/>
  <c r="AD717" i="1"/>
  <c r="AH717" i="1"/>
  <c r="W718" i="1"/>
  <c r="X718" i="1"/>
  <c r="Z718" i="1"/>
  <c r="U718" i="1"/>
  <c r="V718" i="1" s="1"/>
  <c r="Y718" i="1"/>
  <c r="T718" i="1"/>
  <c r="S719" i="1"/>
  <c r="AC717" i="1"/>
  <c r="AG717" i="1"/>
  <c r="AE717" i="1"/>
  <c r="AA717" i="1"/>
  <c r="S720" i="1" l="1"/>
  <c r="Z719" i="1"/>
  <c r="W719" i="1"/>
  <c r="U719" i="1"/>
  <c r="V719" i="1" s="1"/>
  <c r="T719" i="1"/>
  <c r="Y719" i="1"/>
  <c r="X719" i="1"/>
  <c r="AH718" i="1"/>
  <c r="AD718" i="1"/>
  <c r="AF718" i="1"/>
  <c r="AB718" i="1"/>
  <c r="AC718" i="1"/>
  <c r="AG718" i="1"/>
  <c r="AA718" i="1"/>
  <c r="AE718" i="1"/>
  <c r="AB719" i="1" l="1"/>
  <c r="AF719" i="1"/>
  <c r="AA719" i="1"/>
  <c r="AE719" i="1"/>
  <c r="AC719" i="1"/>
  <c r="AG719" i="1"/>
  <c r="AH719" i="1"/>
  <c r="AD719" i="1"/>
  <c r="Z720" i="1"/>
  <c r="W720" i="1"/>
  <c r="U720" i="1"/>
  <c r="V720" i="1" s="1"/>
  <c r="Y720" i="1"/>
  <c r="T720" i="1"/>
  <c r="S721" i="1"/>
  <c r="X720" i="1"/>
  <c r="AC720" i="1" l="1"/>
  <c r="AG720" i="1"/>
  <c r="AB720" i="1"/>
  <c r="AF720" i="1"/>
  <c r="Y721" i="1"/>
  <c r="S722" i="1"/>
  <c r="U721" i="1"/>
  <c r="V721" i="1" s="1"/>
  <c r="X721" i="1"/>
  <c r="Z721" i="1"/>
  <c r="W721" i="1"/>
  <c r="T721" i="1"/>
  <c r="AE720" i="1"/>
  <c r="AA720" i="1"/>
  <c r="AD720" i="1"/>
  <c r="AH720" i="1"/>
  <c r="AA721" i="1" l="1"/>
  <c r="AE721" i="1"/>
  <c r="AF721" i="1"/>
  <c r="AB721" i="1"/>
  <c r="X722" i="1"/>
  <c r="Y722" i="1"/>
  <c r="Z722" i="1"/>
  <c r="T722" i="1"/>
  <c r="W722" i="1"/>
  <c r="S723" i="1"/>
  <c r="U722" i="1"/>
  <c r="V722" i="1" s="1"/>
  <c r="AH721" i="1"/>
  <c r="AD721" i="1"/>
  <c r="AC721" i="1"/>
  <c r="AG721" i="1"/>
  <c r="AH722" i="1" l="1"/>
  <c r="AD722" i="1"/>
  <c r="S724" i="1"/>
  <c r="W723" i="1"/>
  <c r="Z723" i="1"/>
  <c r="Y723" i="1"/>
  <c r="X723" i="1"/>
  <c r="T723" i="1"/>
  <c r="U723" i="1"/>
  <c r="V723" i="1" s="1"/>
  <c r="AG722" i="1"/>
  <c r="AC722" i="1"/>
  <c r="AE722" i="1"/>
  <c r="AA722" i="1"/>
  <c r="AF722" i="1"/>
  <c r="AB722" i="1"/>
  <c r="X724" i="1" l="1"/>
  <c r="S725" i="1"/>
  <c r="T724" i="1"/>
  <c r="U724" i="1"/>
  <c r="V724" i="1" s="1"/>
  <c r="Y724" i="1"/>
  <c r="Z724" i="1"/>
  <c r="W724" i="1"/>
  <c r="AG723" i="1"/>
  <c r="AC723" i="1"/>
  <c r="AA723" i="1"/>
  <c r="AE723" i="1"/>
  <c r="AF723" i="1"/>
  <c r="AB723" i="1"/>
  <c r="AD723" i="1"/>
  <c r="AH723" i="1"/>
  <c r="AA724" i="1" l="1"/>
  <c r="AE724" i="1"/>
  <c r="AD724" i="1"/>
  <c r="AH724" i="1"/>
  <c r="X725" i="1"/>
  <c r="U725" i="1"/>
  <c r="V725" i="1" s="1"/>
  <c r="T725" i="1"/>
  <c r="Z725" i="1"/>
  <c r="Y725" i="1"/>
  <c r="S726" i="1"/>
  <c r="W725" i="1"/>
  <c r="AC724" i="1"/>
  <c r="AG724" i="1"/>
  <c r="AF724" i="1"/>
  <c r="AB724" i="1"/>
  <c r="S727" i="1" l="1"/>
  <c r="W726" i="1"/>
  <c r="X726" i="1"/>
  <c r="U726" i="1"/>
  <c r="V726" i="1" s="1"/>
  <c r="Z726" i="1"/>
  <c r="Y726" i="1"/>
  <c r="T726" i="1"/>
  <c r="AH725" i="1"/>
  <c r="AD725" i="1"/>
  <c r="AA725" i="1"/>
  <c r="AE725" i="1"/>
  <c r="AC725" i="1"/>
  <c r="AG725" i="1"/>
  <c r="AB725" i="1"/>
  <c r="AF725" i="1"/>
  <c r="AF726" i="1" l="1"/>
  <c r="AB726" i="1"/>
  <c r="AC726" i="1"/>
  <c r="AG726" i="1"/>
  <c r="AE726" i="1"/>
  <c r="AA726" i="1"/>
  <c r="AH726" i="1"/>
  <c r="AD726" i="1"/>
  <c r="S728" i="1"/>
  <c r="U727" i="1"/>
  <c r="V727" i="1" s="1"/>
  <c r="Y727" i="1"/>
  <c r="Z727" i="1"/>
  <c r="W727" i="1"/>
  <c r="X727" i="1"/>
  <c r="T727" i="1"/>
  <c r="AE727" i="1" l="1"/>
  <c r="AA727" i="1"/>
  <c r="AD727" i="1"/>
  <c r="AH727" i="1"/>
  <c r="AG727" i="1"/>
  <c r="AC727" i="1"/>
  <c r="AB727" i="1"/>
  <c r="AF727" i="1"/>
  <c r="Z728" i="1"/>
  <c r="T728" i="1"/>
  <c r="S729" i="1"/>
  <c r="Y728" i="1"/>
  <c r="U728" i="1"/>
  <c r="V728" i="1" s="1"/>
  <c r="W728" i="1"/>
  <c r="X728" i="1"/>
  <c r="AC728" i="1" l="1"/>
  <c r="AG728" i="1"/>
  <c r="AF728" i="1"/>
  <c r="AB728" i="1"/>
  <c r="Y729" i="1"/>
  <c r="U729" i="1"/>
  <c r="V729" i="1" s="1"/>
  <c r="Z729" i="1"/>
  <c r="S730" i="1"/>
  <c r="X729" i="1"/>
  <c r="T729" i="1"/>
  <c r="W729" i="1"/>
  <c r="AE728" i="1"/>
  <c r="AA728" i="1"/>
  <c r="AD728" i="1"/>
  <c r="AH728" i="1"/>
  <c r="X730" i="1" l="1"/>
  <c r="Y730" i="1"/>
  <c r="S731" i="1"/>
  <c r="U730" i="1"/>
  <c r="V730" i="1" s="1"/>
  <c r="Z730" i="1"/>
  <c r="W730" i="1"/>
  <c r="T730" i="1"/>
  <c r="AA729" i="1"/>
  <c r="AE729" i="1"/>
  <c r="AD729" i="1"/>
  <c r="AH729" i="1"/>
  <c r="AB729" i="1"/>
  <c r="AF729" i="1"/>
  <c r="AG729" i="1"/>
  <c r="AC729" i="1"/>
  <c r="Y731" i="1" l="1"/>
  <c r="U731" i="1"/>
  <c r="V731" i="1" s="1"/>
  <c r="W731" i="1"/>
  <c r="T731" i="1"/>
  <c r="X731" i="1"/>
  <c r="S732" i="1"/>
  <c r="Z731" i="1"/>
  <c r="AE730" i="1"/>
  <c r="AA730" i="1"/>
  <c r="AC730" i="1"/>
  <c r="AG730" i="1"/>
  <c r="AD730" i="1"/>
  <c r="AH730" i="1"/>
  <c r="AF730" i="1"/>
  <c r="AB730" i="1"/>
  <c r="T732" i="1" l="1"/>
  <c r="X732" i="1"/>
  <c r="Y732" i="1"/>
  <c r="W732" i="1"/>
  <c r="Z732" i="1"/>
  <c r="S733" i="1"/>
  <c r="U732" i="1"/>
  <c r="V732" i="1" s="1"/>
  <c r="AH731" i="1"/>
  <c r="AD731" i="1"/>
  <c r="AA731" i="1"/>
  <c r="AE731" i="1"/>
  <c r="AB731" i="1"/>
  <c r="AF731" i="1"/>
  <c r="AC731" i="1"/>
  <c r="AG731" i="1"/>
  <c r="S734" i="1" l="1"/>
  <c r="Z733" i="1"/>
  <c r="Y733" i="1"/>
  <c r="X733" i="1"/>
  <c r="U733" i="1"/>
  <c r="V733" i="1" s="1"/>
  <c r="W733" i="1"/>
  <c r="T733" i="1"/>
  <c r="AF732" i="1"/>
  <c r="AB732" i="1"/>
  <c r="AE732" i="1"/>
  <c r="AA732" i="1"/>
  <c r="AC732" i="1"/>
  <c r="AG732" i="1"/>
  <c r="AH732" i="1"/>
  <c r="AD732" i="1"/>
  <c r="AC733" i="1" l="1"/>
  <c r="AG733" i="1"/>
  <c r="AA733" i="1"/>
  <c r="AE733" i="1"/>
  <c r="AD733" i="1"/>
  <c r="AH733" i="1"/>
  <c r="AF733" i="1"/>
  <c r="AB733" i="1"/>
  <c r="S735" i="1"/>
  <c r="Y734" i="1"/>
  <c r="Z734" i="1"/>
  <c r="W734" i="1"/>
  <c r="X734" i="1"/>
  <c r="T734" i="1"/>
  <c r="U734" i="1"/>
  <c r="V734" i="1" s="1"/>
  <c r="AA734" i="1" l="1"/>
  <c r="AE734" i="1"/>
  <c r="AD734" i="1"/>
  <c r="AH734" i="1"/>
  <c r="AG734" i="1"/>
  <c r="AC734" i="1"/>
  <c r="AB734" i="1"/>
  <c r="AF734" i="1"/>
  <c r="T735" i="1"/>
  <c r="X735" i="1"/>
  <c r="W735" i="1"/>
  <c r="Z735" i="1"/>
  <c r="S736" i="1"/>
  <c r="U735" i="1"/>
  <c r="V735" i="1" s="1"/>
  <c r="Y735" i="1"/>
  <c r="AH735" i="1" l="1"/>
  <c r="AD735" i="1"/>
  <c r="AC735" i="1"/>
  <c r="AG735" i="1"/>
  <c r="AA735" i="1"/>
  <c r="AE735" i="1"/>
  <c r="AB735" i="1"/>
  <c r="AF735" i="1"/>
  <c r="X736" i="1"/>
  <c r="U736" i="1"/>
  <c r="V736" i="1" s="1"/>
  <c r="T736" i="1"/>
  <c r="Y736" i="1"/>
  <c r="S737" i="1"/>
  <c r="W736" i="1"/>
  <c r="Z736" i="1"/>
  <c r="AG736" i="1" l="1"/>
  <c r="AC736" i="1"/>
  <c r="AH736" i="1"/>
  <c r="AD736" i="1"/>
  <c r="AA736" i="1"/>
  <c r="AE736" i="1"/>
  <c r="Z737" i="1"/>
  <c r="U737" i="1"/>
  <c r="V737" i="1" s="1"/>
  <c r="S738" i="1"/>
  <c r="X737" i="1"/>
  <c r="W737" i="1"/>
  <c r="Y737" i="1"/>
  <c r="T737" i="1"/>
  <c r="AB736" i="1"/>
  <c r="AF736" i="1"/>
  <c r="AA737" i="1" l="1"/>
  <c r="AE737" i="1"/>
  <c r="AD737" i="1"/>
  <c r="AH737" i="1"/>
  <c r="AG737" i="1"/>
  <c r="AC737" i="1"/>
  <c r="AF737" i="1"/>
  <c r="AB737" i="1"/>
  <c r="X738" i="1"/>
  <c r="S739" i="1"/>
  <c r="U738" i="1"/>
  <c r="V738" i="1" s="1"/>
  <c r="Z738" i="1"/>
  <c r="Y738" i="1"/>
  <c r="T738" i="1"/>
  <c r="W738" i="1"/>
  <c r="AG738" i="1" l="1"/>
  <c r="AC738" i="1"/>
  <c r="AB738" i="1"/>
  <c r="AF738" i="1"/>
  <c r="AD738" i="1"/>
  <c r="AH738" i="1"/>
  <c r="AA738" i="1"/>
  <c r="AE738" i="1"/>
  <c r="W739" i="1"/>
  <c r="T739" i="1"/>
  <c r="Y739" i="1"/>
  <c r="Z739" i="1"/>
  <c r="S740" i="1"/>
  <c r="U739" i="1"/>
  <c r="V739" i="1" s="1"/>
  <c r="X739" i="1"/>
  <c r="AD739" i="1" l="1"/>
  <c r="AH739" i="1"/>
  <c r="AB739" i="1"/>
  <c r="AF739" i="1"/>
  <c r="AG739" i="1"/>
  <c r="AC739" i="1"/>
  <c r="T740" i="1"/>
  <c r="X740" i="1"/>
  <c r="S741" i="1"/>
  <c r="W740" i="1"/>
  <c r="U740" i="1"/>
  <c r="V740" i="1" s="1"/>
  <c r="Z740" i="1"/>
  <c r="Y740" i="1"/>
  <c r="AE739" i="1"/>
  <c r="AA739" i="1"/>
  <c r="AB740" i="1" l="1"/>
  <c r="AF740" i="1"/>
  <c r="AH740" i="1"/>
  <c r="AD740" i="1"/>
  <c r="AA740" i="1"/>
  <c r="AE740" i="1"/>
  <c r="AC740" i="1"/>
  <c r="AG740" i="1"/>
  <c r="Z741" i="1"/>
  <c r="S742" i="1"/>
  <c r="W741" i="1"/>
  <c r="X741" i="1"/>
  <c r="Y741" i="1"/>
  <c r="T741" i="1"/>
  <c r="U741" i="1"/>
  <c r="V741" i="1" s="1"/>
  <c r="AF741" i="1" l="1"/>
  <c r="AB741" i="1"/>
  <c r="AE741" i="1"/>
  <c r="AA741" i="1"/>
  <c r="X742" i="1"/>
  <c r="S743" i="1"/>
  <c r="Z742" i="1"/>
  <c r="W742" i="1"/>
  <c r="Y742" i="1"/>
  <c r="U742" i="1"/>
  <c r="V742" i="1" s="1"/>
  <c r="T742" i="1"/>
  <c r="AG741" i="1"/>
  <c r="AC741" i="1"/>
  <c r="AD741" i="1"/>
  <c r="AH741" i="1"/>
  <c r="AA742" i="1" l="1"/>
  <c r="AE742" i="1"/>
  <c r="AD742" i="1"/>
  <c r="AH742" i="1"/>
  <c r="S744" i="1"/>
  <c r="W743" i="1"/>
  <c r="T743" i="1"/>
  <c r="X743" i="1"/>
  <c r="U743" i="1"/>
  <c r="V743" i="1" s="1"/>
  <c r="Y743" i="1"/>
  <c r="Z743" i="1"/>
  <c r="AC742" i="1"/>
  <c r="AG742" i="1"/>
  <c r="AF742" i="1"/>
  <c r="AB742" i="1"/>
  <c r="AB743" i="1" l="1"/>
  <c r="AF743" i="1"/>
  <c r="AH743" i="1"/>
  <c r="AD743" i="1"/>
  <c r="AG743" i="1"/>
  <c r="AC743" i="1"/>
  <c r="AE743" i="1"/>
  <c r="AA743" i="1"/>
  <c r="X744" i="1"/>
  <c r="W744" i="1"/>
  <c r="S745" i="1"/>
  <c r="Z744" i="1"/>
  <c r="U744" i="1"/>
  <c r="V744" i="1" s="1"/>
  <c r="Y744" i="1"/>
  <c r="T744" i="1"/>
  <c r="W745" i="1" l="1"/>
  <c r="Z745" i="1"/>
  <c r="U745" i="1"/>
  <c r="V745" i="1" s="1"/>
  <c r="X745" i="1"/>
  <c r="T745" i="1"/>
  <c r="S746" i="1"/>
  <c r="Y745" i="1"/>
  <c r="AG744" i="1"/>
  <c r="AC744" i="1"/>
  <c r="AE744" i="1"/>
  <c r="AA744" i="1"/>
  <c r="AD744" i="1"/>
  <c r="AH744" i="1"/>
  <c r="AF744" i="1"/>
  <c r="AB744" i="1"/>
  <c r="AF745" i="1" l="1"/>
  <c r="AB745" i="1"/>
  <c r="AG745" i="1"/>
  <c r="AC745" i="1"/>
  <c r="X746" i="1"/>
  <c r="Z746" i="1"/>
  <c r="W746" i="1"/>
  <c r="Y746" i="1"/>
  <c r="U746" i="1"/>
  <c r="V746" i="1" s="1"/>
  <c r="S747" i="1"/>
  <c r="T746" i="1"/>
  <c r="AD745" i="1"/>
  <c r="AH745" i="1"/>
  <c r="AE745" i="1"/>
  <c r="AA745" i="1"/>
  <c r="T747" i="1" l="1"/>
  <c r="Z747" i="1"/>
  <c r="S748" i="1"/>
  <c r="U747" i="1"/>
  <c r="V747" i="1" s="1"/>
  <c r="W747" i="1"/>
  <c r="Y747" i="1"/>
  <c r="X747" i="1"/>
  <c r="AH746" i="1"/>
  <c r="AD746" i="1"/>
  <c r="AG746" i="1"/>
  <c r="AC746" i="1"/>
  <c r="AE746" i="1"/>
  <c r="AA746" i="1"/>
  <c r="AB746" i="1"/>
  <c r="AF746" i="1"/>
  <c r="S749" i="1" l="1"/>
  <c r="T748" i="1"/>
  <c r="X748" i="1"/>
  <c r="Y748" i="1"/>
  <c r="Z748" i="1"/>
  <c r="W748" i="1"/>
  <c r="U748" i="1"/>
  <c r="V748" i="1" s="1"/>
  <c r="AC747" i="1"/>
  <c r="AG747" i="1"/>
  <c r="AD747" i="1"/>
  <c r="AH747" i="1"/>
  <c r="AF747" i="1"/>
  <c r="AB747" i="1"/>
  <c r="AE747" i="1"/>
  <c r="AA747" i="1"/>
  <c r="AG748" i="1" l="1"/>
  <c r="AC748" i="1"/>
  <c r="AA748" i="1"/>
  <c r="AE748" i="1"/>
  <c r="AF748" i="1"/>
  <c r="AB748" i="1"/>
  <c r="AD748" i="1"/>
  <c r="AH748" i="1"/>
  <c r="T749" i="1"/>
  <c r="S750" i="1"/>
  <c r="Z749" i="1"/>
  <c r="W749" i="1"/>
  <c r="U749" i="1"/>
  <c r="V749" i="1" s="1"/>
  <c r="X749" i="1"/>
  <c r="Y749" i="1"/>
  <c r="AC749" i="1" l="1"/>
  <c r="AG749" i="1"/>
  <c r="AH749" i="1"/>
  <c r="AD749" i="1"/>
  <c r="AB749" i="1"/>
  <c r="AF749" i="1"/>
  <c r="T750" i="1"/>
  <c r="S751" i="1"/>
  <c r="Z750" i="1"/>
  <c r="X750" i="1"/>
  <c r="W750" i="1"/>
  <c r="U750" i="1"/>
  <c r="V750" i="1" s="1"/>
  <c r="Y750" i="1"/>
  <c r="AA749" i="1"/>
  <c r="AE749" i="1"/>
  <c r="AE750" i="1" l="1"/>
  <c r="AA750" i="1"/>
  <c r="AF750" i="1"/>
  <c r="AB750" i="1"/>
  <c r="U751" i="1"/>
  <c r="V751" i="1" s="1"/>
  <c r="T751" i="1"/>
  <c r="X751" i="1"/>
  <c r="W751" i="1"/>
  <c r="Y751" i="1"/>
  <c r="S752" i="1"/>
  <c r="Z751" i="1"/>
  <c r="AC750" i="1"/>
  <c r="AG750" i="1"/>
  <c r="AD750" i="1"/>
  <c r="AH750" i="1"/>
  <c r="AA751" i="1" l="1"/>
  <c r="AE751" i="1"/>
  <c r="X752" i="1"/>
  <c r="W752" i="1"/>
  <c r="Z752" i="1"/>
  <c r="U752" i="1"/>
  <c r="V752" i="1" s="1"/>
  <c r="S753" i="1"/>
  <c r="T752" i="1"/>
  <c r="Y752" i="1"/>
  <c r="AH751" i="1"/>
  <c r="AD751" i="1"/>
  <c r="AB751" i="1"/>
  <c r="AF751" i="1"/>
  <c r="AG751" i="1"/>
  <c r="AC751" i="1"/>
  <c r="Y753" i="1" l="1"/>
  <c r="U753" i="1"/>
  <c r="V753" i="1" s="1"/>
  <c r="Z753" i="1"/>
  <c r="W753" i="1"/>
  <c r="S754" i="1"/>
  <c r="X753" i="1"/>
  <c r="T753" i="1"/>
  <c r="AE752" i="1"/>
  <c r="AA752" i="1"/>
  <c r="AB752" i="1"/>
  <c r="AF752" i="1"/>
  <c r="AC752" i="1"/>
  <c r="AG752" i="1"/>
  <c r="AD752" i="1"/>
  <c r="AH752" i="1"/>
  <c r="AB753" i="1" l="1"/>
  <c r="AF753" i="1"/>
  <c r="AA753" i="1"/>
  <c r="AE753" i="1"/>
  <c r="AH753" i="1"/>
  <c r="AD753" i="1"/>
  <c r="T754" i="1"/>
  <c r="X754" i="1"/>
  <c r="S755" i="1"/>
  <c r="W754" i="1"/>
  <c r="Y754" i="1"/>
  <c r="U754" i="1"/>
  <c r="V754" i="1" s="1"/>
  <c r="Z754" i="1"/>
  <c r="AG753" i="1"/>
  <c r="AC753" i="1"/>
  <c r="AF754" i="1" l="1"/>
  <c r="AB754" i="1"/>
  <c r="AE754" i="1"/>
  <c r="AA754" i="1"/>
  <c r="AC754" i="1"/>
  <c r="AG754" i="1"/>
  <c r="AD754" i="1"/>
  <c r="AH754" i="1"/>
  <c r="U755" i="1"/>
  <c r="V755" i="1" s="1"/>
  <c r="Y755" i="1"/>
  <c r="W755" i="1"/>
  <c r="X755" i="1"/>
  <c r="S756" i="1"/>
  <c r="Z755" i="1"/>
  <c r="T755" i="1"/>
  <c r="AE755" i="1" l="1"/>
  <c r="AA755" i="1"/>
  <c r="AC755" i="1"/>
  <c r="AG755" i="1"/>
  <c r="AB755" i="1"/>
  <c r="AF755" i="1"/>
  <c r="AD755" i="1"/>
  <c r="AH755" i="1"/>
  <c r="S757" i="1"/>
  <c r="U756" i="1"/>
  <c r="V756" i="1" s="1"/>
  <c r="W756" i="1"/>
  <c r="Z756" i="1"/>
  <c r="X756" i="1"/>
  <c r="T756" i="1"/>
  <c r="Y756" i="1"/>
  <c r="AH756" i="1" l="1"/>
  <c r="AD756" i="1"/>
  <c r="AC756" i="1"/>
  <c r="AG756" i="1"/>
  <c r="AE756" i="1"/>
  <c r="AA756" i="1"/>
  <c r="AB756" i="1"/>
  <c r="AF756" i="1"/>
  <c r="Z757" i="1"/>
  <c r="X757" i="1"/>
  <c r="Y757" i="1"/>
  <c r="W757" i="1"/>
  <c r="U757" i="1"/>
  <c r="V757" i="1" s="1"/>
  <c r="S758" i="1"/>
  <c r="T757" i="1"/>
  <c r="AG757" i="1" l="1"/>
  <c r="AC757" i="1"/>
  <c r="Y758" i="1"/>
  <c r="S759" i="1"/>
  <c r="U758" i="1"/>
  <c r="V758" i="1" s="1"/>
  <c r="X758" i="1"/>
  <c r="T758" i="1"/>
  <c r="W758" i="1"/>
  <c r="Z758" i="1"/>
  <c r="AF757" i="1"/>
  <c r="AB757" i="1"/>
  <c r="AA757" i="1"/>
  <c r="AE757" i="1"/>
  <c r="AD757" i="1"/>
  <c r="AH757" i="1"/>
  <c r="AA758" i="1" l="1"/>
  <c r="AE758" i="1"/>
  <c r="AB758" i="1"/>
  <c r="AF758" i="1"/>
  <c r="X759" i="1"/>
  <c r="W759" i="1"/>
  <c r="Z759" i="1"/>
  <c r="S760" i="1"/>
  <c r="T759" i="1"/>
  <c r="U759" i="1"/>
  <c r="V759" i="1" s="1"/>
  <c r="Y759" i="1"/>
  <c r="AC758" i="1"/>
  <c r="AG758" i="1"/>
  <c r="AH758" i="1"/>
  <c r="AD758" i="1"/>
  <c r="S761" i="1" l="1"/>
  <c r="U760" i="1"/>
  <c r="V760" i="1" s="1"/>
  <c r="Z760" i="1"/>
  <c r="Y760" i="1"/>
  <c r="X760" i="1"/>
  <c r="T760" i="1"/>
  <c r="W760" i="1"/>
  <c r="AC759" i="1"/>
  <c r="AG759" i="1"/>
  <c r="AD759" i="1"/>
  <c r="AH759" i="1"/>
  <c r="AE759" i="1"/>
  <c r="AA759" i="1"/>
  <c r="AB759" i="1"/>
  <c r="AF759" i="1"/>
  <c r="AD760" i="1" l="1"/>
  <c r="AH760" i="1"/>
  <c r="AC760" i="1"/>
  <c r="AG760" i="1"/>
  <c r="AA760" i="1"/>
  <c r="AE760" i="1"/>
  <c r="AB760" i="1"/>
  <c r="AF760" i="1"/>
  <c r="Y761" i="1"/>
  <c r="U761" i="1"/>
  <c r="V761" i="1" s="1"/>
  <c r="T761" i="1"/>
  <c r="S762" i="1"/>
  <c r="X761" i="1"/>
  <c r="W761" i="1"/>
  <c r="Z761" i="1"/>
  <c r="W762" i="1" l="1"/>
  <c r="U762" i="1"/>
  <c r="V762" i="1" s="1"/>
  <c r="Z762" i="1"/>
  <c r="S763" i="1"/>
  <c r="T762" i="1"/>
  <c r="Y762" i="1"/>
  <c r="X762" i="1"/>
  <c r="AH761" i="1"/>
  <c r="AD761" i="1"/>
  <c r="AE761" i="1"/>
  <c r="AA761" i="1"/>
  <c r="AB761" i="1"/>
  <c r="AF761" i="1"/>
  <c r="AG761" i="1"/>
  <c r="AC761" i="1"/>
  <c r="AF762" i="1" l="1"/>
  <c r="AB762" i="1"/>
  <c r="AH762" i="1"/>
  <c r="AD762" i="1"/>
  <c r="AC762" i="1"/>
  <c r="AG762" i="1"/>
  <c r="T763" i="1"/>
  <c r="S764" i="1"/>
  <c r="Z763" i="1"/>
  <c r="X763" i="1"/>
  <c r="U763" i="1"/>
  <c r="V763" i="1" s="1"/>
  <c r="Y763" i="1"/>
  <c r="W763" i="1"/>
  <c r="AE762" i="1"/>
  <c r="AA762" i="1"/>
  <c r="X764" i="1" l="1"/>
  <c r="T764" i="1"/>
  <c r="Y764" i="1"/>
  <c r="U764" i="1"/>
  <c r="V764" i="1" s="1"/>
  <c r="S765" i="1"/>
  <c r="W764" i="1"/>
  <c r="Z764" i="1"/>
  <c r="AC763" i="1"/>
  <c r="AG763" i="1"/>
  <c r="AF763" i="1"/>
  <c r="AB763" i="1"/>
  <c r="AA763" i="1"/>
  <c r="AE763" i="1"/>
  <c r="AH763" i="1"/>
  <c r="AD763" i="1"/>
  <c r="AD764" i="1" l="1"/>
  <c r="AH764" i="1"/>
  <c r="AC764" i="1"/>
  <c r="AG764" i="1"/>
  <c r="AE764" i="1"/>
  <c r="AA764" i="1"/>
  <c r="U765" i="1"/>
  <c r="V765" i="1" s="1"/>
  <c r="S766" i="1"/>
  <c r="X765" i="1"/>
  <c r="T765" i="1"/>
  <c r="Y765" i="1"/>
  <c r="W765" i="1"/>
  <c r="Z765" i="1"/>
  <c r="AF764" i="1"/>
  <c r="AB764" i="1"/>
  <c r="T766" i="1" l="1"/>
  <c r="W766" i="1"/>
  <c r="Z766" i="1"/>
  <c r="U766" i="1"/>
  <c r="V766" i="1" s="1"/>
  <c r="X766" i="1"/>
  <c r="S767" i="1"/>
  <c r="Y766" i="1"/>
  <c r="AG765" i="1"/>
  <c r="AC765" i="1"/>
  <c r="AA765" i="1"/>
  <c r="AE765" i="1"/>
  <c r="AD765" i="1"/>
  <c r="AH765" i="1"/>
  <c r="AB765" i="1"/>
  <c r="AF765" i="1"/>
  <c r="AC766" i="1" l="1"/>
  <c r="AG766" i="1"/>
  <c r="AH766" i="1"/>
  <c r="AD766" i="1"/>
  <c r="Z767" i="1"/>
  <c r="S768" i="1"/>
  <c r="T767" i="1"/>
  <c r="W767" i="1"/>
  <c r="X767" i="1"/>
  <c r="U767" i="1"/>
  <c r="V767" i="1" s="1"/>
  <c r="Y767" i="1"/>
  <c r="AE766" i="1"/>
  <c r="AA766" i="1"/>
  <c r="AB766" i="1"/>
  <c r="AF766" i="1"/>
  <c r="AG767" i="1" l="1"/>
  <c r="AC767" i="1"/>
  <c r="U768" i="1"/>
  <c r="V768" i="1" s="1"/>
  <c r="S769" i="1"/>
  <c r="W768" i="1"/>
  <c r="Z768" i="1"/>
  <c r="X768" i="1"/>
  <c r="Y768" i="1"/>
  <c r="T768" i="1"/>
  <c r="AE767" i="1"/>
  <c r="AA767" i="1"/>
  <c r="AF767" i="1"/>
  <c r="AB767" i="1"/>
  <c r="AH767" i="1"/>
  <c r="AD767" i="1"/>
  <c r="AG768" i="1" l="1"/>
  <c r="AC768" i="1"/>
  <c r="AB768" i="1"/>
  <c r="AF768" i="1"/>
  <c r="Y769" i="1"/>
  <c r="W769" i="1"/>
  <c r="S770" i="1"/>
  <c r="X769" i="1"/>
  <c r="T769" i="1"/>
  <c r="U769" i="1"/>
  <c r="V769" i="1" s="1"/>
  <c r="Z769" i="1"/>
  <c r="AD768" i="1"/>
  <c r="AH768" i="1"/>
  <c r="AA768" i="1"/>
  <c r="AE768" i="1"/>
  <c r="AF769" i="1" l="1"/>
  <c r="AB769" i="1"/>
  <c r="U770" i="1"/>
  <c r="V770" i="1" s="1"/>
  <c r="Z770" i="1"/>
  <c r="Y770" i="1"/>
  <c r="X770" i="1"/>
  <c r="W770" i="1"/>
  <c r="T770" i="1"/>
  <c r="S771" i="1"/>
  <c r="AE769" i="1"/>
  <c r="AA769" i="1"/>
  <c r="AD769" i="1"/>
  <c r="AH769" i="1"/>
  <c r="AG769" i="1"/>
  <c r="AC769" i="1"/>
  <c r="AD770" i="1" l="1"/>
  <c r="AH770" i="1"/>
  <c r="AA770" i="1"/>
  <c r="AE770" i="1"/>
  <c r="AF770" i="1"/>
  <c r="AB770" i="1"/>
  <c r="Y771" i="1"/>
  <c r="X771" i="1"/>
  <c r="S772" i="1"/>
  <c r="W771" i="1"/>
  <c r="T771" i="1"/>
  <c r="U771" i="1"/>
  <c r="V771" i="1" s="1"/>
  <c r="Z771" i="1"/>
  <c r="AG770" i="1"/>
  <c r="AC770" i="1"/>
  <c r="AG771" i="1" l="1"/>
  <c r="AC771" i="1"/>
  <c r="AB771" i="1"/>
  <c r="AF771" i="1"/>
  <c r="AA771" i="1"/>
  <c r="AE771" i="1"/>
  <c r="AD771" i="1"/>
  <c r="AH771" i="1"/>
  <c r="U772" i="1"/>
  <c r="V772" i="1" s="1"/>
  <c r="S773" i="1"/>
  <c r="Z772" i="1"/>
  <c r="Y772" i="1"/>
  <c r="W772" i="1"/>
  <c r="X772" i="1"/>
  <c r="T772" i="1"/>
  <c r="AG772" i="1" l="1"/>
  <c r="AC772" i="1"/>
  <c r="AH772" i="1"/>
  <c r="AD772" i="1"/>
  <c r="AF772" i="1"/>
  <c r="AB772" i="1"/>
  <c r="U773" i="1"/>
  <c r="V773" i="1" s="1"/>
  <c r="X773" i="1"/>
  <c r="Y773" i="1"/>
  <c r="Z773" i="1"/>
  <c r="T773" i="1"/>
  <c r="S774" i="1"/>
  <c r="W773" i="1"/>
  <c r="AA772" i="1"/>
  <c r="AE772" i="1"/>
  <c r="AF773" i="1" l="1"/>
  <c r="AB773" i="1"/>
  <c r="X774" i="1"/>
  <c r="W774" i="1"/>
  <c r="T774" i="1"/>
  <c r="Y774" i="1"/>
  <c r="U774" i="1"/>
  <c r="V774" i="1" s="1"/>
  <c r="S775" i="1"/>
  <c r="Z774" i="1"/>
  <c r="AD773" i="1"/>
  <c r="AH773" i="1"/>
  <c r="AA773" i="1"/>
  <c r="AE773" i="1"/>
  <c r="AC773" i="1"/>
  <c r="AG773" i="1"/>
  <c r="AB774" i="1" l="1"/>
  <c r="AF774" i="1"/>
  <c r="AA774" i="1"/>
  <c r="AE774" i="1"/>
  <c r="AC774" i="1"/>
  <c r="AG774" i="1"/>
  <c r="X775" i="1"/>
  <c r="Z775" i="1"/>
  <c r="S776" i="1"/>
  <c r="Y775" i="1"/>
  <c r="U775" i="1"/>
  <c r="V775" i="1" s="1"/>
  <c r="W775" i="1"/>
  <c r="T775" i="1"/>
  <c r="AH774" i="1"/>
  <c r="AD774" i="1"/>
  <c r="AH775" i="1" l="1"/>
  <c r="AD775" i="1"/>
  <c r="AF775" i="1"/>
  <c r="AB775" i="1"/>
  <c r="AG775" i="1"/>
  <c r="AC775" i="1"/>
  <c r="AA775" i="1"/>
  <c r="AE775" i="1"/>
  <c r="Z776" i="1"/>
  <c r="U776" i="1"/>
  <c r="V776" i="1" s="1"/>
  <c r="W776" i="1"/>
  <c r="S777" i="1"/>
  <c r="T776" i="1"/>
  <c r="X776" i="1"/>
  <c r="Y776" i="1"/>
  <c r="AG776" i="1" l="1"/>
  <c r="AC776" i="1"/>
  <c r="AA776" i="1"/>
  <c r="AE776" i="1"/>
  <c r="Y777" i="1"/>
  <c r="U777" i="1"/>
  <c r="V777" i="1" s="1"/>
  <c r="X777" i="1"/>
  <c r="W777" i="1"/>
  <c r="S778" i="1"/>
  <c r="T777" i="1"/>
  <c r="Z777" i="1"/>
  <c r="AF776" i="1"/>
  <c r="AB776" i="1"/>
  <c r="AH776" i="1"/>
  <c r="AD776" i="1"/>
  <c r="AD777" i="1" l="1"/>
  <c r="AH777" i="1"/>
  <c r="AB777" i="1"/>
  <c r="AF777" i="1"/>
  <c r="AA777" i="1"/>
  <c r="AE777" i="1"/>
  <c r="Z778" i="1"/>
  <c r="W778" i="1"/>
  <c r="Y778" i="1"/>
  <c r="U778" i="1"/>
  <c r="V778" i="1" s="1"/>
  <c r="X778" i="1"/>
  <c r="T778" i="1"/>
  <c r="S779" i="1"/>
  <c r="AC777" i="1"/>
  <c r="AG777" i="1"/>
  <c r="AA778" i="1" l="1"/>
  <c r="AE778" i="1"/>
  <c r="AF778" i="1"/>
  <c r="AB778" i="1"/>
  <c r="AH778" i="1"/>
  <c r="AD778" i="1"/>
  <c r="S780" i="1"/>
  <c r="Y779" i="1"/>
  <c r="U779" i="1"/>
  <c r="V779" i="1" s="1"/>
  <c r="W779" i="1"/>
  <c r="X779" i="1"/>
  <c r="T779" i="1"/>
  <c r="Z779" i="1"/>
  <c r="AG778" i="1"/>
  <c r="AC778" i="1"/>
  <c r="AC779" i="1" l="1"/>
  <c r="AG779" i="1"/>
  <c r="U780" i="1"/>
  <c r="V780" i="1" s="1"/>
  <c r="X780" i="1"/>
  <c r="S781" i="1"/>
  <c r="W780" i="1"/>
  <c r="T780" i="1"/>
  <c r="Y780" i="1"/>
  <c r="Z780" i="1"/>
  <c r="AE779" i="1"/>
  <c r="AA779" i="1"/>
  <c r="AB779" i="1"/>
  <c r="AF779" i="1"/>
  <c r="AD779" i="1"/>
  <c r="AH779" i="1"/>
  <c r="AF780" i="1" l="1"/>
  <c r="AB780" i="1"/>
  <c r="AA780" i="1"/>
  <c r="AE780" i="1"/>
  <c r="AG780" i="1"/>
  <c r="AC780" i="1"/>
  <c r="AH780" i="1"/>
  <c r="AD780" i="1"/>
  <c r="Z781" i="1"/>
  <c r="X781" i="1"/>
  <c r="W781" i="1"/>
  <c r="T781" i="1"/>
  <c r="U781" i="1"/>
  <c r="V781" i="1" s="1"/>
  <c r="Y781" i="1"/>
  <c r="S782" i="1"/>
  <c r="AE781" i="1" l="1"/>
  <c r="AA781" i="1"/>
  <c r="AG781" i="1"/>
  <c r="AC781" i="1"/>
  <c r="AB781" i="1"/>
  <c r="AF781" i="1"/>
  <c r="Z782" i="1"/>
  <c r="W782" i="1"/>
  <c r="T782" i="1"/>
  <c r="S783" i="1"/>
  <c r="Y782" i="1"/>
  <c r="U782" i="1"/>
  <c r="V782" i="1" s="1"/>
  <c r="X782" i="1"/>
  <c r="AD781" i="1"/>
  <c r="AH781" i="1"/>
  <c r="AC782" i="1" l="1"/>
  <c r="AG782" i="1"/>
  <c r="Y783" i="1"/>
  <c r="W783" i="1"/>
  <c r="X783" i="1"/>
  <c r="Z783" i="1"/>
  <c r="U783" i="1"/>
  <c r="V783" i="1" s="1"/>
  <c r="S784" i="1"/>
  <c r="T783" i="1"/>
  <c r="AE782" i="1"/>
  <c r="AA782" i="1"/>
  <c r="AH782" i="1"/>
  <c r="AD782" i="1"/>
  <c r="AB782" i="1"/>
  <c r="AF782" i="1"/>
  <c r="Z784" i="1" l="1"/>
  <c r="Y784" i="1"/>
  <c r="T784" i="1"/>
  <c r="X784" i="1"/>
  <c r="S785" i="1"/>
  <c r="W784" i="1"/>
  <c r="U784" i="1"/>
  <c r="V784" i="1" s="1"/>
  <c r="AG783" i="1"/>
  <c r="AC783" i="1"/>
  <c r="AA783" i="1"/>
  <c r="AE783" i="1"/>
  <c r="AH783" i="1"/>
  <c r="AD783" i="1"/>
  <c r="AB783" i="1"/>
  <c r="AF783" i="1"/>
  <c r="AF784" i="1" l="1"/>
  <c r="AB784" i="1"/>
  <c r="AA784" i="1"/>
  <c r="AE784" i="1"/>
  <c r="AG784" i="1"/>
  <c r="AC784" i="1"/>
  <c r="Z785" i="1"/>
  <c r="U785" i="1"/>
  <c r="V785" i="1" s="1"/>
  <c r="T785" i="1"/>
  <c r="W785" i="1"/>
  <c r="S786" i="1"/>
  <c r="Y785" i="1"/>
  <c r="X785" i="1"/>
  <c r="AD784" i="1"/>
  <c r="AH784" i="1"/>
  <c r="AC785" i="1" l="1"/>
  <c r="AG785" i="1"/>
  <c r="Y786" i="1"/>
  <c r="Z786" i="1"/>
  <c r="X786" i="1"/>
  <c r="S787" i="1"/>
  <c r="T786" i="1"/>
  <c r="W786" i="1"/>
  <c r="U786" i="1"/>
  <c r="V786" i="1" s="1"/>
  <c r="AD785" i="1"/>
  <c r="AH785" i="1"/>
  <c r="AE785" i="1"/>
  <c r="AA785" i="1"/>
  <c r="AB785" i="1"/>
  <c r="AF785" i="1"/>
  <c r="AE786" i="1" l="1"/>
  <c r="AA786" i="1"/>
  <c r="AH786" i="1"/>
  <c r="AD786" i="1"/>
  <c r="AC786" i="1"/>
  <c r="AG786" i="1"/>
  <c r="Z787" i="1"/>
  <c r="T787" i="1"/>
  <c r="S788" i="1"/>
  <c r="U787" i="1"/>
  <c r="V787" i="1" s="1"/>
  <c r="Y787" i="1"/>
  <c r="W787" i="1"/>
  <c r="X787" i="1"/>
  <c r="AB786" i="1"/>
  <c r="AF786" i="1"/>
  <c r="AE787" i="1" l="1"/>
  <c r="AA787" i="1"/>
  <c r="AC787" i="1"/>
  <c r="AG787" i="1"/>
  <c r="AH787" i="1"/>
  <c r="AD787" i="1"/>
  <c r="AF787" i="1"/>
  <c r="AB787" i="1"/>
  <c r="W788" i="1"/>
  <c r="Y788" i="1"/>
  <c r="U788" i="1"/>
  <c r="V788" i="1" s="1"/>
  <c r="X788" i="1"/>
  <c r="Z788" i="1"/>
  <c r="S789" i="1"/>
  <c r="T788" i="1"/>
  <c r="AF788" i="1" l="1"/>
  <c r="AB788" i="1"/>
  <c r="X789" i="1"/>
  <c r="Z789" i="1"/>
  <c r="Y789" i="1"/>
  <c r="U789" i="1"/>
  <c r="V789" i="1" s="1"/>
  <c r="S790" i="1"/>
  <c r="W789" i="1"/>
  <c r="T789" i="1"/>
  <c r="AC788" i="1"/>
  <c r="AG788" i="1"/>
  <c r="AH788" i="1"/>
  <c r="AD788" i="1"/>
  <c r="AE788" i="1"/>
  <c r="AA788" i="1"/>
  <c r="AA789" i="1" l="1"/>
  <c r="AE789" i="1"/>
  <c r="AD789" i="1"/>
  <c r="AH789" i="1"/>
  <c r="X790" i="1"/>
  <c r="Z790" i="1"/>
  <c r="T790" i="1"/>
  <c r="W790" i="1"/>
  <c r="S791" i="1"/>
  <c r="Y790" i="1"/>
  <c r="U790" i="1"/>
  <c r="V790" i="1" s="1"/>
  <c r="AF789" i="1"/>
  <c r="AB789" i="1"/>
  <c r="AC789" i="1"/>
  <c r="AG789" i="1"/>
  <c r="AE790" i="1" l="1"/>
  <c r="AA790" i="1"/>
  <c r="AG790" i="1"/>
  <c r="AC790" i="1"/>
  <c r="AD790" i="1"/>
  <c r="AH790" i="1"/>
  <c r="U791" i="1"/>
  <c r="V791" i="1" s="1"/>
  <c r="Y791" i="1"/>
  <c r="W791" i="1"/>
  <c r="Z791" i="1"/>
  <c r="S792" i="1"/>
  <c r="X791" i="1"/>
  <c r="T791" i="1"/>
  <c r="AF790" i="1"/>
  <c r="AB790" i="1"/>
  <c r="AB791" i="1" l="1"/>
  <c r="AF791" i="1"/>
  <c r="AC791" i="1"/>
  <c r="AG791" i="1"/>
  <c r="S793" i="1"/>
  <c r="X792" i="1"/>
  <c r="Z792" i="1"/>
  <c r="W792" i="1"/>
  <c r="U792" i="1"/>
  <c r="V792" i="1" s="1"/>
  <c r="Y792" i="1"/>
  <c r="T792" i="1"/>
  <c r="AD791" i="1"/>
  <c r="AH791" i="1"/>
  <c r="AE791" i="1"/>
  <c r="AA791" i="1"/>
  <c r="AE792" i="1" l="1"/>
  <c r="AA792" i="1"/>
  <c r="AH792" i="1"/>
  <c r="AD792" i="1"/>
  <c r="AG792" i="1"/>
  <c r="AC792" i="1"/>
  <c r="AB792" i="1"/>
  <c r="AF792" i="1"/>
  <c r="Y793" i="1"/>
  <c r="W793" i="1"/>
  <c r="Z793" i="1"/>
  <c r="T793" i="1"/>
  <c r="S794" i="1"/>
  <c r="U793" i="1"/>
  <c r="V793" i="1" s="1"/>
  <c r="X793" i="1"/>
  <c r="AB793" i="1" l="1"/>
  <c r="AF793" i="1"/>
  <c r="AD793" i="1"/>
  <c r="AH793" i="1"/>
  <c r="AE793" i="1"/>
  <c r="AA793" i="1"/>
  <c r="Z794" i="1"/>
  <c r="T794" i="1"/>
  <c r="U794" i="1"/>
  <c r="V794" i="1" s="1"/>
  <c r="Y794" i="1"/>
  <c r="X794" i="1"/>
  <c r="W794" i="1"/>
  <c r="S795" i="1"/>
  <c r="AC793" i="1"/>
  <c r="AG793" i="1"/>
  <c r="AB794" i="1" l="1"/>
  <c r="AF794" i="1"/>
  <c r="AE794" i="1"/>
  <c r="AA794" i="1"/>
  <c r="AH794" i="1"/>
  <c r="AD794" i="1"/>
  <c r="AC794" i="1"/>
  <c r="AG794" i="1"/>
  <c r="Z795" i="1"/>
  <c r="U795" i="1"/>
  <c r="V795" i="1" s="1"/>
  <c r="Y795" i="1"/>
  <c r="W795" i="1"/>
  <c r="T795" i="1"/>
  <c r="S796" i="1"/>
  <c r="X795" i="1"/>
  <c r="AA795" i="1" l="1"/>
  <c r="AE795" i="1"/>
  <c r="AF795" i="1"/>
  <c r="AB795" i="1"/>
  <c r="AC795" i="1"/>
  <c r="AG795" i="1"/>
  <c r="S797" i="1"/>
  <c r="U796" i="1"/>
  <c r="V796" i="1" s="1"/>
  <c r="T796" i="1"/>
  <c r="Y796" i="1"/>
  <c r="W796" i="1"/>
  <c r="Z796" i="1"/>
  <c r="X796" i="1"/>
  <c r="AH795" i="1"/>
  <c r="AD795" i="1"/>
  <c r="AD796" i="1" l="1"/>
  <c r="AH796" i="1"/>
  <c r="U797" i="1"/>
  <c r="V797" i="1" s="1"/>
  <c r="Y797" i="1"/>
  <c r="W797" i="1"/>
  <c r="Z797" i="1"/>
  <c r="X797" i="1"/>
  <c r="S798" i="1"/>
  <c r="T797" i="1"/>
  <c r="AG796" i="1"/>
  <c r="AC796" i="1"/>
  <c r="AE796" i="1"/>
  <c r="AA796" i="1"/>
  <c r="AB796" i="1"/>
  <c r="AF796" i="1"/>
  <c r="X798" i="1" l="1"/>
  <c r="U798" i="1"/>
  <c r="V798" i="1" s="1"/>
  <c r="W798" i="1"/>
  <c r="T798" i="1"/>
  <c r="Z798" i="1"/>
  <c r="Y798" i="1"/>
  <c r="S799" i="1"/>
  <c r="AG797" i="1"/>
  <c r="AC797" i="1"/>
  <c r="AB797" i="1"/>
  <c r="AF797" i="1"/>
  <c r="AD797" i="1"/>
  <c r="AH797" i="1"/>
  <c r="AE797" i="1"/>
  <c r="AA797" i="1"/>
  <c r="AE798" i="1" l="1"/>
  <c r="AA798" i="1"/>
  <c r="T799" i="1"/>
  <c r="W799" i="1"/>
  <c r="X799" i="1"/>
  <c r="Z799" i="1"/>
  <c r="S800" i="1"/>
  <c r="Y799" i="1"/>
  <c r="U799" i="1"/>
  <c r="V799" i="1" s="1"/>
  <c r="AG798" i="1"/>
  <c r="AC798" i="1"/>
  <c r="AH798" i="1"/>
  <c r="AD798" i="1"/>
  <c r="AB798" i="1"/>
  <c r="AF798" i="1"/>
  <c r="AE799" i="1" l="1"/>
  <c r="AA799" i="1"/>
  <c r="W800" i="1"/>
  <c r="Z800" i="1"/>
  <c r="T800" i="1"/>
  <c r="U800" i="1"/>
  <c r="V800" i="1" s="1"/>
  <c r="S801" i="1"/>
  <c r="Y800" i="1"/>
  <c r="X800" i="1"/>
  <c r="AG799" i="1"/>
  <c r="AC799" i="1"/>
  <c r="AD799" i="1"/>
  <c r="AH799" i="1"/>
  <c r="AF799" i="1"/>
  <c r="AB799" i="1"/>
  <c r="AC800" i="1" l="1"/>
  <c r="AG800" i="1"/>
  <c r="AD800" i="1"/>
  <c r="AH800" i="1"/>
  <c r="S802" i="1"/>
  <c r="W801" i="1"/>
  <c r="Y801" i="1"/>
  <c r="T801" i="1"/>
  <c r="U801" i="1"/>
  <c r="V801" i="1" s="1"/>
  <c r="Z801" i="1"/>
  <c r="X801" i="1"/>
  <c r="AA800" i="1"/>
  <c r="AE800" i="1"/>
  <c r="AF800" i="1"/>
  <c r="AB800" i="1"/>
  <c r="AD801" i="1" l="1"/>
  <c r="AH801" i="1"/>
  <c r="Z802" i="1"/>
  <c r="U802" i="1"/>
  <c r="V802" i="1" s="1"/>
  <c r="W802" i="1"/>
  <c r="X802" i="1"/>
  <c r="S803" i="1"/>
  <c r="Y802" i="1"/>
  <c r="T802" i="1"/>
  <c r="AF801" i="1"/>
  <c r="AB801" i="1"/>
  <c r="AC801" i="1"/>
  <c r="AG801" i="1"/>
  <c r="AA801" i="1"/>
  <c r="AE801" i="1"/>
  <c r="AG802" i="1" l="1"/>
  <c r="AC802" i="1"/>
  <c r="T803" i="1"/>
  <c r="Y803" i="1"/>
  <c r="X803" i="1"/>
  <c r="S804" i="1"/>
  <c r="Z803" i="1"/>
  <c r="W803" i="1"/>
  <c r="U803" i="1"/>
  <c r="V803" i="1" s="1"/>
  <c r="AD802" i="1"/>
  <c r="AH802" i="1"/>
  <c r="AB802" i="1"/>
  <c r="AF802" i="1"/>
  <c r="AE802" i="1"/>
  <c r="AA802" i="1"/>
  <c r="U804" i="1" l="1"/>
  <c r="V804" i="1" s="1"/>
  <c r="Z804" i="1"/>
  <c r="W804" i="1"/>
  <c r="X804" i="1"/>
  <c r="Y804" i="1"/>
  <c r="T804" i="1"/>
  <c r="S805" i="1"/>
  <c r="AE803" i="1"/>
  <c r="AA803" i="1"/>
  <c r="AC803" i="1"/>
  <c r="AG803" i="1"/>
  <c r="AD803" i="1"/>
  <c r="AH803" i="1"/>
  <c r="AF803" i="1"/>
  <c r="AB803" i="1"/>
  <c r="AB804" i="1" l="1"/>
  <c r="AF804" i="1"/>
  <c r="S806" i="1"/>
  <c r="W805" i="1"/>
  <c r="Z805" i="1"/>
  <c r="T805" i="1"/>
  <c r="U805" i="1"/>
  <c r="V805" i="1" s="1"/>
  <c r="Y805" i="1"/>
  <c r="X805" i="1"/>
  <c r="AE804" i="1"/>
  <c r="AA804" i="1"/>
  <c r="AD804" i="1"/>
  <c r="AH804" i="1"/>
  <c r="AC804" i="1"/>
  <c r="AG804" i="1"/>
  <c r="AC805" i="1" l="1"/>
  <c r="AG805" i="1"/>
  <c r="AE805" i="1"/>
  <c r="AA805" i="1"/>
  <c r="Y806" i="1"/>
  <c r="X806" i="1"/>
  <c r="T806" i="1"/>
  <c r="W806" i="1"/>
  <c r="S807" i="1"/>
  <c r="Z806" i="1"/>
  <c r="U806" i="1"/>
  <c r="V806" i="1" s="1"/>
  <c r="AF805" i="1"/>
  <c r="AB805" i="1"/>
  <c r="AD805" i="1"/>
  <c r="AH805" i="1"/>
  <c r="AE806" i="1" l="1"/>
  <c r="AA806" i="1"/>
  <c r="AH806" i="1"/>
  <c r="AD806" i="1"/>
  <c r="AB806" i="1"/>
  <c r="AF806" i="1"/>
  <c r="U807" i="1"/>
  <c r="V807" i="1" s="1"/>
  <c r="Z807" i="1"/>
  <c r="T807" i="1"/>
  <c r="Y807" i="1"/>
  <c r="S808" i="1"/>
  <c r="W807" i="1"/>
  <c r="X807" i="1"/>
  <c r="AC806" i="1"/>
  <c r="AG806" i="1"/>
  <c r="AA807" i="1" l="1"/>
  <c r="AE807" i="1"/>
  <c r="AH807" i="1"/>
  <c r="AD807" i="1"/>
  <c r="AC807" i="1"/>
  <c r="AG807" i="1"/>
  <c r="Z808" i="1"/>
  <c r="T808" i="1"/>
  <c r="X808" i="1"/>
  <c r="U808" i="1"/>
  <c r="V808" i="1" s="1"/>
  <c r="Y808" i="1"/>
  <c r="S809" i="1"/>
  <c r="W808" i="1"/>
  <c r="AF807" i="1"/>
  <c r="AB807" i="1"/>
  <c r="X809" i="1" l="1"/>
  <c r="W809" i="1"/>
  <c r="T809" i="1"/>
  <c r="S810" i="1"/>
  <c r="U809" i="1"/>
  <c r="V809" i="1" s="1"/>
  <c r="Y809" i="1"/>
  <c r="Z809" i="1"/>
  <c r="AC808" i="1"/>
  <c r="AG808" i="1"/>
  <c r="AD808" i="1"/>
  <c r="AH808" i="1"/>
  <c r="AA808" i="1"/>
  <c r="AE808" i="1"/>
  <c r="AF808" i="1"/>
  <c r="AB808" i="1"/>
  <c r="S811" i="1" l="1"/>
  <c r="Y810" i="1"/>
  <c r="U810" i="1"/>
  <c r="V810" i="1" s="1"/>
  <c r="W810" i="1"/>
  <c r="X810" i="1"/>
  <c r="T810" i="1"/>
  <c r="Z810" i="1"/>
  <c r="AH809" i="1"/>
  <c r="AD809" i="1"/>
  <c r="AC809" i="1"/>
  <c r="AG809" i="1"/>
  <c r="AA809" i="1"/>
  <c r="AE809" i="1"/>
  <c r="AF809" i="1"/>
  <c r="AB809" i="1"/>
  <c r="AA810" i="1" l="1"/>
  <c r="AE810" i="1"/>
  <c r="AH810" i="1"/>
  <c r="AD810" i="1"/>
  <c r="AC810" i="1"/>
  <c r="AG810" i="1"/>
  <c r="AB810" i="1"/>
  <c r="AF810" i="1"/>
  <c r="Z811" i="1"/>
  <c r="U811" i="1"/>
  <c r="V811" i="1" s="1"/>
  <c r="T811" i="1"/>
  <c r="X811" i="1"/>
  <c r="Y811" i="1"/>
  <c r="S812" i="1"/>
  <c r="W811" i="1"/>
  <c r="AB811" i="1" l="1"/>
  <c r="AF811" i="1"/>
  <c r="AE811" i="1"/>
  <c r="AA811" i="1"/>
  <c r="T812" i="1"/>
  <c r="W812" i="1"/>
  <c r="Y812" i="1"/>
  <c r="Z812" i="1"/>
  <c r="X812" i="1"/>
  <c r="U812" i="1"/>
  <c r="V812" i="1" s="1"/>
  <c r="S813" i="1"/>
  <c r="AG811" i="1"/>
  <c r="AC811" i="1"/>
  <c r="AH811" i="1"/>
  <c r="AD811" i="1"/>
  <c r="AH812" i="1" l="1"/>
  <c r="AD812" i="1"/>
  <c r="T813" i="1"/>
  <c r="U813" i="1"/>
  <c r="V813" i="1" s="1"/>
  <c r="Y813" i="1"/>
  <c r="W813" i="1"/>
  <c r="X813" i="1"/>
  <c r="Z813" i="1"/>
  <c r="S814" i="1"/>
  <c r="AG812" i="1"/>
  <c r="AC812" i="1"/>
  <c r="AA812" i="1"/>
  <c r="AE812" i="1"/>
  <c r="AB812" i="1"/>
  <c r="AF812" i="1"/>
  <c r="AH813" i="1" l="1"/>
  <c r="AD813" i="1"/>
  <c r="AF813" i="1"/>
  <c r="AB813" i="1"/>
  <c r="AA813" i="1"/>
  <c r="AE813" i="1"/>
  <c r="T814" i="1"/>
  <c r="X814" i="1"/>
  <c r="U814" i="1"/>
  <c r="V814" i="1" s="1"/>
  <c r="Y814" i="1"/>
  <c r="S815" i="1"/>
  <c r="Z814" i="1"/>
  <c r="W814" i="1"/>
  <c r="AG813" i="1"/>
  <c r="AC813" i="1"/>
  <c r="AD814" i="1" l="1"/>
  <c r="AH814" i="1"/>
  <c r="AF814" i="1"/>
  <c r="AB814" i="1"/>
  <c r="X815" i="1"/>
  <c r="Z815" i="1"/>
  <c r="U815" i="1"/>
  <c r="V815" i="1" s="1"/>
  <c r="Y815" i="1"/>
  <c r="S816" i="1"/>
  <c r="W815" i="1"/>
  <c r="T815" i="1"/>
  <c r="AG814" i="1"/>
  <c r="AC814" i="1"/>
  <c r="AE814" i="1"/>
  <c r="AA814" i="1"/>
  <c r="AG815" i="1" l="1"/>
  <c r="AC815" i="1"/>
  <c r="AA815" i="1"/>
  <c r="AE815" i="1"/>
  <c r="AD815" i="1"/>
  <c r="AH815" i="1"/>
  <c r="U816" i="1"/>
  <c r="V816" i="1" s="1"/>
  <c r="W816" i="1"/>
  <c r="Z816" i="1"/>
  <c r="T816" i="1"/>
  <c r="X816" i="1"/>
  <c r="S817" i="1"/>
  <c r="Y816" i="1"/>
  <c r="AF815" i="1"/>
  <c r="AB815" i="1"/>
  <c r="AC816" i="1" l="1"/>
  <c r="AG816" i="1"/>
  <c r="S818" i="1"/>
  <c r="T817" i="1"/>
  <c r="W817" i="1"/>
  <c r="U817" i="1"/>
  <c r="V817" i="1" s="1"/>
  <c r="Z817" i="1"/>
  <c r="X817" i="1"/>
  <c r="Y817" i="1"/>
  <c r="AE816" i="1"/>
  <c r="AA816" i="1"/>
  <c r="AF816" i="1"/>
  <c r="AB816" i="1"/>
  <c r="AD816" i="1"/>
  <c r="AH816" i="1"/>
  <c r="AB817" i="1" l="1"/>
  <c r="AF817" i="1"/>
  <c r="AD817" i="1"/>
  <c r="AH817" i="1"/>
  <c r="S819" i="1"/>
  <c r="W818" i="1"/>
  <c r="U818" i="1"/>
  <c r="V818" i="1" s="1"/>
  <c r="Z818" i="1"/>
  <c r="Y818" i="1"/>
  <c r="X818" i="1"/>
  <c r="T818" i="1"/>
  <c r="AG817" i="1"/>
  <c r="AC817" i="1"/>
  <c r="AE817" i="1"/>
  <c r="AA817" i="1"/>
  <c r="AD818" i="1" l="1"/>
  <c r="AH818" i="1"/>
  <c r="AF818" i="1"/>
  <c r="AB818" i="1"/>
  <c r="AA818" i="1"/>
  <c r="AE818" i="1"/>
  <c r="AG818" i="1"/>
  <c r="AC818" i="1"/>
  <c r="Z819" i="1"/>
  <c r="Y819" i="1"/>
  <c r="W819" i="1"/>
  <c r="T819" i="1"/>
  <c r="S820" i="1"/>
  <c r="X819" i="1"/>
  <c r="U819" i="1"/>
  <c r="V819" i="1" s="1"/>
  <c r="AE819" i="1" l="1"/>
  <c r="AA819" i="1"/>
  <c r="AB819" i="1"/>
  <c r="AF819" i="1"/>
  <c r="AC819" i="1"/>
  <c r="AG819" i="1"/>
  <c r="Z820" i="1"/>
  <c r="U820" i="1"/>
  <c r="V820" i="1" s="1"/>
  <c r="X820" i="1"/>
  <c r="S821" i="1"/>
  <c r="T820" i="1"/>
  <c r="W820" i="1"/>
  <c r="Y820" i="1"/>
  <c r="AH819" i="1"/>
  <c r="AD819" i="1"/>
  <c r="AA820" i="1" l="1"/>
  <c r="AE820" i="1"/>
  <c r="AH820" i="1"/>
  <c r="AD820" i="1"/>
  <c r="Z821" i="1"/>
  <c r="U821" i="1"/>
  <c r="V821" i="1" s="1"/>
  <c r="T821" i="1"/>
  <c r="S822" i="1"/>
  <c r="W821" i="1"/>
  <c r="Y821" i="1"/>
  <c r="X821" i="1"/>
  <c r="AC820" i="1"/>
  <c r="AG820" i="1"/>
  <c r="AF820" i="1"/>
  <c r="AB820" i="1"/>
  <c r="Y822" i="1" l="1"/>
  <c r="U822" i="1"/>
  <c r="V822" i="1" s="1"/>
  <c r="X822" i="1"/>
  <c r="Z822" i="1"/>
  <c r="S823" i="1"/>
  <c r="W822" i="1"/>
  <c r="T822" i="1"/>
  <c r="AF821" i="1"/>
  <c r="AB821" i="1"/>
  <c r="AG821" i="1"/>
  <c r="AC821" i="1"/>
  <c r="AA821" i="1"/>
  <c r="AE821" i="1"/>
  <c r="AH821" i="1"/>
  <c r="AD821" i="1"/>
  <c r="AH822" i="1" l="1"/>
  <c r="AD822" i="1"/>
  <c r="AB822" i="1"/>
  <c r="AF822" i="1"/>
  <c r="AA822" i="1"/>
  <c r="AE822" i="1"/>
  <c r="T823" i="1"/>
  <c r="X823" i="1"/>
  <c r="Z823" i="1"/>
  <c r="S824" i="1"/>
  <c r="W823" i="1"/>
  <c r="U823" i="1"/>
  <c r="V823" i="1" s="1"/>
  <c r="Y823" i="1"/>
  <c r="AG822" i="1"/>
  <c r="AC822" i="1"/>
  <c r="AF823" i="1" l="1"/>
  <c r="AB823" i="1"/>
  <c r="AA823" i="1"/>
  <c r="AE823" i="1"/>
  <c r="Y824" i="1"/>
  <c r="X824" i="1"/>
  <c r="S825" i="1"/>
  <c r="W824" i="1"/>
  <c r="U824" i="1"/>
  <c r="V824" i="1" s="1"/>
  <c r="T824" i="1"/>
  <c r="Z824" i="1"/>
  <c r="AG823" i="1"/>
  <c r="AC823" i="1"/>
  <c r="AH823" i="1"/>
  <c r="AD823" i="1"/>
  <c r="AA824" i="1" l="1"/>
  <c r="AE824" i="1"/>
  <c r="AH824" i="1"/>
  <c r="AD824" i="1"/>
  <c r="S826" i="1"/>
  <c r="Y825" i="1"/>
  <c r="Z825" i="1"/>
  <c r="W825" i="1"/>
  <c r="X825" i="1"/>
  <c r="U825" i="1"/>
  <c r="V825" i="1" s="1"/>
  <c r="T825" i="1"/>
  <c r="AB824" i="1"/>
  <c r="AF824" i="1"/>
  <c r="AC824" i="1"/>
  <c r="AG824" i="1"/>
  <c r="AE825" i="1" l="1"/>
  <c r="AA825" i="1"/>
  <c r="AH825" i="1"/>
  <c r="AD825" i="1"/>
  <c r="AC825" i="1"/>
  <c r="AG825" i="1"/>
  <c r="AF825" i="1"/>
  <c r="AB825" i="1"/>
  <c r="X826" i="1"/>
  <c r="W826" i="1"/>
  <c r="Z826" i="1"/>
  <c r="Y826" i="1"/>
  <c r="S827" i="1"/>
  <c r="T826" i="1"/>
  <c r="U826" i="1"/>
  <c r="V826" i="1" s="1"/>
  <c r="AG826" i="1" l="1"/>
  <c r="AC826" i="1"/>
  <c r="AD826" i="1"/>
  <c r="AH826" i="1"/>
  <c r="AA826" i="1"/>
  <c r="AE826" i="1"/>
  <c r="S828" i="1"/>
  <c r="Y827" i="1"/>
  <c r="U827" i="1"/>
  <c r="V827" i="1" s="1"/>
  <c r="W827" i="1"/>
  <c r="Z827" i="1"/>
  <c r="T827" i="1"/>
  <c r="X827" i="1"/>
  <c r="AF826" i="1"/>
  <c r="AB826" i="1"/>
  <c r="AG827" i="1" l="1"/>
  <c r="AC827" i="1"/>
  <c r="T828" i="1"/>
  <c r="U828" i="1"/>
  <c r="V828" i="1" s="1"/>
  <c r="Y828" i="1"/>
  <c r="X828" i="1"/>
  <c r="Z828" i="1"/>
  <c r="W828" i="1"/>
  <c r="S829" i="1"/>
  <c r="AA827" i="1"/>
  <c r="AE827" i="1"/>
  <c r="AD827" i="1"/>
  <c r="AH827" i="1"/>
  <c r="AF827" i="1"/>
  <c r="AB827" i="1"/>
  <c r="AA828" i="1" l="1"/>
  <c r="AE828" i="1"/>
  <c r="AH828" i="1"/>
  <c r="AD828" i="1"/>
  <c r="AB828" i="1"/>
  <c r="AF828" i="1"/>
  <c r="Z829" i="1"/>
  <c r="T829" i="1"/>
  <c r="Y829" i="1"/>
  <c r="U829" i="1"/>
  <c r="V829" i="1" s="1"/>
  <c r="S830" i="1"/>
  <c r="W829" i="1"/>
  <c r="X829" i="1"/>
  <c r="AC828" i="1"/>
  <c r="AG828" i="1"/>
  <c r="X830" i="1" l="1"/>
  <c r="W830" i="1"/>
  <c r="U830" i="1"/>
  <c r="V830" i="1" s="1"/>
  <c r="Y830" i="1"/>
  <c r="Z830" i="1"/>
  <c r="S831" i="1"/>
  <c r="T830" i="1"/>
  <c r="AD829" i="1"/>
  <c r="AH829" i="1"/>
  <c r="AE829" i="1"/>
  <c r="AA829" i="1"/>
  <c r="AF829" i="1"/>
  <c r="AB829" i="1"/>
  <c r="AG829" i="1"/>
  <c r="AC829" i="1"/>
  <c r="AG830" i="1" l="1"/>
  <c r="AC830" i="1"/>
  <c r="AE830" i="1"/>
  <c r="AA830" i="1"/>
  <c r="Y831" i="1"/>
  <c r="S832" i="1"/>
  <c r="X831" i="1"/>
  <c r="W831" i="1"/>
  <c r="T831" i="1"/>
  <c r="U831" i="1"/>
  <c r="V831" i="1" s="1"/>
  <c r="Z831" i="1"/>
  <c r="AH830" i="1"/>
  <c r="AD830" i="1"/>
  <c r="AF830" i="1"/>
  <c r="AB830" i="1"/>
  <c r="AA831" i="1" l="1"/>
  <c r="AE831" i="1"/>
  <c r="AD831" i="1"/>
  <c r="AH831" i="1"/>
  <c r="AF831" i="1"/>
  <c r="AB831" i="1"/>
  <c r="Z832" i="1"/>
  <c r="X832" i="1"/>
  <c r="Y832" i="1"/>
  <c r="S833" i="1"/>
  <c r="U832" i="1"/>
  <c r="V832" i="1" s="1"/>
  <c r="T832" i="1"/>
  <c r="W832" i="1"/>
  <c r="AC831" i="1"/>
  <c r="AG831" i="1"/>
  <c r="AF832" i="1" l="1"/>
  <c r="AB832" i="1"/>
  <c r="AH832" i="1"/>
  <c r="AD832" i="1"/>
  <c r="W833" i="1"/>
  <c r="U833" i="1"/>
  <c r="V833" i="1" s="1"/>
  <c r="X833" i="1"/>
  <c r="T833" i="1"/>
  <c r="Y833" i="1"/>
  <c r="S834" i="1"/>
  <c r="Z833" i="1"/>
  <c r="AE832" i="1"/>
  <c r="AA832" i="1"/>
  <c r="AG832" i="1"/>
  <c r="AC832" i="1"/>
  <c r="AD833" i="1" l="1"/>
  <c r="AH833" i="1"/>
  <c r="AF833" i="1"/>
  <c r="AB833" i="1"/>
  <c r="Y834" i="1"/>
  <c r="X834" i="1"/>
  <c r="S835" i="1"/>
  <c r="U834" i="1"/>
  <c r="V834" i="1" s="1"/>
  <c r="T834" i="1"/>
  <c r="W834" i="1"/>
  <c r="Z834" i="1"/>
  <c r="AG833" i="1"/>
  <c r="AC833" i="1"/>
  <c r="AA833" i="1"/>
  <c r="AE833" i="1"/>
  <c r="AD834" i="1" l="1"/>
  <c r="AH834" i="1"/>
  <c r="U835" i="1"/>
  <c r="V835" i="1" s="1"/>
  <c r="S836" i="1"/>
  <c r="T835" i="1"/>
  <c r="W835" i="1"/>
  <c r="Z835" i="1"/>
  <c r="Y835" i="1"/>
  <c r="X835" i="1"/>
  <c r="AA834" i="1"/>
  <c r="AE834" i="1"/>
  <c r="AB834" i="1"/>
  <c r="AF834" i="1"/>
  <c r="AG834" i="1"/>
  <c r="AC834" i="1"/>
  <c r="AG835" i="1" l="1"/>
  <c r="AC835" i="1"/>
  <c r="T836" i="1"/>
  <c r="Z836" i="1"/>
  <c r="Y836" i="1"/>
  <c r="X836" i="1"/>
  <c r="W836" i="1"/>
  <c r="U836" i="1"/>
  <c r="V836" i="1" s="1"/>
  <c r="S837" i="1"/>
  <c r="AH835" i="1"/>
  <c r="AD835" i="1"/>
  <c r="AE835" i="1"/>
  <c r="AA835" i="1"/>
  <c r="AB835" i="1"/>
  <c r="AF835" i="1"/>
  <c r="AH836" i="1" l="1"/>
  <c r="AD836" i="1"/>
  <c r="AA836" i="1"/>
  <c r="AE836" i="1"/>
  <c r="AF836" i="1"/>
  <c r="AB836" i="1"/>
  <c r="Z837" i="1"/>
  <c r="T837" i="1"/>
  <c r="Y837" i="1"/>
  <c r="W837" i="1"/>
  <c r="X837" i="1"/>
  <c r="U837" i="1"/>
  <c r="V837" i="1" s="1"/>
  <c r="S838" i="1"/>
  <c r="AG836" i="1"/>
  <c r="AC836" i="1"/>
  <c r="AB837" i="1" l="1"/>
  <c r="AF837" i="1"/>
  <c r="AH837" i="1"/>
  <c r="AD837" i="1"/>
  <c r="AA837" i="1"/>
  <c r="AE837" i="1"/>
  <c r="S839" i="1"/>
  <c r="T838" i="1"/>
  <c r="U838" i="1"/>
  <c r="V838" i="1" s="1"/>
  <c r="Y838" i="1"/>
  <c r="Z838" i="1"/>
  <c r="X838" i="1"/>
  <c r="W838" i="1"/>
  <c r="AC837" i="1"/>
  <c r="AG837" i="1"/>
  <c r="AF838" i="1" l="1"/>
  <c r="AB838" i="1"/>
  <c r="AD838" i="1"/>
  <c r="AH838" i="1"/>
  <c r="W839" i="1"/>
  <c r="U839" i="1"/>
  <c r="V839" i="1" s="1"/>
  <c r="T839" i="1"/>
  <c r="X839" i="1"/>
  <c r="Y839" i="1"/>
  <c r="Z839" i="1"/>
  <c r="S840" i="1"/>
  <c r="AG838" i="1"/>
  <c r="AC838" i="1"/>
  <c r="AA838" i="1"/>
  <c r="AE838" i="1"/>
  <c r="AF839" i="1" l="1"/>
  <c r="AB839" i="1"/>
  <c r="U840" i="1"/>
  <c r="V840" i="1" s="1"/>
  <c r="W840" i="1"/>
  <c r="Z840" i="1"/>
  <c r="T840" i="1"/>
  <c r="X840" i="1"/>
  <c r="S841" i="1"/>
  <c r="Y840" i="1"/>
  <c r="AH839" i="1"/>
  <c r="AD839" i="1"/>
  <c r="AG839" i="1"/>
  <c r="AC839" i="1"/>
  <c r="AA839" i="1"/>
  <c r="AE839" i="1"/>
  <c r="W841" i="1" l="1"/>
  <c r="Y841" i="1"/>
  <c r="Z841" i="1"/>
  <c r="X841" i="1"/>
  <c r="U841" i="1"/>
  <c r="V841" i="1" s="1"/>
  <c r="S842" i="1"/>
  <c r="T841" i="1"/>
  <c r="AE840" i="1"/>
  <c r="AA840" i="1"/>
  <c r="AB840" i="1"/>
  <c r="AF840" i="1"/>
  <c r="AG840" i="1"/>
  <c r="AC840" i="1"/>
  <c r="AD840" i="1"/>
  <c r="AH840" i="1"/>
  <c r="AF841" i="1" l="1"/>
  <c r="AB841" i="1"/>
  <c r="AH841" i="1"/>
  <c r="AD841" i="1"/>
  <c r="S843" i="1"/>
  <c r="U842" i="1"/>
  <c r="V842" i="1" s="1"/>
  <c r="W842" i="1"/>
  <c r="X842" i="1"/>
  <c r="T842" i="1"/>
  <c r="Z842" i="1"/>
  <c r="Y842" i="1"/>
  <c r="AG841" i="1"/>
  <c r="AC841" i="1"/>
  <c r="AE841" i="1"/>
  <c r="AA841" i="1"/>
  <c r="AB842" i="1" l="1"/>
  <c r="AF842" i="1"/>
  <c r="AC842" i="1"/>
  <c r="AG842" i="1"/>
  <c r="AE842" i="1"/>
  <c r="AA842" i="1"/>
  <c r="AH842" i="1"/>
  <c r="AD842" i="1"/>
  <c r="Y843" i="1"/>
  <c r="U843" i="1"/>
  <c r="V843" i="1" s="1"/>
  <c r="S844" i="1"/>
  <c r="W843" i="1"/>
  <c r="Z843" i="1"/>
  <c r="X843" i="1"/>
  <c r="T843" i="1"/>
  <c r="AE843" i="1" l="1"/>
  <c r="AA843" i="1"/>
  <c r="X844" i="1"/>
  <c r="T844" i="1"/>
  <c r="Z844" i="1"/>
  <c r="W844" i="1"/>
  <c r="Y844" i="1"/>
  <c r="S845" i="1"/>
  <c r="U844" i="1"/>
  <c r="V844" i="1" s="1"/>
  <c r="AF843" i="1"/>
  <c r="AB843" i="1"/>
  <c r="AH843" i="1"/>
  <c r="AD843" i="1"/>
  <c r="AC843" i="1"/>
  <c r="AG843" i="1"/>
  <c r="S846" i="1" l="1"/>
  <c r="Y845" i="1"/>
  <c r="U845" i="1"/>
  <c r="V845" i="1" s="1"/>
  <c r="Z845" i="1"/>
  <c r="W845" i="1"/>
  <c r="X845" i="1"/>
  <c r="T845" i="1"/>
  <c r="AC844" i="1"/>
  <c r="AG844" i="1"/>
  <c r="AB844" i="1"/>
  <c r="AF844" i="1"/>
  <c r="AE844" i="1"/>
  <c r="AA844" i="1"/>
  <c r="AH844" i="1"/>
  <c r="AD844" i="1"/>
  <c r="AD845" i="1" l="1"/>
  <c r="AH845" i="1"/>
  <c r="AB845" i="1"/>
  <c r="AF845" i="1"/>
  <c r="AC845" i="1"/>
  <c r="AG845" i="1"/>
  <c r="AA845" i="1"/>
  <c r="AE845" i="1"/>
  <c r="Y846" i="1"/>
  <c r="S847" i="1"/>
  <c r="W846" i="1"/>
  <c r="U846" i="1"/>
  <c r="V846" i="1" s="1"/>
  <c r="T846" i="1"/>
  <c r="Z846" i="1"/>
  <c r="X846" i="1"/>
  <c r="AA846" i="1" l="1"/>
  <c r="AE846" i="1"/>
  <c r="AD846" i="1"/>
  <c r="AH846" i="1"/>
  <c r="T847" i="1"/>
  <c r="W847" i="1"/>
  <c r="S848" i="1"/>
  <c r="X847" i="1"/>
  <c r="Y847" i="1"/>
  <c r="U847" i="1"/>
  <c r="V847" i="1" s="1"/>
  <c r="Z847" i="1"/>
  <c r="AB846" i="1"/>
  <c r="AF846" i="1"/>
  <c r="AG846" i="1"/>
  <c r="AC846" i="1"/>
  <c r="AF847" i="1" l="1"/>
  <c r="AB847" i="1"/>
  <c r="AH847" i="1"/>
  <c r="AD847" i="1"/>
  <c r="U848" i="1"/>
  <c r="V848" i="1" s="1"/>
  <c r="Y848" i="1"/>
  <c r="Z848" i="1"/>
  <c r="S849" i="1"/>
  <c r="T848" i="1"/>
  <c r="X848" i="1"/>
  <c r="W848" i="1"/>
  <c r="AE847" i="1"/>
  <c r="AA847" i="1"/>
  <c r="AC847" i="1"/>
  <c r="AG847" i="1"/>
  <c r="W849" i="1" l="1"/>
  <c r="Y849" i="1"/>
  <c r="T849" i="1"/>
  <c r="S850" i="1"/>
  <c r="X849" i="1"/>
  <c r="U849" i="1"/>
  <c r="V849" i="1" s="1"/>
  <c r="Z849" i="1"/>
  <c r="AE848" i="1"/>
  <c r="AA848" i="1"/>
  <c r="AH848" i="1"/>
  <c r="AD848" i="1"/>
  <c r="AB848" i="1"/>
  <c r="AF848" i="1"/>
  <c r="AG848" i="1"/>
  <c r="AC848" i="1"/>
  <c r="U850" i="1" l="1"/>
  <c r="V850" i="1" s="1"/>
  <c r="Y850" i="1"/>
  <c r="S851" i="1"/>
  <c r="Z850" i="1"/>
  <c r="X850" i="1"/>
  <c r="W850" i="1"/>
  <c r="T850" i="1"/>
  <c r="AD849" i="1"/>
  <c r="AH849" i="1"/>
  <c r="AG849" i="1"/>
  <c r="AC849" i="1"/>
  <c r="AF849" i="1"/>
  <c r="AB849" i="1"/>
  <c r="AE849" i="1"/>
  <c r="AA849" i="1"/>
  <c r="AD850" i="1" l="1"/>
  <c r="AH850" i="1"/>
  <c r="S852" i="1"/>
  <c r="T851" i="1"/>
  <c r="W851" i="1"/>
  <c r="X851" i="1"/>
  <c r="Z851" i="1"/>
  <c r="U851" i="1"/>
  <c r="V851" i="1" s="1"/>
  <c r="Y851" i="1"/>
  <c r="AE850" i="1"/>
  <c r="AA850" i="1"/>
  <c r="AG850" i="1"/>
  <c r="AC850" i="1"/>
  <c r="AB850" i="1"/>
  <c r="AF850" i="1"/>
  <c r="AH851" i="1" l="1"/>
  <c r="AD851" i="1"/>
  <c r="X852" i="1"/>
  <c r="S853" i="1"/>
  <c r="Z852" i="1"/>
  <c r="T852" i="1"/>
  <c r="U852" i="1"/>
  <c r="V852" i="1" s="1"/>
  <c r="Y852" i="1"/>
  <c r="W852" i="1"/>
  <c r="AF851" i="1"/>
  <c r="AB851" i="1"/>
  <c r="AC851" i="1"/>
  <c r="AG851" i="1"/>
  <c r="AE851" i="1"/>
  <c r="AA851" i="1"/>
  <c r="AC852" i="1" l="1"/>
  <c r="AG852" i="1"/>
  <c r="W853" i="1"/>
  <c r="S854" i="1"/>
  <c r="Z853" i="1"/>
  <c r="X853" i="1"/>
  <c r="Y853" i="1"/>
  <c r="U853" i="1"/>
  <c r="V853" i="1" s="1"/>
  <c r="T853" i="1"/>
  <c r="AB852" i="1"/>
  <c r="AF852" i="1"/>
  <c r="AE852" i="1"/>
  <c r="AA852" i="1"/>
  <c r="AD852" i="1"/>
  <c r="AH852" i="1"/>
  <c r="U854" i="1" l="1"/>
  <c r="V854" i="1" s="1"/>
  <c r="Y854" i="1"/>
  <c r="W854" i="1"/>
  <c r="S855" i="1"/>
  <c r="Z854" i="1"/>
  <c r="T854" i="1"/>
  <c r="X854" i="1"/>
  <c r="AG853" i="1"/>
  <c r="AC853" i="1"/>
  <c r="AA853" i="1"/>
  <c r="AE853" i="1"/>
  <c r="AB853" i="1"/>
  <c r="AF853" i="1"/>
  <c r="AD853" i="1"/>
  <c r="AH853" i="1"/>
  <c r="Z855" i="1" l="1"/>
  <c r="X855" i="1"/>
  <c r="Y855" i="1"/>
  <c r="W855" i="1"/>
  <c r="T855" i="1"/>
  <c r="S856" i="1"/>
  <c r="U855" i="1"/>
  <c r="V855" i="1" s="1"/>
  <c r="AB854" i="1"/>
  <c r="AF854" i="1"/>
  <c r="AE854" i="1"/>
  <c r="AA854" i="1"/>
  <c r="AC854" i="1"/>
  <c r="AG854" i="1"/>
  <c r="AH854" i="1"/>
  <c r="AD854" i="1"/>
  <c r="AE855" i="1" l="1"/>
  <c r="AA855" i="1"/>
  <c r="AG855" i="1"/>
  <c r="AC855" i="1"/>
  <c r="S857" i="1"/>
  <c r="U856" i="1"/>
  <c r="V856" i="1" s="1"/>
  <c r="Y856" i="1"/>
  <c r="T856" i="1"/>
  <c r="X856" i="1"/>
  <c r="Z856" i="1"/>
  <c r="W856" i="1"/>
  <c r="AB855" i="1"/>
  <c r="AF855" i="1"/>
  <c r="AH855" i="1"/>
  <c r="AD855" i="1"/>
  <c r="AE856" i="1" l="1"/>
  <c r="AA856" i="1"/>
  <c r="AC856" i="1"/>
  <c r="AG856" i="1"/>
  <c r="AD856" i="1"/>
  <c r="AH856" i="1"/>
  <c r="AB856" i="1"/>
  <c r="AF856" i="1"/>
  <c r="W857" i="1"/>
  <c r="X857" i="1"/>
  <c r="Z857" i="1"/>
  <c r="Y857" i="1"/>
  <c r="U857" i="1"/>
  <c r="V857" i="1" s="1"/>
  <c r="S858" i="1"/>
  <c r="T857" i="1"/>
  <c r="AG857" i="1" l="1"/>
  <c r="AC857" i="1"/>
  <c r="AD857" i="1"/>
  <c r="AH857" i="1"/>
  <c r="S859" i="1"/>
  <c r="X858" i="1"/>
  <c r="Y858" i="1"/>
  <c r="W858" i="1"/>
  <c r="Z858" i="1"/>
  <c r="U858" i="1"/>
  <c r="V858" i="1" s="1"/>
  <c r="T858" i="1"/>
  <c r="AF857" i="1"/>
  <c r="AB857" i="1"/>
  <c r="AA857" i="1"/>
  <c r="AE857" i="1"/>
  <c r="AA858" i="1" l="1"/>
  <c r="AE858" i="1"/>
  <c r="AC858" i="1"/>
  <c r="AG858" i="1"/>
  <c r="AF858" i="1"/>
  <c r="AB858" i="1"/>
  <c r="AD858" i="1"/>
  <c r="AH858" i="1"/>
  <c r="W859" i="1"/>
  <c r="Y859" i="1"/>
  <c r="Z859" i="1"/>
  <c r="T859" i="1"/>
  <c r="U859" i="1"/>
  <c r="V859" i="1" s="1"/>
  <c r="S860" i="1"/>
  <c r="X859" i="1"/>
  <c r="U860" i="1" l="1"/>
  <c r="V860" i="1" s="1"/>
  <c r="Y860" i="1"/>
  <c r="X860" i="1"/>
  <c r="W860" i="1"/>
  <c r="Z860" i="1"/>
  <c r="S861" i="1"/>
  <c r="T860" i="1"/>
  <c r="AB859" i="1"/>
  <c r="AF859" i="1"/>
  <c r="AD859" i="1"/>
  <c r="AH859" i="1"/>
  <c r="AC859" i="1"/>
  <c r="AG859" i="1"/>
  <c r="AE859" i="1"/>
  <c r="AA859" i="1"/>
  <c r="AA860" i="1" l="1"/>
  <c r="AE860" i="1"/>
  <c r="AB860" i="1"/>
  <c r="AF860" i="1"/>
  <c r="W861" i="1"/>
  <c r="S862" i="1"/>
  <c r="Y861" i="1"/>
  <c r="T861" i="1"/>
  <c r="U861" i="1"/>
  <c r="V861" i="1" s="1"/>
  <c r="X861" i="1"/>
  <c r="Z861" i="1"/>
  <c r="AC860" i="1"/>
  <c r="AG860" i="1"/>
  <c r="AH860" i="1"/>
  <c r="AD860" i="1"/>
  <c r="AD861" i="1" l="1"/>
  <c r="AH861" i="1"/>
  <c r="AG861" i="1"/>
  <c r="AC861" i="1"/>
  <c r="AF861" i="1"/>
  <c r="AB861" i="1"/>
  <c r="T862" i="1"/>
  <c r="S863" i="1"/>
  <c r="X862" i="1"/>
  <c r="U862" i="1"/>
  <c r="V862" i="1" s="1"/>
  <c r="W862" i="1"/>
  <c r="Y862" i="1"/>
  <c r="Z862" i="1"/>
  <c r="AA861" i="1"/>
  <c r="AE861" i="1"/>
  <c r="AG862" i="1" l="1"/>
  <c r="AC862" i="1"/>
  <c r="T863" i="1"/>
  <c r="S864" i="1"/>
  <c r="Y863" i="1"/>
  <c r="W863" i="1"/>
  <c r="U863" i="1"/>
  <c r="V863" i="1" s="1"/>
  <c r="Z863" i="1"/>
  <c r="X863" i="1"/>
  <c r="AE862" i="1"/>
  <c r="AA862" i="1"/>
  <c r="AD862" i="1"/>
  <c r="AH862" i="1"/>
  <c r="AB862" i="1"/>
  <c r="AF862" i="1"/>
  <c r="AD863" i="1" l="1"/>
  <c r="AH863" i="1"/>
  <c r="U864" i="1"/>
  <c r="V864" i="1" s="1"/>
  <c r="Y864" i="1"/>
  <c r="S865" i="1"/>
  <c r="T864" i="1"/>
  <c r="X864" i="1"/>
  <c r="Z864" i="1"/>
  <c r="W864" i="1"/>
  <c r="AE863" i="1"/>
  <c r="AA863" i="1"/>
  <c r="AF863" i="1"/>
  <c r="AB863" i="1"/>
  <c r="AG863" i="1"/>
  <c r="AC863" i="1"/>
  <c r="AH864" i="1" l="1"/>
  <c r="AD864" i="1"/>
  <c r="AC864" i="1"/>
  <c r="AG864" i="1"/>
  <c r="AF864" i="1"/>
  <c r="AB864" i="1"/>
  <c r="AE864" i="1"/>
  <c r="AA864" i="1"/>
  <c r="U865" i="1"/>
  <c r="V865" i="1" s="1"/>
  <c r="T865" i="1"/>
  <c r="Y865" i="1"/>
  <c r="Z865" i="1"/>
  <c r="W865" i="1"/>
  <c r="X865" i="1"/>
  <c r="S866" i="1"/>
  <c r="AD865" i="1" l="1"/>
  <c r="AH865" i="1"/>
  <c r="Z866" i="1"/>
  <c r="U866" i="1"/>
  <c r="V866" i="1" s="1"/>
  <c r="Y866" i="1"/>
  <c r="X866" i="1"/>
  <c r="T866" i="1"/>
  <c r="S867" i="1"/>
  <c r="W866" i="1"/>
  <c r="AG865" i="1"/>
  <c r="AC865" i="1"/>
  <c r="AB865" i="1"/>
  <c r="AF865" i="1"/>
  <c r="AA865" i="1"/>
  <c r="AE865" i="1"/>
  <c r="T867" i="1" l="1"/>
  <c r="Z867" i="1"/>
  <c r="S868" i="1"/>
  <c r="Y867" i="1"/>
  <c r="X867" i="1"/>
  <c r="U867" i="1"/>
  <c r="V867" i="1" s="1"/>
  <c r="W867" i="1"/>
  <c r="AD866" i="1"/>
  <c r="AH866" i="1"/>
  <c r="AB866" i="1"/>
  <c r="AF866" i="1"/>
  <c r="AA866" i="1"/>
  <c r="AE866" i="1"/>
  <c r="AC866" i="1"/>
  <c r="AG866" i="1"/>
  <c r="AC867" i="1" l="1"/>
  <c r="AG867" i="1"/>
  <c r="AE867" i="1"/>
  <c r="AA867" i="1"/>
  <c r="Z868" i="1"/>
  <c r="T868" i="1"/>
  <c r="X868" i="1"/>
  <c r="U868" i="1"/>
  <c r="V868" i="1" s="1"/>
  <c r="W868" i="1"/>
  <c r="Y868" i="1"/>
  <c r="S869" i="1"/>
  <c r="AD867" i="1"/>
  <c r="AH867" i="1"/>
  <c r="AF867" i="1"/>
  <c r="AB867" i="1"/>
  <c r="S870" i="1" l="1"/>
  <c r="Z869" i="1"/>
  <c r="U869" i="1"/>
  <c r="V869" i="1" s="1"/>
  <c r="T869" i="1"/>
  <c r="W869" i="1"/>
  <c r="X869" i="1"/>
  <c r="Y869" i="1"/>
  <c r="AF868" i="1"/>
  <c r="AB868" i="1"/>
  <c r="AC868" i="1"/>
  <c r="AG868" i="1"/>
  <c r="AA868" i="1"/>
  <c r="AE868" i="1"/>
  <c r="AD868" i="1"/>
  <c r="AH868" i="1"/>
  <c r="AC869" i="1" l="1"/>
  <c r="AG869" i="1"/>
  <c r="AF869" i="1"/>
  <c r="AB869" i="1"/>
  <c r="AD869" i="1"/>
  <c r="AH869" i="1"/>
  <c r="AA869" i="1"/>
  <c r="AE869" i="1"/>
  <c r="X870" i="1"/>
  <c r="Y870" i="1"/>
  <c r="U870" i="1"/>
  <c r="V870" i="1" s="1"/>
  <c r="S871" i="1"/>
  <c r="Z870" i="1"/>
  <c r="W870" i="1"/>
  <c r="T870" i="1"/>
  <c r="T871" i="1" l="1"/>
  <c r="X871" i="1"/>
  <c r="S872" i="1"/>
  <c r="Y871" i="1"/>
  <c r="W871" i="1"/>
  <c r="Z871" i="1"/>
  <c r="U871" i="1"/>
  <c r="V871" i="1" s="1"/>
  <c r="AE870" i="1"/>
  <c r="AA870" i="1"/>
  <c r="AG870" i="1"/>
  <c r="AC870" i="1"/>
  <c r="AD870" i="1"/>
  <c r="AH870" i="1"/>
  <c r="AF870" i="1"/>
  <c r="AB870" i="1"/>
  <c r="AG871" i="1" l="1"/>
  <c r="AC871" i="1"/>
  <c r="S873" i="1"/>
  <c r="Y872" i="1"/>
  <c r="T872" i="1"/>
  <c r="X872" i="1"/>
  <c r="W872" i="1"/>
  <c r="Z872" i="1"/>
  <c r="U872" i="1"/>
  <c r="V872" i="1" s="1"/>
  <c r="AD871" i="1"/>
  <c r="AH871" i="1"/>
  <c r="AF871" i="1"/>
  <c r="AB871" i="1"/>
  <c r="AE871" i="1"/>
  <c r="AA871" i="1"/>
  <c r="AD872" i="1" l="1"/>
  <c r="AH872" i="1"/>
  <c r="AC872" i="1"/>
  <c r="AG872" i="1"/>
  <c r="AA872" i="1"/>
  <c r="AE872" i="1"/>
  <c r="T873" i="1"/>
  <c r="W873" i="1"/>
  <c r="Z873" i="1"/>
  <c r="X873" i="1"/>
  <c r="U873" i="1"/>
  <c r="V873" i="1" s="1"/>
  <c r="S874" i="1"/>
  <c r="Y873" i="1"/>
  <c r="AB872" i="1"/>
  <c r="AF872" i="1"/>
  <c r="AA873" i="1" l="1"/>
  <c r="AE873" i="1"/>
  <c r="U874" i="1"/>
  <c r="V874" i="1" s="1"/>
  <c r="Y874" i="1"/>
  <c r="X874" i="1"/>
  <c r="Z874" i="1"/>
  <c r="W874" i="1"/>
  <c r="S875" i="1"/>
  <c r="T874" i="1"/>
  <c r="AF873" i="1"/>
  <c r="AB873" i="1"/>
  <c r="AC873" i="1"/>
  <c r="AG873" i="1"/>
  <c r="AD873" i="1"/>
  <c r="AH873" i="1"/>
  <c r="T875" i="1" l="1"/>
  <c r="U875" i="1"/>
  <c r="V875" i="1" s="1"/>
  <c r="X875" i="1"/>
  <c r="Y875" i="1"/>
  <c r="Z875" i="1"/>
  <c r="W875" i="1"/>
  <c r="S876" i="1"/>
  <c r="AC874" i="1"/>
  <c r="AG874" i="1"/>
  <c r="AE874" i="1"/>
  <c r="AA874" i="1"/>
  <c r="AH874" i="1"/>
  <c r="AD874" i="1"/>
  <c r="AF874" i="1"/>
  <c r="AB874" i="1"/>
  <c r="AG875" i="1" l="1"/>
  <c r="AC875" i="1"/>
  <c r="S877" i="1"/>
  <c r="T876" i="1"/>
  <c r="W876" i="1"/>
  <c r="Y876" i="1"/>
  <c r="U876" i="1"/>
  <c r="V876" i="1" s="1"/>
  <c r="X876" i="1"/>
  <c r="Z876" i="1"/>
  <c r="AF875" i="1"/>
  <c r="AB875" i="1"/>
  <c r="AA875" i="1"/>
  <c r="AE875" i="1"/>
  <c r="AH875" i="1"/>
  <c r="AD875" i="1"/>
  <c r="AF876" i="1" l="1"/>
  <c r="AB876" i="1"/>
  <c r="W877" i="1"/>
  <c r="T877" i="1"/>
  <c r="Z877" i="1"/>
  <c r="S878" i="1"/>
  <c r="X877" i="1"/>
  <c r="U877" i="1"/>
  <c r="V877" i="1" s="1"/>
  <c r="Y877" i="1"/>
  <c r="AC876" i="1"/>
  <c r="AG876" i="1"/>
  <c r="AH876" i="1"/>
  <c r="AD876" i="1"/>
  <c r="AE876" i="1"/>
  <c r="AA876" i="1"/>
  <c r="AF877" i="1" l="1"/>
  <c r="AB877" i="1"/>
  <c r="AA877" i="1"/>
  <c r="AE877" i="1"/>
  <c r="Y878" i="1"/>
  <c r="Z878" i="1"/>
  <c r="X878" i="1"/>
  <c r="U878" i="1"/>
  <c r="V878" i="1" s="1"/>
  <c r="S879" i="1"/>
  <c r="W878" i="1"/>
  <c r="T878" i="1"/>
  <c r="AG877" i="1"/>
  <c r="AC877" i="1"/>
  <c r="AH877" i="1"/>
  <c r="AD877" i="1"/>
  <c r="AF878" i="1" l="1"/>
  <c r="AB878" i="1"/>
  <c r="AE878" i="1"/>
  <c r="AA878" i="1"/>
  <c r="AH878" i="1"/>
  <c r="AD878" i="1"/>
  <c r="U879" i="1"/>
  <c r="V879" i="1" s="1"/>
  <c r="T879" i="1"/>
  <c r="S880" i="1"/>
  <c r="Y879" i="1"/>
  <c r="X879" i="1"/>
  <c r="W879" i="1"/>
  <c r="Z879" i="1"/>
  <c r="AC878" i="1"/>
  <c r="AG878" i="1"/>
  <c r="AE879" i="1" l="1"/>
  <c r="AA879" i="1"/>
  <c r="AF879" i="1"/>
  <c r="AB879" i="1"/>
  <c r="AG879" i="1"/>
  <c r="AC879" i="1"/>
  <c r="AD879" i="1"/>
  <c r="AH879" i="1"/>
  <c r="W880" i="1"/>
  <c r="S881" i="1"/>
  <c r="X880" i="1"/>
  <c r="U880" i="1"/>
  <c r="V880" i="1" s="1"/>
  <c r="Y880" i="1"/>
  <c r="Z880" i="1"/>
  <c r="T880" i="1"/>
  <c r="AF880" i="1" l="1"/>
  <c r="AB880" i="1"/>
  <c r="AH880" i="1"/>
  <c r="AD880" i="1"/>
  <c r="W881" i="1"/>
  <c r="X881" i="1"/>
  <c r="S882" i="1"/>
  <c r="U881" i="1"/>
  <c r="V881" i="1" s="1"/>
  <c r="Z881" i="1"/>
  <c r="T881" i="1"/>
  <c r="Y881" i="1"/>
  <c r="AG880" i="1"/>
  <c r="AC880" i="1"/>
  <c r="AE880" i="1"/>
  <c r="AA880" i="1"/>
  <c r="AC881" i="1" l="1"/>
  <c r="AG881" i="1"/>
  <c r="Y882" i="1"/>
  <c r="U882" i="1"/>
  <c r="V882" i="1" s="1"/>
  <c r="X882" i="1"/>
  <c r="S883" i="1"/>
  <c r="W882" i="1"/>
  <c r="T882" i="1"/>
  <c r="Z882" i="1"/>
  <c r="AB881" i="1"/>
  <c r="AF881" i="1"/>
  <c r="AH881" i="1"/>
  <c r="AD881" i="1"/>
  <c r="AE881" i="1"/>
  <c r="AA881" i="1"/>
  <c r="AE882" i="1" l="1"/>
  <c r="AA882" i="1"/>
  <c r="AG882" i="1"/>
  <c r="AC882" i="1"/>
  <c r="Z883" i="1"/>
  <c r="T883" i="1"/>
  <c r="S884" i="1"/>
  <c r="X883" i="1"/>
  <c r="U883" i="1"/>
  <c r="V883" i="1" s="1"/>
  <c r="W883" i="1"/>
  <c r="Y883" i="1"/>
  <c r="AD882" i="1"/>
  <c r="AH882" i="1"/>
  <c r="AF882" i="1"/>
  <c r="AB882" i="1"/>
  <c r="AF883" i="1" l="1"/>
  <c r="AB883" i="1"/>
  <c r="AC883" i="1"/>
  <c r="AG883" i="1"/>
  <c r="U884" i="1"/>
  <c r="V884" i="1" s="1"/>
  <c r="W884" i="1"/>
  <c r="Z884" i="1"/>
  <c r="S885" i="1"/>
  <c r="T884" i="1"/>
  <c r="X884" i="1"/>
  <c r="Y884" i="1"/>
  <c r="AE883" i="1"/>
  <c r="AA883" i="1"/>
  <c r="AH883" i="1"/>
  <c r="AD883" i="1"/>
  <c r="T885" i="1" l="1"/>
  <c r="U885" i="1"/>
  <c r="V885" i="1" s="1"/>
  <c r="Z885" i="1"/>
  <c r="X885" i="1"/>
  <c r="Y885" i="1"/>
  <c r="W885" i="1"/>
  <c r="S886" i="1"/>
  <c r="AG884" i="1"/>
  <c r="AC884" i="1"/>
  <c r="AD884" i="1"/>
  <c r="AH884" i="1"/>
  <c r="AB884" i="1"/>
  <c r="AF884" i="1"/>
  <c r="AA884" i="1"/>
  <c r="AE884" i="1"/>
  <c r="AB885" i="1" l="1"/>
  <c r="AF885" i="1"/>
  <c r="Y886" i="1"/>
  <c r="Z886" i="1"/>
  <c r="X886" i="1"/>
  <c r="T886" i="1"/>
  <c r="S887" i="1"/>
  <c r="U886" i="1"/>
  <c r="V886" i="1" s="1"/>
  <c r="W886" i="1"/>
  <c r="AH885" i="1"/>
  <c r="AD885" i="1"/>
  <c r="AA885" i="1"/>
  <c r="AE885" i="1"/>
  <c r="AC885" i="1"/>
  <c r="AG885" i="1"/>
  <c r="AH886" i="1" l="1"/>
  <c r="AD886" i="1"/>
  <c r="W887" i="1"/>
  <c r="Y887" i="1"/>
  <c r="S888" i="1"/>
  <c r="X887" i="1"/>
  <c r="T887" i="1"/>
  <c r="U887" i="1"/>
  <c r="V887" i="1" s="1"/>
  <c r="Z887" i="1"/>
  <c r="AC886" i="1"/>
  <c r="AG886" i="1"/>
  <c r="AE886" i="1"/>
  <c r="AA886" i="1"/>
  <c r="AF886" i="1"/>
  <c r="AB886" i="1"/>
  <c r="AG887" i="1" l="1"/>
  <c r="AC887" i="1"/>
  <c r="AA887" i="1"/>
  <c r="AE887" i="1"/>
  <c r="AB887" i="1"/>
  <c r="AF887" i="1"/>
  <c r="AH887" i="1"/>
  <c r="AD887" i="1"/>
  <c r="U888" i="1"/>
  <c r="V888" i="1" s="1"/>
  <c r="Y888" i="1"/>
  <c r="W888" i="1"/>
  <c r="Z888" i="1"/>
  <c r="S889" i="1"/>
  <c r="T888" i="1"/>
  <c r="X888" i="1"/>
  <c r="AD888" i="1" l="1"/>
  <c r="AH888" i="1"/>
  <c r="AF888" i="1"/>
  <c r="AB888" i="1"/>
  <c r="AA888" i="1"/>
  <c r="AE888" i="1"/>
  <c r="AC888" i="1"/>
  <c r="AG888" i="1"/>
  <c r="U889" i="1"/>
  <c r="V889" i="1" s="1"/>
  <c r="X889" i="1"/>
  <c r="Z889" i="1"/>
  <c r="S890" i="1"/>
  <c r="T889" i="1"/>
  <c r="Y889" i="1"/>
  <c r="W889" i="1"/>
  <c r="W890" i="1" l="1"/>
  <c r="S891" i="1"/>
  <c r="X890" i="1"/>
  <c r="Z890" i="1"/>
  <c r="U890" i="1"/>
  <c r="V890" i="1" s="1"/>
  <c r="Y890" i="1"/>
  <c r="T890" i="1"/>
  <c r="AA889" i="1"/>
  <c r="AE889" i="1"/>
  <c r="AH889" i="1"/>
  <c r="AD889" i="1"/>
  <c r="AC889" i="1"/>
  <c r="AG889" i="1"/>
  <c r="AF889" i="1"/>
  <c r="AB889" i="1"/>
  <c r="AD890" i="1" l="1"/>
  <c r="AH890" i="1"/>
  <c r="AB890" i="1"/>
  <c r="AF890" i="1"/>
  <c r="AG890" i="1"/>
  <c r="AC890" i="1"/>
  <c r="X891" i="1"/>
  <c r="W891" i="1"/>
  <c r="S892" i="1"/>
  <c r="Z891" i="1"/>
  <c r="Y891" i="1"/>
  <c r="T891" i="1"/>
  <c r="U891" i="1"/>
  <c r="V891" i="1" s="1"/>
  <c r="AE890" i="1"/>
  <c r="AA890" i="1"/>
  <c r="AE891" i="1" l="1"/>
  <c r="AA891" i="1"/>
  <c r="AG891" i="1"/>
  <c r="AC891" i="1"/>
  <c r="AF891" i="1"/>
  <c r="AB891" i="1"/>
  <c r="AH891" i="1"/>
  <c r="AD891" i="1"/>
  <c r="Z892" i="1"/>
  <c r="U892" i="1"/>
  <c r="V892" i="1" s="1"/>
  <c r="T892" i="1"/>
  <c r="X892" i="1"/>
  <c r="S893" i="1"/>
  <c r="Y892" i="1"/>
  <c r="W892" i="1"/>
  <c r="AB892" i="1" l="1"/>
  <c r="AF892" i="1"/>
  <c r="AE892" i="1"/>
  <c r="AA892" i="1"/>
  <c r="AG892" i="1"/>
  <c r="AC892" i="1"/>
  <c r="W893" i="1"/>
  <c r="U893" i="1"/>
  <c r="V893" i="1" s="1"/>
  <c r="X893" i="1"/>
  <c r="S894" i="1"/>
  <c r="T893" i="1"/>
  <c r="Y893" i="1"/>
  <c r="Z893" i="1"/>
  <c r="AD892" i="1"/>
  <c r="AH892" i="1"/>
  <c r="AG893" i="1" l="1"/>
  <c r="AC893" i="1"/>
  <c r="AA893" i="1"/>
  <c r="AE893" i="1"/>
  <c r="X894" i="1"/>
  <c r="Z894" i="1"/>
  <c r="U894" i="1"/>
  <c r="V894" i="1" s="1"/>
  <c r="W894" i="1"/>
  <c r="Y894" i="1"/>
  <c r="T894" i="1"/>
  <c r="S895" i="1"/>
  <c r="AD893" i="1"/>
  <c r="AH893" i="1"/>
  <c r="AF893" i="1"/>
  <c r="AB893" i="1"/>
  <c r="AE894" i="1" l="1"/>
  <c r="AA894" i="1"/>
  <c r="U895" i="1"/>
  <c r="V895" i="1" s="1"/>
  <c r="X895" i="1"/>
  <c r="Z895" i="1"/>
  <c r="T895" i="1"/>
  <c r="Y895" i="1"/>
  <c r="W895" i="1"/>
  <c r="S896" i="1"/>
  <c r="AH894" i="1"/>
  <c r="AD894" i="1"/>
  <c r="AG894" i="1"/>
  <c r="AC894" i="1"/>
  <c r="AF894" i="1"/>
  <c r="AB894" i="1"/>
  <c r="AB895" i="1" l="1"/>
  <c r="AF895" i="1"/>
  <c r="AG895" i="1"/>
  <c r="AC895" i="1"/>
  <c r="AA895" i="1"/>
  <c r="AE895" i="1"/>
  <c r="W896" i="1"/>
  <c r="U896" i="1"/>
  <c r="V896" i="1" s="1"/>
  <c r="X896" i="1"/>
  <c r="Z896" i="1"/>
  <c r="T896" i="1"/>
  <c r="S897" i="1"/>
  <c r="Y896" i="1"/>
  <c r="AD895" i="1"/>
  <c r="AH895" i="1"/>
  <c r="Y897" i="1" l="1"/>
  <c r="W897" i="1"/>
  <c r="Z897" i="1"/>
  <c r="X897" i="1"/>
  <c r="U897" i="1"/>
  <c r="V897" i="1" s="1"/>
  <c r="S898" i="1"/>
  <c r="T897" i="1"/>
  <c r="AA896" i="1"/>
  <c r="AE896" i="1"/>
  <c r="AH896" i="1"/>
  <c r="AD896" i="1"/>
  <c r="AG896" i="1"/>
  <c r="AC896" i="1"/>
  <c r="AB896" i="1"/>
  <c r="AF896" i="1"/>
  <c r="AF897" i="1" l="1"/>
  <c r="AB897" i="1"/>
  <c r="AH897" i="1"/>
  <c r="AD897" i="1"/>
  <c r="Y898" i="1"/>
  <c r="Z898" i="1"/>
  <c r="T898" i="1"/>
  <c r="X898" i="1"/>
  <c r="S899" i="1"/>
  <c r="W898" i="1"/>
  <c r="U898" i="1"/>
  <c r="V898" i="1" s="1"/>
  <c r="AE897" i="1"/>
  <c r="AA897" i="1"/>
  <c r="AG897" i="1"/>
  <c r="AC897" i="1"/>
  <c r="AF898" i="1" l="1"/>
  <c r="AB898" i="1"/>
  <c r="AE898" i="1"/>
  <c r="AA898" i="1"/>
  <c r="AH898" i="1"/>
  <c r="AD898" i="1"/>
  <c r="X899" i="1"/>
  <c r="S900" i="1"/>
  <c r="T899" i="1"/>
  <c r="Z899" i="1"/>
  <c r="U899" i="1"/>
  <c r="V899" i="1" s="1"/>
  <c r="Y899" i="1"/>
  <c r="W899" i="1"/>
  <c r="AG898" i="1"/>
  <c r="AC898" i="1"/>
  <c r="Y900" i="1" l="1"/>
  <c r="U900" i="1"/>
  <c r="V900" i="1" s="1"/>
  <c r="W900" i="1"/>
  <c r="Z900" i="1"/>
  <c r="T900" i="1"/>
  <c r="S901" i="1"/>
  <c r="X900" i="1"/>
  <c r="AF899" i="1"/>
  <c r="AB899" i="1"/>
  <c r="AC899" i="1"/>
  <c r="AG899" i="1"/>
  <c r="AH899" i="1"/>
  <c r="AD899" i="1"/>
  <c r="AA899" i="1"/>
  <c r="AE899" i="1"/>
  <c r="AD900" i="1" l="1"/>
  <c r="AH900" i="1"/>
  <c r="AF900" i="1"/>
  <c r="AB900" i="1"/>
  <c r="AA900" i="1"/>
  <c r="AE900" i="1"/>
  <c r="T901" i="1"/>
  <c r="W901" i="1"/>
  <c r="Z901" i="1"/>
  <c r="Y901" i="1"/>
  <c r="U901" i="1"/>
  <c r="V901" i="1" s="1"/>
  <c r="X901" i="1"/>
  <c r="S902" i="1"/>
  <c r="AG900" i="1"/>
  <c r="AC900" i="1"/>
  <c r="AB901" i="1" l="1"/>
  <c r="AF901" i="1"/>
  <c r="AA901" i="1"/>
  <c r="AE901" i="1"/>
  <c r="AG901" i="1"/>
  <c r="AC901" i="1"/>
  <c r="W902" i="1"/>
  <c r="X902" i="1"/>
  <c r="T902" i="1"/>
  <c r="U902" i="1"/>
  <c r="V902" i="1" s="1"/>
  <c r="Y902" i="1"/>
  <c r="Z902" i="1"/>
  <c r="S903" i="1"/>
  <c r="AD901" i="1"/>
  <c r="AH901" i="1"/>
  <c r="AD902" i="1" l="1"/>
  <c r="AH902" i="1"/>
  <c r="AF902" i="1"/>
  <c r="AB902" i="1"/>
  <c r="AC902" i="1"/>
  <c r="AG902" i="1"/>
  <c r="AA902" i="1"/>
  <c r="AE902" i="1"/>
  <c r="Y903" i="1"/>
  <c r="S904" i="1"/>
  <c r="U903" i="1"/>
  <c r="V903" i="1" s="1"/>
  <c r="Z903" i="1"/>
  <c r="X903" i="1"/>
  <c r="W903" i="1"/>
  <c r="T903" i="1"/>
  <c r="AD903" i="1" l="1"/>
  <c r="AH903" i="1"/>
  <c r="AE903" i="1"/>
  <c r="AA903" i="1"/>
  <c r="T904" i="1"/>
  <c r="W904" i="1"/>
  <c r="U904" i="1"/>
  <c r="V904" i="1" s="1"/>
  <c r="X904" i="1"/>
  <c r="S905" i="1"/>
  <c r="Z904" i="1"/>
  <c r="Y904" i="1"/>
  <c r="AF903" i="1"/>
  <c r="AB903" i="1"/>
  <c r="AG903" i="1"/>
  <c r="AC903" i="1"/>
  <c r="AF904" i="1" l="1"/>
  <c r="AB904" i="1"/>
  <c r="AG904" i="1"/>
  <c r="AC904" i="1"/>
  <c r="AH904" i="1"/>
  <c r="AD904" i="1"/>
  <c r="AE904" i="1"/>
  <c r="AA904" i="1"/>
  <c r="U905" i="1"/>
  <c r="V905" i="1" s="1"/>
  <c r="T905" i="1"/>
  <c r="W905" i="1"/>
  <c r="X905" i="1"/>
  <c r="S906" i="1"/>
  <c r="Y905" i="1"/>
  <c r="Z905" i="1"/>
  <c r="AB905" i="1" l="1"/>
  <c r="AF905" i="1"/>
  <c r="AH905" i="1"/>
  <c r="AD905" i="1"/>
  <c r="AA905" i="1"/>
  <c r="AE905" i="1"/>
  <c r="AC905" i="1"/>
  <c r="AG905" i="1"/>
  <c r="S907" i="1"/>
  <c r="Y906" i="1"/>
  <c r="U906" i="1"/>
  <c r="V906" i="1" s="1"/>
  <c r="W906" i="1"/>
  <c r="X906" i="1"/>
  <c r="T906" i="1"/>
  <c r="Z906" i="1"/>
  <c r="AE906" i="1" l="1"/>
  <c r="AA906" i="1"/>
  <c r="AD906" i="1"/>
  <c r="AH906" i="1"/>
  <c r="AC906" i="1"/>
  <c r="AG906" i="1"/>
  <c r="AB906" i="1"/>
  <c r="AF906" i="1"/>
  <c r="Z907" i="1"/>
  <c r="T907" i="1"/>
  <c r="X907" i="1"/>
  <c r="Y907" i="1"/>
  <c r="S908" i="1"/>
  <c r="W907" i="1"/>
  <c r="U907" i="1"/>
  <c r="V907" i="1" s="1"/>
  <c r="AG907" i="1" l="1"/>
  <c r="AC907" i="1"/>
  <c r="AF907" i="1"/>
  <c r="AB907" i="1"/>
  <c r="AE907" i="1"/>
  <c r="AA907" i="1"/>
  <c r="U908" i="1"/>
  <c r="V908" i="1" s="1"/>
  <c r="Y908" i="1"/>
  <c r="X908" i="1"/>
  <c r="S909" i="1"/>
  <c r="T908" i="1"/>
  <c r="Z908" i="1"/>
  <c r="W908" i="1"/>
  <c r="AD907" i="1"/>
  <c r="AH907" i="1"/>
  <c r="AD908" i="1" l="1"/>
  <c r="AH908" i="1"/>
  <c r="AC908" i="1"/>
  <c r="AG908" i="1"/>
  <c r="Z909" i="1"/>
  <c r="S910" i="1"/>
  <c r="Y909" i="1"/>
  <c r="U909" i="1"/>
  <c r="V909" i="1" s="1"/>
  <c r="X909" i="1"/>
  <c r="W909" i="1"/>
  <c r="T909" i="1"/>
  <c r="AE908" i="1"/>
  <c r="AA908" i="1"/>
  <c r="AF908" i="1"/>
  <c r="AB908" i="1"/>
  <c r="AG909" i="1" l="1"/>
  <c r="AC909" i="1"/>
  <c r="T910" i="1"/>
  <c r="W910" i="1"/>
  <c r="Y910" i="1"/>
  <c r="S911" i="1"/>
  <c r="U910" i="1"/>
  <c r="V910" i="1" s="1"/>
  <c r="Z910" i="1"/>
  <c r="X910" i="1"/>
  <c r="AE909" i="1"/>
  <c r="AA909" i="1"/>
  <c r="AB909" i="1"/>
  <c r="AF909" i="1"/>
  <c r="AD909" i="1"/>
  <c r="AH909" i="1"/>
  <c r="AH910" i="1" l="1"/>
  <c r="AD910" i="1"/>
  <c r="AA910" i="1"/>
  <c r="AE910" i="1"/>
  <c r="Y911" i="1"/>
  <c r="S912" i="1"/>
  <c r="U911" i="1"/>
  <c r="V911" i="1" s="1"/>
  <c r="Z911" i="1"/>
  <c r="T911" i="1"/>
  <c r="X911" i="1"/>
  <c r="W911" i="1"/>
  <c r="AB910" i="1"/>
  <c r="AF910" i="1"/>
  <c r="AC910" i="1"/>
  <c r="AG910" i="1"/>
  <c r="AD911" i="1" l="1"/>
  <c r="AH911" i="1"/>
  <c r="AA911" i="1"/>
  <c r="AE911" i="1"/>
  <c r="AB911" i="1"/>
  <c r="AF911" i="1"/>
  <c r="T912" i="1"/>
  <c r="X912" i="1"/>
  <c r="Y912" i="1"/>
  <c r="Z912" i="1"/>
  <c r="S913" i="1"/>
  <c r="U912" i="1"/>
  <c r="V912" i="1" s="1"/>
  <c r="W912" i="1"/>
  <c r="AG911" i="1"/>
  <c r="AC911" i="1"/>
  <c r="AB912" i="1" l="1"/>
  <c r="AF912" i="1"/>
  <c r="S914" i="1"/>
  <c r="X913" i="1"/>
  <c r="W913" i="1"/>
  <c r="T913" i="1"/>
  <c r="Z913" i="1"/>
  <c r="U913" i="1"/>
  <c r="V913" i="1" s="1"/>
  <c r="Y913" i="1"/>
  <c r="AD912" i="1"/>
  <c r="AH912" i="1"/>
  <c r="AE912" i="1"/>
  <c r="AA912" i="1"/>
  <c r="AG912" i="1"/>
  <c r="AC912" i="1"/>
  <c r="AF913" i="1" l="1"/>
  <c r="AB913" i="1"/>
  <c r="AD913" i="1"/>
  <c r="AH913" i="1"/>
  <c r="W914" i="1"/>
  <c r="T914" i="1"/>
  <c r="X914" i="1"/>
  <c r="Y914" i="1"/>
  <c r="Z914" i="1"/>
  <c r="S915" i="1"/>
  <c r="U914" i="1"/>
  <c r="V914" i="1" s="1"/>
  <c r="AC913" i="1"/>
  <c r="AG913" i="1"/>
  <c r="AA913" i="1"/>
  <c r="AE913" i="1"/>
  <c r="AG914" i="1" l="1"/>
  <c r="AC914" i="1"/>
  <c r="AB914" i="1"/>
  <c r="AF914" i="1"/>
  <c r="U915" i="1"/>
  <c r="V915" i="1" s="1"/>
  <c r="T915" i="1"/>
  <c r="S916" i="1"/>
  <c r="Y915" i="1"/>
  <c r="W915" i="1"/>
  <c r="X915" i="1"/>
  <c r="Z915" i="1"/>
  <c r="AH914" i="1"/>
  <c r="AD914" i="1"/>
  <c r="AA914" i="1"/>
  <c r="AE914" i="1"/>
  <c r="AG915" i="1" l="1"/>
  <c r="AC915" i="1"/>
  <c r="AH915" i="1"/>
  <c r="AD915" i="1"/>
  <c r="X916" i="1"/>
  <c r="U916" i="1"/>
  <c r="V916" i="1" s="1"/>
  <c r="T916" i="1"/>
  <c r="S917" i="1"/>
  <c r="Y916" i="1"/>
  <c r="W916" i="1"/>
  <c r="Z916" i="1"/>
  <c r="AB915" i="1"/>
  <c r="AF915" i="1"/>
  <c r="AA915" i="1"/>
  <c r="AE915" i="1"/>
  <c r="Z917" i="1" l="1"/>
  <c r="W917" i="1"/>
  <c r="S918" i="1"/>
  <c r="T917" i="1"/>
  <c r="U917" i="1"/>
  <c r="V917" i="1" s="1"/>
  <c r="Y917" i="1"/>
  <c r="X917" i="1"/>
  <c r="AD916" i="1"/>
  <c r="AH916" i="1"/>
  <c r="AE916" i="1"/>
  <c r="AA916" i="1"/>
  <c r="AC916" i="1"/>
  <c r="AG916" i="1"/>
  <c r="AF916" i="1"/>
  <c r="AB916" i="1"/>
  <c r="AB917" i="1" l="1"/>
  <c r="AF917" i="1"/>
  <c r="Y918" i="1"/>
  <c r="S919" i="1"/>
  <c r="T918" i="1"/>
  <c r="U918" i="1"/>
  <c r="V918" i="1" s="1"/>
  <c r="Z918" i="1"/>
  <c r="W918" i="1"/>
  <c r="X918" i="1"/>
  <c r="AC917" i="1"/>
  <c r="AG917" i="1"/>
  <c r="AA917" i="1"/>
  <c r="AE917" i="1"/>
  <c r="AH917" i="1"/>
  <c r="AD917" i="1"/>
  <c r="AE918" i="1" l="1"/>
  <c r="AA918" i="1"/>
  <c r="X919" i="1"/>
  <c r="S920" i="1"/>
  <c r="W919" i="1"/>
  <c r="Z919" i="1"/>
  <c r="T919" i="1"/>
  <c r="Y919" i="1"/>
  <c r="U919" i="1"/>
  <c r="V919" i="1" s="1"/>
  <c r="AD918" i="1"/>
  <c r="AH918" i="1"/>
  <c r="AG918" i="1"/>
  <c r="AC918" i="1"/>
  <c r="AB918" i="1"/>
  <c r="AF918" i="1"/>
  <c r="AG919" i="1" l="1"/>
  <c r="AC919" i="1"/>
  <c r="Y920" i="1"/>
  <c r="S921" i="1"/>
  <c r="X920" i="1"/>
  <c r="U920" i="1"/>
  <c r="V920" i="1" s="1"/>
  <c r="T920" i="1"/>
  <c r="W920" i="1"/>
  <c r="Z920" i="1"/>
  <c r="AF919" i="1"/>
  <c r="AB919" i="1"/>
  <c r="AD919" i="1"/>
  <c r="AH919" i="1"/>
  <c r="AA919" i="1"/>
  <c r="AE919" i="1"/>
  <c r="AA920" i="1" l="1"/>
  <c r="AE920" i="1"/>
  <c r="U921" i="1"/>
  <c r="V921" i="1" s="1"/>
  <c r="T921" i="1"/>
  <c r="S922" i="1"/>
  <c r="Y921" i="1"/>
  <c r="X921" i="1"/>
  <c r="W921" i="1"/>
  <c r="Z921" i="1"/>
  <c r="AC920" i="1"/>
  <c r="AG920" i="1"/>
  <c r="AH920" i="1"/>
  <c r="AD920" i="1"/>
  <c r="AB920" i="1"/>
  <c r="AF920" i="1"/>
  <c r="AE921" i="1" l="1"/>
  <c r="AA921" i="1"/>
  <c r="AB921" i="1"/>
  <c r="AF921" i="1"/>
  <c r="AC921" i="1"/>
  <c r="AG921" i="1"/>
  <c r="AH921" i="1"/>
  <c r="AD921" i="1"/>
  <c r="S923" i="1"/>
  <c r="Z922" i="1"/>
  <c r="U922" i="1"/>
  <c r="V922" i="1" s="1"/>
  <c r="Y922" i="1"/>
  <c r="W922" i="1"/>
  <c r="T922" i="1"/>
  <c r="X922" i="1"/>
  <c r="AG922" i="1" l="1"/>
  <c r="AC922" i="1"/>
  <c r="AB922" i="1"/>
  <c r="AF922" i="1"/>
  <c r="AD922" i="1"/>
  <c r="AH922" i="1"/>
  <c r="AE922" i="1"/>
  <c r="AA922" i="1"/>
  <c r="T923" i="1"/>
  <c r="Z923" i="1"/>
  <c r="U923" i="1"/>
  <c r="V923" i="1" s="1"/>
  <c r="S924" i="1"/>
  <c r="W923" i="1"/>
  <c r="Y923" i="1"/>
  <c r="X923" i="1"/>
  <c r="S925" i="1" l="1"/>
  <c r="W924" i="1"/>
  <c r="T924" i="1"/>
  <c r="Z924" i="1"/>
  <c r="Y924" i="1"/>
  <c r="U924" i="1"/>
  <c r="V924" i="1" s="1"/>
  <c r="X924" i="1"/>
  <c r="AC923" i="1"/>
  <c r="AG923" i="1"/>
  <c r="AE923" i="1"/>
  <c r="AA923" i="1"/>
  <c r="AB923" i="1"/>
  <c r="AF923" i="1"/>
  <c r="AD923" i="1"/>
  <c r="AH923" i="1"/>
  <c r="AH924" i="1" l="1"/>
  <c r="AD924" i="1"/>
  <c r="AB924" i="1"/>
  <c r="AF924" i="1"/>
  <c r="AE924" i="1"/>
  <c r="AA924" i="1"/>
  <c r="AC924" i="1"/>
  <c r="AG924" i="1"/>
  <c r="X925" i="1"/>
  <c r="T925" i="1"/>
  <c r="U925" i="1"/>
  <c r="V925" i="1" s="1"/>
  <c r="S926" i="1"/>
  <c r="Y925" i="1"/>
  <c r="Z925" i="1"/>
  <c r="W925" i="1"/>
  <c r="U926" i="1" l="1"/>
  <c r="V926" i="1" s="1"/>
  <c r="W926" i="1"/>
  <c r="X926" i="1"/>
  <c r="S927" i="1"/>
  <c r="Y926" i="1"/>
  <c r="Z926" i="1"/>
  <c r="T926" i="1"/>
  <c r="AA925" i="1"/>
  <c r="AE925" i="1"/>
  <c r="AH925" i="1"/>
  <c r="AD925" i="1"/>
  <c r="AG925" i="1"/>
  <c r="AC925" i="1"/>
  <c r="AF925" i="1"/>
  <c r="AB925" i="1"/>
  <c r="Z927" i="1" l="1"/>
  <c r="Y927" i="1"/>
  <c r="S928" i="1"/>
  <c r="X927" i="1"/>
  <c r="U927" i="1"/>
  <c r="V927" i="1" s="1"/>
  <c r="W927" i="1"/>
  <c r="T927" i="1"/>
  <c r="AF926" i="1"/>
  <c r="AB926" i="1"/>
  <c r="AD926" i="1"/>
  <c r="AH926" i="1"/>
  <c r="AE926" i="1"/>
  <c r="AA926" i="1"/>
  <c r="AC926" i="1"/>
  <c r="AG926" i="1"/>
  <c r="AB927" i="1" l="1"/>
  <c r="AF927" i="1"/>
  <c r="S929" i="1"/>
  <c r="X928" i="1"/>
  <c r="W928" i="1"/>
  <c r="T928" i="1"/>
  <c r="Z928" i="1"/>
  <c r="U928" i="1"/>
  <c r="V928" i="1" s="1"/>
  <c r="Y928" i="1"/>
  <c r="AA927" i="1"/>
  <c r="AE927" i="1"/>
  <c r="AC927" i="1"/>
  <c r="AG927" i="1"/>
  <c r="AH927" i="1"/>
  <c r="AD927" i="1"/>
  <c r="AF928" i="1" l="1"/>
  <c r="AB928" i="1"/>
  <c r="AH928" i="1"/>
  <c r="AD928" i="1"/>
  <c r="X929" i="1"/>
  <c r="W929" i="1"/>
  <c r="T929" i="1"/>
  <c r="Z929" i="1"/>
  <c r="Y929" i="1"/>
  <c r="U929" i="1"/>
  <c r="V929" i="1" s="1"/>
  <c r="S930" i="1"/>
  <c r="AG928" i="1"/>
  <c r="AC928" i="1"/>
  <c r="AA928" i="1"/>
  <c r="AE928" i="1"/>
  <c r="AD929" i="1" l="1"/>
  <c r="AH929" i="1"/>
  <c r="T930" i="1"/>
  <c r="U930" i="1"/>
  <c r="V930" i="1" s="1"/>
  <c r="W930" i="1"/>
  <c r="Y930" i="1"/>
  <c r="S931" i="1"/>
  <c r="X930" i="1"/>
  <c r="Z930" i="1"/>
  <c r="AA929" i="1"/>
  <c r="AE929" i="1"/>
  <c r="AG929" i="1"/>
  <c r="AC929" i="1"/>
  <c r="AF929" i="1"/>
  <c r="AB929" i="1"/>
  <c r="AF930" i="1" l="1"/>
  <c r="AB930" i="1"/>
  <c r="X931" i="1"/>
  <c r="Z931" i="1"/>
  <c r="W931" i="1"/>
  <c r="S932" i="1"/>
  <c r="Y931" i="1"/>
  <c r="T931" i="1"/>
  <c r="U931" i="1"/>
  <c r="V931" i="1" s="1"/>
  <c r="AC930" i="1"/>
  <c r="AG930" i="1"/>
  <c r="AH930" i="1"/>
  <c r="AD930" i="1"/>
  <c r="AA930" i="1"/>
  <c r="AE930" i="1"/>
  <c r="AH931" i="1" l="1"/>
  <c r="AD931" i="1"/>
  <c r="AC931" i="1"/>
  <c r="AG931" i="1"/>
  <c r="AF931" i="1"/>
  <c r="AB931" i="1"/>
  <c r="W932" i="1"/>
  <c r="S933" i="1"/>
  <c r="Z932" i="1"/>
  <c r="T932" i="1"/>
  <c r="Y932" i="1"/>
  <c r="X932" i="1"/>
  <c r="U932" i="1"/>
  <c r="V932" i="1" s="1"/>
  <c r="AA931" i="1"/>
  <c r="AE931" i="1"/>
  <c r="S934" i="1" l="1"/>
  <c r="T933" i="1"/>
  <c r="Y933" i="1"/>
  <c r="W933" i="1"/>
  <c r="Z933" i="1"/>
  <c r="U933" i="1"/>
  <c r="V933" i="1" s="1"/>
  <c r="X933" i="1"/>
  <c r="AF932" i="1"/>
  <c r="AB932" i="1"/>
  <c r="AG932" i="1"/>
  <c r="AC932" i="1"/>
  <c r="AA932" i="1"/>
  <c r="AE932" i="1"/>
  <c r="AD932" i="1"/>
  <c r="AH932" i="1"/>
  <c r="AA933" i="1" l="1"/>
  <c r="AE933" i="1"/>
  <c r="AF933" i="1"/>
  <c r="AB933" i="1"/>
  <c r="AC933" i="1"/>
  <c r="AG933" i="1"/>
  <c r="AH933" i="1"/>
  <c r="AD933" i="1"/>
  <c r="Y934" i="1"/>
  <c r="Z934" i="1"/>
  <c r="X934" i="1"/>
  <c r="W934" i="1"/>
  <c r="U934" i="1"/>
  <c r="V934" i="1" s="1"/>
  <c r="T934" i="1"/>
  <c r="S935" i="1"/>
  <c r="AE934" i="1" l="1"/>
  <c r="AA934" i="1"/>
  <c r="X935" i="1"/>
  <c r="U935" i="1"/>
  <c r="V935" i="1" s="1"/>
  <c r="S936" i="1"/>
  <c r="Y935" i="1"/>
  <c r="W935" i="1"/>
  <c r="Z935" i="1"/>
  <c r="T935" i="1"/>
  <c r="AB934" i="1"/>
  <c r="AF934" i="1"/>
  <c r="AH934" i="1"/>
  <c r="AD934" i="1"/>
  <c r="AC934" i="1"/>
  <c r="AG934" i="1"/>
  <c r="AD935" i="1" l="1"/>
  <c r="AH935" i="1"/>
  <c r="AA935" i="1"/>
  <c r="AE935" i="1"/>
  <c r="AB935" i="1"/>
  <c r="AF935" i="1"/>
  <c r="AG935" i="1"/>
  <c r="AC935" i="1"/>
  <c r="W936" i="1"/>
  <c r="Y936" i="1"/>
  <c r="U936" i="1"/>
  <c r="V936" i="1" s="1"/>
  <c r="S937" i="1"/>
  <c r="Z936" i="1"/>
  <c r="X936" i="1"/>
  <c r="T936" i="1"/>
  <c r="S938" i="1" l="1"/>
  <c r="Y937" i="1"/>
  <c r="W937" i="1"/>
  <c r="Z937" i="1"/>
  <c r="X937" i="1"/>
  <c r="T937" i="1"/>
  <c r="U937" i="1"/>
  <c r="V937" i="1" s="1"/>
  <c r="AB936" i="1"/>
  <c r="AF936" i="1"/>
  <c r="AG936" i="1"/>
  <c r="AC936" i="1"/>
  <c r="AH936" i="1"/>
  <c r="AD936" i="1"/>
  <c r="AA936" i="1"/>
  <c r="AE936" i="1"/>
  <c r="AD937" i="1" l="1"/>
  <c r="AH937" i="1"/>
  <c r="AA937" i="1"/>
  <c r="AE937" i="1"/>
  <c r="AC937" i="1"/>
  <c r="AG937" i="1"/>
  <c r="AB937" i="1"/>
  <c r="AF937" i="1"/>
  <c r="T938" i="1"/>
  <c r="Z938" i="1"/>
  <c r="X938" i="1"/>
  <c r="Y938" i="1"/>
  <c r="W938" i="1"/>
  <c r="U938" i="1"/>
  <c r="V938" i="1" s="1"/>
  <c r="S939" i="1"/>
  <c r="AC938" i="1" l="1"/>
  <c r="AG938" i="1"/>
  <c r="T939" i="1"/>
  <c r="S940" i="1"/>
  <c r="W939" i="1"/>
  <c r="U939" i="1"/>
  <c r="V939" i="1" s="1"/>
  <c r="X939" i="1"/>
  <c r="Z939" i="1"/>
  <c r="Y939" i="1"/>
  <c r="AB938" i="1"/>
  <c r="AF938" i="1"/>
  <c r="AH938" i="1"/>
  <c r="AD938" i="1"/>
  <c r="AE938" i="1"/>
  <c r="AA938" i="1"/>
  <c r="AD939" i="1" l="1"/>
  <c r="AH939" i="1"/>
  <c r="Y940" i="1"/>
  <c r="X940" i="1"/>
  <c r="U940" i="1"/>
  <c r="V940" i="1" s="1"/>
  <c r="Z940" i="1"/>
  <c r="S941" i="1"/>
  <c r="W940" i="1"/>
  <c r="T940" i="1"/>
  <c r="AB939" i="1"/>
  <c r="AF939" i="1"/>
  <c r="AG939" i="1"/>
  <c r="AC939" i="1"/>
  <c r="AE939" i="1"/>
  <c r="AA939" i="1"/>
  <c r="AE940" i="1" l="1"/>
  <c r="AA940" i="1"/>
  <c r="AB940" i="1"/>
  <c r="AF940" i="1"/>
  <c r="AC940" i="1"/>
  <c r="AG940" i="1"/>
  <c r="U941" i="1"/>
  <c r="V941" i="1" s="1"/>
  <c r="Y941" i="1"/>
  <c r="T941" i="1"/>
  <c r="W941" i="1"/>
  <c r="S942" i="1"/>
  <c r="Z941" i="1"/>
  <c r="X941" i="1"/>
  <c r="AD940" i="1"/>
  <c r="AH940" i="1"/>
  <c r="AD941" i="1" l="1"/>
  <c r="AH941" i="1"/>
  <c r="AC941" i="1"/>
  <c r="AG941" i="1"/>
  <c r="Z942" i="1"/>
  <c r="Y942" i="1"/>
  <c r="T942" i="1"/>
  <c r="U942" i="1"/>
  <c r="V942" i="1" s="1"/>
  <c r="W942" i="1"/>
  <c r="S943" i="1"/>
  <c r="X942" i="1"/>
  <c r="AE941" i="1"/>
  <c r="AA941" i="1"/>
  <c r="AB941" i="1"/>
  <c r="AF941" i="1"/>
  <c r="AB942" i="1" l="1"/>
  <c r="AF942" i="1"/>
  <c r="T943" i="1"/>
  <c r="X943" i="1"/>
  <c r="Y943" i="1"/>
  <c r="W943" i="1"/>
  <c r="S944" i="1"/>
  <c r="Z943" i="1"/>
  <c r="U943" i="1"/>
  <c r="V943" i="1" s="1"/>
  <c r="AC942" i="1"/>
  <c r="AG942" i="1"/>
  <c r="AA942" i="1"/>
  <c r="AE942" i="1"/>
  <c r="AD942" i="1"/>
  <c r="AH942" i="1"/>
  <c r="AH943" i="1" l="1"/>
  <c r="AD943" i="1"/>
  <c r="AB943" i="1"/>
  <c r="AF943" i="1"/>
  <c r="Y944" i="1"/>
  <c r="X944" i="1"/>
  <c r="U944" i="1"/>
  <c r="V944" i="1" s="1"/>
  <c r="Z944" i="1"/>
  <c r="T944" i="1"/>
  <c r="W944" i="1"/>
  <c r="S945" i="1"/>
  <c r="AE943" i="1"/>
  <c r="AA943" i="1"/>
  <c r="AG943" i="1"/>
  <c r="AC943" i="1"/>
  <c r="AH944" i="1" l="1"/>
  <c r="AD944" i="1"/>
  <c r="AE944" i="1"/>
  <c r="AA944" i="1"/>
  <c r="AB944" i="1"/>
  <c r="AF944" i="1"/>
  <c r="T945" i="1"/>
  <c r="W945" i="1"/>
  <c r="U945" i="1"/>
  <c r="V945" i="1" s="1"/>
  <c r="Y945" i="1"/>
  <c r="Z945" i="1"/>
  <c r="S946" i="1"/>
  <c r="X945" i="1"/>
  <c r="AG944" i="1"/>
  <c r="AC944" i="1"/>
  <c r="AA945" i="1" l="1"/>
  <c r="AE945" i="1"/>
  <c r="AG945" i="1"/>
  <c r="AC945" i="1"/>
  <c r="W946" i="1"/>
  <c r="T946" i="1"/>
  <c r="Y946" i="1"/>
  <c r="S947" i="1"/>
  <c r="X946" i="1"/>
  <c r="U946" i="1"/>
  <c r="V946" i="1" s="1"/>
  <c r="Z946" i="1"/>
  <c r="AH945" i="1"/>
  <c r="AD945" i="1"/>
  <c r="AB945" i="1"/>
  <c r="AF945" i="1"/>
  <c r="T947" i="1" l="1"/>
  <c r="S948" i="1"/>
  <c r="Z947" i="1"/>
  <c r="W947" i="1"/>
  <c r="X947" i="1"/>
  <c r="U947" i="1"/>
  <c r="V947" i="1" s="1"/>
  <c r="Y947" i="1"/>
  <c r="AD946" i="1"/>
  <c r="AH946" i="1"/>
  <c r="AC946" i="1"/>
  <c r="AG946" i="1"/>
  <c r="AF946" i="1"/>
  <c r="AB946" i="1"/>
  <c r="AE946" i="1"/>
  <c r="AA946" i="1"/>
  <c r="AG947" i="1" l="1"/>
  <c r="AC947" i="1"/>
  <c r="S949" i="1"/>
  <c r="T948" i="1"/>
  <c r="X948" i="1"/>
  <c r="Z948" i="1"/>
  <c r="W948" i="1"/>
  <c r="U948" i="1"/>
  <c r="V948" i="1" s="1"/>
  <c r="Y948" i="1"/>
  <c r="AE947" i="1"/>
  <c r="AA947" i="1"/>
  <c r="AH947" i="1"/>
  <c r="AD947" i="1"/>
  <c r="AB947" i="1"/>
  <c r="AF947" i="1"/>
  <c r="AE948" i="1" l="1"/>
  <c r="AA948" i="1"/>
  <c r="W949" i="1"/>
  <c r="Z949" i="1"/>
  <c r="X949" i="1"/>
  <c r="T949" i="1"/>
  <c r="S950" i="1"/>
  <c r="U949" i="1"/>
  <c r="V949" i="1" s="1"/>
  <c r="Y949" i="1"/>
  <c r="AH948" i="1"/>
  <c r="AD948" i="1"/>
  <c r="AC948" i="1"/>
  <c r="AG948" i="1"/>
  <c r="AF948" i="1"/>
  <c r="AB948" i="1"/>
  <c r="Z950" i="1" l="1"/>
  <c r="T950" i="1"/>
  <c r="W950" i="1"/>
  <c r="S951" i="1"/>
  <c r="X950" i="1"/>
  <c r="U950" i="1"/>
  <c r="V950" i="1" s="1"/>
  <c r="Y950" i="1"/>
  <c r="AE949" i="1"/>
  <c r="AA949" i="1"/>
  <c r="AD949" i="1"/>
  <c r="AH949" i="1"/>
  <c r="AC949" i="1"/>
  <c r="AG949" i="1"/>
  <c r="AF949" i="1"/>
  <c r="AB949" i="1"/>
  <c r="T951" i="1" l="1"/>
  <c r="W951" i="1"/>
  <c r="U951" i="1"/>
  <c r="V951" i="1" s="1"/>
  <c r="Z951" i="1"/>
  <c r="S952" i="1"/>
  <c r="X951" i="1"/>
  <c r="Y951" i="1"/>
  <c r="AC950" i="1"/>
  <c r="AG950" i="1"/>
  <c r="AA950" i="1"/>
  <c r="AE950" i="1"/>
  <c r="AB950" i="1"/>
  <c r="AF950" i="1"/>
  <c r="AH950" i="1"/>
  <c r="AD950" i="1"/>
  <c r="AH951" i="1" l="1"/>
  <c r="AD951" i="1"/>
  <c r="AG951" i="1"/>
  <c r="AC951" i="1"/>
  <c r="AB951" i="1"/>
  <c r="AF951" i="1"/>
  <c r="AE951" i="1"/>
  <c r="AA951" i="1"/>
  <c r="U952" i="1"/>
  <c r="V952" i="1" s="1"/>
  <c r="Z952" i="1"/>
  <c r="W952" i="1"/>
  <c r="S953" i="1"/>
  <c r="T952" i="1"/>
  <c r="X952" i="1"/>
  <c r="Y952" i="1"/>
  <c r="U953" i="1" l="1"/>
  <c r="V953" i="1" s="1"/>
  <c r="W953" i="1"/>
  <c r="T953" i="1"/>
  <c r="Z953" i="1"/>
  <c r="S954" i="1"/>
  <c r="X953" i="1"/>
  <c r="Y953" i="1"/>
  <c r="AA952" i="1"/>
  <c r="AE952" i="1"/>
  <c r="AC952" i="1"/>
  <c r="AG952" i="1"/>
  <c r="AF952" i="1"/>
  <c r="AB952" i="1"/>
  <c r="AD952" i="1"/>
  <c r="AH952" i="1"/>
  <c r="AD953" i="1" l="1"/>
  <c r="AH953" i="1"/>
  <c r="AG953" i="1"/>
  <c r="AC953" i="1"/>
  <c r="AB953" i="1"/>
  <c r="AF953" i="1"/>
  <c r="AE953" i="1"/>
  <c r="AA953" i="1"/>
  <c r="S955" i="1"/>
  <c r="T954" i="1"/>
  <c r="Y954" i="1"/>
  <c r="W954" i="1"/>
  <c r="U954" i="1"/>
  <c r="V954" i="1" s="1"/>
  <c r="Z954" i="1"/>
  <c r="X954" i="1"/>
  <c r="AE954" i="1" l="1"/>
  <c r="AA954" i="1"/>
  <c r="AB954" i="1"/>
  <c r="AF954" i="1"/>
  <c r="AG954" i="1"/>
  <c r="AC954" i="1"/>
  <c r="AH954" i="1"/>
  <c r="AD954" i="1"/>
  <c r="W955" i="1"/>
  <c r="Z955" i="1"/>
  <c r="S956" i="1"/>
  <c r="Y955" i="1"/>
  <c r="T955" i="1"/>
  <c r="U955" i="1"/>
  <c r="V955" i="1" s="1"/>
  <c r="X955" i="1"/>
  <c r="AG955" i="1" l="1"/>
  <c r="AC955" i="1"/>
  <c r="U956" i="1"/>
  <c r="V956" i="1" s="1"/>
  <c r="X956" i="1"/>
  <c r="T956" i="1"/>
  <c r="Z956" i="1"/>
  <c r="S957" i="1"/>
  <c r="Y956" i="1"/>
  <c r="W956" i="1"/>
  <c r="AH955" i="1"/>
  <c r="AD955" i="1"/>
  <c r="AB955" i="1"/>
  <c r="AF955" i="1"/>
  <c r="AA955" i="1"/>
  <c r="AE955" i="1"/>
  <c r="AC956" i="1" l="1"/>
  <c r="AG956" i="1"/>
  <c r="AF956" i="1"/>
  <c r="AB956" i="1"/>
  <c r="T957" i="1"/>
  <c r="S958" i="1"/>
  <c r="Y957" i="1"/>
  <c r="U957" i="1"/>
  <c r="V957" i="1" s="1"/>
  <c r="X957" i="1"/>
  <c r="W957" i="1"/>
  <c r="Z957" i="1"/>
  <c r="AD956" i="1"/>
  <c r="AH956" i="1"/>
  <c r="AE956" i="1"/>
  <c r="AA956" i="1"/>
  <c r="AD957" i="1" l="1"/>
  <c r="AH957" i="1"/>
  <c r="AC957" i="1"/>
  <c r="AG957" i="1"/>
  <c r="AE957" i="1"/>
  <c r="AA957" i="1"/>
  <c r="T958" i="1"/>
  <c r="Y958" i="1"/>
  <c r="U958" i="1"/>
  <c r="V958" i="1" s="1"/>
  <c r="S959" i="1"/>
  <c r="W958" i="1"/>
  <c r="Z958" i="1"/>
  <c r="X958" i="1"/>
  <c r="AB957" i="1"/>
  <c r="AF957" i="1"/>
  <c r="AH958" i="1" l="1"/>
  <c r="AD958" i="1"/>
  <c r="AG958" i="1"/>
  <c r="AC958" i="1"/>
  <c r="AE958" i="1"/>
  <c r="AA958" i="1"/>
  <c r="Y959" i="1"/>
  <c r="Z959" i="1"/>
  <c r="X959" i="1"/>
  <c r="T959" i="1"/>
  <c r="W959" i="1"/>
  <c r="S960" i="1"/>
  <c r="U959" i="1"/>
  <c r="V959" i="1" s="1"/>
  <c r="AB958" i="1"/>
  <c r="AF958" i="1"/>
  <c r="W960" i="1" l="1"/>
  <c r="S961" i="1"/>
  <c r="Y960" i="1"/>
  <c r="U960" i="1"/>
  <c r="V960" i="1" s="1"/>
  <c r="X960" i="1"/>
  <c r="Z960" i="1"/>
  <c r="T960" i="1"/>
  <c r="AD959" i="1"/>
  <c r="AH959" i="1"/>
  <c r="AE959" i="1"/>
  <c r="AA959" i="1"/>
  <c r="AC959" i="1"/>
  <c r="AG959" i="1"/>
  <c r="AB959" i="1"/>
  <c r="AF959" i="1"/>
  <c r="AC960" i="1" l="1"/>
  <c r="AG960" i="1"/>
  <c r="X961" i="1"/>
  <c r="U961" i="1"/>
  <c r="V961" i="1" s="1"/>
  <c r="T961" i="1"/>
  <c r="W961" i="1"/>
  <c r="Z961" i="1"/>
  <c r="Y961" i="1"/>
  <c r="S962" i="1"/>
  <c r="AD960" i="1"/>
  <c r="AH960" i="1"/>
  <c r="AF960" i="1"/>
  <c r="AB960" i="1"/>
  <c r="AA960" i="1"/>
  <c r="AE960" i="1"/>
  <c r="AC961" i="1" l="1"/>
  <c r="AG961" i="1"/>
  <c r="AH961" i="1"/>
  <c r="AD961" i="1"/>
  <c r="AB961" i="1"/>
  <c r="AF961" i="1"/>
  <c r="AA961" i="1"/>
  <c r="AE961" i="1"/>
  <c r="Z962" i="1"/>
  <c r="Y962" i="1"/>
  <c r="U962" i="1"/>
  <c r="V962" i="1" s="1"/>
  <c r="S963" i="1"/>
  <c r="X962" i="1"/>
  <c r="W962" i="1"/>
  <c r="T962" i="1"/>
  <c r="S964" i="1" l="1"/>
  <c r="W963" i="1"/>
  <c r="Y963" i="1"/>
  <c r="Z963" i="1"/>
  <c r="T963" i="1"/>
  <c r="X963" i="1"/>
  <c r="U963" i="1"/>
  <c r="V963" i="1" s="1"/>
  <c r="AE962" i="1"/>
  <c r="AA962" i="1"/>
  <c r="AC962" i="1"/>
  <c r="AG962" i="1"/>
  <c r="AB962" i="1"/>
  <c r="AF962" i="1"/>
  <c r="AD962" i="1"/>
  <c r="AH962" i="1"/>
  <c r="AH963" i="1" l="1"/>
  <c r="AD963" i="1"/>
  <c r="AC963" i="1"/>
  <c r="AG963" i="1"/>
  <c r="AF963" i="1"/>
  <c r="AB963" i="1"/>
  <c r="AE963" i="1"/>
  <c r="AA963" i="1"/>
  <c r="Z964" i="1"/>
  <c r="W964" i="1"/>
  <c r="Y964" i="1"/>
  <c r="U964" i="1"/>
  <c r="V964" i="1" s="1"/>
  <c r="T964" i="1"/>
  <c r="S965" i="1"/>
  <c r="X964" i="1"/>
  <c r="AF964" i="1" l="1"/>
  <c r="AB964" i="1"/>
  <c r="AC964" i="1"/>
  <c r="AG964" i="1"/>
  <c r="AE964" i="1"/>
  <c r="AA964" i="1"/>
  <c r="Z965" i="1"/>
  <c r="T965" i="1"/>
  <c r="W965" i="1"/>
  <c r="S966" i="1"/>
  <c r="X965" i="1"/>
  <c r="Y965" i="1"/>
  <c r="U965" i="1"/>
  <c r="V965" i="1" s="1"/>
  <c r="AH964" i="1"/>
  <c r="AD964" i="1"/>
  <c r="AG965" i="1" l="1"/>
  <c r="AC965" i="1"/>
  <c r="AF965" i="1"/>
  <c r="AB965" i="1"/>
  <c r="AH965" i="1"/>
  <c r="AD965" i="1"/>
  <c r="Z966" i="1"/>
  <c r="Y966" i="1"/>
  <c r="W966" i="1"/>
  <c r="X966" i="1"/>
  <c r="T966" i="1"/>
  <c r="U966" i="1"/>
  <c r="V966" i="1" s="1"/>
  <c r="S967" i="1"/>
  <c r="AA965" i="1"/>
  <c r="AE965" i="1"/>
  <c r="AC966" i="1" l="1"/>
  <c r="AG966" i="1"/>
  <c r="AD966" i="1"/>
  <c r="AH966" i="1"/>
  <c r="AB966" i="1"/>
  <c r="AF966" i="1"/>
  <c r="W967" i="1"/>
  <c r="U967" i="1"/>
  <c r="V967" i="1" s="1"/>
  <c r="X967" i="1"/>
  <c r="S968" i="1"/>
  <c r="T967" i="1"/>
  <c r="Z967" i="1"/>
  <c r="Y967" i="1"/>
  <c r="AA966" i="1"/>
  <c r="AE966" i="1"/>
  <c r="AH967" i="1" l="1"/>
  <c r="AD967" i="1"/>
  <c r="AA967" i="1"/>
  <c r="AE967" i="1"/>
  <c r="U968" i="1"/>
  <c r="V968" i="1" s="1"/>
  <c r="S969" i="1"/>
  <c r="T968" i="1"/>
  <c r="Y968" i="1"/>
  <c r="W968" i="1"/>
  <c r="X968" i="1"/>
  <c r="Z968" i="1"/>
  <c r="AC967" i="1"/>
  <c r="AG967" i="1"/>
  <c r="AF967" i="1"/>
  <c r="AB967" i="1"/>
  <c r="AC968" i="1" l="1"/>
  <c r="AG968" i="1"/>
  <c r="AD968" i="1"/>
  <c r="AH968" i="1"/>
  <c r="AF968" i="1"/>
  <c r="AB968" i="1"/>
  <c r="T969" i="1"/>
  <c r="Z969" i="1"/>
  <c r="Y969" i="1"/>
  <c r="U969" i="1"/>
  <c r="V969" i="1" s="1"/>
  <c r="S970" i="1"/>
  <c r="W969" i="1"/>
  <c r="X969" i="1"/>
  <c r="AA968" i="1"/>
  <c r="AE968" i="1"/>
  <c r="AA969" i="1" l="1"/>
  <c r="AE969" i="1"/>
  <c r="AH969" i="1"/>
  <c r="AD969" i="1"/>
  <c r="Z970" i="1"/>
  <c r="X970" i="1"/>
  <c r="U970" i="1"/>
  <c r="V970" i="1" s="1"/>
  <c r="S971" i="1"/>
  <c r="T970" i="1"/>
  <c r="Y970" i="1"/>
  <c r="W970" i="1"/>
  <c r="AF969" i="1"/>
  <c r="AB969" i="1"/>
  <c r="AC969" i="1"/>
  <c r="AG969" i="1"/>
  <c r="W971" i="1" l="1"/>
  <c r="U971" i="1"/>
  <c r="V971" i="1" s="1"/>
  <c r="Y971" i="1"/>
  <c r="S972" i="1"/>
  <c r="T971" i="1"/>
  <c r="X971" i="1"/>
  <c r="Z971" i="1"/>
  <c r="AA970" i="1"/>
  <c r="AE970" i="1"/>
  <c r="AG970" i="1"/>
  <c r="AC970" i="1"/>
  <c r="AF970" i="1"/>
  <c r="AB970" i="1"/>
  <c r="AH970" i="1"/>
  <c r="AD970" i="1"/>
  <c r="X972" i="1" l="1"/>
  <c r="Z972" i="1"/>
  <c r="S973" i="1"/>
  <c r="U972" i="1"/>
  <c r="V972" i="1" s="1"/>
  <c r="T972" i="1"/>
  <c r="Y972" i="1"/>
  <c r="W972" i="1"/>
  <c r="AD971" i="1"/>
  <c r="AH971" i="1"/>
  <c r="AC971" i="1"/>
  <c r="AG971" i="1"/>
  <c r="AF971" i="1"/>
  <c r="AB971" i="1"/>
  <c r="AE971" i="1"/>
  <c r="AA971" i="1"/>
  <c r="S974" i="1" l="1"/>
  <c r="Z973" i="1"/>
  <c r="U973" i="1"/>
  <c r="V973" i="1" s="1"/>
  <c r="Y973" i="1"/>
  <c r="T973" i="1"/>
  <c r="X973" i="1"/>
  <c r="W973" i="1"/>
  <c r="AD972" i="1"/>
  <c r="AH972" i="1"/>
  <c r="AA972" i="1"/>
  <c r="AE972" i="1"/>
  <c r="AG972" i="1"/>
  <c r="AC972" i="1"/>
  <c r="AF972" i="1"/>
  <c r="AB972" i="1"/>
  <c r="AG973" i="1" l="1"/>
  <c r="AC973" i="1"/>
  <c r="AA973" i="1"/>
  <c r="AE973" i="1"/>
  <c r="AB973" i="1"/>
  <c r="AF973" i="1"/>
  <c r="AH973" i="1"/>
  <c r="AD973" i="1"/>
  <c r="U974" i="1"/>
  <c r="V974" i="1" s="1"/>
  <c r="W974" i="1"/>
  <c r="S975" i="1"/>
  <c r="Z974" i="1"/>
  <c r="X974" i="1"/>
  <c r="T974" i="1"/>
  <c r="Y974" i="1"/>
  <c r="AD974" i="1" l="1"/>
  <c r="AH974" i="1"/>
  <c r="T975" i="1"/>
  <c r="Z975" i="1"/>
  <c r="S976" i="1"/>
  <c r="X975" i="1"/>
  <c r="W975" i="1"/>
  <c r="U975" i="1"/>
  <c r="V975" i="1" s="1"/>
  <c r="Y975" i="1"/>
  <c r="AC974" i="1"/>
  <c r="AG974" i="1"/>
  <c r="AE974" i="1"/>
  <c r="AA974" i="1"/>
  <c r="AF974" i="1"/>
  <c r="AB974" i="1"/>
  <c r="AD975" i="1" l="1"/>
  <c r="AH975" i="1"/>
  <c r="AA975" i="1"/>
  <c r="AE975" i="1"/>
  <c r="AF975" i="1"/>
  <c r="AB975" i="1"/>
  <c r="AC975" i="1"/>
  <c r="AG975" i="1"/>
  <c r="S977" i="1"/>
  <c r="T976" i="1"/>
  <c r="Z976" i="1"/>
  <c r="W976" i="1"/>
  <c r="U976" i="1"/>
  <c r="V976" i="1" s="1"/>
  <c r="X976" i="1"/>
  <c r="Y976" i="1"/>
  <c r="AE976" i="1" l="1"/>
  <c r="AA976" i="1"/>
  <c r="AG976" i="1"/>
  <c r="AC976" i="1"/>
  <c r="AH976" i="1"/>
  <c r="AD976" i="1"/>
  <c r="AF976" i="1"/>
  <c r="AB976" i="1"/>
  <c r="W977" i="1"/>
  <c r="X977" i="1"/>
  <c r="S978" i="1"/>
  <c r="U977" i="1"/>
  <c r="V977" i="1" s="1"/>
  <c r="Y977" i="1"/>
  <c r="T977" i="1"/>
  <c r="Z977" i="1"/>
  <c r="W978" i="1" l="1"/>
  <c r="Y978" i="1"/>
  <c r="U978" i="1"/>
  <c r="V978" i="1" s="1"/>
  <c r="Z978" i="1"/>
  <c r="X978" i="1"/>
  <c r="S979" i="1"/>
  <c r="T978" i="1"/>
  <c r="AH977" i="1"/>
  <c r="AD977" i="1"/>
  <c r="AB977" i="1"/>
  <c r="AF977" i="1"/>
  <c r="AG977" i="1"/>
  <c r="AC977" i="1"/>
  <c r="AA977" i="1"/>
  <c r="AE977" i="1"/>
  <c r="AD978" i="1" l="1"/>
  <c r="AH978" i="1"/>
  <c r="X979" i="1"/>
  <c r="Y979" i="1"/>
  <c r="Z979" i="1"/>
  <c r="S980" i="1"/>
  <c r="W979" i="1"/>
  <c r="T979" i="1"/>
  <c r="U979" i="1"/>
  <c r="V979" i="1" s="1"/>
  <c r="AC978" i="1"/>
  <c r="AG978" i="1"/>
  <c r="AB978" i="1"/>
  <c r="AF978" i="1"/>
  <c r="AE978" i="1"/>
  <c r="AA978" i="1"/>
  <c r="AG979" i="1" l="1"/>
  <c r="AC979" i="1"/>
  <c r="AA979" i="1"/>
  <c r="AE979" i="1"/>
  <c r="AB979" i="1"/>
  <c r="AF979" i="1"/>
  <c r="T980" i="1"/>
  <c r="X980" i="1"/>
  <c r="U980" i="1"/>
  <c r="V980" i="1" s="1"/>
  <c r="Y980" i="1"/>
  <c r="S981" i="1"/>
  <c r="Z980" i="1"/>
  <c r="W980" i="1"/>
  <c r="AH979" i="1"/>
  <c r="AD979" i="1"/>
  <c r="AH980" i="1" l="1"/>
  <c r="AD980" i="1"/>
  <c r="AB980" i="1"/>
  <c r="AF980" i="1"/>
  <c r="Z981" i="1"/>
  <c r="S982" i="1"/>
  <c r="Y981" i="1"/>
  <c r="U981" i="1"/>
  <c r="V981" i="1" s="1"/>
  <c r="X981" i="1"/>
  <c r="W981" i="1"/>
  <c r="T981" i="1"/>
  <c r="AG980" i="1"/>
  <c r="AC980" i="1"/>
  <c r="AA980" i="1"/>
  <c r="AE980" i="1"/>
  <c r="AG981" i="1" l="1"/>
  <c r="AC981" i="1"/>
  <c r="AE981" i="1"/>
  <c r="AA981" i="1"/>
  <c r="T982" i="1"/>
  <c r="U982" i="1"/>
  <c r="V982" i="1" s="1"/>
  <c r="S983" i="1"/>
  <c r="Y982" i="1"/>
  <c r="X982" i="1"/>
  <c r="Z982" i="1"/>
  <c r="W982" i="1"/>
  <c r="AB981" i="1"/>
  <c r="AF981" i="1"/>
  <c r="AH981" i="1"/>
  <c r="AD981" i="1"/>
  <c r="AC982" i="1" l="1"/>
  <c r="AG982" i="1"/>
  <c r="T983" i="1"/>
  <c r="X983" i="1"/>
  <c r="Z983" i="1"/>
  <c r="Y983" i="1"/>
  <c r="S984" i="1"/>
  <c r="W983" i="1"/>
  <c r="U983" i="1"/>
  <c r="V983" i="1" s="1"/>
  <c r="AA982" i="1"/>
  <c r="AE982" i="1"/>
  <c r="AD982" i="1"/>
  <c r="AH982" i="1"/>
  <c r="AB982" i="1"/>
  <c r="AF982" i="1"/>
  <c r="AA983" i="1" l="1"/>
  <c r="AE983" i="1"/>
  <c r="AB983" i="1"/>
  <c r="AF983" i="1"/>
  <c r="Z984" i="1"/>
  <c r="Y984" i="1"/>
  <c r="T984" i="1"/>
  <c r="X984" i="1"/>
  <c r="S985" i="1"/>
  <c r="W984" i="1"/>
  <c r="U984" i="1"/>
  <c r="V984" i="1" s="1"/>
  <c r="AC983" i="1"/>
  <c r="AG983" i="1"/>
  <c r="AD983" i="1"/>
  <c r="AH983" i="1"/>
  <c r="AB984" i="1" l="1"/>
  <c r="AF984" i="1"/>
  <c r="AA984" i="1"/>
  <c r="AE984" i="1"/>
  <c r="AG984" i="1"/>
  <c r="AC984" i="1"/>
  <c r="Z985" i="1"/>
  <c r="T985" i="1"/>
  <c r="X985" i="1"/>
  <c r="U985" i="1"/>
  <c r="V985" i="1" s="1"/>
  <c r="Y985" i="1"/>
  <c r="S986" i="1"/>
  <c r="W985" i="1"/>
  <c r="AH984" i="1"/>
  <c r="AD984" i="1"/>
  <c r="AG985" i="1" l="1"/>
  <c r="AC985" i="1"/>
  <c r="AD985" i="1"/>
  <c r="AH985" i="1"/>
  <c r="S987" i="1"/>
  <c r="X986" i="1"/>
  <c r="Y986" i="1"/>
  <c r="Z986" i="1"/>
  <c r="U986" i="1"/>
  <c r="V986" i="1" s="1"/>
  <c r="T986" i="1"/>
  <c r="W986" i="1"/>
  <c r="AA985" i="1"/>
  <c r="AE985" i="1"/>
  <c r="AF985" i="1"/>
  <c r="AB985" i="1"/>
  <c r="AH986" i="1" l="1"/>
  <c r="AD986" i="1"/>
  <c r="AC986" i="1"/>
  <c r="AG986" i="1"/>
  <c r="AE986" i="1"/>
  <c r="AA986" i="1"/>
  <c r="AB986" i="1"/>
  <c r="AF986" i="1"/>
  <c r="Z987" i="1"/>
  <c r="X987" i="1"/>
  <c r="S988" i="1"/>
  <c r="Y987" i="1"/>
  <c r="U987" i="1"/>
  <c r="V987" i="1" s="1"/>
  <c r="T987" i="1"/>
  <c r="W987" i="1"/>
  <c r="AG987" i="1" l="1"/>
  <c r="AC987" i="1"/>
  <c r="Y988" i="1"/>
  <c r="S989" i="1"/>
  <c r="X988" i="1"/>
  <c r="Z988" i="1"/>
  <c r="T988" i="1"/>
  <c r="W988" i="1"/>
  <c r="U988" i="1"/>
  <c r="V988" i="1" s="1"/>
  <c r="AA987" i="1"/>
  <c r="AE987" i="1"/>
  <c r="AB987" i="1"/>
  <c r="AF987" i="1"/>
  <c r="AD987" i="1"/>
  <c r="AH987" i="1"/>
  <c r="W989" i="1" l="1"/>
  <c r="Y989" i="1"/>
  <c r="S990" i="1"/>
  <c r="T989" i="1"/>
  <c r="X989" i="1"/>
  <c r="U989" i="1"/>
  <c r="V989" i="1" s="1"/>
  <c r="Z989" i="1"/>
  <c r="AA988" i="1"/>
  <c r="AE988" i="1"/>
  <c r="AC988" i="1"/>
  <c r="AG988" i="1"/>
  <c r="AD988" i="1"/>
  <c r="AH988" i="1"/>
  <c r="AF988" i="1"/>
  <c r="AB988" i="1"/>
  <c r="Y990" i="1" l="1"/>
  <c r="X990" i="1"/>
  <c r="U990" i="1"/>
  <c r="V990" i="1" s="1"/>
  <c r="Z990" i="1"/>
  <c r="W990" i="1"/>
  <c r="S991" i="1"/>
  <c r="T990" i="1"/>
  <c r="AD989" i="1"/>
  <c r="AH989" i="1"/>
  <c r="AG989" i="1"/>
  <c r="AC989" i="1"/>
  <c r="AF989" i="1"/>
  <c r="AB989" i="1"/>
  <c r="AE989" i="1"/>
  <c r="AA989" i="1"/>
  <c r="AH990" i="1" l="1"/>
  <c r="AD990" i="1"/>
  <c r="AF990" i="1"/>
  <c r="AB990" i="1"/>
  <c r="W991" i="1"/>
  <c r="X991" i="1"/>
  <c r="U991" i="1"/>
  <c r="V991" i="1" s="1"/>
  <c r="Z991" i="1"/>
  <c r="T991" i="1"/>
  <c r="S992" i="1"/>
  <c r="Y991" i="1"/>
  <c r="AE990" i="1"/>
  <c r="AA990" i="1"/>
  <c r="AG990" i="1"/>
  <c r="AC990" i="1"/>
  <c r="AH991" i="1" l="1"/>
  <c r="AD991" i="1"/>
  <c r="U992" i="1"/>
  <c r="V992" i="1" s="1"/>
  <c r="Y992" i="1"/>
  <c r="T992" i="1"/>
  <c r="Z992" i="1"/>
  <c r="X992" i="1"/>
  <c r="S993" i="1"/>
  <c r="W992" i="1"/>
  <c r="AG991" i="1"/>
  <c r="AC991" i="1"/>
  <c r="AF991" i="1"/>
  <c r="AB991" i="1"/>
  <c r="AE991" i="1"/>
  <c r="AA991" i="1"/>
  <c r="S994" i="1" l="1"/>
  <c r="Z993" i="1"/>
  <c r="T993" i="1"/>
  <c r="X993" i="1"/>
  <c r="W993" i="1"/>
  <c r="Y993" i="1"/>
  <c r="U993" i="1"/>
  <c r="V993" i="1" s="1"/>
  <c r="AC992" i="1"/>
  <c r="AG992" i="1"/>
  <c r="AB992" i="1"/>
  <c r="AF992" i="1"/>
  <c r="AH992" i="1"/>
  <c r="AD992" i="1"/>
  <c r="AA992" i="1"/>
  <c r="AE992" i="1"/>
  <c r="AB993" i="1" l="1"/>
  <c r="AF993" i="1"/>
  <c r="AG993" i="1"/>
  <c r="AC993" i="1"/>
  <c r="AH993" i="1"/>
  <c r="AD993" i="1"/>
  <c r="AA993" i="1"/>
  <c r="AE993" i="1"/>
  <c r="T994" i="1"/>
  <c r="U994" i="1"/>
  <c r="V994" i="1" s="1"/>
  <c r="X994" i="1"/>
  <c r="Z994" i="1"/>
  <c r="W994" i="1"/>
  <c r="S995" i="1"/>
  <c r="Y994" i="1"/>
  <c r="AH994" i="1" l="1"/>
  <c r="AD994" i="1"/>
  <c r="AG994" i="1"/>
  <c r="AC994" i="1"/>
  <c r="AB994" i="1"/>
  <c r="AF994" i="1"/>
  <c r="U995" i="1"/>
  <c r="V995" i="1" s="1"/>
  <c r="Y995" i="1"/>
  <c r="T995" i="1"/>
  <c r="S996" i="1"/>
  <c r="X995" i="1"/>
  <c r="W995" i="1"/>
  <c r="Z995" i="1"/>
  <c r="AA994" i="1"/>
  <c r="AE994" i="1"/>
  <c r="AH995" i="1" l="1"/>
  <c r="AD995" i="1"/>
  <c r="AE995" i="1"/>
  <c r="AA995" i="1"/>
  <c r="AG995" i="1"/>
  <c r="AC995" i="1"/>
  <c r="AB995" i="1"/>
  <c r="AF995" i="1"/>
  <c r="Z996" i="1"/>
  <c r="S997" i="1"/>
  <c r="T996" i="1"/>
  <c r="W996" i="1"/>
  <c r="Y996" i="1"/>
  <c r="U996" i="1"/>
  <c r="V996" i="1" s="1"/>
  <c r="X996" i="1"/>
  <c r="AB996" i="1" l="1"/>
  <c r="AF996" i="1"/>
  <c r="AA996" i="1"/>
  <c r="AE996" i="1"/>
  <c r="Z997" i="1"/>
  <c r="S998" i="1"/>
  <c r="T997" i="1"/>
  <c r="X997" i="1"/>
  <c r="W997" i="1"/>
  <c r="Y997" i="1"/>
  <c r="U997" i="1"/>
  <c r="V997" i="1" s="1"/>
  <c r="AC996" i="1"/>
  <c r="AG996" i="1"/>
  <c r="AD996" i="1"/>
  <c r="AH996" i="1"/>
  <c r="AB997" i="1" l="1"/>
  <c r="AF997" i="1"/>
  <c r="AC997" i="1"/>
  <c r="AG997" i="1"/>
  <c r="S999" i="1"/>
  <c r="U998" i="1"/>
  <c r="V998" i="1" s="1"/>
  <c r="T998" i="1"/>
  <c r="W998" i="1"/>
  <c r="Z998" i="1"/>
  <c r="X998" i="1"/>
  <c r="Y998" i="1"/>
  <c r="AE997" i="1"/>
  <c r="AA997" i="1"/>
  <c r="AH997" i="1"/>
  <c r="AD997" i="1"/>
  <c r="AE998" i="1" l="1"/>
  <c r="AA998" i="1"/>
  <c r="AG998" i="1"/>
  <c r="AC998" i="1"/>
  <c r="AF998" i="1"/>
  <c r="AB998" i="1"/>
  <c r="AD998" i="1"/>
  <c r="AH998" i="1"/>
  <c r="X999" i="1"/>
  <c r="W999" i="1"/>
  <c r="Y999" i="1"/>
  <c r="Z999" i="1"/>
  <c r="U999" i="1"/>
  <c r="V999" i="1" s="1"/>
  <c r="S1000" i="1"/>
  <c r="T999" i="1"/>
  <c r="AA999" i="1" l="1"/>
  <c r="AE999" i="1"/>
  <c r="AH999" i="1"/>
  <c r="AD999" i="1"/>
  <c r="Y1000" i="1"/>
  <c r="T1000" i="1"/>
  <c r="Z1000" i="1"/>
  <c r="X1000" i="1"/>
  <c r="S1001" i="1"/>
  <c r="W1000" i="1"/>
  <c r="U1000" i="1"/>
  <c r="V1000" i="1" s="1"/>
  <c r="AG999" i="1"/>
  <c r="AC999" i="1"/>
  <c r="AB999" i="1"/>
  <c r="AF999" i="1"/>
  <c r="AF1000" i="1" l="1"/>
  <c r="AB1000" i="1"/>
  <c r="AD1000" i="1"/>
  <c r="AH1000" i="1"/>
  <c r="AA1000" i="1"/>
  <c r="AE1000" i="1"/>
  <c r="T1001" i="1"/>
  <c r="W1001" i="1"/>
  <c r="Y1001" i="1"/>
  <c r="Z1001" i="1"/>
  <c r="S1002" i="1"/>
  <c r="U1001" i="1"/>
  <c r="V1001" i="1" s="1"/>
  <c r="X1001" i="1"/>
  <c r="AG1000" i="1"/>
  <c r="AC1000" i="1"/>
  <c r="AE1001" i="1" l="1"/>
  <c r="AA1001" i="1"/>
  <c r="Y1002" i="1"/>
  <c r="T1002" i="1"/>
  <c r="U1002" i="1"/>
  <c r="V1002" i="1" s="1"/>
  <c r="X1002" i="1"/>
  <c r="W1002" i="1"/>
  <c r="S1003" i="1"/>
  <c r="Z1002" i="1"/>
  <c r="AD1001" i="1"/>
  <c r="AH1001" i="1"/>
  <c r="AB1001" i="1"/>
  <c r="AF1001" i="1"/>
  <c r="AG1001" i="1"/>
  <c r="AC1001" i="1"/>
  <c r="T1003" i="1" l="1"/>
  <c r="X1003" i="1"/>
  <c r="S1004" i="1"/>
  <c r="Y1003" i="1"/>
  <c r="W1003" i="1"/>
  <c r="Z1003" i="1"/>
  <c r="U1003" i="1"/>
  <c r="V1003" i="1" s="1"/>
  <c r="AE1002" i="1"/>
  <c r="AA1002" i="1"/>
  <c r="AG1002" i="1"/>
  <c r="AC1002" i="1"/>
  <c r="AB1002" i="1"/>
  <c r="AF1002" i="1"/>
  <c r="AH1002" i="1"/>
  <c r="AD1002" i="1"/>
  <c r="AG1003" i="1" l="1"/>
  <c r="AC1003" i="1"/>
  <c r="U1004" i="1"/>
  <c r="V1004" i="1" s="1"/>
  <c r="Y1004" i="1"/>
  <c r="S1005" i="1"/>
  <c r="W1004" i="1"/>
  <c r="Z1004" i="1"/>
  <c r="T1004" i="1"/>
  <c r="X1004" i="1"/>
  <c r="AH1003" i="1"/>
  <c r="AD1003" i="1"/>
  <c r="AF1003" i="1"/>
  <c r="AB1003" i="1"/>
  <c r="AA1003" i="1"/>
  <c r="AE1003" i="1"/>
  <c r="AC1004" i="1" l="1"/>
  <c r="AG1004" i="1"/>
  <c r="AH1004" i="1"/>
  <c r="AD1004" i="1"/>
  <c r="AE1004" i="1"/>
  <c r="AA1004" i="1"/>
  <c r="AF1004" i="1"/>
  <c r="AB1004" i="1"/>
  <c r="Y1005" i="1"/>
  <c r="W1005" i="1"/>
  <c r="X1005" i="1"/>
  <c r="S1006" i="1"/>
  <c r="Z1005" i="1"/>
  <c r="U1005" i="1"/>
  <c r="V1005" i="1" s="1"/>
  <c r="T1005" i="1"/>
  <c r="Y1006" i="1" l="1"/>
  <c r="T1006" i="1"/>
  <c r="U1006" i="1"/>
  <c r="V1006" i="1" s="1"/>
  <c r="X1006" i="1"/>
  <c r="S1007" i="1"/>
  <c r="Z1006" i="1"/>
  <c r="W1006" i="1"/>
  <c r="AB1005" i="1"/>
  <c r="AF1005" i="1"/>
  <c r="AE1005" i="1"/>
  <c r="AA1005" i="1"/>
  <c r="AH1005" i="1"/>
  <c r="AD1005" i="1"/>
  <c r="AC1005" i="1"/>
  <c r="AG1005" i="1"/>
  <c r="AF1006" i="1" l="1"/>
  <c r="AB1006" i="1"/>
  <c r="AA1006" i="1"/>
  <c r="AE1006" i="1"/>
  <c r="AD1006" i="1"/>
  <c r="AH1006" i="1"/>
  <c r="U1007" i="1"/>
  <c r="V1007" i="1" s="1"/>
  <c r="Z1007" i="1"/>
  <c r="T1007" i="1"/>
  <c r="X1007" i="1"/>
  <c r="Y1007" i="1"/>
  <c r="W1007" i="1"/>
  <c r="S1008" i="1"/>
  <c r="AG1006" i="1"/>
  <c r="AC1006" i="1"/>
  <c r="AG1007" i="1" l="1"/>
  <c r="AC1007" i="1"/>
  <c r="AE1007" i="1"/>
  <c r="AA1007" i="1"/>
  <c r="AD1007" i="1"/>
  <c r="AH1007" i="1"/>
  <c r="AF1007" i="1"/>
  <c r="AB1007" i="1"/>
  <c r="W1008" i="1"/>
  <c r="Y1008" i="1"/>
  <c r="T1008" i="1"/>
  <c r="X1008" i="1"/>
  <c r="U1008" i="1"/>
  <c r="V1008" i="1" s="1"/>
  <c r="S1009" i="1"/>
  <c r="Z1008" i="1"/>
  <c r="AB1008" i="1" l="1"/>
  <c r="AF1008" i="1"/>
  <c r="AD1008" i="1"/>
  <c r="AH1008" i="1"/>
  <c r="W1009" i="1"/>
  <c r="S1010" i="1"/>
  <c r="U1009" i="1"/>
  <c r="V1009" i="1" s="1"/>
  <c r="T1009" i="1"/>
  <c r="Y1009" i="1"/>
  <c r="Z1009" i="1"/>
  <c r="X1009" i="1"/>
  <c r="AG1008" i="1"/>
  <c r="AC1008" i="1"/>
  <c r="AE1008" i="1"/>
  <c r="AA1008" i="1"/>
  <c r="AD1009" i="1" l="1"/>
  <c r="AH1009" i="1"/>
  <c r="AF1009" i="1"/>
  <c r="AB1009" i="1"/>
  <c r="S1011" i="1"/>
  <c r="W1010" i="1"/>
  <c r="Y1010" i="1"/>
  <c r="T1010" i="1"/>
  <c r="U1010" i="1"/>
  <c r="V1010" i="1" s="1"/>
  <c r="X1010" i="1"/>
  <c r="Z1010" i="1"/>
  <c r="AC1009" i="1"/>
  <c r="AG1009" i="1"/>
  <c r="AE1009" i="1"/>
  <c r="AA1009" i="1"/>
  <c r="AC1010" i="1" l="1"/>
  <c r="AG1010" i="1"/>
  <c r="U1011" i="1"/>
  <c r="V1011" i="1" s="1"/>
  <c r="S1012" i="1"/>
  <c r="Y1011" i="1"/>
  <c r="W1011" i="1"/>
  <c r="T1011" i="1"/>
  <c r="X1011" i="1"/>
  <c r="Z1011" i="1"/>
  <c r="AD1010" i="1"/>
  <c r="AH1010" i="1"/>
  <c r="AF1010" i="1"/>
  <c r="AB1010" i="1"/>
  <c r="AA1010" i="1"/>
  <c r="AE1010" i="1"/>
  <c r="AF1011" i="1" l="1"/>
  <c r="AB1011" i="1"/>
  <c r="X1012" i="1"/>
  <c r="Y1012" i="1"/>
  <c r="T1012" i="1"/>
  <c r="S1013" i="1"/>
  <c r="W1012" i="1"/>
  <c r="Z1012" i="1"/>
  <c r="U1012" i="1"/>
  <c r="V1012" i="1" s="1"/>
  <c r="AA1011" i="1"/>
  <c r="AE1011" i="1"/>
  <c r="AD1011" i="1"/>
  <c r="AH1011" i="1"/>
  <c r="AC1011" i="1"/>
  <c r="AG1011" i="1"/>
  <c r="AH1012" i="1" l="1"/>
  <c r="AD1012" i="1"/>
  <c r="AC1012" i="1"/>
  <c r="AG1012" i="1"/>
  <c r="AA1012" i="1"/>
  <c r="AE1012" i="1"/>
  <c r="AF1012" i="1"/>
  <c r="AB1012" i="1"/>
  <c r="S1014" i="1"/>
  <c r="U1013" i="1"/>
  <c r="V1013" i="1" s="1"/>
  <c r="X1013" i="1"/>
  <c r="Y1013" i="1"/>
  <c r="W1013" i="1"/>
  <c r="Z1013" i="1"/>
  <c r="T1013" i="1"/>
  <c r="AG1013" i="1" l="1"/>
  <c r="AC1013" i="1"/>
  <c r="AF1013" i="1"/>
  <c r="AB1013" i="1"/>
  <c r="AD1013" i="1"/>
  <c r="AH1013" i="1"/>
  <c r="AE1013" i="1"/>
  <c r="AA1013" i="1"/>
  <c r="S1015" i="1"/>
  <c r="W1014" i="1"/>
  <c r="Y1014" i="1"/>
  <c r="Z1014" i="1"/>
  <c r="T1014" i="1"/>
  <c r="X1014" i="1"/>
  <c r="U1014" i="1"/>
  <c r="V1014" i="1" s="1"/>
  <c r="AD1014" i="1" l="1"/>
  <c r="AH1014" i="1"/>
  <c r="AC1014" i="1"/>
  <c r="AG1014" i="1"/>
  <c r="AF1014" i="1"/>
  <c r="AB1014" i="1"/>
  <c r="AE1014" i="1"/>
  <c r="AA1014" i="1"/>
  <c r="Y1015" i="1"/>
  <c r="U1015" i="1"/>
  <c r="V1015" i="1" s="1"/>
  <c r="S1016" i="1"/>
  <c r="X1015" i="1"/>
  <c r="T1015" i="1"/>
  <c r="Z1015" i="1"/>
  <c r="W1015" i="1"/>
  <c r="AB1015" i="1" l="1"/>
  <c r="AF1015" i="1"/>
  <c r="U1016" i="1"/>
  <c r="V1016" i="1" s="1"/>
  <c r="T1016" i="1"/>
  <c r="S1017" i="1"/>
  <c r="W1016" i="1"/>
  <c r="Z1016" i="1"/>
  <c r="X1016" i="1"/>
  <c r="Y1016" i="1"/>
  <c r="AG1015" i="1"/>
  <c r="AC1015" i="1"/>
  <c r="AE1015" i="1"/>
  <c r="AA1015" i="1"/>
  <c r="AD1015" i="1"/>
  <c r="AH1015" i="1"/>
  <c r="AF1016" i="1" l="1"/>
  <c r="AB1016" i="1"/>
  <c r="AH1016" i="1"/>
  <c r="AD1016" i="1"/>
  <c r="AE1016" i="1"/>
  <c r="AA1016" i="1"/>
  <c r="AG1016" i="1"/>
  <c r="AC1016" i="1"/>
  <c r="X1017" i="1"/>
  <c r="W1017" i="1"/>
  <c r="Z1017" i="1"/>
  <c r="S1018" i="1"/>
  <c r="T1017" i="1"/>
  <c r="U1017" i="1"/>
  <c r="V1017" i="1" s="1"/>
  <c r="Y1017" i="1"/>
  <c r="U1018" i="1" l="1"/>
  <c r="V1018" i="1" s="1"/>
  <c r="X1018" i="1"/>
  <c r="T1018" i="1"/>
  <c r="W1018" i="1"/>
  <c r="S1019" i="1"/>
  <c r="Z1018" i="1"/>
  <c r="Y1018" i="1"/>
  <c r="AD1017" i="1"/>
  <c r="AH1017" i="1"/>
  <c r="AC1017" i="1"/>
  <c r="AG1017" i="1"/>
  <c r="AE1017" i="1"/>
  <c r="AA1017" i="1"/>
  <c r="AB1017" i="1"/>
  <c r="AF1017" i="1"/>
  <c r="AE1018" i="1" l="1"/>
  <c r="AA1018" i="1"/>
  <c r="AC1018" i="1"/>
  <c r="AG1018" i="1"/>
  <c r="AH1018" i="1"/>
  <c r="AD1018" i="1"/>
  <c r="AB1018" i="1"/>
  <c r="AF1018" i="1"/>
  <c r="X1019" i="1"/>
  <c r="Z1019" i="1"/>
  <c r="S1020" i="1"/>
  <c r="T1019" i="1"/>
  <c r="Y1019" i="1"/>
  <c r="W1019" i="1"/>
  <c r="U1019" i="1"/>
  <c r="V1019" i="1" s="1"/>
  <c r="W1020" i="1" l="1"/>
  <c r="S1021" i="1"/>
  <c r="T1020" i="1"/>
  <c r="Y1020" i="1"/>
  <c r="Z1020" i="1"/>
  <c r="X1020" i="1"/>
  <c r="U1020" i="1"/>
  <c r="V1020" i="1" s="1"/>
  <c r="AE1019" i="1"/>
  <c r="AA1019" i="1"/>
  <c r="AH1019" i="1"/>
  <c r="AD1019" i="1"/>
  <c r="AG1019" i="1"/>
  <c r="AC1019" i="1"/>
  <c r="AB1019" i="1"/>
  <c r="AF1019" i="1"/>
  <c r="AC1020" i="1" l="1"/>
  <c r="AG1020" i="1"/>
  <c r="W1021" i="1"/>
  <c r="T1021" i="1"/>
  <c r="X1021" i="1"/>
  <c r="Y1021" i="1"/>
  <c r="S1022" i="1"/>
  <c r="Z1021" i="1"/>
  <c r="U1021" i="1"/>
  <c r="V1021" i="1" s="1"/>
  <c r="AB1020" i="1"/>
  <c r="AF1020" i="1"/>
  <c r="AH1020" i="1"/>
  <c r="AD1020" i="1"/>
  <c r="AE1020" i="1"/>
  <c r="AA1020" i="1"/>
  <c r="AD1021" i="1" l="1"/>
  <c r="AH1021" i="1"/>
  <c r="S1023" i="1"/>
  <c r="Z1022" i="1"/>
  <c r="W1022" i="1"/>
  <c r="Y1022" i="1"/>
  <c r="U1022" i="1"/>
  <c r="V1022" i="1" s="1"/>
  <c r="X1022" i="1"/>
  <c r="T1022" i="1"/>
  <c r="AE1021" i="1"/>
  <c r="AA1021" i="1"/>
  <c r="AC1021" i="1"/>
  <c r="AG1021" i="1"/>
  <c r="AF1021" i="1"/>
  <c r="AB1021" i="1"/>
  <c r="AB1022" i="1" l="1"/>
  <c r="AF1022" i="1"/>
  <c r="AD1022" i="1"/>
  <c r="AH1022" i="1"/>
  <c r="U1023" i="1"/>
  <c r="V1023" i="1" s="1"/>
  <c r="Z1023" i="1"/>
  <c r="W1023" i="1"/>
  <c r="S1024" i="1"/>
  <c r="Y1023" i="1"/>
  <c r="X1023" i="1"/>
  <c r="T1023" i="1"/>
  <c r="AG1022" i="1"/>
  <c r="AC1022" i="1"/>
  <c r="AA1022" i="1"/>
  <c r="AE1022" i="1"/>
  <c r="U1024" i="1" l="1"/>
  <c r="V1024" i="1" s="1"/>
  <c r="W1024" i="1"/>
  <c r="X1024" i="1"/>
  <c r="Z1024" i="1"/>
  <c r="Y1024" i="1"/>
  <c r="S1025" i="1"/>
  <c r="T1024" i="1"/>
  <c r="AE1023" i="1"/>
  <c r="AA1023" i="1"/>
  <c r="AF1023" i="1"/>
  <c r="AB1023" i="1"/>
  <c r="AH1023" i="1"/>
  <c r="AD1023" i="1"/>
  <c r="AC1023" i="1"/>
  <c r="AG1023" i="1"/>
  <c r="AH1024" i="1" l="1"/>
  <c r="AD1024" i="1"/>
  <c r="AF1024" i="1"/>
  <c r="AB1024" i="1"/>
  <c r="T1025" i="1"/>
  <c r="U1025" i="1"/>
  <c r="V1025" i="1" s="1"/>
  <c r="Y1025" i="1"/>
  <c r="Z1025" i="1"/>
  <c r="S1026" i="1"/>
  <c r="W1025" i="1"/>
  <c r="X1025" i="1"/>
  <c r="AE1024" i="1"/>
  <c r="AA1024" i="1"/>
  <c r="AG1024" i="1"/>
  <c r="AC1024" i="1"/>
  <c r="AH1025" i="1" l="1"/>
  <c r="AD1025" i="1"/>
  <c r="AF1025" i="1"/>
  <c r="AB1025" i="1"/>
  <c r="AG1025" i="1"/>
  <c r="AC1025" i="1"/>
  <c r="AE1025" i="1"/>
  <c r="AA1025" i="1"/>
  <c r="S1027" i="1"/>
  <c r="Z1026" i="1"/>
  <c r="Y1026" i="1"/>
  <c r="U1026" i="1"/>
  <c r="V1026" i="1" s="1"/>
  <c r="X1026" i="1"/>
  <c r="W1026" i="1"/>
  <c r="T1026" i="1"/>
  <c r="AG1026" i="1" l="1"/>
  <c r="AC1026" i="1"/>
  <c r="AE1026" i="1"/>
  <c r="AA1026" i="1"/>
  <c r="AH1026" i="1"/>
  <c r="AD1026" i="1"/>
  <c r="AF1026" i="1"/>
  <c r="AB1026" i="1"/>
  <c r="Y1027" i="1"/>
  <c r="Z1027" i="1"/>
  <c r="X1027" i="1"/>
  <c r="T1027" i="1"/>
  <c r="U1027" i="1"/>
  <c r="V1027" i="1" s="1"/>
  <c r="W1027" i="1"/>
  <c r="S1028" i="1"/>
  <c r="S1029" i="1" l="1"/>
  <c r="Y1028" i="1"/>
  <c r="X1028" i="1"/>
  <c r="U1028" i="1"/>
  <c r="V1028" i="1" s="1"/>
  <c r="T1028" i="1"/>
  <c r="W1028" i="1"/>
  <c r="Z1028" i="1"/>
  <c r="AF1027" i="1"/>
  <c r="AB1027" i="1"/>
  <c r="AH1027" i="1"/>
  <c r="AD1027" i="1"/>
  <c r="AA1027" i="1"/>
  <c r="AE1027" i="1"/>
  <c r="AC1027" i="1"/>
  <c r="AG1027" i="1"/>
  <c r="AD1028" i="1" l="1"/>
  <c r="AH1028" i="1"/>
  <c r="AF1028" i="1"/>
  <c r="AB1028" i="1"/>
  <c r="AA1028" i="1"/>
  <c r="AE1028" i="1"/>
  <c r="AC1028" i="1"/>
  <c r="AG1028" i="1"/>
  <c r="Y1029" i="1"/>
  <c r="W1029" i="1"/>
  <c r="U1029" i="1"/>
  <c r="V1029" i="1" s="1"/>
  <c r="X1029" i="1"/>
  <c r="T1029" i="1"/>
  <c r="S1030" i="1"/>
  <c r="Z1029" i="1"/>
  <c r="AF1029" i="1" l="1"/>
  <c r="AB1029" i="1"/>
  <c r="AD1029" i="1"/>
  <c r="AH1029" i="1"/>
  <c r="T1030" i="1"/>
  <c r="W1030" i="1"/>
  <c r="U1030" i="1"/>
  <c r="V1030" i="1" s="1"/>
  <c r="X1030" i="1"/>
  <c r="Z1030" i="1"/>
  <c r="S1031" i="1"/>
  <c r="Y1030" i="1"/>
  <c r="AA1029" i="1"/>
  <c r="AE1029" i="1"/>
  <c r="AG1029" i="1"/>
  <c r="AC1029" i="1"/>
  <c r="AF1030" i="1" l="1"/>
  <c r="AB1030" i="1"/>
  <c r="Z1031" i="1"/>
  <c r="W1031" i="1"/>
  <c r="Y1031" i="1"/>
  <c r="X1031" i="1"/>
  <c r="S1032" i="1"/>
  <c r="U1031" i="1"/>
  <c r="V1031" i="1" s="1"/>
  <c r="T1031" i="1"/>
  <c r="AA1030" i="1"/>
  <c r="AE1030" i="1"/>
  <c r="AG1030" i="1"/>
  <c r="AC1030" i="1"/>
  <c r="AH1030" i="1"/>
  <c r="AD1030" i="1"/>
  <c r="AD1031" i="1" l="1"/>
  <c r="AH1031" i="1"/>
  <c r="T1032" i="1"/>
  <c r="W1032" i="1"/>
  <c r="S1033" i="1"/>
  <c r="U1032" i="1"/>
  <c r="V1032" i="1" s="1"/>
  <c r="Z1032" i="1"/>
  <c r="Y1032" i="1"/>
  <c r="X1032" i="1"/>
  <c r="AB1031" i="1"/>
  <c r="AF1031" i="1"/>
  <c r="AA1031" i="1"/>
  <c r="AE1031" i="1"/>
  <c r="AG1031" i="1"/>
  <c r="AC1031" i="1"/>
  <c r="AE1032" i="1" l="1"/>
  <c r="AA1032" i="1"/>
  <c r="AH1032" i="1"/>
  <c r="AD1032" i="1"/>
  <c r="AC1032" i="1"/>
  <c r="AG1032" i="1"/>
  <c r="AB1032" i="1"/>
  <c r="AF1032" i="1"/>
  <c r="T1033" i="1"/>
  <c r="W1033" i="1"/>
  <c r="Z1033" i="1"/>
  <c r="Y1033" i="1"/>
  <c r="X1033" i="1"/>
  <c r="U1033" i="1"/>
  <c r="V1033" i="1" s="1"/>
  <c r="S1034" i="1"/>
  <c r="AG1033" i="1" l="1"/>
  <c r="AC1033" i="1"/>
  <c r="S1035" i="1"/>
  <c r="T1034" i="1"/>
  <c r="X1034" i="1"/>
  <c r="Y1034" i="1"/>
  <c r="U1034" i="1"/>
  <c r="V1034" i="1" s="1"/>
  <c r="Z1034" i="1"/>
  <c r="W1034" i="1"/>
  <c r="AD1033" i="1"/>
  <c r="AH1033" i="1"/>
  <c r="AE1033" i="1"/>
  <c r="AA1033" i="1"/>
  <c r="AF1033" i="1"/>
  <c r="AB1033" i="1"/>
  <c r="W1035" i="1" l="1"/>
  <c r="U1035" i="1"/>
  <c r="V1035" i="1" s="1"/>
  <c r="Y1035" i="1"/>
  <c r="T1035" i="1"/>
  <c r="X1035" i="1"/>
  <c r="S1036" i="1"/>
  <c r="Z1035" i="1"/>
  <c r="AH1034" i="1"/>
  <c r="AD1034" i="1"/>
  <c r="AC1034" i="1"/>
  <c r="AG1034" i="1"/>
  <c r="AA1034" i="1"/>
  <c r="AE1034" i="1"/>
  <c r="AF1034" i="1"/>
  <c r="AB1034" i="1"/>
  <c r="AD1035" i="1" l="1"/>
  <c r="AH1035" i="1"/>
  <c r="AC1035" i="1"/>
  <c r="AG1035" i="1"/>
  <c r="X1036" i="1"/>
  <c r="S1037" i="1"/>
  <c r="W1036" i="1"/>
  <c r="Y1036" i="1"/>
  <c r="T1036" i="1"/>
  <c r="Z1036" i="1"/>
  <c r="U1036" i="1"/>
  <c r="V1036" i="1" s="1"/>
  <c r="AB1035" i="1"/>
  <c r="AF1035" i="1"/>
  <c r="AE1035" i="1"/>
  <c r="AA1035" i="1"/>
  <c r="AE1036" i="1" l="1"/>
  <c r="AA1036" i="1"/>
  <c r="AD1036" i="1"/>
  <c r="AH1036" i="1"/>
  <c r="X1037" i="1"/>
  <c r="T1037" i="1"/>
  <c r="Z1037" i="1"/>
  <c r="U1037" i="1"/>
  <c r="V1037" i="1" s="1"/>
  <c r="S1038" i="1"/>
  <c r="W1037" i="1"/>
  <c r="Y1037" i="1"/>
  <c r="AC1036" i="1"/>
  <c r="AG1036" i="1"/>
  <c r="AB1036" i="1"/>
  <c r="AF1036" i="1"/>
  <c r="AG1037" i="1" l="1"/>
  <c r="AC1037" i="1"/>
  <c r="AD1037" i="1"/>
  <c r="AH1037" i="1"/>
  <c r="AE1037" i="1"/>
  <c r="AA1037" i="1"/>
  <c r="U1038" i="1"/>
  <c r="V1038" i="1" s="1"/>
  <c r="X1038" i="1"/>
  <c r="T1038" i="1"/>
  <c r="Y1038" i="1"/>
  <c r="S1039" i="1"/>
  <c r="W1038" i="1"/>
  <c r="Z1038" i="1"/>
  <c r="AF1037" i="1"/>
  <c r="AB1037" i="1"/>
  <c r="T1039" i="1" l="1"/>
  <c r="U1039" i="1"/>
  <c r="V1039" i="1" s="1"/>
  <c r="W1039" i="1"/>
  <c r="X1039" i="1"/>
  <c r="Z1039" i="1"/>
  <c r="S1040" i="1"/>
  <c r="Y1039" i="1"/>
  <c r="AA1038" i="1"/>
  <c r="AE1038" i="1"/>
  <c r="AG1038" i="1"/>
  <c r="AC1038" i="1"/>
  <c r="AB1038" i="1"/>
  <c r="AF1038" i="1"/>
  <c r="AH1038" i="1"/>
  <c r="AD1038" i="1"/>
  <c r="AG1039" i="1" l="1"/>
  <c r="AC1039" i="1"/>
  <c r="AE1039" i="1"/>
  <c r="AA1039" i="1"/>
  <c r="S1041" i="1"/>
  <c r="U1040" i="1"/>
  <c r="V1040" i="1" s="1"/>
  <c r="X1040" i="1"/>
  <c r="T1040" i="1"/>
  <c r="Z1040" i="1"/>
  <c r="Y1040" i="1"/>
  <c r="W1040" i="1"/>
  <c r="AB1039" i="1"/>
  <c r="AF1039" i="1"/>
  <c r="AH1039" i="1"/>
  <c r="AD1039" i="1"/>
  <c r="AF1040" i="1" l="1"/>
  <c r="AB1040" i="1"/>
  <c r="AE1040" i="1"/>
  <c r="AA1040" i="1"/>
  <c r="AG1040" i="1"/>
  <c r="AC1040" i="1"/>
  <c r="AD1040" i="1"/>
  <c r="AH1040" i="1"/>
  <c r="X1041" i="1"/>
  <c r="W1041" i="1"/>
  <c r="Y1041" i="1"/>
  <c r="S1042" i="1"/>
  <c r="U1041" i="1"/>
  <c r="V1041" i="1" s="1"/>
  <c r="T1041" i="1"/>
  <c r="Z1041" i="1"/>
  <c r="AD1041" i="1" l="1"/>
  <c r="AH1041" i="1"/>
  <c r="AG1041" i="1"/>
  <c r="AC1041" i="1"/>
  <c r="AA1041" i="1"/>
  <c r="AE1041" i="1"/>
  <c r="T1042" i="1"/>
  <c r="U1042" i="1"/>
  <c r="V1042" i="1" s="1"/>
  <c r="X1042" i="1"/>
  <c r="Z1042" i="1"/>
  <c r="Y1042" i="1"/>
  <c r="W1042" i="1"/>
  <c r="S1043" i="1"/>
  <c r="AF1041" i="1"/>
  <c r="AB1041" i="1"/>
  <c r="AA1042" i="1" l="1"/>
  <c r="AE1042" i="1"/>
  <c r="AC1042" i="1"/>
  <c r="AG1042" i="1"/>
  <c r="AH1042" i="1"/>
  <c r="AD1042" i="1"/>
  <c r="X1043" i="1"/>
  <c r="U1043" i="1"/>
  <c r="V1043" i="1" s="1"/>
  <c r="Y1043" i="1"/>
  <c r="T1043" i="1"/>
  <c r="Z1043" i="1"/>
  <c r="W1043" i="1"/>
  <c r="S1044" i="1"/>
  <c r="AF1042" i="1"/>
  <c r="AB1042" i="1"/>
  <c r="AH1043" i="1" l="1"/>
  <c r="AD1043" i="1"/>
  <c r="AF1043" i="1"/>
  <c r="AB1043" i="1"/>
  <c r="AA1043" i="1"/>
  <c r="AE1043" i="1"/>
  <c r="Y1044" i="1"/>
  <c r="U1044" i="1"/>
  <c r="V1044" i="1" s="1"/>
  <c r="X1044" i="1"/>
  <c r="Z1044" i="1"/>
  <c r="T1044" i="1"/>
  <c r="W1044" i="1"/>
  <c r="S1045" i="1"/>
  <c r="AC1043" i="1"/>
  <c r="AG1043" i="1"/>
  <c r="AC1044" i="1" l="1"/>
  <c r="AG1044" i="1"/>
  <c r="AH1044" i="1"/>
  <c r="AD1044" i="1"/>
  <c r="AE1044" i="1"/>
  <c r="AA1044" i="1"/>
  <c r="W1045" i="1"/>
  <c r="X1045" i="1"/>
  <c r="Y1045" i="1"/>
  <c r="Z1045" i="1"/>
  <c r="U1045" i="1"/>
  <c r="V1045" i="1" s="1"/>
  <c r="S1046" i="1"/>
  <c r="T1045" i="1"/>
  <c r="AF1044" i="1"/>
  <c r="AB1044" i="1"/>
  <c r="AB1045" i="1" l="1"/>
  <c r="AF1045" i="1"/>
  <c r="AE1045" i="1"/>
  <c r="AA1045" i="1"/>
  <c r="W1046" i="1"/>
  <c r="T1046" i="1"/>
  <c r="X1046" i="1"/>
  <c r="U1046" i="1"/>
  <c r="V1046" i="1" s="1"/>
  <c r="Z1046" i="1"/>
  <c r="S1047" i="1"/>
  <c r="Y1046" i="1"/>
  <c r="AH1045" i="1"/>
  <c r="AD1045" i="1"/>
  <c r="AG1045" i="1"/>
  <c r="AC1045" i="1"/>
  <c r="AB1046" i="1" l="1"/>
  <c r="AF1046" i="1"/>
  <c r="Y1047" i="1"/>
  <c r="X1047" i="1"/>
  <c r="T1047" i="1"/>
  <c r="U1047" i="1"/>
  <c r="V1047" i="1" s="1"/>
  <c r="S1048" i="1"/>
  <c r="Z1047" i="1"/>
  <c r="W1047" i="1"/>
  <c r="AG1046" i="1"/>
  <c r="AC1046" i="1"/>
  <c r="AD1046" i="1"/>
  <c r="AH1046" i="1"/>
  <c r="AE1046" i="1"/>
  <c r="AA1046" i="1"/>
  <c r="Z1048" i="1" l="1"/>
  <c r="X1048" i="1"/>
  <c r="Y1048" i="1"/>
  <c r="U1048" i="1"/>
  <c r="V1048" i="1" s="1"/>
  <c r="S1049" i="1"/>
  <c r="W1048" i="1"/>
  <c r="T1048" i="1"/>
  <c r="AC1047" i="1"/>
  <c r="AG1047" i="1"/>
  <c r="AB1047" i="1"/>
  <c r="AF1047" i="1"/>
  <c r="AH1047" i="1"/>
  <c r="AD1047" i="1"/>
  <c r="AA1047" i="1"/>
  <c r="AE1047" i="1"/>
  <c r="AC1048" i="1" l="1"/>
  <c r="AG1048" i="1"/>
  <c r="AE1048" i="1"/>
  <c r="AA1048" i="1"/>
  <c r="AF1048" i="1"/>
  <c r="AB1048" i="1"/>
  <c r="S1050" i="1"/>
  <c r="Y1049" i="1"/>
  <c r="X1049" i="1"/>
  <c r="W1049" i="1"/>
  <c r="U1049" i="1"/>
  <c r="V1049" i="1" s="1"/>
  <c r="Z1049" i="1"/>
  <c r="T1049" i="1"/>
  <c r="AD1048" i="1"/>
  <c r="AH1048" i="1"/>
  <c r="AD1049" i="1" l="1"/>
  <c r="AH1049" i="1"/>
  <c r="T1050" i="1"/>
  <c r="U1050" i="1"/>
  <c r="V1050" i="1" s="1"/>
  <c r="Y1050" i="1"/>
  <c r="Z1050" i="1"/>
  <c r="X1050" i="1"/>
  <c r="S1051" i="1"/>
  <c r="W1050" i="1"/>
  <c r="AA1049" i="1"/>
  <c r="AE1049" i="1"/>
  <c r="AG1049" i="1"/>
  <c r="AC1049" i="1"/>
  <c r="AB1049" i="1"/>
  <c r="AF1049" i="1"/>
  <c r="AF1050" i="1" l="1"/>
  <c r="AB1050" i="1"/>
  <c r="AH1050" i="1"/>
  <c r="AD1050" i="1"/>
  <c r="Z1051" i="1"/>
  <c r="Y1051" i="1"/>
  <c r="U1051" i="1"/>
  <c r="V1051" i="1" s="1"/>
  <c r="W1051" i="1"/>
  <c r="S1052" i="1"/>
  <c r="X1051" i="1"/>
  <c r="T1051" i="1"/>
  <c r="AE1050" i="1"/>
  <c r="AA1050" i="1"/>
  <c r="AC1050" i="1"/>
  <c r="AG1050" i="1"/>
  <c r="AA1051" i="1" l="1"/>
  <c r="AE1051" i="1"/>
  <c r="AF1051" i="1"/>
  <c r="AB1051" i="1"/>
  <c r="AG1051" i="1"/>
  <c r="AC1051" i="1"/>
  <c r="Z1052" i="1"/>
  <c r="X1052" i="1"/>
  <c r="U1052" i="1"/>
  <c r="V1052" i="1" s="1"/>
  <c r="S1053" i="1"/>
  <c r="W1052" i="1"/>
  <c r="Y1052" i="1"/>
  <c r="T1052" i="1"/>
  <c r="AD1051" i="1"/>
  <c r="AH1051" i="1"/>
  <c r="AF1052" i="1" l="1"/>
  <c r="AB1052" i="1"/>
  <c r="AE1052" i="1"/>
  <c r="AA1052" i="1"/>
  <c r="AD1052" i="1"/>
  <c r="AH1052" i="1"/>
  <c r="AC1052" i="1"/>
  <c r="AG1052" i="1"/>
  <c r="Z1053" i="1"/>
  <c r="U1053" i="1"/>
  <c r="V1053" i="1" s="1"/>
  <c r="Y1053" i="1"/>
  <c r="T1053" i="1"/>
  <c r="S1054" i="1"/>
  <c r="W1053" i="1"/>
  <c r="X1053" i="1"/>
  <c r="AB1053" i="1" l="1"/>
  <c r="AF1053" i="1"/>
  <c r="AG1053" i="1"/>
  <c r="AC1053" i="1"/>
  <c r="AE1053" i="1"/>
  <c r="AA1053" i="1"/>
  <c r="U1054" i="1"/>
  <c r="V1054" i="1" s="1"/>
  <c r="Z1054" i="1"/>
  <c r="S1055" i="1"/>
  <c r="T1054" i="1"/>
  <c r="Y1054" i="1"/>
  <c r="X1054" i="1"/>
  <c r="W1054" i="1"/>
  <c r="AH1053" i="1"/>
  <c r="AD1053" i="1"/>
  <c r="AF1054" i="1" l="1"/>
  <c r="AB1054" i="1"/>
  <c r="AD1054" i="1"/>
  <c r="AH1054" i="1"/>
  <c r="AC1054" i="1"/>
  <c r="AG1054" i="1"/>
  <c r="AE1054" i="1"/>
  <c r="AA1054" i="1"/>
  <c r="Z1055" i="1"/>
  <c r="T1055" i="1"/>
  <c r="S1056" i="1"/>
  <c r="X1055" i="1"/>
  <c r="W1055" i="1"/>
  <c r="Y1055" i="1"/>
  <c r="U1055" i="1"/>
  <c r="V1055" i="1" s="1"/>
  <c r="W1056" i="1" l="1"/>
  <c r="X1056" i="1"/>
  <c r="S1057" i="1"/>
  <c r="U1056" i="1"/>
  <c r="V1056" i="1" s="1"/>
  <c r="T1056" i="1"/>
  <c r="Y1056" i="1"/>
  <c r="Z1056" i="1"/>
  <c r="AF1055" i="1"/>
  <c r="AB1055" i="1"/>
  <c r="AC1055" i="1"/>
  <c r="AG1055" i="1"/>
  <c r="AA1055" i="1"/>
  <c r="AE1055" i="1"/>
  <c r="AH1055" i="1"/>
  <c r="AD1055" i="1"/>
  <c r="X1057" i="1" l="1"/>
  <c r="Z1057" i="1"/>
  <c r="Y1057" i="1"/>
  <c r="W1057" i="1"/>
  <c r="T1057" i="1"/>
  <c r="U1057" i="1"/>
  <c r="V1057" i="1" s="1"/>
  <c r="S1058" i="1"/>
  <c r="AC1056" i="1"/>
  <c r="AG1056" i="1"/>
  <c r="AF1056" i="1"/>
  <c r="AB1056" i="1"/>
  <c r="AH1056" i="1"/>
  <c r="AD1056" i="1"/>
  <c r="AE1056" i="1"/>
  <c r="AA1056" i="1"/>
  <c r="W1058" i="1" l="1"/>
  <c r="T1058" i="1"/>
  <c r="S1059" i="1"/>
  <c r="Z1058" i="1"/>
  <c r="X1058" i="1"/>
  <c r="Y1058" i="1"/>
  <c r="U1058" i="1"/>
  <c r="V1058" i="1" s="1"/>
  <c r="AC1057" i="1"/>
  <c r="AG1057" i="1"/>
  <c r="AA1057" i="1"/>
  <c r="AE1057" i="1"/>
  <c r="AH1057" i="1"/>
  <c r="AD1057" i="1"/>
  <c r="AF1057" i="1"/>
  <c r="AB1057" i="1"/>
  <c r="X1059" i="1" l="1"/>
  <c r="W1059" i="1"/>
  <c r="T1059" i="1"/>
  <c r="Z1059" i="1"/>
  <c r="U1059" i="1"/>
  <c r="V1059" i="1" s="1"/>
  <c r="Y1059" i="1"/>
  <c r="S1060" i="1"/>
  <c r="AC1058" i="1"/>
  <c r="AG1058" i="1"/>
  <c r="AD1058" i="1"/>
  <c r="AH1058" i="1"/>
  <c r="AF1058" i="1"/>
  <c r="AB1058" i="1"/>
  <c r="AA1058" i="1"/>
  <c r="AE1058" i="1"/>
  <c r="U1060" i="1" l="1"/>
  <c r="V1060" i="1" s="1"/>
  <c r="T1060" i="1"/>
  <c r="S1061" i="1"/>
  <c r="X1060" i="1"/>
  <c r="Z1060" i="1"/>
  <c r="Y1060" i="1"/>
  <c r="W1060" i="1"/>
  <c r="AH1059" i="1"/>
  <c r="AD1059" i="1"/>
  <c r="AG1059" i="1"/>
  <c r="AC1059" i="1"/>
  <c r="AA1059" i="1"/>
  <c r="AE1059" i="1"/>
  <c r="AF1059" i="1"/>
  <c r="AB1059" i="1"/>
  <c r="AB1060" i="1" l="1"/>
  <c r="AF1060" i="1"/>
  <c r="AA1060" i="1"/>
  <c r="AE1060" i="1"/>
  <c r="Z1061" i="1"/>
  <c r="Y1061" i="1"/>
  <c r="U1061" i="1"/>
  <c r="V1061" i="1" s="1"/>
  <c r="S1062" i="1"/>
  <c r="T1061" i="1"/>
  <c r="W1061" i="1"/>
  <c r="X1061" i="1"/>
  <c r="AC1060" i="1"/>
  <c r="AG1060" i="1"/>
  <c r="AD1060" i="1"/>
  <c r="AH1060" i="1"/>
  <c r="AG1061" i="1" l="1"/>
  <c r="AC1061" i="1"/>
  <c r="U1062" i="1"/>
  <c r="V1062" i="1" s="1"/>
  <c r="X1062" i="1"/>
  <c r="T1062" i="1"/>
  <c r="Z1062" i="1"/>
  <c r="W1062" i="1"/>
  <c r="Y1062" i="1"/>
  <c r="S1063" i="1"/>
  <c r="AF1061" i="1"/>
  <c r="AB1061" i="1"/>
  <c r="AA1061" i="1"/>
  <c r="AE1061" i="1"/>
  <c r="AH1061" i="1"/>
  <c r="AD1061" i="1"/>
  <c r="AE1062" i="1" l="1"/>
  <c r="AA1062" i="1"/>
  <c r="AG1062" i="1"/>
  <c r="AC1062" i="1"/>
  <c r="AD1062" i="1"/>
  <c r="AH1062" i="1"/>
  <c r="AB1062" i="1"/>
  <c r="AF1062" i="1"/>
  <c r="U1063" i="1"/>
  <c r="V1063" i="1" s="1"/>
  <c r="Z1063" i="1"/>
  <c r="W1063" i="1"/>
  <c r="S1064" i="1"/>
  <c r="Y1063" i="1"/>
  <c r="T1063" i="1"/>
  <c r="X1063" i="1"/>
  <c r="X1064" i="1" l="1"/>
  <c r="T1064" i="1"/>
  <c r="U1064" i="1"/>
  <c r="V1064" i="1" s="1"/>
  <c r="W1064" i="1"/>
  <c r="Y1064" i="1"/>
  <c r="S1065" i="1"/>
  <c r="Z1064" i="1"/>
  <c r="AE1063" i="1"/>
  <c r="AA1063" i="1"/>
  <c r="AF1063" i="1"/>
  <c r="AB1063" i="1"/>
  <c r="AH1063" i="1"/>
  <c r="AD1063" i="1"/>
  <c r="AC1063" i="1"/>
  <c r="AG1063" i="1"/>
  <c r="AA1064" i="1" l="1"/>
  <c r="AE1064" i="1"/>
  <c r="AH1064" i="1"/>
  <c r="AD1064" i="1"/>
  <c r="U1065" i="1"/>
  <c r="V1065" i="1" s="1"/>
  <c r="Y1065" i="1"/>
  <c r="W1065" i="1"/>
  <c r="S1066" i="1"/>
  <c r="Z1065" i="1"/>
  <c r="X1065" i="1"/>
  <c r="T1065" i="1"/>
  <c r="AC1064" i="1"/>
  <c r="AG1064" i="1"/>
  <c r="AB1064" i="1"/>
  <c r="AF1064" i="1"/>
  <c r="AA1065" i="1" l="1"/>
  <c r="AE1065" i="1"/>
  <c r="X1066" i="1"/>
  <c r="U1066" i="1"/>
  <c r="V1066" i="1" s="1"/>
  <c r="W1066" i="1"/>
  <c r="Z1066" i="1"/>
  <c r="Y1066" i="1"/>
  <c r="S1067" i="1"/>
  <c r="T1066" i="1"/>
  <c r="AB1065" i="1"/>
  <c r="AF1065" i="1"/>
  <c r="AC1065" i="1"/>
  <c r="AG1065" i="1"/>
  <c r="AH1065" i="1"/>
  <c r="AD1065" i="1"/>
  <c r="Z1067" i="1" l="1"/>
  <c r="S1068" i="1"/>
  <c r="X1067" i="1"/>
  <c r="U1067" i="1"/>
  <c r="V1067" i="1" s="1"/>
  <c r="W1067" i="1"/>
  <c r="Y1067" i="1"/>
  <c r="T1067" i="1"/>
  <c r="AG1066" i="1"/>
  <c r="AC1066" i="1"/>
  <c r="AF1066" i="1"/>
  <c r="AB1066" i="1"/>
  <c r="AH1066" i="1"/>
  <c r="AD1066" i="1"/>
  <c r="AA1066" i="1"/>
  <c r="AE1066" i="1"/>
  <c r="AB1067" i="1" l="1"/>
  <c r="AF1067" i="1"/>
  <c r="Z1068" i="1"/>
  <c r="T1068" i="1"/>
  <c r="S1069" i="1"/>
  <c r="X1068" i="1"/>
  <c r="W1068" i="1"/>
  <c r="Y1068" i="1"/>
  <c r="U1068" i="1"/>
  <c r="V1068" i="1" s="1"/>
  <c r="AC1067" i="1"/>
  <c r="AG1067" i="1"/>
  <c r="AA1067" i="1"/>
  <c r="AE1067" i="1"/>
  <c r="AD1067" i="1"/>
  <c r="AH1067" i="1"/>
  <c r="AE1068" i="1" l="1"/>
  <c r="AA1068" i="1"/>
  <c r="AD1068" i="1"/>
  <c r="AH1068" i="1"/>
  <c r="AG1068" i="1"/>
  <c r="AC1068" i="1"/>
  <c r="AF1068" i="1"/>
  <c r="AB1068" i="1"/>
  <c r="U1069" i="1"/>
  <c r="V1069" i="1" s="1"/>
  <c r="Z1069" i="1"/>
  <c r="W1069" i="1"/>
  <c r="X1069" i="1"/>
  <c r="S1070" i="1"/>
  <c r="Y1069" i="1"/>
  <c r="T1069" i="1"/>
  <c r="AA1069" i="1" l="1"/>
  <c r="AE1069" i="1"/>
  <c r="AB1069" i="1"/>
  <c r="AF1069" i="1"/>
  <c r="AG1069" i="1"/>
  <c r="AC1069" i="1"/>
  <c r="AH1069" i="1"/>
  <c r="AD1069" i="1"/>
  <c r="S1071" i="1"/>
  <c r="Z1070" i="1"/>
  <c r="W1070" i="1"/>
  <c r="X1070" i="1"/>
  <c r="Y1070" i="1"/>
  <c r="U1070" i="1"/>
  <c r="V1070" i="1" s="1"/>
  <c r="T1070" i="1"/>
  <c r="AE1070" i="1" l="1"/>
  <c r="AA1070" i="1"/>
  <c r="AH1070" i="1"/>
  <c r="AD1070" i="1"/>
  <c r="AB1070" i="1"/>
  <c r="AF1070" i="1"/>
  <c r="AG1070" i="1"/>
  <c r="AC1070" i="1"/>
  <c r="W1071" i="1"/>
  <c r="U1071" i="1"/>
  <c r="V1071" i="1" s="1"/>
  <c r="Y1071" i="1"/>
  <c r="X1071" i="1"/>
  <c r="S1072" i="1"/>
  <c r="T1071" i="1"/>
  <c r="Z1071" i="1"/>
  <c r="AD1071" i="1" l="1"/>
  <c r="AH1071" i="1"/>
  <c r="AG1071" i="1"/>
  <c r="AC1071" i="1"/>
  <c r="AB1071" i="1"/>
  <c r="AF1071" i="1"/>
  <c r="Y1072" i="1"/>
  <c r="U1072" i="1"/>
  <c r="V1072" i="1" s="1"/>
  <c r="T1072" i="1"/>
  <c r="S1073" i="1"/>
  <c r="W1072" i="1"/>
  <c r="X1072" i="1"/>
  <c r="Z1072" i="1"/>
  <c r="AE1071" i="1"/>
  <c r="AA1071" i="1"/>
  <c r="AA1072" i="1" l="1"/>
  <c r="AE1072" i="1"/>
  <c r="AG1072" i="1"/>
  <c r="AC1072" i="1"/>
  <c r="X1073" i="1"/>
  <c r="S1074" i="1"/>
  <c r="W1073" i="1"/>
  <c r="T1073" i="1"/>
  <c r="U1073" i="1"/>
  <c r="V1073" i="1" s="1"/>
  <c r="Z1073" i="1"/>
  <c r="Y1073" i="1"/>
  <c r="AF1072" i="1"/>
  <c r="AB1072" i="1"/>
  <c r="AD1072" i="1"/>
  <c r="AH1072" i="1"/>
  <c r="AA1073" i="1" l="1"/>
  <c r="AE1073" i="1"/>
  <c r="U1074" i="1"/>
  <c r="V1074" i="1" s="1"/>
  <c r="X1074" i="1"/>
  <c r="S1075" i="1"/>
  <c r="Y1074" i="1"/>
  <c r="T1074" i="1"/>
  <c r="Z1074" i="1"/>
  <c r="W1074" i="1"/>
  <c r="AC1073" i="1"/>
  <c r="AG1073" i="1"/>
  <c r="AD1073" i="1"/>
  <c r="AH1073" i="1"/>
  <c r="AF1073" i="1"/>
  <c r="AB1073" i="1"/>
  <c r="AF1074" i="1" l="1"/>
  <c r="AB1074" i="1"/>
  <c r="AH1074" i="1"/>
  <c r="AD1074" i="1"/>
  <c r="AG1074" i="1"/>
  <c r="AC1074" i="1"/>
  <c r="AA1074" i="1"/>
  <c r="AE1074" i="1"/>
  <c r="Y1075" i="1"/>
  <c r="X1075" i="1"/>
  <c r="U1075" i="1"/>
  <c r="V1075" i="1" s="1"/>
  <c r="Z1075" i="1"/>
  <c r="W1075" i="1"/>
  <c r="S1076" i="1"/>
  <c r="T1075" i="1"/>
  <c r="Y1076" i="1" l="1"/>
  <c r="U1076" i="1"/>
  <c r="V1076" i="1" s="1"/>
  <c r="T1076" i="1"/>
  <c r="S1077" i="1"/>
  <c r="Z1076" i="1"/>
  <c r="X1076" i="1"/>
  <c r="W1076" i="1"/>
  <c r="AF1075" i="1"/>
  <c r="AB1075" i="1"/>
  <c r="AH1075" i="1"/>
  <c r="AD1075" i="1"/>
  <c r="AE1075" i="1"/>
  <c r="AA1075" i="1"/>
  <c r="AG1075" i="1"/>
  <c r="AC1075" i="1"/>
  <c r="T1077" i="1" l="1"/>
  <c r="Y1077" i="1"/>
  <c r="X1077" i="1"/>
  <c r="W1077" i="1"/>
  <c r="U1077" i="1"/>
  <c r="V1077" i="1" s="1"/>
  <c r="S1078" i="1"/>
  <c r="Z1077" i="1"/>
  <c r="AA1076" i="1"/>
  <c r="AE1076" i="1"/>
  <c r="AB1076" i="1"/>
  <c r="AF1076" i="1"/>
  <c r="AH1076" i="1"/>
  <c r="AD1076" i="1"/>
  <c r="AC1076" i="1"/>
  <c r="AG1076" i="1"/>
  <c r="AA1077" i="1" l="1"/>
  <c r="AE1077" i="1"/>
  <c r="AH1077" i="1"/>
  <c r="AD1077" i="1"/>
  <c r="AB1077" i="1"/>
  <c r="AF1077" i="1"/>
  <c r="Y1078" i="1"/>
  <c r="X1078" i="1"/>
  <c r="W1078" i="1"/>
  <c r="U1078" i="1"/>
  <c r="V1078" i="1" s="1"/>
  <c r="Z1078" i="1"/>
  <c r="S1079" i="1"/>
  <c r="T1078" i="1"/>
  <c r="AG1077" i="1"/>
  <c r="AC1077" i="1"/>
  <c r="T1079" i="1" l="1"/>
  <c r="Z1079" i="1"/>
  <c r="W1079" i="1"/>
  <c r="S1080" i="1"/>
  <c r="X1079" i="1"/>
  <c r="Y1079" i="1"/>
  <c r="U1079" i="1"/>
  <c r="V1079" i="1" s="1"/>
  <c r="AD1078" i="1"/>
  <c r="AH1078" i="1"/>
  <c r="AC1078" i="1"/>
  <c r="AG1078" i="1"/>
  <c r="AF1078" i="1"/>
  <c r="AB1078" i="1"/>
  <c r="AA1078" i="1"/>
  <c r="AE1078" i="1"/>
  <c r="W1080" i="1" l="1"/>
  <c r="Y1080" i="1"/>
  <c r="Z1080" i="1"/>
  <c r="S1081" i="1"/>
  <c r="X1080" i="1"/>
  <c r="U1080" i="1"/>
  <c r="V1080" i="1" s="1"/>
  <c r="T1080" i="1"/>
  <c r="AA1079" i="1"/>
  <c r="AE1079" i="1"/>
  <c r="AC1079" i="1"/>
  <c r="AG1079" i="1"/>
  <c r="AD1079" i="1"/>
  <c r="AH1079" i="1"/>
  <c r="AF1079" i="1"/>
  <c r="AB1079" i="1"/>
  <c r="S1082" i="1" l="1"/>
  <c r="U1081" i="1"/>
  <c r="V1081" i="1" s="1"/>
  <c r="X1081" i="1"/>
  <c r="T1081" i="1"/>
  <c r="Y1081" i="1"/>
  <c r="Z1081" i="1"/>
  <c r="W1081" i="1"/>
  <c r="AD1080" i="1"/>
  <c r="AH1080" i="1"/>
  <c r="AC1080" i="1"/>
  <c r="AG1080" i="1"/>
  <c r="AB1080" i="1"/>
  <c r="AF1080" i="1"/>
  <c r="AE1080" i="1"/>
  <c r="AA1080" i="1"/>
  <c r="AE1081" i="1" l="1"/>
  <c r="AA1081" i="1"/>
  <c r="AF1081" i="1"/>
  <c r="AB1081" i="1"/>
  <c r="AD1081" i="1"/>
  <c r="AH1081" i="1"/>
  <c r="AG1081" i="1"/>
  <c r="AC1081" i="1"/>
  <c r="S1083" i="1"/>
  <c r="T1082" i="1"/>
  <c r="Y1082" i="1"/>
  <c r="Z1082" i="1"/>
  <c r="U1082" i="1"/>
  <c r="V1082" i="1" s="1"/>
  <c r="X1082" i="1"/>
  <c r="W1082" i="1"/>
  <c r="AA1082" i="1" l="1"/>
  <c r="AE1082" i="1"/>
  <c r="AC1082" i="1"/>
  <c r="AG1082" i="1"/>
  <c r="AF1082" i="1"/>
  <c r="AB1082" i="1"/>
  <c r="AD1082" i="1"/>
  <c r="AH1082" i="1"/>
  <c r="Z1083" i="1"/>
  <c r="T1083" i="1"/>
  <c r="W1083" i="1"/>
  <c r="Y1083" i="1"/>
  <c r="U1083" i="1"/>
  <c r="V1083" i="1" s="1"/>
  <c r="X1083" i="1"/>
  <c r="S1084" i="1"/>
  <c r="AF1083" i="1" l="1"/>
  <c r="AB1083" i="1"/>
  <c r="AD1083" i="1"/>
  <c r="AH1083" i="1"/>
  <c r="AG1083" i="1"/>
  <c r="AC1083" i="1"/>
  <c r="U1084" i="1"/>
  <c r="V1084" i="1" s="1"/>
  <c r="Z1084" i="1"/>
  <c r="T1084" i="1"/>
  <c r="S1085" i="1"/>
  <c r="X1084" i="1"/>
  <c r="Y1084" i="1"/>
  <c r="W1084" i="1"/>
  <c r="AE1083" i="1"/>
  <c r="AA1083" i="1"/>
  <c r="AG1084" i="1" l="1"/>
  <c r="AC1084" i="1"/>
  <c r="AD1084" i="1"/>
  <c r="AH1084" i="1"/>
  <c r="W1085" i="1"/>
  <c r="S1086" i="1"/>
  <c r="T1085" i="1"/>
  <c r="U1085" i="1"/>
  <c r="V1085" i="1" s="1"/>
  <c r="Z1085" i="1"/>
  <c r="Y1085" i="1"/>
  <c r="X1085" i="1"/>
  <c r="AF1084" i="1"/>
  <c r="AB1084" i="1"/>
  <c r="AE1084" i="1"/>
  <c r="AA1084" i="1"/>
  <c r="AF1085" i="1" l="1"/>
  <c r="AB1085" i="1"/>
  <c r="Z1086" i="1"/>
  <c r="U1086" i="1"/>
  <c r="V1086" i="1" s="1"/>
  <c r="S1087" i="1"/>
  <c r="X1086" i="1"/>
  <c r="Y1086" i="1"/>
  <c r="W1086" i="1"/>
  <c r="T1086" i="1"/>
  <c r="AG1085" i="1"/>
  <c r="AC1085" i="1"/>
  <c r="AH1085" i="1"/>
  <c r="AD1085" i="1"/>
  <c r="AA1085" i="1"/>
  <c r="AE1085" i="1"/>
  <c r="AC1086" i="1" l="1"/>
  <c r="AG1086" i="1"/>
  <c r="AD1086" i="1"/>
  <c r="AH1086" i="1"/>
  <c r="AF1086" i="1"/>
  <c r="AB1086" i="1"/>
  <c r="AA1086" i="1"/>
  <c r="AE1086" i="1"/>
  <c r="U1087" i="1"/>
  <c r="V1087" i="1" s="1"/>
  <c r="X1087" i="1"/>
  <c r="S1088" i="1"/>
  <c r="T1087" i="1"/>
  <c r="W1087" i="1"/>
  <c r="Y1087" i="1"/>
  <c r="Z1087" i="1"/>
  <c r="AD1087" i="1" l="1"/>
  <c r="AH1087" i="1"/>
  <c r="Z1088" i="1"/>
  <c r="W1088" i="1"/>
  <c r="X1088" i="1"/>
  <c r="T1088" i="1"/>
  <c r="S1089" i="1"/>
  <c r="Y1088" i="1"/>
  <c r="U1088" i="1"/>
  <c r="V1088" i="1" s="1"/>
  <c r="AC1087" i="1"/>
  <c r="AG1087" i="1"/>
  <c r="AF1087" i="1"/>
  <c r="AB1087" i="1"/>
  <c r="AE1087" i="1"/>
  <c r="AA1087" i="1"/>
  <c r="AC1088" i="1" l="1"/>
  <c r="AG1088" i="1"/>
  <c r="U1089" i="1"/>
  <c r="V1089" i="1" s="1"/>
  <c r="S1090" i="1"/>
  <c r="Z1089" i="1"/>
  <c r="T1089" i="1"/>
  <c r="X1089" i="1"/>
  <c r="W1089" i="1"/>
  <c r="Y1089" i="1"/>
  <c r="AH1088" i="1"/>
  <c r="AD1088" i="1"/>
  <c r="AE1088" i="1"/>
  <c r="AA1088" i="1"/>
  <c r="AF1088" i="1"/>
  <c r="AB1088" i="1"/>
  <c r="AE1089" i="1" l="1"/>
  <c r="AA1089" i="1"/>
  <c r="U1090" i="1"/>
  <c r="V1090" i="1" s="1"/>
  <c r="Y1090" i="1"/>
  <c r="S1091" i="1"/>
  <c r="X1090" i="1"/>
  <c r="Z1090" i="1"/>
  <c r="T1090" i="1"/>
  <c r="W1090" i="1"/>
  <c r="AB1089" i="1"/>
  <c r="AF1089" i="1"/>
  <c r="AC1089" i="1"/>
  <c r="AG1089" i="1"/>
  <c r="AD1089" i="1"/>
  <c r="AH1089" i="1"/>
  <c r="AC1090" i="1" l="1"/>
  <c r="AG1090" i="1"/>
  <c r="AD1090" i="1"/>
  <c r="AH1090" i="1"/>
  <c r="AF1090" i="1"/>
  <c r="AB1090" i="1"/>
  <c r="AE1090" i="1"/>
  <c r="AA1090" i="1"/>
  <c r="X1091" i="1"/>
  <c r="W1091" i="1"/>
  <c r="S1092" i="1"/>
  <c r="Z1091" i="1"/>
  <c r="U1091" i="1"/>
  <c r="V1091" i="1" s="1"/>
  <c r="T1091" i="1"/>
  <c r="Y1091" i="1"/>
  <c r="Y1092" i="1" l="1"/>
  <c r="Z1092" i="1"/>
  <c r="T1092" i="1"/>
  <c r="W1092" i="1"/>
  <c r="X1092" i="1"/>
  <c r="U1092" i="1"/>
  <c r="V1092" i="1" s="1"/>
  <c r="S1093" i="1"/>
  <c r="AG1091" i="1"/>
  <c r="AC1091" i="1"/>
  <c r="AA1091" i="1"/>
  <c r="AE1091" i="1"/>
  <c r="AH1091" i="1"/>
  <c r="AD1091" i="1"/>
  <c r="AB1091" i="1"/>
  <c r="AF1091" i="1"/>
  <c r="AE1092" i="1" l="1"/>
  <c r="AA1092" i="1"/>
  <c r="AD1092" i="1"/>
  <c r="AH1092" i="1"/>
  <c r="Z1093" i="1"/>
  <c r="Y1093" i="1"/>
  <c r="W1093" i="1"/>
  <c r="S1094" i="1"/>
  <c r="T1093" i="1"/>
  <c r="X1093" i="1"/>
  <c r="U1093" i="1"/>
  <c r="V1093" i="1" s="1"/>
  <c r="AF1092" i="1"/>
  <c r="AB1092" i="1"/>
  <c r="AG1092" i="1"/>
  <c r="AC1092" i="1"/>
  <c r="AF1093" i="1" l="1"/>
  <c r="AB1093" i="1"/>
  <c r="X1094" i="1"/>
  <c r="W1094" i="1"/>
  <c r="S1095" i="1"/>
  <c r="Y1094" i="1"/>
  <c r="U1094" i="1"/>
  <c r="V1094" i="1" s="1"/>
  <c r="T1094" i="1"/>
  <c r="Z1094" i="1"/>
  <c r="AA1093" i="1"/>
  <c r="AE1093" i="1"/>
  <c r="AG1093" i="1"/>
  <c r="AC1093" i="1"/>
  <c r="AD1093" i="1"/>
  <c r="AH1093" i="1"/>
  <c r="AB1094" i="1" l="1"/>
  <c r="AF1094" i="1"/>
  <c r="AA1094" i="1"/>
  <c r="AE1094" i="1"/>
  <c r="AG1094" i="1"/>
  <c r="AC1094" i="1"/>
  <c r="AH1094" i="1"/>
  <c r="AD1094" i="1"/>
  <c r="X1095" i="1"/>
  <c r="W1095" i="1"/>
  <c r="Y1095" i="1"/>
  <c r="S1096" i="1"/>
  <c r="Z1095" i="1"/>
  <c r="U1095" i="1"/>
  <c r="V1095" i="1" s="1"/>
  <c r="T1095" i="1"/>
  <c r="AC1095" i="1" l="1"/>
  <c r="AG1095" i="1"/>
  <c r="U1096" i="1"/>
  <c r="V1096" i="1" s="1"/>
  <c r="Z1096" i="1"/>
  <c r="Y1096" i="1"/>
  <c r="X1096" i="1"/>
  <c r="T1096" i="1"/>
  <c r="S1097" i="1"/>
  <c r="W1096" i="1"/>
  <c r="AE1095" i="1"/>
  <c r="AA1095" i="1"/>
  <c r="AD1095" i="1"/>
  <c r="AH1095" i="1"/>
  <c r="AF1095" i="1"/>
  <c r="AB1095" i="1"/>
  <c r="AH1096" i="1" l="1"/>
  <c r="AD1096" i="1"/>
  <c r="Z1097" i="1"/>
  <c r="T1097" i="1"/>
  <c r="X1097" i="1"/>
  <c r="U1097" i="1"/>
  <c r="V1097" i="1" s="1"/>
  <c r="W1097" i="1"/>
  <c r="Y1097" i="1"/>
  <c r="S1098" i="1"/>
  <c r="AF1096" i="1"/>
  <c r="AB1096" i="1"/>
  <c r="AA1096" i="1"/>
  <c r="AE1096" i="1"/>
  <c r="AG1096" i="1"/>
  <c r="AC1096" i="1"/>
  <c r="AC1097" i="1" l="1"/>
  <c r="AG1097" i="1"/>
  <c r="AE1097" i="1"/>
  <c r="AA1097" i="1"/>
  <c r="AH1097" i="1"/>
  <c r="AD1097" i="1"/>
  <c r="S1099" i="1"/>
  <c r="T1098" i="1"/>
  <c r="Y1098" i="1"/>
  <c r="Z1098" i="1"/>
  <c r="W1098" i="1"/>
  <c r="U1098" i="1"/>
  <c r="V1098" i="1" s="1"/>
  <c r="X1098" i="1"/>
  <c r="AB1097" i="1"/>
  <c r="AF1097" i="1"/>
  <c r="AE1098" i="1" l="1"/>
  <c r="AA1098" i="1"/>
  <c r="T1099" i="1"/>
  <c r="Y1099" i="1"/>
  <c r="S1100" i="1"/>
  <c r="W1099" i="1"/>
  <c r="Z1099" i="1"/>
  <c r="U1099" i="1"/>
  <c r="V1099" i="1" s="1"/>
  <c r="X1099" i="1"/>
  <c r="AH1098" i="1"/>
  <c r="AD1098" i="1"/>
  <c r="AB1098" i="1"/>
  <c r="AF1098" i="1"/>
  <c r="AG1098" i="1"/>
  <c r="AC1098" i="1"/>
  <c r="AD1099" i="1" l="1"/>
  <c r="AH1099" i="1"/>
  <c r="AE1099" i="1"/>
  <c r="AA1099" i="1"/>
  <c r="AC1099" i="1"/>
  <c r="AG1099" i="1"/>
  <c r="AB1099" i="1"/>
  <c r="AF1099" i="1"/>
  <c r="X1100" i="1"/>
  <c r="S1101" i="1"/>
  <c r="T1100" i="1"/>
  <c r="U1100" i="1"/>
  <c r="V1100" i="1" s="1"/>
  <c r="Z1100" i="1"/>
  <c r="Y1100" i="1"/>
  <c r="W1100" i="1"/>
  <c r="S1102" i="1" l="1"/>
  <c r="W1101" i="1"/>
  <c r="Y1101" i="1"/>
  <c r="Z1101" i="1"/>
  <c r="U1101" i="1"/>
  <c r="V1101" i="1" s="1"/>
  <c r="T1101" i="1"/>
  <c r="X1101" i="1"/>
  <c r="AE1100" i="1"/>
  <c r="AA1100" i="1"/>
  <c r="AC1100" i="1"/>
  <c r="AG1100" i="1"/>
  <c r="AD1100" i="1"/>
  <c r="AH1100" i="1"/>
  <c r="AB1100" i="1"/>
  <c r="AF1100" i="1"/>
  <c r="AH1101" i="1" l="1"/>
  <c r="AD1101" i="1"/>
  <c r="AB1101" i="1"/>
  <c r="AF1101" i="1"/>
  <c r="AC1101" i="1"/>
  <c r="AG1101" i="1"/>
  <c r="AE1101" i="1"/>
  <c r="AA1101" i="1"/>
  <c r="X1102" i="1"/>
  <c r="W1102" i="1"/>
  <c r="Y1102" i="1"/>
  <c r="Z1102" i="1"/>
  <c r="U1102" i="1"/>
  <c r="V1102" i="1" s="1"/>
  <c r="S1103" i="1"/>
  <c r="T1102" i="1"/>
  <c r="AD1102" i="1" l="1"/>
  <c r="AH1102" i="1"/>
  <c r="AG1102" i="1"/>
  <c r="AC1102" i="1"/>
  <c r="W1103" i="1"/>
  <c r="Y1103" i="1"/>
  <c r="Z1103" i="1"/>
  <c r="U1103" i="1"/>
  <c r="V1103" i="1" s="1"/>
  <c r="X1103" i="1"/>
  <c r="S1104" i="1"/>
  <c r="T1103" i="1"/>
  <c r="AE1102" i="1"/>
  <c r="AA1102" i="1"/>
  <c r="AF1102" i="1"/>
  <c r="AB1102" i="1"/>
  <c r="U1104" i="1" l="1"/>
  <c r="V1104" i="1" s="1"/>
  <c r="Y1104" i="1"/>
  <c r="W1104" i="1"/>
  <c r="T1104" i="1"/>
  <c r="Z1104" i="1"/>
  <c r="S1105" i="1"/>
  <c r="X1104" i="1"/>
  <c r="AG1103" i="1"/>
  <c r="AC1103" i="1"/>
  <c r="AD1103" i="1"/>
  <c r="AH1103" i="1"/>
  <c r="AF1103" i="1"/>
  <c r="AB1103" i="1"/>
  <c r="AE1103" i="1"/>
  <c r="AA1103" i="1"/>
  <c r="AB1104" i="1" l="1"/>
  <c r="AF1104" i="1"/>
  <c r="AE1104" i="1"/>
  <c r="AA1104" i="1"/>
  <c r="Y1105" i="1"/>
  <c r="W1105" i="1"/>
  <c r="U1105" i="1"/>
  <c r="V1105" i="1" s="1"/>
  <c r="Z1105" i="1"/>
  <c r="X1105" i="1"/>
  <c r="T1105" i="1"/>
  <c r="S1106" i="1"/>
  <c r="AC1104" i="1"/>
  <c r="AG1104" i="1"/>
  <c r="AH1104" i="1"/>
  <c r="AD1104" i="1"/>
  <c r="S1107" i="1" l="1"/>
  <c r="W1106" i="1"/>
  <c r="U1106" i="1"/>
  <c r="V1106" i="1" s="1"/>
  <c r="Z1106" i="1"/>
  <c r="T1106" i="1"/>
  <c r="Y1106" i="1"/>
  <c r="X1106" i="1"/>
  <c r="AA1105" i="1"/>
  <c r="AE1105" i="1"/>
  <c r="AH1105" i="1"/>
  <c r="AD1105" i="1"/>
  <c r="AB1105" i="1"/>
  <c r="AF1105" i="1"/>
  <c r="AG1105" i="1"/>
  <c r="AC1105" i="1"/>
  <c r="AH1106" i="1" l="1"/>
  <c r="AD1106" i="1"/>
  <c r="AB1106" i="1"/>
  <c r="AF1106" i="1"/>
  <c r="AC1106" i="1"/>
  <c r="AG1106" i="1"/>
  <c r="AA1106" i="1"/>
  <c r="AE1106" i="1"/>
  <c r="X1107" i="1"/>
  <c r="T1107" i="1"/>
  <c r="W1107" i="1"/>
  <c r="Y1107" i="1"/>
  <c r="S1108" i="1"/>
  <c r="U1107" i="1"/>
  <c r="V1107" i="1" s="1"/>
  <c r="Z1107" i="1"/>
  <c r="AA1107" i="1" l="1"/>
  <c r="AE1107" i="1"/>
  <c r="AD1107" i="1"/>
  <c r="AH1107" i="1"/>
  <c r="AG1107" i="1"/>
  <c r="AC1107" i="1"/>
  <c r="U1108" i="1"/>
  <c r="V1108" i="1" s="1"/>
  <c r="Z1108" i="1"/>
  <c r="Y1108" i="1"/>
  <c r="X1108" i="1"/>
  <c r="S1109" i="1"/>
  <c r="W1108" i="1"/>
  <c r="T1108" i="1"/>
  <c r="AF1107" i="1"/>
  <c r="AB1107" i="1"/>
  <c r="AE1108" i="1" l="1"/>
  <c r="AA1108" i="1"/>
  <c r="U1109" i="1"/>
  <c r="V1109" i="1" s="1"/>
  <c r="W1109" i="1"/>
  <c r="Y1109" i="1"/>
  <c r="Z1109" i="1"/>
  <c r="T1109" i="1"/>
  <c r="X1109" i="1"/>
  <c r="S1110" i="1"/>
  <c r="AH1108" i="1"/>
  <c r="AD1108" i="1"/>
  <c r="AF1108" i="1"/>
  <c r="AB1108" i="1"/>
  <c r="AC1108" i="1"/>
  <c r="AG1108" i="1"/>
  <c r="AE1109" i="1" l="1"/>
  <c r="AA1109" i="1"/>
  <c r="AF1109" i="1"/>
  <c r="AB1109" i="1"/>
  <c r="AD1109" i="1"/>
  <c r="AH1109" i="1"/>
  <c r="X1110" i="1"/>
  <c r="Y1110" i="1"/>
  <c r="U1110" i="1"/>
  <c r="V1110" i="1" s="1"/>
  <c r="W1110" i="1"/>
  <c r="S1111" i="1"/>
  <c r="Z1110" i="1"/>
  <c r="T1110" i="1"/>
  <c r="AG1109" i="1"/>
  <c r="AC1109" i="1"/>
  <c r="AC1110" i="1" l="1"/>
  <c r="AG1110" i="1"/>
  <c r="W1111" i="1"/>
  <c r="T1111" i="1"/>
  <c r="Y1111" i="1"/>
  <c r="X1111" i="1"/>
  <c r="U1111" i="1"/>
  <c r="V1111" i="1" s="1"/>
  <c r="S1112" i="1"/>
  <c r="Z1111" i="1"/>
  <c r="AF1110" i="1"/>
  <c r="AB1110" i="1"/>
  <c r="AE1110" i="1"/>
  <c r="AA1110" i="1"/>
  <c r="AH1110" i="1"/>
  <c r="AD1110" i="1"/>
  <c r="AE1111" i="1" l="1"/>
  <c r="AA1111" i="1"/>
  <c r="T1112" i="1"/>
  <c r="S1113" i="1"/>
  <c r="U1112" i="1"/>
  <c r="V1112" i="1" s="1"/>
  <c r="W1112" i="1"/>
  <c r="Y1112" i="1"/>
  <c r="X1112" i="1"/>
  <c r="Z1112" i="1"/>
  <c r="AF1111" i="1"/>
  <c r="AB1111" i="1"/>
  <c r="AD1111" i="1"/>
  <c r="AH1111" i="1"/>
  <c r="AG1111" i="1"/>
  <c r="AC1111" i="1"/>
  <c r="AB1112" i="1" l="1"/>
  <c r="AF1112" i="1"/>
  <c r="Z1113" i="1"/>
  <c r="X1113" i="1"/>
  <c r="T1113" i="1"/>
  <c r="W1113" i="1"/>
  <c r="S1114" i="1"/>
  <c r="U1113" i="1"/>
  <c r="V1113" i="1" s="1"/>
  <c r="Y1113" i="1"/>
  <c r="AG1112" i="1"/>
  <c r="AC1112" i="1"/>
  <c r="AA1112" i="1"/>
  <c r="AE1112" i="1"/>
  <c r="AH1112" i="1"/>
  <c r="AD1112" i="1"/>
  <c r="AF1113" i="1" l="1"/>
  <c r="AB1113" i="1"/>
  <c r="X1114" i="1"/>
  <c r="Z1114" i="1"/>
  <c r="W1114" i="1"/>
  <c r="S1115" i="1"/>
  <c r="Y1114" i="1"/>
  <c r="T1114" i="1"/>
  <c r="U1114" i="1"/>
  <c r="V1114" i="1" s="1"/>
  <c r="AD1113" i="1"/>
  <c r="AH1113" i="1"/>
  <c r="AE1113" i="1"/>
  <c r="AA1113" i="1"/>
  <c r="AG1113" i="1"/>
  <c r="AC1113" i="1"/>
  <c r="AD1114" i="1" l="1"/>
  <c r="AH1114" i="1"/>
  <c r="AC1114" i="1"/>
  <c r="AG1114" i="1"/>
  <c r="AB1114" i="1"/>
  <c r="AF1114" i="1"/>
  <c r="T1115" i="1"/>
  <c r="Y1115" i="1"/>
  <c r="W1115" i="1"/>
  <c r="Z1115" i="1"/>
  <c r="U1115" i="1"/>
  <c r="V1115" i="1" s="1"/>
  <c r="S1116" i="1"/>
  <c r="X1115" i="1"/>
  <c r="AA1114" i="1"/>
  <c r="AE1114" i="1"/>
  <c r="AH1115" i="1" l="1"/>
  <c r="AD1115" i="1"/>
  <c r="X1116" i="1"/>
  <c r="S1117" i="1"/>
  <c r="T1116" i="1"/>
  <c r="Y1116" i="1"/>
  <c r="W1116" i="1"/>
  <c r="Z1116" i="1"/>
  <c r="U1116" i="1"/>
  <c r="V1116" i="1" s="1"/>
  <c r="AG1115" i="1"/>
  <c r="AC1115" i="1"/>
  <c r="AB1115" i="1"/>
  <c r="AF1115" i="1"/>
  <c r="AE1115" i="1"/>
  <c r="AA1115" i="1"/>
  <c r="W1117" i="1" l="1"/>
  <c r="X1117" i="1"/>
  <c r="S1118" i="1"/>
  <c r="T1117" i="1"/>
  <c r="U1117" i="1"/>
  <c r="V1117" i="1" s="1"/>
  <c r="Z1117" i="1"/>
  <c r="Y1117" i="1"/>
  <c r="AA1116" i="1"/>
  <c r="AE1116" i="1"/>
  <c r="AF1116" i="1"/>
  <c r="AB1116" i="1"/>
  <c r="AD1116" i="1"/>
  <c r="AH1116" i="1"/>
  <c r="AG1116" i="1"/>
  <c r="AC1116" i="1"/>
  <c r="AC1117" i="1" l="1"/>
  <c r="AG1117" i="1"/>
  <c r="U1118" i="1"/>
  <c r="V1118" i="1" s="1"/>
  <c r="Y1118" i="1"/>
  <c r="T1118" i="1"/>
  <c r="W1118" i="1"/>
  <c r="Z1118" i="1"/>
  <c r="X1118" i="1"/>
  <c r="S1119" i="1"/>
  <c r="AD1117" i="1"/>
  <c r="AH1117" i="1"/>
  <c r="AF1117" i="1"/>
  <c r="AB1117" i="1"/>
  <c r="AA1117" i="1"/>
  <c r="AE1117" i="1"/>
  <c r="AH1118" i="1" l="1"/>
  <c r="AD1118" i="1"/>
  <c r="AB1118" i="1"/>
  <c r="AF1118" i="1"/>
  <c r="AG1118" i="1"/>
  <c r="AC1118" i="1"/>
  <c r="AA1118" i="1"/>
  <c r="AE1118" i="1"/>
  <c r="S1120" i="1"/>
  <c r="X1119" i="1"/>
  <c r="Z1119" i="1"/>
  <c r="T1119" i="1"/>
  <c r="W1119" i="1"/>
  <c r="U1119" i="1"/>
  <c r="V1119" i="1" s="1"/>
  <c r="Y1119" i="1"/>
  <c r="AG1119" i="1" l="1"/>
  <c r="AC1119" i="1"/>
  <c r="AB1119" i="1"/>
  <c r="AF1119" i="1"/>
  <c r="AH1119" i="1"/>
  <c r="AD1119" i="1"/>
  <c r="AA1119" i="1"/>
  <c r="AE1119" i="1"/>
  <c r="S1121" i="1"/>
  <c r="Z1120" i="1"/>
  <c r="U1120" i="1"/>
  <c r="V1120" i="1" s="1"/>
  <c r="W1120" i="1"/>
  <c r="Y1120" i="1"/>
  <c r="X1120" i="1"/>
  <c r="T1120" i="1"/>
  <c r="AF1120" i="1" l="1"/>
  <c r="AB1120" i="1"/>
  <c r="AH1120" i="1"/>
  <c r="AD1120" i="1"/>
  <c r="AA1120" i="1"/>
  <c r="AE1120" i="1"/>
  <c r="AC1120" i="1"/>
  <c r="AG1120" i="1"/>
  <c r="Y1121" i="1"/>
  <c r="W1121" i="1"/>
  <c r="X1121" i="1"/>
  <c r="T1121" i="1"/>
  <c r="S1122" i="1"/>
  <c r="U1121" i="1"/>
  <c r="V1121" i="1" s="1"/>
  <c r="Z1121" i="1"/>
  <c r="AD1121" i="1" l="1"/>
  <c r="AH1121" i="1"/>
  <c r="AF1121" i="1"/>
  <c r="AB1121" i="1"/>
  <c r="AE1121" i="1"/>
  <c r="AA1121" i="1"/>
  <c r="U1122" i="1"/>
  <c r="V1122" i="1" s="1"/>
  <c r="Z1122" i="1"/>
  <c r="T1122" i="1"/>
  <c r="Y1122" i="1"/>
  <c r="X1122" i="1"/>
  <c r="S1123" i="1"/>
  <c r="W1122" i="1"/>
  <c r="AG1121" i="1"/>
  <c r="AC1121" i="1"/>
  <c r="AF1122" i="1" l="1"/>
  <c r="AB1122" i="1"/>
  <c r="AC1122" i="1"/>
  <c r="AG1122" i="1"/>
  <c r="X1123" i="1"/>
  <c r="S1124" i="1"/>
  <c r="T1123" i="1"/>
  <c r="Z1123" i="1"/>
  <c r="U1123" i="1"/>
  <c r="V1123" i="1" s="1"/>
  <c r="Y1123" i="1"/>
  <c r="W1123" i="1"/>
  <c r="AH1122" i="1"/>
  <c r="AD1122" i="1"/>
  <c r="AE1122" i="1"/>
  <c r="AA1122" i="1"/>
  <c r="AA1123" i="1" l="1"/>
  <c r="AE1123" i="1"/>
  <c r="S1125" i="1"/>
  <c r="Z1124" i="1"/>
  <c r="U1124" i="1"/>
  <c r="V1124" i="1" s="1"/>
  <c r="W1124" i="1"/>
  <c r="Y1124" i="1"/>
  <c r="X1124" i="1"/>
  <c r="T1124" i="1"/>
  <c r="AH1123" i="1"/>
  <c r="AD1123" i="1"/>
  <c r="AC1123" i="1"/>
  <c r="AG1123" i="1"/>
  <c r="AF1123" i="1"/>
  <c r="AB1123" i="1"/>
  <c r="AF1124" i="1" l="1"/>
  <c r="AB1124" i="1"/>
  <c r="AH1124" i="1"/>
  <c r="AD1124" i="1"/>
  <c r="AG1124" i="1"/>
  <c r="AC1124" i="1"/>
  <c r="Z1125" i="1"/>
  <c r="T1125" i="1"/>
  <c r="S1126" i="1"/>
  <c r="X1125" i="1"/>
  <c r="U1125" i="1"/>
  <c r="V1125" i="1" s="1"/>
  <c r="W1125" i="1"/>
  <c r="Y1125" i="1"/>
  <c r="AA1124" i="1"/>
  <c r="AE1124" i="1"/>
  <c r="AD1125" i="1" l="1"/>
  <c r="AH1125" i="1"/>
  <c r="AA1125" i="1"/>
  <c r="AE1125" i="1"/>
  <c r="AB1125" i="1"/>
  <c r="AF1125" i="1"/>
  <c r="AG1125" i="1"/>
  <c r="AC1125" i="1"/>
  <c r="X1126" i="1"/>
  <c r="Y1126" i="1"/>
  <c r="Z1126" i="1"/>
  <c r="T1126" i="1"/>
  <c r="U1126" i="1"/>
  <c r="V1126" i="1" s="1"/>
  <c r="W1126" i="1"/>
  <c r="S1127" i="1"/>
  <c r="AD1126" i="1" l="1"/>
  <c r="AH1126" i="1"/>
  <c r="Z1127" i="1"/>
  <c r="W1127" i="1"/>
  <c r="S1128" i="1"/>
  <c r="U1127" i="1"/>
  <c r="V1127" i="1" s="1"/>
  <c r="T1127" i="1"/>
  <c r="X1127" i="1"/>
  <c r="Y1127" i="1"/>
  <c r="AE1126" i="1"/>
  <c r="AA1126" i="1"/>
  <c r="AG1126" i="1"/>
  <c r="AC1126" i="1"/>
  <c r="AF1126" i="1"/>
  <c r="AB1126" i="1"/>
  <c r="AF1127" i="1" l="1"/>
  <c r="AB1127" i="1"/>
  <c r="AH1127" i="1"/>
  <c r="AD1127" i="1"/>
  <c r="AE1127" i="1"/>
  <c r="AA1127" i="1"/>
  <c r="AC1127" i="1"/>
  <c r="AG1127" i="1"/>
  <c r="Y1128" i="1"/>
  <c r="Z1128" i="1"/>
  <c r="S1129" i="1"/>
  <c r="W1128" i="1"/>
  <c r="U1128" i="1"/>
  <c r="V1128" i="1" s="1"/>
  <c r="X1128" i="1"/>
  <c r="T1128" i="1"/>
  <c r="U1129" i="1" l="1"/>
  <c r="V1129" i="1" s="1"/>
  <c r="S1130" i="1"/>
  <c r="T1129" i="1"/>
  <c r="Z1129" i="1"/>
  <c r="Y1129" i="1"/>
  <c r="X1129" i="1"/>
  <c r="W1129" i="1"/>
  <c r="AH1128" i="1"/>
  <c r="AD1128" i="1"/>
  <c r="AA1128" i="1"/>
  <c r="AE1128" i="1"/>
  <c r="AF1128" i="1"/>
  <c r="AB1128" i="1"/>
  <c r="AC1128" i="1"/>
  <c r="AG1128" i="1"/>
  <c r="AH1129" i="1" l="1"/>
  <c r="AD1129" i="1"/>
  <c r="AE1129" i="1"/>
  <c r="AA1129" i="1"/>
  <c r="AB1129" i="1"/>
  <c r="AF1129" i="1"/>
  <c r="W1130" i="1"/>
  <c r="T1130" i="1"/>
  <c r="Z1130" i="1"/>
  <c r="S1131" i="1"/>
  <c r="Y1130" i="1"/>
  <c r="U1130" i="1"/>
  <c r="V1130" i="1" s="1"/>
  <c r="X1130" i="1"/>
  <c r="AC1129" i="1"/>
  <c r="AG1129" i="1"/>
  <c r="AG1130" i="1" l="1"/>
  <c r="AC1130" i="1"/>
  <c r="AA1130" i="1"/>
  <c r="AE1130" i="1"/>
  <c r="S1132" i="1"/>
  <c r="Y1131" i="1"/>
  <c r="Z1131" i="1"/>
  <c r="X1131" i="1"/>
  <c r="T1131" i="1"/>
  <c r="W1131" i="1"/>
  <c r="U1131" i="1"/>
  <c r="V1131" i="1" s="1"/>
  <c r="AF1130" i="1"/>
  <c r="AB1130" i="1"/>
  <c r="AD1130" i="1"/>
  <c r="AH1130" i="1"/>
  <c r="AH1131" i="1" l="1"/>
  <c r="AD1131" i="1"/>
  <c r="AB1131" i="1"/>
  <c r="AF1131" i="1"/>
  <c r="AE1131" i="1"/>
  <c r="AA1131" i="1"/>
  <c r="AC1131" i="1"/>
  <c r="AG1131" i="1"/>
  <c r="Y1132" i="1"/>
  <c r="T1132" i="1"/>
  <c r="X1132" i="1"/>
  <c r="S1133" i="1"/>
  <c r="U1132" i="1"/>
  <c r="V1132" i="1" s="1"/>
  <c r="Z1132" i="1"/>
  <c r="W1132" i="1"/>
  <c r="S1134" i="1" l="1"/>
  <c r="U1133" i="1"/>
  <c r="V1133" i="1" s="1"/>
  <c r="Z1133" i="1"/>
  <c r="T1133" i="1"/>
  <c r="Y1133" i="1"/>
  <c r="X1133" i="1"/>
  <c r="W1133" i="1"/>
  <c r="AF1132" i="1"/>
  <c r="AB1132" i="1"/>
  <c r="AD1132" i="1"/>
  <c r="AH1132" i="1"/>
  <c r="AA1132" i="1"/>
  <c r="AE1132" i="1"/>
  <c r="AG1132" i="1"/>
  <c r="AC1132" i="1"/>
  <c r="AA1133" i="1" l="1"/>
  <c r="AE1133" i="1"/>
  <c r="AD1133" i="1"/>
  <c r="AH1133" i="1"/>
  <c r="AF1133" i="1"/>
  <c r="AB1133" i="1"/>
  <c r="AG1133" i="1"/>
  <c r="AC1133" i="1"/>
  <c r="T1134" i="1"/>
  <c r="Y1134" i="1"/>
  <c r="S1135" i="1"/>
  <c r="W1134" i="1"/>
  <c r="U1134" i="1"/>
  <c r="V1134" i="1" s="1"/>
  <c r="Z1134" i="1"/>
  <c r="X1134" i="1"/>
  <c r="AF1134" i="1" l="1"/>
  <c r="AB1134" i="1"/>
  <c r="AE1134" i="1"/>
  <c r="AA1134" i="1"/>
  <c r="S1136" i="1"/>
  <c r="Y1135" i="1"/>
  <c r="Z1135" i="1"/>
  <c r="T1135" i="1"/>
  <c r="X1135" i="1"/>
  <c r="U1135" i="1"/>
  <c r="V1135" i="1" s="1"/>
  <c r="W1135" i="1"/>
  <c r="AH1134" i="1"/>
  <c r="AD1134" i="1"/>
  <c r="AG1134" i="1"/>
  <c r="AC1134" i="1"/>
  <c r="AE1135" i="1" l="1"/>
  <c r="AA1135" i="1"/>
  <c r="AD1135" i="1"/>
  <c r="AH1135" i="1"/>
  <c r="AC1135" i="1"/>
  <c r="AG1135" i="1"/>
  <c r="AB1135" i="1"/>
  <c r="AF1135" i="1"/>
  <c r="W1136" i="1"/>
  <c r="T1136" i="1"/>
  <c r="S1137" i="1"/>
  <c r="Z1136" i="1"/>
  <c r="U1136" i="1"/>
  <c r="V1136" i="1" s="1"/>
  <c r="Y1136" i="1"/>
  <c r="X1136" i="1"/>
  <c r="AD1136" i="1" l="1"/>
  <c r="AH1136" i="1"/>
  <c r="Z1137" i="1"/>
  <c r="Y1137" i="1"/>
  <c r="X1137" i="1"/>
  <c r="U1137" i="1"/>
  <c r="V1137" i="1" s="1"/>
  <c r="W1137" i="1"/>
  <c r="S1138" i="1"/>
  <c r="T1137" i="1"/>
  <c r="AF1136" i="1"/>
  <c r="AB1136" i="1"/>
  <c r="AG1136" i="1"/>
  <c r="AC1136" i="1"/>
  <c r="AE1136" i="1"/>
  <c r="AA1136" i="1"/>
  <c r="Z1138" i="1" l="1"/>
  <c r="Y1138" i="1"/>
  <c r="T1138" i="1"/>
  <c r="U1138" i="1"/>
  <c r="V1138" i="1" s="1"/>
  <c r="W1138" i="1"/>
  <c r="X1138" i="1"/>
  <c r="AC1137" i="1"/>
  <c r="AG1137" i="1"/>
  <c r="AE1137" i="1"/>
  <c r="AA1137" i="1"/>
  <c r="AH1137" i="1"/>
  <c r="AD1137" i="1"/>
  <c r="AB1137" i="1"/>
  <c r="AF1137" i="1"/>
  <c r="AG1138" i="1" l="1"/>
  <c r="AC1138" i="1"/>
  <c r="AB1138" i="1"/>
  <c r="AF1138" i="1"/>
  <c r="AA1138" i="1"/>
  <c r="AE1138" i="1"/>
  <c r="AD1138" i="1"/>
  <c r="AH1138" i="1"/>
</calcChain>
</file>

<file path=xl/sharedStrings.xml><?xml version="1.0" encoding="utf-8"?>
<sst xmlns="http://schemas.openxmlformats.org/spreadsheetml/2006/main" count="31849" uniqueCount="7700">
  <si>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</si>
  <si>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</si>
  <si>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</si>
  <si>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</si>
  <si>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</si>
  <si>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</si>
  <si>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</si>
  <si>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</si>
  <si>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</si>
  <si>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</si>
  <si>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</si>
  <si>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</si>
  <si>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</si>
  <si>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</si>
  <si>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</si>
  <si>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</si>
  <si>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</si>
  <si>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</si>
  <si>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</si>
  <si>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</si>
  <si>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</si>
  <si>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</si>
  <si>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</si>
  <si>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</si>
  <si>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</si>
  <si>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</si>
  <si>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</si>
  <si>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</si>
  <si>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</si>
  <si>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</si>
  <si>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</si>
  <si>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</si>
  <si>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</si>
  <si>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</si>
  <si>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</si>
  <si>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</si>
  <si>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</si>
  <si>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</si>
  <si>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</si>
  <si>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</si>
  <si>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</si>
  <si>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</si>
  <si>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</si>
  <si>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</si>
  <si>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</si>
  <si>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</si>
  <si>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</si>
  <si>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</si>
  <si>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</si>
  <si>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</si>
  <si>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</si>
  <si>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</si>
  <si>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</si>
  <si>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</si>
  <si>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</si>
  <si>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</si>
  <si>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</si>
  <si>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</si>
  <si>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</si>
  <si>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</si>
  <si>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</si>
  <si>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</si>
  <si>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</si>
  <si>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</si>
  <si>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</si>
  <si>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</si>
  <si>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</si>
  <si>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</si>
  <si>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</si>
  <si>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</si>
  <si>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</si>
  <si>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</si>
  <si>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</si>
  <si>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</si>
  <si>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</si>
  <si>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</si>
  <si>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</si>
  <si>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</si>
  <si>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</si>
  <si>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</si>
  <si>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</si>
  <si>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</si>
  <si>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</si>
  <si>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</si>
  <si>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</si>
  <si>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</si>
  <si>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</si>
  <si>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</si>
  <si>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</si>
  <si>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</si>
  <si>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</si>
  <si>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</si>
  <si>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</si>
  <si>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</si>
  <si>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</si>
  <si>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</si>
  <si>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</si>
  <si>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</si>
  <si>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</si>
  <si>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</si>
  <si>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</si>
  <si>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</si>
  <si>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</si>
  <si>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</si>
  <si>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</si>
  <si>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</si>
  <si>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</si>
  <si>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</si>
  <si>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</si>
  <si>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</si>
  <si>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</si>
  <si>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</si>
  <si>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</si>
  <si>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</si>
  <si>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</si>
  <si>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</si>
  <si>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</si>
  <si>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</si>
  <si>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</si>
  <si>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</si>
  <si>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</si>
  <si>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</si>
  <si>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</si>
  <si>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</si>
  <si>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</si>
  <si>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</si>
  <si>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</si>
  <si>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</si>
  <si>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</si>
  <si>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</si>
  <si>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</si>
  <si>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</si>
  <si>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</si>
  <si>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</si>
  <si>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</si>
  <si>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RmapMemArea</t>
  </si>
  <si>
    <t>'1'</t>
  </si>
  <si>
    <t>(others =&gt; '0')</t>
  </si>
  <si>
    <t>t_rmap_memory_rd_area</t>
  </si>
  <si>
    <t>frame_counter</t>
  </si>
  <si>
    <t>usiFrameCounter</t>
  </si>
  <si>
    <t>type t_rmap_memory_wr_area is record</t>
  </si>
  <si>
    <t>end record t_rmap_memory_wr_area;</t>
  </si>
  <si>
    <t>type t_rmap_memory_rd_area is record</t>
  </si>
  <si>
    <t>end record t_rmap_memory_rd_area;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</si>
  <si>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</si>
  <si>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</si>
  <si>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</si>
  <si>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</si>
  <si>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</si>
  <si>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typedef struct RmapMemArea {</t>
  </si>
  <si>
    <t>} TRmapMemArea;</t>
  </si>
  <si>
    <t>DEB Critical Configuration Area</t>
  </si>
  <si>
    <t>deb_ccfg_aeb_idx</t>
  </si>
  <si>
    <t>t_deb_ccfg_aeb_idx_wr_reg</t>
  </si>
  <si>
    <t>vdig_aeb4</t>
  </si>
  <si>
    <t>RmapMemAreaDebCritConfig</t>
  </si>
  <si>
    <t>bVdigAeb4</t>
  </si>
  <si>
    <t>vdig_aeb3</t>
  </si>
  <si>
    <t>bVdigAeb3</t>
  </si>
  <si>
    <t>vdig_aeb2</t>
  </si>
  <si>
    <t>bVdigAeb2</t>
  </si>
  <si>
    <t>vdig_aeb1</t>
  </si>
  <si>
    <t>bVdigAeb1</t>
  </si>
  <si>
    <t>deb_ccfg_reg_dta_3</t>
  </si>
  <si>
    <t>t_deb_ccfg_reg_dta_3_wr_reg</t>
  </si>
  <si>
    <t>pll_reg_word_3</t>
  </si>
  <si>
    <t>x"00000027"</t>
  </si>
  <si>
    <t>uliPllRegWord3</t>
  </si>
  <si>
    <t>deb_ccfg_reg_dta_2</t>
  </si>
  <si>
    <t>t_deb_ccfg_reg_dta_2_wr_reg</t>
  </si>
  <si>
    <t>pll_reg_word_2</t>
  </si>
  <si>
    <t>x"DB6DB4A2"</t>
  </si>
  <si>
    <t>uliPllRegWord2</t>
  </si>
  <si>
    <t>deb_ccfg_reg_dta_1</t>
  </si>
  <si>
    <t>t_deb_ccfg_reg_dta_1_wr_reg</t>
  </si>
  <si>
    <t>pll_reg_word_1</t>
  </si>
  <si>
    <t>x"0000007D"</t>
  </si>
  <si>
    <t>uliPllRegWord1</t>
  </si>
  <si>
    <t>deb_ccfg_reg_dta_0</t>
  </si>
  <si>
    <t>t_deb_ccfg_reg_dta_0_wr_reg</t>
  </si>
  <si>
    <t>pll_reg_word_0</t>
  </si>
  <si>
    <t>x"0007F1FC"</t>
  </si>
  <si>
    <t>uliPllRegWord0</t>
  </si>
  <si>
    <t>DEB General Configuration Area</t>
  </si>
  <si>
    <t>deb_gcfg_oper_mod</t>
  </si>
  <si>
    <t>t_deb_gcfg_oper_mod_wr_reg</t>
  </si>
  <si>
    <t>imm</t>
  </si>
  <si>
    <t>RmapMemAreaDebGenConfig</t>
  </si>
  <si>
    <t>bImm</t>
  </si>
  <si>
    <t>oper_mod</t>
  </si>
  <si>
    <t>ucOperMod</t>
  </si>
  <si>
    <t>deb_gcfg_t7_in_mod</t>
  </si>
  <si>
    <t>t_deb_gcfg_t7_in_mod_wr_reg</t>
  </si>
  <si>
    <t>in_mod7</t>
  </si>
  <si>
    <t>ucInMod7</t>
  </si>
  <si>
    <t>deb_gcfg_t6_in_mod</t>
  </si>
  <si>
    <t>t_deb_gcfg_t6_in_mod_wr_reg</t>
  </si>
  <si>
    <t>in_mod6</t>
  </si>
  <si>
    <t>ucInMod6</t>
  </si>
  <si>
    <t>deb_gcfg_t5_in_mod</t>
  </si>
  <si>
    <t>t_deb_gcfg_t5_in_mod_wr_reg</t>
  </si>
  <si>
    <t>in_mod5</t>
  </si>
  <si>
    <t>ucInMod5</t>
  </si>
  <si>
    <t>deb_gcfg_t4_in_mod</t>
  </si>
  <si>
    <t>t_deb_gcfg_t4_in_mod_wr_reg</t>
  </si>
  <si>
    <t>in_mod4</t>
  </si>
  <si>
    <t>ucInMod4</t>
  </si>
  <si>
    <t>deb_gcfg_t3_in_mod</t>
  </si>
  <si>
    <t>t_deb_gcfg_t3_in_mod_wr_reg</t>
  </si>
  <si>
    <t>in_mod3</t>
  </si>
  <si>
    <t>ucInMod3</t>
  </si>
  <si>
    <t>deb_gcfg_t2_in_mod</t>
  </si>
  <si>
    <t>t_deb_gcfg_t2_in_mod_wr_reg</t>
  </si>
  <si>
    <t>in_mod2</t>
  </si>
  <si>
    <t>ucInMod2</t>
  </si>
  <si>
    <t>deb_gcfg_t1_in_mod</t>
  </si>
  <si>
    <t>t_deb_gcfg_t1_in_mod_wr_reg</t>
  </si>
  <si>
    <t>in_mod1</t>
  </si>
  <si>
    <t>ucInMod1</t>
  </si>
  <si>
    <t>deb_gcfg_t0_in_mod</t>
  </si>
  <si>
    <t>t_deb_gcfg_t0_in_mod_wr_reg</t>
  </si>
  <si>
    <t>in_mod0</t>
  </si>
  <si>
    <t>ucInMod0</t>
  </si>
  <si>
    <t>deb_gcfg_w_siz_x</t>
  </si>
  <si>
    <t>t_deb_gcfg_w_siz_x_wr_reg</t>
  </si>
  <si>
    <t>w_siz_x</t>
  </si>
  <si>
    <t>ucWSizX</t>
  </si>
  <si>
    <t>deb_gcfg_w_siz_y</t>
  </si>
  <si>
    <t>t_deb_gcfg_w_siz_y_wr_reg</t>
  </si>
  <si>
    <t>w_siz_y</t>
  </si>
  <si>
    <t>ucWSizY</t>
  </si>
  <si>
    <t>deb_gcfg_wdw_idx_4</t>
  </si>
  <si>
    <t>t_deb_gcfg_wdw_idx_4_wr_reg</t>
  </si>
  <si>
    <t>wdw_idx_4</t>
  </si>
  <si>
    <t>usiWdwIdx4</t>
  </si>
  <si>
    <t>deb_gcfg_wdw_len_4</t>
  </si>
  <si>
    <t>t_deb_gcfg_wdw_len_4_wr_reg</t>
  </si>
  <si>
    <t>wdw_len_4</t>
  </si>
  <si>
    <t>usiWdwLen4</t>
  </si>
  <si>
    <t>deb_gcfg_wdw_idx_3</t>
  </si>
  <si>
    <t>t_deb_gcfg_wdw_idx_3_wr_reg</t>
  </si>
  <si>
    <t>wdw_idx_3</t>
  </si>
  <si>
    <t>usiWdwIdx3</t>
  </si>
  <si>
    <t>deb_gcfg_wdw_len_3</t>
  </si>
  <si>
    <t>t_deb_gcfg_wdw_len_3_wr_reg</t>
  </si>
  <si>
    <t>wdw_len_3</t>
  </si>
  <si>
    <t>usiWdwLen3</t>
  </si>
  <si>
    <t>deb_gcfg_wdw_idx_2</t>
  </si>
  <si>
    <t>t_deb_gcfg_wdw_idx_2_wr_reg</t>
  </si>
  <si>
    <t>wdw_idx_2</t>
  </si>
  <si>
    <t>usiWdwIdx2</t>
  </si>
  <si>
    <t>deb_gcfg_wdw_len_2</t>
  </si>
  <si>
    <t>t_deb_gcfg_wdw_len_2_wr_reg</t>
  </si>
  <si>
    <t>wdw_len_2</t>
  </si>
  <si>
    <t>usiWdwLen2</t>
  </si>
  <si>
    <t>deb_gcfg_wdw_idx_1</t>
  </si>
  <si>
    <t>t_deb_gcfg_wdw_idx_1_wr_reg</t>
  </si>
  <si>
    <t>wdw_idx_1</t>
  </si>
  <si>
    <t>usiWdwIdx1</t>
  </si>
  <si>
    <t>deb_gcfg_wdw_len_1</t>
  </si>
  <si>
    <t>t_deb_gcfg_wdw_len_1_wr_reg</t>
  </si>
  <si>
    <t>wdw_len_1</t>
  </si>
  <si>
    <t>usiWdwLen1</t>
  </si>
  <si>
    <t>deb_gcfg_ovs_lin_4</t>
  </si>
  <si>
    <t>t_deb_gcfg_ovs_lin_4_wr_reg</t>
  </si>
  <si>
    <t>ovs_lin_4</t>
  </si>
  <si>
    <t>ucOvsLin4</t>
  </si>
  <si>
    <t>deb_gcfg_ovs_lin_3</t>
  </si>
  <si>
    <t>t_deb_gcfg_ovs_lin_3_wr_reg</t>
  </si>
  <si>
    <t>ovs_lin_3</t>
  </si>
  <si>
    <t>ucOvsLin3</t>
  </si>
  <si>
    <t>deb_gcfg_ovs_lin_2</t>
  </si>
  <si>
    <t>t_deb_gcfg_ovs_lin_2_wr_reg</t>
  </si>
  <si>
    <t>ovs_lin_2</t>
  </si>
  <si>
    <t>ucOvsLin2</t>
  </si>
  <si>
    <t>deb_gcfg_ovs_lin_1</t>
  </si>
  <si>
    <t>t_deb_gcfg_ovs_lin_1_wr_reg</t>
  </si>
  <si>
    <t>ovs_lin_1</t>
  </si>
  <si>
    <t>ucOvsLin1</t>
  </si>
  <si>
    <t>deb_gcfg_ovs_pix_4</t>
  </si>
  <si>
    <t>t_deb_gcfg_ovs_pix_4_wr_reg</t>
  </si>
  <si>
    <t>ovs_pix_4</t>
  </si>
  <si>
    <t>ucOvsPix4</t>
  </si>
  <si>
    <t>deb_gcfg_ovs_pix_3</t>
  </si>
  <si>
    <t>t_deb_gcfg_ovs_pix_3_wr_reg</t>
  </si>
  <si>
    <t>ovs_pix_3</t>
  </si>
  <si>
    <t>ucOvsPix3</t>
  </si>
  <si>
    <t>deb_gcfg_ovs_pix_2</t>
  </si>
  <si>
    <t>t_deb_gcfg_ovs_pix_2_wr_reg</t>
  </si>
  <si>
    <t>ovs_pix_2</t>
  </si>
  <si>
    <t>ucOvsPix2</t>
  </si>
  <si>
    <t>deb_gcfg_ovs_pix_1</t>
  </si>
  <si>
    <t>t_deb_gcfg_ovs_pix_1_wr_reg</t>
  </si>
  <si>
    <t>ovs_pix_1</t>
  </si>
  <si>
    <t>ucOvsPix1</t>
  </si>
  <si>
    <t>deb_gcfg_2_5s_n_cyc</t>
  </si>
  <si>
    <t>t_deb_gcfg_2_5s_n_cyc_wr_reg</t>
  </si>
  <si>
    <t>d2_5s_n_cyc</t>
  </si>
  <si>
    <t>uc25sNCyc</t>
  </si>
  <si>
    <t>deb_gcfg_trg_src</t>
  </si>
  <si>
    <t>t_deb_gcfg_trg_src_wr_reg</t>
  </si>
  <si>
    <t>sel_trg</t>
  </si>
  <si>
    <t>bSelTrg</t>
  </si>
  <si>
    <t>deb_gcfg_frm_cnt</t>
  </si>
  <si>
    <t>t_deb_gcfg_frm_cnt_wr_reg</t>
  </si>
  <si>
    <t>frm_cnt</t>
  </si>
  <si>
    <t>usiFrmCnt</t>
  </si>
  <si>
    <t>deb_gcfg_syn_frq</t>
  </si>
  <si>
    <t>t_deb_gcfg_syn_frq_wr_reg</t>
  </si>
  <si>
    <t>syn_nr</t>
  </si>
  <si>
    <t>bSynNr</t>
  </si>
  <si>
    <t>deb_gcfg_rst_wdg</t>
  </si>
  <si>
    <t>t_deb_gcfg_rst_wdg_wr_reg</t>
  </si>
  <si>
    <t>rst_wdg</t>
  </si>
  <si>
    <t>bRstWdg</t>
  </si>
  <si>
    <t>deb_gcfg_rst_cps</t>
  </si>
  <si>
    <t>t_deb_gcfg_rst_cps_wr_reg</t>
  </si>
  <si>
    <t>rst_cps</t>
  </si>
  <si>
    <t>bRstCps</t>
  </si>
  <si>
    <t>deb_gcfg_25s_dly</t>
  </si>
  <si>
    <t>t_deb_gcfg_25s_dly_wr_reg</t>
  </si>
  <si>
    <t>d25s_dly</t>
  </si>
  <si>
    <t>uli25sDly</t>
  </si>
  <si>
    <t>deb_gcfg_tmod_conf</t>
  </si>
  <si>
    <t>t_deb_gcfg_tmod_conf_wr_reg</t>
  </si>
  <si>
    <t>tmod_conf</t>
  </si>
  <si>
    <t>usiTmodConf</t>
  </si>
  <si>
    <t>DEB Housekeeping Area</t>
  </si>
  <si>
    <t>deb_hk_deb_status</t>
  </si>
  <si>
    <t>t_deb_hk_deb_status_wr_reg</t>
  </si>
  <si>
    <t>RmapMemAreaDebHousekeep</t>
  </si>
  <si>
    <t>window_list_table_edac_corrected_error_number</t>
  </si>
  <si>
    <t>ucWindowListTableEdacCorrectedErrorNumber</t>
  </si>
  <si>
    <t>uncorrected_error_number</t>
  </si>
  <si>
    <t>ucUncorrectedErrorNumber</t>
  </si>
  <si>
    <t>pll_status</t>
  </si>
  <si>
    <t>ucPllStatus</t>
  </si>
  <si>
    <t>vdig_aeb4_status</t>
  </si>
  <si>
    <t>bVdigAeb4Status</t>
  </si>
  <si>
    <t>vdig_aeb3_status</t>
  </si>
  <si>
    <t>bVdigAeb3Status</t>
  </si>
  <si>
    <t>vdig_aeb2_status</t>
  </si>
  <si>
    <t>bVdigAeb2Status</t>
  </si>
  <si>
    <t>vdig_aeb1_status</t>
  </si>
  <si>
    <t>bVdigAeb1Status</t>
  </si>
  <si>
    <t>wdw_list_cnt_ovf</t>
  </si>
  <si>
    <t>ucWdwListCntOvf</t>
  </si>
  <si>
    <t>aeb_spi_status</t>
  </si>
  <si>
    <t>bAebSpiStatus</t>
  </si>
  <si>
    <t>wdg_status</t>
  </si>
  <si>
    <t>bWdgStatus</t>
  </si>
  <si>
    <t>deb_hk_deb_ovf</t>
  </si>
  <si>
    <t>t_deb_hk_deb_ovf_wr_reg</t>
  </si>
  <si>
    <t>row_active_list8_cnt_ovf</t>
  </si>
  <si>
    <t>bRowActiveList8CntOvf</t>
  </si>
  <si>
    <t>row_active_list7_cnt_ovf</t>
  </si>
  <si>
    <t>bRowActiveList7CntOvf</t>
  </si>
  <si>
    <t>row_active_list6_cnt_ovf</t>
  </si>
  <si>
    <t>bRowActiveList6CntOvf</t>
  </si>
  <si>
    <t>row_active_list5_cnt_ovf</t>
  </si>
  <si>
    <t>bRowActiveList5CntOvf</t>
  </si>
  <si>
    <t>row_active_list4_cnt_ovf</t>
  </si>
  <si>
    <t>bRowActiveList4CntOvf</t>
  </si>
  <si>
    <t>row_active_list3_cnt_ovf</t>
  </si>
  <si>
    <t>bRowActiveList3CntOvf</t>
  </si>
  <si>
    <t>row_active_list2_cnt_ovf</t>
  </si>
  <si>
    <t>bRowActiveList2CntOvf</t>
  </si>
  <si>
    <t>row_active_list1_cnt_ovf</t>
  </si>
  <si>
    <t>bRowActiveList1CntOvf</t>
  </si>
  <si>
    <t>out_buff8_ovf</t>
  </si>
  <si>
    <t>bOutBuff8Ovf</t>
  </si>
  <si>
    <t>out_buff7_ovf</t>
  </si>
  <si>
    <t>bOutBuff7Ovf</t>
  </si>
  <si>
    <t>out_buff6_ovf</t>
  </si>
  <si>
    <t>bOutBuff6Ovf</t>
  </si>
  <si>
    <t>out_buff5_ovf</t>
  </si>
  <si>
    <t>bOutBuff5Ovf</t>
  </si>
  <si>
    <t>out_buff4_ovf</t>
  </si>
  <si>
    <t>bOutBuff4Ovf</t>
  </si>
  <si>
    <t>out_buff3_ovf</t>
  </si>
  <si>
    <t>bOutBuff3Ovf</t>
  </si>
  <si>
    <t>out_buff2_ovf</t>
  </si>
  <si>
    <t>bOutBuff2Ovf</t>
  </si>
  <si>
    <t>out_buff1_ovf</t>
  </si>
  <si>
    <t>bOutBuff1Ovf</t>
  </si>
  <si>
    <t>rmap4_ovf</t>
  </si>
  <si>
    <t>bRmap4Ovf</t>
  </si>
  <si>
    <t>rmap3_ovf</t>
  </si>
  <si>
    <t>bRmap3Ovf</t>
  </si>
  <si>
    <t>rmap2_ovf</t>
  </si>
  <si>
    <t>bRmap2Ovf</t>
  </si>
  <si>
    <t>rmap1_ovf</t>
  </si>
  <si>
    <t>bRmap1Ovf</t>
  </si>
  <si>
    <t>line_pixel_counters_overflow</t>
  </si>
  <si>
    <t>ucLinePixelCountersOverflow</t>
  </si>
  <si>
    <t>deb_hk_spw_status</t>
  </si>
  <si>
    <t>t_deb_hk_spw_status_wr_reg</t>
  </si>
  <si>
    <t>spw_status</t>
  </si>
  <si>
    <t>uliSpwStatus</t>
  </si>
  <si>
    <t>deb_hk_deb_ahk1</t>
  </si>
  <si>
    <t>t_deb_hk_deb_ahk1_wr_reg</t>
  </si>
  <si>
    <t>vdig_in</t>
  </si>
  <si>
    <t>usiVdigIn</t>
  </si>
  <si>
    <t>vio</t>
  </si>
  <si>
    <t>usiVio</t>
  </si>
  <si>
    <t>deb_hk_deb_ahk2</t>
  </si>
  <si>
    <t>t_deb_hk_deb_ahk2_wr_reg</t>
  </si>
  <si>
    <t>vcor</t>
  </si>
  <si>
    <t>usiVcor</t>
  </si>
  <si>
    <t>vlvd</t>
  </si>
  <si>
    <t>usiVlvd</t>
  </si>
  <si>
    <t>deb_hk_deb_ahk3</t>
  </si>
  <si>
    <t>t_deb_hk_deb_ahk3_wr_reg</t>
  </si>
  <si>
    <t>deb_temp</t>
  </si>
  <si>
    <t>usiDebTemp</t>
  </si>
  <si>
    <t>AEB 1 Critical Configuration Area</t>
  </si>
  <si>
    <t>aeb1_ccfg_aeb_control</t>
  </si>
  <si>
    <t>t_aeb1_ccfg_aeb_control_wr_reg</t>
  </si>
  <si>
    <t>new_state</t>
  </si>
  <si>
    <t>RmapMemAreaAeb1CritConfig</t>
  </si>
  <si>
    <t>ucNewState</t>
  </si>
  <si>
    <t>set_state</t>
  </si>
  <si>
    <t>bSetState</t>
  </si>
  <si>
    <t>aeb_reset</t>
  </si>
  <si>
    <t>bAebReset</t>
  </si>
  <si>
    <t>adc_data_rd</t>
  </si>
  <si>
    <t>bAdcDataRd</t>
  </si>
  <si>
    <t>adc_cfg_wr</t>
  </si>
  <si>
    <t>bAdcCfgWr</t>
  </si>
  <si>
    <t>adc_cfg_rd</t>
  </si>
  <si>
    <t>bAdcCfgRd</t>
  </si>
  <si>
    <t>dac_wr</t>
  </si>
  <si>
    <t>bDacWr</t>
  </si>
  <si>
    <t>aeb1_ccfg_aeb_config</t>
  </si>
  <si>
    <t>t_aeb1_ccfg_aeb_config_wr_reg</t>
  </si>
  <si>
    <t>watchdog_dis</t>
  </si>
  <si>
    <t>bWatchdogDis</t>
  </si>
  <si>
    <t>int_sync</t>
  </si>
  <si>
    <t>bIntSync</t>
  </si>
  <si>
    <t>vasp_cds_en</t>
  </si>
  <si>
    <t>bVaspCdsEn</t>
  </si>
  <si>
    <t>vasp2_cal_en</t>
  </si>
  <si>
    <t>bVasp2CalEn</t>
  </si>
  <si>
    <t>vasp1_cal_en</t>
  </si>
  <si>
    <t>bVasp1CalEn</t>
  </si>
  <si>
    <t>aeb1_ccfg_aeb_config_key</t>
  </si>
  <si>
    <t>t_aeb1_ccfg_aeb_config_key_wr_reg</t>
  </si>
  <si>
    <t>key</t>
  </si>
  <si>
    <t>uliKey</t>
  </si>
  <si>
    <t>aeb1_ccfg_aeb_config_ait1</t>
  </si>
  <si>
    <t>t_aeb1_ccfg_aeb_config_ait1_wr_reg</t>
  </si>
  <si>
    <t>override_sw</t>
  </si>
  <si>
    <t>bOverrideSw</t>
  </si>
  <si>
    <t>sw_van3</t>
  </si>
  <si>
    <t>bSwVan3</t>
  </si>
  <si>
    <t>sw_van2</t>
  </si>
  <si>
    <t>bSwVan2</t>
  </si>
  <si>
    <t>sw_van1</t>
  </si>
  <si>
    <t>bSwVan1</t>
  </si>
  <si>
    <t>sw_vclk</t>
  </si>
  <si>
    <t>bSwVclk</t>
  </si>
  <si>
    <t>sw_vccd</t>
  </si>
  <si>
    <t>bSwVccd</t>
  </si>
  <si>
    <t>override_vasp</t>
  </si>
  <si>
    <t>bOverrideVasp</t>
  </si>
  <si>
    <t>vasp2_pix_en</t>
  </si>
  <si>
    <t>bVasp2PixEn</t>
  </si>
  <si>
    <t>vasp1_pix_en</t>
  </si>
  <si>
    <t>bVasp1PixEn</t>
  </si>
  <si>
    <t>vasp2_adc_en</t>
  </si>
  <si>
    <t>bVasp2AdcEn</t>
  </si>
  <si>
    <t>vasp1_adc_en</t>
  </si>
  <si>
    <t>bVasp1AdcEn</t>
  </si>
  <si>
    <t>vasp2_reset</t>
  </si>
  <si>
    <t>bVasp2Reset</t>
  </si>
  <si>
    <t>vasp1_reset</t>
  </si>
  <si>
    <t>bVasp1Reset</t>
  </si>
  <si>
    <t>override_adc</t>
  </si>
  <si>
    <t>bOverrideAdc</t>
  </si>
  <si>
    <t>adc2_en_p5v0</t>
  </si>
  <si>
    <t>bAdc2EnP5v0</t>
  </si>
  <si>
    <t>adc1_en_p5v0</t>
  </si>
  <si>
    <t>bAdc1EnP5v0</t>
  </si>
  <si>
    <t>pt1000_cal_on_n</t>
  </si>
  <si>
    <t>bPt1000CalOnN</t>
  </si>
  <si>
    <t>en_v_mux_n</t>
  </si>
  <si>
    <t>bEnVMuxN</t>
  </si>
  <si>
    <t>adc2_pwdn_n</t>
  </si>
  <si>
    <t>bAdc2PwdnN</t>
  </si>
  <si>
    <t>adc1_pwdn_n</t>
  </si>
  <si>
    <t>bAdc1PwdnN</t>
  </si>
  <si>
    <t>adc_clk_en</t>
  </si>
  <si>
    <t>bAdcClkEn</t>
  </si>
  <si>
    <t>aeb1_ccfg_aeb_config_pattern</t>
  </si>
  <si>
    <t>t_aeb1_ccfg_aeb_config_pattern_wr_reg</t>
  </si>
  <si>
    <t>pattern_ccdid</t>
  </si>
  <si>
    <t>ucPatternCcdid</t>
  </si>
  <si>
    <t>pattern_cols</t>
  </si>
  <si>
    <t>usiPatternCols</t>
  </si>
  <si>
    <t>pattern_rows</t>
  </si>
  <si>
    <t>usiPatternRows</t>
  </si>
  <si>
    <t>aeb1_ccfg_vasp_i2c_control</t>
  </si>
  <si>
    <t>t_aeb1_ccfg_vasp_i2c_control_wr_reg</t>
  </si>
  <si>
    <t>vasp_cfg_addr</t>
  </si>
  <si>
    <t>ucVaspCfgAddr</t>
  </si>
  <si>
    <t>vasp1_cfg_data</t>
  </si>
  <si>
    <t>ucVasp1CfgData</t>
  </si>
  <si>
    <t>vasp2_cfg_data</t>
  </si>
  <si>
    <t>ucVasp2CfgData</t>
  </si>
  <si>
    <t>vasp2_select</t>
  </si>
  <si>
    <t>bVasp2Select</t>
  </si>
  <si>
    <t>vasp1_select</t>
  </si>
  <si>
    <t>bVasp1Select</t>
  </si>
  <si>
    <t>calibration_start</t>
  </si>
  <si>
    <t>bCalibrationStart</t>
  </si>
  <si>
    <t>i2c_read_start</t>
  </si>
  <si>
    <t>bI2cReadStart</t>
  </si>
  <si>
    <t>i2c_write_start</t>
  </si>
  <si>
    <t>bI2cWriteStart</t>
  </si>
  <si>
    <t>aeb1_ccfg_dac_config_1</t>
  </si>
  <si>
    <t>t_aeb1_ccfg_dac_config_1_wr_reg</t>
  </si>
  <si>
    <t>dac_vog</t>
  </si>
  <si>
    <t>usiDacVog</t>
  </si>
  <si>
    <t>dac_vrd</t>
  </si>
  <si>
    <t>usiDacVrd</t>
  </si>
  <si>
    <t>aeb1_ccfg_dac_config_2</t>
  </si>
  <si>
    <t>t_aeb1_ccfg_dac_config_2_wr_reg</t>
  </si>
  <si>
    <t>dac_vod</t>
  </si>
  <si>
    <t>usiDacVod</t>
  </si>
  <si>
    <t>aeb1_ccfg_pwr_config1</t>
  </si>
  <si>
    <t>t_aeb1_ccfg_pwr_config1_wr_reg</t>
  </si>
  <si>
    <t>time_vccd_on</t>
  </si>
  <si>
    <t>ucTimeVccdOn</t>
  </si>
  <si>
    <t>time_vclk_on</t>
  </si>
  <si>
    <t>ucTimeVclkOn</t>
  </si>
  <si>
    <t>time_van1_on</t>
  </si>
  <si>
    <t>ucTimeVan1On</t>
  </si>
  <si>
    <t>time_van2_on</t>
  </si>
  <si>
    <t>ucTimeVan2On</t>
  </si>
  <si>
    <t>aeb1_ccfg_pwr_config2</t>
  </si>
  <si>
    <t>t_aeb1_ccfg_pwr_config2_wr_reg</t>
  </si>
  <si>
    <t>time_van3_on</t>
  </si>
  <si>
    <t>ucTimeVan3On</t>
  </si>
  <si>
    <t>time_vccd_off</t>
  </si>
  <si>
    <t>ucTimeVccdOff</t>
  </si>
  <si>
    <t>time_vclk_off</t>
  </si>
  <si>
    <t>ucTimeVclkOff</t>
  </si>
  <si>
    <t>time_van1_off</t>
  </si>
  <si>
    <t>ucTimeVan1Off</t>
  </si>
  <si>
    <t>aeb1_ccfg_pwr_config3</t>
  </si>
  <si>
    <t>t_aeb1_ccfg_pwr_config3_wr_reg</t>
  </si>
  <si>
    <t>time_van2_off</t>
  </si>
  <si>
    <t>ucTimeVan2Off</t>
  </si>
  <si>
    <t>time_van3_off</t>
  </si>
  <si>
    <t>ucTimeVan3Off</t>
  </si>
  <si>
    <t>AEB 1 General Configuration Area</t>
  </si>
  <si>
    <t>aeb1_gcfg_adc1_config</t>
  </si>
  <si>
    <t>t_aeb1_gcfg_adc1_config_wr_reg</t>
  </si>
  <si>
    <t>adc1_bypas</t>
  </si>
  <si>
    <t>RmapMemAreaAeb1GenConfig</t>
  </si>
  <si>
    <t>bAdc1Bypas</t>
  </si>
  <si>
    <t>adc1_clkenb</t>
  </si>
  <si>
    <t>bAdc1Clkenb</t>
  </si>
  <si>
    <t>adc1_chop</t>
  </si>
  <si>
    <t>bAdc1Chop</t>
  </si>
  <si>
    <t>adc1_stat</t>
  </si>
  <si>
    <t>bAdc1Stat</t>
  </si>
  <si>
    <t>adc1_idlmod</t>
  </si>
  <si>
    <t>bAdc1Idlmod</t>
  </si>
  <si>
    <t>adc1_dly2</t>
  </si>
  <si>
    <t>bAdc1Dly2</t>
  </si>
  <si>
    <t>adc1_dly1</t>
  </si>
  <si>
    <t>bAdc1Dly1</t>
  </si>
  <si>
    <t>adc1_dly0</t>
  </si>
  <si>
    <t>bAdc1Dly0</t>
  </si>
  <si>
    <t>adc1_sbcs1</t>
  </si>
  <si>
    <t>bAdc1Sbcs1</t>
  </si>
  <si>
    <t>adc1_sbcs0</t>
  </si>
  <si>
    <t>bAdc1Sbcs0</t>
  </si>
  <si>
    <t>adc1_drate1</t>
  </si>
  <si>
    <t>bAdc1Drate1</t>
  </si>
  <si>
    <t>adc1_drate0</t>
  </si>
  <si>
    <t>bAdc1Drate0</t>
  </si>
  <si>
    <t>adc1_ainp3</t>
  </si>
  <si>
    <t>bAdc1Ainp3</t>
  </si>
  <si>
    <t>adc1_ainp2</t>
  </si>
  <si>
    <t>bAdc1Ainp2</t>
  </si>
  <si>
    <t>adc1_ainp1</t>
  </si>
  <si>
    <t>bAdc1Ainp1</t>
  </si>
  <si>
    <t>adc1_ainp0</t>
  </si>
  <si>
    <t>bAdc1Ainp0</t>
  </si>
  <si>
    <t>adc1_ainn3</t>
  </si>
  <si>
    <t>bAdc1Ainn3</t>
  </si>
  <si>
    <t>adc1_ainn2</t>
  </si>
  <si>
    <t>bAdc1Ainn2</t>
  </si>
  <si>
    <t>adc1_ainn1</t>
  </si>
  <si>
    <t>bAdc1Ainn1</t>
  </si>
  <si>
    <t>adc1_ainn0</t>
  </si>
  <si>
    <t>bAdc1Ainn0</t>
  </si>
  <si>
    <t>adc1_diff7</t>
  </si>
  <si>
    <t>bAdc1Diff7</t>
  </si>
  <si>
    <t>adc1_diff6</t>
  </si>
  <si>
    <t>bAdc1Diff6</t>
  </si>
  <si>
    <t>adc1_diff5</t>
  </si>
  <si>
    <t>bAdc1Diff5</t>
  </si>
  <si>
    <t>adc1_diff4</t>
  </si>
  <si>
    <t>bAdc1Diff4</t>
  </si>
  <si>
    <t>adc1_diff3</t>
  </si>
  <si>
    <t>bAdc1Diff3</t>
  </si>
  <si>
    <t>adc1_diff2</t>
  </si>
  <si>
    <t>bAdc1Diff2</t>
  </si>
  <si>
    <t>adc1_diff1</t>
  </si>
  <si>
    <t>bAdc1Diff1</t>
  </si>
  <si>
    <t>adc1_diff0</t>
  </si>
  <si>
    <t>bAdc1Diff0</t>
  </si>
  <si>
    <t>adc1_ain7</t>
  </si>
  <si>
    <t>bAdc1Ain7</t>
  </si>
  <si>
    <t>adc1_ain6</t>
  </si>
  <si>
    <t>bAdc1Ain6</t>
  </si>
  <si>
    <t>adc1_ain5</t>
  </si>
  <si>
    <t>bAdc1Ain5</t>
  </si>
  <si>
    <t>adc1_ain4</t>
  </si>
  <si>
    <t>bAdc1Ain4</t>
  </si>
  <si>
    <t>adc1_ain3</t>
  </si>
  <si>
    <t>bAdc1Ain3</t>
  </si>
  <si>
    <t>adc1_ain2</t>
  </si>
  <si>
    <t>bAdc1Ain2</t>
  </si>
  <si>
    <t>adc1_ain1</t>
  </si>
  <si>
    <t>bAdc1Ain1</t>
  </si>
  <si>
    <t>adc1_ain0</t>
  </si>
  <si>
    <t>bAdc1Ain0</t>
  </si>
  <si>
    <t>adc1_ain15</t>
  </si>
  <si>
    <t>bAdc1Ain15</t>
  </si>
  <si>
    <t>adc1_ain14</t>
  </si>
  <si>
    <t>bAdc1Ain14</t>
  </si>
  <si>
    <t>adc1_ain13</t>
  </si>
  <si>
    <t>bAdc1Ain13</t>
  </si>
  <si>
    <t>adc1_ain12</t>
  </si>
  <si>
    <t>bAdc1Ain12</t>
  </si>
  <si>
    <t>adc1_ain11</t>
  </si>
  <si>
    <t>bAdc1Ain11</t>
  </si>
  <si>
    <t>adc1_ain10</t>
  </si>
  <si>
    <t>bAdc1Ain10</t>
  </si>
  <si>
    <t>adc1_ain9</t>
  </si>
  <si>
    <t>bAdc1Ain9</t>
  </si>
  <si>
    <t>adc1_ain8</t>
  </si>
  <si>
    <t>bAdc1Ain8</t>
  </si>
  <si>
    <t>adc1_ref</t>
  </si>
  <si>
    <t>bAdc1Ref</t>
  </si>
  <si>
    <t>adc1_gain</t>
  </si>
  <si>
    <t>bAdc1Gain</t>
  </si>
  <si>
    <t>adc1_temp</t>
  </si>
  <si>
    <t>bAdc1Temp</t>
  </si>
  <si>
    <t>adc1_vcc</t>
  </si>
  <si>
    <t>bAdc1Vcc</t>
  </si>
  <si>
    <t>adc1_offset</t>
  </si>
  <si>
    <t>bAdc1Offset</t>
  </si>
  <si>
    <t>adc1_cio7</t>
  </si>
  <si>
    <t>bAdc1Cio7</t>
  </si>
  <si>
    <t>adc1_cio6</t>
  </si>
  <si>
    <t>bAdc1Cio6</t>
  </si>
  <si>
    <t>adc1_cio5</t>
  </si>
  <si>
    <t>bAdc1Cio5</t>
  </si>
  <si>
    <t>adc1_cio4</t>
  </si>
  <si>
    <t>bAdc1Cio4</t>
  </si>
  <si>
    <t>adc1_cio3</t>
  </si>
  <si>
    <t>bAdc1Cio3</t>
  </si>
  <si>
    <t>adc1_cio2</t>
  </si>
  <si>
    <t>bAdc1Cio2</t>
  </si>
  <si>
    <t>adc1_cio1</t>
  </si>
  <si>
    <t>bAdc1Cio1</t>
  </si>
  <si>
    <t>adc1_cio0</t>
  </si>
  <si>
    <t>bAdc1Cio0</t>
  </si>
  <si>
    <t>adc1_dio7</t>
  </si>
  <si>
    <t>bAdc1Dio7</t>
  </si>
  <si>
    <t>adc1_dio6</t>
  </si>
  <si>
    <t>bAdc1Dio6</t>
  </si>
  <si>
    <t>adc1_dio5</t>
  </si>
  <si>
    <t>bAdc1Dio5</t>
  </si>
  <si>
    <t>adc1_dio4</t>
  </si>
  <si>
    <t>bAdc1Dio4</t>
  </si>
  <si>
    <t>adc1_dio3</t>
  </si>
  <si>
    <t>bAdc1Dio3</t>
  </si>
  <si>
    <t>adc1_dio2</t>
  </si>
  <si>
    <t>bAdc1Dio2</t>
  </si>
  <si>
    <t>adc1_dio1</t>
  </si>
  <si>
    <t>bAdc1Dio1</t>
  </si>
  <si>
    <t>adc1_dio0</t>
  </si>
  <si>
    <t>bAdc1Dio0</t>
  </si>
  <si>
    <t>aeb1_gcfg_adc2_config</t>
  </si>
  <si>
    <t>t_aeb1_gcfg_adc2_config_wr_reg</t>
  </si>
  <si>
    <t>adc2_bypas</t>
  </si>
  <si>
    <t>bAdc2Bypas</t>
  </si>
  <si>
    <t>adc2_clkenb</t>
  </si>
  <si>
    <t>bAdc2Clkenb</t>
  </si>
  <si>
    <t>adc2_chop</t>
  </si>
  <si>
    <t>bAdc2Chop</t>
  </si>
  <si>
    <t>adc2_stat</t>
  </si>
  <si>
    <t>bAdc2Stat</t>
  </si>
  <si>
    <t>adc2_idlmod</t>
  </si>
  <si>
    <t>bAdc2Idlmod</t>
  </si>
  <si>
    <t>adc2_dly2</t>
  </si>
  <si>
    <t>bAdc2Dly2</t>
  </si>
  <si>
    <t>adc2_dly1</t>
  </si>
  <si>
    <t>bAdc2Dly1</t>
  </si>
  <si>
    <t>adc2_dly0</t>
  </si>
  <si>
    <t>bAdc2Dly0</t>
  </si>
  <si>
    <t>adc2_sbcs1</t>
  </si>
  <si>
    <t>bAdc2Sbcs1</t>
  </si>
  <si>
    <t>adc2_sbcs0</t>
  </si>
  <si>
    <t>bAdc2Sbcs0</t>
  </si>
  <si>
    <t>adc2_drate1</t>
  </si>
  <si>
    <t>bAdc2Drate1</t>
  </si>
  <si>
    <t>adc2_drate0</t>
  </si>
  <si>
    <t>bAdc2Drate0</t>
  </si>
  <si>
    <t>adc2_ainp3</t>
  </si>
  <si>
    <t>bAdc2Ainp3</t>
  </si>
  <si>
    <t>adc2_ainp2</t>
  </si>
  <si>
    <t>bAdc2Ainp2</t>
  </si>
  <si>
    <t>adc2_ainp1</t>
  </si>
  <si>
    <t>bAdc2Ainp1</t>
  </si>
  <si>
    <t>adc2_ainp0</t>
  </si>
  <si>
    <t>bAdc2Ainp0</t>
  </si>
  <si>
    <t>adc2_ainn3</t>
  </si>
  <si>
    <t>bAdc2Ainn3</t>
  </si>
  <si>
    <t>adc2_ainn2</t>
  </si>
  <si>
    <t>bAdc2Ainn2</t>
  </si>
  <si>
    <t>adc2_ainn1</t>
  </si>
  <si>
    <t>bAdc2Ainn1</t>
  </si>
  <si>
    <t>adc2_ainn0</t>
  </si>
  <si>
    <t>bAdc2Ainn0</t>
  </si>
  <si>
    <t>adc2_diff7</t>
  </si>
  <si>
    <t>bAdc2Diff7</t>
  </si>
  <si>
    <t>adc2_diff6</t>
  </si>
  <si>
    <t>bAdc2Diff6</t>
  </si>
  <si>
    <t>adc2_diff5</t>
  </si>
  <si>
    <t>bAdc2Diff5</t>
  </si>
  <si>
    <t>adc2_diff4</t>
  </si>
  <si>
    <t>bAdc2Diff4</t>
  </si>
  <si>
    <t>adc2_diff3</t>
  </si>
  <si>
    <t>bAdc2Diff3</t>
  </si>
  <si>
    <t>adc2_diff2</t>
  </si>
  <si>
    <t>bAdc2Diff2</t>
  </si>
  <si>
    <t>adc2_diff1</t>
  </si>
  <si>
    <t>bAdc2Diff1</t>
  </si>
  <si>
    <t>adc2_diff0</t>
  </si>
  <si>
    <t>bAdc2Diff0</t>
  </si>
  <si>
    <t>adc2_ain7</t>
  </si>
  <si>
    <t>bAdc2Ain7</t>
  </si>
  <si>
    <t>adc2_ain6</t>
  </si>
  <si>
    <t>bAdc2Ain6</t>
  </si>
  <si>
    <t>adc2_ain5</t>
  </si>
  <si>
    <t>bAdc2Ain5</t>
  </si>
  <si>
    <t>adc2_ain4</t>
  </si>
  <si>
    <t>bAdc2Ain4</t>
  </si>
  <si>
    <t>adc2_ain3</t>
  </si>
  <si>
    <t>bAdc2Ain3</t>
  </si>
  <si>
    <t>adc2_ain2</t>
  </si>
  <si>
    <t>bAdc2Ain2</t>
  </si>
  <si>
    <t>adc2_ain1</t>
  </si>
  <si>
    <t>bAdc2Ain1</t>
  </si>
  <si>
    <t>adc2_ain0</t>
  </si>
  <si>
    <t>bAdc2Ain0</t>
  </si>
  <si>
    <t>adc2_ain15</t>
  </si>
  <si>
    <t>bAdc2Ain15</t>
  </si>
  <si>
    <t>adc2_ain14</t>
  </si>
  <si>
    <t>bAdc2Ain14</t>
  </si>
  <si>
    <t>adc2_ain13</t>
  </si>
  <si>
    <t>bAdc2Ain13</t>
  </si>
  <si>
    <t>adc2_ain12</t>
  </si>
  <si>
    <t>bAdc2Ain12</t>
  </si>
  <si>
    <t>adc2_ain11</t>
  </si>
  <si>
    <t>bAdc2Ain11</t>
  </si>
  <si>
    <t>adc2_ain10</t>
  </si>
  <si>
    <t>bAdc2Ain10</t>
  </si>
  <si>
    <t>adc2_ain9</t>
  </si>
  <si>
    <t>bAdc2Ain9</t>
  </si>
  <si>
    <t>adc2_ain8</t>
  </si>
  <si>
    <t>bAdc2Ain8</t>
  </si>
  <si>
    <t>adc2_ref</t>
  </si>
  <si>
    <t>bAdc2Ref</t>
  </si>
  <si>
    <t>adc2_gain</t>
  </si>
  <si>
    <t>bAdc2Gain</t>
  </si>
  <si>
    <t>adc2_temp</t>
  </si>
  <si>
    <t>bAdc2Temp</t>
  </si>
  <si>
    <t>adc2_vcc</t>
  </si>
  <si>
    <t>bAdc2Vcc</t>
  </si>
  <si>
    <t>adc2_offset</t>
  </si>
  <si>
    <t>bAdc2Offset</t>
  </si>
  <si>
    <t>adc2_cio7</t>
  </si>
  <si>
    <t>bAdc2Cio7</t>
  </si>
  <si>
    <t>adc2_cio6</t>
  </si>
  <si>
    <t>bAdc2Cio6</t>
  </si>
  <si>
    <t>adc2_cio5</t>
  </si>
  <si>
    <t>bAdc2Cio5</t>
  </si>
  <si>
    <t>adc2_cio4</t>
  </si>
  <si>
    <t>bAdc2Cio4</t>
  </si>
  <si>
    <t>adc2_cio3</t>
  </si>
  <si>
    <t>bAdc2Cio3</t>
  </si>
  <si>
    <t>adc2_cio2</t>
  </si>
  <si>
    <t>bAdc2Cio2</t>
  </si>
  <si>
    <t>adc2_cio1</t>
  </si>
  <si>
    <t>bAdc2Cio1</t>
  </si>
  <si>
    <t>adc2_cio0</t>
  </si>
  <si>
    <t>bAdc2Cio0</t>
  </si>
  <si>
    <t>adc2_dio7</t>
  </si>
  <si>
    <t>bAdc2Dio7</t>
  </si>
  <si>
    <t>adc2_dio6</t>
  </si>
  <si>
    <t>bAdc2Dio6</t>
  </si>
  <si>
    <t>adc2_dio5</t>
  </si>
  <si>
    <t>bAdc2Dio5</t>
  </si>
  <si>
    <t>adc2_dio4</t>
  </si>
  <si>
    <t>bAdc2Dio4</t>
  </si>
  <si>
    <t>adc2_dio3</t>
  </si>
  <si>
    <t>bAdc2Dio3</t>
  </si>
  <si>
    <t>adc2_dio2</t>
  </si>
  <si>
    <t>bAdc2Dio2</t>
  </si>
  <si>
    <t>adc2_dio1</t>
  </si>
  <si>
    <t>bAdc2Dio1</t>
  </si>
  <si>
    <t>adc2_dio0</t>
  </si>
  <si>
    <t>bAdc2Dio0</t>
  </si>
  <si>
    <t>aeb1_gcfg_seq_config</t>
  </si>
  <si>
    <t>t_aeb1_gcfg_seq_config_wr_reg</t>
  </si>
  <si>
    <t>seq_oe</t>
  </si>
  <si>
    <t>uliSeqOe</t>
  </si>
  <si>
    <t>adc_clk_div</t>
  </si>
  <si>
    <t>ucAdcClkDiv</t>
  </si>
  <si>
    <t>cds_clk_low_pos</t>
  </si>
  <si>
    <t>ucCdsClkLowPos</t>
  </si>
  <si>
    <t>cds_clk_high_pos</t>
  </si>
  <si>
    <t>ucCdsClkHighPos</t>
  </si>
  <si>
    <t>rphir_clk_low_pos</t>
  </si>
  <si>
    <t>ucRphirClkLowPos</t>
  </si>
  <si>
    <t>rphir_clk_high_pos</t>
  </si>
  <si>
    <t>ucRphirClkHighPos</t>
  </si>
  <si>
    <t>ft_loop_cnt</t>
  </si>
  <si>
    <t>usiFtLoopCnt</t>
  </si>
  <si>
    <t>lt0_enabled</t>
  </si>
  <si>
    <t>bLt0Enabled</t>
  </si>
  <si>
    <t>lt0_pixreadout</t>
  </si>
  <si>
    <t>bLt0Pixreadout</t>
  </si>
  <si>
    <t>lt0_loop_cnt</t>
  </si>
  <si>
    <t>usiLt0LoopCnt</t>
  </si>
  <si>
    <t>lt1_enabled</t>
  </si>
  <si>
    <t>bLt1Enabled</t>
  </si>
  <si>
    <t>lt1_pixreadout</t>
  </si>
  <si>
    <t>bLt1Pixreadout</t>
  </si>
  <si>
    <t>lt1_loop_cnt</t>
  </si>
  <si>
    <t>usiLt1LoopCnt</t>
  </si>
  <si>
    <t>lt2_enabled</t>
  </si>
  <si>
    <t>bLt2Enabled</t>
  </si>
  <si>
    <t>lt2_pixreadout</t>
  </si>
  <si>
    <t>bLt2Pixreadout</t>
  </si>
  <si>
    <t>lt2_loop_cnt</t>
  </si>
  <si>
    <t>usiLt2LoopCnt</t>
  </si>
  <si>
    <t>lt3_enabled</t>
  </si>
  <si>
    <t>bLt3Enabled</t>
  </si>
  <si>
    <t>lt3_pixreadout</t>
  </si>
  <si>
    <t>bLt3Pixreadout</t>
  </si>
  <si>
    <t>lt3_loop_cnt</t>
  </si>
  <si>
    <t>usiLt3LoopCnt</t>
  </si>
  <si>
    <t>pix_loop_cnt</t>
  </si>
  <si>
    <t>usiPixLoopCnt</t>
  </si>
  <si>
    <t>pc_enabled</t>
  </si>
  <si>
    <t>bPcEnabled</t>
  </si>
  <si>
    <t>pc_loop_cnt</t>
  </si>
  <si>
    <t>usiPcLoopCnt</t>
  </si>
  <si>
    <t>int1_loop_cnt</t>
  </si>
  <si>
    <t>usiInt1LoopCnt</t>
  </si>
  <si>
    <t>int2_loop_cnt</t>
  </si>
  <si>
    <t>usiInt2LoopCnt</t>
  </si>
  <si>
    <t>AEB 1 Housekeeping Area</t>
  </si>
  <si>
    <t>aeb1_hk_aeb_status</t>
  </si>
  <si>
    <t>t_aeb1_hk_aeb_status_wr_reg</t>
  </si>
  <si>
    <t>aeb_state</t>
  </si>
  <si>
    <t>RmapMemAreaAeb1Housekeep</t>
  </si>
  <si>
    <t>ucAebState</t>
  </si>
  <si>
    <t>vasp2_cfg_run</t>
  </si>
  <si>
    <t>bVasp2CfgRun</t>
  </si>
  <si>
    <t>vasp1_cfg_run</t>
  </si>
  <si>
    <t>bVasp1CfgRun</t>
  </si>
  <si>
    <t>dac_cfg_w_run</t>
  </si>
  <si>
    <t>bDacCfgWRun</t>
  </si>
  <si>
    <t>adc_cfg_rd_run</t>
  </si>
  <si>
    <t>bAdcCfgRdRun</t>
  </si>
  <si>
    <t>adc_cfg_wr_run</t>
  </si>
  <si>
    <t>bAdcCfgWrRun</t>
  </si>
  <si>
    <t>adc_dat_rd_run</t>
  </si>
  <si>
    <t>bAdcDatRdRun</t>
  </si>
  <si>
    <t>adc_error</t>
  </si>
  <si>
    <t>bAdcError</t>
  </si>
  <si>
    <t>adc2_lu</t>
  </si>
  <si>
    <t>bAdc2Lu</t>
  </si>
  <si>
    <t>adc1_lu</t>
  </si>
  <si>
    <t>bAdc1Lu</t>
  </si>
  <si>
    <t>adc_dat_rd</t>
  </si>
  <si>
    <t>bAdcDatRd</t>
  </si>
  <si>
    <t>adc2_busy</t>
  </si>
  <si>
    <t>bAdc2Busy</t>
  </si>
  <si>
    <t>adc1_busy</t>
  </si>
  <si>
    <t>bAdc1Busy</t>
  </si>
  <si>
    <t>aeb1_hk_timestamp</t>
  </si>
  <si>
    <t>t_aeb1_hk_timestamp_wr_reg</t>
  </si>
  <si>
    <t>timestamp_1</t>
  </si>
  <si>
    <t>uliTimestamp1</t>
  </si>
  <si>
    <t>timestamp_0</t>
  </si>
  <si>
    <t>uliTimestamp0</t>
  </si>
  <si>
    <t>aeb1_hk_adc_rd_data</t>
  </si>
  <si>
    <t>t_aeb1_hk_adc_rd_data_wr_reg</t>
  </si>
  <si>
    <t>adc_rd_data_18</t>
  </si>
  <si>
    <t>uliAdcRdData18</t>
  </si>
  <si>
    <t>adc_rd_data_17</t>
  </si>
  <si>
    <t>uliAdcRdData17</t>
  </si>
  <si>
    <t>adc_rd_data_16</t>
  </si>
  <si>
    <t>uliAdcRdData16</t>
  </si>
  <si>
    <t>adc_rd_data_15</t>
  </si>
  <si>
    <t>uliAdcRdData15</t>
  </si>
  <si>
    <t>adc_rd_data_14</t>
  </si>
  <si>
    <t>uliAdcRdData14</t>
  </si>
  <si>
    <t>adc_rd_data_13</t>
  </si>
  <si>
    <t>uliAdcRdData13</t>
  </si>
  <si>
    <t>adc_rd_data_12</t>
  </si>
  <si>
    <t>uliAdcRdData12</t>
  </si>
  <si>
    <t>adc_rd_data_11</t>
  </si>
  <si>
    <t>uliAdcRdData11</t>
  </si>
  <si>
    <t>adc_rd_data_10</t>
  </si>
  <si>
    <t>uliAdcRdData10</t>
  </si>
  <si>
    <t>adc_rd_data_9</t>
  </si>
  <si>
    <t>uliAdcRdData9</t>
  </si>
  <si>
    <t>adc_rd_data_8</t>
  </si>
  <si>
    <t>uliAdcRdData8</t>
  </si>
  <si>
    <t>adc_rd_data_7</t>
  </si>
  <si>
    <t>uliAdcRdData7</t>
  </si>
  <si>
    <t>adc_rd_data_6</t>
  </si>
  <si>
    <t>uliAdcRdData6</t>
  </si>
  <si>
    <t>adc_rd_data_5</t>
  </si>
  <si>
    <t>uliAdcRdData5</t>
  </si>
  <si>
    <t>adc_rd_data_4</t>
  </si>
  <si>
    <t>uliAdcRdData4</t>
  </si>
  <si>
    <t>adc_rd_data_3</t>
  </si>
  <si>
    <t>uliAdcRdData3</t>
  </si>
  <si>
    <t>adc_rd_data_2</t>
  </si>
  <si>
    <t>uliAdcRdData2</t>
  </si>
  <si>
    <t>adc_rd_data_1</t>
  </si>
  <si>
    <t>uliAdcRdData1</t>
  </si>
  <si>
    <t>adc_rd_data_0</t>
  </si>
  <si>
    <t>uliAdcRdData0</t>
  </si>
  <si>
    <t>aeb1_hk_adc1_rd_config</t>
  </si>
  <si>
    <t>t_aeb1_hk_adc1_rd_config_wr_reg</t>
  </si>
  <si>
    <t>adc1_rd_config_3</t>
  </si>
  <si>
    <t>uliAdc1RdConfig3</t>
  </si>
  <si>
    <t>adc1_rd_config_2</t>
  </si>
  <si>
    <t>uliAdc1RdConfig2</t>
  </si>
  <si>
    <t>adc1_rd_config_1</t>
  </si>
  <si>
    <t>uliAdc1RdConfig1</t>
  </si>
  <si>
    <t>adc1_rd_config_0</t>
  </si>
  <si>
    <t>uliAdc1RdConfig0</t>
  </si>
  <si>
    <t>aeb1_hk_adc2_rd_config</t>
  </si>
  <si>
    <t>t_aeb1_hk_adc2_rd_config_wr_reg</t>
  </si>
  <si>
    <t>adc2_rd_config_3</t>
  </si>
  <si>
    <t>uliAdc2RdConfig3</t>
  </si>
  <si>
    <t>adc2_rd_config_2</t>
  </si>
  <si>
    <t>uliAdc2RdConfig2</t>
  </si>
  <si>
    <t>adc2_rd_config_1</t>
  </si>
  <si>
    <t>uliAdc2RdConfig1</t>
  </si>
  <si>
    <t>adc2_rd_config_0</t>
  </si>
  <si>
    <t>uliAdc2RdConfig0</t>
  </si>
  <si>
    <t>aeb1_hk_vasp_rd_config</t>
  </si>
  <si>
    <t>t_aeb1_hk_vasp_rd_config_wr_reg</t>
  </si>
  <si>
    <t>vasp1_read_data</t>
  </si>
  <si>
    <t>ucVasp1ReadData</t>
  </si>
  <si>
    <t>vasp2_read_data</t>
  </si>
  <si>
    <t>ucVasp2ReadData</t>
  </si>
  <si>
    <t>aeb1_hk_revision_id</t>
  </si>
  <si>
    <t>t_aeb1_hk_revision_id_wr_reg</t>
  </si>
  <si>
    <t>fpga_ver</t>
  </si>
  <si>
    <t>usiFpgaVer</t>
  </si>
  <si>
    <t>fpga_date</t>
  </si>
  <si>
    <t>usiFpgaDate</t>
  </si>
  <si>
    <t>fpga_time</t>
  </si>
  <si>
    <t>usiFpgaTime</t>
  </si>
  <si>
    <t>fpga_svn</t>
  </si>
  <si>
    <t>usiFpgaSvn</t>
  </si>
  <si>
    <t>AEB 2 Critical Configuration Area</t>
  </si>
  <si>
    <t>aeb2_ccfg_aeb_control</t>
  </si>
  <si>
    <t>t_aeb2_ccfg_aeb_control_wr_reg</t>
  </si>
  <si>
    <t>RmapMemAreaAeb2CritConfig</t>
  </si>
  <si>
    <t>aeb2_ccfg_aeb_config</t>
  </si>
  <si>
    <t>t_aeb2_ccfg_aeb_config_wr_reg</t>
  </si>
  <si>
    <t>aeb2_ccfg_aeb_config_key</t>
  </si>
  <si>
    <t>t_aeb2_ccfg_aeb_config_key_wr_reg</t>
  </si>
  <si>
    <t>aeb2_ccfg_aeb_config_ait1</t>
  </si>
  <si>
    <t>t_aeb2_ccfg_aeb_config_ait1_wr_reg</t>
  </si>
  <si>
    <t>aeb2_ccfg_aeb_config_pattern</t>
  </si>
  <si>
    <t>t_aeb2_ccfg_aeb_config_pattern_wr_reg</t>
  </si>
  <si>
    <t>aeb2_ccfg_vasp_i2c_control</t>
  </si>
  <si>
    <t>t_aeb2_ccfg_vasp_i2c_control_wr_reg</t>
  </si>
  <si>
    <t>aeb2_ccfg_dac_config_1</t>
  </si>
  <si>
    <t>t_aeb2_ccfg_dac_config_1_wr_reg</t>
  </si>
  <si>
    <t>aeb2_ccfg_dac_config_2</t>
  </si>
  <si>
    <t>t_aeb2_ccfg_dac_config_2_wr_reg</t>
  </si>
  <si>
    <t>aeb2_ccfg_pwr_config1</t>
  </si>
  <si>
    <t>t_aeb2_ccfg_pwr_config1_wr_reg</t>
  </si>
  <si>
    <t>aeb2_ccfg_pwr_config2</t>
  </si>
  <si>
    <t>t_aeb2_ccfg_pwr_config2_wr_reg</t>
  </si>
  <si>
    <t>aeb2_ccfg_pwr_config3</t>
  </si>
  <si>
    <t>t_aeb2_ccfg_pwr_config3_wr_reg</t>
  </si>
  <si>
    <t>AEB 2 General Configuration Area</t>
  </si>
  <si>
    <t>aeb2_gcfg_adc1_config</t>
  </si>
  <si>
    <t>t_aeb2_gcfg_adc1_config_wr_reg</t>
  </si>
  <si>
    <t>RmapMemAreaAeb2GenConfig</t>
  </si>
  <si>
    <t>aeb2_gcfg_adc2_config</t>
  </si>
  <si>
    <t>t_aeb2_gcfg_adc2_config_wr_reg</t>
  </si>
  <si>
    <t>aeb2_gcfg_seq_config</t>
  </si>
  <si>
    <t>t_aeb2_gcfg_seq_config_wr_reg</t>
  </si>
  <si>
    <t>AEB 2 Housekeeping Area</t>
  </si>
  <si>
    <t>aeb2_hk_aeb_status</t>
  </si>
  <si>
    <t>t_aeb2_hk_aeb_status_wr_reg</t>
  </si>
  <si>
    <t>RmapMemAreaAeb2Housekeep</t>
  </si>
  <si>
    <t>aeb2_hk_timestamp</t>
  </si>
  <si>
    <t>t_aeb2_hk_timestamp_wr_reg</t>
  </si>
  <si>
    <t>aeb2_hk_adc_rd_data</t>
  </si>
  <si>
    <t>t_aeb2_hk_adc_rd_data_wr_reg</t>
  </si>
  <si>
    <t>aeb2_hk_adc1_rd_config</t>
  </si>
  <si>
    <t>t_aeb2_hk_adc1_rd_config_wr_reg</t>
  </si>
  <si>
    <t>aeb2_hk_adc2_rd_config</t>
  </si>
  <si>
    <t>t_aeb2_hk_adc2_rd_config_wr_reg</t>
  </si>
  <si>
    <t>aeb2_hk_vasp_rd_config</t>
  </si>
  <si>
    <t>t_aeb2_hk_vasp_rd_config_wr_reg</t>
  </si>
  <si>
    <t>aeb2_hk_revision_id</t>
  </si>
  <si>
    <t>t_aeb2_hk_revision_id_wr_reg</t>
  </si>
  <si>
    <t>AEB 3 Critical Configuration Area</t>
  </si>
  <si>
    <t>aeb3_ccfg_aeb_control</t>
  </si>
  <si>
    <t>t_aeb3_ccfg_aeb_control_wr_reg</t>
  </si>
  <si>
    <t>RmapMemAreaAeb3CritConfig</t>
  </si>
  <si>
    <t>aeb3_ccfg_aeb_config</t>
  </si>
  <si>
    <t>t_aeb3_ccfg_aeb_config_wr_reg</t>
  </si>
  <si>
    <t>aeb3_ccfg_aeb_config_key</t>
  </si>
  <si>
    <t>t_aeb3_ccfg_aeb_config_key_wr_reg</t>
  </si>
  <si>
    <t>aeb3_ccfg_aeb_config_ait1</t>
  </si>
  <si>
    <t>t_aeb3_ccfg_aeb_config_ait1_wr_reg</t>
  </si>
  <si>
    <t>aeb3_ccfg_aeb_config_pattern</t>
  </si>
  <si>
    <t>t_aeb3_ccfg_aeb_config_pattern_wr_reg</t>
  </si>
  <si>
    <t>aeb3_ccfg_vasp_i2c_control</t>
  </si>
  <si>
    <t>t_aeb3_ccfg_vasp_i2c_control_wr_reg</t>
  </si>
  <si>
    <t>aeb3_ccfg_dac_config_1</t>
  </si>
  <si>
    <t>t_aeb3_ccfg_dac_config_1_wr_reg</t>
  </si>
  <si>
    <t>aeb3_ccfg_dac_config_2</t>
  </si>
  <si>
    <t>t_aeb3_ccfg_dac_config_2_wr_reg</t>
  </si>
  <si>
    <t>aeb3_ccfg_pwr_config1</t>
  </si>
  <si>
    <t>t_aeb3_ccfg_pwr_config1_wr_reg</t>
  </si>
  <si>
    <t>aeb3_ccfg_pwr_config2</t>
  </si>
  <si>
    <t>t_aeb3_ccfg_pwr_config2_wr_reg</t>
  </si>
  <si>
    <t>aeb3_ccfg_pwr_config3</t>
  </si>
  <si>
    <t>t_aeb3_ccfg_pwr_config3_wr_reg</t>
  </si>
  <si>
    <t>AEB 3 General Configuration Area</t>
  </si>
  <si>
    <t>aeb3_gcfg_adc1_config</t>
  </si>
  <si>
    <t>t_aeb3_gcfg_adc1_config_wr_reg</t>
  </si>
  <si>
    <t>RmapMemAreaAeb3GenConfig</t>
  </si>
  <si>
    <t>aeb3_gcfg_adc2_config</t>
  </si>
  <si>
    <t>t_aeb3_gcfg_adc2_config_wr_reg</t>
  </si>
  <si>
    <t>aeb3_gcfg_seq_config</t>
  </si>
  <si>
    <t>t_aeb3_gcfg_seq_config_wr_reg</t>
  </si>
  <si>
    <t>AEB 3 Housekeeping Area</t>
  </si>
  <si>
    <t>aeb3_hk_aeb_status</t>
  </si>
  <si>
    <t>t_aeb3_hk_aeb_status_wr_reg</t>
  </si>
  <si>
    <t>RmapMemAreaAeb3Housekeep</t>
  </si>
  <si>
    <t>aeb3_hk_timestamp</t>
  </si>
  <si>
    <t>t_aeb3_hk_timestamp_wr_reg</t>
  </si>
  <si>
    <t>aeb3_hk_adc_rd_data</t>
  </si>
  <si>
    <t>t_aeb3_hk_adc_rd_data_wr_reg</t>
  </si>
  <si>
    <t>aeb3_hk_adc1_rd_config</t>
  </si>
  <si>
    <t>t_aeb3_hk_adc1_rd_config_wr_reg</t>
  </si>
  <si>
    <t>aeb3_hk_adc2_rd_config</t>
  </si>
  <si>
    <t>t_aeb3_hk_adc2_rd_config_wr_reg</t>
  </si>
  <si>
    <t>aeb3_hk_vasp_rd_config</t>
  </si>
  <si>
    <t>t_aeb3_hk_vasp_rd_config_wr_reg</t>
  </si>
  <si>
    <t>aeb3_hk_revision_id</t>
  </si>
  <si>
    <t>t_aeb3_hk_revision_id_wr_reg</t>
  </si>
  <si>
    <t>AEB 4 Critical Configuration Area</t>
  </si>
  <si>
    <t>aeb4_ccfg_aeb_control</t>
  </si>
  <si>
    <t>t_aeb4_ccfg_aeb_control_wr_reg</t>
  </si>
  <si>
    <t>RmapMemAreaAeb4CritConfig</t>
  </si>
  <si>
    <t>aeb4_ccfg_aeb_config</t>
  </si>
  <si>
    <t>t_aeb4_ccfg_aeb_config_wr_reg</t>
  </si>
  <si>
    <t>aeb4_ccfg_aeb_config_key</t>
  </si>
  <si>
    <t>t_aeb4_ccfg_aeb_config_key_wr_reg</t>
  </si>
  <si>
    <t>aeb4_ccfg_aeb_config_ait1</t>
  </si>
  <si>
    <t>t_aeb4_ccfg_aeb_config_ait1_wr_reg</t>
  </si>
  <si>
    <t>aeb4_ccfg_aeb_config_pattern</t>
  </si>
  <si>
    <t>t_aeb4_ccfg_aeb_config_pattern_wr_reg</t>
  </si>
  <si>
    <t>aeb4_ccfg_vasp_i2c_control</t>
  </si>
  <si>
    <t>t_aeb4_ccfg_vasp_i2c_control_wr_reg</t>
  </si>
  <si>
    <t>aeb4_ccfg_dac_config_1</t>
  </si>
  <si>
    <t>t_aeb4_ccfg_dac_config_1_wr_reg</t>
  </si>
  <si>
    <t>aeb4_ccfg_dac_config_2</t>
  </si>
  <si>
    <t>t_aeb4_ccfg_dac_config_2_wr_reg</t>
  </si>
  <si>
    <t>aeb4_ccfg_pwr_config1</t>
  </si>
  <si>
    <t>t_aeb4_ccfg_pwr_config1_wr_reg</t>
  </si>
  <si>
    <t>aeb4_ccfg_pwr_config2</t>
  </si>
  <si>
    <t>t_aeb4_ccfg_pwr_config2_wr_reg</t>
  </si>
  <si>
    <t>aeb4_ccfg_pwr_config3</t>
  </si>
  <si>
    <t>t_aeb4_ccfg_pwr_config3_wr_reg</t>
  </si>
  <si>
    <t>AEB 4 General Configuration Area</t>
  </si>
  <si>
    <t>aeb4_gcfg_adc1_config</t>
  </si>
  <si>
    <t>t_aeb4_gcfg_adc1_config_wr_reg</t>
  </si>
  <si>
    <t>RmapMemAreaAeb4GenConfig</t>
  </si>
  <si>
    <t>aeb4_gcfg_adc2_config</t>
  </si>
  <si>
    <t>t_aeb4_gcfg_adc2_config_wr_reg</t>
  </si>
  <si>
    <t>aeb4_gcfg_seq_config</t>
  </si>
  <si>
    <t>t_aeb4_gcfg_seq_config_wr_reg</t>
  </si>
  <si>
    <t>AEB 4 Housekeeping Area</t>
  </si>
  <si>
    <t>aeb4_hk_aeb_status</t>
  </si>
  <si>
    <t>t_aeb4_hk_aeb_status_wr_reg</t>
  </si>
  <si>
    <t>RmapMemAreaAeb4Housekeep</t>
  </si>
  <si>
    <t>aeb4_hk_timestamp</t>
  </si>
  <si>
    <t>t_aeb4_hk_timestamp_wr_reg</t>
  </si>
  <si>
    <t>aeb4_hk_adc_rd_data</t>
  </si>
  <si>
    <t>t_aeb4_hk_adc_rd_data_wr_reg</t>
  </si>
  <si>
    <t>aeb4_hk_adc1_rd_config</t>
  </si>
  <si>
    <t>t_aeb4_hk_adc1_rd_config_wr_reg</t>
  </si>
  <si>
    <t>aeb4_hk_adc2_rd_config</t>
  </si>
  <si>
    <t>t_aeb4_hk_adc2_rd_config_wr_reg</t>
  </si>
  <si>
    <t>aeb4_hk_vasp_rd_config</t>
  </si>
  <si>
    <t>t_aeb4_hk_vasp_rd_config_wr_reg</t>
  </si>
  <si>
    <t>aeb4_hk_revision_id</t>
  </si>
  <si>
    <t>t_aeb4_hk_revision_id_wr_reg</t>
  </si>
  <si>
    <t>Dummy</t>
  </si>
  <si>
    <t>dummy</t>
  </si>
  <si>
    <t>t_dummy_rd_reg</t>
  </si>
  <si>
    <t>bDummy</t>
  </si>
  <si>
    <t>-- Dummy</t>
  </si>
  <si>
    <t>type t_dummy_rd_reg is record</t>
  </si>
  <si>
    <t xml:space="preserve">  dummy : std_logic; -- </t>
  </si>
  <si>
    <t>end record t_dummy_rd_reg;</t>
  </si>
  <si>
    <t>-- DEB Critical Configuration Area</t>
  </si>
  <si>
    <t>type t_deb_ccfg_aeb_idx_wr_reg is record</t>
  </si>
  <si>
    <t xml:space="preserve">  vdig_aeb4 : std_logic; -- </t>
  </si>
  <si>
    <t xml:space="preserve">  vdig_aeb3 : std_logic; -- </t>
  </si>
  <si>
    <t xml:space="preserve">  vdig_aeb2 : std_logic; -- </t>
  </si>
  <si>
    <t xml:space="preserve">  vdig_aeb1 : std_logic; -- </t>
  </si>
  <si>
    <t>end record t_deb_ccfg_aeb_idx_wr_reg;</t>
  </si>
  <si>
    <t>type t_deb_ccfg_reg_dta_3_wr_reg is record</t>
  </si>
  <si>
    <t xml:space="preserve">  pll_reg_word_3 : std_logic_vector(31 downto 0); -- </t>
  </si>
  <si>
    <t>end record t_deb_ccfg_reg_dta_3_wr_reg;</t>
  </si>
  <si>
    <t>type t_deb_ccfg_reg_dta_2_wr_reg is record</t>
  </si>
  <si>
    <t xml:space="preserve">  pll_reg_word_2 : std_logic_vector(31 downto 0); -- </t>
  </si>
  <si>
    <t>end record t_deb_ccfg_reg_dta_2_wr_reg;</t>
  </si>
  <si>
    <t>type t_deb_ccfg_reg_dta_1_wr_reg is record</t>
  </si>
  <si>
    <t xml:space="preserve">  pll_reg_word_1 : std_logic_vector(31 downto 0); -- </t>
  </si>
  <si>
    <t>end record t_deb_ccfg_reg_dta_1_wr_reg;</t>
  </si>
  <si>
    <t>type t_deb_ccfg_reg_dta_0_wr_reg is record</t>
  </si>
  <si>
    <t xml:space="preserve">  pll_reg_word_0 : std_logic_vector(31 downto 0); -- </t>
  </si>
  <si>
    <t>end record t_deb_ccfg_reg_dta_0_wr_reg;</t>
  </si>
  <si>
    <t>-- DEB General Configuration Area</t>
  </si>
  <si>
    <t>type t_deb_gcfg_oper_mod_wr_reg is record</t>
  </si>
  <si>
    <t xml:space="preserve">  imm : std_logic; -- </t>
  </si>
  <si>
    <t xml:space="preserve">  oper_mod : std_logic_vector(2 downto 0); -- </t>
  </si>
  <si>
    <t>end record t_deb_gcfg_oper_mod_wr_reg;</t>
  </si>
  <si>
    <t>type t_deb_gcfg_t5_in_mod_wr_reg is record</t>
  </si>
  <si>
    <t xml:space="preserve">  in_mod5 : std_logic_vector(2 downto 0); -- </t>
  </si>
  <si>
    <t>end record t_deb_gcfg_t5_in_mod_wr_reg;</t>
  </si>
  <si>
    <t>type t_deb_gcfg_t6_in_mod_wr_reg is record</t>
  </si>
  <si>
    <t xml:space="preserve">  in_mod6 : std_logic_vector(2 downto 0); -- </t>
  </si>
  <si>
    <t>end record t_deb_gcfg_t6_in_mod_wr_reg;</t>
  </si>
  <si>
    <t>type t_deb_gcfg_t7_in_mod_wr_reg is record</t>
  </si>
  <si>
    <t xml:space="preserve">  in_mod7 : std_logic_vector(2 downto 0); -- </t>
  </si>
  <si>
    <t>end record t_deb_gcfg_t7_in_mod_wr_reg;</t>
  </si>
  <si>
    <t>type t_deb_gcfg_t1_in_mod_wr_reg is record</t>
  </si>
  <si>
    <t xml:space="preserve">  in_mod1 : std_logic_vector(2 downto 0); -- </t>
  </si>
  <si>
    <t>end record t_deb_gcfg_t1_in_mod_wr_reg;</t>
  </si>
  <si>
    <t>type t_deb_gcfg_t2_in_mod_wr_reg is record</t>
  </si>
  <si>
    <t xml:space="preserve">  in_mod2 : std_logic_vector(2 downto 0); -- </t>
  </si>
  <si>
    <t>end record t_deb_gcfg_t2_in_mod_wr_reg;</t>
  </si>
  <si>
    <t>type t_deb_gcfg_t3_in_mod_wr_reg is record</t>
  </si>
  <si>
    <t xml:space="preserve">  in_mod3 : std_logic_vector(2 downto 0); -- </t>
  </si>
  <si>
    <t>end record t_deb_gcfg_t3_in_mod_wr_reg;</t>
  </si>
  <si>
    <t>type t_deb_gcfg_t4_in_mod_wr_reg is record</t>
  </si>
  <si>
    <t xml:space="preserve">  in_mod4 : std_logic_vector(2 downto 0); -- </t>
  </si>
  <si>
    <t>end record t_deb_gcfg_t4_in_mod_wr_reg;</t>
  </si>
  <si>
    <t>type t_deb_gcfg_t0_in_mod_wr_reg is record</t>
  </si>
  <si>
    <t xml:space="preserve">  in_mod0 : std_logic_vector(2 downto 0); -- </t>
  </si>
  <si>
    <t>end record t_deb_gcfg_t0_in_mod_wr_reg;</t>
  </si>
  <si>
    <t>type t_deb_gcfg_w_siz_x_wr_reg is record</t>
  </si>
  <si>
    <t xml:space="preserve">  w_siz_x : std_logic_vector(6 downto 0); -- </t>
  </si>
  <si>
    <t>end record t_deb_gcfg_w_siz_x_wr_reg;</t>
  </si>
  <si>
    <t>type t_deb_gcfg_w_siz_y_wr_reg is record</t>
  </si>
  <si>
    <t xml:space="preserve">  w_siz_y : std_logic_vector(6 downto 0); -- </t>
  </si>
  <si>
    <t>end record t_deb_gcfg_w_siz_y_wr_reg;</t>
  </si>
  <si>
    <t>type t_deb_gcfg_wdw_idx_4_wr_reg is record</t>
  </si>
  <si>
    <t xml:space="preserve">  wdw_idx_4 : std_logic_vector(9 downto 0); -- </t>
  </si>
  <si>
    <t>end record t_deb_gcfg_wdw_idx_4_wr_reg;</t>
  </si>
  <si>
    <t>type t_deb_gcfg_wdw_len_4_wr_reg is record</t>
  </si>
  <si>
    <t xml:space="preserve">  wdw_len_4 : std_logic_vector(9 downto 0); -- </t>
  </si>
  <si>
    <t>end record t_deb_gcfg_wdw_len_4_wr_reg;</t>
  </si>
  <si>
    <t>type t_deb_gcfg_wdw_idx_3_wr_reg is record</t>
  </si>
  <si>
    <t xml:space="preserve">  wdw_idx_3 : std_logic_vector(9 downto 0); -- </t>
  </si>
  <si>
    <t>end record t_deb_gcfg_wdw_idx_3_wr_reg;</t>
  </si>
  <si>
    <t>type t_deb_gcfg_wdw_len_3_wr_reg is record</t>
  </si>
  <si>
    <t xml:space="preserve">  wdw_len_3 : std_logic_vector(9 downto 0); -- </t>
  </si>
  <si>
    <t>end record t_deb_gcfg_wdw_len_3_wr_reg;</t>
  </si>
  <si>
    <t>type t_deb_gcfg_wdw_idx_2_wr_reg is record</t>
  </si>
  <si>
    <t xml:space="preserve">  wdw_idx_2 : std_logic_vector(9 downto 0); -- </t>
  </si>
  <si>
    <t>end record t_deb_gcfg_wdw_idx_2_wr_reg;</t>
  </si>
  <si>
    <t>type t_deb_gcfg_wdw_len_2_wr_reg is record</t>
  </si>
  <si>
    <t xml:space="preserve">  wdw_len_2 : std_logic_vector(9 downto 0); -- </t>
  </si>
  <si>
    <t>end record t_deb_gcfg_wdw_len_2_wr_reg;</t>
  </si>
  <si>
    <t>type t_deb_gcfg_wdw_idx_1_wr_reg is record</t>
  </si>
  <si>
    <t xml:space="preserve">  wdw_idx_1 : std_logic_vector(9 downto 0); -- </t>
  </si>
  <si>
    <t>end record t_deb_gcfg_wdw_idx_1_wr_reg;</t>
  </si>
  <si>
    <t>type t_deb_gcfg_wdw_len_1_wr_reg is record</t>
  </si>
  <si>
    <t xml:space="preserve">  wdw_len_1 : std_logic_vector(9 downto 0); -- </t>
  </si>
  <si>
    <t>end record t_deb_gcfg_wdw_len_1_wr_reg;</t>
  </si>
  <si>
    <t>type t_deb_gcfg_ovs_lin_1_wr_reg is record</t>
  </si>
  <si>
    <t xml:space="preserve">  ovs_lin_1 : std_logic_vector(4 downto 0); -- </t>
  </si>
  <si>
    <t>end record t_deb_gcfg_ovs_lin_1_wr_reg;</t>
  </si>
  <si>
    <t>type t_deb_gcfg_ovs_lin_2_wr_reg is record</t>
  </si>
  <si>
    <t xml:space="preserve">  ovs_lin_2 : std_logic_vector(4 downto 0); -- </t>
  </si>
  <si>
    <t>end record t_deb_gcfg_ovs_lin_2_wr_reg;</t>
  </si>
  <si>
    <t>type t_deb_gcfg_ovs_lin_3_wr_reg is record</t>
  </si>
  <si>
    <t xml:space="preserve">  ovs_lin_3 : std_logic_vector(4 downto 0); -- </t>
  </si>
  <si>
    <t>end record t_deb_gcfg_ovs_lin_3_wr_reg;</t>
  </si>
  <si>
    <t>type t_deb_gcfg_ovs_lin_4_wr_reg is record</t>
  </si>
  <si>
    <t xml:space="preserve">  ovs_lin_4 : std_logic_vector(4 downto 0); -- </t>
  </si>
  <si>
    <t>end record t_deb_gcfg_ovs_lin_4_wr_reg;</t>
  </si>
  <si>
    <t>type t_deb_gcfg_ovs_pix_1_wr_reg is record</t>
  </si>
  <si>
    <t xml:space="preserve">  ovs_pix_1 : std_logic_vector(4 downto 0); -- </t>
  </si>
  <si>
    <t>end record t_deb_gcfg_ovs_pix_1_wr_reg;</t>
  </si>
  <si>
    <t>type t_deb_gcfg_ovs_pix_2_wr_reg is record</t>
  </si>
  <si>
    <t xml:space="preserve">  ovs_pix_2 : std_logic_vector(4 downto 0); -- </t>
  </si>
  <si>
    <t>end record t_deb_gcfg_ovs_pix_2_wr_reg;</t>
  </si>
  <si>
    <t>type t_deb_gcfg_ovs_pix_3_wr_reg is record</t>
  </si>
  <si>
    <t xml:space="preserve">  ovs_pix_3 : std_logic_vector(4 downto 0); -- </t>
  </si>
  <si>
    <t>end record t_deb_gcfg_ovs_pix_3_wr_reg;</t>
  </si>
  <si>
    <t>type t_deb_gcfg_ovs_pix_4_wr_reg is record</t>
  </si>
  <si>
    <t xml:space="preserve">  ovs_pix_4 : std_logic_vector(4 downto 0); -- </t>
  </si>
  <si>
    <t>end record t_deb_gcfg_ovs_pix_4_wr_reg;</t>
  </si>
  <si>
    <t>type t_deb_gcfg_2_5s_n_cyc_wr_reg is record</t>
  </si>
  <si>
    <t xml:space="preserve">  d2_5s_n_cyc : std_logic_vector(7 downto 0); -- </t>
  </si>
  <si>
    <t>end record t_deb_gcfg_2_5s_n_cyc_wr_reg;</t>
  </si>
  <si>
    <t>type t_deb_gcfg_trg_src_wr_reg is record</t>
  </si>
  <si>
    <t xml:space="preserve">  sel_trg : std_logic; -- </t>
  </si>
  <si>
    <t>end record t_deb_gcfg_trg_src_wr_reg;</t>
  </si>
  <si>
    <t>type t_deb_gcfg_frm_cnt_wr_reg is record</t>
  </si>
  <si>
    <t xml:space="preserve">  frm_cnt : std_logic_vector(15 downto 0); -- </t>
  </si>
  <si>
    <t>end record t_deb_gcfg_frm_cnt_wr_reg;</t>
  </si>
  <si>
    <t>type t_deb_gcfg_syn_frq_wr_reg is record</t>
  </si>
  <si>
    <t xml:space="preserve">  syn_nr : std_logic; -- </t>
  </si>
  <si>
    <t>end record t_deb_gcfg_syn_frq_wr_reg;</t>
  </si>
  <si>
    <t>type t_deb_gcfg_rst_wdg_wr_reg is record</t>
  </si>
  <si>
    <t xml:space="preserve">  rst_wdg : std_logic; -- </t>
  </si>
  <si>
    <t>end record t_deb_gcfg_rst_wdg_wr_reg;</t>
  </si>
  <si>
    <t>type t_deb_gcfg_rst_cps_wr_reg is record</t>
  </si>
  <si>
    <t xml:space="preserve">  rst_cps : std_logic; -- </t>
  </si>
  <si>
    <t>end record t_deb_gcfg_rst_cps_wr_reg;</t>
  </si>
  <si>
    <t>type t_deb_gcfg_25s_dly_wr_reg is record</t>
  </si>
  <si>
    <t xml:space="preserve">  d25s_dly : std_logic_vector(23 downto 0); -- </t>
  </si>
  <si>
    <t>end record t_deb_gcfg_25s_dly_wr_reg;</t>
  </si>
  <si>
    <t>type t_deb_gcfg_tmod_conf_wr_reg is record</t>
  </si>
  <si>
    <t xml:space="preserve">  tmod_conf : std_logic_vector(15 downto 0); -- </t>
  </si>
  <si>
    <t>end record t_deb_gcfg_tmod_conf_wr_reg;</t>
  </si>
  <si>
    <t>-- DEB Housekeeping Area</t>
  </si>
  <si>
    <t>type t_deb_hk_deb_status_wr_reg is record</t>
  </si>
  <si>
    <t xml:space="preserve">  window_list_table_edac_corrected_error_number : std_logic_vector(5 downto 0); -- </t>
  </si>
  <si>
    <t xml:space="preserve">  uncorrected_error_number : std_logic_vector(1 downto 0); -- </t>
  </si>
  <si>
    <t xml:space="preserve">  pll_status : std_logic_vector(7 downto 0); -- </t>
  </si>
  <si>
    <t xml:space="preserve">  vdig_aeb4_status : std_logic; -- </t>
  </si>
  <si>
    <t xml:space="preserve">  vdig_aeb3_status : std_logic; -- </t>
  </si>
  <si>
    <t xml:space="preserve">  vdig_aeb2_status : std_logic; -- </t>
  </si>
  <si>
    <t xml:space="preserve">  vdig_aeb1_status : std_logic; -- </t>
  </si>
  <si>
    <t xml:space="preserve">  wdw_list_cnt_ovf : std_logic_vector(1 downto 0); -- </t>
  </si>
  <si>
    <t xml:space="preserve">  aeb_spi_status : std_logic; -- </t>
  </si>
  <si>
    <t xml:space="preserve">  wdg_status : std_logic; -- </t>
  </si>
  <si>
    <t>end record t_deb_hk_deb_status_wr_reg;</t>
  </si>
  <si>
    <t>type t_deb_hk_deb_ovf_wr_reg is record</t>
  </si>
  <si>
    <t xml:space="preserve">  row_active_list8_cnt_ovf : std_logic; -- </t>
  </si>
  <si>
    <t xml:space="preserve">  row_active_list7_cnt_ovf : std_logic; -- </t>
  </si>
  <si>
    <t xml:space="preserve">  row_active_list6_cnt_ovf : std_logic; -- </t>
  </si>
  <si>
    <t xml:space="preserve">  row_active_list5_cnt_ovf : std_logic; -- </t>
  </si>
  <si>
    <t xml:space="preserve">  row_active_list4_cnt_ovf : std_logic; -- </t>
  </si>
  <si>
    <t xml:space="preserve">  row_active_list3_cnt_ovf : std_logic; -- </t>
  </si>
  <si>
    <t xml:space="preserve">  row_active_list2_cnt_ovf : std_logic; -- </t>
  </si>
  <si>
    <t xml:space="preserve">  row_active_list1_cnt_ovf : std_logic; -- </t>
  </si>
  <si>
    <t xml:space="preserve">  out_buff8_ovf : std_logic; -- </t>
  </si>
  <si>
    <t xml:space="preserve">  out_buff7_ovf : std_logic; -- </t>
  </si>
  <si>
    <t xml:space="preserve">  out_buff6_ovf : std_logic; -- </t>
  </si>
  <si>
    <t xml:space="preserve">  out_buff5_ovf : std_logic; -- </t>
  </si>
  <si>
    <t xml:space="preserve">  out_buff4_ovf : std_logic; -- </t>
  </si>
  <si>
    <t xml:space="preserve">  out_buff3_ovf : std_logic; -- </t>
  </si>
  <si>
    <t xml:space="preserve">  out_buff2_ovf : std_logic; -- </t>
  </si>
  <si>
    <t xml:space="preserve">  out_buff1_ovf : std_logic; -- </t>
  </si>
  <si>
    <t xml:space="preserve">  rmap4_ovf : std_logic; -- </t>
  </si>
  <si>
    <t xml:space="preserve">  rmap3_ovf : std_logic; -- </t>
  </si>
  <si>
    <t xml:space="preserve">  rmap2_ovf : std_logic; -- </t>
  </si>
  <si>
    <t xml:space="preserve">  rmap1_ovf : std_logic; -- </t>
  </si>
  <si>
    <t xml:space="preserve">  line_pixel_counters_overflow : std_logic_vector(7 downto 0); -- </t>
  </si>
  <si>
    <t>end record t_deb_hk_deb_ovf_wr_reg;</t>
  </si>
  <si>
    <t>type t_deb_hk_spw_status_wr_reg is record</t>
  </si>
  <si>
    <t xml:space="preserve">  spw_status : std_logic_vector(31 downto 0); -- </t>
  </si>
  <si>
    <t>end record t_deb_hk_spw_status_wr_reg;</t>
  </si>
  <si>
    <t>type t_deb_hk_deb_ahk1_wr_reg is record</t>
  </si>
  <si>
    <t xml:space="preserve">  vdig_in : std_logic_vector(11 downto 0); -- </t>
  </si>
  <si>
    <t xml:space="preserve">  vio : std_logic_vector(11 downto 0); -- </t>
  </si>
  <si>
    <t>end record t_deb_hk_deb_ahk1_wr_reg;</t>
  </si>
  <si>
    <t>type t_deb_hk_deb_ahk2_wr_reg is record</t>
  </si>
  <si>
    <t xml:space="preserve">  vcor : std_logic_vector(11 downto 0); -- </t>
  </si>
  <si>
    <t xml:space="preserve">  vlvd : std_logic_vector(11 downto 0); -- </t>
  </si>
  <si>
    <t>end record t_deb_hk_deb_ahk2_wr_reg;</t>
  </si>
  <si>
    <t>-- AEB 1 Critical Configuration Area</t>
  </si>
  <si>
    <t>type t_aeb1_ccfg_aeb_control_wr_reg is record</t>
  </si>
  <si>
    <t xml:space="preserve">  new_state : std_logic_vector(4 downto 0); -- </t>
  </si>
  <si>
    <t>end record t_aeb1_ccfg_aeb_control_wr_reg;</t>
  </si>
  <si>
    <t>type t_deb_hk_deb_ahk3_wr_reg is record</t>
  </si>
  <si>
    <t xml:space="preserve">  deb_temp : std_logic_vector(11 downto 0); -- </t>
  </si>
  <si>
    <t>end record t_deb_hk_deb_ahk3_wr_reg;</t>
  </si>
  <si>
    <t xml:space="preserve">  set_state : std_logic; -- </t>
  </si>
  <si>
    <t xml:space="preserve">  aeb_reset : std_logic; -- </t>
  </si>
  <si>
    <t xml:space="preserve">  adc_data_rd : std_logic; -- </t>
  </si>
  <si>
    <t xml:space="preserve">  adc_cfg_wr : std_logic; -- </t>
  </si>
  <si>
    <t xml:space="preserve">  adc_cfg_rd : std_logic; -- </t>
  </si>
  <si>
    <t xml:space="preserve">  dac_wr : std_logic; -- </t>
  </si>
  <si>
    <t>type t_aeb1_ccfg_aeb_config_wr_reg is record</t>
  </si>
  <si>
    <t xml:space="preserve">  watchdog_dis : std_logic; -- </t>
  </si>
  <si>
    <t xml:space="preserve">  int_sync : std_logic; -- </t>
  </si>
  <si>
    <t xml:space="preserve">  vasp_cds_en : std_logic; -- </t>
  </si>
  <si>
    <t xml:space="preserve">  vasp2_cal_en : std_logic; -- </t>
  </si>
  <si>
    <t xml:space="preserve">  vasp1_cal_en : std_logic; -- </t>
  </si>
  <si>
    <t>end record t_aeb1_ccfg_aeb_config_wr_reg;</t>
  </si>
  <si>
    <t>type t_aeb1_ccfg_aeb_config_key_wr_reg is record</t>
  </si>
  <si>
    <t xml:space="preserve">  key : std_logic_vector(31 downto 0); -- </t>
  </si>
  <si>
    <t>end record t_aeb1_ccfg_aeb_config_key_wr_reg;</t>
  </si>
  <si>
    <t>type t_aeb1_ccfg_aeb_config_ait1_wr_reg is record</t>
  </si>
  <si>
    <t xml:space="preserve">  override_sw : std_logic; -- </t>
  </si>
  <si>
    <t xml:space="preserve">  sw_van3 : std_logic; -- </t>
  </si>
  <si>
    <t xml:space="preserve">  sw_van2 : std_logic; -- </t>
  </si>
  <si>
    <t xml:space="preserve">  sw_van1 : std_logic; -- </t>
  </si>
  <si>
    <t xml:space="preserve">  sw_vclk : std_logic; -- </t>
  </si>
  <si>
    <t xml:space="preserve">  sw_vccd : std_logic; -- </t>
  </si>
  <si>
    <t xml:space="preserve">  override_vasp : std_logic; -- </t>
  </si>
  <si>
    <t xml:space="preserve">  vasp2_pix_en : std_logic; -- </t>
  </si>
  <si>
    <t xml:space="preserve">  vasp1_pix_en : std_logic; -- </t>
  </si>
  <si>
    <t xml:space="preserve">  vasp2_adc_en : std_logic; -- </t>
  </si>
  <si>
    <t xml:space="preserve">  vasp1_adc_en : std_logic; -- </t>
  </si>
  <si>
    <t xml:space="preserve">  vasp2_reset : std_logic; -- </t>
  </si>
  <si>
    <t xml:space="preserve">  vasp1_reset : std_logic; -- </t>
  </si>
  <si>
    <t xml:space="preserve">  override_adc : std_logic; -- </t>
  </si>
  <si>
    <t xml:space="preserve">  adc2_en_p5v0 : std_logic; -- </t>
  </si>
  <si>
    <t xml:space="preserve">  adc1_en_p5v0 : std_logic; -- </t>
  </si>
  <si>
    <t xml:space="preserve">  pt1000_cal_on_n : std_logic; -- </t>
  </si>
  <si>
    <t xml:space="preserve">  en_v_mux_n : std_logic; -- </t>
  </si>
  <si>
    <t xml:space="preserve">  adc2_pwdn_n : std_logic; -- </t>
  </si>
  <si>
    <t xml:space="preserve">  adc1_pwdn_n : std_logic; -- </t>
  </si>
  <si>
    <t xml:space="preserve">  adc_clk_en : std_logic; -- </t>
  </si>
  <si>
    <t>end record t_aeb1_ccfg_aeb_config_ait1_wr_reg;</t>
  </si>
  <si>
    <t>type t_aeb1_ccfg_aeb_config_pattern_wr_reg is record</t>
  </si>
  <si>
    <t xml:space="preserve">  pattern_ccdid : std_logic_vector(1 downto 0); -- </t>
  </si>
  <si>
    <t xml:space="preserve">  pattern_cols : std_logic_vector(13 downto 0); -- </t>
  </si>
  <si>
    <t xml:space="preserve">  pattern_rows : std_logic_vector(13 downto 0); -- </t>
  </si>
  <si>
    <t>end record t_aeb1_ccfg_aeb_config_pattern_wr_reg;</t>
  </si>
  <si>
    <t>type t_aeb1_ccfg_vasp_i2c_control_wr_reg is record</t>
  </si>
  <si>
    <t xml:space="preserve">  vasp_cfg_addr : std_logic_vector(7 downto 0); -- </t>
  </si>
  <si>
    <t xml:space="preserve">  vasp1_cfg_data : std_logic_vector(7 downto 0); -- </t>
  </si>
  <si>
    <t xml:space="preserve">  vasp2_cfg_data : std_logic_vector(7 downto 0); -- </t>
  </si>
  <si>
    <t xml:space="preserve">  vasp2_select : std_logic; -- </t>
  </si>
  <si>
    <t xml:space="preserve">  vasp1_select : std_logic; -- </t>
  </si>
  <si>
    <t xml:space="preserve">  calibration_start : std_logic; -- </t>
  </si>
  <si>
    <t xml:space="preserve">  i2c_read_start : std_logic; -- </t>
  </si>
  <si>
    <t xml:space="preserve">  i2c_write_start : std_logic; -- </t>
  </si>
  <si>
    <t>end record t_aeb1_ccfg_vasp_i2c_control_wr_reg;</t>
  </si>
  <si>
    <t>type t_aeb1_ccfg_dac_config_1_wr_reg is record</t>
  </si>
  <si>
    <t xml:space="preserve">  dac_vog : std_logic_vector(11 downto 0); -- </t>
  </si>
  <si>
    <t xml:space="preserve">  dac_vrd : std_logic_vector(11 downto 0); -- </t>
  </si>
  <si>
    <t>end record t_aeb1_ccfg_dac_config_1_wr_reg;</t>
  </si>
  <si>
    <t>type t_aeb1_ccfg_dac_config_2_wr_reg is record</t>
  </si>
  <si>
    <t xml:space="preserve">  dac_vod : std_logic_vector(11 downto 0); -- </t>
  </si>
  <si>
    <t>end record t_aeb1_ccfg_dac_config_2_wr_reg;</t>
  </si>
  <si>
    <t>type t_aeb1_ccfg_pwr_config1_wr_reg is record</t>
  </si>
  <si>
    <t xml:space="preserve">  time_vccd_on : std_logic_vector(7 downto 0); -- </t>
  </si>
  <si>
    <t xml:space="preserve">  time_vclk_on : std_logic_vector(7 downto 0); -- </t>
  </si>
  <si>
    <t xml:space="preserve">  time_van1_on : std_logic_vector(7 downto 0); -- </t>
  </si>
  <si>
    <t xml:space="preserve">  time_van2_on : std_logic_vector(7 downto 0); -- </t>
  </si>
  <si>
    <t>end record t_aeb1_ccfg_pwr_config1_wr_reg;</t>
  </si>
  <si>
    <t>type t_aeb1_ccfg_pwr_config2_wr_reg is record</t>
  </si>
  <si>
    <t xml:space="preserve">  time_van3_on : std_logic_vector(7 downto 0); -- </t>
  </si>
  <si>
    <t xml:space="preserve">  time_vccd_off : std_logic_vector(7 downto 0); -- </t>
  </si>
  <si>
    <t xml:space="preserve">  time_vclk_off : std_logic_vector(7 downto 0); -- </t>
  </si>
  <si>
    <t xml:space="preserve">  time_van1_off : std_logic_vector(7 downto 0); -- </t>
  </si>
  <si>
    <t>end record t_aeb1_ccfg_pwr_config2_wr_reg;</t>
  </si>
  <si>
    <t>type t_aeb1_ccfg_pwr_config3_wr_reg is record</t>
  </si>
  <si>
    <t xml:space="preserve">  time_van2_off : std_logic_vector(7 downto 0); -- </t>
  </si>
  <si>
    <t xml:space="preserve">  time_van3_off : std_logic_vector(7 downto 0); -- </t>
  </si>
  <si>
    <t>end record t_aeb1_ccfg_pwr_config3_wr_reg;</t>
  </si>
  <si>
    <t>-- AEB 1 General Configuration Area</t>
  </si>
  <si>
    <t>type t_aeb1_gcfg_adc1_config_wr_reg is record</t>
  </si>
  <si>
    <t xml:space="preserve">  adc1_bypas : std_logic; -- </t>
  </si>
  <si>
    <t xml:space="preserve">  adc1_clkenb : std_logic; -- </t>
  </si>
  <si>
    <t xml:space="preserve">  adc1_chop : std_logic; -- </t>
  </si>
  <si>
    <t xml:space="preserve">  adc1_stat : std_logic; -- </t>
  </si>
  <si>
    <t xml:space="preserve">  adc1_idlmod : std_logic; -- </t>
  </si>
  <si>
    <t xml:space="preserve">  adc1_dly2 : std_logic; -- </t>
  </si>
  <si>
    <t xml:space="preserve">  adc1_dly1 : std_logic; -- </t>
  </si>
  <si>
    <t xml:space="preserve">  adc1_dly0 : std_logic; -- </t>
  </si>
  <si>
    <t xml:space="preserve">  adc1_sbcs1 : std_logic; -- </t>
  </si>
  <si>
    <t xml:space="preserve">  adc1_sbcs0 : std_logic; -- </t>
  </si>
  <si>
    <t xml:space="preserve">  adc1_drate1 : std_logic; -- </t>
  </si>
  <si>
    <t xml:space="preserve">  adc1_drate0 : std_logic; -- </t>
  </si>
  <si>
    <t xml:space="preserve">  adc1_ainp3 : std_logic; -- </t>
  </si>
  <si>
    <t xml:space="preserve">  adc1_ainp2 : std_logic; -- </t>
  </si>
  <si>
    <t xml:space="preserve">  adc1_ainp1 : std_logic; -- </t>
  </si>
  <si>
    <t xml:space="preserve">  adc1_ainp0 : std_logic; -- </t>
  </si>
  <si>
    <t xml:space="preserve">  adc1_ainn3 : std_logic; -- </t>
  </si>
  <si>
    <t xml:space="preserve">  adc1_ainn2 : std_logic; -- </t>
  </si>
  <si>
    <t xml:space="preserve">  adc1_ainn1 : std_logic; -- </t>
  </si>
  <si>
    <t xml:space="preserve">  adc1_ainn0 : std_logic; -- </t>
  </si>
  <si>
    <t xml:space="preserve">  adc1_diff7 : std_logic; -- </t>
  </si>
  <si>
    <t xml:space="preserve">  adc1_diff6 : std_logic; -- </t>
  </si>
  <si>
    <t xml:space="preserve">  adc1_diff5 : std_logic; -- </t>
  </si>
  <si>
    <t xml:space="preserve">  adc1_diff4 : std_logic; -- </t>
  </si>
  <si>
    <t xml:space="preserve">  adc1_diff3 : std_logic; -- </t>
  </si>
  <si>
    <t xml:space="preserve">  adc1_diff2 : std_logic; -- </t>
  </si>
  <si>
    <t xml:space="preserve">  adc1_diff1 : std_logic; -- </t>
  </si>
  <si>
    <t xml:space="preserve">  adc1_diff0 : std_logic; -- </t>
  </si>
  <si>
    <t xml:space="preserve">  adc1_ain7 : std_logic; -- </t>
  </si>
  <si>
    <t xml:space="preserve">  adc1_ain6 : std_logic; -- </t>
  </si>
  <si>
    <t xml:space="preserve">  adc1_ain5 : std_logic; -- </t>
  </si>
  <si>
    <t xml:space="preserve">  adc1_ain4 : std_logic; -- </t>
  </si>
  <si>
    <t xml:space="preserve">  adc1_ain3 : std_logic; -- </t>
  </si>
  <si>
    <t xml:space="preserve">  adc1_ain2 : std_logic; -- </t>
  </si>
  <si>
    <t xml:space="preserve">  adc1_ain1 : std_logic; -- </t>
  </si>
  <si>
    <t xml:space="preserve">  adc1_ain0 : std_logic; -- </t>
  </si>
  <si>
    <t xml:space="preserve">  adc1_ain15 : std_logic; -- </t>
  </si>
  <si>
    <t xml:space="preserve">  adc1_ain14 : std_logic; -- </t>
  </si>
  <si>
    <t xml:space="preserve">  adc1_ain13 : std_logic; -- </t>
  </si>
  <si>
    <t xml:space="preserve">  adc1_ain12 : std_logic; -- </t>
  </si>
  <si>
    <t xml:space="preserve">  adc1_ain11 : std_logic; -- </t>
  </si>
  <si>
    <t xml:space="preserve">  adc1_ain10 : std_logic; -- </t>
  </si>
  <si>
    <t xml:space="preserve">  adc1_ain9 : std_logic; -- </t>
  </si>
  <si>
    <t xml:space="preserve">  adc1_ain8 : std_logic; -- </t>
  </si>
  <si>
    <t xml:space="preserve">  adc1_ref : std_logic; -- </t>
  </si>
  <si>
    <t xml:space="preserve">  adc1_gain : std_logic; -- </t>
  </si>
  <si>
    <t xml:space="preserve">  adc1_temp : std_logic; -- </t>
  </si>
  <si>
    <t xml:space="preserve">  adc1_vcc : std_logic; -- </t>
  </si>
  <si>
    <t xml:space="preserve">  adc1_offset : std_logic; -- </t>
  </si>
  <si>
    <t xml:space="preserve">  adc1_cio7 : std_logic; -- </t>
  </si>
  <si>
    <t xml:space="preserve">  adc1_cio6 : std_logic; -- </t>
  </si>
  <si>
    <t xml:space="preserve">  adc1_cio5 : std_logic; -- </t>
  </si>
  <si>
    <t xml:space="preserve">  adc1_cio4 : std_logic; -- </t>
  </si>
  <si>
    <t xml:space="preserve">  adc1_cio3 : std_logic; -- </t>
  </si>
  <si>
    <t xml:space="preserve">  adc1_cio2 : std_logic; -- </t>
  </si>
  <si>
    <t xml:space="preserve">  adc1_cio1 : std_logic; -- </t>
  </si>
  <si>
    <t xml:space="preserve">  adc1_cio0 : std_logic; -- </t>
  </si>
  <si>
    <t xml:space="preserve">  adc1_dio7 : std_logic; -- </t>
  </si>
  <si>
    <t xml:space="preserve">  adc1_dio6 : std_logic; -- </t>
  </si>
  <si>
    <t xml:space="preserve">  adc1_dio5 : std_logic; -- </t>
  </si>
  <si>
    <t xml:space="preserve">  adc1_dio4 : std_logic; -- </t>
  </si>
  <si>
    <t xml:space="preserve">  adc1_dio3 : std_logic; -- </t>
  </si>
  <si>
    <t xml:space="preserve">  adc1_dio2 : std_logic; -- </t>
  </si>
  <si>
    <t xml:space="preserve">  adc1_dio1 : std_logic; -- </t>
  </si>
  <si>
    <t xml:space="preserve">  adc1_dio0 : std_logic; -- </t>
  </si>
  <si>
    <t>end record t_aeb1_gcfg_adc1_config_wr_reg;</t>
  </si>
  <si>
    <t>type t_aeb1_gcfg_adc2_config_wr_reg is record</t>
  </si>
  <si>
    <t xml:space="preserve">  adc2_bypas : std_logic; -- </t>
  </si>
  <si>
    <t xml:space="preserve">  adc2_clkenb : std_logic; -- </t>
  </si>
  <si>
    <t xml:space="preserve">  adc2_chop : std_logic; -- </t>
  </si>
  <si>
    <t xml:space="preserve">  adc2_stat : std_logic; -- </t>
  </si>
  <si>
    <t xml:space="preserve">  adc2_idlmod : std_logic; -- </t>
  </si>
  <si>
    <t xml:space="preserve">  adc2_dly2 : std_logic; -- </t>
  </si>
  <si>
    <t xml:space="preserve">  adc2_dly1 : std_logic; -- </t>
  </si>
  <si>
    <t xml:space="preserve">  adc2_dly0 : std_logic; -- </t>
  </si>
  <si>
    <t xml:space="preserve">  adc2_sbcs1 : std_logic; -- </t>
  </si>
  <si>
    <t xml:space="preserve">  adc2_sbcs0 : std_logic; -- </t>
  </si>
  <si>
    <t xml:space="preserve">  adc2_drate1 : std_logic; -- </t>
  </si>
  <si>
    <t xml:space="preserve">  adc2_drate0 : std_logic; -- </t>
  </si>
  <si>
    <t xml:space="preserve">  adc2_ainp3 : std_logic; -- </t>
  </si>
  <si>
    <t xml:space="preserve">  adc2_ainp2 : std_logic; -- </t>
  </si>
  <si>
    <t xml:space="preserve">  adc2_ainp1 : std_logic; -- </t>
  </si>
  <si>
    <t xml:space="preserve">  adc2_ainp0 : std_logic; -- </t>
  </si>
  <si>
    <t xml:space="preserve">  adc2_ainn3 : std_logic; -- </t>
  </si>
  <si>
    <t xml:space="preserve">  adc2_ainn2 : std_logic; -- </t>
  </si>
  <si>
    <t xml:space="preserve">  adc2_ainn1 : std_logic; -- </t>
  </si>
  <si>
    <t xml:space="preserve">  adc2_ainn0 : std_logic; -- </t>
  </si>
  <si>
    <t xml:space="preserve">  adc2_diff7 : std_logic; -- </t>
  </si>
  <si>
    <t xml:space="preserve">  adc2_diff6 : std_logic; -- </t>
  </si>
  <si>
    <t xml:space="preserve">  adc2_diff5 : std_logic; -- </t>
  </si>
  <si>
    <t xml:space="preserve">  adc2_diff4 : std_logic; -- </t>
  </si>
  <si>
    <t xml:space="preserve">  adc2_diff3 : std_logic; -- </t>
  </si>
  <si>
    <t xml:space="preserve">  adc2_diff2 : std_logic; -- </t>
  </si>
  <si>
    <t xml:space="preserve">  adc2_diff1 : std_logic; -- </t>
  </si>
  <si>
    <t xml:space="preserve">  adc2_diff0 : std_logic; -- </t>
  </si>
  <si>
    <t xml:space="preserve">  adc2_ain7 : std_logic; -- </t>
  </si>
  <si>
    <t xml:space="preserve">  adc2_ain6 : std_logic; -- </t>
  </si>
  <si>
    <t xml:space="preserve">  adc2_ain5 : std_logic; -- </t>
  </si>
  <si>
    <t xml:space="preserve">  adc2_ain4 : std_logic; -- </t>
  </si>
  <si>
    <t xml:space="preserve">  adc2_ain3 : std_logic; -- </t>
  </si>
  <si>
    <t xml:space="preserve">  adc2_ain2 : std_logic; -- </t>
  </si>
  <si>
    <t xml:space="preserve">  adc2_ain1 : std_logic; -- </t>
  </si>
  <si>
    <t xml:space="preserve">  adc2_ain0 : std_logic; -- </t>
  </si>
  <si>
    <t xml:space="preserve">  adc2_ain15 : std_logic; -- </t>
  </si>
  <si>
    <t xml:space="preserve">  adc2_ain14 : std_logic; -- </t>
  </si>
  <si>
    <t xml:space="preserve">  adc2_ain13 : std_logic; -- </t>
  </si>
  <si>
    <t xml:space="preserve">  adc2_ain12 : std_logic; -- </t>
  </si>
  <si>
    <t xml:space="preserve">  adc2_ain11 : std_logic; -- </t>
  </si>
  <si>
    <t xml:space="preserve">  adc2_ain10 : std_logic; -- </t>
  </si>
  <si>
    <t xml:space="preserve">  adc2_ain9 : std_logic; -- </t>
  </si>
  <si>
    <t xml:space="preserve">  adc2_ain8 : std_logic; -- </t>
  </si>
  <si>
    <t xml:space="preserve">  adc2_ref : std_logic; -- </t>
  </si>
  <si>
    <t xml:space="preserve">  adc2_gain : std_logic; -- </t>
  </si>
  <si>
    <t xml:space="preserve">  adc2_temp : std_logic; -- </t>
  </si>
  <si>
    <t xml:space="preserve">  adc2_vcc : std_logic; -- </t>
  </si>
  <si>
    <t xml:space="preserve">  adc2_offset : std_logic; -- </t>
  </si>
  <si>
    <t xml:space="preserve">  adc2_cio7 : std_logic; -- </t>
  </si>
  <si>
    <t xml:space="preserve">  adc2_cio6 : std_logic; -- </t>
  </si>
  <si>
    <t xml:space="preserve">  adc2_cio5 : std_logic; -- </t>
  </si>
  <si>
    <t xml:space="preserve">  adc2_cio4 : std_logic; -- </t>
  </si>
  <si>
    <t xml:space="preserve">  adc2_cio3 : std_logic; -- </t>
  </si>
  <si>
    <t xml:space="preserve">  adc2_cio2 : std_logic; -- </t>
  </si>
  <si>
    <t xml:space="preserve">  adc2_cio1 : std_logic; -- </t>
  </si>
  <si>
    <t xml:space="preserve">  adc2_cio0 : std_logic; -- </t>
  </si>
  <si>
    <t xml:space="preserve">  adc2_dio7 : std_logic; -- </t>
  </si>
  <si>
    <t xml:space="preserve">  adc2_dio6 : std_logic; -- </t>
  </si>
  <si>
    <t xml:space="preserve">  adc2_dio5 : std_logic; -- </t>
  </si>
  <si>
    <t xml:space="preserve">  adc2_dio4 : std_logic; -- </t>
  </si>
  <si>
    <t xml:space="preserve">  adc2_dio3 : std_logic; -- </t>
  </si>
  <si>
    <t xml:space="preserve">  adc2_dio2 : std_logic; -- </t>
  </si>
  <si>
    <t xml:space="preserve">  adc2_dio1 : std_logic; -- </t>
  </si>
  <si>
    <t xml:space="preserve">  adc2_dio0 : std_logic; -- </t>
  </si>
  <si>
    <t>end record t_aeb1_gcfg_adc2_config_wr_reg;</t>
  </si>
  <si>
    <t>type t_aeb1_gcfg_seq_config_wr_reg is record</t>
  </si>
  <si>
    <t xml:space="preserve">  seq_oe : std_logic_vector(21 downto 0); -- </t>
  </si>
  <si>
    <t xml:space="preserve">  adc_clk_div : std_logic_vector(6 downto 0); -- </t>
  </si>
  <si>
    <t xml:space="preserve">  cds_clk_low_pos : std_logic_vector(7 downto 0); -- </t>
  </si>
  <si>
    <t xml:space="preserve">  cds_clk_high_pos : std_logic_vector(7 downto 0); -- </t>
  </si>
  <si>
    <t xml:space="preserve">  rphir_clk_low_pos : std_logic_vector(7 downto 0); -- </t>
  </si>
  <si>
    <t xml:space="preserve">  rphir_clk_high_pos : std_logic_vector(7 downto 0); -- </t>
  </si>
  <si>
    <t xml:space="preserve">  ft_loop_cnt : std_logic_vector(13 downto 0); -- </t>
  </si>
  <si>
    <t xml:space="preserve">  lt0_enabled : std_logic; -- </t>
  </si>
  <si>
    <t xml:space="preserve">  lt0_pixreadout : std_logic; -- </t>
  </si>
  <si>
    <t xml:space="preserve">  lt0_loop_cnt : std_logic_vector(13 downto 0); -- </t>
  </si>
  <si>
    <t xml:space="preserve">  lt1_enabled : std_logic; -- </t>
  </si>
  <si>
    <t xml:space="preserve">  lt1_pixreadout : std_logic; -- </t>
  </si>
  <si>
    <t xml:space="preserve">  lt1_loop_cnt : std_logic_vector(13 downto 0); -- </t>
  </si>
  <si>
    <t xml:space="preserve">  lt2_enabled : std_logic; -- </t>
  </si>
  <si>
    <t xml:space="preserve">  lt2_pixreadout : std_logic; -- </t>
  </si>
  <si>
    <t xml:space="preserve">  lt2_loop_cnt : std_logic_vector(13 downto 0); -- </t>
  </si>
  <si>
    <t xml:space="preserve">  lt3_enabled : std_logic; -- </t>
  </si>
  <si>
    <t xml:space="preserve">  lt3_pixreadout : std_logic; -- </t>
  </si>
  <si>
    <t xml:space="preserve">  lt3_loop_cnt : std_logic_vector(13 downto 0); -- </t>
  </si>
  <si>
    <t xml:space="preserve">  pix_loop_cnt : std_logic_vector(13 downto 0); -- </t>
  </si>
  <si>
    <t xml:space="preserve">  pc_enabled : std_logic; -- </t>
  </si>
  <si>
    <t xml:space="preserve">  pc_loop_cnt : std_logic_vector(13 downto 0); -- </t>
  </si>
  <si>
    <t xml:space="preserve">  int1_loop_cnt : std_logic_vector(13 downto 0); -- </t>
  </si>
  <si>
    <t xml:space="preserve">  int2_loop_cnt : std_logic_vector(13 downto 0); -- </t>
  </si>
  <si>
    <t>end record t_aeb1_gcfg_seq_config_wr_reg;</t>
  </si>
  <si>
    <t>-- AEB 1 Housekeeping Area</t>
  </si>
  <si>
    <t>type t_aeb1_hk_aeb_status_wr_reg is record</t>
  </si>
  <si>
    <t xml:space="preserve">  aeb_state : std_logic_vector(2 downto 0); -- </t>
  </si>
  <si>
    <t xml:space="preserve">  vasp2_cfg_run : std_logic; -- </t>
  </si>
  <si>
    <t xml:space="preserve">  vasp1_cfg_run : std_logic; -- </t>
  </si>
  <si>
    <t xml:space="preserve">  dac_cfg_w_run : std_logic; -- </t>
  </si>
  <si>
    <t xml:space="preserve">  adc_cfg_rd_run : std_logic; -- </t>
  </si>
  <si>
    <t xml:space="preserve">  adc_cfg_wr_run : std_logic; -- </t>
  </si>
  <si>
    <t xml:space="preserve">  adc_dat_rd_run : std_logic; -- </t>
  </si>
  <si>
    <t xml:space="preserve">  adc_error : std_logic; -- </t>
  </si>
  <si>
    <t xml:space="preserve">  adc2_lu : std_logic; -- </t>
  </si>
  <si>
    <t xml:space="preserve">  adc1_lu : std_logic; -- </t>
  </si>
  <si>
    <t xml:space="preserve">  adc_dat_rd : std_logic; -- </t>
  </si>
  <si>
    <t xml:space="preserve">  adc2_busy : std_logic; -- </t>
  </si>
  <si>
    <t xml:space="preserve">  adc1_busy : std_logic; -- </t>
  </si>
  <si>
    <t xml:space="preserve">  frame_counter : std_logic_vector(15 downto 0); -- </t>
  </si>
  <si>
    <t>end record t_aeb1_hk_aeb_status_wr_reg;</t>
  </si>
  <si>
    <t>type t_aeb1_hk_timestamp_wr_reg is record</t>
  </si>
  <si>
    <t xml:space="preserve">  timestamp_1 : std_logic_vector(31 downto 0); -- </t>
  </si>
  <si>
    <t xml:space="preserve">  timestamp_0 : std_logic_vector(31 downto 0); -- </t>
  </si>
  <si>
    <t>end record t_aeb1_hk_timestamp_wr_reg;</t>
  </si>
  <si>
    <t>type t_aeb1_hk_adc_rd_data_wr_reg is record</t>
  </si>
  <si>
    <t xml:space="preserve">  adc_rd_data_18 : std_logic_vector(31 downto 0); -- </t>
  </si>
  <si>
    <t xml:space="preserve">  adc_rd_data_17 : std_logic_vector(31 downto 0); -- </t>
  </si>
  <si>
    <t xml:space="preserve">  adc_rd_data_16 : std_logic_vector(31 downto 0); -- </t>
  </si>
  <si>
    <t xml:space="preserve">  adc_rd_data_15 : std_logic_vector(31 downto 0); -- </t>
  </si>
  <si>
    <t xml:space="preserve">  adc_rd_data_14 : std_logic_vector(31 downto 0); -- </t>
  </si>
  <si>
    <t xml:space="preserve">  adc_rd_data_13 : std_logic_vector(31 downto 0); -- </t>
  </si>
  <si>
    <t xml:space="preserve">  adc_rd_data_12 : std_logic_vector(31 downto 0); -- </t>
  </si>
  <si>
    <t xml:space="preserve">  adc_rd_data_11 : std_logic_vector(31 downto 0); -- </t>
  </si>
  <si>
    <t xml:space="preserve">  adc_rd_data_10 : std_logic_vector(31 downto 0); -- </t>
  </si>
  <si>
    <t xml:space="preserve">  adc_rd_data_9 : std_logic_vector(31 downto 0); -- </t>
  </si>
  <si>
    <t xml:space="preserve">  adc_rd_data_8 : std_logic_vector(31 downto 0); -- </t>
  </si>
  <si>
    <t xml:space="preserve">  adc_rd_data_7 : std_logic_vector(31 downto 0); -- </t>
  </si>
  <si>
    <t xml:space="preserve">  adc_rd_data_6 : std_logic_vector(31 downto 0); -- </t>
  </si>
  <si>
    <t xml:space="preserve">  adc_rd_data_5 : std_logic_vector(31 downto 0); -- </t>
  </si>
  <si>
    <t xml:space="preserve">  adc_rd_data_4 : std_logic_vector(31 downto 0); -- </t>
  </si>
  <si>
    <t xml:space="preserve">  adc_rd_data_3 : std_logic_vector(31 downto 0); -- </t>
  </si>
  <si>
    <t xml:space="preserve">  adc_rd_data_2 : std_logic_vector(31 downto 0); -- </t>
  </si>
  <si>
    <t xml:space="preserve">  adc_rd_data_1 : std_logic_vector(31 downto 0); -- </t>
  </si>
  <si>
    <t xml:space="preserve">  adc_rd_data_0 : std_logic_vector(31 downto 0); -- </t>
  </si>
  <si>
    <t>end record t_aeb1_hk_adc_rd_data_wr_reg;</t>
  </si>
  <si>
    <t>type t_aeb1_hk_adc1_rd_config_wr_reg is record</t>
  </si>
  <si>
    <t xml:space="preserve">  adc1_rd_config_3 : std_logic_vector(31 downto 0); -- </t>
  </si>
  <si>
    <t xml:space="preserve">  adc1_rd_config_2 : std_logic_vector(31 downto 0); -- </t>
  </si>
  <si>
    <t xml:space="preserve">  adc1_rd_config_1 : std_logic_vector(31 downto 0); -- </t>
  </si>
  <si>
    <t xml:space="preserve">  adc1_rd_config_0 : std_logic_vector(31 downto 0); -- </t>
  </si>
  <si>
    <t>end record t_aeb1_hk_adc1_rd_config_wr_reg;</t>
  </si>
  <si>
    <t>type t_aeb1_hk_adc2_rd_config_wr_reg is record</t>
  </si>
  <si>
    <t xml:space="preserve">  adc2_rd_config_3 : std_logic_vector(31 downto 0); -- </t>
  </si>
  <si>
    <t xml:space="preserve">  adc2_rd_config_2 : std_logic_vector(31 downto 0); -- </t>
  </si>
  <si>
    <t xml:space="preserve">  adc2_rd_config_1 : std_logic_vector(31 downto 0); -- </t>
  </si>
  <si>
    <t xml:space="preserve">  adc2_rd_config_0 : std_logic_vector(31 downto 0); -- </t>
  </si>
  <si>
    <t>end record t_aeb1_hk_adc2_rd_config_wr_reg;</t>
  </si>
  <si>
    <t>type t_aeb1_hk_revision_id_wr_reg is record</t>
  </si>
  <si>
    <t xml:space="preserve">  fpga_ver : std_logic_vector(15 downto 0); -- </t>
  </si>
  <si>
    <t>end record t_aeb1_hk_revision_id_wr_reg;</t>
  </si>
  <si>
    <t>type t_aeb1_hk_vasp_rd_config_wr_reg is record</t>
  </si>
  <si>
    <t xml:space="preserve">  vasp1_read_data : std_logic_vector(7 downto 0); -- </t>
  </si>
  <si>
    <t xml:space="preserve">  vasp2_read_data : std_logic_vector(7 downto 0); -- </t>
  </si>
  <si>
    <t>end record t_aeb1_hk_vasp_rd_config_wr_reg;</t>
  </si>
  <si>
    <t xml:space="preserve">  fpga_date : std_logic_vector(15 downto 0); -- </t>
  </si>
  <si>
    <t xml:space="preserve">  fpga_time : std_logic_vector(15 downto 0); -- </t>
  </si>
  <si>
    <t xml:space="preserve">  fpga_svn : std_logic_vector(15 downto 0); -- </t>
  </si>
  <si>
    <t>-- AEB 2 Critical Configuration Area</t>
  </si>
  <si>
    <t>type t_aeb2_ccfg_aeb_control_wr_reg is record</t>
  </si>
  <si>
    <t>end record t_aeb2_ccfg_aeb_control_wr_reg;</t>
  </si>
  <si>
    <t>type t_aeb2_ccfg_aeb_config_wr_reg is record</t>
  </si>
  <si>
    <t>end record t_aeb2_ccfg_aeb_config_wr_reg;</t>
  </si>
  <si>
    <t>type t_aeb2_ccfg_aeb_config_key_wr_reg is record</t>
  </si>
  <si>
    <t xml:space="preserve">  key : std_logic_vector(30 downto 0); -- </t>
  </si>
  <si>
    <t>end record t_aeb2_ccfg_aeb_config_key_wr_reg;</t>
  </si>
  <si>
    <t>type t_aeb2_ccfg_aeb_config_ait1_wr_reg is record</t>
  </si>
  <si>
    <t>end record t_aeb2_ccfg_aeb_config_ait1_wr_reg;</t>
  </si>
  <si>
    <t>type t_aeb2_ccfg_aeb_config_pattern_wr_reg is record</t>
  </si>
  <si>
    <t>end record t_aeb2_ccfg_aeb_config_pattern_wr_reg;</t>
  </si>
  <si>
    <t>type t_aeb2_ccfg_vasp_i2c_control_wr_reg is record</t>
  </si>
  <si>
    <t>end record t_aeb2_ccfg_vasp_i2c_control_wr_reg;</t>
  </si>
  <si>
    <t>type t_aeb2_ccfg_dac_config_1_wr_reg is record</t>
  </si>
  <si>
    <t>end record t_aeb2_ccfg_dac_config_1_wr_reg;</t>
  </si>
  <si>
    <t>type t_aeb2_ccfg_dac_config_2_wr_reg is record</t>
  </si>
  <si>
    <t>end record t_aeb2_ccfg_dac_config_2_wr_reg;</t>
  </si>
  <si>
    <t>type t_aeb2_ccfg_pwr_config1_wr_reg is record</t>
  </si>
  <si>
    <t>end record t_aeb2_ccfg_pwr_config1_wr_reg;</t>
  </si>
  <si>
    <t>type t_aeb2_ccfg_pwr_config2_wr_reg is record</t>
  </si>
  <si>
    <t>end record t_aeb2_ccfg_pwr_config2_wr_reg;</t>
  </si>
  <si>
    <t>type t_aeb2_ccfg_pwr_config3_wr_reg is record</t>
  </si>
  <si>
    <t>end record t_aeb2_ccfg_pwr_config3_wr_reg;</t>
  </si>
  <si>
    <t>-- AEB 2 General Configuration Area</t>
  </si>
  <si>
    <t>type t_aeb2_gcfg_adc1_config_wr_reg is record</t>
  </si>
  <si>
    <t>end record t_aeb2_gcfg_adc1_config_wr_reg;</t>
  </si>
  <si>
    <t>type t_aeb2_gcfg_adc2_config_wr_reg is record</t>
  </si>
  <si>
    <t>end record t_aeb2_gcfg_adc2_config_wr_reg;</t>
  </si>
  <si>
    <t>type t_aeb2_gcfg_seq_config_wr_reg is record</t>
  </si>
  <si>
    <t>end record t_aeb2_gcfg_seq_config_wr_reg;</t>
  </si>
  <si>
    <t>-- AEB 2 Housekeeping Area</t>
  </si>
  <si>
    <t>type t_aeb2_hk_aeb_status_wr_reg is record</t>
  </si>
  <si>
    <t>end record t_aeb2_hk_aeb_status_wr_reg;</t>
  </si>
  <si>
    <t>type t_aeb2_hk_timestamp_wr_reg is record</t>
  </si>
  <si>
    <t>end record t_aeb2_hk_timestamp_wr_reg;</t>
  </si>
  <si>
    <t>type t_aeb2_hk_adc_rd_data_wr_reg is record</t>
  </si>
  <si>
    <t>end record t_aeb2_hk_adc_rd_data_wr_reg;</t>
  </si>
  <si>
    <t>type t_aeb2_hk_adc1_rd_config_wr_reg is record</t>
  </si>
  <si>
    <t>end record t_aeb2_hk_adc1_rd_config_wr_reg;</t>
  </si>
  <si>
    <t>type t_aeb2_hk_adc2_rd_config_wr_reg is record</t>
  </si>
  <si>
    <t>end record t_aeb2_hk_adc2_rd_config_wr_reg;</t>
  </si>
  <si>
    <t>type t_aeb2_hk_revision_id_wr_reg is record</t>
  </si>
  <si>
    <t>end record t_aeb2_hk_revision_id_wr_reg;</t>
  </si>
  <si>
    <t>type t_aeb2_hk_vasp_rd_config_wr_reg is record</t>
  </si>
  <si>
    <t>end record t_aeb2_hk_vasp_rd_config_wr_reg;</t>
  </si>
  <si>
    <t>-- AEB 3 Critical Configuration Area</t>
  </si>
  <si>
    <t>type t_aeb3_ccfg_aeb_control_wr_reg is record</t>
  </si>
  <si>
    <t>end record t_aeb3_ccfg_aeb_control_wr_reg;</t>
  </si>
  <si>
    <t>type t_aeb3_ccfg_aeb_config_wr_reg is record</t>
  </si>
  <si>
    <t>end record t_aeb3_ccfg_aeb_config_wr_reg;</t>
  </si>
  <si>
    <t>type t_aeb3_ccfg_aeb_config_key_wr_reg is record</t>
  </si>
  <si>
    <t>end record t_aeb3_ccfg_aeb_config_key_wr_reg;</t>
  </si>
  <si>
    <t>type t_aeb3_ccfg_aeb_config_ait1_wr_reg is record</t>
  </si>
  <si>
    <t>end record t_aeb3_ccfg_aeb_config_ait1_wr_reg;</t>
  </si>
  <si>
    <t>type t_aeb3_ccfg_aeb_config_pattern_wr_reg is record</t>
  </si>
  <si>
    <t>end record t_aeb3_ccfg_aeb_config_pattern_wr_reg;</t>
  </si>
  <si>
    <t>type t_aeb3_ccfg_vasp_i2c_control_wr_reg is record</t>
  </si>
  <si>
    <t>end record t_aeb3_ccfg_vasp_i2c_control_wr_reg;</t>
  </si>
  <si>
    <t>type t_aeb3_ccfg_dac_config_1_wr_reg is record</t>
  </si>
  <si>
    <t>end record t_aeb3_ccfg_dac_config_1_wr_reg;</t>
  </si>
  <si>
    <t>type t_aeb3_ccfg_dac_config_2_wr_reg is record</t>
  </si>
  <si>
    <t>end record t_aeb3_ccfg_dac_config_2_wr_reg;</t>
  </si>
  <si>
    <t>type t_aeb3_ccfg_pwr_config1_wr_reg is record</t>
  </si>
  <si>
    <t>end record t_aeb3_ccfg_pwr_config1_wr_reg;</t>
  </si>
  <si>
    <t>type t_aeb3_ccfg_pwr_config2_wr_reg is record</t>
  </si>
  <si>
    <t>end record t_aeb3_ccfg_pwr_config2_wr_reg;</t>
  </si>
  <si>
    <t>type t_aeb3_ccfg_pwr_config3_wr_reg is record</t>
  </si>
  <si>
    <t>end record t_aeb3_ccfg_pwr_config3_wr_reg;</t>
  </si>
  <si>
    <t>-- AEB 3 General Configuration Area</t>
  </si>
  <si>
    <t>type t_aeb3_gcfg_adc1_config_wr_reg is record</t>
  </si>
  <si>
    <t>end record t_aeb3_gcfg_adc1_config_wr_reg;</t>
  </si>
  <si>
    <t>type t_aeb3_gcfg_adc2_config_wr_reg is record</t>
  </si>
  <si>
    <t>end record t_aeb3_gcfg_adc2_config_wr_reg;</t>
  </si>
  <si>
    <t>type t_aeb3_gcfg_seq_config_wr_reg is record</t>
  </si>
  <si>
    <t>end record t_aeb3_gcfg_seq_config_wr_reg;</t>
  </si>
  <si>
    <t>-- AEB 3 Housekeeping Area</t>
  </si>
  <si>
    <t>type t_aeb3_hk_aeb_status_wr_reg is record</t>
  </si>
  <si>
    <t>end record t_aeb3_hk_aeb_status_wr_reg;</t>
  </si>
  <si>
    <t>type t_aeb3_hk_timestamp_wr_reg is record</t>
  </si>
  <si>
    <t>end record t_aeb3_hk_timestamp_wr_reg;</t>
  </si>
  <si>
    <t>type t_aeb3_hk_adc_rd_data_wr_reg is record</t>
  </si>
  <si>
    <t>end record t_aeb3_hk_adc_rd_data_wr_reg;</t>
  </si>
  <si>
    <t>type t_aeb3_hk_adc1_rd_config_wr_reg is record</t>
  </si>
  <si>
    <t>end record t_aeb3_hk_adc1_rd_config_wr_reg;</t>
  </si>
  <si>
    <t>type t_aeb3_hk_adc2_rd_config_wr_reg is record</t>
  </si>
  <si>
    <t>end record t_aeb3_hk_adc2_rd_config_wr_reg;</t>
  </si>
  <si>
    <t>type t_aeb3_hk_revision_id_wr_reg is record</t>
  </si>
  <si>
    <t>end record t_aeb3_hk_revision_id_wr_reg;</t>
  </si>
  <si>
    <t>type t_aeb3_hk_vasp_rd_config_wr_reg is record</t>
  </si>
  <si>
    <t>end record t_aeb3_hk_vasp_rd_config_wr_reg;</t>
  </si>
  <si>
    <t>-- AEB 4 Critical Configuration Area</t>
  </si>
  <si>
    <t>type t_aeb4_ccfg_aeb_control_wr_reg is record</t>
  </si>
  <si>
    <t>end record t_aeb4_ccfg_aeb_control_wr_reg;</t>
  </si>
  <si>
    <t>type t_aeb4_ccfg_aeb_config_wr_reg is record</t>
  </si>
  <si>
    <t>end record t_aeb4_ccfg_aeb_config_wr_reg;</t>
  </si>
  <si>
    <t>type t_aeb4_ccfg_aeb_config_key_wr_reg is record</t>
  </si>
  <si>
    <t>end record t_aeb4_ccfg_aeb_config_key_wr_reg;</t>
  </si>
  <si>
    <t>type t_aeb4_ccfg_aeb_config_ait1_wr_reg is record</t>
  </si>
  <si>
    <t>end record t_aeb4_ccfg_aeb_config_ait1_wr_reg;</t>
  </si>
  <si>
    <t>type t_aeb4_ccfg_aeb_config_pattern_wr_reg is record</t>
  </si>
  <si>
    <t>end record t_aeb4_ccfg_aeb_config_pattern_wr_reg;</t>
  </si>
  <si>
    <t>type t_aeb4_ccfg_vasp_i2c_control_wr_reg is record</t>
  </si>
  <si>
    <t>end record t_aeb4_ccfg_vasp_i2c_control_wr_reg;</t>
  </si>
  <si>
    <t>type t_aeb4_ccfg_dac_config_1_wr_reg is record</t>
  </si>
  <si>
    <t>end record t_aeb4_ccfg_dac_config_1_wr_reg;</t>
  </si>
  <si>
    <t>type t_aeb4_ccfg_dac_config_2_wr_reg is record</t>
  </si>
  <si>
    <t>end record t_aeb4_ccfg_dac_config_2_wr_reg;</t>
  </si>
  <si>
    <t>type t_aeb4_ccfg_pwr_config1_wr_reg is record</t>
  </si>
  <si>
    <t>end record t_aeb4_ccfg_pwr_config1_wr_reg;</t>
  </si>
  <si>
    <t>type t_aeb4_ccfg_pwr_config2_wr_reg is record</t>
  </si>
  <si>
    <t>end record t_aeb4_ccfg_pwr_config2_wr_reg;</t>
  </si>
  <si>
    <t>type t_aeb4_ccfg_pwr_config3_wr_reg is record</t>
  </si>
  <si>
    <t>end record t_aeb4_ccfg_pwr_config3_wr_reg;</t>
  </si>
  <si>
    <t>-- AEB 4 General Configuration Area</t>
  </si>
  <si>
    <t>type t_aeb4_gcfg_adc1_config_wr_reg is record</t>
  </si>
  <si>
    <t>end record t_aeb4_gcfg_adc1_config_wr_reg;</t>
  </si>
  <si>
    <t>type t_aeb4_gcfg_adc2_config_wr_reg is record</t>
  </si>
  <si>
    <t>end record t_aeb4_gcfg_adc2_config_wr_reg;</t>
  </si>
  <si>
    <t>type t_aeb4_gcfg_seq_config_wr_reg is record</t>
  </si>
  <si>
    <t>end record t_aeb4_gcfg_seq_config_wr_reg;</t>
  </si>
  <si>
    <t>-- AEB 4 Housekeeping Area</t>
  </si>
  <si>
    <t>type t_aeb4_hk_aeb_status_wr_reg is record</t>
  </si>
  <si>
    <t>end record t_aeb4_hk_aeb_status_wr_reg;</t>
  </si>
  <si>
    <t>type t_aeb4_hk_timestamp_wr_reg is record</t>
  </si>
  <si>
    <t>end record t_aeb4_hk_timestamp_wr_reg;</t>
  </si>
  <si>
    <t>type t_aeb4_hk_adc_rd_data_wr_reg is record</t>
  </si>
  <si>
    <t>end record t_aeb4_hk_adc_rd_data_wr_reg;</t>
  </si>
  <si>
    <t>type t_aeb4_hk_adc1_rd_config_wr_reg is record</t>
  </si>
  <si>
    <t>end record t_aeb4_hk_adc1_rd_config_wr_reg;</t>
  </si>
  <si>
    <t>type t_aeb4_hk_adc2_rd_config_wr_reg is record</t>
  </si>
  <si>
    <t>end record t_aeb4_hk_adc2_rd_config_wr_reg;</t>
  </si>
  <si>
    <t>type t_aeb4_hk_revision_id_wr_reg is record</t>
  </si>
  <si>
    <t>end record t_aeb4_hk_revision_id_wr_reg;</t>
  </si>
  <si>
    <t>type t_aeb4_hk_vasp_rd_config_wr_reg is record</t>
  </si>
  <si>
    <t>end record t_aeb4_hk_vasp_rd_config_wr_reg;</t>
  </si>
  <si>
    <t xml:space="preserve">  deb_ccfg_aeb_idx : t_deb_ccfg_aeb_idx_wr_reg; -- DEB Critical Configuration Area</t>
  </si>
  <si>
    <t xml:space="preserve">  deb_ccfg_reg_dta_3 : t_deb_ccfg_reg_dta_3_wr_reg; -- DEB Critical Configuration Area</t>
  </si>
  <si>
    <t xml:space="preserve">  deb_ccfg_reg_dta_2 : t_deb_ccfg_reg_dta_2_wr_reg; -- DEB Critical Configuration Area</t>
  </si>
  <si>
    <t xml:space="preserve">  deb_ccfg_reg_dta_1 : t_deb_ccfg_reg_dta_1_wr_reg; -- DEB Critical Configuration Area</t>
  </si>
  <si>
    <t xml:space="preserve">  deb_ccfg_reg_dta_0 : t_deb_ccfg_reg_dta_0_wr_reg; -- DEB Critical Configuration Area</t>
  </si>
  <si>
    <t xml:space="preserve">  deb_gcfg_oper_mod : t_deb_gcfg_oper_mod_wr_reg; -- DEB General Configuration Area</t>
  </si>
  <si>
    <t xml:space="preserve">  deb_gcfg_t5_in_mod : t_deb_gcfg_t5_in_mod_wr_reg; -- DEB General Configuration Area</t>
  </si>
  <si>
    <t xml:space="preserve">  deb_gcfg_t6_in_mod : t_deb_gcfg_t6_in_mod_wr_reg; -- DEB General Configuration Area</t>
  </si>
  <si>
    <t xml:space="preserve">  deb_gcfg_t7_in_mod : t_deb_gcfg_t7_in_mod_wr_reg; -- DEB General Configuration Area</t>
  </si>
  <si>
    <t xml:space="preserve">  deb_gcfg_t1_in_mod : t_deb_gcfg_t1_in_mod_wr_reg; -- DEB General Configuration Area</t>
  </si>
  <si>
    <t xml:space="preserve">  deb_gcfg_t2_in_mod : t_deb_gcfg_t2_in_mod_wr_reg; -- DEB General Configuration Area</t>
  </si>
  <si>
    <t xml:space="preserve">  deb_gcfg_t3_in_mod : t_deb_gcfg_t3_in_mod_wr_reg; -- DEB General Configuration Area</t>
  </si>
  <si>
    <t xml:space="preserve">  deb_gcfg_t4_in_mod : t_deb_gcfg_t4_in_mod_wr_reg; -- DEB General Configuration Area</t>
  </si>
  <si>
    <t xml:space="preserve">  deb_gcfg_t0_in_mod : t_deb_gcfg_t0_in_mod_wr_reg; -- DEB General Configuration Area</t>
  </si>
  <si>
    <t xml:space="preserve">  deb_gcfg_w_siz_x : t_deb_gcfg_w_siz_x_wr_reg; -- DEB General Configuration Area</t>
  </si>
  <si>
    <t xml:space="preserve">  deb_gcfg_w_siz_y : t_deb_gcfg_w_siz_y_wr_reg; -- DEB General Configuration Area</t>
  </si>
  <si>
    <t xml:space="preserve">  deb_gcfg_wdw_idx_4 : t_deb_gcfg_wdw_idx_4_wr_reg; -- DEB General Configuration Area</t>
  </si>
  <si>
    <t xml:space="preserve">  deb_gcfg_wdw_len_4 : t_deb_gcfg_wdw_len_4_wr_reg; -- DEB General Configuration Area</t>
  </si>
  <si>
    <t xml:space="preserve">  deb_gcfg_wdw_idx_3 : t_deb_gcfg_wdw_idx_3_wr_reg; -- DEB General Configuration Area</t>
  </si>
  <si>
    <t xml:space="preserve">  deb_gcfg_wdw_len_3 : t_deb_gcfg_wdw_len_3_wr_reg; -- DEB General Configuration Area</t>
  </si>
  <si>
    <t xml:space="preserve">  deb_gcfg_wdw_idx_2 : t_deb_gcfg_wdw_idx_2_wr_reg; -- DEB General Configuration Area</t>
  </si>
  <si>
    <t xml:space="preserve">  deb_gcfg_wdw_len_2 : t_deb_gcfg_wdw_len_2_wr_reg; -- DEB General Configuration Area</t>
  </si>
  <si>
    <t xml:space="preserve">  deb_gcfg_wdw_idx_1 : t_deb_gcfg_wdw_idx_1_wr_reg; -- DEB General Configuration Area</t>
  </si>
  <si>
    <t xml:space="preserve">  deb_gcfg_wdw_len_1 : t_deb_gcfg_wdw_len_1_wr_reg; -- DEB General Configuration Area</t>
  </si>
  <si>
    <t xml:space="preserve">  deb_gcfg_ovs_lin_1 : t_deb_gcfg_ovs_lin_1_wr_reg; -- DEB General Configuration Area</t>
  </si>
  <si>
    <t xml:space="preserve">  deb_gcfg_ovs_lin_2 : t_deb_gcfg_ovs_lin_2_wr_reg; -- DEB General Configuration Area</t>
  </si>
  <si>
    <t xml:space="preserve">  deb_gcfg_ovs_lin_3 : t_deb_gcfg_ovs_lin_3_wr_reg; -- DEB General Configuration Area</t>
  </si>
  <si>
    <t xml:space="preserve">  deb_gcfg_ovs_lin_4 : t_deb_gcfg_ovs_lin_4_wr_reg; -- DEB General Configuration Area</t>
  </si>
  <si>
    <t xml:space="preserve">  deb_gcfg_ovs_pix_1 : t_deb_gcfg_ovs_pix_1_wr_reg; -- DEB General Configuration Area</t>
  </si>
  <si>
    <t xml:space="preserve">  deb_gcfg_ovs_pix_2 : t_deb_gcfg_ovs_pix_2_wr_reg; -- DEB General Configuration Area</t>
  </si>
  <si>
    <t xml:space="preserve">  deb_gcfg_ovs_pix_3 : t_deb_gcfg_ovs_pix_3_wr_reg; -- DEB General Configuration Area</t>
  </si>
  <si>
    <t xml:space="preserve">  deb_gcfg_ovs_pix_4 : t_deb_gcfg_ovs_pix_4_wr_reg; -- DEB General Configuration Area</t>
  </si>
  <si>
    <t xml:space="preserve">  deb_gcfg_2_5s_n_cyc : t_deb_gcfg_2_5s_n_cyc_wr_reg; -- DEB General Configuration Area</t>
  </si>
  <si>
    <t xml:space="preserve">  deb_gcfg_trg_src : t_deb_gcfg_trg_src_wr_reg; -- DEB General Configuration Area</t>
  </si>
  <si>
    <t xml:space="preserve">  deb_gcfg_frm_cnt : t_deb_gcfg_frm_cnt_wr_reg; -- DEB General Configuration Area</t>
  </si>
  <si>
    <t xml:space="preserve">  deb_gcfg_syn_frq : t_deb_gcfg_syn_frq_wr_reg; -- DEB General Configuration Area</t>
  </si>
  <si>
    <t xml:space="preserve">  deb_gcfg_rst_wdg : t_deb_gcfg_rst_wdg_wr_reg; -- DEB General Configuration Area</t>
  </si>
  <si>
    <t xml:space="preserve">  deb_gcfg_rst_cps : t_deb_gcfg_rst_cps_wr_reg; -- DEB General Configuration Area</t>
  </si>
  <si>
    <t xml:space="preserve">  deb_gcfg_25s_dly : t_deb_gcfg_25s_dly_wr_reg; -- DEB General Configuration Area</t>
  </si>
  <si>
    <t xml:space="preserve">  deb_gcfg_tmod_conf : t_deb_gcfg_tmod_conf_wr_reg; -- DEB General Configuration Area</t>
  </si>
  <si>
    <t xml:space="preserve">  deb_hk_deb_status : t_deb_hk_deb_status_wr_reg; -- DEB Housekeeping Area</t>
  </si>
  <si>
    <t xml:space="preserve">  deb_hk_deb_ovf : t_deb_hk_deb_ovf_wr_reg; -- DEB Housekeeping Area</t>
  </si>
  <si>
    <t xml:space="preserve">  deb_hk_spw_status : t_deb_hk_spw_status_wr_reg; -- DEB Housekeeping Area</t>
  </si>
  <si>
    <t xml:space="preserve">  deb_hk_deb_ahk1 : t_deb_hk_deb_ahk1_wr_reg; -- DEB Housekeeping Area</t>
  </si>
  <si>
    <t xml:space="preserve">  deb_hk_deb_ahk2 : t_deb_hk_deb_ahk2_wr_reg; -- DEB Housekeeping Area</t>
  </si>
  <si>
    <t xml:space="preserve">  aeb1_ccfg_aeb_control : t_aeb1_ccfg_aeb_control_wr_reg; -- AEB 1 Critical Configuration Area</t>
  </si>
  <si>
    <t xml:space="preserve">  deb_hk_deb_ahk3 : t_deb_hk_deb_ahk3_wr_reg; -- DEB Housekeeping Area</t>
  </si>
  <si>
    <t xml:space="preserve">  aeb1_ccfg_aeb_config : t_aeb1_ccfg_aeb_config_wr_reg; -- AEB 1 Critical Configuration Area</t>
  </si>
  <si>
    <t xml:space="preserve">  aeb1_ccfg_aeb_config_key : t_aeb1_ccfg_aeb_config_key_wr_reg; -- AEB 1 Critical Configuration Area</t>
  </si>
  <si>
    <t xml:space="preserve">  aeb1_ccfg_aeb_config_ait1 : t_aeb1_ccfg_aeb_config_ait1_wr_reg; -- AEB 1 Critical Configuration Area</t>
  </si>
  <si>
    <t xml:space="preserve">  aeb1_ccfg_aeb_config_pattern : t_aeb1_ccfg_aeb_config_pattern_wr_reg; -- AEB 1 Critical Configuration Area</t>
  </si>
  <si>
    <t xml:space="preserve">  aeb1_ccfg_vasp_i2c_control : t_aeb1_ccfg_vasp_i2c_control_wr_reg; -- AEB 1 Critical Configuration Area</t>
  </si>
  <si>
    <t xml:space="preserve">  aeb1_ccfg_dac_config_1 : t_aeb1_ccfg_dac_config_1_wr_reg; -- AEB 1 Critical Configuration Area</t>
  </si>
  <si>
    <t xml:space="preserve">  aeb1_ccfg_dac_config_2 : t_aeb1_ccfg_dac_config_2_wr_reg; -- AEB 1 Critical Configuration Area</t>
  </si>
  <si>
    <t xml:space="preserve">  aeb1_ccfg_pwr_config1 : t_aeb1_ccfg_pwr_config1_wr_reg; -- AEB 1 Critical Configuration Area</t>
  </si>
  <si>
    <t xml:space="preserve">  aeb1_ccfg_pwr_config2 : t_aeb1_ccfg_pwr_config2_wr_reg; -- AEB 1 Critical Configuration Area</t>
  </si>
  <si>
    <t xml:space="preserve">  aeb1_ccfg_pwr_config3 : t_aeb1_ccfg_pwr_config3_wr_reg; -- AEB 1 Critical Configuration Area</t>
  </si>
  <si>
    <t xml:space="preserve">  aeb1_gcfg_adc1_config : t_aeb1_gcfg_adc1_config_wr_reg; -- AEB 1 General Configuration Area</t>
  </si>
  <si>
    <t xml:space="preserve">  aeb1_gcfg_adc2_config : t_aeb1_gcfg_adc2_config_wr_reg; -- AEB 1 General Configuration Area</t>
  </si>
  <si>
    <t xml:space="preserve">  aeb1_gcfg_seq_config : t_aeb1_gcfg_seq_config_wr_reg; -- AEB 1 General Configuration Area</t>
  </si>
  <si>
    <t xml:space="preserve">  aeb1_hk_aeb_status : t_aeb1_hk_aeb_status_wr_reg; -- AEB 1 Housekeeping Area</t>
  </si>
  <si>
    <t xml:space="preserve">  aeb1_hk_timestamp : t_aeb1_hk_timestamp_wr_reg; -- AEB 1 Housekeeping Area</t>
  </si>
  <si>
    <t xml:space="preserve">  aeb1_hk_adc_rd_data : t_aeb1_hk_adc_rd_data_wr_reg; -- AEB 1 Housekeeping Area</t>
  </si>
  <si>
    <t xml:space="preserve">  aeb1_hk_adc1_rd_config : t_aeb1_hk_adc1_rd_config_wr_reg; -- AEB 1 Housekeeping Area</t>
  </si>
  <si>
    <t xml:space="preserve">  aeb1_hk_adc2_rd_config : t_aeb1_hk_adc2_rd_config_wr_reg; -- AEB 1 Housekeeping Area</t>
  </si>
  <si>
    <t xml:space="preserve">  aeb1_hk_revision_id : t_aeb1_hk_revision_id_wr_reg; -- AEB 1 Housekeeping Area</t>
  </si>
  <si>
    <t xml:space="preserve">  aeb1_hk_vasp_rd_config : t_aeb1_hk_vasp_rd_config_wr_reg; -- AEB 1 Housekeeping Area</t>
  </si>
  <si>
    <t xml:space="preserve">  aeb2_ccfg_aeb_control : t_aeb2_ccfg_aeb_control_wr_reg; -- AEB 2 Critical Configuration Area</t>
  </si>
  <si>
    <t xml:space="preserve">  aeb2_ccfg_aeb_config : t_aeb2_ccfg_aeb_config_wr_reg; -- AEB 2 Critical Configuration Area</t>
  </si>
  <si>
    <t xml:space="preserve">  aeb2_ccfg_aeb_config_key : t_aeb2_ccfg_aeb_config_key_wr_reg; -- AEB 2 Critical Configuration Area</t>
  </si>
  <si>
    <t xml:space="preserve">  aeb2_ccfg_aeb_config_ait1 : t_aeb2_ccfg_aeb_config_ait1_wr_reg; -- AEB 2 Critical Configuration Area</t>
  </si>
  <si>
    <t xml:space="preserve">  aeb2_ccfg_aeb_config_pattern : t_aeb2_ccfg_aeb_config_pattern_wr_reg; -- AEB 2 Critical Configuration Area</t>
  </si>
  <si>
    <t xml:space="preserve">  aeb2_ccfg_vasp_i2c_control : t_aeb2_ccfg_vasp_i2c_control_wr_reg; -- AEB 2 Critical Configuration Area</t>
  </si>
  <si>
    <t xml:space="preserve">  aeb2_ccfg_dac_config_1 : t_aeb2_ccfg_dac_config_1_wr_reg; -- AEB 2 Critical Configuration Area</t>
  </si>
  <si>
    <t xml:space="preserve">  aeb2_ccfg_dac_config_2 : t_aeb2_ccfg_dac_config_2_wr_reg; -- AEB 2 Critical Configuration Area</t>
  </si>
  <si>
    <t xml:space="preserve">  aeb2_ccfg_pwr_config1 : t_aeb2_ccfg_pwr_config1_wr_reg; -- AEB 2 Critical Configuration Area</t>
  </si>
  <si>
    <t xml:space="preserve">  aeb2_ccfg_pwr_config2 : t_aeb2_ccfg_pwr_config2_wr_reg; -- AEB 2 Critical Configuration Area</t>
  </si>
  <si>
    <t xml:space="preserve">  aeb2_ccfg_pwr_config3 : t_aeb2_ccfg_pwr_config3_wr_reg; -- AEB 2 Critical Configuration Area</t>
  </si>
  <si>
    <t xml:space="preserve">  aeb2_gcfg_adc1_config : t_aeb2_gcfg_adc1_config_wr_reg; -- AEB 2 General Configuration Area</t>
  </si>
  <si>
    <t xml:space="preserve">  aeb2_gcfg_adc2_config : t_aeb2_gcfg_adc2_config_wr_reg; -- AEB 2 General Configuration Area</t>
  </si>
  <si>
    <t xml:space="preserve">  aeb2_gcfg_seq_config : t_aeb2_gcfg_seq_config_wr_reg; -- AEB 2 General Configuration Area</t>
  </si>
  <si>
    <t xml:space="preserve">  aeb2_hk_aeb_status : t_aeb2_hk_aeb_status_wr_reg; -- AEB 2 Housekeeping Area</t>
  </si>
  <si>
    <t xml:space="preserve">  aeb2_hk_timestamp : t_aeb2_hk_timestamp_wr_reg; -- AEB 2 Housekeeping Area</t>
  </si>
  <si>
    <t xml:space="preserve">  aeb2_hk_adc_rd_data : t_aeb2_hk_adc_rd_data_wr_reg; -- AEB 2 Housekeeping Area</t>
  </si>
  <si>
    <t xml:space="preserve">  aeb2_hk_adc1_rd_config : t_aeb2_hk_adc1_rd_config_wr_reg; -- AEB 2 Housekeeping Area</t>
  </si>
  <si>
    <t xml:space="preserve">  aeb2_hk_adc2_rd_config : t_aeb2_hk_adc2_rd_config_wr_reg; -- AEB 2 Housekeeping Area</t>
  </si>
  <si>
    <t xml:space="preserve">  aeb2_hk_revision_id : t_aeb2_hk_revision_id_wr_reg; -- AEB 2 Housekeeping Area</t>
  </si>
  <si>
    <t xml:space="preserve">  aeb2_hk_vasp_rd_config : t_aeb2_hk_vasp_rd_config_wr_reg; -- AEB 2 Housekeeping Area</t>
  </si>
  <si>
    <t xml:space="preserve">  aeb3_ccfg_aeb_control : t_aeb3_ccfg_aeb_control_wr_reg; -- AEB 3 Critical Configuration Area</t>
  </si>
  <si>
    <t xml:space="preserve">  aeb3_ccfg_aeb_config : t_aeb3_ccfg_aeb_config_wr_reg; -- AEB 3 Critical Configuration Area</t>
  </si>
  <si>
    <t xml:space="preserve">  aeb3_ccfg_aeb_config_key : t_aeb3_ccfg_aeb_config_key_wr_reg; -- AEB 3 Critical Configuration Area</t>
  </si>
  <si>
    <t xml:space="preserve">  aeb3_ccfg_aeb_config_ait1 : t_aeb3_ccfg_aeb_config_ait1_wr_reg; -- AEB 3 Critical Configuration Area</t>
  </si>
  <si>
    <t xml:space="preserve">  aeb3_ccfg_aeb_config_pattern : t_aeb3_ccfg_aeb_config_pattern_wr_reg; -- AEB 3 Critical Configuration Area</t>
  </si>
  <si>
    <t xml:space="preserve">  aeb3_ccfg_vasp_i2c_control : t_aeb3_ccfg_vasp_i2c_control_wr_reg; -- AEB 3 Critical Configuration Area</t>
  </si>
  <si>
    <t xml:space="preserve">  aeb3_ccfg_dac_config_1 : t_aeb3_ccfg_dac_config_1_wr_reg; -- AEB 3 Critical Configuration Area</t>
  </si>
  <si>
    <t xml:space="preserve">  aeb3_ccfg_dac_config_2 : t_aeb3_ccfg_dac_config_2_wr_reg; -- AEB 3 Critical Configuration Area</t>
  </si>
  <si>
    <t xml:space="preserve">  aeb3_ccfg_pwr_config1 : t_aeb3_ccfg_pwr_config1_wr_reg; -- AEB 3 Critical Configuration Area</t>
  </si>
  <si>
    <t xml:space="preserve">  aeb3_ccfg_pwr_config2 : t_aeb3_ccfg_pwr_config2_wr_reg; -- AEB 3 Critical Configuration Area</t>
  </si>
  <si>
    <t xml:space="preserve">  aeb3_ccfg_pwr_config3 : t_aeb3_ccfg_pwr_config3_wr_reg; -- AEB 3 Critical Configuration Area</t>
  </si>
  <si>
    <t xml:space="preserve">  aeb3_gcfg_adc1_config : t_aeb3_gcfg_adc1_config_wr_reg; -- AEB 3 General Configuration Area</t>
  </si>
  <si>
    <t xml:space="preserve">  aeb3_gcfg_adc2_config : t_aeb3_gcfg_adc2_config_wr_reg; -- AEB 3 General Configuration Area</t>
  </si>
  <si>
    <t xml:space="preserve">  aeb3_gcfg_seq_config : t_aeb3_gcfg_seq_config_wr_reg; -- AEB 3 General Configuration Area</t>
  </si>
  <si>
    <t xml:space="preserve">  aeb3_hk_aeb_status : t_aeb3_hk_aeb_status_wr_reg; -- AEB 3 Housekeeping Area</t>
  </si>
  <si>
    <t xml:space="preserve">  aeb3_hk_timestamp : t_aeb3_hk_timestamp_wr_reg; -- AEB 3 Housekeeping Area</t>
  </si>
  <si>
    <t xml:space="preserve">  aeb3_hk_adc_rd_data : t_aeb3_hk_adc_rd_data_wr_reg; -- AEB 3 Housekeeping Area</t>
  </si>
  <si>
    <t xml:space="preserve">  aeb3_hk_adc1_rd_config : t_aeb3_hk_adc1_rd_config_wr_reg; -- AEB 3 Housekeeping Area</t>
  </si>
  <si>
    <t xml:space="preserve">  aeb3_hk_adc2_rd_config : t_aeb3_hk_adc2_rd_config_wr_reg; -- AEB 3 Housekeeping Area</t>
  </si>
  <si>
    <t xml:space="preserve">  aeb3_hk_revision_id : t_aeb3_hk_revision_id_wr_reg; -- AEB 3 Housekeeping Area</t>
  </si>
  <si>
    <t xml:space="preserve">  aeb3_hk_vasp_rd_config : t_aeb3_hk_vasp_rd_config_wr_reg; -- AEB 3 Housekeeping Area</t>
  </si>
  <si>
    <t xml:space="preserve">  aeb4_ccfg_aeb_control : t_aeb4_ccfg_aeb_control_wr_reg; -- AEB 4 Critical Configuration Area</t>
  </si>
  <si>
    <t xml:space="preserve">  aeb4_ccfg_aeb_config : t_aeb4_ccfg_aeb_config_wr_reg; -- AEB 4 Critical Configuration Area</t>
  </si>
  <si>
    <t xml:space="preserve">  aeb4_ccfg_aeb_config_key : t_aeb4_ccfg_aeb_config_key_wr_reg; -- AEB 4 Critical Configuration Area</t>
  </si>
  <si>
    <t xml:space="preserve">  aeb4_ccfg_aeb_config_ait1 : t_aeb4_ccfg_aeb_config_ait1_wr_reg; -- AEB 4 Critical Configuration Area</t>
  </si>
  <si>
    <t xml:space="preserve">  aeb4_ccfg_aeb_config_pattern : t_aeb4_ccfg_aeb_config_pattern_wr_reg; -- AEB 4 Critical Configuration Area</t>
  </si>
  <si>
    <t xml:space="preserve">  aeb4_ccfg_vasp_i2c_control : t_aeb4_ccfg_vasp_i2c_control_wr_reg; -- AEB 4 Critical Configuration Area</t>
  </si>
  <si>
    <t xml:space="preserve">  aeb4_ccfg_dac_config_1 : t_aeb4_ccfg_dac_config_1_wr_reg; -- AEB 4 Critical Configuration Area</t>
  </si>
  <si>
    <t xml:space="preserve">  aeb4_ccfg_dac_config_2 : t_aeb4_ccfg_dac_config_2_wr_reg; -- AEB 4 Critical Configuration Area</t>
  </si>
  <si>
    <t xml:space="preserve">  aeb4_ccfg_pwr_config1 : t_aeb4_ccfg_pwr_config1_wr_reg; -- AEB 4 Critical Configuration Area</t>
  </si>
  <si>
    <t xml:space="preserve">  aeb4_ccfg_pwr_config2 : t_aeb4_ccfg_pwr_config2_wr_reg; -- AEB 4 Critical Configuration Area</t>
  </si>
  <si>
    <t xml:space="preserve">  aeb4_ccfg_pwr_config3 : t_aeb4_ccfg_pwr_config3_wr_reg; -- AEB 4 Critical Configuration Area</t>
  </si>
  <si>
    <t xml:space="preserve">  aeb4_gcfg_adc1_config : t_aeb4_gcfg_adc1_config_wr_reg; -- AEB 4 General Configuration Area</t>
  </si>
  <si>
    <t xml:space="preserve">  aeb4_gcfg_adc2_config : t_aeb4_gcfg_adc2_config_wr_reg; -- AEB 4 General Configuration Area</t>
  </si>
  <si>
    <t xml:space="preserve">  aeb4_gcfg_seq_config : t_aeb4_gcfg_seq_config_wr_reg; -- AEB 4 General Configuration Area</t>
  </si>
  <si>
    <t xml:space="preserve">  aeb4_hk_aeb_status : t_aeb4_hk_aeb_status_wr_reg; -- AEB 4 Housekeeping Area</t>
  </si>
  <si>
    <t xml:space="preserve">  aeb4_hk_timestamp : t_aeb4_hk_timestamp_wr_reg; -- AEB 4 Housekeeping Area</t>
  </si>
  <si>
    <t xml:space="preserve">  aeb4_hk_adc_rd_data : t_aeb4_hk_adc_rd_data_wr_reg; -- AEB 4 Housekeeping Area</t>
  </si>
  <si>
    <t xml:space="preserve">  aeb4_hk_adc1_rd_config : t_aeb4_hk_adc1_rd_config_wr_reg; -- AEB 4 Housekeeping Area</t>
  </si>
  <si>
    <t xml:space="preserve">  aeb4_hk_adc2_rd_config : t_aeb4_hk_adc2_rd_config_wr_reg; -- AEB 4 Housekeeping Area</t>
  </si>
  <si>
    <t xml:space="preserve">  aeb4_hk_revision_id : t_aeb4_hk_revision_id_wr_reg; -- AEB 4 Housekeeping Area</t>
  </si>
  <si>
    <t xml:space="preserve">  aeb4_hk_vasp_rd_config : t_aeb4_hk_vasp_rd_config_wr_reg; -- AEB 4 Housekeeping Area</t>
  </si>
  <si>
    <t xml:space="preserve">  dummy : t_dummy_rd_reg; -- Dummy</t>
  </si>
  <si>
    <t xml:space="preserve">  when (16#100#) =&gt;</t>
  </si>
  <si>
    <t xml:space="preserve">      -- DEB Critical Configuration Area : </t>
  </si>
  <si>
    <t xml:space="preserve">      avalon_mm_rmap_o.readdata(0) &lt;= rmap_registers_wr_i.deb_ccfg_aeb_idx.vdig_aeb4;</t>
  </si>
  <si>
    <t xml:space="preserve">  when (16#101#) =&gt;</t>
  </si>
  <si>
    <t xml:space="preserve">      avalon_mm_rmap_o.readdata(0) &lt;= rmap_registers_wr_i.deb_ccfg_aeb_idx.vdig_aeb3;</t>
  </si>
  <si>
    <t xml:space="preserve">  when (16#102#) =&gt;</t>
  </si>
  <si>
    <t xml:space="preserve">      avalon_mm_rmap_o.readdata(0) &lt;= rmap_registers_wr_i.deb_ccfg_aeb_idx.vdig_aeb2;</t>
  </si>
  <si>
    <t xml:space="preserve">  when (16#103#) =&gt;</t>
  </si>
  <si>
    <t xml:space="preserve">      avalon_mm_rmap_o.readdata(0) &lt;= rmap_registers_wr_i.deb_ccfg_aeb_idx.vdig_aeb1;</t>
  </si>
  <si>
    <t xml:space="preserve">  when (16#104#) =&gt;</t>
  </si>
  <si>
    <t xml:space="preserve">      avalon_mm_rmap_o.readdata(7 downto 0) &lt;= rmap_registers_wr_i.deb_ccfg_reg_dta_3.pll_reg_word_3(7 downto 0);</t>
  </si>
  <si>
    <t xml:space="preserve">      avalon_mm_rmap_o.readdata(15 downto 8) &lt;= rmap_registers_wr_i.deb_ccfg_reg_dta_3.pll_reg_word_3(15 downto 8);</t>
  </si>
  <si>
    <t xml:space="preserve">      avalon_mm_rmap_o.readdata(23 downto 16) &lt;= rmap_registers_wr_i.deb_ccfg_reg_dta_3.pll_reg_word_3(23 downto 16);</t>
  </si>
  <si>
    <t xml:space="preserve">      avalon_mm_rmap_o.readdata(31 downto 24) &lt;= rmap_registers_wr_i.deb_ccfg_reg_dta_3.pll_reg_word_3(31 downto 24);</t>
  </si>
  <si>
    <t xml:space="preserve">  when (16#105#) =&gt;</t>
  </si>
  <si>
    <t xml:space="preserve">      avalon_mm_rmap_o.readdata(7 downto 0) &lt;= rmap_registers_wr_i.deb_ccfg_reg_dta_2.pll_reg_word_2(7 downto 0);</t>
  </si>
  <si>
    <t xml:space="preserve">      avalon_mm_rmap_o.readdata(15 downto 8) &lt;= rmap_registers_wr_i.deb_ccfg_reg_dta_2.pll_reg_word_2(15 downto 8);</t>
  </si>
  <si>
    <t xml:space="preserve">      avalon_mm_rmap_o.readdata(23 downto 16) &lt;= rmap_registers_wr_i.deb_ccfg_reg_dta_2.pll_reg_word_2(23 downto 16);</t>
  </si>
  <si>
    <t xml:space="preserve">      avalon_mm_rmap_o.readdata(31 downto 24) &lt;= rmap_registers_wr_i.deb_ccfg_reg_dta_2.pll_reg_word_2(31 downto 24);</t>
  </si>
  <si>
    <t xml:space="preserve">  when (16#106#) =&gt;</t>
  </si>
  <si>
    <t xml:space="preserve">      avalon_mm_rmap_o.readdata(7 downto 0) &lt;= rmap_registers_wr_i.deb_ccfg_reg_dta_1.pll_reg_word_1(7 downto 0);</t>
  </si>
  <si>
    <t xml:space="preserve">      avalon_mm_rmap_o.readdata(15 downto 8) &lt;= rmap_registers_wr_i.deb_ccfg_reg_dta_1.pll_reg_word_1(15 downto 8);</t>
  </si>
  <si>
    <t xml:space="preserve">      avalon_mm_rmap_o.readdata(23 downto 16) &lt;= rmap_registers_wr_i.deb_ccfg_reg_dta_1.pll_reg_word_1(23 downto 16);</t>
  </si>
  <si>
    <t xml:space="preserve">      avalon_mm_rmap_o.readdata(31 downto 24) &lt;= rmap_registers_wr_i.deb_ccfg_reg_dta_1.pll_reg_word_1(31 downto 24);</t>
  </si>
  <si>
    <t xml:space="preserve">  when (16#107#) =&gt;</t>
  </si>
  <si>
    <t xml:space="preserve">      avalon_mm_rmap_o.readdata(7 downto 0) &lt;= rmap_registers_wr_i.deb_ccfg_reg_dta_0.pll_reg_word_0(7 downto 0);</t>
  </si>
  <si>
    <t xml:space="preserve">      avalon_mm_rmap_o.readdata(15 downto 8) &lt;= rmap_registers_wr_i.deb_ccfg_reg_dta_0.pll_reg_word_0(15 downto 8);</t>
  </si>
  <si>
    <t xml:space="preserve">      avalon_mm_rmap_o.readdata(23 downto 16) &lt;= rmap_registers_wr_i.deb_ccfg_reg_dta_0.pll_reg_word_0(23 downto 16);</t>
  </si>
  <si>
    <t xml:space="preserve">      avalon_mm_rmap_o.readdata(31 downto 24) &lt;= rmap_registers_wr_i.deb_ccfg_reg_dta_0.pll_reg_word_0(31 downto 24);</t>
  </si>
  <si>
    <t xml:space="preserve">  when (16#108#) =&gt;</t>
  </si>
  <si>
    <t xml:space="preserve">      -- DEB General Configuration Area : </t>
  </si>
  <si>
    <t xml:space="preserve">      avalon_mm_rmap_o.readdata(0) &lt;= rmap_registers_wr_i.deb_gcfg_oper_mod.imm;</t>
  </si>
  <si>
    <t xml:space="preserve">  when (16#109#) =&gt;</t>
  </si>
  <si>
    <t xml:space="preserve">      avalon_mm_rmap_o.readdata(2 downto 0) &lt;= rmap_registers_wr_i.deb_gcfg_oper_mod.oper_mod;</t>
  </si>
  <si>
    <t xml:space="preserve">      avalon_mm_rmap_o.readdata(10 downto 8) &lt;= rmap_registers_wr_i.deb_gcfg_t7_in_mod.in_mod7;</t>
  </si>
  <si>
    <t xml:space="preserve">      avalon_mm_rmap_o.readdata(18 downto 16) &lt;= rmap_registers_wr_i.deb_gcfg_t6_in_mod.in_mod6;</t>
  </si>
  <si>
    <t xml:space="preserve">      avalon_mm_rmap_o.readdata(26 downto 24) &lt;= rmap_registers_wr_i.deb_gcfg_t5_in_mod.in_mod5;</t>
  </si>
  <si>
    <t xml:space="preserve">  when (16#10A#) =&gt;</t>
  </si>
  <si>
    <t xml:space="preserve">      avalon_mm_rmap_o.readdata(2 downto 0) &lt;= rmap_registers_wr_i.deb_gcfg_t4_in_mod.in_mod4;</t>
  </si>
  <si>
    <t xml:space="preserve">      avalon_mm_rmap_o.readdata(10 downto 8) &lt;= rmap_registers_wr_i.deb_gcfg_t3_in_mod.in_mod3;</t>
  </si>
  <si>
    <t xml:space="preserve">      avalon_mm_rmap_o.readdata(18 downto 16) &lt;= rmap_registers_wr_i.deb_gcfg_t2_in_mod.in_mod2;</t>
  </si>
  <si>
    <t xml:space="preserve">      avalon_mm_rmap_o.readdata(26 downto 24) &lt;= rmap_registers_wr_i.deb_gcfg_t1_in_mod.in_mod1;</t>
  </si>
  <si>
    <t xml:space="preserve">  when (16#10B#) =&gt;</t>
  </si>
  <si>
    <t xml:space="preserve">      avalon_mm_rmap_o.readdata(2 downto 0) &lt;= rmap_registers_wr_i.deb_gcfg_t0_in_mod.in_mod0;</t>
  </si>
  <si>
    <t xml:space="preserve">      avalon_mm_rmap_o.readdata(14 downto 8) &lt;= rmap_registers_wr_i.deb_gcfg_w_siz_x.w_siz_x;</t>
  </si>
  <si>
    <t xml:space="preserve">      avalon_mm_rmap_o.readdata(22 downto 16) &lt;= rmap_registers_wr_i.deb_gcfg_w_siz_y.w_siz_y;</t>
  </si>
  <si>
    <t xml:space="preserve">  when (16#10C#) =&gt;</t>
  </si>
  <si>
    <t xml:space="preserve">      avalon_mm_rmap_o.readdata(7 downto 0) &lt;= rmap_registers_wr_i.deb_gcfg_wdw_idx_4.wdw_idx_4(7 downto 0);</t>
  </si>
  <si>
    <t xml:space="preserve">      avalon_mm_rmap_o.readdata(9 downto 8) &lt;= rmap_registers_wr_i.deb_gcfg_wdw_idx_4.wdw_idx_4(9 downto 8);</t>
  </si>
  <si>
    <t xml:space="preserve">      avalon_mm_rmap_o.readdata(23 downto 16) &lt;= rmap_registers_wr_i.deb_gcfg_wdw_len_4.wdw_len_4(7 downto 0);</t>
  </si>
  <si>
    <t xml:space="preserve">      avalon_mm_rmap_o.readdata(25 downto 24) &lt;= rmap_registers_wr_i.deb_gcfg_wdw_len_4.wdw_len_4(9 downto 8);</t>
  </si>
  <si>
    <t xml:space="preserve">  when (16#10D#) =&gt;</t>
  </si>
  <si>
    <t xml:space="preserve">      avalon_mm_rmap_o.readdata(7 downto 0) &lt;= rmap_registers_wr_i.deb_gcfg_wdw_idx_3.wdw_idx_3(7 downto 0);</t>
  </si>
  <si>
    <t xml:space="preserve">      avalon_mm_rmap_o.readdata(9 downto 8) &lt;= rmap_registers_wr_i.deb_gcfg_wdw_idx_3.wdw_idx_3(9 downto 8);</t>
  </si>
  <si>
    <t xml:space="preserve">      avalon_mm_rmap_o.readdata(23 downto 16) &lt;= rmap_registers_wr_i.deb_gcfg_wdw_len_3.wdw_len_3(7 downto 0);</t>
  </si>
  <si>
    <t xml:space="preserve">      avalon_mm_rmap_o.readdata(25 downto 24) &lt;= rmap_registers_wr_i.deb_gcfg_wdw_len_3.wdw_len_3(9 downto 8);</t>
  </si>
  <si>
    <t xml:space="preserve">  when (16#10E#) =&gt;</t>
  </si>
  <si>
    <t xml:space="preserve">      avalon_mm_rmap_o.readdata(7 downto 0) &lt;= rmap_registers_wr_i.deb_gcfg_wdw_idx_2.wdw_idx_2(7 downto 0);</t>
  </si>
  <si>
    <t xml:space="preserve">      avalon_mm_rmap_o.readdata(9 downto 8) &lt;= rmap_registers_wr_i.deb_gcfg_wdw_idx_2.wdw_idx_2(9 downto 8);</t>
  </si>
  <si>
    <t xml:space="preserve">      avalon_mm_rmap_o.readdata(23 downto 16) &lt;= rmap_registers_wr_i.deb_gcfg_wdw_len_2.wdw_len_2(7 downto 0);</t>
  </si>
  <si>
    <t xml:space="preserve">      avalon_mm_rmap_o.readdata(25 downto 24) &lt;= rmap_registers_wr_i.deb_gcfg_wdw_len_2.wdw_len_2(9 downto 8);</t>
  </si>
  <si>
    <t xml:space="preserve">  when (16#10F#) =&gt;</t>
  </si>
  <si>
    <t xml:space="preserve">      avalon_mm_rmap_o.readdata(7 downto 0) &lt;= rmap_registers_wr_i.deb_gcfg_wdw_idx_1.wdw_idx_1(7 downto 0);</t>
  </si>
  <si>
    <t xml:space="preserve">      avalon_mm_rmap_o.readdata(9 downto 8) &lt;= rmap_registers_wr_i.deb_gcfg_wdw_idx_1.wdw_idx_1(9 downto 8);</t>
  </si>
  <si>
    <t xml:space="preserve">      avalon_mm_rmap_o.readdata(23 downto 16) &lt;= rmap_registers_wr_i.deb_gcfg_wdw_len_1.wdw_len_1(7 downto 0);</t>
  </si>
  <si>
    <t xml:space="preserve">      avalon_mm_rmap_o.readdata(25 downto 24) &lt;= rmap_registers_wr_i.deb_gcfg_wdw_len_1.wdw_len_1(9 downto 8);</t>
  </si>
  <si>
    <t xml:space="preserve">  when (16#110#) =&gt;</t>
  </si>
  <si>
    <t xml:space="preserve">      avalon_mm_rmap_o.readdata(4 downto 0) &lt;= rmap_registers_wr_i.deb_gcfg_ovs_lin_4.ovs_lin_4;</t>
  </si>
  <si>
    <t xml:space="preserve">      avalon_mm_rmap_o.readdata(12 downto 8) &lt;= rmap_registers_wr_i.deb_gcfg_ovs_lin_3.ovs_lin_3;</t>
  </si>
  <si>
    <t xml:space="preserve">      avalon_mm_rmap_o.readdata(20 downto 16) &lt;= rmap_registers_wr_i.deb_gcfg_ovs_lin_2.ovs_lin_2;</t>
  </si>
  <si>
    <t xml:space="preserve">      avalon_mm_rmap_o.readdata(28 downto 24) &lt;= rmap_registers_wr_i.deb_gcfg_ovs_lin_1.ovs_lin_1;</t>
  </si>
  <si>
    <t xml:space="preserve">  when (16#111#) =&gt;</t>
  </si>
  <si>
    <t xml:space="preserve">      avalon_mm_rmap_o.readdata(4 downto 0) &lt;= rmap_registers_wr_i.deb_gcfg_ovs_pix_4.ovs_pix_4;</t>
  </si>
  <si>
    <t xml:space="preserve">      avalon_mm_rmap_o.readdata(12 downto 8) &lt;= rmap_registers_wr_i.deb_gcfg_ovs_pix_3.ovs_pix_3;</t>
  </si>
  <si>
    <t xml:space="preserve">      avalon_mm_rmap_o.readdata(20 downto 16) &lt;= rmap_registers_wr_i.deb_gcfg_ovs_pix_2.ovs_pix_2;</t>
  </si>
  <si>
    <t xml:space="preserve">      avalon_mm_rmap_o.readdata(28 downto 24) &lt;= rmap_registers_wr_i.deb_gcfg_ovs_pix_1.ovs_pix_1;</t>
  </si>
  <si>
    <t xml:space="preserve">  when (16#112#) =&gt;</t>
  </si>
  <si>
    <t xml:space="preserve">      avalon_mm_rmap_o.readdata(7 downto 0) &lt;= rmap_registers_wr_i.deb_gcfg_2_5s_n_cyc.d2_5s_n_cyc;</t>
  </si>
  <si>
    <t xml:space="preserve">  when (16#113#) =&gt;</t>
  </si>
  <si>
    <t xml:space="preserve">      avalon_mm_rmap_o.readdata(0) &lt;= rmap_registers_wr_i.deb_gcfg_trg_src.sel_trg;</t>
  </si>
  <si>
    <t xml:space="preserve">  when (16#114#) =&gt;</t>
  </si>
  <si>
    <t xml:space="preserve">      avalon_mm_rmap_o.readdata(7 downto 0) &lt;= rmap_registers_wr_i.deb_gcfg_frm_cnt.frm_cnt(7 downto 0);</t>
  </si>
  <si>
    <t xml:space="preserve">      avalon_mm_rmap_o.readdata(15 downto 8) &lt;= rmap_registers_wr_i.deb_gcfg_frm_cnt.frm_cnt(15 downto 8);</t>
  </si>
  <si>
    <t xml:space="preserve">  when (16#115#) =&gt;</t>
  </si>
  <si>
    <t xml:space="preserve">      avalon_mm_rmap_o.readdata(0) &lt;= rmap_registers_wr_i.deb_gcfg_syn_frq.syn_nr;</t>
  </si>
  <si>
    <t xml:space="preserve">  when (16#116#) =&gt;</t>
  </si>
  <si>
    <t xml:space="preserve">      avalon_mm_rmap_o.readdata(0) &lt;= rmap_registers_wr_i.deb_gcfg_rst_wdg.rst_wdg;</t>
  </si>
  <si>
    <t xml:space="preserve">  when (16#117#) =&gt;</t>
  </si>
  <si>
    <t xml:space="preserve">      avalon_mm_rmap_o.readdata(0) &lt;= rmap_registers_wr_i.deb_gcfg_rst_cps.rst_cps;</t>
  </si>
  <si>
    <t xml:space="preserve">  when (16#118#) =&gt;</t>
  </si>
  <si>
    <t xml:space="preserve">      avalon_mm_rmap_o.readdata(7 downto 0) &lt;= rmap_registers_wr_i.deb_gcfg_25s_dly.d25s_dly(7 downto 0);</t>
  </si>
  <si>
    <t xml:space="preserve">      avalon_mm_rmap_o.readdata(15 downto 8) &lt;= rmap_registers_wr_i.deb_gcfg_25s_dly.d25s_dly(15 downto 8);</t>
  </si>
  <si>
    <t xml:space="preserve">      avalon_mm_rmap_o.readdata(23 downto 16) &lt;= rmap_registers_wr_i.deb_gcfg_25s_dly.d25s_dly(23 downto 16);</t>
  </si>
  <si>
    <t xml:space="preserve">  when (16#119#) =&gt;</t>
  </si>
  <si>
    <t xml:space="preserve">      avalon_mm_rmap_o.readdata(7 downto 0) &lt;= rmap_registers_wr_i.deb_gcfg_tmod_conf.tmod_conf(7 downto 0);</t>
  </si>
  <si>
    <t xml:space="preserve">      avalon_mm_rmap_o.readdata(15 downto 8) &lt;= rmap_registers_wr_i.deb_gcfg_tmod_conf.tmod_conf(15 downto 8);</t>
  </si>
  <si>
    <t xml:space="preserve">      -- DEB Housekeeping Area : </t>
  </si>
  <si>
    <t xml:space="preserve">      avalon_mm_rmap_o.readdata(18 downto 16) &lt;= rmap_registers_wr_i.deb_hk_deb_status.oper_mod;</t>
  </si>
  <si>
    <t xml:space="preserve">      avalon_mm_rmap_o.readdata(29 downto 24) &lt;= rmap_registers_wr_i.deb_hk_deb_status.window_list_table_edac_corrected_error_number;</t>
  </si>
  <si>
    <t xml:space="preserve">  when (16#11A#) =&gt;</t>
  </si>
  <si>
    <t xml:space="preserve">      avalon_mm_rmap_o.readdata(1 downto 0) &lt;= rmap_registers_wr_i.deb_hk_deb_status.uncorrected_error_number;</t>
  </si>
  <si>
    <t xml:space="preserve">      avalon_mm_rmap_o.readdata(15 downto 8) &lt;= rmap_registers_wr_i.deb_hk_deb_status.pll_status;</t>
  </si>
  <si>
    <t xml:space="preserve">  when (16#11B#) =&gt;</t>
  </si>
  <si>
    <t xml:space="preserve">      avalon_mm_rmap_o.readdata(0) &lt;= rmap_registers_wr_i.deb_hk_deb_status.vdig_aeb4_status;</t>
  </si>
  <si>
    <t xml:space="preserve">  when (16#11C#) =&gt;</t>
  </si>
  <si>
    <t xml:space="preserve">      avalon_mm_rmap_o.readdata(0) &lt;= rmap_registers_wr_i.deb_hk_deb_status.vdig_aeb3_status;</t>
  </si>
  <si>
    <t xml:space="preserve">  when (16#11D#) =&gt;</t>
  </si>
  <si>
    <t xml:space="preserve">      avalon_mm_rmap_o.readdata(0) &lt;= rmap_registers_wr_i.deb_hk_deb_status.vdig_aeb2_status;</t>
  </si>
  <si>
    <t xml:space="preserve">  when (16#11E#) =&gt;</t>
  </si>
  <si>
    <t xml:space="preserve">      avalon_mm_rmap_o.readdata(0) &lt;= rmap_registers_wr_i.deb_hk_deb_status.vdig_aeb1_status;</t>
  </si>
  <si>
    <t xml:space="preserve">  when (16#11F#) =&gt;</t>
  </si>
  <si>
    <t xml:space="preserve">      avalon_mm_rmap_o.readdata(1 downto 0) &lt;= rmap_registers_wr_i.deb_hk_deb_status.wdw_list_cnt_ovf;</t>
  </si>
  <si>
    <t xml:space="preserve">  when (16#120#) =&gt;</t>
  </si>
  <si>
    <t xml:space="preserve">      avalon_mm_rmap_o.readdata(0) &lt;= rmap_registers_wr_i.deb_hk_deb_status.aeb_spi_status;</t>
  </si>
  <si>
    <t xml:space="preserve">  when (16#121#) =&gt;</t>
  </si>
  <si>
    <t xml:space="preserve">      avalon_mm_rmap_o.readdata(0) &lt;= rmap_registers_wr_i.deb_hk_deb_status.wdg_status;</t>
  </si>
  <si>
    <t xml:space="preserve">  when (16#122#) =&gt;</t>
  </si>
  <si>
    <t xml:space="preserve">      avalon_mm_rmap_o.readdata(0) &lt;= rmap_registers_wr_i.deb_hk_deb_ovf.row_active_list8_cnt_ovf;</t>
  </si>
  <si>
    <t xml:space="preserve">  when (16#123#) =&gt;</t>
  </si>
  <si>
    <t xml:space="preserve">      avalon_mm_rmap_o.readdata(0) &lt;= rmap_registers_wr_i.deb_hk_deb_ovf.row_active_list7_cnt_ovf;</t>
  </si>
  <si>
    <t xml:space="preserve">  when (16#124#) =&gt;</t>
  </si>
  <si>
    <t xml:space="preserve">      avalon_mm_rmap_o.readdata(0) &lt;= rmap_registers_wr_i.deb_hk_deb_ovf.row_active_list6_cnt_ovf;</t>
  </si>
  <si>
    <t xml:space="preserve">  when (16#125#) =&gt;</t>
  </si>
  <si>
    <t xml:space="preserve">      avalon_mm_rmap_o.readdata(0) &lt;= rmap_registers_wr_i.deb_hk_deb_ovf.row_active_list5_cnt_ovf;</t>
  </si>
  <si>
    <t xml:space="preserve">  when (16#126#) =&gt;</t>
  </si>
  <si>
    <t xml:space="preserve">      avalon_mm_rmap_o.readdata(0) &lt;= rmap_registers_wr_i.deb_hk_deb_ovf.row_active_list4_cnt_ovf;</t>
  </si>
  <si>
    <t xml:space="preserve">  when (16#127#) =&gt;</t>
  </si>
  <si>
    <t xml:space="preserve">      avalon_mm_rmap_o.readdata(0) &lt;= rmap_registers_wr_i.deb_hk_deb_ovf.row_active_list3_cnt_ovf;</t>
  </si>
  <si>
    <t xml:space="preserve">  when (16#128#) =&gt;</t>
  </si>
  <si>
    <t xml:space="preserve">      avalon_mm_rmap_o.readdata(0) &lt;= rmap_registers_wr_i.deb_hk_deb_ovf.row_active_list2_cnt_ovf;</t>
  </si>
  <si>
    <t xml:space="preserve">  when (16#129#) =&gt;</t>
  </si>
  <si>
    <t xml:space="preserve">      avalon_mm_rmap_o.readdata(0) &lt;= rmap_registers_wr_i.deb_hk_deb_ovf.row_active_list1_cnt_ovf;</t>
  </si>
  <si>
    <t xml:space="preserve">  when (16#12A#) =&gt;</t>
  </si>
  <si>
    <t xml:space="preserve">      avalon_mm_rmap_o.readdata(0) &lt;= rmap_registers_wr_i.deb_hk_deb_ovf.out_buff8_ovf;</t>
  </si>
  <si>
    <t xml:space="preserve">  when (16#12B#) =&gt;</t>
  </si>
  <si>
    <t xml:space="preserve">      avalon_mm_rmap_o.readdata(0) &lt;= rmap_registers_wr_i.deb_hk_deb_ovf.out_buff7_ovf;</t>
  </si>
  <si>
    <t xml:space="preserve">  when (16#12C#) =&gt;</t>
  </si>
  <si>
    <t xml:space="preserve">      avalon_mm_rmap_o.readdata(0) &lt;= rmap_registers_wr_i.deb_hk_deb_ovf.out_buff6_ovf;</t>
  </si>
  <si>
    <t xml:space="preserve">  when (16#12D#) =&gt;</t>
  </si>
  <si>
    <t xml:space="preserve">      avalon_mm_rmap_o.readdata(0) &lt;= rmap_registers_wr_i.deb_hk_deb_ovf.out_buff5_ovf;</t>
  </si>
  <si>
    <t xml:space="preserve">  when (16#12E#) =&gt;</t>
  </si>
  <si>
    <t xml:space="preserve">      avalon_mm_rmap_o.readdata(0) &lt;= rmap_registers_wr_i.deb_hk_deb_ovf.out_buff4_ovf;</t>
  </si>
  <si>
    <t xml:space="preserve">  when (16#12F#) =&gt;</t>
  </si>
  <si>
    <t xml:space="preserve">      avalon_mm_rmap_o.readdata(0) &lt;= rmap_registers_wr_i.deb_hk_deb_ovf.out_buff3_ovf;</t>
  </si>
  <si>
    <t xml:space="preserve">  when (16#130#) =&gt;</t>
  </si>
  <si>
    <t xml:space="preserve">      avalon_mm_rmap_o.readdata(0) &lt;= rmap_registers_wr_i.deb_hk_deb_ovf.out_buff2_ovf;</t>
  </si>
  <si>
    <t xml:space="preserve">  when (16#131#) =&gt;</t>
  </si>
  <si>
    <t xml:space="preserve">      avalon_mm_rmap_o.readdata(0) &lt;= rmap_registers_wr_i.deb_hk_deb_ovf.out_buff1_ovf;</t>
  </si>
  <si>
    <t xml:space="preserve">  when (16#132#) =&gt;</t>
  </si>
  <si>
    <t xml:space="preserve">      avalon_mm_rmap_o.readdata(0) &lt;= rmap_registers_wr_i.deb_hk_deb_ovf.rmap4_ovf;</t>
  </si>
  <si>
    <t xml:space="preserve">  when (16#133#) =&gt;</t>
  </si>
  <si>
    <t xml:space="preserve">      avalon_mm_rmap_o.readdata(0) &lt;= rmap_registers_wr_i.deb_hk_deb_ovf.rmap3_ovf;</t>
  </si>
  <si>
    <t xml:space="preserve">  when (16#134#) =&gt;</t>
  </si>
  <si>
    <t xml:space="preserve">      avalon_mm_rmap_o.readdata(0) &lt;= rmap_registers_wr_i.deb_hk_deb_ovf.rmap2_ovf;</t>
  </si>
  <si>
    <t xml:space="preserve">  when (16#135#) =&gt;</t>
  </si>
  <si>
    <t xml:space="preserve">      avalon_mm_rmap_o.readdata(0) &lt;= rmap_registers_wr_i.deb_hk_deb_ovf.rmap1_ovf;</t>
  </si>
  <si>
    <t xml:space="preserve">  when (16#136#) =&gt;</t>
  </si>
  <si>
    <t xml:space="preserve">      avalon_mm_rmap_o.readdata(7 downto 0) &lt;= rmap_registers_wr_i.deb_hk_deb_ovf.line_pixel_counters_overflow;</t>
  </si>
  <si>
    <t xml:space="preserve">  when (16#137#) =&gt;</t>
  </si>
  <si>
    <t xml:space="preserve">      avalon_mm_rmap_o.readdata(7 downto 0) &lt;= rmap_registers_wr_i.deb_hk_spw_status.spw_status(7 downto 0);</t>
  </si>
  <si>
    <t xml:space="preserve">      avalon_mm_rmap_o.readdata(15 downto 8) &lt;= rmap_registers_wr_i.deb_hk_spw_status.spw_status(15 downto 8);</t>
  </si>
  <si>
    <t xml:space="preserve">      avalon_mm_rmap_o.readdata(23 downto 16) &lt;= rmap_registers_wr_i.deb_hk_spw_status.spw_status(23 downto 16);</t>
  </si>
  <si>
    <t xml:space="preserve">      avalon_mm_rmap_o.readdata(31 downto 24) &lt;= rmap_registers_wr_i.deb_hk_spw_status.spw_status(31 downto 24);</t>
  </si>
  <si>
    <t xml:space="preserve">  when (16#138#) =&gt;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</si>
  <si>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</si>
  <si>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</si>
  <si>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</si>
  <si>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</si>
  <si>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when (16#139#) =&gt;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</si>
  <si>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</si>
  <si>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</si>
  <si>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</si>
  <si>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</si>
  <si>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when (16#13A#) =&gt;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</si>
  <si>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</si>
  <si>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</si>
  <si>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-- AEB 1 Critical Configuration Area : </t>
  </si>
  <si>
    <t xml:space="preserve">      avalon_mm_rmap_o.readdata(20 downto 16) &lt;= rmap_registers_wr_i.aeb1_ccfg_aeb_control.new_state;</t>
  </si>
  <si>
    <t xml:space="preserve">  when (16#13B#) =&gt;</t>
  </si>
  <si>
    <t xml:space="preserve">      avalon_mm_rmap_o.readdata(0) &lt;= rmap_registers_wr_i.aeb1_ccfg_aeb_control.set_state;</t>
  </si>
  <si>
    <t xml:space="preserve">  when (16#13C#) =&gt;</t>
  </si>
  <si>
    <t xml:space="preserve">      avalon_mm_rmap_o.readdata(0) &lt;= rmap_registers_wr_i.aeb1_ccfg_aeb_control.aeb_reset;</t>
  </si>
  <si>
    <t xml:space="preserve">  when (16#13D#) =&gt;</t>
  </si>
  <si>
    <t xml:space="preserve">      avalon_mm_rmap_o.readdata(0) &lt;= rmap_registers_wr_i.aeb1_ccfg_aeb_control.adc_data_rd;</t>
  </si>
  <si>
    <t xml:space="preserve">  when (16#13E#) =&gt;</t>
  </si>
  <si>
    <t xml:space="preserve">      avalon_mm_rmap_o.readdata(0) &lt;= rmap_registers_wr_i.aeb1_ccfg_aeb_control.adc_cfg_wr;</t>
  </si>
  <si>
    <t xml:space="preserve">  when (16#13F#) =&gt;</t>
  </si>
  <si>
    <t xml:space="preserve">      avalon_mm_rmap_o.readdata(0) &lt;= rmap_registers_wr_i.aeb1_ccfg_aeb_control.adc_cfg_rd;</t>
  </si>
  <si>
    <t xml:space="preserve">  when (16#140#) =&gt;</t>
  </si>
  <si>
    <t xml:space="preserve">      avalon_mm_rmap_o.readdata(0) &lt;= rmap_registers_wr_i.aeb1_ccfg_aeb_control.dac_wr;</t>
  </si>
  <si>
    <t xml:space="preserve">  when (16#141#) =&gt;</t>
  </si>
  <si>
    <t xml:space="preserve">      avalon_mm_rmap_o.readdata(0) &lt;= rmap_registers_wr_i.aeb1_ccfg_aeb_config.watchdog_dis;</t>
  </si>
  <si>
    <t xml:space="preserve">  when (16#142#) =&gt;</t>
  </si>
  <si>
    <t xml:space="preserve">      avalon_mm_rmap_o.readdata(0) &lt;= rmap_registers_wr_i.aeb1_ccfg_aeb_config.int_sync;</t>
  </si>
  <si>
    <t xml:space="preserve">  when (16#143#) =&gt;</t>
  </si>
  <si>
    <t xml:space="preserve">      avalon_mm_rmap_o.readdata(0) &lt;= rmap_registers_wr_i.aeb1_ccfg_aeb_config.vasp_cds_en;</t>
  </si>
  <si>
    <t xml:space="preserve">  when (16#144#) =&gt;</t>
  </si>
  <si>
    <t xml:space="preserve">      avalon_mm_rmap_o.readdata(0) &lt;= rmap_registers_wr_i.aeb1_ccfg_aeb_config.vasp2_cal_en;</t>
  </si>
  <si>
    <t xml:space="preserve">  when (16#145#) =&gt;</t>
  </si>
  <si>
    <t xml:space="preserve">      avalon_mm_rmap_o.readdata(0) &lt;= rmap_registers_wr_i.aeb1_ccfg_aeb_config.vasp1_cal_en;</t>
  </si>
  <si>
    <t xml:space="preserve">  when (16#146#) =&gt;</t>
  </si>
  <si>
    <t xml:space="preserve">      avalon_mm_rmap_o.readdata(7 downto 0) &lt;= rmap_registers_wr_i.aeb1_ccfg_aeb_config_key.key(7 downto 0);</t>
  </si>
  <si>
    <t xml:space="preserve">      avalon_mm_rmap_o.readdata(15 downto 8) &lt;= rmap_registers_wr_i.aeb1_ccfg_aeb_config_key.key(15 downto 8);</t>
  </si>
  <si>
    <t xml:space="preserve">      avalon_mm_rmap_o.readdata(23 downto 16) &lt;= rmap_registers_wr_i.aeb1_ccfg_aeb_config_key.key(23 downto 16);</t>
  </si>
  <si>
    <t xml:space="preserve">      avalon_mm_rmap_o.readdata(31 downto 24) &lt;= rmap_registers_wr_i.aeb1_ccfg_aeb_config_key.key(31 downto 24);</t>
  </si>
  <si>
    <t xml:space="preserve">  when (16#147#) =&gt;</t>
  </si>
  <si>
    <t xml:space="preserve">      avalon_mm_rmap_o.readdata(0) &lt;= rmap_registers_wr_i.aeb1_ccfg_aeb_config_ait1.override_sw;</t>
  </si>
  <si>
    <t xml:space="preserve">  when (16#148#) =&gt;</t>
  </si>
  <si>
    <t xml:space="preserve">      avalon_mm_rmap_o.readdata(0) &lt;= rmap_registers_wr_i.aeb1_ccfg_aeb_config_ait1.sw_van3;</t>
  </si>
  <si>
    <t xml:space="preserve">  when (16#149#) =&gt;</t>
  </si>
  <si>
    <t xml:space="preserve">      avalon_mm_rmap_o.readdata(0) &lt;= rmap_registers_wr_i.aeb1_ccfg_aeb_config_ait1.sw_van2;</t>
  </si>
  <si>
    <t xml:space="preserve">  when (16#14A#) =&gt;</t>
  </si>
  <si>
    <t xml:space="preserve">      avalon_mm_rmap_o.readdata(0) &lt;= rmap_registers_wr_i.aeb1_ccfg_aeb_config_ait1.sw_van1;</t>
  </si>
  <si>
    <t xml:space="preserve">  when (16#14B#) =&gt;</t>
  </si>
  <si>
    <t xml:space="preserve">      avalon_mm_rmap_o.readdata(0) &lt;= rmap_registers_wr_i.aeb1_ccfg_aeb_config_ait1.sw_vclk;</t>
  </si>
  <si>
    <t xml:space="preserve">  when (16#14C#) =&gt;</t>
  </si>
  <si>
    <t xml:space="preserve">      avalon_mm_rmap_o.readdata(0) &lt;= rmap_registers_wr_i.aeb1_ccfg_aeb_config_ait1.sw_vccd;</t>
  </si>
  <si>
    <t xml:space="preserve">  when (16#14D#) =&gt;</t>
  </si>
  <si>
    <t xml:space="preserve">      avalon_mm_rmap_o.readdata(0) &lt;= rmap_registers_wr_i.aeb1_ccfg_aeb_config_ait1.override_vasp;</t>
  </si>
  <si>
    <t xml:space="preserve">  when (16#14E#) =&gt;</t>
  </si>
  <si>
    <t xml:space="preserve">      avalon_mm_rmap_o.readdata(0) &lt;= rmap_registers_wr_i.aeb1_ccfg_aeb_config_ait1.vasp2_pix_en;</t>
  </si>
  <si>
    <t xml:space="preserve">  when (16#14F#) =&gt;</t>
  </si>
  <si>
    <t xml:space="preserve">      avalon_mm_rmap_o.readdata(0) &lt;= rmap_registers_wr_i.aeb1_ccfg_aeb_config_ait1.vasp1_pix_en;</t>
  </si>
  <si>
    <t xml:space="preserve">  when (16#150#) =&gt;</t>
  </si>
  <si>
    <t xml:space="preserve">      avalon_mm_rmap_o.readdata(0) &lt;= rmap_registers_wr_i.aeb1_ccfg_aeb_config_ait1.vasp2_adc_en;</t>
  </si>
  <si>
    <t xml:space="preserve">  when (16#151#) =&gt;</t>
  </si>
  <si>
    <t xml:space="preserve">      avalon_mm_rmap_o.readdata(0) &lt;= rmap_registers_wr_i.aeb1_ccfg_aeb_config_ait1.vasp1_adc_en;</t>
  </si>
  <si>
    <t xml:space="preserve">  when (16#152#) =&gt;</t>
  </si>
  <si>
    <t xml:space="preserve">      avalon_mm_rmap_o.readdata(0) &lt;= rmap_registers_wr_i.aeb1_ccfg_aeb_config_ait1.vasp2_reset;</t>
  </si>
  <si>
    <t xml:space="preserve">  when (16#153#) =&gt;</t>
  </si>
  <si>
    <t xml:space="preserve">      avalon_mm_rmap_o.readdata(0) &lt;= rmap_registers_wr_i.aeb1_ccfg_aeb_config_ait1.vasp1_reset;</t>
  </si>
  <si>
    <t xml:space="preserve">  when (16#154#) =&gt;</t>
  </si>
  <si>
    <t xml:space="preserve">      avalon_mm_rmap_o.readdata(0) &lt;= rmap_registers_wr_i.aeb1_ccfg_aeb_config_ait1.override_adc;</t>
  </si>
  <si>
    <t xml:space="preserve">  when (16#155#) =&gt;</t>
  </si>
  <si>
    <t xml:space="preserve">      avalon_mm_rmap_o.readdata(0) &lt;= rmap_registers_wr_i.aeb1_ccfg_aeb_config_ait1.adc2_en_p5v0;</t>
  </si>
  <si>
    <t xml:space="preserve">  when (16#156#) =&gt;</t>
  </si>
  <si>
    <t xml:space="preserve">      avalon_mm_rmap_o.readdata(0) &lt;= rmap_registers_wr_i.aeb1_ccfg_aeb_config_ait1.adc1_en_p5v0;</t>
  </si>
  <si>
    <t xml:space="preserve">  when (16#157#) =&gt;</t>
  </si>
  <si>
    <t xml:space="preserve">      avalon_mm_rmap_o.readdata(0) &lt;= rmap_registers_wr_i.aeb1_ccfg_aeb_config_ait1.pt1000_cal_on_n;</t>
  </si>
  <si>
    <t xml:space="preserve">  when (16#158#) =&gt;</t>
  </si>
  <si>
    <t xml:space="preserve">      avalon_mm_rmap_o.readdata(0) &lt;= rmap_registers_wr_i.aeb1_ccfg_aeb_config_ait1.en_v_mux_n;</t>
  </si>
  <si>
    <t xml:space="preserve">  when (16#159#) =&gt;</t>
  </si>
  <si>
    <t xml:space="preserve">      avalon_mm_rmap_o.readdata(0) &lt;= rmap_registers_wr_i.aeb1_ccfg_aeb_config_ait1.adc2_pwdn_n;</t>
  </si>
  <si>
    <t xml:space="preserve">  when (16#15A#) =&gt;</t>
  </si>
  <si>
    <t xml:space="preserve">      avalon_mm_rmap_o.readdata(0) &lt;= rmap_registers_wr_i.aeb1_ccfg_aeb_config_ait1.adc1_pwdn_n;</t>
  </si>
  <si>
    <t xml:space="preserve">  when (16#15B#) =&gt;</t>
  </si>
  <si>
    <t xml:space="preserve">      avalon_mm_rmap_o.readdata(0) &lt;= rmap_registers_wr_i.aeb1_ccfg_aeb_config_ait1.adc_clk_en;</t>
  </si>
  <si>
    <t xml:space="preserve">  when (16#15C#) =&gt;</t>
  </si>
  <si>
    <t xml:space="preserve">      avalon_mm_rmap_o.readdata(1 downto 0) &lt;= rmap_registers_wr_i.aeb1_ccfg_aeb_config_pattern.pattern_ccdid;</t>
  </si>
  <si>
    <t xml:space="preserve">      avalon_mm_rmap_o.readdata(23 downto 16) &lt;= rmap_registers_wr_i.aeb1_ccfg_aeb_config_pattern.pattern_cols(7 downto 0);</t>
  </si>
  <si>
    <t xml:space="preserve">      avalon_mm_rmap_o.readdata(29 downto 24) &lt;= rmap_registers_wr_i.aeb1_ccfg_aeb_config_pattern.pattern_cols(13 downto 8);</t>
  </si>
  <si>
    <t xml:space="preserve">  when (16#15D#) =&gt;</t>
  </si>
  <si>
    <t xml:space="preserve">      avalon_mm_rmap_o.readdata(7 downto 0) &lt;= rmap_registers_wr_i.aeb1_ccfg_aeb_config_pattern.pattern_rows(7 downto 0);</t>
  </si>
  <si>
    <t xml:space="preserve">      avalon_mm_rmap_o.readdata(13 downto 8) &lt;= rmap_registers_wr_i.aeb1_ccfg_aeb_config_pattern.pattern_rows(13 downto 8);</t>
  </si>
  <si>
    <t xml:space="preserve">      avalon_mm_rmap_o.readdata(23 downto 16) &lt;= rmap_registers_wr_i.aeb1_ccfg_vasp_i2c_control.vasp_cfg_addr;</t>
  </si>
  <si>
    <t xml:space="preserve">      avalon_mm_rmap_o.readdata(31 downto 24) &lt;= rmap_registers_wr_i.aeb1_ccfg_vasp_i2c_control.vasp1_cfg_data;</t>
  </si>
  <si>
    <t xml:space="preserve">  when (16#15E#) =&gt;</t>
  </si>
  <si>
    <t xml:space="preserve">      avalon_mm_rmap_o.readdata(7 downto 0) &lt;= rmap_registers_wr_i.aeb1_ccfg_vasp_i2c_control.vasp2_cfg_data;</t>
  </si>
  <si>
    <t xml:space="preserve">  when (16#15F#) =&gt;</t>
  </si>
  <si>
    <t xml:space="preserve">      avalon_mm_rmap_o.readdata(0) &lt;= rmap_registers_wr_i.aeb1_ccfg_vasp_i2c_control.vasp2_select;</t>
  </si>
  <si>
    <t xml:space="preserve">  when (16#160#) =&gt;</t>
  </si>
  <si>
    <t xml:space="preserve">      avalon_mm_rmap_o.readdata(0) &lt;= rmap_registers_wr_i.aeb1_ccfg_vasp_i2c_control.vasp1_select;</t>
  </si>
  <si>
    <t xml:space="preserve">  when (16#161#) =&gt;</t>
  </si>
  <si>
    <t xml:space="preserve">      avalon_mm_rmap_o.readdata(0) &lt;= rmap_registers_wr_i.aeb1_ccfg_vasp_i2c_control.calibration_start;</t>
  </si>
  <si>
    <t xml:space="preserve">  when (16#162#) =&gt;</t>
  </si>
  <si>
    <t xml:space="preserve">      avalon_mm_rmap_o.readdata(0) &lt;= rmap_registers_wr_i.aeb1_ccfg_vasp_i2c_control.i2c_read_start;</t>
  </si>
  <si>
    <t xml:space="preserve">  when (16#163#) =&gt;</t>
  </si>
  <si>
    <t xml:space="preserve">      avalon_mm_rmap_o.readdata(0) &lt;= rmap_registers_wr_i.aeb1_ccfg_vasp_i2c_control.i2c_write_start;</t>
  </si>
  <si>
    <t xml:space="preserve">  when (16#164#) =&gt;</t>
  </si>
  <si>
    <t xml:space="preserve">      avalon_mm_rmap_o.readdata(7 downto 0) &lt;= rmap_registers_wr_i.aeb1_ccfg_dac_config_1.dac_vog(7 downto 0);</t>
  </si>
  <si>
    <t xml:space="preserve">      avalon_mm_rmap_o.readdata(11 downto 8) &lt;= rmap_registers_wr_i.aeb1_ccfg_dac_config_1.dac_vog(11 downto 8);</t>
  </si>
  <si>
    <t xml:space="preserve">      avalon_mm_rmap_o.readdata(23 downto 16) &lt;= rmap_registers_wr_i.aeb1_ccfg_dac_config_1.dac_vrd(7 downto 0);</t>
  </si>
  <si>
    <t xml:space="preserve">      avalon_mm_rmap_o.readdata(27 downto 24) &lt;= rmap_registers_wr_i.aeb1_ccfg_dac_config_1.dac_vrd(11 downto 8);</t>
  </si>
  <si>
    <t xml:space="preserve">  when (16#165#) =&gt;</t>
  </si>
  <si>
    <t xml:space="preserve">      avalon_mm_rmap_o.readdata(7 downto 0) &lt;= rmap_registers_wr_i.aeb1_ccfg_dac_config_2.dac_vod(7 downto 0);</t>
  </si>
  <si>
    <t xml:space="preserve">      avalon_mm_rmap_o.readdata(11 downto 8) &lt;= rmap_registers_wr_i.aeb1_ccfg_dac_config_2.dac_vod(11 downto 8);</t>
  </si>
  <si>
    <t xml:space="preserve">      avalon_mm_rmap_o.readdata(23 downto 16) &lt;= rmap_registers_wr_i.aeb1_ccfg_pwr_config1.time_vccd_on;</t>
  </si>
  <si>
    <t xml:space="preserve">      avalon_mm_rmap_o.readdata(31 downto 24) &lt;= rmap_registers_wr_i.aeb1_ccfg_pwr_config1.time_vclk_on;</t>
  </si>
  <si>
    <t xml:space="preserve">  when (16#166#) =&gt;</t>
  </si>
  <si>
    <t xml:space="preserve">      avalon_mm_rmap_o.readdata(7 downto 0) &lt;= rmap_registers_wr_i.aeb1_ccfg_pwr_config1.time_van1_on;</t>
  </si>
  <si>
    <t xml:space="preserve">      avalon_mm_rmap_o.readdata(15 downto 8) &lt;= rmap_registers_wr_i.aeb1_ccfg_pwr_config1.time_van2_on;</t>
  </si>
  <si>
    <t xml:space="preserve">      avalon_mm_rmap_o.readdata(23 downto 16) &lt;= rmap_registers_wr_i.aeb1_ccfg_pwr_config2.time_van3_on;</t>
  </si>
  <si>
    <t xml:space="preserve">      avalon_mm_rmap_o.readdata(31 downto 24) &lt;= rmap_registers_wr_i.aeb1_ccfg_pwr_config2.time_vccd_off;</t>
  </si>
  <si>
    <t xml:space="preserve">  when (16#167#) =&gt;</t>
  </si>
  <si>
    <t xml:space="preserve">      avalon_mm_rmap_o.readdata(7 downto 0) &lt;= rmap_registers_wr_i.aeb1_ccfg_pwr_config2.time_vclk_off;</t>
  </si>
  <si>
    <t xml:space="preserve">      avalon_mm_rmap_o.readdata(15 downto 8) &lt;= rmap_registers_wr_i.aeb1_ccfg_pwr_config2.time_van1_off;</t>
  </si>
  <si>
    <t xml:space="preserve">      avalon_mm_rmap_o.readdata(23 downto 16) &lt;= rmap_registers_wr_i.aeb1_ccfg_pwr_config3.time_van2_off;</t>
  </si>
  <si>
    <t xml:space="preserve">      avalon_mm_rmap_o.readdata(31 downto 24) &lt;= rmap_registers_wr_i.aeb1_ccfg_pwr_config3.time_van3_off;</t>
  </si>
  <si>
    <t xml:space="preserve">  when (16#168#) =&gt;</t>
  </si>
  <si>
    <t xml:space="preserve">      -- AEB 1 General Configuration Area : </t>
  </si>
  <si>
    <t xml:space="preserve">      avalon_mm_rmap_o.readdata(0) &lt;= rmap_registers_wr_i.aeb1_gcfg_adc1_config.adc1_bypas;</t>
  </si>
  <si>
    <t xml:space="preserve">  when (16#169#) =&gt;</t>
  </si>
  <si>
    <t xml:space="preserve">      avalon_mm_rmap_o.readdata(0) &lt;= rmap_registers_wr_i.aeb1_gcfg_adc1_config.adc1_clkenb;</t>
  </si>
  <si>
    <t xml:space="preserve">  when (16#16A#) =&gt;</t>
  </si>
  <si>
    <t xml:space="preserve">      avalon_mm_rmap_o.readdata(0) &lt;= rmap_registers_wr_i.aeb1_gcfg_adc1_config.adc1_chop;</t>
  </si>
  <si>
    <t xml:space="preserve">  when (16#16B#) =&gt;</t>
  </si>
  <si>
    <t xml:space="preserve">      avalon_mm_rmap_o.readdata(0) &lt;= rmap_registers_wr_i.aeb1_gcfg_adc1_config.adc1_stat;</t>
  </si>
  <si>
    <t xml:space="preserve">  when (16#16C#) =&gt;</t>
  </si>
  <si>
    <t xml:space="preserve">      avalon_mm_rmap_o.readdata(0) &lt;= rmap_registers_wr_i.aeb1_gcfg_adc1_config.adc1_idlmod;</t>
  </si>
  <si>
    <t xml:space="preserve">  when (16#16D#) =&gt;</t>
  </si>
  <si>
    <t xml:space="preserve">      avalon_mm_rmap_o.readdata(0) &lt;= rmap_registers_wr_i.aeb1_gcfg_adc1_config.adc1_dly2;</t>
  </si>
  <si>
    <t xml:space="preserve">  when (16#16E#) =&gt;</t>
  </si>
  <si>
    <t xml:space="preserve">      avalon_mm_rmap_o.readdata(0) &lt;= rmap_registers_wr_i.aeb1_gcfg_adc1_config.adc1_dly1;</t>
  </si>
  <si>
    <t xml:space="preserve">  when (16#16F#) =&gt;</t>
  </si>
  <si>
    <t xml:space="preserve">      avalon_mm_rmap_o.readdata(0) &lt;= rmap_registers_wr_i.aeb1_gcfg_adc1_config.adc1_dly0;</t>
  </si>
  <si>
    <t xml:space="preserve">  when (16#170#) =&gt;</t>
  </si>
  <si>
    <t xml:space="preserve">      avalon_mm_rmap_o.readdata(0) &lt;= rmap_registers_wr_i.aeb1_gcfg_adc1_config.adc1_sbcs1;</t>
  </si>
  <si>
    <t xml:space="preserve">  when (16#171#) =&gt;</t>
  </si>
  <si>
    <t xml:space="preserve">      avalon_mm_rmap_o.readdata(0) &lt;= rmap_registers_wr_i.aeb1_gcfg_adc1_config.adc1_sbcs0;</t>
  </si>
  <si>
    <t xml:space="preserve">  when (16#172#) =&gt;</t>
  </si>
  <si>
    <t xml:space="preserve">      avalon_mm_rmap_o.readdata(0) &lt;= rmap_registers_wr_i.aeb1_gcfg_adc1_config.adc1_drate1;</t>
  </si>
  <si>
    <t xml:space="preserve">  when (16#173#) =&gt;</t>
  </si>
  <si>
    <t xml:space="preserve">      avalon_mm_rmap_o.readdata(0) &lt;= rmap_registers_wr_i.aeb1_gcfg_adc1_config.adc1_drate0;</t>
  </si>
  <si>
    <t xml:space="preserve">  when (16#174#) =&gt;</t>
  </si>
  <si>
    <t xml:space="preserve">      avalon_mm_rmap_o.readdata(0) &lt;= rmap_registers_wr_i.aeb1_gcfg_adc1_config.adc1_ainp3;</t>
  </si>
  <si>
    <t xml:space="preserve">  when (16#175#) =&gt;</t>
  </si>
  <si>
    <t xml:space="preserve">      avalon_mm_rmap_o.readdata(0) &lt;= rmap_registers_wr_i.aeb1_gcfg_adc1_config.adc1_ainp2;</t>
  </si>
  <si>
    <t xml:space="preserve">  when (16#176#) =&gt;</t>
  </si>
  <si>
    <t xml:space="preserve">      avalon_mm_rmap_o.readdata(0) &lt;= rmap_registers_wr_i.aeb1_gcfg_adc1_config.adc1_ainp1;</t>
  </si>
  <si>
    <t xml:space="preserve">  when (16#177#) =&gt;</t>
  </si>
  <si>
    <t xml:space="preserve">      avalon_mm_rmap_o.readdata(0) &lt;= rmap_registers_wr_i.aeb1_gcfg_adc1_config.adc1_ainp0;</t>
  </si>
  <si>
    <t xml:space="preserve">  when (16#178#) =&gt;</t>
  </si>
  <si>
    <t xml:space="preserve">      avalon_mm_rmap_o.readdata(0) &lt;= rmap_registers_wr_i.aeb1_gcfg_adc1_config.adc1_ainn3;</t>
  </si>
  <si>
    <t xml:space="preserve">  when (16#179#) =&gt;</t>
  </si>
  <si>
    <t xml:space="preserve">      avalon_mm_rmap_o.readdata(0) &lt;= rmap_registers_wr_i.aeb1_gcfg_adc1_config.adc1_ainn2;</t>
  </si>
  <si>
    <t xml:space="preserve">  when (16#17A#) =&gt;</t>
  </si>
  <si>
    <t xml:space="preserve">      avalon_mm_rmap_o.readdata(0) &lt;= rmap_registers_wr_i.aeb1_gcfg_adc1_config.adc1_ainn1;</t>
  </si>
  <si>
    <t xml:space="preserve">  when (16#17B#) =&gt;</t>
  </si>
  <si>
    <t xml:space="preserve">      avalon_mm_rmap_o.readdata(0) &lt;= rmap_registers_wr_i.aeb1_gcfg_adc1_config.adc1_ainn0;</t>
  </si>
  <si>
    <t xml:space="preserve">  when (16#17C#) =&gt;</t>
  </si>
  <si>
    <t xml:space="preserve">      avalon_mm_rmap_o.readdata(0) &lt;= rmap_registers_wr_i.aeb1_gcfg_adc1_config.adc1_diff7;</t>
  </si>
  <si>
    <t xml:space="preserve">  when (16#17D#) =&gt;</t>
  </si>
  <si>
    <t xml:space="preserve">      avalon_mm_rmap_o.readdata(0) &lt;= rmap_registers_wr_i.aeb1_gcfg_adc1_config.adc1_diff6;</t>
  </si>
  <si>
    <t xml:space="preserve">  when (16#17E#) =&gt;</t>
  </si>
  <si>
    <t xml:space="preserve">      avalon_mm_rmap_o.readdata(0) &lt;= rmap_registers_wr_i.aeb1_gcfg_adc1_config.adc1_diff5;</t>
  </si>
  <si>
    <t xml:space="preserve">  when (16#17F#) =&gt;</t>
  </si>
  <si>
    <t xml:space="preserve">      avalon_mm_rmap_o.readdata(0) &lt;= rmap_registers_wr_i.aeb1_gcfg_adc1_config.adc1_diff4;</t>
  </si>
  <si>
    <t xml:space="preserve">  when (16#180#) =&gt;</t>
  </si>
  <si>
    <t xml:space="preserve">      avalon_mm_rmap_o.readdata(0) &lt;= rmap_registers_wr_i.aeb1_gcfg_adc1_config.adc1_diff3;</t>
  </si>
  <si>
    <t xml:space="preserve">  when (16#181#) =&gt;</t>
  </si>
  <si>
    <t xml:space="preserve">      avalon_mm_rmap_o.readdata(0) &lt;= rmap_registers_wr_i.aeb1_gcfg_adc1_config.adc1_diff2;</t>
  </si>
  <si>
    <t xml:space="preserve">  when (16#182#) =&gt;</t>
  </si>
  <si>
    <t xml:space="preserve">      avalon_mm_rmap_o.readdata(0) &lt;= rmap_registers_wr_i.aeb1_gcfg_adc1_config.adc1_diff1;</t>
  </si>
  <si>
    <t xml:space="preserve">  when (16#183#) =&gt;</t>
  </si>
  <si>
    <t xml:space="preserve">      avalon_mm_rmap_o.readdata(0) &lt;= rmap_registers_wr_i.aeb1_gcfg_adc1_config.adc1_diff0;</t>
  </si>
  <si>
    <t xml:space="preserve">  when (16#184#) =&gt;</t>
  </si>
  <si>
    <t xml:space="preserve">      avalon_mm_rmap_o.readdata(0) &lt;= rmap_registers_wr_i.aeb1_gcfg_adc1_config.adc1_ain7;</t>
  </si>
  <si>
    <t xml:space="preserve">  when (16#185#) =&gt;</t>
  </si>
  <si>
    <t xml:space="preserve">      avalon_mm_rmap_o.readdata(0) &lt;= rmap_registers_wr_i.aeb1_gcfg_adc1_config.adc1_ain6;</t>
  </si>
  <si>
    <t xml:space="preserve">  when (16#186#) =&gt;</t>
  </si>
  <si>
    <t xml:space="preserve">      avalon_mm_rmap_o.readdata(0) &lt;= rmap_registers_wr_i.aeb1_gcfg_adc1_config.adc1_ain5;</t>
  </si>
  <si>
    <t xml:space="preserve">  when (16#187#) =&gt;</t>
  </si>
  <si>
    <t xml:space="preserve">      avalon_mm_rmap_o.readdata(0) &lt;= rmap_registers_wr_i.aeb1_gcfg_adc1_config.adc1_ain4;</t>
  </si>
  <si>
    <t xml:space="preserve">  when (16#188#) =&gt;</t>
  </si>
  <si>
    <t xml:space="preserve">      avalon_mm_rmap_o.readdata(0) &lt;= rmap_registers_wr_i.aeb1_gcfg_adc1_config.adc1_ain3;</t>
  </si>
  <si>
    <t xml:space="preserve">  when (16#189#) =&gt;</t>
  </si>
  <si>
    <t xml:space="preserve">      avalon_mm_rmap_o.readdata(0) &lt;= rmap_registers_wr_i.aeb1_gcfg_adc1_config.adc1_ain2;</t>
  </si>
  <si>
    <t xml:space="preserve">  when (16#18A#) =&gt;</t>
  </si>
  <si>
    <t xml:space="preserve">      avalon_mm_rmap_o.readdata(0) &lt;= rmap_registers_wr_i.aeb1_gcfg_adc1_config.adc1_ain1;</t>
  </si>
  <si>
    <t xml:space="preserve">  when (16#18B#) =&gt;</t>
  </si>
  <si>
    <t xml:space="preserve">      avalon_mm_rmap_o.readdata(0) &lt;= rmap_registers_wr_i.aeb1_gcfg_adc1_config.adc1_ain0;</t>
  </si>
  <si>
    <t xml:space="preserve">  when (16#18C#) =&gt;</t>
  </si>
  <si>
    <t xml:space="preserve">      avalon_mm_rmap_o.readdata(0) &lt;= rmap_registers_wr_i.aeb1_gcfg_adc1_config.adc1_ain15;</t>
  </si>
  <si>
    <t xml:space="preserve">  when (16#18D#) =&gt;</t>
  </si>
  <si>
    <t xml:space="preserve">      avalon_mm_rmap_o.readdata(0) &lt;= rmap_registers_wr_i.aeb1_gcfg_adc1_config.adc1_ain14;</t>
  </si>
  <si>
    <t xml:space="preserve">  when (16#18E#) =&gt;</t>
  </si>
  <si>
    <t xml:space="preserve">      avalon_mm_rmap_o.readdata(0) &lt;= rmap_registers_wr_i.aeb1_gcfg_adc1_config.adc1_ain13;</t>
  </si>
  <si>
    <t xml:space="preserve">  when (16#18F#) =&gt;</t>
  </si>
  <si>
    <t xml:space="preserve">      avalon_mm_rmap_o.readdata(0) &lt;= rmap_registers_wr_i.aeb1_gcfg_adc1_config.adc1_ain12;</t>
  </si>
  <si>
    <t xml:space="preserve">  when (16#190#) =&gt;</t>
  </si>
  <si>
    <t xml:space="preserve">      avalon_mm_rmap_o.readdata(0) &lt;= rmap_registers_wr_i.aeb1_gcfg_adc1_config.adc1_ain11;</t>
  </si>
  <si>
    <t xml:space="preserve">  when (16#191#) =&gt;</t>
  </si>
  <si>
    <t xml:space="preserve">      avalon_mm_rmap_o.readdata(0) &lt;= rmap_registers_wr_i.aeb1_gcfg_adc1_config.adc1_ain10;</t>
  </si>
  <si>
    <t xml:space="preserve">  when (16#192#) =&gt;</t>
  </si>
  <si>
    <t xml:space="preserve">      avalon_mm_rmap_o.readdata(0) &lt;= rmap_registers_wr_i.aeb1_gcfg_adc1_config.adc1_ain9;</t>
  </si>
  <si>
    <t xml:space="preserve">  when (16#193#) =&gt;</t>
  </si>
  <si>
    <t xml:space="preserve">      avalon_mm_rmap_o.readdata(0) &lt;= rmap_registers_wr_i.aeb1_gcfg_adc1_config.adc1_ain8;</t>
  </si>
  <si>
    <t xml:space="preserve">  when (16#194#) =&gt;</t>
  </si>
  <si>
    <t xml:space="preserve">      avalon_mm_rmap_o.readdata(0) &lt;= rmap_registers_wr_i.aeb1_gcfg_adc1_config.adc1_ref;</t>
  </si>
  <si>
    <t xml:space="preserve">  when (16#195#) =&gt;</t>
  </si>
  <si>
    <t xml:space="preserve">      avalon_mm_rmap_o.readdata(0) &lt;= rmap_registers_wr_i.aeb1_gcfg_adc1_config.adc1_gain;</t>
  </si>
  <si>
    <t xml:space="preserve">  when (16#196#) =&gt;</t>
  </si>
  <si>
    <t xml:space="preserve">      avalon_mm_rmap_o.readdata(0) &lt;= rmap_registers_wr_i.aeb1_gcfg_adc1_config.adc1_temp;</t>
  </si>
  <si>
    <t xml:space="preserve">  when (16#197#) =&gt;</t>
  </si>
  <si>
    <t xml:space="preserve">      avalon_mm_rmap_o.readdata(0) &lt;= rmap_registers_wr_i.aeb1_gcfg_adc1_config.adc1_vcc;</t>
  </si>
  <si>
    <t xml:space="preserve">  when (16#198#) =&gt;</t>
  </si>
  <si>
    <t xml:space="preserve">      avalon_mm_rmap_o.readdata(0) &lt;= rmap_registers_wr_i.aeb1_gcfg_adc1_config.adc1_offset;</t>
  </si>
  <si>
    <t xml:space="preserve">  when (16#199#) =&gt;</t>
  </si>
  <si>
    <t xml:space="preserve">      avalon_mm_rmap_o.readdata(0) &lt;= rmap_registers_wr_i.aeb1_gcfg_adc1_config.adc1_cio7;</t>
  </si>
  <si>
    <t xml:space="preserve">  when (16#19A#) =&gt;</t>
  </si>
  <si>
    <t xml:space="preserve">      avalon_mm_rmap_o.readdata(0) &lt;= rmap_registers_wr_i.aeb1_gcfg_adc1_config.adc1_cio6;</t>
  </si>
  <si>
    <t xml:space="preserve">  when (16#19B#) =&gt;</t>
  </si>
  <si>
    <t xml:space="preserve">      avalon_mm_rmap_o.readdata(0) &lt;= rmap_registers_wr_i.aeb1_gcfg_adc1_config.adc1_cio5;</t>
  </si>
  <si>
    <t xml:space="preserve">  when (16#19C#) =&gt;</t>
  </si>
  <si>
    <t xml:space="preserve">      avalon_mm_rmap_o.readdata(0) &lt;= rmap_registers_wr_i.aeb1_gcfg_adc1_config.adc1_cio4;</t>
  </si>
  <si>
    <t xml:space="preserve">  when (16#19D#) =&gt;</t>
  </si>
  <si>
    <t xml:space="preserve">      avalon_mm_rmap_o.readdata(0) &lt;= rmap_registers_wr_i.aeb1_gcfg_adc1_config.adc1_cio3;</t>
  </si>
  <si>
    <t xml:space="preserve">  when (16#19E#) =&gt;</t>
  </si>
  <si>
    <t xml:space="preserve">      avalon_mm_rmap_o.readdata(0) &lt;= rmap_registers_wr_i.aeb1_gcfg_adc1_config.adc1_cio2;</t>
  </si>
  <si>
    <t xml:space="preserve">  when (16#19F#) =&gt;</t>
  </si>
  <si>
    <t xml:space="preserve">      avalon_mm_rmap_o.readdata(0) &lt;= rmap_registers_wr_i.aeb1_gcfg_adc1_config.adc1_cio1;</t>
  </si>
  <si>
    <t xml:space="preserve">  when (16#1A0#) =&gt;</t>
  </si>
  <si>
    <t xml:space="preserve">      avalon_mm_rmap_o.readdata(0) &lt;= rmap_registers_wr_i.aeb1_gcfg_adc1_config.adc1_cio0;</t>
  </si>
  <si>
    <t xml:space="preserve">  when (16#1A1#) =&gt;</t>
  </si>
  <si>
    <t xml:space="preserve">      avalon_mm_rmap_o.readdata(0) &lt;= rmap_registers_wr_i.aeb1_gcfg_adc1_config.adc1_dio7;</t>
  </si>
  <si>
    <t xml:space="preserve">  when (16#1A2#) =&gt;</t>
  </si>
  <si>
    <t xml:space="preserve">      avalon_mm_rmap_o.readdata(0) &lt;= rmap_registers_wr_i.aeb1_gcfg_adc1_config.adc1_dio6;</t>
  </si>
  <si>
    <t xml:space="preserve">  when (16#1A3#) =&gt;</t>
  </si>
  <si>
    <t xml:space="preserve">      avalon_mm_rmap_o.readdata(0) &lt;= rmap_registers_wr_i.aeb1_gcfg_adc1_config.adc1_dio5;</t>
  </si>
  <si>
    <t xml:space="preserve">  when (16#1A4#) =&gt;</t>
  </si>
  <si>
    <t xml:space="preserve">      avalon_mm_rmap_o.readdata(0) &lt;= rmap_registers_wr_i.aeb1_gcfg_adc1_config.adc1_dio4;</t>
  </si>
  <si>
    <t xml:space="preserve">  when (16#1A5#) =&gt;</t>
  </si>
  <si>
    <t xml:space="preserve">      avalon_mm_rmap_o.readdata(0) &lt;= rmap_registers_wr_i.aeb1_gcfg_adc1_config.adc1_dio3;</t>
  </si>
  <si>
    <t xml:space="preserve">  when (16#1A6#) =&gt;</t>
  </si>
  <si>
    <t xml:space="preserve">      avalon_mm_rmap_o.readdata(0) &lt;= rmap_registers_wr_i.aeb1_gcfg_adc1_config.adc1_dio2;</t>
  </si>
  <si>
    <t xml:space="preserve">  when (16#1A7#) =&gt;</t>
  </si>
  <si>
    <t xml:space="preserve">      avalon_mm_rmap_o.readdata(0) &lt;= rmap_registers_wr_i.aeb1_gcfg_adc1_config.adc1_dio1;</t>
  </si>
  <si>
    <t xml:space="preserve">  when (16#1A8#) =&gt;</t>
  </si>
  <si>
    <t xml:space="preserve">      avalon_mm_rmap_o.readdata(0) &lt;= rmap_registers_wr_i.aeb1_gcfg_adc1_config.adc1_dio0;</t>
  </si>
  <si>
    <t xml:space="preserve">  when (16#1A9#) =&gt;</t>
  </si>
  <si>
    <t xml:space="preserve">      avalon_mm_rmap_o.readdata(0) &lt;= rmap_registers_wr_i.aeb1_gcfg_adc2_config.adc2_bypas;</t>
  </si>
  <si>
    <t xml:space="preserve">  when (16#1AA#) =&gt;</t>
  </si>
  <si>
    <t xml:space="preserve">      avalon_mm_rmap_o.readdata(0) &lt;= rmap_registers_wr_i.aeb1_gcfg_adc2_config.adc2_clkenb;</t>
  </si>
  <si>
    <t xml:space="preserve">  when (16#1AB#) =&gt;</t>
  </si>
  <si>
    <t xml:space="preserve">      avalon_mm_rmap_o.readdata(0) &lt;= rmap_registers_wr_i.aeb1_gcfg_adc2_config.adc2_chop;</t>
  </si>
  <si>
    <t xml:space="preserve">  when (16#1AC#) =&gt;</t>
  </si>
  <si>
    <t xml:space="preserve">      avalon_mm_rmap_o.readdata(0) &lt;= rmap_registers_wr_i.aeb1_gcfg_adc2_config.adc2_stat;</t>
  </si>
  <si>
    <t xml:space="preserve">  when (16#1AD#) =&gt;</t>
  </si>
  <si>
    <t xml:space="preserve">      avalon_mm_rmap_o.readdata(0) &lt;= rmap_registers_wr_i.aeb1_gcfg_adc2_config.adc2_idlmod;</t>
  </si>
  <si>
    <t xml:space="preserve">  when (16#1AE#) =&gt;</t>
  </si>
  <si>
    <t xml:space="preserve">      avalon_mm_rmap_o.readdata(0) &lt;= rmap_registers_wr_i.aeb1_gcfg_adc2_config.adc2_dly2;</t>
  </si>
  <si>
    <t xml:space="preserve">  when (16#1AF#) =&gt;</t>
  </si>
  <si>
    <t xml:space="preserve">      avalon_mm_rmap_o.readdata(0) &lt;= rmap_registers_wr_i.aeb1_gcfg_adc2_config.adc2_dly1;</t>
  </si>
  <si>
    <t xml:space="preserve">  when (16#1B0#) =&gt;</t>
  </si>
  <si>
    <t xml:space="preserve">      avalon_mm_rmap_o.readdata(0) &lt;= rmap_registers_wr_i.aeb1_gcfg_adc2_config.adc2_dly0;</t>
  </si>
  <si>
    <t xml:space="preserve">  when (16#1B1#) =&gt;</t>
  </si>
  <si>
    <t xml:space="preserve">      avalon_mm_rmap_o.readdata(0) &lt;= rmap_registers_wr_i.aeb1_gcfg_adc2_config.adc2_sbcs1;</t>
  </si>
  <si>
    <t xml:space="preserve">  when (16#1B2#) =&gt;</t>
  </si>
  <si>
    <t xml:space="preserve">      avalon_mm_rmap_o.readdata(0) &lt;= rmap_registers_wr_i.aeb1_gcfg_adc2_config.adc2_sbcs0;</t>
  </si>
  <si>
    <t xml:space="preserve">  when (16#1B3#) =&gt;</t>
  </si>
  <si>
    <t xml:space="preserve">      avalon_mm_rmap_o.readdata(0) &lt;= rmap_registers_wr_i.aeb1_gcfg_adc2_config.adc2_drate1;</t>
  </si>
  <si>
    <t xml:space="preserve">  when (16#1B4#) =&gt;</t>
  </si>
  <si>
    <t xml:space="preserve">      avalon_mm_rmap_o.readdata(0) &lt;= rmap_registers_wr_i.aeb1_gcfg_adc2_config.adc2_drate0;</t>
  </si>
  <si>
    <t xml:space="preserve">  when (16#1B5#) =&gt;</t>
  </si>
  <si>
    <t xml:space="preserve">      avalon_mm_rmap_o.readdata(0) &lt;= rmap_registers_wr_i.aeb1_gcfg_adc2_config.adc2_ainp3;</t>
  </si>
  <si>
    <t xml:space="preserve">  when (16#1B6#) =&gt;</t>
  </si>
  <si>
    <t xml:space="preserve">      avalon_mm_rmap_o.readdata(0) &lt;= rmap_registers_wr_i.aeb1_gcfg_adc2_config.adc2_ainp2;</t>
  </si>
  <si>
    <t xml:space="preserve">  when (16#1B7#) =&gt;</t>
  </si>
  <si>
    <t xml:space="preserve">      avalon_mm_rmap_o.readdata(0) &lt;= rmap_registers_wr_i.aeb1_gcfg_adc2_config.adc2_ainp1;</t>
  </si>
  <si>
    <t xml:space="preserve">  when (16#1B8#) =&gt;</t>
  </si>
  <si>
    <t xml:space="preserve">      avalon_mm_rmap_o.readdata(0) &lt;= rmap_registers_wr_i.aeb1_gcfg_adc2_config.adc2_ainp0;</t>
  </si>
  <si>
    <t xml:space="preserve">  when (16#1B9#) =&gt;</t>
  </si>
  <si>
    <t xml:space="preserve">      avalon_mm_rmap_o.readdata(0) &lt;= rmap_registers_wr_i.aeb1_gcfg_adc2_config.adc2_ainn3;</t>
  </si>
  <si>
    <t xml:space="preserve">  when (16#1BA#) =&gt;</t>
  </si>
  <si>
    <t xml:space="preserve">      avalon_mm_rmap_o.readdata(0) &lt;= rmap_registers_wr_i.aeb1_gcfg_adc2_config.adc2_ainn2;</t>
  </si>
  <si>
    <t xml:space="preserve">  when (16#1BB#) =&gt;</t>
  </si>
  <si>
    <t xml:space="preserve">      avalon_mm_rmap_o.readdata(0) &lt;= rmap_registers_wr_i.aeb1_gcfg_adc2_config.adc2_ainn1;</t>
  </si>
  <si>
    <t xml:space="preserve">  when (16#1BC#) =&gt;</t>
  </si>
  <si>
    <t xml:space="preserve">      avalon_mm_rmap_o.readdata(0) &lt;= rmap_registers_wr_i.aeb1_gcfg_adc2_config.adc2_ainn0;</t>
  </si>
  <si>
    <t xml:space="preserve">  when (16#1BD#) =&gt;</t>
  </si>
  <si>
    <t xml:space="preserve">      avalon_mm_rmap_o.readdata(0) &lt;= rmap_registers_wr_i.aeb1_gcfg_adc2_config.adc2_diff7;</t>
  </si>
  <si>
    <t xml:space="preserve">  when (16#1BE#) =&gt;</t>
  </si>
  <si>
    <t xml:space="preserve">      avalon_mm_rmap_o.readdata(0) &lt;= rmap_registers_wr_i.aeb1_gcfg_adc2_config.adc2_diff6;</t>
  </si>
  <si>
    <t xml:space="preserve">  when (16#1BF#) =&gt;</t>
  </si>
  <si>
    <t xml:space="preserve">      avalon_mm_rmap_o.readdata(0) &lt;= rmap_registers_wr_i.aeb1_gcfg_adc2_config.adc2_diff5;</t>
  </si>
  <si>
    <t xml:space="preserve">  when (16#1C0#) =&gt;</t>
  </si>
  <si>
    <t xml:space="preserve">      avalon_mm_rmap_o.readdata(0) &lt;= rmap_registers_wr_i.aeb1_gcfg_adc2_config.adc2_diff4;</t>
  </si>
  <si>
    <t xml:space="preserve">  when (16#1C1#) =&gt;</t>
  </si>
  <si>
    <t xml:space="preserve">      avalon_mm_rmap_o.readdata(0) &lt;= rmap_registers_wr_i.aeb1_gcfg_adc2_config.adc2_diff3;</t>
  </si>
  <si>
    <t xml:space="preserve">  when (16#1C2#) =&gt;</t>
  </si>
  <si>
    <t xml:space="preserve">      avalon_mm_rmap_o.readdata(0) &lt;= rmap_registers_wr_i.aeb1_gcfg_adc2_config.adc2_diff2;</t>
  </si>
  <si>
    <t xml:space="preserve">  when (16#1C3#) =&gt;</t>
  </si>
  <si>
    <t xml:space="preserve">      avalon_mm_rmap_o.readdata(0) &lt;= rmap_registers_wr_i.aeb1_gcfg_adc2_config.adc2_diff1;</t>
  </si>
  <si>
    <t xml:space="preserve">  when (16#1C4#) =&gt;</t>
  </si>
  <si>
    <t xml:space="preserve">      avalon_mm_rmap_o.readdata(0) &lt;= rmap_registers_wr_i.aeb1_gcfg_adc2_config.adc2_diff0;</t>
  </si>
  <si>
    <t xml:space="preserve">  when (16#1C5#) =&gt;</t>
  </si>
  <si>
    <t xml:space="preserve">      avalon_mm_rmap_o.readdata(0) &lt;= rmap_registers_wr_i.aeb1_gcfg_adc2_config.adc2_ain7;</t>
  </si>
  <si>
    <t xml:space="preserve">  when (16#1C6#) =&gt;</t>
  </si>
  <si>
    <t xml:space="preserve">      avalon_mm_rmap_o.readdata(0) &lt;= rmap_registers_wr_i.aeb1_gcfg_adc2_config.adc2_ain6;</t>
  </si>
  <si>
    <t xml:space="preserve">  when (16#1C7#) =&gt;</t>
  </si>
  <si>
    <t xml:space="preserve">      avalon_mm_rmap_o.readdata(0) &lt;= rmap_registers_wr_i.aeb1_gcfg_adc2_config.adc2_ain5;</t>
  </si>
  <si>
    <t xml:space="preserve">  when (16#1C8#) =&gt;</t>
  </si>
  <si>
    <t xml:space="preserve">      avalon_mm_rmap_o.readdata(0) &lt;= rmap_registers_wr_i.aeb1_gcfg_adc2_config.adc2_ain4;</t>
  </si>
  <si>
    <t xml:space="preserve">  when (16#1C9#) =&gt;</t>
  </si>
  <si>
    <t xml:space="preserve">      avalon_mm_rmap_o.readdata(0) &lt;= rmap_registers_wr_i.aeb1_gcfg_adc2_config.adc2_ain3;</t>
  </si>
  <si>
    <t xml:space="preserve">  when (16#1CA#) =&gt;</t>
  </si>
  <si>
    <t xml:space="preserve">      avalon_mm_rmap_o.readdata(0) &lt;= rmap_registers_wr_i.aeb1_gcfg_adc2_config.adc2_ain2;</t>
  </si>
  <si>
    <t xml:space="preserve">  when (16#1CB#) =&gt;</t>
  </si>
  <si>
    <t xml:space="preserve">      avalon_mm_rmap_o.readdata(0) &lt;= rmap_registers_wr_i.aeb1_gcfg_adc2_config.adc2_ain1;</t>
  </si>
  <si>
    <t xml:space="preserve">  when (16#1CC#) =&gt;</t>
  </si>
  <si>
    <t xml:space="preserve">      avalon_mm_rmap_o.readdata(0) &lt;= rmap_registers_wr_i.aeb1_gcfg_adc2_config.adc2_ain0;</t>
  </si>
  <si>
    <t xml:space="preserve">  when (16#1CD#) =&gt;</t>
  </si>
  <si>
    <t xml:space="preserve">      avalon_mm_rmap_o.readdata(0) &lt;= rmap_registers_wr_i.aeb1_gcfg_adc2_config.adc2_ain15;</t>
  </si>
  <si>
    <t xml:space="preserve">  when (16#1CE#) =&gt;</t>
  </si>
  <si>
    <t xml:space="preserve">      avalon_mm_rmap_o.readdata(0) &lt;= rmap_registers_wr_i.aeb1_gcfg_adc2_config.adc2_ain14;</t>
  </si>
  <si>
    <t xml:space="preserve">  when (16#1CF#) =&gt;</t>
  </si>
  <si>
    <t xml:space="preserve">      avalon_mm_rmap_o.readdata(0) &lt;= rmap_registers_wr_i.aeb1_gcfg_adc2_config.adc2_ain13;</t>
  </si>
  <si>
    <t xml:space="preserve">  when (16#1D0#) =&gt;</t>
  </si>
  <si>
    <t xml:space="preserve">      avalon_mm_rmap_o.readdata(0) &lt;= rmap_registers_wr_i.aeb1_gcfg_adc2_config.adc2_ain12;</t>
  </si>
  <si>
    <t xml:space="preserve">  when (16#1D1#) =&gt;</t>
  </si>
  <si>
    <t xml:space="preserve">      avalon_mm_rmap_o.readdata(0) &lt;= rmap_registers_wr_i.aeb1_gcfg_adc2_config.adc2_ain11;</t>
  </si>
  <si>
    <t xml:space="preserve">  when (16#1D2#) =&gt;</t>
  </si>
  <si>
    <t xml:space="preserve">      avalon_mm_rmap_o.readdata(0) &lt;= rmap_registers_wr_i.aeb1_gcfg_adc2_config.adc2_ain10;</t>
  </si>
  <si>
    <t xml:space="preserve">  when (16#1D3#) =&gt;</t>
  </si>
  <si>
    <t xml:space="preserve">      avalon_mm_rmap_o.readdata(0) &lt;= rmap_registers_wr_i.aeb1_gcfg_adc2_config.adc2_ain9;</t>
  </si>
  <si>
    <t xml:space="preserve">  when (16#1D4#) =&gt;</t>
  </si>
  <si>
    <t xml:space="preserve">      avalon_mm_rmap_o.readdata(0) &lt;= rmap_registers_wr_i.aeb1_gcfg_adc2_config.adc2_ain8;</t>
  </si>
  <si>
    <t xml:space="preserve">  when (16#1D5#) =&gt;</t>
  </si>
  <si>
    <t xml:space="preserve">      avalon_mm_rmap_o.readdata(0) &lt;= rmap_registers_wr_i.aeb1_gcfg_adc2_config.adc2_ref;</t>
  </si>
  <si>
    <t xml:space="preserve">  when (16#1D6#) =&gt;</t>
  </si>
  <si>
    <t xml:space="preserve">      avalon_mm_rmap_o.readdata(0) &lt;= rmap_registers_wr_i.aeb1_gcfg_adc2_config.adc2_gain;</t>
  </si>
  <si>
    <t xml:space="preserve">  when (16#1D7#) =&gt;</t>
  </si>
  <si>
    <t xml:space="preserve">      avalon_mm_rmap_o.readdata(0) &lt;= rmap_registers_wr_i.aeb1_gcfg_adc2_config.adc2_temp;</t>
  </si>
  <si>
    <t xml:space="preserve">  when (16#1D8#) =&gt;</t>
  </si>
  <si>
    <t xml:space="preserve">      avalon_mm_rmap_o.readdata(0) &lt;= rmap_registers_wr_i.aeb1_gcfg_adc2_config.adc2_vcc;</t>
  </si>
  <si>
    <t xml:space="preserve">  when (16#1D9#) =&gt;</t>
  </si>
  <si>
    <t xml:space="preserve">      avalon_mm_rmap_o.readdata(0) &lt;= rmap_registers_wr_i.aeb1_gcfg_adc2_config.adc2_offset;</t>
  </si>
  <si>
    <t xml:space="preserve">  when (16#1DA#) =&gt;</t>
  </si>
  <si>
    <t xml:space="preserve">      avalon_mm_rmap_o.readdata(0) &lt;= rmap_registers_wr_i.aeb1_gcfg_adc2_config.adc2_cio7;</t>
  </si>
  <si>
    <t xml:space="preserve">  when (16#1DB#) =&gt;</t>
  </si>
  <si>
    <t xml:space="preserve">      avalon_mm_rmap_o.readdata(0) &lt;= rmap_registers_wr_i.aeb1_gcfg_adc2_config.adc2_cio6;</t>
  </si>
  <si>
    <t xml:space="preserve">  when (16#1DC#) =&gt;</t>
  </si>
  <si>
    <t xml:space="preserve">      avalon_mm_rmap_o.readdata(0) &lt;= rmap_registers_wr_i.aeb1_gcfg_adc2_config.adc2_cio5;</t>
  </si>
  <si>
    <t xml:space="preserve">  when (16#1DD#) =&gt;</t>
  </si>
  <si>
    <t xml:space="preserve">      avalon_mm_rmap_o.readdata(0) &lt;= rmap_registers_wr_i.aeb1_gcfg_adc2_config.adc2_cio4;</t>
  </si>
  <si>
    <t xml:space="preserve">  when (16#1DE#) =&gt;</t>
  </si>
  <si>
    <t xml:space="preserve">      avalon_mm_rmap_o.readdata(0) &lt;= rmap_registers_wr_i.aeb1_gcfg_adc2_config.adc2_cio3;</t>
  </si>
  <si>
    <t xml:space="preserve">  when (16#1DF#) =&gt;</t>
  </si>
  <si>
    <t xml:space="preserve">      avalon_mm_rmap_o.readdata(0) &lt;= rmap_registers_wr_i.aeb1_gcfg_adc2_config.adc2_cio2;</t>
  </si>
  <si>
    <t xml:space="preserve">  when (16#1E0#) =&gt;</t>
  </si>
  <si>
    <t xml:space="preserve">      avalon_mm_rmap_o.readdata(0) &lt;= rmap_registers_wr_i.aeb1_gcfg_adc2_config.adc2_cio1;</t>
  </si>
  <si>
    <t xml:space="preserve">  when (16#1E1#) =&gt;</t>
  </si>
  <si>
    <t xml:space="preserve">      avalon_mm_rmap_o.readdata(0) &lt;= rmap_registers_wr_i.aeb1_gcfg_adc2_config.adc2_cio0;</t>
  </si>
  <si>
    <t xml:space="preserve">  when (16#1E2#) =&gt;</t>
  </si>
  <si>
    <t xml:space="preserve">      avalon_mm_rmap_o.readdata(0) &lt;= rmap_registers_wr_i.aeb1_gcfg_adc2_config.adc2_dio7;</t>
  </si>
  <si>
    <t xml:space="preserve">  when (16#1E3#) =&gt;</t>
  </si>
  <si>
    <t xml:space="preserve">      avalon_mm_rmap_o.readdata(0) &lt;= rmap_registers_wr_i.aeb1_gcfg_adc2_config.adc2_dio6;</t>
  </si>
  <si>
    <t xml:space="preserve">  when (16#1E4#) =&gt;</t>
  </si>
  <si>
    <t xml:space="preserve">      avalon_mm_rmap_o.readdata(0) &lt;= rmap_registers_wr_i.aeb1_gcfg_adc2_config.adc2_dio5;</t>
  </si>
  <si>
    <t xml:space="preserve">  when (16#1E5#) =&gt;</t>
  </si>
  <si>
    <t xml:space="preserve">      avalon_mm_rmap_o.readdata(0) &lt;= rmap_registers_wr_i.aeb1_gcfg_adc2_config.adc2_dio4;</t>
  </si>
  <si>
    <t xml:space="preserve">  when (16#1E6#) =&gt;</t>
  </si>
  <si>
    <t xml:space="preserve">      avalon_mm_rmap_o.readdata(0) &lt;= rmap_registers_wr_i.aeb1_gcfg_adc2_config.adc2_dio3;</t>
  </si>
  <si>
    <t xml:space="preserve">  when (16#1E7#) =&gt;</t>
  </si>
  <si>
    <t xml:space="preserve">      avalon_mm_rmap_o.readdata(0) &lt;= rmap_registers_wr_i.aeb1_gcfg_adc2_config.adc2_dio2;</t>
  </si>
  <si>
    <t xml:space="preserve">  when (16#1E8#) =&gt;</t>
  </si>
  <si>
    <t xml:space="preserve">      avalon_mm_rmap_o.readdata(0) &lt;= rmap_registers_wr_i.aeb1_gcfg_adc2_config.adc2_dio1;</t>
  </si>
  <si>
    <t xml:space="preserve">  when (16#1E9#) =&gt;</t>
  </si>
  <si>
    <t xml:space="preserve">      avalon_mm_rmap_o.readdata(0) &lt;= rmap_registers_wr_i.aeb1_gcfg_adc2_config.adc2_dio0;</t>
  </si>
  <si>
    <t xml:space="preserve">  when (16#1EA#) =&gt;</t>
  </si>
  <si>
    <t xml:space="preserve">      avalon_mm_rmap_o.readdata(7 downto 0) &lt;= rmap_registers_wr_i.aeb1_gcfg_seq_config.seq_oe(7 downto 0);</t>
  </si>
  <si>
    <t xml:space="preserve">      avalon_mm_rmap_o.readdata(15 downto 8) &lt;= rmap_registers_wr_i.aeb1_gcfg_seq_config.seq_oe(15 downto 8);</t>
  </si>
  <si>
    <t xml:space="preserve">      avalon_mm_rmap_o.readdata(21 downto 16) &lt;= rmap_registers_wr_i.aeb1_gcfg_seq_config.seq_oe(21 downto 16);</t>
  </si>
  <si>
    <t xml:space="preserve">  when (16#1EB#) =&gt;</t>
  </si>
  <si>
    <t xml:space="preserve">      avalon_mm_rmap_o.readdata(6 downto 0) &lt;= rmap_registers_wr_i.aeb1_gcfg_seq_config.adc_clk_div;</t>
  </si>
  <si>
    <t xml:space="preserve">      avalon_mm_rmap_o.readdata(15 downto 8) &lt;= rmap_registers_wr_i.aeb1_gcfg_seq_config.cds_clk_low_pos;</t>
  </si>
  <si>
    <t xml:space="preserve">      avalon_mm_rmap_o.readdata(23 downto 16) &lt;= rmap_registers_wr_i.aeb1_gcfg_seq_config.cds_clk_high_pos;</t>
  </si>
  <si>
    <t xml:space="preserve">      avalon_mm_rmap_o.readdata(31 downto 24) &lt;= rmap_registers_wr_i.aeb1_gcfg_seq_config.rphir_clk_low_pos;</t>
  </si>
  <si>
    <t xml:space="preserve">  when (16#1EC#) =&gt;</t>
  </si>
  <si>
    <t xml:space="preserve">      avalon_mm_rmap_o.readdata(7 downto 0) &lt;= rmap_registers_wr_i.aeb1_gcfg_seq_config.rphir_clk_high_pos;</t>
  </si>
  <si>
    <t xml:space="preserve">      avalon_mm_rmap_o.readdata(23 downto 16) &lt;= rmap_registers_wr_i.aeb1_gcfg_seq_config.ft_loop_cnt(7 downto 0);</t>
  </si>
  <si>
    <t xml:space="preserve">      avalon_mm_rmap_o.readdata(29 downto 24) &lt;= rmap_registers_wr_i.aeb1_gcfg_seq_config.ft_loop_cnt(13 downto 8);</t>
  </si>
  <si>
    <t xml:space="preserve">  when (16#1ED#) =&gt;</t>
  </si>
  <si>
    <t xml:space="preserve">      avalon_mm_rmap_o.readdata(0) &lt;= rmap_registers_wr_i.aeb1_gcfg_seq_config.lt0_enabled;</t>
  </si>
  <si>
    <t xml:space="preserve">  when (16#1EE#) =&gt;</t>
  </si>
  <si>
    <t xml:space="preserve">      avalon_mm_rmap_o.readdata(0) &lt;= rmap_registers_wr_i.aeb1_gcfg_seq_config.lt0_pixreadout;</t>
  </si>
  <si>
    <t xml:space="preserve">  when (16#1EF#) =&gt;</t>
  </si>
  <si>
    <t xml:space="preserve">      avalon_mm_rmap_o.readdata(7 downto 0) &lt;= rmap_registers_wr_i.aeb1_gcfg_seq_config.lt0_loop_cnt(7 downto 0);</t>
  </si>
  <si>
    <t xml:space="preserve">      avalon_mm_rmap_o.readdata(13 downto 8) &lt;= rmap_registers_wr_i.aeb1_gcfg_seq_config.lt0_loop_cnt(13 downto 8);</t>
  </si>
  <si>
    <t xml:space="preserve">  when (16#1F0#) =&gt;</t>
  </si>
  <si>
    <t xml:space="preserve">      avalon_mm_rmap_o.readdata(0) &lt;= rmap_registers_wr_i.aeb1_gcfg_seq_config.lt1_enabled;</t>
  </si>
  <si>
    <t xml:space="preserve">  when (16#1F1#) =&gt;</t>
  </si>
  <si>
    <t xml:space="preserve">      avalon_mm_rmap_o.readdata(0) &lt;= rmap_registers_wr_i.aeb1_gcfg_seq_config.lt1_pixreadout;</t>
  </si>
  <si>
    <t xml:space="preserve">  when (16#1F2#) =&gt;</t>
  </si>
  <si>
    <t xml:space="preserve">      avalon_mm_rmap_o.readdata(7 downto 0) &lt;= rmap_registers_wr_i.aeb1_gcfg_seq_config.lt1_loop_cnt(7 downto 0);</t>
  </si>
  <si>
    <t xml:space="preserve">      avalon_mm_rmap_o.readdata(13 downto 8) &lt;= rmap_registers_wr_i.aeb1_gcfg_seq_config.lt1_loop_cnt(13 downto 8);</t>
  </si>
  <si>
    <t xml:space="preserve">  when (16#1F3#) =&gt;</t>
  </si>
  <si>
    <t xml:space="preserve">      avalon_mm_rmap_o.readdata(0) &lt;= rmap_registers_wr_i.aeb1_gcfg_seq_config.lt2_enabled;</t>
  </si>
  <si>
    <t xml:space="preserve">  when (16#1F4#) =&gt;</t>
  </si>
  <si>
    <t xml:space="preserve">      avalon_mm_rmap_o.readdata(0) &lt;= rmap_registers_wr_i.aeb1_gcfg_seq_config.lt2_pixreadout;</t>
  </si>
  <si>
    <t xml:space="preserve">  when (16#1F5#) =&gt;</t>
  </si>
  <si>
    <t xml:space="preserve">      avalon_mm_rmap_o.readdata(7 downto 0) &lt;= rmap_registers_wr_i.aeb1_gcfg_seq_config.lt2_loop_cnt(7 downto 0);</t>
  </si>
  <si>
    <t xml:space="preserve">      avalon_mm_rmap_o.readdata(13 downto 8) &lt;= rmap_registers_wr_i.aeb1_gcfg_seq_config.lt2_loop_cnt(13 downto 8);</t>
  </si>
  <si>
    <t xml:space="preserve">  when (16#1F6#) =&gt;</t>
  </si>
  <si>
    <t xml:space="preserve">      avalon_mm_rmap_o.readdata(0) &lt;= rmap_registers_wr_i.aeb1_gcfg_seq_config.lt3_enabled;</t>
  </si>
  <si>
    <t xml:space="preserve">  when (16#1F7#) =&gt;</t>
  </si>
  <si>
    <t xml:space="preserve">      avalon_mm_rmap_o.readdata(0) &lt;= rmap_registers_wr_i.aeb1_gcfg_seq_config.lt3_pixreadout;</t>
  </si>
  <si>
    <t xml:space="preserve">  when (16#1F8#) =&gt;</t>
  </si>
  <si>
    <t xml:space="preserve">      avalon_mm_rmap_o.readdata(7 downto 0) &lt;= rmap_registers_wr_i.aeb1_gcfg_seq_config.lt3_loop_cnt(7 downto 0);</t>
  </si>
  <si>
    <t xml:space="preserve">      avalon_mm_rmap_o.readdata(13 downto 8) &lt;= rmap_registers_wr_i.aeb1_gcfg_seq_config.lt3_loop_cnt(13 downto 8);</t>
  </si>
  <si>
    <t xml:space="preserve">      avalon_mm_rmap_o.readdata(23 downto 16) &lt;= rmap_registers_wr_i.aeb1_gcfg_seq_config.pix_loop_cnt(7 downto 0);</t>
  </si>
  <si>
    <t xml:space="preserve">      avalon_mm_rmap_o.readdata(29 downto 24) &lt;= rmap_registers_wr_i.aeb1_gcfg_seq_config.pix_loop_cnt(13 downto 8);</t>
  </si>
  <si>
    <t xml:space="preserve">  when (16#1F9#) =&gt;</t>
  </si>
  <si>
    <t xml:space="preserve">      avalon_mm_rmap_o.readdata(0) &lt;= rmap_registers_wr_i.aeb1_gcfg_seq_config.pc_enabled;</t>
  </si>
  <si>
    <t xml:space="preserve">  when (16#1FA#) =&gt;</t>
  </si>
  <si>
    <t xml:space="preserve">      avalon_mm_rmap_o.readdata(7 downto 0) &lt;= rmap_registers_wr_i.aeb1_gcfg_seq_config.pc_loop_cnt(7 downto 0);</t>
  </si>
  <si>
    <t xml:space="preserve">      avalon_mm_rmap_o.readdata(13 downto 8) &lt;= rmap_registers_wr_i.aeb1_gcfg_seq_config.pc_loop_cnt(13 downto 8);</t>
  </si>
  <si>
    <t xml:space="preserve">      avalon_mm_rmap_o.readdata(23 downto 16) &lt;= rmap_registers_wr_i.aeb1_gcfg_seq_config.int1_loop_cnt(7 downto 0);</t>
  </si>
  <si>
    <t xml:space="preserve">      avalon_mm_rmap_o.readdata(29 downto 24) &lt;= rmap_registers_wr_i.aeb1_gcfg_seq_config.int1_loop_cnt(13 downto 8);</t>
  </si>
  <si>
    <t xml:space="preserve">  when (16#1FB#) =&gt;</t>
  </si>
  <si>
    <t xml:space="preserve">      avalon_mm_rmap_o.readdata(7 downto 0) &lt;= rmap_registers_wr_i.aeb1_gcfg_seq_config.int2_loop_cnt(7 downto 0);</t>
  </si>
  <si>
    <t xml:space="preserve">      avalon_mm_rmap_o.readdata(13 downto 8) &lt;= rmap_registers_wr_i.aeb1_gcfg_seq_config.int2_loop_cnt(13 downto 8);</t>
  </si>
  <si>
    <t xml:space="preserve">      -- AEB 1 Housekeeping Area : </t>
  </si>
  <si>
    <t xml:space="preserve">      avalon_mm_rmap_o.readdata(18 downto 16) &lt;= rmap_registers_wr_i.aeb1_hk_aeb_status.aeb_state;</t>
  </si>
  <si>
    <t xml:space="preserve">  when (16#1FC#) =&gt;</t>
  </si>
  <si>
    <t xml:space="preserve">      avalon_mm_rmap_o.readdata(0) &lt;= rmap_registers_wr_i.aeb1_hk_aeb_status.vasp2_cfg_run;</t>
  </si>
  <si>
    <t xml:space="preserve">  when (16#1FD#) =&gt;</t>
  </si>
  <si>
    <t xml:space="preserve">      avalon_mm_rmap_o.readdata(0) &lt;= rmap_registers_wr_i.aeb1_hk_aeb_status.vasp1_cfg_run;</t>
  </si>
  <si>
    <t xml:space="preserve">  when (16#1FE#) =&gt;</t>
  </si>
  <si>
    <t xml:space="preserve">      avalon_mm_rmap_o.readdata(0) &lt;= rmap_registers_wr_i.aeb1_hk_aeb_status.dac_cfg_w_run;</t>
  </si>
  <si>
    <t xml:space="preserve">  when (16#1FF#) =&gt;</t>
  </si>
  <si>
    <t xml:space="preserve">      avalon_mm_rmap_o.readdata(0) &lt;= rmap_registers_wr_i.aeb1_hk_aeb_status.adc_cfg_rd_run;</t>
  </si>
  <si>
    <t xml:space="preserve">  when (16#200#) =&gt;</t>
  </si>
  <si>
    <t xml:space="preserve">      avalon_mm_rmap_o.readdata(0) &lt;= rmap_registers_wr_i.aeb1_hk_aeb_status.adc_cfg_wr_run;</t>
  </si>
  <si>
    <t xml:space="preserve">  when (16#201#) =&gt;</t>
  </si>
  <si>
    <t xml:space="preserve">      avalon_mm_rmap_o.readdata(0) &lt;= rmap_registers_wr_i.aeb1_hk_aeb_status.adc_dat_rd_run;</t>
  </si>
  <si>
    <t xml:space="preserve">  when (16#202#) =&gt;</t>
  </si>
  <si>
    <t xml:space="preserve">      avalon_mm_rmap_o.readdata(0) &lt;= rmap_registers_wr_i.aeb1_hk_aeb_status.adc_error;</t>
  </si>
  <si>
    <t xml:space="preserve">  when (16#203#) =&gt;</t>
  </si>
  <si>
    <t xml:space="preserve">      avalon_mm_rmap_o.readdata(0) &lt;= rmap_registers_wr_i.aeb1_hk_aeb_status.adc2_lu;</t>
  </si>
  <si>
    <t xml:space="preserve">  when (16#204#) =&gt;</t>
  </si>
  <si>
    <t xml:space="preserve">      avalon_mm_rmap_o.readdata(0) &lt;= rmap_registers_wr_i.aeb1_hk_aeb_status.adc1_lu;</t>
  </si>
  <si>
    <t xml:space="preserve">  when (16#205#) =&gt;</t>
  </si>
  <si>
    <t xml:space="preserve">      avalon_mm_rmap_o.readdata(0) &lt;= rmap_registers_wr_i.aeb1_hk_aeb_status.adc_dat_rd;</t>
  </si>
  <si>
    <t xml:space="preserve">  when (16#206#) =&gt;</t>
  </si>
  <si>
    <t xml:space="preserve">      avalon_mm_rmap_o.readdata(0) &lt;= rmap_registers_wr_i.aeb1_hk_aeb_status.adc_cfg_rd;</t>
  </si>
  <si>
    <t xml:space="preserve">  when (16#207#) =&gt;</t>
  </si>
  <si>
    <t xml:space="preserve">      avalon_mm_rmap_o.readdata(0) &lt;= rmap_registers_wr_i.aeb1_hk_aeb_status.adc_cfg_wr;</t>
  </si>
  <si>
    <t xml:space="preserve">  when (16#208#) =&gt;</t>
  </si>
  <si>
    <t xml:space="preserve">      avalon_mm_rmap_o.readdata(0) &lt;= rmap_registers_wr_i.aeb1_hk_aeb_status.adc2_busy;</t>
  </si>
  <si>
    <t xml:space="preserve">  when (16#209#) =&gt;</t>
  </si>
  <si>
    <t xml:space="preserve">      avalon_mm_rmap_o.readdata(0) &lt;= rmap_registers_wr_i.aeb1_hk_aeb_status.adc1_busy;</t>
  </si>
  <si>
    <t xml:space="preserve">  when (16#20A#) =&gt;</t>
  </si>
  <si>
    <t xml:space="preserve">      avalon_mm_rmap_o.readdata(7 downto 0) &lt;= rmap_registers_wr_i.aeb1_hk_aeb_status.frame_counter(7 downto 0);</t>
  </si>
  <si>
    <t xml:space="preserve">      avalon_mm_rmap_o.readdata(15 downto 8) &lt;= rmap_registers_wr_i.aeb1_hk_aeb_status.frame_counter(15 downto 8);</t>
  </si>
  <si>
    <t xml:space="preserve">  when (16#20B#) =&gt;</t>
  </si>
  <si>
    <t xml:space="preserve">      avalon_mm_rmap_o.readdata(7 downto 0) &lt;= rmap_registers_wr_i.aeb1_hk_timestamp.timestamp_1(7 downto 0);</t>
  </si>
  <si>
    <t xml:space="preserve">      avalon_mm_rmap_o.readdata(15 downto 8) &lt;= rmap_registers_wr_i.aeb1_hk_timestamp.timestamp_1(15 downto 8);</t>
  </si>
  <si>
    <t xml:space="preserve">      avalon_mm_rmap_o.readdata(23 downto 16) &lt;= rmap_registers_wr_i.aeb1_hk_timestamp.timestamp_1(23 downto 16);</t>
  </si>
  <si>
    <t xml:space="preserve">      avalon_mm_rmap_o.readdata(31 downto 24) &lt;= rmap_registers_wr_i.aeb1_hk_timestamp.timestamp_1(31 downto 24);</t>
  </si>
  <si>
    <t xml:space="preserve">  when (16#20C#) =&gt;</t>
  </si>
  <si>
    <t xml:space="preserve">      avalon_mm_rmap_o.readdata(7 downto 0) &lt;= rmap_registers_wr_i.aeb1_hk_timestamp.timestamp_0(7 downto 0);</t>
  </si>
  <si>
    <t xml:space="preserve">      avalon_mm_rmap_o.readdata(15 downto 8) &lt;= rmap_registers_wr_i.aeb1_hk_timestamp.timestamp_0(15 downto 8);</t>
  </si>
  <si>
    <t xml:space="preserve">      avalon_mm_rmap_o.readdata(23 downto 16) &lt;= rmap_registers_wr_i.aeb1_hk_timestamp.timestamp_0(23 downto 16);</t>
  </si>
  <si>
    <t xml:space="preserve">      avalon_mm_rmap_o.readdata(31 downto 24) &lt;= rmap_registers_wr_i.aeb1_hk_timestamp.timestamp_0(31 downto 24);</t>
  </si>
  <si>
    <t xml:space="preserve">  when (16#20D#) =&gt;</t>
  </si>
  <si>
    <t xml:space="preserve">      avalon_mm_rmap_o.readdata(7 downto 0) &lt;= rmap_registers_wr_i.aeb1_hk_adc_rd_data.adc_rd_data_18(7 downto 0);</t>
  </si>
  <si>
    <t xml:space="preserve">      avalon_mm_rmap_o.readdata(15 downto 8) &lt;= rmap_registers_wr_i.aeb1_hk_adc_rd_data.adc_rd_data_18(15 downto 8);</t>
  </si>
  <si>
    <t xml:space="preserve">      avalon_mm_rmap_o.readdata(23 downto 16) &lt;= rmap_registers_wr_i.aeb1_hk_adc_rd_data.adc_rd_data_18(23 downto 16);</t>
  </si>
  <si>
    <t xml:space="preserve">      avalon_mm_rmap_o.readdata(31 downto 24) &lt;= rmap_registers_wr_i.aeb1_hk_adc_rd_data.adc_rd_data_18(31 downto 24);</t>
  </si>
  <si>
    <t xml:space="preserve">  when (16#20E#) =&gt;</t>
  </si>
  <si>
    <t xml:space="preserve">      avalon_mm_rmap_o.readdata(7 downto 0) &lt;= rmap_registers_wr_i.aeb1_hk_adc_rd_data.adc_rd_data_17(7 downto 0);</t>
  </si>
  <si>
    <t xml:space="preserve">      avalon_mm_rmap_o.readdata(15 downto 8) &lt;= rmap_registers_wr_i.aeb1_hk_adc_rd_data.adc_rd_data_17(15 downto 8);</t>
  </si>
  <si>
    <t xml:space="preserve">      avalon_mm_rmap_o.readdata(23 downto 16) &lt;= rmap_registers_wr_i.aeb1_hk_adc_rd_data.adc_rd_data_17(23 downto 16);</t>
  </si>
  <si>
    <t xml:space="preserve">      avalon_mm_rmap_o.readdata(31 downto 24) &lt;= rmap_registers_wr_i.aeb1_hk_adc_rd_data.adc_rd_data_17(31 downto 24);</t>
  </si>
  <si>
    <t xml:space="preserve">  when (16#20F#) =&gt;</t>
  </si>
  <si>
    <t xml:space="preserve">      avalon_mm_rmap_o.readdata(7 downto 0) &lt;= rmap_registers_wr_i.aeb1_hk_adc_rd_data.adc_rd_data_16(7 downto 0);</t>
  </si>
  <si>
    <t xml:space="preserve">      avalon_mm_rmap_o.readdata(15 downto 8) &lt;= rmap_registers_wr_i.aeb1_hk_adc_rd_data.adc_rd_data_16(15 downto 8);</t>
  </si>
  <si>
    <t xml:space="preserve">      avalon_mm_rmap_o.readdata(23 downto 16) &lt;= rmap_registers_wr_i.aeb1_hk_adc_rd_data.adc_rd_data_16(23 downto 16);</t>
  </si>
  <si>
    <t xml:space="preserve">      avalon_mm_rmap_o.readdata(31 downto 24) &lt;= rmap_registers_wr_i.aeb1_hk_adc_rd_data.adc_rd_data_16(31 downto 24);</t>
  </si>
  <si>
    <t xml:space="preserve">  when (16#210#) =&gt;</t>
  </si>
  <si>
    <t xml:space="preserve">      avalon_mm_rmap_o.readdata(7 downto 0) &lt;= rmap_registers_wr_i.aeb1_hk_adc_rd_data.adc_rd_data_15(7 downto 0);</t>
  </si>
  <si>
    <t xml:space="preserve">      avalon_mm_rmap_o.readdata(15 downto 8) &lt;= rmap_registers_wr_i.aeb1_hk_adc_rd_data.adc_rd_data_15(15 downto 8);</t>
  </si>
  <si>
    <t xml:space="preserve">      avalon_mm_rmap_o.readdata(23 downto 16) &lt;= rmap_registers_wr_i.aeb1_hk_adc_rd_data.adc_rd_data_15(23 downto 16);</t>
  </si>
  <si>
    <t xml:space="preserve">      avalon_mm_rmap_o.readdata(31 downto 24) &lt;= rmap_registers_wr_i.aeb1_hk_adc_rd_data.adc_rd_data_15(31 downto 24);</t>
  </si>
  <si>
    <t xml:space="preserve">  when (16#211#) =&gt;</t>
  </si>
  <si>
    <t xml:space="preserve">      avalon_mm_rmap_o.readdata(7 downto 0) &lt;= rmap_registers_wr_i.aeb1_hk_adc_rd_data.adc_rd_data_14(7 downto 0);</t>
  </si>
  <si>
    <t xml:space="preserve">      avalon_mm_rmap_o.readdata(15 downto 8) &lt;= rmap_registers_wr_i.aeb1_hk_adc_rd_data.adc_rd_data_14(15 downto 8);</t>
  </si>
  <si>
    <t xml:space="preserve">      avalon_mm_rmap_o.readdata(23 downto 16) &lt;= rmap_registers_wr_i.aeb1_hk_adc_rd_data.adc_rd_data_14(23 downto 16);</t>
  </si>
  <si>
    <t xml:space="preserve">      avalon_mm_rmap_o.readdata(31 downto 24) &lt;= rmap_registers_wr_i.aeb1_hk_adc_rd_data.adc_rd_data_14(31 downto 24);</t>
  </si>
  <si>
    <t xml:space="preserve">  when (16#212#) =&gt;</t>
  </si>
  <si>
    <t xml:space="preserve">      avalon_mm_rmap_o.readdata(7 downto 0) &lt;= rmap_registers_wr_i.aeb1_hk_adc_rd_data.adc_rd_data_13(7 downto 0);</t>
  </si>
  <si>
    <t xml:space="preserve">      avalon_mm_rmap_o.readdata(15 downto 8) &lt;= rmap_registers_wr_i.aeb1_hk_adc_rd_data.adc_rd_data_13(15 downto 8);</t>
  </si>
  <si>
    <t xml:space="preserve">      avalon_mm_rmap_o.readdata(23 downto 16) &lt;= rmap_registers_wr_i.aeb1_hk_adc_rd_data.adc_rd_data_13(23 downto 16);</t>
  </si>
  <si>
    <t xml:space="preserve">      avalon_mm_rmap_o.readdata(31 downto 24) &lt;= rmap_registers_wr_i.aeb1_hk_adc_rd_data.adc_rd_data_13(31 downto 24);</t>
  </si>
  <si>
    <t xml:space="preserve">  when (16#213#) =&gt;</t>
  </si>
  <si>
    <t xml:space="preserve">      avalon_mm_rmap_o.readdata(7 downto 0) &lt;= rmap_registers_wr_i.aeb1_hk_adc_rd_data.adc_rd_data_12(7 downto 0);</t>
  </si>
  <si>
    <t xml:space="preserve">      avalon_mm_rmap_o.readdata(15 downto 8) &lt;= rmap_registers_wr_i.aeb1_hk_adc_rd_data.adc_rd_data_12(15 downto 8);</t>
  </si>
  <si>
    <t xml:space="preserve">      avalon_mm_rmap_o.readdata(23 downto 16) &lt;= rmap_registers_wr_i.aeb1_hk_adc_rd_data.adc_rd_data_12(23 downto 16);</t>
  </si>
  <si>
    <t xml:space="preserve">      avalon_mm_rmap_o.readdata(31 downto 24) &lt;= rmap_registers_wr_i.aeb1_hk_adc_rd_data.adc_rd_data_12(31 downto 24);</t>
  </si>
  <si>
    <t xml:space="preserve">  when (16#214#) =&gt;</t>
  </si>
  <si>
    <t xml:space="preserve">      avalon_mm_rmap_o.readdata(7 downto 0) &lt;= rmap_registers_wr_i.aeb1_hk_adc_rd_data.adc_rd_data_11(7 downto 0);</t>
  </si>
  <si>
    <t xml:space="preserve">      avalon_mm_rmap_o.readdata(15 downto 8) &lt;= rmap_registers_wr_i.aeb1_hk_adc_rd_data.adc_rd_data_11(15 downto 8);</t>
  </si>
  <si>
    <t xml:space="preserve">      avalon_mm_rmap_o.readdata(23 downto 16) &lt;= rmap_registers_wr_i.aeb1_hk_adc_rd_data.adc_rd_data_11(23 downto 16);</t>
  </si>
  <si>
    <t xml:space="preserve">      avalon_mm_rmap_o.readdata(31 downto 24) &lt;= rmap_registers_wr_i.aeb1_hk_adc_rd_data.adc_rd_data_11(31 downto 24);</t>
  </si>
  <si>
    <t xml:space="preserve">  when (16#215#) =&gt;</t>
  </si>
  <si>
    <t xml:space="preserve">      avalon_mm_rmap_o.readdata(7 downto 0) &lt;= rmap_registers_wr_i.aeb1_hk_adc_rd_data.adc_rd_data_10(7 downto 0);</t>
  </si>
  <si>
    <t xml:space="preserve">      avalon_mm_rmap_o.readdata(15 downto 8) &lt;= rmap_registers_wr_i.aeb1_hk_adc_rd_data.adc_rd_data_10(15 downto 8);</t>
  </si>
  <si>
    <t xml:space="preserve">      avalon_mm_rmap_o.readdata(23 downto 16) &lt;= rmap_registers_wr_i.aeb1_hk_adc_rd_data.adc_rd_data_10(23 downto 16);</t>
  </si>
  <si>
    <t xml:space="preserve">      avalon_mm_rmap_o.readdata(31 downto 24) &lt;= rmap_registers_wr_i.aeb1_hk_adc_rd_data.adc_rd_data_10(31 downto 24);</t>
  </si>
  <si>
    <t xml:space="preserve">  when (16#216#) =&gt;</t>
  </si>
  <si>
    <t xml:space="preserve">      avalon_mm_rmap_o.readdata(7 downto 0) &lt;= rmap_registers_wr_i.aeb1_hk_adc_rd_data.adc_rd_data_9(7 downto 0);</t>
  </si>
  <si>
    <t xml:space="preserve">      avalon_mm_rmap_o.readdata(15 downto 8) &lt;= rmap_registers_wr_i.aeb1_hk_adc_rd_data.adc_rd_data_9(15 downto 8);</t>
  </si>
  <si>
    <t xml:space="preserve">      avalon_mm_rmap_o.readdata(23 downto 16) &lt;= rmap_registers_wr_i.aeb1_hk_adc_rd_data.adc_rd_data_9(23 downto 16);</t>
  </si>
  <si>
    <t xml:space="preserve">      avalon_mm_rmap_o.readdata(31 downto 24) &lt;= rmap_registers_wr_i.aeb1_hk_adc_rd_data.adc_rd_data_9(31 downto 24);</t>
  </si>
  <si>
    <t xml:space="preserve">  when (16#217#) =&gt;</t>
  </si>
  <si>
    <t xml:space="preserve">      avalon_mm_rmap_o.readdata(7 downto 0) &lt;= rmap_registers_wr_i.aeb1_hk_adc_rd_data.adc_rd_data_8(7 downto 0);</t>
  </si>
  <si>
    <t xml:space="preserve">      avalon_mm_rmap_o.readdata(15 downto 8) &lt;= rmap_registers_wr_i.aeb1_hk_adc_rd_data.adc_rd_data_8(15 downto 8);</t>
  </si>
  <si>
    <t xml:space="preserve">      avalon_mm_rmap_o.readdata(23 downto 16) &lt;= rmap_registers_wr_i.aeb1_hk_adc_rd_data.adc_rd_data_8(23 downto 16);</t>
  </si>
  <si>
    <t xml:space="preserve">      avalon_mm_rmap_o.readdata(31 downto 24) &lt;= rmap_registers_wr_i.aeb1_hk_adc_rd_data.adc_rd_data_8(31 downto 24);</t>
  </si>
  <si>
    <t xml:space="preserve">  when (16#218#) =&gt;</t>
  </si>
  <si>
    <t xml:space="preserve">      avalon_mm_rmap_o.readdata(7 downto 0) &lt;= rmap_registers_wr_i.aeb1_hk_adc_rd_data.adc_rd_data_7(7 downto 0);</t>
  </si>
  <si>
    <t xml:space="preserve">      avalon_mm_rmap_o.readdata(15 downto 8) &lt;= rmap_registers_wr_i.aeb1_hk_adc_rd_data.adc_rd_data_7(15 downto 8);</t>
  </si>
  <si>
    <t xml:space="preserve">      avalon_mm_rmap_o.readdata(23 downto 16) &lt;= rmap_registers_wr_i.aeb1_hk_adc_rd_data.adc_rd_data_7(23 downto 16);</t>
  </si>
  <si>
    <t xml:space="preserve">      avalon_mm_rmap_o.readdata(31 downto 24) &lt;= rmap_registers_wr_i.aeb1_hk_adc_rd_data.adc_rd_data_7(31 downto 24);</t>
  </si>
  <si>
    <t xml:space="preserve">  when (16#219#) =&gt;</t>
  </si>
  <si>
    <t xml:space="preserve">      avalon_mm_rmap_o.readdata(7 downto 0) &lt;= rmap_registers_wr_i.aeb1_hk_adc_rd_data.adc_rd_data_6(7 downto 0);</t>
  </si>
  <si>
    <t xml:space="preserve">      avalon_mm_rmap_o.readdata(15 downto 8) &lt;= rmap_registers_wr_i.aeb1_hk_adc_rd_data.adc_rd_data_6(15 downto 8);</t>
  </si>
  <si>
    <t xml:space="preserve">      avalon_mm_rmap_o.readdata(23 downto 16) &lt;= rmap_registers_wr_i.aeb1_hk_adc_rd_data.adc_rd_data_6(23 downto 16);</t>
  </si>
  <si>
    <t xml:space="preserve">      avalon_mm_rmap_o.readdata(31 downto 24) &lt;= rmap_registers_wr_i.aeb1_hk_adc_rd_data.adc_rd_data_6(31 downto 24);</t>
  </si>
  <si>
    <t xml:space="preserve">  when (16#21A#) =&gt;</t>
  </si>
  <si>
    <t xml:space="preserve">      avalon_mm_rmap_o.readdata(7 downto 0) &lt;= rmap_registers_wr_i.aeb1_hk_adc_rd_data.adc_rd_data_5(7 downto 0);</t>
  </si>
  <si>
    <t xml:space="preserve">      avalon_mm_rmap_o.readdata(15 downto 8) &lt;= rmap_registers_wr_i.aeb1_hk_adc_rd_data.adc_rd_data_5(15 downto 8);</t>
  </si>
  <si>
    <t xml:space="preserve">      avalon_mm_rmap_o.readdata(23 downto 16) &lt;= rmap_registers_wr_i.aeb1_hk_adc_rd_data.adc_rd_data_5(23 downto 16);</t>
  </si>
  <si>
    <t xml:space="preserve">      avalon_mm_rmap_o.readdata(31 downto 24) &lt;= rmap_registers_wr_i.aeb1_hk_adc_rd_data.adc_rd_data_5(31 downto 24);</t>
  </si>
  <si>
    <t xml:space="preserve">  when (16#21B#) =&gt;</t>
  </si>
  <si>
    <t xml:space="preserve">      avalon_mm_rmap_o.readdata(7 downto 0) &lt;= rmap_registers_wr_i.aeb1_hk_adc_rd_data.adc_rd_data_4(7 downto 0);</t>
  </si>
  <si>
    <t xml:space="preserve">      avalon_mm_rmap_o.readdata(15 downto 8) &lt;= rmap_registers_wr_i.aeb1_hk_adc_rd_data.adc_rd_data_4(15 downto 8);</t>
  </si>
  <si>
    <t xml:space="preserve">      avalon_mm_rmap_o.readdata(23 downto 16) &lt;= rmap_registers_wr_i.aeb1_hk_adc_rd_data.adc_rd_data_4(23 downto 16);</t>
  </si>
  <si>
    <t xml:space="preserve">      avalon_mm_rmap_o.readdata(31 downto 24) &lt;= rmap_registers_wr_i.aeb1_hk_adc_rd_data.adc_rd_data_4(31 downto 24);</t>
  </si>
  <si>
    <t xml:space="preserve">  when (16#21C#) =&gt;</t>
  </si>
  <si>
    <t xml:space="preserve">      avalon_mm_rmap_o.readdata(7 downto 0) &lt;= rmap_registers_wr_i.aeb1_hk_adc_rd_data.adc_rd_data_3(7 downto 0);</t>
  </si>
  <si>
    <t xml:space="preserve">      avalon_mm_rmap_o.readdata(15 downto 8) &lt;= rmap_registers_wr_i.aeb1_hk_adc_rd_data.adc_rd_data_3(15 downto 8);</t>
  </si>
  <si>
    <t xml:space="preserve">      avalon_mm_rmap_o.readdata(23 downto 16) &lt;= rmap_registers_wr_i.aeb1_hk_adc_rd_data.adc_rd_data_3(23 downto 16);</t>
  </si>
  <si>
    <t xml:space="preserve">      avalon_mm_rmap_o.readdata(31 downto 24) &lt;= rmap_registers_wr_i.aeb1_hk_adc_rd_data.adc_rd_data_3(31 downto 24);</t>
  </si>
  <si>
    <t xml:space="preserve">  when (16#21D#) =&gt;</t>
  </si>
  <si>
    <t xml:space="preserve">      avalon_mm_rmap_o.readdata(7 downto 0) &lt;= rmap_registers_wr_i.aeb1_hk_adc_rd_data.adc_rd_data_2(7 downto 0);</t>
  </si>
  <si>
    <t xml:space="preserve">      avalon_mm_rmap_o.readdata(15 downto 8) &lt;= rmap_registers_wr_i.aeb1_hk_adc_rd_data.adc_rd_data_2(15 downto 8);</t>
  </si>
  <si>
    <t xml:space="preserve">      avalon_mm_rmap_o.readdata(23 downto 16) &lt;= rmap_registers_wr_i.aeb1_hk_adc_rd_data.adc_rd_data_2(23 downto 16);</t>
  </si>
  <si>
    <t xml:space="preserve">      avalon_mm_rmap_o.readdata(31 downto 24) &lt;= rmap_registers_wr_i.aeb1_hk_adc_rd_data.adc_rd_data_2(31 downto 24);</t>
  </si>
  <si>
    <t xml:space="preserve">  when (16#21E#) =&gt;</t>
  </si>
  <si>
    <t xml:space="preserve">      avalon_mm_rmap_o.readdata(7 downto 0) &lt;= rmap_registers_wr_i.aeb1_hk_adc_rd_data.adc_rd_data_1(7 downto 0);</t>
  </si>
  <si>
    <t xml:space="preserve">      avalon_mm_rmap_o.readdata(15 downto 8) &lt;= rmap_registers_wr_i.aeb1_hk_adc_rd_data.adc_rd_data_1(15 downto 8);</t>
  </si>
  <si>
    <t xml:space="preserve">      avalon_mm_rmap_o.readdata(23 downto 16) &lt;= rmap_registers_wr_i.aeb1_hk_adc_rd_data.adc_rd_data_1(23 downto 16);</t>
  </si>
  <si>
    <t xml:space="preserve">      avalon_mm_rmap_o.readdata(31 downto 24) &lt;= rmap_registers_wr_i.aeb1_hk_adc_rd_data.adc_rd_data_1(31 downto 24);</t>
  </si>
  <si>
    <t xml:space="preserve">  when (16#21F#) =&gt;</t>
  </si>
  <si>
    <t xml:space="preserve">      avalon_mm_rmap_o.readdata(7 downto 0) &lt;= rmap_registers_wr_i.aeb1_hk_adc_rd_data.adc_rd_data_0(7 downto 0);</t>
  </si>
  <si>
    <t xml:space="preserve">      avalon_mm_rmap_o.readdata(15 downto 8) &lt;= rmap_registers_wr_i.aeb1_hk_adc_rd_data.adc_rd_data_0(15 downto 8);</t>
  </si>
  <si>
    <t xml:space="preserve">      avalon_mm_rmap_o.readdata(23 downto 16) &lt;= rmap_registers_wr_i.aeb1_hk_adc_rd_data.adc_rd_data_0(23 downto 16);</t>
  </si>
  <si>
    <t xml:space="preserve">      avalon_mm_rmap_o.readdata(31 downto 24) &lt;= rmap_registers_wr_i.aeb1_hk_adc_rd_data.adc_rd_data_0(31 downto 24);</t>
  </si>
  <si>
    <t xml:space="preserve">  when (16#220#) =&gt;</t>
  </si>
  <si>
    <t xml:space="preserve">      avalon_mm_rmap_o.readdata(7 downto 0) &lt;= rmap_registers_wr_i.aeb1_hk_adc1_rd_config.adc1_rd_config_3(7 downto 0);</t>
  </si>
  <si>
    <t xml:space="preserve">      avalon_mm_rmap_o.readdata(15 downto 8) &lt;= rmap_registers_wr_i.aeb1_hk_adc1_rd_config.adc1_rd_config_3(15 downto 8);</t>
  </si>
  <si>
    <t xml:space="preserve">      avalon_mm_rmap_o.readdata(23 downto 16) &lt;= rmap_registers_wr_i.aeb1_hk_adc1_rd_config.adc1_rd_config_3(23 downto 16);</t>
  </si>
  <si>
    <t xml:space="preserve">      avalon_mm_rmap_o.readdata(31 downto 24) &lt;= rmap_registers_wr_i.aeb1_hk_adc1_rd_config.adc1_rd_config_3(31 downto 24);</t>
  </si>
  <si>
    <t xml:space="preserve">  when (16#221#) =&gt;</t>
  </si>
  <si>
    <t xml:space="preserve">      avalon_mm_rmap_o.readdata(7 downto 0) &lt;= rmap_registers_wr_i.aeb1_hk_adc1_rd_config.adc1_rd_config_2(7 downto 0);</t>
  </si>
  <si>
    <t xml:space="preserve">      avalon_mm_rmap_o.readdata(15 downto 8) &lt;= rmap_registers_wr_i.aeb1_hk_adc1_rd_config.adc1_rd_config_2(15 downto 8);</t>
  </si>
  <si>
    <t xml:space="preserve">      avalon_mm_rmap_o.readdata(23 downto 16) &lt;= rmap_registers_wr_i.aeb1_hk_adc1_rd_config.adc1_rd_config_2(23 downto 16);</t>
  </si>
  <si>
    <t xml:space="preserve">      avalon_mm_rmap_o.readdata(31 downto 24) &lt;= rmap_registers_wr_i.aeb1_hk_adc1_rd_config.adc1_rd_config_2(31 downto 24);</t>
  </si>
  <si>
    <t xml:space="preserve">  when (16#222#) =&gt;</t>
  </si>
  <si>
    <t xml:space="preserve">      avalon_mm_rmap_o.readdata(7 downto 0) &lt;= rmap_registers_wr_i.aeb1_hk_adc1_rd_config.adc1_rd_config_1(7 downto 0);</t>
  </si>
  <si>
    <t xml:space="preserve">      avalon_mm_rmap_o.readdata(15 downto 8) &lt;= rmap_registers_wr_i.aeb1_hk_adc1_rd_config.adc1_rd_config_1(15 downto 8);</t>
  </si>
  <si>
    <t xml:space="preserve">      avalon_mm_rmap_o.readdata(23 downto 16) &lt;= rmap_registers_wr_i.aeb1_hk_adc1_rd_config.adc1_rd_config_1(23 downto 16);</t>
  </si>
  <si>
    <t xml:space="preserve">      avalon_mm_rmap_o.readdata(31 downto 24) &lt;= rmap_registers_wr_i.aeb1_hk_adc1_rd_config.adc1_rd_config_1(31 downto 24);</t>
  </si>
  <si>
    <t xml:space="preserve">  when (16#223#) =&gt;</t>
  </si>
  <si>
    <t xml:space="preserve">      avalon_mm_rmap_o.readdata(7 downto 0) &lt;= rmap_registers_wr_i.aeb1_hk_adc1_rd_config.adc1_rd_config_0(7 downto 0);</t>
  </si>
  <si>
    <t xml:space="preserve">      avalon_mm_rmap_o.readdata(15 downto 8) &lt;= rmap_registers_wr_i.aeb1_hk_adc1_rd_config.adc1_rd_config_0(15 downto 8);</t>
  </si>
  <si>
    <t xml:space="preserve">      avalon_mm_rmap_o.readdata(23 downto 16) &lt;= rmap_registers_wr_i.aeb1_hk_adc1_rd_config.adc1_rd_config_0(23 downto 16);</t>
  </si>
  <si>
    <t xml:space="preserve">      avalon_mm_rmap_o.readdata(31 downto 24) &lt;= rmap_registers_wr_i.aeb1_hk_adc1_rd_config.adc1_rd_config_0(31 downto 24);</t>
  </si>
  <si>
    <t xml:space="preserve">  when (16#224#) =&gt;</t>
  </si>
  <si>
    <t xml:space="preserve">      avalon_mm_rmap_o.readdata(7 downto 0) &lt;= rmap_registers_wr_i.aeb1_hk_adc2_rd_config.adc2_rd_config_3(7 downto 0);</t>
  </si>
  <si>
    <t xml:space="preserve">      avalon_mm_rmap_o.readdata(15 downto 8) &lt;= rmap_registers_wr_i.aeb1_hk_adc2_rd_config.adc2_rd_config_3(15 downto 8);</t>
  </si>
  <si>
    <t xml:space="preserve">      avalon_mm_rmap_o.readdata(23 downto 16) &lt;= rmap_registers_wr_i.aeb1_hk_adc2_rd_config.adc2_rd_config_3(23 downto 16);</t>
  </si>
  <si>
    <t xml:space="preserve">      avalon_mm_rmap_o.readdata(31 downto 24) &lt;= rmap_registers_wr_i.aeb1_hk_adc2_rd_config.adc2_rd_config_3(31 downto 24);</t>
  </si>
  <si>
    <t xml:space="preserve">  when (16#225#) =&gt;</t>
  </si>
  <si>
    <t xml:space="preserve">      avalon_mm_rmap_o.readdata(7 downto 0) &lt;= rmap_registers_wr_i.aeb1_hk_adc2_rd_config.adc2_rd_config_2(7 downto 0);</t>
  </si>
  <si>
    <t xml:space="preserve">      avalon_mm_rmap_o.readdata(15 downto 8) &lt;= rmap_registers_wr_i.aeb1_hk_adc2_rd_config.adc2_rd_config_2(15 downto 8);</t>
  </si>
  <si>
    <t xml:space="preserve">      avalon_mm_rmap_o.readdata(23 downto 16) &lt;= rmap_registers_wr_i.aeb1_hk_adc2_rd_config.adc2_rd_config_2(23 downto 16);</t>
  </si>
  <si>
    <t xml:space="preserve">      avalon_mm_rmap_o.readdata(31 downto 24) &lt;= rmap_registers_wr_i.aeb1_hk_adc2_rd_config.adc2_rd_config_2(31 downto 24);</t>
  </si>
  <si>
    <t xml:space="preserve">  when (16#226#) =&gt;</t>
  </si>
  <si>
    <t xml:space="preserve">      avalon_mm_rmap_o.readdata(7 downto 0) &lt;= rmap_registers_wr_i.aeb1_hk_adc2_rd_config.adc2_rd_config_1(7 downto 0);</t>
  </si>
  <si>
    <t xml:space="preserve">      avalon_mm_rmap_o.readdata(15 downto 8) &lt;= rmap_registers_wr_i.aeb1_hk_adc2_rd_config.adc2_rd_config_1(15 downto 8);</t>
  </si>
  <si>
    <t xml:space="preserve">      avalon_mm_rmap_o.readdata(23 downto 16) &lt;= rmap_registers_wr_i.aeb1_hk_adc2_rd_config.adc2_rd_config_1(23 downto 16);</t>
  </si>
  <si>
    <t xml:space="preserve">      avalon_mm_rmap_o.readdata(31 downto 24) &lt;= rmap_registers_wr_i.aeb1_hk_adc2_rd_config.adc2_rd_config_1(31 downto 24);</t>
  </si>
  <si>
    <t xml:space="preserve">  when (16#227#) =&gt;</t>
  </si>
  <si>
    <t xml:space="preserve">      avalon_mm_rmap_o.readdata(7 downto 0) &lt;= rmap_registers_wr_i.aeb1_hk_adc2_rd_config.adc2_rd_config_0(7 downto 0);</t>
  </si>
  <si>
    <t xml:space="preserve">      avalon_mm_rmap_o.readdata(15 downto 8) &lt;= rmap_registers_wr_i.aeb1_hk_adc2_rd_config.adc2_rd_config_0(15 downto 8);</t>
  </si>
  <si>
    <t xml:space="preserve">      avalon_mm_rmap_o.readdata(23 downto 16) &lt;= rmap_registers_wr_i.aeb1_hk_adc2_rd_config.adc2_rd_config_0(23 downto 16);</t>
  </si>
  <si>
    <t xml:space="preserve">      avalon_mm_rmap_o.readdata(31 downto 24) &lt;= rmap_registers_wr_i.aeb1_hk_adc2_rd_config.adc2_rd_config_0(31 downto 24);</t>
  </si>
  <si>
    <t xml:space="preserve">  when (16#228#) =&gt;</t>
  </si>
  <si>
    <t xml:space="preserve">      avalon_mm_rmap_o.readdata(7 downto 0) &lt;= rmap_registers_wr_i.aeb1_hk_vasp_rd_config.vasp1_read_data;</t>
  </si>
  <si>
    <t xml:space="preserve">      avalon_mm_rmap_o.readdata(15 downto 8) &lt;= rmap_registers_wr_i.aeb1_hk_vasp_rd_config.vasp2_read_data;</t>
  </si>
  <si>
    <t xml:space="preserve">      avalon_mm_rmap_o.readdata(23 downto 16) &lt;= rmap_registers_wr_i.aeb1_hk_revision_id.fpga_ver(7 downto 0);</t>
  </si>
  <si>
    <t xml:space="preserve">      avalon_mm_rmap_o.readdata(31 downto 24) &lt;= rmap_registers_wr_i.aeb1_hk_revision_id.fpga_ver(15 downto 8);</t>
  </si>
  <si>
    <t xml:space="preserve">  when (16#229#) =&gt;</t>
  </si>
  <si>
    <t xml:space="preserve">      avalon_mm_rmap_o.readdata(7 downto 0) &lt;= rmap_registers_wr_i.aeb1_hk_revision_id.fpga_date(7 downto 0);</t>
  </si>
  <si>
    <t xml:space="preserve">      avalon_mm_rmap_o.readdata(15 downto 8) &lt;= rmap_registers_wr_i.aeb1_hk_revision_id.fpga_date(15 downto 8);</t>
  </si>
  <si>
    <t xml:space="preserve">      avalon_mm_rmap_o.readdata(23 downto 16) &lt;= rmap_registers_wr_i.aeb1_hk_revision_id.fpga_time(7 downto 0);</t>
  </si>
  <si>
    <t xml:space="preserve">      avalon_mm_rmap_o.readdata(31 downto 24) &lt;= rmap_registers_wr_i.aeb1_hk_revision_id.fpga_time(15 downto 8);</t>
  </si>
  <si>
    <t xml:space="preserve">  when (16#22A#) =&gt;</t>
  </si>
  <si>
    <t xml:space="preserve">      avalon_mm_rmap_o.readdata(7 downto 0) &lt;= rmap_registers_wr_i.aeb1_hk_revision_id.fpga_svn(7 downto 0);</t>
  </si>
  <si>
    <t xml:space="preserve">      avalon_mm_rmap_o.readdata(15 downto 8) &lt;= rmap_registers_wr_i.aeb1_hk_revision_id.fpga_svn(15 downto 8);</t>
  </si>
  <si>
    <t xml:space="preserve">      -- AEB 2 Critical Configuration Area : </t>
  </si>
  <si>
    <t xml:space="preserve">      avalon_mm_rmap_o.readdata(20 downto 16) &lt;= rmap_registers_wr_i.aeb2_ccfg_aeb_control.new_state;</t>
  </si>
  <si>
    <t xml:space="preserve">  when (16#22B#) =&gt;</t>
  </si>
  <si>
    <t xml:space="preserve">      avalon_mm_rmap_o.readdata(0) &lt;= rmap_registers_wr_i.aeb2_ccfg_aeb_control.set_state;</t>
  </si>
  <si>
    <t xml:space="preserve">  when (16#22C#) =&gt;</t>
  </si>
  <si>
    <t xml:space="preserve">      avalon_mm_rmap_o.readdata(0) &lt;= rmap_registers_wr_i.aeb2_ccfg_aeb_control.aeb_reset;</t>
  </si>
  <si>
    <t xml:space="preserve">  when (16#22D#) =&gt;</t>
  </si>
  <si>
    <t xml:space="preserve">      avalon_mm_rmap_o.readdata(0) &lt;= rmap_registers_wr_i.aeb2_ccfg_aeb_control.adc_data_rd;</t>
  </si>
  <si>
    <t xml:space="preserve">  when (16#22E#) =&gt;</t>
  </si>
  <si>
    <t xml:space="preserve">      avalon_mm_rmap_o.readdata(0) &lt;= rmap_registers_wr_i.aeb2_ccfg_aeb_control.adc_cfg_wr;</t>
  </si>
  <si>
    <t xml:space="preserve">  when (16#22F#) =&gt;</t>
  </si>
  <si>
    <t xml:space="preserve">      avalon_mm_rmap_o.readdata(0) &lt;= rmap_registers_wr_i.aeb2_ccfg_aeb_control.adc_cfg_rd;</t>
  </si>
  <si>
    <t xml:space="preserve">  when (16#230#) =&gt;</t>
  </si>
  <si>
    <t xml:space="preserve">      avalon_mm_rmap_o.readdata(0) &lt;= rmap_registers_wr_i.aeb2_ccfg_aeb_control.dac_wr;</t>
  </si>
  <si>
    <t xml:space="preserve">  when (16#231#) =&gt;</t>
  </si>
  <si>
    <t xml:space="preserve">      avalon_mm_rmap_o.readdata(0) &lt;= rmap_registers_wr_i.aeb2_ccfg_aeb_config.watchdog_dis;</t>
  </si>
  <si>
    <t xml:space="preserve">  when (16#232#) =&gt;</t>
  </si>
  <si>
    <t xml:space="preserve">      avalon_mm_rmap_o.readdata(0) &lt;= rmap_registers_wr_i.aeb2_ccfg_aeb_config.int_sync;</t>
  </si>
  <si>
    <t xml:space="preserve">  when (16#233#) =&gt;</t>
  </si>
  <si>
    <t xml:space="preserve">      avalon_mm_rmap_o.readdata(0) &lt;= rmap_registers_wr_i.aeb2_ccfg_aeb_config.vasp_cds_en;</t>
  </si>
  <si>
    <t xml:space="preserve">  when (16#234#) =&gt;</t>
  </si>
  <si>
    <t xml:space="preserve">      avalon_mm_rmap_o.readdata(0) &lt;= rmap_registers_wr_i.aeb2_ccfg_aeb_config.vasp2_cal_en;</t>
  </si>
  <si>
    <t xml:space="preserve">  when (16#235#) =&gt;</t>
  </si>
  <si>
    <t xml:space="preserve">      avalon_mm_rmap_o.readdata(0) &lt;= rmap_registers_wr_i.aeb2_ccfg_aeb_config.vasp1_cal_en;</t>
  </si>
  <si>
    <t xml:space="preserve">  when (16#236#) =&gt;</t>
  </si>
  <si>
    <t xml:space="preserve">      avalon_mm_rmap_o.readdata(7 downto 0) &lt;= rmap_registers_wr_i.aeb2_ccfg_aeb_config_key.key(7 downto 0);</t>
  </si>
  <si>
    <t xml:space="preserve">      avalon_mm_rmap_o.readdata(15 downto 8) &lt;= rmap_registers_wr_i.aeb2_ccfg_aeb_config_key.key(15 downto 8);</t>
  </si>
  <si>
    <t xml:space="preserve">      avalon_mm_rmap_o.readdata(23 downto 16) &lt;= rmap_registers_wr_i.aeb2_ccfg_aeb_config_key.key(23 downto 16);</t>
  </si>
  <si>
    <t xml:space="preserve">      avalon_mm_rmap_o.readdata(30 downto 24) &lt;= rmap_registers_wr_i.aeb2_ccfg_aeb_config_key.key(30 downto 24);</t>
  </si>
  <si>
    <t xml:space="preserve">  when (16#237#) =&gt;</t>
  </si>
  <si>
    <t xml:space="preserve">      avalon_mm_rmap_o.readdata(0) &lt;= rmap_registers_wr_i.aeb2_ccfg_aeb_config_ait1.override_sw;</t>
  </si>
  <si>
    <t xml:space="preserve">  when (16#238#) =&gt;</t>
  </si>
  <si>
    <t xml:space="preserve">      avalon_mm_rmap_o.readdata(0) &lt;= rmap_registers_wr_i.aeb2_ccfg_aeb_config_ait1.sw_van3;</t>
  </si>
  <si>
    <t xml:space="preserve">  when (16#239#) =&gt;</t>
  </si>
  <si>
    <t xml:space="preserve">      avalon_mm_rmap_o.readdata(0) &lt;= rmap_registers_wr_i.aeb2_ccfg_aeb_config_ait1.sw_van2;</t>
  </si>
  <si>
    <t xml:space="preserve">  when (16#23A#) =&gt;</t>
  </si>
  <si>
    <t xml:space="preserve">      avalon_mm_rmap_o.readdata(0) &lt;= rmap_registers_wr_i.aeb2_ccfg_aeb_config_ait1.sw_van1;</t>
  </si>
  <si>
    <t xml:space="preserve">  when (16#23B#) =&gt;</t>
  </si>
  <si>
    <t xml:space="preserve">      avalon_mm_rmap_o.readdata(0) &lt;= rmap_registers_wr_i.aeb2_ccfg_aeb_config_ait1.sw_vclk;</t>
  </si>
  <si>
    <t xml:space="preserve">  when (16#23C#) =&gt;</t>
  </si>
  <si>
    <t xml:space="preserve">      avalon_mm_rmap_o.readdata(0) &lt;= rmap_registers_wr_i.aeb2_ccfg_aeb_config_ait1.sw_vccd;</t>
  </si>
  <si>
    <t xml:space="preserve">  when (16#23D#) =&gt;</t>
  </si>
  <si>
    <t xml:space="preserve">      avalon_mm_rmap_o.readdata(0) &lt;= rmap_registers_wr_i.aeb2_ccfg_aeb_config_ait1.override_vasp;</t>
  </si>
  <si>
    <t xml:space="preserve">  when (16#23E#) =&gt;</t>
  </si>
  <si>
    <t xml:space="preserve">      avalon_mm_rmap_o.readdata(0) &lt;= rmap_registers_wr_i.aeb2_ccfg_aeb_config_ait1.vasp2_pix_en;</t>
  </si>
  <si>
    <t xml:space="preserve">  when (16#23F#) =&gt;</t>
  </si>
  <si>
    <t xml:space="preserve">      avalon_mm_rmap_o.readdata(0) &lt;= rmap_registers_wr_i.aeb2_ccfg_aeb_config_ait1.vasp1_pix_en;</t>
  </si>
  <si>
    <t xml:space="preserve">  when (16#240#) =&gt;</t>
  </si>
  <si>
    <t xml:space="preserve">      avalon_mm_rmap_o.readdata(0) &lt;= rmap_registers_wr_i.aeb2_ccfg_aeb_config_ait1.vasp2_adc_en;</t>
  </si>
  <si>
    <t xml:space="preserve">  when (16#241#) =&gt;</t>
  </si>
  <si>
    <t xml:space="preserve">      avalon_mm_rmap_o.readdata(0) &lt;= rmap_registers_wr_i.aeb2_ccfg_aeb_config_ait1.vasp1_adc_en;</t>
  </si>
  <si>
    <t xml:space="preserve">  when (16#242#) =&gt;</t>
  </si>
  <si>
    <t xml:space="preserve">      avalon_mm_rmap_o.readdata(0) &lt;= rmap_registers_wr_i.aeb2_ccfg_aeb_config_ait1.vasp2_reset;</t>
  </si>
  <si>
    <t xml:space="preserve">  when (16#243#) =&gt;</t>
  </si>
  <si>
    <t xml:space="preserve">      avalon_mm_rmap_o.readdata(0) &lt;= rmap_registers_wr_i.aeb2_ccfg_aeb_config_ait1.vasp1_reset;</t>
  </si>
  <si>
    <t xml:space="preserve">  when (16#244#) =&gt;</t>
  </si>
  <si>
    <t xml:space="preserve">      avalon_mm_rmap_o.readdata(0) &lt;= rmap_registers_wr_i.aeb2_ccfg_aeb_config_ait1.override_adc;</t>
  </si>
  <si>
    <t xml:space="preserve">  when (16#245#) =&gt;</t>
  </si>
  <si>
    <t xml:space="preserve">      avalon_mm_rmap_o.readdata(0) &lt;= rmap_registers_wr_i.aeb2_ccfg_aeb_config_ait1.adc2_en_p5v0;</t>
  </si>
  <si>
    <t xml:space="preserve">  when (16#246#) =&gt;</t>
  </si>
  <si>
    <t xml:space="preserve">      avalon_mm_rmap_o.readdata(0) &lt;= rmap_registers_wr_i.aeb2_ccfg_aeb_config_ait1.adc1_en_p5v0;</t>
  </si>
  <si>
    <t xml:space="preserve">  when (16#247#) =&gt;</t>
  </si>
  <si>
    <t xml:space="preserve">      avalon_mm_rmap_o.readdata(0) &lt;= rmap_registers_wr_i.aeb2_ccfg_aeb_config_ait1.pt1000_cal_on_n;</t>
  </si>
  <si>
    <t xml:space="preserve">  when (16#248#) =&gt;</t>
  </si>
  <si>
    <t xml:space="preserve">      avalon_mm_rmap_o.readdata(0) &lt;= rmap_registers_wr_i.aeb2_ccfg_aeb_config_ait1.en_v_mux_n;</t>
  </si>
  <si>
    <t xml:space="preserve">  when (16#249#) =&gt;</t>
  </si>
  <si>
    <t xml:space="preserve">      avalon_mm_rmap_o.readdata(0) &lt;= rmap_registers_wr_i.aeb2_ccfg_aeb_config_ait1.adc2_pwdn_n;</t>
  </si>
  <si>
    <t xml:space="preserve">  when (16#24A#) =&gt;</t>
  </si>
  <si>
    <t xml:space="preserve">      avalon_mm_rmap_o.readdata(0) &lt;= rmap_registers_wr_i.aeb2_ccfg_aeb_config_ait1.adc1_pwdn_n;</t>
  </si>
  <si>
    <t xml:space="preserve">  when (16#24B#) =&gt;</t>
  </si>
  <si>
    <t xml:space="preserve">      avalon_mm_rmap_o.readdata(0) &lt;= rmap_registers_wr_i.aeb2_ccfg_aeb_config_ait1.adc_clk_en;</t>
  </si>
  <si>
    <t xml:space="preserve">  when (16#24C#) =&gt;</t>
  </si>
  <si>
    <t xml:space="preserve">      avalon_mm_rmap_o.readdata(1 downto 0) &lt;= rmap_registers_wr_i.aeb2_ccfg_aeb_config_pattern.pattern_ccdid;</t>
  </si>
  <si>
    <t xml:space="preserve">      avalon_mm_rmap_o.readdata(23 downto 16) &lt;= rmap_registers_wr_i.aeb2_ccfg_aeb_config_pattern.pattern_cols(7 downto 0);</t>
  </si>
  <si>
    <t xml:space="preserve">      avalon_mm_rmap_o.readdata(29 downto 24) &lt;= rmap_registers_wr_i.aeb2_ccfg_aeb_config_pattern.pattern_cols(13 downto 8);</t>
  </si>
  <si>
    <t xml:space="preserve">  when (16#24D#) =&gt;</t>
  </si>
  <si>
    <t xml:space="preserve">      avalon_mm_rmap_o.readdata(7 downto 0) &lt;= rmap_registers_wr_i.aeb2_ccfg_aeb_config_pattern.pattern_rows(7 downto 0);</t>
  </si>
  <si>
    <t xml:space="preserve">      avalon_mm_rmap_o.readdata(13 downto 8) &lt;= rmap_registers_wr_i.aeb2_ccfg_aeb_config_pattern.pattern_rows(13 downto 8);</t>
  </si>
  <si>
    <t xml:space="preserve">      avalon_mm_rmap_o.readdata(23 downto 16) &lt;= rmap_registers_wr_i.aeb2_ccfg_vasp_i2c_control.vasp_cfg_addr;</t>
  </si>
  <si>
    <t xml:space="preserve">      avalon_mm_rmap_o.readdata(31 downto 24) &lt;= rmap_registers_wr_i.aeb2_ccfg_vasp_i2c_control.vasp1_cfg_data;</t>
  </si>
  <si>
    <t xml:space="preserve">  when (16#24E#) =&gt;</t>
  </si>
  <si>
    <t xml:space="preserve">      avalon_mm_rmap_o.readdata(7 downto 0) &lt;= rmap_registers_wr_i.aeb2_ccfg_vasp_i2c_control.vasp2_cfg_data;</t>
  </si>
  <si>
    <t xml:space="preserve">  when (16#24F#) =&gt;</t>
  </si>
  <si>
    <t xml:space="preserve">      avalon_mm_rmap_o.readdata(0) &lt;= rmap_registers_wr_i.aeb2_ccfg_vasp_i2c_control.vasp2_select;</t>
  </si>
  <si>
    <t xml:space="preserve">  when (16#250#) =&gt;</t>
  </si>
  <si>
    <t xml:space="preserve">      avalon_mm_rmap_o.readdata(0) &lt;= rmap_registers_wr_i.aeb2_ccfg_vasp_i2c_control.vasp1_select;</t>
  </si>
  <si>
    <t xml:space="preserve">  when (16#251#) =&gt;</t>
  </si>
  <si>
    <t xml:space="preserve">      avalon_mm_rmap_o.readdata(0) &lt;= rmap_registers_wr_i.aeb2_ccfg_vasp_i2c_control.calibration_start;</t>
  </si>
  <si>
    <t xml:space="preserve">  when (16#252#) =&gt;</t>
  </si>
  <si>
    <t xml:space="preserve">      avalon_mm_rmap_o.readdata(0) &lt;= rmap_registers_wr_i.aeb2_ccfg_vasp_i2c_control.i2c_read_start;</t>
  </si>
  <si>
    <t xml:space="preserve">  when (16#253#) =&gt;</t>
  </si>
  <si>
    <t xml:space="preserve">      avalon_mm_rmap_o.readdata(0) &lt;= rmap_registers_wr_i.aeb2_ccfg_vasp_i2c_control.i2c_write_start;</t>
  </si>
  <si>
    <t xml:space="preserve">  when (16#254#) =&gt;</t>
  </si>
  <si>
    <t xml:space="preserve">      avalon_mm_rmap_o.readdata(7 downto 0) &lt;= rmap_registers_wr_i.aeb2_ccfg_dac_config_1.dac_vog(7 downto 0);</t>
  </si>
  <si>
    <t xml:space="preserve">      avalon_mm_rmap_o.readdata(11 downto 8) &lt;= rmap_registers_wr_i.aeb2_ccfg_dac_config_1.dac_vog(11 downto 8);</t>
  </si>
  <si>
    <t xml:space="preserve">      avalon_mm_rmap_o.readdata(23 downto 16) &lt;= rmap_registers_wr_i.aeb2_ccfg_dac_config_1.dac_vrd(7 downto 0);</t>
  </si>
  <si>
    <t xml:space="preserve">      avalon_mm_rmap_o.readdata(27 downto 24) &lt;= rmap_registers_wr_i.aeb2_ccfg_dac_config_1.dac_vrd(11 downto 8);</t>
  </si>
  <si>
    <t xml:space="preserve">  when (16#255#) =&gt;</t>
  </si>
  <si>
    <t xml:space="preserve">      avalon_mm_rmap_o.readdata(7 downto 0) &lt;= rmap_registers_wr_i.aeb2_ccfg_dac_config_2.dac_vod(7 downto 0);</t>
  </si>
  <si>
    <t xml:space="preserve">      avalon_mm_rmap_o.readdata(11 downto 8) &lt;= rmap_registers_wr_i.aeb2_ccfg_dac_config_2.dac_vod(11 downto 8);</t>
  </si>
  <si>
    <t xml:space="preserve">      avalon_mm_rmap_o.readdata(23 downto 16) &lt;= rmap_registers_wr_i.aeb2_ccfg_pwr_config1.time_vccd_on;</t>
  </si>
  <si>
    <t xml:space="preserve">      avalon_mm_rmap_o.readdata(31 downto 24) &lt;= rmap_registers_wr_i.aeb2_ccfg_pwr_config1.time_vclk_on;</t>
  </si>
  <si>
    <t xml:space="preserve">  when (16#256#) =&gt;</t>
  </si>
  <si>
    <t xml:space="preserve">      avalon_mm_rmap_o.readdata(7 downto 0) &lt;= rmap_registers_wr_i.aeb2_ccfg_pwr_config1.time_van1_on;</t>
  </si>
  <si>
    <t xml:space="preserve">      avalon_mm_rmap_o.readdata(15 downto 8) &lt;= rmap_registers_wr_i.aeb2_ccfg_pwr_config1.time_van2_on;</t>
  </si>
  <si>
    <t xml:space="preserve">      avalon_mm_rmap_o.readdata(23 downto 16) &lt;= rmap_registers_wr_i.aeb2_ccfg_pwr_config2.time_van3_on;</t>
  </si>
  <si>
    <t xml:space="preserve">      avalon_mm_rmap_o.readdata(31 downto 24) &lt;= rmap_registers_wr_i.aeb2_ccfg_pwr_config2.time_vccd_off;</t>
  </si>
  <si>
    <t xml:space="preserve">  when (16#257#) =&gt;</t>
  </si>
  <si>
    <t xml:space="preserve">      avalon_mm_rmap_o.readdata(7 downto 0) &lt;= rmap_registers_wr_i.aeb2_ccfg_pwr_config2.time_vclk_off;</t>
  </si>
  <si>
    <t xml:space="preserve">      avalon_mm_rmap_o.readdata(15 downto 8) &lt;= rmap_registers_wr_i.aeb2_ccfg_pwr_config2.time_van1_off;</t>
  </si>
  <si>
    <t xml:space="preserve">      avalon_mm_rmap_o.readdata(23 downto 16) &lt;= rmap_registers_wr_i.aeb2_ccfg_pwr_config3.time_van2_off;</t>
  </si>
  <si>
    <t xml:space="preserve">      avalon_mm_rmap_o.readdata(31 downto 24) &lt;= rmap_registers_wr_i.aeb2_ccfg_pwr_config3.time_van3_off;</t>
  </si>
  <si>
    <t xml:space="preserve">  when (16#258#) =&gt;</t>
  </si>
  <si>
    <t xml:space="preserve">      -- AEB 2 General Configuration Area : </t>
  </si>
  <si>
    <t xml:space="preserve">      avalon_mm_rmap_o.readdata(0) &lt;= rmap_registers_wr_i.aeb2_gcfg_adc1_config.adc1_bypas;</t>
  </si>
  <si>
    <t xml:space="preserve">  when (16#259#) =&gt;</t>
  </si>
  <si>
    <t xml:space="preserve">      avalon_mm_rmap_o.readdata(0) &lt;= rmap_registers_wr_i.aeb2_gcfg_adc1_config.adc1_clkenb;</t>
  </si>
  <si>
    <t xml:space="preserve">  when (16#25A#) =&gt;</t>
  </si>
  <si>
    <t xml:space="preserve">      avalon_mm_rmap_o.readdata(0) &lt;= rmap_registers_wr_i.aeb2_gcfg_adc1_config.adc1_chop;</t>
  </si>
  <si>
    <t xml:space="preserve">  when (16#25B#) =&gt;</t>
  </si>
  <si>
    <t xml:space="preserve">      avalon_mm_rmap_o.readdata(0) &lt;= rmap_registers_wr_i.aeb2_gcfg_adc1_config.adc1_stat;</t>
  </si>
  <si>
    <t xml:space="preserve">  when (16#25C#) =&gt;</t>
  </si>
  <si>
    <t xml:space="preserve">      avalon_mm_rmap_o.readdata(0) &lt;= rmap_registers_wr_i.aeb2_gcfg_adc1_config.adc1_idlmod;</t>
  </si>
  <si>
    <t xml:space="preserve">  when (16#25D#) =&gt;</t>
  </si>
  <si>
    <t xml:space="preserve">      avalon_mm_rmap_o.readdata(0) &lt;= rmap_registers_wr_i.aeb2_gcfg_adc1_config.adc1_dly2;</t>
  </si>
  <si>
    <t xml:space="preserve">  when (16#25E#) =&gt;</t>
  </si>
  <si>
    <t xml:space="preserve">      avalon_mm_rmap_o.readdata(0) &lt;= rmap_registers_wr_i.aeb2_gcfg_adc1_config.adc1_dly1;</t>
  </si>
  <si>
    <t xml:space="preserve">  when (16#25F#) =&gt;</t>
  </si>
  <si>
    <t xml:space="preserve">      avalon_mm_rmap_o.readdata(0) &lt;= rmap_registers_wr_i.aeb2_gcfg_adc1_config.adc1_dly0;</t>
  </si>
  <si>
    <t xml:space="preserve">  when (16#260#) =&gt;</t>
  </si>
  <si>
    <t xml:space="preserve">      avalon_mm_rmap_o.readdata(0) &lt;= rmap_registers_wr_i.aeb2_gcfg_adc1_config.adc1_sbcs1;</t>
  </si>
  <si>
    <t xml:space="preserve">  when (16#261#) =&gt;</t>
  </si>
  <si>
    <t xml:space="preserve">      avalon_mm_rmap_o.readdata(0) &lt;= rmap_registers_wr_i.aeb2_gcfg_adc1_config.adc1_sbcs0;</t>
  </si>
  <si>
    <t xml:space="preserve">  when (16#262#) =&gt;</t>
  </si>
  <si>
    <t xml:space="preserve">      avalon_mm_rmap_o.readdata(0) &lt;= rmap_registers_wr_i.aeb2_gcfg_adc1_config.adc1_drate1;</t>
  </si>
  <si>
    <t xml:space="preserve">  when (16#263#) =&gt;</t>
  </si>
  <si>
    <t xml:space="preserve">      avalon_mm_rmap_o.readdata(0) &lt;= rmap_registers_wr_i.aeb2_gcfg_adc1_config.adc1_drate0;</t>
  </si>
  <si>
    <t xml:space="preserve">  when (16#264#) =&gt;</t>
  </si>
  <si>
    <t xml:space="preserve">      avalon_mm_rmap_o.readdata(0) &lt;= rmap_registers_wr_i.aeb2_gcfg_adc1_config.adc1_ainp3;</t>
  </si>
  <si>
    <t xml:space="preserve">  when (16#265#) =&gt;</t>
  </si>
  <si>
    <t xml:space="preserve">      avalon_mm_rmap_o.readdata(0) &lt;= rmap_registers_wr_i.aeb2_gcfg_adc1_config.adc1_ainp2;</t>
  </si>
  <si>
    <t xml:space="preserve">  when (16#266#) =&gt;</t>
  </si>
  <si>
    <t xml:space="preserve">      avalon_mm_rmap_o.readdata(0) &lt;= rmap_registers_wr_i.aeb2_gcfg_adc1_config.adc1_ainp1;</t>
  </si>
  <si>
    <t xml:space="preserve">  when (16#267#) =&gt;</t>
  </si>
  <si>
    <t xml:space="preserve">      avalon_mm_rmap_o.readdata(0) &lt;= rmap_registers_wr_i.aeb2_gcfg_adc1_config.adc1_ainp0;</t>
  </si>
  <si>
    <t xml:space="preserve">  when (16#268#) =&gt;</t>
  </si>
  <si>
    <t xml:space="preserve">      avalon_mm_rmap_o.readdata(0) &lt;= rmap_registers_wr_i.aeb2_gcfg_adc1_config.adc1_ainn3;</t>
  </si>
  <si>
    <t xml:space="preserve">  when (16#269#) =&gt;</t>
  </si>
  <si>
    <t xml:space="preserve">      avalon_mm_rmap_o.readdata(0) &lt;= rmap_registers_wr_i.aeb2_gcfg_adc1_config.adc1_ainn2;</t>
  </si>
  <si>
    <t xml:space="preserve">  when (16#26A#) =&gt;</t>
  </si>
  <si>
    <t xml:space="preserve">      avalon_mm_rmap_o.readdata(0) &lt;= rmap_registers_wr_i.aeb2_gcfg_adc1_config.adc1_ainn1;</t>
  </si>
  <si>
    <t xml:space="preserve">  when (16#26B#) =&gt;</t>
  </si>
  <si>
    <t xml:space="preserve">      avalon_mm_rmap_o.readdata(0) &lt;= rmap_registers_wr_i.aeb2_gcfg_adc1_config.adc1_ainn0;</t>
  </si>
  <si>
    <t xml:space="preserve">  when (16#26C#) =&gt;</t>
  </si>
  <si>
    <t xml:space="preserve">      avalon_mm_rmap_o.readdata(0) &lt;= rmap_registers_wr_i.aeb2_gcfg_adc1_config.adc1_diff7;</t>
  </si>
  <si>
    <t xml:space="preserve">  when (16#26D#) =&gt;</t>
  </si>
  <si>
    <t xml:space="preserve">      avalon_mm_rmap_o.readdata(0) &lt;= rmap_registers_wr_i.aeb2_gcfg_adc1_config.adc1_diff6;</t>
  </si>
  <si>
    <t xml:space="preserve">  when (16#26E#) =&gt;</t>
  </si>
  <si>
    <t xml:space="preserve">      avalon_mm_rmap_o.readdata(0) &lt;= rmap_registers_wr_i.aeb2_gcfg_adc1_config.adc1_diff5;</t>
  </si>
  <si>
    <t xml:space="preserve">  when (16#26F#) =&gt;</t>
  </si>
  <si>
    <t xml:space="preserve">      avalon_mm_rmap_o.readdata(0) &lt;= rmap_registers_wr_i.aeb2_gcfg_adc1_config.adc1_diff4;</t>
  </si>
  <si>
    <t xml:space="preserve">  when (16#270#) =&gt;</t>
  </si>
  <si>
    <t xml:space="preserve">      avalon_mm_rmap_o.readdata(0) &lt;= rmap_registers_wr_i.aeb2_gcfg_adc1_config.adc1_diff3;</t>
  </si>
  <si>
    <t xml:space="preserve">  when (16#271#) =&gt;</t>
  </si>
  <si>
    <t xml:space="preserve">      avalon_mm_rmap_o.readdata(0) &lt;= rmap_registers_wr_i.aeb2_gcfg_adc1_config.adc1_diff2;</t>
  </si>
  <si>
    <t xml:space="preserve">  when (16#272#) =&gt;</t>
  </si>
  <si>
    <t xml:space="preserve">      avalon_mm_rmap_o.readdata(0) &lt;= rmap_registers_wr_i.aeb2_gcfg_adc1_config.adc1_diff1;</t>
  </si>
  <si>
    <t xml:space="preserve">  when (16#273#) =&gt;</t>
  </si>
  <si>
    <t xml:space="preserve">      avalon_mm_rmap_o.readdata(0) &lt;= rmap_registers_wr_i.aeb2_gcfg_adc1_config.adc1_diff0;</t>
  </si>
  <si>
    <t xml:space="preserve">  when (16#274#) =&gt;</t>
  </si>
  <si>
    <t xml:space="preserve">      avalon_mm_rmap_o.readdata(0) &lt;= rmap_registers_wr_i.aeb2_gcfg_adc1_config.adc1_ain7;</t>
  </si>
  <si>
    <t xml:space="preserve">  when (16#275#) =&gt;</t>
  </si>
  <si>
    <t xml:space="preserve">      avalon_mm_rmap_o.readdata(0) &lt;= rmap_registers_wr_i.aeb2_gcfg_adc1_config.adc1_ain6;</t>
  </si>
  <si>
    <t xml:space="preserve">  when (16#276#) =&gt;</t>
  </si>
  <si>
    <t xml:space="preserve">      avalon_mm_rmap_o.readdata(0) &lt;= rmap_registers_wr_i.aeb2_gcfg_adc1_config.adc1_ain5;</t>
  </si>
  <si>
    <t xml:space="preserve">  when (16#277#) =&gt;</t>
  </si>
  <si>
    <t xml:space="preserve">      avalon_mm_rmap_o.readdata(0) &lt;= rmap_registers_wr_i.aeb2_gcfg_adc1_config.adc1_ain4;</t>
  </si>
  <si>
    <t xml:space="preserve">  when (16#278#) =&gt;</t>
  </si>
  <si>
    <t xml:space="preserve">      avalon_mm_rmap_o.readdata(0) &lt;= rmap_registers_wr_i.aeb2_gcfg_adc1_config.adc1_ain3;</t>
  </si>
  <si>
    <t xml:space="preserve">  when (16#279#) =&gt;</t>
  </si>
  <si>
    <t xml:space="preserve">      avalon_mm_rmap_o.readdata(0) &lt;= rmap_registers_wr_i.aeb2_gcfg_adc1_config.adc1_ain2;</t>
  </si>
  <si>
    <t xml:space="preserve">  when (16#27A#) =&gt;</t>
  </si>
  <si>
    <t xml:space="preserve">      avalon_mm_rmap_o.readdata(0) &lt;= rmap_registers_wr_i.aeb2_gcfg_adc1_config.adc1_ain1;</t>
  </si>
  <si>
    <t xml:space="preserve">  when (16#27B#) =&gt;</t>
  </si>
  <si>
    <t xml:space="preserve">      avalon_mm_rmap_o.readdata(0) &lt;= rmap_registers_wr_i.aeb2_gcfg_adc1_config.adc1_ain0;</t>
  </si>
  <si>
    <t xml:space="preserve">  when (16#27C#) =&gt;</t>
  </si>
  <si>
    <t xml:space="preserve">      avalon_mm_rmap_o.readdata(0) &lt;= rmap_registers_wr_i.aeb2_gcfg_adc1_config.adc1_ain15;</t>
  </si>
  <si>
    <t xml:space="preserve">  when (16#27D#) =&gt;</t>
  </si>
  <si>
    <t xml:space="preserve">      avalon_mm_rmap_o.readdata(0) &lt;= rmap_registers_wr_i.aeb2_gcfg_adc1_config.adc1_ain14;</t>
  </si>
  <si>
    <t xml:space="preserve">  when (16#27E#) =&gt;</t>
  </si>
  <si>
    <t xml:space="preserve">      avalon_mm_rmap_o.readdata(0) &lt;= rmap_registers_wr_i.aeb2_gcfg_adc1_config.adc1_ain13;</t>
  </si>
  <si>
    <t xml:space="preserve">  when (16#27F#) =&gt;</t>
  </si>
  <si>
    <t xml:space="preserve">      avalon_mm_rmap_o.readdata(0) &lt;= rmap_registers_wr_i.aeb2_gcfg_adc1_config.adc1_ain12;</t>
  </si>
  <si>
    <t xml:space="preserve">  when (16#280#) =&gt;</t>
  </si>
  <si>
    <t xml:space="preserve">      avalon_mm_rmap_o.readdata(0) &lt;= rmap_registers_wr_i.aeb2_gcfg_adc1_config.adc1_ain11;</t>
  </si>
  <si>
    <t xml:space="preserve">  when (16#281#) =&gt;</t>
  </si>
  <si>
    <t xml:space="preserve">      avalon_mm_rmap_o.readdata(0) &lt;= rmap_registers_wr_i.aeb2_gcfg_adc1_config.adc1_ain10;</t>
  </si>
  <si>
    <t xml:space="preserve">  when (16#282#) =&gt;</t>
  </si>
  <si>
    <t xml:space="preserve">      avalon_mm_rmap_o.readdata(0) &lt;= rmap_registers_wr_i.aeb2_gcfg_adc1_config.adc1_ain9;</t>
  </si>
  <si>
    <t xml:space="preserve">  when (16#283#) =&gt;</t>
  </si>
  <si>
    <t xml:space="preserve">      avalon_mm_rmap_o.readdata(0) &lt;= rmap_registers_wr_i.aeb2_gcfg_adc1_config.adc1_ain8;</t>
  </si>
  <si>
    <t xml:space="preserve">  when (16#284#) =&gt;</t>
  </si>
  <si>
    <t xml:space="preserve">      avalon_mm_rmap_o.readdata(0) &lt;= rmap_registers_wr_i.aeb2_gcfg_adc1_config.adc1_ref;</t>
  </si>
  <si>
    <t xml:space="preserve">  when (16#285#) =&gt;</t>
  </si>
  <si>
    <t xml:space="preserve">      avalon_mm_rmap_o.readdata(0) &lt;= rmap_registers_wr_i.aeb2_gcfg_adc1_config.adc1_gain;</t>
  </si>
  <si>
    <t xml:space="preserve">  when (16#286#) =&gt;</t>
  </si>
  <si>
    <t xml:space="preserve">      avalon_mm_rmap_o.readdata(0) &lt;= rmap_registers_wr_i.aeb2_gcfg_adc1_config.adc1_temp;</t>
  </si>
  <si>
    <t xml:space="preserve">  when (16#287#) =&gt;</t>
  </si>
  <si>
    <t xml:space="preserve">      avalon_mm_rmap_o.readdata(0) &lt;= rmap_registers_wr_i.aeb2_gcfg_adc1_config.adc1_vcc;</t>
  </si>
  <si>
    <t xml:space="preserve">  when (16#288#) =&gt;</t>
  </si>
  <si>
    <t xml:space="preserve">      avalon_mm_rmap_o.readdata(0) &lt;= rmap_registers_wr_i.aeb2_gcfg_adc1_config.adc1_offset;</t>
  </si>
  <si>
    <t xml:space="preserve">  when (16#289#) =&gt;</t>
  </si>
  <si>
    <t xml:space="preserve">      avalon_mm_rmap_o.readdata(0) &lt;= rmap_registers_wr_i.aeb2_gcfg_adc1_config.adc1_cio7;</t>
  </si>
  <si>
    <t xml:space="preserve">  when (16#28A#) =&gt;</t>
  </si>
  <si>
    <t xml:space="preserve">      avalon_mm_rmap_o.readdata(0) &lt;= rmap_registers_wr_i.aeb2_gcfg_adc1_config.adc1_cio6;</t>
  </si>
  <si>
    <t xml:space="preserve">  when (16#28B#) =&gt;</t>
  </si>
  <si>
    <t xml:space="preserve">      avalon_mm_rmap_o.readdata(0) &lt;= rmap_registers_wr_i.aeb2_gcfg_adc1_config.adc1_cio5;</t>
  </si>
  <si>
    <t xml:space="preserve">  when (16#28C#) =&gt;</t>
  </si>
  <si>
    <t xml:space="preserve">      avalon_mm_rmap_o.readdata(0) &lt;= rmap_registers_wr_i.aeb2_gcfg_adc1_config.adc1_cio4;</t>
  </si>
  <si>
    <t xml:space="preserve">  when (16#28D#) =&gt;</t>
  </si>
  <si>
    <t xml:space="preserve">      avalon_mm_rmap_o.readdata(0) &lt;= rmap_registers_wr_i.aeb2_gcfg_adc1_config.adc1_cio3;</t>
  </si>
  <si>
    <t xml:space="preserve">  when (16#28E#) =&gt;</t>
  </si>
  <si>
    <t xml:space="preserve">      avalon_mm_rmap_o.readdata(0) &lt;= rmap_registers_wr_i.aeb2_gcfg_adc1_config.adc1_cio2;</t>
  </si>
  <si>
    <t xml:space="preserve">  when (16#28F#) =&gt;</t>
  </si>
  <si>
    <t xml:space="preserve">      avalon_mm_rmap_o.readdata(0) &lt;= rmap_registers_wr_i.aeb2_gcfg_adc1_config.adc1_cio1;</t>
  </si>
  <si>
    <t xml:space="preserve">  when (16#290#) =&gt;</t>
  </si>
  <si>
    <t xml:space="preserve">      avalon_mm_rmap_o.readdata(0) &lt;= rmap_registers_wr_i.aeb2_gcfg_adc1_config.adc1_cio0;</t>
  </si>
  <si>
    <t xml:space="preserve">  when (16#291#) =&gt;</t>
  </si>
  <si>
    <t xml:space="preserve">      avalon_mm_rmap_o.readdata(0) &lt;= rmap_registers_wr_i.aeb2_gcfg_adc1_config.adc1_dio7;</t>
  </si>
  <si>
    <t xml:space="preserve">  when (16#292#) =&gt;</t>
  </si>
  <si>
    <t xml:space="preserve">      avalon_mm_rmap_o.readdata(0) &lt;= rmap_registers_wr_i.aeb2_gcfg_adc1_config.adc1_dio6;</t>
  </si>
  <si>
    <t xml:space="preserve">  when (16#293#) =&gt;</t>
  </si>
  <si>
    <t xml:space="preserve">      avalon_mm_rmap_o.readdata(0) &lt;= rmap_registers_wr_i.aeb2_gcfg_adc1_config.adc1_dio5;</t>
  </si>
  <si>
    <t xml:space="preserve">  when (16#294#) =&gt;</t>
  </si>
  <si>
    <t xml:space="preserve">      avalon_mm_rmap_o.readdata(0) &lt;= rmap_registers_wr_i.aeb2_gcfg_adc1_config.adc1_dio4;</t>
  </si>
  <si>
    <t xml:space="preserve">  when (16#295#) =&gt;</t>
  </si>
  <si>
    <t xml:space="preserve">      avalon_mm_rmap_o.readdata(0) &lt;= rmap_registers_wr_i.aeb2_gcfg_adc1_config.adc1_dio3;</t>
  </si>
  <si>
    <t xml:space="preserve">  when (16#296#) =&gt;</t>
  </si>
  <si>
    <t xml:space="preserve">      avalon_mm_rmap_o.readdata(0) &lt;= rmap_registers_wr_i.aeb2_gcfg_adc1_config.adc1_dio2;</t>
  </si>
  <si>
    <t xml:space="preserve">  when (16#297#) =&gt;</t>
  </si>
  <si>
    <t xml:space="preserve">      avalon_mm_rmap_o.readdata(0) &lt;= rmap_registers_wr_i.aeb2_gcfg_adc1_config.adc1_dio1;</t>
  </si>
  <si>
    <t xml:space="preserve">  when (16#298#) =&gt;</t>
  </si>
  <si>
    <t xml:space="preserve">      avalon_mm_rmap_o.readdata(0) &lt;= rmap_registers_wr_i.aeb2_gcfg_adc1_config.adc1_dio0;</t>
  </si>
  <si>
    <t xml:space="preserve">  when (16#299#) =&gt;</t>
  </si>
  <si>
    <t xml:space="preserve">      avalon_mm_rmap_o.readdata(0) &lt;= rmap_registers_wr_i.aeb2_gcfg_adc2_config.adc2_bypas;</t>
  </si>
  <si>
    <t xml:space="preserve">  when (16#29A#) =&gt;</t>
  </si>
  <si>
    <t xml:space="preserve">      avalon_mm_rmap_o.readdata(0) &lt;= rmap_registers_wr_i.aeb2_gcfg_adc2_config.adc2_clkenb;</t>
  </si>
  <si>
    <t xml:space="preserve">  when (16#29B#) =&gt;</t>
  </si>
  <si>
    <t xml:space="preserve">      avalon_mm_rmap_o.readdata(0) &lt;= rmap_registers_wr_i.aeb2_gcfg_adc2_config.adc2_chop;</t>
  </si>
  <si>
    <t xml:space="preserve">  when (16#29C#) =&gt;</t>
  </si>
  <si>
    <t xml:space="preserve">      avalon_mm_rmap_o.readdata(0) &lt;= rmap_registers_wr_i.aeb2_gcfg_adc2_config.adc2_stat;</t>
  </si>
  <si>
    <t xml:space="preserve">  when (16#29D#) =&gt;</t>
  </si>
  <si>
    <t xml:space="preserve">      avalon_mm_rmap_o.readdata(0) &lt;= rmap_registers_wr_i.aeb2_gcfg_adc2_config.adc2_idlmod;</t>
  </si>
  <si>
    <t xml:space="preserve">  when (16#29E#) =&gt;</t>
  </si>
  <si>
    <t xml:space="preserve">      avalon_mm_rmap_o.readdata(0) &lt;= rmap_registers_wr_i.aeb2_gcfg_adc2_config.adc2_dly2;</t>
  </si>
  <si>
    <t xml:space="preserve">  when (16#29F#) =&gt;</t>
  </si>
  <si>
    <t xml:space="preserve">      avalon_mm_rmap_o.readdata(0) &lt;= rmap_registers_wr_i.aeb2_gcfg_adc2_config.adc2_dly1;</t>
  </si>
  <si>
    <t xml:space="preserve">  when (16#2A0#) =&gt;</t>
  </si>
  <si>
    <t xml:space="preserve">      avalon_mm_rmap_o.readdata(0) &lt;= rmap_registers_wr_i.aeb2_gcfg_adc2_config.adc2_dly0;</t>
  </si>
  <si>
    <t xml:space="preserve">  when (16#2A1#) =&gt;</t>
  </si>
  <si>
    <t xml:space="preserve">      avalon_mm_rmap_o.readdata(0) &lt;= rmap_registers_wr_i.aeb2_gcfg_adc2_config.adc2_sbcs1;</t>
  </si>
  <si>
    <t xml:space="preserve">  when (16#2A2#) =&gt;</t>
  </si>
  <si>
    <t xml:space="preserve">      avalon_mm_rmap_o.readdata(0) &lt;= rmap_registers_wr_i.aeb2_gcfg_adc2_config.adc2_sbcs0;</t>
  </si>
  <si>
    <t xml:space="preserve">  when (16#2A3#) =&gt;</t>
  </si>
  <si>
    <t xml:space="preserve">      avalon_mm_rmap_o.readdata(0) &lt;= rmap_registers_wr_i.aeb2_gcfg_adc2_config.adc2_drate1;</t>
  </si>
  <si>
    <t xml:space="preserve">  when (16#2A4#) =&gt;</t>
  </si>
  <si>
    <t xml:space="preserve">      avalon_mm_rmap_o.readdata(0) &lt;= rmap_registers_wr_i.aeb2_gcfg_adc2_config.adc2_drate0;</t>
  </si>
  <si>
    <t xml:space="preserve">  when (16#2A5#) =&gt;</t>
  </si>
  <si>
    <t xml:space="preserve">      avalon_mm_rmap_o.readdata(0) &lt;= rmap_registers_wr_i.aeb2_gcfg_adc2_config.adc2_ainp3;</t>
  </si>
  <si>
    <t xml:space="preserve">  when (16#2A6#) =&gt;</t>
  </si>
  <si>
    <t xml:space="preserve">      avalon_mm_rmap_o.readdata(0) &lt;= rmap_registers_wr_i.aeb2_gcfg_adc2_config.adc2_ainp2;</t>
  </si>
  <si>
    <t xml:space="preserve">  when (16#2A7#) =&gt;</t>
  </si>
  <si>
    <t xml:space="preserve">      avalon_mm_rmap_o.readdata(0) &lt;= rmap_registers_wr_i.aeb2_gcfg_adc2_config.adc2_ainp1;</t>
  </si>
  <si>
    <t xml:space="preserve">  when (16#2A8#) =&gt;</t>
  </si>
  <si>
    <t xml:space="preserve">      avalon_mm_rmap_o.readdata(0) &lt;= rmap_registers_wr_i.aeb2_gcfg_adc2_config.adc2_ainp0;</t>
  </si>
  <si>
    <t xml:space="preserve">  when (16#2A9#) =&gt;</t>
  </si>
  <si>
    <t xml:space="preserve">      avalon_mm_rmap_o.readdata(0) &lt;= rmap_registers_wr_i.aeb2_gcfg_adc2_config.adc2_ainn3;</t>
  </si>
  <si>
    <t xml:space="preserve">  when (16#2AA#) =&gt;</t>
  </si>
  <si>
    <t xml:space="preserve">      avalon_mm_rmap_o.readdata(0) &lt;= rmap_registers_wr_i.aeb2_gcfg_adc2_config.adc2_ainn2;</t>
  </si>
  <si>
    <t xml:space="preserve">  when (16#2AB#) =&gt;</t>
  </si>
  <si>
    <t xml:space="preserve">      avalon_mm_rmap_o.readdata(0) &lt;= rmap_registers_wr_i.aeb2_gcfg_adc2_config.adc2_ainn1;</t>
  </si>
  <si>
    <t xml:space="preserve">  when (16#2AC#) =&gt;</t>
  </si>
  <si>
    <t xml:space="preserve">      avalon_mm_rmap_o.readdata(0) &lt;= rmap_registers_wr_i.aeb2_gcfg_adc2_config.adc2_ainn0;</t>
  </si>
  <si>
    <t xml:space="preserve">  when (16#2AD#) =&gt;</t>
  </si>
  <si>
    <t xml:space="preserve">      avalon_mm_rmap_o.readdata(0) &lt;= rmap_registers_wr_i.aeb2_gcfg_adc2_config.adc2_diff7;</t>
  </si>
  <si>
    <t xml:space="preserve">  when (16#2AE#) =&gt;</t>
  </si>
  <si>
    <t xml:space="preserve">      avalon_mm_rmap_o.readdata(0) &lt;= rmap_registers_wr_i.aeb2_gcfg_adc2_config.adc2_diff6;</t>
  </si>
  <si>
    <t xml:space="preserve">  when (16#2AF#) =&gt;</t>
  </si>
  <si>
    <t xml:space="preserve">      avalon_mm_rmap_o.readdata(0) &lt;= rmap_registers_wr_i.aeb2_gcfg_adc2_config.adc2_diff5;</t>
  </si>
  <si>
    <t xml:space="preserve">  when (16#2B0#) =&gt;</t>
  </si>
  <si>
    <t xml:space="preserve">      avalon_mm_rmap_o.readdata(0) &lt;= rmap_registers_wr_i.aeb2_gcfg_adc2_config.adc2_diff4;</t>
  </si>
  <si>
    <t xml:space="preserve">  when (16#2B1#) =&gt;</t>
  </si>
  <si>
    <t xml:space="preserve">      avalon_mm_rmap_o.readdata(0) &lt;= rmap_registers_wr_i.aeb2_gcfg_adc2_config.adc2_diff3;</t>
  </si>
  <si>
    <t xml:space="preserve">  when (16#2B2#) =&gt;</t>
  </si>
  <si>
    <t xml:space="preserve">      avalon_mm_rmap_o.readdata(0) &lt;= rmap_registers_wr_i.aeb2_gcfg_adc2_config.adc2_diff2;</t>
  </si>
  <si>
    <t xml:space="preserve">  when (16#2B3#) =&gt;</t>
  </si>
  <si>
    <t xml:space="preserve">      avalon_mm_rmap_o.readdata(0) &lt;= rmap_registers_wr_i.aeb2_gcfg_adc2_config.adc2_diff1;</t>
  </si>
  <si>
    <t xml:space="preserve">  when (16#2B4#) =&gt;</t>
  </si>
  <si>
    <t xml:space="preserve">      avalon_mm_rmap_o.readdata(0) &lt;= rmap_registers_wr_i.aeb2_gcfg_adc2_config.adc2_diff0;</t>
  </si>
  <si>
    <t xml:space="preserve">  when (16#2B5#) =&gt;</t>
  </si>
  <si>
    <t xml:space="preserve">      avalon_mm_rmap_o.readdata(0) &lt;= rmap_registers_wr_i.aeb2_gcfg_adc2_config.adc2_ain7;</t>
  </si>
  <si>
    <t xml:space="preserve">  when (16#2B6#) =&gt;</t>
  </si>
  <si>
    <t xml:space="preserve">      avalon_mm_rmap_o.readdata(0) &lt;= rmap_registers_wr_i.aeb2_gcfg_adc2_config.adc2_ain6;</t>
  </si>
  <si>
    <t xml:space="preserve">  when (16#2B7#) =&gt;</t>
  </si>
  <si>
    <t xml:space="preserve">      avalon_mm_rmap_o.readdata(0) &lt;= rmap_registers_wr_i.aeb2_gcfg_adc2_config.adc2_ain5;</t>
  </si>
  <si>
    <t xml:space="preserve">  when (16#2B8#) =&gt;</t>
  </si>
  <si>
    <t xml:space="preserve">      avalon_mm_rmap_o.readdata(0) &lt;= rmap_registers_wr_i.aeb2_gcfg_adc2_config.adc2_ain4;</t>
  </si>
  <si>
    <t xml:space="preserve">  when (16#2B9#) =&gt;</t>
  </si>
  <si>
    <t xml:space="preserve">      avalon_mm_rmap_o.readdata(0) &lt;= rmap_registers_wr_i.aeb2_gcfg_adc2_config.adc2_ain3;</t>
  </si>
  <si>
    <t xml:space="preserve">  when (16#2BA#) =&gt;</t>
  </si>
  <si>
    <t xml:space="preserve">      avalon_mm_rmap_o.readdata(0) &lt;= rmap_registers_wr_i.aeb2_gcfg_adc2_config.adc2_ain2;</t>
  </si>
  <si>
    <t xml:space="preserve">  when (16#2BB#) =&gt;</t>
  </si>
  <si>
    <t xml:space="preserve">      avalon_mm_rmap_o.readdata(0) &lt;= rmap_registers_wr_i.aeb2_gcfg_adc2_config.adc2_ain1;</t>
  </si>
  <si>
    <t xml:space="preserve">  when (16#2BC#) =&gt;</t>
  </si>
  <si>
    <t xml:space="preserve">      avalon_mm_rmap_o.readdata(0) &lt;= rmap_registers_wr_i.aeb2_gcfg_adc2_config.adc2_ain0;</t>
  </si>
  <si>
    <t xml:space="preserve">  when (16#2BD#) =&gt;</t>
  </si>
  <si>
    <t xml:space="preserve">      avalon_mm_rmap_o.readdata(0) &lt;= rmap_registers_wr_i.aeb2_gcfg_adc2_config.adc2_ain15;</t>
  </si>
  <si>
    <t xml:space="preserve">  when (16#2BE#) =&gt;</t>
  </si>
  <si>
    <t xml:space="preserve">      avalon_mm_rmap_o.readdata(0) &lt;= rmap_registers_wr_i.aeb2_gcfg_adc2_config.adc2_ain14;</t>
  </si>
  <si>
    <t xml:space="preserve">  when (16#2BF#) =&gt;</t>
  </si>
  <si>
    <t xml:space="preserve">      avalon_mm_rmap_o.readdata(0) &lt;= rmap_registers_wr_i.aeb2_gcfg_adc2_config.adc2_ain13;</t>
  </si>
  <si>
    <t xml:space="preserve">  when (16#2C0#) =&gt;</t>
  </si>
  <si>
    <t xml:space="preserve">      avalon_mm_rmap_o.readdata(0) &lt;= rmap_registers_wr_i.aeb2_gcfg_adc2_config.adc2_ain12;</t>
  </si>
  <si>
    <t xml:space="preserve">  when (16#2C1#) =&gt;</t>
  </si>
  <si>
    <t xml:space="preserve">      avalon_mm_rmap_o.readdata(0) &lt;= rmap_registers_wr_i.aeb2_gcfg_adc2_config.adc2_ain11;</t>
  </si>
  <si>
    <t xml:space="preserve">  when (16#2C2#) =&gt;</t>
  </si>
  <si>
    <t xml:space="preserve">      avalon_mm_rmap_o.readdata(0) &lt;= rmap_registers_wr_i.aeb2_gcfg_adc2_config.adc2_ain10;</t>
  </si>
  <si>
    <t xml:space="preserve">  when (16#2C3#) =&gt;</t>
  </si>
  <si>
    <t xml:space="preserve">      avalon_mm_rmap_o.readdata(0) &lt;= rmap_registers_wr_i.aeb2_gcfg_adc2_config.adc2_ain9;</t>
  </si>
  <si>
    <t xml:space="preserve">  when (16#2C4#) =&gt;</t>
  </si>
  <si>
    <t xml:space="preserve">      avalon_mm_rmap_o.readdata(0) &lt;= rmap_registers_wr_i.aeb2_gcfg_adc2_config.adc2_ain8;</t>
  </si>
  <si>
    <t xml:space="preserve">  when (16#2C5#) =&gt;</t>
  </si>
  <si>
    <t xml:space="preserve">      avalon_mm_rmap_o.readdata(0) &lt;= rmap_registers_wr_i.aeb2_gcfg_adc2_config.adc2_ref;</t>
  </si>
  <si>
    <t xml:space="preserve">  when (16#2C6#) =&gt;</t>
  </si>
  <si>
    <t xml:space="preserve">      avalon_mm_rmap_o.readdata(0) &lt;= rmap_registers_wr_i.aeb2_gcfg_adc2_config.adc2_gain;</t>
  </si>
  <si>
    <t xml:space="preserve">  when (16#2C7#) =&gt;</t>
  </si>
  <si>
    <t xml:space="preserve">      avalon_mm_rmap_o.readdata(0) &lt;= rmap_registers_wr_i.aeb2_gcfg_adc2_config.adc2_temp;</t>
  </si>
  <si>
    <t xml:space="preserve">  when (16#2C8#) =&gt;</t>
  </si>
  <si>
    <t xml:space="preserve">      avalon_mm_rmap_o.readdata(0) &lt;= rmap_registers_wr_i.aeb2_gcfg_adc2_config.adc2_vcc;</t>
  </si>
  <si>
    <t xml:space="preserve">  when (16#2C9#) =&gt;</t>
  </si>
  <si>
    <t xml:space="preserve">      avalon_mm_rmap_o.readdata(0) &lt;= rmap_registers_wr_i.aeb2_gcfg_adc2_config.adc2_offset;</t>
  </si>
  <si>
    <t xml:space="preserve">  when (16#2CA#) =&gt;</t>
  </si>
  <si>
    <t xml:space="preserve">      avalon_mm_rmap_o.readdata(0) &lt;= rmap_registers_wr_i.aeb2_gcfg_adc2_config.adc2_cio7;</t>
  </si>
  <si>
    <t xml:space="preserve">  when (16#2CB#) =&gt;</t>
  </si>
  <si>
    <t xml:space="preserve">      avalon_mm_rmap_o.readdata(0) &lt;= rmap_registers_wr_i.aeb2_gcfg_adc2_config.adc2_cio6;</t>
  </si>
  <si>
    <t xml:space="preserve">  when (16#2CC#) =&gt;</t>
  </si>
  <si>
    <t xml:space="preserve">      avalon_mm_rmap_o.readdata(0) &lt;= rmap_registers_wr_i.aeb2_gcfg_adc2_config.adc2_cio5;</t>
  </si>
  <si>
    <t xml:space="preserve">  when (16#2CD#) =&gt;</t>
  </si>
  <si>
    <t xml:space="preserve">      avalon_mm_rmap_o.readdata(0) &lt;= rmap_registers_wr_i.aeb2_gcfg_adc2_config.adc2_cio4;</t>
  </si>
  <si>
    <t xml:space="preserve">  when (16#2CE#) =&gt;</t>
  </si>
  <si>
    <t xml:space="preserve">      avalon_mm_rmap_o.readdata(0) &lt;= rmap_registers_wr_i.aeb2_gcfg_adc2_config.adc2_cio3;</t>
  </si>
  <si>
    <t xml:space="preserve">  when (16#2CF#) =&gt;</t>
  </si>
  <si>
    <t xml:space="preserve">      avalon_mm_rmap_o.readdata(0) &lt;= rmap_registers_wr_i.aeb2_gcfg_adc2_config.adc2_cio2;</t>
  </si>
  <si>
    <t xml:space="preserve">  when (16#2D0#) =&gt;</t>
  </si>
  <si>
    <t xml:space="preserve">      avalon_mm_rmap_o.readdata(0) &lt;= rmap_registers_wr_i.aeb2_gcfg_adc2_config.adc2_cio1;</t>
  </si>
  <si>
    <t xml:space="preserve">  when (16#2D1#) =&gt;</t>
  </si>
  <si>
    <t xml:space="preserve">      avalon_mm_rmap_o.readdata(0) &lt;= rmap_registers_wr_i.aeb2_gcfg_adc2_config.adc2_cio0;</t>
  </si>
  <si>
    <t xml:space="preserve">  when (16#2D2#) =&gt;</t>
  </si>
  <si>
    <t xml:space="preserve">      avalon_mm_rmap_o.readdata(0) &lt;= rmap_registers_wr_i.aeb2_gcfg_adc2_config.adc2_dio7;</t>
  </si>
  <si>
    <t xml:space="preserve">  when (16#2D3#) =&gt;</t>
  </si>
  <si>
    <t xml:space="preserve">      avalon_mm_rmap_o.readdata(0) &lt;= rmap_registers_wr_i.aeb2_gcfg_adc2_config.adc2_dio6;</t>
  </si>
  <si>
    <t xml:space="preserve">  when (16#2D4#) =&gt;</t>
  </si>
  <si>
    <t xml:space="preserve">      avalon_mm_rmap_o.readdata(0) &lt;= rmap_registers_wr_i.aeb2_gcfg_adc2_config.adc2_dio5;</t>
  </si>
  <si>
    <t xml:space="preserve">  when (16#2D5#) =&gt;</t>
  </si>
  <si>
    <t xml:space="preserve">      avalon_mm_rmap_o.readdata(0) &lt;= rmap_registers_wr_i.aeb2_gcfg_adc2_config.adc2_dio4;</t>
  </si>
  <si>
    <t xml:space="preserve">  when (16#2D6#) =&gt;</t>
  </si>
  <si>
    <t xml:space="preserve">      avalon_mm_rmap_o.readdata(0) &lt;= rmap_registers_wr_i.aeb2_gcfg_adc2_config.adc2_dio3;</t>
  </si>
  <si>
    <t xml:space="preserve">  when (16#2D7#) =&gt;</t>
  </si>
  <si>
    <t xml:space="preserve">      avalon_mm_rmap_o.readdata(0) &lt;= rmap_registers_wr_i.aeb2_gcfg_adc2_config.adc2_dio2;</t>
  </si>
  <si>
    <t xml:space="preserve">  when (16#2D8#) =&gt;</t>
  </si>
  <si>
    <t xml:space="preserve">      avalon_mm_rmap_o.readdata(0) &lt;= rmap_registers_wr_i.aeb2_gcfg_adc2_config.adc2_dio1;</t>
  </si>
  <si>
    <t xml:space="preserve">  when (16#2D9#) =&gt;</t>
  </si>
  <si>
    <t xml:space="preserve">      avalon_mm_rmap_o.readdata(0) &lt;= rmap_registers_wr_i.aeb2_gcfg_adc2_config.adc2_dio0;</t>
  </si>
  <si>
    <t xml:space="preserve">  when (16#2DA#) =&gt;</t>
  </si>
  <si>
    <t xml:space="preserve">      avalon_mm_rmap_o.readdata(7 downto 0) &lt;= rmap_registers_wr_i.aeb2_gcfg_seq_config.seq_oe(7 downto 0);</t>
  </si>
  <si>
    <t xml:space="preserve">      avalon_mm_rmap_o.readdata(15 downto 8) &lt;= rmap_registers_wr_i.aeb2_gcfg_seq_config.seq_oe(15 downto 8);</t>
  </si>
  <si>
    <t xml:space="preserve">      avalon_mm_rmap_o.readdata(21 downto 16) &lt;= rmap_registers_wr_i.aeb2_gcfg_seq_config.seq_oe(21 downto 16);</t>
  </si>
  <si>
    <t xml:space="preserve">  when (16#2DB#) =&gt;</t>
  </si>
  <si>
    <t xml:space="preserve">      avalon_mm_rmap_o.readdata(6 downto 0) &lt;= rmap_registers_wr_i.aeb2_gcfg_seq_config.adc_clk_div;</t>
  </si>
  <si>
    <t xml:space="preserve">      avalon_mm_rmap_o.readdata(15 downto 8) &lt;= rmap_registers_wr_i.aeb2_gcfg_seq_config.cds_clk_low_pos;</t>
  </si>
  <si>
    <t xml:space="preserve">      avalon_mm_rmap_o.readdata(23 downto 16) &lt;= rmap_registers_wr_i.aeb2_gcfg_seq_config.cds_clk_high_pos;</t>
  </si>
  <si>
    <t xml:space="preserve">      avalon_mm_rmap_o.readdata(31 downto 24) &lt;= rmap_registers_wr_i.aeb2_gcfg_seq_config.rphir_clk_low_pos;</t>
  </si>
  <si>
    <t xml:space="preserve">  when (16#2DC#) =&gt;</t>
  </si>
  <si>
    <t xml:space="preserve">      avalon_mm_rmap_o.readdata(7 downto 0) &lt;= rmap_registers_wr_i.aeb2_gcfg_seq_config.rphir_clk_high_pos;</t>
  </si>
  <si>
    <t xml:space="preserve">      avalon_mm_rmap_o.readdata(23 downto 16) &lt;= rmap_registers_wr_i.aeb2_gcfg_seq_config.ft_loop_cnt(7 downto 0);</t>
  </si>
  <si>
    <t xml:space="preserve">      avalon_mm_rmap_o.readdata(29 downto 24) &lt;= rmap_registers_wr_i.aeb2_gcfg_seq_config.ft_loop_cnt(13 downto 8);</t>
  </si>
  <si>
    <t xml:space="preserve">  when (16#2DD#) =&gt;</t>
  </si>
  <si>
    <t xml:space="preserve">      avalon_mm_rmap_o.readdata(0) &lt;= rmap_registers_wr_i.aeb2_gcfg_seq_config.lt0_enabled;</t>
  </si>
  <si>
    <t xml:space="preserve">  when (16#2DE#) =&gt;</t>
  </si>
  <si>
    <t xml:space="preserve">      avalon_mm_rmap_o.readdata(0) &lt;= rmap_registers_wr_i.aeb2_gcfg_seq_config.lt0_pixreadout;</t>
  </si>
  <si>
    <t xml:space="preserve">  when (16#2DF#) =&gt;</t>
  </si>
  <si>
    <t xml:space="preserve">      avalon_mm_rmap_o.readdata(7 downto 0) &lt;= rmap_registers_wr_i.aeb2_gcfg_seq_config.lt0_loop_cnt(7 downto 0);</t>
  </si>
  <si>
    <t xml:space="preserve">      avalon_mm_rmap_o.readdata(13 downto 8) &lt;= rmap_registers_wr_i.aeb2_gcfg_seq_config.lt0_loop_cnt(13 downto 8);</t>
  </si>
  <si>
    <t xml:space="preserve">  when (16#2E0#) =&gt;</t>
  </si>
  <si>
    <t xml:space="preserve">      avalon_mm_rmap_o.readdata(0) &lt;= rmap_registers_wr_i.aeb2_gcfg_seq_config.lt1_enabled;</t>
  </si>
  <si>
    <t xml:space="preserve">  when (16#2E1#) =&gt;</t>
  </si>
  <si>
    <t xml:space="preserve">      avalon_mm_rmap_o.readdata(0) &lt;= rmap_registers_wr_i.aeb2_gcfg_seq_config.lt1_pixreadout;</t>
  </si>
  <si>
    <t xml:space="preserve">  when (16#2E2#) =&gt;</t>
  </si>
  <si>
    <t xml:space="preserve">      avalon_mm_rmap_o.readdata(7 downto 0) &lt;= rmap_registers_wr_i.aeb2_gcfg_seq_config.lt1_loop_cnt(7 downto 0);</t>
  </si>
  <si>
    <t xml:space="preserve">      avalon_mm_rmap_o.readdata(13 downto 8) &lt;= rmap_registers_wr_i.aeb2_gcfg_seq_config.lt1_loop_cnt(13 downto 8);</t>
  </si>
  <si>
    <t xml:space="preserve">  when (16#2E3#) =&gt;</t>
  </si>
  <si>
    <t xml:space="preserve">      avalon_mm_rmap_o.readdata(0) &lt;= rmap_registers_wr_i.aeb2_gcfg_seq_config.lt2_enabled;</t>
  </si>
  <si>
    <t xml:space="preserve">  when (16#2E4#) =&gt;</t>
  </si>
  <si>
    <t xml:space="preserve">      avalon_mm_rmap_o.readdata(0) &lt;= rmap_registers_wr_i.aeb2_gcfg_seq_config.lt2_pixreadout;</t>
  </si>
  <si>
    <t xml:space="preserve">  when (16#2E5#) =&gt;</t>
  </si>
  <si>
    <t xml:space="preserve">      avalon_mm_rmap_o.readdata(7 downto 0) &lt;= rmap_registers_wr_i.aeb2_gcfg_seq_config.lt2_loop_cnt(7 downto 0);</t>
  </si>
  <si>
    <t xml:space="preserve">      avalon_mm_rmap_o.readdata(13 downto 8) &lt;= rmap_registers_wr_i.aeb2_gcfg_seq_config.lt2_loop_cnt(13 downto 8);</t>
  </si>
  <si>
    <t xml:space="preserve">  when (16#2E6#) =&gt;</t>
  </si>
  <si>
    <t xml:space="preserve">      avalon_mm_rmap_o.readdata(0) &lt;= rmap_registers_wr_i.aeb2_gcfg_seq_config.lt3_enabled;</t>
  </si>
  <si>
    <t xml:space="preserve">  when (16#2E7#) =&gt;</t>
  </si>
  <si>
    <t xml:space="preserve">      avalon_mm_rmap_o.readdata(0) &lt;= rmap_registers_wr_i.aeb2_gcfg_seq_config.lt3_pixreadout;</t>
  </si>
  <si>
    <t xml:space="preserve">  when (16#2E8#) =&gt;</t>
  </si>
  <si>
    <t xml:space="preserve">      avalon_mm_rmap_o.readdata(7 downto 0) &lt;= rmap_registers_wr_i.aeb2_gcfg_seq_config.lt3_loop_cnt(7 downto 0);</t>
  </si>
  <si>
    <t xml:space="preserve">      avalon_mm_rmap_o.readdata(13 downto 8) &lt;= rmap_registers_wr_i.aeb2_gcfg_seq_config.lt3_loop_cnt(13 downto 8);</t>
  </si>
  <si>
    <t xml:space="preserve">      avalon_mm_rmap_o.readdata(23 downto 16) &lt;= rmap_registers_wr_i.aeb2_gcfg_seq_config.pix_loop_cnt(7 downto 0);</t>
  </si>
  <si>
    <t xml:space="preserve">      avalon_mm_rmap_o.readdata(29 downto 24) &lt;= rmap_registers_wr_i.aeb2_gcfg_seq_config.pix_loop_cnt(13 downto 8);</t>
  </si>
  <si>
    <t xml:space="preserve">  when (16#2E9#) =&gt;</t>
  </si>
  <si>
    <t xml:space="preserve">      avalon_mm_rmap_o.readdata(0) &lt;= rmap_registers_wr_i.aeb2_gcfg_seq_config.pc_enabled;</t>
  </si>
  <si>
    <t xml:space="preserve">  when (16#2EA#) =&gt;</t>
  </si>
  <si>
    <t xml:space="preserve">      avalon_mm_rmap_o.readdata(7 downto 0) &lt;= rmap_registers_wr_i.aeb2_gcfg_seq_config.pc_loop_cnt(7 downto 0);</t>
  </si>
  <si>
    <t xml:space="preserve">      avalon_mm_rmap_o.readdata(13 downto 8) &lt;= rmap_registers_wr_i.aeb2_gcfg_seq_config.pc_loop_cnt(13 downto 8);</t>
  </si>
  <si>
    <t xml:space="preserve">      avalon_mm_rmap_o.readdata(23 downto 16) &lt;= rmap_registers_wr_i.aeb2_gcfg_seq_config.int1_loop_cnt(7 downto 0);</t>
  </si>
  <si>
    <t xml:space="preserve">      avalon_mm_rmap_o.readdata(29 downto 24) &lt;= rmap_registers_wr_i.aeb2_gcfg_seq_config.int1_loop_cnt(13 downto 8);</t>
  </si>
  <si>
    <t xml:space="preserve">  when (16#2EB#) =&gt;</t>
  </si>
  <si>
    <t xml:space="preserve">      avalon_mm_rmap_o.readdata(7 downto 0) &lt;= rmap_registers_wr_i.aeb2_gcfg_seq_config.int2_loop_cnt(7 downto 0);</t>
  </si>
  <si>
    <t xml:space="preserve">      avalon_mm_rmap_o.readdata(13 downto 8) &lt;= rmap_registers_wr_i.aeb2_gcfg_seq_config.int2_loop_cnt(13 downto 8);</t>
  </si>
  <si>
    <t xml:space="preserve">      -- AEB 2 Housekeeping Area : </t>
  </si>
  <si>
    <t xml:space="preserve">      avalon_mm_rmap_o.readdata(18 downto 16) &lt;= rmap_registers_wr_i.aeb2_hk_aeb_status.aeb_state;</t>
  </si>
  <si>
    <t xml:space="preserve">  when (16#2EC#) =&gt;</t>
  </si>
  <si>
    <t xml:space="preserve">      avalon_mm_rmap_o.readdata(0) &lt;= rmap_registers_wr_i.aeb2_hk_aeb_status.vasp2_cfg_run;</t>
  </si>
  <si>
    <t xml:space="preserve">  when (16#2ED#) =&gt;</t>
  </si>
  <si>
    <t xml:space="preserve">      avalon_mm_rmap_o.readdata(0) &lt;= rmap_registers_wr_i.aeb2_hk_aeb_status.vasp1_cfg_run;</t>
  </si>
  <si>
    <t xml:space="preserve">  when (16#2EE#) =&gt;</t>
  </si>
  <si>
    <t xml:space="preserve">      avalon_mm_rmap_o.readdata(0) &lt;= rmap_registers_wr_i.aeb2_hk_aeb_status.dac_cfg_w_run;</t>
  </si>
  <si>
    <t xml:space="preserve">  when (16#2EF#) =&gt;</t>
  </si>
  <si>
    <t xml:space="preserve">      avalon_mm_rmap_o.readdata(0) &lt;= rmap_registers_wr_i.aeb2_hk_aeb_status.adc_cfg_rd_run;</t>
  </si>
  <si>
    <t xml:space="preserve">  when (16#2F0#) =&gt;</t>
  </si>
  <si>
    <t xml:space="preserve">      avalon_mm_rmap_o.readdata(0) &lt;= rmap_registers_wr_i.aeb2_hk_aeb_status.adc_cfg_wr_run;</t>
  </si>
  <si>
    <t xml:space="preserve">  when (16#2F1#) =&gt;</t>
  </si>
  <si>
    <t xml:space="preserve">      avalon_mm_rmap_o.readdata(0) &lt;= rmap_registers_wr_i.aeb2_hk_aeb_status.adc_dat_rd_run;</t>
  </si>
  <si>
    <t xml:space="preserve">  when (16#2F2#) =&gt;</t>
  </si>
  <si>
    <t xml:space="preserve">      avalon_mm_rmap_o.readdata(0) &lt;= rmap_registers_wr_i.aeb2_hk_aeb_status.adc_error;</t>
  </si>
  <si>
    <t xml:space="preserve">  when (16#2F3#) =&gt;</t>
  </si>
  <si>
    <t xml:space="preserve">      avalon_mm_rmap_o.readdata(0) &lt;= rmap_registers_wr_i.aeb2_hk_aeb_status.adc2_lu;</t>
  </si>
  <si>
    <t xml:space="preserve">  when (16#2F4#) =&gt;</t>
  </si>
  <si>
    <t xml:space="preserve">      avalon_mm_rmap_o.readdata(0) &lt;= rmap_registers_wr_i.aeb2_hk_aeb_status.adc1_lu;</t>
  </si>
  <si>
    <t xml:space="preserve">  when (16#2F5#) =&gt;</t>
  </si>
  <si>
    <t xml:space="preserve">      avalon_mm_rmap_o.readdata(0) &lt;= rmap_registers_wr_i.aeb2_hk_aeb_status.adc_dat_rd;</t>
  </si>
  <si>
    <t xml:space="preserve">  when (16#2F6#) =&gt;</t>
  </si>
  <si>
    <t xml:space="preserve">      avalon_mm_rmap_o.readdata(0) &lt;= rmap_registers_wr_i.aeb2_hk_aeb_status.adc_cfg_rd;</t>
  </si>
  <si>
    <t xml:space="preserve">  when (16#2F7#) =&gt;</t>
  </si>
  <si>
    <t xml:space="preserve">      avalon_mm_rmap_o.readdata(0) &lt;= rmap_registers_wr_i.aeb2_hk_aeb_status.adc_cfg_wr;</t>
  </si>
  <si>
    <t xml:space="preserve">  when (16#2F8#) =&gt;</t>
  </si>
  <si>
    <t xml:space="preserve">      avalon_mm_rmap_o.readdata(0) &lt;= rmap_registers_wr_i.aeb2_hk_aeb_status.adc2_busy;</t>
  </si>
  <si>
    <t xml:space="preserve">  when (16#2F9#) =&gt;</t>
  </si>
  <si>
    <t xml:space="preserve">      avalon_mm_rmap_o.readdata(0) &lt;= rmap_registers_wr_i.aeb2_hk_aeb_status.adc1_busy;</t>
  </si>
  <si>
    <t xml:space="preserve">  when (16#2FA#) =&gt;</t>
  </si>
  <si>
    <t xml:space="preserve">      avalon_mm_rmap_o.readdata(7 downto 0) &lt;= rmap_registers_wr_i.aeb2_hk_aeb_status.frame_counter(7 downto 0);</t>
  </si>
  <si>
    <t xml:space="preserve">      avalon_mm_rmap_o.readdata(15 downto 8) &lt;= rmap_registers_wr_i.aeb2_hk_aeb_status.frame_counter(15 downto 8);</t>
  </si>
  <si>
    <t xml:space="preserve">  when (16#2FB#) =&gt;</t>
  </si>
  <si>
    <t xml:space="preserve">      avalon_mm_rmap_o.readdata(7 downto 0) &lt;= rmap_registers_wr_i.aeb2_hk_timestamp.timestamp_1(7 downto 0);</t>
  </si>
  <si>
    <t xml:space="preserve">      avalon_mm_rmap_o.readdata(15 downto 8) &lt;= rmap_registers_wr_i.aeb2_hk_timestamp.timestamp_1(15 downto 8);</t>
  </si>
  <si>
    <t xml:space="preserve">      avalon_mm_rmap_o.readdata(23 downto 16) &lt;= rmap_registers_wr_i.aeb2_hk_timestamp.timestamp_1(23 downto 16);</t>
  </si>
  <si>
    <t xml:space="preserve">      avalon_mm_rmap_o.readdata(31 downto 24) &lt;= rmap_registers_wr_i.aeb2_hk_timestamp.timestamp_1(31 downto 24);</t>
  </si>
  <si>
    <t xml:space="preserve">  when (16#2FC#) =&gt;</t>
  </si>
  <si>
    <t xml:space="preserve">      avalon_mm_rmap_o.readdata(7 downto 0) &lt;= rmap_registers_wr_i.aeb2_hk_timestamp.timestamp_0(7 downto 0);</t>
  </si>
  <si>
    <t xml:space="preserve">      avalon_mm_rmap_o.readdata(15 downto 8) &lt;= rmap_registers_wr_i.aeb2_hk_timestamp.timestamp_0(15 downto 8);</t>
  </si>
  <si>
    <t xml:space="preserve">      avalon_mm_rmap_o.readdata(23 downto 16) &lt;= rmap_registers_wr_i.aeb2_hk_timestamp.timestamp_0(23 downto 16);</t>
  </si>
  <si>
    <t xml:space="preserve">      avalon_mm_rmap_o.readdata(31 downto 24) &lt;= rmap_registers_wr_i.aeb2_hk_timestamp.timestamp_0(31 downto 24);</t>
  </si>
  <si>
    <t xml:space="preserve">  when (16#2FD#) =&gt;</t>
  </si>
  <si>
    <t xml:space="preserve">      avalon_mm_rmap_o.readdata(7 downto 0) &lt;= rmap_registers_wr_i.aeb2_hk_adc_rd_data.adc_rd_data_18(7 downto 0);</t>
  </si>
  <si>
    <t xml:space="preserve">      avalon_mm_rmap_o.readdata(15 downto 8) &lt;= rmap_registers_wr_i.aeb2_hk_adc_rd_data.adc_rd_data_18(15 downto 8);</t>
  </si>
  <si>
    <t xml:space="preserve">      avalon_mm_rmap_o.readdata(23 downto 16) &lt;= rmap_registers_wr_i.aeb2_hk_adc_rd_data.adc_rd_data_18(23 downto 16);</t>
  </si>
  <si>
    <t xml:space="preserve">      avalon_mm_rmap_o.readdata(31 downto 24) &lt;= rmap_registers_wr_i.aeb2_hk_adc_rd_data.adc_rd_data_18(31 downto 24);</t>
  </si>
  <si>
    <t xml:space="preserve">  when (16#2FE#) =&gt;</t>
  </si>
  <si>
    <t xml:space="preserve">      avalon_mm_rmap_o.readdata(7 downto 0) &lt;= rmap_registers_wr_i.aeb2_hk_adc_rd_data.adc_rd_data_17(7 downto 0);</t>
  </si>
  <si>
    <t xml:space="preserve">      avalon_mm_rmap_o.readdata(15 downto 8) &lt;= rmap_registers_wr_i.aeb2_hk_adc_rd_data.adc_rd_data_17(15 downto 8);</t>
  </si>
  <si>
    <t xml:space="preserve">      avalon_mm_rmap_o.readdata(23 downto 16) &lt;= rmap_registers_wr_i.aeb2_hk_adc_rd_data.adc_rd_data_17(23 downto 16);</t>
  </si>
  <si>
    <t xml:space="preserve">      avalon_mm_rmap_o.readdata(31 downto 24) &lt;= rmap_registers_wr_i.aeb2_hk_adc_rd_data.adc_rd_data_17(31 downto 24);</t>
  </si>
  <si>
    <t xml:space="preserve">  when (16#2FF#) =&gt;</t>
  </si>
  <si>
    <t xml:space="preserve">      avalon_mm_rmap_o.readdata(7 downto 0) &lt;= rmap_registers_wr_i.aeb2_hk_adc_rd_data.adc_rd_data_16(7 downto 0);</t>
  </si>
  <si>
    <t xml:space="preserve">      avalon_mm_rmap_o.readdata(15 downto 8) &lt;= rmap_registers_wr_i.aeb2_hk_adc_rd_data.adc_rd_data_16(15 downto 8);</t>
  </si>
  <si>
    <t xml:space="preserve">      avalon_mm_rmap_o.readdata(23 downto 16) &lt;= rmap_registers_wr_i.aeb2_hk_adc_rd_data.adc_rd_data_16(23 downto 16);</t>
  </si>
  <si>
    <t xml:space="preserve">      avalon_mm_rmap_o.readdata(31 downto 24) &lt;= rmap_registers_wr_i.aeb2_hk_adc_rd_data.adc_rd_data_16(31 downto 24);</t>
  </si>
  <si>
    <t xml:space="preserve">  when (16#300#) =&gt;</t>
  </si>
  <si>
    <t xml:space="preserve">      avalon_mm_rmap_o.readdata(7 downto 0) &lt;= rmap_registers_wr_i.aeb2_hk_adc_rd_data.adc_rd_data_15(7 downto 0);</t>
  </si>
  <si>
    <t xml:space="preserve">      avalon_mm_rmap_o.readdata(15 downto 8) &lt;= rmap_registers_wr_i.aeb2_hk_adc_rd_data.adc_rd_data_15(15 downto 8);</t>
  </si>
  <si>
    <t xml:space="preserve">      avalon_mm_rmap_o.readdata(23 downto 16) &lt;= rmap_registers_wr_i.aeb2_hk_adc_rd_data.adc_rd_data_15(23 downto 16);</t>
  </si>
  <si>
    <t xml:space="preserve">      avalon_mm_rmap_o.readdata(31 downto 24) &lt;= rmap_registers_wr_i.aeb2_hk_adc_rd_data.adc_rd_data_15(31 downto 24);</t>
  </si>
  <si>
    <t xml:space="preserve">  when (16#301#) =&gt;</t>
  </si>
  <si>
    <t xml:space="preserve">      avalon_mm_rmap_o.readdata(7 downto 0) &lt;= rmap_registers_wr_i.aeb2_hk_adc_rd_data.adc_rd_data_14(7 downto 0);</t>
  </si>
  <si>
    <t xml:space="preserve">      avalon_mm_rmap_o.readdata(15 downto 8) &lt;= rmap_registers_wr_i.aeb2_hk_adc_rd_data.adc_rd_data_14(15 downto 8);</t>
  </si>
  <si>
    <t xml:space="preserve">      avalon_mm_rmap_o.readdata(23 downto 16) &lt;= rmap_registers_wr_i.aeb2_hk_adc_rd_data.adc_rd_data_14(23 downto 16);</t>
  </si>
  <si>
    <t xml:space="preserve">      avalon_mm_rmap_o.readdata(31 downto 24) &lt;= rmap_registers_wr_i.aeb2_hk_adc_rd_data.adc_rd_data_14(31 downto 24);</t>
  </si>
  <si>
    <t xml:space="preserve">  when (16#302#) =&gt;</t>
  </si>
  <si>
    <t xml:space="preserve">      avalon_mm_rmap_o.readdata(7 downto 0) &lt;= rmap_registers_wr_i.aeb2_hk_adc_rd_data.adc_rd_data_13(7 downto 0);</t>
  </si>
  <si>
    <t xml:space="preserve">      avalon_mm_rmap_o.readdata(15 downto 8) &lt;= rmap_registers_wr_i.aeb2_hk_adc_rd_data.adc_rd_data_13(15 downto 8);</t>
  </si>
  <si>
    <t xml:space="preserve">      avalon_mm_rmap_o.readdata(23 downto 16) &lt;= rmap_registers_wr_i.aeb2_hk_adc_rd_data.adc_rd_data_13(23 downto 16);</t>
  </si>
  <si>
    <t xml:space="preserve">      avalon_mm_rmap_o.readdata(31 downto 24) &lt;= rmap_registers_wr_i.aeb2_hk_adc_rd_data.adc_rd_data_13(31 downto 24);</t>
  </si>
  <si>
    <t xml:space="preserve">  when (16#303#) =&gt;</t>
  </si>
  <si>
    <t xml:space="preserve">      avalon_mm_rmap_o.readdata(7 downto 0) &lt;= rmap_registers_wr_i.aeb2_hk_adc_rd_data.adc_rd_data_12(7 downto 0);</t>
  </si>
  <si>
    <t xml:space="preserve">      avalon_mm_rmap_o.readdata(15 downto 8) &lt;= rmap_registers_wr_i.aeb2_hk_adc_rd_data.adc_rd_data_12(15 downto 8);</t>
  </si>
  <si>
    <t xml:space="preserve">      avalon_mm_rmap_o.readdata(23 downto 16) &lt;= rmap_registers_wr_i.aeb2_hk_adc_rd_data.adc_rd_data_12(23 downto 16);</t>
  </si>
  <si>
    <t xml:space="preserve">      avalon_mm_rmap_o.readdata(31 downto 24) &lt;= rmap_registers_wr_i.aeb2_hk_adc_rd_data.adc_rd_data_12(31 downto 24);</t>
  </si>
  <si>
    <t xml:space="preserve">  when (16#304#) =&gt;</t>
  </si>
  <si>
    <t xml:space="preserve">      avalon_mm_rmap_o.readdata(7 downto 0) &lt;= rmap_registers_wr_i.aeb2_hk_adc_rd_data.adc_rd_data_11(7 downto 0);</t>
  </si>
  <si>
    <t xml:space="preserve">      avalon_mm_rmap_o.readdata(15 downto 8) &lt;= rmap_registers_wr_i.aeb2_hk_adc_rd_data.adc_rd_data_11(15 downto 8);</t>
  </si>
  <si>
    <t xml:space="preserve">      avalon_mm_rmap_o.readdata(23 downto 16) &lt;= rmap_registers_wr_i.aeb2_hk_adc_rd_data.adc_rd_data_11(23 downto 16);</t>
  </si>
  <si>
    <t xml:space="preserve">      avalon_mm_rmap_o.readdata(31 downto 24) &lt;= rmap_registers_wr_i.aeb2_hk_adc_rd_data.adc_rd_data_11(31 downto 24);</t>
  </si>
  <si>
    <t xml:space="preserve">  when (16#305#) =&gt;</t>
  </si>
  <si>
    <t xml:space="preserve">      avalon_mm_rmap_o.readdata(7 downto 0) &lt;= rmap_registers_wr_i.aeb2_hk_adc_rd_data.adc_rd_data_10(7 downto 0);</t>
  </si>
  <si>
    <t xml:space="preserve">      avalon_mm_rmap_o.readdata(15 downto 8) &lt;= rmap_registers_wr_i.aeb2_hk_adc_rd_data.adc_rd_data_10(15 downto 8);</t>
  </si>
  <si>
    <t xml:space="preserve">      avalon_mm_rmap_o.readdata(23 downto 16) &lt;= rmap_registers_wr_i.aeb2_hk_adc_rd_data.adc_rd_data_10(23 downto 16);</t>
  </si>
  <si>
    <t xml:space="preserve">      avalon_mm_rmap_o.readdata(31 downto 24) &lt;= rmap_registers_wr_i.aeb2_hk_adc_rd_data.adc_rd_data_10(31 downto 24);</t>
  </si>
  <si>
    <t xml:space="preserve">  when (16#306#) =&gt;</t>
  </si>
  <si>
    <t xml:space="preserve">      avalon_mm_rmap_o.readdata(7 downto 0) &lt;= rmap_registers_wr_i.aeb2_hk_adc_rd_data.adc_rd_data_9(7 downto 0);</t>
  </si>
  <si>
    <t xml:space="preserve">      avalon_mm_rmap_o.readdata(15 downto 8) &lt;= rmap_registers_wr_i.aeb2_hk_adc_rd_data.adc_rd_data_9(15 downto 8);</t>
  </si>
  <si>
    <t xml:space="preserve">      avalon_mm_rmap_o.readdata(23 downto 16) &lt;= rmap_registers_wr_i.aeb2_hk_adc_rd_data.adc_rd_data_9(23 downto 16);</t>
  </si>
  <si>
    <t xml:space="preserve">      avalon_mm_rmap_o.readdata(31 downto 24) &lt;= rmap_registers_wr_i.aeb2_hk_adc_rd_data.adc_rd_data_9(31 downto 24);</t>
  </si>
  <si>
    <t xml:space="preserve">  when (16#307#) =&gt;</t>
  </si>
  <si>
    <t xml:space="preserve">      avalon_mm_rmap_o.readdata(7 downto 0) &lt;= rmap_registers_wr_i.aeb2_hk_adc_rd_data.adc_rd_data_8(7 downto 0);</t>
  </si>
  <si>
    <t xml:space="preserve">      avalon_mm_rmap_o.readdata(15 downto 8) &lt;= rmap_registers_wr_i.aeb2_hk_adc_rd_data.adc_rd_data_8(15 downto 8);</t>
  </si>
  <si>
    <t xml:space="preserve">      avalon_mm_rmap_o.readdata(23 downto 16) &lt;= rmap_registers_wr_i.aeb2_hk_adc_rd_data.adc_rd_data_8(23 downto 16);</t>
  </si>
  <si>
    <t xml:space="preserve">      avalon_mm_rmap_o.readdata(31 downto 24) &lt;= rmap_registers_wr_i.aeb2_hk_adc_rd_data.adc_rd_data_8(31 downto 24);</t>
  </si>
  <si>
    <t xml:space="preserve">  when (16#308#) =&gt;</t>
  </si>
  <si>
    <t xml:space="preserve">      avalon_mm_rmap_o.readdata(7 downto 0) &lt;= rmap_registers_wr_i.aeb2_hk_adc_rd_data.adc_rd_data_7(7 downto 0);</t>
  </si>
  <si>
    <t xml:space="preserve">      avalon_mm_rmap_o.readdata(15 downto 8) &lt;= rmap_registers_wr_i.aeb2_hk_adc_rd_data.adc_rd_data_7(15 downto 8);</t>
  </si>
  <si>
    <t xml:space="preserve">      avalon_mm_rmap_o.readdata(23 downto 16) &lt;= rmap_registers_wr_i.aeb2_hk_adc_rd_data.adc_rd_data_7(23 downto 16);</t>
  </si>
  <si>
    <t xml:space="preserve">      avalon_mm_rmap_o.readdata(31 downto 24) &lt;= rmap_registers_wr_i.aeb2_hk_adc_rd_data.adc_rd_data_7(31 downto 24);</t>
  </si>
  <si>
    <t xml:space="preserve">  when (16#309#) =&gt;</t>
  </si>
  <si>
    <t xml:space="preserve">      avalon_mm_rmap_o.readdata(7 downto 0) &lt;= rmap_registers_wr_i.aeb2_hk_adc_rd_data.adc_rd_data_6(7 downto 0);</t>
  </si>
  <si>
    <t xml:space="preserve">      avalon_mm_rmap_o.readdata(15 downto 8) &lt;= rmap_registers_wr_i.aeb2_hk_adc_rd_data.adc_rd_data_6(15 downto 8);</t>
  </si>
  <si>
    <t xml:space="preserve">      avalon_mm_rmap_o.readdata(23 downto 16) &lt;= rmap_registers_wr_i.aeb2_hk_adc_rd_data.adc_rd_data_6(23 downto 16);</t>
  </si>
  <si>
    <t xml:space="preserve">      avalon_mm_rmap_o.readdata(31 downto 24) &lt;= rmap_registers_wr_i.aeb2_hk_adc_rd_data.adc_rd_data_6(31 downto 24);</t>
  </si>
  <si>
    <t xml:space="preserve">  when (16#30A#) =&gt;</t>
  </si>
  <si>
    <t xml:space="preserve">      avalon_mm_rmap_o.readdata(7 downto 0) &lt;= rmap_registers_wr_i.aeb2_hk_adc_rd_data.adc_rd_data_5(7 downto 0);</t>
  </si>
  <si>
    <t xml:space="preserve">      avalon_mm_rmap_o.readdata(15 downto 8) &lt;= rmap_registers_wr_i.aeb2_hk_adc_rd_data.adc_rd_data_5(15 downto 8);</t>
  </si>
  <si>
    <t xml:space="preserve">      avalon_mm_rmap_o.readdata(23 downto 16) &lt;= rmap_registers_wr_i.aeb2_hk_adc_rd_data.adc_rd_data_5(23 downto 16);</t>
  </si>
  <si>
    <t xml:space="preserve">      avalon_mm_rmap_o.readdata(31 downto 24) &lt;= rmap_registers_wr_i.aeb2_hk_adc_rd_data.adc_rd_data_5(31 downto 24);</t>
  </si>
  <si>
    <t xml:space="preserve">  when (16#30B#) =&gt;</t>
  </si>
  <si>
    <t xml:space="preserve">      avalon_mm_rmap_o.readdata(7 downto 0) &lt;= rmap_registers_wr_i.aeb2_hk_adc_rd_data.adc_rd_data_4(7 downto 0);</t>
  </si>
  <si>
    <t xml:space="preserve">      avalon_mm_rmap_o.readdata(15 downto 8) &lt;= rmap_registers_wr_i.aeb2_hk_adc_rd_data.adc_rd_data_4(15 downto 8);</t>
  </si>
  <si>
    <t xml:space="preserve">      avalon_mm_rmap_o.readdata(23 downto 16) &lt;= rmap_registers_wr_i.aeb2_hk_adc_rd_data.adc_rd_data_4(23 downto 16);</t>
  </si>
  <si>
    <t xml:space="preserve">      avalon_mm_rmap_o.readdata(31 downto 24) &lt;= rmap_registers_wr_i.aeb2_hk_adc_rd_data.adc_rd_data_4(31 downto 24);</t>
  </si>
  <si>
    <t xml:space="preserve">  when (16#30C#) =&gt;</t>
  </si>
  <si>
    <t xml:space="preserve">      avalon_mm_rmap_o.readdata(7 downto 0) &lt;= rmap_registers_wr_i.aeb2_hk_adc_rd_data.adc_rd_data_3(7 downto 0);</t>
  </si>
  <si>
    <t xml:space="preserve">      avalon_mm_rmap_o.readdata(15 downto 8) &lt;= rmap_registers_wr_i.aeb2_hk_adc_rd_data.adc_rd_data_3(15 downto 8);</t>
  </si>
  <si>
    <t xml:space="preserve">      avalon_mm_rmap_o.readdata(23 downto 16) &lt;= rmap_registers_wr_i.aeb2_hk_adc_rd_data.adc_rd_data_3(23 downto 16);</t>
  </si>
  <si>
    <t xml:space="preserve">      avalon_mm_rmap_o.readdata(31 downto 24) &lt;= rmap_registers_wr_i.aeb2_hk_adc_rd_data.adc_rd_data_3(31 downto 24);</t>
  </si>
  <si>
    <t xml:space="preserve">  when (16#30D#) =&gt;</t>
  </si>
  <si>
    <t xml:space="preserve">      avalon_mm_rmap_o.readdata(7 downto 0) &lt;= rmap_registers_wr_i.aeb2_hk_adc_rd_data.adc_rd_data_2(7 downto 0);</t>
  </si>
  <si>
    <t xml:space="preserve">      avalon_mm_rmap_o.readdata(15 downto 8) &lt;= rmap_registers_wr_i.aeb2_hk_adc_rd_data.adc_rd_data_2(15 downto 8);</t>
  </si>
  <si>
    <t xml:space="preserve">      avalon_mm_rmap_o.readdata(23 downto 16) &lt;= rmap_registers_wr_i.aeb2_hk_adc_rd_data.adc_rd_data_2(23 downto 16);</t>
  </si>
  <si>
    <t xml:space="preserve">      avalon_mm_rmap_o.readdata(31 downto 24) &lt;= rmap_registers_wr_i.aeb2_hk_adc_rd_data.adc_rd_data_2(31 downto 24);</t>
  </si>
  <si>
    <t xml:space="preserve">  when (16#30E#) =&gt;</t>
  </si>
  <si>
    <t xml:space="preserve">      avalon_mm_rmap_o.readdata(7 downto 0) &lt;= rmap_registers_wr_i.aeb2_hk_adc_rd_data.adc_rd_data_1(7 downto 0);</t>
  </si>
  <si>
    <t xml:space="preserve">      avalon_mm_rmap_o.readdata(15 downto 8) &lt;= rmap_registers_wr_i.aeb2_hk_adc_rd_data.adc_rd_data_1(15 downto 8);</t>
  </si>
  <si>
    <t xml:space="preserve">      avalon_mm_rmap_o.readdata(23 downto 16) &lt;= rmap_registers_wr_i.aeb2_hk_adc_rd_data.adc_rd_data_1(23 downto 16);</t>
  </si>
  <si>
    <t xml:space="preserve">      avalon_mm_rmap_o.readdata(31 downto 24) &lt;= rmap_registers_wr_i.aeb2_hk_adc_rd_data.adc_rd_data_1(31 downto 24);</t>
  </si>
  <si>
    <t xml:space="preserve">  when (16#30F#) =&gt;</t>
  </si>
  <si>
    <t xml:space="preserve">      avalon_mm_rmap_o.readdata(7 downto 0) &lt;= rmap_registers_wr_i.aeb2_hk_adc_rd_data.adc_rd_data_0(7 downto 0);</t>
  </si>
  <si>
    <t xml:space="preserve">      avalon_mm_rmap_o.readdata(15 downto 8) &lt;= rmap_registers_wr_i.aeb2_hk_adc_rd_data.adc_rd_data_0(15 downto 8);</t>
  </si>
  <si>
    <t xml:space="preserve">      avalon_mm_rmap_o.readdata(23 downto 16) &lt;= rmap_registers_wr_i.aeb2_hk_adc_rd_data.adc_rd_data_0(23 downto 16);</t>
  </si>
  <si>
    <t xml:space="preserve">      avalon_mm_rmap_o.readdata(31 downto 24) &lt;= rmap_registers_wr_i.aeb2_hk_adc_rd_data.adc_rd_data_0(31 downto 24);</t>
  </si>
  <si>
    <t xml:space="preserve">  when (16#310#) =&gt;</t>
  </si>
  <si>
    <t xml:space="preserve">      avalon_mm_rmap_o.readdata(7 downto 0) &lt;= rmap_registers_wr_i.aeb2_hk_adc1_rd_config.adc1_rd_config_3(7 downto 0);</t>
  </si>
  <si>
    <t xml:space="preserve">      avalon_mm_rmap_o.readdata(15 downto 8) &lt;= rmap_registers_wr_i.aeb2_hk_adc1_rd_config.adc1_rd_config_3(15 downto 8);</t>
  </si>
  <si>
    <t xml:space="preserve">      avalon_mm_rmap_o.readdata(23 downto 16) &lt;= rmap_registers_wr_i.aeb2_hk_adc1_rd_config.adc1_rd_config_3(23 downto 16);</t>
  </si>
  <si>
    <t xml:space="preserve">      avalon_mm_rmap_o.readdata(31 downto 24) &lt;= rmap_registers_wr_i.aeb2_hk_adc1_rd_config.adc1_rd_config_3(31 downto 24);</t>
  </si>
  <si>
    <t xml:space="preserve">  when (16#311#) =&gt;</t>
  </si>
  <si>
    <t xml:space="preserve">      avalon_mm_rmap_o.readdata(7 downto 0) &lt;= rmap_registers_wr_i.aeb2_hk_adc1_rd_config.adc1_rd_config_2(7 downto 0);</t>
  </si>
  <si>
    <t xml:space="preserve">      avalon_mm_rmap_o.readdata(15 downto 8) &lt;= rmap_registers_wr_i.aeb2_hk_adc1_rd_config.adc1_rd_config_2(15 downto 8);</t>
  </si>
  <si>
    <t xml:space="preserve">      avalon_mm_rmap_o.readdata(23 downto 16) &lt;= rmap_registers_wr_i.aeb2_hk_adc1_rd_config.adc1_rd_config_2(23 downto 16);</t>
  </si>
  <si>
    <t xml:space="preserve">      avalon_mm_rmap_o.readdata(31 downto 24) &lt;= rmap_registers_wr_i.aeb2_hk_adc1_rd_config.adc1_rd_config_2(31 downto 24);</t>
  </si>
  <si>
    <t xml:space="preserve">  when (16#312#) =&gt;</t>
  </si>
  <si>
    <t xml:space="preserve">      avalon_mm_rmap_o.readdata(7 downto 0) &lt;= rmap_registers_wr_i.aeb2_hk_adc1_rd_config.adc1_rd_config_1(7 downto 0);</t>
  </si>
  <si>
    <t xml:space="preserve">      avalon_mm_rmap_o.readdata(15 downto 8) &lt;= rmap_registers_wr_i.aeb2_hk_adc1_rd_config.adc1_rd_config_1(15 downto 8);</t>
  </si>
  <si>
    <t xml:space="preserve">      avalon_mm_rmap_o.readdata(23 downto 16) &lt;= rmap_registers_wr_i.aeb2_hk_adc1_rd_config.adc1_rd_config_1(23 downto 16);</t>
  </si>
  <si>
    <t xml:space="preserve">      avalon_mm_rmap_o.readdata(31 downto 24) &lt;= rmap_registers_wr_i.aeb2_hk_adc1_rd_config.adc1_rd_config_1(31 downto 24);</t>
  </si>
  <si>
    <t xml:space="preserve">  when (16#313#) =&gt;</t>
  </si>
  <si>
    <t xml:space="preserve">      avalon_mm_rmap_o.readdata(7 downto 0) &lt;= rmap_registers_wr_i.aeb2_hk_adc1_rd_config.adc1_rd_config_0(7 downto 0);</t>
  </si>
  <si>
    <t xml:space="preserve">      avalon_mm_rmap_o.readdata(15 downto 8) &lt;= rmap_registers_wr_i.aeb2_hk_adc1_rd_config.adc1_rd_config_0(15 downto 8);</t>
  </si>
  <si>
    <t xml:space="preserve">      avalon_mm_rmap_o.readdata(23 downto 16) &lt;= rmap_registers_wr_i.aeb2_hk_adc1_rd_config.adc1_rd_config_0(23 downto 16);</t>
  </si>
  <si>
    <t xml:space="preserve">      avalon_mm_rmap_o.readdata(31 downto 24) &lt;= rmap_registers_wr_i.aeb2_hk_adc1_rd_config.adc1_rd_config_0(31 downto 24);</t>
  </si>
  <si>
    <t xml:space="preserve">  when (16#314#) =&gt;</t>
  </si>
  <si>
    <t xml:space="preserve">      avalon_mm_rmap_o.readdata(7 downto 0) &lt;= rmap_registers_wr_i.aeb2_hk_adc2_rd_config.adc2_rd_config_3(7 downto 0);</t>
  </si>
  <si>
    <t xml:space="preserve">      avalon_mm_rmap_o.readdata(15 downto 8) &lt;= rmap_registers_wr_i.aeb2_hk_adc2_rd_config.adc2_rd_config_3(15 downto 8);</t>
  </si>
  <si>
    <t xml:space="preserve">      avalon_mm_rmap_o.readdata(23 downto 16) &lt;= rmap_registers_wr_i.aeb2_hk_adc2_rd_config.adc2_rd_config_3(23 downto 16);</t>
  </si>
  <si>
    <t xml:space="preserve">      avalon_mm_rmap_o.readdata(31 downto 24) &lt;= rmap_registers_wr_i.aeb2_hk_adc2_rd_config.adc2_rd_config_3(31 downto 24);</t>
  </si>
  <si>
    <t xml:space="preserve">  when (16#315#) =&gt;</t>
  </si>
  <si>
    <t xml:space="preserve">      avalon_mm_rmap_o.readdata(7 downto 0) &lt;= rmap_registers_wr_i.aeb2_hk_adc2_rd_config.adc2_rd_config_2(7 downto 0);</t>
  </si>
  <si>
    <t xml:space="preserve">      avalon_mm_rmap_o.readdata(15 downto 8) &lt;= rmap_registers_wr_i.aeb2_hk_adc2_rd_config.adc2_rd_config_2(15 downto 8);</t>
  </si>
  <si>
    <t xml:space="preserve">      avalon_mm_rmap_o.readdata(23 downto 16) &lt;= rmap_registers_wr_i.aeb2_hk_adc2_rd_config.adc2_rd_config_2(23 downto 16);</t>
  </si>
  <si>
    <t xml:space="preserve">      avalon_mm_rmap_o.readdata(31 downto 24) &lt;= rmap_registers_wr_i.aeb2_hk_adc2_rd_config.adc2_rd_config_2(31 downto 24);</t>
  </si>
  <si>
    <t xml:space="preserve">  when (16#316#) =&gt;</t>
  </si>
  <si>
    <t xml:space="preserve">      avalon_mm_rmap_o.readdata(7 downto 0) &lt;= rmap_registers_wr_i.aeb2_hk_adc2_rd_config.adc2_rd_config_1(7 downto 0);</t>
  </si>
  <si>
    <t xml:space="preserve">      avalon_mm_rmap_o.readdata(15 downto 8) &lt;= rmap_registers_wr_i.aeb2_hk_adc2_rd_config.adc2_rd_config_1(15 downto 8);</t>
  </si>
  <si>
    <t xml:space="preserve">      avalon_mm_rmap_o.readdata(23 downto 16) &lt;= rmap_registers_wr_i.aeb2_hk_adc2_rd_config.adc2_rd_config_1(23 downto 16);</t>
  </si>
  <si>
    <t xml:space="preserve">      avalon_mm_rmap_o.readdata(31 downto 24) &lt;= rmap_registers_wr_i.aeb2_hk_adc2_rd_config.adc2_rd_config_1(31 downto 24);</t>
  </si>
  <si>
    <t xml:space="preserve">  when (16#317#) =&gt;</t>
  </si>
  <si>
    <t xml:space="preserve">      avalon_mm_rmap_o.readdata(7 downto 0) &lt;= rmap_registers_wr_i.aeb2_hk_adc2_rd_config.adc2_rd_config_0(7 downto 0);</t>
  </si>
  <si>
    <t xml:space="preserve">      avalon_mm_rmap_o.readdata(15 downto 8) &lt;= rmap_registers_wr_i.aeb2_hk_adc2_rd_config.adc2_rd_config_0(15 downto 8);</t>
  </si>
  <si>
    <t xml:space="preserve">      avalon_mm_rmap_o.readdata(23 downto 16) &lt;= rmap_registers_wr_i.aeb2_hk_adc2_rd_config.adc2_rd_config_0(23 downto 16);</t>
  </si>
  <si>
    <t xml:space="preserve">      avalon_mm_rmap_o.readdata(31 downto 24) &lt;= rmap_registers_wr_i.aeb2_hk_adc2_rd_config.adc2_rd_config_0(31 downto 24);</t>
  </si>
  <si>
    <t xml:space="preserve">  when (16#318#) =&gt;</t>
  </si>
  <si>
    <t xml:space="preserve">      avalon_mm_rmap_o.readdata(7 downto 0) &lt;= rmap_registers_wr_i.aeb2_hk_vasp_rd_config.vasp1_read_data;</t>
  </si>
  <si>
    <t xml:space="preserve">      avalon_mm_rmap_o.readdata(15 downto 8) &lt;= rmap_registers_wr_i.aeb2_hk_vasp_rd_config.vasp2_read_data;</t>
  </si>
  <si>
    <t xml:space="preserve">      avalon_mm_rmap_o.readdata(23 downto 16) &lt;= rmap_registers_wr_i.aeb2_hk_revision_id.fpga_ver(7 downto 0);</t>
  </si>
  <si>
    <t xml:space="preserve">      avalon_mm_rmap_o.readdata(31 downto 24) &lt;= rmap_registers_wr_i.aeb2_hk_revision_id.fpga_ver(15 downto 8);</t>
  </si>
  <si>
    <t xml:space="preserve">  when (16#319#) =&gt;</t>
  </si>
  <si>
    <t xml:space="preserve">      avalon_mm_rmap_o.readdata(7 downto 0) &lt;= rmap_registers_wr_i.aeb2_hk_revision_id.fpga_date(7 downto 0);</t>
  </si>
  <si>
    <t xml:space="preserve">      avalon_mm_rmap_o.readdata(15 downto 8) &lt;= rmap_registers_wr_i.aeb2_hk_revision_id.fpga_date(15 downto 8);</t>
  </si>
  <si>
    <t xml:space="preserve">      avalon_mm_rmap_o.readdata(23 downto 16) &lt;= rmap_registers_wr_i.aeb2_hk_revision_id.fpga_time(7 downto 0);</t>
  </si>
  <si>
    <t xml:space="preserve">      avalon_mm_rmap_o.readdata(31 downto 24) &lt;= rmap_registers_wr_i.aeb2_hk_revision_id.fpga_time(15 downto 8);</t>
  </si>
  <si>
    <t xml:space="preserve">  when (16#31A#) =&gt;</t>
  </si>
  <si>
    <t xml:space="preserve">      avalon_mm_rmap_o.readdata(7 downto 0) &lt;= rmap_registers_wr_i.aeb2_hk_revision_id.fpga_svn(7 downto 0);</t>
  </si>
  <si>
    <t xml:space="preserve">      avalon_mm_rmap_o.readdata(15 downto 8) &lt;= rmap_registers_wr_i.aeb2_hk_revision_id.fpga_svn(15 downto 8);</t>
  </si>
  <si>
    <t xml:space="preserve">      -- AEB 3 Critical Configuration Area : </t>
  </si>
  <si>
    <t xml:space="preserve">      avalon_mm_rmap_o.readdata(20 downto 16) &lt;= rmap_registers_wr_i.aeb3_ccfg_aeb_control.new_state;</t>
  </si>
  <si>
    <t xml:space="preserve">  when (16#31B#) =&gt;</t>
  </si>
  <si>
    <t xml:space="preserve">      avalon_mm_rmap_o.readdata(0) &lt;= rmap_registers_wr_i.aeb3_ccfg_aeb_control.set_state;</t>
  </si>
  <si>
    <t xml:space="preserve">  when (16#31C#) =&gt;</t>
  </si>
  <si>
    <t xml:space="preserve">      avalon_mm_rmap_o.readdata(0) &lt;= rmap_registers_wr_i.aeb3_ccfg_aeb_control.aeb_reset;</t>
  </si>
  <si>
    <t xml:space="preserve">  when (16#31D#) =&gt;</t>
  </si>
  <si>
    <t xml:space="preserve">      avalon_mm_rmap_o.readdata(0) &lt;= rmap_registers_wr_i.aeb3_ccfg_aeb_control.adc_data_rd;</t>
  </si>
  <si>
    <t xml:space="preserve">  when (16#31E#) =&gt;</t>
  </si>
  <si>
    <t xml:space="preserve">      avalon_mm_rmap_o.readdata(0) &lt;= rmap_registers_wr_i.aeb3_ccfg_aeb_control.adc_cfg_wr;</t>
  </si>
  <si>
    <t xml:space="preserve">  when (16#31F#) =&gt;</t>
  </si>
  <si>
    <t xml:space="preserve">      avalon_mm_rmap_o.readdata(0) &lt;= rmap_registers_wr_i.aeb3_ccfg_aeb_control.adc_cfg_rd;</t>
  </si>
  <si>
    <t xml:space="preserve">  when (16#320#) =&gt;</t>
  </si>
  <si>
    <t xml:space="preserve">      avalon_mm_rmap_o.readdata(0) &lt;= rmap_registers_wr_i.aeb3_ccfg_aeb_control.dac_wr;</t>
  </si>
  <si>
    <t xml:space="preserve">  when (16#321#) =&gt;</t>
  </si>
  <si>
    <t xml:space="preserve">      avalon_mm_rmap_o.readdata(0) &lt;= rmap_registers_wr_i.aeb3_ccfg_aeb_config.watchdog_dis;</t>
  </si>
  <si>
    <t xml:space="preserve">  when (16#322#) =&gt;</t>
  </si>
  <si>
    <t xml:space="preserve">      avalon_mm_rmap_o.readdata(0) &lt;= rmap_registers_wr_i.aeb3_ccfg_aeb_config.int_sync;</t>
  </si>
  <si>
    <t xml:space="preserve">  when (16#323#) =&gt;</t>
  </si>
  <si>
    <t xml:space="preserve">      avalon_mm_rmap_o.readdata(0) &lt;= rmap_registers_wr_i.aeb3_ccfg_aeb_config.vasp_cds_en;</t>
  </si>
  <si>
    <t xml:space="preserve">  when (16#324#) =&gt;</t>
  </si>
  <si>
    <t xml:space="preserve">      avalon_mm_rmap_o.readdata(0) &lt;= rmap_registers_wr_i.aeb3_ccfg_aeb_config.vasp2_cal_en;</t>
  </si>
  <si>
    <t xml:space="preserve">  when (16#325#) =&gt;</t>
  </si>
  <si>
    <t xml:space="preserve">      avalon_mm_rmap_o.readdata(0) &lt;= rmap_registers_wr_i.aeb3_ccfg_aeb_config.vasp1_cal_en;</t>
  </si>
  <si>
    <t xml:space="preserve">  when (16#326#) =&gt;</t>
  </si>
  <si>
    <t xml:space="preserve">      avalon_mm_rmap_o.readdata(7 downto 0) &lt;= rmap_registers_wr_i.aeb3_ccfg_aeb_config_key.key(7 downto 0);</t>
  </si>
  <si>
    <t xml:space="preserve">      avalon_mm_rmap_o.readdata(15 downto 8) &lt;= rmap_registers_wr_i.aeb3_ccfg_aeb_config_key.key(15 downto 8);</t>
  </si>
  <si>
    <t xml:space="preserve">      avalon_mm_rmap_o.readdata(23 downto 16) &lt;= rmap_registers_wr_i.aeb3_ccfg_aeb_config_key.key(23 downto 16);</t>
  </si>
  <si>
    <t xml:space="preserve">      avalon_mm_rmap_o.readdata(30 downto 24) &lt;= rmap_registers_wr_i.aeb3_ccfg_aeb_config_key.key(30 downto 24);</t>
  </si>
  <si>
    <t xml:space="preserve">  when (16#327#) =&gt;</t>
  </si>
  <si>
    <t xml:space="preserve">      avalon_mm_rmap_o.readdata(0) &lt;= rmap_registers_wr_i.aeb3_ccfg_aeb_config_ait1.override_sw;</t>
  </si>
  <si>
    <t xml:space="preserve">  when (16#328#) =&gt;</t>
  </si>
  <si>
    <t xml:space="preserve">      avalon_mm_rmap_o.readdata(0) &lt;= rmap_registers_wr_i.aeb3_ccfg_aeb_config_ait1.sw_van3;</t>
  </si>
  <si>
    <t xml:space="preserve">  when (16#329#) =&gt;</t>
  </si>
  <si>
    <t xml:space="preserve">      avalon_mm_rmap_o.readdata(0) &lt;= rmap_registers_wr_i.aeb3_ccfg_aeb_config_ait1.sw_van2;</t>
  </si>
  <si>
    <t xml:space="preserve">  when (16#32A#) =&gt;</t>
  </si>
  <si>
    <t xml:space="preserve">      avalon_mm_rmap_o.readdata(0) &lt;= rmap_registers_wr_i.aeb3_ccfg_aeb_config_ait1.sw_van1;</t>
  </si>
  <si>
    <t xml:space="preserve">  when (16#32B#) =&gt;</t>
  </si>
  <si>
    <t xml:space="preserve">      avalon_mm_rmap_o.readdata(0) &lt;= rmap_registers_wr_i.aeb3_ccfg_aeb_config_ait1.sw_vclk;</t>
  </si>
  <si>
    <t xml:space="preserve">  when (16#32C#) =&gt;</t>
  </si>
  <si>
    <t xml:space="preserve">      avalon_mm_rmap_o.readdata(0) &lt;= rmap_registers_wr_i.aeb3_ccfg_aeb_config_ait1.sw_vccd;</t>
  </si>
  <si>
    <t xml:space="preserve">  when (16#32D#) =&gt;</t>
  </si>
  <si>
    <t xml:space="preserve">      avalon_mm_rmap_o.readdata(0) &lt;= rmap_registers_wr_i.aeb3_ccfg_aeb_config_ait1.override_vasp;</t>
  </si>
  <si>
    <t xml:space="preserve">  when (16#32E#) =&gt;</t>
  </si>
  <si>
    <t xml:space="preserve">      avalon_mm_rmap_o.readdata(0) &lt;= rmap_registers_wr_i.aeb3_ccfg_aeb_config_ait1.vasp2_pix_en;</t>
  </si>
  <si>
    <t xml:space="preserve">  when (16#32F#) =&gt;</t>
  </si>
  <si>
    <t xml:space="preserve">      avalon_mm_rmap_o.readdata(0) &lt;= rmap_registers_wr_i.aeb3_ccfg_aeb_config_ait1.vasp1_pix_en;</t>
  </si>
  <si>
    <t xml:space="preserve">  when (16#330#) =&gt;</t>
  </si>
  <si>
    <t xml:space="preserve">      avalon_mm_rmap_o.readdata(0) &lt;= rmap_registers_wr_i.aeb3_ccfg_aeb_config_ait1.vasp2_adc_en;</t>
  </si>
  <si>
    <t xml:space="preserve">  when (16#331#) =&gt;</t>
  </si>
  <si>
    <t xml:space="preserve">      avalon_mm_rmap_o.readdata(0) &lt;= rmap_registers_wr_i.aeb3_ccfg_aeb_config_ait1.vasp1_adc_en;</t>
  </si>
  <si>
    <t xml:space="preserve">  when (16#332#) =&gt;</t>
  </si>
  <si>
    <t xml:space="preserve">      avalon_mm_rmap_o.readdata(0) &lt;= rmap_registers_wr_i.aeb3_ccfg_aeb_config_ait1.vasp2_reset;</t>
  </si>
  <si>
    <t xml:space="preserve">  when (16#333#) =&gt;</t>
  </si>
  <si>
    <t xml:space="preserve">      avalon_mm_rmap_o.readdata(0) &lt;= rmap_registers_wr_i.aeb3_ccfg_aeb_config_ait1.vasp1_reset;</t>
  </si>
  <si>
    <t xml:space="preserve">  when (16#334#) =&gt;</t>
  </si>
  <si>
    <t xml:space="preserve">      avalon_mm_rmap_o.readdata(0) &lt;= rmap_registers_wr_i.aeb3_ccfg_aeb_config_ait1.override_adc;</t>
  </si>
  <si>
    <t xml:space="preserve">  when (16#335#) =&gt;</t>
  </si>
  <si>
    <t xml:space="preserve">      avalon_mm_rmap_o.readdata(0) &lt;= rmap_registers_wr_i.aeb3_ccfg_aeb_config_ait1.adc2_en_p5v0;</t>
  </si>
  <si>
    <t xml:space="preserve">  when (16#336#) =&gt;</t>
  </si>
  <si>
    <t xml:space="preserve">      avalon_mm_rmap_o.readdata(0) &lt;= rmap_registers_wr_i.aeb3_ccfg_aeb_config_ait1.adc1_en_p5v0;</t>
  </si>
  <si>
    <t xml:space="preserve">  when (16#337#) =&gt;</t>
  </si>
  <si>
    <t xml:space="preserve">      avalon_mm_rmap_o.readdata(0) &lt;= rmap_registers_wr_i.aeb3_ccfg_aeb_config_ait1.pt1000_cal_on_n;</t>
  </si>
  <si>
    <t xml:space="preserve">  when (16#338#) =&gt;</t>
  </si>
  <si>
    <t xml:space="preserve">      avalon_mm_rmap_o.readdata(0) &lt;= rmap_registers_wr_i.aeb3_ccfg_aeb_config_ait1.en_v_mux_n;</t>
  </si>
  <si>
    <t xml:space="preserve">  when (16#339#) =&gt;</t>
  </si>
  <si>
    <t xml:space="preserve">      avalon_mm_rmap_o.readdata(0) &lt;= rmap_registers_wr_i.aeb3_ccfg_aeb_config_ait1.adc2_pwdn_n;</t>
  </si>
  <si>
    <t xml:space="preserve">  when (16#33A#) =&gt;</t>
  </si>
  <si>
    <t xml:space="preserve">      avalon_mm_rmap_o.readdata(0) &lt;= rmap_registers_wr_i.aeb3_ccfg_aeb_config_ait1.adc1_pwdn_n;</t>
  </si>
  <si>
    <t xml:space="preserve">  when (16#33B#) =&gt;</t>
  </si>
  <si>
    <t xml:space="preserve">      avalon_mm_rmap_o.readdata(0) &lt;= rmap_registers_wr_i.aeb3_ccfg_aeb_config_ait1.adc_clk_en;</t>
  </si>
  <si>
    <t xml:space="preserve">  when (16#33C#) =&gt;</t>
  </si>
  <si>
    <t xml:space="preserve">      avalon_mm_rmap_o.readdata(1 downto 0) &lt;= rmap_registers_wr_i.aeb3_ccfg_aeb_config_pattern.pattern_ccdid;</t>
  </si>
  <si>
    <t xml:space="preserve">      avalon_mm_rmap_o.readdata(23 downto 16) &lt;= rmap_registers_wr_i.aeb3_ccfg_aeb_config_pattern.pattern_cols(7 downto 0);</t>
  </si>
  <si>
    <t xml:space="preserve">      avalon_mm_rmap_o.readdata(29 downto 24) &lt;= rmap_registers_wr_i.aeb3_ccfg_aeb_config_pattern.pattern_cols(13 downto 8);</t>
  </si>
  <si>
    <t xml:space="preserve">  when (16#33D#) =&gt;</t>
  </si>
  <si>
    <t xml:space="preserve">      avalon_mm_rmap_o.readdata(7 downto 0) &lt;= rmap_registers_wr_i.aeb3_ccfg_aeb_config_pattern.pattern_rows(7 downto 0);</t>
  </si>
  <si>
    <t xml:space="preserve">      avalon_mm_rmap_o.readdata(13 downto 8) &lt;= rmap_registers_wr_i.aeb3_ccfg_aeb_config_pattern.pattern_rows(13 downto 8);</t>
  </si>
  <si>
    <t xml:space="preserve">      avalon_mm_rmap_o.readdata(23 downto 16) &lt;= rmap_registers_wr_i.aeb3_ccfg_vasp_i2c_control.vasp_cfg_addr;</t>
  </si>
  <si>
    <t xml:space="preserve">      avalon_mm_rmap_o.readdata(31 downto 24) &lt;= rmap_registers_wr_i.aeb3_ccfg_vasp_i2c_control.vasp1_cfg_data;</t>
  </si>
  <si>
    <t xml:space="preserve">  when (16#33E#) =&gt;</t>
  </si>
  <si>
    <t xml:space="preserve">      avalon_mm_rmap_o.readdata(7 downto 0) &lt;= rmap_registers_wr_i.aeb3_ccfg_vasp_i2c_control.vasp2_cfg_data;</t>
  </si>
  <si>
    <t xml:space="preserve">  when (16#33F#) =&gt;</t>
  </si>
  <si>
    <t xml:space="preserve">      avalon_mm_rmap_o.readdata(0) &lt;= rmap_registers_wr_i.aeb3_ccfg_vasp_i2c_control.vasp2_select;</t>
  </si>
  <si>
    <t xml:space="preserve">  when (16#340#) =&gt;</t>
  </si>
  <si>
    <t xml:space="preserve">      avalon_mm_rmap_o.readdata(0) &lt;= rmap_registers_wr_i.aeb3_ccfg_vasp_i2c_control.vasp1_select;</t>
  </si>
  <si>
    <t xml:space="preserve">  when (16#341#) =&gt;</t>
  </si>
  <si>
    <t xml:space="preserve">      avalon_mm_rmap_o.readdata(0) &lt;= rmap_registers_wr_i.aeb3_ccfg_vasp_i2c_control.calibration_start;</t>
  </si>
  <si>
    <t xml:space="preserve">  when (16#342#) =&gt;</t>
  </si>
  <si>
    <t xml:space="preserve">      avalon_mm_rmap_o.readdata(0) &lt;= rmap_registers_wr_i.aeb3_ccfg_vasp_i2c_control.i2c_read_start;</t>
  </si>
  <si>
    <t xml:space="preserve">  when (16#343#) =&gt;</t>
  </si>
  <si>
    <t xml:space="preserve">      avalon_mm_rmap_o.readdata(0) &lt;= rmap_registers_wr_i.aeb3_ccfg_vasp_i2c_control.i2c_write_start;</t>
  </si>
  <si>
    <t xml:space="preserve">  when (16#344#) =&gt;</t>
  </si>
  <si>
    <t xml:space="preserve">      avalon_mm_rmap_o.readdata(7 downto 0) &lt;= rmap_registers_wr_i.aeb3_ccfg_dac_config_1.dac_vog(7 downto 0);</t>
  </si>
  <si>
    <t xml:space="preserve">      avalon_mm_rmap_o.readdata(11 downto 8) &lt;= rmap_registers_wr_i.aeb3_ccfg_dac_config_1.dac_vog(11 downto 8);</t>
  </si>
  <si>
    <t xml:space="preserve">      avalon_mm_rmap_o.readdata(23 downto 16) &lt;= rmap_registers_wr_i.aeb3_ccfg_dac_config_1.dac_vrd(7 downto 0);</t>
  </si>
  <si>
    <t xml:space="preserve">      avalon_mm_rmap_o.readdata(27 downto 24) &lt;= rmap_registers_wr_i.aeb3_ccfg_dac_config_1.dac_vrd(11 downto 8);</t>
  </si>
  <si>
    <t xml:space="preserve">  when (16#345#) =&gt;</t>
  </si>
  <si>
    <t xml:space="preserve">      avalon_mm_rmap_o.readdata(7 downto 0) &lt;= rmap_registers_wr_i.aeb3_ccfg_dac_config_2.dac_vod(7 downto 0);</t>
  </si>
  <si>
    <t xml:space="preserve">      avalon_mm_rmap_o.readdata(11 downto 8) &lt;= rmap_registers_wr_i.aeb3_ccfg_dac_config_2.dac_vod(11 downto 8);</t>
  </si>
  <si>
    <t xml:space="preserve">      avalon_mm_rmap_o.readdata(23 downto 16) &lt;= rmap_registers_wr_i.aeb3_ccfg_pwr_config1.time_vccd_on;</t>
  </si>
  <si>
    <t xml:space="preserve">      avalon_mm_rmap_o.readdata(31 downto 24) &lt;= rmap_registers_wr_i.aeb3_ccfg_pwr_config1.time_vclk_on;</t>
  </si>
  <si>
    <t xml:space="preserve">  when (16#346#) =&gt;</t>
  </si>
  <si>
    <t xml:space="preserve">      avalon_mm_rmap_o.readdata(7 downto 0) &lt;= rmap_registers_wr_i.aeb3_ccfg_pwr_config1.time_van1_on;</t>
  </si>
  <si>
    <t xml:space="preserve">      avalon_mm_rmap_o.readdata(15 downto 8) &lt;= rmap_registers_wr_i.aeb3_ccfg_pwr_config1.time_van2_on;</t>
  </si>
  <si>
    <t xml:space="preserve">      avalon_mm_rmap_o.readdata(23 downto 16) &lt;= rmap_registers_wr_i.aeb3_ccfg_pwr_config2.time_van3_on;</t>
  </si>
  <si>
    <t xml:space="preserve">      avalon_mm_rmap_o.readdata(31 downto 24) &lt;= rmap_registers_wr_i.aeb3_ccfg_pwr_config2.time_vccd_off;</t>
  </si>
  <si>
    <t xml:space="preserve">  when (16#347#) =&gt;</t>
  </si>
  <si>
    <t xml:space="preserve">      avalon_mm_rmap_o.readdata(7 downto 0) &lt;= rmap_registers_wr_i.aeb3_ccfg_pwr_config2.time_vclk_off;</t>
  </si>
  <si>
    <t xml:space="preserve">      avalon_mm_rmap_o.readdata(15 downto 8) &lt;= rmap_registers_wr_i.aeb3_ccfg_pwr_config2.time_van1_off;</t>
  </si>
  <si>
    <t xml:space="preserve">      avalon_mm_rmap_o.readdata(23 downto 16) &lt;= rmap_registers_wr_i.aeb3_ccfg_pwr_config3.time_van2_off;</t>
  </si>
  <si>
    <t xml:space="preserve">      avalon_mm_rmap_o.readdata(31 downto 24) &lt;= rmap_registers_wr_i.aeb3_ccfg_pwr_config3.time_van3_off;</t>
  </si>
  <si>
    <t xml:space="preserve">  when (16#348#) =&gt;</t>
  </si>
  <si>
    <t xml:space="preserve">      -- AEB 3 General Configuration Area : </t>
  </si>
  <si>
    <t xml:space="preserve">      avalon_mm_rmap_o.readdata(0) &lt;= rmap_registers_wr_i.aeb3_gcfg_adc1_config.adc1_bypas;</t>
  </si>
  <si>
    <t xml:space="preserve">  when (16#349#) =&gt;</t>
  </si>
  <si>
    <t xml:space="preserve">      avalon_mm_rmap_o.readdata(0) &lt;= rmap_registers_wr_i.aeb3_gcfg_adc1_config.adc1_clkenb;</t>
  </si>
  <si>
    <t xml:space="preserve">  when (16#34A#) =&gt;</t>
  </si>
  <si>
    <t xml:space="preserve">      avalon_mm_rmap_o.readdata(0) &lt;= rmap_registers_wr_i.aeb3_gcfg_adc1_config.adc1_chop;</t>
  </si>
  <si>
    <t xml:space="preserve">  when (16#34B#) =&gt;</t>
  </si>
  <si>
    <t xml:space="preserve">      avalon_mm_rmap_o.readdata(0) &lt;= rmap_registers_wr_i.aeb3_gcfg_adc1_config.adc1_stat;</t>
  </si>
  <si>
    <t xml:space="preserve">  when (16#34C#) =&gt;</t>
  </si>
  <si>
    <t xml:space="preserve">      avalon_mm_rmap_o.readdata(0) &lt;= rmap_registers_wr_i.aeb3_gcfg_adc1_config.adc1_idlmod;</t>
  </si>
  <si>
    <t xml:space="preserve">  when (16#34D#) =&gt;</t>
  </si>
  <si>
    <t xml:space="preserve">      avalon_mm_rmap_o.readdata(0) &lt;= rmap_registers_wr_i.aeb3_gcfg_adc1_config.adc1_dly2;</t>
  </si>
  <si>
    <t xml:space="preserve">  when (16#34E#) =&gt;</t>
  </si>
  <si>
    <t xml:space="preserve">      avalon_mm_rmap_o.readdata(0) &lt;= rmap_registers_wr_i.aeb3_gcfg_adc1_config.adc1_dly1;</t>
  </si>
  <si>
    <t xml:space="preserve">  when (16#34F#) =&gt;</t>
  </si>
  <si>
    <t xml:space="preserve">      avalon_mm_rmap_o.readdata(0) &lt;= rmap_registers_wr_i.aeb3_gcfg_adc1_config.adc1_dly0;</t>
  </si>
  <si>
    <t xml:space="preserve">  when (16#350#) =&gt;</t>
  </si>
  <si>
    <t xml:space="preserve">      avalon_mm_rmap_o.readdata(0) &lt;= rmap_registers_wr_i.aeb3_gcfg_adc1_config.adc1_sbcs1;</t>
  </si>
  <si>
    <t xml:space="preserve">  when (16#351#) =&gt;</t>
  </si>
  <si>
    <t xml:space="preserve">      avalon_mm_rmap_o.readdata(0) &lt;= rmap_registers_wr_i.aeb3_gcfg_adc1_config.adc1_sbcs0;</t>
  </si>
  <si>
    <t xml:space="preserve">  when (16#352#) =&gt;</t>
  </si>
  <si>
    <t xml:space="preserve">      avalon_mm_rmap_o.readdata(0) &lt;= rmap_registers_wr_i.aeb3_gcfg_adc1_config.adc1_drate1;</t>
  </si>
  <si>
    <t xml:space="preserve">  when (16#353#) =&gt;</t>
  </si>
  <si>
    <t xml:space="preserve">      avalon_mm_rmap_o.readdata(0) &lt;= rmap_registers_wr_i.aeb3_gcfg_adc1_config.adc1_drate0;</t>
  </si>
  <si>
    <t xml:space="preserve">  when (16#354#) =&gt;</t>
  </si>
  <si>
    <t xml:space="preserve">      avalon_mm_rmap_o.readdata(0) &lt;= rmap_registers_wr_i.aeb3_gcfg_adc1_config.adc1_ainp3;</t>
  </si>
  <si>
    <t xml:space="preserve">  when (16#355#) =&gt;</t>
  </si>
  <si>
    <t xml:space="preserve">      avalon_mm_rmap_o.readdata(0) &lt;= rmap_registers_wr_i.aeb3_gcfg_adc1_config.adc1_ainp2;</t>
  </si>
  <si>
    <t xml:space="preserve">  when (16#356#) =&gt;</t>
  </si>
  <si>
    <t xml:space="preserve">      avalon_mm_rmap_o.readdata(0) &lt;= rmap_registers_wr_i.aeb3_gcfg_adc1_config.adc1_ainp1;</t>
  </si>
  <si>
    <t xml:space="preserve">  when (16#357#) =&gt;</t>
  </si>
  <si>
    <t xml:space="preserve">      avalon_mm_rmap_o.readdata(0) &lt;= rmap_registers_wr_i.aeb3_gcfg_adc1_config.adc1_ainp0;</t>
  </si>
  <si>
    <t xml:space="preserve">  when (16#358#) =&gt;</t>
  </si>
  <si>
    <t xml:space="preserve">      avalon_mm_rmap_o.readdata(0) &lt;= rmap_registers_wr_i.aeb3_gcfg_adc1_config.adc1_ainn3;</t>
  </si>
  <si>
    <t xml:space="preserve">  when (16#359#) =&gt;</t>
  </si>
  <si>
    <t xml:space="preserve">      avalon_mm_rmap_o.readdata(0) &lt;= rmap_registers_wr_i.aeb3_gcfg_adc1_config.adc1_ainn2;</t>
  </si>
  <si>
    <t xml:space="preserve">  when (16#35A#) =&gt;</t>
  </si>
  <si>
    <t xml:space="preserve">      avalon_mm_rmap_o.readdata(0) &lt;= rmap_registers_wr_i.aeb3_gcfg_adc1_config.adc1_ainn1;</t>
  </si>
  <si>
    <t xml:space="preserve">  when (16#35B#) =&gt;</t>
  </si>
  <si>
    <t xml:space="preserve">      avalon_mm_rmap_o.readdata(0) &lt;= rmap_registers_wr_i.aeb3_gcfg_adc1_config.adc1_ainn0;</t>
  </si>
  <si>
    <t xml:space="preserve">  when (16#35C#) =&gt;</t>
  </si>
  <si>
    <t xml:space="preserve">      avalon_mm_rmap_o.readdata(0) &lt;= rmap_registers_wr_i.aeb3_gcfg_adc1_config.adc1_diff7;</t>
  </si>
  <si>
    <t xml:space="preserve">  when (16#35D#) =&gt;</t>
  </si>
  <si>
    <t xml:space="preserve">      avalon_mm_rmap_o.readdata(0) &lt;= rmap_registers_wr_i.aeb3_gcfg_adc1_config.adc1_diff6;</t>
  </si>
  <si>
    <t xml:space="preserve">  when (16#35E#) =&gt;</t>
  </si>
  <si>
    <t xml:space="preserve">      avalon_mm_rmap_o.readdata(0) &lt;= rmap_registers_wr_i.aeb3_gcfg_adc1_config.adc1_diff5;</t>
  </si>
  <si>
    <t xml:space="preserve">  when (16#35F#) =&gt;</t>
  </si>
  <si>
    <t xml:space="preserve">      avalon_mm_rmap_o.readdata(0) &lt;= rmap_registers_wr_i.aeb3_gcfg_adc1_config.adc1_diff4;</t>
  </si>
  <si>
    <t xml:space="preserve">  when (16#360#) =&gt;</t>
  </si>
  <si>
    <t xml:space="preserve">      avalon_mm_rmap_o.readdata(0) &lt;= rmap_registers_wr_i.aeb3_gcfg_adc1_config.adc1_diff3;</t>
  </si>
  <si>
    <t xml:space="preserve">  when (16#361#) =&gt;</t>
  </si>
  <si>
    <t xml:space="preserve">      avalon_mm_rmap_o.readdata(0) &lt;= rmap_registers_wr_i.aeb3_gcfg_adc1_config.adc1_diff2;</t>
  </si>
  <si>
    <t xml:space="preserve">  when (16#362#) =&gt;</t>
  </si>
  <si>
    <t xml:space="preserve">      avalon_mm_rmap_o.readdata(0) &lt;= rmap_registers_wr_i.aeb3_gcfg_adc1_config.adc1_diff1;</t>
  </si>
  <si>
    <t xml:space="preserve">  when (16#363#) =&gt;</t>
  </si>
  <si>
    <t xml:space="preserve">      avalon_mm_rmap_o.readdata(0) &lt;= rmap_registers_wr_i.aeb3_gcfg_adc1_config.adc1_diff0;</t>
  </si>
  <si>
    <t xml:space="preserve">  when (16#364#) =&gt;</t>
  </si>
  <si>
    <t xml:space="preserve">      avalon_mm_rmap_o.readdata(0) &lt;= rmap_registers_wr_i.aeb3_gcfg_adc1_config.adc1_ain7;</t>
  </si>
  <si>
    <t xml:space="preserve">  when (16#365#) =&gt;</t>
  </si>
  <si>
    <t xml:space="preserve">      avalon_mm_rmap_o.readdata(0) &lt;= rmap_registers_wr_i.aeb3_gcfg_adc1_config.adc1_ain6;</t>
  </si>
  <si>
    <t xml:space="preserve">  when (16#366#) =&gt;</t>
  </si>
  <si>
    <t xml:space="preserve">      avalon_mm_rmap_o.readdata(0) &lt;= rmap_registers_wr_i.aeb3_gcfg_adc1_config.adc1_ain5;</t>
  </si>
  <si>
    <t xml:space="preserve">  when (16#367#) =&gt;</t>
  </si>
  <si>
    <t xml:space="preserve">      avalon_mm_rmap_o.readdata(0) &lt;= rmap_registers_wr_i.aeb3_gcfg_adc1_config.adc1_ain4;</t>
  </si>
  <si>
    <t xml:space="preserve">  when (16#368#) =&gt;</t>
  </si>
  <si>
    <t xml:space="preserve">      avalon_mm_rmap_o.readdata(0) &lt;= rmap_registers_wr_i.aeb3_gcfg_adc1_config.adc1_ain3;</t>
  </si>
  <si>
    <t xml:space="preserve">  when (16#369#) =&gt;</t>
  </si>
  <si>
    <t xml:space="preserve">      avalon_mm_rmap_o.readdata(0) &lt;= rmap_registers_wr_i.aeb3_gcfg_adc1_config.adc1_ain2;</t>
  </si>
  <si>
    <t xml:space="preserve">  when (16#36A#) =&gt;</t>
  </si>
  <si>
    <t xml:space="preserve">      avalon_mm_rmap_o.readdata(0) &lt;= rmap_registers_wr_i.aeb3_gcfg_adc1_config.adc1_ain1;</t>
  </si>
  <si>
    <t xml:space="preserve">  when (16#36B#) =&gt;</t>
  </si>
  <si>
    <t xml:space="preserve">      avalon_mm_rmap_o.readdata(0) &lt;= rmap_registers_wr_i.aeb3_gcfg_adc1_config.adc1_ain0;</t>
  </si>
  <si>
    <t xml:space="preserve">  when (16#36C#) =&gt;</t>
  </si>
  <si>
    <t xml:space="preserve">      avalon_mm_rmap_o.readdata(0) &lt;= rmap_registers_wr_i.aeb3_gcfg_adc1_config.adc1_ain15;</t>
  </si>
  <si>
    <t xml:space="preserve">  when (16#36D#) =&gt;</t>
  </si>
  <si>
    <t xml:space="preserve">      avalon_mm_rmap_o.readdata(0) &lt;= rmap_registers_wr_i.aeb3_gcfg_adc1_config.adc1_ain14;</t>
  </si>
  <si>
    <t xml:space="preserve">  when (16#36E#) =&gt;</t>
  </si>
  <si>
    <t xml:space="preserve">      avalon_mm_rmap_o.readdata(0) &lt;= rmap_registers_wr_i.aeb3_gcfg_adc1_config.adc1_ain13;</t>
  </si>
  <si>
    <t xml:space="preserve">  when (16#36F#) =&gt;</t>
  </si>
  <si>
    <t xml:space="preserve">      avalon_mm_rmap_o.readdata(0) &lt;= rmap_registers_wr_i.aeb3_gcfg_adc1_config.adc1_ain12;</t>
  </si>
  <si>
    <t xml:space="preserve">  when (16#370#) =&gt;</t>
  </si>
  <si>
    <t xml:space="preserve">      avalon_mm_rmap_o.readdata(0) &lt;= rmap_registers_wr_i.aeb3_gcfg_adc1_config.adc1_ain11;</t>
  </si>
  <si>
    <t xml:space="preserve">  when (16#371#) =&gt;</t>
  </si>
  <si>
    <t xml:space="preserve">      avalon_mm_rmap_o.readdata(0) &lt;= rmap_registers_wr_i.aeb3_gcfg_adc1_config.adc1_ain10;</t>
  </si>
  <si>
    <t xml:space="preserve">  when (16#372#) =&gt;</t>
  </si>
  <si>
    <t xml:space="preserve">      avalon_mm_rmap_o.readdata(0) &lt;= rmap_registers_wr_i.aeb3_gcfg_adc1_config.adc1_ain9;</t>
  </si>
  <si>
    <t xml:space="preserve">  when (16#373#) =&gt;</t>
  </si>
  <si>
    <t xml:space="preserve">      avalon_mm_rmap_o.readdata(0) &lt;= rmap_registers_wr_i.aeb3_gcfg_adc1_config.adc1_ain8;</t>
  </si>
  <si>
    <t xml:space="preserve">  when (16#374#) =&gt;</t>
  </si>
  <si>
    <t xml:space="preserve">      avalon_mm_rmap_o.readdata(0) &lt;= rmap_registers_wr_i.aeb3_gcfg_adc1_config.adc1_ref;</t>
  </si>
  <si>
    <t xml:space="preserve">  when (16#375#) =&gt;</t>
  </si>
  <si>
    <t xml:space="preserve">      avalon_mm_rmap_o.readdata(0) &lt;= rmap_registers_wr_i.aeb3_gcfg_adc1_config.adc1_gain;</t>
  </si>
  <si>
    <t xml:space="preserve">  when (16#376#) =&gt;</t>
  </si>
  <si>
    <t xml:space="preserve">      avalon_mm_rmap_o.readdata(0) &lt;= rmap_registers_wr_i.aeb3_gcfg_adc1_config.adc1_temp;</t>
  </si>
  <si>
    <t xml:space="preserve">  when (16#377#) =&gt;</t>
  </si>
  <si>
    <t xml:space="preserve">      avalon_mm_rmap_o.readdata(0) &lt;= rmap_registers_wr_i.aeb3_gcfg_adc1_config.adc1_vcc;</t>
  </si>
  <si>
    <t xml:space="preserve">  when (16#378#) =&gt;</t>
  </si>
  <si>
    <t xml:space="preserve">      avalon_mm_rmap_o.readdata(0) &lt;= rmap_registers_wr_i.aeb3_gcfg_adc1_config.adc1_offset;</t>
  </si>
  <si>
    <t xml:space="preserve">  when (16#379#) =&gt;</t>
  </si>
  <si>
    <t xml:space="preserve">      avalon_mm_rmap_o.readdata(0) &lt;= rmap_registers_wr_i.aeb3_gcfg_adc1_config.adc1_cio7;</t>
  </si>
  <si>
    <t xml:space="preserve">  when (16#37A#) =&gt;</t>
  </si>
  <si>
    <t xml:space="preserve">      avalon_mm_rmap_o.readdata(0) &lt;= rmap_registers_wr_i.aeb3_gcfg_adc1_config.adc1_cio6;</t>
  </si>
  <si>
    <t xml:space="preserve">  when (16#37B#) =&gt;</t>
  </si>
  <si>
    <t xml:space="preserve">      avalon_mm_rmap_o.readdata(0) &lt;= rmap_registers_wr_i.aeb3_gcfg_adc1_config.adc1_cio5;</t>
  </si>
  <si>
    <t xml:space="preserve">  when (16#37C#) =&gt;</t>
  </si>
  <si>
    <t xml:space="preserve">      avalon_mm_rmap_o.readdata(0) &lt;= rmap_registers_wr_i.aeb3_gcfg_adc1_config.adc1_cio4;</t>
  </si>
  <si>
    <t xml:space="preserve">  when (16#37D#) =&gt;</t>
  </si>
  <si>
    <t xml:space="preserve">      avalon_mm_rmap_o.readdata(0) &lt;= rmap_registers_wr_i.aeb3_gcfg_adc1_config.adc1_cio3;</t>
  </si>
  <si>
    <t xml:space="preserve">  when (16#37E#) =&gt;</t>
  </si>
  <si>
    <t xml:space="preserve">      avalon_mm_rmap_o.readdata(0) &lt;= rmap_registers_wr_i.aeb3_gcfg_adc1_config.adc1_cio2;</t>
  </si>
  <si>
    <t xml:space="preserve">  when (16#37F#) =&gt;</t>
  </si>
  <si>
    <t xml:space="preserve">      avalon_mm_rmap_o.readdata(0) &lt;= rmap_registers_wr_i.aeb3_gcfg_adc1_config.adc1_cio1;</t>
  </si>
  <si>
    <t xml:space="preserve">  when (16#380#) =&gt;</t>
  </si>
  <si>
    <t xml:space="preserve">      avalon_mm_rmap_o.readdata(0) &lt;= rmap_registers_wr_i.aeb3_gcfg_adc1_config.adc1_cio0;</t>
  </si>
  <si>
    <t xml:space="preserve">  when (16#381#) =&gt;</t>
  </si>
  <si>
    <t xml:space="preserve">      avalon_mm_rmap_o.readdata(0) &lt;= rmap_registers_wr_i.aeb3_gcfg_adc1_config.adc1_dio7;</t>
  </si>
  <si>
    <t xml:space="preserve">  when (16#382#) =&gt;</t>
  </si>
  <si>
    <t xml:space="preserve">      avalon_mm_rmap_o.readdata(0) &lt;= rmap_registers_wr_i.aeb3_gcfg_adc1_config.adc1_dio6;</t>
  </si>
  <si>
    <t xml:space="preserve">  when (16#383#) =&gt;</t>
  </si>
  <si>
    <t xml:space="preserve">      avalon_mm_rmap_o.readdata(0) &lt;= rmap_registers_wr_i.aeb3_gcfg_adc1_config.adc1_dio5;</t>
  </si>
  <si>
    <t xml:space="preserve">  when (16#384#) =&gt;</t>
  </si>
  <si>
    <t xml:space="preserve">      avalon_mm_rmap_o.readdata(0) &lt;= rmap_registers_wr_i.aeb3_gcfg_adc1_config.adc1_dio4;</t>
  </si>
  <si>
    <t xml:space="preserve">  when (16#385#) =&gt;</t>
  </si>
  <si>
    <t xml:space="preserve">      avalon_mm_rmap_o.readdata(0) &lt;= rmap_registers_wr_i.aeb3_gcfg_adc1_config.adc1_dio3;</t>
  </si>
  <si>
    <t xml:space="preserve">  when (16#386#) =&gt;</t>
  </si>
  <si>
    <t xml:space="preserve">      avalon_mm_rmap_o.readdata(0) &lt;= rmap_registers_wr_i.aeb3_gcfg_adc1_config.adc1_dio2;</t>
  </si>
  <si>
    <t xml:space="preserve">  when (16#387#) =&gt;</t>
  </si>
  <si>
    <t xml:space="preserve">      avalon_mm_rmap_o.readdata(0) &lt;= rmap_registers_wr_i.aeb3_gcfg_adc1_config.adc1_dio1;</t>
  </si>
  <si>
    <t xml:space="preserve">  when (16#388#) =&gt;</t>
  </si>
  <si>
    <t xml:space="preserve">      avalon_mm_rmap_o.readdata(0) &lt;= rmap_registers_wr_i.aeb3_gcfg_adc1_config.adc1_dio0;</t>
  </si>
  <si>
    <t xml:space="preserve">  when (16#389#) =&gt;</t>
  </si>
  <si>
    <t xml:space="preserve">      avalon_mm_rmap_o.readdata(0) &lt;= rmap_registers_wr_i.aeb3_gcfg_adc2_config.adc2_bypas;</t>
  </si>
  <si>
    <t xml:space="preserve">  when (16#38A#) =&gt;</t>
  </si>
  <si>
    <t xml:space="preserve">      avalon_mm_rmap_o.readdata(0) &lt;= rmap_registers_wr_i.aeb3_gcfg_adc2_config.adc2_clkenb;</t>
  </si>
  <si>
    <t xml:space="preserve">  when (16#38B#) =&gt;</t>
  </si>
  <si>
    <t xml:space="preserve">      avalon_mm_rmap_o.readdata(0) &lt;= rmap_registers_wr_i.aeb3_gcfg_adc2_config.adc2_chop;</t>
  </si>
  <si>
    <t xml:space="preserve">  when (16#38C#) =&gt;</t>
  </si>
  <si>
    <t xml:space="preserve">      avalon_mm_rmap_o.readdata(0) &lt;= rmap_registers_wr_i.aeb3_gcfg_adc2_config.adc2_stat;</t>
  </si>
  <si>
    <t xml:space="preserve">  when (16#38D#) =&gt;</t>
  </si>
  <si>
    <t xml:space="preserve">      avalon_mm_rmap_o.readdata(0) &lt;= rmap_registers_wr_i.aeb3_gcfg_adc2_config.adc2_idlmod;</t>
  </si>
  <si>
    <t xml:space="preserve">  when (16#38E#) =&gt;</t>
  </si>
  <si>
    <t xml:space="preserve">      avalon_mm_rmap_o.readdata(0) &lt;= rmap_registers_wr_i.aeb3_gcfg_adc2_config.adc2_dly2;</t>
  </si>
  <si>
    <t xml:space="preserve">  when (16#38F#) =&gt;</t>
  </si>
  <si>
    <t xml:space="preserve">      avalon_mm_rmap_o.readdata(0) &lt;= rmap_registers_wr_i.aeb3_gcfg_adc2_config.adc2_dly1;</t>
  </si>
  <si>
    <t xml:space="preserve">  when (16#390#) =&gt;</t>
  </si>
  <si>
    <t xml:space="preserve">      avalon_mm_rmap_o.readdata(0) &lt;= rmap_registers_wr_i.aeb3_gcfg_adc2_config.adc2_dly0;</t>
  </si>
  <si>
    <t xml:space="preserve">  when (16#391#) =&gt;</t>
  </si>
  <si>
    <t xml:space="preserve">      avalon_mm_rmap_o.readdata(0) &lt;= rmap_registers_wr_i.aeb3_gcfg_adc2_config.adc2_sbcs1;</t>
  </si>
  <si>
    <t xml:space="preserve">  when (16#392#) =&gt;</t>
  </si>
  <si>
    <t xml:space="preserve">      avalon_mm_rmap_o.readdata(0) &lt;= rmap_registers_wr_i.aeb3_gcfg_adc2_config.adc2_sbcs0;</t>
  </si>
  <si>
    <t xml:space="preserve">  when (16#393#) =&gt;</t>
  </si>
  <si>
    <t xml:space="preserve">      avalon_mm_rmap_o.readdata(0) &lt;= rmap_registers_wr_i.aeb3_gcfg_adc2_config.adc2_drate1;</t>
  </si>
  <si>
    <t xml:space="preserve">  when (16#394#) =&gt;</t>
  </si>
  <si>
    <t xml:space="preserve">      avalon_mm_rmap_o.readdata(0) &lt;= rmap_registers_wr_i.aeb3_gcfg_adc2_config.adc2_drate0;</t>
  </si>
  <si>
    <t xml:space="preserve">  when (16#395#) =&gt;</t>
  </si>
  <si>
    <t xml:space="preserve">      avalon_mm_rmap_o.readdata(0) &lt;= rmap_registers_wr_i.aeb3_gcfg_adc2_config.adc2_ainp3;</t>
  </si>
  <si>
    <t xml:space="preserve">  when (16#396#) =&gt;</t>
  </si>
  <si>
    <t xml:space="preserve">      avalon_mm_rmap_o.readdata(0) &lt;= rmap_registers_wr_i.aeb3_gcfg_adc2_config.adc2_ainp2;</t>
  </si>
  <si>
    <t xml:space="preserve">  when (16#397#) =&gt;</t>
  </si>
  <si>
    <t xml:space="preserve">      avalon_mm_rmap_o.readdata(0) &lt;= rmap_registers_wr_i.aeb3_gcfg_adc2_config.adc2_ainp1;</t>
  </si>
  <si>
    <t xml:space="preserve">  when (16#398#) =&gt;</t>
  </si>
  <si>
    <t xml:space="preserve">      avalon_mm_rmap_o.readdata(0) &lt;= rmap_registers_wr_i.aeb3_gcfg_adc2_config.adc2_ainp0;</t>
  </si>
  <si>
    <t xml:space="preserve">  when (16#399#) =&gt;</t>
  </si>
  <si>
    <t xml:space="preserve">      avalon_mm_rmap_o.readdata(0) &lt;= rmap_registers_wr_i.aeb3_gcfg_adc2_config.adc2_ainn3;</t>
  </si>
  <si>
    <t xml:space="preserve">  when (16#39A#) =&gt;</t>
  </si>
  <si>
    <t xml:space="preserve">      avalon_mm_rmap_o.readdata(0) &lt;= rmap_registers_wr_i.aeb3_gcfg_adc2_config.adc2_ainn2;</t>
  </si>
  <si>
    <t xml:space="preserve">  when (16#39B#) =&gt;</t>
  </si>
  <si>
    <t xml:space="preserve">      avalon_mm_rmap_o.readdata(0) &lt;= rmap_registers_wr_i.aeb3_gcfg_adc2_config.adc2_ainn1;</t>
  </si>
  <si>
    <t xml:space="preserve">  when (16#39C#) =&gt;</t>
  </si>
  <si>
    <t xml:space="preserve">      avalon_mm_rmap_o.readdata(0) &lt;= rmap_registers_wr_i.aeb3_gcfg_adc2_config.adc2_ainn0;</t>
  </si>
  <si>
    <t xml:space="preserve">  when (16#39D#) =&gt;</t>
  </si>
  <si>
    <t xml:space="preserve">      avalon_mm_rmap_o.readdata(0) &lt;= rmap_registers_wr_i.aeb3_gcfg_adc2_config.adc2_diff7;</t>
  </si>
  <si>
    <t xml:space="preserve">  when (16#39E#) =&gt;</t>
  </si>
  <si>
    <t xml:space="preserve">      avalon_mm_rmap_o.readdata(0) &lt;= rmap_registers_wr_i.aeb3_gcfg_adc2_config.adc2_diff6;</t>
  </si>
  <si>
    <t xml:space="preserve">  when (16#39F#) =&gt;</t>
  </si>
  <si>
    <t xml:space="preserve">      avalon_mm_rmap_o.readdata(0) &lt;= rmap_registers_wr_i.aeb3_gcfg_adc2_config.adc2_diff5;</t>
  </si>
  <si>
    <t xml:space="preserve">  when (16#3A0#) =&gt;</t>
  </si>
  <si>
    <t xml:space="preserve">      avalon_mm_rmap_o.readdata(0) &lt;= rmap_registers_wr_i.aeb3_gcfg_adc2_config.adc2_diff4;</t>
  </si>
  <si>
    <t xml:space="preserve">  when (16#3A1#) =&gt;</t>
  </si>
  <si>
    <t xml:space="preserve">      avalon_mm_rmap_o.readdata(0) &lt;= rmap_registers_wr_i.aeb3_gcfg_adc2_config.adc2_diff3;</t>
  </si>
  <si>
    <t xml:space="preserve">  when (16#3A2#) =&gt;</t>
  </si>
  <si>
    <t xml:space="preserve">      avalon_mm_rmap_o.readdata(0) &lt;= rmap_registers_wr_i.aeb3_gcfg_adc2_config.adc2_diff2;</t>
  </si>
  <si>
    <t xml:space="preserve">  when (16#3A3#) =&gt;</t>
  </si>
  <si>
    <t xml:space="preserve">      avalon_mm_rmap_o.readdata(0) &lt;= rmap_registers_wr_i.aeb3_gcfg_adc2_config.adc2_diff1;</t>
  </si>
  <si>
    <t xml:space="preserve">  when (16#3A4#) =&gt;</t>
  </si>
  <si>
    <t xml:space="preserve">      avalon_mm_rmap_o.readdata(0) &lt;= rmap_registers_wr_i.aeb3_gcfg_adc2_config.adc2_diff0;</t>
  </si>
  <si>
    <t xml:space="preserve">  when (16#3A5#) =&gt;</t>
  </si>
  <si>
    <t xml:space="preserve">      avalon_mm_rmap_o.readdata(0) &lt;= rmap_registers_wr_i.aeb3_gcfg_adc2_config.adc2_ain7;</t>
  </si>
  <si>
    <t xml:space="preserve">  when (16#3A6#) =&gt;</t>
  </si>
  <si>
    <t xml:space="preserve">      avalon_mm_rmap_o.readdata(0) &lt;= rmap_registers_wr_i.aeb3_gcfg_adc2_config.adc2_ain6;</t>
  </si>
  <si>
    <t xml:space="preserve">  when (16#3A7#) =&gt;</t>
  </si>
  <si>
    <t xml:space="preserve">      avalon_mm_rmap_o.readdata(0) &lt;= rmap_registers_wr_i.aeb3_gcfg_adc2_config.adc2_ain5;</t>
  </si>
  <si>
    <t xml:space="preserve">  when (16#3A8#) =&gt;</t>
  </si>
  <si>
    <t xml:space="preserve">      avalon_mm_rmap_o.readdata(0) &lt;= rmap_registers_wr_i.aeb3_gcfg_adc2_config.adc2_ain4;</t>
  </si>
  <si>
    <t xml:space="preserve">  when (16#3A9#) =&gt;</t>
  </si>
  <si>
    <t xml:space="preserve">      avalon_mm_rmap_o.readdata(0) &lt;= rmap_registers_wr_i.aeb3_gcfg_adc2_config.adc2_ain3;</t>
  </si>
  <si>
    <t xml:space="preserve">  when (16#3AA#) =&gt;</t>
  </si>
  <si>
    <t xml:space="preserve">      avalon_mm_rmap_o.readdata(0) &lt;= rmap_registers_wr_i.aeb3_gcfg_adc2_config.adc2_ain2;</t>
  </si>
  <si>
    <t xml:space="preserve">  when (16#3AB#) =&gt;</t>
  </si>
  <si>
    <t xml:space="preserve">      avalon_mm_rmap_o.readdata(0) &lt;= rmap_registers_wr_i.aeb3_gcfg_adc2_config.adc2_ain1;</t>
  </si>
  <si>
    <t xml:space="preserve">  when (16#3AC#) =&gt;</t>
  </si>
  <si>
    <t xml:space="preserve">      avalon_mm_rmap_o.readdata(0) &lt;= rmap_registers_wr_i.aeb3_gcfg_adc2_config.adc2_ain0;</t>
  </si>
  <si>
    <t xml:space="preserve">  when (16#3AD#) =&gt;</t>
  </si>
  <si>
    <t xml:space="preserve">      avalon_mm_rmap_o.readdata(0) &lt;= rmap_registers_wr_i.aeb3_gcfg_adc2_config.adc2_ain15;</t>
  </si>
  <si>
    <t xml:space="preserve">  when (16#3AE#) =&gt;</t>
  </si>
  <si>
    <t xml:space="preserve">      avalon_mm_rmap_o.readdata(0) &lt;= rmap_registers_wr_i.aeb3_gcfg_adc2_config.adc2_ain14;</t>
  </si>
  <si>
    <t xml:space="preserve">  when (16#3AF#) =&gt;</t>
  </si>
  <si>
    <t xml:space="preserve">      avalon_mm_rmap_o.readdata(0) &lt;= rmap_registers_wr_i.aeb3_gcfg_adc2_config.adc2_ain13;</t>
  </si>
  <si>
    <t xml:space="preserve">  when (16#3B0#) =&gt;</t>
  </si>
  <si>
    <t xml:space="preserve">      avalon_mm_rmap_o.readdata(0) &lt;= rmap_registers_wr_i.aeb3_gcfg_adc2_config.adc2_ain12;</t>
  </si>
  <si>
    <t xml:space="preserve">  when (16#3B1#) =&gt;</t>
  </si>
  <si>
    <t xml:space="preserve">      avalon_mm_rmap_o.readdata(0) &lt;= rmap_registers_wr_i.aeb3_gcfg_adc2_config.adc2_ain11;</t>
  </si>
  <si>
    <t xml:space="preserve">  when (16#3B2#) =&gt;</t>
  </si>
  <si>
    <t xml:space="preserve">      avalon_mm_rmap_o.readdata(0) &lt;= rmap_registers_wr_i.aeb3_gcfg_adc2_config.adc2_ain10;</t>
  </si>
  <si>
    <t xml:space="preserve">  when (16#3B3#) =&gt;</t>
  </si>
  <si>
    <t xml:space="preserve">      avalon_mm_rmap_o.readdata(0) &lt;= rmap_registers_wr_i.aeb3_gcfg_adc2_config.adc2_ain9;</t>
  </si>
  <si>
    <t xml:space="preserve">  when (16#3B4#) =&gt;</t>
  </si>
  <si>
    <t xml:space="preserve">      avalon_mm_rmap_o.readdata(0) &lt;= rmap_registers_wr_i.aeb3_gcfg_adc2_config.adc2_ain8;</t>
  </si>
  <si>
    <t xml:space="preserve">  when (16#3B5#) =&gt;</t>
  </si>
  <si>
    <t xml:space="preserve">      avalon_mm_rmap_o.readdata(0) &lt;= rmap_registers_wr_i.aeb3_gcfg_adc2_config.adc2_ref;</t>
  </si>
  <si>
    <t xml:space="preserve">  when (16#3B6#) =&gt;</t>
  </si>
  <si>
    <t xml:space="preserve">      avalon_mm_rmap_o.readdata(0) &lt;= rmap_registers_wr_i.aeb3_gcfg_adc2_config.adc2_gain;</t>
  </si>
  <si>
    <t xml:space="preserve">  when (16#3B7#) =&gt;</t>
  </si>
  <si>
    <t xml:space="preserve">      avalon_mm_rmap_o.readdata(0) &lt;= rmap_registers_wr_i.aeb3_gcfg_adc2_config.adc2_temp;</t>
  </si>
  <si>
    <t xml:space="preserve">  when (16#3B8#) =&gt;</t>
  </si>
  <si>
    <t xml:space="preserve">      avalon_mm_rmap_o.readdata(0) &lt;= rmap_registers_wr_i.aeb3_gcfg_adc2_config.adc2_vcc;</t>
  </si>
  <si>
    <t xml:space="preserve">  when (16#3B9#) =&gt;</t>
  </si>
  <si>
    <t xml:space="preserve">      avalon_mm_rmap_o.readdata(0) &lt;= rmap_registers_wr_i.aeb3_gcfg_adc2_config.adc2_offset;</t>
  </si>
  <si>
    <t xml:space="preserve">  when (16#3BA#) =&gt;</t>
  </si>
  <si>
    <t xml:space="preserve">      avalon_mm_rmap_o.readdata(0) &lt;= rmap_registers_wr_i.aeb3_gcfg_adc2_config.adc2_cio7;</t>
  </si>
  <si>
    <t xml:space="preserve">  when (16#3BB#) =&gt;</t>
  </si>
  <si>
    <t xml:space="preserve">      avalon_mm_rmap_o.readdata(0) &lt;= rmap_registers_wr_i.aeb3_gcfg_adc2_config.adc2_cio6;</t>
  </si>
  <si>
    <t xml:space="preserve">  when (16#3BC#) =&gt;</t>
  </si>
  <si>
    <t xml:space="preserve">      avalon_mm_rmap_o.readdata(0) &lt;= rmap_registers_wr_i.aeb3_gcfg_adc2_config.adc2_cio5;</t>
  </si>
  <si>
    <t xml:space="preserve">  when (16#3BD#) =&gt;</t>
  </si>
  <si>
    <t xml:space="preserve">      avalon_mm_rmap_o.readdata(0) &lt;= rmap_registers_wr_i.aeb3_gcfg_adc2_config.adc2_cio4;</t>
  </si>
  <si>
    <t xml:space="preserve">  when (16#3BE#) =&gt;</t>
  </si>
  <si>
    <t xml:space="preserve">      avalon_mm_rmap_o.readdata(0) &lt;= rmap_registers_wr_i.aeb3_gcfg_adc2_config.adc2_cio3;</t>
  </si>
  <si>
    <t xml:space="preserve">  when (16#3BF#) =&gt;</t>
  </si>
  <si>
    <t xml:space="preserve">      avalon_mm_rmap_o.readdata(0) &lt;= rmap_registers_wr_i.aeb3_gcfg_adc2_config.adc2_cio2;</t>
  </si>
  <si>
    <t xml:space="preserve">  when (16#3C0#) =&gt;</t>
  </si>
  <si>
    <t xml:space="preserve">      avalon_mm_rmap_o.readdata(0) &lt;= rmap_registers_wr_i.aeb3_gcfg_adc2_config.adc2_cio1;</t>
  </si>
  <si>
    <t xml:space="preserve">  when (16#3C1#) =&gt;</t>
  </si>
  <si>
    <t xml:space="preserve">      avalon_mm_rmap_o.readdata(0) &lt;= rmap_registers_wr_i.aeb3_gcfg_adc2_config.adc2_cio0;</t>
  </si>
  <si>
    <t xml:space="preserve">  when (16#3C2#) =&gt;</t>
  </si>
  <si>
    <t xml:space="preserve">      avalon_mm_rmap_o.readdata(0) &lt;= rmap_registers_wr_i.aeb3_gcfg_adc2_config.adc2_dio7;</t>
  </si>
  <si>
    <t xml:space="preserve">  when (16#3C3#) =&gt;</t>
  </si>
  <si>
    <t xml:space="preserve">      avalon_mm_rmap_o.readdata(0) &lt;= rmap_registers_wr_i.aeb3_gcfg_adc2_config.adc2_dio6;</t>
  </si>
  <si>
    <t xml:space="preserve">  when (16#3C4#) =&gt;</t>
  </si>
  <si>
    <t xml:space="preserve">      avalon_mm_rmap_o.readdata(0) &lt;= rmap_registers_wr_i.aeb3_gcfg_adc2_config.adc2_dio5;</t>
  </si>
  <si>
    <t xml:space="preserve">  when (16#3C5#) =&gt;</t>
  </si>
  <si>
    <t xml:space="preserve">      avalon_mm_rmap_o.readdata(0) &lt;= rmap_registers_wr_i.aeb3_gcfg_adc2_config.adc2_dio4;</t>
  </si>
  <si>
    <t xml:space="preserve">  when (16#3C6#) =&gt;</t>
  </si>
  <si>
    <t xml:space="preserve">      avalon_mm_rmap_o.readdata(0) &lt;= rmap_registers_wr_i.aeb3_gcfg_adc2_config.adc2_dio3;</t>
  </si>
  <si>
    <t xml:space="preserve">  when (16#3C7#) =&gt;</t>
  </si>
  <si>
    <t xml:space="preserve">      avalon_mm_rmap_o.readdata(0) &lt;= rmap_registers_wr_i.aeb3_gcfg_adc2_config.adc2_dio2;</t>
  </si>
  <si>
    <t xml:space="preserve">  when (16#3C8#) =&gt;</t>
  </si>
  <si>
    <t xml:space="preserve">      avalon_mm_rmap_o.readdata(0) &lt;= rmap_registers_wr_i.aeb3_gcfg_adc2_config.adc2_dio1;</t>
  </si>
  <si>
    <t xml:space="preserve">  when (16#3C9#) =&gt;</t>
  </si>
  <si>
    <t xml:space="preserve">      avalon_mm_rmap_o.readdata(0) &lt;= rmap_registers_wr_i.aeb3_gcfg_adc2_config.adc2_dio0;</t>
  </si>
  <si>
    <t xml:space="preserve">  when (16#3CA#) =&gt;</t>
  </si>
  <si>
    <t xml:space="preserve">      avalon_mm_rmap_o.readdata(7 downto 0) &lt;= rmap_registers_wr_i.aeb3_gcfg_seq_config.seq_oe(7 downto 0);</t>
  </si>
  <si>
    <t xml:space="preserve">      avalon_mm_rmap_o.readdata(15 downto 8) &lt;= rmap_registers_wr_i.aeb3_gcfg_seq_config.seq_oe(15 downto 8);</t>
  </si>
  <si>
    <t xml:space="preserve">      avalon_mm_rmap_o.readdata(21 downto 16) &lt;= rmap_registers_wr_i.aeb3_gcfg_seq_config.seq_oe(21 downto 16);</t>
  </si>
  <si>
    <t xml:space="preserve">  when (16#3CB#) =&gt;</t>
  </si>
  <si>
    <t xml:space="preserve">      avalon_mm_rmap_o.readdata(6 downto 0) &lt;= rmap_registers_wr_i.aeb3_gcfg_seq_config.adc_clk_div;</t>
  </si>
  <si>
    <t xml:space="preserve">      avalon_mm_rmap_o.readdata(15 downto 8) &lt;= rmap_registers_wr_i.aeb3_gcfg_seq_config.cds_clk_low_pos;</t>
  </si>
  <si>
    <t xml:space="preserve">      avalon_mm_rmap_o.readdata(23 downto 16) &lt;= rmap_registers_wr_i.aeb3_gcfg_seq_config.cds_clk_high_pos;</t>
  </si>
  <si>
    <t xml:space="preserve">      avalon_mm_rmap_o.readdata(31 downto 24) &lt;= rmap_registers_wr_i.aeb3_gcfg_seq_config.rphir_clk_low_pos;</t>
  </si>
  <si>
    <t xml:space="preserve">  when (16#3CC#) =&gt;</t>
  </si>
  <si>
    <t xml:space="preserve">      avalon_mm_rmap_o.readdata(7 downto 0) &lt;= rmap_registers_wr_i.aeb3_gcfg_seq_config.rphir_clk_high_pos;</t>
  </si>
  <si>
    <t xml:space="preserve">      avalon_mm_rmap_o.readdata(23 downto 16) &lt;= rmap_registers_wr_i.aeb3_gcfg_seq_config.ft_loop_cnt(7 downto 0);</t>
  </si>
  <si>
    <t xml:space="preserve">      avalon_mm_rmap_o.readdata(29 downto 24) &lt;= rmap_registers_wr_i.aeb3_gcfg_seq_config.ft_loop_cnt(13 downto 8);</t>
  </si>
  <si>
    <t xml:space="preserve">  when (16#3CD#) =&gt;</t>
  </si>
  <si>
    <t xml:space="preserve">      avalon_mm_rmap_o.readdata(0) &lt;= rmap_registers_wr_i.aeb3_gcfg_seq_config.lt0_enabled;</t>
  </si>
  <si>
    <t xml:space="preserve">  when (16#3CE#) =&gt;</t>
  </si>
  <si>
    <t xml:space="preserve">      avalon_mm_rmap_o.readdata(0) &lt;= rmap_registers_wr_i.aeb3_gcfg_seq_config.lt0_pixreadout;</t>
  </si>
  <si>
    <t xml:space="preserve">  when (16#3CF#) =&gt;</t>
  </si>
  <si>
    <t xml:space="preserve">      avalon_mm_rmap_o.readdata(7 downto 0) &lt;= rmap_registers_wr_i.aeb3_gcfg_seq_config.lt0_loop_cnt(7 downto 0);</t>
  </si>
  <si>
    <t xml:space="preserve">      avalon_mm_rmap_o.readdata(13 downto 8) &lt;= rmap_registers_wr_i.aeb3_gcfg_seq_config.lt0_loop_cnt(13 downto 8);</t>
  </si>
  <si>
    <t xml:space="preserve">  when (16#3D0#) =&gt;</t>
  </si>
  <si>
    <t xml:space="preserve">      avalon_mm_rmap_o.readdata(0) &lt;= rmap_registers_wr_i.aeb3_gcfg_seq_config.lt1_enabled;</t>
  </si>
  <si>
    <t xml:space="preserve">  when (16#3D1#) =&gt;</t>
  </si>
  <si>
    <t xml:space="preserve">      avalon_mm_rmap_o.readdata(0) &lt;= rmap_registers_wr_i.aeb3_gcfg_seq_config.lt1_pixreadout;</t>
  </si>
  <si>
    <t xml:space="preserve">  when (16#3D2#) =&gt;</t>
  </si>
  <si>
    <t xml:space="preserve">      avalon_mm_rmap_o.readdata(7 downto 0) &lt;= rmap_registers_wr_i.aeb3_gcfg_seq_config.lt1_loop_cnt(7 downto 0);</t>
  </si>
  <si>
    <t xml:space="preserve">      avalon_mm_rmap_o.readdata(13 downto 8) &lt;= rmap_registers_wr_i.aeb3_gcfg_seq_config.lt1_loop_cnt(13 downto 8);</t>
  </si>
  <si>
    <t xml:space="preserve">  when (16#3D3#) =&gt;</t>
  </si>
  <si>
    <t xml:space="preserve">      avalon_mm_rmap_o.readdata(0) &lt;= rmap_registers_wr_i.aeb3_gcfg_seq_config.lt2_enabled;</t>
  </si>
  <si>
    <t xml:space="preserve">  when (16#3D4#) =&gt;</t>
  </si>
  <si>
    <t xml:space="preserve">      avalon_mm_rmap_o.readdata(0) &lt;= rmap_registers_wr_i.aeb3_gcfg_seq_config.lt2_pixreadout;</t>
  </si>
  <si>
    <t xml:space="preserve">  when (16#3D5#) =&gt;</t>
  </si>
  <si>
    <t xml:space="preserve">      avalon_mm_rmap_o.readdata(7 downto 0) &lt;= rmap_registers_wr_i.aeb3_gcfg_seq_config.lt2_loop_cnt(7 downto 0);</t>
  </si>
  <si>
    <t xml:space="preserve">      avalon_mm_rmap_o.readdata(13 downto 8) &lt;= rmap_registers_wr_i.aeb3_gcfg_seq_config.lt2_loop_cnt(13 downto 8);</t>
  </si>
  <si>
    <t xml:space="preserve">  when (16#3D6#) =&gt;</t>
  </si>
  <si>
    <t xml:space="preserve">      avalon_mm_rmap_o.readdata(0) &lt;= rmap_registers_wr_i.aeb3_gcfg_seq_config.lt3_enabled;</t>
  </si>
  <si>
    <t xml:space="preserve">  when (16#3D7#) =&gt;</t>
  </si>
  <si>
    <t xml:space="preserve">      avalon_mm_rmap_o.readdata(0) &lt;= rmap_registers_wr_i.aeb3_gcfg_seq_config.lt3_pixreadout;</t>
  </si>
  <si>
    <t xml:space="preserve">  when (16#3D8#) =&gt;</t>
  </si>
  <si>
    <t xml:space="preserve">      avalon_mm_rmap_o.readdata(7 downto 0) &lt;= rmap_registers_wr_i.aeb3_gcfg_seq_config.lt3_loop_cnt(7 downto 0);</t>
  </si>
  <si>
    <t xml:space="preserve">      avalon_mm_rmap_o.readdata(13 downto 8) &lt;= rmap_registers_wr_i.aeb3_gcfg_seq_config.lt3_loop_cnt(13 downto 8);</t>
  </si>
  <si>
    <t xml:space="preserve">      avalon_mm_rmap_o.readdata(23 downto 16) &lt;= rmap_registers_wr_i.aeb3_gcfg_seq_config.pix_loop_cnt(7 downto 0);</t>
  </si>
  <si>
    <t xml:space="preserve">      avalon_mm_rmap_o.readdata(29 downto 24) &lt;= rmap_registers_wr_i.aeb3_gcfg_seq_config.pix_loop_cnt(13 downto 8);</t>
  </si>
  <si>
    <t xml:space="preserve">  when (16#3D9#) =&gt;</t>
  </si>
  <si>
    <t xml:space="preserve">      avalon_mm_rmap_o.readdata(0) &lt;= rmap_registers_wr_i.aeb3_gcfg_seq_config.pc_enabled;</t>
  </si>
  <si>
    <t xml:space="preserve">  when (16#3DA#) =&gt;</t>
  </si>
  <si>
    <t xml:space="preserve">      avalon_mm_rmap_o.readdata(7 downto 0) &lt;= rmap_registers_wr_i.aeb3_gcfg_seq_config.pc_loop_cnt(7 downto 0);</t>
  </si>
  <si>
    <t xml:space="preserve">      avalon_mm_rmap_o.readdata(13 downto 8) &lt;= rmap_registers_wr_i.aeb3_gcfg_seq_config.pc_loop_cnt(13 downto 8);</t>
  </si>
  <si>
    <t xml:space="preserve">      avalon_mm_rmap_o.readdata(23 downto 16) &lt;= rmap_registers_wr_i.aeb3_gcfg_seq_config.int1_loop_cnt(7 downto 0);</t>
  </si>
  <si>
    <t xml:space="preserve">      avalon_mm_rmap_o.readdata(29 downto 24) &lt;= rmap_registers_wr_i.aeb3_gcfg_seq_config.int1_loop_cnt(13 downto 8);</t>
  </si>
  <si>
    <t xml:space="preserve">  when (16#3DB#) =&gt;</t>
  </si>
  <si>
    <t xml:space="preserve">      avalon_mm_rmap_o.readdata(7 downto 0) &lt;= rmap_registers_wr_i.aeb3_gcfg_seq_config.int2_loop_cnt(7 downto 0);</t>
  </si>
  <si>
    <t xml:space="preserve">      avalon_mm_rmap_o.readdata(13 downto 8) &lt;= rmap_registers_wr_i.aeb3_gcfg_seq_config.int2_loop_cnt(13 downto 8);</t>
  </si>
  <si>
    <t xml:space="preserve">      -- AEB 3 Housekeeping Area : </t>
  </si>
  <si>
    <t xml:space="preserve">      avalon_mm_rmap_o.readdata(18 downto 16) &lt;= rmap_registers_wr_i.aeb3_hk_aeb_status.aeb_state;</t>
  </si>
  <si>
    <t xml:space="preserve">  when (16#3DC#) =&gt;</t>
  </si>
  <si>
    <t xml:space="preserve">      avalon_mm_rmap_o.readdata(0) &lt;= rmap_registers_wr_i.aeb3_hk_aeb_status.vasp2_cfg_run;</t>
  </si>
  <si>
    <t xml:space="preserve">  when (16#3DD#) =&gt;</t>
  </si>
  <si>
    <t xml:space="preserve">      avalon_mm_rmap_o.readdata(0) &lt;= rmap_registers_wr_i.aeb3_hk_aeb_status.vasp1_cfg_run;</t>
  </si>
  <si>
    <t xml:space="preserve">  when (16#3DE#) =&gt;</t>
  </si>
  <si>
    <t xml:space="preserve">      avalon_mm_rmap_o.readdata(0) &lt;= rmap_registers_wr_i.aeb3_hk_aeb_status.dac_cfg_w_run;</t>
  </si>
  <si>
    <t xml:space="preserve">  when (16#3DF#) =&gt;</t>
  </si>
  <si>
    <t xml:space="preserve">      avalon_mm_rmap_o.readdata(0) &lt;= rmap_registers_wr_i.aeb3_hk_aeb_status.adc_cfg_rd_run;</t>
  </si>
  <si>
    <t xml:space="preserve">  when (16#3E0#) =&gt;</t>
  </si>
  <si>
    <t xml:space="preserve">      avalon_mm_rmap_o.readdata(0) &lt;= rmap_registers_wr_i.aeb3_hk_aeb_status.adc_cfg_wr_run;</t>
  </si>
  <si>
    <t xml:space="preserve">  when (16#3E1#) =&gt;</t>
  </si>
  <si>
    <t xml:space="preserve">      avalon_mm_rmap_o.readdata(0) &lt;= rmap_registers_wr_i.aeb3_hk_aeb_status.adc_dat_rd_run;</t>
  </si>
  <si>
    <t xml:space="preserve">  when (16#3E2#) =&gt;</t>
  </si>
  <si>
    <t xml:space="preserve">      avalon_mm_rmap_o.readdata(0) &lt;= rmap_registers_wr_i.aeb3_hk_aeb_status.adc_error;</t>
  </si>
  <si>
    <t xml:space="preserve">  when (16#3E3#) =&gt;</t>
  </si>
  <si>
    <t xml:space="preserve">      avalon_mm_rmap_o.readdata(0) &lt;= rmap_registers_wr_i.aeb3_hk_aeb_status.adc2_lu;</t>
  </si>
  <si>
    <t xml:space="preserve">  when (16#3E4#) =&gt;</t>
  </si>
  <si>
    <t xml:space="preserve">      avalon_mm_rmap_o.readdata(0) &lt;= rmap_registers_wr_i.aeb3_hk_aeb_status.adc1_lu;</t>
  </si>
  <si>
    <t xml:space="preserve">  when (16#3E5#) =&gt;</t>
  </si>
  <si>
    <t xml:space="preserve">      avalon_mm_rmap_o.readdata(0) &lt;= rmap_registers_wr_i.aeb3_hk_aeb_status.adc_dat_rd;</t>
  </si>
  <si>
    <t xml:space="preserve">  when (16#3E6#) =&gt;</t>
  </si>
  <si>
    <t xml:space="preserve">      avalon_mm_rmap_o.readdata(0) &lt;= rmap_registers_wr_i.aeb3_hk_aeb_status.adc_cfg_rd;</t>
  </si>
  <si>
    <t xml:space="preserve">  when (16#3E7#) =&gt;</t>
  </si>
  <si>
    <t xml:space="preserve">      avalon_mm_rmap_o.readdata(0) &lt;= rmap_registers_wr_i.aeb3_hk_aeb_status.adc_cfg_wr;</t>
  </si>
  <si>
    <t xml:space="preserve">  when (16#3E8#) =&gt;</t>
  </si>
  <si>
    <t xml:space="preserve">      avalon_mm_rmap_o.readdata(0) &lt;= rmap_registers_wr_i.aeb3_hk_aeb_status.adc2_busy;</t>
  </si>
  <si>
    <t xml:space="preserve">  when (16#3E9#) =&gt;</t>
  </si>
  <si>
    <t xml:space="preserve">      avalon_mm_rmap_o.readdata(0) &lt;= rmap_registers_wr_i.aeb3_hk_aeb_status.adc1_busy;</t>
  </si>
  <si>
    <t xml:space="preserve">  when (16#3EA#) =&gt;</t>
  </si>
  <si>
    <t xml:space="preserve">      avalon_mm_rmap_o.readdata(7 downto 0) &lt;= rmap_registers_wr_i.aeb3_hk_aeb_status.frame_counter(7 downto 0);</t>
  </si>
  <si>
    <t xml:space="preserve">      avalon_mm_rmap_o.readdata(15 downto 8) &lt;= rmap_registers_wr_i.aeb3_hk_aeb_status.frame_counter(15 downto 8);</t>
  </si>
  <si>
    <t xml:space="preserve">  when (16#3EB#) =&gt;</t>
  </si>
  <si>
    <t xml:space="preserve">      avalon_mm_rmap_o.readdata(7 downto 0) &lt;= rmap_registers_wr_i.aeb3_hk_timestamp.timestamp_1(7 downto 0);</t>
  </si>
  <si>
    <t xml:space="preserve">      avalon_mm_rmap_o.readdata(15 downto 8) &lt;= rmap_registers_wr_i.aeb3_hk_timestamp.timestamp_1(15 downto 8);</t>
  </si>
  <si>
    <t xml:space="preserve">      avalon_mm_rmap_o.readdata(23 downto 16) &lt;= rmap_registers_wr_i.aeb3_hk_timestamp.timestamp_1(23 downto 16);</t>
  </si>
  <si>
    <t xml:space="preserve">      avalon_mm_rmap_o.readdata(31 downto 24) &lt;= rmap_registers_wr_i.aeb3_hk_timestamp.timestamp_1(31 downto 24);</t>
  </si>
  <si>
    <t xml:space="preserve">  when (16#3EC#) =&gt;</t>
  </si>
  <si>
    <t xml:space="preserve">      avalon_mm_rmap_o.readdata(7 downto 0) &lt;= rmap_registers_wr_i.aeb3_hk_timestamp.timestamp_0(7 downto 0);</t>
  </si>
  <si>
    <t xml:space="preserve">      avalon_mm_rmap_o.readdata(15 downto 8) &lt;= rmap_registers_wr_i.aeb3_hk_timestamp.timestamp_0(15 downto 8);</t>
  </si>
  <si>
    <t xml:space="preserve">      avalon_mm_rmap_o.readdata(23 downto 16) &lt;= rmap_registers_wr_i.aeb3_hk_timestamp.timestamp_0(23 downto 16);</t>
  </si>
  <si>
    <t xml:space="preserve">      avalon_mm_rmap_o.readdata(31 downto 24) &lt;= rmap_registers_wr_i.aeb3_hk_timestamp.timestamp_0(31 downto 24);</t>
  </si>
  <si>
    <t xml:space="preserve">  when (16#3ED#) =&gt;</t>
  </si>
  <si>
    <t xml:space="preserve">      avalon_mm_rmap_o.readdata(7 downto 0) &lt;= rmap_registers_wr_i.aeb3_hk_adc_rd_data.adc_rd_data_18(7 downto 0);</t>
  </si>
  <si>
    <t xml:space="preserve">      avalon_mm_rmap_o.readdata(15 downto 8) &lt;= rmap_registers_wr_i.aeb3_hk_adc_rd_data.adc_rd_data_18(15 downto 8);</t>
  </si>
  <si>
    <t xml:space="preserve">      avalon_mm_rmap_o.readdata(23 downto 16) &lt;= rmap_registers_wr_i.aeb3_hk_adc_rd_data.adc_rd_data_18(23 downto 16);</t>
  </si>
  <si>
    <t xml:space="preserve">      avalon_mm_rmap_o.readdata(31 downto 24) &lt;= rmap_registers_wr_i.aeb3_hk_adc_rd_data.adc_rd_data_18(31 downto 24);</t>
  </si>
  <si>
    <t xml:space="preserve">  when (16#3EE#) =&gt;</t>
  </si>
  <si>
    <t xml:space="preserve">      avalon_mm_rmap_o.readdata(7 downto 0) &lt;= rmap_registers_wr_i.aeb3_hk_adc_rd_data.adc_rd_data_17(7 downto 0);</t>
  </si>
  <si>
    <t xml:space="preserve">      avalon_mm_rmap_o.readdata(15 downto 8) &lt;= rmap_registers_wr_i.aeb3_hk_adc_rd_data.adc_rd_data_17(15 downto 8);</t>
  </si>
  <si>
    <t xml:space="preserve">      avalon_mm_rmap_o.readdata(23 downto 16) &lt;= rmap_registers_wr_i.aeb3_hk_adc_rd_data.adc_rd_data_17(23 downto 16);</t>
  </si>
  <si>
    <t xml:space="preserve">      avalon_mm_rmap_o.readdata(31 downto 24) &lt;= rmap_registers_wr_i.aeb3_hk_adc_rd_data.adc_rd_data_17(31 downto 24);</t>
  </si>
  <si>
    <t xml:space="preserve">  when (16#3EF#) =&gt;</t>
  </si>
  <si>
    <t xml:space="preserve">      avalon_mm_rmap_o.readdata(7 downto 0) &lt;= rmap_registers_wr_i.aeb3_hk_adc_rd_data.adc_rd_data_16(7 downto 0);</t>
  </si>
  <si>
    <t xml:space="preserve">      avalon_mm_rmap_o.readdata(15 downto 8) &lt;= rmap_registers_wr_i.aeb3_hk_adc_rd_data.adc_rd_data_16(15 downto 8);</t>
  </si>
  <si>
    <t xml:space="preserve">      avalon_mm_rmap_o.readdata(23 downto 16) &lt;= rmap_registers_wr_i.aeb3_hk_adc_rd_data.adc_rd_data_16(23 downto 16);</t>
  </si>
  <si>
    <t xml:space="preserve">      avalon_mm_rmap_o.readdata(31 downto 24) &lt;= rmap_registers_wr_i.aeb3_hk_adc_rd_data.adc_rd_data_16(31 downto 24);</t>
  </si>
  <si>
    <t xml:space="preserve">  when (16#3F0#) =&gt;</t>
  </si>
  <si>
    <t xml:space="preserve">      avalon_mm_rmap_o.readdata(7 downto 0) &lt;= rmap_registers_wr_i.aeb3_hk_adc_rd_data.adc_rd_data_15(7 downto 0);</t>
  </si>
  <si>
    <t xml:space="preserve">      avalon_mm_rmap_o.readdata(15 downto 8) &lt;= rmap_registers_wr_i.aeb3_hk_adc_rd_data.adc_rd_data_15(15 downto 8);</t>
  </si>
  <si>
    <t xml:space="preserve">      avalon_mm_rmap_o.readdata(23 downto 16) &lt;= rmap_registers_wr_i.aeb3_hk_adc_rd_data.adc_rd_data_15(23 downto 16);</t>
  </si>
  <si>
    <t xml:space="preserve">      avalon_mm_rmap_o.readdata(31 downto 24) &lt;= rmap_registers_wr_i.aeb3_hk_adc_rd_data.adc_rd_data_15(31 downto 24);</t>
  </si>
  <si>
    <t xml:space="preserve">  when (16#3F1#) =&gt;</t>
  </si>
  <si>
    <t xml:space="preserve">      avalon_mm_rmap_o.readdata(7 downto 0) &lt;= rmap_registers_wr_i.aeb3_hk_adc_rd_data.adc_rd_data_14(7 downto 0);</t>
  </si>
  <si>
    <t xml:space="preserve">      avalon_mm_rmap_o.readdata(15 downto 8) &lt;= rmap_registers_wr_i.aeb3_hk_adc_rd_data.adc_rd_data_14(15 downto 8);</t>
  </si>
  <si>
    <t xml:space="preserve">      avalon_mm_rmap_o.readdata(23 downto 16) &lt;= rmap_registers_wr_i.aeb3_hk_adc_rd_data.adc_rd_data_14(23 downto 16);</t>
  </si>
  <si>
    <t xml:space="preserve">      avalon_mm_rmap_o.readdata(31 downto 24) &lt;= rmap_registers_wr_i.aeb3_hk_adc_rd_data.adc_rd_data_14(31 downto 24);</t>
  </si>
  <si>
    <t xml:space="preserve">  when (16#3F2#) =&gt;</t>
  </si>
  <si>
    <t xml:space="preserve">      avalon_mm_rmap_o.readdata(7 downto 0) &lt;= rmap_registers_wr_i.aeb3_hk_adc_rd_data.adc_rd_data_13(7 downto 0);</t>
  </si>
  <si>
    <t xml:space="preserve">      avalon_mm_rmap_o.readdata(15 downto 8) &lt;= rmap_registers_wr_i.aeb3_hk_adc_rd_data.adc_rd_data_13(15 downto 8);</t>
  </si>
  <si>
    <t xml:space="preserve">      avalon_mm_rmap_o.readdata(23 downto 16) &lt;= rmap_registers_wr_i.aeb3_hk_adc_rd_data.adc_rd_data_13(23 downto 16);</t>
  </si>
  <si>
    <t xml:space="preserve">      avalon_mm_rmap_o.readdata(31 downto 24) &lt;= rmap_registers_wr_i.aeb3_hk_adc_rd_data.adc_rd_data_13(31 downto 24);</t>
  </si>
  <si>
    <t xml:space="preserve">  when (16#3F3#) =&gt;</t>
  </si>
  <si>
    <t xml:space="preserve">      avalon_mm_rmap_o.readdata(7 downto 0) &lt;= rmap_registers_wr_i.aeb3_hk_adc_rd_data.adc_rd_data_12(7 downto 0);</t>
  </si>
  <si>
    <t xml:space="preserve">      avalon_mm_rmap_o.readdata(15 downto 8) &lt;= rmap_registers_wr_i.aeb3_hk_adc_rd_data.adc_rd_data_12(15 downto 8);</t>
  </si>
  <si>
    <t xml:space="preserve">      avalon_mm_rmap_o.readdata(23 downto 16) &lt;= rmap_registers_wr_i.aeb3_hk_adc_rd_data.adc_rd_data_12(23 downto 16);</t>
  </si>
  <si>
    <t xml:space="preserve">      avalon_mm_rmap_o.readdata(31 downto 24) &lt;= rmap_registers_wr_i.aeb3_hk_adc_rd_data.adc_rd_data_12(31 downto 24);</t>
  </si>
  <si>
    <t xml:space="preserve">  when (16#3F4#) =&gt;</t>
  </si>
  <si>
    <t xml:space="preserve">      avalon_mm_rmap_o.readdata(7 downto 0) &lt;= rmap_registers_wr_i.aeb3_hk_adc_rd_data.adc_rd_data_11(7 downto 0);</t>
  </si>
  <si>
    <t xml:space="preserve">      avalon_mm_rmap_o.readdata(15 downto 8) &lt;= rmap_registers_wr_i.aeb3_hk_adc_rd_data.adc_rd_data_11(15 downto 8);</t>
  </si>
  <si>
    <t xml:space="preserve">      avalon_mm_rmap_o.readdata(23 downto 16) &lt;= rmap_registers_wr_i.aeb3_hk_adc_rd_data.adc_rd_data_11(23 downto 16);</t>
  </si>
  <si>
    <t xml:space="preserve">      avalon_mm_rmap_o.readdata(31 downto 24) &lt;= rmap_registers_wr_i.aeb3_hk_adc_rd_data.adc_rd_data_11(31 downto 24);</t>
  </si>
  <si>
    <t xml:space="preserve">  when (16#3F5#) =&gt;</t>
  </si>
  <si>
    <t xml:space="preserve">      avalon_mm_rmap_o.readdata(7 downto 0) &lt;= rmap_registers_wr_i.aeb3_hk_adc_rd_data.adc_rd_data_10(7 downto 0);</t>
  </si>
  <si>
    <t xml:space="preserve">      avalon_mm_rmap_o.readdata(15 downto 8) &lt;= rmap_registers_wr_i.aeb3_hk_adc_rd_data.adc_rd_data_10(15 downto 8);</t>
  </si>
  <si>
    <t xml:space="preserve">      avalon_mm_rmap_o.readdata(23 downto 16) &lt;= rmap_registers_wr_i.aeb3_hk_adc_rd_data.adc_rd_data_10(23 downto 16);</t>
  </si>
  <si>
    <t xml:space="preserve">      avalon_mm_rmap_o.readdata(31 downto 24) &lt;= rmap_registers_wr_i.aeb3_hk_adc_rd_data.adc_rd_data_10(31 downto 24);</t>
  </si>
  <si>
    <t xml:space="preserve">  when (16#3F6#) =&gt;</t>
  </si>
  <si>
    <t xml:space="preserve">      avalon_mm_rmap_o.readdata(7 downto 0) &lt;= rmap_registers_wr_i.aeb3_hk_adc_rd_data.adc_rd_data_9(7 downto 0);</t>
  </si>
  <si>
    <t xml:space="preserve">      avalon_mm_rmap_o.readdata(15 downto 8) &lt;= rmap_registers_wr_i.aeb3_hk_adc_rd_data.adc_rd_data_9(15 downto 8);</t>
  </si>
  <si>
    <t xml:space="preserve">      avalon_mm_rmap_o.readdata(23 downto 16) &lt;= rmap_registers_wr_i.aeb3_hk_adc_rd_data.adc_rd_data_9(23 downto 16);</t>
  </si>
  <si>
    <t xml:space="preserve">      avalon_mm_rmap_o.readdata(31 downto 24) &lt;= rmap_registers_wr_i.aeb3_hk_adc_rd_data.adc_rd_data_9(31 downto 24);</t>
  </si>
  <si>
    <t xml:space="preserve">  when (16#3F7#) =&gt;</t>
  </si>
  <si>
    <t xml:space="preserve">      avalon_mm_rmap_o.readdata(7 downto 0) &lt;= rmap_registers_wr_i.aeb3_hk_adc_rd_data.adc_rd_data_8(7 downto 0);</t>
  </si>
  <si>
    <t xml:space="preserve">      avalon_mm_rmap_o.readdata(15 downto 8) &lt;= rmap_registers_wr_i.aeb3_hk_adc_rd_data.adc_rd_data_8(15 downto 8);</t>
  </si>
  <si>
    <t xml:space="preserve">      avalon_mm_rmap_o.readdata(23 downto 16) &lt;= rmap_registers_wr_i.aeb3_hk_adc_rd_data.adc_rd_data_8(23 downto 16);</t>
  </si>
  <si>
    <t xml:space="preserve">      avalon_mm_rmap_o.readdata(31 downto 24) &lt;= rmap_registers_wr_i.aeb3_hk_adc_rd_data.adc_rd_data_8(31 downto 24);</t>
  </si>
  <si>
    <t xml:space="preserve">  when (16#3F8#) =&gt;</t>
  </si>
  <si>
    <t xml:space="preserve">      avalon_mm_rmap_o.readdata(7 downto 0) &lt;= rmap_registers_wr_i.aeb3_hk_adc_rd_data.adc_rd_data_7(7 downto 0);</t>
  </si>
  <si>
    <t xml:space="preserve">      avalon_mm_rmap_o.readdata(15 downto 8) &lt;= rmap_registers_wr_i.aeb3_hk_adc_rd_data.adc_rd_data_7(15 downto 8);</t>
  </si>
  <si>
    <t xml:space="preserve">      avalon_mm_rmap_o.readdata(23 downto 16) &lt;= rmap_registers_wr_i.aeb3_hk_adc_rd_data.adc_rd_data_7(23 downto 16);</t>
  </si>
  <si>
    <t xml:space="preserve">      avalon_mm_rmap_o.readdata(31 downto 24) &lt;= rmap_registers_wr_i.aeb3_hk_adc_rd_data.adc_rd_data_7(31 downto 24);</t>
  </si>
  <si>
    <t xml:space="preserve">  when (16#3F9#) =&gt;</t>
  </si>
  <si>
    <t xml:space="preserve">      avalon_mm_rmap_o.readdata(7 downto 0) &lt;= rmap_registers_wr_i.aeb3_hk_adc_rd_data.adc_rd_data_6(7 downto 0);</t>
  </si>
  <si>
    <t xml:space="preserve">      avalon_mm_rmap_o.readdata(15 downto 8) &lt;= rmap_registers_wr_i.aeb3_hk_adc_rd_data.adc_rd_data_6(15 downto 8);</t>
  </si>
  <si>
    <t xml:space="preserve">      avalon_mm_rmap_o.readdata(23 downto 16) &lt;= rmap_registers_wr_i.aeb3_hk_adc_rd_data.adc_rd_data_6(23 downto 16);</t>
  </si>
  <si>
    <t xml:space="preserve">      avalon_mm_rmap_o.readdata(31 downto 24) &lt;= rmap_registers_wr_i.aeb3_hk_adc_rd_data.adc_rd_data_6(31 downto 24);</t>
  </si>
  <si>
    <t xml:space="preserve">  when (16#3FA#) =&gt;</t>
  </si>
  <si>
    <t xml:space="preserve">      avalon_mm_rmap_o.readdata(7 downto 0) &lt;= rmap_registers_wr_i.aeb3_hk_adc_rd_data.adc_rd_data_5(7 downto 0);</t>
  </si>
  <si>
    <t xml:space="preserve">      avalon_mm_rmap_o.readdata(15 downto 8) &lt;= rmap_registers_wr_i.aeb3_hk_adc_rd_data.adc_rd_data_5(15 downto 8);</t>
  </si>
  <si>
    <t xml:space="preserve">      avalon_mm_rmap_o.readdata(23 downto 16) &lt;= rmap_registers_wr_i.aeb3_hk_adc_rd_data.adc_rd_data_5(23 downto 16);</t>
  </si>
  <si>
    <t xml:space="preserve">      avalon_mm_rmap_o.readdata(31 downto 24) &lt;= rmap_registers_wr_i.aeb3_hk_adc_rd_data.adc_rd_data_5(31 downto 24);</t>
  </si>
  <si>
    <t xml:space="preserve">  when (16#3FB#) =&gt;</t>
  </si>
  <si>
    <t xml:space="preserve">      avalon_mm_rmap_o.readdata(7 downto 0) &lt;= rmap_registers_wr_i.aeb3_hk_adc_rd_data.adc_rd_data_4(7 downto 0);</t>
  </si>
  <si>
    <t xml:space="preserve">      avalon_mm_rmap_o.readdata(15 downto 8) &lt;= rmap_registers_wr_i.aeb3_hk_adc_rd_data.adc_rd_data_4(15 downto 8);</t>
  </si>
  <si>
    <t xml:space="preserve">      avalon_mm_rmap_o.readdata(23 downto 16) &lt;= rmap_registers_wr_i.aeb3_hk_adc_rd_data.adc_rd_data_4(23 downto 16);</t>
  </si>
  <si>
    <t xml:space="preserve">      avalon_mm_rmap_o.readdata(31 downto 24) &lt;= rmap_registers_wr_i.aeb3_hk_adc_rd_data.adc_rd_data_4(31 downto 24);</t>
  </si>
  <si>
    <t xml:space="preserve">      avalon_mm_rmap_o.readdata(7 downto 0) &lt;= rmap_registers_wr_i.aeb3_hk_adc_rd_data.adc_rd_data_3(7 downto 0);</t>
  </si>
  <si>
    <t xml:space="preserve">      avalon_mm_rmap_o.readdata(15 downto 8) &lt;= rmap_registers_wr_i.aeb3_hk_adc_rd_data.adc_rd_data_3(15 downto 8);</t>
  </si>
  <si>
    <t xml:space="preserve">      avalon_mm_rmap_o.readdata(23 downto 16) &lt;= rmap_registers_wr_i.aeb3_hk_adc_rd_data.adc_rd_data_3(23 downto 16);</t>
  </si>
  <si>
    <t xml:space="preserve">      avalon_mm_rmap_o.readdata(31 downto 24) &lt;= rmap_registers_wr_i.aeb3_hk_adc_rd_data.adc_rd_data_3(31 downto 24);</t>
  </si>
  <si>
    <t xml:space="preserve">      avalon_mm_rmap_o.readdata(7 downto 0) &lt;= rmap_registers_wr_i.aeb3_hk_adc_rd_data.adc_rd_data_2(7 downto 0);</t>
  </si>
  <si>
    <t xml:space="preserve">      avalon_mm_rmap_o.readdata(15 downto 8) &lt;= rmap_registers_wr_i.aeb3_hk_adc_rd_data.adc_rd_data_2(15 downto 8);</t>
  </si>
  <si>
    <t xml:space="preserve">      avalon_mm_rmap_o.readdata(23 downto 16) &lt;= rmap_registers_wr_i.aeb3_hk_adc_rd_data.adc_rd_data_2(23 downto 16);</t>
  </si>
  <si>
    <t xml:space="preserve">      avalon_mm_rmap_o.readdata(31 downto 24) &lt;= rmap_registers_wr_i.aeb3_hk_adc_rd_data.adc_rd_data_2(31 downto 24);</t>
  </si>
  <si>
    <t xml:space="preserve">      avalon_mm_rmap_o.readdata(7 downto 0) &lt;= rmap_registers_wr_i.aeb3_hk_adc_rd_data.adc_rd_data_1(7 downto 0);</t>
  </si>
  <si>
    <t xml:space="preserve">      avalon_mm_rmap_o.readdata(15 downto 8) &lt;= rmap_registers_wr_i.aeb3_hk_adc_rd_data.adc_rd_data_1(15 downto 8);</t>
  </si>
  <si>
    <t xml:space="preserve">      avalon_mm_rmap_o.readdata(23 downto 16) &lt;= rmap_registers_wr_i.aeb3_hk_adc_rd_data.adc_rd_data_1(23 downto 16);</t>
  </si>
  <si>
    <t xml:space="preserve">      avalon_mm_rmap_o.readdata(31 downto 24) &lt;= rmap_registers_wr_i.aeb3_hk_adc_rd_data.adc_rd_data_1(31 downto 24);</t>
  </si>
  <si>
    <t xml:space="preserve">      avalon_mm_rmap_o.readdata(7 downto 0) &lt;= rmap_registers_wr_i.aeb3_hk_adc_rd_data.adc_rd_data_0(7 downto 0);</t>
  </si>
  <si>
    <t xml:space="preserve">      avalon_mm_rmap_o.readdata(15 downto 8) &lt;= rmap_registers_wr_i.aeb3_hk_adc_rd_data.adc_rd_data_0(15 downto 8);</t>
  </si>
  <si>
    <t xml:space="preserve">      avalon_mm_rmap_o.readdata(23 downto 16) &lt;= rmap_registers_wr_i.aeb3_hk_adc_rd_data.adc_rd_data_0(23 downto 16);</t>
  </si>
  <si>
    <t xml:space="preserve">      avalon_mm_rmap_o.readdata(31 downto 24) &lt;= rmap_registers_wr_i.aeb3_hk_adc_rd_data.adc_rd_data_0(31 downto 24);</t>
  </si>
  <si>
    <t xml:space="preserve">      avalon_mm_rmap_o.readdata(7 downto 0) &lt;= rmap_registers_wr_i.aeb3_hk_adc1_rd_config.adc1_rd_config_3(7 downto 0);</t>
  </si>
  <si>
    <t xml:space="preserve">      avalon_mm_rmap_o.readdata(15 downto 8) &lt;= rmap_registers_wr_i.aeb3_hk_adc1_rd_config.adc1_rd_config_3(15 downto 8);</t>
  </si>
  <si>
    <t xml:space="preserve">      avalon_mm_rmap_o.readdata(23 downto 16) &lt;= rmap_registers_wr_i.aeb3_hk_adc1_rd_config.adc1_rd_config_3(23 downto 16);</t>
  </si>
  <si>
    <t xml:space="preserve">      avalon_mm_rmap_o.readdata(31 downto 24) &lt;= rmap_registers_wr_i.aeb3_hk_adc1_rd_config.adc1_rd_config_3(31 downto 24);</t>
  </si>
  <si>
    <t xml:space="preserve">      avalon_mm_rmap_o.readdata(7 downto 0) &lt;= rmap_registers_wr_i.aeb3_hk_adc1_rd_config.adc1_rd_config_2(7 downto 0);</t>
  </si>
  <si>
    <t xml:space="preserve">      avalon_mm_rmap_o.readdata(15 downto 8) &lt;= rmap_registers_wr_i.aeb3_hk_adc1_rd_config.adc1_rd_config_2(15 downto 8);</t>
  </si>
  <si>
    <t xml:space="preserve">      avalon_mm_rmap_o.readdata(23 downto 16) &lt;= rmap_registers_wr_i.aeb3_hk_adc1_rd_config.adc1_rd_config_2(23 downto 16);</t>
  </si>
  <si>
    <t xml:space="preserve">      avalon_mm_rmap_o.readdata(31 downto 24) &lt;= rmap_registers_wr_i.aeb3_hk_adc1_rd_config.adc1_rd_config_2(31 downto 24);</t>
  </si>
  <si>
    <t xml:space="preserve">      avalon_mm_rmap_o.readdata(7 downto 0) &lt;= rmap_registers_wr_i.aeb3_hk_adc1_rd_config.adc1_rd_config_1(7 downto 0);</t>
  </si>
  <si>
    <t xml:space="preserve">      avalon_mm_rmap_o.readdata(15 downto 8) &lt;= rmap_registers_wr_i.aeb3_hk_adc1_rd_config.adc1_rd_config_1(15 downto 8);</t>
  </si>
  <si>
    <t xml:space="preserve">      avalon_mm_rmap_o.readdata(23 downto 16) &lt;= rmap_registers_wr_i.aeb3_hk_adc1_rd_config.adc1_rd_config_1(23 downto 16);</t>
  </si>
  <si>
    <t xml:space="preserve">      avalon_mm_rmap_o.readdata(31 downto 24) &lt;= rmap_registers_wr_i.aeb3_hk_adc1_rd_config.adc1_rd_config_1(31 downto 24);</t>
  </si>
  <si>
    <t xml:space="preserve">      avalon_mm_rmap_o.readdata(7 downto 0) &lt;= rmap_registers_wr_i.aeb3_hk_adc1_rd_config.adc1_rd_config_0(7 downto 0);</t>
  </si>
  <si>
    <t xml:space="preserve">      avalon_mm_rmap_o.readdata(15 downto 8) &lt;= rmap_registers_wr_i.aeb3_hk_adc1_rd_config.adc1_rd_config_0(15 downto 8);</t>
  </si>
  <si>
    <t xml:space="preserve">      avalon_mm_rmap_o.readdata(23 downto 16) &lt;= rmap_registers_wr_i.aeb3_hk_adc1_rd_config.adc1_rd_config_0(23 downto 16);</t>
  </si>
  <si>
    <t xml:space="preserve">      avalon_mm_rmap_o.readdata(31 downto 24) &lt;= rmap_registers_wr_i.aeb3_hk_adc1_rd_config.adc1_rd_config_0(31 downto 24);</t>
  </si>
  <si>
    <t xml:space="preserve">      avalon_mm_rmap_o.readdata(7 downto 0) &lt;= rmap_registers_wr_i.aeb3_hk_adc2_rd_config.adc2_rd_config_3(7 downto 0);</t>
  </si>
  <si>
    <t xml:space="preserve">      avalon_mm_rmap_o.readdata(15 downto 8) &lt;= rmap_registers_wr_i.aeb3_hk_adc2_rd_config.adc2_rd_config_3(15 downto 8);</t>
  </si>
  <si>
    <t xml:space="preserve">      avalon_mm_rmap_o.readdata(23 downto 16) &lt;= rmap_registers_wr_i.aeb3_hk_adc2_rd_config.adc2_rd_config_3(23 downto 16);</t>
  </si>
  <si>
    <t xml:space="preserve">      avalon_mm_rmap_o.readdata(31 downto 24) &lt;= rmap_registers_wr_i.aeb3_hk_adc2_rd_config.adc2_rd_config_3(31 downto 24);</t>
  </si>
  <si>
    <t xml:space="preserve">      avalon_mm_rmap_o.readdata(7 downto 0) &lt;= rmap_registers_wr_i.aeb3_hk_adc2_rd_config.adc2_rd_config_2(7 downto 0);</t>
  </si>
  <si>
    <t xml:space="preserve">      avalon_mm_rmap_o.readdata(15 downto 8) &lt;= rmap_registers_wr_i.aeb3_hk_adc2_rd_config.adc2_rd_config_2(15 downto 8);</t>
  </si>
  <si>
    <t xml:space="preserve">      avalon_mm_rmap_o.readdata(23 downto 16) &lt;= rmap_registers_wr_i.aeb3_hk_adc2_rd_config.adc2_rd_config_2(23 downto 16);</t>
  </si>
  <si>
    <t xml:space="preserve">      avalon_mm_rmap_o.readdata(31 downto 24) &lt;= rmap_registers_wr_i.aeb3_hk_adc2_rd_config.adc2_rd_config_2(31 downto 24);</t>
  </si>
  <si>
    <t xml:space="preserve">      avalon_mm_rmap_o.readdata(7 downto 0) &lt;= rmap_registers_wr_i.aeb3_hk_adc2_rd_config.adc2_rd_config_1(7 downto 0);</t>
  </si>
  <si>
    <t xml:space="preserve">      avalon_mm_rmap_o.readdata(15 downto 8) &lt;= rmap_registers_wr_i.aeb3_hk_adc2_rd_config.adc2_rd_config_1(15 downto 8);</t>
  </si>
  <si>
    <t xml:space="preserve">      avalon_mm_rmap_o.readdata(23 downto 16) &lt;= rmap_registers_wr_i.aeb3_hk_adc2_rd_config.adc2_rd_config_1(23 downto 16);</t>
  </si>
  <si>
    <t xml:space="preserve">      avalon_mm_rmap_o.readdata(31 downto 24) &lt;= rmap_registers_wr_i.aeb3_hk_adc2_rd_config.adc2_rd_config_1(31 downto 24);</t>
  </si>
  <si>
    <t xml:space="preserve">      avalon_mm_rmap_o.readdata(7 downto 0) &lt;= rmap_registers_wr_i.aeb3_hk_adc2_rd_config.adc2_rd_config_0(7 downto 0);</t>
  </si>
  <si>
    <t xml:space="preserve">      avalon_mm_rmap_o.readdata(15 downto 8) &lt;= rmap_registers_wr_i.aeb3_hk_adc2_rd_config.adc2_rd_config_0(15 downto 8);</t>
  </si>
  <si>
    <t xml:space="preserve">      avalon_mm_rmap_o.readdata(23 downto 16) &lt;= rmap_registers_wr_i.aeb3_hk_adc2_rd_config.adc2_rd_config_0(23 downto 16);</t>
  </si>
  <si>
    <t xml:space="preserve">      avalon_mm_rmap_o.readdata(31 downto 24) &lt;= rmap_registers_wr_i.aeb3_hk_adc2_rd_config.adc2_rd_config_0(31 downto 24);</t>
  </si>
  <si>
    <t xml:space="preserve">      avalon_mm_rmap_o.readdata(7 downto 0) &lt;= rmap_registers_wr_i.aeb3_hk_vasp_rd_config.vasp1_read_data;</t>
  </si>
  <si>
    <t xml:space="preserve">      avalon_mm_rmap_o.readdata(15 downto 8) &lt;= rmap_registers_wr_i.aeb3_hk_vasp_rd_config.vasp2_read_data;</t>
  </si>
  <si>
    <t xml:space="preserve">      avalon_mm_rmap_o.readdata(23 downto 16) &lt;= rmap_registers_wr_i.aeb3_hk_revision_id.fpga_ver(7 downto 0);</t>
  </si>
  <si>
    <t xml:space="preserve">      avalon_mm_rmap_o.readdata(31 downto 24) &lt;= rmap_registers_wr_i.aeb3_hk_revision_id.fpga_ver(15 downto 8);</t>
  </si>
  <si>
    <t xml:space="preserve">      avalon_mm_rmap_o.readdata(7 downto 0) &lt;= rmap_registers_wr_i.aeb3_hk_revision_id.fpga_date(7 downto 0);</t>
  </si>
  <si>
    <t xml:space="preserve">      avalon_mm_rmap_o.readdata(15 downto 8) &lt;= rmap_registers_wr_i.aeb3_hk_revision_id.fpga_date(15 downto 8);</t>
  </si>
  <si>
    <t xml:space="preserve">      avalon_mm_rmap_o.readdata(23 downto 16) &lt;= rmap_registers_wr_i.aeb3_hk_revision_id.fpga_time(7 downto 0);</t>
  </si>
  <si>
    <t xml:space="preserve">      avalon_mm_rmap_o.readdata(31 downto 24) &lt;= rmap_registers_wr_i.aeb3_hk_revision_id.fpga_time(15 downto 8);</t>
  </si>
  <si>
    <t xml:space="preserve">      avalon_mm_rmap_o.readdata(7 downto 0) &lt;= rmap_registers_wr_i.aeb3_hk_revision_id.fpga_svn(7 downto 0);</t>
  </si>
  <si>
    <t xml:space="preserve">      avalon_mm_rmap_o.readdata(15 downto 8) &lt;= rmap_registers_wr_i.aeb3_hk_revision_id.fpga_svn(15 downto 8);</t>
  </si>
  <si>
    <t xml:space="preserve">      -- AEB 4 Critical Configuration Area : </t>
  </si>
  <si>
    <t xml:space="preserve">      avalon_mm_rmap_o.readdata(20 downto 16) &lt;= rmap_registers_wr_i.aeb4_ccfg_aeb_control.new_state;</t>
  </si>
  <si>
    <t xml:space="preserve">      avalon_mm_rmap_o.readdata(0) &lt;= rmap_registers_wr_i.aeb4_ccfg_aeb_control.set_state;</t>
  </si>
  <si>
    <t xml:space="preserve">      avalon_mm_rmap_o.readdata(0) &lt;= rmap_registers_wr_i.aeb4_ccfg_aeb_control.aeb_reset;</t>
  </si>
  <si>
    <t xml:space="preserve">      avalon_mm_rmap_o.readdata(0) &lt;= rmap_registers_wr_i.aeb4_ccfg_aeb_control.adc_data_rd;</t>
  </si>
  <si>
    <t xml:space="preserve">      avalon_mm_rmap_o.readdata(0) &lt;= rmap_registers_wr_i.aeb4_ccfg_aeb_control.adc_cfg_wr;</t>
  </si>
  <si>
    <t xml:space="preserve">      avalon_mm_rmap_o.readdata(0) &lt;= rmap_registers_wr_i.aeb4_ccfg_aeb_control.adc_cfg_rd;</t>
  </si>
  <si>
    <t xml:space="preserve">      avalon_mm_rmap_o.readdata(0) &lt;= rmap_registers_wr_i.aeb4_ccfg_aeb_control.dac_wr;</t>
  </si>
  <si>
    <t xml:space="preserve">      avalon_mm_rmap_o.readdata(0) &lt;= rmap_registers_wr_i.aeb4_ccfg_aeb_config.watchdog_dis;</t>
  </si>
  <si>
    <t xml:space="preserve">      avalon_mm_rmap_o.readdata(0) &lt;= rmap_registers_wr_i.aeb4_ccfg_aeb_config.int_sync;</t>
  </si>
  <si>
    <t xml:space="preserve">      avalon_mm_rmap_o.readdata(0) &lt;= rmap_registers_wr_i.aeb4_ccfg_aeb_config.vasp_cds_en;</t>
  </si>
  <si>
    <t xml:space="preserve">      avalon_mm_rmap_o.readdata(0) &lt;= rmap_registers_wr_i.aeb4_ccfg_aeb_config.vasp2_cal_en;</t>
  </si>
  <si>
    <t xml:space="preserve">      avalon_mm_rmap_o.readdata(0) &lt;= rmap_registers_wr_i.aeb4_ccfg_aeb_config.vasp1_cal_en;</t>
  </si>
  <si>
    <t xml:space="preserve">      avalon_mm_rmap_o.readdata(7 downto 0) &lt;= rmap_registers_wr_i.aeb4_ccfg_aeb_config_key.key(7 downto 0);</t>
  </si>
  <si>
    <t xml:space="preserve">      avalon_mm_rmap_o.readdata(15 downto 8) &lt;= rmap_registers_wr_i.aeb4_ccfg_aeb_config_key.key(15 downto 8);</t>
  </si>
  <si>
    <t xml:space="preserve">      avalon_mm_rmap_o.readdata(23 downto 16) &lt;= rmap_registers_wr_i.aeb4_ccfg_aeb_config_key.key(23 downto 16);</t>
  </si>
  <si>
    <t xml:space="preserve">      avalon_mm_rmap_o.readdata(30 downto 24) &lt;= rmap_registers_wr_i.aeb4_ccfg_aeb_config_key.key(30 downto 24);</t>
  </si>
  <si>
    <t xml:space="preserve">      avalon_mm_rmap_o.readdata(0) &lt;= rmap_registers_wr_i.aeb4_ccfg_aeb_config_ait1.override_sw;</t>
  </si>
  <si>
    <t xml:space="preserve">      avalon_mm_rmap_o.readdata(0) &lt;= rmap_registers_wr_i.aeb4_ccfg_aeb_config_ait1.sw_van3;</t>
  </si>
  <si>
    <t xml:space="preserve">      avalon_mm_rmap_o.readdata(0) &lt;= rmap_registers_wr_i.aeb4_ccfg_aeb_config_ait1.sw_van2;</t>
  </si>
  <si>
    <t xml:space="preserve">      avalon_mm_rmap_o.readdata(0) &lt;= rmap_registers_wr_i.aeb4_ccfg_aeb_config_ait1.sw_van1;</t>
  </si>
  <si>
    <t xml:space="preserve">      avalon_mm_rmap_o.readdata(0) &lt;= rmap_registers_wr_i.aeb4_ccfg_aeb_config_ait1.sw_vclk;</t>
  </si>
  <si>
    <t xml:space="preserve">      avalon_mm_rmap_o.readdata(0) &lt;= rmap_registers_wr_i.aeb4_ccfg_aeb_config_ait1.sw_vccd;</t>
  </si>
  <si>
    <t xml:space="preserve">      avalon_mm_rmap_o.readdata(0) &lt;= rmap_registers_wr_i.aeb4_ccfg_aeb_config_ait1.override_vasp;</t>
  </si>
  <si>
    <t xml:space="preserve">      avalon_mm_rmap_o.readdata(0) &lt;= rmap_registers_wr_i.aeb4_ccfg_aeb_config_ait1.vasp2_pix_en;</t>
  </si>
  <si>
    <t xml:space="preserve">      avalon_mm_rmap_o.readdata(0) &lt;= rmap_registers_wr_i.aeb4_ccfg_aeb_config_ait1.vasp1_pix_en;</t>
  </si>
  <si>
    <t xml:space="preserve">      avalon_mm_rmap_o.readdata(0) &lt;= rmap_registers_wr_i.aeb4_ccfg_aeb_config_ait1.vasp2_adc_en;</t>
  </si>
  <si>
    <t xml:space="preserve">      avalon_mm_rmap_o.readdata(0) &lt;= rmap_registers_wr_i.aeb4_ccfg_aeb_config_ait1.vasp1_adc_en;</t>
  </si>
  <si>
    <t xml:space="preserve">      avalon_mm_rmap_o.readdata(0) &lt;= rmap_registers_wr_i.aeb4_ccfg_aeb_config_ait1.vasp2_reset;</t>
  </si>
  <si>
    <t xml:space="preserve">      avalon_mm_rmap_o.readdata(0) &lt;= rmap_registers_wr_i.aeb4_ccfg_aeb_config_ait1.vasp1_reset;</t>
  </si>
  <si>
    <t xml:space="preserve">      avalon_mm_rmap_o.readdata(0) &lt;= rmap_registers_wr_i.aeb4_ccfg_aeb_config_ait1.override_adc;</t>
  </si>
  <si>
    <t xml:space="preserve">      avalon_mm_rmap_o.readdata(0) &lt;= rmap_registers_wr_i.aeb4_ccfg_aeb_config_ait1.adc2_en_p5v0;</t>
  </si>
  <si>
    <t xml:space="preserve">      avalon_mm_rmap_o.readdata(0) &lt;= rmap_registers_wr_i.aeb4_ccfg_aeb_config_ait1.adc1_en_p5v0;</t>
  </si>
  <si>
    <t xml:space="preserve">      avalon_mm_rmap_o.readdata(0) &lt;= rmap_registers_wr_i.aeb4_ccfg_aeb_config_ait1.pt1000_cal_on_n;</t>
  </si>
  <si>
    <t xml:space="preserve">      avalon_mm_rmap_o.readdata(0) &lt;= rmap_registers_wr_i.aeb4_ccfg_aeb_config_ait1.en_v_mux_n;</t>
  </si>
  <si>
    <t xml:space="preserve">      avalon_mm_rmap_o.readdata(0) &lt;= rmap_registers_wr_i.aeb4_ccfg_aeb_config_ait1.adc2_pwdn_n;</t>
  </si>
  <si>
    <t xml:space="preserve">      avalon_mm_rmap_o.readdata(0) &lt;= rmap_registers_wr_i.aeb4_ccfg_aeb_config_ait1.adc1_pwdn_n;</t>
  </si>
  <si>
    <t xml:space="preserve">      avalon_mm_rmap_o.readdata(0) &lt;= rmap_registers_wr_i.aeb4_ccfg_aeb_config_ait1.adc_clk_en;</t>
  </si>
  <si>
    <t xml:space="preserve">      avalon_mm_rmap_o.readdata(1 downto 0) &lt;= rmap_registers_wr_i.aeb4_ccfg_aeb_config_pattern.pattern_ccdid;</t>
  </si>
  <si>
    <t xml:space="preserve">      avalon_mm_rmap_o.readdata(23 downto 16) &lt;= rmap_registers_wr_i.aeb4_ccfg_aeb_config_pattern.pattern_cols(7 downto 0);</t>
  </si>
  <si>
    <t xml:space="preserve">      avalon_mm_rmap_o.readdata(29 downto 24) &lt;= rmap_registers_wr_i.aeb4_ccfg_aeb_config_pattern.pattern_cols(13 downto 8);</t>
  </si>
  <si>
    <t xml:space="preserve">      avalon_mm_rmap_o.readdata(7 downto 0) &lt;= rmap_registers_wr_i.aeb4_ccfg_aeb_config_pattern.pattern_rows(7 downto 0);</t>
  </si>
  <si>
    <t xml:space="preserve">      avalon_mm_rmap_o.readdata(13 downto 8) &lt;= rmap_registers_wr_i.aeb4_ccfg_aeb_config_pattern.pattern_rows(13 downto 8);</t>
  </si>
  <si>
    <t xml:space="preserve">      avalon_mm_rmap_o.readdata(23 downto 16) &lt;= rmap_registers_wr_i.aeb4_ccfg_vasp_i2c_control.vasp_cfg_addr;</t>
  </si>
  <si>
    <t xml:space="preserve">      avalon_mm_rmap_o.readdata(31 downto 24) &lt;= rmap_registers_wr_i.aeb4_ccfg_vasp_i2c_control.vasp1_cfg_data;</t>
  </si>
  <si>
    <t xml:space="preserve">      avalon_mm_rmap_o.readdata(7 downto 0) &lt;= rmap_registers_wr_i.aeb4_ccfg_vasp_i2c_control.vasp2_cfg_data;</t>
  </si>
  <si>
    <t xml:space="preserve">      avalon_mm_rmap_o.readdata(0) &lt;= rmap_registers_wr_i.aeb4_ccfg_vasp_i2c_control.vasp2_select;</t>
  </si>
  <si>
    <t xml:space="preserve">      avalon_mm_rmap_o.readdata(0) &lt;= rmap_registers_wr_i.aeb4_ccfg_vasp_i2c_control.vasp1_select;</t>
  </si>
  <si>
    <t xml:space="preserve">      avalon_mm_rmap_o.readdata(0) &lt;= rmap_registers_wr_i.aeb4_ccfg_vasp_i2c_control.calibration_start;</t>
  </si>
  <si>
    <t xml:space="preserve">      avalon_mm_rmap_o.readdata(0) &lt;= rmap_registers_wr_i.aeb4_ccfg_vasp_i2c_control.i2c_read_start;</t>
  </si>
  <si>
    <t xml:space="preserve">      avalon_mm_rmap_o.readdata(0) &lt;= rmap_registers_wr_i.aeb4_ccfg_vasp_i2c_control.i2c_write_start;</t>
  </si>
  <si>
    <t xml:space="preserve">      avalon_mm_rmap_o.readdata(7 downto 0) &lt;= rmap_registers_wr_i.aeb4_ccfg_dac_config_1.dac_vog(7 downto 0);</t>
  </si>
  <si>
    <t xml:space="preserve">      avalon_mm_rmap_o.readdata(11 downto 8) &lt;= rmap_registers_wr_i.aeb4_ccfg_dac_config_1.dac_vog(11 downto 8);</t>
  </si>
  <si>
    <t xml:space="preserve">      avalon_mm_rmap_o.readdata(23 downto 16) &lt;= rmap_registers_wr_i.aeb4_ccfg_dac_config_1.dac_vrd(7 downto 0);</t>
  </si>
  <si>
    <t xml:space="preserve">      avalon_mm_rmap_o.readdata(27 downto 24) &lt;= rmap_registers_wr_i.aeb4_ccfg_dac_config_1.dac_vrd(11 downto 8);</t>
  </si>
  <si>
    <t xml:space="preserve">      avalon_mm_rmap_o.readdata(7 downto 0) &lt;= rmap_registers_wr_i.aeb4_ccfg_dac_config_2.dac_vod(7 downto 0);</t>
  </si>
  <si>
    <t xml:space="preserve">      avalon_mm_rmap_o.readdata(11 downto 8) &lt;= rmap_registers_wr_i.aeb4_ccfg_dac_config_2.dac_vod(11 downto 8);</t>
  </si>
  <si>
    <t xml:space="preserve">      avalon_mm_rmap_o.readdata(23 downto 16) &lt;= rmap_registers_wr_i.aeb4_ccfg_pwr_config1.time_vccd_on;</t>
  </si>
  <si>
    <t xml:space="preserve">      avalon_mm_rmap_o.readdata(31 downto 24) &lt;= rmap_registers_wr_i.aeb4_ccfg_pwr_config1.time_vclk_on;</t>
  </si>
  <si>
    <t xml:space="preserve">      avalon_mm_rmap_o.readdata(7 downto 0) &lt;= rmap_registers_wr_i.aeb4_ccfg_pwr_config1.time_van1_on;</t>
  </si>
  <si>
    <t xml:space="preserve">      avalon_mm_rmap_o.readdata(15 downto 8) &lt;= rmap_registers_wr_i.aeb4_ccfg_pwr_config1.time_van2_on;</t>
  </si>
  <si>
    <t xml:space="preserve">      avalon_mm_rmap_o.readdata(23 downto 16) &lt;= rmap_registers_wr_i.aeb4_ccfg_pwr_config2.time_van3_on;</t>
  </si>
  <si>
    <t xml:space="preserve">      avalon_mm_rmap_o.readdata(31 downto 24) &lt;= rmap_registers_wr_i.aeb4_ccfg_pwr_config2.time_vccd_off;</t>
  </si>
  <si>
    <t xml:space="preserve">      avalon_mm_rmap_o.readdata(7 downto 0) &lt;= rmap_registers_wr_i.aeb4_ccfg_pwr_config2.time_vclk_off;</t>
  </si>
  <si>
    <t xml:space="preserve">      avalon_mm_rmap_o.readdata(15 downto 8) &lt;= rmap_registers_wr_i.aeb4_ccfg_pwr_config2.time_van1_off;</t>
  </si>
  <si>
    <t xml:space="preserve">      avalon_mm_rmap_o.readdata(23 downto 16) &lt;= rmap_registers_wr_i.aeb4_ccfg_pwr_config3.time_van2_off;</t>
  </si>
  <si>
    <t xml:space="preserve">      avalon_mm_rmap_o.readdata(31 downto 24) &lt;= rmap_registers_wr_i.aeb4_ccfg_pwr_config3.time_van3_off;</t>
  </si>
  <si>
    <t xml:space="preserve">      -- AEB 4 General Configuration Area : </t>
  </si>
  <si>
    <t xml:space="preserve">      avalon_mm_rmap_o.readdata(0) &lt;= rmap_registers_wr_i.aeb4_gcfg_adc1_config.adc1_bypas;</t>
  </si>
  <si>
    <t xml:space="preserve">      avalon_mm_rmap_o.readdata(0) &lt;= rmap_registers_wr_i.aeb4_gcfg_adc1_config.adc1_clkenb;</t>
  </si>
  <si>
    <t xml:space="preserve">      avalon_mm_rmap_o.readdata(0) &lt;= rmap_registers_wr_i.aeb4_gcfg_adc1_config.adc1_chop;</t>
  </si>
  <si>
    <t xml:space="preserve">      avalon_mm_rmap_o.readdata(0) &lt;= rmap_registers_wr_i.aeb4_gcfg_adc1_config.adc1_stat;</t>
  </si>
  <si>
    <t xml:space="preserve">      avalon_mm_rmap_o.readdata(0) &lt;= rmap_registers_wr_i.aeb4_gcfg_adc1_config.adc1_idlmod;</t>
  </si>
  <si>
    <t xml:space="preserve">      avalon_mm_rmap_o.readdata(0) &lt;= rmap_registers_wr_i.aeb4_gcfg_adc1_config.adc1_dly2;</t>
  </si>
  <si>
    <t xml:space="preserve">      avalon_mm_rmap_o.readdata(0) &lt;= rmap_registers_wr_i.aeb4_gcfg_adc1_config.adc1_dly1;</t>
  </si>
  <si>
    <t xml:space="preserve">      avalon_mm_rmap_o.readdata(0) &lt;= rmap_registers_wr_i.aeb4_gcfg_adc1_config.adc1_dly0;</t>
  </si>
  <si>
    <t xml:space="preserve">      avalon_mm_rmap_o.readdata(0) &lt;= rmap_registers_wr_i.aeb4_gcfg_adc1_config.adc1_sbcs1;</t>
  </si>
  <si>
    <t xml:space="preserve">      avalon_mm_rmap_o.readdata(0) &lt;= rmap_registers_wr_i.aeb4_gcfg_adc1_config.adc1_sbcs0;</t>
  </si>
  <si>
    <t xml:space="preserve">      avalon_mm_rmap_o.readdata(0) &lt;= rmap_registers_wr_i.aeb4_gcfg_adc1_config.adc1_drate1;</t>
  </si>
  <si>
    <t xml:space="preserve">      avalon_mm_rmap_o.readdata(0) &lt;= rmap_registers_wr_i.aeb4_gcfg_adc1_config.adc1_drate0;</t>
  </si>
  <si>
    <t xml:space="preserve">      avalon_mm_rmap_o.readdata(0) &lt;= rmap_registers_wr_i.aeb4_gcfg_adc1_config.adc1_ainp3;</t>
  </si>
  <si>
    <t xml:space="preserve">      avalon_mm_rmap_o.readdata(0) &lt;= rmap_registers_wr_i.aeb4_gcfg_adc1_config.adc1_ainp2;</t>
  </si>
  <si>
    <t xml:space="preserve">      avalon_mm_rmap_o.readdata(0) &lt;= rmap_registers_wr_i.aeb4_gcfg_adc1_config.adc1_ainp1;</t>
  </si>
  <si>
    <t xml:space="preserve">      avalon_mm_rmap_o.readdata(0) &lt;= rmap_registers_wr_i.aeb4_gcfg_adc1_config.adc1_ainp0;</t>
  </si>
  <si>
    <t xml:space="preserve">      avalon_mm_rmap_o.readdata(0) &lt;= rmap_registers_wr_i.aeb4_gcfg_adc1_config.adc1_ainn3;</t>
  </si>
  <si>
    <t xml:space="preserve">      avalon_mm_rmap_o.readdata(0) &lt;= rmap_registers_wr_i.aeb4_gcfg_adc1_config.adc1_ainn2;</t>
  </si>
  <si>
    <t xml:space="preserve">      avalon_mm_rmap_o.readdata(0) &lt;= rmap_registers_wr_i.aeb4_gcfg_adc1_config.adc1_ainn1;</t>
  </si>
  <si>
    <t xml:space="preserve">      avalon_mm_rmap_o.readdata(0) &lt;= rmap_registers_wr_i.aeb4_gcfg_adc1_config.adc1_ainn0;</t>
  </si>
  <si>
    <t xml:space="preserve">      avalon_mm_rmap_o.readdata(0) &lt;= rmap_registers_wr_i.aeb4_gcfg_adc1_config.adc1_diff7;</t>
  </si>
  <si>
    <t xml:space="preserve">      avalon_mm_rmap_o.readdata(0) &lt;= rmap_registers_wr_i.aeb4_gcfg_adc1_config.adc1_diff6;</t>
  </si>
  <si>
    <t xml:space="preserve">      avalon_mm_rmap_o.readdata(0) &lt;= rmap_registers_wr_i.aeb4_gcfg_adc1_config.adc1_diff5;</t>
  </si>
  <si>
    <t xml:space="preserve">      avalon_mm_rmap_o.readdata(0) &lt;= rmap_registers_wr_i.aeb4_gcfg_adc1_config.adc1_diff4;</t>
  </si>
  <si>
    <t xml:space="preserve">      avalon_mm_rmap_o.readdata(0) &lt;= rmap_registers_wr_i.aeb4_gcfg_adc1_config.adc1_diff3;</t>
  </si>
  <si>
    <t xml:space="preserve">      avalon_mm_rmap_o.readdata(0) &lt;= rmap_registers_wr_i.aeb4_gcfg_adc1_config.adc1_diff2;</t>
  </si>
  <si>
    <t xml:space="preserve">      avalon_mm_rmap_o.readdata(0) &lt;= rmap_registers_wr_i.aeb4_gcfg_adc1_config.adc1_diff1;</t>
  </si>
  <si>
    <t xml:space="preserve">      avalon_mm_rmap_o.readdata(0) &lt;= rmap_registers_wr_i.aeb4_gcfg_adc1_config.adc1_diff0;</t>
  </si>
  <si>
    <t xml:space="preserve">      avalon_mm_rmap_o.readdata(0) &lt;= rmap_registers_wr_i.aeb4_gcfg_adc1_config.adc1_ain7;</t>
  </si>
  <si>
    <t xml:space="preserve">      avalon_mm_rmap_o.readdata(0) &lt;= rmap_registers_wr_i.aeb4_gcfg_adc1_config.adc1_ain6;</t>
  </si>
  <si>
    <t xml:space="preserve">      avalon_mm_rmap_o.readdata(0) &lt;= rmap_registers_wr_i.aeb4_gcfg_adc1_config.adc1_ain5;</t>
  </si>
  <si>
    <t xml:space="preserve">      avalon_mm_rmap_o.readdata(0) &lt;= rmap_registers_wr_i.aeb4_gcfg_adc1_config.adc1_ain4;</t>
  </si>
  <si>
    <t xml:space="preserve">      avalon_mm_rmap_o.readdata(0) &lt;= rmap_registers_wr_i.aeb4_gcfg_adc1_config.adc1_ain3;</t>
  </si>
  <si>
    <t xml:space="preserve">      avalon_mm_rmap_o.readdata(0) &lt;= rmap_registers_wr_i.aeb4_gcfg_adc1_config.adc1_ain2;</t>
  </si>
  <si>
    <t xml:space="preserve">      avalon_mm_rmap_o.readdata(0) &lt;= rmap_registers_wr_i.aeb4_gcfg_adc1_config.adc1_ain1;</t>
  </si>
  <si>
    <t xml:space="preserve">      avalon_mm_rmap_o.readdata(0) &lt;= rmap_registers_wr_i.aeb4_gcfg_adc1_config.adc1_ain0;</t>
  </si>
  <si>
    <t xml:space="preserve">      avalon_mm_rmap_o.readdata(0) &lt;= rmap_registers_wr_i.aeb4_gcfg_adc1_config.adc1_ain15;</t>
  </si>
  <si>
    <t xml:space="preserve">      avalon_mm_rmap_o.readdata(0) &lt;= rmap_registers_wr_i.aeb4_gcfg_adc1_config.adc1_ain14;</t>
  </si>
  <si>
    <t xml:space="preserve">      avalon_mm_rmap_o.readdata(0) &lt;= rmap_registers_wr_i.aeb4_gcfg_adc1_config.adc1_ain13;</t>
  </si>
  <si>
    <t xml:space="preserve">      avalon_mm_rmap_o.readdata(0) &lt;= rmap_registers_wr_i.aeb4_gcfg_adc1_config.adc1_ain12;</t>
  </si>
  <si>
    <t xml:space="preserve">      avalon_mm_rmap_o.readdata(0) &lt;= rmap_registers_wr_i.aeb4_gcfg_adc1_config.adc1_ain11;</t>
  </si>
  <si>
    <t xml:space="preserve">      avalon_mm_rmap_o.readdata(0) &lt;= rmap_registers_wr_i.aeb4_gcfg_adc1_config.adc1_ain10;</t>
  </si>
  <si>
    <t xml:space="preserve">      avalon_mm_rmap_o.readdata(0) &lt;= rmap_registers_wr_i.aeb4_gcfg_adc1_config.adc1_ain9;</t>
  </si>
  <si>
    <t xml:space="preserve">      avalon_mm_rmap_o.readdata(0) &lt;= rmap_registers_wr_i.aeb4_gcfg_adc1_config.adc1_ain8;</t>
  </si>
  <si>
    <t xml:space="preserve">      avalon_mm_rmap_o.readdata(0) &lt;= rmap_registers_wr_i.aeb4_gcfg_adc1_config.adc1_ref;</t>
  </si>
  <si>
    <t xml:space="preserve">      avalon_mm_rmap_o.readdata(0) &lt;= rmap_registers_wr_i.aeb4_gcfg_adc1_config.adc1_gain;</t>
  </si>
  <si>
    <t xml:space="preserve">      avalon_mm_rmap_o.readdata(0) &lt;= rmap_registers_wr_i.aeb4_gcfg_adc1_config.adc1_temp;</t>
  </si>
  <si>
    <t xml:space="preserve">      avalon_mm_rmap_o.readdata(0) &lt;= rmap_registers_wr_i.aeb4_gcfg_adc1_config.adc1_vcc;</t>
  </si>
  <si>
    <t xml:space="preserve">      avalon_mm_rmap_o.readdata(0) &lt;= rmap_registers_wr_i.aeb4_gcfg_adc1_config.adc1_offset;</t>
  </si>
  <si>
    <t xml:space="preserve">      avalon_mm_rmap_o.readdata(0) &lt;= rmap_registers_wr_i.aeb4_gcfg_adc1_config.adc1_cio7;</t>
  </si>
  <si>
    <t xml:space="preserve">      avalon_mm_rmap_o.readdata(0) &lt;= rmap_registers_wr_i.aeb4_gcfg_adc1_config.adc1_cio6;</t>
  </si>
  <si>
    <t xml:space="preserve">      avalon_mm_rmap_o.readdata(0) &lt;= rmap_registers_wr_i.aeb4_gcfg_adc1_config.adc1_cio5;</t>
  </si>
  <si>
    <t xml:space="preserve">      avalon_mm_rmap_o.readdata(0) &lt;= rmap_registers_wr_i.aeb4_gcfg_adc1_config.adc1_cio4;</t>
  </si>
  <si>
    <t xml:space="preserve">      avalon_mm_rmap_o.readdata(0) &lt;= rmap_registers_wr_i.aeb4_gcfg_adc1_config.adc1_cio3;</t>
  </si>
  <si>
    <t xml:space="preserve">      avalon_mm_rmap_o.readdata(0) &lt;= rmap_registers_wr_i.aeb4_gcfg_adc1_config.adc1_cio2;</t>
  </si>
  <si>
    <t xml:space="preserve">      avalon_mm_rmap_o.readdata(0) &lt;= rmap_registers_wr_i.aeb4_gcfg_adc1_config.adc1_cio1;</t>
  </si>
  <si>
    <t xml:space="preserve">      avalon_mm_rmap_o.readdata(0) &lt;= rmap_registers_wr_i.aeb4_gcfg_adc1_config.adc1_cio0;</t>
  </si>
  <si>
    <t xml:space="preserve">      avalon_mm_rmap_o.readdata(0) &lt;= rmap_registers_wr_i.aeb4_gcfg_adc1_config.adc1_dio7;</t>
  </si>
  <si>
    <t xml:space="preserve">      avalon_mm_rmap_o.readdata(0) &lt;= rmap_registers_wr_i.aeb4_gcfg_adc1_config.adc1_dio6;</t>
  </si>
  <si>
    <t xml:space="preserve">      avalon_mm_rmap_o.readdata(0) &lt;= rmap_registers_wr_i.aeb4_gcfg_adc1_config.adc1_dio5;</t>
  </si>
  <si>
    <t xml:space="preserve">      avalon_mm_rmap_o.readdata(0) &lt;= rmap_registers_wr_i.aeb4_gcfg_adc1_config.adc1_dio4;</t>
  </si>
  <si>
    <t xml:space="preserve">      avalon_mm_rmap_o.readdata(0) &lt;= rmap_registers_wr_i.aeb4_gcfg_adc1_config.adc1_dio3;</t>
  </si>
  <si>
    <t xml:space="preserve">      avalon_mm_rmap_o.readdata(0) &lt;= rmap_registers_wr_i.aeb4_gcfg_adc1_config.adc1_dio2;</t>
  </si>
  <si>
    <t xml:space="preserve">      avalon_mm_rmap_o.readdata(0) &lt;= rmap_registers_wr_i.aeb4_gcfg_adc1_config.adc1_dio1;</t>
  </si>
  <si>
    <t xml:space="preserve">      avalon_mm_rmap_o.readdata(0) &lt;= rmap_registers_wr_i.aeb4_gcfg_adc1_config.adc1_dio0;</t>
  </si>
  <si>
    <t xml:space="preserve">      avalon_mm_rmap_o.readdata(0) &lt;= rmap_registers_wr_i.aeb4_gcfg_adc2_config.adc2_bypas;</t>
  </si>
  <si>
    <t xml:space="preserve">      avalon_mm_rmap_o.readdata(0) &lt;= rmap_registers_wr_i.aeb4_gcfg_adc2_config.adc2_clkenb;</t>
  </si>
  <si>
    <t xml:space="preserve">      avalon_mm_rmap_o.readdata(0) &lt;= rmap_registers_wr_i.aeb4_gcfg_adc2_config.adc2_chop;</t>
  </si>
  <si>
    <t xml:space="preserve">      avalon_mm_rmap_o.readdata(0) &lt;= rmap_registers_wr_i.aeb4_gcfg_adc2_config.adc2_stat;</t>
  </si>
  <si>
    <t xml:space="preserve">      avalon_mm_rmap_o.readdata(0) &lt;= rmap_registers_wr_i.aeb4_gcfg_adc2_config.adc2_idlmod;</t>
  </si>
  <si>
    <t xml:space="preserve">      avalon_mm_rmap_o.readdata(0) &lt;= rmap_registers_wr_i.aeb4_gcfg_adc2_config.adc2_dly2;</t>
  </si>
  <si>
    <t xml:space="preserve">      avalon_mm_rmap_o.readdata(0) &lt;= rmap_registers_wr_i.aeb4_gcfg_adc2_config.adc2_dly1;</t>
  </si>
  <si>
    <t xml:space="preserve">      avalon_mm_rmap_o.readdata(0) &lt;= rmap_registers_wr_i.aeb4_gcfg_adc2_config.adc2_dly0;</t>
  </si>
  <si>
    <t xml:space="preserve">      avalon_mm_rmap_o.readdata(0) &lt;= rmap_registers_wr_i.aeb4_gcfg_adc2_config.adc2_sbcs1;</t>
  </si>
  <si>
    <t xml:space="preserve">      avalon_mm_rmap_o.readdata(0) &lt;= rmap_registers_wr_i.aeb4_gcfg_adc2_config.adc2_sbcs0;</t>
  </si>
  <si>
    <t xml:space="preserve">      avalon_mm_rmap_o.readdata(0) &lt;= rmap_registers_wr_i.aeb4_gcfg_adc2_config.adc2_drate1;</t>
  </si>
  <si>
    <t xml:space="preserve">      avalon_mm_rmap_o.readdata(0) &lt;= rmap_registers_wr_i.aeb4_gcfg_adc2_config.adc2_drate0;</t>
  </si>
  <si>
    <t xml:space="preserve">      avalon_mm_rmap_o.readdata(0) &lt;= rmap_registers_wr_i.aeb4_gcfg_adc2_config.adc2_ainp3;</t>
  </si>
  <si>
    <t xml:space="preserve">      avalon_mm_rmap_o.readdata(0) &lt;= rmap_registers_wr_i.aeb4_gcfg_adc2_config.adc2_ainp2;</t>
  </si>
  <si>
    <t xml:space="preserve">      avalon_mm_rmap_o.readdata(0) &lt;= rmap_registers_wr_i.aeb4_gcfg_adc2_config.adc2_ainp1;</t>
  </si>
  <si>
    <t xml:space="preserve">      avalon_mm_rmap_o.readdata(0) &lt;= rmap_registers_wr_i.aeb4_gcfg_adc2_config.adc2_ainp0;</t>
  </si>
  <si>
    <t xml:space="preserve">      avalon_mm_rmap_o.readdata(0) &lt;= rmap_registers_wr_i.aeb4_gcfg_adc2_config.adc2_ainn3;</t>
  </si>
  <si>
    <t xml:space="preserve">      avalon_mm_rmap_o.readdata(0) &lt;= rmap_registers_wr_i.aeb4_gcfg_adc2_config.adc2_ainn2;</t>
  </si>
  <si>
    <t xml:space="preserve">      avalon_mm_rmap_o.readdata(0) &lt;= rmap_registers_wr_i.aeb4_gcfg_adc2_config.adc2_ainn1;</t>
  </si>
  <si>
    <t xml:space="preserve">      avalon_mm_rmap_o.readdata(0) &lt;= rmap_registers_wr_i.aeb4_gcfg_adc2_config.adc2_ainn0;</t>
  </si>
  <si>
    <t xml:space="preserve">      avalon_mm_rmap_o.readdata(0) &lt;= rmap_registers_wr_i.aeb4_gcfg_adc2_config.adc2_diff7;</t>
  </si>
  <si>
    <t xml:space="preserve">      avalon_mm_rmap_o.readdata(0) &lt;= rmap_registers_wr_i.aeb4_gcfg_adc2_config.adc2_diff6;</t>
  </si>
  <si>
    <t xml:space="preserve">      avalon_mm_rmap_o.readdata(0) &lt;= rmap_registers_wr_i.aeb4_gcfg_adc2_config.adc2_diff5;</t>
  </si>
  <si>
    <t xml:space="preserve">      avalon_mm_rmap_o.readdata(0) &lt;= rmap_registers_wr_i.aeb4_gcfg_adc2_config.adc2_diff4;</t>
  </si>
  <si>
    <t xml:space="preserve">      avalon_mm_rmap_o.readdata(0) &lt;= rmap_registers_wr_i.aeb4_gcfg_adc2_config.adc2_diff3;</t>
  </si>
  <si>
    <t xml:space="preserve">      avalon_mm_rmap_o.readdata(0) &lt;= rmap_registers_wr_i.aeb4_gcfg_adc2_config.adc2_diff2;</t>
  </si>
  <si>
    <t xml:space="preserve">      avalon_mm_rmap_o.readdata(0) &lt;= rmap_registers_wr_i.aeb4_gcfg_adc2_config.adc2_diff1;</t>
  </si>
  <si>
    <t xml:space="preserve">      avalon_mm_rmap_o.readdata(0) &lt;= rmap_registers_wr_i.aeb4_gcfg_adc2_config.adc2_diff0;</t>
  </si>
  <si>
    <t xml:space="preserve">      avalon_mm_rmap_o.readdata(0) &lt;= rmap_registers_wr_i.aeb4_gcfg_adc2_config.adc2_ain7;</t>
  </si>
  <si>
    <t xml:space="preserve">      avalon_mm_rmap_o.readdata(0) &lt;= rmap_registers_wr_i.aeb4_gcfg_adc2_config.adc2_ain6;</t>
  </si>
  <si>
    <t xml:space="preserve">      avalon_mm_rmap_o.readdata(0) &lt;= rmap_registers_wr_i.aeb4_gcfg_adc2_config.adc2_ain5;</t>
  </si>
  <si>
    <t xml:space="preserve">      avalon_mm_rmap_o.readdata(0) &lt;= rmap_registers_wr_i.aeb4_gcfg_adc2_config.adc2_ain4;</t>
  </si>
  <si>
    <t xml:space="preserve">      avalon_mm_rmap_o.readdata(0) &lt;= rmap_registers_wr_i.aeb4_gcfg_adc2_config.adc2_ain3;</t>
  </si>
  <si>
    <t xml:space="preserve">      avalon_mm_rmap_o.readdata(0) &lt;= rmap_registers_wr_i.aeb4_gcfg_adc2_config.adc2_ain2;</t>
  </si>
  <si>
    <t xml:space="preserve">      avalon_mm_rmap_o.readdata(0) &lt;= rmap_registers_wr_i.aeb4_gcfg_adc2_config.adc2_ain1;</t>
  </si>
  <si>
    <t xml:space="preserve">      avalon_mm_rmap_o.readdata(0) &lt;= rmap_registers_wr_i.aeb4_gcfg_adc2_config.adc2_ain0;</t>
  </si>
  <si>
    <t xml:space="preserve">      avalon_mm_rmap_o.readdata(0) &lt;= rmap_registers_wr_i.aeb4_gcfg_adc2_config.adc2_ain15;</t>
  </si>
  <si>
    <t xml:space="preserve">      avalon_mm_rmap_o.readdata(0) &lt;= rmap_registers_wr_i.aeb4_gcfg_adc2_config.adc2_ain14;</t>
  </si>
  <si>
    <t xml:space="preserve">      avalon_mm_rmap_o.readdata(0) &lt;= rmap_registers_wr_i.aeb4_gcfg_adc2_config.adc2_ain13;</t>
  </si>
  <si>
    <t xml:space="preserve">      avalon_mm_rmap_o.readdata(0) &lt;= rmap_registers_wr_i.aeb4_gcfg_adc2_config.adc2_ain12;</t>
  </si>
  <si>
    <t xml:space="preserve">      avalon_mm_rmap_o.readdata(0) &lt;= rmap_registers_wr_i.aeb4_gcfg_adc2_config.adc2_ain11;</t>
  </si>
  <si>
    <t xml:space="preserve">      avalon_mm_rmap_o.readdata(0) &lt;= rmap_registers_wr_i.aeb4_gcfg_adc2_config.adc2_ain10;</t>
  </si>
  <si>
    <t xml:space="preserve">      avalon_mm_rmap_o.readdata(0) &lt;= rmap_registers_wr_i.aeb4_gcfg_adc2_config.adc2_ain9;</t>
  </si>
  <si>
    <t xml:space="preserve">      avalon_mm_rmap_o.readdata(0) &lt;= rmap_registers_wr_i.aeb4_gcfg_adc2_config.adc2_ain8;</t>
  </si>
  <si>
    <t xml:space="preserve">      avalon_mm_rmap_o.readdata(0) &lt;= rmap_registers_wr_i.aeb4_gcfg_adc2_config.adc2_ref;</t>
  </si>
  <si>
    <t xml:space="preserve">      avalon_mm_rmap_o.readdata(0) &lt;= rmap_registers_wr_i.aeb4_gcfg_adc2_config.adc2_gain;</t>
  </si>
  <si>
    <t xml:space="preserve">      avalon_mm_rmap_o.readdata(0) &lt;= rmap_registers_wr_i.aeb4_gcfg_adc2_config.adc2_temp;</t>
  </si>
  <si>
    <t xml:space="preserve">      avalon_mm_rmap_o.readdata(0) &lt;= rmap_registers_wr_i.aeb4_gcfg_adc2_config.adc2_vcc;</t>
  </si>
  <si>
    <t xml:space="preserve">      avalon_mm_rmap_o.readdata(0) &lt;= rmap_registers_wr_i.aeb4_gcfg_adc2_config.adc2_offset;</t>
  </si>
  <si>
    <t xml:space="preserve">      avalon_mm_rmap_o.readdata(0) &lt;= rmap_registers_wr_i.aeb4_gcfg_adc2_config.adc2_cio7;</t>
  </si>
  <si>
    <t xml:space="preserve">      avalon_mm_rmap_o.readdata(0) &lt;= rmap_registers_wr_i.aeb4_gcfg_adc2_config.adc2_cio6;</t>
  </si>
  <si>
    <t xml:space="preserve">      avalon_mm_rmap_o.readdata(0) &lt;= rmap_registers_wr_i.aeb4_gcfg_adc2_config.adc2_cio5;</t>
  </si>
  <si>
    <t xml:space="preserve">      avalon_mm_rmap_o.readdata(0) &lt;= rmap_registers_wr_i.aeb4_gcfg_adc2_config.adc2_cio4;</t>
  </si>
  <si>
    <t xml:space="preserve">      avalon_mm_rmap_o.readdata(0) &lt;= rmap_registers_wr_i.aeb4_gcfg_adc2_config.adc2_cio3;</t>
  </si>
  <si>
    <t xml:space="preserve">      avalon_mm_rmap_o.readdata(0) &lt;= rmap_registers_wr_i.aeb4_gcfg_adc2_config.adc2_cio2;</t>
  </si>
  <si>
    <t xml:space="preserve">      avalon_mm_rmap_o.readdata(0) &lt;= rmap_registers_wr_i.aeb4_gcfg_adc2_config.adc2_cio1;</t>
  </si>
  <si>
    <t xml:space="preserve">      avalon_mm_rmap_o.readdata(0) &lt;= rmap_registers_wr_i.aeb4_gcfg_adc2_config.adc2_cio0;</t>
  </si>
  <si>
    <t xml:space="preserve">      avalon_mm_rmap_o.readdata(0) &lt;= rmap_registers_wr_i.aeb4_gcfg_adc2_config.adc2_dio7;</t>
  </si>
  <si>
    <t xml:space="preserve">      avalon_mm_rmap_o.readdata(0) &lt;= rmap_registers_wr_i.aeb4_gcfg_adc2_config.adc2_dio6;</t>
  </si>
  <si>
    <t xml:space="preserve">      avalon_mm_rmap_o.readdata(0) &lt;= rmap_registers_wr_i.aeb4_gcfg_adc2_config.adc2_dio5;</t>
  </si>
  <si>
    <t xml:space="preserve">      avalon_mm_rmap_o.readdata(0) &lt;= rmap_registers_wr_i.aeb4_gcfg_adc2_config.adc2_dio4;</t>
  </si>
  <si>
    <t xml:space="preserve">      avalon_mm_rmap_o.readdata(0) &lt;= rmap_registers_wr_i.aeb4_gcfg_adc2_config.adc2_dio3;</t>
  </si>
  <si>
    <t xml:space="preserve">      avalon_mm_rmap_o.readdata(0) &lt;= rmap_registers_wr_i.aeb4_gcfg_adc2_config.adc2_dio2;</t>
  </si>
  <si>
    <t xml:space="preserve">      avalon_mm_rmap_o.readdata(0) &lt;= rmap_registers_wr_i.aeb4_gcfg_adc2_config.adc2_dio1;</t>
  </si>
  <si>
    <t xml:space="preserve">      avalon_mm_rmap_o.readdata(0) &lt;= rmap_registers_wr_i.aeb4_gcfg_adc2_config.adc2_dio0;</t>
  </si>
  <si>
    <t xml:space="preserve">      avalon_mm_rmap_o.readdata(7 downto 0) &lt;= rmap_registers_wr_i.aeb4_gcfg_seq_config.seq_oe(7 downto 0);</t>
  </si>
  <si>
    <t xml:space="preserve">      avalon_mm_rmap_o.readdata(15 downto 8) &lt;= rmap_registers_wr_i.aeb4_gcfg_seq_config.seq_oe(15 downto 8);</t>
  </si>
  <si>
    <t xml:space="preserve">      avalon_mm_rmap_o.readdata(21 downto 16) &lt;= rmap_registers_wr_i.aeb4_gcfg_seq_config.seq_oe(21 downto 16);</t>
  </si>
  <si>
    <t xml:space="preserve">      avalon_mm_rmap_o.readdata(6 downto 0) &lt;= rmap_registers_wr_i.aeb4_gcfg_seq_config.adc_clk_div;</t>
  </si>
  <si>
    <t xml:space="preserve">      avalon_mm_rmap_o.readdata(15 downto 8) &lt;= rmap_registers_wr_i.aeb4_gcfg_seq_config.cds_clk_low_pos;</t>
  </si>
  <si>
    <t xml:space="preserve">      avalon_mm_rmap_o.readdata(23 downto 16) &lt;= rmap_registers_wr_i.aeb4_gcfg_seq_config.cds_clk_high_pos;</t>
  </si>
  <si>
    <t xml:space="preserve">      avalon_mm_rmap_o.readdata(31 downto 24) &lt;= rmap_registers_wr_i.aeb4_gcfg_seq_config.rphir_clk_low_pos;</t>
  </si>
  <si>
    <t xml:space="preserve">      avalon_mm_rmap_o.readdata(7 downto 0) &lt;= rmap_registers_wr_i.aeb4_gcfg_seq_config.rphir_clk_high_pos;</t>
  </si>
  <si>
    <t xml:space="preserve">      avalon_mm_rmap_o.readdata(23 downto 16) &lt;= rmap_registers_wr_i.aeb4_gcfg_seq_config.ft_loop_cnt(7 downto 0);</t>
  </si>
  <si>
    <t xml:space="preserve">      avalon_mm_rmap_o.readdata(29 downto 24) &lt;= rmap_registers_wr_i.aeb4_gcfg_seq_config.ft_loop_cnt(13 downto 8);</t>
  </si>
  <si>
    <t xml:space="preserve">      avalon_mm_rmap_o.readdata(0) &lt;= rmap_registers_wr_i.aeb4_gcfg_seq_config.lt0_enabled;</t>
  </si>
  <si>
    <t xml:space="preserve">      avalon_mm_rmap_o.readdata(0) &lt;= rmap_registers_wr_i.aeb4_gcfg_seq_config.lt0_pixreadout;</t>
  </si>
  <si>
    <t xml:space="preserve">      avalon_mm_rmap_o.readdata(7 downto 0) &lt;= rmap_registers_wr_i.aeb4_gcfg_seq_config.lt0_loop_cnt(7 downto 0);</t>
  </si>
  <si>
    <t xml:space="preserve">      avalon_mm_rmap_o.readdata(13 downto 8) &lt;= rmap_registers_wr_i.aeb4_gcfg_seq_config.lt0_loop_cnt(13 downto 8);</t>
  </si>
  <si>
    <t xml:space="preserve">      avalon_mm_rmap_o.readdata(0) &lt;= rmap_registers_wr_i.aeb4_gcfg_seq_config.lt1_enabled;</t>
  </si>
  <si>
    <t xml:space="preserve">      avalon_mm_rmap_o.readdata(0) &lt;= rmap_registers_wr_i.aeb4_gcfg_seq_config.lt1_pixreadout;</t>
  </si>
  <si>
    <t xml:space="preserve">      avalon_mm_rmap_o.readdata(7 downto 0) &lt;= rmap_registers_wr_i.aeb4_gcfg_seq_config.lt1_loop_cnt(7 downto 0);</t>
  </si>
  <si>
    <t xml:space="preserve">      avalon_mm_rmap_o.readdata(13 downto 8) &lt;= rmap_registers_wr_i.aeb4_gcfg_seq_config.lt1_loop_cnt(13 downto 8);</t>
  </si>
  <si>
    <t xml:space="preserve">      avalon_mm_rmap_o.readdata(0) &lt;= rmap_registers_wr_i.aeb4_gcfg_seq_config.lt2_enabled;</t>
  </si>
  <si>
    <t xml:space="preserve">      avalon_mm_rmap_o.readdata(0) &lt;= rmap_registers_wr_i.aeb4_gcfg_seq_config.lt2_pixreadout;</t>
  </si>
  <si>
    <t xml:space="preserve">      avalon_mm_rmap_o.readdata(7 downto 0) &lt;= rmap_registers_wr_i.aeb4_gcfg_seq_config.lt2_loop_cnt(7 downto 0);</t>
  </si>
  <si>
    <t xml:space="preserve">      avalon_mm_rmap_o.readdata(13 downto 8) &lt;= rmap_registers_wr_i.aeb4_gcfg_seq_config.lt2_loop_cnt(13 downto 8);</t>
  </si>
  <si>
    <t xml:space="preserve">      avalon_mm_rmap_o.readdata(0) &lt;= rmap_registers_wr_i.aeb4_gcfg_seq_config.lt3_enabled;</t>
  </si>
  <si>
    <t xml:space="preserve">      avalon_mm_rmap_o.readdata(0) &lt;= rmap_registers_wr_i.aeb4_gcfg_seq_config.lt3_pixreadout;</t>
  </si>
  <si>
    <t xml:space="preserve">      avalon_mm_rmap_o.readdata(7 downto 0) &lt;= rmap_registers_wr_i.aeb4_gcfg_seq_config.lt3_loop_cnt(7 downto 0);</t>
  </si>
  <si>
    <t xml:space="preserve">      avalon_mm_rmap_o.readdata(13 downto 8) &lt;= rmap_registers_wr_i.aeb4_gcfg_seq_config.lt3_loop_cnt(13 downto 8);</t>
  </si>
  <si>
    <t xml:space="preserve">      avalon_mm_rmap_o.readdata(23 downto 16) &lt;= rmap_registers_wr_i.aeb4_gcfg_seq_config.pix_loop_cnt(7 downto 0);</t>
  </si>
  <si>
    <t xml:space="preserve">      avalon_mm_rmap_o.readdata(29 downto 24) &lt;= rmap_registers_wr_i.aeb4_gcfg_seq_config.pix_loop_cnt(13 downto 8);</t>
  </si>
  <si>
    <t xml:space="preserve">      avalon_mm_rmap_o.readdata(0) &lt;= rmap_registers_wr_i.aeb4_gcfg_seq_config.pc_enabled;</t>
  </si>
  <si>
    <t xml:space="preserve">      avalon_mm_rmap_o.readdata(7 downto 0) &lt;= rmap_registers_wr_i.aeb4_gcfg_seq_config.pc_loop_cnt(7 downto 0);</t>
  </si>
  <si>
    <t xml:space="preserve">      avalon_mm_rmap_o.readdata(13 downto 8) &lt;= rmap_registers_wr_i.aeb4_gcfg_seq_config.pc_loop_cnt(13 downto 8);</t>
  </si>
  <si>
    <t xml:space="preserve">      avalon_mm_rmap_o.readdata(23 downto 16) &lt;= rmap_registers_wr_i.aeb4_gcfg_seq_config.int1_loop_cnt(7 downto 0);</t>
  </si>
  <si>
    <t xml:space="preserve">      avalon_mm_rmap_o.readdata(29 downto 24) &lt;= rmap_registers_wr_i.aeb4_gcfg_seq_config.int1_loop_cnt(13 downto 8);</t>
  </si>
  <si>
    <t xml:space="preserve">      avalon_mm_rmap_o.readdata(7 downto 0) &lt;= rmap_registers_wr_i.aeb4_gcfg_seq_config.int2_loop_cnt(7 downto 0);</t>
  </si>
  <si>
    <t xml:space="preserve">      avalon_mm_rmap_o.readdata(13 downto 8) &lt;= rmap_registers_wr_i.aeb4_gcfg_seq_config.int2_loop_cnt(13 downto 8);</t>
  </si>
  <si>
    <t xml:space="preserve">      -- AEB 4 Housekeeping Area : </t>
  </si>
  <si>
    <t xml:space="preserve">      avalon_mm_rmap_o.readdata(18 downto 16) &lt;= rmap_registers_wr_i.aeb4_hk_aeb_status.aeb_state;</t>
  </si>
  <si>
    <t xml:space="preserve">      avalon_mm_rmap_o.readdata(0) &lt;= rmap_registers_wr_i.aeb4_hk_aeb_status.vasp2_cfg_run;</t>
  </si>
  <si>
    <t xml:space="preserve">      avalon_mm_rmap_o.readdata(0) &lt;= rmap_registers_wr_i.aeb4_hk_aeb_status.vasp1_cfg_run;</t>
  </si>
  <si>
    <t xml:space="preserve">      avalon_mm_rmap_o.readdata(0) &lt;= rmap_registers_wr_i.aeb4_hk_aeb_status.dac_cfg_w_run;</t>
  </si>
  <si>
    <t xml:space="preserve">      avalon_mm_rmap_o.readdata(0) &lt;= rmap_registers_wr_i.aeb4_hk_aeb_status.adc_cfg_rd_run;</t>
  </si>
  <si>
    <t xml:space="preserve">      avalon_mm_rmap_o.readdata(0) &lt;= rmap_registers_wr_i.aeb4_hk_aeb_status.adc_cfg_wr_run;</t>
  </si>
  <si>
    <t xml:space="preserve">      avalon_mm_rmap_o.readdata(0) &lt;= rmap_registers_wr_i.aeb4_hk_aeb_status.adc_dat_rd_run;</t>
  </si>
  <si>
    <t xml:space="preserve">      avalon_mm_rmap_o.readdata(0) &lt;= rmap_registers_wr_i.aeb4_hk_aeb_status.adc_error;</t>
  </si>
  <si>
    <t xml:space="preserve">      avalon_mm_rmap_o.readdata(0) &lt;= rmap_registers_wr_i.aeb4_hk_aeb_status.adc2_lu;</t>
  </si>
  <si>
    <t xml:space="preserve">      avalon_mm_rmap_o.readdata(0) &lt;= rmap_registers_wr_i.aeb4_hk_aeb_status.adc1_lu;</t>
  </si>
  <si>
    <t xml:space="preserve">      avalon_mm_rmap_o.readdata(0) &lt;= rmap_registers_wr_i.aeb4_hk_aeb_status.adc_dat_rd;</t>
  </si>
  <si>
    <t xml:space="preserve">      avalon_mm_rmap_o.readdata(0) &lt;= rmap_registers_wr_i.aeb4_hk_aeb_status.adc_cfg_rd;</t>
  </si>
  <si>
    <t xml:space="preserve">      avalon_mm_rmap_o.readdata(0) &lt;= rmap_registers_wr_i.aeb4_hk_aeb_status.adc_cfg_wr;</t>
  </si>
  <si>
    <t xml:space="preserve">      avalon_mm_rmap_o.readdata(0) &lt;= rmap_registers_wr_i.aeb4_hk_aeb_status.adc2_busy;</t>
  </si>
  <si>
    <t xml:space="preserve">      avalon_mm_rmap_o.readdata(0) &lt;= rmap_registers_wr_i.aeb4_hk_aeb_status.adc1_busy;</t>
  </si>
  <si>
    <t xml:space="preserve">      avalon_mm_rmap_o.readdata(7 downto 0) &lt;= rmap_registers_wr_i.aeb4_hk_aeb_status.frame_counter(7 downto 0);</t>
  </si>
  <si>
    <t xml:space="preserve">      avalon_mm_rmap_o.readdata(15 downto 8) &lt;= rmap_registers_wr_i.aeb4_hk_aeb_status.frame_counter(15 downto 8);</t>
  </si>
  <si>
    <t xml:space="preserve">      avalon_mm_rmap_o.readdata(7 downto 0) &lt;= rmap_registers_wr_i.aeb4_hk_timestamp.timestamp_1(7 downto 0);</t>
  </si>
  <si>
    <t xml:space="preserve">      avalon_mm_rmap_o.readdata(15 downto 8) &lt;= rmap_registers_wr_i.aeb4_hk_timestamp.timestamp_1(15 downto 8);</t>
  </si>
  <si>
    <t xml:space="preserve">      avalon_mm_rmap_o.readdata(23 downto 16) &lt;= rmap_registers_wr_i.aeb4_hk_timestamp.timestamp_1(23 downto 16);</t>
  </si>
  <si>
    <t xml:space="preserve">      avalon_mm_rmap_o.readdata(31 downto 24) &lt;= rmap_registers_wr_i.aeb4_hk_timestamp.timestamp_1(31 downto 24);</t>
  </si>
  <si>
    <t xml:space="preserve">      avalon_mm_rmap_o.readdata(7 downto 0) &lt;= rmap_registers_wr_i.aeb4_hk_timestamp.timestamp_0(7 downto 0);</t>
  </si>
  <si>
    <t xml:space="preserve">      avalon_mm_rmap_o.readdata(15 downto 8) &lt;= rmap_registers_wr_i.aeb4_hk_timestamp.timestamp_0(15 downto 8);</t>
  </si>
  <si>
    <t xml:space="preserve">      avalon_mm_rmap_o.readdata(23 downto 16) &lt;= rmap_registers_wr_i.aeb4_hk_timestamp.timestamp_0(23 downto 16);</t>
  </si>
  <si>
    <t xml:space="preserve">      avalon_mm_rmap_o.readdata(31 downto 24) &lt;= rmap_registers_wr_i.aeb4_hk_timestamp.timestamp_0(31 downto 24);</t>
  </si>
  <si>
    <t xml:space="preserve">      avalon_mm_rmap_o.readdata(7 downto 0) &lt;= rmap_registers_wr_i.aeb4_hk_adc_rd_data.adc_rd_data_18(7 downto 0);</t>
  </si>
  <si>
    <t xml:space="preserve">      avalon_mm_rmap_o.readdata(15 downto 8) &lt;= rmap_registers_wr_i.aeb4_hk_adc_rd_data.adc_rd_data_18(15 downto 8);</t>
  </si>
  <si>
    <t xml:space="preserve">      avalon_mm_rmap_o.readdata(23 downto 16) &lt;= rmap_registers_wr_i.aeb4_hk_adc_rd_data.adc_rd_data_18(23 downto 16);</t>
  </si>
  <si>
    <t xml:space="preserve">      avalon_mm_rmap_o.readdata(31 downto 24) &lt;= rmap_registers_wr_i.aeb4_hk_adc_rd_data.adc_rd_data_18(31 downto 24);</t>
  </si>
  <si>
    <t xml:space="preserve">      avalon_mm_rmap_o.readdata(7 downto 0) &lt;= rmap_registers_wr_i.aeb4_hk_adc_rd_data.adc_rd_data_17(7 downto 0);</t>
  </si>
  <si>
    <t xml:space="preserve">      avalon_mm_rmap_o.readdata(15 downto 8) &lt;= rmap_registers_wr_i.aeb4_hk_adc_rd_data.adc_rd_data_17(15 downto 8);</t>
  </si>
  <si>
    <t xml:space="preserve">      avalon_mm_rmap_o.readdata(23 downto 16) &lt;= rmap_registers_wr_i.aeb4_hk_adc_rd_data.adc_rd_data_17(23 downto 16);</t>
  </si>
  <si>
    <t xml:space="preserve">      avalon_mm_rmap_o.readdata(31 downto 24) &lt;= rmap_registers_wr_i.aeb4_hk_adc_rd_data.adc_rd_data_17(31 downto 24);</t>
  </si>
  <si>
    <t xml:space="preserve">      avalon_mm_rmap_o.readdata(7 downto 0) &lt;= rmap_registers_wr_i.aeb4_hk_adc_rd_data.adc_rd_data_16(7 downto 0);</t>
  </si>
  <si>
    <t xml:space="preserve">      avalon_mm_rmap_o.readdata(15 downto 8) &lt;= rmap_registers_wr_i.aeb4_hk_adc_rd_data.adc_rd_data_16(15 downto 8);</t>
  </si>
  <si>
    <t xml:space="preserve">      avalon_mm_rmap_o.readdata(23 downto 16) &lt;= rmap_registers_wr_i.aeb4_hk_adc_rd_data.adc_rd_data_16(23 downto 16);</t>
  </si>
  <si>
    <t xml:space="preserve">      avalon_mm_rmap_o.readdata(31 downto 24) &lt;= rmap_registers_wr_i.aeb4_hk_adc_rd_data.adc_rd_data_16(31 downto 24);</t>
  </si>
  <si>
    <t xml:space="preserve">      avalon_mm_rmap_o.readdata(7 downto 0) &lt;= rmap_registers_wr_i.aeb4_hk_adc_rd_data.adc_rd_data_15(7 downto 0);</t>
  </si>
  <si>
    <t xml:space="preserve">      avalon_mm_rmap_o.readdata(15 downto 8) &lt;= rmap_registers_wr_i.aeb4_hk_adc_rd_data.adc_rd_data_15(15 downto 8);</t>
  </si>
  <si>
    <t xml:space="preserve">      avalon_mm_rmap_o.readdata(23 downto 16) &lt;= rmap_registers_wr_i.aeb4_hk_adc_rd_data.adc_rd_data_15(23 downto 16);</t>
  </si>
  <si>
    <t xml:space="preserve">      avalon_mm_rmap_o.readdata(31 downto 24) &lt;= rmap_registers_wr_i.aeb4_hk_adc_rd_data.adc_rd_data_15(31 downto 24);</t>
  </si>
  <si>
    <t xml:space="preserve">      avalon_mm_rmap_o.readdata(7 downto 0) &lt;= rmap_registers_wr_i.aeb4_hk_adc_rd_data.adc_rd_data_14(7 downto 0);</t>
  </si>
  <si>
    <t xml:space="preserve">      avalon_mm_rmap_o.readdata(15 downto 8) &lt;= rmap_registers_wr_i.aeb4_hk_adc_rd_data.adc_rd_data_14(15 downto 8);</t>
  </si>
  <si>
    <t xml:space="preserve">      avalon_mm_rmap_o.readdata(23 downto 16) &lt;= rmap_registers_wr_i.aeb4_hk_adc_rd_data.adc_rd_data_14(23 downto 16);</t>
  </si>
  <si>
    <t xml:space="preserve">      avalon_mm_rmap_o.readdata(31 downto 24) &lt;= rmap_registers_wr_i.aeb4_hk_adc_rd_data.adc_rd_data_14(31 downto 24);</t>
  </si>
  <si>
    <t xml:space="preserve">      avalon_mm_rmap_o.readdata(7 downto 0) &lt;= rmap_registers_wr_i.aeb4_hk_adc_rd_data.adc_rd_data_13(7 downto 0);</t>
  </si>
  <si>
    <t xml:space="preserve">      avalon_mm_rmap_o.readdata(15 downto 8) &lt;= rmap_registers_wr_i.aeb4_hk_adc_rd_data.adc_rd_data_13(15 downto 8);</t>
  </si>
  <si>
    <t xml:space="preserve">      avalon_mm_rmap_o.readdata(23 downto 16) &lt;= rmap_registers_wr_i.aeb4_hk_adc_rd_data.adc_rd_data_13(23 downto 16);</t>
  </si>
  <si>
    <t xml:space="preserve">      avalon_mm_rmap_o.readdata(31 downto 24) &lt;= rmap_registers_wr_i.aeb4_hk_adc_rd_data.adc_rd_data_13(31 downto 24);</t>
  </si>
  <si>
    <t xml:space="preserve">      avalon_mm_rmap_o.readdata(7 downto 0) &lt;= rmap_registers_wr_i.aeb4_hk_adc_rd_data.adc_rd_data_12(7 downto 0);</t>
  </si>
  <si>
    <t xml:space="preserve">      avalon_mm_rmap_o.readdata(15 downto 8) &lt;= rmap_registers_wr_i.aeb4_hk_adc_rd_data.adc_rd_data_12(15 downto 8);</t>
  </si>
  <si>
    <t xml:space="preserve">      avalon_mm_rmap_o.readdata(23 downto 16) &lt;= rmap_registers_wr_i.aeb4_hk_adc_rd_data.adc_rd_data_12(23 downto 16);</t>
  </si>
  <si>
    <t xml:space="preserve">      avalon_mm_rmap_o.readdata(31 downto 24) &lt;= rmap_registers_wr_i.aeb4_hk_adc_rd_data.adc_rd_data_12(31 downto 24);</t>
  </si>
  <si>
    <t xml:space="preserve">      avalon_mm_rmap_o.readdata(7 downto 0) &lt;= rmap_registers_wr_i.aeb4_hk_adc_rd_data.adc_rd_data_11(7 downto 0);</t>
  </si>
  <si>
    <t xml:space="preserve">      avalon_mm_rmap_o.readdata(15 downto 8) &lt;= rmap_registers_wr_i.aeb4_hk_adc_rd_data.adc_rd_data_11(15 downto 8);</t>
  </si>
  <si>
    <t xml:space="preserve">      avalon_mm_rmap_o.readdata(23 downto 16) &lt;= rmap_registers_wr_i.aeb4_hk_adc_rd_data.adc_rd_data_11(23 downto 16);</t>
  </si>
  <si>
    <t xml:space="preserve">      avalon_mm_rmap_o.readdata(31 downto 24) &lt;= rmap_registers_wr_i.aeb4_hk_adc_rd_data.adc_rd_data_11(31 downto 24);</t>
  </si>
  <si>
    <t xml:space="preserve">      avalon_mm_rmap_o.readdata(7 downto 0) &lt;= rmap_registers_wr_i.aeb4_hk_adc_rd_data.adc_rd_data_10(7 downto 0);</t>
  </si>
  <si>
    <t xml:space="preserve">      avalon_mm_rmap_o.readdata(15 downto 8) &lt;= rmap_registers_wr_i.aeb4_hk_adc_rd_data.adc_rd_data_10(15 downto 8);</t>
  </si>
  <si>
    <t xml:space="preserve">      avalon_mm_rmap_o.readdata(23 downto 16) &lt;= rmap_registers_wr_i.aeb4_hk_adc_rd_data.adc_rd_data_10(23 downto 16);</t>
  </si>
  <si>
    <t xml:space="preserve">      avalon_mm_rmap_o.readdata(31 downto 24) &lt;= rmap_registers_wr_i.aeb4_hk_adc_rd_data.adc_rd_data_10(31 downto 24);</t>
  </si>
  <si>
    <t xml:space="preserve">      avalon_mm_rmap_o.readdata(7 downto 0) &lt;= rmap_registers_wr_i.aeb4_hk_adc_rd_data.adc_rd_data_9(7 downto 0);</t>
  </si>
  <si>
    <t xml:space="preserve">      avalon_mm_rmap_o.readdata(15 downto 8) &lt;= rmap_registers_wr_i.aeb4_hk_adc_rd_data.adc_rd_data_9(15 downto 8);</t>
  </si>
  <si>
    <t xml:space="preserve">      avalon_mm_rmap_o.readdata(23 downto 16) &lt;= rmap_registers_wr_i.aeb4_hk_adc_rd_data.adc_rd_data_9(23 downto 16);</t>
  </si>
  <si>
    <t xml:space="preserve">      avalon_mm_rmap_o.readdata(31 downto 24) &lt;= rmap_registers_wr_i.aeb4_hk_adc_rd_data.adc_rd_data_9(31 downto 24);</t>
  </si>
  <si>
    <t xml:space="preserve">      avalon_mm_rmap_o.readdata(7 downto 0) &lt;= rmap_registers_wr_i.aeb4_hk_adc_rd_data.adc_rd_data_8(7 downto 0);</t>
  </si>
  <si>
    <t xml:space="preserve">      avalon_mm_rmap_o.readdata(15 downto 8) &lt;= rmap_registers_wr_i.aeb4_hk_adc_rd_data.adc_rd_data_8(15 downto 8);</t>
  </si>
  <si>
    <t xml:space="preserve">      avalon_mm_rmap_o.readdata(23 downto 16) &lt;= rmap_registers_wr_i.aeb4_hk_adc_rd_data.adc_rd_data_8(23 downto 16);</t>
  </si>
  <si>
    <t xml:space="preserve">      avalon_mm_rmap_o.readdata(31 downto 24) &lt;= rmap_registers_wr_i.aeb4_hk_adc_rd_data.adc_rd_data_8(31 downto 24);</t>
  </si>
  <si>
    <t xml:space="preserve">      avalon_mm_rmap_o.readdata(7 downto 0) &lt;= rmap_registers_wr_i.aeb4_hk_adc_rd_data.adc_rd_data_7(7 downto 0);</t>
  </si>
  <si>
    <t xml:space="preserve">      avalon_mm_rmap_o.readdata(15 downto 8) &lt;= rmap_registers_wr_i.aeb4_hk_adc_rd_data.adc_rd_data_7(15 downto 8);</t>
  </si>
  <si>
    <t xml:space="preserve">      avalon_mm_rmap_o.readdata(23 downto 16) &lt;= rmap_registers_wr_i.aeb4_hk_adc_rd_data.adc_rd_data_7(23 downto 16);</t>
  </si>
  <si>
    <t xml:space="preserve">      avalon_mm_rmap_o.readdata(31 downto 24) &lt;= rmap_registers_wr_i.aeb4_hk_adc_rd_data.adc_rd_data_7(31 downto 24);</t>
  </si>
  <si>
    <t xml:space="preserve">      avalon_mm_rmap_o.readdata(7 downto 0) &lt;= rmap_registers_wr_i.aeb4_hk_adc_rd_data.adc_rd_data_6(7 downto 0);</t>
  </si>
  <si>
    <t xml:space="preserve">      avalon_mm_rmap_o.readdata(15 downto 8) &lt;= rmap_registers_wr_i.aeb4_hk_adc_rd_data.adc_rd_data_6(15 downto 8);</t>
  </si>
  <si>
    <t xml:space="preserve">      avalon_mm_rmap_o.readdata(23 downto 16) &lt;= rmap_registers_wr_i.aeb4_hk_adc_rd_data.adc_rd_data_6(23 downto 16);</t>
  </si>
  <si>
    <t xml:space="preserve">      avalon_mm_rmap_o.readdata(31 downto 24) &lt;= rmap_registers_wr_i.aeb4_hk_adc_rd_data.adc_rd_data_6(31 downto 24);</t>
  </si>
  <si>
    <t xml:space="preserve">      avalon_mm_rmap_o.readdata(7 downto 0) &lt;= rmap_registers_wr_i.aeb4_hk_adc_rd_data.adc_rd_data_5(7 downto 0);</t>
  </si>
  <si>
    <t xml:space="preserve">      avalon_mm_rmap_o.readdata(15 downto 8) &lt;= rmap_registers_wr_i.aeb4_hk_adc_rd_data.adc_rd_data_5(15 downto 8);</t>
  </si>
  <si>
    <t xml:space="preserve">      avalon_mm_rmap_o.readdata(23 downto 16) &lt;= rmap_registers_wr_i.aeb4_hk_adc_rd_data.adc_rd_data_5(23 downto 16);</t>
  </si>
  <si>
    <t xml:space="preserve">      avalon_mm_rmap_o.readdata(31 downto 24) &lt;= rmap_registers_wr_i.aeb4_hk_adc_rd_data.adc_rd_data_5(31 downto 24);</t>
  </si>
  <si>
    <t xml:space="preserve">      avalon_mm_rmap_o.readdata(7 downto 0) &lt;= rmap_registers_wr_i.aeb4_hk_adc_rd_data.adc_rd_data_4(7 downto 0);</t>
  </si>
  <si>
    <t xml:space="preserve">      avalon_mm_rmap_o.readdata(15 downto 8) &lt;= rmap_registers_wr_i.aeb4_hk_adc_rd_data.adc_rd_data_4(15 downto 8);</t>
  </si>
  <si>
    <t xml:space="preserve">      avalon_mm_rmap_o.readdata(23 downto 16) &lt;= rmap_registers_wr_i.aeb4_hk_adc_rd_data.adc_rd_data_4(23 downto 16);</t>
  </si>
  <si>
    <t xml:space="preserve">      avalon_mm_rmap_o.readdata(31 downto 24) &lt;= rmap_registers_wr_i.aeb4_hk_adc_rd_data.adc_rd_data_4(31 downto 24);</t>
  </si>
  <si>
    <t xml:space="preserve">      avalon_mm_rmap_o.readdata(7 downto 0) &lt;= rmap_registers_wr_i.aeb4_hk_adc_rd_data.adc_rd_data_3(7 downto 0);</t>
  </si>
  <si>
    <t xml:space="preserve">      avalon_mm_rmap_o.readdata(15 downto 8) &lt;= rmap_registers_wr_i.aeb4_hk_adc_rd_data.adc_rd_data_3(15 downto 8);</t>
  </si>
  <si>
    <t xml:space="preserve">      avalon_mm_rmap_o.readdata(23 downto 16) &lt;= rmap_registers_wr_i.aeb4_hk_adc_rd_data.adc_rd_data_3(23 downto 16);</t>
  </si>
  <si>
    <t xml:space="preserve">      avalon_mm_rmap_o.readdata(31 downto 24) &lt;= rmap_registers_wr_i.aeb4_hk_adc_rd_data.adc_rd_data_3(31 downto 24);</t>
  </si>
  <si>
    <t xml:space="preserve">      avalon_mm_rmap_o.readdata(7 downto 0) &lt;= rmap_registers_wr_i.aeb4_hk_adc_rd_data.adc_rd_data_2(7 downto 0);</t>
  </si>
  <si>
    <t xml:space="preserve">      avalon_mm_rmap_o.readdata(15 downto 8) &lt;= rmap_registers_wr_i.aeb4_hk_adc_rd_data.adc_rd_data_2(15 downto 8);</t>
  </si>
  <si>
    <t xml:space="preserve">      avalon_mm_rmap_o.readdata(23 downto 16) &lt;= rmap_registers_wr_i.aeb4_hk_adc_rd_data.adc_rd_data_2(23 downto 16);</t>
  </si>
  <si>
    <t xml:space="preserve">      avalon_mm_rmap_o.readdata(31 downto 24) &lt;= rmap_registers_wr_i.aeb4_hk_adc_rd_data.adc_rd_data_2(31 downto 24);</t>
  </si>
  <si>
    <t xml:space="preserve">      avalon_mm_rmap_o.readdata(7 downto 0) &lt;= rmap_registers_wr_i.aeb4_hk_adc_rd_data.adc_rd_data_1(7 downto 0);</t>
  </si>
  <si>
    <t xml:space="preserve">      avalon_mm_rmap_o.readdata(15 downto 8) &lt;= rmap_registers_wr_i.aeb4_hk_adc_rd_data.adc_rd_data_1(15 downto 8);</t>
  </si>
  <si>
    <t xml:space="preserve">      avalon_mm_rmap_o.readdata(23 downto 16) &lt;= rmap_registers_wr_i.aeb4_hk_adc_rd_data.adc_rd_data_1(23 downto 16);</t>
  </si>
  <si>
    <t xml:space="preserve">      avalon_mm_rmap_o.readdata(31 downto 24) &lt;= rmap_registers_wr_i.aeb4_hk_adc_rd_data.adc_rd_data_1(31 downto 24);</t>
  </si>
  <si>
    <t xml:space="preserve">      avalon_mm_rmap_o.readdata(7 downto 0) &lt;= rmap_registers_wr_i.aeb4_hk_adc_rd_data.adc_rd_data_0(7 downto 0);</t>
  </si>
  <si>
    <t xml:space="preserve">      avalon_mm_rmap_o.readdata(15 downto 8) &lt;= rmap_registers_wr_i.aeb4_hk_adc_rd_data.adc_rd_data_0(15 downto 8);</t>
  </si>
  <si>
    <t xml:space="preserve">      avalon_mm_rmap_o.readdata(23 downto 16) &lt;= rmap_registers_wr_i.aeb4_hk_adc_rd_data.adc_rd_data_0(23 downto 16);</t>
  </si>
  <si>
    <t xml:space="preserve">      avalon_mm_rmap_o.readdata(31 downto 24) &lt;= rmap_registers_wr_i.aeb4_hk_adc_rd_data.adc_rd_data_0(31 downto 24);</t>
  </si>
  <si>
    <t xml:space="preserve">      avalon_mm_rmap_o.readdata(7 downto 0) &lt;= rmap_registers_wr_i.aeb4_hk_adc1_rd_config.adc1_rd_config_3(7 downto 0);</t>
  </si>
  <si>
    <t xml:space="preserve">      avalon_mm_rmap_o.readdata(15 downto 8) &lt;= rmap_registers_wr_i.aeb4_hk_adc1_rd_config.adc1_rd_config_3(15 downto 8);</t>
  </si>
  <si>
    <t xml:space="preserve">      avalon_mm_rmap_o.readdata(23 downto 16) &lt;= rmap_registers_wr_i.aeb4_hk_adc1_rd_config.adc1_rd_config_3(23 downto 16);</t>
  </si>
  <si>
    <t xml:space="preserve">      avalon_mm_rmap_o.readdata(31 downto 24) &lt;= rmap_registers_wr_i.aeb4_hk_adc1_rd_config.adc1_rd_config_3(31 downto 24);</t>
  </si>
  <si>
    <t xml:space="preserve">      avalon_mm_rmap_o.readdata(7 downto 0) &lt;= rmap_registers_wr_i.aeb4_hk_adc1_rd_config.adc1_rd_config_2(7 downto 0);</t>
  </si>
  <si>
    <t xml:space="preserve">      avalon_mm_rmap_o.readdata(15 downto 8) &lt;= rmap_registers_wr_i.aeb4_hk_adc1_rd_config.adc1_rd_config_2(15 downto 8);</t>
  </si>
  <si>
    <t xml:space="preserve">      avalon_mm_rmap_o.readdata(23 downto 16) &lt;= rmap_registers_wr_i.aeb4_hk_adc1_rd_config.adc1_rd_config_2(23 downto 16);</t>
  </si>
  <si>
    <t xml:space="preserve">      avalon_mm_rmap_o.readdata(31 downto 24) &lt;= rmap_registers_wr_i.aeb4_hk_adc1_rd_config.adc1_rd_config_2(31 downto 24);</t>
  </si>
  <si>
    <t xml:space="preserve">      avalon_mm_rmap_o.readdata(7 downto 0) &lt;= rmap_registers_wr_i.aeb4_hk_adc1_rd_config.adc1_rd_config_1(7 downto 0);</t>
  </si>
  <si>
    <t xml:space="preserve">      avalon_mm_rmap_o.readdata(15 downto 8) &lt;= rmap_registers_wr_i.aeb4_hk_adc1_rd_config.adc1_rd_config_1(15 downto 8);</t>
  </si>
  <si>
    <t xml:space="preserve">      avalon_mm_rmap_o.readdata(23 downto 16) &lt;= rmap_registers_wr_i.aeb4_hk_adc1_rd_config.adc1_rd_config_1(23 downto 16);</t>
  </si>
  <si>
    <t xml:space="preserve">      avalon_mm_rmap_o.readdata(31 downto 24) &lt;= rmap_registers_wr_i.aeb4_hk_adc1_rd_config.adc1_rd_config_1(31 downto 24);</t>
  </si>
  <si>
    <t xml:space="preserve">      avalon_mm_rmap_o.readdata(7 downto 0) &lt;= rmap_registers_wr_i.aeb4_hk_adc1_rd_config.adc1_rd_config_0(7 downto 0);</t>
  </si>
  <si>
    <t xml:space="preserve">      avalon_mm_rmap_o.readdata(15 downto 8) &lt;= rmap_registers_wr_i.aeb4_hk_adc1_rd_config.adc1_rd_config_0(15 downto 8);</t>
  </si>
  <si>
    <t xml:space="preserve">      avalon_mm_rmap_o.readdata(23 downto 16) &lt;= rmap_registers_wr_i.aeb4_hk_adc1_rd_config.adc1_rd_config_0(23 downto 16);</t>
  </si>
  <si>
    <t xml:space="preserve">      avalon_mm_rmap_o.readdata(31 downto 24) &lt;= rmap_registers_wr_i.aeb4_hk_adc1_rd_config.adc1_rd_config_0(31 downto 24);</t>
  </si>
  <si>
    <t xml:space="preserve">      avalon_mm_rmap_o.readdata(7 downto 0) &lt;= rmap_registers_wr_i.aeb4_hk_adc2_rd_config.adc2_rd_config_3(7 downto 0);</t>
  </si>
  <si>
    <t xml:space="preserve">      avalon_mm_rmap_o.readdata(15 downto 8) &lt;= rmap_registers_wr_i.aeb4_hk_adc2_rd_config.adc2_rd_config_3(15 downto 8);</t>
  </si>
  <si>
    <t xml:space="preserve">      avalon_mm_rmap_o.readdata(23 downto 16) &lt;= rmap_registers_wr_i.aeb4_hk_adc2_rd_config.adc2_rd_config_3(23 downto 16);</t>
  </si>
  <si>
    <t xml:space="preserve">      avalon_mm_rmap_o.readdata(31 downto 24) &lt;= rmap_registers_wr_i.aeb4_hk_adc2_rd_config.adc2_rd_config_3(31 downto 24);</t>
  </si>
  <si>
    <t xml:space="preserve">      avalon_mm_rmap_o.readdata(7 downto 0) &lt;= rmap_registers_wr_i.aeb4_hk_adc2_rd_config.adc2_rd_config_2(7 downto 0);</t>
  </si>
  <si>
    <t xml:space="preserve">      avalon_mm_rmap_o.readdata(15 downto 8) &lt;= rmap_registers_wr_i.aeb4_hk_adc2_rd_config.adc2_rd_config_2(15 downto 8);</t>
  </si>
  <si>
    <t xml:space="preserve">      avalon_mm_rmap_o.readdata(23 downto 16) &lt;= rmap_registers_wr_i.aeb4_hk_adc2_rd_config.adc2_rd_config_2(23 downto 16);</t>
  </si>
  <si>
    <t xml:space="preserve">      avalon_mm_rmap_o.readdata(31 downto 24) &lt;= rmap_registers_wr_i.aeb4_hk_adc2_rd_config.adc2_rd_config_2(31 downto 24);</t>
  </si>
  <si>
    <t xml:space="preserve">      avalon_mm_rmap_o.readdata(7 downto 0) &lt;= rmap_registers_wr_i.aeb4_hk_adc2_rd_config.adc2_rd_config_1(7 downto 0);</t>
  </si>
  <si>
    <t xml:space="preserve">      avalon_mm_rmap_o.readdata(15 downto 8) &lt;= rmap_registers_wr_i.aeb4_hk_adc2_rd_config.adc2_rd_config_1(15 downto 8);</t>
  </si>
  <si>
    <t xml:space="preserve">      avalon_mm_rmap_o.readdata(23 downto 16) &lt;= rmap_registers_wr_i.aeb4_hk_adc2_rd_config.adc2_rd_config_1(23 downto 16);</t>
  </si>
  <si>
    <t xml:space="preserve">      avalon_mm_rmap_o.readdata(31 downto 24) &lt;= rmap_registers_wr_i.aeb4_hk_adc2_rd_config.adc2_rd_config_1(31 downto 24);</t>
  </si>
  <si>
    <t xml:space="preserve">      avalon_mm_rmap_o.readdata(7 downto 0) &lt;= rmap_registers_wr_i.aeb4_hk_adc2_rd_config.adc2_rd_config_0(7 downto 0);</t>
  </si>
  <si>
    <t xml:space="preserve">      avalon_mm_rmap_o.readdata(15 downto 8) &lt;= rmap_registers_wr_i.aeb4_hk_adc2_rd_config.adc2_rd_config_0(15 downto 8);</t>
  </si>
  <si>
    <t xml:space="preserve">      avalon_mm_rmap_o.readdata(23 downto 16) &lt;= rmap_registers_wr_i.aeb4_hk_adc2_rd_config.adc2_rd_config_0(23 downto 16);</t>
  </si>
  <si>
    <t xml:space="preserve">      avalon_mm_rmap_o.readdata(31 downto 24) &lt;= rmap_registers_wr_i.aeb4_hk_adc2_rd_config.adc2_rd_config_0(31 downto 24);</t>
  </si>
  <si>
    <t xml:space="preserve">      avalon_mm_rmap_o.readdata(7 downto 0) &lt;= rmap_registers_wr_i.aeb4_hk_vasp_rd_config.vasp1_read_data;</t>
  </si>
  <si>
    <t xml:space="preserve">      avalon_mm_rmap_o.readdata(15 downto 8) &lt;= rmap_registers_wr_i.aeb4_hk_vasp_rd_config.vasp2_read_data;</t>
  </si>
  <si>
    <t xml:space="preserve">      avalon_mm_rmap_o.readdata(23 downto 16) &lt;= rmap_registers_wr_i.aeb4_hk_revision_id.fpga_ver(7 downto 0);</t>
  </si>
  <si>
    <t xml:space="preserve">      avalon_mm_rmap_o.readdata(31 downto 24) &lt;= rmap_registers_wr_i.aeb4_hk_revision_id.fpga_ver(15 downto 8);</t>
  </si>
  <si>
    <t xml:space="preserve">      avalon_mm_rmap_o.readdata(7 downto 0) &lt;= rmap_registers_wr_i.aeb4_hk_revision_id.fpga_date(7 downto 0);</t>
  </si>
  <si>
    <t xml:space="preserve">      avalon_mm_rmap_o.readdata(15 downto 8) &lt;= rmap_registers_wr_i.aeb4_hk_revision_id.fpga_date(15 downto 8);</t>
  </si>
  <si>
    <t xml:space="preserve">      avalon_mm_rmap_o.readdata(23 downto 16) &lt;= rmap_registers_wr_i.aeb4_hk_revision_id.fpga_time(7 downto 0);</t>
  </si>
  <si>
    <t xml:space="preserve">      avalon_mm_rmap_o.readdata(31 downto 24) &lt;= rmap_registers_wr_i.aeb4_hk_revision_id.fpga_time(15 downto 8);</t>
  </si>
  <si>
    <t xml:space="preserve">      avalon_mm_rmap_o.readdata(7 downto 0) &lt;= rmap_registers_wr_i.aeb4_hk_revision_id.fpga_svn(7 downto 0);</t>
  </si>
  <si>
    <t xml:space="preserve">      avalon_mm_rmap_o.readdata(15 downto 8) &lt;= rmap_registers_wr_i.aeb4_hk_revision_id.fpga_svn(15 downto 8);</t>
  </si>
  <si>
    <t xml:space="preserve">      -- Dummy : </t>
  </si>
  <si>
    <t xml:space="preserve">      avalon_mm_rmap_o.readdata(0) &lt;= rmap_registers_rd_i.dummy.dummy;</t>
  </si>
  <si>
    <t xml:space="preserve">      rmap_registers_wr_o.deb_ccfg_aeb_idx.vdig_aeb4 &lt;= avalon_mm_rmap_i.writedata(0);</t>
  </si>
  <si>
    <t xml:space="preserve">      rmap_registers_wr_o.deb_ccfg_aeb_idx.vdig_aeb3 &lt;= avalon_mm_rmap_i.writedata(0);</t>
  </si>
  <si>
    <t xml:space="preserve">      rmap_registers_wr_o.deb_ccfg_aeb_idx.vdig_aeb2 &lt;= avalon_mm_rmap_i.writedata(0);</t>
  </si>
  <si>
    <t xml:space="preserve">      rmap_registers_wr_o.deb_ccfg_aeb_idx.vdig_aeb1 &lt;= avalon_mm_rmap_i.writedata(0);</t>
  </si>
  <si>
    <t xml:space="preserve">      rmap_registers_wr_o.deb_ccfg_reg_dta_3.pll_reg_word_3(7 downto 0) &lt;= avalon_mm_rmap_i.writedata(7 downto 0);</t>
  </si>
  <si>
    <t xml:space="preserve">      rmap_registers_wr_o.deb_ccfg_reg_dta_3.pll_reg_word_3(15 downto 8) &lt;= avalon_mm_rmap_i.writedata(15 downto 8);</t>
  </si>
  <si>
    <t xml:space="preserve">      rmap_registers_wr_o.deb_ccfg_reg_dta_3.pll_reg_word_3(23 downto 16) &lt;= avalon_mm_rmap_i.writedata(23 downto 16);</t>
  </si>
  <si>
    <t xml:space="preserve">      rmap_registers_wr_o.deb_ccfg_reg_dta_3.pll_reg_word_3(31 downto 24) &lt;= avalon_mm_rmap_i.writedata(31 downto 24);</t>
  </si>
  <si>
    <t xml:space="preserve">      rmap_registers_wr_o.deb_ccfg_reg_dta_2.pll_reg_word_2(7 downto 0) &lt;= avalon_mm_rmap_i.writedata(7 downto 0);</t>
  </si>
  <si>
    <t xml:space="preserve">      rmap_registers_wr_o.deb_ccfg_reg_dta_2.pll_reg_word_2(15 downto 8) &lt;= avalon_mm_rmap_i.writedata(15 downto 8);</t>
  </si>
  <si>
    <t xml:space="preserve">      rmap_registers_wr_o.deb_ccfg_reg_dta_2.pll_reg_word_2(23 downto 16) &lt;= avalon_mm_rmap_i.writedata(23 downto 16);</t>
  </si>
  <si>
    <t xml:space="preserve">      rmap_registers_wr_o.deb_ccfg_reg_dta_2.pll_reg_word_2(31 downto 24) &lt;= avalon_mm_rmap_i.writedata(31 downto 24);</t>
  </si>
  <si>
    <t xml:space="preserve">      rmap_registers_wr_o.deb_ccfg_reg_dta_1.pll_reg_word_1(7 downto 0) &lt;= avalon_mm_rmap_i.writedata(7 downto 0);</t>
  </si>
  <si>
    <t xml:space="preserve">      rmap_registers_wr_o.deb_ccfg_reg_dta_1.pll_reg_word_1(15 downto 8) &lt;= avalon_mm_rmap_i.writedata(15 downto 8);</t>
  </si>
  <si>
    <t xml:space="preserve">      rmap_registers_wr_o.deb_ccfg_reg_dta_1.pll_reg_word_1(23 downto 16) &lt;= avalon_mm_rmap_i.writedata(23 downto 16);</t>
  </si>
  <si>
    <t xml:space="preserve">      rmap_registers_wr_o.deb_ccfg_reg_dta_1.pll_reg_word_1(31 downto 24) &lt;= avalon_mm_rmap_i.writedata(31 downto 24);</t>
  </si>
  <si>
    <t xml:space="preserve">      rmap_registers_wr_o.deb_ccfg_reg_dta_0.pll_reg_word_0(7 downto 0) &lt;= avalon_mm_rmap_i.writedata(7 downto 0);</t>
  </si>
  <si>
    <t xml:space="preserve">      rmap_registers_wr_o.deb_ccfg_reg_dta_0.pll_reg_word_0(15 downto 8) &lt;= avalon_mm_rmap_i.writedata(15 downto 8);</t>
  </si>
  <si>
    <t xml:space="preserve">      rmap_registers_wr_o.deb_ccfg_reg_dta_0.pll_reg_word_0(23 downto 16) &lt;= avalon_mm_rmap_i.writedata(23 downto 16);</t>
  </si>
  <si>
    <t xml:space="preserve">      rmap_registers_wr_o.deb_ccfg_reg_dta_0.pll_reg_word_0(31 downto 24) &lt;= avalon_mm_rmap_i.writedata(31 downto 24);</t>
  </si>
  <si>
    <t xml:space="preserve">      rmap_registers_wr_o.deb_gcfg_oper_mod.imm &lt;= avalon_mm_rmap_i.writedata(0);</t>
  </si>
  <si>
    <t xml:space="preserve">      rmap_registers_wr_o.deb_gcfg_oper_mod.oper_mod &lt;= avalon_mm_rmap_i.writedata(2 downto 0);</t>
  </si>
  <si>
    <t xml:space="preserve">      rmap_registers_wr_o.deb_gcfg_t7_in_mod.in_mod7 &lt;= avalon_mm_rmap_i.writedata(10 downto 8);</t>
  </si>
  <si>
    <t xml:space="preserve">      rmap_registers_wr_o.deb_gcfg_t6_in_mod.in_mod6 &lt;= avalon_mm_rmap_i.writedata(18 downto 16);</t>
  </si>
  <si>
    <t xml:space="preserve">      rmap_registers_wr_o.deb_gcfg_t5_in_mod.in_mod5 &lt;= avalon_mm_rmap_i.writedata(26 downto 24);</t>
  </si>
  <si>
    <t xml:space="preserve">      rmap_registers_wr_o.deb_gcfg_t4_in_mod.in_mod4 &lt;= avalon_mm_rmap_i.writedata(2 downto 0);</t>
  </si>
  <si>
    <t xml:space="preserve">      rmap_registers_wr_o.deb_gcfg_t3_in_mod.in_mod3 &lt;= avalon_mm_rmap_i.writedata(10 downto 8);</t>
  </si>
  <si>
    <t xml:space="preserve">      rmap_registers_wr_o.deb_gcfg_t2_in_mod.in_mod2 &lt;= avalon_mm_rmap_i.writedata(18 downto 16);</t>
  </si>
  <si>
    <t xml:space="preserve">      rmap_registers_wr_o.deb_gcfg_t1_in_mod.in_mod1 &lt;= avalon_mm_rmap_i.writedata(26 downto 24);</t>
  </si>
  <si>
    <t xml:space="preserve">      rmap_registers_wr_o.deb_gcfg_t0_in_mod.in_mod0 &lt;= avalon_mm_rmap_i.writedata(2 downto 0);</t>
  </si>
  <si>
    <t xml:space="preserve">      rmap_registers_wr_o.deb_gcfg_w_siz_x.w_siz_x &lt;= avalon_mm_rmap_i.writedata(14 downto 8);</t>
  </si>
  <si>
    <t xml:space="preserve">      rmap_registers_wr_o.deb_gcfg_w_siz_y.w_siz_y &lt;= avalon_mm_rmap_i.writedata(22 downto 16);</t>
  </si>
  <si>
    <t xml:space="preserve">      rmap_registers_wr_o.deb_gcfg_wdw_idx_4.wdw_idx_4(7 downto 0) &lt;= avalon_mm_rmap_i.writedata(7 downto 0);</t>
  </si>
  <si>
    <t xml:space="preserve">      rmap_registers_wr_o.deb_gcfg_wdw_idx_4.wdw_idx_4(9 downto 8) &lt;= avalon_mm_rmap_i.writedata(9 downto 8);</t>
  </si>
  <si>
    <t xml:space="preserve">      rmap_registers_wr_o.deb_gcfg_wdw_len_4.wdw_len_4(7 downto 0) &lt;= avalon_mm_rmap_i.writedata(23 downto 16);</t>
  </si>
  <si>
    <t xml:space="preserve">      rmap_registers_wr_o.deb_gcfg_wdw_len_4.wdw_len_4(9 downto 8) &lt;= avalon_mm_rmap_i.writedata(25 downto 24);</t>
  </si>
  <si>
    <t xml:space="preserve">      rmap_registers_wr_o.deb_gcfg_wdw_idx_3.wdw_idx_3(7 downto 0) &lt;= avalon_mm_rmap_i.writedata(7 downto 0);</t>
  </si>
  <si>
    <t xml:space="preserve">      rmap_registers_wr_o.deb_gcfg_wdw_idx_3.wdw_idx_3(9 downto 8) &lt;= avalon_mm_rmap_i.writedata(9 downto 8);</t>
  </si>
  <si>
    <t xml:space="preserve">      rmap_registers_wr_o.deb_gcfg_wdw_len_3.wdw_len_3(7 downto 0) &lt;= avalon_mm_rmap_i.writedata(23 downto 16);</t>
  </si>
  <si>
    <t xml:space="preserve">      rmap_registers_wr_o.deb_gcfg_wdw_len_3.wdw_len_3(9 downto 8) &lt;= avalon_mm_rmap_i.writedata(25 downto 24);</t>
  </si>
  <si>
    <t xml:space="preserve">      rmap_registers_wr_o.deb_gcfg_wdw_idx_2.wdw_idx_2(7 downto 0) &lt;= avalon_mm_rmap_i.writedata(7 downto 0);</t>
  </si>
  <si>
    <t xml:space="preserve">      rmap_registers_wr_o.deb_gcfg_wdw_idx_2.wdw_idx_2(9 downto 8) &lt;= avalon_mm_rmap_i.writedata(9 downto 8);</t>
  </si>
  <si>
    <t xml:space="preserve">      rmap_registers_wr_o.deb_gcfg_wdw_len_2.wdw_len_2(7 downto 0) &lt;= avalon_mm_rmap_i.writedata(23 downto 16);</t>
  </si>
  <si>
    <t xml:space="preserve">      rmap_registers_wr_o.deb_gcfg_wdw_len_2.wdw_len_2(9 downto 8) &lt;= avalon_mm_rmap_i.writedata(25 downto 24);</t>
  </si>
  <si>
    <t xml:space="preserve">      rmap_registers_wr_o.deb_gcfg_wdw_idx_1.wdw_idx_1(7 downto 0) &lt;= avalon_mm_rmap_i.writedata(7 downto 0);</t>
  </si>
  <si>
    <t xml:space="preserve">      rmap_registers_wr_o.deb_gcfg_wdw_idx_1.wdw_idx_1(9 downto 8) &lt;= avalon_mm_rmap_i.writedata(9 downto 8);</t>
  </si>
  <si>
    <t xml:space="preserve">      rmap_registers_wr_o.deb_gcfg_wdw_len_1.wdw_len_1(7 downto 0) &lt;= avalon_mm_rmap_i.writedata(23 downto 16);</t>
  </si>
  <si>
    <t xml:space="preserve">      rmap_registers_wr_o.deb_gcfg_wdw_len_1.wdw_len_1(9 downto 8) &lt;= avalon_mm_rmap_i.writedata(25 downto 24);</t>
  </si>
  <si>
    <t xml:space="preserve">      rmap_registers_wr_o.deb_gcfg_ovs_lin_4.ovs_lin_4 &lt;= avalon_mm_rmap_i.writedata(4 downto 0);</t>
  </si>
  <si>
    <t xml:space="preserve">      rmap_registers_wr_o.deb_gcfg_ovs_lin_3.ovs_lin_3 &lt;= avalon_mm_rmap_i.writedata(12 downto 8);</t>
  </si>
  <si>
    <t xml:space="preserve">      rmap_registers_wr_o.deb_gcfg_ovs_lin_2.ovs_lin_2 &lt;= avalon_mm_rmap_i.writedata(20 downto 16);</t>
  </si>
  <si>
    <t xml:space="preserve">      rmap_registers_wr_o.deb_gcfg_ovs_lin_1.ovs_lin_1 &lt;= avalon_mm_rmap_i.writedata(28 downto 24);</t>
  </si>
  <si>
    <t xml:space="preserve">      rmap_registers_wr_o.deb_gcfg_ovs_pix_4.ovs_pix_4 &lt;= avalon_mm_rmap_i.writedata(4 downto 0);</t>
  </si>
  <si>
    <t xml:space="preserve">      rmap_registers_wr_o.deb_gcfg_ovs_pix_3.ovs_pix_3 &lt;= avalon_mm_rmap_i.writedata(12 downto 8);</t>
  </si>
  <si>
    <t xml:space="preserve">      rmap_registers_wr_o.deb_gcfg_ovs_pix_2.ovs_pix_2 &lt;= avalon_mm_rmap_i.writedata(20 downto 16);</t>
  </si>
  <si>
    <t xml:space="preserve">      rmap_registers_wr_o.deb_gcfg_ovs_pix_1.ovs_pix_1 &lt;= avalon_mm_rmap_i.writedata(28 downto 24);</t>
  </si>
  <si>
    <t xml:space="preserve">      rmap_registers_wr_o.deb_gcfg_2_5s_n_cyc.d2_5s_n_cyc &lt;= avalon_mm_rmap_i.writedata(7 downto 0);</t>
  </si>
  <si>
    <t xml:space="preserve">      rmap_registers_wr_o.deb_gcfg_trg_src.sel_trg &lt;= avalon_mm_rmap_i.writedata(0);</t>
  </si>
  <si>
    <t xml:space="preserve">      rmap_registers_wr_o.deb_gcfg_frm_cnt.frm_cnt(7 downto 0) &lt;= avalon_mm_rmap_i.writedata(7 downto 0);</t>
  </si>
  <si>
    <t xml:space="preserve">      rmap_registers_wr_o.deb_gcfg_frm_cnt.frm_cnt(15 downto 8) &lt;= avalon_mm_rmap_i.writedata(15 downto 8);</t>
  </si>
  <si>
    <t xml:space="preserve">      rmap_registers_wr_o.deb_gcfg_syn_frq.syn_nr &lt;= avalon_mm_rmap_i.writedata(0);</t>
  </si>
  <si>
    <t xml:space="preserve">      rmap_registers_wr_o.deb_gcfg_rst_wdg.rst_wdg &lt;= avalon_mm_rmap_i.writedata(0);</t>
  </si>
  <si>
    <t xml:space="preserve">      rmap_registers_wr_o.deb_gcfg_rst_cps.rst_cps &lt;= avalon_mm_rmap_i.writedata(0);</t>
  </si>
  <si>
    <t xml:space="preserve">      rmap_registers_wr_o.deb_gcfg_25s_dly.d25s_dly(7 downto 0) &lt;= avalon_mm_rmap_i.writedata(7 downto 0);</t>
  </si>
  <si>
    <t xml:space="preserve">      rmap_registers_wr_o.deb_gcfg_25s_dly.d25s_dly(15 downto 8) &lt;= avalon_mm_rmap_i.writedata(15 downto 8);</t>
  </si>
  <si>
    <t xml:space="preserve">      rmap_registers_wr_o.deb_gcfg_25s_dly.d25s_dly(23 downto 16) &lt;= avalon_mm_rmap_i.writedata(23 downto 16);</t>
  </si>
  <si>
    <t xml:space="preserve">      rmap_registers_wr_o.deb_gcfg_tmod_conf.tmod_conf(7 downto 0) &lt;= avalon_mm_rmap_i.writedata(7 downto 0);</t>
  </si>
  <si>
    <t xml:space="preserve">      rmap_registers_wr_o.deb_gcfg_tmod_conf.tmod_conf(15 downto 8) &lt;= avalon_mm_rmap_i.writedata(15 downto 8);</t>
  </si>
  <si>
    <t xml:space="preserve">      rmap_registers_wr_o.deb_hk_deb_status.oper_mod &lt;= avalon_mm_rmap_i.writedata(18 downto 16);</t>
  </si>
  <si>
    <t xml:space="preserve">      rmap_registers_wr_o.deb_hk_deb_status.window_list_table_edac_corrected_error_number &lt;= avalon_mm_rmap_i.writedata(29 downto 24);</t>
  </si>
  <si>
    <t xml:space="preserve">      rmap_registers_wr_o.deb_hk_deb_status.uncorrected_error_number &lt;= avalon_mm_rmap_i.writedata(1 downto 0);</t>
  </si>
  <si>
    <t xml:space="preserve">      rmap_registers_wr_o.deb_hk_deb_status.pll_status &lt;= avalon_mm_rmap_i.writedata(15 downto 8);</t>
  </si>
  <si>
    <t xml:space="preserve">      rmap_registers_wr_o.deb_hk_deb_status.vdig_aeb4_status &lt;= avalon_mm_rmap_i.writedata(0);</t>
  </si>
  <si>
    <t xml:space="preserve">      rmap_registers_wr_o.deb_hk_deb_status.vdig_aeb3_status &lt;= avalon_mm_rmap_i.writedata(0);</t>
  </si>
  <si>
    <t xml:space="preserve">      rmap_registers_wr_o.deb_hk_deb_status.vdig_aeb2_status &lt;= avalon_mm_rmap_i.writedata(0);</t>
  </si>
  <si>
    <t xml:space="preserve">      rmap_registers_wr_o.deb_hk_deb_status.vdig_aeb1_status &lt;= avalon_mm_rmap_i.writedata(0);</t>
  </si>
  <si>
    <t xml:space="preserve">      rmap_registers_wr_o.deb_hk_deb_status.wdw_list_cnt_ovf &lt;= avalon_mm_rmap_i.writedata(1 downto 0);</t>
  </si>
  <si>
    <t xml:space="preserve">      rmap_registers_wr_o.deb_hk_deb_status.aeb_spi_status &lt;= avalon_mm_rmap_i.writedata(0);</t>
  </si>
  <si>
    <t xml:space="preserve">      rmap_registers_wr_o.deb_hk_deb_status.wdg_status &lt;= avalon_mm_rmap_i.writedata(0);</t>
  </si>
  <si>
    <t xml:space="preserve">      rmap_registers_wr_o.deb_hk_deb_ovf.row_active_list8_cnt_ovf &lt;= avalon_mm_rmap_i.writedata(0);</t>
  </si>
  <si>
    <t xml:space="preserve">      rmap_registers_wr_o.deb_hk_deb_ovf.row_active_list7_cnt_ovf &lt;= avalon_mm_rmap_i.writedata(0);</t>
  </si>
  <si>
    <t xml:space="preserve">      rmap_registers_wr_o.deb_hk_deb_ovf.row_active_list6_cnt_ovf &lt;= avalon_mm_rmap_i.writedata(0);</t>
  </si>
  <si>
    <t xml:space="preserve">      rmap_registers_wr_o.deb_hk_deb_ovf.row_active_list5_cnt_ovf &lt;= avalon_mm_rmap_i.writedata(0);</t>
  </si>
  <si>
    <t xml:space="preserve">      rmap_registers_wr_o.deb_hk_deb_ovf.row_active_list4_cnt_ovf &lt;= avalon_mm_rmap_i.writedata(0);</t>
  </si>
  <si>
    <t xml:space="preserve">      rmap_registers_wr_o.deb_hk_deb_ovf.row_active_list3_cnt_ovf &lt;= avalon_mm_rmap_i.writedata(0);</t>
  </si>
  <si>
    <t xml:space="preserve">      rmap_registers_wr_o.deb_hk_deb_ovf.row_active_list2_cnt_ovf &lt;= avalon_mm_rmap_i.writedata(0);</t>
  </si>
  <si>
    <t xml:space="preserve">      rmap_registers_wr_o.deb_hk_deb_ovf.row_active_list1_cnt_ovf &lt;= avalon_mm_rmap_i.writedata(0);</t>
  </si>
  <si>
    <t xml:space="preserve">      rmap_registers_wr_o.deb_hk_deb_ovf.out_buff8_ovf &lt;= avalon_mm_rmap_i.writedata(0);</t>
  </si>
  <si>
    <t xml:space="preserve">      rmap_registers_wr_o.deb_hk_deb_ovf.out_buff7_ovf &lt;= avalon_mm_rmap_i.writedata(0);</t>
  </si>
  <si>
    <t xml:space="preserve">      rmap_registers_wr_o.deb_hk_deb_ovf.out_buff6_ovf &lt;= avalon_mm_rmap_i.writedata(0);</t>
  </si>
  <si>
    <t xml:space="preserve">      rmap_registers_wr_o.deb_hk_deb_ovf.out_buff5_ovf &lt;= avalon_mm_rmap_i.writedata(0);</t>
  </si>
  <si>
    <t xml:space="preserve">      rmap_registers_wr_o.deb_hk_deb_ovf.out_buff4_ovf &lt;= avalon_mm_rmap_i.writedata(0);</t>
  </si>
  <si>
    <t xml:space="preserve">      rmap_registers_wr_o.deb_hk_deb_ovf.out_buff3_ovf &lt;= avalon_mm_rmap_i.writedata(0);</t>
  </si>
  <si>
    <t xml:space="preserve">      rmap_registers_wr_o.deb_hk_deb_ovf.out_buff2_ovf &lt;= avalon_mm_rmap_i.writedata(0);</t>
  </si>
  <si>
    <t xml:space="preserve">      rmap_registers_wr_o.deb_hk_deb_ovf.out_buff1_ovf &lt;= avalon_mm_rmap_i.writedata(0);</t>
  </si>
  <si>
    <t xml:space="preserve">      rmap_registers_wr_o.deb_hk_deb_ovf.rmap4_ovf &lt;= avalon_mm_rmap_i.writedata(0);</t>
  </si>
  <si>
    <t xml:space="preserve">      rmap_registers_wr_o.deb_hk_deb_ovf.rmap3_ovf &lt;= avalon_mm_rmap_i.writedata(0);</t>
  </si>
  <si>
    <t xml:space="preserve">      rmap_registers_wr_o.deb_hk_deb_ovf.rmap2_ovf &lt;= avalon_mm_rmap_i.writedata(0);</t>
  </si>
  <si>
    <t xml:space="preserve">      rmap_registers_wr_o.deb_hk_deb_ovf.rmap1_ovf &lt;= avalon_mm_rmap_i.writedata(0);</t>
  </si>
  <si>
    <t xml:space="preserve">      rmap_registers_wr_o.deb_hk_deb_ovf.line_pixel_counters_overflow &lt;= avalon_mm_rmap_i.writedata(7 downto 0);</t>
  </si>
  <si>
    <t xml:space="preserve">      rmap_registers_wr_o.deb_hk_spw_status.spw_status(7 downto 0) &lt;= avalon_mm_rmap_i.writedata(7 downto 0);</t>
  </si>
  <si>
    <t xml:space="preserve">      rmap_registers_wr_o.deb_hk_spw_status.spw_status(15 downto 8) &lt;= avalon_mm_rmap_i.writedata(15 downto 8);</t>
  </si>
  <si>
    <t xml:space="preserve">      rmap_registers_wr_o.deb_hk_spw_status.spw_status(23 downto 16) &lt;= avalon_mm_rmap_i.writedata(23 downto 16);</t>
  </si>
  <si>
    <t xml:space="preserve">      rmap_registers_wr_o.deb_hk_spw_status.spw_status(31 downto 24) &lt;= avalon_mm_rmap_i.writedata(31 downto 24);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</si>
  <si>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</si>
  <si>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</si>
  <si>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</si>
  <si>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</si>
  <si>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</si>
  <si>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</si>
  <si>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</si>
  <si>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</si>
  <si>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</si>
  <si>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</si>
  <si>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 xml:space="preserve">      rmap_registers_wr_o.aeb1_ccfg_aeb_control.new_state &lt;= avalon_mm_rmap_i.writedata(20 downto 16);</t>
  </si>
  <si>
    <t xml:space="preserve">      rmap_registers_wr_o.aeb1_ccfg_aeb_control.set_state &lt;= avalon_mm_rmap_i.writedata(0);</t>
  </si>
  <si>
    <t xml:space="preserve">      rmap_registers_wr_o.aeb1_ccfg_aeb_control.aeb_reset &lt;= avalon_mm_rmap_i.writedata(0);</t>
  </si>
  <si>
    <t xml:space="preserve">      rmap_registers_wr_o.aeb1_ccfg_aeb_control.adc_data_rd &lt;= avalon_mm_rmap_i.writedata(0);</t>
  </si>
  <si>
    <t xml:space="preserve">      rmap_registers_wr_o.aeb1_ccfg_aeb_control.adc_cfg_wr &lt;= avalon_mm_rmap_i.writedata(0);</t>
  </si>
  <si>
    <t xml:space="preserve">      rmap_registers_wr_o.aeb1_ccfg_aeb_control.adc_cfg_rd &lt;= avalon_mm_rmap_i.writedata(0);</t>
  </si>
  <si>
    <t xml:space="preserve">      rmap_registers_wr_o.aeb1_ccfg_aeb_control.dac_wr &lt;= avalon_mm_rmap_i.writedata(0);</t>
  </si>
  <si>
    <t xml:space="preserve">      rmap_registers_wr_o.aeb1_ccfg_aeb_config.watchdog_dis &lt;= avalon_mm_rmap_i.writedata(0);</t>
  </si>
  <si>
    <t xml:space="preserve">      rmap_registers_wr_o.aeb1_ccfg_aeb_config.int_sync &lt;= avalon_mm_rmap_i.writedata(0);</t>
  </si>
  <si>
    <t xml:space="preserve">      rmap_registers_wr_o.aeb1_ccfg_aeb_config.vasp_cds_en &lt;= avalon_mm_rmap_i.writedata(0);</t>
  </si>
  <si>
    <t xml:space="preserve">      rmap_registers_wr_o.aeb1_ccfg_aeb_config.vasp2_cal_en &lt;= avalon_mm_rmap_i.writedata(0);</t>
  </si>
  <si>
    <t xml:space="preserve">      rmap_registers_wr_o.aeb1_ccfg_aeb_config.vasp1_cal_en &lt;= avalon_mm_rmap_i.writedata(0);</t>
  </si>
  <si>
    <t xml:space="preserve">      rmap_registers_wr_o.aeb1_ccfg_aeb_config_key.key(7 downto 0) &lt;= avalon_mm_rmap_i.writedata(7 downto 0);</t>
  </si>
  <si>
    <t xml:space="preserve">      rmap_registers_wr_o.aeb1_ccfg_aeb_config_key.key(15 downto 8) &lt;= avalon_mm_rmap_i.writedata(15 downto 8);</t>
  </si>
  <si>
    <t xml:space="preserve">      rmap_registers_wr_o.aeb1_ccfg_aeb_config_key.key(23 downto 16) &lt;= avalon_mm_rmap_i.writedata(23 downto 16);</t>
  </si>
  <si>
    <t xml:space="preserve">      rmap_registers_wr_o.aeb1_ccfg_aeb_config_key.key(31 downto 24) &lt;= avalon_mm_rmap_i.writedata(31 downto 24);</t>
  </si>
  <si>
    <t xml:space="preserve">      rmap_registers_wr_o.aeb1_ccfg_aeb_config_ait1.override_sw &lt;= avalon_mm_rmap_i.writedata(0);</t>
  </si>
  <si>
    <t xml:space="preserve">      rmap_registers_wr_o.aeb1_ccfg_aeb_config_ait1.sw_van3 &lt;= avalon_mm_rmap_i.writedata(0);</t>
  </si>
  <si>
    <t xml:space="preserve">      rmap_registers_wr_o.aeb1_ccfg_aeb_config_ait1.sw_van2 &lt;= avalon_mm_rmap_i.writedata(0);</t>
  </si>
  <si>
    <t xml:space="preserve">      rmap_registers_wr_o.aeb1_ccfg_aeb_config_ait1.sw_van1 &lt;= avalon_mm_rmap_i.writedata(0);</t>
  </si>
  <si>
    <t xml:space="preserve">      rmap_registers_wr_o.aeb1_ccfg_aeb_config_ait1.sw_vclk &lt;= avalon_mm_rmap_i.writedata(0);</t>
  </si>
  <si>
    <t xml:space="preserve">      rmap_registers_wr_o.aeb1_ccfg_aeb_config_ait1.sw_vccd &lt;= avalon_mm_rmap_i.writedata(0);</t>
  </si>
  <si>
    <t xml:space="preserve">      rmap_registers_wr_o.aeb1_ccfg_aeb_config_ait1.override_vasp &lt;= avalon_mm_rmap_i.writedata(0);</t>
  </si>
  <si>
    <t xml:space="preserve">      rmap_registers_wr_o.aeb1_ccfg_aeb_config_ait1.vasp2_pix_en &lt;= avalon_mm_rmap_i.writedata(0);</t>
  </si>
  <si>
    <t xml:space="preserve">      rmap_registers_wr_o.aeb1_ccfg_aeb_config_ait1.vasp1_pix_en &lt;= avalon_mm_rmap_i.writedata(0);</t>
  </si>
  <si>
    <t xml:space="preserve">      rmap_registers_wr_o.aeb1_ccfg_aeb_config_ait1.vasp2_adc_en &lt;= avalon_mm_rmap_i.writedata(0);</t>
  </si>
  <si>
    <t xml:space="preserve">      rmap_registers_wr_o.aeb1_ccfg_aeb_config_ait1.vasp1_adc_en &lt;= avalon_mm_rmap_i.writedata(0);</t>
  </si>
  <si>
    <t xml:space="preserve">      rmap_registers_wr_o.aeb1_ccfg_aeb_config_ait1.vasp2_reset &lt;= avalon_mm_rmap_i.writedata(0);</t>
  </si>
  <si>
    <t xml:space="preserve">      rmap_registers_wr_o.aeb1_ccfg_aeb_config_ait1.vasp1_reset &lt;= avalon_mm_rmap_i.writedata(0);</t>
  </si>
  <si>
    <t xml:space="preserve">      rmap_registers_wr_o.aeb1_ccfg_aeb_config_ait1.override_adc &lt;= avalon_mm_rmap_i.writedata(0);</t>
  </si>
  <si>
    <t xml:space="preserve">      rmap_registers_wr_o.aeb1_ccfg_aeb_config_ait1.adc2_en_p5v0 &lt;= avalon_mm_rmap_i.writedata(0);</t>
  </si>
  <si>
    <t xml:space="preserve">      rmap_registers_wr_o.aeb1_ccfg_aeb_config_ait1.adc1_en_p5v0 &lt;= avalon_mm_rmap_i.writedata(0);</t>
  </si>
  <si>
    <t xml:space="preserve">      rmap_registers_wr_o.aeb1_ccfg_aeb_config_ait1.pt1000_cal_on_n &lt;= avalon_mm_rmap_i.writedata(0);</t>
  </si>
  <si>
    <t xml:space="preserve">      rmap_registers_wr_o.aeb1_ccfg_aeb_config_ait1.en_v_mux_n &lt;= avalon_mm_rmap_i.writedata(0);</t>
  </si>
  <si>
    <t xml:space="preserve">      rmap_registers_wr_o.aeb1_ccfg_aeb_config_ait1.adc2_pwdn_n &lt;= avalon_mm_rmap_i.writedata(0);</t>
  </si>
  <si>
    <t xml:space="preserve">      rmap_registers_wr_o.aeb1_ccfg_aeb_config_ait1.adc1_pwdn_n &lt;= avalon_mm_rmap_i.writedata(0);</t>
  </si>
  <si>
    <t xml:space="preserve">      rmap_registers_wr_o.aeb1_ccfg_aeb_config_ait1.adc_clk_en &lt;= avalon_mm_rmap_i.writedata(0);</t>
  </si>
  <si>
    <t xml:space="preserve">      rmap_registers_wr_o.aeb1_ccfg_aeb_config_pattern.pattern_ccdid &lt;= avalon_mm_rmap_i.writedata(1 downto 0);</t>
  </si>
  <si>
    <t xml:space="preserve">      rmap_registers_wr_o.aeb1_ccfg_aeb_config_pattern.pattern_cols(7 downto 0) &lt;= avalon_mm_rmap_i.writedata(23 downto 16);</t>
  </si>
  <si>
    <t xml:space="preserve">      rmap_registers_wr_o.aeb1_ccfg_aeb_config_pattern.pattern_cols(13 downto 8) &lt;= avalon_mm_rmap_i.writedata(29 downto 24);</t>
  </si>
  <si>
    <t xml:space="preserve">      rmap_registers_wr_o.aeb1_ccfg_aeb_config_pattern.pattern_rows(7 downto 0) &lt;= avalon_mm_rmap_i.writedata(7 downto 0);</t>
  </si>
  <si>
    <t xml:space="preserve">      rmap_registers_wr_o.aeb1_ccfg_aeb_config_pattern.pattern_rows(13 downto 8) &lt;= avalon_mm_rmap_i.writedata(13 downto 8);</t>
  </si>
  <si>
    <t xml:space="preserve">      rmap_registers_wr_o.aeb1_ccfg_vasp_i2c_control.vasp_cfg_addr &lt;= avalon_mm_rmap_i.writedata(23 downto 16);</t>
  </si>
  <si>
    <t xml:space="preserve">      rmap_registers_wr_o.aeb1_ccfg_vasp_i2c_control.vasp1_cfg_data &lt;= avalon_mm_rmap_i.writedata(31 downto 24);</t>
  </si>
  <si>
    <t xml:space="preserve">      rmap_registers_wr_o.aeb1_ccfg_vasp_i2c_control.vasp2_cfg_data &lt;= avalon_mm_rmap_i.writedata(7 downto 0);</t>
  </si>
  <si>
    <t xml:space="preserve">      rmap_registers_wr_o.aeb1_ccfg_vasp_i2c_control.vasp2_select &lt;= avalon_mm_rmap_i.writedata(0);</t>
  </si>
  <si>
    <t xml:space="preserve">      rmap_registers_wr_o.aeb1_ccfg_vasp_i2c_control.vasp1_select &lt;= avalon_mm_rmap_i.writedata(0);</t>
  </si>
  <si>
    <t xml:space="preserve">      rmap_registers_wr_o.aeb1_ccfg_vasp_i2c_control.calibration_start &lt;= avalon_mm_rmap_i.writedata(0);</t>
  </si>
  <si>
    <t xml:space="preserve">      rmap_registers_wr_o.aeb1_ccfg_vasp_i2c_control.i2c_read_start &lt;= avalon_mm_rmap_i.writedata(0);</t>
  </si>
  <si>
    <t xml:space="preserve">      rmap_registers_wr_o.aeb1_ccfg_vasp_i2c_control.i2c_write_start &lt;= avalon_mm_rmap_i.writedata(0);</t>
  </si>
  <si>
    <t xml:space="preserve">      rmap_registers_wr_o.aeb1_ccfg_dac_config_1.dac_vog(7 downto 0) &lt;= avalon_mm_rmap_i.writedata(7 downto 0);</t>
  </si>
  <si>
    <t xml:space="preserve">      rmap_registers_wr_o.aeb1_ccfg_dac_config_1.dac_vog(11 downto 8) &lt;= avalon_mm_rmap_i.writedata(11 downto 8);</t>
  </si>
  <si>
    <t xml:space="preserve">      rmap_registers_wr_o.aeb1_ccfg_dac_config_1.dac_vrd(7 downto 0) &lt;= avalon_mm_rmap_i.writedata(23 downto 16);</t>
  </si>
  <si>
    <t xml:space="preserve">      rmap_registers_wr_o.aeb1_ccfg_dac_config_1.dac_vrd(11 downto 8) &lt;= avalon_mm_rmap_i.writedata(27 downto 24);</t>
  </si>
  <si>
    <t xml:space="preserve">      rmap_registers_wr_o.aeb1_ccfg_dac_config_2.dac_vod(7 downto 0) &lt;= avalon_mm_rmap_i.writedata(7 downto 0);</t>
  </si>
  <si>
    <t xml:space="preserve">      rmap_registers_wr_o.aeb1_ccfg_dac_config_2.dac_vod(11 downto 8) &lt;= avalon_mm_rmap_i.writedata(11 downto 8);</t>
  </si>
  <si>
    <t xml:space="preserve">      rmap_registers_wr_o.aeb1_ccfg_pwr_config1.time_vccd_on &lt;= avalon_mm_rmap_i.writedata(23 downto 16);</t>
  </si>
  <si>
    <t xml:space="preserve">      rmap_registers_wr_o.aeb1_ccfg_pwr_config1.time_vclk_on &lt;= avalon_mm_rmap_i.writedata(31 downto 24);</t>
  </si>
  <si>
    <t xml:space="preserve">      rmap_registers_wr_o.aeb1_ccfg_pwr_config1.time_van1_on &lt;= avalon_mm_rmap_i.writedata(7 downto 0);</t>
  </si>
  <si>
    <t xml:space="preserve">      rmap_registers_wr_o.aeb1_ccfg_pwr_config1.time_van2_on &lt;= avalon_mm_rmap_i.writedata(15 downto 8);</t>
  </si>
  <si>
    <t xml:space="preserve">      rmap_registers_wr_o.aeb1_ccfg_pwr_config2.time_van3_on &lt;= avalon_mm_rmap_i.writedata(23 downto 16);</t>
  </si>
  <si>
    <t xml:space="preserve">      rmap_registers_wr_o.aeb1_ccfg_pwr_config2.time_vccd_off &lt;= avalon_mm_rmap_i.writedata(31 downto 24);</t>
  </si>
  <si>
    <t xml:space="preserve">      rmap_registers_wr_o.aeb1_ccfg_pwr_config2.time_vclk_off &lt;= avalon_mm_rmap_i.writedata(7 downto 0);</t>
  </si>
  <si>
    <t xml:space="preserve">      rmap_registers_wr_o.aeb1_ccfg_pwr_config2.time_van1_off &lt;= avalon_mm_rmap_i.writedata(15 downto 8);</t>
  </si>
  <si>
    <t xml:space="preserve">      rmap_registers_wr_o.aeb1_ccfg_pwr_config3.time_van2_off &lt;= avalon_mm_rmap_i.writedata(23 downto 16);</t>
  </si>
  <si>
    <t xml:space="preserve">      rmap_registers_wr_o.aeb1_ccfg_pwr_config3.time_van3_off &lt;= avalon_mm_rmap_i.writedata(31 downto 24);</t>
  </si>
  <si>
    <t xml:space="preserve">      rmap_registers_wr_o.aeb1_gcfg_adc1_config.adc1_bypas &lt;= avalon_mm_rmap_i.writedata(0);</t>
  </si>
  <si>
    <t xml:space="preserve">      rmap_registers_wr_o.aeb1_gcfg_adc1_config.adc1_clkenb &lt;= avalon_mm_rmap_i.writedata(0);</t>
  </si>
  <si>
    <t xml:space="preserve">      rmap_registers_wr_o.aeb1_gcfg_adc1_config.adc1_chop &lt;= avalon_mm_rmap_i.writedata(0);</t>
  </si>
  <si>
    <t xml:space="preserve">      rmap_registers_wr_o.aeb1_gcfg_adc1_config.adc1_stat &lt;= avalon_mm_rmap_i.writedata(0);</t>
  </si>
  <si>
    <t xml:space="preserve">      rmap_registers_wr_o.aeb1_gcfg_adc1_config.adc1_idlmod &lt;= avalon_mm_rmap_i.writedata(0);</t>
  </si>
  <si>
    <t xml:space="preserve">      rmap_registers_wr_o.aeb1_gcfg_adc1_config.adc1_dly2 &lt;= avalon_mm_rmap_i.writedata(0);</t>
  </si>
  <si>
    <t xml:space="preserve">      rmap_registers_wr_o.aeb1_gcfg_adc1_config.adc1_dly1 &lt;= avalon_mm_rmap_i.writedata(0);</t>
  </si>
  <si>
    <t xml:space="preserve">      rmap_registers_wr_o.aeb1_gcfg_adc1_config.adc1_dly0 &lt;= avalon_mm_rmap_i.writedata(0);</t>
  </si>
  <si>
    <t xml:space="preserve">      rmap_registers_wr_o.aeb1_gcfg_adc1_config.adc1_sbcs1 &lt;= avalon_mm_rmap_i.writedata(0);</t>
  </si>
  <si>
    <t xml:space="preserve">      rmap_registers_wr_o.aeb1_gcfg_adc1_config.adc1_sbcs0 &lt;= avalon_mm_rmap_i.writedata(0);</t>
  </si>
  <si>
    <t xml:space="preserve">      rmap_registers_wr_o.aeb1_gcfg_adc1_config.adc1_drate1 &lt;= avalon_mm_rmap_i.writedata(0);</t>
  </si>
  <si>
    <t xml:space="preserve">      rmap_registers_wr_o.aeb1_gcfg_adc1_config.adc1_drate0 &lt;= avalon_mm_rmap_i.writedata(0);</t>
  </si>
  <si>
    <t xml:space="preserve">      rmap_registers_wr_o.aeb1_gcfg_adc1_config.adc1_ainp3 &lt;= avalon_mm_rmap_i.writedata(0);</t>
  </si>
  <si>
    <t xml:space="preserve">      rmap_registers_wr_o.aeb1_gcfg_adc1_config.adc1_ainp2 &lt;= avalon_mm_rmap_i.writedata(0);</t>
  </si>
  <si>
    <t xml:space="preserve">      rmap_registers_wr_o.aeb1_gcfg_adc1_config.adc1_ainp1 &lt;= avalon_mm_rmap_i.writedata(0);</t>
  </si>
  <si>
    <t xml:space="preserve">      rmap_registers_wr_o.aeb1_gcfg_adc1_config.adc1_ainp0 &lt;= avalon_mm_rmap_i.writedata(0);</t>
  </si>
  <si>
    <t xml:space="preserve">      rmap_registers_wr_o.aeb1_gcfg_adc1_config.adc1_ainn3 &lt;= avalon_mm_rmap_i.writedata(0);</t>
  </si>
  <si>
    <t xml:space="preserve">      rmap_registers_wr_o.aeb1_gcfg_adc1_config.adc1_ainn2 &lt;= avalon_mm_rmap_i.writedata(0);</t>
  </si>
  <si>
    <t xml:space="preserve">      rmap_registers_wr_o.aeb1_gcfg_adc1_config.adc1_ainn1 &lt;= avalon_mm_rmap_i.writedata(0);</t>
  </si>
  <si>
    <t xml:space="preserve">      rmap_registers_wr_o.aeb1_gcfg_adc1_config.adc1_ainn0 &lt;= avalon_mm_rmap_i.writedata(0);</t>
  </si>
  <si>
    <t xml:space="preserve">      rmap_registers_wr_o.aeb1_gcfg_adc1_config.adc1_diff7 &lt;= avalon_mm_rmap_i.writedata(0);</t>
  </si>
  <si>
    <t xml:space="preserve">      rmap_registers_wr_o.aeb1_gcfg_adc1_config.adc1_diff6 &lt;= avalon_mm_rmap_i.writedata(0);</t>
  </si>
  <si>
    <t xml:space="preserve">      rmap_registers_wr_o.aeb1_gcfg_adc1_config.adc1_diff5 &lt;= avalon_mm_rmap_i.writedata(0);</t>
  </si>
  <si>
    <t xml:space="preserve">      rmap_registers_wr_o.aeb1_gcfg_adc1_config.adc1_diff4 &lt;= avalon_mm_rmap_i.writedata(0);</t>
  </si>
  <si>
    <t xml:space="preserve">      rmap_registers_wr_o.aeb1_gcfg_adc1_config.adc1_diff3 &lt;= avalon_mm_rmap_i.writedata(0);</t>
  </si>
  <si>
    <t xml:space="preserve">      rmap_registers_wr_o.aeb1_gcfg_adc1_config.adc1_diff2 &lt;= avalon_mm_rmap_i.writedata(0);</t>
  </si>
  <si>
    <t xml:space="preserve">      rmap_registers_wr_o.aeb1_gcfg_adc1_config.adc1_diff1 &lt;= avalon_mm_rmap_i.writedata(0);</t>
  </si>
  <si>
    <t xml:space="preserve">      rmap_registers_wr_o.aeb1_gcfg_adc1_config.adc1_diff0 &lt;= avalon_mm_rmap_i.writedata(0);</t>
  </si>
  <si>
    <t xml:space="preserve">      rmap_registers_wr_o.aeb1_gcfg_adc1_config.adc1_ain7 &lt;= avalon_mm_rmap_i.writedata(0);</t>
  </si>
  <si>
    <t xml:space="preserve">      rmap_registers_wr_o.aeb1_gcfg_adc1_config.adc1_ain6 &lt;= avalon_mm_rmap_i.writedata(0);</t>
  </si>
  <si>
    <t xml:space="preserve">      rmap_registers_wr_o.aeb1_gcfg_adc1_config.adc1_ain5 &lt;= avalon_mm_rmap_i.writedata(0);</t>
  </si>
  <si>
    <t xml:space="preserve">      rmap_registers_wr_o.aeb1_gcfg_adc1_config.adc1_ain4 &lt;= avalon_mm_rmap_i.writedata(0);</t>
  </si>
  <si>
    <t xml:space="preserve">      rmap_registers_wr_o.aeb1_gcfg_adc1_config.adc1_ain3 &lt;= avalon_mm_rmap_i.writedata(0);</t>
  </si>
  <si>
    <t xml:space="preserve">      rmap_registers_wr_o.aeb1_gcfg_adc1_config.adc1_ain2 &lt;= avalon_mm_rmap_i.writedata(0);</t>
  </si>
  <si>
    <t xml:space="preserve">      rmap_registers_wr_o.aeb1_gcfg_adc1_config.adc1_ain1 &lt;= avalon_mm_rmap_i.writedata(0);</t>
  </si>
  <si>
    <t xml:space="preserve">      rmap_registers_wr_o.aeb1_gcfg_adc1_config.adc1_ain0 &lt;= avalon_mm_rmap_i.writedata(0);</t>
  </si>
  <si>
    <t xml:space="preserve">      rmap_registers_wr_o.aeb1_gcfg_adc1_config.adc1_ain15 &lt;= avalon_mm_rmap_i.writedata(0);</t>
  </si>
  <si>
    <t xml:space="preserve">      rmap_registers_wr_o.aeb1_gcfg_adc1_config.adc1_ain14 &lt;= avalon_mm_rmap_i.writedata(0);</t>
  </si>
  <si>
    <t xml:space="preserve">      rmap_registers_wr_o.aeb1_gcfg_adc1_config.adc1_ain13 &lt;= avalon_mm_rmap_i.writedata(0);</t>
  </si>
  <si>
    <t xml:space="preserve">      rmap_registers_wr_o.aeb1_gcfg_adc1_config.adc1_ain12 &lt;= avalon_mm_rmap_i.writedata(0);</t>
  </si>
  <si>
    <t xml:space="preserve">      rmap_registers_wr_o.aeb1_gcfg_adc1_config.adc1_ain11 &lt;= avalon_mm_rmap_i.writedata(0);</t>
  </si>
  <si>
    <t xml:space="preserve">      rmap_registers_wr_o.aeb1_gcfg_adc1_config.adc1_ain10 &lt;= avalon_mm_rmap_i.writedata(0);</t>
  </si>
  <si>
    <t xml:space="preserve">      rmap_registers_wr_o.aeb1_gcfg_adc1_config.adc1_ain9 &lt;= avalon_mm_rmap_i.writedata(0);</t>
  </si>
  <si>
    <t xml:space="preserve">      rmap_registers_wr_o.aeb1_gcfg_adc1_config.adc1_ain8 &lt;= avalon_mm_rmap_i.writedata(0);</t>
  </si>
  <si>
    <t xml:space="preserve">      rmap_registers_wr_o.aeb1_gcfg_adc1_config.adc1_ref &lt;= avalon_mm_rmap_i.writedata(0);</t>
  </si>
  <si>
    <t xml:space="preserve">      rmap_registers_wr_o.aeb1_gcfg_adc1_config.adc1_gain &lt;= avalon_mm_rmap_i.writedata(0);</t>
  </si>
  <si>
    <t xml:space="preserve">      rmap_registers_wr_o.aeb1_gcfg_adc1_config.adc1_temp &lt;= avalon_mm_rmap_i.writedata(0);</t>
  </si>
  <si>
    <t xml:space="preserve">      rmap_registers_wr_o.aeb1_gcfg_adc1_config.adc1_vcc &lt;= avalon_mm_rmap_i.writedata(0);</t>
  </si>
  <si>
    <t xml:space="preserve">      rmap_registers_wr_o.aeb1_gcfg_adc1_config.adc1_offset &lt;= avalon_mm_rmap_i.writedata(0);</t>
  </si>
  <si>
    <t xml:space="preserve">      rmap_registers_wr_o.aeb1_gcfg_adc1_config.adc1_cio7 &lt;= avalon_mm_rmap_i.writedata(0);</t>
  </si>
  <si>
    <t xml:space="preserve">      rmap_registers_wr_o.aeb1_gcfg_adc1_config.adc1_cio6 &lt;= avalon_mm_rmap_i.writedata(0);</t>
  </si>
  <si>
    <t xml:space="preserve">      rmap_registers_wr_o.aeb1_gcfg_adc1_config.adc1_cio5 &lt;= avalon_mm_rmap_i.writedata(0);</t>
  </si>
  <si>
    <t xml:space="preserve">      rmap_registers_wr_o.aeb1_gcfg_adc1_config.adc1_cio4 &lt;= avalon_mm_rmap_i.writedata(0);</t>
  </si>
  <si>
    <t xml:space="preserve">      rmap_registers_wr_o.aeb1_gcfg_adc1_config.adc1_cio3 &lt;= avalon_mm_rmap_i.writedata(0);</t>
  </si>
  <si>
    <t xml:space="preserve">      rmap_registers_wr_o.aeb1_gcfg_adc1_config.adc1_cio2 &lt;= avalon_mm_rmap_i.writedata(0);</t>
  </si>
  <si>
    <t xml:space="preserve">      rmap_registers_wr_o.aeb1_gcfg_adc1_config.adc1_cio1 &lt;= avalon_mm_rmap_i.writedata(0);</t>
  </si>
  <si>
    <t xml:space="preserve">      rmap_registers_wr_o.aeb1_gcfg_adc1_config.adc1_cio0 &lt;= avalon_mm_rmap_i.writedata(0);</t>
  </si>
  <si>
    <t xml:space="preserve">      rmap_registers_wr_o.aeb1_gcfg_adc1_config.adc1_dio7 &lt;= avalon_mm_rmap_i.writedata(0);</t>
  </si>
  <si>
    <t xml:space="preserve">      rmap_registers_wr_o.aeb1_gcfg_adc1_config.adc1_dio6 &lt;= avalon_mm_rmap_i.writedata(0);</t>
  </si>
  <si>
    <t xml:space="preserve">      rmap_registers_wr_o.aeb1_gcfg_adc1_config.adc1_dio5 &lt;= avalon_mm_rmap_i.writedata(0);</t>
  </si>
  <si>
    <t xml:space="preserve">      rmap_registers_wr_o.aeb1_gcfg_adc1_config.adc1_dio4 &lt;= avalon_mm_rmap_i.writedata(0);</t>
  </si>
  <si>
    <t xml:space="preserve">      rmap_registers_wr_o.aeb1_gcfg_adc1_config.adc1_dio3 &lt;= avalon_mm_rmap_i.writedata(0);</t>
  </si>
  <si>
    <t xml:space="preserve">      rmap_registers_wr_o.aeb1_gcfg_adc1_config.adc1_dio2 &lt;= avalon_mm_rmap_i.writedata(0);</t>
  </si>
  <si>
    <t xml:space="preserve">      rmap_registers_wr_o.aeb1_gcfg_adc1_config.adc1_dio1 &lt;= avalon_mm_rmap_i.writedata(0);</t>
  </si>
  <si>
    <t xml:space="preserve">      rmap_registers_wr_o.aeb1_gcfg_adc1_config.adc1_dio0 &lt;= avalon_mm_rmap_i.writedata(0);</t>
  </si>
  <si>
    <t xml:space="preserve">      rmap_registers_wr_o.aeb1_gcfg_adc2_config.adc2_bypas &lt;= avalon_mm_rmap_i.writedata(0);</t>
  </si>
  <si>
    <t xml:space="preserve">      rmap_registers_wr_o.aeb1_gcfg_adc2_config.adc2_clkenb &lt;= avalon_mm_rmap_i.writedata(0);</t>
  </si>
  <si>
    <t xml:space="preserve">      rmap_registers_wr_o.aeb1_gcfg_adc2_config.adc2_chop &lt;= avalon_mm_rmap_i.writedata(0);</t>
  </si>
  <si>
    <t xml:space="preserve">      rmap_registers_wr_o.aeb1_gcfg_adc2_config.adc2_stat &lt;= avalon_mm_rmap_i.writedata(0);</t>
  </si>
  <si>
    <t xml:space="preserve">      rmap_registers_wr_o.aeb1_gcfg_adc2_config.adc2_idlmod &lt;= avalon_mm_rmap_i.writedata(0);</t>
  </si>
  <si>
    <t xml:space="preserve">      rmap_registers_wr_o.aeb1_gcfg_adc2_config.adc2_dly2 &lt;= avalon_mm_rmap_i.writedata(0);</t>
  </si>
  <si>
    <t xml:space="preserve">      rmap_registers_wr_o.aeb1_gcfg_adc2_config.adc2_dly1 &lt;= avalon_mm_rmap_i.writedata(0);</t>
  </si>
  <si>
    <t xml:space="preserve">      rmap_registers_wr_o.aeb1_gcfg_adc2_config.adc2_dly0 &lt;= avalon_mm_rmap_i.writedata(0);</t>
  </si>
  <si>
    <t xml:space="preserve">      rmap_registers_wr_o.aeb1_gcfg_adc2_config.adc2_sbcs1 &lt;= avalon_mm_rmap_i.writedata(0);</t>
  </si>
  <si>
    <t xml:space="preserve">      rmap_registers_wr_o.aeb1_gcfg_adc2_config.adc2_sbcs0 &lt;= avalon_mm_rmap_i.writedata(0);</t>
  </si>
  <si>
    <t xml:space="preserve">      rmap_registers_wr_o.aeb1_gcfg_adc2_config.adc2_drate1 &lt;= avalon_mm_rmap_i.writedata(0);</t>
  </si>
  <si>
    <t xml:space="preserve">      rmap_registers_wr_o.aeb1_gcfg_adc2_config.adc2_drate0 &lt;= avalon_mm_rmap_i.writedata(0);</t>
  </si>
  <si>
    <t xml:space="preserve">      rmap_registers_wr_o.aeb1_gcfg_adc2_config.adc2_ainp3 &lt;= avalon_mm_rmap_i.writedata(0);</t>
  </si>
  <si>
    <t xml:space="preserve">      rmap_registers_wr_o.aeb1_gcfg_adc2_config.adc2_ainp2 &lt;= avalon_mm_rmap_i.writedata(0);</t>
  </si>
  <si>
    <t xml:space="preserve">      rmap_registers_wr_o.aeb1_gcfg_adc2_config.adc2_ainp1 &lt;= avalon_mm_rmap_i.writedata(0);</t>
  </si>
  <si>
    <t xml:space="preserve">      rmap_registers_wr_o.aeb1_gcfg_adc2_config.adc2_ainp0 &lt;= avalon_mm_rmap_i.writedata(0);</t>
  </si>
  <si>
    <t xml:space="preserve">      rmap_registers_wr_o.aeb1_gcfg_adc2_config.adc2_ainn3 &lt;= avalon_mm_rmap_i.writedata(0);</t>
  </si>
  <si>
    <t xml:space="preserve">      rmap_registers_wr_o.aeb1_gcfg_adc2_config.adc2_ainn2 &lt;= avalon_mm_rmap_i.writedata(0);</t>
  </si>
  <si>
    <t xml:space="preserve">      rmap_registers_wr_o.aeb1_gcfg_adc2_config.adc2_ainn1 &lt;= avalon_mm_rmap_i.writedata(0);</t>
  </si>
  <si>
    <t xml:space="preserve">      rmap_registers_wr_o.aeb1_gcfg_adc2_config.adc2_ainn0 &lt;= avalon_mm_rmap_i.writedata(0);</t>
  </si>
  <si>
    <t xml:space="preserve">      rmap_registers_wr_o.aeb1_gcfg_adc2_config.adc2_diff7 &lt;= avalon_mm_rmap_i.writedata(0);</t>
  </si>
  <si>
    <t xml:space="preserve">      rmap_registers_wr_o.aeb1_gcfg_adc2_config.adc2_diff6 &lt;= avalon_mm_rmap_i.writedata(0);</t>
  </si>
  <si>
    <t xml:space="preserve">      rmap_registers_wr_o.aeb1_gcfg_adc2_config.adc2_diff5 &lt;= avalon_mm_rmap_i.writedata(0);</t>
  </si>
  <si>
    <t xml:space="preserve">      rmap_registers_wr_o.aeb1_gcfg_adc2_config.adc2_diff4 &lt;= avalon_mm_rmap_i.writedata(0);</t>
  </si>
  <si>
    <t xml:space="preserve">      rmap_registers_wr_o.aeb1_gcfg_adc2_config.adc2_diff3 &lt;= avalon_mm_rmap_i.writedata(0);</t>
  </si>
  <si>
    <t xml:space="preserve">      rmap_registers_wr_o.aeb1_gcfg_adc2_config.adc2_diff2 &lt;= avalon_mm_rmap_i.writedata(0);</t>
  </si>
  <si>
    <t xml:space="preserve">      rmap_registers_wr_o.aeb1_gcfg_adc2_config.adc2_diff1 &lt;= avalon_mm_rmap_i.writedata(0);</t>
  </si>
  <si>
    <t xml:space="preserve">      rmap_registers_wr_o.aeb1_gcfg_adc2_config.adc2_diff0 &lt;= avalon_mm_rmap_i.writedata(0);</t>
  </si>
  <si>
    <t xml:space="preserve">      rmap_registers_wr_o.aeb1_gcfg_adc2_config.adc2_ain7 &lt;= avalon_mm_rmap_i.writedata(0);</t>
  </si>
  <si>
    <t xml:space="preserve">      rmap_registers_wr_o.aeb1_gcfg_adc2_config.adc2_ain6 &lt;= avalon_mm_rmap_i.writedata(0);</t>
  </si>
  <si>
    <t xml:space="preserve">      rmap_registers_wr_o.aeb1_gcfg_adc2_config.adc2_ain5 &lt;= avalon_mm_rmap_i.writedata(0);</t>
  </si>
  <si>
    <t xml:space="preserve">      rmap_registers_wr_o.aeb1_gcfg_adc2_config.adc2_ain4 &lt;= avalon_mm_rmap_i.writedata(0);</t>
  </si>
  <si>
    <t xml:space="preserve">      rmap_registers_wr_o.aeb1_gcfg_adc2_config.adc2_ain3 &lt;= avalon_mm_rmap_i.writedata(0);</t>
  </si>
  <si>
    <t xml:space="preserve">      rmap_registers_wr_o.aeb1_gcfg_adc2_config.adc2_ain2 &lt;= avalon_mm_rmap_i.writedata(0);</t>
  </si>
  <si>
    <t xml:space="preserve">      rmap_registers_wr_o.aeb1_gcfg_adc2_config.adc2_ain1 &lt;= avalon_mm_rmap_i.writedata(0);</t>
  </si>
  <si>
    <t xml:space="preserve">      rmap_registers_wr_o.aeb1_gcfg_adc2_config.adc2_ain0 &lt;= avalon_mm_rmap_i.writedata(0);</t>
  </si>
  <si>
    <t xml:space="preserve">      rmap_registers_wr_o.aeb1_gcfg_adc2_config.adc2_ain15 &lt;= avalon_mm_rmap_i.writedata(0);</t>
  </si>
  <si>
    <t xml:space="preserve">      rmap_registers_wr_o.aeb1_gcfg_adc2_config.adc2_ain14 &lt;= avalon_mm_rmap_i.writedata(0);</t>
  </si>
  <si>
    <t xml:space="preserve">      rmap_registers_wr_o.aeb1_gcfg_adc2_config.adc2_ain13 &lt;= avalon_mm_rmap_i.writedata(0);</t>
  </si>
  <si>
    <t xml:space="preserve">      rmap_registers_wr_o.aeb1_gcfg_adc2_config.adc2_ain12 &lt;= avalon_mm_rmap_i.writedata(0);</t>
  </si>
  <si>
    <t xml:space="preserve">      rmap_registers_wr_o.aeb1_gcfg_adc2_config.adc2_ain11 &lt;= avalon_mm_rmap_i.writedata(0);</t>
  </si>
  <si>
    <t xml:space="preserve">      rmap_registers_wr_o.aeb1_gcfg_adc2_config.adc2_ain10 &lt;= avalon_mm_rmap_i.writedata(0);</t>
  </si>
  <si>
    <t xml:space="preserve">      rmap_registers_wr_o.aeb1_gcfg_adc2_config.adc2_ain9 &lt;= avalon_mm_rmap_i.writedata(0);</t>
  </si>
  <si>
    <t xml:space="preserve">      rmap_registers_wr_o.aeb1_gcfg_adc2_config.adc2_ain8 &lt;= avalon_mm_rmap_i.writedata(0);</t>
  </si>
  <si>
    <t xml:space="preserve">      rmap_registers_wr_o.aeb1_gcfg_adc2_config.adc2_ref &lt;= avalon_mm_rmap_i.writedata(0);</t>
  </si>
  <si>
    <t xml:space="preserve">      rmap_registers_wr_o.aeb1_gcfg_adc2_config.adc2_gain &lt;= avalon_mm_rmap_i.writedata(0);</t>
  </si>
  <si>
    <t xml:space="preserve">      rmap_registers_wr_o.aeb1_gcfg_adc2_config.adc2_temp &lt;= avalon_mm_rmap_i.writedata(0);</t>
  </si>
  <si>
    <t xml:space="preserve">      rmap_registers_wr_o.aeb1_gcfg_adc2_config.adc2_vcc &lt;= avalon_mm_rmap_i.writedata(0);</t>
  </si>
  <si>
    <t xml:space="preserve">      rmap_registers_wr_o.aeb1_gcfg_adc2_config.adc2_offset &lt;= avalon_mm_rmap_i.writedata(0);</t>
  </si>
  <si>
    <t xml:space="preserve">      rmap_registers_wr_o.aeb1_gcfg_adc2_config.adc2_cio7 &lt;= avalon_mm_rmap_i.writedata(0);</t>
  </si>
  <si>
    <t xml:space="preserve">      rmap_registers_wr_o.aeb1_gcfg_adc2_config.adc2_cio6 &lt;= avalon_mm_rmap_i.writedata(0);</t>
  </si>
  <si>
    <t xml:space="preserve">      rmap_registers_wr_o.aeb1_gcfg_adc2_config.adc2_cio5 &lt;= avalon_mm_rmap_i.writedata(0);</t>
  </si>
  <si>
    <t xml:space="preserve">      rmap_registers_wr_o.aeb1_gcfg_adc2_config.adc2_cio4 &lt;= avalon_mm_rmap_i.writedata(0);</t>
  </si>
  <si>
    <t xml:space="preserve">      rmap_registers_wr_o.aeb1_gcfg_adc2_config.adc2_cio3 &lt;= avalon_mm_rmap_i.writedata(0);</t>
  </si>
  <si>
    <t xml:space="preserve">      rmap_registers_wr_o.aeb1_gcfg_adc2_config.adc2_cio2 &lt;= avalon_mm_rmap_i.writedata(0);</t>
  </si>
  <si>
    <t xml:space="preserve">      rmap_registers_wr_o.aeb1_gcfg_adc2_config.adc2_cio1 &lt;= avalon_mm_rmap_i.writedata(0);</t>
  </si>
  <si>
    <t xml:space="preserve">      rmap_registers_wr_o.aeb1_gcfg_adc2_config.adc2_cio0 &lt;= avalon_mm_rmap_i.writedata(0);</t>
  </si>
  <si>
    <t xml:space="preserve">      rmap_registers_wr_o.aeb1_gcfg_adc2_config.adc2_dio7 &lt;= avalon_mm_rmap_i.writedata(0);</t>
  </si>
  <si>
    <t xml:space="preserve">      rmap_registers_wr_o.aeb1_gcfg_adc2_config.adc2_dio6 &lt;= avalon_mm_rmap_i.writedata(0);</t>
  </si>
  <si>
    <t xml:space="preserve">      rmap_registers_wr_o.aeb1_gcfg_adc2_config.adc2_dio5 &lt;= avalon_mm_rmap_i.writedata(0);</t>
  </si>
  <si>
    <t xml:space="preserve">      rmap_registers_wr_o.aeb1_gcfg_adc2_config.adc2_dio4 &lt;= avalon_mm_rmap_i.writedata(0);</t>
  </si>
  <si>
    <t xml:space="preserve">      rmap_registers_wr_o.aeb1_gcfg_adc2_config.adc2_dio3 &lt;= avalon_mm_rmap_i.writedata(0);</t>
  </si>
  <si>
    <t xml:space="preserve">      rmap_registers_wr_o.aeb1_gcfg_adc2_config.adc2_dio2 &lt;= avalon_mm_rmap_i.writedata(0);</t>
  </si>
  <si>
    <t xml:space="preserve">      rmap_registers_wr_o.aeb1_gcfg_adc2_config.adc2_dio1 &lt;= avalon_mm_rmap_i.writedata(0);</t>
  </si>
  <si>
    <t xml:space="preserve">      rmap_registers_wr_o.aeb1_gcfg_adc2_config.adc2_dio0 &lt;= avalon_mm_rmap_i.writedata(0);</t>
  </si>
  <si>
    <t xml:space="preserve">      rmap_registers_wr_o.aeb1_gcfg_seq_config.seq_oe(7 downto 0) &lt;= avalon_mm_rmap_i.writedata(7 downto 0);</t>
  </si>
  <si>
    <t xml:space="preserve">      rmap_registers_wr_o.aeb1_gcfg_seq_config.seq_oe(15 downto 8) &lt;= avalon_mm_rmap_i.writedata(15 downto 8);</t>
  </si>
  <si>
    <t xml:space="preserve">      rmap_registers_wr_o.aeb1_gcfg_seq_config.seq_oe(21 downto 16) &lt;= avalon_mm_rmap_i.writedata(21 downto 16);</t>
  </si>
  <si>
    <t xml:space="preserve">      rmap_registers_wr_o.aeb1_gcfg_seq_config.adc_clk_div &lt;= avalon_mm_rmap_i.writedata(6 downto 0);</t>
  </si>
  <si>
    <t xml:space="preserve">      rmap_registers_wr_o.aeb1_gcfg_seq_config.cds_clk_low_pos &lt;= avalon_mm_rmap_i.writedata(15 downto 8);</t>
  </si>
  <si>
    <t xml:space="preserve">      rmap_registers_wr_o.aeb1_gcfg_seq_config.cds_clk_high_pos &lt;= avalon_mm_rmap_i.writedata(23 downto 16);</t>
  </si>
  <si>
    <t xml:space="preserve">      rmap_registers_wr_o.aeb1_gcfg_seq_config.rphir_clk_low_pos &lt;= avalon_mm_rmap_i.writedata(31 downto 24);</t>
  </si>
  <si>
    <t xml:space="preserve">      rmap_registers_wr_o.aeb1_gcfg_seq_config.rphir_clk_high_pos &lt;= avalon_mm_rmap_i.writedata(7 downto 0);</t>
  </si>
  <si>
    <t xml:space="preserve">      rmap_registers_wr_o.aeb1_gcfg_seq_config.ft_loop_cnt(7 downto 0) &lt;= avalon_mm_rmap_i.writedata(23 downto 16);</t>
  </si>
  <si>
    <t xml:space="preserve">      rmap_registers_wr_o.aeb1_gcfg_seq_config.ft_loop_cnt(13 downto 8) &lt;= avalon_mm_rmap_i.writedata(29 downto 24);</t>
  </si>
  <si>
    <t xml:space="preserve">      rmap_registers_wr_o.aeb1_gcfg_seq_config.lt0_enabled &lt;= avalon_mm_rmap_i.writedata(0);</t>
  </si>
  <si>
    <t xml:space="preserve">      rmap_registers_wr_o.aeb1_gcfg_seq_config.lt0_pixreadout &lt;= avalon_mm_rmap_i.writedata(0);</t>
  </si>
  <si>
    <t xml:space="preserve">      rmap_registers_wr_o.aeb1_gcfg_seq_config.lt0_loop_cnt(7 downto 0) &lt;= avalon_mm_rmap_i.writedata(7 downto 0);</t>
  </si>
  <si>
    <t xml:space="preserve">      rmap_registers_wr_o.aeb1_gcfg_seq_config.lt0_loop_cnt(13 downto 8) &lt;= avalon_mm_rmap_i.writedata(13 downto 8);</t>
  </si>
  <si>
    <t xml:space="preserve">      rmap_registers_wr_o.aeb1_gcfg_seq_config.lt1_enabled &lt;= avalon_mm_rmap_i.writedata(0);</t>
  </si>
  <si>
    <t xml:space="preserve">      rmap_registers_wr_o.aeb1_gcfg_seq_config.lt1_pixreadout &lt;= avalon_mm_rmap_i.writedata(0);</t>
  </si>
  <si>
    <t xml:space="preserve">      rmap_registers_wr_o.aeb1_gcfg_seq_config.lt1_loop_cnt(7 downto 0) &lt;= avalon_mm_rmap_i.writedata(7 downto 0);</t>
  </si>
  <si>
    <t xml:space="preserve">      rmap_registers_wr_o.aeb1_gcfg_seq_config.lt1_loop_cnt(13 downto 8) &lt;= avalon_mm_rmap_i.writedata(13 downto 8);</t>
  </si>
  <si>
    <t xml:space="preserve">      rmap_registers_wr_o.aeb1_gcfg_seq_config.lt2_enabled &lt;= avalon_mm_rmap_i.writedata(0);</t>
  </si>
  <si>
    <t xml:space="preserve">      rmap_registers_wr_o.aeb1_gcfg_seq_config.lt2_pixreadout &lt;= avalon_mm_rmap_i.writedata(0);</t>
  </si>
  <si>
    <t xml:space="preserve">      rmap_registers_wr_o.aeb1_gcfg_seq_config.lt2_loop_cnt(7 downto 0) &lt;= avalon_mm_rmap_i.writedata(7 downto 0);</t>
  </si>
  <si>
    <t xml:space="preserve">      rmap_registers_wr_o.aeb1_gcfg_seq_config.lt2_loop_cnt(13 downto 8) &lt;= avalon_mm_rmap_i.writedata(13 downto 8);</t>
  </si>
  <si>
    <t xml:space="preserve">      rmap_registers_wr_o.aeb1_gcfg_seq_config.lt3_enabled &lt;= avalon_mm_rmap_i.writedata(0);</t>
  </si>
  <si>
    <t xml:space="preserve">      rmap_registers_wr_o.aeb1_gcfg_seq_config.lt3_pixreadout &lt;= avalon_mm_rmap_i.writedata(0);</t>
  </si>
  <si>
    <t xml:space="preserve">      rmap_registers_wr_o.aeb1_gcfg_seq_config.lt3_loop_cnt(7 downto 0) &lt;= avalon_mm_rmap_i.writedata(7 downto 0);</t>
  </si>
  <si>
    <t xml:space="preserve">      rmap_registers_wr_o.aeb1_gcfg_seq_config.lt3_loop_cnt(13 downto 8) &lt;= avalon_mm_rmap_i.writedata(13 downto 8);</t>
  </si>
  <si>
    <t xml:space="preserve">      rmap_registers_wr_o.aeb1_gcfg_seq_config.pix_loop_cnt(7 downto 0) &lt;= avalon_mm_rmap_i.writedata(23 downto 16);</t>
  </si>
  <si>
    <t xml:space="preserve">      rmap_registers_wr_o.aeb1_gcfg_seq_config.pix_loop_cnt(13 downto 8) &lt;= avalon_mm_rmap_i.writedata(29 downto 24);</t>
  </si>
  <si>
    <t xml:space="preserve">      rmap_registers_wr_o.aeb1_gcfg_seq_config.pc_enabled &lt;= avalon_mm_rmap_i.writedata(0);</t>
  </si>
  <si>
    <t xml:space="preserve">      rmap_registers_wr_o.aeb1_gcfg_seq_config.pc_loop_cnt(7 downto 0) &lt;= avalon_mm_rmap_i.writedata(7 downto 0);</t>
  </si>
  <si>
    <t xml:space="preserve">      rmap_registers_wr_o.aeb1_gcfg_seq_config.pc_loop_cnt(13 downto 8) &lt;= avalon_mm_rmap_i.writedata(13 downto 8);</t>
  </si>
  <si>
    <t xml:space="preserve">      rmap_registers_wr_o.aeb1_gcfg_seq_config.int1_loop_cnt(7 downto 0) &lt;= avalon_mm_rmap_i.writedata(23 downto 16);</t>
  </si>
  <si>
    <t xml:space="preserve">      rmap_registers_wr_o.aeb1_gcfg_seq_config.int1_loop_cnt(13 downto 8) &lt;= avalon_mm_rmap_i.writedata(29 downto 24);</t>
  </si>
  <si>
    <t xml:space="preserve">      rmap_registers_wr_o.aeb1_gcfg_seq_config.int2_loop_cnt(7 downto 0) &lt;= avalon_mm_rmap_i.writedata(7 downto 0);</t>
  </si>
  <si>
    <t xml:space="preserve">      rmap_registers_wr_o.aeb1_gcfg_seq_config.int2_loop_cnt(13 downto 8) &lt;= avalon_mm_rmap_i.writedata(13 downto 8);</t>
  </si>
  <si>
    <t xml:space="preserve">      rmap_registers_wr_o.aeb1_hk_aeb_status.aeb_state &lt;= avalon_mm_rmap_i.writedata(18 downto 16);</t>
  </si>
  <si>
    <t xml:space="preserve">      rmap_registers_wr_o.aeb1_hk_aeb_status.vasp2_cfg_run &lt;= avalon_mm_rmap_i.writedata(0);</t>
  </si>
  <si>
    <t xml:space="preserve">      rmap_registers_wr_o.aeb1_hk_aeb_status.vasp1_cfg_run &lt;= avalon_mm_rmap_i.writedata(0);</t>
  </si>
  <si>
    <t xml:space="preserve">      rmap_registers_wr_o.aeb1_hk_aeb_status.dac_cfg_w_run &lt;= avalon_mm_rmap_i.writedata(0);</t>
  </si>
  <si>
    <t xml:space="preserve">      rmap_registers_wr_o.aeb1_hk_aeb_status.adc_cfg_rd_run &lt;= avalon_mm_rmap_i.writedata(0);</t>
  </si>
  <si>
    <t xml:space="preserve">      rmap_registers_wr_o.aeb1_hk_aeb_status.adc_cfg_wr_run &lt;= avalon_mm_rmap_i.writedata(0);</t>
  </si>
  <si>
    <t xml:space="preserve">      rmap_registers_wr_o.aeb1_hk_aeb_status.adc_dat_rd_run &lt;= avalon_mm_rmap_i.writedata(0);</t>
  </si>
  <si>
    <t xml:space="preserve">      rmap_registers_wr_o.aeb1_hk_aeb_status.adc_error &lt;= avalon_mm_rmap_i.writedata(0);</t>
  </si>
  <si>
    <t xml:space="preserve">      rmap_registers_wr_o.aeb1_hk_aeb_status.adc2_lu &lt;= avalon_mm_rmap_i.writedata(0);</t>
  </si>
  <si>
    <t xml:space="preserve">      rmap_registers_wr_o.aeb1_hk_aeb_status.adc1_lu &lt;= avalon_mm_rmap_i.writedata(0);</t>
  </si>
  <si>
    <t xml:space="preserve">      rmap_registers_wr_o.aeb1_hk_aeb_status.adc_dat_rd &lt;= avalon_mm_rmap_i.writedata(0);</t>
  </si>
  <si>
    <t xml:space="preserve">      rmap_registers_wr_o.aeb1_hk_aeb_status.adc_cfg_rd &lt;= avalon_mm_rmap_i.writedata(0);</t>
  </si>
  <si>
    <t xml:space="preserve">      rmap_registers_wr_o.aeb1_hk_aeb_status.adc_cfg_wr &lt;= avalon_mm_rmap_i.writedata(0);</t>
  </si>
  <si>
    <t xml:space="preserve">      rmap_registers_wr_o.aeb1_hk_aeb_status.adc2_busy &lt;= avalon_mm_rmap_i.writedata(0);</t>
  </si>
  <si>
    <t xml:space="preserve">      rmap_registers_wr_o.aeb1_hk_aeb_status.adc1_busy &lt;= avalon_mm_rmap_i.writedata(0);</t>
  </si>
  <si>
    <t xml:space="preserve">      rmap_registers_wr_o.aeb1_hk_aeb_status.frame_counter(7 downto 0) &lt;= avalon_mm_rmap_i.writedata(7 downto 0);</t>
  </si>
  <si>
    <t xml:space="preserve">      rmap_registers_wr_o.aeb1_hk_aeb_status.frame_counter(15 downto 8) &lt;= avalon_mm_rmap_i.writedata(15 downto 8);</t>
  </si>
  <si>
    <t xml:space="preserve">      rmap_registers_wr_o.aeb1_hk_timestamp.timestamp_1(7 downto 0) &lt;= avalon_mm_rmap_i.writedata(7 downto 0);</t>
  </si>
  <si>
    <t xml:space="preserve">      rmap_registers_wr_o.aeb1_hk_timestamp.timestamp_1(15 downto 8) &lt;= avalon_mm_rmap_i.writedata(15 downto 8);</t>
  </si>
  <si>
    <t xml:space="preserve">      rmap_registers_wr_o.aeb1_hk_timestamp.timestamp_1(23 downto 16) &lt;= avalon_mm_rmap_i.writedata(23 downto 16);</t>
  </si>
  <si>
    <t xml:space="preserve">      rmap_registers_wr_o.aeb1_hk_timestamp.timestamp_1(31 downto 24) &lt;= avalon_mm_rmap_i.writedata(31 downto 24);</t>
  </si>
  <si>
    <t xml:space="preserve">      rmap_registers_wr_o.aeb1_hk_timestamp.timestamp_0(7 downto 0) &lt;= avalon_mm_rmap_i.writedata(7 downto 0);</t>
  </si>
  <si>
    <t xml:space="preserve">      rmap_registers_wr_o.aeb1_hk_timestamp.timestamp_0(15 downto 8) &lt;= avalon_mm_rmap_i.writedata(15 downto 8);</t>
  </si>
  <si>
    <t xml:space="preserve">      rmap_registers_wr_o.aeb1_hk_timestamp.timestamp_0(23 downto 16) &lt;= avalon_mm_rmap_i.writedata(23 downto 16);</t>
  </si>
  <si>
    <t xml:space="preserve">      rmap_registers_wr_o.aeb1_hk_timestamp.timestamp_0(31 downto 24) &lt;= avalon_mm_rmap_i.writedata(31 downto 24);</t>
  </si>
  <si>
    <t xml:space="preserve">      rmap_registers_wr_o.aeb1_hk_adc_rd_data.adc_rd_data_18(7 downto 0) &lt;= avalon_mm_rmap_i.writedata(7 downto 0);</t>
  </si>
  <si>
    <t xml:space="preserve">      rmap_registers_wr_o.aeb1_hk_adc_rd_data.adc_rd_data_18(15 downto 8) &lt;= avalon_mm_rmap_i.writedata(15 downto 8);</t>
  </si>
  <si>
    <t xml:space="preserve">      rmap_registers_wr_o.aeb1_hk_adc_rd_data.adc_rd_data_18(23 downto 16) &lt;= avalon_mm_rmap_i.writedata(23 downto 16);</t>
  </si>
  <si>
    <t xml:space="preserve">      rmap_registers_wr_o.aeb1_hk_adc_rd_data.adc_rd_data_18(31 downto 24) &lt;= avalon_mm_rmap_i.writedata(31 downto 24);</t>
  </si>
  <si>
    <t xml:space="preserve">      rmap_registers_wr_o.aeb1_hk_adc_rd_data.adc_rd_data_17(7 downto 0) &lt;= avalon_mm_rmap_i.writedata(7 downto 0);</t>
  </si>
  <si>
    <t xml:space="preserve">      rmap_registers_wr_o.aeb1_hk_adc_rd_data.adc_rd_data_17(15 downto 8) &lt;= avalon_mm_rmap_i.writedata(15 downto 8);</t>
  </si>
  <si>
    <t xml:space="preserve">      rmap_registers_wr_o.aeb1_hk_adc_rd_data.adc_rd_data_17(23 downto 16) &lt;= avalon_mm_rmap_i.writedata(23 downto 16);</t>
  </si>
  <si>
    <t xml:space="preserve">      rmap_registers_wr_o.aeb1_hk_adc_rd_data.adc_rd_data_17(31 downto 24) &lt;= avalon_mm_rmap_i.writedata(31 downto 24);</t>
  </si>
  <si>
    <t xml:space="preserve">      rmap_registers_wr_o.aeb1_hk_adc_rd_data.adc_rd_data_16(7 downto 0) &lt;= avalon_mm_rmap_i.writedata(7 downto 0);</t>
  </si>
  <si>
    <t xml:space="preserve">      rmap_registers_wr_o.aeb1_hk_adc_rd_data.adc_rd_data_16(15 downto 8) &lt;= avalon_mm_rmap_i.writedata(15 downto 8);</t>
  </si>
  <si>
    <t xml:space="preserve">      rmap_registers_wr_o.aeb1_hk_adc_rd_data.adc_rd_data_16(23 downto 16) &lt;= avalon_mm_rmap_i.writedata(23 downto 16);</t>
  </si>
  <si>
    <t xml:space="preserve">      rmap_registers_wr_o.aeb1_hk_adc_rd_data.adc_rd_data_16(31 downto 24) &lt;= avalon_mm_rmap_i.writedata(31 downto 24);</t>
  </si>
  <si>
    <t xml:space="preserve">      rmap_registers_wr_o.aeb1_hk_adc_rd_data.adc_rd_data_15(7 downto 0) &lt;= avalon_mm_rmap_i.writedata(7 downto 0);</t>
  </si>
  <si>
    <t xml:space="preserve">      rmap_registers_wr_o.aeb1_hk_adc_rd_data.adc_rd_data_15(15 downto 8) &lt;= avalon_mm_rmap_i.writedata(15 downto 8);</t>
  </si>
  <si>
    <t xml:space="preserve">      rmap_registers_wr_o.aeb1_hk_adc_rd_data.adc_rd_data_15(23 downto 16) &lt;= avalon_mm_rmap_i.writedata(23 downto 16);</t>
  </si>
  <si>
    <t xml:space="preserve">      rmap_registers_wr_o.aeb1_hk_adc_rd_data.adc_rd_data_15(31 downto 24) &lt;= avalon_mm_rmap_i.writedata(31 downto 24);</t>
  </si>
  <si>
    <t xml:space="preserve">      rmap_registers_wr_o.aeb1_hk_adc_rd_data.adc_rd_data_14(7 downto 0) &lt;= avalon_mm_rmap_i.writedata(7 downto 0);</t>
  </si>
  <si>
    <t xml:space="preserve">      rmap_registers_wr_o.aeb1_hk_adc_rd_data.adc_rd_data_14(15 downto 8) &lt;= avalon_mm_rmap_i.writedata(15 downto 8);</t>
  </si>
  <si>
    <t xml:space="preserve">      rmap_registers_wr_o.aeb1_hk_adc_rd_data.adc_rd_data_14(23 downto 16) &lt;= avalon_mm_rmap_i.writedata(23 downto 16);</t>
  </si>
  <si>
    <t xml:space="preserve">      rmap_registers_wr_o.aeb1_hk_adc_rd_data.adc_rd_data_14(31 downto 24) &lt;= avalon_mm_rmap_i.writedata(31 downto 24);</t>
  </si>
  <si>
    <t xml:space="preserve">      rmap_registers_wr_o.aeb1_hk_adc_rd_data.adc_rd_data_13(7 downto 0) &lt;= avalon_mm_rmap_i.writedata(7 downto 0);</t>
  </si>
  <si>
    <t xml:space="preserve">      rmap_registers_wr_o.aeb1_hk_adc_rd_data.adc_rd_data_13(15 downto 8) &lt;= avalon_mm_rmap_i.writedata(15 downto 8);</t>
  </si>
  <si>
    <t xml:space="preserve">      rmap_registers_wr_o.aeb1_hk_adc_rd_data.adc_rd_data_13(23 downto 16) &lt;= avalon_mm_rmap_i.writedata(23 downto 16);</t>
  </si>
  <si>
    <t xml:space="preserve">      rmap_registers_wr_o.aeb1_hk_adc_rd_data.adc_rd_data_13(31 downto 24) &lt;= avalon_mm_rmap_i.writedata(31 downto 24);</t>
  </si>
  <si>
    <t xml:space="preserve">      rmap_registers_wr_o.aeb1_hk_adc_rd_data.adc_rd_data_12(7 downto 0) &lt;= avalon_mm_rmap_i.writedata(7 downto 0);</t>
  </si>
  <si>
    <t xml:space="preserve">      rmap_registers_wr_o.aeb1_hk_adc_rd_data.adc_rd_data_12(15 downto 8) &lt;= avalon_mm_rmap_i.writedata(15 downto 8);</t>
  </si>
  <si>
    <t xml:space="preserve">      rmap_registers_wr_o.aeb1_hk_adc_rd_data.adc_rd_data_12(23 downto 16) &lt;= avalon_mm_rmap_i.writedata(23 downto 16);</t>
  </si>
  <si>
    <t xml:space="preserve">      rmap_registers_wr_o.aeb1_hk_adc_rd_data.adc_rd_data_12(31 downto 24) &lt;= avalon_mm_rmap_i.writedata(31 downto 24);</t>
  </si>
  <si>
    <t xml:space="preserve">      rmap_registers_wr_o.aeb1_hk_adc_rd_data.adc_rd_data_11(7 downto 0) &lt;= avalon_mm_rmap_i.writedata(7 downto 0);</t>
  </si>
  <si>
    <t xml:space="preserve">      rmap_registers_wr_o.aeb1_hk_adc_rd_data.adc_rd_data_11(15 downto 8) &lt;= avalon_mm_rmap_i.writedata(15 downto 8);</t>
  </si>
  <si>
    <t xml:space="preserve">      rmap_registers_wr_o.aeb1_hk_adc_rd_data.adc_rd_data_11(23 downto 16) &lt;= avalon_mm_rmap_i.writedata(23 downto 16);</t>
  </si>
  <si>
    <t xml:space="preserve">      rmap_registers_wr_o.aeb1_hk_adc_rd_data.adc_rd_data_11(31 downto 24) &lt;= avalon_mm_rmap_i.writedata(31 downto 24);</t>
  </si>
  <si>
    <t xml:space="preserve">      rmap_registers_wr_o.aeb1_hk_adc_rd_data.adc_rd_data_10(7 downto 0) &lt;= avalon_mm_rmap_i.writedata(7 downto 0);</t>
  </si>
  <si>
    <t xml:space="preserve">      rmap_registers_wr_o.aeb1_hk_adc_rd_data.adc_rd_data_10(15 downto 8) &lt;= avalon_mm_rmap_i.writedata(15 downto 8);</t>
  </si>
  <si>
    <t xml:space="preserve">      rmap_registers_wr_o.aeb1_hk_adc_rd_data.adc_rd_data_10(23 downto 16) &lt;= avalon_mm_rmap_i.writedata(23 downto 16);</t>
  </si>
  <si>
    <t xml:space="preserve">      rmap_registers_wr_o.aeb1_hk_adc_rd_data.adc_rd_data_10(31 downto 24) &lt;= avalon_mm_rmap_i.writedata(31 downto 24);</t>
  </si>
  <si>
    <t xml:space="preserve">      rmap_registers_wr_o.aeb1_hk_adc_rd_data.adc_rd_data_9(7 downto 0) &lt;= avalon_mm_rmap_i.writedata(7 downto 0);</t>
  </si>
  <si>
    <t xml:space="preserve">      rmap_registers_wr_o.aeb1_hk_adc_rd_data.adc_rd_data_9(15 downto 8) &lt;= avalon_mm_rmap_i.writedata(15 downto 8);</t>
  </si>
  <si>
    <t xml:space="preserve">      rmap_registers_wr_o.aeb1_hk_adc_rd_data.adc_rd_data_9(23 downto 16) &lt;= avalon_mm_rmap_i.writedata(23 downto 16);</t>
  </si>
  <si>
    <t xml:space="preserve">      rmap_registers_wr_o.aeb1_hk_adc_rd_data.adc_rd_data_9(31 downto 24) &lt;= avalon_mm_rmap_i.writedata(31 downto 24);</t>
  </si>
  <si>
    <t xml:space="preserve">      rmap_registers_wr_o.aeb1_hk_adc_rd_data.adc_rd_data_8(7 downto 0) &lt;= avalon_mm_rmap_i.writedata(7 downto 0);</t>
  </si>
  <si>
    <t xml:space="preserve">      rmap_registers_wr_o.aeb1_hk_adc_rd_data.adc_rd_data_8(15 downto 8) &lt;= avalon_mm_rmap_i.writedata(15 downto 8);</t>
  </si>
  <si>
    <t xml:space="preserve">      rmap_registers_wr_o.aeb1_hk_adc_rd_data.adc_rd_data_8(23 downto 16) &lt;= avalon_mm_rmap_i.writedata(23 downto 16);</t>
  </si>
  <si>
    <t xml:space="preserve">      rmap_registers_wr_o.aeb1_hk_adc_rd_data.adc_rd_data_8(31 downto 24) &lt;= avalon_mm_rmap_i.writedata(31 downto 24);</t>
  </si>
  <si>
    <t xml:space="preserve">      rmap_registers_wr_o.aeb1_hk_adc_rd_data.adc_rd_data_7(7 downto 0) &lt;= avalon_mm_rmap_i.writedata(7 downto 0);</t>
  </si>
  <si>
    <t xml:space="preserve">      rmap_registers_wr_o.aeb1_hk_adc_rd_data.adc_rd_data_7(15 downto 8) &lt;= avalon_mm_rmap_i.writedata(15 downto 8);</t>
  </si>
  <si>
    <t xml:space="preserve">      rmap_registers_wr_o.aeb1_hk_adc_rd_data.adc_rd_data_7(23 downto 16) &lt;= avalon_mm_rmap_i.writedata(23 downto 16);</t>
  </si>
  <si>
    <t xml:space="preserve">      rmap_registers_wr_o.aeb1_hk_adc_rd_data.adc_rd_data_7(31 downto 24) &lt;= avalon_mm_rmap_i.writedata(31 downto 24);</t>
  </si>
  <si>
    <t xml:space="preserve">      rmap_registers_wr_o.aeb1_hk_adc_rd_data.adc_rd_data_6(7 downto 0) &lt;= avalon_mm_rmap_i.writedata(7 downto 0);</t>
  </si>
  <si>
    <t xml:space="preserve">      rmap_registers_wr_o.aeb1_hk_adc_rd_data.adc_rd_data_6(15 downto 8) &lt;= avalon_mm_rmap_i.writedata(15 downto 8);</t>
  </si>
  <si>
    <t xml:space="preserve">      rmap_registers_wr_o.aeb1_hk_adc_rd_data.adc_rd_data_6(23 downto 16) &lt;= avalon_mm_rmap_i.writedata(23 downto 16);</t>
  </si>
  <si>
    <t xml:space="preserve">      rmap_registers_wr_o.aeb1_hk_adc_rd_data.adc_rd_data_6(31 downto 24) &lt;= avalon_mm_rmap_i.writedata(31 downto 24);</t>
  </si>
  <si>
    <t xml:space="preserve">      rmap_registers_wr_o.aeb1_hk_adc_rd_data.adc_rd_data_5(7 downto 0) &lt;= avalon_mm_rmap_i.writedata(7 downto 0);</t>
  </si>
  <si>
    <t xml:space="preserve">      rmap_registers_wr_o.aeb1_hk_adc_rd_data.adc_rd_data_5(15 downto 8) &lt;= avalon_mm_rmap_i.writedata(15 downto 8);</t>
  </si>
  <si>
    <t xml:space="preserve">      rmap_registers_wr_o.aeb1_hk_adc_rd_data.adc_rd_data_5(23 downto 16) &lt;= avalon_mm_rmap_i.writedata(23 downto 16);</t>
  </si>
  <si>
    <t xml:space="preserve">      rmap_registers_wr_o.aeb1_hk_adc_rd_data.adc_rd_data_5(31 downto 24) &lt;= avalon_mm_rmap_i.writedata(31 downto 24);</t>
  </si>
  <si>
    <t xml:space="preserve">      rmap_registers_wr_o.aeb1_hk_adc_rd_data.adc_rd_data_4(7 downto 0) &lt;= avalon_mm_rmap_i.writedata(7 downto 0);</t>
  </si>
  <si>
    <t xml:space="preserve">      rmap_registers_wr_o.aeb1_hk_adc_rd_data.adc_rd_data_4(15 downto 8) &lt;= avalon_mm_rmap_i.writedata(15 downto 8);</t>
  </si>
  <si>
    <t xml:space="preserve">      rmap_registers_wr_o.aeb1_hk_adc_rd_data.adc_rd_data_4(23 downto 16) &lt;= avalon_mm_rmap_i.writedata(23 downto 16);</t>
  </si>
  <si>
    <t xml:space="preserve">      rmap_registers_wr_o.aeb1_hk_adc_rd_data.adc_rd_data_4(31 downto 24) &lt;= avalon_mm_rmap_i.writedata(31 downto 24);</t>
  </si>
  <si>
    <t xml:space="preserve">      rmap_registers_wr_o.aeb1_hk_adc_rd_data.adc_rd_data_3(7 downto 0) &lt;= avalon_mm_rmap_i.writedata(7 downto 0);</t>
  </si>
  <si>
    <t xml:space="preserve">      rmap_registers_wr_o.aeb1_hk_adc_rd_data.adc_rd_data_3(15 downto 8) &lt;= avalon_mm_rmap_i.writedata(15 downto 8);</t>
  </si>
  <si>
    <t xml:space="preserve">      rmap_registers_wr_o.aeb1_hk_adc_rd_data.adc_rd_data_3(23 downto 16) &lt;= avalon_mm_rmap_i.writedata(23 downto 16);</t>
  </si>
  <si>
    <t xml:space="preserve">      rmap_registers_wr_o.aeb1_hk_adc_rd_data.adc_rd_data_3(31 downto 24) &lt;= avalon_mm_rmap_i.writedata(31 downto 24);</t>
  </si>
  <si>
    <t xml:space="preserve">      rmap_registers_wr_o.aeb1_hk_adc_rd_data.adc_rd_data_2(7 downto 0) &lt;= avalon_mm_rmap_i.writedata(7 downto 0);</t>
  </si>
  <si>
    <t xml:space="preserve">      rmap_registers_wr_o.aeb1_hk_adc_rd_data.adc_rd_data_2(15 downto 8) &lt;= avalon_mm_rmap_i.writedata(15 downto 8);</t>
  </si>
  <si>
    <t xml:space="preserve">      rmap_registers_wr_o.aeb1_hk_adc_rd_data.adc_rd_data_2(23 downto 16) &lt;= avalon_mm_rmap_i.writedata(23 downto 16);</t>
  </si>
  <si>
    <t xml:space="preserve">      rmap_registers_wr_o.aeb1_hk_adc_rd_data.adc_rd_data_2(31 downto 24) &lt;= avalon_mm_rmap_i.writedata(31 downto 24);</t>
  </si>
  <si>
    <t xml:space="preserve">      rmap_registers_wr_o.aeb1_hk_adc_rd_data.adc_rd_data_1(7 downto 0) &lt;= avalon_mm_rmap_i.writedata(7 downto 0);</t>
  </si>
  <si>
    <t xml:space="preserve">      rmap_registers_wr_o.aeb1_hk_adc_rd_data.adc_rd_data_1(15 downto 8) &lt;= avalon_mm_rmap_i.writedata(15 downto 8);</t>
  </si>
  <si>
    <t xml:space="preserve">      rmap_registers_wr_o.aeb1_hk_adc_rd_data.adc_rd_data_1(23 downto 16) &lt;= avalon_mm_rmap_i.writedata(23 downto 16);</t>
  </si>
  <si>
    <t xml:space="preserve">      rmap_registers_wr_o.aeb1_hk_adc_rd_data.adc_rd_data_1(31 downto 24) &lt;= avalon_mm_rmap_i.writedata(31 downto 24);</t>
  </si>
  <si>
    <t xml:space="preserve">      rmap_registers_wr_o.aeb1_hk_adc_rd_data.adc_rd_data_0(7 downto 0) &lt;= avalon_mm_rmap_i.writedata(7 downto 0);</t>
  </si>
  <si>
    <t xml:space="preserve">      rmap_registers_wr_o.aeb1_hk_adc_rd_data.adc_rd_data_0(15 downto 8) &lt;= avalon_mm_rmap_i.writedata(15 downto 8);</t>
  </si>
  <si>
    <t xml:space="preserve">      rmap_registers_wr_o.aeb1_hk_adc_rd_data.adc_rd_data_0(23 downto 16) &lt;= avalon_mm_rmap_i.writedata(23 downto 16);</t>
  </si>
  <si>
    <t xml:space="preserve">      rmap_registers_wr_o.aeb1_hk_adc_rd_data.adc_rd_data_0(31 downto 24) &lt;= avalon_mm_rmap_i.writedata(31 downto 24);</t>
  </si>
  <si>
    <t xml:space="preserve">      rmap_registers_wr_o.aeb1_hk_adc1_rd_config.adc1_rd_config_3(7 downto 0) &lt;= avalon_mm_rmap_i.writedata(7 downto 0);</t>
  </si>
  <si>
    <t xml:space="preserve">      rmap_registers_wr_o.aeb1_hk_adc1_rd_config.adc1_rd_config_3(15 downto 8) &lt;= avalon_mm_rmap_i.writedata(15 downto 8);</t>
  </si>
  <si>
    <t xml:space="preserve">      rmap_registers_wr_o.aeb1_hk_adc1_rd_config.adc1_rd_config_3(23 downto 16) &lt;= avalon_mm_rmap_i.writedata(23 downto 16);</t>
  </si>
  <si>
    <t xml:space="preserve">      rmap_registers_wr_o.aeb1_hk_adc1_rd_config.adc1_rd_config_3(31 downto 24) &lt;= avalon_mm_rmap_i.writedata(31 downto 24);</t>
  </si>
  <si>
    <t xml:space="preserve">      rmap_registers_wr_o.aeb1_hk_adc1_rd_config.adc1_rd_config_2(7 downto 0) &lt;= avalon_mm_rmap_i.writedata(7 downto 0);</t>
  </si>
  <si>
    <t xml:space="preserve">      rmap_registers_wr_o.aeb1_hk_adc1_rd_config.adc1_rd_config_2(15 downto 8) &lt;= avalon_mm_rmap_i.writedata(15 downto 8);</t>
  </si>
  <si>
    <t xml:space="preserve">      rmap_registers_wr_o.aeb1_hk_adc1_rd_config.adc1_rd_config_2(23 downto 16) &lt;= avalon_mm_rmap_i.writedata(23 downto 16);</t>
  </si>
  <si>
    <t xml:space="preserve">      rmap_registers_wr_o.aeb1_hk_adc1_rd_config.adc1_rd_config_2(31 downto 24) &lt;= avalon_mm_rmap_i.writedata(31 downto 24);</t>
  </si>
  <si>
    <t xml:space="preserve">      rmap_registers_wr_o.aeb1_hk_adc1_rd_config.adc1_rd_config_1(7 downto 0) &lt;= avalon_mm_rmap_i.writedata(7 downto 0);</t>
  </si>
  <si>
    <t xml:space="preserve">      rmap_registers_wr_o.aeb1_hk_adc1_rd_config.adc1_rd_config_1(15 downto 8) &lt;= avalon_mm_rmap_i.writedata(15 downto 8);</t>
  </si>
  <si>
    <t xml:space="preserve">      rmap_registers_wr_o.aeb1_hk_adc1_rd_config.adc1_rd_config_1(23 downto 16) &lt;= avalon_mm_rmap_i.writedata(23 downto 16);</t>
  </si>
  <si>
    <t xml:space="preserve">      rmap_registers_wr_o.aeb1_hk_adc1_rd_config.adc1_rd_config_1(31 downto 24) &lt;= avalon_mm_rmap_i.writedata(31 downto 24);</t>
  </si>
  <si>
    <t xml:space="preserve">      rmap_registers_wr_o.aeb1_hk_adc1_rd_config.adc1_rd_config_0(7 downto 0) &lt;= avalon_mm_rmap_i.writedata(7 downto 0);</t>
  </si>
  <si>
    <t xml:space="preserve">      rmap_registers_wr_o.aeb1_hk_adc1_rd_config.adc1_rd_config_0(15 downto 8) &lt;= avalon_mm_rmap_i.writedata(15 downto 8);</t>
  </si>
  <si>
    <t xml:space="preserve">      rmap_registers_wr_o.aeb1_hk_adc1_rd_config.adc1_rd_config_0(23 downto 16) &lt;= avalon_mm_rmap_i.writedata(23 downto 16);</t>
  </si>
  <si>
    <t xml:space="preserve">      rmap_registers_wr_o.aeb1_hk_adc1_rd_config.adc1_rd_config_0(31 downto 24) &lt;= avalon_mm_rmap_i.writedata(31 downto 24);</t>
  </si>
  <si>
    <t xml:space="preserve">      rmap_registers_wr_o.aeb1_hk_adc2_rd_config.adc2_rd_config_3(7 downto 0) &lt;= avalon_mm_rmap_i.writedata(7 downto 0);</t>
  </si>
  <si>
    <t xml:space="preserve">      rmap_registers_wr_o.aeb1_hk_adc2_rd_config.adc2_rd_config_3(15 downto 8) &lt;= avalon_mm_rmap_i.writedata(15 downto 8);</t>
  </si>
  <si>
    <t xml:space="preserve">      rmap_registers_wr_o.aeb1_hk_adc2_rd_config.adc2_rd_config_3(23 downto 16) &lt;= avalon_mm_rmap_i.writedata(23 downto 16);</t>
  </si>
  <si>
    <t xml:space="preserve">      rmap_registers_wr_o.aeb1_hk_adc2_rd_config.adc2_rd_config_3(31 downto 24) &lt;= avalon_mm_rmap_i.writedata(31 downto 24);</t>
  </si>
  <si>
    <t xml:space="preserve">      rmap_registers_wr_o.aeb1_hk_adc2_rd_config.adc2_rd_config_2(7 downto 0) &lt;= avalon_mm_rmap_i.writedata(7 downto 0);</t>
  </si>
  <si>
    <t xml:space="preserve">      rmap_registers_wr_o.aeb1_hk_adc2_rd_config.adc2_rd_config_2(15 downto 8) &lt;= avalon_mm_rmap_i.writedata(15 downto 8);</t>
  </si>
  <si>
    <t xml:space="preserve">      rmap_registers_wr_o.aeb1_hk_adc2_rd_config.adc2_rd_config_2(23 downto 16) &lt;= avalon_mm_rmap_i.writedata(23 downto 16);</t>
  </si>
  <si>
    <t xml:space="preserve">      rmap_registers_wr_o.aeb1_hk_adc2_rd_config.adc2_rd_config_2(31 downto 24) &lt;= avalon_mm_rmap_i.writedata(31 downto 24);</t>
  </si>
  <si>
    <t xml:space="preserve">      rmap_registers_wr_o.aeb1_hk_adc2_rd_config.adc2_rd_config_1(7 downto 0) &lt;= avalon_mm_rmap_i.writedata(7 downto 0);</t>
  </si>
  <si>
    <t xml:space="preserve">      rmap_registers_wr_o.aeb1_hk_adc2_rd_config.adc2_rd_config_1(15 downto 8) &lt;= avalon_mm_rmap_i.writedata(15 downto 8);</t>
  </si>
  <si>
    <t xml:space="preserve">      rmap_registers_wr_o.aeb1_hk_adc2_rd_config.adc2_rd_config_1(23 downto 16) &lt;= avalon_mm_rmap_i.writedata(23 downto 16);</t>
  </si>
  <si>
    <t xml:space="preserve">      rmap_registers_wr_o.aeb1_hk_adc2_rd_config.adc2_rd_config_1(31 downto 24) &lt;= avalon_mm_rmap_i.writedata(31 downto 24);</t>
  </si>
  <si>
    <t xml:space="preserve">      rmap_registers_wr_o.aeb1_hk_adc2_rd_config.adc2_rd_config_0(7 downto 0) &lt;= avalon_mm_rmap_i.writedata(7 downto 0);</t>
  </si>
  <si>
    <t xml:space="preserve">      rmap_registers_wr_o.aeb1_hk_adc2_rd_config.adc2_rd_config_0(15 downto 8) &lt;= avalon_mm_rmap_i.writedata(15 downto 8);</t>
  </si>
  <si>
    <t xml:space="preserve">      rmap_registers_wr_o.aeb1_hk_adc2_rd_config.adc2_rd_config_0(23 downto 16) &lt;= avalon_mm_rmap_i.writedata(23 downto 16);</t>
  </si>
  <si>
    <t xml:space="preserve">      rmap_registers_wr_o.aeb1_hk_adc2_rd_config.adc2_rd_config_0(31 downto 24) &lt;= avalon_mm_rmap_i.writedata(31 downto 24);</t>
  </si>
  <si>
    <t xml:space="preserve">      rmap_registers_wr_o.aeb1_hk_vasp_rd_config.vasp1_read_data &lt;= avalon_mm_rmap_i.writedata(7 downto 0);</t>
  </si>
  <si>
    <t xml:space="preserve">      rmap_registers_wr_o.aeb1_hk_vasp_rd_config.vasp2_read_data &lt;= avalon_mm_rmap_i.writedata(15 downto 8);</t>
  </si>
  <si>
    <t xml:space="preserve">      rmap_registers_wr_o.aeb1_hk_revision_id.fpga_ver(7 downto 0) &lt;= avalon_mm_rmap_i.writedata(23 downto 16);</t>
  </si>
  <si>
    <t xml:space="preserve">      rmap_registers_wr_o.aeb1_hk_revision_id.fpga_ver(15 downto 8) &lt;= avalon_mm_rmap_i.writedata(31 downto 24);</t>
  </si>
  <si>
    <t xml:space="preserve">      rmap_registers_wr_o.aeb1_hk_revision_id.fpga_date(7 downto 0) &lt;= avalon_mm_rmap_i.writedata(7 downto 0);</t>
  </si>
  <si>
    <t xml:space="preserve">      rmap_registers_wr_o.aeb1_hk_revision_id.fpga_date(15 downto 8) &lt;= avalon_mm_rmap_i.writedata(15 downto 8);</t>
  </si>
  <si>
    <t xml:space="preserve">      rmap_registers_wr_o.aeb1_hk_revision_id.fpga_time(7 downto 0) &lt;= avalon_mm_rmap_i.writedata(23 downto 16);</t>
  </si>
  <si>
    <t xml:space="preserve">      rmap_registers_wr_o.aeb1_hk_revision_id.fpga_time(15 downto 8) &lt;= avalon_mm_rmap_i.writedata(31 downto 24);</t>
  </si>
  <si>
    <t xml:space="preserve">      rmap_registers_wr_o.aeb1_hk_revision_id.fpga_svn(7 downto 0) &lt;= avalon_mm_rmap_i.writedata(7 downto 0);</t>
  </si>
  <si>
    <t xml:space="preserve">      rmap_registers_wr_o.aeb1_hk_revision_id.fpga_svn(15 downto 8) &lt;= avalon_mm_rmap_i.writedata(15 downto 8);</t>
  </si>
  <si>
    <t xml:space="preserve">      rmap_registers_wr_o.aeb2_ccfg_aeb_control.new_state &lt;= avalon_mm_rmap_i.writedata(20 downto 16);</t>
  </si>
  <si>
    <t xml:space="preserve">      rmap_registers_wr_o.aeb2_ccfg_aeb_control.set_state &lt;= avalon_mm_rmap_i.writedata(0);</t>
  </si>
  <si>
    <t xml:space="preserve">      rmap_registers_wr_o.aeb2_ccfg_aeb_control.aeb_reset &lt;= avalon_mm_rmap_i.writedata(0);</t>
  </si>
  <si>
    <t xml:space="preserve">      rmap_registers_wr_o.aeb2_ccfg_aeb_control.adc_data_rd &lt;= avalon_mm_rmap_i.writedata(0);</t>
  </si>
  <si>
    <t xml:space="preserve">      rmap_registers_wr_o.aeb2_ccfg_aeb_control.adc_cfg_wr &lt;= avalon_mm_rmap_i.writedata(0);</t>
  </si>
  <si>
    <t xml:space="preserve">      rmap_registers_wr_o.aeb2_ccfg_aeb_control.adc_cfg_rd &lt;= avalon_mm_rmap_i.writedata(0);</t>
  </si>
  <si>
    <t xml:space="preserve">      rmap_registers_wr_o.aeb2_ccfg_aeb_control.dac_wr &lt;= avalon_mm_rmap_i.writedata(0);</t>
  </si>
  <si>
    <t xml:space="preserve">      rmap_registers_wr_o.aeb2_ccfg_aeb_config.watchdog_dis &lt;= avalon_mm_rmap_i.writedata(0);</t>
  </si>
  <si>
    <t xml:space="preserve">      rmap_registers_wr_o.aeb2_ccfg_aeb_config.int_sync &lt;= avalon_mm_rmap_i.writedata(0);</t>
  </si>
  <si>
    <t xml:space="preserve">      rmap_registers_wr_o.aeb2_ccfg_aeb_config.vasp_cds_en &lt;= avalon_mm_rmap_i.writedata(0);</t>
  </si>
  <si>
    <t xml:space="preserve">      rmap_registers_wr_o.aeb2_ccfg_aeb_config.vasp2_cal_en &lt;= avalon_mm_rmap_i.writedata(0);</t>
  </si>
  <si>
    <t xml:space="preserve">      rmap_registers_wr_o.aeb2_ccfg_aeb_config.vasp1_cal_en &lt;= avalon_mm_rmap_i.writedata(0);</t>
  </si>
  <si>
    <t xml:space="preserve">      rmap_registers_wr_o.aeb2_ccfg_aeb_config_key.key(7 downto 0) &lt;= avalon_mm_rmap_i.writedata(7 downto 0);</t>
  </si>
  <si>
    <t xml:space="preserve">      rmap_registers_wr_o.aeb2_ccfg_aeb_config_key.key(15 downto 8) &lt;= avalon_mm_rmap_i.writedata(15 downto 8);</t>
  </si>
  <si>
    <t xml:space="preserve">      rmap_registers_wr_o.aeb2_ccfg_aeb_config_key.key(23 downto 16) &lt;= avalon_mm_rmap_i.writedata(23 downto 16);</t>
  </si>
  <si>
    <t xml:space="preserve">      rmap_registers_wr_o.aeb2_ccfg_aeb_config_key.key(30 downto 24) &lt;= avalon_mm_rmap_i.writedata(30 downto 24);</t>
  </si>
  <si>
    <t xml:space="preserve">      rmap_registers_wr_o.aeb2_ccfg_aeb_config_ait1.override_sw &lt;= avalon_mm_rmap_i.writedata(0);</t>
  </si>
  <si>
    <t xml:space="preserve">      rmap_registers_wr_o.aeb2_ccfg_aeb_config_ait1.sw_van3 &lt;= avalon_mm_rmap_i.writedata(0);</t>
  </si>
  <si>
    <t xml:space="preserve">      rmap_registers_wr_o.aeb2_ccfg_aeb_config_ait1.sw_van2 &lt;= avalon_mm_rmap_i.writedata(0);</t>
  </si>
  <si>
    <t xml:space="preserve">      rmap_registers_wr_o.aeb2_ccfg_aeb_config_ait1.sw_van1 &lt;= avalon_mm_rmap_i.writedata(0);</t>
  </si>
  <si>
    <t xml:space="preserve">      rmap_registers_wr_o.aeb2_ccfg_aeb_config_ait1.sw_vclk &lt;= avalon_mm_rmap_i.writedata(0);</t>
  </si>
  <si>
    <t xml:space="preserve">      rmap_registers_wr_o.aeb2_ccfg_aeb_config_ait1.sw_vccd &lt;= avalon_mm_rmap_i.writedata(0);</t>
  </si>
  <si>
    <t xml:space="preserve">      rmap_registers_wr_o.aeb2_ccfg_aeb_config_ait1.override_vasp &lt;= avalon_mm_rmap_i.writedata(0);</t>
  </si>
  <si>
    <t xml:space="preserve">      rmap_registers_wr_o.aeb2_ccfg_aeb_config_ait1.vasp2_pix_en &lt;= avalon_mm_rmap_i.writedata(0);</t>
  </si>
  <si>
    <t xml:space="preserve">      rmap_registers_wr_o.aeb2_ccfg_aeb_config_ait1.vasp1_pix_en &lt;= avalon_mm_rmap_i.writedata(0);</t>
  </si>
  <si>
    <t xml:space="preserve">      rmap_registers_wr_o.aeb2_ccfg_aeb_config_ait1.vasp2_adc_en &lt;= avalon_mm_rmap_i.writedata(0);</t>
  </si>
  <si>
    <t xml:space="preserve">      rmap_registers_wr_o.aeb2_ccfg_aeb_config_ait1.vasp1_adc_en &lt;= avalon_mm_rmap_i.writedata(0);</t>
  </si>
  <si>
    <t xml:space="preserve">      rmap_registers_wr_o.aeb2_ccfg_aeb_config_ait1.vasp2_reset &lt;= avalon_mm_rmap_i.writedata(0);</t>
  </si>
  <si>
    <t xml:space="preserve">      rmap_registers_wr_o.aeb2_ccfg_aeb_config_ait1.vasp1_reset &lt;= avalon_mm_rmap_i.writedata(0);</t>
  </si>
  <si>
    <t xml:space="preserve">      rmap_registers_wr_o.aeb2_ccfg_aeb_config_ait1.override_adc &lt;= avalon_mm_rmap_i.writedata(0);</t>
  </si>
  <si>
    <t xml:space="preserve">      rmap_registers_wr_o.aeb2_ccfg_aeb_config_ait1.adc2_en_p5v0 &lt;= avalon_mm_rmap_i.writedata(0);</t>
  </si>
  <si>
    <t xml:space="preserve">      rmap_registers_wr_o.aeb2_ccfg_aeb_config_ait1.adc1_en_p5v0 &lt;= avalon_mm_rmap_i.writedata(0);</t>
  </si>
  <si>
    <t xml:space="preserve">      rmap_registers_wr_o.aeb2_ccfg_aeb_config_ait1.pt1000_cal_on_n &lt;= avalon_mm_rmap_i.writedata(0);</t>
  </si>
  <si>
    <t xml:space="preserve">      rmap_registers_wr_o.aeb2_ccfg_aeb_config_ait1.en_v_mux_n &lt;= avalon_mm_rmap_i.writedata(0);</t>
  </si>
  <si>
    <t xml:space="preserve">      rmap_registers_wr_o.aeb2_ccfg_aeb_config_ait1.adc2_pwdn_n &lt;= avalon_mm_rmap_i.writedata(0);</t>
  </si>
  <si>
    <t xml:space="preserve">      rmap_registers_wr_o.aeb2_ccfg_aeb_config_ait1.adc1_pwdn_n &lt;= avalon_mm_rmap_i.writedata(0);</t>
  </si>
  <si>
    <t xml:space="preserve">      rmap_registers_wr_o.aeb2_ccfg_aeb_config_ait1.adc_clk_en &lt;= avalon_mm_rmap_i.writedata(0);</t>
  </si>
  <si>
    <t xml:space="preserve">      rmap_registers_wr_o.aeb2_ccfg_aeb_config_pattern.pattern_ccdid &lt;= avalon_mm_rmap_i.writedata(1 downto 0);</t>
  </si>
  <si>
    <t xml:space="preserve">      rmap_registers_wr_o.aeb2_ccfg_aeb_config_pattern.pattern_cols(7 downto 0) &lt;= avalon_mm_rmap_i.writedata(23 downto 16);</t>
  </si>
  <si>
    <t xml:space="preserve">      rmap_registers_wr_o.aeb2_ccfg_aeb_config_pattern.pattern_cols(13 downto 8) &lt;= avalon_mm_rmap_i.writedata(29 downto 24);</t>
  </si>
  <si>
    <t xml:space="preserve">      rmap_registers_wr_o.aeb2_ccfg_aeb_config_pattern.pattern_rows(7 downto 0) &lt;= avalon_mm_rmap_i.writedata(7 downto 0);</t>
  </si>
  <si>
    <t xml:space="preserve">      rmap_registers_wr_o.aeb2_ccfg_aeb_config_pattern.pattern_rows(13 downto 8) &lt;= avalon_mm_rmap_i.writedata(13 downto 8);</t>
  </si>
  <si>
    <t xml:space="preserve">      rmap_registers_wr_o.aeb2_ccfg_vasp_i2c_control.vasp_cfg_addr &lt;= avalon_mm_rmap_i.writedata(23 downto 16);</t>
  </si>
  <si>
    <t xml:space="preserve">      rmap_registers_wr_o.aeb2_ccfg_vasp_i2c_control.vasp1_cfg_data &lt;= avalon_mm_rmap_i.writedata(31 downto 24);</t>
  </si>
  <si>
    <t xml:space="preserve">      rmap_registers_wr_o.aeb2_ccfg_vasp_i2c_control.vasp2_cfg_data &lt;= avalon_mm_rmap_i.writedata(7 downto 0);</t>
  </si>
  <si>
    <t xml:space="preserve">      rmap_registers_wr_o.aeb2_ccfg_vasp_i2c_control.vasp2_select &lt;= avalon_mm_rmap_i.writedata(0);</t>
  </si>
  <si>
    <t xml:space="preserve">      rmap_registers_wr_o.aeb2_ccfg_vasp_i2c_control.vasp1_select &lt;= avalon_mm_rmap_i.writedata(0);</t>
  </si>
  <si>
    <t xml:space="preserve">      rmap_registers_wr_o.aeb2_ccfg_vasp_i2c_control.calibration_start &lt;= avalon_mm_rmap_i.writedata(0);</t>
  </si>
  <si>
    <t xml:space="preserve">      rmap_registers_wr_o.aeb2_ccfg_vasp_i2c_control.i2c_read_start &lt;= avalon_mm_rmap_i.writedata(0);</t>
  </si>
  <si>
    <t xml:space="preserve">      rmap_registers_wr_o.aeb2_ccfg_vasp_i2c_control.i2c_write_start &lt;= avalon_mm_rmap_i.writedata(0);</t>
  </si>
  <si>
    <t xml:space="preserve">      rmap_registers_wr_o.aeb2_ccfg_dac_config_1.dac_vog(7 downto 0) &lt;= avalon_mm_rmap_i.writedata(7 downto 0);</t>
  </si>
  <si>
    <t xml:space="preserve">      rmap_registers_wr_o.aeb2_ccfg_dac_config_1.dac_vog(11 downto 8) &lt;= avalon_mm_rmap_i.writedata(11 downto 8);</t>
  </si>
  <si>
    <t xml:space="preserve">      rmap_registers_wr_o.aeb2_ccfg_dac_config_1.dac_vrd(7 downto 0) &lt;= avalon_mm_rmap_i.writedata(23 downto 16);</t>
  </si>
  <si>
    <t xml:space="preserve">      rmap_registers_wr_o.aeb2_ccfg_dac_config_1.dac_vrd(11 downto 8) &lt;= avalon_mm_rmap_i.writedata(27 downto 24);</t>
  </si>
  <si>
    <t xml:space="preserve">      rmap_registers_wr_o.aeb2_ccfg_dac_config_2.dac_vod(7 downto 0) &lt;= avalon_mm_rmap_i.writedata(7 downto 0);</t>
  </si>
  <si>
    <t xml:space="preserve">      rmap_registers_wr_o.aeb2_ccfg_dac_config_2.dac_vod(11 downto 8) &lt;= avalon_mm_rmap_i.writedata(11 downto 8);</t>
  </si>
  <si>
    <t xml:space="preserve">      rmap_registers_wr_o.aeb2_ccfg_pwr_config1.time_vccd_on &lt;= avalon_mm_rmap_i.writedata(23 downto 16);</t>
  </si>
  <si>
    <t xml:space="preserve">      rmap_registers_wr_o.aeb2_ccfg_pwr_config1.time_vclk_on &lt;= avalon_mm_rmap_i.writedata(31 downto 24);</t>
  </si>
  <si>
    <t xml:space="preserve">      rmap_registers_wr_o.aeb2_ccfg_pwr_config1.time_van1_on &lt;= avalon_mm_rmap_i.writedata(7 downto 0);</t>
  </si>
  <si>
    <t xml:space="preserve">      rmap_registers_wr_o.aeb2_ccfg_pwr_config1.time_van2_on &lt;= avalon_mm_rmap_i.writedata(15 downto 8);</t>
  </si>
  <si>
    <t xml:space="preserve">      rmap_registers_wr_o.aeb2_ccfg_pwr_config2.time_van3_on &lt;= avalon_mm_rmap_i.writedata(23 downto 16);</t>
  </si>
  <si>
    <t xml:space="preserve">      rmap_registers_wr_o.aeb2_ccfg_pwr_config2.time_vccd_off &lt;= avalon_mm_rmap_i.writedata(31 downto 24);</t>
  </si>
  <si>
    <t xml:space="preserve">      rmap_registers_wr_o.aeb2_ccfg_pwr_config2.time_vclk_off &lt;= avalon_mm_rmap_i.writedata(7 downto 0);</t>
  </si>
  <si>
    <t xml:space="preserve">      rmap_registers_wr_o.aeb2_ccfg_pwr_config2.time_van1_off &lt;= avalon_mm_rmap_i.writedata(15 downto 8);</t>
  </si>
  <si>
    <t xml:space="preserve">      rmap_registers_wr_o.aeb2_ccfg_pwr_config3.time_van2_off &lt;= avalon_mm_rmap_i.writedata(23 downto 16);</t>
  </si>
  <si>
    <t xml:space="preserve">      rmap_registers_wr_o.aeb2_ccfg_pwr_config3.time_van3_off &lt;= avalon_mm_rmap_i.writedata(31 downto 24);</t>
  </si>
  <si>
    <t xml:space="preserve">      rmap_registers_wr_o.aeb2_gcfg_adc1_config.adc1_bypas &lt;= avalon_mm_rmap_i.writedata(0);</t>
  </si>
  <si>
    <t xml:space="preserve">      rmap_registers_wr_o.aeb2_gcfg_adc1_config.adc1_clkenb &lt;= avalon_mm_rmap_i.writedata(0);</t>
  </si>
  <si>
    <t xml:space="preserve">      rmap_registers_wr_o.aeb2_gcfg_adc1_config.adc1_chop &lt;= avalon_mm_rmap_i.writedata(0);</t>
  </si>
  <si>
    <t xml:space="preserve">      rmap_registers_wr_o.aeb2_gcfg_adc1_config.adc1_stat &lt;= avalon_mm_rmap_i.writedata(0);</t>
  </si>
  <si>
    <t xml:space="preserve">      rmap_registers_wr_o.aeb2_gcfg_adc1_config.adc1_idlmod &lt;= avalon_mm_rmap_i.writedata(0);</t>
  </si>
  <si>
    <t xml:space="preserve">      rmap_registers_wr_o.aeb2_gcfg_adc1_config.adc1_dly2 &lt;= avalon_mm_rmap_i.writedata(0);</t>
  </si>
  <si>
    <t xml:space="preserve">      rmap_registers_wr_o.aeb2_gcfg_adc1_config.adc1_dly1 &lt;= avalon_mm_rmap_i.writedata(0);</t>
  </si>
  <si>
    <t xml:space="preserve">      rmap_registers_wr_o.aeb2_gcfg_adc1_config.adc1_dly0 &lt;= avalon_mm_rmap_i.writedata(0);</t>
  </si>
  <si>
    <t xml:space="preserve">      rmap_registers_wr_o.aeb2_gcfg_adc1_config.adc1_sbcs1 &lt;= avalon_mm_rmap_i.writedata(0);</t>
  </si>
  <si>
    <t xml:space="preserve">      rmap_registers_wr_o.aeb2_gcfg_adc1_config.adc1_sbcs0 &lt;= avalon_mm_rmap_i.writedata(0);</t>
  </si>
  <si>
    <t xml:space="preserve">      rmap_registers_wr_o.aeb2_gcfg_adc1_config.adc1_drate1 &lt;= avalon_mm_rmap_i.writedata(0);</t>
  </si>
  <si>
    <t xml:space="preserve">      rmap_registers_wr_o.aeb2_gcfg_adc1_config.adc1_drate0 &lt;= avalon_mm_rmap_i.writedata(0);</t>
  </si>
  <si>
    <t xml:space="preserve">      rmap_registers_wr_o.aeb2_gcfg_adc1_config.adc1_ainp3 &lt;= avalon_mm_rmap_i.writedata(0);</t>
  </si>
  <si>
    <t xml:space="preserve">      rmap_registers_wr_o.aeb2_gcfg_adc1_config.adc1_ainp2 &lt;= avalon_mm_rmap_i.writedata(0);</t>
  </si>
  <si>
    <t xml:space="preserve">      rmap_registers_wr_o.aeb2_gcfg_adc1_config.adc1_ainp1 &lt;= avalon_mm_rmap_i.writedata(0);</t>
  </si>
  <si>
    <t xml:space="preserve">      rmap_registers_wr_o.aeb2_gcfg_adc1_config.adc1_ainp0 &lt;= avalon_mm_rmap_i.writedata(0);</t>
  </si>
  <si>
    <t xml:space="preserve">      rmap_registers_wr_o.aeb2_gcfg_adc1_config.adc1_ainn3 &lt;= avalon_mm_rmap_i.writedata(0);</t>
  </si>
  <si>
    <t xml:space="preserve">      rmap_registers_wr_o.aeb2_gcfg_adc1_config.adc1_ainn2 &lt;= avalon_mm_rmap_i.writedata(0);</t>
  </si>
  <si>
    <t xml:space="preserve">      rmap_registers_wr_o.aeb2_gcfg_adc1_config.adc1_ainn1 &lt;= avalon_mm_rmap_i.writedata(0);</t>
  </si>
  <si>
    <t xml:space="preserve">      rmap_registers_wr_o.aeb2_gcfg_adc1_config.adc1_ainn0 &lt;= avalon_mm_rmap_i.writedata(0);</t>
  </si>
  <si>
    <t xml:space="preserve">      rmap_registers_wr_o.aeb2_gcfg_adc1_config.adc1_diff7 &lt;= avalon_mm_rmap_i.writedata(0);</t>
  </si>
  <si>
    <t xml:space="preserve">      rmap_registers_wr_o.aeb2_gcfg_adc1_config.adc1_diff6 &lt;= avalon_mm_rmap_i.writedata(0);</t>
  </si>
  <si>
    <t xml:space="preserve">      rmap_registers_wr_o.aeb2_gcfg_adc1_config.adc1_diff5 &lt;= avalon_mm_rmap_i.writedata(0);</t>
  </si>
  <si>
    <t xml:space="preserve">      rmap_registers_wr_o.aeb2_gcfg_adc1_config.adc1_diff4 &lt;= avalon_mm_rmap_i.writedata(0);</t>
  </si>
  <si>
    <t xml:space="preserve">      rmap_registers_wr_o.aeb2_gcfg_adc1_config.adc1_diff3 &lt;= avalon_mm_rmap_i.writedata(0);</t>
  </si>
  <si>
    <t xml:space="preserve">      rmap_registers_wr_o.aeb2_gcfg_adc1_config.adc1_diff2 &lt;= avalon_mm_rmap_i.writedata(0);</t>
  </si>
  <si>
    <t xml:space="preserve">      rmap_registers_wr_o.aeb2_gcfg_adc1_config.adc1_diff1 &lt;= avalon_mm_rmap_i.writedata(0);</t>
  </si>
  <si>
    <t xml:space="preserve">      rmap_registers_wr_o.aeb2_gcfg_adc1_config.adc1_diff0 &lt;= avalon_mm_rmap_i.writedata(0);</t>
  </si>
  <si>
    <t xml:space="preserve">      rmap_registers_wr_o.aeb2_gcfg_adc1_config.adc1_ain7 &lt;= avalon_mm_rmap_i.writedata(0);</t>
  </si>
  <si>
    <t xml:space="preserve">      rmap_registers_wr_o.aeb2_gcfg_adc1_config.adc1_ain6 &lt;= avalon_mm_rmap_i.writedata(0);</t>
  </si>
  <si>
    <t xml:space="preserve">      rmap_registers_wr_o.aeb2_gcfg_adc1_config.adc1_ain5 &lt;= avalon_mm_rmap_i.writedata(0);</t>
  </si>
  <si>
    <t xml:space="preserve">      rmap_registers_wr_o.aeb2_gcfg_adc1_config.adc1_ain4 &lt;= avalon_mm_rmap_i.writedata(0);</t>
  </si>
  <si>
    <t xml:space="preserve">      rmap_registers_wr_o.aeb2_gcfg_adc1_config.adc1_ain3 &lt;= avalon_mm_rmap_i.writedata(0);</t>
  </si>
  <si>
    <t xml:space="preserve">      rmap_registers_wr_o.aeb2_gcfg_adc1_config.adc1_ain2 &lt;= avalon_mm_rmap_i.writedata(0);</t>
  </si>
  <si>
    <t xml:space="preserve">      rmap_registers_wr_o.aeb2_gcfg_adc1_config.adc1_ain1 &lt;= avalon_mm_rmap_i.writedata(0);</t>
  </si>
  <si>
    <t xml:space="preserve">      rmap_registers_wr_o.aeb2_gcfg_adc1_config.adc1_ain0 &lt;= avalon_mm_rmap_i.writedata(0);</t>
  </si>
  <si>
    <t xml:space="preserve">      rmap_registers_wr_o.aeb2_gcfg_adc1_config.adc1_ain15 &lt;= avalon_mm_rmap_i.writedata(0);</t>
  </si>
  <si>
    <t xml:space="preserve">      rmap_registers_wr_o.aeb2_gcfg_adc1_config.adc1_ain14 &lt;= avalon_mm_rmap_i.writedata(0);</t>
  </si>
  <si>
    <t xml:space="preserve">      rmap_registers_wr_o.aeb2_gcfg_adc1_config.adc1_ain13 &lt;= avalon_mm_rmap_i.writedata(0);</t>
  </si>
  <si>
    <t xml:space="preserve">      rmap_registers_wr_o.aeb2_gcfg_adc1_config.adc1_ain12 &lt;= avalon_mm_rmap_i.writedata(0);</t>
  </si>
  <si>
    <t xml:space="preserve">      rmap_registers_wr_o.aeb2_gcfg_adc1_config.adc1_ain11 &lt;= avalon_mm_rmap_i.writedata(0);</t>
  </si>
  <si>
    <t xml:space="preserve">      rmap_registers_wr_o.aeb2_gcfg_adc1_config.adc1_ain10 &lt;= avalon_mm_rmap_i.writedata(0);</t>
  </si>
  <si>
    <t xml:space="preserve">      rmap_registers_wr_o.aeb2_gcfg_adc1_config.adc1_ain9 &lt;= avalon_mm_rmap_i.writedata(0);</t>
  </si>
  <si>
    <t xml:space="preserve">      rmap_registers_wr_o.aeb2_gcfg_adc1_config.adc1_ain8 &lt;= avalon_mm_rmap_i.writedata(0);</t>
  </si>
  <si>
    <t xml:space="preserve">      rmap_registers_wr_o.aeb2_gcfg_adc1_config.adc1_ref &lt;= avalon_mm_rmap_i.writedata(0);</t>
  </si>
  <si>
    <t xml:space="preserve">      rmap_registers_wr_o.aeb2_gcfg_adc1_config.adc1_gain &lt;= avalon_mm_rmap_i.writedata(0);</t>
  </si>
  <si>
    <t xml:space="preserve">      rmap_registers_wr_o.aeb2_gcfg_adc1_config.adc1_temp &lt;= avalon_mm_rmap_i.writedata(0);</t>
  </si>
  <si>
    <t xml:space="preserve">      rmap_registers_wr_o.aeb2_gcfg_adc1_config.adc1_vcc &lt;= avalon_mm_rmap_i.writedata(0);</t>
  </si>
  <si>
    <t xml:space="preserve">      rmap_registers_wr_o.aeb2_gcfg_adc1_config.adc1_offset &lt;= avalon_mm_rmap_i.writedata(0);</t>
  </si>
  <si>
    <t xml:space="preserve">      rmap_registers_wr_o.aeb2_gcfg_adc1_config.adc1_cio7 &lt;= avalon_mm_rmap_i.writedata(0);</t>
  </si>
  <si>
    <t xml:space="preserve">      rmap_registers_wr_o.aeb2_gcfg_adc1_config.adc1_cio6 &lt;= avalon_mm_rmap_i.writedata(0);</t>
  </si>
  <si>
    <t xml:space="preserve">      rmap_registers_wr_o.aeb2_gcfg_adc1_config.adc1_cio5 &lt;= avalon_mm_rmap_i.writedata(0);</t>
  </si>
  <si>
    <t xml:space="preserve">      rmap_registers_wr_o.aeb2_gcfg_adc1_config.adc1_cio4 &lt;= avalon_mm_rmap_i.writedata(0);</t>
  </si>
  <si>
    <t xml:space="preserve">      rmap_registers_wr_o.aeb2_gcfg_adc1_config.adc1_cio3 &lt;= avalon_mm_rmap_i.writedata(0);</t>
  </si>
  <si>
    <t xml:space="preserve">      rmap_registers_wr_o.aeb2_gcfg_adc1_config.adc1_cio2 &lt;= avalon_mm_rmap_i.writedata(0);</t>
  </si>
  <si>
    <t xml:space="preserve">      rmap_registers_wr_o.aeb2_gcfg_adc1_config.adc1_cio1 &lt;= avalon_mm_rmap_i.writedata(0);</t>
  </si>
  <si>
    <t xml:space="preserve">      rmap_registers_wr_o.aeb2_gcfg_adc1_config.adc1_cio0 &lt;= avalon_mm_rmap_i.writedata(0);</t>
  </si>
  <si>
    <t xml:space="preserve">      rmap_registers_wr_o.aeb2_gcfg_adc1_config.adc1_dio7 &lt;= avalon_mm_rmap_i.writedata(0);</t>
  </si>
  <si>
    <t xml:space="preserve">      rmap_registers_wr_o.aeb2_gcfg_adc1_config.adc1_dio6 &lt;= avalon_mm_rmap_i.writedata(0);</t>
  </si>
  <si>
    <t xml:space="preserve">      rmap_registers_wr_o.aeb2_gcfg_adc1_config.adc1_dio5 &lt;= avalon_mm_rmap_i.writedata(0);</t>
  </si>
  <si>
    <t xml:space="preserve">      rmap_registers_wr_o.aeb2_gcfg_adc1_config.adc1_dio4 &lt;= avalon_mm_rmap_i.writedata(0);</t>
  </si>
  <si>
    <t xml:space="preserve">      rmap_registers_wr_o.aeb2_gcfg_adc1_config.adc1_dio3 &lt;= avalon_mm_rmap_i.writedata(0);</t>
  </si>
  <si>
    <t xml:space="preserve">      rmap_registers_wr_o.aeb2_gcfg_adc1_config.adc1_dio2 &lt;= avalon_mm_rmap_i.writedata(0);</t>
  </si>
  <si>
    <t xml:space="preserve">      rmap_registers_wr_o.aeb2_gcfg_adc1_config.adc1_dio1 &lt;= avalon_mm_rmap_i.writedata(0);</t>
  </si>
  <si>
    <t xml:space="preserve">      rmap_registers_wr_o.aeb2_gcfg_adc1_config.adc1_dio0 &lt;= avalon_mm_rmap_i.writedata(0);</t>
  </si>
  <si>
    <t xml:space="preserve">      rmap_registers_wr_o.aeb2_gcfg_adc2_config.adc2_bypas &lt;= avalon_mm_rmap_i.writedata(0);</t>
  </si>
  <si>
    <t xml:space="preserve">      rmap_registers_wr_o.aeb2_gcfg_adc2_config.adc2_clkenb &lt;= avalon_mm_rmap_i.writedata(0);</t>
  </si>
  <si>
    <t xml:space="preserve">      rmap_registers_wr_o.aeb2_gcfg_adc2_config.adc2_chop &lt;= avalon_mm_rmap_i.writedata(0);</t>
  </si>
  <si>
    <t xml:space="preserve">      rmap_registers_wr_o.aeb2_gcfg_adc2_config.adc2_stat &lt;= avalon_mm_rmap_i.writedata(0);</t>
  </si>
  <si>
    <t xml:space="preserve">      rmap_registers_wr_o.aeb2_gcfg_adc2_config.adc2_idlmod &lt;= avalon_mm_rmap_i.writedata(0);</t>
  </si>
  <si>
    <t xml:space="preserve">      rmap_registers_wr_o.aeb2_gcfg_adc2_config.adc2_dly2 &lt;= avalon_mm_rmap_i.writedata(0);</t>
  </si>
  <si>
    <t xml:space="preserve">      rmap_registers_wr_o.aeb2_gcfg_adc2_config.adc2_dly1 &lt;= avalon_mm_rmap_i.writedata(0);</t>
  </si>
  <si>
    <t xml:space="preserve">      rmap_registers_wr_o.aeb2_gcfg_adc2_config.adc2_dly0 &lt;= avalon_mm_rmap_i.writedata(0);</t>
  </si>
  <si>
    <t xml:space="preserve">      rmap_registers_wr_o.aeb2_gcfg_adc2_config.adc2_sbcs1 &lt;= avalon_mm_rmap_i.writedata(0);</t>
  </si>
  <si>
    <t xml:space="preserve">      rmap_registers_wr_o.aeb2_gcfg_adc2_config.adc2_sbcs0 &lt;= avalon_mm_rmap_i.writedata(0);</t>
  </si>
  <si>
    <t xml:space="preserve">      rmap_registers_wr_o.aeb2_gcfg_adc2_config.adc2_drate1 &lt;= avalon_mm_rmap_i.writedata(0);</t>
  </si>
  <si>
    <t xml:space="preserve">      rmap_registers_wr_o.aeb2_gcfg_adc2_config.adc2_drate0 &lt;= avalon_mm_rmap_i.writedata(0);</t>
  </si>
  <si>
    <t xml:space="preserve">      rmap_registers_wr_o.aeb2_gcfg_adc2_config.adc2_ainp3 &lt;= avalon_mm_rmap_i.writedata(0);</t>
  </si>
  <si>
    <t xml:space="preserve">      rmap_registers_wr_o.aeb2_gcfg_adc2_config.adc2_ainp2 &lt;= avalon_mm_rmap_i.writedata(0);</t>
  </si>
  <si>
    <t xml:space="preserve">      rmap_registers_wr_o.aeb2_gcfg_adc2_config.adc2_ainp1 &lt;= avalon_mm_rmap_i.writedata(0);</t>
  </si>
  <si>
    <t xml:space="preserve">      rmap_registers_wr_o.aeb2_gcfg_adc2_config.adc2_ainp0 &lt;= avalon_mm_rmap_i.writedata(0);</t>
  </si>
  <si>
    <t xml:space="preserve">      rmap_registers_wr_o.aeb2_gcfg_adc2_config.adc2_ainn3 &lt;= avalon_mm_rmap_i.writedata(0);</t>
  </si>
  <si>
    <t xml:space="preserve">      rmap_registers_wr_o.aeb2_gcfg_adc2_config.adc2_ainn2 &lt;= avalon_mm_rmap_i.writedata(0);</t>
  </si>
  <si>
    <t xml:space="preserve">      rmap_registers_wr_o.aeb2_gcfg_adc2_config.adc2_ainn1 &lt;= avalon_mm_rmap_i.writedata(0);</t>
  </si>
  <si>
    <t xml:space="preserve">      rmap_registers_wr_o.aeb2_gcfg_adc2_config.adc2_ainn0 &lt;= avalon_mm_rmap_i.writedata(0);</t>
  </si>
  <si>
    <t xml:space="preserve">      rmap_registers_wr_o.aeb2_gcfg_adc2_config.adc2_diff7 &lt;= avalon_mm_rmap_i.writedata(0);</t>
  </si>
  <si>
    <t xml:space="preserve">      rmap_registers_wr_o.aeb2_gcfg_adc2_config.adc2_diff6 &lt;= avalon_mm_rmap_i.writedata(0);</t>
  </si>
  <si>
    <t xml:space="preserve">      rmap_registers_wr_o.aeb2_gcfg_adc2_config.adc2_diff5 &lt;= avalon_mm_rmap_i.writedata(0);</t>
  </si>
  <si>
    <t xml:space="preserve">      rmap_registers_wr_o.aeb2_gcfg_adc2_config.adc2_diff4 &lt;= avalon_mm_rmap_i.writedata(0);</t>
  </si>
  <si>
    <t xml:space="preserve">      rmap_registers_wr_o.aeb2_gcfg_adc2_config.adc2_diff3 &lt;= avalon_mm_rmap_i.writedata(0);</t>
  </si>
  <si>
    <t xml:space="preserve">      rmap_registers_wr_o.aeb2_gcfg_adc2_config.adc2_diff2 &lt;= avalon_mm_rmap_i.writedata(0);</t>
  </si>
  <si>
    <t xml:space="preserve">      rmap_registers_wr_o.aeb2_gcfg_adc2_config.adc2_diff1 &lt;= avalon_mm_rmap_i.writedata(0);</t>
  </si>
  <si>
    <t xml:space="preserve">      rmap_registers_wr_o.aeb2_gcfg_adc2_config.adc2_diff0 &lt;= avalon_mm_rmap_i.writedata(0);</t>
  </si>
  <si>
    <t xml:space="preserve">      rmap_registers_wr_o.aeb2_gcfg_adc2_config.adc2_ain7 &lt;= avalon_mm_rmap_i.writedata(0);</t>
  </si>
  <si>
    <t xml:space="preserve">      rmap_registers_wr_o.aeb2_gcfg_adc2_config.adc2_ain6 &lt;= avalon_mm_rmap_i.writedata(0);</t>
  </si>
  <si>
    <t xml:space="preserve">      rmap_registers_wr_o.aeb2_gcfg_adc2_config.adc2_ain5 &lt;= avalon_mm_rmap_i.writedata(0);</t>
  </si>
  <si>
    <t xml:space="preserve">      rmap_registers_wr_o.aeb2_gcfg_adc2_config.adc2_ain4 &lt;= avalon_mm_rmap_i.writedata(0);</t>
  </si>
  <si>
    <t xml:space="preserve">      rmap_registers_wr_o.aeb2_gcfg_adc2_config.adc2_ain3 &lt;= avalon_mm_rmap_i.writedata(0);</t>
  </si>
  <si>
    <t xml:space="preserve">      rmap_registers_wr_o.aeb2_gcfg_adc2_config.adc2_ain2 &lt;= avalon_mm_rmap_i.writedata(0);</t>
  </si>
  <si>
    <t xml:space="preserve">      rmap_registers_wr_o.aeb2_gcfg_adc2_config.adc2_ain1 &lt;= avalon_mm_rmap_i.writedata(0);</t>
  </si>
  <si>
    <t xml:space="preserve">      rmap_registers_wr_o.aeb2_gcfg_adc2_config.adc2_ain0 &lt;= avalon_mm_rmap_i.writedata(0);</t>
  </si>
  <si>
    <t xml:space="preserve">      rmap_registers_wr_o.aeb2_gcfg_adc2_config.adc2_ain15 &lt;= avalon_mm_rmap_i.writedata(0);</t>
  </si>
  <si>
    <t xml:space="preserve">      rmap_registers_wr_o.aeb2_gcfg_adc2_config.adc2_ain14 &lt;= avalon_mm_rmap_i.writedata(0);</t>
  </si>
  <si>
    <t xml:space="preserve">      rmap_registers_wr_o.aeb2_gcfg_adc2_config.adc2_ain13 &lt;= avalon_mm_rmap_i.writedata(0);</t>
  </si>
  <si>
    <t xml:space="preserve">      rmap_registers_wr_o.aeb2_gcfg_adc2_config.adc2_ain12 &lt;= avalon_mm_rmap_i.writedata(0);</t>
  </si>
  <si>
    <t xml:space="preserve">      rmap_registers_wr_o.aeb2_gcfg_adc2_config.adc2_ain11 &lt;= avalon_mm_rmap_i.writedata(0);</t>
  </si>
  <si>
    <t xml:space="preserve">      rmap_registers_wr_o.aeb2_gcfg_adc2_config.adc2_ain10 &lt;= avalon_mm_rmap_i.writedata(0);</t>
  </si>
  <si>
    <t xml:space="preserve">      rmap_registers_wr_o.aeb2_gcfg_adc2_config.adc2_ain9 &lt;= avalon_mm_rmap_i.writedata(0);</t>
  </si>
  <si>
    <t xml:space="preserve">      rmap_registers_wr_o.aeb2_gcfg_adc2_config.adc2_ain8 &lt;= avalon_mm_rmap_i.writedata(0);</t>
  </si>
  <si>
    <t xml:space="preserve">      rmap_registers_wr_o.aeb2_gcfg_adc2_config.adc2_ref &lt;= avalon_mm_rmap_i.writedata(0);</t>
  </si>
  <si>
    <t xml:space="preserve">      rmap_registers_wr_o.aeb2_gcfg_adc2_config.adc2_gain &lt;= avalon_mm_rmap_i.writedata(0);</t>
  </si>
  <si>
    <t xml:space="preserve">      rmap_registers_wr_o.aeb2_gcfg_adc2_config.adc2_temp &lt;= avalon_mm_rmap_i.writedata(0);</t>
  </si>
  <si>
    <t xml:space="preserve">      rmap_registers_wr_o.aeb2_gcfg_adc2_config.adc2_vcc &lt;= avalon_mm_rmap_i.writedata(0);</t>
  </si>
  <si>
    <t xml:space="preserve">      rmap_registers_wr_o.aeb2_gcfg_adc2_config.adc2_offset &lt;= avalon_mm_rmap_i.writedata(0);</t>
  </si>
  <si>
    <t xml:space="preserve">      rmap_registers_wr_o.aeb2_gcfg_adc2_config.adc2_cio7 &lt;= avalon_mm_rmap_i.writedata(0);</t>
  </si>
  <si>
    <t xml:space="preserve">      rmap_registers_wr_o.aeb2_gcfg_adc2_config.adc2_cio6 &lt;= avalon_mm_rmap_i.writedata(0);</t>
  </si>
  <si>
    <t xml:space="preserve">      rmap_registers_wr_o.aeb2_gcfg_adc2_config.adc2_cio5 &lt;= avalon_mm_rmap_i.writedata(0);</t>
  </si>
  <si>
    <t xml:space="preserve">      rmap_registers_wr_o.aeb2_gcfg_adc2_config.adc2_cio4 &lt;= avalon_mm_rmap_i.writedata(0);</t>
  </si>
  <si>
    <t xml:space="preserve">      rmap_registers_wr_o.aeb2_gcfg_adc2_config.adc2_cio3 &lt;= avalon_mm_rmap_i.writedata(0);</t>
  </si>
  <si>
    <t xml:space="preserve">      rmap_registers_wr_o.aeb2_gcfg_adc2_config.adc2_cio2 &lt;= avalon_mm_rmap_i.writedata(0);</t>
  </si>
  <si>
    <t xml:space="preserve">      rmap_registers_wr_o.aeb2_gcfg_adc2_config.adc2_cio1 &lt;= avalon_mm_rmap_i.writedata(0);</t>
  </si>
  <si>
    <t xml:space="preserve">      rmap_registers_wr_o.aeb2_gcfg_adc2_config.adc2_cio0 &lt;= avalon_mm_rmap_i.writedata(0);</t>
  </si>
  <si>
    <t xml:space="preserve">      rmap_registers_wr_o.aeb2_gcfg_adc2_config.adc2_dio7 &lt;= avalon_mm_rmap_i.writedata(0);</t>
  </si>
  <si>
    <t xml:space="preserve">      rmap_registers_wr_o.aeb2_gcfg_adc2_config.adc2_dio6 &lt;= avalon_mm_rmap_i.writedata(0);</t>
  </si>
  <si>
    <t xml:space="preserve">      rmap_registers_wr_o.aeb2_gcfg_adc2_config.adc2_dio5 &lt;= avalon_mm_rmap_i.writedata(0);</t>
  </si>
  <si>
    <t xml:space="preserve">      rmap_registers_wr_o.aeb2_gcfg_adc2_config.adc2_dio4 &lt;= avalon_mm_rmap_i.writedata(0);</t>
  </si>
  <si>
    <t xml:space="preserve">      rmap_registers_wr_o.aeb2_gcfg_adc2_config.adc2_dio3 &lt;= avalon_mm_rmap_i.writedata(0);</t>
  </si>
  <si>
    <t xml:space="preserve">      rmap_registers_wr_o.aeb2_gcfg_adc2_config.adc2_dio2 &lt;= avalon_mm_rmap_i.writedata(0);</t>
  </si>
  <si>
    <t xml:space="preserve">      rmap_registers_wr_o.aeb2_gcfg_adc2_config.adc2_dio1 &lt;= avalon_mm_rmap_i.writedata(0);</t>
  </si>
  <si>
    <t xml:space="preserve">      rmap_registers_wr_o.aeb2_gcfg_adc2_config.adc2_dio0 &lt;= avalon_mm_rmap_i.writedata(0);</t>
  </si>
  <si>
    <t xml:space="preserve">      rmap_registers_wr_o.aeb2_gcfg_seq_config.seq_oe(7 downto 0) &lt;= avalon_mm_rmap_i.writedata(7 downto 0);</t>
  </si>
  <si>
    <t xml:space="preserve">      rmap_registers_wr_o.aeb2_gcfg_seq_config.seq_oe(15 downto 8) &lt;= avalon_mm_rmap_i.writedata(15 downto 8);</t>
  </si>
  <si>
    <t xml:space="preserve">      rmap_registers_wr_o.aeb2_gcfg_seq_config.seq_oe(21 downto 16) &lt;= avalon_mm_rmap_i.writedata(21 downto 16);</t>
  </si>
  <si>
    <t xml:space="preserve">      rmap_registers_wr_o.aeb2_gcfg_seq_config.adc_clk_div &lt;= avalon_mm_rmap_i.writedata(6 downto 0);</t>
  </si>
  <si>
    <t xml:space="preserve">      rmap_registers_wr_o.aeb2_gcfg_seq_config.cds_clk_low_pos &lt;= avalon_mm_rmap_i.writedata(15 downto 8);</t>
  </si>
  <si>
    <t xml:space="preserve">      rmap_registers_wr_o.aeb2_gcfg_seq_config.cds_clk_high_pos &lt;= avalon_mm_rmap_i.writedata(23 downto 16);</t>
  </si>
  <si>
    <t xml:space="preserve">      rmap_registers_wr_o.aeb2_gcfg_seq_config.rphir_clk_low_pos &lt;= avalon_mm_rmap_i.writedata(31 downto 24);</t>
  </si>
  <si>
    <t xml:space="preserve">      rmap_registers_wr_o.aeb2_gcfg_seq_config.rphir_clk_high_pos &lt;= avalon_mm_rmap_i.writedata(7 downto 0);</t>
  </si>
  <si>
    <t xml:space="preserve">      rmap_registers_wr_o.aeb2_gcfg_seq_config.ft_loop_cnt(7 downto 0) &lt;= avalon_mm_rmap_i.writedata(23 downto 16);</t>
  </si>
  <si>
    <t xml:space="preserve">      rmap_registers_wr_o.aeb2_gcfg_seq_config.ft_loop_cnt(13 downto 8) &lt;= avalon_mm_rmap_i.writedata(29 downto 24);</t>
  </si>
  <si>
    <t xml:space="preserve">      rmap_registers_wr_o.aeb2_gcfg_seq_config.lt0_enabled &lt;= avalon_mm_rmap_i.writedata(0);</t>
  </si>
  <si>
    <t xml:space="preserve">      rmap_registers_wr_o.aeb2_gcfg_seq_config.lt0_pixreadout &lt;= avalon_mm_rmap_i.writedata(0);</t>
  </si>
  <si>
    <t xml:space="preserve">      rmap_registers_wr_o.aeb2_gcfg_seq_config.lt0_loop_cnt(7 downto 0) &lt;= avalon_mm_rmap_i.writedata(7 downto 0);</t>
  </si>
  <si>
    <t xml:space="preserve">      rmap_registers_wr_o.aeb2_gcfg_seq_config.lt0_loop_cnt(13 downto 8) &lt;= avalon_mm_rmap_i.writedata(13 downto 8);</t>
  </si>
  <si>
    <t xml:space="preserve">      rmap_registers_wr_o.aeb2_gcfg_seq_config.lt1_enabled &lt;= avalon_mm_rmap_i.writedata(0);</t>
  </si>
  <si>
    <t xml:space="preserve">      rmap_registers_wr_o.aeb2_gcfg_seq_config.lt1_pixreadout &lt;= avalon_mm_rmap_i.writedata(0);</t>
  </si>
  <si>
    <t xml:space="preserve">      rmap_registers_wr_o.aeb2_gcfg_seq_config.lt1_loop_cnt(7 downto 0) &lt;= avalon_mm_rmap_i.writedata(7 downto 0);</t>
  </si>
  <si>
    <t xml:space="preserve">      rmap_registers_wr_o.aeb2_gcfg_seq_config.lt1_loop_cnt(13 downto 8) &lt;= avalon_mm_rmap_i.writedata(13 downto 8);</t>
  </si>
  <si>
    <t xml:space="preserve">      rmap_registers_wr_o.aeb2_gcfg_seq_config.lt2_enabled &lt;= avalon_mm_rmap_i.writedata(0);</t>
  </si>
  <si>
    <t xml:space="preserve">      rmap_registers_wr_o.aeb2_gcfg_seq_config.lt2_pixreadout &lt;= avalon_mm_rmap_i.writedata(0);</t>
  </si>
  <si>
    <t xml:space="preserve">      rmap_registers_wr_o.aeb2_gcfg_seq_config.lt2_loop_cnt(7 downto 0) &lt;= avalon_mm_rmap_i.writedata(7 downto 0);</t>
  </si>
  <si>
    <t xml:space="preserve">      rmap_registers_wr_o.aeb2_gcfg_seq_config.lt2_loop_cnt(13 downto 8) &lt;= avalon_mm_rmap_i.writedata(13 downto 8);</t>
  </si>
  <si>
    <t xml:space="preserve">      rmap_registers_wr_o.aeb2_gcfg_seq_config.lt3_enabled &lt;= avalon_mm_rmap_i.writedata(0);</t>
  </si>
  <si>
    <t xml:space="preserve">      rmap_registers_wr_o.aeb2_gcfg_seq_config.lt3_pixreadout &lt;= avalon_mm_rmap_i.writedata(0);</t>
  </si>
  <si>
    <t xml:space="preserve">      rmap_registers_wr_o.aeb2_gcfg_seq_config.lt3_loop_cnt(7 downto 0) &lt;= avalon_mm_rmap_i.writedata(7 downto 0);</t>
  </si>
  <si>
    <t xml:space="preserve">      rmap_registers_wr_o.aeb2_gcfg_seq_config.lt3_loop_cnt(13 downto 8) &lt;= avalon_mm_rmap_i.writedata(13 downto 8);</t>
  </si>
  <si>
    <t xml:space="preserve">      rmap_registers_wr_o.aeb2_gcfg_seq_config.pix_loop_cnt(7 downto 0) &lt;= avalon_mm_rmap_i.writedata(23 downto 16);</t>
  </si>
  <si>
    <t xml:space="preserve">      rmap_registers_wr_o.aeb2_gcfg_seq_config.pix_loop_cnt(13 downto 8) &lt;= avalon_mm_rmap_i.writedata(29 downto 24);</t>
  </si>
  <si>
    <t xml:space="preserve">      rmap_registers_wr_o.aeb2_gcfg_seq_config.pc_enabled &lt;= avalon_mm_rmap_i.writedata(0);</t>
  </si>
  <si>
    <t xml:space="preserve">      rmap_registers_wr_o.aeb2_gcfg_seq_config.pc_loop_cnt(7 downto 0) &lt;= avalon_mm_rmap_i.writedata(7 downto 0);</t>
  </si>
  <si>
    <t xml:space="preserve">      rmap_registers_wr_o.aeb2_gcfg_seq_config.pc_loop_cnt(13 downto 8) &lt;= avalon_mm_rmap_i.writedata(13 downto 8);</t>
  </si>
  <si>
    <t xml:space="preserve">      rmap_registers_wr_o.aeb2_gcfg_seq_config.int1_loop_cnt(7 downto 0) &lt;= avalon_mm_rmap_i.writedata(23 downto 16);</t>
  </si>
  <si>
    <t xml:space="preserve">      rmap_registers_wr_o.aeb2_gcfg_seq_config.int1_loop_cnt(13 downto 8) &lt;= avalon_mm_rmap_i.writedata(29 downto 24);</t>
  </si>
  <si>
    <t xml:space="preserve">      rmap_registers_wr_o.aeb2_gcfg_seq_config.int2_loop_cnt(7 downto 0) &lt;= avalon_mm_rmap_i.writedata(7 downto 0);</t>
  </si>
  <si>
    <t xml:space="preserve">      rmap_registers_wr_o.aeb2_gcfg_seq_config.int2_loop_cnt(13 downto 8) &lt;= avalon_mm_rmap_i.writedata(13 downto 8);</t>
  </si>
  <si>
    <t xml:space="preserve">      rmap_registers_wr_o.aeb2_hk_aeb_status.aeb_state &lt;= avalon_mm_rmap_i.writedata(18 downto 16);</t>
  </si>
  <si>
    <t xml:space="preserve">      rmap_registers_wr_o.aeb2_hk_aeb_status.vasp2_cfg_run &lt;= avalon_mm_rmap_i.writedata(0);</t>
  </si>
  <si>
    <t xml:space="preserve">      rmap_registers_wr_o.aeb2_hk_aeb_status.vasp1_cfg_run &lt;= avalon_mm_rmap_i.writedata(0);</t>
  </si>
  <si>
    <t xml:space="preserve">      rmap_registers_wr_o.aeb2_hk_aeb_status.dac_cfg_w_run &lt;= avalon_mm_rmap_i.writedata(0);</t>
  </si>
  <si>
    <t xml:space="preserve">      rmap_registers_wr_o.aeb2_hk_aeb_status.adc_cfg_rd_run &lt;= avalon_mm_rmap_i.writedata(0);</t>
  </si>
  <si>
    <t xml:space="preserve">      rmap_registers_wr_o.aeb2_hk_aeb_status.adc_cfg_wr_run &lt;= avalon_mm_rmap_i.writedata(0);</t>
  </si>
  <si>
    <t xml:space="preserve">      rmap_registers_wr_o.aeb2_hk_aeb_status.adc_dat_rd_run &lt;= avalon_mm_rmap_i.writedata(0);</t>
  </si>
  <si>
    <t xml:space="preserve">      rmap_registers_wr_o.aeb2_hk_aeb_status.adc_error &lt;= avalon_mm_rmap_i.writedata(0);</t>
  </si>
  <si>
    <t xml:space="preserve">      rmap_registers_wr_o.aeb2_hk_aeb_status.adc2_lu &lt;= avalon_mm_rmap_i.writedata(0);</t>
  </si>
  <si>
    <t xml:space="preserve">      rmap_registers_wr_o.aeb2_hk_aeb_status.adc1_lu &lt;= avalon_mm_rmap_i.writedata(0);</t>
  </si>
  <si>
    <t xml:space="preserve">      rmap_registers_wr_o.aeb2_hk_aeb_status.adc_dat_rd &lt;= avalon_mm_rmap_i.writedata(0);</t>
  </si>
  <si>
    <t xml:space="preserve">      rmap_registers_wr_o.aeb2_hk_aeb_status.adc_cfg_rd &lt;= avalon_mm_rmap_i.writedata(0);</t>
  </si>
  <si>
    <t xml:space="preserve">      rmap_registers_wr_o.aeb2_hk_aeb_status.adc_cfg_wr &lt;= avalon_mm_rmap_i.writedata(0);</t>
  </si>
  <si>
    <t xml:space="preserve">      rmap_registers_wr_o.aeb2_hk_aeb_status.adc2_busy &lt;= avalon_mm_rmap_i.writedata(0);</t>
  </si>
  <si>
    <t xml:space="preserve">      rmap_registers_wr_o.aeb2_hk_aeb_status.adc1_busy &lt;= avalon_mm_rmap_i.writedata(0);</t>
  </si>
  <si>
    <t xml:space="preserve">      rmap_registers_wr_o.aeb2_hk_aeb_status.frame_counter(7 downto 0) &lt;= avalon_mm_rmap_i.writedata(7 downto 0);</t>
  </si>
  <si>
    <t xml:space="preserve">      rmap_registers_wr_o.aeb2_hk_aeb_status.frame_counter(15 downto 8) &lt;= avalon_mm_rmap_i.writedata(15 downto 8);</t>
  </si>
  <si>
    <t xml:space="preserve">      rmap_registers_wr_o.aeb2_hk_timestamp.timestamp_1(7 downto 0) &lt;= avalon_mm_rmap_i.writedata(7 downto 0);</t>
  </si>
  <si>
    <t xml:space="preserve">      rmap_registers_wr_o.aeb2_hk_timestamp.timestamp_1(15 downto 8) &lt;= avalon_mm_rmap_i.writedata(15 downto 8);</t>
  </si>
  <si>
    <t xml:space="preserve">      rmap_registers_wr_o.aeb2_hk_timestamp.timestamp_1(23 downto 16) &lt;= avalon_mm_rmap_i.writedata(23 downto 16);</t>
  </si>
  <si>
    <t xml:space="preserve">      rmap_registers_wr_o.aeb2_hk_timestamp.timestamp_1(31 downto 24) &lt;= avalon_mm_rmap_i.writedata(31 downto 24);</t>
  </si>
  <si>
    <t xml:space="preserve">      rmap_registers_wr_o.aeb2_hk_timestamp.timestamp_0(7 downto 0) &lt;= avalon_mm_rmap_i.writedata(7 downto 0);</t>
  </si>
  <si>
    <t xml:space="preserve">      rmap_registers_wr_o.aeb2_hk_timestamp.timestamp_0(15 downto 8) &lt;= avalon_mm_rmap_i.writedata(15 downto 8);</t>
  </si>
  <si>
    <t xml:space="preserve">      rmap_registers_wr_o.aeb2_hk_timestamp.timestamp_0(23 downto 16) &lt;= avalon_mm_rmap_i.writedata(23 downto 16);</t>
  </si>
  <si>
    <t xml:space="preserve">      rmap_registers_wr_o.aeb2_hk_timestamp.timestamp_0(31 downto 24) &lt;= avalon_mm_rmap_i.writedata(31 downto 24);</t>
  </si>
  <si>
    <t xml:space="preserve">      rmap_registers_wr_o.aeb2_hk_adc_rd_data.adc_rd_data_18(7 downto 0) &lt;= avalon_mm_rmap_i.writedata(7 downto 0);</t>
  </si>
  <si>
    <t xml:space="preserve">      rmap_registers_wr_o.aeb2_hk_adc_rd_data.adc_rd_data_18(15 downto 8) &lt;= avalon_mm_rmap_i.writedata(15 downto 8);</t>
  </si>
  <si>
    <t xml:space="preserve">      rmap_registers_wr_o.aeb2_hk_adc_rd_data.adc_rd_data_18(23 downto 16) &lt;= avalon_mm_rmap_i.writedata(23 downto 16);</t>
  </si>
  <si>
    <t xml:space="preserve">      rmap_registers_wr_o.aeb2_hk_adc_rd_data.adc_rd_data_18(31 downto 24) &lt;= avalon_mm_rmap_i.writedata(31 downto 24);</t>
  </si>
  <si>
    <t xml:space="preserve">      rmap_registers_wr_o.aeb2_hk_adc_rd_data.adc_rd_data_17(7 downto 0) &lt;= avalon_mm_rmap_i.writedata(7 downto 0);</t>
  </si>
  <si>
    <t xml:space="preserve">      rmap_registers_wr_o.aeb2_hk_adc_rd_data.adc_rd_data_17(15 downto 8) &lt;= avalon_mm_rmap_i.writedata(15 downto 8);</t>
  </si>
  <si>
    <t xml:space="preserve">      rmap_registers_wr_o.aeb2_hk_adc_rd_data.adc_rd_data_17(23 downto 16) &lt;= avalon_mm_rmap_i.writedata(23 downto 16);</t>
  </si>
  <si>
    <t xml:space="preserve">      rmap_registers_wr_o.aeb2_hk_adc_rd_data.adc_rd_data_17(31 downto 24) &lt;= avalon_mm_rmap_i.writedata(31 downto 24);</t>
  </si>
  <si>
    <t xml:space="preserve">      rmap_registers_wr_o.aeb2_hk_adc_rd_data.adc_rd_data_16(7 downto 0) &lt;= avalon_mm_rmap_i.writedata(7 downto 0);</t>
  </si>
  <si>
    <t xml:space="preserve">      rmap_registers_wr_o.aeb2_hk_adc_rd_data.adc_rd_data_16(15 downto 8) &lt;= avalon_mm_rmap_i.writedata(15 downto 8);</t>
  </si>
  <si>
    <t xml:space="preserve">      rmap_registers_wr_o.aeb2_hk_adc_rd_data.adc_rd_data_16(23 downto 16) &lt;= avalon_mm_rmap_i.writedata(23 downto 16);</t>
  </si>
  <si>
    <t xml:space="preserve">      rmap_registers_wr_o.aeb2_hk_adc_rd_data.adc_rd_data_16(31 downto 24) &lt;= avalon_mm_rmap_i.writedata(31 downto 24);</t>
  </si>
  <si>
    <t xml:space="preserve">      rmap_registers_wr_o.aeb2_hk_adc_rd_data.adc_rd_data_15(7 downto 0) &lt;= avalon_mm_rmap_i.writedata(7 downto 0);</t>
  </si>
  <si>
    <t xml:space="preserve">      rmap_registers_wr_o.aeb2_hk_adc_rd_data.adc_rd_data_15(15 downto 8) &lt;= avalon_mm_rmap_i.writedata(15 downto 8);</t>
  </si>
  <si>
    <t xml:space="preserve">      rmap_registers_wr_o.aeb2_hk_adc_rd_data.adc_rd_data_15(23 downto 16) &lt;= avalon_mm_rmap_i.writedata(23 downto 16);</t>
  </si>
  <si>
    <t xml:space="preserve">      rmap_registers_wr_o.aeb2_hk_adc_rd_data.adc_rd_data_15(31 downto 24) &lt;= avalon_mm_rmap_i.writedata(31 downto 24);</t>
  </si>
  <si>
    <t xml:space="preserve">      rmap_registers_wr_o.aeb2_hk_adc_rd_data.adc_rd_data_14(7 downto 0) &lt;= avalon_mm_rmap_i.writedata(7 downto 0);</t>
  </si>
  <si>
    <t xml:space="preserve">      rmap_registers_wr_o.aeb2_hk_adc_rd_data.adc_rd_data_14(15 downto 8) &lt;= avalon_mm_rmap_i.writedata(15 downto 8);</t>
  </si>
  <si>
    <t xml:space="preserve">      rmap_registers_wr_o.aeb2_hk_adc_rd_data.adc_rd_data_14(23 downto 16) &lt;= avalon_mm_rmap_i.writedata(23 downto 16);</t>
  </si>
  <si>
    <t xml:space="preserve">      rmap_registers_wr_o.aeb2_hk_adc_rd_data.adc_rd_data_14(31 downto 24) &lt;= avalon_mm_rmap_i.writedata(31 downto 24);</t>
  </si>
  <si>
    <t xml:space="preserve">      rmap_registers_wr_o.aeb2_hk_adc_rd_data.adc_rd_data_13(7 downto 0) &lt;= avalon_mm_rmap_i.writedata(7 downto 0);</t>
  </si>
  <si>
    <t xml:space="preserve">      rmap_registers_wr_o.aeb2_hk_adc_rd_data.adc_rd_data_13(15 downto 8) &lt;= avalon_mm_rmap_i.writedata(15 downto 8);</t>
  </si>
  <si>
    <t xml:space="preserve">      rmap_registers_wr_o.aeb2_hk_adc_rd_data.adc_rd_data_13(23 downto 16) &lt;= avalon_mm_rmap_i.writedata(23 downto 16);</t>
  </si>
  <si>
    <t xml:space="preserve">      rmap_registers_wr_o.aeb2_hk_adc_rd_data.adc_rd_data_13(31 downto 24) &lt;= avalon_mm_rmap_i.writedata(31 downto 24);</t>
  </si>
  <si>
    <t xml:space="preserve">      rmap_registers_wr_o.aeb2_hk_adc_rd_data.adc_rd_data_12(7 downto 0) &lt;= avalon_mm_rmap_i.writedata(7 downto 0);</t>
  </si>
  <si>
    <t xml:space="preserve">      rmap_registers_wr_o.aeb2_hk_adc_rd_data.adc_rd_data_12(15 downto 8) &lt;= avalon_mm_rmap_i.writedata(15 downto 8);</t>
  </si>
  <si>
    <t xml:space="preserve">      rmap_registers_wr_o.aeb2_hk_adc_rd_data.adc_rd_data_12(23 downto 16) &lt;= avalon_mm_rmap_i.writedata(23 downto 16);</t>
  </si>
  <si>
    <t xml:space="preserve">      rmap_registers_wr_o.aeb2_hk_adc_rd_data.adc_rd_data_12(31 downto 24) &lt;= avalon_mm_rmap_i.writedata(31 downto 24);</t>
  </si>
  <si>
    <t xml:space="preserve">      rmap_registers_wr_o.aeb2_hk_adc_rd_data.adc_rd_data_11(7 downto 0) &lt;= avalon_mm_rmap_i.writedata(7 downto 0);</t>
  </si>
  <si>
    <t xml:space="preserve">      rmap_registers_wr_o.aeb2_hk_adc_rd_data.adc_rd_data_11(15 downto 8) &lt;= avalon_mm_rmap_i.writedata(15 downto 8);</t>
  </si>
  <si>
    <t xml:space="preserve">      rmap_registers_wr_o.aeb2_hk_adc_rd_data.adc_rd_data_11(23 downto 16) &lt;= avalon_mm_rmap_i.writedata(23 downto 16);</t>
  </si>
  <si>
    <t xml:space="preserve">      rmap_registers_wr_o.aeb2_hk_adc_rd_data.adc_rd_data_11(31 downto 24) &lt;= avalon_mm_rmap_i.writedata(31 downto 24);</t>
  </si>
  <si>
    <t xml:space="preserve">      rmap_registers_wr_o.aeb2_hk_adc_rd_data.adc_rd_data_10(7 downto 0) &lt;= avalon_mm_rmap_i.writedata(7 downto 0);</t>
  </si>
  <si>
    <t xml:space="preserve">      rmap_registers_wr_o.aeb2_hk_adc_rd_data.adc_rd_data_10(15 downto 8) &lt;= avalon_mm_rmap_i.writedata(15 downto 8);</t>
  </si>
  <si>
    <t xml:space="preserve">      rmap_registers_wr_o.aeb2_hk_adc_rd_data.adc_rd_data_10(23 downto 16) &lt;= avalon_mm_rmap_i.writedata(23 downto 16);</t>
  </si>
  <si>
    <t xml:space="preserve">      rmap_registers_wr_o.aeb2_hk_adc_rd_data.adc_rd_data_10(31 downto 24) &lt;= avalon_mm_rmap_i.writedata(31 downto 24);</t>
  </si>
  <si>
    <t xml:space="preserve">      rmap_registers_wr_o.aeb2_hk_adc_rd_data.adc_rd_data_9(7 downto 0) &lt;= avalon_mm_rmap_i.writedata(7 downto 0);</t>
  </si>
  <si>
    <t xml:space="preserve">      rmap_registers_wr_o.aeb2_hk_adc_rd_data.adc_rd_data_9(15 downto 8) &lt;= avalon_mm_rmap_i.writedata(15 downto 8);</t>
  </si>
  <si>
    <t xml:space="preserve">      rmap_registers_wr_o.aeb2_hk_adc_rd_data.adc_rd_data_9(23 downto 16) &lt;= avalon_mm_rmap_i.writedata(23 downto 16);</t>
  </si>
  <si>
    <t xml:space="preserve">      rmap_registers_wr_o.aeb2_hk_adc_rd_data.adc_rd_data_9(31 downto 24) &lt;= avalon_mm_rmap_i.writedata(31 downto 24);</t>
  </si>
  <si>
    <t xml:space="preserve">      rmap_registers_wr_o.aeb2_hk_adc_rd_data.adc_rd_data_8(7 downto 0) &lt;= avalon_mm_rmap_i.writedata(7 downto 0);</t>
  </si>
  <si>
    <t xml:space="preserve">      rmap_registers_wr_o.aeb2_hk_adc_rd_data.adc_rd_data_8(15 downto 8) &lt;= avalon_mm_rmap_i.writedata(15 downto 8);</t>
  </si>
  <si>
    <t xml:space="preserve">      rmap_registers_wr_o.aeb2_hk_adc_rd_data.adc_rd_data_8(23 downto 16) &lt;= avalon_mm_rmap_i.writedata(23 downto 16);</t>
  </si>
  <si>
    <t xml:space="preserve">      rmap_registers_wr_o.aeb2_hk_adc_rd_data.adc_rd_data_8(31 downto 24) &lt;= avalon_mm_rmap_i.writedata(31 downto 24);</t>
  </si>
  <si>
    <t xml:space="preserve">      rmap_registers_wr_o.aeb2_hk_adc_rd_data.adc_rd_data_7(7 downto 0) &lt;= avalon_mm_rmap_i.writedata(7 downto 0);</t>
  </si>
  <si>
    <t xml:space="preserve">      rmap_registers_wr_o.aeb2_hk_adc_rd_data.adc_rd_data_7(15 downto 8) &lt;= avalon_mm_rmap_i.writedata(15 downto 8);</t>
  </si>
  <si>
    <t xml:space="preserve">      rmap_registers_wr_o.aeb2_hk_adc_rd_data.adc_rd_data_7(23 downto 16) &lt;= avalon_mm_rmap_i.writedata(23 downto 16);</t>
  </si>
  <si>
    <t xml:space="preserve">      rmap_registers_wr_o.aeb2_hk_adc_rd_data.adc_rd_data_7(31 downto 24) &lt;= avalon_mm_rmap_i.writedata(31 downto 24);</t>
  </si>
  <si>
    <t xml:space="preserve">      rmap_registers_wr_o.aeb2_hk_adc_rd_data.adc_rd_data_6(7 downto 0) &lt;= avalon_mm_rmap_i.writedata(7 downto 0);</t>
  </si>
  <si>
    <t xml:space="preserve">      rmap_registers_wr_o.aeb2_hk_adc_rd_data.adc_rd_data_6(15 downto 8) &lt;= avalon_mm_rmap_i.writedata(15 downto 8);</t>
  </si>
  <si>
    <t xml:space="preserve">      rmap_registers_wr_o.aeb2_hk_adc_rd_data.adc_rd_data_6(23 downto 16) &lt;= avalon_mm_rmap_i.writedata(23 downto 16);</t>
  </si>
  <si>
    <t xml:space="preserve">      rmap_registers_wr_o.aeb2_hk_adc_rd_data.adc_rd_data_6(31 downto 24) &lt;= avalon_mm_rmap_i.writedata(31 downto 24);</t>
  </si>
  <si>
    <t xml:space="preserve">      rmap_registers_wr_o.aeb2_hk_adc_rd_data.adc_rd_data_5(7 downto 0) &lt;= avalon_mm_rmap_i.writedata(7 downto 0);</t>
  </si>
  <si>
    <t xml:space="preserve">      rmap_registers_wr_o.aeb2_hk_adc_rd_data.adc_rd_data_5(15 downto 8) &lt;= avalon_mm_rmap_i.writedata(15 downto 8);</t>
  </si>
  <si>
    <t xml:space="preserve">      rmap_registers_wr_o.aeb2_hk_adc_rd_data.adc_rd_data_5(23 downto 16) &lt;= avalon_mm_rmap_i.writedata(23 downto 16);</t>
  </si>
  <si>
    <t xml:space="preserve">      rmap_registers_wr_o.aeb2_hk_adc_rd_data.adc_rd_data_5(31 downto 24) &lt;= avalon_mm_rmap_i.writedata(31 downto 24);</t>
  </si>
  <si>
    <t xml:space="preserve">      rmap_registers_wr_o.aeb2_hk_adc_rd_data.adc_rd_data_4(7 downto 0) &lt;= avalon_mm_rmap_i.writedata(7 downto 0);</t>
  </si>
  <si>
    <t xml:space="preserve">      rmap_registers_wr_o.aeb2_hk_adc_rd_data.adc_rd_data_4(15 downto 8) &lt;= avalon_mm_rmap_i.writedata(15 downto 8);</t>
  </si>
  <si>
    <t xml:space="preserve">      rmap_registers_wr_o.aeb2_hk_adc_rd_data.adc_rd_data_4(23 downto 16) &lt;= avalon_mm_rmap_i.writedata(23 downto 16);</t>
  </si>
  <si>
    <t xml:space="preserve">      rmap_registers_wr_o.aeb2_hk_adc_rd_data.adc_rd_data_4(31 downto 24) &lt;= avalon_mm_rmap_i.writedata(31 downto 24);</t>
  </si>
  <si>
    <t xml:space="preserve">      rmap_registers_wr_o.aeb2_hk_adc_rd_data.adc_rd_data_3(7 downto 0) &lt;= avalon_mm_rmap_i.writedata(7 downto 0);</t>
  </si>
  <si>
    <t xml:space="preserve">      rmap_registers_wr_o.aeb2_hk_adc_rd_data.adc_rd_data_3(15 downto 8) &lt;= avalon_mm_rmap_i.writedata(15 downto 8);</t>
  </si>
  <si>
    <t xml:space="preserve">      rmap_registers_wr_o.aeb2_hk_adc_rd_data.adc_rd_data_3(23 downto 16) &lt;= avalon_mm_rmap_i.writedata(23 downto 16);</t>
  </si>
  <si>
    <t xml:space="preserve">      rmap_registers_wr_o.aeb2_hk_adc_rd_data.adc_rd_data_3(31 downto 24) &lt;= avalon_mm_rmap_i.writedata(31 downto 24);</t>
  </si>
  <si>
    <t xml:space="preserve">      rmap_registers_wr_o.aeb2_hk_adc_rd_data.adc_rd_data_2(7 downto 0) &lt;= avalon_mm_rmap_i.writedata(7 downto 0);</t>
  </si>
  <si>
    <t xml:space="preserve">      rmap_registers_wr_o.aeb2_hk_adc_rd_data.adc_rd_data_2(15 downto 8) &lt;= avalon_mm_rmap_i.writedata(15 downto 8);</t>
  </si>
  <si>
    <t xml:space="preserve">      rmap_registers_wr_o.aeb2_hk_adc_rd_data.adc_rd_data_2(23 downto 16) &lt;= avalon_mm_rmap_i.writedata(23 downto 16);</t>
  </si>
  <si>
    <t xml:space="preserve">      rmap_registers_wr_o.aeb2_hk_adc_rd_data.adc_rd_data_2(31 downto 24) &lt;= avalon_mm_rmap_i.writedata(31 downto 24);</t>
  </si>
  <si>
    <t xml:space="preserve">      rmap_registers_wr_o.aeb2_hk_adc_rd_data.adc_rd_data_1(7 downto 0) &lt;= avalon_mm_rmap_i.writedata(7 downto 0);</t>
  </si>
  <si>
    <t xml:space="preserve">      rmap_registers_wr_o.aeb2_hk_adc_rd_data.adc_rd_data_1(15 downto 8) &lt;= avalon_mm_rmap_i.writedata(15 downto 8);</t>
  </si>
  <si>
    <t xml:space="preserve">      rmap_registers_wr_o.aeb2_hk_adc_rd_data.adc_rd_data_1(23 downto 16) &lt;= avalon_mm_rmap_i.writedata(23 downto 16);</t>
  </si>
  <si>
    <t xml:space="preserve">      rmap_registers_wr_o.aeb2_hk_adc_rd_data.adc_rd_data_1(31 downto 24) &lt;= avalon_mm_rmap_i.writedata(31 downto 24);</t>
  </si>
  <si>
    <t xml:space="preserve">      rmap_registers_wr_o.aeb2_hk_adc_rd_data.adc_rd_data_0(7 downto 0) &lt;= avalon_mm_rmap_i.writedata(7 downto 0);</t>
  </si>
  <si>
    <t xml:space="preserve">      rmap_registers_wr_o.aeb2_hk_adc_rd_data.adc_rd_data_0(15 downto 8) &lt;= avalon_mm_rmap_i.writedata(15 downto 8);</t>
  </si>
  <si>
    <t xml:space="preserve">      rmap_registers_wr_o.aeb2_hk_adc_rd_data.adc_rd_data_0(23 downto 16) &lt;= avalon_mm_rmap_i.writedata(23 downto 16);</t>
  </si>
  <si>
    <t xml:space="preserve">      rmap_registers_wr_o.aeb2_hk_adc_rd_data.adc_rd_data_0(31 downto 24) &lt;= avalon_mm_rmap_i.writedata(31 downto 24);</t>
  </si>
  <si>
    <t xml:space="preserve">      rmap_registers_wr_o.aeb2_hk_adc1_rd_config.adc1_rd_config_3(7 downto 0) &lt;= avalon_mm_rmap_i.writedata(7 downto 0);</t>
  </si>
  <si>
    <t xml:space="preserve">      rmap_registers_wr_o.aeb2_hk_adc1_rd_config.adc1_rd_config_3(15 downto 8) &lt;= avalon_mm_rmap_i.writedata(15 downto 8);</t>
  </si>
  <si>
    <t xml:space="preserve">      rmap_registers_wr_o.aeb2_hk_adc1_rd_config.adc1_rd_config_3(23 downto 16) &lt;= avalon_mm_rmap_i.writedata(23 downto 16);</t>
  </si>
  <si>
    <t xml:space="preserve">      rmap_registers_wr_o.aeb2_hk_adc1_rd_config.adc1_rd_config_3(31 downto 24) &lt;= avalon_mm_rmap_i.writedata(31 downto 24);</t>
  </si>
  <si>
    <t xml:space="preserve">      rmap_registers_wr_o.aeb2_hk_adc1_rd_config.adc1_rd_config_2(7 downto 0) &lt;= avalon_mm_rmap_i.writedata(7 downto 0);</t>
  </si>
  <si>
    <t xml:space="preserve">      rmap_registers_wr_o.aeb2_hk_adc1_rd_config.adc1_rd_config_2(15 downto 8) &lt;= avalon_mm_rmap_i.writedata(15 downto 8);</t>
  </si>
  <si>
    <t xml:space="preserve">      rmap_registers_wr_o.aeb2_hk_adc1_rd_config.adc1_rd_config_2(23 downto 16) &lt;= avalon_mm_rmap_i.writedata(23 downto 16);</t>
  </si>
  <si>
    <t xml:space="preserve">      rmap_registers_wr_o.aeb2_hk_adc1_rd_config.adc1_rd_config_2(31 downto 24) &lt;= avalon_mm_rmap_i.writedata(31 downto 24);</t>
  </si>
  <si>
    <t xml:space="preserve">      rmap_registers_wr_o.aeb2_hk_adc1_rd_config.adc1_rd_config_1(7 downto 0) &lt;= avalon_mm_rmap_i.writedata(7 downto 0);</t>
  </si>
  <si>
    <t xml:space="preserve">      rmap_registers_wr_o.aeb2_hk_adc1_rd_config.adc1_rd_config_1(15 downto 8) &lt;= avalon_mm_rmap_i.writedata(15 downto 8);</t>
  </si>
  <si>
    <t xml:space="preserve">      rmap_registers_wr_o.aeb2_hk_adc1_rd_config.adc1_rd_config_1(23 downto 16) &lt;= avalon_mm_rmap_i.writedata(23 downto 16);</t>
  </si>
  <si>
    <t xml:space="preserve">      rmap_registers_wr_o.aeb2_hk_adc1_rd_config.adc1_rd_config_1(31 downto 24) &lt;= avalon_mm_rmap_i.writedata(31 downto 24);</t>
  </si>
  <si>
    <t xml:space="preserve">      rmap_registers_wr_o.aeb2_hk_adc1_rd_config.adc1_rd_config_0(7 downto 0) &lt;= avalon_mm_rmap_i.writedata(7 downto 0);</t>
  </si>
  <si>
    <t xml:space="preserve">      rmap_registers_wr_o.aeb2_hk_adc1_rd_config.adc1_rd_config_0(15 downto 8) &lt;= avalon_mm_rmap_i.writedata(15 downto 8);</t>
  </si>
  <si>
    <t xml:space="preserve">      rmap_registers_wr_o.aeb2_hk_adc1_rd_config.adc1_rd_config_0(23 downto 16) &lt;= avalon_mm_rmap_i.writedata(23 downto 16);</t>
  </si>
  <si>
    <t xml:space="preserve">      rmap_registers_wr_o.aeb2_hk_adc1_rd_config.adc1_rd_config_0(31 downto 24) &lt;= avalon_mm_rmap_i.writedata(31 downto 24);</t>
  </si>
  <si>
    <t xml:space="preserve">      rmap_registers_wr_o.aeb2_hk_adc2_rd_config.adc2_rd_config_3(7 downto 0) &lt;= avalon_mm_rmap_i.writedata(7 downto 0);</t>
  </si>
  <si>
    <t xml:space="preserve">      rmap_registers_wr_o.aeb2_hk_adc2_rd_config.adc2_rd_config_3(15 downto 8) &lt;= avalon_mm_rmap_i.writedata(15 downto 8);</t>
  </si>
  <si>
    <t xml:space="preserve">      rmap_registers_wr_o.aeb2_hk_adc2_rd_config.adc2_rd_config_3(23 downto 16) &lt;= avalon_mm_rmap_i.writedata(23 downto 16);</t>
  </si>
  <si>
    <t xml:space="preserve">      rmap_registers_wr_o.aeb2_hk_adc2_rd_config.adc2_rd_config_3(31 downto 24) &lt;= avalon_mm_rmap_i.writedata(31 downto 24);</t>
  </si>
  <si>
    <t xml:space="preserve">      rmap_registers_wr_o.aeb2_hk_adc2_rd_config.adc2_rd_config_2(7 downto 0) &lt;= avalon_mm_rmap_i.writedata(7 downto 0);</t>
  </si>
  <si>
    <t xml:space="preserve">      rmap_registers_wr_o.aeb2_hk_adc2_rd_config.adc2_rd_config_2(15 downto 8) &lt;= avalon_mm_rmap_i.writedata(15 downto 8);</t>
  </si>
  <si>
    <t xml:space="preserve">      rmap_registers_wr_o.aeb2_hk_adc2_rd_config.adc2_rd_config_2(23 downto 16) &lt;= avalon_mm_rmap_i.writedata(23 downto 16);</t>
  </si>
  <si>
    <t xml:space="preserve">      rmap_registers_wr_o.aeb2_hk_adc2_rd_config.adc2_rd_config_2(31 downto 24) &lt;= avalon_mm_rmap_i.writedata(31 downto 24);</t>
  </si>
  <si>
    <t xml:space="preserve">      rmap_registers_wr_o.aeb2_hk_adc2_rd_config.adc2_rd_config_1(7 downto 0) &lt;= avalon_mm_rmap_i.writedata(7 downto 0);</t>
  </si>
  <si>
    <t xml:space="preserve">      rmap_registers_wr_o.aeb2_hk_adc2_rd_config.adc2_rd_config_1(15 downto 8) &lt;= avalon_mm_rmap_i.writedata(15 downto 8);</t>
  </si>
  <si>
    <t xml:space="preserve">      rmap_registers_wr_o.aeb2_hk_adc2_rd_config.adc2_rd_config_1(23 downto 16) &lt;= avalon_mm_rmap_i.writedata(23 downto 16);</t>
  </si>
  <si>
    <t xml:space="preserve">      rmap_registers_wr_o.aeb2_hk_adc2_rd_config.adc2_rd_config_1(31 downto 24) &lt;= avalon_mm_rmap_i.writedata(31 downto 24);</t>
  </si>
  <si>
    <t xml:space="preserve">      rmap_registers_wr_o.aeb2_hk_adc2_rd_config.adc2_rd_config_0(7 downto 0) &lt;= avalon_mm_rmap_i.writedata(7 downto 0);</t>
  </si>
  <si>
    <t xml:space="preserve">      rmap_registers_wr_o.aeb2_hk_adc2_rd_config.adc2_rd_config_0(15 downto 8) &lt;= avalon_mm_rmap_i.writedata(15 downto 8);</t>
  </si>
  <si>
    <t xml:space="preserve">      rmap_registers_wr_o.aeb2_hk_adc2_rd_config.adc2_rd_config_0(23 downto 16) &lt;= avalon_mm_rmap_i.writedata(23 downto 16);</t>
  </si>
  <si>
    <t xml:space="preserve">      rmap_registers_wr_o.aeb2_hk_adc2_rd_config.adc2_rd_config_0(31 downto 24) &lt;= avalon_mm_rmap_i.writedata(31 downto 24);</t>
  </si>
  <si>
    <t xml:space="preserve">      rmap_registers_wr_o.aeb2_hk_vasp_rd_config.vasp1_read_data &lt;= avalon_mm_rmap_i.writedata(7 downto 0);</t>
  </si>
  <si>
    <t xml:space="preserve">      rmap_registers_wr_o.aeb2_hk_vasp_rd_config.vasp2_read_data &lt;= avalon_mm_rmap_i.writedata(15 downto 8);</t>
  </si>
  <si>
    <t xml:space="preserve">      rmap_registers_wr_o.aeb2_hk_revision_id.fpga_ver(7 downto 0) &lt;= avalon_mm_rmap_i.writedata(23 downto 16);</t>
  </si>
  <si>
    <t xml:space="preserve">      rmap_registers_wr_o.aeb2_hk_revision_id.fpga_ver(15 downto 8) &lt;= avalon_mm_rmap_i.writedata(31 downto 24);</t>
  </si>
  <si>
    <t xml:space="preserve">      rmap_registers_wr_o.aeb2_hk_revision_id.fpga_date(7 downto 0) &lt;= avalon_mm_rmap_i.writedata(7 downto 0);</t>
  </si>
  <si>
    <t xml:space="preserve">      rmap_registers_wr_o.aeb2_hk_revision_id.fpga_date(15 downto 8) &lt;= avalon_mm_rmap_i.writedata(15 downto 8);</t>
  </si>
  <si>
    <t xml:space="preserve">      rmap_registers_wr_o.aeb2_hk_revision_id.fpga_time(7 downto 0) &lt;= avalon_mm_rmap_i.writedata(23 downto 16);</t>
  </si>
  <si>
    <t xml:space="preserve">      rmap_registers_wr_o.aeb2_hk_revision_id.fpga_time(15 downto 8) &lt;= avalon_mm_rmap_i.writedata(31 downto 24);</t>
  </si>
  <si>
    <t xml:space="preserve">      rmap_registers_wr_o.aeb2_hk_revision_id.fpga_svn(7 downto 0) &lt;= avalon_mm_rmap_i.writedata(7 downto 0);</t>
  </si>
  <si>
    <t xml:space="preserve">      rmap_registers_wr_o.aeb2_hk_revision_id.fpga_svn(15 downto 8) &lt;= avalon_mm_rmap_i.writedata(15 downto 8);</t>
  </si>
  <si>
    <t xml:space="preserve">      rmap_registers_wr_o.aeb3_ccfg_aeb_control.new_state &lt;= avalon_mm_rmap_i.writedata(20 downto 16);</t>
  </si>
  <si>
    <t xml:space="preserve">      rmap_registers_wr_o.aeb3_ccfg_aeb_control.set_state &lt;= avalon_mm_rmap_i.writedata(0);</t>
  </si>
  <si>
    <t xml:space="preserve">      rmap_registers_wr_o.aeb3_ccfg_aeb_control.aeb_reset &lt;= avalon_mm_rmap_i.writedata(0);</t>
  </si>
  <si>
    <t xml:space="preserve">      rmap_registers_wr_o.aeb3_ccfg_aeb_control.adc_data_rd &lt;= avalon_mm_rmap_i.writedata(0);</t>
  </si>
  <si>
    <t xml:space="preserve">      rmap_registers_wr_o.aeb3_ccfg_aeb_control.adc_cfg_wr &lt;= avalon_mm_rmap_i.writedata(0);</t>
  </si>
  <si>
    <t xml:space="preserve">      rmap_registers_wr_o.aeb3_ccfg_aeb_control.adc_cfg_rd &lt;= avalon_mm_rmap_i.writedata(0);</t>
  </si>
  <si>
    <t xml:space="preserve">      rmap_registers_wr_o.aeb3_ccfg_aeb_control.dac_wr &lt;= avalon_mm_rmap_i.writedata(0);</t>
  </si>
  <si>
    <t xml:space="preserve">      rmap_registers_wr_o.aeb3_ccfg_aeb_config.watchdog_dis &lt;= avalon_mm_rmap_i.writedata(0);</t>
  </si>
  <si>
    <t xml:space="preserve">      rmap_registers_wr_o.aeb3_ccfg_aeb_config.int_sync &lt;= avalon_mm_rmap_i.writedata(0);</t>
  </si>
  <si>
    <t xml:space="preserve">      rmap_registers_wr_o.aeb3_ccfg_aeb_config.vasp_cds_en &lt;= avalon_mm_rmap_i.writedata(0);</t>
  </si>
  <si>
    <t xml:space="preserve">      rmap_registers_wr_o.aeb3_ccfg_aeb_config.vasp2_cal_en &lt;= avalon_mm_rmap_i.writedata(0);</t>
  </si>
  <si>
    <t xml:space="preserve">      rmap_registers_wr_o.aeb3_ccfg_aeb_config.vasp1_cal_en &lt;= avalon_mm_rmap_i.writedata(0);</t>
  </si>
  <si>
    <t xml:space="preserve">      rmap_registers_wr_o.aeb3_ccfg_aeb_config_key.key(7 downto 0) &lt;= avalon_mm_rmap_i.writedata(7 downto 0);</t>
  </si>
  <si>
    <t xml:space="preserve">      rmap_registers_wr_o.aeb3_ccfg_aeb_config_key.key(15 downto 8) &lt;= avalon_mm_rmap_i.writedata(15 downto 8);</t>
  </si>
  <si>
    <t xml:space="preserve">      rmap_registers_wr_o.aeb3_ccfg_aeb_config_key.key(23 downto 16) &lt;= avalon_mm_rmap_i.writedata(23 downto 16);</t>
  </si>
  <si>
    <t xml:space="preserve">      rmap_registers_wr_o.aeb3_ccfg_aeb_config_key.key(30 downto 24) &lt;= avalon_mm_rmap_i.writedata(30 downto 24);</t>
  </si>
  <si>
    <t xml:space="preserve">      rmap_registers_wr_o.aeb3_ccfg_aeb_config_ait1.override_sw &lt;= avalon_mm_rmap_i.writedata(0);</t>
  </si>
  <si>
    <t xml:space="preserve">      rmap_registers_wr_o.aeb3_ccfg_aeb_config_ait1.sw_van3 &lt;= avalon_mm_rmap_i.writedata(0);</t>
  </si>
  <si>
    <t xml:space="preserve">      rmap_registers_wr_o.aeb3_ccfg_aeb_config_ait1.sw_van2 &lt;= avalon_mm_rmap_i.writedata(0);</t>
  </si>
  <si>
    <t xml:space="preserve">      rmap_registers_wr_o.aeb3_ccfg_aeb_config_ait1.sw_van1 &lt;= avalon_mm_rmap_i.writedata(0);</t>
  </si>
  <si>
    <t xml:space="preserve">      rmap_registers_wr_o.aeb3_ccfg_aeb_config_ait1.sw_vclk &lt;= avalon_mm_rmap_i.writedata(0);</t>
  </si>
  <si>
    <t xml:space="preserve">      rmap_registers_wr_o.aeb3_ccfg_aeb_config_ait1.sw_vccd &lt;= avalon_mm_rmap_i.writedata(0);</t>
  </si>
  <si>
    <t xml:space="preserve">      rmap_registers_wr_o.aeb3_ccfg_aeb_config_ait1.override_vasp &lt;= avalon_mm_rmap_i.writedata(0);</t>
  </si>
  <si>
    <t xml:space="preserve">      rmap_registers_wr_o.aeb3_ccfg_aeb_config_ait1.vasp2_pix_en &lt;= avalon_mm_rmap_i.writedata(0);</t>
  </si>
  <si>
    <t xml:space="preserve">      rmap_registers_wr_o.aeb3_ccfg_aeb_config_ait1.vasp1_pix_en &lt;= avalon_mm_rmap_i.writedata(0);</t>
  </si>
  <si>
    <t xml:space="preserve">      rmap_registers_wr_o.aeb3_ccfg_aeb_config_ait1.vasp2_adc_en &lt;= avalon_mm_rmap_i.writedata(0);</t>
  </si>
  <si>
    <t xml:space="preserve">      rmap_registers_wr_o.aeb3_ccfg_aeb_config_ait1.vasp1_adc_en &lt;= avalon_mm_rmap_i.writedata(0);</t>
  </si>
  <si>
    <t xml:space="preserve">      rmap_registers_wr_o.aeb3_ccfg_aeb_config_ait1.vasp2_reset &lt;= avalon_mm_rmap_i.writedata(0);</t>
  </si>
  <si>
    <t xml:space="preserve">      rmap_registers_wr_o.aeb3_ccfg_aeb_config_ait1.vasp1_reset &lt;= avalon_mm_rmap_i.writedata(0);</t>
  </si>
  <si>
    <t xml:space="preserve">      rmap_registers_wr_o.aeb3_ccfg_aeb_config_ait1.override_adc &lt;= avalon_mm_rmap_i.writedata(0);</t>
  </si>
  <si>
    <t xml:space="preserve">      rmap_registers_wr_o.aeb3_ccfg_aeb_config_ait1.adc2_en_p5v0 &lt;= avalon_mm_rmap_i.writedata(0);</t>
  </si>
  <si>
    <t xml:space="preserve">      rmap_registers_wr_o.aeb3_ccfg_aeb_config_ait1.adc1_en_p5v0 &lt;= avalon_mm_rmap_i.writedata(0);</t>
  </si>
  <si>
    <t xml:space="preserve">      rmap_registers_wr_o.aeb3_ccfg_aeb_config_ait1.pt1000_cal_on_n &lt;= avalon_mm_rmap_i.writedata(0);</t>
  </si>
  <si>
    <t xml:space="preserve">      rmap_registers_wr_o.aeb3_ccfg_aeb_config_ait1.en_v_mux_n &lt;= avalon_mm_rmap_i.writedata(0);</t>
  </si>
  <si>
    <t xml:space="preserve">      rmap_registers_wr_o.aeb3_ccfg_aeb_config_ait1.adc2_pwdn_n &lt;= avalon_mm_rmap_i.writedata(0);</t>
  </si>
  <si>
    <t xml:space="preserve">      rmap_registers_wr_o.aeb3_ccfg_aeb_config_ait1.adc1_pwdn_n &lt;= avalon_mm_rmap_i.writedata(0);</t>
  </si>
  <si>
    <t xml:space="preserve">      rmap_registers_wr_o.aeb3_ccfg_aeb_config_ait1.adc_clk_en &lt;= avalon_mm_rmap_i.writedata(0);</t>
  </si>
  <si>
    <t xml:space="preserve">      rmap_registers_wr_o.aeb3_ccfg_aeb_config_pattern.pattern_ccdid &lt;= avalon_mm_rmap_i.writedata(1 downto 0);</t>
  </si>
  <si>
    <t xml:space="preserve">      rmap_registers_wr_o.aeb3_ccfg_aeb_config_pattern.pattern_cols(7 downto 0) &lt;= avalon_mm_rmap_i.writedata(23 downto 16);</t>
  </si>
  <si>
    <t xml:space="preserve">      rmap_registers_wr_o.aeb3_ccfg_aeb_config_pattern.pattern_cols(13 downto 8) &lt;= avalon_mm_rmap_i.writedata(29 downto 24);</t>
  </si>
  <si>
    <t xml:space="preserve">      rmap_registers_wr_o.aeb3_ccfg_aeb_config_pattern.pattern_rows(7 downto 0) &lt;= avalon_mm_rmap_i.writedata(7 downto 0);</t>
  </si>
  <si>
    <t xml:space="preserve">      rmap_registers_wr_o.aeb3_ccfg_aeb_config_pattern.pattern_rows(13 downto 8) &lt;= avalon_mm_rmap_i.writedata(13 downto 8);</t>
  </si>
  <si>
    <t xml:space="preserve">      rmap_registers_wr_o.aeb3_ccfg_vasp_i2c_control.vasp_cfg_addr &lt;= avalon_mm_rmap_i.writedata(23 downto 16);</t>
  </si>
  <si>
    <t xml:space="preserve">      rmap_registers_wr_o.aeb3_ccfg_vasp_i2c_control.vasp1_cfg_data &lt;= avalon_mm_rmap_i.writedata(31 downto 24);</t>
  </si>
  <si>
    <t xml:space="preserve">      rmap_registers_wr_o.aeb3_ccfg_vasp_i2c_control.vasp2_cfg_data &lt;= avalon_mm_rmap_i.writedata(7 downto 0);</t>
  </si>
  <si>
    <t xml:space="preserve">      rmap_registers_wr_o.aeb3_ccfg_vasp_i2c_control.vasp2_select &lt;= avalon_mm_rmap_i.writedata(0);</t>
  </si>
  <si>
    <t xml:space="preserve">      rmap_registers_wr_o.aeb3_ccfg_vasp_i2c_control.vasp1_select &lt;= avalon_mm_rmap_i.writedata(0);</t>
  </si>
  <si>
    <t xml:space="preserve">      rmap_registers_wr_o.aeb3_ccfg_vasp_i2c_control.calibration_start &lt;= avalon_mm_rmap_i.writedata(0);</t>
  </si>
  <si>
    <t xml:space="preserve">      rmap_registers_wr_o.aeb3_ccfg_vasp_i2c_control.i2c_read_start &lt;= avalon_mm_rmap_i.writedata(0);</t>
  </si>
  <si>
    <t xml:space="preserve">      rmap_registers_wr_o.aeb3_ccfg_vasp_i2c_control.i2c_write_start &lt;= avalon_mm_rmap_i.writedata(0);</t>
  </si>
  <si>
    <t xml:space="preserve">      rmap_registers_wr_o.aeb3_ccfg_dac_config_1.dac_vog(7 downto 0) &lt;= avalon_mm_rmap_i.writedata(7 downto 0);</t>
  </si>
  <si>
    <t xml:space="preserve">      rmap_registers_wr_o.aeb3_ccfg_dac_config_1.dac_vog(11 downto 8) &lt;= avalon_mm_rmap_i.writedata(11 downto 8);</t>
  </si>
  <si>
    <t xml:space="preserve">      rmap_registers_wr_o.aeb3_ccfg_dac_config_1.dac_vrd(7 downto 0) &lt;= avalon_mm_rmap_i.writedata(23 downto 16);</t>
  </si>
  <si>
    <t xml:space="preserve">      rmap_registers_wr_o.aeb3_ccfg_dac_config_1.dac_vrd(11 downto 8) &lt;= avalon_mm_rmap_i.writedata(27 downto 24);</t>
  </si>
  <si>
    <t xml:space="preserve">      rmap_registers_wr_o.aeb3_ccfg_dac_config_2.dac_vod(7 downto 0) &lt;= avalon_mm_rmap_i.writedata(7 downto 0);</t>
  </si>
  <si>
    <t xml:space="preserve">      rmap_registers_wr_o.aeb3_ccfg_dac_config_2.dac_vod(11 downto 8) &lt;= avalon_mm_rmap_i.writedata(11 downto 8);</t>
  </si>
  <si>
    <t xml:space="preserve">      rmap_registers_wr_o.aeb3_ccfg_pwr_config1.time_vccd_on &lt;= avalon_mm_rmap_i.writedata(23 downto 16);</t>
  </si>
  <si>
    <t xml:space="preserve">      rmap_registers_wr_o.aeb3_ccfg_pwr_config1.time_vclk_on &lt;= avalon_mm_rmap_i.writedata(31 downto 24);</t>
  </si>
  <si>
    <t xml:space="preserve">      rmap_registers_wr_o.aeb3_ccfg_pwr_config1.time_van1_on &lt;= avalon_mm_rmap_i.writedata(7 downto 0);</t>
  </si>
  <si>
    <t xml:space="preserve">      rmap_registers_wr_o.aeb3_ccfg_pwr_config1.time_van2_on &lt;= avalon_mm_rmap_i.writedata(15 downto 8);</t>
  </si>
  <si>
    <t xml:space="preserve">      rmap_registers_wr_o.aeb3_ccfg_pwr_config2.time_van3_on &lt;= avalon_mm_rmap_i.writedata(23 downto 16);</t>
  </si>
  <si>
    <t xml:space="preserve">      rmap_registers_wr_o.aeb3_ccfg_pwr_config2.time_vccd_off &lt;= avalon_mm_rmap_i.writedata(31 downto 24);</t>
  </si>
  <si>
    <t xml:space="preserve">      rmap_registers_wr_o.aeb3_ccfg_pwr_config2.time_vclk_off &lt;= avalon_mm_rmap_i.writedata(7 downto 0);</t>
  </si>
  <si>
    <t xml:space="preserve">      rmap_registers_wr_o.aeb3_ccfg_pwr_config2.time_van1_off &lt;= avalon_mm_rmap_i.writedata(15 downto 8);</t>
  </si>
  <si>
    <t xml:space="preserve">      rmap_registers_wr_o.aeb3_ccfg_pwr_config3.time_van2_off &lt;= avalon_mm_rmap_i.writedata(23 downto 16);</t>
  </si>
  <si>
    <t xml:space="preserve">      rmap_registers_wr_o.aeb3_ccfg_pwr_config3.time_van3_off &lt;= avalon_mm_rmap_i.writedata(31 downto 24);</t>
  </si>
  <si>
    <t xml:space="preserve">      rmap_registers_wr_o.aeb3_gcfg_adc1_config.adc1_bypas &lt;= avalon_mm_rmap_i.writedata(0);</t>
  </si>
  <si>
    <t xml:space="preserve">      rmap_registers_wr_o.aeb3_gcfg_adc1_config.adc1_clkenb &lt;= avalon_mm_rmap_i.writedata(0);</t>
  </si>
  <si>
    <t xml:space="preserve">      rmap_registers_wr_o.aeb3_gcfg_adc1_config.adc1_chop &lt;= avalon_mm_rmap_i.writedata(0);</t>
  </si>
  <si>
    <t xml:space="preserve">      rmap_registers_wr_o.aeb3_gcfg_adc1_config.adc1_stat &lt;= avalon_mm_rmap_i.writedata(0);</t>
  </si>
  <si>
    <t xml:space="preserve">      rmap_registers_wr_o.aeb3_gcfg_adc1_config.adc1_idlmod &lt;= avalon_mm_rmap_i.writedata(0);</t>
  </si>
  <si>
    <t xml:space="preserve">      rmap_registers_wr_o.aeb3_gcfg_adc1_config.adc1_dly2 &lt;= avalon_mm_rmap_i.writedata(0);</t>
  </si>
  <si>
    <t xml:space="preserve">      rmap_registers_wr_o.aeb3_gcfg_adc1_config.adc1_dly1 &lt;= avalon_mm_rmap_i.writedata(0);</t>
  </si>
  <si>
    <t xml:space="preserve">      rmap_registers_wr_o.aeb3_gcfg_adc1_config.adc1_dly0 &lt;= avalon_mm_rmap_i.writedata(0);</t>
  </si>
  <si>
    <t xml:space="preserve">      rmap_registers_wr_o.aeb3_gcfg_adc1_config.adc1_sbcs1 &lt;= avalon_mm_rmap_i.writedata(0);</t>
  </si>
  <si>
    <t xml:space="preserve">      rmap_registers_wr_o.aeb3_gcfg_adc1_config.adc1_sbcs0 &lt;= avalon_mm_rmap_i.writedata(0);</t>
  </si>
  <si>
    <t xml:space="preserve">      rmap_registers_wr_o.aeb3_gcfg_adc1_config.adc1_drate1 &lt;= avalon_mm_rmap_i.writedata(0);</t>
  </si>
  <si>
    <t xml:space="preserve">      rmap_registers_wr_o.aeb3_gcfg_adc1_config.adc1_drate0 &lt;= avalon_mm_rmap_i.writedata(0);</t>
  </si>
  <si>
    <t xml:space="preserve">      rmap_registers_wr_o.aeb3_gcfg_adc1_config.adc1_ainp3 &lt;= avalon_mm_rmap_i.writedata(0);</t>
  </si>
  <si>
    <t xml:space="preserve">      rmap_registers_wr_o.aeb3_gcfg_adc1_config.adc1_ainp2 &lt;= avalon_mm_rmap_i.writedata(0);</t>
  </si>
  <si>
    <t xml:space="preserve">      rmap_registers_wr_o.aeb3_gcfg_adc1_config.adc1_ainp1 &lt;= avalon_mm_rmap_i.writedata(0);</t>
  </si>
  <si>
    <t xml:space="preserve">      rmap_registers_wr_o.aeb3_gcfg_adc1_config.adc1_ainp0 &lt;= avalon_mm_rmap_i.writedata(0);</t>
  </si>
  <si>
    <t xml:space="preserve">      rmap_registers_wr_o.aeb3_gcfg_adc1_config.adc1_ainn3 &lt;= avalon_mm_rmap_i.writedata(0);</t>
  </si>
  <si>
    <t xml:space="preserve">      rmap_registers_wr_o.aeb3_gcfg_adc1_config.adc1_ainn2 &lt;= avalon_mm_rmap_i.writedata(0);</t>
  </si>
  <si>
    <t xml:space="preserve">      rmap_registers_wr_o.aeb3_gcfg_adc1_config.adc1_ainn1 &lt;= avalon_mm_rmap_i.writedata(0);</t>
  </si>
  <si>
    <t xml:space="preserve">      rmap_registers_wr_o.aeb3_gcfg_adc1_config.adc1_ainn0 &lt;= avalon_mm_rmap_i.writedata(0);</t>
  </si>
  <si>
    <t xml:space="preserve">      rmap_registers_wr_o.aeb3_gcfg_adc1_config.adc1_diff7 &lt;= avalon_mm_rmap_i.writedata(0);</t>
  </si>
  <si>
    <t xml:space="preserve">      rmap_registers_wr_o.aeb3_gcfg_adc1_config.adc1_diff6 &lt;= avalon_mm_rmap_i.writedata(0);</t>
  </si>
  <si>
    <t xml:space="preserve">      rmap_registers_wr_o.aeb3_gcfg_adc1_config.adc1_diff5 &lt;= avalon_mm_rmap_i.writedata(0);</t>
  </si>
  <si>
    <t xml:space="preserve">      rmap_registers_wr_o.aeb3_gcfg_adc1_config.adc1_diff4 &lt;= avalon_mm_rmap_i.writedata(0);</t>
  </si>
  <si>
    <t xml:space="preserve">      rmap_registers_wr_o.aeb3_gcfg_adc1_config.adc1_diff3 &lt;= avalon_mm_rmap_i.writedata(0);</t>
  </si>
  <si>
    <t xml:space="preserve">      rmap_registers_wr_o.aeb3_gcfg_adc1_config.adc1_diff2 &lt;= avalon_mm_rmap_i.writedata(0);</t>
  </si>
  <si>
    <t xml:space="preserve">      rmap_registers_wr_o.aeb3_gcfg_adc1_config.adc1_diff1 &lt;= avalon_mm_rmap_i.writedata(0);</t>
  </si>
  <si>
    <t xml:space="preserve">      rmap_registers_wr_o.aeb3_gcfg_adc1_config.adc1_diff0 &lt;= avalon_mm_rmap_i.writedata(0);</t>
  </si>
  <si>
    <t xml:space="preserve">      rmap_registers_wr_o.aeb3_gcfg_adc1_config.adc1_ain7 &lt;= avalon_mm_rmap_i.writedata(0);</t>
  </si>
  <si>
    <t xml:space="preserve">      rmap_registers_wr_o.aeb3_gcfg_adc1_config.adc1_ain6 &lt;= avalon_mm_rmap_i.writedata(0);</t>
  </si>
  <si>
    <t xml:space="preserve">      rmap_registers_wr_o.aeb3_gcfg_adc1_config.adc1_ain5 &lt;= avalon_mm_rmap_i.writedata(0);</t>
  </si>
  <si>
    <t xml:space="preserve">      rmap_registers_wr_o.aeb3_gcfg_adc1_config.adc1_ain4 &lt;= avalon_mm_rmap_i.writedata(0);</t>
  </si>
  <si>
    <t xml:space="preserve">      rmap_registers_wr_o.aeb3_gcfg_adc1_config.adc1_ain3 &lt;= avalon_mm_rmap_i.writedata(0);</t>
  </si>
  <si>
    <t xml:space="preserve">      rmap_registers_wr_o.aeb3_gcfg_adc1_config.adc1_ain2 &lt;= avalon_mm_rmap_i.writedata(0);</t>
  </si>
  <si>
    <t xml:space="preserve">      rmap_registers_wr_o.aeb3_gcfg_adc1_config.adc1_ain1 &lt;= avalon_mm_rmap_i.writedata(0);</t>
  </si>
  <si>
    <t xml:space="preserve">      rmap_registers_wr_o.aeb3_gcfg_adc1_config.adc1_ain0 &lt;= avalon_mm_rmap_i.writedata(0);</t>
  </si>
  <si>
    <t xml:space="preserve">      rmap_registers_wr_o.aeb3_gcfg_adc1_config.adc1_ain15 &lt;= avalon_mm_rmap_i.writedata(0);</t>
  </si>
  <si>
    <t xml:space="preserve">      rmap_registers_wr_o.aeb3_gcfg_adc1_config.adc1_ain14 &lt;= avalon_mm_rmap_i.writedata(0);</t>
  </si>
  <si>
    <t xml:space="preserve">      rmap_registers_wr_o.aeb3_gcfg_adc1_config.adc1_ain13 &lt;= avalon_mm_rmap_i.writedata(0);</t>
  </si>
  <si>
    <t xml:space="preserve">      rmap_registers_wr_o.aeb3_gcfg_adc1_config.adc1_ain12 &lt;= avalon_mm_rmap_i.writedata(0);</t>
  </si>
  <si>
    <t xml:space="preserve">      rmap_registers_wr_o.aeb3_gcfg_adc1_config.adc1_ain11 &lt;= avalon_mm_rmap_i.writedata(0);</t>
  </si>
  <si>
    <t xml:space="preserve">      rmap_registers_wr_o.aeb3_gcfg_adc1_config.adc1_ain10 &lt;= avalon_mm_rmap_i.writedata(0);</t>
  </si>
  <si>
    <t xml:space="preserve">      rmap_registers_wr_o.aeb3_gcfg_adc1_config.adc1_ain9 &lt;= avalon_mm_rmap_i.writedata(0);</t>
  </si>
  <si>
    <t xml:space="preserve">      rmap_registers_wr_o.aeb3_gcfg_adc1_config.adc1_ain8 &lt;= avalon_mm_rmap_i.writedata(0);</t>
  </si>
  <si>
    <t xml:space="preserve">      rmap_registers_wr_o.aeb3_gcfg_adc1_config.adc1_ref &lt;= avalon_mm_rmap_i.writedata(0);</t>
  </si>
  <si>
    <t xml:space="preserve">      rmap_registers_wr_o.aeb3_gcfg_adc1_config.adc1_gain &lt;= avalon_mm_rmap_i.writedata(0);</t>
  </si>
  <si>
    <t xml:space="preserve">      rmap_registers_wr_o.aeb3_gcfg_adc1_config.adc1_temp &lt;= avalon_mm_rmap_i.writedata(0);</t>
  </si>
  <si>
    <t xml:space="preserve">      rmap_registers_wr_o.aeb3_gcfg_adc1_config.adc1_vcc &lt;= avalon_mm_rmap_i.writedata(0);</t>
  </si>
  <si>
    <t xml:space="preserve">      rmap_registers_wr_o.aeb3_gcfg_adc1_config.adc1_offset &lt;= avalon_mm_rmap_i.writedata(0);</t>
  </si>
  <si>
    <t xml:space="preserve">      rmap_registers_wr_o.aeb3_gcfg_adc1_config.adc1_cio7 &lt;= avalon_mm_rmap_i.writedata(0);</t>
  </si>
  <si>
    <t xml:space="preserve">      rmap_registers_wr_o.aeb3_gcfg_adc1_config.adc1_cio6 &lt;= avalon_mm_rmap_i.writedata(0);</t>
  </si>
  <si>
    <t xml:space="preserve">      rmap_registers_wr_o.aeb3_gcfg_adc1_config.adc1_cio5 &lt;= avalon_mm_rmap_i.writedata(0);</t>
  </si>
  <si>
    <t xml:space="preserve">      rmap_registers_wr_o.aeb3_gcfg_adc1_config.adc1_cio4 &lt;= avalon_mm_rmap_i.writedata(0);</t>
  </si>
  <si>
    <t xml:space="preserve">      rmap_registers_wr_o.aeb3_gcfg_adc1_config.adc1_cio3 &lt;= avalon_mm_rmap_i.writedata(0);</t>
  </si>
  <si>
    <t xml:space="preserve">      rmap_registers_wr_o.aeb3_gcfg_adc1_config.adc1_cio2 &lt;= avalon_mm_rmap_i.writedata(0);</t>
  </si>
  <si>
    <t xml:space="preserve">      rmap_registers_wr_o.aeb3_gcfg_adc1_config.adc1_cio1 &lt;= avalon_mm_rmap_i.writedata(0);</t>
  </si>
  <si>
    <t xml:space="preserve">      rmap_registers_wr_o.aeb3_gcfg_adc1_config.adc1_cio0 &lt;= avalon_mm_rmap_i.writedata(0);</t>
  </si>
  <si>
    <t xml:space="preserve">      rmap_registers_wr_o.aeb3_gcfg_adc1_config.adc1_dio7 &lt;= avalon_mm_rmap_i.writedata(0);</t>
  </si>
  <si>
    <t xml:space="preserve">      rmap_registers_wr_o.aeb3_gcfg_adc1_config.adc1_dio6 &lt;= avalon_mm_rmap_i.writedata(0);</t>
  </si>
  <si>
    <t xml:space="preserve">      rmap_registers_wr_o.aeb3_gcfg_adc1_config.adc1_dio5 &lt;= avalon_mm_rmap_i.writedata(0);</t>
  </si>
  <si>
    <t xml:space="preserve">      rmap_registers_wr_o.aeb3_gcfg_adc1_config.adc1_dio4 &lt;= avalon_mm_rmap_i.writedata(0);</t>
  </si>
  <si>
    <t xml:space="preserve">      rmap_registers_wr_o.aeb3_gcfg_adc1_config.adc1_dio3 &lt;= avalon_mm_rmap_i.writedata(0);</t>
  </si>
  <si>
    <t xml:space="preserve">      rmap_registers_wr_o.aeb3_gcfg_adc1_config.adc1_dio2 &lt;= avalon_mm_rmap_i.writedata(0);</t>
  </si>
  <si>
    <t xml:space="preserve">      rmap_registers_wr_o.aeb3_gcfg_adc1_config.adc1_dio1 &lt;= avalon_mm_rmap_i.writedata(0);</t>
  </si>
  <si>
    <t xml:space="preserve">      rmap_registers_wr_o.aeb3_gcfg_adc1_config.adc1_dio0 &lt;= avalon_mm_rmap_i.writedata(0);</t>
  </si>
  <si>
    <t xml:space="preserve">      rmap_registers_wr_o.aeb3_gcfg_adc2_config.adc2_bypas &lt;= avalon_mm_rmap_i.writedata(0);</t>
  </si>
  <si>
    <t xml:space="preserve">      rmap_registers_wr_o.aeb3_gcfg_adc2_config.adc2_clkenb &lt;= avalon_mm_rmap_i.writedata(0);</t>
  </si>
  <si>
    <t xml:space="preserve">      rmap_registers_wr_o.aeb3_gcfg_adc2_config.adc2_chop &lt;= avalon_mm_rmap_i.writedata(0);</t>
  </si>
  <si>
    <t xml:space="preserve">      rmap_registers_wr_o.aeb3_gcfg_adc2_config.adc2_stat &lt;= avalon_mm_rmap_i.writedata(0);</t>
  </si>
  <si>
    <t xml:space="preserve">      rmap_registers_wr_o.aeb3_gcfg_adc2_config.adc2_idlmod &lt;= avalon_mm_rmap_i.writedata(0);</t>
  </si>
  <si>
    <t xml:space="preserve">      rmap_registers_wr_o.aeb3_gcfg_adc2_config.adc2_dly2 &lt;= avalon_mm_rmap_i.writedata(0);</t>
  </si>
  <si>
    <t xml:space="preserve">      rmap_registers_wr_o.aeb3_gcfg_adc2_config.adc2_dly1 &lt;= avalon_mm_rmap_i.writedata(0);</t>
  </si>
  <si>
    <t xml:space="preserve">      rmap_registers_wr_o.aeb3_gcfg_adc2_config.adc2_dly0 &lt;= avalon_mm_rmap_i.writedata(0);</t>
  </si>
  <si>
    <t xml:space="preserve">      rmap_registers_wr_o.aeb3_gcfg_adc2_config.adc2_sbcs1 &lt;= avalon_mm_rmap_i.writedata(0);</t>
  </si>
  <si>
    <t xml:space="preserve">      rmap_registers_wr_o.aeb3_gcfg_adc2_config.adc2_sbcs0 &lt;= avalon_mm_rmap_i.writedata(0);</t>
  </si>
  <si>
    <t xml:space="preserve">      rmap_registers_wr_o.aeb3_gcfg_adc2_config.adc2_drate1 &lt;= avalon_mm_rmap_i.writedata(0);</t>
  </si>
  <si>
    <t xml:space="preserve">      rmap_registers_wr_o.aeb3_gcfg_adc2_config.adc2_drate0 &lt;= avalon_mm_rmap_i.writedata(0);</t>
  </si>
  <si>
    <t xml:space="preserve">      rmap_registers_wr_o.aeb3_gcfg_adc2_config.adc2_ainp3 &lt;= avalon_mm_rmap_i.writedata(0);</t>
  </si>
  <si>
    <t xml:space="preserve">      rmap_registers_wr_o.aeb3_gcfg_adc2_config.adc2_ainp2 &lt;= avalon_mm_rmap_i.writedata(0);</t>
  </si>
  <si>
    <t xml:space="preserve">      rmap_registers_wr_o.aeb3_gcfg_adc2_config.adc2_ainp1 &lt;= avalon_mm_rmap_i.writedata(0);</t>
  </si>
  <si>
    <t xml:space="preserve">      rmap_registers_wr_o.aeb3_gcfg_adc2_config.adc2_ainp0 &lt;= avalon_mm_rmap_i.writedata(0);</t>
  </si>
  <si>
    <t xml:space="preserve">      rmap_registers_wr_o.aeb3_gcfg_adc2_config.adc2_ainn3 &lt;= avalon_mm_rmap_i.writedata(0);</t>
  </si>
  <si>
    <t xml:space="preserve">      rmap_registers_wr_o.aeb3_gcfg_adc2_config.adc2_ainn2 &lt;= avalon_mm_rmap_i.writedata(0);</t>
  </si>
  <si>
    <t xml:space="preserve">      rmap_registers_wr_o.aeb3_gcfg_adc2_config.adc2_ainn1 &lt;= avalon_mm_rmap_i.writedata(0);</t>
  </si>
  <si>
    <t xml:space="preserve">      rmap_registers_wr_o.aeb3_gcfg_adc2_config.adc2_ainn0 &lt;= avalon_mm_rmap_i.writedata(0);</t>
  </si>
  <si>
    <t xml:space="preserve">      rmap_registers_wr_o.aeb3_gcfg_adc2_config.adc2_diff7 &lt;= avalon_mm_rmap_i.writedata(0);</t>
  </si>
  <si>
    <t xml:space="preserve">      rmap_registers_wr_o.aeb3_gcfg_adc2_config.adc2_diff6 &lt;= avalon_mm_rmap_i.writedata(0);</t>
  </si>
  <si>
    <t xml:space="preserve">      rmap_registers_wr_o.aeb3_gcfg_adc2_config.adc2_diff5 &lt;= avalon_mm_rmap_i.writedata(0);</t>
  </si>
  <si>
    <t xml:space="preserve">      rmap_registers_wr_o.aeb3_gcfg_adc2_config.adc2_diff4 &lt;= avalon_mm_rmap_i.writedata(0);</t>
  </si>
  <si>
    <t xml:space="preserve">      rmap_registers_wr_o.aeb3_gcfg_adc2_config.adc2_diff3 &lt;= avalon_mm_rmap_i.writedata(0);</t>
  </si>
  <si>
    <t xml:space="preserve">      rmap_registers_wr_o.aeb3_gcfg_adc2_config.adc2_diff2 &lt;= avalon_mm_rmap_i.writedata(0);</t>
  </si>
  <si>
    <t xml:space="preserve">      rmap_registers_wr_o.aeb3_gcfg_adc2_config.adc2_diff1 &lt;= avalon_mm_rmap_i.writedata(0);</t>
  </si>
  <si>
    <t xml:space="preserve">      rmap_registers_wr_o.aeb3_gcfg_adc2_config.adc2_diff0 &lt;= avalon_mm_rmap_i.writedata(0);</t>
  </si>
  <si>
    <t xml:space="preserve">      rmap_registers_wr_o.aeb3_gcfg_adc2_config.adc2_ain7 &lt;= avalon_mm_rmap_i.writedata(0);</t>
  </si>
  <si>
    <t xml:space="preserve">      rmap_registers_wr_o.aeb3_gcfg_adc2_config.adc2_ain6 &lt;= avalon_mm_rmap_i.writedata(0);</t>
  </si>
  <si>
    <t xml:space="preserve">      rmap_registers_wr_o.aeb3_gcfg_adc2_config.adc2_ain5 &lt;= avalon_mm_rmap_i.writedata(0);</t>
  </si>
  <si>
    <t xml:space="preserve">      rmap_registers_wr_o.aeb3_gcfg_adc2_config.adc2_ain4 &lt;= avalon_mm_rmap_i.writedata(0);</t>
  </si>
  <si>
    <t xml:space="preserve">      rmap_registers_wr_o.aeb3_gcfg_adc2_config.adc2_ain3 &lt;= avalon_mm_rmap_i.writedata(0);</t>
  </si>
  <si>
    <t xml:space="preserve">      rmap_registers_wr_o.aeb3_gcfg_adc2_config.adc2_ain2 &lt;= avalon_mm_rmap_i.writedata(0);</t>
  </si>
  <si>
    <t xml:space="preserve">      rmap_registers_wr_o.aeb3_gcfg_adc2_config.adc2_ain1 &lt;= avalon_mm_rmap_i.writedata(0);</t>
  </si>
  <si>
    <t xml:space="preserve">      rmap_registers_wr_o.aeb3_gcfg_adc2_config.adc2_ain0 &lt;= avalon_mm_rmap_i.writedata(0);</t>
  </si>
  <si>
    <t xml:space="preserve">      rmap_registers_wr_o.aeb3_gcfg_adc2_config.adc2_ain15 &lt;= avalon_mm_rmap_i.writedata(0);</t>
  </si>
  <si>
    <t xml:space="preserve">      rmap_registers_wr_o.aeb3_gcfg_adc2_config.adc2_ain14 &lt;= avalon_mm_rmap_i.writedata(0);</t>
  </si>
  <si>
    <t xml:space="preserve">      rmap_registers_wr_o.aeb3_gcfg_adc2_config.adc2_ain13 &lt;= avalon_mm_rmap_i.writedata(0);</t>
  </si>
  <si>
    <t xml:space="preserve">      rmap_registers_wr_o.aeb3_gcfg_adc2_config.adc2_ain12 &lt;= avalon_mm_rmap_i.writedata(0);</t>
  </si>
  <si>
    <t xml:space="preserve">      rmap_registers_wr_o.aeb3_gcfg_adc2_config.adc2_ain11 &lt;= avalon_mm_rmap_i.writedata(0);</t>
  </si>
  <si>
    <t xml:space="preserve">      rmap_registers_wr_o.aeb3_gcfg_adc2_config.adc2_ain10 &lt;= avalon_mm_rmap_i.writedata(0);</t>
  </si>
  <si>
    <t xml:space="preserve">      rmap_registers_wr_o.aeb3_gcfg_adc2_config.adc2_ain9 &lt;= avalon_mm_rmap_i.writedata(0);</t>
  </si>
  <si>
    <t xml:space="preserve">      rmap_registers_wr_o.aeb3_gcfg_adc2_config.adc2_ain8 &lt;= avalon_mm_rmap_i.writedata(0);</t>
  </si>
  <si>
    <t xml:space="preserve">      rmap_registers_wr_o.aeb3_gcfg_adc2_config.adc2_ref &lt;= avalon_mm_rmap_i.writedata(0);</t>
  </si>
  <si>
    <t xml:space="preserve">      rmap_registers_wr_o.aeb3_gcfg_adc2_config.adc2_gain &lt;= avalon_mm_rmap_i.writedata(0);</t>
  </si>
  <si>
    <t xml:space="preserve">      rmap_registers_wr_o.aeb3_gcfg_adc2_config.adc2_temp &lt;= avalon_mm_rmap_i.writedata(0);</t>
  </si>
  <si>
    <t xml:space="preserve">      rmap_registers_wr_o.aeb3_gcfg_adc2_config.adc2_vcc &lt;= avalon_mm_rmap_i.writedata(0);</t>
  </si>
  <si>
    <t xml:space="preserve">      rmap_registers_wr_o.aeb3_gcfg_adc2_config.adc2_offset &lt;= avalon_mm_rmap_i.writedata(0);</t>
  </si>
  <si>
    <t xml:space="preserve">      rmap_registers_wr_o.aeb3_gcfg_adc2_config.adc2_cio7 &lt;= avalon_mm_rmap_i.writedata(0);</t>
  </si>
  <si>
    <t xml:space="preserve">      rmap_registers_wr_o.aeb3_gcfg_adc2_config.adc2_cio6 &lt;= avalon_mm_rmap_i.writedata(0);</t>
  </si>
  <si>
    <t xml:space="preserve">      rmap_registers_wr_o.aeb3_gcfg_adc2_config.adc2_cio5 &lt;= avalon_mm_rmap_i.writedata(0);</t>
  </si>
  <si>
    <t xml:space="preserve">      rmap_registers_wr_o.aeb3_gcfg_adc2_config.adc2_cio4 &lt;= avalon_mm_rmap_i.writedata(0);</t>
  </si>
  <si>
    <t xml:space="preserve">      rmap_registers_wr_o.aeb3_gcfg_adc2_config.adc2_cio3 &lt;= avalon_mm_rmap_i.writedata(0);</t>
  </si>
  <si>
    <t xml:space="preserve">      rmap_registers_wr_o.aeb3_gcfg_adc2_config.adc2_cio2 &lt;= avalon_mm_rmap_i.writedata(0);</t>
  </si>
  <si>
    <t xml:space="preserve">      rmap_registers_wr_o.aeb3_gcfg_adc2_config.adc2_cio1 &lt;= avalon_mm_rmap_i.writedata(0);</t>
  </si>
  <si>
    <t xml:space="preserve">      rmap_registers_wr_o.aeb3_gcfg_adc2_config.adc2_cio0 &lt;= avalon_mm_rmap_i.writedata(0);</t>
  </si>
  <si>
    <t xml:space="preserve">      rmap_registers_wr_o.aeb3_gcfg_adc2_config.adc2_dio7 &lt;= avalon_mm_rmap_i.writedata(0);</t>
  </si>
  <si>
    <t xml:space="preserve">      rmap_registers_wr_o.aeb3_gcfg_adc2_config.adc2_dio6 &lt;= avalon_mm_rmap_i.writedata(0);</t>
  </si>
  <si>
    <t xml:space="preserve">      rmap_registers_wr_o.aeb3_gcfg_adc2_config.adc2_dio5 &lt;= avalon_mm_rmap_i.writedata(0);</t>
  </si>
  <si>
    <t xml:space="preserve">      rmap_registers_wr_o.aeb3_gcfg_adc2_config.adc2_dio4 &lt;= avalon_mm_rmap_i.writedata(0);</t>
  </si>
  <si>
    <t xml:space="preserve">      rmap_registers_wr_o.aeb3_gcfg_adc2_config.adc2_dio3 &lt;= avalon_mm_rmap_i.writedata(0);</t>
  </si>
  <si>
    <t xml:space="preserve">      rmap_registers_wr_o.aeb3_gcfg_adc2_config.adc2_dio2 &lt;= avalon_mm_rmap_i.writedata(0);</t>
  </si>
  <si>
    <t xml:space="preserve">      rmap_registers_wr_o.aeb3_gcfg_adc2_config.adc2_dio1 &lt;= avalon_mm_rmap_i.writedata(0);</t>
  </si>
  <si>
    <t xml:space="preserve">      rmap_registers_wr_o.aeb3_gcfg_adc2_config.adc2_dio0 &lt;= avalon_mm_rmap_i.writedata(0);</t>
  </si>
  <si>
    <t xml:space="preserve">      rmap_registers_wr_o.aeb3_gcfg_seq_config.seq_oe(7 downto 0) &lt;= avalon_mm_rmap_i.writedata(7 downto 0);</t>
  </si>
  <si>
    <t xml:space="preserve">      rmap_registers_wr_o.aeb3_gcfg_seq_config.seq_oe(15 downto 8) &lt;= avalon_mm_rmap_i.writedata(15 downto 8);</t>
  </si>
  <si>
    <t xml:space="preserve">      rmap_registers_wr_o.aeb3_gcfg_seq_config.seq_oe(21 downto 16) &lt;= avalon_mm_rmap_i.writedata(21 downto 16);</t>
  </si>
  <si>
    <t xml:space="preserve">      rmap_registers_wr_o.aeb3_gcfg_seq_config.adc_clk_div &lt;= avalon_mm_rmap_i.writedata(6 downto 0);</t>
  </si>
  <si>
    <t xml:space="preserve">      rmap_registers_wr_o.aeb3_gcfg_seq_config.cds_clk_low_pos &lt;= avalon_mm_rmap_i.writedata(15 downto 8);</t>
  </si>
  <si>
    <t xml:space="preserve">      rmap_registers_wr_o.aeb3_gcfg_seq_config.cds_clk_high_pos &lt;= avalon_mm_rmap_i.writedata(23 downto 16);</t>
  </si>
  <si>
    <t xml:space="preserve">      rmap_registers_wr_o.aeb3_gcfg_seq_config.rphir_clk_low_pos &lt;= avalon_mm_rmap_i.writedata(31 downto 24);</t>
  </si>
  <si>
    <t xml:space="preserve">      rmap_registers_wr_o.aeb3_gcfg_seq_config.rphir_clk_high_pos &lt;= avalon_mm_rmap_i.writedata(7 downto 0);</t>
  </si>
  <si>
    <t xml:space="preserve">      rmap_registers_wr_o.aeb3_gcfg_seq_config.ft_loop_cnt(7 downto 0) &lt;= avalon_mm_rmap_i.writedata(23 downto 16);</t>
  </si>
  <si>
    <t xml:space="preserve">      rmap_registers_wr_o.aeb3_gcfg_seq_config.ft_loop_cnt(13 downto 8) &lt;= avalon_mm_rmap_i.writedata(29 downto 24);</t>
  </si>
  <si>
    <t xml:space="preserve">      rmap_registers_wr_o.aeb3_gcfg_seq_config.lt0_enabled &lt;= avalon_mm_rmap_i.writedata(0);</t>
  </si>
  <si>
    <t xml:space="preserve">      rmap_registers_wr_o.aeb3_gcfg_seq_config.lt0_pixreadout &lt;= avalon_mm_rmap_i.writedata(0);</t>
  </si>
  <si>
    <t xml:space="preserve">      rmap_registers_wr_o.aeb3_gcfg_seq_config.lt0_loop_cnt(7 downto 0) &lt;= avalon_mm_rmap_i.writedata(7 downto 0);</t>
  </si>
  <si>
    <t xml:space="preserve">      rmap_registers_wr_o.aeb3_gcfg_seq_config.lt0_loop_cnt(13 downto 8) &lt;= avalon_mm_rmap_i.writedata(13 downto 8);</t>
  </si>
  <si>
    <t xml:space="preserve">      rmap_registers_wr_o.aeb3_gcfg_seq_config.lt1_enabled &lt;= avalon_mm_rmap_i.writedata(0);</t>
  </si>
  <si>
    <t xml:space="preserve">      rmap_registers_wr_o.aeb3_gcfg_seq_config.lt1_pixreadout &lt;= avalon_mm_rmap_i.writedata(0);</t>
  </si>
  <si>
    <t xml:space="preserve">      rmap_registers_wr_o.aeb3_gcfg_seq_config.lt1_loop_cnt(7 downto 0) &lt;= avalon_mm_rmap_i.writedata(7 downto 0);</t>
  </si>
  <si>
    <t xml:space="preserve">      rmap_registers_wr_o.aeb3_gcfg_seq_config.lt1_loop_cnt(13 downto 8) &lt;= avalon_mm_rmap_i.writedata(13 downto 8);</t>
  </si>
  <si>
    <t xml:space="preserve">      rmap_registers_wr_o.aeb3_gcfg_seq_config.lt2_enabled &lt;= avalon_mm_rmap_i.writedata(0);</t>
  </si>
  <si>
    <t xml:space="preserve">      rmap_registers_wr_o.aeb3_gcfg_seq_config.lt2_pixreadout &lt;= avalon_mm_rmap_i.writedata(0);</t>
  </si>
  <si>
    <t xml:space="preserve">      rmap_registers_wr_o.aeb3_gcfg_seq_config.lt2_loop_cnt(7 downto 0) &lt;= avalon_mm_rmap_i.writedata(7 downto 0);</t>
  </si>
  <si>
    <t xml:space="preserve">      rmap_registers_wr_o.aeb3_gcfg_seq_config.lt2_loop_cnt(13 downto 8) &lt;= avalon_mm_rmap_i.writedata(13 downto 8);</t>
  </si>
  <si>
    <t xml:space="preserve">      rmap_registers_wr_o.aeb3_gcfg_seq_config.lt3_enabled &lt;= avalon_mm_rmap_i.writedata(0);</t>
  </si>
  <si>
    <t xml:space="preserve">      rmap_registers_wr_o.aeb3_gcfg_seq_config.lt3_pixreadout &lt;= avalon_mm_rmap_i.writedata(0);</t>
  </si>
  <si>
    <t xml:space="preserve">      rmap_registers_wr_o.aeb3_gcfg_seq_config.lt3_loop_cnt(7 downto 0) &lt;= avalon_mm_rmap_i.writedata(7 downto 0);</t>
  </si>
  <si>
    <t xml:space="preserve">      rmap_registers_wr_o.aeb3_gcfg_seq_config.lt3_loop_cnt(13 downto 8) &lt;= avalon_mm_rmap_i.writedata(13 downto 8);</t>
  </si>
  <si>
    <t xml:space="preserve">      rmap_registers_wr_o.aeb3_gcfg_seq_config.pix_loop_cnt(7 downto 0) &lt;= avalon_mm_rmap_i.writedata(23 downto 16);</t>
  </si>
  <si>
    <t xml:space="preserve">      rmap_registers_wr_o.aeb3_gcfg_seq_config.pix_loop_cnt(13 downto 8) &lt;= avalon_mm_rmap_i.writedata(29 downto 24);</t>
  </si>
  <si>
    <t xml:space="preserve">      rmap_registers_wr_o.aeb3_gcfg_seq_config.pc_enabled &lt;= avalon_mm_rmap_i.writedata(0);</t>
  </si>
  <si>
    <t xml:space="preserve">      rmap_registers_wr_o.aeb3_gcfg_seq_config.pc_loop_cnt(7 downto 0) &lt;= avalon_mm_rmap_i.writedata(7 downto 0);</t>
  </si>
  <si>
    <t xml:space="preserve">      rmap_registers_wr_o.aeb3_gcfg_seq_config.pc_loop_cnt(13 downto 8) &lt;= avalon_mm_rmap_i.writedata(13 downto 8);</t>
  </si>
  <si>
    <t xml:space="preserve">      rmap_registers_wr_o.aeb3_gcfg_seq_config.int1_loop_cnt(7 downto 0) &lt;= avalon_mm_rmap_i.writedata(23 downto 16);</t>
  </si>
  <si>
    <t xml:space="preserve">      rmap_registers_wr_o.aeb3_gcfg_seq_config.int1_loop_cnt(13 downto 8) &lt;= avalon_mm_rmap_i.writedata(29 downto 24);</t>
  </si>
  <si>
    <t xml:space="preserve">      rmap_registers_wr_o.aeb3_gcfg_seq_config.int2_loop_cnt(7 downto 0) &lt;= avalon_mm_rmap_i.writedata(7 downto 0);</t>
  </si>
  <si>
    <t xml:space="preserve">      rmap_registers_wr_o.aeb3_gcfg_seq_config.int2_loop_cnt(13 downto 8) &lt;= avalon_mm_rmap_i.writedata(13 downto 8);</t>
  </si>
  <si>
    <t xml:space="preserve">      rmap_registers_wr_o.aeb3_hk_aeb_status.aeb_state &lt;= avalon_mm_rmap_i.writedata(18 downto 16);</t>
  </si>
  <si>
    <t xml:space="preserve">      rmap_registers_wr_o.aeb3_hk_aeb_status.vasp2_cfg_run &lt;= avalon_mm_rmap_i.writedata(0);</t>
  </si>
  <si>
    <t xml:space="preserve">      rmap_registers_wr_o.aeb3_hk_aeb_status.vasp1_cfg_run &lt;= avalon_mm_rmap_i.writedata(0);</t>
  </si>
  <si>
    <t xml:space="preserve">      rmap_registers_wr_o.aeb3_hk_aeb_status.dac_cfg_w_run &lt;= avalon_mm_rmap_i.writedata(0);</t>
  </si>
  <si>
    <t xml:space="preserve">      rmap_registers_wr_o.aeb3_hk_aeb_status.adc_cfg_rd_run &lt;= avalon_mm_rmap_i.writedata(0);</t>
  </si>
  <si>
    <t xml:space="preserve">      rmap_registers_wr_o.aeb3_hk_aeb_status.adc_cfg_wr_run &lt;= avalon_mm_rmap_i.writedata(0);</t>
  </si>
  <si>
    <t xml:space="preserve">      rmap_registers_wr_o.aeb3_hk_aeb_status.adc_dat_rd_run &lt;= avalon_mm_rmap_i.writedata(0);</t>
  </si>
  <si>
    <t xml:space="preserve">      rmap_registers_wr_o.aeb3_hk_aeb_status.adc_error &lt;= avalon_mm_rmap_i.writedata(0);</t>
  </si>
  <si>
    <t xml:space="preserve">      rmap_registers_wr_o.aeb3_hk_aeb_status.adc2_lu &lt;= avalon_mm_rmap_i.writedata(0);</t>
  </si>
  <si>
    <t xml:space="preserve">      rmap_registers_wr_o.aeb3_hk_aeb_status.adc1_lu &lt;= avalon_mm_rmap_i.writedata(0);</t>
  </si>
  <si>
    <t xml:space="preserve">      rmap_registers_wr_o.aeb3_hk_aeb_status.adc_dat_rd &lt;= avalon_mm_rmap_i.writedata(0);</t>
  </si>
  <si>
    <t xml:space="preserve">      rmap_registers_wr_o.aeb3_hk_aeb_status.adc_cfg_rd &lt;= avalon_mm_rmap_i.writedata(0);</t>
  </si>
  <si>
    <t xml:space="preserve">      rmap_registers_wr_o.aeb3_hk_aeb_status.adc_cfg_wr &lt;= avalon_mm_rmap_i.writedata(0);</t>
  </si>
  <si>
    <t xml:space="preserve">      rmap_registers_wr_o.aeb3_hk_aeb_status.adc2_busy &lt;= avalon_mm_rmap_i.writedata(0);</t>
  </si>
  <si>
    <t xml:space="preserve">      rmap_registers_wr_o.aeb3_hk_aeb_status.adc1_busy &lt;= avalon_mm_rmap_i.writedata(0);</t>
  </si>
  <si>
    <t xml:space="preserve">      rmap_registers_wr_o.aeb3_hk_aeb_status.frame_counter(7 downto 0) &lt;= avalon_mm_rmap_i.writedata(7 downto 0);</t>
  </si>
  <si>
    <t xml:space="preserve">      rmap_registers_wr_o.aeb3_hk_aeb_status.frame_counter(15 downto 8) &lt;= avalon_mm_rmap_i.writedata(15 downto 8);</t>
  </si>
  <si>
    <t xml:space="preserve">      rmap_registers_wr_o.aeb3_hk_timestamp.timestamp_1(7 downto 0) &lt;= avalon_mm_rmap_i.writedata(7 downto 0);</t>
  </si>
  <si>
    <t xml:space="preserve">      rmap_registers_wr_o.aeb3_hk_timestamp.timestamp_1(15 downto 8) &lt;= avalon_mm_rmap_i.writedata(15 downto 8);</t>
  </si>
  <si>
    <t xml:space="preserve">      rmap_registers_wr_o.aeb3_hk_timestamp.timestamp_1(23 downto 16) &lt;= avalon_mm_rmap_i.writedata(23 downto 16);</t>
  </si>
  <si>
    <t xml:space="preserve">      rmap_registers_wr_o.aeb3_hk_timestamp.timestamp_1(31 downto 24) &lt;= avalon_mm_rmap_i.writedata(31 downto 24);</t>
  </si>
  <si>
    <t xml:space="preserve">      rmap_registers_wr_o.aeb3_hk_timestamp.timestamp_0(7 downto 0) &lt;= avalon_mm_rmap_i.writedata(7 downto 0);</t>
  </si>
  <si>
    <t xml:space="preserve">      rmap_registers_wr_o.aeb3_hk_timestamp.timestamp_0(15 downto 8) &lt;= avalon_mm_rmap_i.writedata(15 downto 8);</t>
  </si>
  <si>
    <t xml:space="preserve">      rmap_registers_wr_o.aeb3_hk_timestamp.timestamp_0(23 downto 16) &lt;= avalon_mm_rmap_i.writedata(23 downto 16);</t>
  </si>
  <si>
    <t xml:space="preserve">      rmap_registers_wr_o.aeb3_hk_timestamp.timestamp_0(31 downto 24) &lt;= avalon_mm_rmap_i.writedata(31 downto 24);</t>
  </si>
  <si>
    <t xml:space="preserve">      rmap_registers_wr_o.aeb3_hk_adc_rd_data.adc_rd_data_18(7 downto 0) &lt;= avalon_mm_rmap_i.writedata(7 downto 0);</t>
  </si>
  <si>
    <t xml:space="preserve">      rmap_registers_wr_o.aeb3_hk_adc_rd_data.adc_rd_data_18(15 downto 8) &lt;= avalon_mm_rmap_i.writedata(15 downto 8);</t>
  </si>
  <si>
    <t xml:space="preserve">      rmap_registers_wr_o.aeb3_hk_adc_rd_data.adc_rd_data_18(23 downto 16) &lt;= avalon_mm_rmap_i.writedata(23 downto 16);</t>
  </si>
  <si>
    <t xml:space="preserve">      rmap_registers_wr_o.aeb3_hk_adc_rd_data.adc_rd_data_18(31 downto 24) &lt;= avalon_mm_rmap_i.writedata(31 downto 24);</t>
  </si>
  <si>
    <t xml:space="preserve">      rmap_registers_wr_o.aeb3_hk_adc_rd_data.adc_rd_data_17(7 downto 0) &lt;= avalon_mm_rmap_i.writedata(7 downto 0);</t>
  </si>
  <si>
    <t xml:space="preserve">      rmap_registers_wr_o.aeb3_hk_adc_rd_data.adc_rd_data_17(15 downto 8) &lt;= avalon_mm_rmap_i.writedata(15 downto 8);</t>
  </si>
  <si>
    <t xml:space="preserve">      rmap_registers_wr_o.aeb3_hk_adc_rd_data.adc_rd_data_17(23 downto 16) &lt;= avalon_mm_rmap_i.writedata(23 downto 16);</t>
  </si>
  <si>
    <t xml:space="preserve">      rmap_registers_wr_o.aeb3_hk_adc_rd_data.adc_rd_data_17(31 downto 24) &lt;= avalon_mm_rmap_i.writedata(31 downto 24);</t>
  </si>
  <si>
    <t xml:space="preserve">      rmap_registers_wr_o.aeb3_hk_adc_rd_data.adc_rd_data_16(7 downto 0) &lt;= avalon_mm_rmap_i.writedata(7 downto 0);</t>
  </si>
  <si>
    <t xml:space="preserve">      rmap_registers_wr_o.aeb3_hk_adc_rd_data.adc_rd_data_16(15 downto 8) &lt;= avalon_mm_rmap_i.writedata(15 downto 8);</t>
  </si>
  <si>
    <t xml:space="preserve">      rmap_registers_wr_o.aeb3_hk_adc_rd_data.adc_rd_data_16(23 downto 16) &lt;= avalon_mm_rmap_i.writedata(23 downto 16);</t>
  </si>
  <si>
    <t xml:space="preserve">      rmap_registers_wr_o.aeb3_hk_adc_rd_data.adc_rd_data_16(31 downto 24) &lt;= avalon_mm_rmap_i.writedata(31 downto 24);</t>
  </si>
  <si>
    <t xml:space="preserve">      rmap_registers_wr_o.aeb3_hk_adc_rd_data.adc_rd_data_15(7 downto 0) &lt;= avalon_mm_rmap_i.writedata(7 downto 0);</t>
  </si>
  <si>
    <t xml:space="preserve">      rmap_registers_wr_o.aeb3_hk_adc_rd_data.adc_rd_data_15(15 downto 8) &lt;= avalon_mm_rmap_i.writedata(15 downto 8);</t>
  </si>
  <si>
    <t xml:space="preserve">      rmap_registers_wr_o.aeb3_hk_adc_rd_data.adc_rd_data_15(23 downto 16) &lt;= avalon_mm_rmap_i.writedata(23 downto 16);</t>
  </si>
  <si>
    <t xml:space="preserve">      rmap_registers_wr_o.aeb3_hk_adc_rd_data.adc_rd_data_15(31 downto 24) &lt;= avalon_mm_rmap_i.writedata(31 downto 24);</t>
  </si>
  <si>
    <t xml:space="preserve">      rmap_registers_wr_o.aeb3_hk_adc_rd_data.adc_rd_data_14(7 downto 0) &lt;= avalon_mm_rmap_i.writedata(7 downto 0);</t>
  </si>
  <si>
    <t xml:space="preserve">      rmap_registers_wr_o.aeb3_hk_adc_rd_data.adc_rd_data_14(15 downto 8) &lt;= avalon_mm_rmap_i.writedata(15 downto 8);</t>
  </si>
  <si>
    <t xml:space="preserve">      rmap_registers_wr_o.aeb3_hk_adc_rd_data.adc_rd_data_14(23 downto 16) &lt;= avalon_mm_rmap_i.writedata(23 downto 16);</t>
  </si>
  <si>
    <t xml:space="preserve">      rmap_registers_wr_o.aeb3_hk_adc_rd_data.adc_rd_data_14(31 downto 24) &lt;= avalon_mm_rmap_i.writedata(31 downto 24);</t>
  </si>
  <si>
    <t xml:space="preserve">      rmap_registers_wr_o.aeb3_hk_adc_rd_data.adc_rd_data_13(7 downto 0) &lt;= avalon_mm_rmap_i.writedata(7 downto 0);</t>
  </si>
  <si>
    <t xml:space="preserve">      rmap_registers_wr_o.aeb3_hk_adc_rd_data.adc_rd_data_13(15 downto 8) &lt;= avalon_mm_rmap_i.writedata(15 downto 8);</t>
  </si>
  <si>
    <t xml:space="preserve">      rmap_registers_wr_o.aeb3_hk_adc_rd_data.adc_rd_data_13(23 downto 16) &lt;= avalon_mm_rmap_i.writedata(23 downto 16);</t>
  </si>
  <si>
    <t xml:space="preserve">      rmap_registers_wr_o.aeb3_hk_adc_rd_data.adc_rd_data_13(31 downto 24) &lt;= avalon_mm_rmap_i.writedata(31 downto 24);</t>
  </si>
  <si>
    <t xml:space="preserve">      rmap_registers_wr_o.aeb3_hk_adc_rd_data.adc_rd_data_12(7 downto 0) &lt;= avalon_mm_rmap_i.writedata(7 downto 0);</t>
  </si>
  <si>
    <t xml:space="preserve">      rmap_registers_wr_o.aeb3_hk_adc_rd_data.adc_rd_data_12(15 downto 8) &lt;= avalon_mm_rmap_i.writedata(15 downto 8);</t>
  </si>
  <si>
    <t xml:space="preserve">      rmap_registers_wr_o.aeb3_hk_adc_rd_data.adc_rd_data_12(23 downto 16) &lt;= avalon_mm_rmap_i.writedata(23 downto 16);</t>
  </si>
  <si>
    <t xml:space="preserve">      rmap_registers_wr_o.aeb3_hk_adc_rd_data.adc_rd_data_12(31 downto 24) &lt;= avalon_mm_rmap_i.writedata(31 downto 24);</t>
  </si>
  <si>
    <t xml:space="preserve">      rmap_registers_wr_o.aeb3_hk_adc_rd_data.adc_rd_data_11(7 downto 0) &lt;= avalon_mm_rmap_i.writedata(7 downto 0);</t>
  </si>
  <si>
    <t xml:space="preserve">      rmap_registers_wr_o.aeb3_hk_adc_rd_data.adc_rd_data_11(15 downto 8) &lt;= avalon_mm_rmap_i.writedata(15 downto 8);</t>
  </si>
  <si>
    <t xml:space="preserve">      rmap_registers_wr_o.aeb3_hk_adc_rd_data.adc_rd_data_11(23 downto 16) &lt;= avalon_mm_rmap_i.writedata(23 downto 16);</t>
  </si>
  <si>
    <t xml:space="preserve">      rmap_registers_wr_o.aeb3_hk_adc_rd_data.adc_rd_data_11(31 downto 24) &lt;= avalon_mm_rmap_i.writedata(31 downto 24);</t>
  </si>
  <si>
    <t xml:space="preserve">      rmap_registers_wr_o.aeb3_hk_adc_rd_data.adc_rd_data_10(7 downto 0) &lt;= avalon_mm_rmap_i.writedata(7 downto 0);</t>
  </si>
  <si>
    <t xml:space="preserve">      rmap_registers_wr_o.aeb3_hk_adc_rd_data.adc_rd_data_10(15 downto 8) &lt;= avalon_mm_rmap_i.writedata(15 downto 8);</t>
  </si>
  <si>
    <t xml:space="preserve">      rmap_registers_wr_o.aeb3_hk_adc_rd_data.adc_rd_data_10(23 downto 16) &lt;= avalon_mm_rmap_i.writedata(23 downto 16);</t>
  </si>
  <si>
    <t xml:space="preserve">      rmap_registers_wr_o.aeb3_hk_adc_rd_data.adc_rd_data_10(31 downto 24) &lt;= avalon_mm_rmap_i.writedata(31 downto 24);</t>
  </si>
  <si>
    <t xml:space="preserve">      rmap_registers_wr_o.aeb3_hk_adc_rd_data.adc_rd_data_9(7 downto 0) &lt;= avalon_mm_rmap_i.writedata(7 downto 0);</t>
  </si>
  <si>
    <t xml:space="preserve">      rmap_registers_wr_o.aeb3_hk_adc_rd_data.adc_rd_data_9(15 downto 8) &lt;= avalon_mm_rmap_i.writedata(15 downto 8);</t>
  </si>
  <si>
    <t xml:space="preserve">      rmap_registers_wr_o.aeb3_hk_adc_rd_data.adc_rd_data_9(23 downto 16) &lt;= avalon_mm_rmap_i.writedata(23 downto 16);</t>
  </si>
  <si>
    <t xml:space="preserve">      rmap_registers_wr_o.aeb3_hk_adc_rd_data.adc_rd_data_9(31 downto 24) &lt;= avalon_mm_rmap_i.writedata(31 downto 24);</t>
  </si>
  <si>
    <t xml:space="preserve">      rmap_registers_wr_o.aeb3_hk_adc_rd_data.adc_rd_data_8(7 downto 0) &lt;= avalon_mm_rmap_i.writedata(7 downto 0);</t>
  </si>
  <si>
    <t xml:space="preserve">      rmap_registers_wr_o.aeb3_hk_adc_rd_data.adc_rd_data_8(15 downto 8) &lt;= avalon_mm_rmap_i.writedata(15 downto 8);</t>
  </si>
  <si>
    <t xml:space="preserve">      rmap_registers_wr_o.aeb3_hk_adc_rd_data.adc_rd_data_8(23 downto 16) &lt;= avalon_mm_rmap_i.writedata(23 downto 16);</t>
  </si>
  <si>
    <t xml:space="preserve">      rmap_registers_wr_o.aeb3_hk_adc_rd_data.adc_rd_data_8(31 downto 24) &lt;= avalon_mm_rmap_i.writedata(31 downto 24);</t>
  </si>
  <si>
    <t xml:space="preserve">      rmap_registers_wr_o.aeb3_hk_adc_rd_data.adc_rd_data_7(7 downto 0) &lt;= avalon_mm_rmap_i.writedata(7 downto 0);</t>
  </si>
  <si>
    <t xml:space="preserve">      rmap_registers_wr_o.aeb3_hk_adc_rd_data.adc_rd_data_7(15 downto 8) &lt;= avalon_mm_rmap_i.writedata(15 downto 8);</t>
  </si>
  <si>
    <t xml:space="preserve">      rmap_registers_wr_o.aeb3_hk_adc_rd_data.adc_rd_data_7(23 downto 16) &lt;= avalon_mm_rmap_i.writedata(23 downto 16);</t>
  </si>
  <si>
    <t xml:space="preserve">      rmap_registers_wr_o.aeb3_hk_adc_rd_data.adc_rd_data_7(31 downto 24) &lt;= avalon_mm_rmap_i.writedata(31 downto 24);</t>
  </si>
  <si>
    <t xml:space="preserve">      rmap_registers_wr_o.aeb3_hk_adc_rd_data.adc_rd_data_6(7 downto 0) &lt;= avalon_mm_rmap_i.writedata(7 downto 0);</t>
  </si>
  <si>
    <t xml:space="preserve">      rmap_registers_wr_o.aeb3_hk_adc_rd_data.adc_rd_data_6(15 downto 8) &lt;= avalon_mm_rmap_i.writedata(15 downto 8);</t>
  </si>
  <si>
    <t xml:space="preserve">      rmap_registers_wr_o.aeb3_hk_adc_rd_data.adc_rd_data_6(23 downto 16) &lt;= avalon_mm_rmap_i.writedata(23 downto 16);</t>
  </si>
  <si>
    <t xml:space="preserve">      rmap_registers_wr_o.aeb3_hk_adc_rd_data.adc_rd_data_6(31 downto 24) &lt;= avalon_mm_rmap_i.writedata(31 downto 24);</t>
  </si>
  <si>
    <t xml:space="preserve">      rmap_registers_wr_o.aeb3_hk_adc_rd_data.adc_rd_data_5(7 downto 0) &lt;= avalon_mm_rmap_i.writedata(7 downto 0);</t>
  </si>
  <si>
    <t xml:space="preserve">      rmap_registers_wr_o.aeb3_hk_adc_rd_data.adc_rd_data_5(15 downto 8) &lt;= avalon_mm_rmap_i.writedata(15 downto 8);</t>
  </si>
  <si>
    <t xml:space="preserve">      rmap_registers_wr_o.aeb3_hk_adc_rd_data.adc_rd_data_5(23 downto 16) &lt;= avalon_mm_rmap_i.writedata(23 downto 16);</t>
  </si>
  <si>
    <t xml:space="preserve">      rmap_registers_wr_o.aeb3_hk_adc_rd_data.adc_rd_data_5(31 downto 24) &lt;= avalon_mm_rmap_i.writedata(31 downto 24);</t>
  </si>
  <si>
    <t xml:space="preserve">      rmap_registers_wr_o.aeb3_hk_adc_rd_data.adc_rd_data_4(7 downto 0) &lt;= avalon_mm_rmap_i.writedata(7 downto 0);</t>
  </si>
  <si>
    <t xml:space="preserve">      rmap_registers_wr_o.aeb3_hk_adc_rd_data.adc_rd_data_4(15 downto 8) &lt;= avalon_mm_rmap_i.writedata(15 downto 8);</t>
  </si>
  <si>
    <t xml:space="preserve">      rmap_registers_wr_o.aeb3_hk_adc_rd_data.adc_rd_data_4(23 downto 16) &lt;= avalon_mm_rmap_i.writedata(23 downto 16);</t>
  </si>
  <si>
    <t xml:space="preserve">      rmap_registers_wr_o.aeb3_hk_adc_rd_data.adc_rd_data_4(31 downto 24) &lt;= avalon_mm_rmap_i.writedata(31 downto 24);</t>
  </si>
  <si>
    <t xml:space="preserve">      rmap_registers_wr_o.aeb3_hk_adc_rd_data.adc_rd_data_3(7 downto 0) &lt;= avalon_mm_rmap_i.writedata(7 downto 0);</t>
  </si>
  <si>
    <t xml:space="preserve">      rmap_registers_wr_o.aeb3_hk_adc_rd_data.adc_rd_data_3(15 downto 8) &lt;= avalon_mm_rmap_i.writedata(15 downto 8);</t>
  </si>
  <si>
    <t xml:space="preserve">      rmap_registers_wr_o.aeb3_hk_adc_rd_data.adc_rd_data_3(23 downto 16) &lt;= avalon_mm_rmap_i.writedata(23 downto 16);</t>
  </si>
  <si>
    <t xml:space="preserve">      rmap_registers_wr_o.aeb3_hk_adc_rd_data.adc_rd_data_3(31 downto 24) &lt;= avalon_mm_rmap_i.writedata(31 downto 24);</t>
  </si>
  <si>
    <t xml:space="preserve">      rmap_registers_wr_o.aeb3_hk_adc_rd_data.adc_rd_data_2(7 downto 0) &lt;= avalon_mm_rmap_i.writedata(7 downto 0);</t>
  </si>
  <si>
    <t xml:space="preserve">      rmap_registers_wr_o.aeb3_hk_adc_rd_data.adc_rd_data_2(15 downto 8) &lt;= avalon_mm_rmap_i.writedata(15 downto 8);</t>
  </si>
  <si>
    <t xml:space="preserve">      rmap_registers_wr_o.aeb3_hk_adc_rd_data.adc_rd_data_2(23 downto 16) &lt;= avalon_mm_rmap_i.writedata(23 downto 16);</t>
  </si>
  <si>
    <t xml:space="preserve">      rmap_registers_wr_o.aeb3_hk_adc_rd_data.adc_rd_data_2(31 downto 24) &lt;= avalon_mm_rmap_i.writedata(31 downto 24);</t>
  </si>
  <si>
    <t xml:space="preserve">      rmap_registers_wr_o.aeb3_hk_adc_rd_data.adc_rd_data_1(7 downto 0) &lt;= avalon_mm_rmap_i.writedata(7 downto 0);</t>
  </si>
  <si>
    <t xml:space="preserve">      rmap_registers_wr_o.aeb3_hk_adc_rd_data.adc_rd_data_1(15 downto 8) &lt;= avalon_mm_rmap_i.writedata(15 downto 8);</t>
  </si>
  <si>
    <t xml:space="preserve">      rmap_registers_wr_o.aeb3_hk_adc_rd_data.adc_rd_data_1(23 downto 16) &lt;= avalon_mm_rmap_i.writedata(23 downto 16);</t>
  </si>
  <si>
    <t xml:space="preserve">      rmap_registers_wr_o.aeb3_hk_adc_rd_data.adc_rd_data_1(31 downto 24) &lt;= avalon_mm_rmap_i.writedata(31 downto 24);</t>
  </si>
  <si>
    <t xml:space="preserve">      rmap_registers_wr_o.aeb3_hk_adc_rd_data.adc_rd_data_0(7 downto 0) &lt;= avalon_mm_rmap_i.writedata(7 downto 0);</t>
  </si>
  <si>
    <t xml:space="preserve">      rmap_registers_wr_o.aeb3_hk_adc_rd_data.adc_rd_data_0(15 downto 8) &lt;= avalon_mm_rmap_i.writedata(15 downto 8);</t>
  </si>
  <si>
    <t xml:space="preserve">      rmap_registers_wr_o.aeb3_hk_adc_rd_data.adc_rd_data_0(23 downto 16) &lt;= avalon_mm_rmap_i.writedata(23 downto 16);</t>
  </si>
  <si>
    <t xml:space="preserve">      rmap_registers_wr_o.aeb3_hk_adc_rd_data.adc_rd_data_0(31 downto 24) &lt;= avalon_mm_rmap_i.writedata(31 downto 24);</t>
  </si>
  <si>
    <t xml:space="preserve">      rmap_registers_wr_o.aeb3_hk_adc1_rd_config.adc1_rd_config_3(7 downto 0) &lt;= avalon_mm_rmap_i.writedata(7 downto 0);</t>
  </si>
  <si>
    <t xml:space="preserve">      rmap_registers_wr_o.aeb3_hk_adc1_rd_config.adc1_rd_config_3(15 downto 8) &lt;= avalon_mm_rmap_i.writedata(15 downto 8);</t>
  </si>
  <si>
    <t xml:space="preserve">      rmap_registers_wr_o.aeb3_hk_adc1_rd_config.adc1_rd_config_3(23 downto 16) &lt;= avalon_mm_rmap_i.writedata(23 downto 16);</t>
  </si>
  <si>
    <t xml:space="preserve">      rmap_registers_wr_o.aeb3_hk_adc1_rd_config.adc1_rd_config_3(31 downto 24) &lt;= avalon_mm_rmap_i.writedata(31 downto 24);</t>
  </si>
  <si>
    <t xml:space="preserve">      rmap_registers_wr_o.aeb3_hk_adc1_rd_config.adc1_rd_config_2(7 downto 0) &lt;= avalon_mm_rmap_i.writedata(7 downto 0);</t>
  </si>
  <si>
    <t xml:space="preserve">      rmap_registers_wr_o.aeb3_hk_adc1_rd_config.adc1_rd_config_2(15 downto 8) &lt;= avalon_mm_rmap_i.writedata(15 downto 8);</t>
  </si>
  <si>
    <t xml:space="preserve">      rmap_registers_wr_o.aeb3_hk_adc1_rd_config.adc1_rd_config_2(23 downto 16) &lt;= avalon_mm_rmap_i.writedata(23 downto 16);</t>
  </si>
  <si>
    <t xml:space="preserve">      rmap_registers_wr_o.aeb3_hk_adc1_rd_config.adc1_rd_config_2(31 downto 24) &lt;= avalon_mm_rmap_i.writedata(31 downto 24);</t>
  </si>
  <si>
    <t xml:space="preserve">      rmap_registers_wr_o.aeb3_hk_adc1_rd_config.adc1_rd_config_1(7 downto 0) &lt;= avalon_mm_rmap_i.writedata(7 downto 0);</t>
  </si>
  <si>
    <t xml:space="preserve">      rmap_registers_wr_o.aeb3_hk_adc1_rd_config.adc1_rd_config_1(15 downto 8) &lt;= avalon_mm_rmap_i.writedata(15 downto 8);</t>
  </si>
  <si>
    <t xml:space="preserve">      rmap_registers_wr_o.aeb3_hk_adc1_rd_config.adc1_rd_config_1(23 downto 16) &lt;= avalon_mm_rmap_i.writedata(23 downto 16);</t>
  </si>
  <si>
    <t xml:space="preserve">      rmap_registers_wr_o.aeb3_hk_adc1_rd_config.adc1_rd_config_1(31 downto 24) &lt;= avalon_mm_rmap_i.writedata(31 downto 24);</t>
  </si>
  <si>
    <t xml:space="preserve">      rmap_registers_wr_o.aeb3_hk_adc1_rd_config.adc1_rd_config_0(7 downto 0) &lt;= avalon_mm_rmap_i.writedata(7 downto 0);</t>
  </si>
  <si>
    <t xml:space="preserve">      rmap_registers_wr_o.aeb3_hk_adc1_rd_config.adc1_rd_config_0(15 downto 8) &lt;= avalon_mm_rmap_i.writedata(15 downto 8);</t>
  </si>
  <si>
    <t xml:space="preserve">      rmap_registers_wr_o.aeb3_hk_adc1_rd_config.adc1_rd_config_0(23 downto 16) &lt;= avalon_mm_rmap_i.writedata(23 downto 16);</t>
  </si>
  <si>
    <t xml:space="preserve">      rmap_registers_wr_o.aeb3_hk_adc1_rd_config.adc1_rd_config_0(31 downto 24) &lt;= avalon_mm_rmap_i.writedata(31 downto 24);</t>
  </si>
  <si>
    <t xml:space="preserve">      rmap_registers_wr_o.aeb3_hk_adc2_rd_config.adc2_rd_config_3(7 downto 0) &lt;= avalon_mm_rmap_i.writedata(7 downto 0);</t>
  </si>
  <si>
    <t xml:space="preserve">      rmap_registers_wr_o.aeb3_hk_adc2_rd_config.adc2_rd_config_3(15 downto 8) &lt;= avalon_mm_rmap_i.writedata(15 downto 8);</t>
  </si>
  <si>
    <t xml:space="preserve">      rmap_registers_wr_o.aeb3_hk_adc2_rd_config.adc2_rd_config_3(23 downto 16) &lt;= avalon_mm_rmap_i.writedata(23 downto 16);</t>
  </si>
  <si>
    <t xml:space="preserve">      rmap_registers_wr_o.aeb3_hk_adc2_rd_config.adc2_rd_config_3(31 downto 24) &lt;= avalon_mm_rmap_i.writedata(31 downto 24);</t>
  </si>
  <si>
    <t xml:space="preserve">      rmap_registers_wr_o.aeb3_hk_adc2_rd_config.adc2_rd_config_2(7 downto 0) &lt;= avalon_mm_rmap_i.writedata(7 downto 0);</t>
  </si>
  <si>
    <t xml:space="preserve">      rmap_registers_wr_o.aeb3_hk_adc2_rd_config.adc2_rd_config_2(15 downto 8) &lt;= avalon_mm_rmap_i.writedata(15 downto 8);</t>
  </si>
  <si>
    <t xml:space="preserve">      rmap_registers_wr_o.aeb3_hk_adc2_rd_config.adc2_rd_config_2(23 downto 16) &lt;= avalon_mm_rmap_i.writedata(23 downto 16);</t>
  </si>
  <si>
    <t xml:space="preserve">      rmap_registers_wr_o.aeb3_hk_adc2_rd_config.adc2_rd_config_2(31 downto 24) &lt;= avalon_mm_rmap_i.writedata(31 downto 24);</t>
  </si>
  <si>
    <t xml:space="preserve">      rmap_registers_wr_o.aeb3_hk_adc2_rd_config.adc2_rd_config_1(7 downto 0) &lt;= avalon_mm_rmap_i.writedata(7 downto 0);</t>
  </si>
  <si>
    <t xml:space="preserve">      rmap_registers_wr_o.aeb3_hk_adc2_rd_config.adc2_rd_config_1(15 downto 8) &lt;= avalon_mm_rmap_i.writedata(15 downto 8);</t>
  </si>
  <si>
    <t xml:space="preserve">      rmap_registers_wr_o.aeb3_hk_adc2_rd_config.adc2_rd_config_1(23 downto 16) &lt;= avalon_mm_rmap_i.writedata(23 downto 16);</t>
  </si>
  <si>
    <t xml:space="preserve">      rmap_registers_wr_o.aeb3_hk_adc2_rd_config.adc2_rd_config_1(31 downto 24) &lt;= avalon_mm_rmap_i.writedata(31 downto 24);</t>
  </si>
  <si>
    <t xml:space="preserve">      rmap_registers_wr_o.aeb3_hk_adc2_rd_config.adc2_rd_config_0(7 downto 0) &lt;= avalon_mm_rmap_i.writedata(7 downto 0);</t>
  </si>
  <si>
    <t xml:space="preserve">      rmap_registers_wr_o.aeb3_hk_adc2_rd_config.adc2_rd_config_0(15 downto 8) &lt;= avalon_mm_rmap_i.writedata(15 downto 8);</t>
  </si>
  <si>
    <t xml:space="preserve">      rmap_registers_wr_o.aeb3_hk_adc2_rd_config.adc2_rd_config_0(23 downto 16) &lt;= avalon_mm_rmap_i.writedata(23 downto 16);</t>
  </si>
  <si>
    <t xml:space="preserve">      rmap_registers_wr_o.aeb3_hk_adc2_rd_config.adc2_rd_config_0(31 downto 24) &lt;= avalon_mm_rmap_i.writedata(31 downto 24);</t>
  </si>
  <si>
    <t xml:space="preserve">      rmap_registers_wr_o.aeb3_hk_vasp_rd_config.vasp1_read_data &lt;= avalon_mm_rmap_i.writedata(7 downto 0);</t>
  </si>
  <si>
    <t xml:space="preserve">      rmap_registers_wr_o.aeb3_hk_vasp_rd_config.vasp2_read_data &lt;= avalon_mm_rmap_i.writedata(15 downto 8);</t>
  </si>
  <si>
    <t xml:space="preserve">      rmap_registers_wr_o.aeb3_hk_revision_id.fpga_ver(7 downto 0) &lt;= avalon_mm_rmap_i.writedata(23 downto 16);</t>
  </si>
  <si>
    <t xml:space="preserve">      rmap_registers_wr_o.aeb3_hk_revision_id.fpga_ver(15 downto 8) &lt;= avalon_mm_rmap_i.writedata(31 downto 24);</t>
  </si>
  <si>
    <t xml:space="preserve">      rmap_registers_wr_o.aeb3_hk_revision_id.fpga_date(7 downto 0) &lt;= avalon_mm_rmap_i.writedata(7 downto 0);</t>
  </si>
  <si>
    <t xml:space="preserve">      rmap_registers_wr_o.aeb3_hk_revision_id.fpga_date(15 downto 8) &lt;= avalon_mm_rmap_i.writedata(15 downto 8);</t>
  </si>
  <si>
    <t xml:space="preserve">      rmap_registers_wr_o.aeb3_hk_revision_id.fpga_time(7 downto 0) &lt;= avalon_mm_rmap_i.writedata(23 downto 16);</t>
  </si>
  <si>
    <t xml:space="preserve">      rmap_registers_wr_o.aeb3_hk_revision_id.fpga_time(15 downto 8) &lt;= avalon_mm_rmap_i.writedata(31 downto 24);</t>
  </si>
  <si>
    <t xml:space="preserve">      rmap_registers_wr_o.aeb3_hk_revision_id.fpga_svn(7 downto 0) &lt;= avalon_mm_rmap_i.writedata(7 downto 0);</t>
  </si>
  <si>
    <t xml:space="preserve">      rmap_registers_wr_o.aeb3_hk_revision_id.fpga_svn(15 downto 8) &lt;= avalon_mm_rmap_i.writedata(15 downto 8);</t>
  </si>
  <si>
    <t xml:space="preserve">      rmap_registers_wr_o.aeb4_ccfg_aeb_control.new_state &lt;= avalon_mm_rmap_i.writedata(20 downto 16);</t>
  </si>
  <si>
    <t xml:space="preserve">      rmap_registers_wr_o.aeb4_ccfg_aeb_control.set_state &lt;= avalon_mm_rmap_i.writedata(0);</t>
  </si>
  <si>
    <t xml:space="preserve">      rmap_registers_wr_o.aeb4_ccfg_aeb_control.aeb_reset &lt;= avalon_mm_rmap_i.writedata(0);</t>
  </si>
  <si>
    <t xml:space="preserve">      rmap_registers_wr_o.aeb4_ccfg_aeb_control.adc_data_rd &lt;= avalon_mm_rmap_i.writedata(0);</t>
  </si>
  <si>
    <t xml:space="preserve">      rmap_registers_wr_o.aeb4_ccfg_aeb_control.adc_cfg_wr &lt;= avalon_mm_rmap_i.writedata(0);</t>
  </si>
  <si>
    <t xml:space="preserve">      rmap_registers_wr_o.aeb4_ccfg_aeb_control.adc_cfg_rd &lt;= avalon_mm_rmap_i.writedata(0);</t>
  </si>
  <si>
    <t xml:space="preserve">      rmap_registers_wr_o.aeb4_ccfg_aeb_control.dac_wr &lt;= avalon_mm_rmap_i.writedata(0);</t>
  </si>
  <si>
    <t xml:space="preserve">      rmap_registers_wr_o.aeb4_ccfg_aeb_config.watchdog_dis &lt;= avalon_mm_rmap_i.writedata(0);</t>
  </si>
  <si>
    <t xml:space="preserve">      rmap_registers_wr_o.aeb4_ccfg_aeb_config.int_sync &lt;= avalon_mm_rmap_i.writedata(0);</t>
  </si>
  <si>
    <t xml:space="preserve">      rmap_registers_wr_o.aeb4_ccfg_aeb_config.vasp_cds_en &lt;= avalon_mm_rmap_i.writedata(0);</t>
  </si>
  <si>
    <t xml:space="preserve">      rmap_registers_wr_o.aeb4_ccfg_aeb_config.vasp2_cal_en &lt;= avalon_mm_rmap_i.writedata(0);</t>
  </si>
  <si>
    <t xml:space="preserve">      rmap_registers_wr_o.aeb4_ccfg_aeb_config.vasp1_cal_en &lt;= avalon_mm_rmap_i.writedata(0);</t>
  </si>
  <si>
    <t xml:space="preserve">      rmap_registers_wr_o.aeb4_ccfg_aeb_config_key.key(7 downto 0) &lt;= avalon_mm_rmap_i.writedata(7 downto 0);</t>
  </si>
  <si>
    <t xml:space="preserve">      rmap_registers_wr_o.aeb4_ccfg_aeb_config_key.key(15 downto 8) &lt;= avalon_mm_rmap_i.writedata(15 downto 8);</t>
  </si>
  <si>
    <t xml:space="preserve">      rmap_registers_wr_o.aeb4_ccfg_aeb_config_key.key(23 downto 16) &lt;= avalon_mm_rmap_i.writedata(23 downto 16);</t>
  </si>
  <si>
    <t xml:space="preserve">      rmap_registers_wr_o.aeb4_ccfg_aeb_config_key.key(30 downto 24) &lt;= avalon_mm_rmap_i.writedata(30 downto 24);</t>
  </si>
  <si>
    <t xml:space="preserve">      rmap_registers_wr_o.aeb4_ccfg_aeb_config_ait1.override_sw &lt;= avalon_mm_rmap_i.writedata(0);</t>
  </si>
  <si>
    <t xml:space="preserve">      rmap_registers_wr_o.aeb4_ccfg_aeb_config_ait1.sw_van3 &lt;= avalon_mm_rmap_i.writedata(0);</t>
  </si>
  <si>
    <t xml:space="preserve">      rmap_registers_wr_o.aeb4_ccfg_aeb_config_ait1.sw_van2 &lt;= avalon_mm_rmap_i.writedata(0);</t>
  </si>
  <si>
    <t xml:space="preserve">      rmap_registers_wr_o.aeb4_ccfg_aeb_config_ait1.sw_van1 &lt;= avalon_mm_rmap_i.writedata(0);</t>
  </si>
  <si>
    <t xml:space="preserve">      rmap_registers_wr_o.aeb4_ccfg_aeb_config_ait1.sw_vclk &lt;= avalon_mm_rmap_i.writedata(0);</t>
  </si>
  <si>
    <t xml:space="preserve">      rmap_registers_wr_o.aeb4_ccfg_aeb_config_ait1.sw_vccd &lt;= avalon_mm_rmap_i.writedata(0);</t>
  </si>
  <si>
    <t xml:space="preserve">      rmap_registers_wr_o.aeb4_ccfg_aeb_config_ait1.override_vasp &lt;= avalon_mm_rmap_i.writedata(0);</t>
  </si>
  <si>
    <t xml:space="preserve">      rmap_registers_wr_o.aeb4_ccfg_aeb_config_ait1.vasp2_pix_en &lt;= avalon_mm_rmap_i.writedata(0);</t>
  </si>
  <si>
    <t xml:space="preserve">      rmap_registers_wr_o.aeb4_ccfg_aeb_config_ait1.vasp1_pix_en &lt;= avalon_mm_rmap_i.writedata(0);</t>
  </si>
  <si>
    <t xml:space="preserve">      rmap_registers_wr_o.aeb4_ccfg_aeb_config_ait1.vasp2_adc_en &lt;= avalon_mm_rmap_i.writedata(0);</t>
  </si>
  <si>
    <t xml:space="preserve">      rmap_registers_wr_o.aeb4_ccfg_aeb_config_ait1.vasp1_adc_en &lt;= avalon_mm_rmap_i.writedata(0);</t>
  </si>
  <si>
    <t xml:space="preserve">      rmap_registers_wr_o.aeb4_ccfg_aeb_config_ait1.vasp2_reset &lt;= avalon_mm_rmap_i.writedata(0);</t>
  </si>
  <si>
    <t xml:space="preserve">      rmap_registers_wr_o.aeb4_ccfg_aeb_config_ait1.vasp1_reset &lt;= avalon_mm_rmap_i.writedata(0);</t>
  </si>
  <si>
    <t xml:space="preserve">      rmap_registers_wr_o.aeb4_ccfg_aeb_config_ait1.override_adc &lt;= avalon_mm_rmap_i.writedata(0);</t>
  </si>
  <si>
    <t xml:space="preserve">      rmap_registers_wr_o.aeb4_ccfg_aeb_config_ait1.adc2_en_p5v0 &lt;= avalon_mm_rmap_i.writedata(0);</t>
  </si>
  <si>
    <t xml:space="preserve">      rmap_registers_wr_o.aeb4_ccfg_aeb_config_ait1.adc1_en_p5v0 &lt;= avalon_mm_rmap_i.writedata(0);</t>
  </si>
  <si>
    <t xml:space="preserve">      rmap_registers_wr_o.aeb4_ccfg_aeb_config_ait1.pt1000_cal_on_n &lt;= avalon_mm_rmap_i.writedata(0);</t>
  </si>
  <si>
    <t xml:space="preserve">      rmap_registers_wr_o.aeb4_ccfg_aeb_config_ait1.en_v_mux_n &lt;= avalon_mm_rmap_i.writedata(0);</t>
  </si>
  <si>
    <t xml:space="preserve">      rmap_registers_wr_o.aeb4_ccfg_aeb_config_ait1.adc2_pwdn_n &lt;= avalon_mm_rmap_i.writedata(0);</t>
  </si>
  <si>
    <t xml:space="preserve">      rmap_registers_wr_o.aeb4_ccfg_aeb_config_ait1.adc1_pwdn_n &lt;= avalon_mm_rmap_i.writedata(0);</t>
  </si>
  <si>
    <t xml:space="preserve">      rmap_registers_wr_o.aeb4_ccfg_aeb_config_ait1.adc_clk_en &lt;= avalon_mm_rmap_i.writedata(0);</t>
  </si>
  <si>
    <t xml:space="preserve">      rmap_registers_wr_o.aeb4_ccfg_aeb_config_pattern.pattern_ccdid &lt;= avalon_mm_rmap_i.writedata(1 downto 0);</t>
  </si>
  <si>
    <t xml:space="preserve">      rmap_registers_wr_o.aeb4_ccfg_aeb_config_pattern.pattern_cols(7 downto 0) &lt;= avalon_mm_rmap_i.writedata(23 downto 16);</t>
  </si>
  <si>
    <t xml:space="preserve">      rmap_registers_wr_o.aeb4_ccfg_aeb_config_pattern.pattern_cols(13 downto 8) &lt;= avalon_mm_rmap_i.writedata(29 downto 24);</t>
  </si>
  <si>
    <t xml:space="preserve">      rmap_registers_wr_o.aeb4_ccfg_aeb_config_pattern.pattern_rows(7 downto 0) &lt;= avalon_mm_rmap_i.writedata(7 downto 0);</t>
  </si>
  <si>
    <t xml:space="preserve">      rmap_registers_wr_o.aeb4_ccfg_aeb_config_pattern.pattern_rows(13 downto 8) &lt;= avalon_mm_rmap_i.writedata(13 downto 8);</t>
  </si>
  <si>
    <t xml:space="preserve">      rmap_registers_wr_o.aeb4_ccfg_vasp_i2c_control.vasp_cfg_addr &lt;= avalon_mm_rmap_i.writedata(23 downto 16);</t>
  </si>
  <si>
    <t xml:space="preserve">      rmap_registers_wr_o.aeb4_ccfg_vasp_i2c_control.vasp1_cfg_data &lt;= avalon_mm_rmap_i.writedata(31 downto 24);</t>
  </si>
  <si>
    <t xml:space="preserve">      rmap_registers_wr_o.aeb4_ccfg_vasp_i2c_control.vasp2_cfg_data &lt;= avalon_mm_rmap_i.writedata(7 downto 0);</t>
  </si>
  <si>
    <t xml:space="preserve">      rmap_registers_wr_o.aeb4_ccfg_vasp_i2c_control.vasp2_select &lt;= avalon_mm_rmap_i.writedata(0);</t>
  </si>
  <si>
    <t xml:space="preserve">      rmap_registers_wr_o.aeb4_ccfg_vasp_i2c_control.vasp1_select &lt;= avalon_mm_rmap_i.writedata(0);</t>
  </si>
  <si>
    <t xml:space="preserve">      rmap_registers_wr_o.aeb4_ccfg_vasp_i2c_control.calibration_start &lt;= avalon_mm_rmap_i.writedata(0);</t>
  </si>
  <si>
    <t xml:space="preserve">      rmap_registers_wr_o.aeb4_ccfg_vasp_i2c_control.i2c_read_start &lt;= avalon_mm_rmap_i.writedata(0);</t>
  </si>
  <si>
    <t xml:space="preserve">      rmap_registers_wr_o.aeb4_ccfg_vasp_i2c_control.i2c_write_start &lt;= avalon_mm_rmap_i.writedata(0);</t>
  </si>
  <si>
    <t xml:space="preserve">      rmap_registers_wr_o.aeb4_ccfg_dac_config_1.dac_vog(7 downto 0) &lt;= avalon_mm_rmap_i.writedata(7 downto 0);</t>
  </si>
  <si>
    <t xml:space="preserve">      rmap_registers_wr_o.aeb4_ccfg_dac_config_1.dac_vog(11 downto 8) &lt;= avalon_mm_rmap_i.writedata(11 downto 8);</t>
  </si>
  <si>
    <t xml:space="preserve">      rmap_registers_wr_o.aeb4_ccfg_dac_config_1.dac_vrd(7 downto 0) &lt;= avalon_mm_rmap_i.writedata(23 downto 16);</t>
  </si>
  <si>
    <t xml:space="preserve">      rmap_registers_wr_o.aeb4_ccfg_dac_config_1.dac_vrd(11 downto 8) &lt;= avalon_mm_rmap_i.writedata(27 downto 24);</t>
  </si>
  <si>
    <t xml:space="preserve">      rmap_registers_wr_o.aeb4_ccfg_dac_config_2.dac_vod(7 downto 0) &lt;= avalon_mm_rmap_i.writedata(7 downto 0);</t>
  </si>
  <si>
    <t xml:space="preserve">      rmap_registers_wr_o.aeb4_ccfg_dac_config_2.dac_vod(11 downto 8) &lt;= avalon_mm_rmap_i.writedata(11 downto 8);</t>
  </si>
  <si>
    <t xml:space="preserve">      rmap_registers_wr_o.aeb4_ccfg_pwr_config1.time_vccd_on &lt;= avalon_mm_rmap_i.writedata(23 downto 16);</t>
  </si>
  <si>
    <t xml:space="preserve">      rmap_registers_wr_o.aeb4_ccfg_pwr_config1.time_vclk_on &lt;= avalon_mm_rmap_i.writedata(31 downto 24);</t>
  </si>
  <si>
    <t xml:space="preserve">      rmap_registers_wr_o.aeb4_ccfg_pwr_config1.time_van1_on &lt;= avalon_mm_rmap_i.writedata(7 downto 0);</t>
  </si>
  <si>
    <t xml:space="preserve">      rmap_registers_wr_o.aeb4_ccfg_pwr_config1.time_van2_on &lt;= avalon_mm_rmap_i.writedata(15 downto 8);</t>
  </si>
  <si>
    <t xml:space="preserve">      rmap_registers_wr_o.aeb4_ccfg_pwr_config2.time_van3_on &lt;= avalon_mm_rmap_i.writedata(23 downto 16);</t>
  </si>
  <si>
    <t xml:space="preserve">      rmap_registers_wr_o.aeb4_ccfg_pwr_config2.time_vccd_off &lt;= avalon_mm_rmap_i.writedata(31 downto 24);</t>
  </si>
  <si>
    <t xml:space="preserve">      rmap_registers_wr_o.aeb4_ccfg_pwr_config2.time_vclk_off &lt;= avalon_mm_rmap_i.writedata(7 downto 0);</t>
  </si>
  <si>
    <t xml:space="preserve">      rmap_registers_wr_o.aeb4_ccfg_pwr_config2.time_van1_off &lt;= avalon_mm_rmap_i.writedata(15 downto 8);</t>
  </si>
  <si>
    <t xml:space="preserve">      rmap_registers_wr_o.aeb4_ccfg_pwr_config3.time_van2_off &lt;= avalon_mm_rmap_i.writedata(23 downto 16);</t>
  </si>
  <si>
    <t xml:space="preserve">      rmap_registers_wr_o.aeb4_ccfg_pwr_config3.time_van3_off &lt;= avalon_mm_rmap_i.writedata(31 downto 24);</t>
  </si>
  <si>
    <t xml:space="preserve">      rmap_registers_wr_o.aeb4_gcfg_adc1_config.adc1_bypas &lt;= avalon_mm_rmap_i.writedata(0);</t>
  </si>
  <si>
    <t xml:space="preserve">      rmap_registers_wr_o.aeb4_gcfg_adc1_config.adc1_clkenb &lt;= avalon_mm_rmap_i.writedata(0);</t>
  </si>
  <si>
    <t xml:space="preserve">      rmap_registers_wr_o.aeb4_gcfg_adc1_config.adc1_chop &lt;= avalon_mm_rmap_i.writedata(0);</t>
  </si>
  <si>
    <t xml:space="preserve">      rmap_registers_wr_o.aeb4_gcfg_adc1_config.adc1_stat &lt;= avalon_mm_rmap_i.writedata(0);</t>
  </si>
  <si>
    <t xml:space="preserve">      rmap_registers_wr_o.aeb4_gcfg_adc1_config.adc1_idlmod &lt;= avalon_mm_rmap_i.writedata(0);</t>
  </si>
  <si>
    <t xml:space="preserve">      rmap_registers_wr_o.aeb4_gcfg_adc1_config.adc1_dly2 &lt;= avalon_mm_rmap_i.writedata(0);</t>
  </si>
  <si>
    <t xml:space="preserve">      rmap_registers_wr_o.aeb4_gcfg_adc1_config.adc1_dly1 &lt;= avalon_mm_rmap_i.writedata(0);</t>
  </si>
  <si>
    <t xml:space="preserve">      rmap_registers_wr_o.aeb4_gcfg_adc1_config.adc1_dly0 &lt;= avalon_mm_rmap_i.writedata(0);</t>
  </si>
  <si>
    <t xml:space="preserve">      rmap_registers_wr_o.aeb4_gcfg_adc1_config.adc1_sbcs1 &lt;= avalon_mm_rmap_i.writedata(0);</t>
  </si>
  <si>
    <t xml:space="preserve">      rmap_registers_wr_o.aeb4_gcfg_adc1_config.adc1_sbcs0 &lt;= avalon_mm_rmap_i.writedata(0);</t>
  </si>
  <si>
    <t xml:space="preserve">      rmap_registers_wr_o.aeb4_gcfg_adc1_config.adc1_drate1 &lt;= avalon_mm_rmap_i.writedata(0);</t>
  </si>
  <si>
    <t xml:space="preserve">      rmap_registers_wr_o.aeb4_gcfg_adc1_config.adc1_drate0 &lt;= avalon_mm_rmap_i.writedata(0);</t>
  </si>
  <si>
    <t xml:space="preserve">      rmap_registers_wr_o.aeb4_gcfg_adc1_config.adc1_ainp3 &lt;= avalon_mm_rmap_i.writedata(0);</t>
  </si>
  <si>
    <t xml:space="preserve">      rmap_registers_wr_o.aeb4_gcfg_adc1_config.adc1_ainp2 &lt;= avalon_mm_rmap_i.writedata(0);</t>
  </si>
  <si>
    <t xml:space="preserve">      rmap_registers_wr_o.aeb4_gcfg_adc1_config.adc1_ainp1 &lt;= avalon_mm_rmap_i.writedata(0);</t>
  </si>
  <si>
    <t xml:space="preserve">      rmap_registers_wr_o.aeb4_gcfg_adc1_config.adc1_ainp0 &lt;= avalon_mm_rmap_i.writedata(0);</t>
  </si>
  <si>
    <t xml:space="preserve">      rmap_registers_wr_o.aeb4_gcfg_adc1_config.adc1_ainn3 &lt;= avalon_mm_rmap_i.writedata(0);</t>
  </si>
  <si>
    <t xml:space="preserve">      rmap_registers_wr_o.aeb4_gcfg_adc1_config.adc1_ainn2 &lt;= avalon_mm_rmap_i.writedata(0);</t>
  </si>
  <si>
    <t xml:space="preserve">      rmap_registers_wr_o.aeb4_gcfg_adc1_config.adc1_ainn1 &lt;= avalon_mm_rmap_i.writedata(0);</t>
  </si>
  <si>
    <t xml:space="preserve">      rmap_registers_wr_o.aeb4_gcfg_adc1_config.adc1_ainn0 &lt;= avalon_mm_rmap_i.writedata(0);</t>
  </si>
  <si>
    <t xml:space="preserve">      rmap_registers_wr_o.aeb4_gcfg_adc1_config.adc1_diff7 &lt;= avalon_mm_rmap_i.writedata(0);</t>
  </si>
  <si>
    <t xml:space="preserve">      rmap_registers_wr_o.aeb4_gcfg_adc1_config.adc1_diff6 &lt;= avalon_mm_rmap_i.writedata(0);</t>
  </si>
  <si>
    <t xml:space="preserve">      rmap_registers_wr_o.aeb4_gcfg_adc1_config.adc1_diff5 &lt;= avalon_mm_rmap_i.writedata(0);</t>
  </si>
  <si>
    <t xml:space="preserve">      rmap_registers_wr_o.aeb4_gcfg_adc1_config.adc1_diff4 &lt;= avalon_mm_rmap_i.writedata(0);</t>
  </si>
  <si>
    <t xml:space="preserve">      rmap_registers_wr_o.aeb4_gcfg_adc1_config.adc1_diff3 &lt;= avalon_mm_rmap_i.writedata(0);</t>
  </si>
  <si>
    <t xml:space="preserve">      rmap_registers_wr_o.aeb4_gcfg_adc1_config.adc1_diff2 &lt;= avalon_mm_rmap_i.writedata(0);</t>
  </si>
  <si>
    <t xml:space="preserve">      rmap_registers_wr_o.aeb4_gcfg_adc1_config.adc1_diff1 &lt;= avalon_mm_rmap_i.writedata(0);</t>
  </si>
  <si>
    <t xml:space="preserve">      rmap_registers_wr_o.aeb4_gcfg_adc1_config.adc1_diff0 &lt;= avalon_mm_rmap_i.writedata(0);</t>
  </si>
  <si>
    <t xml:space="preserve">      rmap_registers_wr_o.aeb4_gcfg_adc1_config.adc1_ain7 &lt;= avalon_mm_rmap_i.writedata(0);</t>
  </si>
  <si>
    <t xml:space="preserve">      rmap_registers_wr_o.aeb4_gcfg_adc1_config.adc1_ain6 &lt;= avalon_mm_rmap_i.writedata(0);</t>
  </si>
  <si>
    <t xml:space="preserve">      rmap_registers_wr_o.aeb4_gcfg_adc1_config.adc1_ain5 &lt;= avalon_mm_rmap_i.writedata(0);</t>
  </si>
  <si>
    <t xml:space="preserve">      rmap_registers_wr_o.aeb4_gcfg_adc1_config.adc1_ain4 &lt;= avalon_mm_rmap_i.writedata(0);</t>
  </si>
  <si>
    <t xml:space="preserve">      rmap_registers_wr_o.aeb4_gcfg_adc1_config.adc1_ain3 &lt;= avalon_mm_rmap_i.writedata(0);</t>
  </si>
  <si>
    <t xml:space="preserve">      rmap_registers_wr_o.aeb4_gcfg_adc1_config.adc1_ain2 &lt;= avalon_mm_rmap_i.writedata(0);</t>
  </si>
  <si>
    <t xml:space="preserve">      rmap_registers_wr_o.aeb4_gcfg_adc1_config.adc1_ain1 &lt;= avalon_mm_rmap_i.writedata(0);</t>
  </si>
  <si>
    <t xml:space="preserve">      rmap_registers_wr_o.aeb4_gcfg_adc1_config.adc1_ain0 &lt;= avalon_mm_rmap_i.writedata(0);</t>
  </si>
  <si>
    <t xml:space="preserve">      rmap_registers_wr_o.aeb4_gcfg_adc1_config.adc1_ain15 &lt;= avalon_mm_rmap_i.writedata(0);</t>
  </si>
  <si>
    <t xml:space="preserve">      rmap_registers_wr_o.aeb4_gcfg_adc1_config.adc1_ain14 &lt;= avalon_mm_rmap_i.writedata(0);</t>
  </si>
  <si>
    <t xml:space="preserve">      rmap_registers_wr_o.aeb4_gcfg_adc1_config.adc1_ain13 &lt;= avalon_mm_rmap_i.writedata(0);</t>
  </si>
  <si>
    <t xml:space="preserve">      rmap_registers_wr_o.aeb4_gcfg_adc1_config.adc1_ain12 &lt;= avalon_mm_rmap_i.writedata(0);</t>
  </si>
  <si>
    <t xml:space="preserve">      rmap_registers_wr_o.aeb4_gcfg_adc1_config.adc1_ain11 &lt;= avalon_mm_rmap_i.writedata(0);</t>
  </si>
  <si>
    <t xml:space="preserve">      rmap_registers_wr_o.aeb4_gcfg_adc1_config.adc1_ain10 &lt;= avalon_mm_rmap_i.writedata(0);</t>
  </si>
  <si>
    <t xml:space="preserve">      rmap_registers_wr_o.aeb4_gcfg_adc1_config.adc1_ain9 &lt;= avalon_mm_rmap_i.writedata(0);</t>
  </si>
  <si>
    <t xml:space="preserve">      rmap_registers_wr_o.aeb4_gcfg_adc1_config.adc1_ain8 &lt;= avalon_mm_rmap_i.writedata(0);</t>
  </si>
  <si>
    <t xml:space="preserve">      rmap_registers_wr_o.aeb4_gcfg_adc1_config.adc1_ref &lt;= avalon_mm_rmap_i.writedata(0);</t>
  </si>
  <si>
    <t xml:space="preserve">      rmap_registers_wr_o.aeb4_gcfg_adc1_config.adc1_gain &lt;= avalon_mm_rmap_i.writedata(0);</t>
  </si>
  <si>
    <t xml:space="preserve">      rmap_registers_wr_o.aeb4_gcfg_adc1_config.adc1_temp &lt;= avalon_mm_rmap_i.writedata(0);</t>
  </si>
  <si>
    <t xml:space="preserve">      rmap_registers_wr_o.aeb4_gcfg_adc1_config.adc1_vcc &lt;= avalon_mm_rmap_i.writedata(0);</t>
  </si>
  <si>
    <t xml:space="preserve">      rmap_registers_wr_o.aeb4_gcfg_adc1_config.adc1_offset &lt;= avalon_mm_rmap_i.writedata(0);</t>
  </si>
  <si>
    <t xml:space="preserve">      rmap_registers_wr_o.aeb4_gcfg_adc1_config.adc1_cio7 &lt;= avalon_mm_rmap_i.writedata(0);</t>
  </si>
  <si>
    <t xml:space="preserve">      rmap_registers_wr_o.aeb4_gcfg_adc1_config.adc1_cio6 &lt;= avalon_mm_rmap_i.writedata(0);</t>
  </si>
  <si>
    <t xml:space="preserve">      rmap_registers_wr_o.aeb4_gcfg_adc1_config.adc1_cio5 &lt;= avalon_mm_rmap_i.writedata(0);</t>
  </si>
  <si>
    <t xml:space="preserve">      rmap_registers_wr_o.aeb4_gcfg_adc1_config.adc1_cio4 &lt;= avalon_mm_rmap_i.writedata(0);</t>
  </si>
  <si>
    <t xml:space="preserve">      rmap_registers_wr_o.aeb4_gcfg_adc1_config.adc1_cio3 &lt;= avalon_mm_rmap_i.writedata(0);</t>
  </si>
  <si>
    <t xml:space="preserve">      rmap_registers_wr_o.aeb4_gcfg_adc1_config.adc1_cio2 &lt;= avalon_mm_rmap_i.writedata(0);</t>
  </si>
  <si>
    <t xml:space="preserve">      rmap_registers_wr_o.aeb4_gcfg_adc1_config.adc1_cio1 &lt;= avalon_mm_rmap_i.writedata(0);</t>
  </si>
  <si>
    <t xml:space="preserve">      rmap_registers_wr_o.aeb4_gcfg_adc1_config.adc1_cio0 &lt;= avalon_mm_rmap_i.writedata(0);</t>
  </si>
  <si>
    <t xml:space="preserve">      rmap_registers_wr_o.aeb4_gcfg_adc1_config.adc1_dio7 &lt;= avalon_mm_rmap_i.writedata(0);</t>
  </si>
  <si>
    <t xml:space="preserve">      rmap_registers_wr_o.aeb4_gcfg_adc1_config.adc1_dio6 &lt;= avalon_mm_rmap_i.writedata(0);</t>
  </si>
  <si>
    <t xml:space="preserve">      rmap_registers_wr_o.aeb4_gcfg_adc1_config.adc1_dio5 &lt;= avalon_mm_rmap_i.writedata(0);</t>
  </si>
  <si>
    <t xml:space="preserve">      rmap_registers_wr_o.aeb4_gcfg_adc1_config.adc1_dio4 &lt;= avalon_mm_rmap_i.writedata(0);</t>
  </si>
  <si>
    <t xml:space="preserve">      rmap_registers_wr_o.aeb4_gcfg_adc1_config.adc1_dio3 &lt;= avalon_mm_rmap_i.writedata(0);</t>
  </si>
  <si>
    <t xml:space="preserve">      rmap_registers_wr_o.aeb4_gcfg_adc1_config.adc1_dio2 &lt;= avalon_mm_rmap_i.writedata(0);</t>
  </si>
  <si>
    <t xml:space="preserve">      rmap_registers_wr_o.aeb4_gcfg_adc1_config.adc1_dio1 &lt;= avalon_mm_rmap_i.writedata(0);</t>
  </si>
  <si>
    <t xml:space="preserve">      rmap_registers_wr_o.aeb4_gcfg_adc1_config.adc1_dio0 &lt;= avalon_mm_rmap_i.writedata(0);</t>
  </si>
  <si>
    <t xml:space="preserve">      rmap_registers_wr_o.aeb4_gcfg_adc2_config.adc2_bypas &lt;= avalon_mm_rmap_i.writedata(0);</t>
  </si>
  <si>
    <t xml:space="preserve">      rmap_registers_wr_o.aeb4_gcfg_adc2_config.adc2_clkenb &lt;= avalon_mm_rmap_i.writedata(0);</t>
  </si>
  <si>
    <t xml:space="preserve">      rmap_registers_wr_o.aeb4_gcfg_adc2_config.adc2_chop &lt;= avalon_mm_rmap_i.writedata(0);</t>
  </si>
  <si>
    <t xml:space="preserve">      rmap_registers_wr_o.aeb4_gcfg_adc2_config.adc2_stat &lt;= avalon_mm_rmap_i.writedata(0);</t>
  </si>
  <si>
    <t xml:space="preserve">      rmap_registers_wr_o.aeb4_gcfg_adc2_config.adc2_idlmod &lt;= avalon_mm_rmap_i.writedata(0);</t>
  </si>
  <si>
    <t xml:space="preserve">      rmap_registers_wr_o.aeb4_gcfg_adc2_config.adc2_dly2 &lt;= avalon_mm_rmap_i.writedata(0);</t>
  </si>
  <si>
    <t xml:space="preserve">      rmap_registers_wr_o.aeb4_gcfg_adc2_config.adc2_dly1 &lt;= avalon_mm_rmap_i.writedata(0);</t>
  </si>
  <si>
    <t xml:space="preserve">      rmap_registers_wr_o.aeb4_gcfg_adc2_config.adc2_dly0 &lt;= avalon_mm_rmap_i.writedata(0);</t>
  </si>
  <si>
    <t xml:space="preserve">      rmap_registers_wr_o.aeb4_gcfg_adc2_config.adc2_sbcs1 &lt;= avalon_mm_rmap_i.writedata(0);</t>
  </si>
  <si>
    <t xml:space="preserve">      rmap_registers_wr_o.aeb4_gcfg_adc2_config.adc2_sbcs0 &lt;= avalon_mm_rmap_i.writedata(0);</t>
  </si>
  <si>
    <t xml:space="preserve">      rmap_registers_wr_o.aeb4_gcfg_adc2_config.adc2_drate1 &lt;= avalon_mm_rmap_i.writedata(0);</t>
  </si>
  <si>
    <t xml:space="preserve">      rmap_registers_wr_o.aeb4_gcfg_adc2_config.adc2_drate0 &lt;= avalon_mm_rmap_i.writedata(0);</t>
  </si>
  <si>
    <t xml:space="preserve">      rmap_registers_wr_o.aeb4_gcfg_adc2_config.adc2_ainp3 &lt;= avalon_mm_rmap_i.writedata(0);</t>
  </si>
  <si>
    <t xml:space="preserve">      rmap_registers_wr_o.aeb4_gcfg_adc2_config.adc2_ainp2 &lt;= avalon_mm_rmap_i.writedata(0);</t>
  </si>
  <si>
    <t xml:space="preserve">      rmap_registers_wr_o.aeb4_gcfg_adc2_config.adc2_ainp1 &lt;= avalon_mm_rmap_i.writedata(0);</t>
  </si>
  <si>
    <t xml:space="preserve">      rmap_registers_wr_o.aeb4_gcfg_adc2_config.adc2_ainp0 &lt;= avalon_mm_rmap_i.writedata(0);</t>
  </si>
  <si>
    <t xml:space="preserve">      rmap_registers_wr_o.aeb4_gcfg_adc2_config.adc2_ainn3 &lt;= avalon_mm_rmap_i.writedata(0);</t>
  </si>
  <si>
    <t xml:space="preserve">      rmap_registers_wr_o.aeb4_gcfg_adc2_config.adc2_ainn2 &lt;= avalon_mm_rmap_i.writedata(0);</t>
  </si>
  <si>
    <t xml:space="preserve">      rmap_registers_wr_o.aeb4_gcfg_adc2_config.adc2_ainn1 &lt;= avalon_mm_rmap_i.writedata(0);</t>
  </si>
  <si>
    <t xml:space="preserve">      rmap_registers_wr_o.aeb4_gcfg_adc2_config.adc2_ainn0 &lt;= avalon_mm_rmap_i.writedata(0);</t>
  </si>
  <si>
    <t xml:space="preserve">      rmap_registers_wr_o.aeb4_gcfg_adc2_config.adc2_diff7 &lt;= avalon_mm_rmap_i.writedata(0);</t>
  </si>
  <si>
    <t xml:space="preserve">      rmap_registers_wr_o.aeb4_gcfg_adc2_config.adc2_diff6 &lt;= avalon_mm_rmap_i.writedata(0);</t>
  </si>
  <si>
    <t xml:space="preserve">      rmap_registers_wr_o.aeb4_gcfg_adc2_config.adc2_diff5 &lt;= avalon_mm_rmap_i.writedata(0);</t>
  </si>
  <si>
    <t xml:space="preserve">      rmap_registers_wr_o.aeb4_gcfg_adc2_config.adc2_diff4 &lt;= avalon_mm_rmap_i.writedata(0);</t>
  </si>
  <si>
    <t xml:space="preserve">      rmap_registers_wr_o.aeb4_gcfg_adc2_config.adc2_diff3 &lt;= avalon_mm_rmap_i.writedata(0);</t>
  </si>
  <si>
    <t xml:space="preserve">      rmap_registers_wr_o.aeb4_gcfg_adc2_config.adc2_diff2 &lt;= avalon_mm_rmap_i.writedata(0);</t>
  </si>
  <si>
    <t xml:space="preserve">      rmap_registers_wr_o.aeb4_gcfg_adc2_config.adc2_diff1 &lt;= avalon_mm_rmap_i.writedata(0);</t>
  </si>
  <si>
    <t xml:space="preserve">      rmap_registers_wr_o.aeb4_gcfg_adc2_config.adc2_diff0 &lt;= avalon_mm_rmap_i.writedata(0);</t>
  </si>
  <si>
    <t xml:space="preserve">      rmap_registers_wr_o.aeb4_gcfg_adc2_config.adc2_ain7 &lt;= avalon_mm_rmap_i.writedata(0);</t>
  </si>
  <si>
    <t xml:space="preserve">      rmap_registers_wr_o.aeb4_gcfg_adc2_config.adc2_ain6 &lt;= avalon_mm_rmap_i.writedata(0);</t>
  </si>
  <si>
    <t xml:space="preserve">      rmap_registers_wr_o.aeb4_gcfg_adc2_config.adc2_ain5 &lt;= avalon_mm_rmap_i.writedata(0);</t>
  </si>
  <si>
    <t xml:space="preserve">      rmap_registers_wr_o.aeb4_gcfg_adc2_config.adc2_ain4 &lt;= avalon_mm_rmap_i.writedata(0);</t>
  </si>
  <si>
    <t xml:space="preserve">      rmap_registers_wr_o.aeb4_gcfg_adc2_config.adc2_ain3 &lt;= avalon_mm_rmap_i.writedata(0);</t>
  </si>
  <si>
    <t xml:space="preserve">      rmap_registers_wr_o.aeb4_gcfg_adc2_config.adc2_ain2 &lt;= avalon_mm_rmap_i.writedata(0);</t>
  </si>
  <si>
    <t xml:space="preserve">      rmap_registers_wr_o.aeb4_gcfg_adc2_config.adc2_ain1 &lt;= avalon_mm_rmap_i.writedata(0);</t>
  </si>
  <si>
    <t xml:space="preserve">      rmap_registers_wr_o.aeb4_gcfg_adc2_config.adc2_ain0 &lt;= avalon_mm_rmap_i.writedata(0);</t>
  </si>
  <si>
    <t xml:space="preserve">      rmap_registers_wr_o.aeb4_gcfg_adc2_config.adc2_ain15 &lt;= avalon_mm_rmap_i.writedata(0);</t>
  </si>
  <si>
    <t xml:space="preserve">      rmap_registers_wr_o.aeb4_gcfg_adc2_config.adc2_ain14 &lt;= avalon_mm_rmap_i.writedata(0);</t>
  </si>
  <si>
    <t xml:space="preserve">      rmap_registers_wr_o.aeb4_gcfg_adc2_config.adc2_ain13 &lt;= avalon_mm_rmap_i.writedata(0);</t>
  </si>
  <si>
    <t xml:space="preserve">      rmap_registers_wr_o.aeb4_gcfg_adc2_config.adc2_ain12 &lt;= avalon_mm_rmap_i.writedata(0);</t>
  </si>
  <si>
    <t xml:space="preserve">      rmap_registers_wr_o.aeb4_gcfg_adc2_config.adc2_ain11 &lt;= avalon_mm_rmap_i.writedata(0);</t>
  </si>
  <si>
    <t xml:space="preserve">      rmap_registers_wr_o.aeb4_gcfg_adc2_config.adc2_ain10 &lt;= avalon_mm_rmap_i.writedata(0);</t>
  </si>
  <si>
    <t xml:space="preserve">      rmap_registers_wr_o.aeb4_gcfg_adc2_config.adc2_ain9 &lt;= avalon_mm_rmap_i.writedata(0);</t>
  </si>
  <si>
    <t xml:space="preserve">      rmap_registers_wr_o.aeb4_gcfg_adc2_config.adc2_ain8 &lt;= avalon_mm_rmap_i.writedata(0);</t>
  </si>
  <si>
    <t xml:space="preserve">      rmap_registers_wr_o.aeb4_gcfg_adc2_config.adc2_ref &lt;= avalon_mm_rmap_i.writedata(0);</t>
  </si>
  <si>
    <t xml:space="preserve">      rmap_registers_wr_o.aeb4_gcfg_adc2_config.adc2_gain &lt;= avalon_mm_rmap_i.writedata(0);</t>
  </si>
  <si>
    <t xml:space="preserve">      rmap_registers_wr_o.aeb4_gcfg_adc2_config.adc2_temp &lt;= avalon_mm_rmap_i.writedata(0);</t>
  </si>
  <si>
    <t xml:space="preserve">      rmap_registers_wr_o.aeb4_gcfg_adc2_config.adc2_vcc &lt;= avalon_mm_rmap_i.writedata(0);</t>
  </si>
  <si>
    <t xml:space="preserve">      rmap_registers_wr_o.aeb4_gcfg_adc2_config.adc2_offset &lt;= avalon_mm_rmap_i.writedata(0);</t>
  </si>
  <si>
    <t xml:space="preserve">      rmap_registers_wr_o.aeb4_gcfg_adc2_config.adc2_cio7 &lt;= avalon_mm_rmap_i.writedata(0);</t>
  </si>
  <si>
    <t xml:space="preserve">      rmap_registers_wr_o.aeb4_gcfg_adc2_config.adc2_cio6 &lt;= avalon_mm_rmap_i.writedata(0);</t>
  </si>
  <si>
    <t xml:space="preserve">      rmap_registers_wr_o.aeb4_gcfg_adc2_config.adc2_cio5 &lt;= avalon_mm_rmap_i.writedata(0);</t>
  </si>
  <si>
    <t xml:space="preserve">      rmap_registers_wr_o.aeb4_gcfg_adc2_config.adc2_cio4 &lt;= avalon_mm_rmap_i.writedata(0);</t>
  </si>
  <si>
    <t xml:space="preserve">      rmap_registers_wr_o.aeb4_gcfg_adc2_config.adc2_cio3 &lt;= avalon_mm_rmap_i.writedata(0);</t>
  </si>
  <si>
    <t xml:space="preserve">      rmap_registers_wr_o.aeb4_gcfg_adc2_config.adc2_cio2 &lt;= avalon_mm_rmap_i.writedata(0);</t>
  </si>
  <si>
    <t xml:space="preserve">      rmap_registers_wr_o.aeb4_gcfg_adc2_config.adc2_cio1 &lt;= avalon_mm_rmap_i.writedata(0);</t>
  </si>
  <si>
    <t xml:space="preserve">      rmap_registers_wr_o.aeb4_gcfg_adc2_config.adc2_cio0 &lt;= avalon_mm_rmap_i.writedata(0);</t>
  </si>
  <si>
    <t xml:space="preserve">      rmap_registers_wr_o.aeb4_gcfg_adc2_config.adc2_dio7 &lt;= avalon_mm_rmap_i.writedata(0);</t>
  </si>
  <si>
    <t xml:space="preserve">      rmap_registers_wr_o.aeb4_gcfg_adc2_config.adc2_dio6 &lt;= avalon_mm_rmap_i.writedata(0);</t>
  </si>
  <si>
    <t xml:space="preserve">      rmap_registers_wr_o.aeb4_gcfg_adc2_config.adc2_dio5 &lt;= avalon_mm_rmap_i.writedata(0);</t>
  </si>
  <si>
    <t xml:space="preserve">      rmap_registers_wr_o.aeb4_gcfg_adc2_config.adc2_dio4 &lt;= avalon_mm_rmap_i.writedata(0);</t>
  </si>
  <si>
    <t xml:space="preserve">      rmap_registers_wr_o.aeb4_gcfg_adc2_config.adc2_dio3 &lt;= avalon_mm_rmap_i.writedata(0);</t>
  </si>
  <si>
    <t xml:space="preserve">      rmap_registers_wr_o.aeb4_gcfg_adc2_config.adc2_dio2 &lt;= avalon_mm_rmap_i.writedata(0);</t>
  </si>
  <si>
    <t xml:space="preserve">      rmap_registers_wr_o.aeb4_gcfg_adc2_config.adc2_dio1 &lt;= avalon_mm_rmap_i.writedata(0);</t>
  </si>
  <si>
    <t xml:space="preserve">      rmap_registers_wr_o.aeb4_gcfg_adc2_config.adc2_dio0 &lt;= avalon_mm_rmap_i.writedata(0);</t>
  </si>
  <si>
    <t xml:space="preserve">      rmap_registers_wr_o.aeb4_gcfg_seq_config.seq_oe(7 downto 0) &lt;= avalon_mm_rmap_i.writedata(7 downto 0);</t>
  </si>
  <si>
    <t xml:space="preserve">      rmap_registers_wr_o.aeb4_gcfg_seq_config.seq_oe(15 downto 8) &lt;= avalon_mm_rmap_i.writedata(15 downto 8);</t>
  </si>
  <si>
    <t xml:space="preserve">      rmap_registers_wr_o.aeb4_gcfg_seq_config.seq_oe(21 downto 16) &lt;= avalon_mm_rmap_i.writedata(21 downto 16);</t>
  </si>
  <si>
    <t xml:space="preserve">      rmap_registers_wr_o.aeb4_gcfg_seq_config.adc_clk_div &lt;= avalon_mm_rmap_i.writedata(6 downto 0);</t>
  </si>
  <si>
    <t xml:space="preserve">      rmap_registers_wr_o.aeb4_gcfg_seq_config.cds_clk_low_pos &lt;= avalon_mm_rmap_i.writedata(15 downto 8);</t>
  </si>
  <si>
    <t xml:space="preserve">      rmap_registers_wr_o.aeb4_gcfg_seq_config.cds_clk_high_pos &lt;= avalon_mm_rmap_i.writedata(23 downto 16);</t>
  </si>
  <si>
    <t xml:space="preserve">      rmap_registers_wr_o.aeb4_gcfg_seq_config.rphir_clk_low_pos &lt;= avalon_mm_rmap_i.writedata(31 downto 24);</t>
  </si>
  <si>
    <t xml:space="preserve">      rmap_registers_wr_o.aeb4_gcfg_seq_config.rphir_clk_high_pos &lt;= avalon_mm_rmap_i.writedata(7 downto 0);</t>
  </si>
  <si>
    <t xml:space="preserve">      rmap_registers_wr_o.aeb4_gcfg_seq_config.ft_loop_cnt(7 downto 0) &lt;= avalon_mm_rmap_i.writedata(23 downto 16);</t>
  </si>
  <si>
    <t xml:space="preserve">      rmap_registers_wr_o.aeb4_gcfg_seq_config.ft_loop_cnt(13 downto 8) &lt;= avalon_mm_rmap_i.writedata(29 downto 24);</t>
  </si>
  <si>
    <t xml:space="preserve">      rmap_registers_wr_o.aeb4_gcfg_seq_config.lt0_enabled &lt;= avalon_mm_rmap_i.writedata(0);</t>
  </si>
  <si>
    <t xml:space="preserve">      rmap_registers_wr_o.aeb4_gcfg_seq_config.lt0_pixreadout &lt;= avalon_mm_rmap_i.writedata(0);</t>
  </si>
  <si>
    <t xml:space="preserve">      rmap_registers_wr_o.aeb4_gcfg_seq_config.lt0_loop_cnt(7 downto 0) &lt;= avalon_mm_rmap_i.writedata(7 downto 0);</t>
  </si>
  <si>
    <t xml:space="preserve">      rmap_registers_wr_o.aeb4_gcfg_seq_config.lt0_loop_cnt(13 downto 8) &lt;= avalon_mm_rmap_i.writedata(13 downto 8);</t>
  </si>
  <si>
    <t xml:space="preserve">      rmap_registers_wr_o.aeb4_gcfg_seq_config.lt1_enabled &lt;= avalon_mm_rmap_i.writedata(0);</t>
  </si>
  <si>
    <t xml:space="preserve">      rmap_registers_wr_o.aeb4_gcfg_seq_config.lt1_pixreadout &lt;= avalon_mm_rmap_i.writedata(0);</t>
  </si>
  <si>
    <t xml:space="preserve">      rmap_registers_wr_o.aeb4_gcfg_seq_config.lt1_loop_cnt(7 downto 0) &lt;= avalon_mm_rmap_i.writedata(7 downto 0);</t>
  </si>
  <si>
    <t xml:space="preserve">      rmap_registers_wr_o.aeb4_gcfg_seq_config.lt1_loop_cnt(13 downto 8) &lt;= avalon_mm_rmap_i.writedata(13 downto 8);</t>
  </si>
  <si>
    <t xml:space="preserve">      rmap_registers_wr_o.aeb4_gcfg_seq_config.lt2_enabled &lt;= avalon_mm_rmap_i.writedata(0);</t>
  </si>
  <si>
    <t xml:space="preserve">      rmap_registers_wr_o.aeb4_gcfg_seq_config.lt2_pixreadout &lt;= avalon_mm_rmap_i.writedata(0);</t>
  </si>
  <si>
    <t xml:space="preserve">      rmap_registers_wr_o.aeb4_gcfg_seq_config.lt2_loop_cnt(7 downto 0) &lt;= avalon_mm_rmap_i.writedata(7 downto 0);</t>
  </si>
  <si>
    <t xml:space="preserve">      rmap_registers_wr_o.aeb4_gcfg_seq_config.lt2_loop_cnt(13 downto 8) &lt;= avalon_mm_rmap_i.writedata(13 downto 8);</t>
  </si>
  <si>
    <t xml:space="preserve">      rmap_registers_wr_o.aeb4_gcfg_seq_config.lt3_enabled &lt;= avalon_mm_rmap_i.writedata(0);</t>
  </si>
  <si>
    <t xml:space="preserve">      rmap_registers_wr_o.aeb4_gcfg_seq_config.lt3_pixreadout &lt;= avalon_mm_rmap_i.writedata(0);</t>
  </si>
  <si>
    <t xml:space="preserve">      rmap_registers_wr_o.aeb4_gcfg_seq_config.lt3_loop_cnt(7 downto 0) &lt;= avalon_mm_rmap_i.writedata(7 downto 0);</t>
  </si>
  <si>
    <t xml:space="preserve">      rmap_registers_wr_o.aeb4_gcfg_seq_config.lt3_loop_cnt(13 downto 8) &lt;= avalon_mm_rmap_i.writedata(13 downto 8);</t>
  </si>
  <si>
    <t xml:space="preserve">      rmap_registers_wr_o.aeb4_gcfg_seq_config.pix_loop_cnt(7 downto 0) &lt;= avalon_mm_rmap_i.writedata(23 downto 16);</t>
  </si>
  <si>
    <t xml:space="preserve">      rmap_registers_wr_o.aeb4_gcfg_seq_config.pix_loop_cnt(13 downto 8) &lt;= avalon_mm_rmap_i.writedata(29 downto 24);</t>
  </si>
  <si>
    <t xml:space="preserve">      rmap_registers_wr_o.aeb4_gcfg_seq_config.pc_enabled &lt;= avalon_mm_rmap_i.writedata(0);</t>
  </si>
  <si>
    <t xml:space="preserve">      rmap_registers_wr_o.aeb4_gcfg_seq_config.pc_loop_cnt(7 downto 0) &lt;= avalon_mm_rmap_i.writedata(7 downto 0);</t>
  </si>
  <si>
    <t xml:space="preserve">      rmap_registers_wr_o.aeb4_gcfg_seq_config.pc_loop_cnt(13 downto 8) &lt;= avalon_mm_rmap_i.writedata(13 downto 8);</t>
  </si>
  <si>
    <t xml:space="preserve">      rmap_registers_wr_o.aeb4_gcfg_seq_config.int1_loop_cnt(7 downto 0) &lt;= avalon_mm_rmap_i.writedata(23 downto 16);</t>
  </si>
  <si>
    <t xml:space="preserve">      rmap_registers_wr_o.aeb4_gcfg_seq_config.int1_loop_cnt(13 downto 8) &lt;= avalon_mm_rmap_i.writedata(29 downto 24);</t>
  </si>
  <si>
    <t xml:space="preserve">      rmap_registers_wr_o.aeb4_gcfg_seq_config.int2_loop_cnt(7 downto 0) &lt;= avalon_mm_rmap_i.writedata(7 downto 0);</t>
  </si>
  <si>
    <t xml:space="preserve">      rmap_registers_wr_o.aeb4_gcfg_seq_config.int2_loop_cnt(13 downto 8) &lt;= avalon_mm_rmap_i.writedata(13 downto 8);</t>
  </si>
  <si>
    <t xml:space="preserve">      rmap_registers_wr_o.aeb4_hk_aeb_status.aeb_state &lt;= avalon_mm_rmap_i.writedata(18 downto 16);</t>
  </si>
  <si>
    <t xml:space="preserve">      rmap_registers_wr_o.aeb4_hk_aeb_status.vasp2_cfg_run &lt;= avalon_mm_rmap_i.writedata(0);</t>
  </si>
  <si>
    <t xml:space="preserve">      rmap_registers_wr_o.aeb4_hk_aeb_status.vasp1_cfg_run &lt;= avalon_mm_rmap_i.writedata(0);</t>
  </si>
  <si>
    <t xml:space="preserve">      rmap_registers_wr_o.aeb4_hk_aeb_status.dac_cfg_w_run &lt;= avalon_mm_rmap_i.writedata(0);</t>
  </si>
  <si>
    <t xml:space="preserve">      rmap_registers_wr_o.aeb4_hk_aeb_status.adc_cfg_rd_run &lt;= avalon_mm_rmap_i.writedata(0);</t>
  </si>
  <si>
    <t xml:space="preserve">      rmap_registers_wr_o.aeb4_hk_aeb_status.adc_cfg_wr_run &lt;= avalon_mm_rmap_i.writedata(0);</t>
  </si>
  <si>
    <t xml:space="preserve">      rmap_registers_wr_o.aeb4_hk_aeb_status.adc_dat_rd_run &lt;= avalon_mm_rmap_i.writedata(0);</t>
  </si>
  <si>
    <t xml:space="preserve">      rmap_registers_wr_o.aeb4_hk_aeb_status.adc_error &lt;= avalon_mm_rmap_i.writedata(0);</t>
  </si>
  <si>
    <t xml:space="preserve">      rmap_registers_wr_o.aeb4_hk_aeb_status.adc2_lu &lt;= avalon_mm_rmap_i.writedata(0);</t>
  </si>
  <si>
    <t xml:space="preserve">      rmap_registers_wr_o.aeb4_hk_aeb_status.adc1_lu &lt;= avalon_mm_rmap_i.writedata(0);</t>
  </si>
  <si>
    <t xml:space="preserve">      rmap_registers_wr_o.aeb4_hk_aeb_status.adc_dat_rd &lt;= avalon_mm_rmap_i.writedata(0);</t>
  </si>
  <si>
    <t xml:space="preserve">      rmap_registers_wr_o.aeb4_hk_aeb_status.adc_cfg_rd &lt;= avalon_mm_rmap_i.writedata(0);</t>
  </si>
  <si>
    <t xml:space="preserve">      rmap_registers_wr_o.aeb4_hk_aeb_status.adc_cfg_wr &lt;= avalon_mm_rmap_i.writedata(0);</t>
  </si>
  <si>
    <t xml:space="preserve">      rmap_registers_wr_o.aeb4_hk_aeb_status.adc2_busy &lt;= avalon_mm_rmap_i.writedata(0);</t>
  </si>
  <si>
    <t xml:space="preserve">      rmap_registers_wr_o.aeb4_hk_aeb_status.adc1_busy &lt;= avalon_mm_rmap_i.writedata(0);</t>
  </si>
  <si>
    <t xml:space="preserve">      rmap_registers_wr_o.aeb4_hk_aeb_status.frame_counter(7 downto 0) &lt;= avalon_mm_rmap_i.writedata(7 downto 0);</t>
  </si>
  <si>
    <t xml:space="preserve">      rmap_registers_wr_o.aeb4_hk_aeb_status.frame_counter(15 downto 8) &lt;= avalon_mm_rmap_i.writedata(15 downto 8);</t>
  </si>
  <si>
    <t xml:space="preserve">      rmap_registers_wr_o.aeb4_hk_timestamp.timestamp_1(7 downto 0) &lt;= avalon_mm_rmap_i.writedata(7 downto 0);</t>
  </si>
  <si>
    <t xml:space="preserve">      rmap_registers_wr_o.aeb4_hk_timestamp.timestamp_1(15 downto 8) &lt;= avalon_mm_rmap_i.writedata(15 downto 8);</t>
  </si>
  <si>
    <t xml:space="preserve">      rmap_registers_wr_o.aeb4_hk_timestamp.timestamp_1(23 downto 16) &lt;= avalon_mm_rmap_i.writedata(23 downto 16);</t>
  </si>
  <si>
    <t xml:space="preserve">      rmap_registers_wr_o.aeb4_hk_timestamp.timestamp_1(31 downto 24) &lt;= avalon_mm_rmap_i.writedata(31 downto 24);</t>
  </si>
  <si>
    <t xml:space="preserve">      rmap_registers_wr_o.aeb4_hk_timestamp.timestamp_0(7 downto 0) &lt;= avalon_mm_rmap_i.writedata(7 downto 0);</t>
  </si>
  <si>
    <t xml:space="preserve">      rmap_registers_wr_o.aeb4_hk_timestamp.timestamp_0(15 downto 8) &lt;= avalon_mm_rmap_i.writedata(15 downto 8);</t>
  </si>
  <si>
    <t xml:space="preserve">      rmap_registers_wr_o.aeb4_hk_timestamp.timestamp_0(23 downto 16) &lt;= avalon_mm_rmap_i.writedata(23 downto 16);</t>
  </si>
  <si>
    <t xml:space="preserve">      rmap_registers_wr_o.aeb4_hk_timestamp.timestamp_0(31 downto 24) &lt;= avalon_mm_rmap_i.writedata(31 downto 24);</t>
  </si>
  <si>
    <t xml:space="preserve">      rmap_registers_wr_o.aeb4_hk_adc_rd_data.adc_rd_data_18(7 downto 0) &lt;= avalon_mm_rmap_i.writedata(7 downto 0);</t>
  </si>
  <si>
    <t xml:space="preserve">      rmap_registers_wr_o.aeb4_hk_adc_rd_data.adc_rd_data_18(15 downto 8) &lt;= avalon_mm_rmap_i.writedata(15 downto 8);</t>
  </si>
  <si>
    <t xml:space="preserve">      rmap_registers_wr_o.aeb4_hk_adc_rd_data.adc_rd_data_18(23 downto 16) &lt;= avalon_mm_rmap_i.writedata(23 downto 16);</t>
  </si>
  <si>
    <t xml:space="preserve">      rmap_registers_wr_o.aeb4_hk_adc_rd_data.adc_rd_data_18(31 downto 24) &lt;= avalon_mm_rmap_i.writedata(31 downto 24);</t>
  </si>
  <si>
    <t xml:space="preserve">      rmap_registers_wr_o.aeb4_hk_adc_rd_data.adc_rd_data_17(7 downto 0) &lt;= avalon_mm_rmap_i.writedata(7 downto 0);</t>
  </si>
  <si>
    <t xml:space="preserve">      rmap_registers_wr_o.aeb4_hk_adc_rd_data.adc_rd_data_17(15 downto 8) &lt;= avalon_mm_rmap_i.writedata(15 downto 8);</t>
  </si>
  <si>
    <t xml:space="preserve">      rmap_registers_wr_o.aeb4_hk_adc_rd_data.adc_rd_data_17(23 downto 16) &lt;= avalon_mm_rmap_i.writedata(23 downto 16);</t>
  </si>
  <si>
    <t xml:space="preserve">      rmap_registers_wr_o.aeb4_hk_adc_rd_data.adc_rd_data_17(31 downto 24) &lt;= avalon_mm_rmap_i.writedata(31 downto 24);</t>
  </si>
  <si>
    <t xml:space="preserve">      rmap_registers_wr_o.aeb4_hk_adc_rd_data.adc_rd_data_16(7 downto 0) &lt;= avalon_mm_rmap_i.writedata(7 downto 0);</t>
  </si>
  <si>
    <t xml:space="preserve">      rmap_registers_wr_o.aeb4_hk_adc_rd_data.adc_rd_data_16(15 downto 8) &lt;= avalon_mm_rmap_i.writedata(15 downto 8);</t>
  </si>
  <si>
    <t xml:space="preserve">      rmap_registers_wr_o.aeb4_hk_adc_rd_data.adc_rd_data_16(23 downto 16) &lt;= avalon_mm_rmap_i.writedata(23 downto 16);</t>
  </si>
  <si>
    <t xml:space="preserve">      rmap_registers_wr_o.aeb4_hk_adc_rd_data.adc_rd_data_16(31 downto 24) &lt;= avalon_mm_rmap_i.writedata(31 downto 24);</t>
  </si>
  <si>
    <t xml:space="preserve">      rmap_registers_wr_o.aeb4_hk_adc_rd_data.adc_rd_data_15(7 downto 0) &lt;= avalon_mm_rmap_i.writedata(7 downto 0);</t>
  </si>
  <si>
    <t xml:space="preserve">      rmap_registers_wr_o.aeb4_hk_adc_rd_data.adc_rd_data_15(15 downto 8) &lt;= avalon_mm_rmap_i.writedata(15 downto 8);</t>
  </si>
  <si>
    <t xml:space="preserve">      rmap_registers_wr_o.aeb4_hk_adc_rd_data.adc_rd_data_15(23 downto 16) &lt;= avalon_mm_rmap_i.writedata(23 downto 16);</t>
  </si>
  <si>
    <t xml:space="preserve">      rmap_registers_wr_o.aeb4_hk_adc_rd_data.adc_rd_data_15(31 downto 24) &lt;= avalon_mm_rmap_i.writedata(31 downto 24);</t>
  </si>
  <si>
    <t xml:space="preserve">      rmap_registers_wr_o.aeb4_hk_adc_rd_data.adc_rd_data_14(7 downto 0) &lt;= avalon_mm_rmap_i.writedata(7 downto 0);</t>
  </si>
  <si>
    <t xml:space="preserve">      rmap_registers_wr_o.aeb4_hk_adc_rd_data.adc_rd_data_14(15 downto 8) &lt;= avalon_mm_rmap_i.writedata(15 downto 8);</t>
  </si>
  <si>
    <t xml:space="preserve">      rmap_registers_wr_o.aeb4_hk_adc_rd_data.adc_rd_data_14(23 downto 16) &lt;= avalon_mm_rmap_i.writedata(23 downto 16);</t>
  </si>
  <si>
    <t xml:space="preserve">      rmap_registers_wr_o.aeb4_hk_adc_rd_data.adc_rd_data_14(31 downto 24) &lt;= avalon_mm_rmap_i.writedata(31 downto 24);</t>
  </si>
  <si>
    <t xml:space="preserve">      rmap_registers_wr_o.aeb4_hk_adc_rd_data.adc_rd_data_13(7 downto 0) &lt;= avalon_mm_rmap_i.writedata(7 downto 0);</t>
  </si>
  <si>
    <t xml:space="preserve">      rmap_registers_wr_o.aeb4_hk_adc_rd_data.adc_rd_data_13(15 downto 8) &lt;= avalon_mm_rmap_i.writedata(15 downto 8);</t>
  </si>
  <si>
    <t xml:space="preserve">      rmap_registers_wr_o.aeb4_hk_adc_rd_data.adc_rd_data_13(23 downto 16) &lt;= avalon_mm_rmap_i.writedata(23 downto 16);</t>
  </si>
  <si>
    <t xml:space="preserve">      rmap_registers_wr_o.aeb4_hk_adc_rd_data.adc_rd_data_13(31 downto 24) &lt;= avalon_mm_rmap_i.writedata(31 downto 24);</t>
  </si>
  <si>
    <t xml:space="preserve">      rmap_registers_wr_o.aeb4_hk_adc_rd_data.adc_rd_data_12(7 downto 0) &lt;= avalon_mm_rmap_i.writedata(7 downto 0);</t>
  </si>
  <si>
    <t xml:space="preserve">      rmap_registers_wr_o.aeb4_hk_adc_rd_data.adc_rd_data_12(15 downto 8) &lt;= avalon_mm_rmap_i.writedata(15 downto 8);</t>
  </si>
  <si>
    <t xml:space="preserve">      rmap_registers_wr_o.aeb4_hk_adc_rd_data.adc_rd_data_12(23 downto 16) &lt;= avalon_mm_rmap_i.writedata(23 downto 16);</t>
  </si>
  <si>
    <t xml:space="preserve">      rmap_registers_wr_o.aeb4_hk_adc_rd_data.adc_rd_data_12(31 downto 24) &lt;= avalon_mm_rmap_i.writedata(31 downto 24);</t>
  </si>
  <si>
    <t xml:space="preserve">      rmap_registers_wr_o.aeb4_hk_adc_rd_data.adc_rd_data_11(7 downto 0) &lt;= avalon_mm_rmap_i.writedata(7 downto 0);</t>
  </si>
  <si>
    <t xml:space="preserve">      rmap_registers_wr_o.aeb4_hk_adc_rd_data.adc_rd_data_11(15 downto 8) &lt;= avalon_mm_rmap_i.writedata(15 downto 8);</t>
  </si>
  <si>
    <t xml:space="preserve">      rmap_registers_wr_o.aeb4_hk_adc_rd_data.adc_rd_data_11(23 downto 16) &lt;= avalon_mm_rmap_i.writedata(23 downto 16);</t>
  </si>
  <si>
    <t xml:space="preserve">      rmap_registers_wr_o.aeb4_hk_adc_rd_data.adc_rd_data_11(31 downto 24) &lt;= avalon_mm_rmap_i.writedata(31 downto 24);</t>
  </si>
  <si>
    <t xml:space="preserve">      rmap_registers_wr_o.aeb4_hk_adc_rd_data.adc_rd_data_10(7 downto 0) &lt;= avalon_mm_rmap_i.writedata(7 downto 0);</t>
  </si>
  <si>
    <t xml:space="preserve">      rmap_registers_wr_o.aeb4_hk_adc_rd_data.adc_rd_data_10(15 downto 8) &lt;= avalon_mm_rmap_i.writedata(15 downto 8);</t>
  </si>
  <si>
    <t xml:space="preserve">      rmap_registers_wr_o.aeb4_hk_adc_rd_data.adc_rd_data_10(23 downto 16) &lt;= avalon_mm_rmap_i.writedata(23 downto 16);</t>
  </si>
  <si>
    <t xml:space="preserve">      rmap_registers_wr_o.aeb4_hk_adc_rd_data.adc_rd_data_10(31 downto 24) &lt;= avalon_mm_rmap_i.writedata(31 downto 24);</t>
  </si>
  <si>
    <t xml:space="preserve">      rmap_registers_wr_o.aeb4_hk_adc_rd_data.adc_rd_data_9(7 downto 0) &lt;= avalon_mm_rmap_i.writedata(7 downto 0);</t>
  </si>
  <si>
    <t xml:space="preserve">      rmap_registers_wr_o.aeb4_hk_adc_rd_data.adc_rd_data_9(15 downto 8) &lt;= avalon_mm_rmap_i.writedata(15 downto 8);</t>
  </si>
  <si>
    <t xml:space="preserve">      rmap_registers_wr_o.aeb4_hk_adc_rd_data.adc_rd_data_9(23 downto 16) &lt;= avalon_mm_rmap_i.writedata(23 downto 16);</t>
  </si>
  <si>
    <t xml:space="preserve">      rmap_registers_wr_o.aeb4_hk_adc_rd_data.adc_rd_data_9(31 downto 24) &lt;= avalon_mm_rmap_i.writedata(31 downto 24);</t>
  </si>
  <si>
    <t xml:space="preserve">      rmap_registers_wr_o.aeb4_hk_adc_rd_data.adc_rd_data_8(7 downto 0) &lt;= avalon_mm_rmap_i.writedata(7 downto 0);</t>
  </si>
  <si>
    <t xml:space="preserve">      rmap_registers_wr_o.aeb4_hk_adc_rd_data.adc_rd_data_8(15 downto 8) &lt;= avalon_mm_rmap_i.writedata(15 downto 8);</t>
  </si>
  <si>
    <t xml:space="preserve">      rmap_registers_wr_o.aeb4_hk_adc_rd_data.adc_rd_data_8(23 downto 16) &lt;= avalon_mm_rmap_i.writedata(23 downto 16);</t>
  </si>
  <si>
    <t xml:space="preserve">      rmap_registers_wr_o.aeb4_hk_adc_rd_data.adc_rd_data_8(31 downto 24) &lt;= avalon_mm_rmap_i.writedata(31 downto 24);</t>
  </si>
  <si>
    <t xml:space="preserve">      rmap_registers_wr_o.aeb4_hk_adc_rd_data.adc_rd_data_7(7 downto 0) &lt;= avalon_mm_rmap_i.writedata(7 downto 0);</t>
  </si>
  <si>
    <t xml:space="preserve">      rmap_registers_wr_o.aeb4_hk_adc_rd_data.adc_rd_data_7(15 downto 8) &lt;= avalon_mm_rmap_i.writedata(15 downto 8);</t>
  </si>
  <si>
    <t xml:space="preserve">      rmap_registers_wr_o.aeb4_hk_adc_rd_data.adc_rd_data_7(23 downto 16) &lt;= avalon_mm_rmap_i.writedata(23 downto 16);</t>
  </si>
  <si>
    <t xml:space="preserve">      rmap_registers_wr_o.aeb4_hk_adc_rd_data.adc_rd_data_7(31 downto 24) &lt;= avalon_mm_rmap_i.writedata(31 downto 24);</t>
  </si>
  <si>
    <t xml:space="preserve">      rmap_registers_wr_o.aeb4_hk_adc_rd_data.adc_rd_data_6(7 downto 0) &lt;= avalon_mm_rmap_i.writedata(7 downto 0);</t>
  </si>
  <si>
    <t xml:space="preserve">      rmap_registers_wr_o.aeb4_hk_adc_rd_data.adc_rd_data_6(15 downto 8) &lt;= avalon_mm_rmap_i.writedata(15 downto 8);</t>
  </si>
  <si>
    <t xml:space="preserve">      rmap_registers_wr_o.aeb4_hk_adc_rd_data.adc_rd_data_6(23 downto 16) &lt;= avalon_mm_rmap_i.writedata(23 downto 16);</t>
  </si>
  <si>
    <t xml:space="preserve">      rmap_registers_wr_o.aeb4_hk_adc_rd_data.adc_rd_data_6(31 downto 24) &lt;= avalon_mm_rmap_i.writedata(31 downto 24);</t>
  </si>
  <si>
    <t xml:space="preserve">      rmap_registers_wr_o.aeb4_hk_adc_rd_data.adc_rd_data_5(7 downto 0) &lt;= avalon_mm_rmap_i.writedata(7 downto 0);</t>
  </si>
  <si>
    <t xml:space="preserve">      rmap_registers_wr_o.aeb4_hk_adc_rd_data.adc_rd_data_5(15 downto 8) &lt;= avalon_mm_rmap_i.writedata(15 downto 8);</t>
  </si>
  <si>
    <t xml:space="preserve">      rmap_registers_wr_o.aeb4_hk_adc_rd_data.adc_rd_data_5(23 downto 16) &lt;= avalon_mm_rmap_i.writedata(23 downto 16);</t>
  </si>
  <si>
    <t xml:space="preserve">      rmap_registers_wr_o.aeb4_hk_adc_rd_data.adc_rd_data_5(31 downto 24) &lt;= avalon_mm_rmap_i.writedata(31 downto 24);</t>
  </si>
  <si>
    <t xml:space="preserve">      rmap_registers_wr_o.aeb4_hk_adc_rd_data.adc_rd_data_4(7 downto 0) &lt;= avalon_mm_rmap_i.writedata(7 downto 0);</t>
  </si>
  <si>
    <t xml:space="preserve">      rmap_registers_wr_o.aeb4_hk_adc_rd_data.adc_rd_data_4(15 downto 8) &lt;= avalon_mm_rmap_i.writedata(15 downto 8);</t>
  </si>
  <si>
    <t xml:space="preserve">      rmap_registers_wr_o.aeb4_hk_adc_rd_data.adc_rd_data_4(23 downto 16) &lt;= avalon_mm_rmap_i.writedata(23 downto 16);</t>
  </si>
  <si>
    <t xml:space="preserve">      rmap_registers_wr_o.aeb4_hk_adc_rd_data.adc_rd_data_4(31 downto 24) &lt;= avalon_mm_rmap_i.writedata(31 downto 24);</t>
  </si>
  <si>
    <t xml:space="preserve">      rmap_registers_wr_o.aeb4_hk_adc_rd_data.adc_rd_data_3(7 downto 0) &lt;= avalon_mm_rmap_i.writedata(7 downto 0);</t>
  </si>
  <si>
    <t xml:space="preserve">      rmap_registers_wr_o.aeb4_hk_adc_rd_data.adc_rd_data_3(15 downto 8) &lt;= avalon_mm_rmap_i.writedata(15 downto 8);</t>
  </si>
  <si>
    <t xml:space="preserve">      rmap_registers_wr_o.aeb4_hk_adc_rd_data.adc_rd_data_3(23 downto 16) &lt;= avalon_mm_rmap_i.writedata(23 downto 16);</t>
  </si>
  <si>
    <t xml:space="preserve">      rmap_registers_wr_o.aeb4_hk_adc_rd_data.adc_rd_data_3(31 downto 24) &lt;= avalon_mm_rmap_i.writedata(31 downto 24);</t>
  </si>
  <si>
    <t xml:space="preserve">      rmap_registers_wr_o.aeb4_hk_adc_rd_data.adc_rd_data_2(7 downto 0) &lt;= avalon_mm_rmap_i.writedata(7 downto 0);</t>
  </si>
  <si>
    <t xml:space="preserve">      rmap_registers_wr_o.aeb4_hk_adc_rd_data.adc_rd_data_2(15 downto 8) &lt;= avalon_mm_rmap_i.writedata(15 downto 8);</t>
  </si>
  <si>
    <t xml:space="preserve">      rmap_registers_wr_o.aeb4_hk_adc_rd_data.adc_rd_data_2(23 downto 16) &lt;= avalon_mm_rmap_i.writedata(23 downto 16);</t>
  </si>
  <si>
    <t xml:space="preserve">      rmap_registers_wr_o.aeb4_hk_adc_rd_data.adc_rd_data_2(31 downto 24) &lt;= avalon_mm_rmap_i.writedata(31 downto 24);</t>
  </si>
  <si>
    <t xml:space="preserve">      rmap_registers_wr_o.aeb4_hk_adc_rd_data.adc_rd_data_1(7 downto 0) &lt;= avalon_mm_rmap_i.writedata(7 downto 0);</t>
  </si>
  <si>
    <t xml:space="preserve">      rmap_registers_wr_o.aeb4_hk_adc_rd_data.adc_rd_data_1(15 downto 8) &lt;= avalon_mm_rmap_i.writedata(15 downto 8);</t>
  </si>
  <si>
    <t xml:space="preserve">      rmap_registers_wr_o.aeb4_hk_adc_rd_data.adc_rd_data_1(23 downto 16) &lt;= avalon_mm_rmap_i.writedata(23 downto 16);</t>
  </si>
  <si>
    <t xml:space="preserve">      rmap_registers_wr_o.aeb4_hk_adc_rd_data.adc_rd_data_1(31 downto 24) &lt;= avalon_mm_rmap_i.writedata(31 downto 24);</t>
  </si>
  <si>
    <t xml:space="preserve">      rmap_registers_wr_o.aeb4_hk_adc_rd_data.adc_rd_data_0(7 downto 0) &lt;= avalon_mm_rmap_i.writedata(7 downto 0);</t>
  </si>
  <si>
    <t xml:space="preserve">      rmap_registers_wr_o.aeb4_hk_adc_rd_data.adc_rd_data_0(15 downto 8) &lt;= avalon_mm_rmap_i.writedata(15 downto 8);</t>
  </si>
  <si>
    <t xml:space="preserve">      rmap_registers_wr_o.aeb4_hk_adc_rd_data.adc_rd_data_0(23 downto 16) &lt;= avalon_mm_rmap_i.writedata(23 downto 16);</t>
  </si>
  <si>
    <t xml:space="preserve">      rmap_registers_wr_o.aeb4_hk_adc_rd_data.adc_rd_data_0(31 downto 24) &lt;= avalon_mm_rmap_i.writedata(31 downto 24);</t>
  </si>
  <si>
    <t xml:space="preserve">      rmap_registers_wr_o.aeb4_hk_adc1_rd_config.adc1_rd_config_3(7 downto 0) &lt;= avalon_mm_rmap_i.writedata(7 downto 0);</t>
  </si>
  <si>
    <t xml:space="preserve">      rmap_registers_wr_o.aeb4_hk_adc1_rd_config.adc1_rd_config_3(15 downto 8) &lt;= avalon_mm_rmap_i.writedata(15 downto 8);</t>
  </si>
  <si>
    <t xml:space="preserve">      rmap_registers_wr_o.aeb4_hk_adc1_rd_config.adc1_rd_config_3(23 downto 16) &lt;= avalon_mm_rmap_i.writedata(23 downto 16);</t>
  </si>
  <si>
    <t xml:space="preserve">      rmap_registers_wr_o.aeb4_hk_adc1_rd_config.adc1_rd_config_3(31 downto 24) &lt;= avalon_mm_rmap_i.writedata(31 downto 24);</t>
  </si>
  <si>
    <t xml:space="preserve">      rmap_registers_wr_o.aeb4_hk_adc1_rd_config.adc1_rd_config_2(7 downto 0) &lt;= avalon_mm_rmap_i.writedata(7 downto 0);</t>
  </si>
  <si>
    <t xml:space="preserve">      rmap_registers_wr_o.aeb4_hk_adc1_rd_config.adc1_rd_config_2(15 downto 8) &lt;= avalon_mm_rmap_i.writedata(15 downto 8);</t>
  </si>
  <si>
    <t xml:space="preserve">      rmap_registers_wr_o.aeb4_hk_adc1_rd_config.adc1_rd_config_2(23 downto 16) &lt;= avalon_mm_rmap_i.writedata(23 downto 16);</t>
  </si>
  <si>
    <t xml:space="preserve">      rmap_registers_wr_o.aeb4_hk_adc1_rd_config.adc1_rd_config_2(31 downto 24) &lt;= avalon_mm_rmap_i.writedata(31 downto 24);</t>
  </si>
  <si>
    <t xml:space="preserve">      rmap_registers_wr_o.aeb4_hk_adc1_rd_config.adc1_rd_config_1(7 downto 0) &lt;= avalon_mm_rmap_i.writedata(7 downto 0);</t>
  </si>
  <si>
    <t xml:space="preserve">      rmap_registers_wr_o.aeb4_hk_adc1_rd_config.adc1_rd_config_1(15 downto 8) &lt;= avalon_mm_rmap_i.writedata(15 downto 8);</t>
  </si>
  <si>
    <t xml:space="preserve">      rmap_registers_wr_o.aeb4_hk_adc1_rd_config.adc1_rd_config_1(23 downto 16) &lt;= avalon_mm_rmap_i.writedata(23 downto 16);</t>
  </si>
  <si>
    <t xml:space="preserve">      rmap_registers_wr_o.aeb4_hk_adc1_rd_config.adc1_rd_config_1(31 downto 24) &lt;= avalon_mm_rmap_i.writedata(31 downto 24);</t>
  </si>
  <si>
    <t xml:space="preserve">      rmap_registers_wr_o.aeb4_hk_adc1_rd_config.adc1_rd_config_0(7 downto 0) &lt;= avalon_mm_rmap_i.writedata(7 downto 0);</t>
  </si>
  <si>
    <t xml:space="preserve">      rmap_registers_wr_o.aeb4_hk_adc1_rd_config.adc1_rd_config_0(15 downto 8) &lt;= avalon_mm_rmap_i.writedata(15 downto 8);</t>
  </si>
  <si>
    <t xml:space="preserve">      rmap_registers_wr_o.aeb4_hk_adc1_rd_config.adc1_rd_config_0(23 downto 16) &lt;= avalon_mm_rmap_i.writedata(23 downto 16);</t>
  </si>
  <si>
    <t xml:space="preserve">      rmap_registers_wr_o.aeb4_hk_adc1_rd_config.adc1_rd_config_0(31 downto 24) &lt;= avalon_mm_rmap_i.writedata(31 downto 24);</t>
  </si>
  <si>
    <t xml:space="preserve">      rmap_registers_wr_o.aeb4_hk_adc2_rd_config.adc2_rd_config_3(7 downto 0) &lt;= avalon_mm_rmap_i.writedata(7 downto 0);</t>
  </si>
  <si>
    <t xml:space="preserve">      rmap_registers_wr_o.aeb4_hk_adc2_rd_config.adc2_rd_config_3(15 downto 8) &lt;= avalon_mm_rmap_i.writedata(15 downto 8);</t>
  </si>
  <si>
    <t xml:space="preserve">      rmap_registers_wr_o.aeb4_hk_adc2_rd_config.adc2_rd_config_3(23 downto 16) &lt;= avalon_mm_rmap_i.writedata(23 downto 16);</t>
  </si>
  <si>
    <t xml:space="preserve">      rmap_registers_wr_o.aeb4_hk_adc2_rd_config.adc2_rd_config_3(31 downto 24) &lt;= avalon_mm_rmap_i.writedata(31 downto 24);</t>
  </si>
  <si>
    <t xml:space="preserve">      rmap_registers_wr_o.aeb4_hk_adc2_rd_config.adc2_rd_config_2(7 downto 0) &lt;= avalon_mm_rmap_i.writedata(7 downto 0);</t>
  </si>
  <si>
    <t xml:space="preserve">      rmap_registers_wr_o.aeb4_hk_adc2_rd_config.adc2_rd_config_2(15 downto 8) &lt;= avalon_mm_rmap_i.writedata(15 downto 8);</t>
  </si>
  <si>
    <t xml:space="preserve">      rmap_registers_wr_o.aeb4_hk_adc2_rd_config.adc2_rd_config_2(23 downto 16) &lt;= avalon_mm_rmap_i.writedata(23 downto 16);</t>
  </si>
  <si>
    <t xml:space="preserve">      rmap_registers_wr_o.aeb4_hk_adc2_rd_config.adc2_rd_config_2(31 downto 24) &lt;= avalon_mm_rmap_i.writedata(31 downto 24);</t>
  </si>
  <si>
    <t xml:space="preserve">      rmap_registers_wr_o.aeb4_hk_adc2_rd_config.adc2_rd_config_1(7 downto 0) &lt;= avalon_mm_rmap_i.writedata(7 downto 0);</t>
  </si>
  <si>
    <t xml:space="preserve">      rmap_registers_wr_o.aeb4_hk_adc2_rd_config.adc2_rd_config_1(15 downto 8) &lt;= avalon_mm_rmap_i.writedata(15 downto 8);</t>
  </si>
  <si>
    <t xml:space="preserve">      rmap_registers_wr_o.aeb4_hk_adc2_rd_config.adc2_rd_config_1(23 downto 16) &lt;= avalon_mm_rmap_i.writedata(23 downto 16);</t>
  </si>
  <si>
    <t xml:space="preserve">      rmap_registers_wr_o.aeb4_hk_adc2_rd_config.adc2_rd_config_1(31 downto 24) &lt;= avalon_mm_rmap_i.writedata(31 downto 24);</t>
  </si>
  <si>
    <t xml:space="preserve">      rmap_registers_wr_o.aeb4_hk_adc2_rd_config.adc2_rd_config_0(7 downto 0) &lt;= avalon_mm_rmap_i.writedata(7 downto 0);</t>
  </si>
  <si>
    <t xml:space="preserve">      rmap_registers_wr_o.aeb4_hk_adc2_rd_config.adc2_rd_config_0(15 downto 8) &lt;= avalon_mm_rmap_i.writedata(15 downto 8);</t>
  </si>
  <si>
    <t xml:space="preserve">      rmap_registers_wr_o.aeb4_hk_adc2_rd_config.adc2_rd_config_0(23 downto 16) &lt;= avalon_mm_rmap_i.writedata(23 downto 16);</t>
  </si>
  <si>
    <t xml:space="preserve">      rmap_registers_wr_o.aeb4_hk_adc2_rd_config.adc2_rd_config_0(31 downto 24) &lt;= avalon_mm_rmap_i.writedata(31 downto 24);</t>
  </si>
  <si>
    <t xml:space="preserve">      rmap_registers_wr_o.aeb4_hk_vasp_rd_config.vasp1_read_data &lt;= avalon_mm_rmap_i.writedata(7 downto 0);</t>
  </si>
  <si>
    <t xml:space="preserve">      rmap_registers_wr_o.aeb4_hk_vasp_rd_config.vasp2_read_data &lt;= avalon_mm_rmap_i.writedata(15 downto 8);</t>
  </si>
  <si>
    <t xml:space="preserve">      rmap_registers_wr_o.aeb4_hk_revision_id.fpga_ver(7 downto 0) &lt;= avalon_mm_rmap_i.writedata(23 downto 16);</t>
  </si>
  <si>
    <t xml:space="preserve">      rmap_registers_wr_o.aeb4_hk_revision_id.fpga_ver(15 downto 8) &lt;= avalon_mm_rmap_i.writedata(31 downto 24);</t>
  </si>
  <si>
    <t xml:space="preserve">      rmap_registers_wr_o.aeb4_hk_revision_id.fpga_date(7 downto 0) &lt;= avalon_mm_rmap_i.writedata(7 downto 0);</t>
  </si>
  <si>
    <t xml:space="preserve">      rmap_registers_wr_o.aeb4_hk_revision_id.fpga_date(15 downto 8) &lt;= avalon_mm_rmap_i.writedata(15 downto 8);</t>
  </si>
  <si>
    <t xml:space="preserve">      rmap_registers_wr_o.aeb4_hk_revision_id.fpga_time(7 downto 0) &lt;= avalon_mm_rmap_i.writedata(23 downto 16);</t>
  </si>
  <si>
    <t xml:space="preserve">      rmap_registers_wr_o.aeb4_hk_revision_id.fpga_time(15 downto 8) &lt;= avalon_mm_rmap_i.writedata(31 downto 24);</t>
  </si>
  <si>
    <t xml:space="preserve">      rmap_registers_wr_o.aeb4_hk_revision_id.fpga_svn(7 downto 0) &lt;= avalon_mm_rmap_i.writedata(7 downto 0);</t>
  </si>
  <si>
    <t xml:space="preserve">      rmap_registers_wr_o.aeb4_hk_revision_id.fpga_svn(15 downto 8) &lt;= avalon_mm_rmap_i.writedata(15 downto 8);</t>
  </si>
  <si>
    <t xml:space="preserve">-- DEB Critical Configuration Area : </t>
  </si>
  <si>
    <t>rmap_registers_wr_o.deb_ccfg_aeb_idx.vdig_aeb4 &lt;= '0';</t>
  </si>
  <si>
    <t>rmap_registers_wr_o.deb_ccfg_aeb_idx.vdig_aeb3 &lt;= '0';</t>
  </si>
  <si>
    <t>rmap_registers_wr_o.deb_ccfg_aeb_idx.vdig_aeb2 &lt;= '0';</t>
  </si>
  <si>
    <t>rmap_registers_wr_o.deb_ccfg_aeb_idx.vdig_aeb1 &lt;= '0';</t>
  </si>
  <si>
    <t>rmap_registers_wr_o.deb_ccfg_reg_dta_3.pll_reg_word_3 &lt;= x"00000027";</t>
  </si>
  <si>
    <t>rmap_registers_wr_o.deb_ccfg_reg_dta_2.pll_reg_word_2 &lt;= x"DB6DB4A2";</t>
  </si>
  <si>
    <t>rmap_registers_wr_o.deb_ccfg_reg_dta_1.pll_reg_word_1 &lt;= x"0000007D";</t>
  </si>
  <si>
    <t>rmap_registers_wr_o.deb_ccfg_reg_dta_0.pll_reg_word_0 &lt;= x"0007F1FC";</t>
  </si>
  <si>
    <t xml:space="preserve">-- DEB General Configuration Area : </t>
  </si>
  <si>
    <t>rmap_registers_wr_o.deb_gcfg_oper_mod.imm &lt;= '0';</t>
  </si>
  <si>
    <t>rmap_registers_wr_o.deb_gcfg_oper_mod.oper_mod &lt;= (others =&gt; '0');</t>
  </si>
  <si>
    <t>rmap_registers_wr_o.deb_gcfg_t7_in_mod.in_mod7 &lt;= (others =&gt; '0');</t>
  </si>
  <si>
    <t>rmap_registers_wr_o.deb_gcfg_t6_in_mod.in_mod6 &lt;= (others =&gt; '0');</t>
  </si>
  <si>
    <t>rmap_registers_wr_o.deb_gcfg_t5_in_mod.in_mod5 &lt;= (others =&gt; '0');</t>
  </si>
  <si>
    <t>rmap_registers_wr_o.deb_gcfg_t4_in_mod.in_mod4 &lt;= (others =&gt; '0');</t>
  </si>
  <si>
    <t>rmap_registers_wr_o.deb_gcfg_t3_in_mod.in_mod3 &lt;= (others =&gt; '0');</t>
  </si>
  <si>
    <t>rmap_registers_wr_o.deb_gcfg_t2_in_mod.in_mod2 &lt;= (others =&gt; '0');</t>
  </si>
  <si>
    <t>rmap_registers_wr_o.deb_gcfg_t1_in_mod.in_mod1 &lt;= (others =&gt; '0');</t>
  </si>
  <si>
    <t>rmap_registers_wr_o.deb_gcfg_t0_in_mod.in_mod0 &lt;= (others =&gt; '0');</t>
  </si>
  <si>
    <t>rmap_registers_wr_o.deb_gcfg_w_siz_x.w_siz_x &lt;= (others =&gt; '0');</t>
  </si>
  <si>
    <t>rmap_registers_wr_o.deb_gcfg_w_siz_y.w_siz_y &lt;= (others =&gt; '0');</t>
  </si>
  <si>
    <t>rmap_registers_wr_o.deb_gcfg_wdw_idx_4.wdw_idx_4 &lt;= (others =&gt; '0');</t>
  </si>
  <si>
    <t>rmap_registers_wr_o.deb_gcfg_wdw_len_4.wdw_len_4 &lt;= (others =&gt; '0');</t>
  </si>
  <si>
    <t>rmap_registers_wr_o.deb_gcfg_wdw_idx_3.wdw_idx_3 &lt;= (others =&gt; '0');</t>
  </si>
  <si>
    <t>rmap_registers_wr_o.deb_gcfg_wdw_len_3.wdw_len_3 &lt;= (others =&gt; '0');</t>
  </si>
  <si>
    <t>rmap_registers_wr_o.deb_gcfg_wdw_idx_2.wdw_idx_2 &lt;= (others =&gt; '0');</t>
  </si>
  <si>
    <t>rmap_registers_wr_o.deb_gcfg_wdw_len_2.wdw_len_2 &lt;= (others =&gt; '0');</t>
  </si>
  <si>
    <t>rmap_registers_wr_o.deb_gcfg_wdw_idx_1.wdw_idx_1 &lt;= (others =&gt; '0');</t>
  </si>
  <si>
    <t>rmap_registers_wr_o.deb_gcfg_wdw_len_1.wdw_len_1 &lt;= (others =&gt; '0');</t>
  </si>
  <si>
    <t>rmap_registers_wr_o.deb_gcfg_ovs_lin_4.ovs_lin_4 &lt;= (others =&gt; '0');</t>
  </si>
  <si>
    <t>rmap_registers_wr_o.deb_gcfg_ovs_lin_3.ovs_lin_3 &lt;= (others =&gt; '0');</t>
  </si>
  <si>
    <t>rmap_registers_wr_o.deb_gcfg_ovs_lin_2.ovs_lin_2 &lt;= (others =&gt; '0');</t>
  </si>
  <si>
    <t>rmap_registers_wr_o.deb_gcfg_ovs_lin_1.ovs_lin_1 &lt;= (others =&gt; '0');</t>
  </si>
  <si>
    <t>rmap_registers_wr_o.deb_gcfg_ovs_pix_4.ovs_pix_4 &lt;= (others =&gt; '0');</t>
  </si>
  <si>
    <t>rmap_registers_wr_o.deb_gcfg_ovs_pix_3.ovs_pix_3 &lt;= (others =&gt; '0');</t>
  </si>
  <si>
    <t>rmap_registers_wr_o.deb_gcfg_ovs_pix_2.ovs_pix_2 &lt;= (others =&gt; '0');</t>
  </si>
  <si>
    <t>rmap_registers_wr_o.deb_gcfg_ovs_pix_1.ovs_pix_1 &lt;= (others =&gt; '0');</t>
  </si>
  <si>
    <t>rmap_registers_wr_o.deb_gcfg_2_5s_n_cyc.d2_5s_n_cyc &lt;= (others =&gt; '0');</t>
  </si>
  <si>
    <t>rmap_registers_wr_o.deb_gcfg_trg_src.sel_trg &lt;= '0';</t>
  </si>
  <si>
    <t>rmap_registers_wr_o.deb_gcfg_frm_cnt.frm_cnt &lt;= (others =&gt; '0');</t>
  </si>
  <si>
    <t>rmap_registers_wr_o.deb_gcfg_syn_frq.syn_nr &lt;= '0';</t>
  </si>
  <si>
    <t>rmap_registers_wr_o.deb_gcfg_rst_wdg.rst_wdg &lt;= '0';</t>
  </si>
  <si>
    <t>rmap_registers_wr_o.deb_gcfg_rst_cps.rst_cps &lt;= '0';</t>
  </si>
  <si>
    <t>rmap_registers_wr_o.deb_gcfg_25s_dly.d25s_dly &lt;= (others =&gt; '0');</t>
  </si>
  <si>
    <t>rmap_registers_wr_o.deb_gcfg_tmod_conf.tmod_conf &lt;= (others =&gt; '0');</t>
  </si>
  <si>
    <t xml:space="preserve">-- DEB Housekeeping Area : </t>
  </si>
  <si>
    <t>rmap_registers_wr_o.deb_hk_deb_status.oper_mod &lt;= (others =&gt; '0');</t>
  </si>
  <si>
    <t>rmap_registers_wr_o.deb_hk_deb_status.window_list_table_edac_corrected_error_number &lt;= (others =&gt; '0');</t>
  </si>
  <si>
    <t>rmap_registers_wr_o.deb_hk_deb_status.uncorrected_error_number &lt;= (others =&gt; '0');</t>
  </si>
  <si>
    <t>rmap_registers_wr_o.deb_hk_deb_status.pll_status &lt;= (others =&gt; '0');</t>
  </si>
  <si>
    <t>rmap_registers_wr_o.deb_hk_deb_status.vdig_aeb4_status &lt;= '0';</t>
  </si>
  <si>
    <t>rmap_registers_wr_o.deb_hk_deb_status.vdig_aeb3_status &lt;= '0';</t>
  </si>
  <si>
    <t>rmap_registers_wr_o.deb_hk_deb_status.vdig_aeb2_status &lt;= '0';</t>
  </si>
  <si>
    <t>rmap_registers_wr_o.deb_hk_deb_status.vdig_aeb1_status &lt;= '0';</t>
  </si>
  <si>
    <t>rmap_registers_wr_o.deb_hk_deb_status.wdw_list_cnt_ovf &lt;= (others =&gt; '0');</t>
  </si>
  <si>
    <t>rmap_registers_wr_o.deb_hk_deb_status.aeb_spi_status &lt;= '0';</t>
  </si>
  <si>
    <t>rmap_registers_wr_o.deb_hk_deb_status.wdg_status &lt;= '0';</t>
  </si>
  <si>
    <t>rmap_registers_wr_o.deb_hk_deb_ovf.row_active_list8_cnt_ovf &lt;= '0';</t>
  </si>
  <si>
    <t>rmap_registers_wr_o.deb_hk_deb_ovf.row_active_list7_cnt_ovf &lt;= '0';</t>
  </si>
  <si>
    <t>rmap_registers_wr_o.deb_hk_deb_ovf.row_active_list6_cnt_ovf &lt;= '0';</t>
  </si>
  <si>
    <t>rmap_registers_wr_o.deb_hk_deb_ovf.row_active_list5_cnt_ovf &lt;= '0';</t>
  </si>
  <si>
    <t>rmap_registers_wr_o.deb_hk_deb_ovf.row_active_list4_cnt_ovf &lt;= '0';</t>
  </si>
  <si>
    <t>rmap_registers_wr_o.deb_hk_deb_ovf.row_active_list3_cnt_ovf &lt;= '0';</t>
  </si>
  <si>
    <t>rmap_registers_wr_o.deb_hk_deb_ovf.row_active_list2_cnt_ovf &lt;= '0';</t>
  </si>
  <si>
    <t>rmap_registers_wr_o.deb_hk_deb_ovf.row_active_list1_cnt_ovf &lt;= '0';</t>
  </si>
  <si>
    <t>rmap_registers_wr_o.deb_hk_deb_ovf.out_buff8_ovf &lt;= '0';</t>
  </si>
  <si>
    <t>rmap_registers_wr_o.deb_hk_deb_ovf.out_buff7_ovf &lt;= '0';</t>
  </si>
  <si>
    <t>rmap_registers_wr_o.deb_hk_deb_ovf.out_buff6_ovf &lt;= '0';</t>
  </si>
  <si>
    <t>rmap_registers_wr_o.deb_hk_deb_ovf.out_buff5_ovf &lt;= '0';</t>
  </si>
  <si>
    <t>rmap_registers_wr_o.deb_hk_deb_ovf.out_buff4_ovf &lt;= '0';</t>
  </si>
  <si>
    <t>rmap_registers_wr_o.deb_hk_deb_ovf.out_buff3_ovf &lt;= '0';</t>
  </si>
  <si>
    <t>rmap_registers_wr_o.deb_hk_deb_ovf.out_buff2_ovf &lt;= '0';</t>
  </si>
  <si>
    <t>rmap_registers_wr_o.deb_hk_deb_ovf.out_buff1_ovf &lt;= '0';</t>
  </si>
  <si>
    <t>rmap_registers_wr_o.deb_hk_deb_ovf.rmap4_ovf &lt;= '0';</t>
  </si>
  <si>
    <t>rmap_registers_wr_o.deb_hk_deb_ovf.rmap3_ovf &lt;= '0';</t>
  </si>
  <si>
    <t>rmap_registers_wr_o.deb_hk_deb_ovf.rmap2_ovf &lt;= '0';</t>
  </si>
  <si>
    <t>rmap_registers_wr_o.deb_hk_deb_ovf.rmap1_ovf &lt;= '0';</t>
  </si>
  <si>
    <t>rmap_registers_wr_o.deb_hk_deb_ovf.line_pixel_counters_overflow &lt;= (others =&gt; '0');</t>
  </si>
  <si>
    <t>rmap_registers_wr_o.deb_hk_spw_status.spw_status &lt;= (others =&gt; '0');</t>
  </si>
  <si>
    <t>rmap_registers_wr_o.deb_hk_deb_ahk1.vdig_in &lt;= (others =&gt; '0');</t>
  </si>
  <si>
    <t>rmap_registers_wr_o.deb_hk_deb_ahk1.vio &lt;= (others =&gt; '0');</t>
  </si>
  <si>
    <t>rmap_registers_wr_o.deb_hk_deb_ahk2.vcor &lt;= (others =&gt; '0');</t>
  </si>
  <si>
    <t>rmap_registers_wr_o.deb_hk_deb_ahk2.vlvd &lt;= (others =&gt; '0');</t>
  </si>
  <si>
    <t>rmap_registers_wr_o.deb_hk_deb_ahk3.deb_temp &lt;= (others =&gt; '0');</t>
  </si>
  <si>
    <t xml:space="preserve">-- AEB 1 Critical Configuration Area : </t>
  </si>
  <si>
    <t>rmap_registers_wr_o.aeb1_ccfg_aeb_control.new_state &lt;= (others =&gt; '0');</t>
  </si>
  <si>
    <t>rmap_registers_wr_o.aeb1_ccfg_aeb_control.set_state &lt;= '0';</t>
  </si>
  <si>
    <t>rmap_registers_wr_o.aeb1_ccfg_aeb_control.aeb_reset &lt;= '0';</t>
  </si>
  <si>
    <t>rmap_registers_wr_o.aeb1_ccfg_aeb_control.adc_data_rd &lt;= '0';</t>
  </si>
  <si>
    <t>rmap_registers_wr_o.aeb1_ccfg_aeb_control.adc_cfg_wr &lt;= '0';</t>
  </si>
  <si>
    <t>rmap_registers_wr_o.aeb1_ccfg_aeb_control.adc_cfg_rd &lt;= '0';</t>
  </si>
  <si>
    <t>rmap_registers_wr_o.aeb1_ccfg_aeb_control.dac_wr &lt;= '0';</t>
  </si>
  <si>
    <t>rmap_registers_wr_o.aeb1_ccfg_aeb_config.watchdog_dis &lt;= '0';</t>
  </si>
  <si>
    <t>rmap_registers_wr_o.aeb1_ccfg_aeb_config.int_sync &lt;= '0';</t>
  </si>
  <si>
    <t>rmap_registers_wr_o.aeb1_ccfg_aeb_config.vasp_cds_en &lt;= '0';</t>
  </si>
  <si>
    <t>rmap_registers_wr_o.aeb1_ccfg_aeb_config.vasp2_cal_en &lt;= '0';</t>
  </si>
  <si>
    <t>rmap_registers_wr_o.aeb1_ccfg_aeb_config.vasp1_cal_en &lt;= '0';</t>
  </si>
  <si>
    <t>rmap_registers_wr_o.aeb1_ccfg_aeb_config_key.key &lt;= (others =&gt; '0');</t>
  </si>
  <si>
    <t>rmap_registers_wr_o.aeb1_ccfg_aeb_config_ait1.override_sw &lt;= '0';</t>
  </si>
  <si>
    <t>rmap_registers_wr_o.aeb1_ccfg_aeb_config_ait1.sw_van3 &lt;= '0';</t>
  </si>
  <si>
    <t>rmap_registers_wr_o.aeb1_ccfg_aeb_config_ait1.sw_van2 &lt;= '0';</t>
  </si>
  <si>
    <t>rmap_registers_wr_o.aeb1_ccfg_aeb_config_ait1.sw_van1 &lt;= '0';</t>
  </si>
  <si>
    <t>rmap_registers_wr_o.aeb1_ccfg_aeb_config_ait1.sw_vclk &lt;= '0';</t>
  </si>
  <si>
    <t>rmap_registers_wr_o.aeb1_ccfg_aeb_config_ait1.sw_vccd &lt;= '0';</t>
  </si>
  <si>
    <t>rmap_registers_wr_o.aeb1_ccfg_aeb_config_ait1.override_vasp &lt;= '0';</t>
  </si>
  <si>
    <t>rmap_registers_wr_o.aeb1_ccfg_aeb_config_ait1.vasp2_pix_en &lt;= '0';</t>
  </si>
  <si>
    <t>rmap_registers_wr_o.aeb1_ccfg_aeb_config_ait1.vasp1_pix_en &lt;= '0';</t>
  </si>
  <si>
    <t>rmap_registers_wr_o.aeb1_ccfg_aeb_config_ait1.vasp2_adc_en &lt;= '0';</t>
  </si>
  <si>
    <t>rmap_registers_wr_o.aeb1_ccfg_aeb_config_ait1.vasp1_adc_en &lt;= '0';</t>
  </si>
  <si>
    <t>rmap_registers_wr_o.aeb1_ccfg_aeb_config_ait1.vasp2_reset &lt;= '0';</t>
  </si>
  <si>
    <t>rmap_registers_wr_o.aeb1_ccfg_aeb_config_ait1.vasp1_reset &lt;= '0';</t>
  </si>
  <si>
    <t>rmap_registers_wr_o.aeb1_ccfg_aeb_config_ait1.override_adc &lt;= '0';</t>
  </si>
  <si>
    <t>rmap_registers_wr_o.aeb1_ccfg_aeb_config_ait1.adc2_en_p5v0 &lt;= '0';</t>
  </si>
  <si>
    <t>rmap_registers_wr_o.aeb1_ccfg_aeb_config_ait1.adc1_en_p5v0 &lt;= '0';</t>
  </si>
  <si>
    <t>rmap_registers_wr_o.aeb1_ccfg_aeb_config_ait1.pt1000_cal_on_n &lt;= '0';</t>
  </si>
  <si>
    <t>rmap_registers_wr_o.aeb1_ccfg_aeb_config_ait1.en_v_mux_n &lt;= '0';</t>
  </si>
  <si>
    <t>rmap_registers_wr_o.aeb1_ccfg_aeb_config_ait1.adc2_pwdn_n &lt;= '0';</t>
  </si>
  <si>
    <t>rmap_registers_wr_o.aeb1_ccfg_aeb_config_ait1.adc1_pwdn_n &lt;= '0';</t>
  </si>
  <si>
    <t>rmap_registers_wr_o.aeb1_ccfg_aeb_config_ait1.adc_clk_en &lt;= '0';</t>
  </si>
  <si>
    <t>rmap_registers_wr_o.aeb1_ccfg_aeb_config_pattern.pattern_ccdid &lt;= (others =&gt; '0');</t>
  </si>
  <si>
    <t>rmap_registers_wr_o.aeb1_ccfg_aeb_config_pattern.pattern_cols &lt;= (others =&gt; '0');</t>
  </si>
  <si>
    <t>rmap_registers_wr_o.aeb1_ccfg_aeb_config_pattern.pattern_rows &lt;= (others =&gt; '0');</t>
  </si>
  <si>
    <t>rmap_registers_wr_o.aeb1_ccfg_vasp_i2c_control.vasp_cfg_addr &lt;= (others =&gt; '0');</t>
  </si>
  <si>
    <t>rmap_registers_wr_o.aeb1_ccfg_vasp_i2c_control.vasp1_cfg_data &lt;= (others =&gt; '0');</t>
  </si>
  <si>
    <t>rmap_registers_wr_o.aeb1_ccfg_vasp_i2c_control.vasp2_cfg_data &lt;= (others =&gt; '0');</t>
  </si>
  <si>
    <t>rmap_registers_wr_o.aeb1_ccfg_vasp_i2c_control.vasp2_select &lt;= '0';</t>
  </si>
  <si>
    <t>rmap_registers_wr_o.aeb1_ccfg_vasp_i2c_control.vasp1_select &lt;= '0';</t>
  </si>
  <si>
    <t>rmap_registers_wr_o.aeb1_ccfg_vasp_i2c_control.calibration_start &lt;= '0';</t>
  </si>
  <si>
    <t>rmap_registers_wr_o.aeb1_ccfg_vasp_i2c_control.i2c_read_start &lt;= '0';</t>
  </si>
  <si>
    <t>rmap_registers_wr_o.aeb1_ccfg_vasp_i2c_control.i2c_write_start &lt;= '0';</t>
  </si>
  <si>
    <t>rmap_registers_wr_o.aeb1_ccfg_dac_config_1.dac_vog &lt;= (others =&gt; '0');</t>
  </si>
  <si>
    <t>rmap_registers_wr_o.aeb1_ccfg_dac_config_1.dac_vrd &lt;= (others =&gt; '0');</t>
  </si>
  <si>
    <t>rmap_registers_wr_o.aeb1_ccfg_dac_config_2.dac_vod &lt;= (others =&gt; '0');</t>
  </si>
  <si>
    <t>rmap_registers_wr_o.aeb1_ccfg_pwr_config1.time_vccd_on &lt;= (others =&gt; '0');</t>
  </si>
  <si>
    <t>rmap_registers_wr_o.aeb1_ccfg_pwr_config1.time_vclk_on &lt;= (others =&gt; '0');</t>
  </si>
  <si>
    <t>rmap_registers_wr_o.aeb1_ccfg_pwr_config1.time_van1_on &lt;= (others =&gt; '0');</t>
  </si>
  <si>
    <t>rmap_registers_wr_o.aeb1_ccfg_pwr_config1.time_van2_on &lt;= (others =&gt; '0');</t>
  </si>
  <si>
    <t>rmap_registers_wr_o.aeb1_ccfg_pwr_config2.time_van3_on &lt;= (others =&gt; '0');</t>
  </si>
  <si>
    <t>rmap_registers_wr_o.aeb1_ccfg_pwr_config2.time_vccd_off &lt;= (others =&gt; '0');</t>
  </si>
  <si>
    <t>rmap_registers_wr_o.aeb1_ccfg_pwr_config2.time_vclk_off &lt;= (others =&gt; '0');</t>
  </si>
  <si>
    <t>rmap_registers_wr_o.aeb1_ccfg_pwr_config2.time_van1_off &lt;= (others =&gt; '0');</t>
  </si>
  <si>
    <t>rmap_registers_wr_o.aeb1_ccfg_pwr_config3.time_van2_off &lt;= (others =&gt; '0');</t>
  </si>
  <si>
    <t>rmap_registers_wr_o.aeb1_ccfg_pwr_config3.time_van3_off &lt;= (others =&gt; '0');</t>
  </si>
  <si>
    <t xml:space="preserve">-- AEB 1 General Configuration Area : </t>
  </si>
  <si>
    <t>rmap_registers_wr_o.aeb1_gcfg_adc1_config.adc1_bypas &lt;= '0';</t>
  </si>
  <si>
    <t>rmap_registers_wr_o.aeb1_gcfg_adc1_config.adc1_clkenb &lt;= '1';</t>
  </si>
  <si>
    <t>rmap_registers_wr_o.aeb1_gcfg_adc1_config.adc1_chop &lt;= '0';</t>
  </si>
  <si>
    <t>rmap_registers_wr_o.aeb1_gcfg_adc1_config.adc1_stat &lt;= '1';</t>
  </si>
  <si>
    <t>rmap_registers_wr_o.aeb1_gcfg_adc1_config.adc1_idlmod &lt;= '0';</t>
  </si>
  <si>
    <t>rmap_registers_wr_o.aeb1_gcfg_adc1_config.adc1_dly2 &lt;= '1';</t>
  </si>
  <si>
    <t>rmap_registers_wr_o.aeb1_gcfg_adc1_config.adc1_dly1 &lt;= '1';</t>
  </si>
  <si>
    <t>rmap_registers_wr_o.aeb1_gcfg_adc1_config.adc1_dly0 &lt;= '1';</t>
  </si>
  <si>
    <t>rmap_registers_wr_o.aeb1_gcfg_adc1_config.adc1_sbcs1 &lt;= '0';</t>
  </si>
  <si>
    <t>rmap_registers_wr_o.aeb1_gcfg_adc1_config.adc1_sbcs0 &lt;= '0';</t>
  </si>
  <si>
    <t>rmap_registers_wr_o.aeb1_gcfg_adc1_config.adc1_drate1 &lt;= '0';</t>
  </si>
  <si>
    <t>rmap_registers_wr_o.aeb1_gcfg_adc1_config.adc1_drate0 &lt;= '0';</t>
  </si>
  <si>
    <t>rmap_registers_wr_o.aeb1_gcfg_adc1_config.adc1_ainp3 &lt;= '0';</t>
  </si>
  <si>
    <t>rmap_registers_wr_o.aeb1_gcfg_adc1_config.adc1_ainp2 &lt;= '0';</t>
  </si>
  <si>
    <t>rmap_registers_wr_o.aeb1_gcfg_adc1_config.adc1_ainp1 &lt;= '0';</t>
  </si>
  <si>
    <t>rmap_registers_wr_o.aeb1_gcfg_adc1_config.adc1_ainp0 &lt;= '0';</t>
  </si>
  <si>
    <t>rmap_registers_wr_o.aeb1_gcfg_adc1_config.adc1_ainn3 &lt;= '0';</t>
  </si>
  <si>
    <t>rmap_registers_wr_o.aeb1_gcfg_adc1_config.adc1_ainn2 &lt;= '0';</t>
  </si>
  <si>
    <t>rmap_registers_wr_o.aeb1_gcfg_adc1_config.adc1_ainn1 &lt;= '0';</t>
  </si>
  <si>
    <t>rmap_registers_wr_o.aeb1_gcfg_adc1_config.adc1_ainn0 &lt;= '0';</t>
  </si>
  <si>
    <t>rmap_registers_wr_o.aeb1_gcfg_adc1_config.adc1_diff7 &lt;= '1';</t>
  </si>
  <si>
    <t>rmap_registers_wr_o.aeb1_gcfg_adc1_config.adc1_diff6 &lt;= '1';</t>
  </si>
  <si>
    <t>rmap_registers_wr_o.aeb1_gcfg_adc1_config.adc1_diff5 &lt;= '0';</t>
  </si>
  <si>
    <t>rmap_registers_wr_o.aeb1_gcfg_adc1_config.adc1_diff4 &lt;= '0';</t>
  </si>
  <si>
    <t>rmap_registers_wr_o.aeb1_gcfg_adc1_config.adc1_diff3 &lt;= '1';</t>
  </si>
  <si>
    <t>rmap_registers_wr_o.aeb1_gcfg_adc1_config.adc1_diff2 &lt;= '1';</t>
  </si>
  <si>
    <t>rmap_registers_wr_o.aeb1_gcfg_adc1_config.adc1_diff1 &lt;= '1';</t>
  </si>
  <si>
    <t>rmap_registers_wr_o.aeb1_gcfg_adc1_config.adc1_diff0 &lt;= '1';</t>
  </si>
  <si>
    <t>rmap_registers_wr_o.aeb1_gcfg_adc1_config.adc1_ain7 &lt;= '0';</t>
  </si>
  <si>
    <t>rmap_registers_wr_o.aeb1_gcfg_adc1_config.adc1_ain6 &lt;= '0';</t>
  </si>
  <si>
    <t>rmap_registers_wr_o.aeb1_gcfg_adc1_config.adc1_ain5 &lt;= '0';</t>
  </si>
  <si>
    <t>rmap_registers_wr_o.aeb1_gcfg_adc1_config.adc1_ain4 &lt;= '0';</t>
  </si>
  <si>
    <t>rmap_registers_wr_o.aeb1_gcfg_adc1_config.adc1_ain3 &lt;= '0';</t>
  </si>
  <si>
    <t>rmap_registers_wr_o.aeb1_gcfg_adc1_config.adc1_ain2 &lt;= '0';</t>
  </si>
  <si>
    <t>rmap_registers_wr_o.aeb1_gcfg_adc1_config.adc1_ain1 &lt;= '0';</t>
  </si>
  <si>
    <t>rmap_registers_wr_o.aeb1_gcfg_adc1_config.adc1_ain0 &lt;= '0';</t>
  </si>
  <si>
    <t>rmap_registers_wr_o.aeb1_gcfg_adc1_config.adc1_ain15 &lt;= '0';</t>
  </si>
  <si>
    <t>rmap_registers_wr_o.aeb1_gcfg_adc1_config.adc1_ain14 &lt;= '0';</t>
  </si>
  <si>
    <t>rmap_registers_wr_o.aeb1_gcfg_adc1_config.adc1_ain13 &lt;= '0';</t>
  </si>
  <si>
    <t>rmap_registers_wr_o.aeb1_gcfg_adc1_config.adc1_ain12 &lt;= '0';</t>
  </si>
  <si>
    <t>rmap_registers_wr_o.aeb1_gcfg_adc1_config.adc1_ain11 &lt;= '1';</t>
  </si>
  <si>
    <t>rmap_registers_wr_o.aeb1_gcfg_adc1_config.adc1_ain10 &lt;= '1';</t>
  </si>
  <si>
    <t>rmap_registers_wr_o.aeb1_gcfg_adc1_config.adc1_ain9 &lt;= '1';</t>
  </si>
  <si>
    <t>rmap_registers_wr_o.aeb1_gcfg_adc1_config.adc1_ain8 &lt;= '1';</t>
  </si>
  <si>
    <t>rmap_registers_wr_o.aeb1_gcfg_adc1_config.adc1_ref &lt;= '0';</t>
  </si>
  <si>
    <t>rmap_registers_wr_o.aeb1_gcfg_adc1_config.adc1_gain &lt;= '0';</t>
  </si>
  <si>
    <t>rmap_registers_wr_o.aeb1_gcfg_adc1_config.adc1_temp &lt;= '0';</t>
  </si>
  <si>
    <t>rmap_registers_wr_o.aeb1_gcfg_adc1_config.adc1_vcc &lt;= '0';</t>
  </si>
  <si>
    <t>rmap_registers_wr_o.aeb1_gcfg_adc1_config.adc1_offset &lt;= '0';</t>
  </si>
  <si>
    <t>rmap_registers_wr_o.aeb1_gcfg_adc1_config.adc1_cio7 &lt;= '0';</t>
  </si>
  <si>
    <t>rmap_registers_wr_o.aeb1_gcfg_adc1_config.adc1_cio6 &lt;= '0';</t>
  </si>
  <si>
    <t>rmap_registers_wr_o.aeb1_gcfg_adc1_config.adc1_cio5 &lt;= '0';</t>
  </si>
  <si>
    <t>rmap_registers_wr_o.aeb1_gcfg_adc1_config.adc1_cio4 &lt;= '0';</t>
  </si>
  <si>
    <t>rmap_registers_wr_o.aeb1_gcfg_adc1_config.adc1_cio3 &lt;= '0';</t>
  </si>
  <si>
    <t>rmap_registers_wr_o.aeb1_gcfg_adc1_config.adc1_cio2 &lt;= '0';</t>
  </si>
  <si>
    <t>rmap_registers_wr_o.aeb1_gcfg_adc1_config.adc1_cio1 &lt;= '0';</t>
  </si>
  <si>
    <t>rmap_registers_wr_o.aeb1_gcfg_adc1_config.adc1_cio0 &lt;= '0';</t>
  </si>
  <si>
    <t>rmap_registers_wr_o.aeb1_gcfg_adc1_config.adc1_dio7 &lt;= '0';</t>
  </si>
  <si>
    <t>rmap_registers_wr_o.aeb1_gcfg_adc1_config.adc1_dio6 &lt;= '0';</t>
  </si>
  <si>
    <t>rmap_registers_wr_o.aeb1_gcfg_adc1_config.adc1_dio5 &lt;= '0';</t>
  </si>
  <si>
    <t>rmap_registers_wr_o.aeb1_gcfg_adc1_config.adc1_dio4 &lt;= '0';</t>
  </si>
  <si>
    <t>rmap_registers_wr_o.aeb1_gcfg_adc1_config.adc1_dio3 &lt;= '0';</t>
  </si>
  <si>
    <t>rmap_registers_wr_o.aeb1_gcfg_adc1_config.adc1_dio2 &lt;= '0';</t>
  </si>
  <si>
    <t>rmap_registers_wr_o.aeb1_gcfg_adc1_config.adc1_dio1 &lt;= '0';</t>
  </si>
  <si>
    <t>rmap_registers_wr_o.aeb1_gcfg_adc1_config.adc1_dio0 &lt;= '0';</t>
  </si>
  <si>
    <t>rmap_registers_wr_o.aeb1_gcfg_adc2_config.adc2_bypas &lt;= '0';</t>
  </si>
  <si>
    <t>rmap_registers_wr_o.aeb1_gcfg_adc2_config.adc2_clkenb &lt;= '1';</t>
  </si>
  <si>
    <t>rmap_registers_wr_o.aeb1_gcfg_adc2_config.adc2_chop &lt;= '0';</t>
  </si>
  <si>
    <t>rmap_registers_wr_o.aeb1_gcfg_adc2_config.adc2_stat &lt;= '1';</t>
  </si>
  <si>
    <t>rmap_registers_wr_o.aeb1_gcfg_adc2_config.adc2_idlmod &lt;= '0';</t>
  </si>
  <si>
    <t>rmap_registers_wr_o.aeb1_gcfg_adc2_config.adc2_dly2 &lt;= '1';</t>
  </si>
  <si>
    <t>rmap_registers_wr_o.aeb1_gcfg_adc2_config.adc2_dly1 &lt;= '1';</t>
  </si>
  <si>
    <t>rmap_registers_wr_o.aeb1_gcfg_adc2_config.adc2_dly0 &lt;= '1';</t>
  </si>
  <si>
    <t>rmap_registers_wr_o.aeb1_gcfg_adc2_config.adc2_sbcs1 &lt;= '0';</t>
  </si>
  <si>
    <t>rmap_registers_wr_o.aeb1_gcfg_adc2_config.adc2_sbcs0 &lt;= '0';</t>
  </si>
  <si>
    <t>rmap_registers_wr_o.aeb1_gcfg_adc2_config.adc2_drate1 &lt;= '0';</t>
  </si>
  <si>
    <t>rmap_registers_wr_o.aeb1_gcfg_adc2_config.adc2_drate0 &lt;= '0';</t>
  </si>
  <si>
    <t>rmap_registers_wr_o.aeb1_gcfg_adc2_config.adc2_ainp3 &lt;= '0';</t>
  </si>
  <si>
    <t>rmap_registers_wr_o.aeb1_gcfg_adc2_config.adc2_ainp2 &lt;= '0';</t>
  </si>
  <si>
    <t>rmap_registers_wr_o.aeb1_gcfg_adc2_config.adc2_ainp1 &lt;= '0';</t>
  </si>
  <si>
    <t>rmap_registers_wr_o.aeb1_gcfg_adc2_config.adc2_ainp0 &lt;= '0';</t>
  </si>
  <si>
    <t>rmap_registers_wr_o.aeb1_gcfg_adc2_config.adc2_ainn3 &lt;= '0';</t>
  </si>
  <si>
    <t>rmap_registers_wr_o.aeb1_gcfg_adc2_config.adc2_ainn2 &lt;= '0';</t>
  </si>
  <si>
    <t>rmap_registers_wr_o.aeb1_gcfg_adc2_config.adc2_ainn1 &lt;= '0';</t>
  </si>
  <si>
    <t>rmap_registers_wr_o.aeb1_gcfg_adc2_config.adc2_ainn0 &lt;= '0';</t>
  </si>
  <si>
    <t>rmap_registers_wr_o.aeb1_gcfg_adc2_config.adc2_diff7 &lt;= '1';</t>
  </si>
  <si>
    <t>rmap_registers_wr_o.aeb1_gcfg_adc2_config.adc2_diff6 &lt;= '1';</t>
  </si>
  <si>
    <t>rmap_registers_wr_o.aeb1_gcfg_adc2_config.adc2_diff5 &lt;= '0';</t>
  </si>
  <si>
    <t>rmap_registers_wr_o.aeb1_gcfg_adc2_config.adc2_diff4 &lt;= '0';</t>
  </si>
  <si>
    <t>rmap_registers_wr_o.aeb1_gcfg_adc2_config.adc2_diff3 &lt;= '1';</t>
  </si>
  <si>
    <t>rmap_registers_wr_o.aeb1_gcfg_adc2_config.adc2_diff2 &lt;= '1';</t>
  </si>
  <si>
    <t>rmap_registers_wr_o.aeb1_gcfg_adc2_config.adc2_diff1 &lt;= '1';</t>
  </si>
  <si>
    <t>rmap_registers_wr_o.aeb1_gcfg_adc2_config.adc2_diff0 &lt;= '1';</t>
  </si>
  <si>
    <t>rmap_registers_wr_o.aeb1_gcfg_adc2_config.adc2_ain7 &lt;= '0';</t>
  </si>
  <si>
    <t>rmap_registers_wr_o.aeb1_gcfg_adc2_config.adc2_ain6 &lt;= '0';</t>
  </si>
  <si>
    <t>rmap_registers_wr_o.aeb1_gcfg_adc2_config.adc2_ain5 &lt;= '0';</t>
  </si>
  <si>
    <t>rmap_registers_wr_o.aeb1_gcfg_adc2_config.adc2_ain4 &lt;= '0';</t>
  </si>
  <si>
    <t>rmap_registers_wr_o.aeb1_gcfg_adc2_config.adc2_ain3 &lt;= '0';</t>
  </si>
  <si>
    <t>rmap_registers_wr_o.aeb1_gcfg_adc2_config.adc2_ain2 &lt;= '0';</t>
  </si>
  <si>
    <t>rmap_registers_wr_o.aeb1_gcfg_adc2_config.adc2_ain1 &lt;= '0';</t>
  </si>
  <si>
    <t>rmap_registers_wr_o.aeb1_gcfg_adc2_config.adc2_ain0 &lt;= '0';</t>
  </si>
  <si>
    <t>rmap_registers_wr_o.aeb1_gcfg_adc2_config.adc2_ain15 &lt;= '0';</t>
  </si>
  <si>
    <t>rmap_registers_wr_o.aeb1_gcfg_adc2_config.adc2_ain14 &lt;= '0';</t>
  </si>
  <si>
    <t>rmap_registers_wr_o.aeb1_gcfg_adc2_config.adc2_ain13 &lt;= '0';</t>
  </si>
  <si>
    <t>rmap_registers_wr_o.aeb1_gcfg_adc2_config.adc2_ain12 &lt;= '0';</t>
  </si>
  <si>
    <t>rmap_registers_wr_o.aeb1_gcfg_adc2_config.adc2_ain11 &lt;= '1';</t>
  </si>
  <si>
    <t>rmap_registers_wr_o.aeb1_gcfg_adc2_config.adc2_ain10 &lt;= '1';</t>
  </si>
  <si>
    <t>rmap_registers_wr_o.aeb1_gcfg_adc2_config.adc2_ain9 &lt;= '1';</t>
  </si>
  <si>
    <t>rmap_registers_wr_o.aeb1_gcfg_adc2_config.adc2_ain8 &lt;= '1';</t>
  </si>
  <si>
    <t>rmap_registers_wr_o.aeb1_gcfg_adc2_config.adc2_ref &lt;= '0';</t>
  </si>
  <si>
    <t>rmap_registers_wr_o.aeb1_gcfg_adc2_config.adc2_gain &lt;= '0';</t>
  </si>
  <si>
    <t>rmap_registers_wr_o.aeb1_gcfg_adc2_config.adc2_temp &lt;= '0';</t>
  </si>
  <si>
    <t>rmap_registers_wr_o.aeb1_gcfg_adc2_config.adc2_vcc &lt;= '0';</t>
  </si>
  <si>
    <t>rmap_registers_wr_o.aeb1_gcfg_adc2_config.adc2_offset &lt;= '0';</t>
  </si>
  <si>
    <t>rmap_registers_wr_o.aeb1_gcfg_adc2_config.adc2_cio7 &lt;= '0';</t>
  </si>
  <si>
    <t>rmap_registers_wr_o.aeb1_gcfg_adc2_config.adc2_cio6 &lt;= '0';</t>
  </si>
  <si>
    <t>rmap_registers_wr_o.aeb1_gcfg_adc2_config.adc2_cio5 &lt;= '0';</t>
  </si>
  <si>
    <t>rmap_registers_wr_o.aeb1_gcfg_adc2_config.adc2_cio4 &lt;= '0';</t>
  </si>
  <si>
    <t>rmap_registers_wr_o.aeb1_gcfg_adc2_config.adc2_cio3 &lt;= '0';</t>
  </si>
  <si>
    <t>rmap_registers_wr_o.aeb1_gcfg_adc2_config.adc2_cio2 &lt;= '0';</t>
  </si>
  <si>
    <t>rmap_registers_wr_o.aeb1_gcfg_adc2_config.adc2_cio1 &lt;= '0';</t>
  </si>
  <si>
    <t>rmap_registers_wr_o.aeb1_gcfg_adc2_config.adc2_cio0 &lt;= '0';</t>
  </si>
  <si>
    <t>rmap_registers_wr_o.aeb1_gcfg_adc2_config.adc2_dio7 &lt;= '0';</t>
  </si>
  <si>
    <t>rmap_registers_wr_o.aeb1_gcfg_adc2_config.adc2_dio6 &lt;= '0';</t>
  </si>
  <si>
    <t>rmap_registers_wr_o.aeb1_gcfg_adc2_config.adc2_dio5 &lt;= '0';</t>
  </si>
  <si>
    <t>rmap_registers_wr_o.aeb1_gcfg_adc2_config.adc2_dio4 &lt;= '0';</t>
  </si>
  <si>
    <t>rmap_registers_wr_o.aeb1_gcfg_adc2_config.adc2_dio3 &lt;= '0';</t>
  </si>
  <si>
    <t>rmap_registers_wr_o.aeb1_gcfg_adc2_config.adc2_dio2 &lt;= '0';</t>
  </si>
  <si>
    <t>rmap_registers_wr_o.aeb1_gcfg_adc2_config.adc2_dio1 &lt;= '0';</t>
  </si>
  <si>
    <t>rmap_registers_wr_o.aeb1_gcfg_adc2_config.adc2_dio0 &lt;= '0';</t>
  </si>
  <si>
    <t>rmap_registers_wr_o.aeb1_gcfg_seq_config.seq_oe &lt;= (others =&gt; '0');</t>
  </si>
  <si>
    <t>rmap_registers_wr_o.aeb1_gcfg_seq_config.adc_clk_div &lt;= (others =&gt; '0');</t>
  </si>
  <si>
    <t>rmap_registers_wr_o.aeb1_gcfg_seq_config.cds_clk_low_pos &lt;= (others =&gt; '0');</t>
  </si>
  <si>
    <t>rmap_registers_wr_o.aeb1_gcfg_seq_config.cds_clk_high_pos &lt;= (others =&gt; '0');</t>
  </si>
  <si>
    <t>rmap_registers_wr_o.aeb1_gcfg_seq_config.rphir_clk_low_pos &lt;= (others =&gt; '0');</t>
  </si>
  <si>
    <t>rmap_registers_wr_o.aeb1_gcfg_seq_config.rphir_clk_high_pos &lt;= (others =&gt; '0');</t>
  </si>
  <si>
    <t>rmap_registers_wr_o.aeb1_gcfg_seq_config.ft_loop_cnt &lt;= (others =&gt; '0');</t>
  </si>
  <si>
    <t>rmap_registers_wr_o.aeb1_gcfg_seq_config.lt0_enabled &lt;= '0';</t>
  </si>
  <si>
    <t>rmap_registers_wr_o.aeb1_gcfg_seq_config.lt0_pixreadout &lt;= '0';</t>
  </si>
  <si>
    <t>rmap_registers_wr_o.aeb1_gcfg_seq_config.lt0_loop_cnt &lt;= (others =&gt; '0');</t>
  </si>
  <si>
    <t>rmap_registers_wr_o.aeb1_gcfg_seq_config.lt1_enabled &lt;= '0';</t>
  </si>
  <si>
    <t>rmap_registers_wr_o.aeb1_gcfg_seq_config.lt1_pixreadout &lt;= '0';</t>
  </si>
  <si>
    <t>rmap_registers_wr_o.aeb1_gcfg_seq_config.lt1_loop_cnt &lt;= (others =&gt; '0');</t>
  </si>
  <si>
    <t>rmap_registers_wr_o.aeb1_gcfg_seq_config.lt2_enabled &lt;= '0';</t>
  </si>
  <si>
    <t>rmap_registers_wr_o.aeb1_gcfg_seq_config.lt2_pixreadout &lt;= '0';</t>
  </si>
  <si>
    <t>rmap_registers_wr_o.aeb1_gcfg_seq_config.lt2_loop_cnt &lt;= (others =&gt; '0');</t>
  </si>
  <si>
    <t>rmap_registers_wr_o.aeb1_gcfg_seq_config.lt3_enabled &lt;= '0';</t>
  </si>
  <si>
    <t>rmap_registers_wr_o.aeb1_gcfg_seq_config.lt3_pixreadout &lt;= '0';</t>
  </si>
  <si>
    <t>rmap_registers_wr_o.aeb1_gcfg_seq_config.lt3_loop_cnt &lt;= (others =&gt; '0');</t>
  </si>
  <si>
    <t>rmap_registers_wr_o.aeb1_gcfg_seq_config.pix_loop_cnt &lt;= (others =&gt; '0');</t>
  </si>
  <si>
    <t>rmap_registers_wr_o.aeb1_gcfg_seq_config.pc_enabled &lt;= '0';</t>
  </si>
  <si>
    <t>rmap_registers_wr_o.aeb1_gcfg_seq_config.pc_loop_cnt &lt;= (others =&gt; '0');</t>
  </si>
  <si>
    <t>rmap_registers_wr_o.aeb1_gcfg_seq_config.int1_loop_cnt &lt;= (others =&gt; '0');</t>
  </si>
  <si>
    <t>rmap_registers_wr_o.aeb1_gcfg_seq_config.int2_loop_cnt &lt;= (others =&gt; '0');</t>
  </si>
  <si>
    <t xml:space="preserve">-- AEB 1 Housekeeping Area : </t>
  </si>
  <si>
    <t>rmap_registers_wr_o.aeb1_hk_aeb_status.aeb_state &lt;= (others =&gt; '0');</t>
  </si>
  <si>
    <t>rmap_registers_wr_o.aeb1_hk_aeb_status.vasp2_cfg_run &lt;= '0';</t>
  </si>
  <si>
    <t>rmap_registers_wr_o.aeb1_hk_aeb_status.vasp1_cfg_run &lt;= '0';</t>
  </si>
  <si>
    <t>rmap_registers_wr_o.aeb1_hk_aeb_status.dac_cfg_w_run &lt;= '0';</t>
  </si>
  <si>
    <t>rmap_registers_wr_o.aeb1_hk_aeb_status.adc_cfg_rd_run &lt;= '0';</t>
  </si>
  <si>
    <t>rmap_registers_wr_o.aeb1_hk_aeb_status.adc_cfg_wr_run &lt;= '0';</t>
  </si>
  <si>
    <t>rmap_registers_wr_o.aeb1_hk_aeb_status.adc_dat_rd_run &lt;= '0';</t>
  </si>
  <si>
    <t>rmap_registers_wr_o.aeb1_hk_aeb_status.adc_error &lt;= '0';</t>
  </si>
  <si>
    <t>rmap_registers_wr_o.aeb1_hk_aeb_status.adc2_lu &lt;= '0';</t>
  </si>
  <si>
    <t>rmap_registers_wr_o.aeb1_hk_aeb_status.adc1_lu &lt;= '0';</t>
  </si>
  <si>
    <t>rmap_registers_wr_o.aeb1_hk_aeb_status.adc_dat_rd &lt;= '0';</t>
  </si>
  <si>
    <t>rmap_registers_wr_o.aeb1_hk_aeb_status.adc_cfg_rd &lt;= '0';</t>
  </si>
  <si>
    <t>rmap_registers_wr_o.aeb1_hk_aeb_status.adc_cfg_wr &lt;= '0';</t>
  </si>
  <si>
    <t>rmap_registers_wr_o.aeb1_hk_aeb_status.adc2_busy &lt;= '0';</t>
  </si>
  <si>
    <t>rmap_registers_wr_o.aeb1_hk_aeb_status.adc1_busy &lt;= '0';</t>
  </si>
  <si>
    <t>rmap_registers_wr_o.aeb1_hk_aeb_status.frame_counter &lt;= (others =&gt; '0');</t>
  </si>
  <si>
    <t>rmap_registers_wr_o.aeb1_hk_timestamp.timestamp_1 &lt;= (others =&gt; '0');</t>
  </si>
  <si>
    <t>rmap_registers_wr_o.aeb1_hk_timestamp.timestamp_0 &lt;= (others =&gt; '0');</t>
  </si>
  <si>
    <t>rmap_registers_wr_o.aeb1_hk_adc_rd_data.adc_rd_data_18 &lt;= (others =&gt; '0');</t>
  </si>
  <si>
    <t>rmap_registers_wr_o.aeb1_hk_adc_rd_data.adc_rd_data_17 &lt;= (others =&gt; '0');</t>
  </si>
  <si>
    <t>rmap_registers_wr_o.aeb1_hk_adc_rd_data.adc_rd_data_16 &lt;= (others =&gt; '0');</t>
  </si>
  <si>
    <t>rmap_registers_wr_o.aeb1_hk_adc_rd_data.adc_rd_data_15 &lt;= (others =&gt; '0');</t>
  </si>
  <si>
    <t>rmap_registers_wr_o.aeb1_hk_adc_rd_data.adc_rd_data_14 &lt;= (others =&gt; '0');</t>
  </si>
  <si>
    <t>rmap_registers_wr_o.aeb1_hk_adc_rd_data.adc_rd_data_13 &lt;= (others =&gt; '0');</t>
  </si>
  <si>
    <t>rmap_registers_wr_o.aeb1_hk_adc_rd_data.adc_rd_data_12 &lt;= (others =&gt; '0');</t>
  </si>
  <si>
    <t>rmap_registers_wr_o.aeb1_hk_adc_rd_data.adc_rd_data_11 &lt;= (others =&gt; '0');</t>
  </si>
  <si>
    <t>rmap_registers_wr_o.aeb1_hk_adc_rd_data.adc_rd_data_10 &lt;= (others =&gt; '0');</t>
  </si>
  <si>
    <t>rmap_registers_wr_o.aeb1_hk_adc_rd_data.adc_rd_data_9 &lt;= (others =&gt; '0');</t>
  </si>
  <si>
    <t>rmap_registers_wr_o.aeb1_hk_adc_rd_data.adc_rd_data_8 &lt;= (others =&gt; '0');</t>
  </si>
  <si>
    <t>rmap_registers_wr_o.aeb1_hk_adc_rd_data.adc_rd_data_7 &lt;= (others =&gt; '0');</t>
  </si>
  <si>
    <t>rmap_registers_wr_o.aeb1_hk_adc_rd_data.adc_rd_data_6 &lt;= (others =&gt; '0');</t>
  </si>
  <si>
    <t>rmap_registers_wr_o.aeb1_hk_adc_rd_data.adc_rd_data_5 &lt;= (others =&gt; '0');</t>
  </si>
  <si>
    <t>rmap_registers_wr_o.aeb1_hk_adc_rd_data.adc_rd_data_4 &lt;= (others =&gt; '0');</t>
  </si>
  <si>
    <t>rmap_registers_wr_o.aeb1_hk_adc_rd_data.adc_rd_data_3 &lt;= (others =&gt; '0');</t>
  </si>
  <si>
    <t>rmap_registers_wr_o.aeb1_hk_adc_rd_data.adc_rd_data_2 &lt;= (others =&gt; '0');</t>
  </si>
  <si>
    <t>rmap_registers_wr_o.aeb1_hk_adc_rd_data.adc_rd_data_1 &lt;= (others =&gt; '0');</t>
  </si>
  <si>
    <t>rmap_registers_wr_o.aeb1_hk_adc_rd_data.adc_rd_data_0 &lt;= (others =&gt; '0');</t>
  </si>
  <si>
    <t>rmap_registers_wr_o.aeb1_hk_adc1_rd_config.adc1_rd_config_3 &lt;= (others =&gt; '0');</t>
  </si>
  <si>
    <t>rmap_registers_wr_o.aeb1_hk_adc1_rd_config.adc1_rd_config_2 &lt;= (others =&gt; '0');</t>
  </si>
  <si>
    <t>rmap_registers_wr_o.aeb1_hk_adc1_rd_config.adc1_rd_config_1 &lt;= (others =&gt; '0');</t>
  </si>
  <si>
    <t>rmap_registers_wr_o.aeb1_hk_adc1_rd_config.adc1_rd_config_0 &lt;= (others =&gt; '0');</t>
  </si>
  <si>
    <t>rmap_registers_wr_o.aeb1_hk_adc2_rd_config.adc2_rd_config_3 &lt;= (others =&gt; '0');</t>
  </si>
  <si>
    <t>rmap_registers_wr_o.aeb1_hk_adc2_rd_config.adc2_rd_config_2 &lt;= (others =&gt; '0');</t>
  </si>
  <si>
    <t>rmap_registers_wr_o.aeb1_hk_adc2_rd_config.adc2_rd_config_1 &lt;= (others =&gt; '0');</t>
  </si>
  <si>
    <t>rmap_registers_wr_o.aeb1_hk_adc2_rd_config.adc2_rd_config_0 &lt;= (others =&gt; '0');</t>
  </si>
  <si>
    <t>rmap_registers_wr_o.aeb1_hk_vasp_rd_config.vasp1_read_data &lt;= (others =&gt; '0');</t>
  </si>
  <si>
    <t>rmap_registers_wr_o.aeb1_hk_vasp_rd_config.vasp2_read_data &lt;= (others =&gt; '0');</t>
  </si>
  <si>
    <t>rmap_registers_wr_o.aeb1_hk_revision_id.fpga_ver &lt;= (others =&gt; '0');</t>
  </si>
  <si>
    <t>rmap_registers_wr_o.aeb1_hk_revision_id.fpga_date &lt;= (others =&gt; '0');</t>
  </si>
  <si>
    <t>rmap_registers_wr_o.aeb1_hk_revision_id.fpga_time &lt;= (others =&gt; '0');</t>
  </si>
  <si>
    <t>rmap_registers_wr_o.aeb1_hk_revision_id.fpga_svn &lt;= (others =&gt; '0');</t>
  </si>
  <si>
    <t xml:space="preserve">-- AEB 2 Critical Configuration Area : </t>
  </si>
  <si>
    <t>rmap_registers_wr_o.aeb2_ccfg_aeb_control.new_state &lt;= (others =&gt; '0');</t>
  </si>
  <si>
    <t>rmap_registers_wr_o.aeb2_ccfg_aeb_control.set_state &lt;= '0';</t>
  </si>
  <si>
    <t>rmap_registers_wr_o.aeb2_ccfg_aeb_control.aeb_reset &lt;= '0';</t>
  </si>
  <si>
    <t>rmap_registers_wr_o.aeb2_ccfg_aeb_control.adc_data_rd &lt;= '0';</t>
  </si>
  <si>
    <t>rmap_registers_wr_o.aeb2_ccfg_aeb_control.adc_cfg_wr &lt;= '0';</t>
  </si>
  <si>
    <t>rmap_registers_wr_o.aeb2_ccfg_aeb_control.adc_cfg_rd &lt;= '0';</t>
  </si>
  <si>
    <t>rmap_registers_wr_o.aeb2_ccfg_aeb_control.dac_wr &lt;= '0';</t>
  </si>
  <si>
    <t>rmap_registers_wr_o.aeb2_ccfg_aeb_config.watchdog_dis &lt;= '0';</t>
  </si>
  <si>
    <t>rmap_registers_wr_o.aeb2_ccfg_aeb_config.int_sync &lt;= '0';</t>
  </si>
  <si>
    <t>rmap_registers_wr_o.aeb2_ccfg_aeb_config.vasp_cds_en &lt;= '0';</t>
  </si>
  <si>
    <t>rmap_registers_wr_o.aeb2_ccfg_aeb_config.vasp2_cal_en &lt;= '0';</t>
  </si>
  <si>
    <t>rmap_registers_wr_o.aeb2_ccfg_aeb_config.vasp1_cal_en &lt;= '0';</t>
  </si>
  <si>
    <t>rmap_registers_wr_o.aeb2_ccfg_aeb_config_key.key &lt;= (others =&gt; '0');</t>
  </si>
  <si>
    <t>rmap_registers_wr_o.aeb2_ccfg_aeb_config_ait1.override_sw &lt;= '0';</t>
  </si>
  <si>
    <t>rmap_registers_wr_o.aeb2_ccfg_aeb_config_ait1.sw_van3 &lt;= '0';</t>
  </si>
  <si>
    <t>rmap_registers_wr_o.aeb2_ccfg_aeb_config_ait1.sw_van2 &lt;= '0';</t>
  </si>
  <si>
    <t>rmap_registers_wr_o.aeb2_ccfg_aeb_config_ait1.sw_van1 &lt;= '0';</t>
  </si>
  <si>
    <t>rmap_registers_wr_o.aeb2_ccfg_aeb_config_ait1.sw_vclk &lt;= '0';</t>
  </si>
  <si>
    <t>rmap_registers_wr_o.aeb2_ccfg_aeb_config_ait1.sw_vccd &lt;= '0';</t>
  </si>
  <si>
    <t>rmap_registers_wr_o.aeb2_ccfg_aeb_config_ait1.override_vasp &lt;= '0';</t>
  </si>
  <si>
    <t>rmap_registers_wr_o.aeb2_ccfg_aeb_config_ait1.vasp2_pix_en &lt;= '0';</t>
  </si>
  <si>
    <t>rmap_registers_wr_o.aeb2_ccfg_aeb_config_ait1.vasp1_pix_en &lt;= '0';</t>
  </si>
  <si>
    <t>rmap_registers_wr_o.aeb2_ccfg_aeb_config_ait1.vasp2_adc_en &lt;= '0';</t>
  </si>
  <si>
    <t>rmap_registers_wr_o.aeb2_ccfg_aeb_config_ait1.vasp1_adc_en &lt;= '0';</t>
  </si>
  <si>
    <t>rmap_registers_wr_o.aeb2_ccfg_aeb_config_ait1.vasp2_reset &lt;= '0';</t>
  </si>
  <si>
    <t>rmap_registers_wr_o.aeb2_ccfg_aeb_config_ait1.vasp1_reset &lt;= '0';</t>
  </si>
  <si>
    <t>rmap_registers_wr_o.aeb2_ccfg_aeb_config_ait1.override_adc &lt;= '0';</t>
  </si>
  <si>
    <t>rmap_registers_wr_o.aeb2_ccfg_aeb_config_ait1.adc2_en_p5v0 &lt;= '0';</t>
  </si>
  <si>
    <t>rmap_registers_wr_o.aeb2_ccfg_aeb_config_ait1.adc1_en_p5v0 &lt;= '0';</t>
  </si>
  <si>
    <t>rmap_registers_wr_o.aeb2_ccfg_aeb_config_ait1.pt1000_cal_on_n &lt;= '0';</t>
  </si>
  <si>
    <t>rmap_registers_wr_o.aeb2_ccfg_aeb_config_ait1.en_v_mux_n &lt;= '0';</t>
  </si>
  <si>
    <t>rmap_registers_wr_o.aeb2_ccfg_aeb_config_ait1.adc2_pwdn_n &lt;= '0';</t>
  </si>
  <si>
    <t>rmap_registers_wr_o.aeb2_ccfg_aeb_config_ait1.adc1_pwdn_n &lt;= '0';</t>
  </si>
  <si>
    <t>rmap_registers_wr_o.aeb2_ccfg_aeb_config_ait1.adc_clk_en &lt;= '0';</t>
  </si>
  <si>
    <t>rmap_registers_wr_o.aeb2_ccfg_aeb_config_pattern.pattern_ccdid &lt;= (others =&gt; '0');</t>
  </si>
  <si>
    <t>rmap_registers_wr_o.aeb2_ccfg_aeb_config_pattern.pattern_cols &lt;= (others =&gt; '0');</t>
  </si>
  <si>
    <t>rmap_registers_wr_o.aeb2_ccfg_aeb_config_pattern.pattern_rows &lt;= (others =&gt; '0');</t>
  </si>
  <si>
    <t>rmap_registers_wr_o.aeb2_ccfg_vasp_i2c_control.vasp_cfg_addr &lt;= (others =&gt; '0');</t>
  </si>
  <si>
    <t>rmap_registers_wr_o.aeb2_ccfg_vasp_i2c_control.vasp1_cfg_data &lt;= (others =&gt; '0');</t>
  </si>
  <si>
    <t>rmap_registers_wr_o.aeb2_ccfg_vasp_i2c_control.vasp2_cfg_data &lt;= (others =&gt; '0');</t>
  </si>
  <si>
    <t>rmap_registers_wr_o.aeb2_ccfg_vasp_i2c_control.vasp2_select &lt;= '0';</t>
  </si>
  <si>
    <t>rmap_registers_wr_o.aeb2_ccfg_vasp_i2c_control.vasp1_select &lt;= '0';</t>
  </si>
  <si>
    <t>rmap_registers_wr_o.aeb2_ccfg_vasp_i2c_control.calibration_start &lt;= '0';</t>
  </si>
  <si>
    <t>rmap_registers_wr_o.aeb2_ccfg_vasp_i2c_control.i2c_read_start &lt;= '0';</t>
  </si>
  <si>
    <t>rmap_registers_wr_o.aeb2_ccfg_vasp_i2c_control.i2c_write_start &lt;= '0';</t>
  </si>
  <si>
    <t>rmap_registers_wr_o.aeb2_ccfg_dac_config_1.dac_vog &lt;= (others =&gt; '0');</t>
  </si>
  <si>
    <t>rmap_registers_wr_o.aeb2_ccfg_dac_config_1.dac_vrd &lt;= (others =&gt; '0');</t>
  </si>
  <si>
    <t>rmap_registers_wr_o.aeb2_ccfg_dac_config_2.dac_vod &lt;= (others =&gt; '0');</t>
  </si>
  <si>
    <t>rmap_registers_wr_o.aeb2_ccfg_pwr_config1.time_vccd_on &lt;= (others =&gt; '0');</t>
  </si>
  <si>
    <t>rmap_registers_wr_o.aeb2_ccfg_pwr_config1.time_vclk_on &lt;= (others =&gt; '0');</t>
  </si>
  <si>
    <t>rmap_registers_wr_o.aeb2_ccfg_pwr_config1.time_van1_on &lt;= (others =&gt; '0');</t>
  </si>
  <si>
    <t>rmap_registers_wr_o.aeb2_ccfg_pwr_config1.time_van2_on &lt;= (others =&gt; '0');</t>
  </si>
  <si>
    <t>rmap_registers_wr_o.aeb2_ccfg_pwr_config2.time_van3_on &lt;= (others =&gt; '0');</t>
  </si>
  <si>
    <t>rmap_registers_wr_o.aeb2_ccfg_pwr_config2.time_vccd_off &lt;= (others =&gt; '0');</t>
  </si>
  <si>
    <t>rmap_registers_wr_o.aeb2_ccfg_pwr_config2.time_vclk_off &lt;= (others =&gt; '0');</t>
  </si>
  <si>
    <t>rmap_registers_wr_o.aeb2_ccfg_pwr_config2.time_van1_off &lt;= (others =&gt; '0');</t>
  </si>
  <si>
    <t>rmap_registers_wr_o.aeb2_ccfg_pwr_config3.time_van2_off &lt;= (others =&gt; '0');</t>
  </si>
  <si>
    <t>rmap_registers_wr_o.aeb2_ccfg_pwr_config3.time_van3_off &lt;= (others =&gt; '0');</t>
  </si>
  <si>
    <t xml:space="preserve">-- AEB 2 General Configuration Area : </t>
  </si>
  <si>
    <t>rmap_registers_wr_o.aeb2_gcfg_adc1_config.adc1_bypas &lt;= '0';</t>
  </si>
  <si>
    <t>rmap_registers_wr_o.aeb2_gcfg_adc1_config.adc1_clkenb &lt;= '1';</t>
  </si>
  <si>
    <t>rmap_registers_wr_o.aeb2_gcfg_adc1_config.adc1_chop &lt;= '0';</t>
  </si>
  <si>
    <t>rmap_registers_wr_o.aeb2_gcfg_adc1_config.adc1_stat &lt;= '1';</t>
  </si>
  <si>
    <t>rmap_registers_wr_o.aeb2_gcfg_adc1_config.adc1_idlmod &lt;= '0';</t>
  </si>
  <si>
    <t>rmap_registers_wr_o.aeb2_gcfg_adc1_config.adc1_dly2 &lt;= '1';</t>
  </si>
  <si>
    <t>rmap_registers_wr_o.aeb2_gcfg_adc1_config.adc1_dly1 &lt;= '1';</t>
  </si>
  <si>
    <t>rmap_registers_wr_o.aeb2_gcfg_adc1_config.adc1_dly0 &lt;= '1';</t>
  </si>
  <si>
    <t>rmap_registers_wr_o.aeb2_gcfg_adc1_config.adc1_sbcs1 &lt;= '0';</t>
  </si>
  <si>
    <t>rmap_registers_wr_o.aeb2_gcfg_adc1_config.adc1_sbcs0 &lt;= '0';</t>
  </si>
  <si>
    <t>rmap_registers_wr_o.aeb2_gcfg_adc1_config.adc1_drate1 &lt;= '0';</t>
  </si>
  <si>
    <t>rmap_registers_wr_o.aeb2_gcfg_adc1_config.adc1_drate0 &lt;= '0';</t>
  </si>
  <si>
    <t>rmap_registers_wr_o.aeb2_gcfg_adc1_config.adc1_ainp3 &lt;= '0';</t>
  </si>
  <si>
    <t>rmap_registers_wr_o.aeb2_gcfg_adc1_config.adc1_ainp2 &lt;= '0';</t>
  </si>
  <si>
    <t>rmap_registers_wr_o.aeb2_gcfg_adc1_config.adc1_ainp1 &lt;= '0';</t>
  </si>
  <si>
    <t>rmap_registers_wr_o.aeb2_gcfg_adc1_config.adc1_ainp0 &lt;= '0';</t>
  </si>
  <si>
    <t>rmap_registers_wr_o.aeb2_gcfg_adc1_config.adc1_ainn3 &lt;= '0';</t>
  </si>
  <si>
    <t>rmap_registers_wr_o.aeb2_gcfg_adc1_config.adc1_ainn2 &lt;= '0';</t>
  </si>
  <si>
    <t>rmap_registers_wr_o.aeb2_gcfg_adc1_config.adc1_ainn1 &lt;= '0';</t>
  </si>
  <si>
    <t>rmap_registers_wr_o.aeb2_gcfg_adc1_config.adc1_ainn0 &lt;= '0';</t>
  </si>
  <si>
    <t>rmap_registers_wr_o.aeb2_gcfg_adc1_config.adc1_diff7 &lt;= '1';</t>
  </si>
  <si>
    <t>rmap_registers_wr_o.aeb2_gcfg_adc1_config.adc1_diff6 &lt;= '1';</t>
  </si>
  <si>
    <t>rmap_registers_wr_o.aeb2_gcfg_adc1_config.adc1_diff5 &lt;= '0';</t>
  </si>
  <si>
    <t>rmap_registers_wr_o.aeb2_gcfg_adc1_config.adc1_diff4 &lt;= '0';</t>
  </si>
  <si>
    <t>rmap_registers_wr_o.aeb2_gcfg_adc1_config.adc1_diff3 &lt;= '1';</t>
  </si>
  <si>
    <t>rmap_registers_wr_o.aeb2_gcfg_adc1_config.adc1_diff2 &lt;= '1';</t>
  </si>
  <si>
    <t>rmap_registers_wr_o.aeb2_gcfg_adc1_config.adc1_diff1 &lt;= '1';</t>
  </si>
  <si>
    <t>rmap_registers_wr_o.aeb2_gcfg_adc1_config.adc1_diff0 &lt;= '1';</t>
  </si>
  <si>
    <t>rmap_registers_wr_o.aeb2_gcfg_adc1_config.adc1_ain7 &lt;= '0';</t>
  </si>
  <si>
    <t>rmap_registers_wr_o.aeb2_gcfg_adc1_config.adc1_ain6 &lt;= '0';</t>
  </si>
  <si>
    <t>rmap_registers_wr_o.aeb2_gcfg_adc1_config.adc1_ain5 &lt;= '0';</t>
  </si>
  <si>
    <t>rmap_registers_wr_o.aeb2_gcfg_adc1_config.adc1_ain4 &lt;= '0';</t>
  </si>
  <si>
    <t>rmap_registers_wr_o.aeb2_gcfg_adc1_config.adc1_ain3 &lt;= '0';</t>
  </si>
  <si>
    <t>rmap_registers_wr_o.aeb2_gcfg_adc1_config.adc1_ain2 &lt;= '0';</t>
  </si>
  <si>
    <t>rmap_registers_wr_o.aeb2_gcfg_adc1_config.adc1_ain1 &lt;= '0';</t>
  </si>
  <si>
    <t>rmap_registers_wr_o.aeb2_gcfg_adc1_config.adc1_ain0 &lt;= '0';</t>
  </si>
  <si>
    <t>rmap_registers_wr_o.aeb2_gcfg_adc1_config.adc1_ain15 &lt;= '0';</t>
  </si>
  <si>
    <t>rmap_registers_wr_o.aeb2_gcfg_adc1_config.adc1_ain14 &lt;= '0';</t>
  </si>
  <si>
    <t>rmap_registers_wr_o.aeb2_gcfg_adc1_config.adc1_ain13 &lt;= '0';</t>
  </si>
  <si>
    <t>rmap_registers_wr_o.aeb2_gcfg_adc1_config.adc1_ain12 &lt;= '0';</t>
  </si>
  <si>
    <t>rmap_registers_wr_o.aeb2_gcfg_adc1_config.adc1_ain11 &lt;= '1';</t>
  </si>
  <si>
    <t>rmap_registers_wr_o.aeb2_gcfg_adc1_config.adc1_ain10 &lt;= '1';</t>
  </si>
  <si>
    <t>rmap_registers_wr_o.aeb2_gcfg_adc1_config.adc1_ain9 &lt;= '1';</t>
  </si>
  <si>
    <t>rmap_registers_wr_o.aeb2_gcfg_adc1_config.adc1_ain8 &lt;= '1';</t>
  </si>
  <si>
    <t>rmap_registers_wr_o.aeb2_gcfg_adc1_config.adc1_ref &lt;= '0';</t>
  </si>
  <si>
    <t>rmap_registers_wr_o.aeb2_gcfg_adc1_config.adc1_gain &lt;= '0';</t>
  </si>
  <si>
    <t>rmap_registers_wr_o.aeb2_gcfg_adc1_config.adc1_temp &lt;= '0';</t>
  </si>
  <si>
    <t>rmap_registers_wr_o.aeb2_gcfg_adc1_config.adc1_vcc &lt;= '0';</t>
  </si>
  <si>
    <t>rmap_registers_wr_o.aeb2_gcfg_adc1_config.adc1_offset &lt;= '0';</t>
  </si>
  <si>
    <t>rmap_registers_wr_o.aeb2_gcfg_adc1_config.adc1_cio7 &lt;= '0';</t>
  </si>
  <si>
    <t>rmap_registers_wr_o.aeb2_gcfg_adc1_config.adc1_cio6 &lt;= '0';</t>
  </si>
  <si>
    <t>rmap_registers_wr_o.aeb2_gcfg_adc1_config.adc1_cio5 &lt;= '0';</t>
  </si>
  <si>
    <t>rmap_registers_wr_o.aeb2_gcfg_adc1_config.adc1_cio4 &lt;= '0';</t>
  </si>
  <si>
    <t>rmap_registers_wr_o.aeb2_gcfg_adc1_config.adc1_cio3 &lt;= '0';</t>
  </si>
  <si>
    <t>rmap_registers_wr_o.aeb2_gcfg_adc1_config.adc1_cio2 &lt;= '0';</t>
  </si>
  <si>
    <t>rmap_registers_wr_o.aeb2_gcfg_adc1_config.adc1_cio1 &lt;= '0';</t>
  </si>
  <si>
    <t>rmap_registers_wr_o.aeb2_gcfg_adc1_config.adc1_cio0 &lt;= '0';</t>
  </si>
  <si>
    <t>rmap_registers_wr_o.aeb2_gcfg_adc1_config.adc1_dio7 &lt;= '0';</t>
  </si>
  <si>
    <t>rmap_registers_wr_o.aeb2_gcfg_adc1_config.adc1_dio6 &lt;= '0';</t>
  </si>
  <si>
    <t>rmap_registers_wr_o.aeb2_gcfg_adc1_config.adc1_dio5 &lt;= '0';</t>
  </si>
  <si>
    <t>rmap_registers_wr_o.aeb2_gcfg_adc1_config.adc1_dio4 &lt;= '0';</t>
  </si>
  <si>
    <t>rmap_registers_wr_o.aeb2_gcfg_adc1_config.adc1_dio3 &lt;= '0';</t>
  </si>
  <si>
    <t>rmap_registers_wr_o.aeb2_gcfg_adc1_config.adc1_dio2 &lt;= '0';</t>
  </si>
  <si>
    <t>rmap_registers_wr_o.aeb2_gcfg_adc1_config.adc1_dio1 &lt;= '0';</t>
  </si>
  <si>
    <t>rmap_registers_wr_o.aeb2_gcfg_adc1_config.adc1_dio0 &lt;= '0';</t>
  </si>
  <si>
    <t>rmap_registers_wr_o.aeb2_gcfg_adc2_config.adc2_bypas &lt;= '0';</t>
  </si>
  <si>
    <t>rmap_registers_wr_o.aeb2_gcfg_adc2_config.adc2_clkenb &lt;= '1';</t>
  </si>
  <si>
    <t>rmap_registers_wr_o.aeb2_gcfg_adc2_config.adc2_chop &lt;= '0';</t>
  </si>
  <si>
    <t>rmap_registers_wr_o.aeb2_gcfg_adc2_config.adc2_stat &lt;= '1';</t>
  </si>
  <si>
    <t>rmap_registers_wr_o.aeb2_gcfg_adc2_config.adc2_idlmod &lt;= '0';</t>
  </si>
  <si>
    <t>rmap_registers_wr_o.aeb2_gcfg_adc2_config.adc2_dly2 &lt;= '1';</t>
  </si>
  <si>
    <t>rmap_registers_wr_o.aeb2_gcfg_adc2_config.adc2_dly1 &lt;= '1';</t>
  </si>
  <si>
    <t>rmap_registers_wr_o.aeb2_gcfg_adc2_config.adc2_dly0 &lt;= '1';</t>
  </si>
  <si>
    <t>rmap_registers_wr_o.aeb2_gcfg_adc2_config.adc2_sbcs1 &lt;= '0';</t>
  </si>
  <si>
    <t>rmap_registers_wr_o.aeb2_gcfg_adc2_config.adc2_sbcs0 &lt;= '0';</t>
  </si>
  <si>
    <t>rmap_registers_wr_o.aeb2_gcfg_adc2_config.adc2_drate1 &lt;= '0';</t>
  </si>
  <si>
    <t>rmap_registers_wr_o.aeb2_gcfg_adc2_config.adc2_drate0 &lt;= '0';</t>
  </si>
  <si>
    <t>rmap_registers_wr_o.aeb2_gcfg_adc2_config.adc2_ainp3 &lt;= '0';</t>
  </si>
  <si>
    <t>rmap_registers_wr_o.aeb2_gcfg_adc2_config.adc2_ainp2 &lt;= '0';</t>
  </si>
  <si>
    <t>rmap_registers_wr_o.aeb2_gcfg_adc2_config.adc2_ainp1 &lt;= '0';</t>
  </si>
  <si>
    <t>rmap_registers_wr_o.aeb2_gcfg_adc2_config.adc2_ainp0 &lt;= '0';</t>
  </si>
  <si>
    <t>rmap_registers_wr_o.aeb2_gcfg_adc2_config.adc2_ainn3 &lt;= '0';</t>
  </si>
  <si>
    <t>rmap_registers_wr_o.aeb2_gcfg_adc2_config.adc2_ainn2 &lt;= '0';</t>
  </si>
  <si>
    <t>rmap_registers_wr_o.aeb2_gcfg_adc2_config.adc2_ainn1 &lt;= '0';</t>
  </si>
  <si>
    <t>rmap_registers_wr_o.aeb2_gcfg_adc2_config.adc2_ainn0 &lt;= '0';</t>
  </si>
  <si>
    <t>rmap_registers_wr_o.aeb2_gcfg_adc2_config.adc2_diff7 &lt;= '1';</t>
  </si>
  <si>
    <t>rmap_registers_wr_o.aeb2_gcfg_adc2_config.adc2_diff6 &lt;= '1';</t>
  </si>
  <si>
    <t>rmap_registers_wr_o.aeb2_gcfg_adc2_config.adc2_diff5 &lt;= '0';</t>
  </si>
  <si>
    <t>rmap_registers_wr_o.aeb2_gcfg_adc2_config.adc2_diff4 &lt;= '0';</t>
  </si>
  <si>
    <t>rmap_registers_wr_o.aeb2_gcfg_adc2_config.adc2_diff3 &lt;= '1';</t>
  </si>
  <si>
    <t>rmap_registers_wr_o.aeb2_gcfg_adc2_config.adc2_diff2 &lt;= '1';</t>
  </si>
  <si>
    <t>rmap_registers_wr_o.aeb2_gcfg_adc2_config.adc2_diff1 &lt;= '1';</t>
  </si>
  <si>
    <t>rmap_registers_wr_o.aeb2_gcfg_adc2_config.adc2_diff0 &lt;= '1';</t>
  </si>
  <si>
    <t>rmap_registers_wr_o.aeb2_gcfg_adc2_config.adc2_ain7 &lt;= '0';</t>
  </si>
  <si>
    <t>rmap_registers_wr_o.aeb2_gcfg_adc2_config.adc2_ain6 &lt;= '0';</t>
  </si>
  <si>
    <t>rmap_registers_wr_o.aeb2_gcfg_adc2_config.adc2_ain5 &lt;= '0';</t>
  </si>
  <si>
    <t>rmap_registers_wr_o.aeb2_gcfg_adc2_config.adc2_ain4 &lt;= '0';</t>
  </si>
  <si>
    <t>rmap_registers_wr_o.aeb2_gcfg_adc2_config.adc2_ain3 &lt;= '0';</t>
  </si>
  <si>
    <t>rmap_registers_wr_o.aeb2_gcfg_adc2_config.adc2_ain2 &lt;= '0';</t>
  </si>
  <si>
    <t>rmap_registers_wr_o.aeb2_gcfg_adc2_config.adc2_ain1 &lt;= '0';</t>
  </si>
  <si>
    <t>rmap_registers_wr_o.aeb2_gcfg_adc2_config.adc2_ain0 &lt;= '0';</t>
  </si>
  <si>
    <t>rmap_registers_wr_o.aeb2_gcfg_adc2_config.adc2_ain15 &lt;= '0';</t>
  </si>
  <si>
    <t>rmap_registers_wr_o.aeb2_gcfg_adc2_config.adc2_ain14 &lt;= '0';</t>
  </si>
  <si>
    <t>rmap_registers_wr_o.aeb2_gcfg_adc2_config.adc2_ain13 &lt;= '0';</t>
  </si>
  <si>
    <t>rmap_registers_wr_o.aeb2_gcfg_adc2_config.adc2_ain12 &lt;= '0';</t>
  </si>
  <si>
    <t>rmap_registers_wr_o.aeb2_gcfg_adc2_config.adc2_ain11 &lt;= '1';</t>
  </si>
  <si>
    <t>rmap_registers_wr_o.aeb2_gcfg_adc2_config.adc2_ain10 &lt;= '1';</t>
  </si>
  <si>
    <t>rmap_registers_wr_o.aeb2_gcfg_adc2_config.adc2_ain9 &lt;= '1';</t>
  </si>
  <si>
    <t>rmap_registers_wr_o.aeb2_gcfg_adc2_config.adc2_ain8 &lt;= '1';</t>
  </si>
  <si>
    <t>rmap_registers_wr_o.aeb2_gcfg_adc2_config.adc2_ref &lt;= '0';</t>
  </si>
  <si>
    <t>rmap_registers_wr_o.aeb2_gcfg_adc2_config.adc2_gain &lt;= '0';</t>
  </si>
  <si>
    <t>rmap_registers_wr_o.aeb2_gcfg_adc2_config.adc2_temp &lt;= '0';</t>
  </si>
  <si>
    <t>rmap_registers_wr_o.aeb2_gcfg_adc2_config.adc2_vcc &lt;= '0';</t>
  </si>
  <si>
    <t>rmap_registers_wr_o.aeb2_gcfg_adc2_config.adc2_offset &lt;= '0';</t>
  </si>
  <si>
    <t>rmap_registers_wr_o.aeb2_gcfg_adc2_config.adc2_cio7 &lt;= '0';</t>
  </si>
  <si>
    <t>rmap_registers_wr_o.aeb2_gcfg_adc2_config.adc2_cio6 &lt;= '0';</t>
  </si>
  <si>
    <t>rmap_registers_wr_o.aeb2_gcfg_adc2_config.adc2_cio5 &lt;= '0';</t>
  </si>
  <si>
    <t>rmap_registers_wr_o.aeb2_gcfg_adc2_config.adc2_cio4 &lt;= '0';</t>
  </si>
  <si>
    <t>rmap_registers_wr_o.aeb2_gcfg_adc2_config.adc2_cio3 &lt;= '0';</t>
  </si>
  <si>
    <t>rmap_registers_wr_o.aeb2_gcfg_adc2_config.adc2_cio2 &lt;= '0';</t>
  </si>
  <si>
    <t>rmap_registers_wr_o.aeb2_gcfg_adc2_config.adc2_cio1 &lt;= '0';</t>
  </si>
  <si>
    <t>rmap_registers_wr_o.aeb2_gcfg_adc2_config.adc2_cio0 &lt;= '0';</t>
  </si>
  <si>
    <t>rmap_registers_wr_o.aeb2_gcfg_adc2_config.adc2_dio7 &lt;= '0';</t>
  </si>
  <si>
    <t>rmap_registers_wr_o.aeb2_gcfg_adc2_config.adc2_dio6 &lt;= '0';</t>
  </si>
  <si>
    <t>rmap_registers_wr_o.aeb2_gcfg_adc2_config.adc2_dio5 &lt;= '0';</t>
  </si>
  <si>
    <t>rmap_registers_wr_o.aeb2_gcfg_adc2_config.adc2_dio4 &lt;= '0';</t>
  </si>
  <si>
    <t>rmap_registers_wr_o.aeb2_gcfg_adc2_config.adc2_dio3 &lt;= '0';</t>
  </si>
  <si>
    <t>rmap_registers_wr_o.aeb2_gcfg_adc2_config.adc2_dio2 &lt;= '0';</t>
  </si>
  <si>
    <t>rmap_registers_wr_o.aeb2_gcfg_adc2_config.adc2_dio1 &lt;= '0';</t>
  </si>
  <si>
    <t>rmap_registers_wr_o.aeb2_gcfg_adc2_config.adc2_dio0 &lt;= '0';</t>
  </si>
  <si>
    <t>rmap_registers_wr_o.aeb2_gcfg_seq_config.seq_oe &lt;= (others =&gt; '0');</t>
  </si>
  <si>
    <t>rmap_registers_wr_o.aeb2_gcfg_seq_config.adc_clk_div &lt;= (others =&gt; '0');</t>
  </si>
  <si>
    <t>rmap_registers_wr_o.aeb2_gcfg_seq_config.cds_clk_low_pos &lt;= (others =&gt; '0');</t>
  </si>
  <si>
    <t>rmap_registers_wr_o.aeb2_gcfg_seq_config.cds_clk_high_pos &lt;= (others =&gt; '0');</t>
  </si>
  <si>
    <t>rmap_registers_wr_o.aeb2_gcfg_seq_config.rphir_clk_low_pos &lt;= (others =&gt; '0');</t>
  </si>
  <si>
    <t>rmap_registers_wr_o.aeb2_gcfg_seq_config.rphir_clk_high_pos &lt;= (others =&gt; '0');</t>
  </si>
  <si>
    <t>rmap_registers_wr_o.aeb2_gcfg_seq_config.ft_loop_cnt &lt;= (others =&gt; '0');</t>
  </si>
  <si>
    <t>rmap_registers_wr_o.aeb2_gcfg_seq_config.lt0_enabled &lt;= '0';</t>
  </si>
  <si>
    <t>rmap_registers_wr_o.aeb2_gcfg_seq_config.lt0_pixreadout &lt;= '0';</t>
  </si>
  <si>
    <t>rmap_registers_wr_o.aeb2_gcfg_seq_config.lt0_loop_cnt &lt;= (others =&gt; '0');</t>
  </si>
  <si>
    <t>rmap_registers_wr_o.aeb2_gcfg_seq_config.lt1_enabled &lt;= '0';</t>
  </si>
  <si>
    <t>rmap_registers_wr_o.aeb2_gcfg_seq_config.lt1_pixreadout &lt;= '0';</t>
  </si>
  <si>
    <t>rmap_registers_wr_o.aeb2_gcfg_seq_config.lt1_loop_cnt &lt;= (others =&gt; '0');</t>
  </si>
  <si>
    <t>rmap_registers_wr_o.aeb2_gcfg_seq_config.lt2_enabled &lt;= '0';</t>
  </si>
  <si>
    <t>rmap_registers_wr_o.aeb2_gcfg_seq_config.lt2_pixreadout &lt;= '0';</t>
  </si>
  <si>
    <t>rmap_registers_wr_o.aeb2_gcfg_seq_config.lt2_loop_cnt &lt;= (others =&gt; '0');</t>
  </si>
  <si>
    <t>rmap_registers_wr_o.aeb2_gcfg_seq_config.lt3_enabled &lt;= '0';</t>
  </si>
  <si>
    <t>rmap_registers_wr_o.aeb2_gcfg_seq_config.lt3_pixreadout &lt;= '0';</t>
  </si>
  <si>
    <t>rmap_registers_wr_o.aeb2_gcfg_seq_config.lt3_loop_cnt &lt;= (others =&gt; '0');</t>
  </si>
  <si>
    <t>rmap_registers_wr_o.aeb2_gcfg_seq_config.pix_loop_cnt &lt;= (others =&gt; '0');</t>
  </si>
  <si>
    <t>rmap_registers_wr_o.aeb2_gcfg_seq_config.pc_enabled &lt;= '0';</t>
  </si>
  <si>
    <t>rmap_registers_wr_o.aeb2_gcfg_seq_config.pc_loop_cnt &lt;= (others =&gt; '0');</t>
  </si>
  <si>
    <t>rmap_registers_wr_o.aeb2_gcfg_seq_config.int1_loop_cnt &lt;= (others =&gt; '0');</t>
  </si>
  <si>
    <t>rmap_registers_wr_o.aeb2_gcfg_seq_config.int2_loop_cnt &lt;= (others =&gt; '0');</t>
  </si>
  <si>
    <t xml:space="preserve">-- AEB 2 Housekeeping Area : </t>
  </si>
  <si>
    <t>rmap_registers_wr_o.aeb2_hk_aeb_status.aeb_state &lt;= (others =&gt; '0');</t>
  </si>
  <si>
    <t>rmap_registers_wr_o.aeb2_hk_aeb_status.vasp2_cfg_run &lt;= '0';</t>
  </si>
  <si>
    <t>rmap_registers_wr_o.aeb2_hk_aeb_status.vasp1_cfg_run &lt;= '0';</t>
  </si>
  <si>
    <t>rmap_registers_wr_o.aeb2_hk_aeb_status.dac_cfg_w_run &lt;= '0';</t>
  </si>
  <si>
    <t>rmap_registers_wr_o.aeb2_hk_aeb_status.adc_cfg_rd_run &lt;= '0';</t>
  </si>
  <si>
    <t>rmap_registers_wr_o.aeb2_hk_aeb_status.adc_cfg_wr_run &lt;= '0';</t>
  </si>
  <si>
    <t>rmap_registers_wr_o.aeb2_hk_aeb_status.adc_dat_rd_run &lt;= '0';</t>
  </si>
  <si>
    <t>rmap_registers_wr_o.aeb2_hk_aeb_status.adc_error &lt;= '0';</t>
  </si>
  <si>
    <t>rmap_registers_wr_o.aeb2_hk_aeb_status.adc2_lu &lt;= '0';</t>
  </si>
  <si>
    <t>rmap_registers_wr_o.aeb2_hk_aeb_status.adc1_lu &lt;= '0';</t>
  </si>
  <si>
    <t>rmap_registers_wr_o.aeb2_hk_aeb_status.adc_dat_rd &lt;= '0';</t>
  </si>
  <si>
    <t>rmap_registers_wr_o.aeb2_hk_aeb_status.adc_cfg_rd &lt;= '0';</t>
  </si>
  <si>
    <t>rmap_registers_wr_o.aeb2_hk_aeb_status.adc_cfg_wr &lt;= '0';</t>
  </si>
  <si>
    <t>rmap_registers_wr_o.aeb2_hk_aeb_status.adc2_busy &lt;= '0';</t>
  </si>
  <si>
    <t>rmap_registers_wr_o.aeb2_hk_aeb_status.adc1_busy &lt;= '0';</t>
  </si>
  <si>
    <t>rmap_registers_wr_o.aeb2_hk_aeb_status.frame_counter &lt;= (others =&gt; '0');</t>
  </si>
  <si>
    <t>rmap_registers_wr_o.aeb2_hk_timestamp.timestamp_1 &lt;= (others =&gt; '0');</t>
  </si>
  <si>
    <t>rmap_registers_wr_o.aeb2_hk_timestamp.timestamp_0 &lt;= (others =&gt; '0');</t>
  </si>
  <si>
    <t>rmap_registers_wr_o.aeb2_hk_adc_rd_data.adc_rd_data_18 &lt;= (others =&gt; '0');</t>
  </si>
  <si>
    <t>rmap_registers_wr_o.aeb2_hk_adc_rd_data.adc_rd_data_17 &lt;= (others =&gt; '0');</t>
  </si>
  <si>
    <t>rmap_registers_wr_o.aeb2_hk_adc_rd_data.adc_rd_data_16 &lt;= (others =&gt; '0');</t>
  </si>
  <si>
    <t>rmap_registers_wr_o.aeb2_hk_adc_rd_data.adc_rd_data_15 &lt;= (others =&gt; '0');</t>
  </si>
  <si>
    <t>rmap_registers_wr_o.aeb2_hk_adc_rd_data.adc_rd_data_14 &lt;= (others =&gt; '0');</t>
  </si>
  <si>
    <t>rmap_registers_wr_o.aeb2_hk_adc_rd_data.adc_rd_data_13 &lt;= (others =&gt; '0');</t>
  </si>
  <si>
    <t>rmap_registers_wr_o.aeb2_hk_adc_rd_data.adc_rd_data_12 &lt;= (others =&gt; '0');</t>
  </si>
  <si>
    <t>rmap_registers_wr_o.aeb2_hk_adc_rd_data.adc_rd_data_11 &lt;= (others =&gt; '0');</t>
  </si>
  <si>
    <t>rmap_registers_wr_o.aeb2_hk_adc_rd_data.adc_rd_data_10 &lt;= (others =&gt; '0');</t>
  </si>
  <si>
    <t>rmap_registers_wr_o.aeb2_hk_adc_rd_data.adc_rd_data_9 &lt;= (others =&gt; '0');</t>
  </si>
  <si>
    <t>rmap_registers_wr_o.aeb2_hk_adc_rd_data.adc_rd_data_8 &lt;= (others =&gt; '0');</t>
  </si>
  <si>
    <t>rmap_registers_wr_o.aeb2_hk_adc_rd_data.adc_rd_data_7 &lt;= (others =&gt; '0');</t>
  </si>
  <si>
    <t>rmap_registers_wr_o.aeb2_hk_adc_rd_data.adc_rd_data_6 &lt;= (others =&gt; '0');</t>
  </si>
  <si>
    <t>rmap_registers_wr_o.aeb2_hk_adc_rd_data.adc_rd_data_5 &lt;= (others =&gt; '0');</t>
  </si>
  <si>
    <t>rmap_registers_wr_o.aeb2_hk_adc_rd_data.adc_rd_data_4 &lt;= (others =&gt; '0');</t>
  </si>
  <si>
    <t>rmap_registers_wr_o.aeb2_hk_adc_rd_data.adc_rd_data_3 &lt;= (others =&gt; '0');</t>
  </si>
  <si>
    <t>rmap_registers_wr_o.aeb2_hk_adc_rd_data.adc_rd_data_2 &lt;= (others =&gt; '0');</t>
  </si>
  <si>
    <t>rmap_registers_wr_o.aeb2_hk_adc_rd_data.adc_rd_data_1 &lt;= (others =&gt; '0');</t>
  </si>
  <si>
    <t>rmap_registers_wr_o.aeb2_hk_adc_rd_data.adc_rd_data_0 &lt;= (others =&gt; '0');</t>
  </si>
  <si>
    <t>rmap_registers_wr_o.aeb2_hk_adc1_rd_config.adc1_rd_config_3 &lt;= (others =&gt; '0');</t>
  </si>
  <si>
    <t>rmap_registers_wr_o.aeb2_hk_adc1_rd_config.adc1_rd_config_2 &lt;= (others =&gt; '0');</t>
  </si>
  <si>
    <t>rmap_registers_wr_o.aeb2_hk_adc1_rd_config.adc1_rd_config_1 &lt;= (others =&gt; '0');</t>
  </si>
  <si>
    <t>rmap_registers_wr_o.aeb2_hk_adc1_rd_config.adc1_rd_config_0 &lt;= (others =&gt; '0');</t>
  </si>
  <si>
    <t>rmap_registers_wr_o.aeb2_hk_adc2_rd_config.adc2_rd_config_3 &lt;= (others =&gt; '0');</t>
  </si>
  <si>
    <t>rmap_registers_wr_o.aeb2_hk_adc2_rd_config.adc2_rd_config_2 &lt;= (others =&gt; '0');</t>
  </si>
  <si>
    <t>rmap_registers_wr_o.aeb2_hk_adc2_rd_config.adc2_rd_config_1 &lt;= (others =&gt; '0');</t>
  </si>
  <si>
    <t>rmap_registers_wr_o.aeb2_hk_adc2_rd_config.adc2_rd_config_0 &lt;= (others =&gt; '0');</t>
  </si>
  <si>
    <t>rmap_registers_wr_o.aeb2_hk_vasp_rd_config.vasp1_read_data &lt;= (others =&gt; '0');</t>
  </si>
  <si>
    <t>rmap_registers_wr_o.aeb2_hk_vasp_rd_config.vasp2_read_data &lt;= (others =&gt; '0');</t>
  </si>
  <si>
    <t>rmap_registers_wr_o.aeb2_hk_revision_id.fpga_ver &lt;= (others =&gt; '0');</t>
  </si>
  <si>
    <t>rmap_registers_wr_o.aeb2_hk_revision_id.fpga_date &lt;= (others =&gt; '0');</t>
  </si>
  <si>
    <t>rmap_registers_wr_o.aeb2_hk_revision_id.fpga_time &lt;= (others =&gt; '0');</t>
  </si>
  <si>
    <t>rmap_registers_wr_o.aeb2_hk_revision_id.fpga_svn &lt;= (others =&gt; '0');</t>
  </si>
  <si>
    <t xml:space="preserve">-- AEB 3 Critical Configuration Area : </t>
  </si>
  <si>
    <t>rmap_registers_wr_o.aeb3_ccfg_aeb_control.new_state &lt;= (others =&gt; '0');</t>
  </si>
  <si>
    <t>rmap_registers_wr_o.aeb3_ccfg_aeb_control.set_state &lt;= '0';</t>
  </si>
  <si>
    <t>rmap_registers_wr_o.aeb3_ccfg_aeb_control.aeb_reset &lt;= '0';</t>
  </si>
  <si>
    <t>rmap_registers_wr_o.aeb3_ccfg_aeb_control.adc_data_rd &lt;= '0';</t>
  </si>
  <si>
    <t>rmap_registers_wr_o.aeb3_ccfg_aeb_control.adc_cfg_wr &lt;= '0';</t>
  </si>
  <si>
    <t>rmap_registers_wr_o.aeb3_ccfg_aeb_control.adc_cfg_rd &lt;= '0';</t>
  </si>
  <si>
    <t>rmap_registers_wr_o.aeb3_ccfg_aeb_control.dac_wr &lt;= '0';</t>
  </si>
  <si>
    <t>rmap_registers_wr_o.aeb3_ccfg_aeb_config.watchdog_dis &lt;= '0';</t>
  </si>
  <si>
    <t>rmap_registers_wr_o.aeb3_ccfg_aeb_config.int_sync &lt;= '0';</t>
  </si>
  <si>
    <t>rmap_registers_wr_o.aeb3_ccfg_aeb_config.vasp_cds_en &lt;= '0';</t>
  </si>
  <si>
    <t>rmap_registers_wr_o.aeb3_ccfg_aeb_config.vasp2_cal_en &lt;= '0';</t>
  </si>
  <si>
    <t>rmap_registers_wr_o.aeb3_ccfg_aeb_config.vasp1_cal_en &lt;= '0';</t>
  </si>
  <si>
    <t>rmap_registers_wr_o.aeb3_ccfg_aeb_config_key.key &lt;= (others =&gt; '0');</t>
  </si>
  <si>
    <t>rmap_registers_wr_o.aeb3_ccfg_aeb_config_ait1.override_sw &lt;= '0';</t>
  </si>
  <si>
    <t>rmap_registers_wr_o.aeb3_ccfg_aeb_config_ait1.sw_van3 &lt;= '0';</t>
  </si>
  <si>
    <t>rmap_registers_wr_o.aeb3_ccfg_aeb_config_ait1.sw_van2 &lt;= '0';</t>
  </si>
  <si>
    <t>rmap_registers_wr_o.aeb3_ccfg_aeb_config_ait1.sw_van1 &lt;= '0';</t>
  </si>
  <si>
    <t>rmap_registers_wr_o.aeb3_ccfg_aeb_config_ait1.sw_vclk &lt;= '0';</t>
  </si>
  <si>
    <t>rmap_registers_wr_o.aeb3_ccfg_aeb_config_ait1.sw_vccd &lt;= '0';</t>
  </si>
  <si>
    <t>rmap_registers_wr_o.aeb3_ccfg_aeb_config_ait1.override_vasp &lt;= '0';</t>
  </si>
  <si>
    <t>rmap_registers_wr_o.aeb3_ccfg_aeb_config_ait1.vasp2_pix_en &lt;= '0';</t>
  </si>
  <si>
    <t>rmap_registers_wr_o.aeb3_ccfg_aeb_config_ait1.vasp1_pix_en &lt;= '0';</t>
  </si>
  <si>
    <t>rmap_registers_wr_o.aeb3_ccfg_aeb_config_ait1.vasp2_adc_en &lt;= '0';</t>
  </si>
  <si>
    <t>rmap_registers_wr_o.aeb3_ccfg_aeb_config_ait1.vasp1_adc_en &lt;= '0';</t>
  </si>
  <si>
    <t>rmap_registers_wr_o.aeb3_ccfg_aeb_config_ait1.vasp2_reset &lt;= '0';</t>
  </si>
  <si>
    <t>rmap_registers_wr_o.aeb3_ccfg_aeb_config_ait1.vasp1_reset &lt;= '0';</t>
  </si>
  <si>
    <t>rmap_registers_wr_o.aeb3_ccfg_aeb_config_ait1.override_adc &lt;= '0';</t>
  </si>
  <si>
    <t>rmap_registers_wr_o.aeb3_ccfg_aeb_config_ait1.adc2_en_p5v0 &lt;= '0';</t>
  </si>
  <si>
    <t>rmap_registers_wr_o.aeb3_ccfg_aeb_config_ait1.adc1_en_p5v0 &lt;= '0';</t>
  </si>
  <si>
    <t>rmap_registers_wr_o.aeb3_ccfg_aeb_config_ait1.pt1000_cal_on_n &lt;= '0';</t>
  </si>
  <si>
    <t>rmap_registers_wr_o.aeb3_ccfg_aeb_config_ait1.en_v_mux_n &lt;= '0';</t>
  </si>
  <si>
    <t>rmap_registers_wr_o.aeb3_ccfg_aeb_config_ait1.adc2_pwdn_n &lt;= '0';</t>
  </si>
  <si>
    <t>rmap_registers_wr_o.aeb3_ccfg_aeb_config_ait1.adc1_pwdn_n &lt;= '0';</t>
  </si>
  <si>
    <t>rmap_registers_wr_o.aeb3_ccfg_aeb_config_ait1.adc_clk_en &lt;= '0';</t>
  </si>
  <si>
    <t>rmap_registers_wr_o.aeb3_ccfg_aeb_config_pattern.pattern_ccdid &lt;= (others =&gt; '0');</t>
  </si>
  <si>
    <t>rmap_registers_wr_o.aeb3_ccfg_aeb_config_pattern.pattern_cols &lt;= (others =&gt; '0');</t>
  </si>
  <si>
    <t>rmap_registers_wr_o.aeb3_ccfg_aeb_config_pattern.pattern_rows &lt;= (others =&gt; '0');</t>
  </si>
  <si>
    <t>rmap_registers_wr_o.aeb3_ccfg_vasp_i2c_control.vasp_cfg_addr &lt;= (others =&gt; '0');</t>
  </si>
  <si>
    <t>rmap_registers_wr_o.aeb3_ccfg_vasp_i2c_control.vasp1_cfg_data &lt;= (others =&gt; '0');</t>
  </si>
  <si>
    <t>rmap_registers_wr_o.aeb3_ccfg_vasp_i2c_control.vasp2_cfg_data &lt;= (others =&gt; '0');</t>
  </si>
  <si>
    <t>rmap_registers_wr_o.aeb3_ccfg_vasp_i2c_control.vasp2_select &lt;= '0';</t>
  </si>
  <si>
    <t>rmap_registers_wr_o.aeb3_ccfg_vasp_i2c_control.vasp1_select &lt;= '0';</t>
  </si>
  <si>
    <t>rmap_registers_wr_o.aeb3_ccfg_vasp_i2c_control.calibration_start &lt;= '0';</t>
  </si>
  <si>
    <t>rmap_registers_wr_o.aeb3_ccfg_vasp_i2c_control.i2c_read_start &lt;= '0';</t>
  </si>
  <si>
    <t>rmap_registers_wr_o.aeb3_ccfg_vasp_i2c_control.i2c_write_start &lt;= '0';</t>
  </si>
  <si>
    <t>rmap_registers_wr_o.aeb3_ccfg_dac_config_1.dac_vog &lt;= (others =&gt; '0');</t>
  </si>
  <si>
    <t>rmap_registers_wr_o.aeb3_ccfg_dac_config_1.dac_vrd &lt;= (others =&gt; '0');</t>
  </si>
  <si>
    <t>rmap_registers_wr_o.aeb3_ccfg_dac_config_2.dac_vod &lt;= (others =&gt; '0');</t>
  </si>
  <si>
    <t>rmap_registers_wr_o.aeb3_ccfg_pwr_config1.time_vccd_on &lt;= (others =&gt; '0');</t>
  </si>
  <si>
    <t>rmap_registers_wr_o.aeb3_ccfg_pwr_config1.time_vclk_on &lt;= (others =&gt; '0');</t>
  </si>
  <si>
    <t>rmap_registers_wr_o.aeb3_ccfg_pwr_config1.time_van1_on &lt;= (others =&gt; '0');</t>
  </si>
  <si>
    <t>rmap_registers_wr_o.aeb3_ccfg_pwr_config1.time_van2_on &lt;= (others =&gt; '0');</t>
  </si>
  <si>
    <t>rmap_registers_wr_o.aeb3_ccfg_pwr_config2.time_van3_on &lt;= (others =&gt; '0');</t>
  </si>
  <si>
    <t>rmap_registers_wr_o.aeb3_ccfg_pwr_config2.time_vccd_off &lt;= (others =&gt; '0');</t>
  </si>
  <si>
    <t>rmap_registers_wr_o.aeb3_ccfg_pwr_config2.time_vclk_off &lt;= (others =&gt; '0');</t>
  </si>
  <si>
    <t>rmap_registers_wr_o.aeb3_ccfg_pwr_config2.time_van1_off &lt;= (others =&gt; '0');</t>
  </si>
  <si>
    <t>rmap_registers_wr_o.aeb3_ccfg_pwr_config3.time_van2_off &lt;= (others =&gt; '0');</t>
  </si>
  <si>
    <t>rmap_registers_wr_o.aeb3_ccfg_pwr_config3.time_van3_off &lt;= (others =&gt; '0');</t>
  </si>
  <si>
    <t xml:space="preserve">-- AEB 3 General Configuration Area : </t>
  </si>
  <si>
    <t>rmap_registers_wr_o.aeb3_gcfg_adc1_config.adc1_bypas &lt;= '0';</t>
  </si>
  <si>
    <t>rmap_registers_wr_o.aeb3_gcfg_adc1_config.adc1_clkenb &lt;= '1';</t>
  </si>
  <si>
    <t>rmap_registers_wr_o.aeb3_gcfg_adc1_config.adc1_chop &lt;= '0';</t>
  </si>
  <si>
    <t>rmap_registers_wr_o.aeb3_gcfg_adc1_config.adc1_stat &lt;= '1';</t>
  </si>
  <si>
    <t>rmap_registers_wr_o.aeb3_gcfg_adc1_config.adc1_idlmod &lt;= '0';</t>
  </si>
  <si>
    <t>rmap_registers_wr_o.aeb3_gcfg_adc1_config.adc1_dly2 &lt;= '1';</t>
  </si>
  <si>
    <t>rmap_registers_wr_o.aeb3_gcfg_adc1_config.adc1_dly1 &lt;= '1';</t>
  </si>
  <si>
    <t>rmap_registers_wr_o.aeb3_gcfg_adc1_config.adc1_dly0 &lt;= '1';</t>
  </si>
  <si>
    <t>rmap_registers_wr_o.aeb3_gcfg_adc1_config.adc1_sbcs1 &lt;= '0';</t>
  </si>
  <si>
    <t>rmap_registers_wr_o.aeb3_gcfg_adc1_config.adc1_sbcs0 &lt;= '0';</t>
  </si>
  <si>
    <t>rmap_registers_wr_o.aeb3_gcfg_adc1_config.adc1_drate1 &lt;= '0';</t>
  </si>
  <si>
    <t>rmap_registers_wr_o.aeb3_gcfg_adc1_config.adc1_drate0 &lt;= '0';</t>
  </si>
  <si>
    <t>rmap_registers_wr_o.aeb3_gcfg_adc1_config.adc1_ainp3 &lt;= '0';</t>
  </si>
  <si>
    <t>rmap_registers_wr_o.aeb3_gcfg_adc1_config.adc1_ainp2 &lt;= '0';</t>
  </si>
  <si>
    <t>rmap_registers_wr_o.aeb3_gcfg_adc1_config.adc1_ainp1 &lt;= '0';</t>
  </si>
  <si>
    <t>rmap_registers_wr_o.aeb3_gcfg_adc1_config.adc1_ainp0 &lt;= '0';</t>
  </si>
  <si>
    <t>rmap_registers_wr_o.aeb3_gcfg_adc1_config.adc1_ainn3 &lt;= '0';</t>
  </si>
  <si>
    <t>rmap_registers_wr_o.aeb3_gcfg_adc1_config.adc1_ainn2 &lt;= '0';</t>
  </si>
  <si>
    <t>rmap_registers_wr_o.aeb3_gcfg_adc1_config.adc1_ainn1 &lt;= '0';</t>
  </si>
  <si>
    <t>rmap_registers_wr_o.aeb3_gcfg_adc1_config.adc1_ainn0 &lt;= '0';</t>
  </si>
  <si>
    <t>rmap_registers_wr_o.aeb3_gcfg_adc1_config.adc1_diff7 &lt;= '1';</t>
  </si>
  <si>
    <t>rmap_registers_wr_o.aeb3_gcfg_adc1_config.adc1_diff6 &lt;= '1';</t>
  </si>
  <si>
    <t>rmap_registers_wr_o.aeb3_gcfg_adc1_config.adc1_diff5 &lt;= '0';</t>
  </si>
  <si>
    <t>rmap_registers_wr_o.aeb3_gcfg_adc1_config.adc1_diff4 &lt;= '0';</t>
  </si>
  <si>
    <t>rmap_registers_wr_o.aeb3_gcfg_adc1_config.adc1_diff3 &lt;= '1';</t>
  </si>
  <si>
    <t>rmap_registers_wr_o.aeb3_gcfg_adc1_config.adc1_diff2 &lt;= '1';</t>
  </si>
  <si>
    <t>rmap_registers_wr_o.aeb3_gcfg_adc1_config.adc1_diff1 &lt;= '1';</t>
  </si>
  <si>
    <t>rmap_registers_wr_o.aeb3_gcfg_adc1_config.adc1_diff0 &lt;= '1';</t>
  </si>
  <si>
    <t>rmap_registers_wr_o.aeb3_gcfg_adc1_config.adc1_ain7 &lt;= '0';</t>
  </si>
  <si>
    <t>rmap_registers_wr_o.aeb3_gcfg_adc1_config.adc1_ain6 &lt;= '0';</t>
  </si>
  <si>
    <t>rmap_registers_wr_o.aeb3_gcfg_adc1_config.adc1_ain5 &lt;= '0';</t>
  </si>
  <si>
    <t>rmap_registers_wr_o.aeb3_gcfg_adc1_config.adc1_ain4 &lt;= '0';</t>
  </si>
  <si>
    <t>rmap_registers_wr_o.aeb3_gcfg_adc1_config.adc1_ain3 &lt;= '0';</t>
  </si>
  <si>
    <t>rmap_registers_wr_o.aeb3_gcfg_adc1_config.adc1_ain2 &lt;= '0';</t>
  </si>
  <si>
    <t>rmap_registers_wr_o.aeb3_gcfg_adc1_config.adc1_ain1 &lt;= '0';</t>
  </si>
  <si>
    <t>rmap_registers_wr_o.aeb3_gcfg_adc1_config.adc1_ain0 &lt;= '0';</t>
  </si>
  <si>
    <t>rmap_registers_wr_o.aeb3_gcfg_adc1_config.adc1_ain15 &lt;= '0';</t>
  </si>
  <si>
    <t>rmap_registers_wr_o.aeb3_gcfg_adc1_config.adc1_ain14 &lt;= '0';</t>
  </si>
  <si>
    <t>rmap_registers_wr_o.aeb3_gcfg_adc1_config.adc1_ain13 &lt;= '0';</t>
  </si>
  <si>
    <t>rmap_registers_wr_o.aeb3_gcfg_adc1_config.adc1_ain12 &lt;= '0';</t>
  </si>
  <si>
    <t>rmap_registers_wr_o.aeb3_gcfg_adc1_config.adc1_ain11 &lt;= '1';</t>
  </si>
  <si>
    <t>rmap_registers_wr_o.aeb3_gcfg_adc1_config.adc1_ain10 &lt;= '1';</t>
  </si>
  <si>
    <t>rmap_registers_wr_o.aeb3_gcfg_adc1_config.adc1_ain9 &lt;= '1';</t>
  </si>
  <si>
    <t>rmap_registers_wr_o.aeb3_gcfg_adc1_config.adc1_ain8 &lt;= '1';</t>
  </si>
  <si>
    <t>rmap_registers_wr_o.aeb3_gcfg_adc1_config.adc1_ref &lt;= '0';</t>
  </si>
  <si>
    <t>rmap_registers_wr_o.aeb3_gcfg_adc1_config.adc1_gain &lt;= '0';</t>
  </si>
  <si>
    <t>rmap_registers_wr_o.aeb3_gcfg_adc1_config.adc1_temp &lt;= '0';</t>
  </si>
  <si>
    <t>rmap_registers_wr_o.aeb3_gcfg_adc1_config.adc1_vcc &lt;= '0';</t>
  </si>
  <si>
    <t>rmap_registers_wr_o.aeb3_gcfg_adc1_config.adc1_offset &lt;= '0';</t>
  </si>
  <si>
    <t>rmap_registers_wr_o.aeb3_gcfg_adc1_config.adc1_cio7 &lt;= '0';</t>
  </si>
  <si>
    <t>rmap_registers_wr_o.aeb3_gcfg_adc1_config.adc1_cio6 &lt;= '0';</t>
  </si>
  <si>
    <t>rmap_registers_wr_o.aeb3_gcfg_adc1_config.adc1_cio5 &lt;= '0';</t>
  </si>
  <si>
    <t>rmap_registers_wr_o.aeb3_gcfg_adc1_config.adc1_cio4 &lt;= '0';</t>
  </si>
  <si>
    <t>rmap_registers_wr_o.aeb3_gcfg_adc1_config.adc1_cio3 &lt;= '0';</t>
  </si>
  <si>
    <t>rmap_registers_wr_o.aeb3_gcfg_adc1_config.adc1_cio2 &lt;= '0';</t>
  </si>
  <si>
    <t>rmap_registers_wr_o.aeb3_gcfg_adc1_config.adc1_cio1 &lt;= '0';</t>
  </si>
  <si>
    <t>rmap_registers_wr_o.aeb3_gcfg_adc1_config.adc1_cio0 &lt;= '0';</t>
  </si>
  <si>
    <t>rmap_registers_wr_o.aeb3_gcfg_adc1_config.adc1_dio7 &lt;= '0';</t>
  </si>
  <si>
    <t>rmap_registers_wr_o.aeb3_gcfg_adc1_config.adc1_dio6 &lt;= '0';</t>
  </si>
  <si>
    <t>rmap_registers_wr_o.aeb3_gcfg_adc1_config.adc1_dio5 &lt;= '0';</t>
  </si>
  <si>
    <t>rmap_registers_wr_o.aeb3_gcfg_adc1_config.adc1_dio4 &lt;= '0';</t>
  </si>
  <si>
    <t>rmap_registers_wr_o.aeb3_gcfg_adc1_config.adc1_dio3 &lt;= '0';</t>
  </si>
  <si>
    <t>rmap_registers_wr_o.aeb3_gcfg_adc1_config.adc1_dio2 &lt;= '0';</t>
  </si>
  <si>
    <t>rmap_registers_wr_o.aeb3_gcfg_adc1_config.adc1_dio1 &lt;= '0';</t>
  </si>
  <si>
    <t>rmap_registers_wr_o.aeb3_gcfg_adc1_config.adc1_dio0 &lt;= '0';</t>
  </si>
  <si>
    <t>rmap_registers_wr_o.aeb3_gcfg_adc2_config.adc2_bypas &lt;= '0';</t>
  </si>
  <si>
    <t>rmap_registers_wr_o.aeb3_gcfg_adc2_config.adc2_clkenb &lt;= '1';</t>
  </si>
  <si>
    <t>rmap_registers_wr_o.aeb3_gcfg_adc2_config.adc2_chop &lt;= '0';</t>
  </si>
  <si>
    <t>rmap_registers_wr_o.aeb3_gcfg_adc2_config.adc2_stat &lt;= '1';</t>
  </si>
  <si>
    <t>rmap_registers_wr_o.aeb3_gcfg_adc2_config.adc2_idlmod &lt;= '0';</t>
  </si>
  <si>
    <t>rmap_registers_wr_o.aeb3_gcfg_adc2_config.adc2_dly2 &lt;= '1';</t>
  </si>
  <si>
    <t>rmap_registers_wr_o.aeb3_gcfg_adc2_config.adc2_dly1 &lt;= '1';</t>
  </si>
  <si>
    <t>rmap_registers_wr_o.aeb3_gcfg_adc2_config.adc2_dly0 &lt;= '1';</t>
  </si>
  <si>
    <t>rmap_registers_wr_o.aeb3_gcfg_adc2_config.adc2_sbcs1 &lt;= '0';</t>
  </si>
  <si>
    <t>rmap_registers_wr_o.aeb3_gcfg_adc2_config.adc2_sbcs0 &lt;= '0';</t>
  </si>
  <si>
    <t>rmap_registers_wr_o.aeb3_gcfg_adc2_config.adc2_drate1 &lt;= '0';</t>
  </si>
  <si>
    <t>rmap_registers_wr_o.aeb3_gcfg_adc2_config.adc2_drate0 &lt;= '0';</t>
  </si>
  <si>
    <t>rmap_registers_wr_o.aeb3_gcfg_adc2_config.adc2_ainp3 &lt;= '0';</t>
  </si>
  <si>
    <t>rmap_registers_wr_o.aeb3_gcfg_adc2_config.adc2_ainp2 &lt;= '0';</t>
  </si>
  <si>
    <t>rmap_registers_wr_o.aeb3_gcfg_adc2_config.adc2_ainp1 &lt;= '0';</t>
  </si>
  <si>
    <t>rmap_registers_wr_o.aeb3_gcfg_adc2_config.adc2_ainp0 &lt;= '0';</t>
  </si>
  <si>
    <t>rmap_registers_wr_o.aeb3_gcfg_adc2_config.adc2_ainn3 &lt;= '0';</t>
  </si>
  <si>
    <t>rmap_registers_wr_o.aeb3_gcfg_adc2_config.adc2_ainn2 &lt;= '0';</t>
  </si>
  <si>
    <t>rmap_registers_wr_o.aeb3_gcfg_adc2_config.adc2_ainn1 &lt;= '0';</t>
  </si>
  <si>
    <t>rmap_registers_wr_o.aeb3_gcfg_adc2_config.adc2_ainn0 &lt;= '0';</t>
  </si>
  <si>
    <t>rmap_registers_wr_o.aeb3_gcfg_adc2_config.adc2_diff7 &lt;= '1';</t>
  </si>
  <si>
    <t>rmap_registers_wr_o.aeb3_gcfg_adc2_config.adc2_diff6 &lt;= '1';</t>
  </si>
  <si>
    <t>rmap_registers_wr_o.aeb3_gcfg_adc2_config.adc2_diff5 &lt;= '0';</t>
  </si>
  <si>
    <t>rmap_registers_wr_o.aeb3_gcfg_adc2_config.adc2_diff4 &lt;= '0';</t>
  </si>
  <si>
    <t>rmap_registers_wr_o.aeb3_gcfg_adc2_config.adc2_diff3 &lt;= '1';</t>
  </si>
  <si>
    <t>rmap_registers_wr_o.aeb3_gcfg_adc2_config.adc2_diff2 &lt;= '1';</t>
  </si>
  <si>
    <t>rmap_registers_wr_o.aeb3_gcfg_adc2_config.adc2_diff1 &lt;= '1';</t>
  </si>
  <si>
    <t>rmap_registers_wr_o.aeb3_gcfg_adc2_config.adc2_diff0 &lt;= '1';</t>
  </si>
  <si>
    <t>rmap_registers_wr_o.aeb3_gcfg_adc2_config.adc2_ain7 &lt;= '0';</t>
  </si>
  <si>
    <t>rmap_registers_wr_o.aeb3_gcfg_adc2_config.adc2_ain6 &lt;= '0';</t>
  </si>
  <si>
    <t>rmap_registers_wr_o.aeb3_gcfg_adc2_config.adc2_ain5 &lt;= '0';</t>
  </si>
  <si>
    <t>rmap_registers_wr_o.aeb3_gcfg_adc2_config.adc2_ain4 &lt;= '0';</t>
  </si>
  <si>
    <t>rmap_registers_wr_o.aeb3_gcfg_adc2_config.adc2_ain3 &lt;= '0';</t>
  </si>
  <si>
    <t>rmap_registers_wr_o.aeb3_gcfg_adc2_config.adc2_ain2 &lt;= '0';</t>
  </si>
  <si>
    <t>rmap_registers_wr_o.aeb3_gcfg_adc2_config.adc2_ain1 &lt;= '0';</t>
  </si>
  <si>
    <t>rmap_registers_wr_o.aeb3_gcfg_adc2_config.adc2_ain0 &lt;= '0';</t>
  </si>
  <si>
    <t>rmap_registers_wr_o.aeb3_gcfg_adc2_config.adc2_ain15 &lt;= '0';</t>
  </si>
  <si>
    <t>rmap_registers_wr_o.aeb3_gcfg_adc2_config.adc2_ain14 &lt;= '0';</t>
  </si>
  <si>
    <t>rmap_registers_wr_o.aeb3_gcfg_adc2_config.adc2_ain13 &lt;= '0';</t>
  </si>
  <si>
    <t>rmap_registers_wr_o.aeb3_gcfg_adc2_config.adc2_ain12 &lt;= '0';</t>
  </si>
  <si>
    <t>rmap_registers_wr_o.aeb3_gcfg_adc2_config.adc2_ain11 &lt;= '1';</t>
  </si>
  <si>
    <t>rmap_registers_wr_o.aeb3_gcfg_adc2_config.adc2_ain10 &lt;= '1';</t>
  </si>
  <si>
    <t>rmap_registers_wr_o.aeb3_gcfg_adc2_config.adc2_ain9 &lt;= '1';</t>
  </si>
  <si>
    <t>rmap_registers_wr_o.aeb3_gcfg_adc2_config.adc2_ain8 &lt;= '1';</t>
  </si>
  <si>
    <t>rmap_registers_wr_o.aeb3_gcfg_adc2_config.adc2_ref &lt;= '0';</t>
  </si>
  <si>
    <t>rmap_registers_wr_o.aeb3_gcfg_adc2_config.adc2_gain &lt;= '0';</t>
  </si>
  <si>
    <t>rmap_registers_wr_o.aeb3_gcfg_adc2_config.adc2_temp &lt;= '0';</t>
  </si>
  <si>
    <t>rmap_registers_wr_o.aeb3_gcfg_adc2_config.adc2_vcc &lt;= '0';</t>
  </si>
  <si>
    <t>rmap_registers_wr_o.aeb3_gcfg_adc2_config.adc2_offset &lt;= '0';</t>
  </si>
  <si>
    <t>rmap_registers_wr_o.aeb3_gcfg_adc2_config.adc2_cio7 &lt;= '0';</t>
  </si>
  <si>
    <t>rmap_registers_wr_o.aeb3_gcfg_adc2_config.adc2_cio6 &lt;= '0';</t>
  </si>
  <si>
    <t>rmap_registers_wr_o.aeb3_gcfg_adc2_config.adc2_cio5 &lt;= '0';</t>
  </si>
  <si>
    <t>rmap_registers_wr_o.aeb3_gcfg_adc2_config.adc2_cio4 &lt;= '0';</t>
  </si>
  <si>
    <t>rmap_registers_wr_o.aeb3_gcfg_adc2_config.adc2_cio3 &lt;= '0';</t>
  </si>
  <si>
    <t>rmap_registers_wr_o.aeb3_gcfg_adc2_config.adc2_cio2 &lt;= '0';</t>
  </si>
  <si>
    <t>rmap_registers_wr_o.aeb3_gcfg_adc2_config.adc2_cio1 &lt;= '0';</t>
  </si>
  <si>
    <t>rmap_registers_wr_o.aeb3_gcfg_adc2_config.adc2_cio0 &lt;= '0';</t>
  </si>
  <si>
    <t>rmap_registers_wr_o.aeb3_gcfg_adc2_config.adc2_dio7 &lt;= '0';</t>
  </si>
  <si>
    <t>rmap_registers_wr_o.aeb3_gcfg_adc2_config.adc2_dio6 &lt;= '0';</t>
  </si>
  <si>
    <t>rmap_registers_wr_o.aeb3_gcfg_adc2_config.adc2_dio5 &lt;= '0';</t>
  </si>
  <si>
    <t>rmap_registers_wr_o.aeb3_gcfg_adc2_config.adc2_dio4 &lt;= '0';</t>
  </si>
  <si>
    <t>rmap_registers_wr_o.aeb3_gcfg_adc2_config.adc2_dio3 &lt;= '0';</t>
  </si>
  <si>
    <t>rmap_registers_wr_o.aeb3_gcfg_adc2_config.adc2_dio2 &lt;= '0';</t>
  </si>
  <si>
    <t>rmap_registers_wr_o.aeb3_gcfg_adc2_config.adc2_dio1 &lt;= '0';</t>
  </si>
  <si>
    <t>rmap_registers_wr_o.aeb3_gcfg_adc2_config.adc2_dio0 &lt;= '0';</t>
  </si>
  <si>
    <t>rmap_registers_wr_o.aeb3_gcfg_seq_config.seq_oe &lt;= (others =&gt; '0');</t>
  </si>
  <si>
    <t>rmap_registers_wr_o.aeb3_gcfg_seq_config.adc_clk_div &lt;= (others =&gt; '0');</t>
  </si>
  <si>
    <t>rmap_registers_wr_o.aeb3_gcfg_seq_config.cds_clk_low_pos &lt;= (others =&gt; '0');</t>
  </si>
  <si>
    <t>rmap_registers_wr_o.aeb3_gcfg_seq_config.cds_clk_high_pos &lt;= (others =&gt; '0');</t>
  </si>
  <si>
    <t>rmap_registers_wr_o.aeb3_gcfg_seq_config.rphir_clk_low_pos &lt;= (others =&gt; '0');</t>
  </si>
  <si>
    <t>rmap_registers_wr_o.aeb3_gcfg_seq_config.rphir_clk_high_pos &lt;= (others =&gt; '0');</t>
  </si>
  <si>
    <t>rmap_registers_wr_o.aeb3_gcfg_seq_config.ft_loop_cnt &lt;= (others =&gt; '0');</t>
  </si>
  <si>
    <t>rmap_registers_wr_o.aeb3_gcfg_seq_config.lt0_enabled &lt;= '0';</t>
  </si>
  <si>
    <t>rmap_registers_wr_o.aeb3_gcfg_seq_config.lt0_pixreadout &lt;= '0';</t>
  </si>
  <si>
    <t>rmap_registers_wr_o.aeb3_gcfg_seq_config.lt0_loop_cnt &lt;= (others =&gt; '0');</t>
  </si>
  <si>
    <t>rmap_registers_wr_o.aeb3_gcfg_seq_config.lt1_enabled &lt;= '0';</t>
  </si>
  <si>
    <t>rmap_registers_wr_o.aeb3_gcfg_seq_config.lt1_pixreadout &lt;= '0';</t>
  </si>
  <si>
    <t>rmap_registers_wr_o.aeb3_gcfg_seq_config.lt1_loop_cnt &lt;= (others =&gt; '0');</t>
  </si>
  <si>
    <t>rmap_registers_wr_o.aeb3_gcfg_seq_config.lt2_enabled &lt;= '0';</t>
  </si>
  <si>
    <t>rmap_registers_wr_o.aeb3_gcfg_seq_config.lt2_pixreadout &lt;= '0';</t>
  </si>
  <si>
    <t>rmap_registers_wr_o.aeb3_gcfg_seq_config.lt2_loop_cnt &lt;= (others =&gt; '0');</t>
  </si>
  <si>
    <t>rmap_registers_wr_o.aeb3_gcfg_seq_config.lt3_enabled &lt;= '0';</t>
  </si>
  <si>
    <t>rmap_registers_wr_o.aeb3_gcfg_seq_config.lt3_pixreadout &lt;= '0';</t>
  </si>
  <si>
    <t>rmap_registers_wr_o.aeb3_gcfg_seq_config.lt3_loop_cnt &lt;= (others =&gt; '0');</t>
  </si>
  <si>
    <t>rmap_registers_wr_o.aeb3_gcfg_seq_config.pix_loop_cnt &lt;= (others =&gt; '0');</t>
  </si>
  <si>
    <t>rmap_registers_wr_o.aeb3_gcfg_seq_config.pc_enabled &lt;= '0';</t>
  </si>
  <si>
    <t>rmap_registers_wr_o.aeb3_gcfg_seq_config.pc_loop_cnt &lt;= (others =&gt; '0');</t>
  </si>
  <si>
    <t>rmap_registers_wr_o.aeb3_gcfg_seq_config.int1_loop_cnt &lt;= (others =&gt; '0');</t>
  </si>
  <si>
    <t>rmap_registers_wr_o.aeb3_gcfg_seq_config.int2_loop_cnt &lt;= (others =&gt; '0');</t>
  </si>
  <si>
    <t xml:space="preserve">-- AEB 3 Housekeeping Area : </t>
  </si>
  <si>
    <t>rmap_registers_wr_o.aeb3_hk_aeb_status.aeb_state &lt;= (others =&gt; '0');</t>
  </si>
  <si>
    <t>rmap_registers_wr_o.aeb3_hk_aeb_status.vasp2_cfg_run &lt;= '0';</t>
  </si>
  <si>
    <t>rmap_registers_wr_o.aeb3_hk_aeb_status.vasp1_cfg_run &lt;= '0';</t>
  </si>
  <si>
    <t>rmap_registers_wr_o.aeb3_hk_aeb_status.dac_cfg_w_run &lt;= '0';</t>
  </si>
  <si>
    <t>rmap_registers_wr_o.aeb3_hk_aeb_status.adc_cfg_rd_run &lt;= '0';</t>
  </si>
  <si>
    <t>rmap_registers_wr_o.aeb3_hk_aeb_status.adc_cfg_wr_run &lt;= '0';</t>
  </si>
  <si>
    <t>rmap_registers_wr_o.aeb3_hk_aeb_status.adc_dat_rd_run &lt;= '0';</t>
  </si>
  <si>
    <t>rmap_registers_wr_o.aeb3_hk_aeb_status.adc_error &lt;= '0';</t>
  </si>
  <si>
    <t>rmap_registers_wr_o.aeb3_hk_aeb_status.adc2_lu &lt;= '0';</t>
  </si>
  <si>
    <t>rmap_registers_wr_o.aeb3_hk_aeb_status.adc1_lu &lt;= '0';</t>
  </si>
  <si>
    <t>rmap_registers_wr_o.aeb3_hk_aeb_status.adc_dat_rd &lt;= '0';</t>
  </si>
  <si>
    <t>rmap_registers_wr_o.aeb3_hk_aeb_status.adc_cfg_rd &lt;= '0';</t>
  </si>
  <si>
    <t>rmap_registers_wr_o.aeb3_hk_aeb_status.adc_cfg_wr &lt;= '0';</t>
  </si>
  <si>
    <t>rmap_registers_wr_o.aeb3_hk_aeb_status.adc2_busy &lt;= '0';</t>
  </si>
  <si>
    <t>rmap_registers_wr_o.aeb3_hk_aeb_status.adc1_busy &lt;= '0';</t>
  </si>
  <si>
    <t>rmap_registers_wr_o.aeb3_hk_aeb_status.frame_counter &lt;= (others =&gt; '0');</t>
  </si>
  <si>
    <t>rmap_registers_wr_o.aeb3_hk_timestamp.timestamp_1 &lt;= (others =&gt; '0');</t>
  </si>
  <si>
    <t>rmap_registers_wr_o.aeb3_hk_timestamp.timestamp_0 &lt;= (others =&gt; '0');</t>
  </si>
  <si>
    <t>rmap_registers_wr_o.aeb3_hk_adc_rd_data.adc_rd_data_18 &lt;= (others =&gt; '0');</t>
  </si>
  <si>
    <t>rmap_registers_wr_o.aeb3_hk_adc_rd_data.adc_rd_data_17 &lt;= (others =&gt; '0');</t>
  </si>
  <si>
    <t>rmap_registers_wr_o.aeb3_hk_adc_rd_data.adc_rd_data_16 &lt;= (others =&gt; '0');</t>
  </si>
  <si>
    <t>rmap_registers_wr_o.aeb3_hk_adc_rd_data.adc_rd_data_15 &lt;= (others =&gt; '0');</t>
  </si>
  <si>
    <t>rmap_registers_wr_o.aeb3_hk_adc_rd_data.adc_rd_data_14 &lt;= (others =&gt; '0');</t>
  </si>
  <si>
    <t>rmap_registers_wr_o.aeb3_hk_adc_rd_data.adc_rd_data_13 &lt;= (others =&gt; '0');</t>
  </si>
  <si>
    <t>rmap_registers_wr_o.aeb3_hk_adc_rd_data.adc_rd_data_12 &lt;= (others =&gt; '0');</t>
  </si>
  <si>
    <t>rmap_registers_wr_o.aeb3_hk_adc_rd_data.adc_rd_data_11 &lt;= (others =&gt; '0');</t>
  </si>
  <si>
    <t>rmap_registers_wr_o.aeb3_hk_adc_rd_data.adc_rd_data_10 &lt;= (others =&gt; '0');</t>
  </si>
  <si>
    <t>rmap_registers_wr_o.aeb3_hk_adc_rd_data.adc_rd_data_9 &lt;= (others =&gt; '0');</t>
  </si>
  <si>
    <t>rmap_registers_wr_o.aeb3_hk_adc_rd_data.adc_rd_data_8 &lt;= (others =&gt; '0');</t>
  </si>
  <si>
    <t>rmap_registers_wr_o.aeb3_hk_adc_rd_data.adc_rd_data_7 &lt;= (others =&gt; '0');</t>
  </si>
  <si>
    <t>rmap_registers_wr_o.aeb3_hk_adc_rd_data.adc_rd_data_6 &lt;= (others =&gt; '0');</t>
  </si>
  <si>
    <t>rmap_registers_wr_o.aeb3_hk_adc_rd_data.adc_rd_data_5 &lt;= (others =&gt; '0');</t>
  </si>
  <si>
    <t>rmap_registers_wr_o.aeb3_hk_adc_rd_data.adc_rd_data_4 &lt;= (others =&gt; '0');</t>
  </si>
  <si>
    <t>rmap_registers_wr_o.aeb3_hk_adc_rd_data.adc_rd_data_3 &lt;= (others =&gt; '0');</t>
  </si>
  <si>
    <t>rmap_registers_wr_o.aeb3_hk_adc_rd_data.adc_rd_data_2 &lt;= (others =&gt; '0');</t>
  </si>
  <si>
    <t>rmap_registers_wr_o.aeb3_hk_adc_rd_data.adc_rd_data_1 &lt;= (others =&gt; '0');</t>
  </si>
  <si>
    <t>rmap_registers_wr_o.aeb3_hk_adc_rd_data.adc_rd_data_0 &lt;= (others =&gt; '0');</t>
  </si>
  <si>
    <t>rmap_registers_wr_o.aeb3_hk_adc1_rd_config.adc1_rd_config_3 &lt;= (others =&gt; '0');</t>
  </si>
  <si>
    <t>rmap_registers_wr_o.aeb3_hk_adc1_rd_config.adc1_rd_config_2 &lt;= (others =&gt; '0');</t>
  </si>
  <si>
    <t>rmap_registers_wr_o.aeb3_hk_adc1_rd_config.adc1_rd_config_1 &lt;= (others =&gt; '0');</t>
  </si>
  <si>
    <t>rmap_registers_wr_o.aeb3_hk_adc1_rd_config.adc1_rd_config_0 &lt;= (others =&gt; '0');</t>
  </si>
  <si>
    <t>rmap_registers_wr_o.aeb3_hk_adc2_rd_config.adc2_rd_config_3 &lt;= (others =&gt; '0');</t>
  </si>
  <si>
    <t>rmap_registers_wr_o.aeb3_hk_adc2_rd_config.adc2_rd_config_2 &lt;= (others =&gt; '0');</t>
  </si>
  <si>
    <t>rmap_registers_wr_o.aeb3_hk_adc2_rd_config.adc2_rd_config_1 &lt;= (others =&gt; '0');</t>
  </si>
  <si>
    <t>rmap_registers_wr_o.aeb3_hk_adc2_rd_config.adc2_rd_config_0 &lt;= (others =&gt; '0');</t>
  </si>
  <si>
    <t>rmap_registers_wr_o.aeb3_hk_vasp_rd_config.vasp1_read_data &lt;= (others =&gt; '0');</t>
  </si>
  <si>
    <t>rmap_registers_wr_o.aeb3_hk_vasp_rd_config.vasp2_read_data &lt;= (others =&gt; '0');</t>
  </si>
  <si>
    <t>rmap_registers_wr_o.aeb3_hk_revision_id.fpga_ver &lt;= (others =&gt; '0');</t>
  </si>
  <si>
    <t>rmap_registers_wr_o.aeb3_hk_revision_id.fpga_date &lt;= (others =&gt; '0');</t>
  </si>
  <si>
    <t>rmap_registers_wr_o.aeb3_hk_revision_id.fpga_time &lt;= (others =&gt; '0');</t>
  </si>
  <si>
    <t>rmap_registers_wr_o.aeb3_hk_revision_id.fpga_svn &lt;= (others =&gt; '0');</t>
  </si>
  <si>
    <t xml:space="preserve">-- AEB 4 Critical Configuration Area : </t>
  </si>
  <si>
    <t>rmap_registers_wr_o.aeb4_ccfg_aeb_control.new_state &lt;= (others =&gt; '0');</t>
  </si>
  <si>
    <t>rmap_registers_wr_o.aeb4_ccfg_aeb_control.set_state &lt;= '0';</t>
  </si>
  <si>
    <t>rmap_registers_wr_o.aeb4_ccfg_aeb_control.aeb_reset &lt;= '0';</t>
  </si>
  <si>
    <t>rmap_registers_wr_o.aeb4_ccfg_aeb_control.adc_data_rd &lt;= '0';</t>
  </si>
  <si>
    <t>rmap_registers_wr_o.aeb4_ccfg_aeb_control.adc_cfg_wr &lt;= '0';</t>
  </si>
  <si>
    <t>rmap_registers_wr_o.aeb4_ccfg_aeb_control.adc_cfg_rd &lt;= '0';</t>
  </si>
  <si>
    <t>rmap_registers_wr_o.aeb4_ccfg_aeb_control.dac_wr &lt;= '0';</t>
  </si>
  <si>
    <t>rmap_registers_wr_o.aeb4_ccfg_aeb_config.watchdog_dis &lt;= '0';</t>
  </si>
  <si>
    <t>rmap_registers_wr_o.aeb4_ccfg_aeb_config.int_sync &lt;= '0';</t>
  </si>
  <si>
    <t>rmap_registers_wr_o.aeb4_ccfg_aeb_config.vasp_cds_en &lt;= '0';</t>
  </si>
  <si>
    <t>rmap_registers_wr_o.aeb4_ccfg_aeb_config.vasp2_cal_en &lt;= '0';</t>
  </si>
  <si>
    <t>rmap_registers_wr_o.aeb4_ccfg_aeb_config.vasp1_cal_en &lt;= '0';</t>
  </si>
  <si>
    <t>rmap_registers_wr_o.aeb4_ccfg_aeb_config_key.key &lt;= (others =&gt; '0');</t>
  </si>
  <si>
    <t>rmap_registers_wr_o.aeb4_ccfg_aeb_config_ait1.override_sw &lt;= '0';</t>
  </si>
  <si>
    <t>rmap_registers_wr_o.aeb4_ccfg_aeb_config_ait1.sw_van3 &lt;= '0';</t>
  </si>
  <si>
    <t>rmap_registers_wr_o.aeb4_ccfg_aeb_config_ait1.sw_van2 &lt;= '0';</t>
  </si>
  <si>
    <t>rmap_registers_wr_o.aeb4_ccfg_aeb_config_ait1.sw_van1 &lt;= '0';</t>
  </si>
  <si>
    <t>rmap_registers_wr_o.aeb4_ccfg_aeb_config_ait1.sw_vclk &lt;= '0';</t>
  </si>
  <si>
    <t>rmap_registers_wr_o.aeb4_ccfg_aeb_config_ait1.sw_vccd &lt;= '0';</t>
  </si>
  <si>
    <t>rmap_registers_wr_o.aeb4_ccfg_aeb_config_ait1.override_vasp &lt;= '0';</t>
  </si>
  <si>
    <t>rmap_registers_wr_o.aeb4_ccfg_aeb_config_ait1.vasp2_pix_en &lt;= '0';</t>
  </si>
  <si>
    <t>rmap_registers_wr_o.aeb4_ccfg_aeb_config_ait1.vasp1_pix_en &lt;= '0';</t>
  </si>
  <si>
    <t>rmap_registers_wr_o.aeb4_ccfg_aeb_config_ait1.vasp2_adc_en &lt;= '0';</t>
  </si>
  <si>
    <t>rmap_registers_wr_o.aeb4_ccfg_aeb_config_ait1.vasp1_adc_en &lt;= '0';</t>
  </si>
  <si>
    <t>rmap_registers_wr_o.aeb4_ccfg_aeb_config_ait1.vasp2_reset &lt;= '0';</t>
  </si>
  <si>
    <t>rmap_registers_wr_o.aeb4_ccfg_aeb_config_ait1.vasp1_reset &lt;= '0';</t>
  </si>
  <si>
    <t>rmap_registers_wr_o.aeb4_ccfg_aeb_config_ait1.override_adc &lt;= '0';</t>
  </si>
  <si>
    <t>rmap_registers_wr_o.aeb4_ccfg_aeb_config_ait1.adc2_en_p5v0 &lt;= '0';</t>
  </si>
  <si>
    <t>rmap_registers_wr_o.aeb4_ccfg_aeb_config_ait1.adc1_en_p5v0 &lt;= '0';</t>
  </si>
  <si>
    <t>rmap_registers_wr_o.aeb4_ccfg_aeb_config_ait1.pt1000_cal_on_n &lt;= '0';</t>
  </si>
  <si>
    <t>rmap_registers_wr_o.aeb4_ccfg_aeb_config_ait1.en_v_mux_n &lt;= '0';</t>
  </si>
  <si>
    <t>rmap_registers_wr_o.aeb4_ccfg_aeb_config_ait1.adc2_pwdn_n &lt;= '0';</t>
  </si>
  <si>
    <t>rmap_registers_wr_o.aeb4_ccfg_aeb_config_ait1.adc1_pwdn_n &lt;= '0';</t>
  </si>
  <si>
    <t>rmap_registers_wr_o.aeb4_ccfg_aeb_config_ait1.adc_clk_en &lt;= '0';</t>
  </si>
  <si>
    <t>rmap_registers_wr_o.aeb4_ccfg_aeb_config_pattern.pattern_ccdid &lt;= (others =&gt; '0');</t>
  </si>
  <si>
    <t>rmap_registers_wr_o.aeb4_ccfg_aeb_config_pattern.pattern_cols &lt;= (others =&gt; '0');</t>
  </si>
  <si>
    <t>rmap_registers_wr_o.aeb4_ccfg_aeb_config_pattern.pattern_rows &lt;= (others =&gt; '0');</t>
  </si>
  <si>
    <t>rmap_registers_wr_o.aeb4_ccfg_vasp_i2c_control.vasp_cfg_addr &lt;= (others =&gt; '0');</t>
  </si>
  <si>
    <t>rmap_registers_wr_o.aeb4_ccfg_vasp_i2c_control.vasp1_cfg_data &lt;= (others =&gt; '0');</t>
  </si>
  <si>
    <t>rmap_registers_wr_o.aeb4_ccfg_vasp_i2c_control.vasp2_cfg_data &lt;= (others =&gt; '0');</t>
  </si>
  <si>
    <t>rmap_registers_wr_o.aeb4_ccfg_vasp_i2c_control.vasp2_select &lt;= '0';</t>
  </si>
  <si>
    <t>rmap_registers_wr_o.aeb4_ccfg_vasp_i2c_control.vasp1_select &lt;= '0';</t>
  </si>
  <si>
    <t>rmap_registers_wr_o.aeb4_ccfg_vasp_i2c_control.calibration_start &lt;= '0';</t>
  </si>
  <si>
    <t>rmap_registers_wr_o.aeb4_ccfg_vasp_i2c_control.i2c_read_start &lt;= '0';</t>
  </si>
  <si>
    <t>rmap_registers_wr_o.aeb4_ccfg_vasp_i2c_control.i2c_write_start &lt;= '0';</t>
  </si>
  <si>
    <t>rmap_registers_wr_o.aeb4_ccfg_dac_config_1.dac_vog &lt;= (others =&gt; '0');</t>
  </si>
  <si>
    <t>rmap_registers_wr_o.aeb4_ccfg_dac_config_1.dac_vrd &lt;= (others =&gt; '0');</t>
  </si>
  <si>
    <t>rmap_registers_wr_o.aeb4_ccfg_dac_config_2.dac_vod &lt;= (others =&gt; '0');</t>
  </si>
  <si>
    <t>rmap_registers_wr_o.aeb4_ccfg_pwr_config1.time_vccd_on &lt;= (others =&gt; '0');</t>
  </si>
  <si>
    <t>rmap_registers_wr_o.aeb4_ccfg_pwr_config1.time_vclk_on &lt;= (others =&gt; '0');</t>
  </si>
  <si>
    <t>rmap_registers_wr_o.aeb4_ccfg_pwr_config1.time_van1_on &lt;= (others =&gt; '0');</t>
  </si>
  <si>
    <t>rmap_registers_wr_o.aeb4_ccfg_pwr_config1.time_van2_on &lt;= (others =&gt; '0');</t>
  </si>
  <si>
    <t>rmap_registers_wr_o.aeb4_ccfg_pwr_config2.time_van3_on &lt;= (others =&gt; '0');</t>
  </si>
  <si>
    <t>rmap_registers_wr_o.aeb4_ccfg_pwr_config2.time_vccd_off &lt;= (others =&gt; '0');</t>
  </si>
  <si>
    <t>rmap_registers_wr_o.aeb4_ccfg_pwr_config2.time_vclk_off &lt;= (others =&gt; '0');</t>
  </si>
  <si>
    <t>rmap_registers_wr_o.aeb4_ccfg_pwr_config2.time_van1_off &lt;= (others =&gt; '0');</t>
  </si>
  <si>
    <t>rmap_registers_wr_o.aeb4_ccfg_pwr_config3.time_van2_off &lt;= (others =&gt; '0');</t>
  </si>
  <si>
    <t>rmap_registers_wr_o.aeb4_ccfg_pwr_config3.time_van3_off &lt;= (others =&gt; '0');</t>
  </si>
  <si>
    <t xml:space="preserve">-- AEB 4 General Configuration Area : </t>
  </si>
  <si>
    <t>rmap_registers_wr_o.aeb4_gcfg_adc1_config.adc1_bypas &lt;= '0';</t>
  </si>
  <si>
    <t>rmap_registers_wr_o.aeb4_gcfg_adc1_config.adc1_clkenb &lt;= '1';</t>
  </si>
  <si>
    <t>rmap_registers_wr_o.aeb4_gcfg_adc1_config.adc1_chop &lt;= '0';</t>
  </si>
  <si>
    <t>rmap_registers_wr_o.aeb4_gcfg_adc1_config.adc1_stat &lt;= '1';</t>
  </si>
  <si>
    <t>rmap_registers_wr_o.aeb4_gcfg_adc1_config.adc1_idlmod &lt;= '0';</t>
  </si>
  <si>
    <t>rmap_registers_wr_o.aeb4_gcfg_adc1_config.adc1_dly2 &lt;= '1';</t>
  </si>
  <si>
    <t>rmap_registers_wr_o.aeb4_gcfg_adc1_config.adc1_dly1 &lt;= '1';</t>
  </si>
  <si>
    <t>rmap_registers_wr_o.aeb4_gcfg_adc1_config.adc1_dly0 &lt;= '1';</t>
  </si>
  <si>
    <t>rmap_registers_wr_o.aeb4_gcfg_adc1_config.adc1_sbcs1 &lt;= '0';</t>
  </si>
  <si>
    <t>rmap_registers_wr_o.aeb4_gcfg_adc1_config.adc1_sbcs0 &lt;= '0';</t>
  </si>
  <si>
    <t>rmap_registers_wr_o.aeb4_gcfg_adc1_config.adc1_drate1 &lt;= '0';</t>
  </si>
  <si>
    <t>rmap_registers_wr_o.aeb4_gcfg_adc1_config.adc1_drate0 &lt;= '0';</t>
  </si>
  <si>
    <t>rmap_registers_wr_o.aeb4_gcfg_adc1_config.adc1_ainp3 &lt;= '0';</t>
  </si>
  <si>
    <t>rmap_registers_wr_o.aeb4_gcfg_adc1_config.adc1_ainp2 &lt;= '0';</t>
  </si>
  <si>
    <t>rmap_registers_wr_o.aeb4_gcfg_adc1_config.adc1_ainp1 &lt;= '0';</t>
  </si>
  <si>
    <t>rmap_registers_wr_o.aeb4_gcfg_adc1_config.adc1_ainp0 &lt;= '0';</t>
  </si>
  <si>
    <t>rmap_registers_wr_o.aeb4_gcfg_adc1_config.adc1_ainn3 &lt;= '0';</t>
  </si>
  <si>
    <t>rmap_registers_wr_o.aeb4_gcfg_adc1_config.adc1_ainn2 &lt;= '0';</t>
  </si>
  <si>
    <t>rmap_registers_wr_o.aeb4_gcfg_adc1_config.adc1_ainn1 &lt;= '0';</t>
  </si>
  <si>
    <t>rmap_registers_wr_o.aeb4_gcfg_adc1_config.adc1_ainn0 &lt;= '0';</t>
  </si>
  <si>
    <t>rmap_registers_wr_o.aeb4_gcfg_adc1_config.adc1_diff7 &lt;= '1';</t>
  </si>
  <si>
    <t>rmap_registers_wr_o.aeb4_gcfg_adc1_config.adc1_diff6 &lt;= '1';</t>
  </si>
  <si>
    <t>rmap_registers_wr_o.aeb4_gcfg_adc1_config.adc1_diff5 &lt;= '0';</t>
  </si>
  <si>
    <t>rmap_registers_wr_o.aeb4_gcfg_adc1_config.adc1_diff4 &lt;= '0';</t>
  </si>
  <si>
    <t>rmap_registers_wr_o.aeb4_gcfg_adc1_config.adc1_diff3 &lt;= '1';</t>
  </si>
  <si>
    <t>rmap_registers_wr_o.aeb4_gcfg_adc1_config.adc1_diff2 &lt;= '1';</t>
  </si>
  <si>
    <t>rmap_registers_wr_o.aeb4_gcfg_adc1_config.adc1_diff1 &lt;= '1';</t>
  </si>
  <si>
    <t>rmap_registers_wr_o.aeb4_gcfg_adc1_config.adc1_diff0 &lt;= '1';</t>
  </si>
  <si>
    <t>rmap_registers_wr_o.aeb4_gcfg_adc1_config.adc1_ain7 &lt;= '0';</t>
  </si>
  <si>
    <t>rmap_registers_wr_o.aeb4_gcfg_adc1_config.adc1_ain6 &lt;= '0';</t>
  </si>
  <si>
    <t>rmap_registers_wr_o.aeb4_gcfg_adc1_config.adc1_ain5 &lt;= '0';</t>
  </si>
  <si>
    <t>rmap_registers_wr_o.aeb4_gcfg_adc1_config.adc1_ain4 &lt;= '0';</t>
  </si>
  <si>
    <t>rmap_registers_wr_o.aeb4_gcfg_adc1_config.adc1_ain3 &lt;= '0';</t>
  </si>
  <si>
    <t>rmap_registers_wr_o.aeb4_gcfg_adc1_config.adc1_ain2 &lt;= '0';</t>
  </si>
  <si>
    <t>rmap_registers_wr_o.aeb4_gcfg_adc1_config.adc1_ain1 &lt;= '0';</t>
  </si>
  <si>
    <t>rmap_registers_wr_o.aeb4_gcfg_adc1_config.adc1_ain0 &lt;= '0';</t>
  </si>
  <si>
    <t>rmap_registers_wr_o.aeb4_gcfg_adc1_config.adc1_ain15 &lt;= '0';</t>
  </si>
  <si>
    <t>rmap_registers_wr_o.aeb4_gcfg_adc1_config.adc1_ain14 &lt;= '0';</t>
  </si>
  <si>
    <t>rmap_registers_wr_o.aeb4_gcfg_adc1_config.adc1_ain13 &lt;= '0';</t>
  </si>
  <si>
    <t>rmap_registers_wr_o.aeb4_gcfg_adc1_config.adc1_ain12 &lt;= '0';</t>
  </si>
  <si>
    <t>rmap_registers_wr_o.aeb4_gcfg_adc1_config.adc1_ain11 &lt;= '1';</t>
  </si>
  <si>
    <t>rmap_registers_wr_o.aeb4_gcfg_adc1_config.adc1_ain10 &lt;= '1';</t>
  </si>
  <si>
    <t>rmap_registers_wr_o.aeb4_gcfg_adc1_config.adc1_ain9 &lt;= '1';</t>
  </si>
  <si>
    <t>rmap_registers_wr_o.aeb4_gcfg_adc1_config.adc1_ain8 &lt;= '1';</t>
  </si>
  <si>
    <t>rmap_registers_wr_o.aeb4_gcfg_adc1_config.adc1_ref &lt;= '0';</t>
  </si>
  <si>
    <t>rmap_registers_wr_o.aeb4_gcfg_adc1_config.adc1_gain &lt;= '0';</t>
  </si>
  <si>
    <t>rmap_registers_wr_o.aeb4_gcfg_adc1_config.adc1_temp &lt;= '0';</t>
  </si>
  <si>
    <t>rmap_registers_wr_o.aeb4_gcfg_adc1_config.adc1_vcc &lt;= '0';</t>
  </si>
  <si>
    <t>rmap_registers_wr_o.aeb4_gcfg_adc1_config.adc1_offset &lt;= '0';</t>
  </si>
  <si>
    <t>rmap_registers_wr_o.aeb4_gcfg_adc1_config.adc1_cio7 &lt;= '0';</t>
  </si>
  <si>
    <t>rmap_registers_wr_o.aeb4_gcfg_adc1_config.adc1_cio6 &lt;= '0';</t>
  </si>
  <si>
    <t>rmap_registers_wr_o.aeb4_gcfg_adc1_config.adc1_cio5 &lt;= '0';</t>
  </si>
  <si>
    <t>rmap_registers_wr_o.aeb4_gcfg_adc1_config.adc1_cio4 &lt;= '0';</t>
  </si>
  <si>
    <t>rmap_registers_wr_o.aeb4_gcfg_adc1_config.adc1_cio3 &lt;= '0';</t>
  </si>
  <si>
    <t>rmap_registers_wr_o.aeb4_gcfg_adc1_config.adc1_cio2 &lt;= '0';</t>
  </si>
  <si>
    <t>rmap_registers_wr_o.aeb4_gcfg_adc1_config.adc1_cio1 &lt;= '0';</t>
  </si>
  <si>
    <t>rmap_registers_wr_o.aeb4_gcfg_adc1_config.adc1_cio0 &lt;= '0';</t>
  </si>
  <si>
    <t>rmap_registers_wr_o.aeb4_gcfg_adc1_config.adc1_dio7 &lt;= '0';</t>
  </si>
  <si>
    <t>rmap_registers_wr_o.aeb4_gcfg_adc1_config.adc1_dio6 &lt;= '0';</t>
  </si>
  <si>
    <t>rmap_registers_wr_o.aeb4_gcfg_adc1_config.adc1_dio5 &lt;= '0';</t>
  </si>
  <si>
    <t>rmap_registers_wr_o.aeb4_gcfg_adc1_config.adc1_dio4 &lt;= '0';</t>
  </si>
  <si>
    <t>rmap_registers_wr_o.aeb4_gcfg_adc1_config.adc1_dio3 &lt;= '0';</t>
  </si>
  <si>
    <t>rmap_registers_wr_o.aeb4_gcfg_adc1_config.adc1_dio2 &lt;= '0';</t>
  </si>
  <si>
    <t>rmap_registers_wr_o.aeb4_gcfg_adc1_config.adc1_dio1 &lt;= '0';</t>
  </si>
  <si>
    <t>rmap_registers_wr_o.aeb4_gcfg_adc1_config.adc1_dio0 &lt;= '0';</t>
  </si>
  <si>
    <t>rmap_registers_wr_o.aeb4_gcfg_adc2_config.adc2_bypas &lt;= '0';</t>
  </si>
  <si>
    <t>rmap_registers_wr_o.aeb4_gcfg_adc2_config.adc2_clkenb &lt;= '1';</t>
  </si>
  <si>
    <t>rmap_registers_wr_o.aeb4_gcfg_adc2_config.adc2_chop &lt;= '0';</t>
  </si>
  <si>
    <t>rmap_registers_wr_o.aeb4_gcfg_adc2_config.adc2_stat &lt;= '1';</t>
  </si>
  <si>
    <t>rmap_registers_wr_o.aeb4_gcfg_adc2_config.adc2_idlmod &lt;= '0';</t>
  </si>
  <si>
    <t>rmap_registers_wr_o.aeb4_gcfg_adc2_config.adc2_dly2 &lt;= '1';</t>
  </si>
  <si>
    <t>rmap_registers_wr_o.aeb4_gcfg_adc2_config.adc2_dly1 &lt;= '1';</t>
  </si>
  <si>
    <t>rmap_registers_wr_o.aeb4_gcfg_adc2_config.adc2_dly0 &lt;= '1';</t>
  </si>
  <si>
    <t>rmap_registers_wr_o.aeb4_gcfg_adc2_config.adc2_sbcs1 &lt;= '0';</t>
  </si>
  <si>
    <t>rmap_registers_wr_o.aeb4_gcfg_adc2_config.adc2_sbcs0 &lt;= '0';</t>
  </si>
  <si>
    <t>rmap_registers_wr_o.aeb4_gcfg_adc2_config.adc2_drate1 &lt;= '0';</t>
  </si>
  <si>
    <t>rmap_registers_wr_o.aeb4_gcfg_adc2_config.adc2_drate0 &lt;= '0';</t>
  </si>
  <si>
    <t>rmap_registers_wr_o.aeb4_gcfg_adc2_config.adc2_ainp3 &lt;= '0';</t>
  </si>
  <si>
    <t>rmap_registers_wr_o.aeb4_gcfg_adc2_config.adc2_ainp2 &lt;= '0';</t>
  </si>
  <si>
    <t>rmap_registers_wr_o.aeb4_gcfg_adc2_config.adc2_ainp1 &lt;= '0';</t>
  </si>
  <si>
    <t>rmap_registers_wr_o.aeb4_gcfg_adc2_config.adc2_ainp0 &lt;= '0';</t>
  </si>
  <si>
    <t>rmap_registers_wr_o.aeb4_gcfg_adc2_config.adc2_ainn3 &lt;= '0';</t>
  </si>
  <si>
    <t>rmap_registers_wr_o.aeb4_gcfg_adc2_config.adc2_ainn2 &lt;= '0';</t>
  </si>
  <si>
    <t>rmap_registers_wr_o.aeb4_gcfg_adc2_config.adc2_ainn1 &lt;= '0';</t>
  </si>
  <si>
    <t>rmap_registers_wr_o.aeb4_gcfg_adc2_config.adc2_ainn0 &lt;= '0';</t>
  </si>
  <si>
    <t>rmap_registers_wr_o.aeb4_gcfg_adc2_config.adc2_diff7 &lt;= '1';</t>
  </si>
  <si>
    <t>rmap_registers_wr_o.aeb4_gcfg_adc2_config.adc2_diff6 &lt;= '1';</t>
  </si>
  <si>
    <t>rmap_registers_wr_o.aeb4_gcfg_adc2_config.adc2_diff5 &lt;= '0';</t>
  </si>
  <si>
    <t>rmap_registers_wr_o.aeb4_gcfg_adc2_config.adc2_diff4 &lt;= '0';</t>
  </si>
  <si>
    <t>rmap_registers_wr_o.aeb4_gcfg_adc2_config.adc2_diff3 &lt;= '1';</t>
  </si>
  <si>
    <t>rmap_registers_wr_o.aeb4_gcfg_adc2_config.adc2_diff2 &lt;= '1';</t>
  </si>
  <si>
    <t>rmap_registers_wr_o.aeb4_gcfg_adc2_config.adc2_diff1 &lt;= '1';</t>
  </si>
  <si>
    <t>rmap_registers_wr_o.aeb4_gcfg_adc2_config.adc2_diff0 &lt;= '1';</t>
  </si>
  <si>
    <t>rmap_registers_wr_o.aeb4_gcfg_adc2_config.adc2_ain7 &lt;= '0';</t>
  </si>
  <si>
    <t>rmap_registers_wr_o.aeb4_gcfg_adc2_config.adc2_ain6 &lt;= '0';</t>
  </si>
  <si>
    <t>rmap_registers_wr_o.aeb4_gcfg_adc2_config.adc2_ain5 &lt;= '0';</t>
  </si>
  <si>
    <t>rmap_registers_wr_o.aeb4_gcfg_adc2_config.adc2_ain4 &lt;= '0';</t>
  </si>
  <si>
    <t>rmap_registers_wr_o.aeb4_gcfg_adc2_config.adc2_ain3 &lt;= '0';</t>
  </si>
  <si>
    <t>rmap_registers_wr_o.aeb4_gcfg_adc2_config.adc2_ain2 &lt;= '0';</t>
  </si>
  <si>
    <t>rmap_registers_wr_o.aeb4_gcfg_adc2_config.adc2_ain1 &lt;= '0';</t>
  </si>
  <si>
    <t>rmap_registers_wr_o.aeb4_gcfg_adc2_config.adc2_ain0 &lt;= '0';</t>
  </si>
  <si>
    <t>rmap_registers_wr_o.aeb4_gcfg_adc2_config.adc2_ain15 &lt;= '0';</t>
  </si>
  <si>
    <t>rmap_registers_wr_o.aeb4_gcfg_adc2_config.adc2_ain14 &lt;= '0';</t>
  </si>
  <si>
    <t>rmap_registers_wr_o.aeb4_gcfg_adc2_config.adc2_ain13 &lt;= '0';</t>
  </si>
  <si>
    <t>rmap_registers_wr_o.aeb4_gcfg_adc2_config.adc2_ain12 &lt;= '0';</t>
  </si>
  <si>
    <t>rmap_registers_wr_o.aeb4_gcfg_adc2_config.adc2_ain11 &lt;= '1';</t>
  </si>
  <si>
    <t>rmap_registers_wr_o.aeb4_gcfg_adc2_config.adc2_ain10 &lt;= '1';</t>
  </si>
  <si>
    <t>rmap_registers_wr_o.aeb4_gcfg_adc2_config.adc2_ain9 &lt;= '1';</t>
  </si>
  <si>
    <t>rmap_registers_wr_o.aeb4_gcfg_adc2_config.adc2_ain8 &lt;= '1';</t>
  </si>
  <si>
    <t>rmap_registers_wr_o.aeb4_gcfg_adc2_config.adc2_ref &lt;= '0';</t>
  </si>
  <si>
    <t>rmap_registers_wr_o.aeb4_gcfg_adc2_config.adc2_gain &lt;= '0';</t>
  </si>
  <si>
    <t>rmap_registers_wr_o.aeb4_gcfg_adc2_config.adc2_temp &lt;= '0';</t>
  </si>
  <si>
    <t>rmap_registers_wr_o.aeb4_gcfg_adc2_config.adc2_vcc &lt;= '0';</t>
  </si>
  <si>
    <t>rmap_registers_wr_o.aeb4_gcfg_adc2_config.adc2_offset &lt;= '0';</t>
  </si>
  <si>
    <t>rmap_registers_wr_o.aeb4_gcfg_adc2_config.adc2_cio7 &lt;= '0';</t>
  </si>
  <si>
    <t>rmap_registers_wr_o.aeb4_gcfg_adc2_config.adc2_cio6 &lt;= '0';</t>
  </si>
  <si>
    <t>rmap_registers_wr_o.aeb4_gcfg_adc2_config.adc2_cio5 &lt;= '0';</t>
  </si>
  <si>
    <t>rmap_registers_wr_o.aeb4_gcfg_adc2_config.adc2_cio4 &lt;= '0';</t>
  </si>
  <si>
    <t>rmap_registers_wr_o.aeb4_gcfg_adc2_config.adc2_cio3 &lt;= '0';</t>
  </si>
  <si>
    <t>rmap_registers_wr_o.aeb4_gcfg_adc2_config.adc2_cio2 &lt;= '0';</t>
  </si>
  <si>
    <t>rmap_registers_wr_o.aeb4_gcfg_adc2_config.adc2_cio1 &lt;= '0';</t>
  </si>
  <si>
    <t>rmap_registers_wr_o.aeb4_gcfg_adc2_config.adc2_cio0 &lt;= '0';</t>
  </si>
  <si>
    <t>rmap_registers_wr_o.aeb4_gcfg_adc2_config.adc2_dio7 &lt;= '0';</t>
  </si>
  <si>
    <t>rmap_registers_wr_o.aeb4_gcfg_adc2_config.adc2_dio6 &lt;= '0';</t>
  </si>
  <si>
    <t>rmap_registers_wr_o.aeb4_gcfg_adc2_config.adc2_dio5 &lt;= '0';</t>
  </si>
  <si>
    <t>rmap_registers_wr_o.aeb4_gcfg_adc2_config.adc2_dio4 &lt;= '0';</t>
  </si>
  <si>
    <t>rmap_registers_wr_o.aeb4_gcfg_adc2_config.adc2_dio3 &lt;= '0';</t>
  </si>
  <si>
    <t>rmap_registers_wr_o.aeb4_gcfg_adc2_config.adc2_dio2 &lt;= '0';</t>
  </si>
  <si>
    <t>rmap_registers_wr_o.aeb4_gcfg_adc2_config.adc2_dio1 &lt;= '0';</t>
  </si>
  <si>
    <t>rmap_registers_wr_o.aeb4_gcfg_adc2_config.adc2_dio0 &lt;= '0';</t>
  </si>
  <si>
    <t>rmap_registers_wr_o.aeb4_gcfg_seq_config.seq_oe &lt;= (others =&gt; '0');</t>
  </si>
  <si>
    <t>rmap_registers_wr_o.aeb4_gcfg_seq_config.adc_clk_div &lt;= (others =&gt; '0');</t>
  </si>
  <si>
    <t>rmap_registers_wr_o.aeb4_gcfg_seq_config.cds_clk_low_pos &lt;= (others =&gt; '0');</t>
  </si>
  <si>
    <t>rmap_registers_wr_o.aeb4_gcfg_seq_config.cds_clk_high_pos &lt;= (others =&gt; '0');</t>
  </si>
  <si>
    <t>rmap_registers_wr_o.aeb4_gcfg_seq_config.rphir_clk_low_pos &lt;= (others =&gt; '0');</t>
  </si>
  <si>
    <t>rmap_registers_wr_o.aeb4_gcfg_seq_config.rphir_clk_high_pos &lt;= (others =&gt; '0');</t>
  </si>
  <si>
    <t>rmap_registers_wr_o.aeb4_gcfg_seq_config.ft_loop_cnt &lt;= (others =&gt; '0');</t>
  </si>
  <si>
    <t>rmap_registers_wr_o.aeb4_gcfg_seq_config.lt0_enabled &lt;= '0';</t>
  </si>
  <si>
    <t>rmap_registers_wr_o.aeb4_gcfg_seq_config.lt0_pixreadout &lt;= '0';</t>
  </si>
  <si>
    <t>rmap_registers_wr_o.aeb4_gcfg_seq_config.lt0_loop_cnt &lt;= (others =&gt; '0');</t>
  </si>
  <si>
    <t>rmap_registers_wr_o.aeb4_gcfg_seq_config.lt1_enabled &lt;= '0';</t>
  </si>
  <si>
    <t>rmap_registers_wr_o.aeb4_gcfg_seq_config.lt1_pixreadout &lt;= '0';</t>
  </si>
  <si>
    <t>rmap_registers_wr_o.aeb4_gcfg_seq_config.lt1_loop_cnt &lt;= (others =&gt; '0');</t>
  </si>
  <si>
    <t>rmap_registers_wr_o.aeb4_gcfg_seq_config.lt2_enabled &lt;= '0';</t>
  </si>
  <si>
    <t>rmap_registers_wr_o.aeb4_gcfg_seq_config.lt2_pixreadout &lt;= '0';</t>
  </si>
  <si>
    <t>rmap_registers_wr_o.aeb4_gcfg_seq_config.lt2_loop_cnt &lt;= (others =&gt; '0');</t>
  </si>
  <si>
    <t>rmap_registers_wr_o.aeb4_gcfg_seq_config.lt3_enabled &lt;= '0';</t>
  </si>
  <si>
    <t>rmap_registers_wr_o.aeb4_gcfg_seq_config.lt3_pixreadout &lt;= '0';</t>
  </si>
  <si>
    <t>rmap_registers_wr_o.aeb4_gcfg_seq_config.lt3_loop_cnt &lt;= (others =&gt; '0');</t>
  </si>
  <si>
    <t>rmap_registers_wr_o.aeb4_gcfg_seq_config.pix_loop_cnt &lt;= (others =&gt; '0');</t>
  </si>
  <si>
    <t>rmap_registers_wr_o.aeb4_gcfg_seq_config.pc_enabled &lt;= '0';</t>
  </si>
  <si>
    <t>rmap_registers_wr_o.aeb4_gcfg_seq_config.pc_loop_cnt &lt;= (others =&gt; '0');</t>
  </si>
  <si>
    <t>rmap_registers_wr_o.aeb4_gcfg_seq_config.int1_loop_cnt &lt;= (others =&gt; '0');</t>
  </si>
  <si>
    <t>rmap_registers_wr_o.aeb4_gcfg_seq_config.int2_loop_cnt &lt;= (others =&gt; '0');</t>
  </si>
  <si>
    <t xml:space="preserve">-- AEB 4 Housekeeping Area : </t>
  </si>
  <si>
    <t>rmap_registers_wr_o.aeb4_hk_aeb_status.aeb_state &lt;= (others =&gt; '0');</t>
  </si>
  <si>
    <t>rmap_registers_wr_o.aeb4_hk_aeb_status.vasp2_cfg_run &lt;= '0';</t>
  </si>
  <si>
    <t>rmap_registers_wr_o.aeb4_hk_aeb_status.vasp1_cfg_run &lt;= '0';</t>
  </si>
  <si>
    <t>rmap_registers_wr_o.aeb4_hk_aeb_status.dac_cfg_w_run &lt;= '0';</t>
  </si>
  <si>
    <t>rmap_registers_wr_o.aeb4_hk_aeb_status.adc_cfg_rd_run &lt;= '0';</t>
  </si>
  <si>
    <t>rmap_registers_wr_o.aeb4_hk_aeb_status.adc_cfg_wr_run &lt;= '0';</t>
  </si>
  <si>
    <t>rmap_registers_wr_o.aeb4_hk_aeb_status.adc_dat_rd_run &lt;= '0';</t>
  </si>
  <si>
    <t>rmap_registers_wr_o.aeb4_hk_aeb_status.adc_error &lt;= '0';</t>
  </si>
  <si>
    <t>rmap_registers_wr_o.aeb4_hk_aeb_status.adc2_lu &lt;= '0';</t>
  </si>
  <si>
    <t>rmap_registers_wr_o.aeb4_hk_aeb_status.adc1_lu &lt;= '0';</t>
  </si>
  <si>
    <t>rmap_registers_wr_o.aeb4_hk_aeb_status.adc_dat_rd &lt;= '0';</t>
  </si>
  <si>
    <t>rmap_registers_wr_o.aeb4_hk_aeb_status.adc_cfg_rd &lt;= '0';</t>
  </si>
  <si>
    <t>rmap_registers_wr_o.aeb4_hk_aeb_status.adc_cfg_wr &lt;= '0';</t>
  </si>
  <si>
    <t>rmap_registers_wr_o.aeb4_hk_aeb_status.adc2_busy &lt;= '0';</t>
  </si>
  <si>
    <t>rmap_registers_wr_o.aeb4_hk_aeb_status.adc1_busy &lt;= '0';</t>
  </si>
  <si>
    <t>rmap_registers_wr_o.aeb4_hk_aeb_status.frame_counter &lt;= (others =&gt; '0');</t>
  </si>
  <si>
    <t>rmap_registers_wr_o.aeb4_hk_timestamp.timestamp_1 &lt;= (others =&gt; '0');</t>
  </si>
  <si>
    <t>rmap_registers_wr_o.aeb4_hk_timestamp.timestamp_0 &lt;= (others =&gt; '0');</t>
  </si>
  <si>
    <t>rmap_registers_wr_o.aeb4_hk_adc_rd_data.adc_rd_data_18 &lt;= (others =&gt; '0');</t>
  </si>
  <si>
    <t>rmap_registers_wr_o.aeb4_hk_adc_rd_data.adc_rd_data_17 &lt;= (others =&gt; '0');</t>
  </si>
  <si>
    <t>rmap_registers_wr_o.aeb4_hk_adc_rd_data.adc_rd_data_16 &lt;= (others =&gt; '0');</t>
  </si>
  <si>
    <t>rmap_registers_wr_o.aeb4_hk_adc_rd_data.adc_rd_data_15 &lt;= (others =&gt; '0');</t>
  </si>
  <si>
    <t>rmap_registers_wr_o.aeb4_hk_adc_rd_data.adc_rd_data_14 &lt;= (others =&gt; '0');</t>
  </si>
  <si>
    <t>rmap_registers_wr_o.aeb4_hk_adc_rd_data.adc_rd_data_13 &lt;= (others =&gt; '0');</t>
  </si>
  <si>
    <t>rmap_registers_wr_o.aeb4_hk_adc_rd_data.adc_rd_data_12 &lt;= (others =&gt; '0');</t>
  </si>
  <si>
    <t>rmap_registers_wr_o.aeb4_hk_adc_rd_data.adc_rd_data_11 &lt;= (others =&gt; '0');</t>
  </si>
  <si>
    <t>rmap_registers_wr_o.aeb4_hk_adc_rd_data.adc_rd_data_10 &lt;= (others =&gt; '0');</t>
  </si>
  <si>
    <t>rmap_registers_wr_o.aeb4_hk_adc_rd_data.adc_rd_data_9 &lt;= (others =&gt; '0');</t>
  </si>
  <si>
    <t>rmap_registers_wr_o.aeb4_hk_adc_rd_data.adc_rd_data_8 &lt;= (others =&gt; '0');</t>
  </si>
  <si>
    <t>rmap_registers_wr_o.aeb4_hk_adc_rd_data.adc_rd_data_7 &lt;= (others =&gt; '0');</t>
  </si>
  <si>
    <t>rmap_registers_wr_o.aeb4_hk_adc_rd_data.adc_rd_data_6 &lt;= (others =&gt; '0');</t>
  </si>
  <si>
    <t>rmap_registers_wr_o.aeb4_hk_adc_rd_data.adc_rd_data_5 &lt;= (others =&gt; '0');</t>
  </si>
  <si>
    <t>rmap_registers_wr_o.aeb4_hk_adc_rd_data.adc_rd_data_4 &lt;= (others =&gt; '0');</t>
  </si>
  <si>
    <t>rmap_registers_wr_o.aeb4_hk_adc_rd_data.adc_rd_data_3 &lt;= (others =&gt; '0');</t>
  </si>
  <si>
    <t>rmap_registers_wr_o.aeb4_hk_adc_rd_data.adc_rd_data_2 &lt;= (others =&gt; '0');</t>
  </si>
  <si>
    <t>rmap_registers_wr_o.aeb4_hk_adc_rd_data.adc_rd_data_1 &lt;= (others =&gt; '0');</t>
  </si>
  <si>
    <t>rmap_registers_wr_o.aeb4_hk_adc_rd_data.adc_rd_data_0 &lt;= (others =&gt; '0');</t>
  </si>
  <si>
    <t>rmap_registers_wr_o.aeb4_hk_adc1_rd_config.adc1_rd_config_3 &lt;= (others =&gt; '0');</t>
  </si>
  <si>
    <t>rmap_registers_wr_o.aeb4_hk_adc1_rd_config.adc1_rd_config_2 &lt;= (others =&gt; '0');</t>
  </si>
  <si>
    <t>rmap_registers_wr_o.aeb4_hk_adc1_rd_config.adc1_rd_config_1 &lt;= (others =&gt; '0');</t>
  </si>
  <si>
    <t>rmap_registers_wr_o.aeb4_hk_adc1_rd_config.adc1_rd_config_0 &lt;= (others =&gt; '0');</t>
  </si>
  <si>
    <t>rmap_registers_wr_o.aeb4_hk_adc2_rd_config.adc2_rd_config_3 &lt;= (others =&gt; '0');</t>
  </si>
  <si>
    <t>rmap_registers_wr_o.aeb4_hk_adc2_rd_config.adc2_rd_config_2 &lt;= (others =&gt; '0');</t>
  </si>
  <si>
    <t>rmap_registers_wr_o.aeb4_hk_adc2_rd_config.adc2_rd_config_1 &lt;= (others =&gt; '0');</t>
  </si>
  <si>
    <t>rmap_registers_wr_o.aeb4_hk_adc2_rd_config.adc2_rd_config_0 &lt;= (others =&gt; '0');</t>
  </si>
  <si>
    <t>rmap_registers_wr_o.aeb4_hk_vasp_rd_config.vasp1_read_data &lt;= (others =&gt; '0');</t>
  </si>
  <si>
    <t>rmap_registers_wr_o.aeb4_hk_vasp_rd_config.vasp2_read_data &lt;= (others =&gt; '0');</t>
  </si>
  <si>
    <t>rmap_registers_wr_o.aeb4_hk_revision_id.fpga_ver &lt;= (others =&gt; '0');</t>
  </si>
  <si>
    <t>rmap_registers_wr_o.aeb4_hk_revision_id.fpga_date &lt;= (others =&gt; '0');</t>
  </si>
  <si>
    <t>rmap_registers_wr_o.aeb4_hk_revision_id.fpga_time &lt;= (others =&gt; '0');</t>
  </si>
  <si>
    <t>rmap_registers_wr_o.aeb4_hk_revision_id.fpga_svn &lt;= (others =&gt; '0');</t>
  </si>
  <si>
    <t xml:space="preserve"> /* DEB Critical Configuration Area Struct */</t>
  </si>
  <si>
    <t>typedef struct RmapMemAreaDebCritConfig {</t>
  </si>
  <si>
    <t xml:space="preserve">  bool bVdigAeb4; /*  */</t>
  </si>
  <si>
    <t xml:space="preserve">  bool bVdigAeb3; /*  */</t>
  </si>
  <si>
    <t xml:space="preserve">  bool bVdigAeb2; /*  */</t>
  </si>
  <si>
    <t xml:space="preserve">  bool bVdigAeb1; /*  */</t>
  </si>
  <si>
    <t xml:space="preserve">  alt_u32 uliPllRegWord3; /*  */</t>
  </si>
  <si>
    <t xml:space="preserve">  alt_u32 uliPllRegWord2; /*  */</t>
  </si>
  <si>
    <t xml:space="preserve">  alt_u32 uliPllRegWord1; /*  */</t>
  </si>
  <si>
    <t xml:space="preserve">  alt_u32 uliPllRegWord0; /*  */</t>
  </si>
  <si>
    <t>} TRmapMemAreaDebCritConfig;</t>
  </si>
  <si>
    <t xml:space="preserve"> /* DEB General Configuration Area Struct */</t>
  </si>
  <si>
    <t>typedef struct RmapMemAreaDebGenConfig {</t>
  </si>
  <si>
    <t xml:space="preserve">  bool bImm; /*  */</t>
  </si>
  <si>
    <t xml:space="preserve">  alt_u8 ucOperMod; /*  */</t>
  </si>
  <si>
    <t xml:space="preserve">  alt_u8 ucInMod7; /*  */</t>
  </si>
  <si>
    <t xml:space="preserve">  alt_u8 ucInMod6; /*  */</t>
  </si>
  <si>
    <t xml:space="preserve">  alt_u8 ucInMod5; /*  */</t>
  </si>
  <si>
    <t xml:space="preserve">  alt_u8 ucInMod4; /*  */</t>
  </si>
  <si>
    <t xml:space="preserve">  alt_u8 ucInMod3; /*  */</t>
  </si>
  <si>
    <t xml:space="preserve">  alt_u8 ucInMod2; /*  */</t>
  </si>
  <si>
    <t xml:space="preserve">  alt_u8 ucInMod1; /*  */</t>
  </si>
  <si>
    <t xml:space="preserve">  alt_u8 ucInMod0; /*  */</t>
  </si>
  <si>
    <t xml:space="preserve">  alt_u8 ucWSizX; /*  */</t>
  </si>
  <si>
    <t xml:space="preserve">  alt_u8 ucWSizY; /*  */</t>
  </si>
  <si>
    <t xml:space="preserve">  alt_u16 usiWdwIdx4; /*  */</t>
  </si>
  <si>
    <t xml:space="preserve">  alt_u16 usiWdwLen4; /*  */</t>
  </si>
  <si>
    <t xml:space="preserve">  alt_u16 usiWdwIdx3; /*  */</t>
  </si>
  <si>
    <t xml:space="preserve">  alt_u16 usiWdwLen3; /*  */</t>
  </si>
  <si>
    <t xml:space="preserve">  alt_u16 usiWdwIdx2; /*  */</t>
  </si>
  <si>
    <t xml:space="preserve">  alt_u16 usiWdwLen2; /*  */</t>
  </si>
  <si>
    <t xml:space="preserve">  alt_u16 usiWdwIdx1; /*  */</t>
  </si>
  <si>
    <t xml:space="preserve">  alt_u16 usiWdwLen1; /*  */</t>
  </si>
  <si>
    <t xml:space="preserve">  alt_u8 ucOvsLin4; /*  */</t>
  </si>
  <si>
    <t xml:space="preserve">  alt_u8 ucOvsLin3; /*  */</t>
  </si>
  <si>
    <t xml:space="preserve">  alt_u8 ucOvsLin2; /*  */</t>
  </si>
  <si>
    <t xml:space="preserve">  alt_u8 ucOvsLin1; /*  */</t>
  </si>
  <si>
    <t xml:space="preserve">  alt_u8 ucOvsPix4; /*  */</t>
  </si>
  <si>
    <t xml:space="preserve">  alt_u8 ucOvsPix3; /*  */</t>
  </si>
  <si>
    <t xml:space="preserve">  alt_u8 ucOvsPix2; /*  */</t>
  </si>
  <si>
    <t xml:space="preserve">  alt_u8 ucOvsPix1; /*  */</t>
  </si>
  <si>
    <t xml:space="preserve">  alt_u8 uc25sNCyc; /*  */</t>
  </si>
  <si>
    <t xml:space="preserve">  bool bSelTrg; /*  */</t>
  </si>
  <si>
    <t xml:space="preserve">  alt_u16 usiFrmCnt; /*  */</t>
  </si>
  <si>
    <t xml:space="preserve">  bool bSynNr; /*  */</t>
  </si>
  <si>
    <t xml:space="preserve">  bool bRstWdg; /*  */</t>
  </si>
  <si>
    <t xml:space="preserve">  bool bRstCps; /*  */</t>
  </si>
  <si>
    <t xml:space="preserve">  alt_u32 uli25sDly; /*  */</t>
  </si>
  <si>
    <t xml:space="preserve">  alt_u16 usiTmodConf; /*  */</t>
  </si>
  <si>
    <t>} TRmapMemAreaDebGenConfig;</t>
  </si>
  <si>
    <t xml:space="preserve"> /* DEB Housekeeping Area Struct */</t>
  </si>
  <si>
    <t>typedef struct RmapMemAreaDebHousekeep {</t>
  </si>
  <si>
    <t xml:space="preserve">  alt_u8 ucWindowListTableEdacCorrectedErrorNumber; /*  */</t>
  </si>
  <si>
    <t xml:space="preserve">  alt_u8 ucUncorrectedErrorNumber; /*  */</t>
  </si>
  <si>
    <t xml:space="preserve">  alt_u8 ucPllStatus; /*  */</t>
  </si>
  <si>
    <t xml:space="preserve">  bool bVdigAeb4Status; /*  */</t>
  </si>
  <si>
    <t xml:space="preserve">  bool bVdigAeb3Status; /*  */</t>
  </si>
  <si>
    <t xml:space="preserve">  bool bVdigAeb2Status; /*  */</t>
  </si>
  <si>
    <t xml:space="preserve">  bool bVdigAeb1Status; /*  */</t>
  </si>
  <si>
    <t xml:space="preserve">  alt_u8 ucWdwListCntOvf; /*  */</t>
  </si>
  <si>
    <t xml:space="preserve">  bool bAebSpiStatus; /*  */</t>
  </si>
  <si>
    <t xml:space="preserve">  bool bWdgStatus; /*  */</t>
  </si>
  <si>
    <t xml:space="preserve">  bool bRowActiveList8CntOvf; /*  */</t>
  </si>
  <si>
    <t xml:space="preserve">  bool bRowActiveList7CntOvf; /*  */</t>
  </si>
  <si>
    <t xml:space="preserve">  bool bRowActiveList6CntOvf; /*  */</t>
  </si>
  <si>
    <t xml:space="preserve">  bool bRowActiveList5CntOvf; /*  */</t>
  </si>
  <si>
    <t xml:space="preserve">  bool bRowActiveList4CntOvf; /*  */</t>
  </si>
  <si>
    <t xml:space="preserve">  bool bRowActiveList3CntOvf; /*  */</t>
  </si>
  <si>
    <t xml:space="preserve">  bool bRowActiveList2CntOvf; /*  */</t>
  </si>
  <si>
    <t xml:space="preserve">  bool bRowActiveList1CntOvf; /*  */</t>
  </si>
  <si>
    <t xml:space="preserve">  bool bOutBuff8Ovf; /*  */</t>
  </si>
  <si>
    <t xml:space="preserve">  bool bOutBuff7Ovf; /*  */</t>
  </si>
  <si>
    <t xml:space="preserve">  bool bOutBuff6Ovf; /*  */</t>
  </si>
  <si>
    <t xml:space="preserve">  bool bOutBuff5Ovf; /*  */</t>
  </si>
  <si>
    <t xml:space="preserve">  bool bOutBuff4Ovf; /*  */</t>
  </si>
  <si>
    <t xml:space="preserve">  bool bOutBuff3Ovf; /*  */</t>
  </si>
  <si>
    <t xml:space="preserve">  bool bOutBuff2Ovf; /*  */</t>
  </si>
  <si>
    <t xml:space="preserve">  bool bOutBuff1Ovf; /*  */</t>
  </si>
  <si>
    <t xml:space="preserve">  bool bRmap4Ovf; /*  */</t>
  </si>
  <si>
    <t xml:space="preserve">  bool bRmap3Ovf; /*  */</t>
  </si>
  <si>
    <t xml:space="preserve">  bool bRmap2Ovf; /*  */</t>
  </si>
  <si>
    <t xml:space="preserve">  bool bRmap1Ovf; /*  */</t>
  </si>
  <si>
    <t xml:space="preserve">  alt_u8 ucLinePixelCountersOverflow; /*  */</t>
  </si>
  <si>
    <t xml:space="preserve">  alt_u32 uliSpwStatus; /*  */</t>
  </si>
  <si>
    <t xml:space="preserve">  alt_u16 usiVdigIn; /*  */</t>
  </si>
  <si>
    <t xml:space="preserve">  alt_u16 usiVio; /*  */</t>
  </si>
  <si>
    <t xml:space="preserve">  alt_u16 usiVcor; /*  */</t>
  </si>
  <si>
    <t xml:space="preserve">  alt_u16 usiVlvd; /*  */</t>
  </si>
  <si>
    <t xml:space="preserve">  alt_u16 usiDebTemp; /*  */</t>
  </si>
  <si>
    <t>} TRmapMemAreaDebHousekeep;</t>
  </si>
  <si>
    <t xml:space="preserve"> /* AEB 1 Critical Configuration Area Struct */</t>
  </si>
  <si>
    <t>typedef struct RmapMemAreaAeb1CritConfig {</t>
  </si>
  <si>
    <t xml:space="preserve">  alt_u8 ucNewState; /*  */</t>
  </si>
  <si>
    <t xml:space="preserve">  bool bSetState; /*  */</t>
  </si>
  <si>
    <t xml:space="preserve">  bool bAebReset; /*  */</t>
  </si>
  <si>
    <t xml:space="preserve">  bool bAdcDataRd; /*  */</t>
  </si>
  <si>
    <t xml:space="preserve">  bool bAdcCfgWr; /*  */</t>
  </si>
  <si>
    <t xml:space="preserve">  bool bAdcCfgRd; /*  */</t>
  </si>
  <si>
    <t xml:space="preserve">  bool bDacWr; /*  */</t>
  </si>
  <si>
    <t xml:space="preserve">  bool bWatchdogDis; /*  */</t>
  </si>
  <si>
    <t xml:space="preserve">  bool bIntSync; /*  */</t>
  </si>
  <si>
    <t xml:space="preserve">  bool bVaspCdsEn; /*  */</t>
  </si>
  <si>
    <t xml:space="preserve">  bool bVasp2CalEn; /*  */</t>
  </si>
  <si>
    <t xml:space="preserve">  bool bVasp1CalEn; /*  */</t>
  </si>
  <si>
    <t xml:space="preserve">  alt_u32 uliKey; /*  */</t>
  </si>
  <si>
    <t xml:space="preserve">  bool bOverrideSw; /*  */</t>
  </si>
  <si>
    <t xml:space="preserve">  bool bSwVan3; /*  */</t>
  </si>
  <si>
    <t xml:space="preserve">  bool bSwVan2; /*  */</t>
  </si>
  <si>
    <t xml:space="preserve">  bool bSwVan1; /*  */</t>
  </si>
  <si>
    <t xml:space="preserve">  bool bSwVclk; /*  */</t>
  </si>
  <si>
    <t xml:space="preserve">  bool bSwVccd; /*  */</t>
  </si>
  <si>
    <t xml:space="preserve">  bool bOverrideVasp; /*  */</t>
  </si>
  <si>
    <t xml:space="preserve">  bool bVasp2PixEn; /*  */</t>
  </si>
  <si>
    <t xml:space="preserve">  bool bVasp1PixEn; /*  */</t>
  </si>
  <si>
    <t xml:space="preserve">  bool bVasp2AdcEn; /*  */</t>
  </si>
  <si>
    <t xml:space="preserve">  bool bVasp1AdcEn; /*  */</t>
  </si>
  <si>
    <t xml:space="preserve">  bool bVasp2Reset; /*  */</t>
  </si>
  <si>
    <t xml:space="preserve">  bool bVasp1Reset; /*  */</t>
  </si>
  <si>
    <t xml:space="preserve">  bool bOverrideAdc; /*  */</t>
  </si>
  <si>
    <t xml:space="preserve">  bool bAdc2EnP5v0; /*  */</t>
  </si>
  <si>
    <t xml:space="preserve">  bool bAdc1EnP5v0; /*  */</t>
  </si>
  <si>
    <t xml:space="preserve">  bool bPt1000CalOnN; /*  */</t>
  </si>
  <si>
    <t xml:space="preserve">  bool bEnVMuxN; /*  */</t>
  </si>
  <si>
    <t xml:space="preserve">  bool bAdc2PwdnN; /*  */</t>
  </si>
  <si>
    <t xml:space="preserve">  bool bAdc1PwdnN; /*  */</t>
  </si>
  <si>
    <t xml:space="preserve">  bool bAdcClkEn; /*  */</t>
  </si>
  <si>
    <t xml:space="preserve">  alt_u8 ucPatternCcdid; /*  */</t>
  </si>
  <si>
    <t xml:space="preserve">  alt_u16 usiPatternCols; /*  */</t>
  </si>
  <si>
    <t xml:space="preserve">  alt_u16 usiPatternRows; /*  */</t>
  </si>
  <si>
    <t xml:space="preserve">  alt_u8 ucVaspCfgAddr; /*  */</t>
  </si>
  <si>
    <t xml:space="preserve">  alt_u8 ucVasp1CfgData; /*  */</t>
  </si>
  <si>
    <t xml:space="preserve">  alt_u8 ucVasp2CfgData; /*  */</t>
  </si>
  <si>
    <t xml:space="preserve">  bool bVasp2Select; /*  */</t>
  </si>
  <si>
    <t xml:space="preserve">  bool bVasp1Select; /*  */</t>
  </si>
  <si>
    <t xml:space="preserve">  bool bCalibrationStart; /*  */</t>
  </si>
  <si>
    <t xml:space="preserve">  bool bI2cReadStart; /*  */</t>
  </si>
  <si>
    <t xml:space="preserve">  bool bI2cWriteStart; /*  */</t>
  </si>
  <si>
    <t xml:space="preserve">  alt_u16 usiDacVog; /*  */</t>
  </si>
  <si>
    <t xml:space="preserve">  alt_u16 usiDacVrd; /*  */</t>
  </si>
  <si>
    <t xml:space="preserve">  alt_u16 usiDacVod; /*  */</t>
  </si>
  <si>
    <t xml:space="preserve">  alt_u8 ucTimeVccdOn; /*  */</t>
  </si>
  <si>
    <t xml:space="preserve">  alt_u8 ucTimeVclkOn; /*  */</t>
  </si>
  <si>
    <t xml:space="preserve">  alt_u8 ucTimeVan1On; /*  */</t>
  </si>
  <si>
    <t xml:space="preserve">  alt_u8 ucTimeVan2On; /*  */</t>
  </si>
  <si>
    <t xml:space="preserve">  alt_u8 ucTimeVan3On; /*  */</t>
  </si>
  <si>
    <t xml:space="preserve">  alt_u8 ucTimeVccdOff; /*  */</t>
  </si>
  <si>
    <t xml:space="preserve">  alt_u8 ucTimeVclkOff; /*  */</t>
  </si>
  <si>
    <t xml:space="preserve">  alt_u8 ucTimeVan1Off; /*  */</t>
  </si>
  <si>
    <t xml:space="preserve">  alt_u8 ucTimeVan2Off; /*  */</t>
  </si>
  <si>
    <t xml:space="preserve">  alt_u8 ucTimeVan3Off; /*  */</t>
  </si>
  <si>
    <t>} TRmapMemAreaAeb1CritConfig;</t>
  </si>
  <si>
    <t xml:space="preserve"> /* AEB 1 General Configuration Area Struct */</t>
  </si>
  <si>
    <t>typedef struct RmapMemAreaAeb1GenConfig {</t>
  </si>
  <si>
    <t xml:space="preserve">  bool bAdc1Bypas; /*  */</t>
  </si>
  <si>
    <t xml:space="preserve">  bool bAdc1Clkenb; /*  */</t>
  </si>
  <si>
    <t xml:space="preserve">  bool bAdc1Chop; /*  */</t>
  </si>
  <si>
    <t xml:space="preserve">  bool bAdc1Stat; /*  */</t>
  </si>
  <si>
    <t xml:space="preserve">  bool bAdc1Idlmod; /*  */</t>
  </si>
  <si>
    <t xml:space="preserve">  bool bAdc1Dly2; /*  */</t>
  </si>
  <si>
    <t xml:space="preserve">  bool bAdc1Dly1; /*  */</t>
  </si>
  <si>
    <t xml:space="preserve">  bool bAdc1Dly0; /*  */</t>
  </si>
  <si>
    <t xml:space="preserve">  bool bAdc1Sbcs1; /*  */</t>
  </si>
  <si>
    <t xml:space="preserve">  bool bAdc1Sbcs0; /*  */</t>
  </si>
  <si>
    <t xml:space="preserve">  bool bAdc1Drate1; /*  */</t>
  </si>
  <si>
    <t xml:space="preserve">  bool bAdc1Drate0; /*  */</t>
  </si>
  <si>
    <t xml:space="preserve">  bool bAdc1Ainp3; /*  */</t>
  </si>
  <si>
    <t xml:space="preserve">  bool bAdc1Ainp2; /*  */</t>
  </si>
  <si>
    <t xml:space="preserve">  bool bAdc1Ainp1; /*  */</t>
  </si>
  <si>
    <t xml:space="preserve">  bool bAdc1Ainp0; /*  */</t>
  </si>
  <si>
    <t xml:space="preserve">  bool bAdc1Ainn3; /*  */</t>
  </si>
  <si>
    <t xml:space="preserve">  bool bAdc1Ainn2; /*  */</t>
  </si>
  <si>
    <t xml:space="preserve">  bool bAdc1Ainn1; /*  */</t>
  </si>
  <si>
    <t xml:space="preserve">  bool bAdc1Ainn0; /*  */</t>
  </si>
  <si>
    <t xml:space="preserve">  bool bAdc1Diff7; /*  */</t>
  </si>
  <si>
    <t xml:space="preserve">  bool bAdc1Diff6; /*  */</t>
  </si>
  <si>
    <t xml:space="preserve">  bool bAdc1Diff5; /*  */</t>
  </si>
  <si>
    <t xml:space="preserve">  bool bAdc1Diff4; /*  */</t>
  </si>
  <si>
    <t xml:space="preserve">  bool bAdc1Diff3; /*  */</t>
  </si>
  <si>
    <t xml:space="preserve">  bool bAdc1Diff2; /*  */</t>
  </si>
  <si>
    <t xml:space="preserve">  bool bAdc1Diff1; /*  */</t>
  </si>
  <si>
    <t xml:space="preserve">  bool bAdc1Diff0; /*  */</t>
  </si>
  <si>
    <t xml:space="preserve">  bool bAdc1Ain7; /*  */</t>
  </si>
  <si>
    <t xml:space="preserve">  bool bAdc1Ain6; /*  */</t>
  </si>
  <si>
    <t xml:space="preserve">  bool bAdc1Ain5; /*  */</t>
  </si>
  <si>
    <t xml:space="preserve">  bool bAdc1Ain4; /*  */</t>
  </si>
  <si>
    <t xml:space="preserve">  bool bAdc1Ain3; /*  */</t>
  </si>
  <si>
    <t xml:space="preserve">  bool bAdc1Ain2; /*  */</t>
  </si>
  <si>
    <t xml:space="preserve">  bool bAdc1Ain1; /*  */</t>
  </si>
  <si>
    <t xml:space="preserve">  bool bAdc1Ain0; /*  */</t>
  </si>
  <si>
    <t xml:space="preserve">  bool bAdc1Ain15; /*  */</t>
  </si>
  <si>
    <t xml:space="preserve">  bool bAdc1Ain14; /*  */</t>
  </si>
  <si>
    <t xml:space="preserve">  bool bAdc1Ain13; /*  */</t>
  </si>
  <si>
    <t xml:space="preserve">  bool bAdc1Ain12; /*  */</t>
  </si>
  <si>
    <t xml:space="preserve">  bool bAdc1Ain11; /*  */</t>
  </si>
  <si>
    <t xml:space="preserve">  bool bAdc1Ain10; /*  */</t>
  </si>
  <si>
    <t xml:space="preserve">  bool bAdc1Ain9; /*  */</t>
  </si>
  <si>
    <t xml:space="preserve">  bool bAdc1Ain8; /*  */</t>
  </si>
  <si>
    <t xml:space="preserve">  bool bAdc1Ref; /*  */</t>
  </si>
  <si>
    <t xml:space="preserve">  bool bAdc1Gain; /*  */</t>
  </si>
  <si>
    <t xml:space="preserve">  bool bAdc1Temp; /*  */</t>
  </si>
  <si>
    <t xml:space="preserve">  bool bAdc1Vcc; /*  */</t>
  </si>
  <si>
    <t xml:space="preserve">  bool bAdc1Offset; /*  */</t>
  </si>
  <si>
    <t xml:space="preserve">  bool bAdc1Cio7; /*  */</t>
  </si>
  <si>
    <t xml:space="preserve">  bool bAdc1Cio6; /*  */</t>
  </si>
  <si>
    <t xml:space="preserve">  bool bAdc1Cio5; /*  */</t>
  </si>
  <si>
    <t xml:space="preserve">  bool bAdc1Cio4; /*  */</t>
  </si>
  <si>
    <t xml:space="preserve">  bool bAdc1Cio3; /*  */</t>
  </si>
  <si>
    <t xml:space="preserve">  bool bAdc1Cio2; /*  */</t>
  </si>
  <si>
    <t xml:space="preserve">  bool bAdc1Cio1; /*  */</t>
  </si>
  <si>
    <t xml:space="preserve">  bool bAdc1Cio0; /*  */</t>
  </si>
  <si>
    <t xml:space="preserve">  bool bAdc1Dio7; /*  */</t>
  </si>
  <si>
    <t xml:space="preserve">  bool bAdc1Dio6; /*  */</t>
  </si>
  <si>
    <t xml:space="preserve">  bool bAdc1Dio5; /*  */</t>
  </si>
  <si>
    <t xml:space="preserve">  bool bAdc1Dio4; /*  */</t>
  </si>
  <si>
    <t xml:space="preserve">  bool bAdc1Dio3; /*  */</t>
  </si>
  <si>
    <t xml:space="preserve">  bool bAdc1Dio2; /*  */</t>
  </si>
  <si>
    <t xml:space="preserve">  bool bAdc1Dio1; /*  */</t>
  </si>
  <si>
    <t xml:space="preserve">  bool bAdc1Dio0; /*  */</t>
  </si>
  <si>
    <t xml:space="preserve">  bool bAdc2Bypas; /*  */</t>
  </si>
  <si>
    <t xml:space="preserve">  bool bAdc2Clkenb; /*  */</t>
  </si>
  <si>
    <t xml:space="preserve">  bool bAdc2Chop; /*  */</t>
  </si>
  <si>
    <t xml:space="preserve">  bool bAdc2Stat; /*  */</t>
  </si>
  <si>
    <t xml:space="preserve">  bool bAdc2Idlmod; /*  */</t>
  </si>
  <si>
    <t xml:space="preserve">  bool bAdc2Dly2; /*  */</t>
  </si>
  <si>
    <t xml:space="preserve">  bool bAdc2Dly1; /*  */</t>
  </si>
  <si>
    <t xml:space="preserve">  bool bAdc2Dly0; /*  */</t>
  </si>
  <si>
    <t xml:space="preserve">  bool bAdc2Sbcs1; /*  */</t>
  </si>
  <si>
    <t xml:space="preserve">  bool bAdc2Sbcs0; /*  */</t>
  </si>
  <si>
    <t xml:space="preserve">  bool bAdc2Drate1; /*  */</t>
  </si>
  <si>
    <t xml:space="preserve">  bool bAdc2Drate0; /*  */</t>
  </si>
  <si>
    <t xml:space="preserve">  bool bAdc2Ainp3; /*  */</t>
  </si>
  <si>
    <t xml:space="preserve">  bool bAdc2Ainp2; /*  */</t>
  </si>
  <si>
    <t xml:space="preserve">  bool bAdc2Ainp1; /*  */</t>
  </si>
  <si>
    <t xml:space="preserve">  bool bAdc2Ainp0; /*  */</t>
  </si>
  <si>
    <t xml:space="preserve">  bool bAdc2Ainn3; /*  */</t>
  </si>
  <si>
    <t xml:space="preserve">  bool bAdc2Ainn2; /*  */</t>
  </si>
  <si>
    <t xml:space="preserve">  bool bAdc2Ainn1; /*  */</t>
  </si>
  <si>
    <t xml:space="preserve">  bool bAdc2Ainn0; /*  */</t>
  </si>
  <si>
    <t xml:space="preserve">  bool bAdc2Diff7; /*  */</t>
  </si>
  <si>
    <t xml:space="preserve">  bool bAdc2Diff6; /*  */</t>
  </si>
  <si>
    <t xml:space="preserve">  bool bAdc2Diff5; /*  */</t>
  </si>
  <si>
    <t xml:space="preserve">  bool bAdc2Diff4; /*  */</t>
  </si>
  <si>
    <t xml:space="preserve">  bool bAdc2Diff3; /*  */</t>
  </si>
  <si>
    <t xml:space="preserve">  bool bAdc2Diff2; /*  */</t>
  </si>
  <si>
    <t xml:space="preserve">  bool bAdc2Diff1; /*  */</t>
  </si>
  <si>
    <t xml:space="preserve">  bool bAdc2Diff0; /*  */</t>
  </si>
  <si>
    <t xml:space="preserve">  bool bAdc2Ain7; /*  */</t>
  </si>
  <si>
    <t xml:space="preserve">  bool bAdc2Ain6; /*  */</t>
  </si>
  <si>
    <t xml:space="preserve">  bool bAdc2Ain5; /*  */</t>
  </si>
  <si>
    <t xml:space="preserve">  bool bAdc2Ain4; /*  */</t>
  </si>
  <si>
    <t xml:space="preserve">  bool bAdc2Ain3; /*  */</t>
  </si>
  <si>
    <t xml:space="preserve">  bool bAdc2Ain2; /*  */</t>
  </si>
  <si>
    <t xml:space="preserve">  bool bAdc2Ain1; /*  */</t>
  </si>
  <si>
    <t xml:space="preserve">  bool bAdc2Ain0; /*  */</t>
  </si>
  <si>
    <t xml:space="preserve">  bool bAdc2Ain15; /*  */</t>
  </si>
  <si>
    <t xml:space="preserve">  bool bAdc2Ain14; /*  */</t>
  </si>
  <si>
    <t xml:space="preserve">  bool bAdc2Ain13; /*  */</t>
  </si>
  <si>
    <t xml:space="preserve">  bool bAdc2Ain12; /*  */</t>
  </si>
  <si>
    <t xml:space="preserve">  bool bAdc2Ain11; /*  */</t>
  </si>
  <si>
    <t xml:space="preserve">  bool bAdc2Ain10; /*  */</t>
  </si>
  <si>
    <t xml:space="preserve">  bool bAdc2Ain9; /*  */</t>
  </si>
  <si>
    <t xml:space="preserve">  bool bAdc2Ain8; /*  */</t>
  </si>
  <si>
    <t xml:space="preserve">  bool bAdc2Ref; /*  */</t>
  </si>
  <si>
    <t xml:space="preserve">  bool bAdc2Gain; /*  */</t>
  </si>
  <si>
    <t xml:space="preserve">  bool bAdc2Temp; /*  */</t>
  </si>
  <si>
    <t xml:space="preserve">  bool bAdc2Vcc; /*  */</t>
  </si>
  <si>
    <t xml:space="preserve">  bool bAdc2Offset; /*  */</t>
  </si>
  <si>
    <t xml:space="preserve">  bool bAdc2Cio7; /*  */</t>
  </si>
  <si>
    <t xml:space="preserve">  bool bAdc2Cio6; /*  */</t>
  </si>
  <si>
    <t xml:space="preserve">  bool bAdc2Cio5; /*  */</t>
  </si>
  <si>
    <t xml:space="preserve">  bool bAdc2Cio4; /*  */</t>
  </si>
  <si>
    <t xml:space="preserve">  bool bAdc2Cio3; /*  */</t>
  </si>
  <si>
    <t xml:space="preserve">  bool bAdc2Cio2; /*  */</t>
  </si>
  <si>
    <t xml:space="preserve">  bool bAdc2Cio1; /*  */</t>
  </si>
  <si>
    <t xml:space="preserve">  bool bAdc2Cio0; /*  */</t>
  </si>
  <si>
    <t xml:space="preserve">  bool bAdc2Dio7; /*  */</t>
  </si>
  <si>
    <t xml:space="preserve">  bool bAdc2Dio6; /*  */</t>
  </si>
  <si>
    <t xml:space="preserve">  bool bAdc2Dio5; /*  */</t>
  </si>
  <si>
    <t xml:space="preserve">  bool bAdc2Dio4; /*  */</t>
  </si>
  <si>
    <t xml:space="preserve">  bool bAdc2Dio3; /*  */</t>
  </si>
  <si>
    <t xml:space="preserve">  bool bAdc2Dio2; /*  */</t>
  </si>
  <si>
    <t xml:space="preserve">  bool bAdc2Dio1; /*  */</t>
  </si>
  <si>
    <t xml:space="preserve">  bool bAdc2Dio0; /*  */</t>
  </si>
  <si>
    <t xml:space="preserve">  alt_u32 uliSeqOe; /*  */</t>
  </si>
  <si>
    <t xml:space="preserve">  alt_u8 ucAdcClkDiv; /*  */</t>
  </si>
  <si>
    <t xml:space="preserve">  alt_u8 ucCdsClkLowPos; /*  */</t>
  </si>
  <si>
    <t xml:space="preserve">  alt_u8 ucCdsClkHighPos; /*  */</t>
  </si>
  <si>
    <t xml:space="preserve">  alt_u8 ucRphirClkLowPos; /*  */</t>
  </si>
  <si>
    <t xml:space="preserve">  alt_u8 ucRphirClkHighPos; /*  */</t>
  </si>
  <si>
    <t xml:space="preserve">  alt_u16 usiFtLoopCnt; /*  */</t>
  </si>
  <si>
    <t xml:space="preserve">  bool bLt0Enabled; /*  */</t>
  </si>
  <si>
    <t xml:space="preserve">  bool bLt0Pixreadout; /*  */</t>
  </si>
  <si>
    <t xml:space="preserve">  alt_u16 usiLt0LoopCnt; /*  */</t>
  </si>
  <si>
    <t xml:space="preserve">  bool bLt1Enabled; /*  */</t>
  </si>
  <si>
    <t xml:space="preserve">  bool bLt1Pixreadout; /*  */</t>
  </si>
  <si>
    <t xml:space="preserve">  alt_u16 usiLt1LoopCnt; /*  */</t>
  </si>
  <si>
    <t xml:space="preserve">  bool bLt2Enabled; /*  */</t>
  </si>
  <si>
    <t xml:space="preserve">  bool bLt2Pixreadout; /*  */</t>
  </si>
  <si>
    <t xml:space="preserve">  alt_u16 usiLt2LoopCnt; /*  */</t>
  </si>
  <si>
    <t xml:space="preserve">  bool bLt3Enabled; /*  */</t>
  </si>
  <si>
    <t xml:space="preserve">  bool bLt3Pixreadout; /*  */</t>
  </si>
  <si>
    <t xml:space="preserve">  alt_u16 usiLt3LoopCnt; /*  */</t>
  </si>
  <si>
    <t xml:space="preserve">  alt_u16 usiPixLoopCnt; /*  */</t>
  </si>
  <si>
    <t xml:space="preserve">  bool bPcEnabled; /*  */</t>
  </si>
  <si>
    <t xml:space="preserve">  alt_u16 usiPcLoopCnt; /*  */</t>
  </si>
  <si>
    <t xml:space="preserve">  alt_u16 usiInt1LoopCnt; /*  */</t>
  </si>
  <si>
    <t xml:space="preserve">  alt_u16 usiInt2LoopCnt; /*  */</t>
  </si>
  <si>
    <t>} TRmapMemAreaAeb1GenConfig;</t>
  </si>
  <si>
    <t xml:space="preserve"> /* AEB 1 Housekeeping Area Struct */</t>
  </si>
  <si>
    <t>typedef struct RmapMemAreaAeb1Housekeep {</t>
  </si>
  <si>
    <t xml:space="preserve">  alt_u8 ucAebState; /*  */</t>
  </si>
  <si>
    <t xml:space="preserve">  bool bVasp2CfgRun; /*  */</t>
  </si>
  <si>
    <t xml:space="preserve">  bool bVasp1CfgRun; /*  */</t>
  </si>
  <si>
    <t xml:space="preserve">  bool bDacCfgWRun; /*  */</t>
  </si>
  <si>
    <t xml:space="preserve">  bool bAdcCfgRdRun; /*  */</t>
  </si>
  <si>
    <t xml:space="preserve">  bool bAdcCfgWrRun; /*  */</t>
  </si>
  <si>
    <t xml:space="preserve">  bool bAdcDatRdRun; /*  */</t>
  </si>
  <si>
    <t xml:space="preserve">  bool bAdcError; /*  */</t>
  </si>
  <si>
    <t xml:space="preserve">  bool bAdc2Lu; /*  */</t>
  </si>
  <si>
    <t xml:space="preserve">  bool bAdc1Lu; /*  */</t>
  </si>
  <si>
    <t xml:space="preserve">  bool bAdcDatRd; /*  */</t>
  </si>
  <si>
    <t xml:space="preserve">  bool bAdc2Busy; /*  */</t>
  </si>
  <si>
    <t xml:space="preserve">  bool bAdc1Busy; /*  */</t>
  </si>
  <si>
    <t xml:space="preserve">  alt_u16 usiFrameCounter; /*  */</t>
  </si>
  <si>
    <t xml:space="preserve">  alt_u32 uliTimestamp1; /*  */</t>
  </si>
  <si>
    <t xml:space="preserve">  alt_u32 uliTimestamp0; /*  */</t>
  </si>
  <si>
    <t xml:space="preserve">  alt_u32 uliAdcRdData18; /*  */</t>
  </si>
  <si>
    <t xml:space="preserve">  alt_u32 uliAdcRdData17; /*  */</t>
  </si>
  <si>
    <t xml:space="preserve">  alt_u32 uliAdcRdData16; /*  */</t>
  </si>
  <si>
    <t xml:space="preserve">  alt_u32 uliAdcRdData15; /*  */</t>
  </si>
  <si>
    <t xml:space="preserve">  alt_u32 uliAdcRdData14; /*  */</t>
  </si>
  <si>
    <t xml:space="preserve">  alt_u32 uliAdcRdData13; /*  */</t>
  </si>
  <si>
    <t xml:space="preserve">  alt_u32 uliAdcRdData12; /*  */</t>
  </si>
  <si>
    <t xml:space="preserve">  alt_u32 uliAdcRdData11; /*  */</t>
  </si>
  <si>
    <t xml:space="preserve">  alt_u32 uliAdcRdData10; /*  */</t>
  </si>
  <si>
    <t xml:space="preserve">  alt_u32 uliAdcRdData9; /*  */</t>
  </si>
  <si>
    <t xml:space="preserve">  alt_u32 uliAdcRdData8; /*  */</t>
  </si>
  <si>
    <t xml:space="preserve">  alt_u32 uliAdcRdData7; /*  */</t>
  </si>
  <si>
    <t xml:space="preserve">  alt_u32 uliAdcRdData6; /*  */</t>
  </si>
  <si>
    <t xml:space="preserve">  alt_u32 uliAdcRdData5; /*  */</t>
  </si>
  <si>
    <t xml:space="preserve">  alt_u32 uliAdcRdData4; /*  */</t>
  </si>
  <si>
    <t xml:space="preserve">  alt_u32 uliAdcRdData3; /*  */</t>
  </si>
  <si>
    <t xml:space="preserve">  alt_u32 uliAdcRdData2; /*  */</t>
  </si>
  <si>
    <t xml:space="preserve">  alt_u32 uliAdcRdData1; /*  */</t>
  </si>
  <si>
    <t xml:space="preserve">  alt_u32 uliAdcRdData0; /*  */</t>
  </si>
  <si>
    <t xml:space="preserve">  alt_u32 uliAdc1RdConfig3; /*  */</t>
  </si>
  <si>
    <t xml:space="preserve">  alt_u32 uliAdc1RdConfig2; /*  */</t>
  </si>
  <si>
    <t xml:space="preserve">  alt_u32 uliAdc1RdConfig1; /*  */</t>
  </si>
  <si>
    <t xml:space="preserve">  alt_u32 uliAdc1RdConfig0; /*  */</t>
  </si>
  <si>
    <t xml:space="preserve">  alt_u32 uliAdc2RdConfig3; /*  */</t>
  </si>
  <si>
    <t xml:space="preserve">  alt_u32 uliAdc2RdConfig2; /*  */</t>
  </si>
  <si>
    <t xml:space="preserve">  alt_u32 uliAdc2RdConfig1; /*  */</t>
  </si>
  <si>
    <t xml:space="preserve">  alt_u32 uliAdc2RdConfig0; /*  */</t>
  </si>
  <si>
    <t xml:space="preserve">  alt_u8 ucVasp1ReadData; /*  */</t>
  </si>
  <si>
    <t xml:space="preserve">  alt_u8 ucVasp2ReadData; /*  */</t>
  </si>
  <si>
    <t xml:space="preserve">  alt_u16 usiFpgaVer; /*  */</t>
  </si>
  <si>
    <t xml:space="preserve">  alt_u16 usiFpgaDate; /*  */</t>
  </si>
  <si>
    <t xml:space="preserve">  alt_u16 usiFpgaTime; /*  */</t>
  </si>
  <si>
    <t xml:space="preserve">  alt_u16 usiFpgaSvn; /*  */</t>
  </si>
  <si>
    <t>} TRmapMemAreaAeb1Housekeep;</t>
  </si>
  <si>
    <t xml:space="preserve"> /* AEB 2 Critical Configuration Area Struct */</t>
  </si>
  <si>
    <t>typedef struct RmapMemAreaAeb2CritConfig {</t>
  </si>
  <si>
    <t>} TRmapMemAreaAeb2CritConfig;</t>
  </si>
  <si>
    <t xml:space="preserve"> /* AEB 2 General Configuration Area Struct */</t>
  </si>
  <si>
    <t>typedef struct RmapMemAreaAeb2GenConfig {</t>
  </si>
  <si>
    <t>} TRmapMemAreaAeb2GenConfig;</t>
  </si>
  <si>
    <t xml:space="preserve"> /* AEB 2 Housekeeping Area Struct */</t>
  </si>
  <si>
    <t>typedef struct RmapMemAreaAeb2Housekeep {</t>
  </si>
  <si>
    <t>} TRmapMemAreaAeb2Housekeep;</t>
  </si>
  <si>
    <t xml:space="preserve"> /* AEB 3 Critical Configuration Area Struct */</t>
  </si>
  <si>
    <t>typedef struct RmapMemAreaAeb3CritConfig {</t>
  </si>
  <si>
    <t>} TRmapMemAreaAeb3CritConfig;</t>
  </si>
  <si>
    <t xml:space="preserve"> /* AEB 3 General Configuration Area Struct */</t>
  </si>
  <si>
    <t>typedef struct RmapMemAreaAeb3GenConfig {</t>
  </si>
  <si>
    <t>} TRmapMemAreaAeb3GenConfig;</t>
  </si>
  <si>
    <t xml:space="preserve"> /* AEB 3 Housekeeping Area Struct */</t>
  </si>
  <si>
    <t>typedef struct RmapMemAreaAeb3Housekeep {</t>
  </si>
  <si>
    <t>} TRmapMemAreaAeb3Housekeep;</t>
  </si>
  <si>
    <t xml:space="preserve"> /* AEB 4 Critical Configuration Area Struct */</t>
  </si>
  <si>
    <t>typedef struct RmapMemAreaAeb4CritConfig {</t>
  </si>
  <si>
    <t>} TRmapMemAreaAeb4CritConfig;</t>
  </si>
  <si>
    <t xml:space="preserve"> /* AEB 4 General Configuration Area Struct */</t>
  </si>
  <si>
    <t>typedef struct RmapMemAreaAeb4GenConfig {</t>
  </si>
  <si>
    <t>} TRmapMemAreaAeb4GenConfig;</t>
  </si>
  <si>
    <t xml:space="preserve"> /* AEB 4 Housekeeping Area Struct */</t>
  </si>
  <si>
    <t>typedef struct RmapMemAreaAeb4Housekeep {</t>
  </si>
  <si>
    <t>} TRmapMemAreaAeb4Housekeep;</t>
  </si>
  <si>
    <t xml:space="preserve"> /* Dummy Struct */</t>
  </si>
  <si>
    <t>typedef struct Dummy {</t>
  </si>
  <si>
    <t xml:space="preserve">  bool bDummy; /*  */</t>
  </si>
  <si>
    <t>} TDummy;</t>
  </si>
  <si>
    <t xml:space="preserve">  TRmapMemAreaDebCritConfig xRmapMemAreaDebCritConfig;</t>
  </si>
  <si>
    <t xml:space="preserve">  TRmapMemAreaDebGenConfig xRmapMemAreaDebGenConfig;</t>
  </si>
  <si>
    <t xml:space="preserve">  TRmapMemAreaDebHousekeep xRmapMemAreaDebHousekeep;</t>
  </si>
  <si>
    <t xml:space="preserve">  TRmapMemAreaAeb1CritConfig xRmapMemAreaAeb1CritConfig;</t>
  </si>
  <si>
    <t xml:space="preserve">  TRmapMemAreaAeb1GenConfig xRmapMemAreaAeb1GenConfig;</t>
  </si>
  <si>
    <t xml:space="preserve">  TRmapMemAreaAeb1Housekeep xRmapMemAreaAeb1Housekeep;</t>
  </si>
  <si>
    <t xml:space="preserve">  TRmapMemAreaAeb2CritConfig xRmapMemAreaAeb2CritConfig;</t>
  </si>
  <si>
    <t xml:space="preserve">  TRmapMemAreaAeb2GenConfig xRmapMemAreaAeb2GenConfig;</t>
  </si>
  <si>
    <t xml:space="preserve">  TRmapMemAreaAeb2Housekeep xRmapMemAreaAeb2Housekeep;</t>
  </si>
  <si>
    <t xml:space="preserve">  TRmapMemAreaAeb3CritConfig xRmapMemAreaAeb3CritConfig;</t>
  </si>
  <si>
    <t xml:space="preserve">  TRmapMemAreaAeb3GenConfig xRmapMemAreaAeb3GenConfig;</t>
  </si>
  <si>
    <t xml:space="preserve">  TRmapMemAreaAeb3Housekeep xRmapMemAreaAeb3Housekeep;</t>
  </si>
  <si>
    <t xml:space="preserve">  TRmapMemAreaAeb4CritConfig xRmapMemAreaAeb4CritConfig;</t>
  </si>
  <si>
    <t xml:space="preserve">  TRmapMemAreaAeb4GenConfig xRmapMemAreaAeb4GenConfig;</t>
  </si>
  <si>
    <t xml:space="preserve">  TRmapMemAreaAeb4Housekeep xRmapMemAreaAeb4Housekeep;</t>
  </si>
  <si>
    <t xml:space="preserve">  TDummy xDummy;</t>
  </si>
  <si>
    <t>constant c_AVALON_MM_RMAP_MIN_ADDR : natural range 0 to 4095 := 16#000#;</t>
  </si>
  <si>
    <t>constant c_AVALON_MM_RMAP_MAX_ADDR : natural range 0 to 4095 := 16#3FB#;</t>
  </si>
  <si>
    <t xml:space="preserve">  when (16#000#) =&gt;</t>
  </si>
  <si>
    <t xml:space="preserve">  when (16#001#) =&gt;</t>
  </si>
  <si>
    <t xml:space="preserve">  when (16#002#) =&gt;</t>
  </si>
  <si>
    <t xml:space="preserve">  when (16#003#) =&gt;</t>
  </si>
  <si>
    <t xml:space="preserve">  when (16#004#) =&gt;</t>
  </si>
  <si>
    <t xml:space="preserve">  when (16#005#) =&gt;</t>
  </si>
  <si>
    <t xml:space="preserve">  when (16#006#) =&gt;</t>
  </si>
  <si>
    <t xml:space="preserve">  when (16#007#) =&gt;</t>
  </si>
  <si>
    <t xml:space="preserve">  when (16#008#) =&gt;</t>
  </si>
  <si>
    <t xml:space="preserve">  when (16#009#) =&gt;</t>
  </si>
  <si>
    <t xml:space="preserve">  when (16#00A#) =&gt;</t>
  </si>
  <si>
    <t xml:space="preserve">  when (16#00B#) =&gt;</t>
  </si>
  <si>
    <t xml:space="preserve">  when (16#00C#) =&gt;</t>
  </si>
  <si>
    <t xml:space="preserve">  when (16#00D#) =&gt;</t>
  </si>
  <si>
    <t xml:space="preserve">  when (16#00E#) =&gt;</t>
  </si>
  <si>
    <t xml:space="preserve">  when (16#00F#) =&gt;</t>
  </si>
  <si>
    <t xml:space="preserve">  when (16#010#) =&gt;</t>
  </si>
  <si>
    <t xml:space="preserve">  when (16#011#) =&gt;</t>
  </si>
  <si>
    <t xml:space="preserve">  when (16#012#) =&gt;</t>
  </si>
  <si>
    <t xml:space="preserve">  when (16#013#) =&gt;</t>
  </si>
  <si>
    <t xml:space="preserve">  when (16#014#) =&gt;</t>
  </si>
  <si>
    <t xml:space="preserve">  when (16#015#) =&gt;</t>
  </si>
  <si>
    <t xml:space="preserve">  when (16#016#) =&gt;</t>
  </si>
  <si>
    <t xml:space="preserve">  when (16#017#) =&gt;</t>
  </si>
  <si>
    <t xml:space="preserve">  when (16#018#) =&gt;</t>
  </si>
  <si>
    <t xml:space="preserve">  when (16#019#) =&gt;</t>
  </si>
  <si>
    <t xml:space="preserve">  when (16#01A#) =&gt;</t>
  </si>
  <si>
    <t xml:space="preserve">  when (16#01B#) =&gt;</t>
  </si>
  <si>
    <t xml:space="preserve">  when (16#01C#) =&gt;</t>
  </si>
  <si>
    <t xml:space="preserve">  when (16#01D#) =&gt;</t>
  </si>
  <si>
    <t xml:space="preserve">  when (16#01E#) =&gt;</t>
  </si>
  <si>
    <t xml:space="preserve">  when (16#01F#) =&gt;</t>
  </si>
  <si>
    <t xml:space="preserve">  when (16#020#) =&gt;</t>
  </si>
  <si>
    <t xml:space="preserve">  when (16#021#) =&gt;</t>
  </si>
  <si>
    <t xml:space="preserve">  when (16#022#) =&gt;</t>
  </si>
  <si>
    <t xml:space="preserve">  when (16#023#) =&gt;</t>
  </si>
  <si>
    <t xml:space="preserve">  when (16#024#) =&gt;</t>
  </si>
  <si>
    <t xml:space="preserve">  when (16#025#) =&gt;</t>
  </si>
  <si>
    <t xml:space="preserve">  when (16#026#) =&gt;</t>
  </si>
  <si>
    <t xml:space="preserve">  when (16#027#) =&gt;</t>
  </si>
  <si>
    <t xml:space="preserve">  when (16#028#) =&gt;</t>
  </si>
  <si>
    <t xml:space="preserve">  when (16#029#) =&gt;</t>
  </si>
  <si>
    <t xml:space="preserve">  when (16#02A#) =&gt;</t>
  </si>
  <si>
    <t xml:space="preserve">  when (16#02B#) =&gt;</t>
  </si>
  <si>
    <t xml:space="preserve">  when (16#02C#) =&gt;</t>
  </si>
  <si>
    <t xml:space="preserve">  when (16#02D#) =&gt;</t>
  </si>
  <si>
    <t xml:space="preserve">  when (16#02E#) =&gt;</t>
  </si>
  <si>
    <t xml:space="preserve">  when (16#02F#) =&gt;</t>
  </si>
  <si>
    <t xml:space="preserve">  when (16#030#) =&gt;</t>
  </si>
  <si>
    <t xml:space="preserve">  when (16#031#) =&gt;</t>
  </si>
  <si>
    <t xml:space="preserve">  when (16#032#) =&gt;</t>
  </si>
  <si>
    <t xml:space="preserve">  when (16#033#) =&gt;</t>
  </si>
  <si>
    <t xml:space="preserve">  when (16#034#) =&gt;</t>
  </si>
  <si>
    <t xml:space="preserve">  when (16#035#) =&gt;</t>
  </si>
  <si>
    <t xml:space="preserve">  when (16#036#) =&gt;</t>
  </si>
  <si>
    <t xml:space="preserve">  when (16#037#) =&gt;</t>
  </si>
  <si>
    <t xml:space="preserve">  when (16#038#) =&gt;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</si>
  <si>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</si>
  <si>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</si>
  <si>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</si>
  <si>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</si>
  <si>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</si>
  <si>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</si>
  <si>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</si>
  <si>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</si>
  <si>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</si>
  <si>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</si>
  <si>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</si>
  <si>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</si>
  <si>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</si>
  <si>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</si>
  <si>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</si>
  <si>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</si>
  <si>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</si>
  <si>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</si>
  <si>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</si>
  <si>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</si>
  <si>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</si>
  <si>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</si>
  <si>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</si>
  <si>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</si>
  <si>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</si>
  <si>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</si>
  <si>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</si>
  <si>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</si>
  <si>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</si>
  <si>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</si>
  <si>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</si>
  <si>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</si>
  <si>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</si>
  <si>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</si>
  <si>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</si>
  <si>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</si>
  <si>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</si>
  <si>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</si>
  <si>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</si>
  <si>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</si>
  <si>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</si>
  <si>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</si>
  <si>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</si>
  <si>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</si>
  <si>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</si>
  <si>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</si>
  <si>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</si>
  <si>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</si>
  <si>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</si>
  <si>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</si>
  <si>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</si>
  <si>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</si>
  <si>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</si>
  <si>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when (16#06E#) =&gt;</t>
  </si>
  <si>
    <t xml:space="preserve">  when (16#06F#) =&gt;</t>
  </si>
  <si>
    <t xml:space="preserve">  when (16#070#) =&gt;</t>
  </si>
  <si>
    <t xml:space="preserve">  when (16#071#) =&gt;</t>
  </si>
  <si>
    <t xml:space="preserve">  when (16#072#) =&gt;</t>
  </si>
  <si>
    <t xml:space="preserve">  when (16#073#) =&gt;</t>
  </si>
  <si>
    <t xml:space="preserve">  when (16#074#) =&gt;</t>
  </si>
  <si>
    <t xml:space="preserve">  when (16#075#) =&gt;</t>
  </si>
  <si>
    <t xml:space="preserve">  when (16#076#) =&gt;</t>
  </si>
  <si>
    <t xml:space="preserve">  when (16#077#) =&gt;</t>
  </si>
  <si>
    <t xml:space="preserve">  when (16#078#) =&gt;</t>
  </si>
  <si>
    <t xml:space="preserve">  when (16#079#) =&gt;</t>
  </si>
  <si>
    <t xml:space="preserve">  when (16#07A#) =&gt;</t>
  </si>
  <si>
    <t xml:space="preserve">  when (16#07B#) =&gt;</t>
  </si>
  <si>
    <t xml:space="preserve">  when (16#07C#) =&gt;</t>
  </si>
  <si>
    <t xml:space="preserve">  when (16#07D#) =&gt;</t>
  </si>
  <si>
    <t xml:space="preserve">  when (16#07E#) =&gt;</t>
  </si>
  <si>
    <t xml:space="preserve">  when (16#07F#) =&gt;</t>
  </si>
  <si>
    <t xml:space="preserve">  when (16#080#) =&gt;</t>
  </si>
  <si>
    <t xml:space="preserve">  when (16#081#) =&gt;</t>
  </si>
  <si>
    <t xml:space="preserve">  when (16#082#) =&gt;</t>
  </si>
  <si>
    <t xml:space="preserve">  when (16#083#) =&gt;</t>
  </si>
  <si>
    <t xml:space="preserve">  when (16#084#) =&gt;</t>
  </si>
  <si>
    <t xml:space="preserve">  when (16#085#) =&gt;</t>
  </si>
  <si>
    <t xml:space="preserve">  when (16#086#) =&gt;</t>
  </si>
  <si>
    <t xml:space="preserve">  when (16#087#) =&gt;</t>
  </si>
  <si>
    <t xml:space="preserve">  when (16#088#) =&gt;</t>
  </si>
  <si>
    <t xml:space="preserve">  when (16#089#) =&gt;</t>
  </si>
  <si>
    <t xml:space="preserve">  when (16#08A#) =&gt;</t>
  </si>
  <si>
    <t xml:space="preserve">  when (16#08B#) =&gt;</t>
  </si>
  <si>
    <t xml:space="preserve">  when (16#08C#) =&gt;</t>
  </si>
  <si>
    <t xml:space="preserve">  when (16#08D#) =&gt;</t>
  </si>
  <si>
    <t xml:space="preserve">  when (16#08E#) =&gt;</t>
  </si>
  <si>
    <t xml:space="preserve">  when (16#08F#) =&gt;</t>
  </si>
  <si>
    <t xml:space="preserve">  when (16#090#) =&gt;</t>
  </si>
  <si>
    <t xml:space="preserve">  when (16#091#) =&gt;</t>
  </si>
  <si>
    <t xml:space="preserve">  when (16#092#) =&gt;</t>
  </si>
  <si>
    <t xml:space="preserve">  when (16#093#) =&gt;</t>
  </si>
  <si>
    <t xml:space="preserve">  when (16#094#) =&gt;</t>
  </si>
  <si>
    <t xml:space="preserve">  when (16#095#) =&gt;</t>
  </si>
  <si>
    <t xml:space="preserve">  when (16#096#) =&gt;</t>
  </si>
  <si>
    <t xml:space="preserve">  when (16#097#) =&gt;</t>
  </si>
  <si>
    <t xml:space="preserve">  when (16#098#) =&gt;</t>
  </si>
  <si>
    <t xml:space="preserve">  when (16#099#) =&gt;</t>
  </si>
  <si>
    <t xml:space="preserve">  when (16#09A#) =&gt;</t>
  </si>
  <si>
    <t xml:space="preserve">  when (16#09B#) =&gt;</t>
  </si>
  <si>
    <t xml:space="preserve">  when (16#09C#) =&gt;</t>
  </si>
  <si>
    <t xml:space="preserve">  when (16#09D#) =&gt;</t>
  </si>
  <si>
    <t xml:space="preserve">  when (16#09E#) =&gt;</t>
  </si>
  <si>
    <t xml:space="preserve">  when (16#09F#) =&gt;</t>
  </si>
  <si>
    <t xml:space="preserve">  when (16#0A0#) =&gt;</t>
  </si>
  <si>
    <t xml:space="preserve">  when (16#0A1#) =&gt;</t>
  </si>
  <si>
    <t xml:space="preserve">  when (16#0A2#) =&gt;</t>
  </si>
  <si>
    <t xml:space="preserve">  when (16#0A3#) =&gt;</t>
  </si>
  <si>
    <t xml:space="preserve">  when (16#0A4#) =&gt;</t>
  </si>
  <si>
    <t xml:space="preserve">  when (16#0A5#) =&gt;</t>
  </si>
  <si>
    <t xml:space="preserve">  when (16#0A6#) =&gt;</t>
  </si>
  <si>
    <t xml:space="preserve">  when (16#0A7#) =&gt;</t>
  </si>
  <si>
    <t xml:space="preserve">  when (16#0A8#) =&gt;</t>
  </si>
  <si>
    <t xml:space="preserve">  when (16#0A9#) =&gt;</t>
  </si>
  <si>
    <t xml:space="preserve">  when (16#0AA#) =&gt;</t>
  </si>
  <si>
    <t xml:space="preserve">  when (16#0AB#) =&gt;</t>
  </si>
  <si>
    <t xml:space="preserve">  when (16#0AC#) =&gt;</t>
  </si>
  <si>
    <t xml:space="preserve">  when (16#0AD#) =&gt;</t>
  </si>
  <si>
    <t xml:space="preserve">  when (16#0AE#) =&gt;</t>
  </si>
  <si>
    <t xml:space="preserve">  when (16#0AF#) =&gt;</t>
  </si>
  <si>
    <t xml:space="preserve">  when (16#0B0#) =&gt;</t>
  </si>
  <si>
    <t xml:space="preserve">  when (16#0B1#) =&gt;</t>
  </si>
  <si>
    <t xml:space="preserve">  when (16#0B2#) =&gt;</t>
  </si>
  <si>
    <t xml:space="preserve">  when (16#0B3#) =&gt;</t>
  </si>
  <si>
    <t xml:space="preserve">  when (16#0B4#) =&gt;</t>
  </si>
  <si>
    <t xml:space="preserve">  when (16#0B5#) =&gt;</t>
  </si>
  <si>
    <t xml:space="preserve">  when (16#0B6#) =&gt;</t>
  </si>
  <si>
    <t xml:space="preserve">  when (16#0B7#) =&gt;</t>
  </si>
  <si>
    <t xml:space="preserve">  when (16#0B8#) =&gt;</t>
  </si>
  <si>
    <t xml:space="preserve">  when (16#0B9#) =&gt;</t>
  </si>
  <si>
    <t xml:space="preserve">  when (16#0BA#) =&gt;</t>
  </si>
  <si>
    <t xml:space="preserve">  when (16#0BB#) =&gt;</t>
  </si>
  <si>
    <t xml:space="preserve">  when (16#0BC#) =&gt;</t>
  </si>
  <si>
    <t xml:space="preserve">  when (16#0BD#) =&gt;</t>
  </si>
  <si>
    <t xml:space="preserve">  when (16#0BE#) =&gt;</t>
  </si>
  <si>
    <t xml:space="preserve">  when (16#0BF#) =&gt;</t>
  </si>
  <si>
    <t xml:space="preserve">  when (16#0C0#) =&gt;</t>
  </si>
  <si>
    <t xml:space="preserve">  when (16#0C1#) =&gt;</t>
  </si>
  <si>
    <t xml:space="preserve">  when (16#0C2#) =&gt;</t>
  </si>
  <si>
    <t xml:space="preserve">  when (16#0C3#) =&gt;</t>
  </si>
  <si>
    <t xml:space="preserve">  when (16#0C4#) =&gt;</t>
  </si>
  <si>
    <t xml:space="preserve">  when (16#0C5#) =&gt;</t>
  </si>
  <si>
    <t xml:space="preserve">  when (16#0C6#) =&gt;</t>
  </si>
  <si>
    <t xml:space="preserve">  when (16#0C7#) =&gt;</t>
  </si>
  <si>
    <t xml:space="preserve">  when (16#0C8#) =&gt;</t>
  </si>
  <si>
    <t xml:space="preserve">  when (16#0C9#) =&gt;</t>
  </si>
  <si>
    <t xml:space="preserve">  when (16#0CA#) =&gt;</t>
  </si>
  <si>
    <t xml:space="preserve">  when (16#0CB#) =&gt;</t>
  </si>
  <si>
    <t xml:space="preserve">  when (16#0CC#) =&gt;</t>
  </si>
  <si>
    <t xml:space="preserve">  when (16#0CD#) =&gt;</t>
  </si>
  <si>
    <t xml:space="preserve">  when (16#0CE#) =&gt;</t>
  </si>
  <si>
    <t xml:space="preserve">  when (16#0CF#) =&gt;</t>
  </si>
  <si>
    <t xml:space="preserve">  when (16#0D0#) =&gt;</t>
  </si>
  <si>
    <t xml:space="preserve">  when (16#0D1#) =&gt;</t>
  </si>
  <si>
    <t xml:space="preserve">  when (16#0D2#) =&gt;</t>
  </si>
  <si>
    <t xml:space="preserve">  when (16#0D3#) =&gt;</t>
  </si>
  <si>
    <t xml:space="preserve">  when (16#0D4#) =&gt;</t>
  </si>
  <si>
    <t xml:space="preserve">  when (16#0D5#) =&gt;</t>
  </si>
  <si>
    <t xml:space="preserve">  when (16#0D6#) =&gt;</t>
  </si>
  <si>
    <t xml:space="preserve">  when (16#0D7#) =&gt;</t>
  </si>
  <si>
    <t xml:space="preserve">  when (16#0D8#) =&gt;</t>
  </si>
  <si>
    <t xml:space="preserve">  when (16#0D9#) =&gt;</t>
  </si>
  <si>
    <t xml:space="preserve">  when (16#0DA#) =&gt;</t>
  </si>
  <si>
    <t xml:space="preserve">  when (16#0DB#) =&gt;</t>
  </si>
  <si>
    <t xml:space="preserve">  when (16#0DC#) =&gt;</t>
  </si>
  <si>
    <t xml:space="preserve">  when (16#0DD#) =&gt;</t>
  </si>
  <si>
    <t xml:space="preserve">  when (16#0DE#) =&gt;</t>
  </si>
  <si>
    <t xml:space="preserve">  when (16#0DF#) =&gt;</t>
  </si>
  <si>
    <t xml:space="preserve">  when (16#0E0#) =&gt;</t>
  </si>
  <si>
    <t xml:space="preserve">  when (16#0E1#) =&gt;</t>
  </si>
  <si>
    <t xml:space="preserve">  when (16#0E2#) =&gt;</t>
  </si>
  <si>
    <t xml:space="preserve">  when (16#0E3#) =&gt;</t>
  </si>
  <si>
    <t xml:space="preserve">  when (16#0E4#) =&gt;</t>
  </si>
  <si>
    <t xml:space="preserve">  when (16#0E5#) =&gt;</t>
  </si>
  <si>
    <t xml:space="preserve">  when (16#0E6#) =&gt;</t>
  </si>
  <si>
    <t xml:space="preserve">  when (16#0E7#) =&gt;</t>
  </si>
  <si>
    <t xml:space="preserve">  when (16#0E8#) =&gt;</t>
  </si>
  <si>
    <t xml:space="preserve">  when (16#0E9#) =&gt;</t>
  </si>
  <si>
    <t xml:space="preserve">  when (16#0EA#) =&gt;</t>
  </si>
  <si>
    <t xml:space="preserve">  when (16#0EB#) =&gt;</t>
  </si>
  <si>
    <t xml:space="preserve">  when (16#0EC#) =&gt;</t>
  </si>
  <si>
    <t xml:space="preserve">  when (16#0ED#) =&gt;</t>
  </si>
  <si>
    <t xml:space="preserve">  when (16#0EE#) =&gt;</t>
  </si>
  <si>
    <t xml:space="preserve">  when (16#0EF#) =&gt;</t>
  </si>
  <si>
    <t xml:space="preserve">  when (16#0F0#) =&gt;</t>
  </si>
  <si>
    <t xml:space="preserve">  when (16#0F1#) =&gt;</t>
  </si>
  <si>
    <t xml:space="preserve">  when (16#0F2#) =&gt;</t>
  </si>
  <si>
    <t xml:space="preserve">  when (16#0F3#) =&gt;</t>
  </si>
  <si>
    <t xml:space="preserve">  when (16#0F4#) =&gt;</t>
  </si>
  <si>
    <t xml:space="preserve">  when (16#0F5#) =&gt;</t>
  </si>
  <si>
    <t xml:space="preserve">  when (16#0F6#) =&gt;</t>
  </si>
  <si>
    <t xml:space="preserve">  when (16#0F7#) =&gt;</t>
  </si>
  <si>
    <t xml:space="preserve">  when (16#0F8#) =&gt;</t>
  </si>
  <si>
    <t xml:space="preserve">  when (16#0F9#) =&gt;</t>
  </si>
  <si>
    <t xml:space="preserve">  when (16#0FA#) =&gt;</t>
  </si>
  <si>
    <t xml:space="preserve">  when (16#0FB#) =&gt;</t>
  </si>
  <si>
    <t xml:space="preserve">  when (16#0FC#) =&gt;</t>
  </si>
  <si>
    <t xml:space="preserve">  when (16#0FD#) =&gt;</t>
  </si>
  <si>
    <t xml:space="preserve">  when (16#0FE#) =&gt;</t>
  </si>
  <si>
    <t xml:space="preserve">  when (16#0FF#)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</si>
</sst>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83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118</v>
      </c>
      <c r="AB2" s="28"/>
      <c r="AC2" s="28"/>
      <c r="AD2" s="28"/>
      <c r="AE2" s="28" t="s">
        <v>23</v>
      </c>
      <c r="AF2" s="28"/>
      <c r="AG2" s="28"/>
      <c r="AH2" s="28"/>
      <c r="AI2" s="6" t="s">
        <v>84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152</v>
      </c>
      <c r="D4" s="2" t="s">
        <v>1</v>
      </c>
      <c r="E4" s="2" t="s">
        <v>134</v>
      </c>
      <c r="F4" s="2" t="s">
        <v>153</v>
      </c>
      <c r="G4" s="2" t="s">
        <v>154</v>
      </c>
      <c r="H4" s="2" t="s">
        <v>155</v>
      </c>
      <c r="I4" s="2" t="s">
        <v>42</v>
      </c>
      <c r="J4" s="2">
        <v>1</v>
      </c>
      <c r="K4" s="2" t="s">
        <v>82</v>
      </c>
      <c r="L4" s="2" t="s">
        <v>41</v>
      </c>
      <c r="M4" s="2" t="s">
        <v>135</v>
      </c>
      <c r="N4" s="2" t="s">
        <v>156</v>
      </c>
      <c r="O4" s="2" t="s">
        <v>157</v>
      </c>
      <c r="P4" s="2" t="s">
        <v>5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0">IF(X4="","",CONCATENATE("(",IF(($J4-COUNTIF($Y4:$Z4,"X")*8)=1,"16)",CONCATENATE(IF(($J4-COUNTIF($Y4:$Z4,"X")*8)&gt;=8,24,($J4-COUNTIF($Y4:$Z4,"X")*8)+16)-1," downto 16)"))))</f>
        <v/>
      </c>
      <c r="AC4" s="2" t="str">
        <f t="shared" ref="AC4:AC67" si="1">IF(Y4="","",CONCATENATE("(",IF(($J4-COUNTIF($Z4,"X")*8)=1,"8)",CONCATENATE(IF(($J4-COUNTIF($Z4,"X")*8)&gt;=8,16,($J4-COUNTIF($Z4,"X")*8)+8)-1," downto 8)"))))</f>
        <v/>
      </c>
      <c r="AD4" s="2" t="str">
        <f t="shared" ref="AD4:AD67" si="2">IF(Z4="","",CONCATENATE("(",IF($J4=1,"0)",CONCATENATE(IF($J4&gt;=8,8,$J4)-1," downto 0)"))))</f>
        <v>(0)</v>
      </c>
      <c r="AE4" s="2" t="str">
        <f t="shared" ref="AE4:AE67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7" si="6">IF(Z4="","",IF($J4&lt;=8,"",CONCATENATE("(",IF($J4&gt;=8,7,$J4-1)," downto ",0,")")))</f>
        <v/>
      </c>
    </row>
    <row r="5" spans="1:35" x14ac:dyDescent="0.25">
      <c r="B5" s="2" t="s">
        <v>152</v>
      </c>
      <c r="D5" s="2" t="s">
        <v>1</v>
      </c>
      <c r="E5" s="2" t="s">
        <v>134</v>
      </c>
      <c r="F5" s="2" t="s">
        <v>153</v>
      </c>
      <c r="G5" s="2" t="s">
        <v>154</v>
      </c>
      <c r="H5" s="2" t="s">
        <v>158</v>
      </c>
      <c r="I5" s="2" t="s">
        <v>42</v>
      </c>
      <c r="J5" s="2">
        <v>1</v>
      </c>
      <c r="K5" s="2" t="s">
        <v>82</v>
      </c>
      <c r="L5" s="2" t="s">
        <v>41</v>
      </c>
      <c r="M5" s="2" t="s">
        <v>135</v>
      </c>
      <c r="N5" s="2" t="s">
        <v>156</v>
      </c>
      <c r="O5" s="2" t="s">
        <v>159</v>
      </c>
      <c r="P5" s="2" t="s">
        <v>5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ref="T5:T68" si="7">DEC2HEX($S5,4)</f>
        <v>0004</v>
      </c>
      <c r="U5" s="2">
        <f t="shared" ref="U5:U68" si="8">ROUNDDOWN(S5/4,0)</f>
        <v>1</v>
      </c>
      <c r="V5" s="2" t="str">
        <f t="shared" ref="V5:V68" si="9">DEC2HEX($U5,3)</f>
        <v>001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>X</v>
      </c>
      <c r="AA5" s="2" t="str">
        <f t="shared" ref="AA5:AA67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/>
      </c>
      <c r="AD5" s="2" t="str">
        <f t="shared" si="2"/>
        <v>(0)</v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152</v>
      </c>
      <c r="D6" s="2" t="s">
        <v>1</v>
      </c>
      <c r="E6" s="2" t="s">
        <v>134</v>
      </c>
      <c r="F6" s="2" t="s">
        <v>153</v>
      </c>
      <c r="G6" s="2" t="s">
        <v>154</v>
      </c>
      <c r="H6" s="2" t="s">
        <v>160</v>
      </c>
      <c r="I6" s="2" t="s">
        <v>42</v>
      </c>
      <c r="J6" s="2">
        <v>1</v>
      </c>
      <c r="K6" s="2" t="s">
        <v>82</v>
      </c>
      <c r="L6" s="2" t="s">
        <v>41</v>
      </c>
      <c r="M6" s="2" t="s">
        <v>135</v>
      </c>
      <c r="N6" s="2" t="s">
        <v>156</v>
      </c>
      <c r="O6" s="2" t="s">
        <v>161</v>
      </c>
      <c r="P6" s="2" t="s">
        <v>5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7"/>
        <v>0008</v>
      </c>
      <c r="U6" s="2">
        <f t="shared" si="8"/>
        <v>2</v>
      </c>
      <c r="V6" s="2" t="str">
        <f t="shared" si="9"/>
        <v>002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0"/>
        <v/>
      </c>
      <c r="AC6" s="2" t="str">
        <f t="shared" si="1"/>
        <v/>
      </c>
      <c r="AD6" s="2" t="str">
        <f t="shared" si="2"/>
        <v>(0)</v>
      </c>
      <c r="AE6" s="2" t="str">
        <f t="shared" si="3"/>
        <v/>
      </c>
      <c r="AF6" s="2" t="str">
        <f t="shared" si="4"/>
        <v/>
      </c>
      <c r="AG6" s="2" t="str">
        <f t="shared" si="5"/>
        <v/>
      </c>
      <c r="AH6" s="2" t="str">
        <f t="shared" si="6"/>
        <v/>
      </c>
    </row>
    <row r="7" spans="1:35" x14ac:dyDescent="0.25">
      <c r="B7" s="2" t="s">
        <v>152</v>
      </c>
      <c r="D7" s="2" t="s">
        <v>1</v>
      </c>
      <c r="E7" s="2" t="s">
        <v>134</v>
      </c>
      <c r="F7" s="2" t="s">
        <v>153</v>
      </c>
      <c r="G7" s="2" t="s">
        <v>154</v>
      </c>
      <c r="H7" s="2" t="s">
        <v>162</v>
      </c>
      <c r="I7" s="2" t="s">
        <v>42</v>
      </c>
      <c r="J7" s="2">
        <v>1</v>
      </c>
      <c r="K7" s="2" t="s">
        <v>82</v>
      </c>
      <c r="L7" s="2" t="s">
        <v>41</v>
      </c>
      <c r="M7" s="2" t="s">
        <v>135</v>
      </c>
      <c r="N7" s="2" t="s">
        <v>156</v>
      </c>
      <c r="O7" s="2" t="s">
        <v>163</v>
      </c>
      <c r="P7" s="2" t="s">
        <v>5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7"/>
        <v>000C</v>
      </c>
      <c r="U7" s="2">
        <f t="shared" si="8"/>
        <v>3</v>
      </c>
      <c r="V7" s="2" t="str">
        <f t="shared" si="9"/>
        <v>003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si="13"/>
        <v/>
      </c>
      <c r="AB7" s="2" t="str">
        <f t="shared" si="0"/>
        <v/>
      </c>
      <c r="AC7" s="2" t="str">
        <f t="shared" si="1"/>
        <v/>
      </c>
      <c r="AD7" s="2" t="str">
        <f t="shared" si="2"/>
        <v>(0)</v>
      </c>
      <c r="AE7" s="2" t="str">
        <f t="shared" si="3"/>
        <v/>
      </c>
      <c r="AF7" s="2" t="str">
        <f t="shared" si="4"/>
        <v/>
      </c>
      <c r="AG7" s="2" t="str">
        <f t="shared" si="5"/>
        <v/>
      </c>
      <c r="AH7" s="2" t="str">
        <f t="shared" si="6"/>
        <v/>
      </c>
    </row>
    <row r="8" spans="1:35" x14ac:dyDescent="0.25">
      <c r="B8" s="2" t="s">
        <v>152</v>
      </c>
      <c r="D8" s="2" t="s">
        <v>1</v>
      </c>
      <c r="E8" s="2" t="s">
        <v>134</v>
      </c>
      <c r="F8" s="2" t="s">
        <v>164</v>
      </c>
      <c r="G8" s="2" t="s">
        <v>165</v>
      </c>
      <c r="H8" s="2" t="s">
        <v>166</v>
      </c>
      <c r="I8" s="2" t="s">
        <v>42</v>
      </c>
      <c r="J8" s="2">
        <v>32</v>
      </c>
      <c r="K8" s="2" t="s">
        <v>167</v>
      </c>
      <c r="L8" s="2" t="s">
        <v>41</v>
      </c>
      <c r="M8" s="2" t="s">
        <v>135</v>
      </c>
      <c r="N8" s="2" t="s">
        <v>156</v>
      </c>
      <c r="O8" s="2" t="s">
        <v>168</v>
      </c>
      <c r="P8" s="2" t="s">
        <v>49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7"/>
        <v>0010</v>
      </c>
      <c r="U8" s="2">
        <f t="shared" si="8"/>
        <v>4</v>
      </c>
      <c r="V8" s="2" t="str">
        <f t="shared" si="9"/>
        <v>004</v>
      </c>
      <c r="W8" s="2" t="str">
        <f t="shared" si="10"/>
        <v>X</v>
      </c>
      <c r="X8" s="2" t="str">
        <f t="shared" si="14"/>
        <v>X</v>
      </c>
      <c r="Y8" s="2" t="str">
        <f t="shared" si="11"/>
        <v>X</v>
      </c>
      <c r="Z8" s="2" t="str">
        <f t="shared" si="12"/>
        <v>X</v>
      </c>
      <c r="AA8" s="2" t="str">
        <f t="shared" si="13"/>
        <v>(31 downto 24)</v>
      </c>
      <c r="AB8" s="2" t="str">
        <f t="shared" si="0"/>
        <v>(23 downto 16)</v>
      </c>
      <c r="AC8" s="2" t="str">
        <f t="shared" si="1"/>
        <v>(15 downto 8)</v>
      </c>
      <c r="AD8" s="2" t="str">
        <f t="shared" si="2"/>
        <v>(7 downto 0)</v>
      </c>
      <c r="AE8" s="2" t="str">
        <f t="shared" si="3"/>
        <v>(31 downto 24)</v>
      </c>
      <c r="AF8" s="2" t="str">
        <f t="shared" si="4"/>
        <v>(23 downto 16)</v>
      </c>
      <c r="AG8" s="2" t="str">
        <f t="shared" si="5"/>
        <v>(15 downto 8)</v>
      </c>
      <c r="AH8" s="2" t="str">
        <f t="shared" si="6"/>
        <v>(7 downto 0)</v>
      </c>
    </row>
    <row r="9" spans="1:35" x14ac:dyDescent="0.25">
      <c r="B9" s="2" t="s">
        <v>152</v>
      </c>
      <c r="D9" s="2" t="s">
        <v>1</v>
      </c>
      <c r="E9" s="2" t="s">
        <v>134</v>
      </c>
      <c r="F9" s="2" t="s">
        <v>169</v>
      </c>
      <c r="G9" s="2" t="s">
        <v>170</v>
      </c>
      <c r="H9" s="2" t="s">
        <v>171</v>
      </c>
      <c r="I9" s="2" t="s">
        <v>42</v>
      </c>
      <c r="J9" s="2">
        <v>32</v>
      </c>
      <c r="K9" s="2" t="s">
        <v>172</v>
      </c>
      <c r="L9" s="2" t="s">
        <v>41</v>
      </c>
      <c r="M9" s="2" t="s">
        <v>135</v>
      </c>
      <c r="N9" s="2" t="s">
        <v>156</v>
      </c>
      <c r="O9" s="2" t="s">
        <v>173</v>
      </c>
      <c r="P9" s="2" t="s">
        <v>49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7"/>
        <v>0014</v>
      </c>
      <c r="U9" s="2">
        <f t="shared" si="8"/>
        <v>5</v>
      </c>
      <c r="V9" s="2" t="str">
        <f t="shared" si="9"/>
        <v>005</v>
      </c>
      <c r="W9" s="2" t="str">
        <f t="shared" si="10"/>
        <v>X</v>
      </c>
      <c r="X9" s="2" t="str">
        <f t="shared" si="14"/>
        <v>X</v>
      </c>
      <c r="Y9" s="2" t="str">
        <f t="shared" si="11"/>
        <v>X</v>
      </c>
      <c r="Z9" s="2" t="str">
        <f t="shared" si="12"/>
        <v>X</v>
      </c>
      <c r="AA9" s="2" t="str">
        <f t="shared" si="13"/>
        <v>(31 downto 24)</v>
      </c>
      <c r="AB9" s="2" t="str">
        <f t="shared" si="0"/>
        <v>(23 downto 16)</v>
      </c>
      <c r="AC9" s="2" t="str">
        <f t="shared" si="1"/>
        <v>(15 downto 8)</v>
      </c>
      <c r="AD9" s="2" t="str">
        <f t="shared" si="2"/>
        <v>(7 downto 0)</v>
      </c>
      <c r="AE9" s="2" t="str">
        <f t="shared" si="3"/>
        <v>(31 downto 24)</v>
      </c>
      <c r="AF9" s="2" t="str">
        <f t="shared" si="4"/>
        <v>(23 downto 16)</v>
      </c>
      <c r="AG9" s="2" t="str">
        <f t="shared" si="5"/>
        <v>(15 downto 8)</v>
      </c>
      <c r="AH9" s="2" t="str">
        <f t="shared" si="6"/>
        <v>(7 downto 0)</v>
      </c>
    </row>
    <row r="10" spans="1:35" x14ac:dyDescent="0.25">
      <c r="B10" s="2" t="s">
        <v>152</v>
      </c>
      <c r="D10" s="2" t="s">
        <v>1</v>
      </c>
      <c r="E10" s="2" t="s">
        <v>134</v>
      </c>
      <c r="F10" s="2" t="s">
        <v>174</v>
      </c>
      <c r="G10" s="2" t="s">
        <v>175</v>
      </c>
      <c r="H10" s="2" t="s">
        <v>176</v>
      </c>
      <c r="I10" s="2" t="s">
        <v>42</v>
      </c>
      <c r="J10" s="2">
        <v>32</v>
      </c>
      <c r="K10" s="2" t="s">
        <v>177</v>
      </c>
      <c r="L10" s="2" t="s">
        <v>41</v>
      </c>
      <c r="M10" s="2" t="s">
        <v>135</v>
      </c>
      <c r="N10" s="2" t="s">
        <v>156</v>
      </c>
      <c r="O10" s="2" t="s">
        <v>178</v>
      </c>
      <c r="P10" s="2" t="s">
        <v>49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7"/>
        <v>0018</v>
      </c>
      <c r="U10" s="2">
        <f t="shared" si="8"/>
        <v>6</v>
      </c>
      <c r="V10" s="2" t="str">
        <f t="shared" si="9"/>
        <v>006</v>
      </c>
      <c r="W10" s="2" t="str">
        <f t="shared" si="10"/>
        <v>X</v>
      </c>
      <c r="X10" s="2" t="str">
        <f t="shared" si="14"/>
        <v>X</v>
      </c>
      <c r="Y10" s="2" t="str">
        <f t="shared" si="11"/>
        <v>X</v>
      </c>
      <c r="Z10" s="2" t="str">
        <f t="shared" si="12"/>
        <v>X</v>
      </c>
      <c r="AA10" s="2" t="str">
        <f t="shared" si="13"/>
        <v>(31 downto 24)</v>
      </c>
      <c r="AB10" s="2" t="str">
        <f t="shared" si="0"/>
        <v>(23 downto 16)</v>
      </c>
      <c r="AC10" s="2" t="str">
        <f t="shared" si="1"/>
        <v>(15 downto 8)</v>
      </c>
      <c r="AD10" s="2" t="str">
        <f t="shared" si="2"/>
        <v>(7 downto 0)</v>
      </c>
      <c r="AE10" s="2" t="str">
        <f t="shared" si="3"/>
        <v>(31 downto 24)</v>
      </c>
      <c r="AF10" s="2" t="str">
        <f t="shared" si="4"/>
        <v>(23 downto 16)</v>
      </c>
      <c r="AG10" s="2" t="str">
        <f t="shared" si="5"/>
        <v>(15 downto 8)</v>
      </c>
      <c r="AH10" s="2" t="str">
        <f t="shared" si="6"/>
        <v>(7 downto 0)</v>
      </c>
    </row>
    <row r="11" spans="1:35" x14ac:dyDescent="0.25">
      <c r="B11" s="2" t="s">
        <v>152</v>
      </c>
      <c r="D11" s="2" t="s">
        <v>1</v>
      </c>
      <c r="E11" s="2" t="s">
        <v>134</v>
      </c>
      <c r="F11" s="2" t="s">
        <v>179</v>
      </c>
      <c r="G11" s="2" t="s">
        <v>180</v>
      </c>
      <c r="H11" s="2" t="s">
        <v>181</v>
      </c>
      <c r="I11" s="2" t="s">
        <v>42</v>
      </c>
      <c r="J11" s="2">
        <v>32</v>
      </c>
      <c r="K11" s="2" t="s">
        <v>182</v>
      </c>
      <c r="L11" s="2" t="s">
        <v>41</v>
      </c>
      <c r="M11" s="2" t="s">
        <v>135</v>
      </c>
      <c r="N11" s="2" t="s">
        <v>156</v>
      </c>
      <c r="O11" s="2" t="s">
        <v>183</v>
      </c>
      <c r="P11" s="2" t="s">
        <v>49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7"/>
        <v>001C</v>
      </c>
      <c r="U11" s="2">
        <f t="shared" si="8"/>
        <v>7</v>
      </c>
      <c r="V11" s="2" t="str">
        <f t="shared" si="9"/>
        <v>007</v>
      </c>
      <c r="W11" s="2" t="str">
        <f t="shared" si="10"/>
        <v>X</v>
      </c>
      <c r="X11" s="2" t="str">
        <f t="shared" si="14"/>
        <v>X</v>
      </c>
      <c r="Y11" s="2" t="str">
        <f t="shared" si="11"/>
        <v>X</v>
      </c>
      <c r="Z11" s="2" t="str">
        <f t="shared" si="12"/>
        <v>X</v>
      </c>
      <c r="AA11" s="2" t="str">
        <f t="shared" si="13"/>
        <v>(31 downto 24)</v>
      </c>
      <c r="AB11" s="2" t="str">
        <f t="shared" si="0"/>
        <v>(23 downto 16)</v>
      </c>
      <c r="AC11" s="2" t="str">
        <f t="shared" si="1"/>
        <v>(15 downto 8)</v>
      </c>
      <c r="AD11" s="2" t="str">
        <f t="shared" si="2"/>
        <v>(7 downto 0)</v>
      </c>
      <c r="AE11" s="2" t="str">
        <f t="shared" si="3"/>
        <v>(31 downto 24)</v>
      </c>
      <c r="AF11" s="2" t="str">
        <f t="shared" si="4"/>
        <v>(23 downto 16)</v>
      </c>
      <c r="AG11" s="2" t="str">
        <f t="shared" si="5"/>
        <v>(15 downto 8)</v>
      </c>
      <c r="AH11" s="2" t="str">
        <f t="shared" si="6"/>
        <v>(7 downto 0)</v>
      </c>
    </row>
    <row r="12" spans="1:35" x14ac:dyDescent="0.25">
      <c r="B12" s="2" t="s">
        <v>184</v>
      </c>
      <c r="D12" s="2" t="s">
        <v>1</v>
      </c>
      <c r="E12" s="2" t="s">
        <v>134</v>
      </c>
      <c r="F12" s="2" t="s">
        <v>185</v>
      </c>
      <c r="G12" s="2" t="s">
        <v>186</v>
      </c>
      <c r="H12" s="2" t="s">
        <v>187</v>
      </c>
      <c r="I12" s="2" t="s">
        <v>42</v>
      </c>
      <c r="J12" s="2">
        <v>1</v>
      </c>
      <c r="K12" s="2" t="s">
        <v>82</v>
      </c>
      <c r="L12" s="2" t="s">
        <v>41</v>
      </c>
      <c r="M12" s="2" t="s">
        <v>135</v>
      </c>
      <c r="N12" s="2" t="s">
        <v>188</v>
      </c>
      <c r="O12" s="2" t="s">
        <v>189</v>
      </c>
      <c r="P12" s="2" t="s">
        <v>5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7"/>
        <v>0020</v>
      </c>
      <c r="U12" s="2">
        <f t="shared" si="8"/>
        <v>8</v>
      </c>
      <c r="V12" s="2" t="str">
        <f t="shared" si="9"/>
        <v>008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3"/>
        <v/>
      </c>
      <c r="AB12" s="2" t="str">
        <f t="shared" si="0"/>
        <v/>
      </c>
      <c r="AC12" s="2" t="str">
        <f t="shared" si="1"/>
        <v/>
      </c>
      <c r="AD12" s="2" t="str">
        <f t="shared" si="2"/>
        <v>(0)</v>
      </c>
      <c r="AE12" s="2" t="str">
        <f t="shared" si="3"/>
        <v/>
      </c>
      <c r="AF12" s="2" t="str">
        <f t="shared" si="4"/>
        <v/>
      </c>
      <c r="AG12" s="2" t="str">
        <f t="shared" si="5"/>
        <v/>
      </c>
      <c r="AH12" s="2" t="str">
        <f t="shared" si="6"/>
        <v/>
      </c>
    </row>
    <row r="13" spans="1:35" x14ac:dyDescent="0.25">
      <c r="B13" s="2" t="s">
        <v>184</v>
      </c>
      <c r="D13" s="2" t="s">
        <v>1</v>
      </c>
      <c r="E13" s="2" t="s">
        <v>134</v>
      </c>
      <c r="F13" s="2" t="s">
        <v>185</v>
      </c>
      <c r="G13" s="2" t="s">
        <v>186</v>
      </c>
      <c r="H13" s="2" t="s">
        <v>190</v>
      </c>
      <c r="I13" s="2" t="s">
        <v>42</v>
      </c>
      <c r="J13" s="2">
        <v>3</v>
      </c>
      <c r="K13" s="2" t="s">
        <v>137</v>
      </c>
      <c r="L13" s="2" t="s">
        <v>41</v>
      </c>
      <c r="M13" s="2" t="s">
        <v>135</v>
      </c>
      <c r="N13" s="2" t="s">
        <v>188</v>
      </c>
      <c r="O13" s="2" t="s">
        <v>191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36</v>
      </c>
      <c r="T13" s="2" t="str">
        <f t="shared" si="7"/>
        <v>0024</v>
      </c>
      <c r="U13" s="2">
        <f t="shared" si="8"/>
        <v>9</v>
      </c>
      <c r="V13" s="2" t="str">
        <f t="shared" si="9"/>
        <v>009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13"/>
        <v/>
      </c>
      <c r="AB13" s="2" t="str">
        <f t="shared" si="0"/>
        <v/>
      </c>
      <c r="AC13" s="2" t="str">
        <f t="shared" si="1"/>
        <v/>
      </c>
      <c r="AD13" s="2" t="str">
        <f t="shared" si="2"/>
        <v>(2 downto 0)</v>
      </c>
      <c r="AE13" s="2" t="str">
        <f t="shared" si="3"/>
        <v/>
      </c>
      <c r="AF13" s="2" t="str">
        <f t="shared" si="4"/>
        <v/>
      </c>
      <c r="AG13" s="2" t="str">
        <f t="shared" si="5"/>
        <v/>
      </c>
      <c r="AH13" s="2" t="str">
        <f t="shared" si="6"/>
        <v/>
      </c>
    </row>
    <row r="14" spans="1:35" x14ac:dyDescent="0.25">
      <c r="B14" s="2" t="s">
        <v>184</v>
      </c>
      <c r="D14" s="2" t="s">
        <v>1</v>
      </c>
      <c r="E14" s="2" t="s">
        <v>134</v>
      </c>
      <c r="F14" s="2" t="s">
        <v>192</v>
      </c>
      <c r="G14" s="2" t="s">
        <v>193</v>
      </c>
      <c r="H14" s="2" t="s">
        <v>194</v>
      </c>
      <c r="I14" s="2" t="s">
        <v>42</v>
      </c>
      <c r="J14" s="2">
        <v>3</v>
      </c>
      <c r="K14" s="2" t="s">
        <v>137</v>
      </c>
      <c r="L14" s="2" t="s">
        <v>41</v>
      </c>
      <c r="M14" s="2" t="s">
        <v>135</v>
      </c>
      <c r="N14" s="2" t="s">
        <v>188</v>
      </c>
      <c r="O14" s="2" t="s">
        <v>195</v>
      </c>
      <c r="P14" s="2" t="s">
        <v>48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37</v>
      </c>
      <c r="T14" s="2" t="str">
        <f t="shared" si="7"/>
        <v>0025</v>
      </c>
      <c r="U14" s="2">
        <f t="shared" si="8"/>
        <v>9</v>
      </c>
      <c r="V14" s="2" t="str">
        <f t="shared" si="9"/>
        <v>009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/>
      </c>
      <c r="AA14" s="2" t="str">
        <f t="shared" si="13"/>
        <v/>
      </c>
      <c r="AB14" s="2" t="str">
        <f t="shared" si="0"/>
        <v/>
      </c>
      <c r="AC14" s="2" t="str">
        <f t="shared" si="1"/>
        <v>(10 downto 8)</v>
      </c>
      <c r="AD14" s="2" t="str">
        <f t="shared" si="2"/>
        <v/>
      </c>
      <c r="AE14" s="2" t="str">
        <f t="shared" si="3"/>
        <v/>
      </c>
      <c r="AF14" s="2" t="str">
        <f t="shared" si="4"/>
        <v/>
      </c>
      <c r="AG14" s="2" t="str">
        <f t="shared" si="5"/>
        <v/>
      </c>
      <c r="AH14" s="2" t="str">
        <f t="shared" si="6"/>
        <v/>
      </c>
    </row>
    <row r="15" spans="1:35" x14ac:dyDescent="0.25">
      <c r="B15" s="2" t="s">
        <v>184</v>
      </c>
      <c r="D15" s="2" t="s">
        <v>1</v>
      </c>
      <c r="E15" s="2" t="s">
        <v>134</v>
      </c>
      <c r="F15" s="2" t="s">
        <v>196</v>
      </c>
      <c r="G15" s="2" t="s">
        <v>197</v>
      </c>
      <c r="H15" s="2" t="s">
        <v>198</v>
      </c>
      <c r="I15" s="2" t="s">
        <v>42</v>
      </c>
      <c r="J15" s="2">
        <v>3</v>
      </c>
      <c r="K15" s="2" t="s">
        <v>137</v>
      </c>
      <c r="L15" s="2" t="s">
        <v>41</v>
      </c>
      <c r="M15" s="2" t="s">
        <v>135</v>
      </c>
      <c r="N15" s="2" t="s">
        <v>188</v>
      </c>
      <c r="O15" s="2" t="s">
        <v>199</v>
      </c>
      <c r="P15" s="2" t="s">
        <v>48</v>
      </c>
      <c r="Q15" s="2">
        <f>INDEX(Tables!$C$4:$C$28,MATCH($P15,Tables!$B$4:$B$28,0))</f>
        <v>8</v>
      </c>
      <c r="R15" s="2">
        <f>INDEX(Tables!$D$4:$D$28,MATCH($P15,Tables!$B$4:$B$28,0))</f>
        <v>1</v>
      </c>
      <c r="S15" s="2">
        <f>$S14+$R14+INDEX(Tables!$N$5:$Q$8,MATCH(MOD($S14+$R14,4),Tables!$M$5:$M$8,0),MATCH($R15,Tables!$N$4:$Q$4,0))</f>
        <v>38</v>
      </c>
      <c r="T15" s="2" t="str">
        <f t="shared" si="7"/>
        <v>0026</v>
      </c>
      <c r="U15" s="2">
        <f t="shared" si="8"/>
        <v>9</v>
      </c>
      <c r="V15" s="2" t="str">
        <f t="shared" si="9"/>
        <v>009</v>
      </c>
      <c r="W15" s="2" t="str">
        <f t="shared" si="10"/>
        <v/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/>
      </c>
      <c r="AB15" s="2" t="str">
        <f t="shared" si="0"/>
        <v>(18 downto 16)</v>
      </c>
      <c r="AC15" s="2" t="str">
        <f t="shared" si="1"/>
        <v/>
      </c>
      <c r="AD15" s="2" t="str">
        <f t="shared" si="2"/>
        <v/>
      </c>
      <c r="AE15" s="2" t="str">
        <f t="shared" si="3"/>
        <v/>
      </c>
      <c r="AF15" s="2" t="str">
        <f t="shared" si="4"/>
        <v/>
      </c>
      <c r="AG15" s="2" t="str">
        <f t="shared" si="5"/>
        <v/>
      </c>
      <c r="AH15" s="2" t="str">
        <f t="shared" si="6"/>
        <v/>
      </c>
    </row>
    <row r="16" spans="1:35" x14ac:dyDescent="0.25">
      <c r="B16" s="2" t="s">
        <v>184</v>
      </c>
      <c r="D16" s="2" t="s">
        <v>1</v>
      </c>
      <c r="E16" s="2" t="s">
        <v>134</v>
      </c>
      <c r="F16" s="2" t="s">
        <v>200</v>
      </c>
      <c r="G16" s="2" t="s">
        <v>201</v>
      </c>
      <c r="H16" s="2" t="s">
        <v>202</v>
      </c>
      <c r="I16" s="2" t="s">
        <v>42</v>
      </c>
      <c r="J16" s="2">
        <v>3</v>
      </c>
      <c r="K16" s="2" t="s">
        <v>137</v>
      </c>
      <c r="L16" s="2" t="s">
        <v>41</v>
      </c>
      <c r="M16" s="2" t="s">
        <v>135</v>
      </c>
      <c r="N16" s="2" t="s">
        <v>188</v>
      </c>
      <c r="O16" s="2" t="s">
        <v>203</v>
      </c>
      <c r="P16" s="2" t="s">
        <v>48</v>
      </c>
      <c r="Q16" s="2">
        <f>INDEX(Tables!$C$4:$C$28,MATCH($P16,Tables!$B$4:$B$28,0))</f>
        <v>8</v>
      </c>
      <c r="R16" s="2">
        <f>INDEX(Tables!$D$4:$D$28,MATCH($P16,Tables!$B$4:$B$28,0))</f>
        <v>1</v>
      </c>
      <c r="S16" s="2">
        <f>$S15+$R15+INDEX(Tables!$N$5:$Q$8,MATCH(MOD($S15+$R15,4),Tables!$M$5:$M$8,0),MATCH($R16,Tables!$N$4:$Q$4,0))</f>
        <v>39</v>
      </c>
      <c r="T16" s="2" t="str">
        <f t="shared" si="7"/>
        <v>0027</v>
      </c>
      <c r="U16" s="2">
        <f t="shared" si="8"/>
        <v>9</v>
      </c>
      <c r="V16" s="2" t="str">
        <f t="shared" si="9"/>
        <v>009</v>
      </c>
      <c r="W16" s="2" t="str">
        <f t="shared" si="10"/>
        <v>X</v>
      </c>
      <c r="X16" s="2" t="str">
        <f t="shared" si="14"/>
        <v/>
      </c>
      <c r="Y16" s="2" t="str">
        <f t="shared" si="11"/>
        <v/>
      </c>
      <c r="Z16" s="2" t="str">
        <f t="shared" si="12"/>
        <v/>
      </c>
      <c r="AA16" s="2" t="str">
        <f t="shared" si="13"/>
        <v>(26 downto 24)</v>
      </c>
      <c r="AB16" s="2" t="str">
        <f t="shared" si="0"/>
        <v/>
      </c>
      <c r="AC16" s="2" t="str">
        <f t="shared" si="1"/>
        <v/>
      </c>
      <c r="AD16" s="2" t="str">
        <f t="shared" si="2"/>
        <v/>
      </c>
      <c r="AE16" s="2" t="str">
        <f t="shared" si="3"/>
        <v/>
      </c>
      <c r="AF16" s="2" t="str">
        <f t="shared" si="4"/>
        <v/>
      </c>
      <c r="AG16" s="2" t="str">
        <f t="shared" si="5"/>
        <v/>
      </c>
      <c r="AH16" s="2" t="str">
        <f t="shared" si="6"/>
        <v/>
      </c>
    </row>
    <row r="17" spans="2:34" x14ac:dyDescent="0.25">
      <c r="B17" s="2" t="s">
        <v>184</v>
      </c>
      <c r="D17" s="2" t="s">
        <v>1</v>
      </c>
      <c r="E17" s="2" t="s">
        <v>134</v>
      </c>
      <c r="F17" s="2" t="s">
        <v>204</v>
      </c>
      <c r="G17" s="2" t="s">
        <v>205</v>
      </c>
      <c r="H17" s="2" t="s">
        <v>206</v>
      </c>
      <c r="I17" s="2" t="s">
        <v>42</v>
      </c>
      <c r="J17" s="2">
        <v>3</v>
      </c>
      <c r="K17" s="2" t="s">
        <v>137</v>
      </c>
      <c r="L17" s="2" t="s">
        <v>41</v>
      </c>
      <c r="M17" s="2" t="s">
        <v>135</v>
      </c>
      <c r="N17" s="2" t="s">
        <v>188</v>
      </c>
      <c r="O17" s="2" t="s">
        <v>207</v>
      </c>
      <c r="P17" s="2" t="s">
        <v>48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40</v>
      </c>
      <c r="T17" s="2" t="str">
        <f t="shared" si="7"/>
        <v>0028</v>
      </c>
      <c r="U17" s="2">
        <f t="shared" si="8"/>
        <v>10</v>
      </c>
      <c r="V17" s="2" t="str">
        <f t="shared" si="9"/>
        <v>00A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0"/>
        <v/>
      </c>
      <c r="AC17" s="2" t="str">
        <f t="shared" si="1"/>
        <v/>
      </c>
      <c r="AD17" s="2" t="str">
        <f t="shared" si="2"/>
        <v>(2 downto 0)</v>
      </c>
      <c r="AE17" s="2" t="str">
        <f t="shared" si="3"/>
        <v/>
      </c>
      <c r="AF17" s="2" t="str">
        <f t="shared" si="4"/>
        <v/>
      </c>
      <c r="AG17" s="2" t="str">
        <f t="shared" si="5"/>
        <v/>
      </c>
      <c r="AH17" s="2" t="str">
        <f t="shared" si="6"/>
        <v/>
      </c>
    </row>
    <row r="18" spans="2:34" x14ac:dyDescent="0.25">
      <c r="B18" s="2" t="s">
        <v>184</v>
      </c>
      <c r="D18" s="2" t="s">
        <v>1</v>
      </c>
      <c r="E18" s="2" t="s">
        <v>134</v>
      </c>
      <c r="F18" s="2" t="s">
        <v>208</v>
      </c>
      <c r="G18" s="2" t="s">
        <v>209</v>
      </c>
      <c r="H18" s="2" t="s">
        <v>210</v>
      </c>
      <c r="I18" s="2" t="s">
        <v>42</v>
      </c>
      <c r="J18" s="2">
        <v>3</v>
      </c>
      <c r="K18" s="2" t="s">
        <v>137</v>
      </c>
      <c r="L18" s="2" t="s">
        <v>41</v>
      </c>
      <c r="M18" s="2" t="s">
        <v>135</v>
      </c>
      <c r="N18" s="2" t="s">
        <v>188</v>
      </c>
      <c r="O18" s="2" t="s">
        <v>211</v>
      </c>
      <c r="P18" s="2" t="s">
        <v>48</v>
      </c>
      <c r="Q18" s="2">
        <f>INDEX(Tables!$C$4:$C$28,MATCH($P18,Tables!$B$4:$B$28,0))</f>
        <v>8</v>
      </c>
      <c r="R18" s="2">
        <f>INDEX(Tables!$D$4:$D$28,MATCH($P18,Tables!$B$4:$B$28,0))</f>
        <v>1</v>
      </c>
      <c r="S18" s="2">
        <f>$S17+$R17+INDEX(Tables!$N$5:$Q$8,MATCH(MOD($S17+$R17,4),Tables!$M$5:$M$8,0),MATCH($R18,Tables!$N$4:$Q$4,0))</f>
        <v>41</v>
      </c>
      <c r="T18" s="2" t="str">
        <f t="shared" si="7"/>
        <v>0029</v>
      </c>
      <c r="U18" s="2">
        <f t="shared" si="8"/>
        <v>10</v>
      </c>
      <c r="V18" s="2" t="str">
        <f t="shared" si="9"/>
        <v>00A</v>
      </c>
      <c r="W18" s="2" t="str">
        <f t="shared" si="10"/>
        <v/>
      </c>
      <c r="X18" s="2" t="str">
        <f t="shared" si="14"/>
        <v/>
      </c>
      <c r="Y18" s="2" t="str">
        <f t="shared" si="11"/>
        <v>X</v>
      </c>
      <c r="Z18" s="2" t="str">
        <f t="shared" si="12"/>
        <v/>
      </c>
      <c r="AA18" s="2" t="str">
        <f t="shared" si="13"/>
        <v/>
      </c>
      <c r="AB18" s="2" t="str">
        <f t="shared" si="0"/>
        <v/>
      </c>
      <c r="AC18" s="2" t="str">
        <f t="shared" si="1"/>
        <v>(10 downto 8)</v>
      </c>
      <c r="AD18" s="2" t="str">
        <f t="shared" si="2"/>
        <v/>
      </c>
      <c r="AE18" s="2" t="str">
        <f t="shared" si="3"/>
        <v/>
      </c>
      <c r="AF18" s="2" t="str">
        <f t="shared" si="4"/>
        <v/>
      </c>
      <c r="AG18" s="2" t="str">
        <f t="shared" si="5"/>
        <v/>
      </c>
      <c r="AH18" s="2" t="str">
        <f t="shared" si="6"/>
        <v/>
      </c>
    </row>
    <row r="19" spans="2:34" x14ac:dyDescent="0.25">
      <c r="B19" s="2" t="s">
        <v>184</v>
      </c>
      <c r="D19" s="2" t="s">
        <v>1</v>
      </c>
      <c r="E19" s="2" t="s">
        <v>134</v>
      </c>
      <c r="F19" s="2" t="s">
        <v>212</v>
      </c>
      <c r="G19" s="2" t="s">
        <v>213</v>
      </c>
      <c r="H19" s="2" t="s">
        <v>214</v>
      </c>
      <c r="I19" s="2" t="s">
        <v>42</v>
      </c>
      <c r="J19" s="2">
        <v>3</v>
      </c>
      <c r="K19" s="2" t="s">
        <v>137</v>
      </c>
      <c r="L19" s="2" t="s">
        <v>41</v>
      </c>
      <c r="M19" s="2" t="s">
        <v>135</v>
      </c>
      <c r="N19" s="2" t="s">
        <v>188</v>
      </c>
      <c r="O19" s="2" t="s">
        <v>215</v>
      </c>
      <c r="P19" s="2" t="s">
        <v>48</v>
      </c>
      <c r="Q19" s="2">
        <f>INDEX(Tables!$C$4:$C$28,MATCH($P19,Tables!$B$4:$B$28,0))</f>
        <v>8</v>
      </c>
      <c r="R19" s="2">
        <f>INDEX(Tables!$D$4:$D$28,MATCH($P19,Tables!$B$4:$B$28,0))</f>
        <v>1</v>
      </c>
      <c r="S19" s="2">
        <f>$S18+$R18+INDEX(Tables!$N$5:$Q$8,MATCH(MOD($S18+$R18,4),Tables!$M$5:$M$8,0),MATCH($R19,Tables!$N$4:$Q$4,0))</f>
        <v>42</v>
      </c>
      <c r="T19" s="2" t="str">
        <f t="shared" si="7"/>
        <v>002A</v>
      </c>
      <c r="U19" s="2">
        <f t="shared" si="8"/>
        <v>10</v>
      </c>
      <c r="V19" s="2" t="str">
        <f t="shared" si="9"/>
        <v>00A</v>
      </c>
      <c r="W19" s="2" t="str">
        <f t="shared" si="10"/>
        <v/>
      </c>
      <c r="X19" s="2" t="str">
        <f t="shared" si="14"/>
        <v>X</v>
      </c>
      <c r="Y19" s="2" t="str">
        <f t="shared" si="11"/>
        <v/>
      </c>
      <c r="Z19" s="2" t="str">
        <f t="shared" si="12"/>
        <v/>
      </c>
      <c r="AA19" s="2" t="str">
        <f t="shared" si="13"/>
        <v/>
      </c>
      <c r="AB19" s="2" t="str">
        <f t="shared" si="0"/>
        <v>(18 downto 16)</v>
      </c>
      <c r="AC19" s="2" t="str">
        <f t="shared" si="1"/>
        <v/>
      </c>
      <c r="AD19" s="2" t="str">
        <f t="shared" si="2"/>
        <v/>
      </c>
      <c r="AE19" s="2" t="str">
        <f t="shared" si="3"/>
        <v/>
      </c>
      <c r="AF19" s="2" t="str">
        <f t="shared" si="4"/>
        <v/>
      </c>
      <c r="AG19" s="2" t="str">
        <f t="shared" si="5"/>
        <v/>
      </c>
      <c r="AH19" s="2" t="str">
        <f t="shared" si="6"/>
        <v/>
      </c>
    </row>
    <row r="20" spans="2:34" x14ac:dyDescent="0.25">
      <c r="B20" s="2" t="s">
        <v>184</v>
      </c>
      <c r="D20" s="2" t="s">
        <v>1</v>
      </c>
      <c r="E20" s="2" t="s">
        <v>134</v>
      </c>
      <c r="F20" s="2" t="s">
        <v>216</v>
      </c>
      <c r="G20" s="2" t="s">
        <v>217</v>
      </c>
      <c r="H20" s="2" t="s">
        <v>218</v>
      </c>
      <c r="I20" s="2" t="s">
        <v>42</v>
      </c>
      <c r="J20" s="2">
        <v>3</v>
      </c>
      <c r="K20" s="2" t="s">
        <v>137</v>
      </c>
      <c r="L20" s="2" t="s">
        <v>41</v>
      </c>
      <c r="M20" s="2" t="s">
        <v>135</v>
      </c>
      <c r="N20" s="2" t="s">
        <v>188</v>
      </c>
      <c r="O20" s="2" t="s">
        <v>219</v>
      </c>
      <c r="P20" s="2" t="s">
        <v>48</v>
      </c>
      <c r="Q20" s="2">
        <f>INDEX(Tables!$C$4:$C$28,MATCH($P20,Tables!$B$4:$B$28,0))</f>
        <v>8</v>
      </c>
      <c r="R20" s="2">
        <f>INDEX(Tables!$D$4:$D$28,MATCH($P20,Tables!$B$4:$B$28,0))</f>
        <v>1</v>
      </c>
      <c r="S20" s="2">
        <f>$S19+$R19+INDEX(Tables!$N$5:$Q$8,MATCH(MOD($S19+$R19,4),Tables!$M$5:$M$8,0),MATCH($R20,Tables!$N$4:$Q$4,0))</f>
        <v>43</v>
      </c>
      <c r="T20" s="2" t="str">
        <f t="shared" si="7"/>
        <v>002B</v>
      </c>
      <c r="U20" s="2">
        <f t="shared" si="8"/>
        <v>10</v>
      </c>
      <c r="V20" s="2" t="str">
        <f t="shared" si="9"/>
        <v>00A</v>
      </c>
      <c r="W20" s="2" t="str">
        <f t="shared" si="10"/>
        <v>X</v>
      </c>
      <c r="X20" s="2" t="str">
        <f t="shared" si="14"/>
        <v/>
      </c>
      <c r="Y20" s="2" t="str">
        <f t="shared" si="11"/>
        <v/>
      </c>
      <c r="Z20" s="2" t="str">
        <f t="shared" si="12"/>
        <v/>
      </c>
      <c r="AA20" s="2" t="str">
        <f t="shared" si="13"/>
        <v>(26 downto 24)</v>
      </c>
      <c r="AB20" s="2" t="str">
        <f t="shared" si="0"/>
        <v/>
      </c>
      <c r="AC20" s="2" t="str">
        <f t="shared" si="1"/>
        <v/>
      </c>
      <c r="AD20" s="2" t="str">
        <f t="shared" si="2"/>
        <v/>
      </c>
      <c r="AE20" s="2" t="str">
        <f t="shared" si="3"/>
        <v/>
      </c>
      <c r="AF20" s="2" t="str">
        <f t="shared" si="4"/>
        <v/>
      </c>
      <c r="AG20" s="2" t="str">
        <f t="shared" si="5"/>
        <v/>
      </c>
      <c r="AH20" s="2" t="str">
        <f t="shared" si="6"/>
        <v/>
      </c>
    </row>
    <row r="21" spans="2:34" x14ac:dyDescent="0.25">
      <c r="B21" s="2" t="s">
        <v>184</v>
      </c>
      <c r="D21" s="2" t="s">
        <v>1</v>
      </c>
      <c r="E21" s="2" t="s">
        <v>134</v>
      </c>
      <c r="F21" s="2" t="s">
        <v>220</v>
      </c>
      <c r="G21" s="2" t="s">
        <v>221</v>
      </c>
      <c r="H21" s="2" t="s">
        <v>222</v>
      </c>
      <c r="I21" s="2" t="s">
        <v>42</v>
      </c>
      <c r="J21" s="2">
        <v>3</v>
      </c>
      <c r="K21" s="2" t="s">
        <v>137</v>
      </c>
      <c r="L21" s="2" t="s">
        <v>41</v>
      </c>
      <c r="M21" s="2" t="s">
        <v>135</v>
      </c>
      <c r="N21" s="2" t="s">
        <v>188</v>
      </c>
      <c r="O21" s="2" t="s">
        <v>223</v>
      </c>
      <c r="P21" s="2" t="s">
        <v>48</v>
      </c>
      <c r="Q21" s="2">
        <f>INDEX(Tables!$C$4:$C$28,MATCH($P21,Tables!$B$4:$B$28,0))</f>
        <v>8</v>
      </c>
      <c r="R21" s="2">
        <f>INDEX(Tables!$D$4:$D$28,MATCH($P21,Tables!$B$4:$B$28,0))</f>
        <v>1</v>
      </c>
      <c r="S21" s="2">
        <f>$S20+$R20+INDEX(Tables!$N$5:$Q$8,MATCH(MOD($S20+$R20,4),Tables!$M$5:$M$8,0),MATCH($R21,Tables!$N$4:$Q$4,0))</f>
        <v>44</v>
      </c>
      <c r="T21" s="2" t="str">
        <f t="shared" si="7"/>
        <v>002C</v>
      </c>
      <c r="U21" s="2">
        <f t="shared" si="8"/>
        <v>11</v>
      </c>
      <c r="V21" s="2" t="str">
        <f t="shared" si="9"/>
        <v>00B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13"/>
        <v/>
      </c>
      <c r="AB21" s="2" t="str">
        <f t="shared" si="0"/>
        <v/>
      </c>
      <c r="AC21" s="2" t="str">
        <f t="shared" si="1"/>
        <v/>
      </c>
      <c r="AD21" s="2" t="str">
        <f t="shared" si="2"/>
        <v>(2 downto 0)</v>
      </c>
      <c r="AE21" s="2" t="str">
        <f t="shared" si="3"/>
        <v/>
      </c>
      <c r="AF21" s="2" t="str">
        <f t="shared" si="4"/>
        <v/>
      </c>
      <c r="AG21" s="2" t="str">
        <f t="shared" si="5"/>
        <v/>
      </c>
      <c r="AH21" s="2" t="str">
        <f t="shared" si="6"/>
        <v/>
      </c>
    </row>
    <row r="22" spans="2:34" x14ac:dyDescent="0.25">
      <c r="B22" s="2" t="s">
        <v>184</v>
      </c>
      <c r="D22" s="2" t="s">
        <v>1</v>
      </c>
      <c r="E22" s="2" t="s">
        <v>134</v>
      </c>
      <c r="F22" s="2" t="s">
        <v>224</v>
      </c>
      <c r="G22" s="2" t="s">
        <v>225</v>
      </c>
      <c r="H22" s="2" t="s">
        <v>226</v>
      </c>
      <c r="I22" s="2" t="s">
        <v>42</v>
      </c>
      <c r="J22" s="2">
        <v>7</v>
      </c>
      <c r="K22" s="2" t="s">
        <v>137</v>
      </c>
      <c r="L22" s="2" t="s">
        <v>41</v>
      </c>
      <c r="M22" s="2" t="s">
        <v>135</v>
      </c>
      <c r="N22" s="2" t="s">
        <v>188</v>
      </c>
      <c r="O22" s="2" t="s">
        <v>227</v>
      </c>
      <c r="P22" s="2" t="s">
        <v>48</v>
      </c>
      <c r="Q22" s="2">
        <f>INDEX(Tables!$C$4:$C$28,MATCH($P22,Tables!$B$4:$B$28,0))</f>
        <v>8</v>
      </c>
      <c r="R22" s="2">
        <f>INDEX(Tables!$D$4:$D$28,MATCH($P22,Tables!$B$4:$B$28,0))</f>
        <v>1</v>
      </c>
      <c r="S22" s="2">
        <f>$S21+$R21+INDEX(Tables!$N$5:$Q$8,MATCH(MOD($S21+$R21,4),Tables!$M$5:$M$8,0),MATCH($R22,Tables!$N$4:$Q$4,0))</f>
        <v>45</v>
      </c>
      <c r="T22" s="2" t="str">
        <f t="shared" si="7"/>
        <v>002D</v>
      </c>
      <c r="U22" s="2">
        <f t="shared" si="8"/>
        <v>11</v>
      </c>
      <c r="V22" s="2" t="str">
        <f t="shared" si="9"/>
        <v>00B</v>
      </c>
      <c r="W22" s="2" t="str">
        <f t="shared" si="10"/>
        <v/>
      </c>
      <c r="X22" s="2" t="str">
        <f t="shared" si="14"/>
        <v/>
      </c>
      <c r="Y22" s="2" t="str">
        <f t="shared" si="11"/>
        <v>X</v>
      </c>
      <c r="Z22" s="2" t="str">
        <f t="shared" si="12"/>
        <v/>
      </c>
      <c r="AA22" s="2" t="str">
        <f t="shared" si="13"/>
        <v/>
      </c>
      <c r="AB22" s="2" t="str">
        <f t="shared" si="0"/>
        <v/>
      </c>
      <c r="AC22" s="2" t="str">
        <f t="shared" si="1"/>
        <v>(14 downto 8)</v>
      </c>
      <c r="AD22" s="2" t="str">
        <f t="shared" si="2"/>
        <v/>
      </c>
      <c r="AE22" s="2" t="str">
        <f t="shared" si="3"/>
        <v/>
      </c>
      <c r="AF22" s="2" t="str">
        <f t="shared" si="4"/>
        <v/>
      </c>
      <c r="AG22" s="2" t="str">
        <f t="shared" si="5"/>
        <v/>
      </c>
      <c r="AH22" s="2" t="str">
        <f t="shared" si="6"/>
        <v/>
      </c>
    </row>
    <row r="23" spans="2:34" x14ac:dyDescent="0.25">
      <c r="B23" s="2" t="s">
        <v>184</v>
      </c>
      <c r="D23" s="2" t="s">
        <v>1</v>
      </c>
      <c r="E23" s="2" t="s">
        <v>134</v>
      </c>
      <c r="F23" s="2" t="s">
        <v>228</v>
      </c>
      <c r="G23" s="2" t="s">
        <v>229</v>
      </c>
      <c r="H23" s="2" t="s">
        <v>230</v>
      </c>
      <c r="I23" s="2" t="s">
        <v>42</v>
      </c>
      <c r="J23" s="2">
        <v>7</v>
      </c>
      <c r="K23" s="2" t="s">
        <v>137</v>
      </c>
      <c r="L23" s="2" t="s">
        <v>41</v>
      </c>
      <c r="M23" s="2" t="s">
        <v>135</v>
      </c>
      <c r="N23" s="2" t="s">
        <v>188</v>
      </c>
      <c r="O23" s="2" t="s">
        <v>231</v>
      </c>
      <c r="P23" s="2" t="s">
        <v>48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$S22+$R22+INDEX(Tables!$N$5:$Q$8,MATCH(MOD($S22+$R22,4),Tables!$M$5:$M$8,0),MATCH($R23,Tables!$N$4:$Q$4,0))</f>
        <v>46</v>
      </c>
      <c r="T23" s="2" t="str">
        <f t="shared" si="7"/>
        <v>002E</v>
      </c>
      <c r="U23" s="2">
        <f t="shared" si="8"/>
        <v>11</v>
      </c>
      <c r="V23" s="2" t="str">
        <f t="shared" si="9"/>
        <v>00B</v>
      </c>
      <c r="W23" s="2" t="str">
        <f t="shared" si="10"/>
        <v/>
      </c>
      <c r="X23" s="2" t="str">
        <f t="shared" si="14"/>
        <v>X</v>
      </c>
      <c r="Y23" s="2" t="str">
        <f t="shared" si="11"/>
        <v/>
      </c>
      <c r="Z23" s="2" t="str">
        <f t="shared" si="12"/>
        <v/>
      </c>
      <c r="AA23" s="2" t="str">
        <f t="shared" si="13"/>
        <v/>
      </c>
      <c r="AB23" s="2" t="str">
        <f t="shared" si="0"/>
        <v>(22 downto 16)</v>
      </c>
      <c r="AC23" s="2" t="str">
        <f t="shared" si="1"/>
        <v/>
      </c>
      <c r="AD23" s="2" t="str">
        <f t="shared" si="2"/>
        <v/>
      </c>
      <c r="AE23" s="2" t="str">
        <f t="shared" si="3"/>
        <v/>
      </c>
      <c r="AF23" s="2" t="str">
        <f t="shared" si="4"/>
        <v/>
      </c>
      <c r="AG23" s="2" t="str">
        <f t="shared" si="5"/>
        <v/>
      </c>
      <c r="AH23" s="2" t="str">
        <f t="shared" si="6"/>
        <v/>
      </c>
    </row>
    <row r="24" spans="2:34" x14ac:dyDescent="0.25">
      <c r="B24" s="2" t="s">
        <v>184</v>
      </c>
      <c r="D24" s="2" t="s">
        <v>1</v>
      </c>
      <c r="E24" s="2" t="s">
        <v>134</v>
      </c>
      <c r="F24" s="2" t="s">
        <v>232</v>
      </c>
      <c r="G24" s="2" t="s">
        <v>233</v>
      </c>
      <c r="H24" s="2" t="s">
        <v>234</v>
      </c>
      <c r="I24" s="2" t="s">
        <v>42</v>
      </c>
      <c r="J24" s="2">
        <v>10</v>
      </c>
      <c r="K24" s="2" t="s">
        <v>137</v>
      </c>
      <c r="L24" s="2" t="s">
        <v>41</v>
      </c>
      <c r="M24" s="2" t="s">
        <v>135</v>
      </c>
      <c r="N24" s="2" t="s">
        <v>188</v>
      </c>
      <c r="O24" s="2" t="s">
        <v>235</v>
      </c>
      <c r="P24" s="2" t="s">
        <v>50</v>
      </c>
      <c r="Q24" s="2">
        <f>INDEX(Tables!$C$4:$C$28,MATCH($P24,Tables!$B$4:$B$28,0))</f>
        <v>16</v>
      </c>
      <c r="R24" s="2">
        <f>INDEX(Tables!$D$4:$D$28,MATCH($P24,Tables!$B$4:$B$28,0))</f>
        <v>2</v>
      </c>
      <c r="S24" s="2">
        <f>$S23+$R23+INDEX(Tables!$N$5:$Q$8,MATCH(MOD($S23+$R23,4),Tables!$M$5:$M$8,0),MATCH($R24,Tables!$N$4:$Q$4,0))</f>
        <v>48</v>
      </c>
      <c r="T24" s="2" t="str">
        <f t="shared" si="7"/>
        <v>0030</v>
      </c>
      <c r="U24" s="2">
        <f t="shared" si="8"/>
        <v>12</v>
      </c>
      <c r="V24" s="2" t="str">
        <f t="shared" si="9"/>
        <v>00C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>X</v>
      </c>
      <c r="AA24" s="2" t="str">
        <f t="shared" si="13"/>
        <v/>
      </c>
      <c r="AB24" s="2" t="str">
        <f t="shared" si="0"/>
        <v/>
      </c>
      <c r="AC24" s="2" t="str">
        <f t="shared" si="1"/>
        <v>(9 downto 8)</v>
      </c>
      <c r="AD24" s="2" t="str">
        <f t="shared" si="2"/>
        <v>(7 downto 0)</v>
      </c>
      <c r="AE24" s="2" t="str">
        <f t="shared" si="3"/>
        <v/>
      </c>
      <c r="AF24" s="2" t="str">
        <f t="shared" si="4"/>
        <v/>
      </c>
      <c r="AG24" s="2" t="str">
        <f t="shared" si="5"/>
        <v>(9 downto 8)</v>
      </c>
      <c r="AH24" s="2" t="str">
        <f t="shared" si="6"/>
        <v>(7 downto 0)</v>
      </c>
    </row>
    <row r="25" spans="2:34" x14ac:dyDescent="0.25">
      <c r="B25" s="2" t="s">
        <v>184</v>
      </c>
      <c r="D25" s="2" t="s">
        <v>1</v>
      </c>
      <c r="E25" s="2" t="s">
        <v>134</v>
      </c>
      <c r="F25" s="2" t="s">
        <v>236</v>
      </c>
      <c r="G25" s="2" t="s">
        <v>237</v>
      </c>
      <c r="H25" s="2" t="s">
        <v>238</v>
      </c>
      <c r="I25" s="2" t="s">
        <v>42</v>
      </c>
      <c r="J25" s="2">
        <v>10</v>
      </c>
      <c r="K25" s="2" t="s">
        <v>137</v>
      </c>
      <c r="L25" s="2" t="s">
        <v>41</v>
      </c>
      <c r="M25" s="2" t="s">
        <v>135</v>
      </c>
      <c r="N25" s="2" t="s">
        <v>188</v>
      </c>
      <c r="O25" s="2" t="s">
        <v>239</v>
      </c>
      <c r="P25" s="2" t="s">
        <v>50</v>
      </c>
      <c r="Q25" s="2">
        <f>INDEX(Tables!$C$4:$C$28,MATCH($P25,Tables!$B$4:$B$28,0))</f>
        <v>16</v>
      </c>
      <c r="R25" s="2">
        <f>INDEX(Tables!$D$4:$D$28,MATCH($P25,Tables!$B$4:$B$28,0))</f>
        <v>2</v>
      </c>
      <c r="S25" s="2">
        <f>$S24+$R24+INDEX(Tables!$N$5:$Q$8,MATCH(MOD($S24+$R24,4),Tables!$M$5:$M$8,0),MATCH($R25,Tables!$N$4:$Q$4,0))</f>
        <v>50</v>
      </c>
      <c r="T25" s="2" t="str">
        <f t="shared" si="7"/>
        <v>0032</v>
      </c>
      <c r="U25" s="2">
        <f t="shared" si="8"/>
        <v>12</v>
      </c>
      <c r="V25" s="2" t="str">
        <f t="shared" si="9"/>
        <v>00C</v>
      </c>
      <c r="W25" s="2" t="str">
        <f t="shared" si="10"/>
        <v>X</v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13"/>
        <v>(25 downto 24)</v>
      </c>
      <c r="AB25" s="2" t="str">
        <f t="shared" si="0"/>
        <v>(23 downto 16)</v>
      </c>
      <c r="AC25" s="2" t="str">
        <f t="shared" si="1"/>
        <v/>
      </c>
      <c r="AD25" s="2" t="str">
        <f t="shared" si="2"/>
        <v/>
      </c>
      <c r="AE25" s="2" t="str">
        <f t="shared" si="3"/>
        <v>(9 downto 8)</v>
      </c>
      <c r="AF25" s="2" t="str">
        <f t="shared" si="4"/>
        <v>(7 downto 0)</v>
      </c>
      <c r="AG25" s="2" t="str">
        <f t="shared" si="5"/>
        <v/>
      </c>
      <c r="AH25" s="2" t="str">
        <f t="shared" si="6"/>
        <v/>
      </c>
    </row>
    <row r="26" spans="2:34" x14ac:dyDescent="0.25">
      <c r="B26" s="2" t="s">
        <v>184</v>
      </c>
      <c r="D26" s="2" t="s">
        <v>1</v>
      </c>
      <c r="E26" s="2" t="s">
        <v>134</v>
      </c>
      <c r="F26" s="2" t="s">
        <v>240</v>
      </c>
      <c r="G26" s="2" t="s">
        <v>241</v>
      </c>
      <c r="H26" s="2" t="s">
        <v>242</v>
      </c>
      <c r="I26" s="2" t="s">
        <v>42</v>
      </c>
      <c r="J26" s="2">
        <v>10</v>
      </c>
      <c r="K26" s="2" t="s">
        <v>137</v>
      </c>
      <c r="L26" s="2" t="s">
        <v>41</v>
      </c>
      <c r="M26" s="2" t="s">
        <v>135</v>
      </c>
      <c r="N26" s="2" t="s">
        <v>188</v>
      </c>
      <c r="O26" s="2" t="s">
        <v>243</v>
      </c>
      <c r="P26" s="2" t="s">
        <v>50</v>
      </c>
      <c r="Q26" s="2">
        <f>INDEX(Tables!$C$4:$C$28,MATCH($P26,Tables!$B$4:$B$28,0))</f>
        <v>16</v>
      </c>
      <c r="R26" s="2">
        <f>INDEX(Tables!$D$4:$D$28,MATCH($P26,Tables!$B$4:$B$28,0))</f>
        <v>2</v>
      </c>
      <c r="S26" s="2">
        <f>$S25+$R25+INDEX(Tables!$N$5:$Q$8,MATCH(MOD($S25+$R25,4),Tables!$M$5:$M$8,0),MATCH($R26,Tables!$N$4:$Q$4,0))</f>
        <v>52</v>
      </c>
      <c r="T26" s="2" t="str">
        <f t="shared" si="7"/>
        <v>0034</v>
      </c>
      <c r="U26" s="2">
        <f t="shared" si="8"/>
        <v>13</v>
      </c>
      <c r="V26" s="2" t="str">
        <f t="shared" si="9"/>
        <v>00D</v>
      </c>
      <c r="W26" s="2" t="str">
        <f t="shared" si="10"/>
        <v/>
      </c>
      <c r="X26" s="2" t="str">
        <f t="shared" si="14"/>
        <v/>
      </c>
      <c r="Y26" s="2" t="str">
        <f t="shared" si="11"/>
        <v>X</v>
      </c>
      <c r="Z26" s="2" t="str">
        <f t="shared" si="12"/>
        <v>X</v>
      </c>
      <c r="AA26" s="2" t="str">
        <f t="shared" si="13"/>
        <v/>
      </c>
      <c r="AB26" s="2" t="str">
        <f t="shared" si="0"/>
        <v/>
      </c>
      <c r="AC26" s="2" t="str">
        <f t="shared" si="1"/>
        <v>(9 downto 8)</v>
      </c>
      <c r="AD26" s="2" t="str">
        <f t="shared" si="2"/>
        <v>(7 downto 0)</v>
      </c>
      <c r="AE26" s="2" t="str">
        <f t="shared" si="3"/>
        <v/>
      </c>
      <c r="AF26" s="2" t="str">
        <f t="shared" si="4"/>
        <v/>
      </c>
      <c r="AG26" s="2" t="str">
        <f t="shared" si="5"/>
        <v>(9 downto 8)</v>
      </c>
      <c r="AH26" s="2" t="str">
        <f t="shared" si="6"/>
        <v>(7 downto 0)</v>
      </c>
    </row>
    <row r="27" spans="2:34" x14ac:dyDescent="0.25">
      <c r="B27" s="2" t="s">
        <v>184</v>
      </c>
      <c r="D27" s="2" t="s">
        <v>1</v>
      </c>
      <c r="E27" s="2" t="s">
        <v>134</v>
      </c>
      <c r="F27" s="2" t="s">
        <v>244</v>
      </c>
      <c r="G27" s="2" t="s">
        <v>245</v>
      </c>
      <c r="H27" s="2" t="s">
        <v>246</v>
      </c>
      <c r="I27" s="2" t="s">
        <v>42</v>
      </c>
      <c r="J27" s="2">
        <v>10</v>
      </c>
      <c r="K27" s="2" t="s">
        <v>137</v>
      </c>
      <c r="L27" s="2" t="s">
        <v>41</v>
      </c>
      <c r="M27" s="2" t="s">
        <v>135</v>
      </c>
      <c r="N27" s="2" t="s">
        <v>188</v>
      </c>
      <c r="O27" s="2" t="s">
        <v>247</v>
      </c>
      <c r="P27" s="2" t="s">
        <v>50</v>
      </c>
      <c r="Q27" s="2">
        <f>INDEX(Tables!$C$4:$C$28,MATCH($P27,Tables!$B$4:$B$28,0))</f>
        <v>16</v>
      </c>
      <c r="R27" s="2">
        <f>INDEX(Tables!$D$4:$D$28,MATCH($P27,Tables!$B$4:$B$28,0))</f>
        <v>2</v>
      </c>
      <c r="S27" s="2">
        <f>$S26+$R26+INDEX(Tables!$N$5:$Q$8,MATCH(MOD($S26+$R26,4),Tables!$M$5:$M$8,0),MATCH($R27,Tables!$N$4:$Q$4,0))</f>
        <v>54</v>
      </c>
      <c r="T27" s="2" t="str">
        <f t="shared" si="7"/>
        <v>0036</v>
      </c>
      <c r="U27" s="2">
        <f t="shared" si="8"/>
        <v>13</v>
      </c>
      <c r="V27" s="2" t="str">
        <f t="shared" si="9"/>
        <v>00D</v>
      </c>
      <c r="W27" s="2" t="str">
        <f t="shared" si="10"/>
        <v>X</v>
      </c>
      <c r="X27" s="2" t="str">
        <f t="shared" si="14"/>
        <v>X</v>
      </c>
      <c r="Y27" s="2" t="str">
        <f t="shared" si="11"/>
        <v/>
      </c>
      <c r="Z27" s="2" t="str">
        <f t="shared" si="12"/>
        <v/>
      </c>
      <c r="AA27" s="2" t="str">
        <f t="shared" si="13"/>
        <v>(25 downto 24)</v>
      </c>
      <c r="AB27" s="2" t="str">
        <f t="shared" si="0"/>
        <v>(23 downto 16)</v>
      </c>
      <c r="AC27" s="2" t="str">
        <f t="shared" si="1"/>
        <v/>
      </c>
      <c r="AD27" s="2" t="str">
        <f t="shared" si="2"/>
        <v/>
      </c>
      <c r="AE27" s="2" t="str">
        <f t="shared" si="3"/>
        <v>(9 downto 8)</v>
      </c>
      <c r="AF27" s="2" t="str">
        <f t="shared" si="4"/>
        <v>(7 downto 0)</v>
      </c>
      <c r="AG27" s="2" t="str">
        <f t="shared" si="5"/>
        <v/>
      </c>
      <c r="AH27" s="2" t="str">
        <f t="shared" si="6"/>
        <v/>
      </c>
    </row>
    <row r="28" spans="2:34" x14ac:dyDescent="0.25">
      <c r="B28" s="2" t="s">
        <v>184</v>
      </c>
      <c r="D28" s="2" t="s">
        <v>1</v>
      </c>
      <c r="E28" s="2" t="s">
        <v>134</v>
      </c>
      <c r="F28" s="2" t="s">
        <v>248</v>
      </c>
      <c r="G28" s="2" t="s">
        <v>249</v>
      </c>
      <c r="H28" s="2" t="s">
        <v>250</v>
      </c>
      <c r="I28" s="2" t="s">
        <v>42</v>
      </c>
      <c r="J28" s="2">
        <v>10</v>
      </c>
      <c r="K28" s="2" t="s">
        <v>137</v>
      </c>
      <c r="L28" s="2" t="s">
        <v>41</v>
      </c>
      <c r="M28" s="2" t="s">
        <v>135</v>
      </c>
      <c r="N28" s="2" t="s">
        <v>188</v>
      </c>
      <c r="O28" s="2" t="s">
        <v>251</v>
      </c>
      <c r="P28" s="2" t="s">
        <v>50</v>
      </c>
      <c r="Q28" s="2">
        <f>INDEX(Tables!$C$4:$C$28,MATCH($P28,Tables!$B$4:$B$28,0))</f>
        <v>16</v>
      </c>
      <c r="R28" s="2">
        <f>INDEX(Tables!$D$4:$D$28,MATCH($P28,Tables!$B$4:$B$28,0))</f>
        <v>2</v>
      </c>
      <c r="S28" s="2">
        <f>$S27+$R27+INDEX(Tables!$N$5:$Q$8,MATCH(MOD($S27+$R27,4),Tables!$M$5:$M$8,0),MATCH($R28,Tables!$N$4:$Q$4,0))</f>
        <v>56</v>
      </c>
      <c r="T28" s="2" t="str">
        <f t="shared" si="7"/>
        <v>0038</v>
      </c>
      <c r="U28" s="2">
        <f t="shared" si="8"/>
        <v>14</v>
      </c>
      <c r="V28" s="2" t="str">
        <f t="shared" si="9"/>
        <v>00E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>X</v>
      </c>
      <c r="AA28" s="2" t="str">
        <f t="shared" si="13"/>
        <v/>
      </c>
      <c r="AB28" s="2" t="str">
        <f t="shared" si="0"/>
        <v/>
      </c>
      <c r="AC28" s="2" t="str">
        <f t="shared" si="1"/>
        <v>(9 downto 8)</v>
      </c>
      <c r="AD28" s="2" t="str">
        <f t="shared" si="2"/>
        <v>(7 downto 0)</v>
      </c>
      <c r="AE28" s="2" t="str">
        <f t="shared" si="3"/>
        <v/>
      </c>
      <c r="AF28" s="2" t="str">
        <f t="shared" si="4"/>
        <v/>
      </c>
      <c r="AG28" s="2" t="str">
        <f t="shared" si="5"/>
        <v>(9 downto 8)</v>
      </c>
      <c r="AH28" s="2" t="str">
        <f t="shared" si="6"/>
        <v>(7 downto 0)</v>
      </c>
    </row>
    <row r="29" spans="2:34" x14ac:dyDescent="0.25">
      <c r="B29" s="2" t="s">
        <v>184</v>
      </c>
      <c r="D29" s="2" t="s">
        <v>1</v>
      </c>
      <c r="E29" s="2" t="s">
        <v>134</v>
      </c>
      <c r="F29" s="2" t="s">
        <v>252</v>
      </c>
      <c r="G29" s="2" t="s">
        <v>253</v>
      </c>
      <c r="H29" s="2" t="s">
        <v>254</v>
      </c>
      <c r="I29" s="2" t="s">
        <v>42</v>
      </c>
      <c r="J29" s="2">
        <v>10</v>
      </c>
      <c r="K29" s="2" t="s">
        <v>137</v>
      </c>
      <c r="L29" s="2" t="s">
        <v>41</v>
      </c>
      <c r="M29" s="2" t="s">
        <v>135</v>
      </c>
      <c r="N29" s="2" t="s">
        <v>188</v>
      </c>
      <c r="O29" s="2" t="s">
        <v>255</v>
      </c>
      <c r="P29" s="2" t="s">
        <v>50</v>
      </c>
      <c r="Q29" s="2">
        <f>INDEX(Tables!$C$4:$C$28,MATCH($P29,Tables!$B$4:$B$28,0))</f>
        <v>16</v>
      </c>
      <c r="R29" s="2">
        <f>INDEX(Tables!$D$4:$D$28,MATCH($P29,Tables!$B$4:$B$28,0))</f>
        <v>2</v>
      </c>
      <c r="S29" s="2">
        <f>$S28+$R28+INDEX(Tables!$N$5:$Q$8,MATCH(MOD($S28+$R28,4),Tables!$M$5:$M$8,0),MATCH($R29,Tables!$N$4:$Q$4,0))</f>
        <v>58</v>
      </c>
      <c r="T29" s="2" t="str">
        <f t="shared" si="7"/>
        <v>003A</v>
      </c>
      <c r="U29" s="2">
        <f t="shared" si="8"/>
        <v>14</v>
      </c>
      <c r="V29" s="2" t="str">
        <f t="shared" si="9"/>
        <v>00E</v>
      </c>
      <c r="W29" s="2" t="str">
        <f t="shared" si="10"/>
        <v>X</v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13"/>
        <v>(25 downto 24)</v>
      </c>
      <c r="AB29" s="2" t="str">
        <f t="shared" si="0"/>
        <v>(23 downto 16)</v>
      </c>
      <c r="AC29" s="2" t="str">
        <f t="shared" si="1"/>
        <v/>
      </c>
      <c r="AD29" s="2" t="str">
        <f t="shared" si="2"/>
        <v/>
      </c>
      <c r="AE29" s="2" t="str">
        <f t="shared" si="3"/>
        <v>(9 downto 8)</v>
      </c>
      <c r="AF29" s="2" t="str">
        <f t="shared" si="4"/>
        <v>(7 downto 0)</v>
      </c>
      <c r="AG29" s="2" t="str">
        <f t="shared" si="5"/>
        <v/>
      </c>
      <c r="AH29" s="2" t="str">
        <f t="shared" si="6"/>
        <v/>
      </c>
    </row>
    <row r="30" spans="2:34" x14ac:dyDescent="0.25">
      <c r="B30" s="2" t="s">
        <v>184</v>
      </c>
      <c r="D30" s="2" t="s">
        <v>1</v>
      </c>
      <c r="E30" s="2" t="s">
        <v>134</v>
      </c>
      <c r="F30" s="2" t="s">
        <v>256</v>
      </c>
      <c r="G30" s="2" t="s">
        <v>257</v>
      </c>
      <c r="H30" s="2" t="s">
        <v>258</v>
      </c>
      <c r="I30" s="2" t="s">
        <v>42</v>
      </c>
      <c r="J30" s="2">
        <v>10</v>
      </c>
      <c r="K30" s="2" t="s">
        <v>137</v>
      </c>
      <c r="L30" s="2" t="s">
        <v>41</v>
      </c>
      <c r="M30" s="2" t="s">
        <v>135</v>
      </c>
      <c r="N30" s="2" t="s">
        <v>188</v>
      </c>
      <c r="O30" s="2" t="s">
        <v>259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60</v>
      </c>
      <c r="T30" s="2" t="str">
        <f t="shared" si="7"/>
        <v>003C</v>
      </c>
      <c r="U30" s="2">
        <f t="shared" si="8"/>
        <v>15</v>
      </c>
      <c r="V30" s="2" t="str">
        <f t="shared" si="9"/>
        <v>00F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0"/>
        <v/>
      </c>
      <c r="AC30" s="2" t="str">
        <f t="shared" si="1"/>
        <v>(9 downto 8)</v>
      </c>
      <c r="AD30" s="2" t="str">
        <f t="shared" si="2"/>
        <v>(7 downto 0)</v>
      </c>
      <c r="AE30" s="2" t="str">
        <f t="shared" si="3"/>
        <v/>
      </c>
      <c r="AF30" s="2" t="str">
        <f t="shared" si="4"/>
        <v/>
      </c>
      <c r="AG30" s="2" t="str">
        <f t="shared" si="5"/>
        <v>(9 downto 8)</v>
      </c>
      <c r="AH30" s="2" t="str">
        <f t="shared" si="6"/>
        <v>(7 downto 0)</v>
      </c>
    </row>
    <row r="31" spans="2:34" x14ac:dyDescent="0.25">
      <c r="B31" s="2" t="s">
        <v>184</v>
      </c>
      <c r="D31" s="2" t="s">
        <v>1</v>
      </c>
      <c r="E31" s="2" t="s">
        <v>134</v>
      </c>
      <c r="F31" s="2" t="s">
        <v>260</v>
      </c>
      <c r="G31" s="2" t="s">
        <v>261</v>
      </c>
      <c r="H31" s="2" t="s">
        <v>262</v>
      </c>
      <c r="I31" s="2" t="s">
        <v>42</v>
      </c>
      <c r="J31" s="2">
        <v>10</v>
      </c>
      <c r="K31" s="2" t="s">
        <v>137</v>
      </c>
      <c r="L31" s="2" t="s">
        <v>41</v>
      </c>
      <c r="M31" s="2" t="s">
        <v>135</v>
      </c>
      <c r="N31" s="2" t="s">
        <v>188</v>
      </c>
      <c r="O31" s="2" t="s">
        <v>263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$S30+$R30+INDEX(Tables!$N$5:$Q$8,MATCH(MOD($S30+$R30,4),Tables!$M$5:$M$8,0),MATCH($R31,Tables!$N$4:$Q$4,0))</f>
        <v>62</v>
      </c>
      <c r="T31" s="2" t="str">
        <f t="shared" si="7"/>
        <v>003E</v>
      </c>
      <c r="U31" s="2">
        <f t="shared" si="8"/>
        <v>15</v>
      </c>
      <c r="V31" s="2" t="str">
        <f t="shared" si="9"/>
        <v>00F</v>
      </c>
      <c r="W31" s="2" t="str">
        <f t="shared" si="10"/>
        <v>X</v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>(25 downto 24)</v>
      </c>
      <c r="AB31" s="2" t="str">
        <f t="shared" si="0"/>
        <v>(23 downto 16)</v>
      </c>
      <c r="AC31" s="2" t="str">
        <f t="shared" si="1"/>
        <v/>
      </c>
      <c r="AD31" s="2" t="str">
        <f t="shared" si="2"/>
        <v/>
      </c>
      <c r="AE31" s="2" t="str">
        <f t="shared" si="3"/>
        <v>(9 downto 8)</v>
      </c>
      <c r="AF31" s="2" t="str">
        <f t="shared" si="4"/>
        <v>(7 downto 0)</v>
      </c>
      <c r="AG31" s="2" t="str">
        <f t="shared" si="5"/>
        <v/>
      </c>
      <c r="AH31" s="2" t="str">
        <f t="shared" si="6"/>
        <v/>
      </c>
    </row>
    <row r="32" spans="2:34" x14ac:dyDescent="0.25">
      <c r="B32" s="2" t="s">
        <v>184</v>
      </c>
      <c r="D32" s="2" t="s">
        <v>1</v>
      </c>
      <c r="E32" s="2" t="s">
        <v>134</v>
      </c>
      <c r="F32" s="2" t="s">
        <v>264</v>
      </c>
      <c r="G32" s="2" t="s">
        <v>265</v>
      </c>
      <c r="H32" s="2" t="s">
        <v>266</v>
      </c>
      <c r="I32" s="2" t="s">
        <v>42</v>
      </c>
      <c r="J32" s="2">
        <v>5</v>
      </c>
      <c r="K32" s="2" t="s">
        <v>137</v>
      </c>
      <c r="L32" s="2" t="s">
        <v>41</v>
      </c>
      <c r="M32" s="2" t="s">
        <v>135</v>
      </c>
      <c r="N32" s="2" t="s">
        <v>188</v>
      </c>
      <c r="O32" s="2" t="s">
        <v>267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64</v>
      </c>
      <c r="T32" s="2" t="str">
        <f t="shared" si="7"/>
        <v>0040</v>
      </c>
      <c r="U32" s="2">
        <f t="shared" si="8"/>
        <v>16</v>
      </c>
      <c r="V32" s="2" t="str">
        <f t="shared" si="9"/>
        <v>010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13"/>
        <v/>
      </c>
      <c r="AB32" s="2" t="str">
        <f t="shared" si="0"/>
        <v/>
      </c>
      <c r="AC32" s="2" t="str">
        <f t="shared" si="1"/>
        <v/>
      </c>
      <c r="AD32" s="2" t="str">
        <f t="shared" si="2"/>
        <v>(4 downto 0)</v>
      </c>
      <c r="AE32" s="2" t="str">
        <f t="shared" si="3"/>
        <v/>
      </c>
      <c r="AF32" s="2" t="str">
        <f t="shared" si="4"/>
        <v/>
      </c>
      <c r="AG32" s="2" t="str">
        <f t="shared" si="5"/>
        <v/>
      </c>
      <c r="AH32" s="2" t="str">
        <f t="shared" si="6"/>
        <v/>
      </c>
    </row>
    <row r="33" spans="2:34" x14ac:dyDescent="0.25">
      <c r="B33" s="2" t="s">
        <v>184</v>
      </c>
      <c r="D33" s="2" t="s">
        <v>1</v>
      </c>
      <c r="E33" s="2" t="s">
        <v>134</v>
      </c>
      <c r="F33" s="2" t="s">
        <v>268</v>
      </c>
      <c r="G33" s="2" t="s">
        <v>269</v>
      </c>
      <c r="H33" s="2" t="s">
        <v>270</v>
      </c>
      <c r="I33" s="2" t="s">
        <v>42</v>
      </c>
      <c r="J33" s="2">
        <v>5</v>
      </c>
      <c r="K33" s="2" t="s">
        <v>137</v>
      </c>
      <c r="L33" s="2" t="s">
        <v>41</v>
      </c>
      <c r="M33" s="2" t="s">
        <v>135</v>
      </c>
      <c r="N33" s="2" t="s">
        <v>188</v>
      </c>
      <c r="O33" s="2" t="s">
        <v>271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65</v>
      </c>
      <c r="T33" s="2" t="str">
        <f t="shared" si="7"/>
        <v>0041</v>
      </c>
      <c r="U33" s="2">
        <f t="shared" si="8"/>
        <v>16</v>
      </c>
      <c r="V33" s="2" t="str">
        <f t="shared" si="9"/>
        <v>010</v>
      </c>
      <c r="W33" s="2" t="str">
        <f t="shared" si="10"/>
        <v/>
      </c>
      <c r="X33" s="2" t="str">
        <f t="shared" si="14"/>
        <v/>
      </c>
      <c r="Y33" s="2" t="str">
        <f t="shared" si="11"/>
        <v>X</v>
      </c>
      <c r="Z33" s="2" t="str">
        <f t="shared" si="12"/>
        <v/>
      </c>
      <c r="AA33" s="2" t="str">
        <f t="shared" si="13"/>
        <v/>
      </c>
      <c r="AB33" s="2" t="str">
        <f t="shared" si="0"/>
        <v/>
      </c>
      <c r="AC33" s="2" t="str">
        <f t="shared" si="1"/>
        <v>(12 downto 8)</v>
      </c>
      <c r="AD33" s="2" t="str">
        <f t="shared" si="2"/>
        <v/>
      </c>
      <c r="AE33" s="2" t="str">
        <f t="shared" si="3"/>
        <v/>
      </c>
      <c r="AF33" s="2" t="str">
        <f t="shared" si="4"/>
        <v/>
      </c>
      <c r="AG33" s="2" t="str">
        <f t="shared" si="5"/>
        <v/>
      </c>
      <c r="AH33" s="2" t="str">
        <f t="shared" si="6"/>
        <v/>
      </c>
    </row>
    <row r="34" spans="2:34" x14ac:dyDescent="0.25">
      <c r="B34" s="2" t="s">
        <v>184</v>
      </c>
      <c r="D34" s="2" t="s">
        <v>1</v>
      </c>
      <c r="E34" s="2" t="s">
        <v>134</v>
      </c>
      <c r="F34" s="2" t="s">
        <v>272</v>
      </c>
      <c r="G34" s="2" t="s">
        <v>273</v>
      </c>
      <c r="H34" s="2" t="s">
        <v>274</v>
      </c>
      <c r="I34" s="2" t="s">
        <v>42</v>
      </c>
      <c r="J34" s="2">
        <v>5</v>
      </c>
      <c r="K34" s="2" t="s">
        <v>137</v>
      </c>
      <c r="L34" s="2" t="s">
        <v>41</v>
      </c>
      <c r="M34" s="2" t="s">
        <v>135</v>
      </c>
      <c r="N34" s="2" t="s">
        <v>188</v>
      </c>
      <c r="O34" s="2" t="s">
        <v>275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$S33+$R33+INDEX(Tables!$N$5:$Q$8,MATCH(MOD($S33+$R33,4),Tables!$M$5:$M$8,0),MATCH($R34,Tables!$N$4:$Q$4,0))</f>
        <v>66</v>
      </c>
      <c r="T34" s="2" t="str">
        <f t="shared" si="7"/>
        <v>0042</v>
      </c>
      <c r="U34" s="2">
        <f t="shared" si="8"/>
        <v>16</v>
      </c>
      <c r="V34" s="2" t="str">
        <f t="shared" si="9"/>
        <v>010</v>
      </c>
      <c r="W34" s="2" t="str">
        <f t="shared" si="10"/>
        <v/>
      </c>
      <c r="X34" s="2" t="str">
        <f t="shared" si="14"/>
        <v>X</v>
      </c>
      <c r="Y34" s="2" t="str">
        <f t="shared" si="11"/>
        <v/>
      </c>
      <c r="Z34" s="2" t="str">
        <f t="shared" si="12"/>
        <v/>
      </c>
      <c r="AA34" s="2" t="str">
        <f t="shared" si="13"/>
        <v/>
      </c>
      <c r="AB34" s="2" t="str">
        <f t="shared" si="0"/>
        <v>(20 downto 16)</v>
      </c>
      <c r="AC34" s="2" t="str">
        <f t="shared" si="1"/>
        <v/>
      </c>
      <c r="AD34" s="2" t="str">
        <f t="shared" si="2"/>
        <v/>
      </c>
      <c r="AE34" s="2" t="str">
        <f t="shared" si="3"/>
        <v/>
      </c>
      <c r="AF34" s="2" t="str">
        <f t="shared" si="4"/>
        <v/>
      </c>
      <c r="AG34" s="2" t="str">
        <f t="shared" si="5"/>
        <v/>
      </c>
      <c r="AH34" s="2" t="str">
        <f t="shared" si="6"/>
        <v/>
      </c>
    </row>
    <row r="35" spans="2:34" x14ac:dyDescent="0.25">
      <c r="B35" s="2" t="s">
        <v>184</v>
      </c>
      <c r="D35" s="2" t="s">
        <v>1</v>
      </c>
      <c r="E35" s="2" t="s">
        <v>134</v>
      </c>
      <c r="F35" s="2" t="s">
        <v>276</v>
      </c>
      <c r="G35" s="2" t="s">
        <v>277</v>
      </c>
      <c r="H35" s="2" t="s">
        <v>278</v>
      </c>
      <c r="I35" s="2" t="s">
        <v>42</v>
      </c>
      <c r="J35" s="2">
        <v>5</v>
      </c>
      <c r="K35" s="2" t="s">
        <v>137</v>
      </c>
      <c r="L35" s="2" t="s">
        <v>41</v>
      </c>
      <c r="M35" s="2" t="s">
        <v>135</v>
      </c>
      <c r="N35" s="2" t="s">
        <v>188</v>
      </c>
      <c r="O35" s="2" t="s">
        <v>279</v>
      </c>
      <c r="P35" s="2" t="s">
        <v>48</v>
      </c>
      <c r="Q35" s="2">
        <f>INDEX(Tables!$C$4:$C$28,MATCH($P35,Tables!$B$4:$B$28,0))</f>
        <v>8</v>
      </c>
      <c r="R35" s="2">
        <f>INDEX(Tables!$D$4:$D$28,MATCH($P35,Tables!$B$4:$B$28,0))</f>
        <v>1</v>
      </c>
      <c r="S35" s="2">
        <f>$S34+$R34+INDEX(Tables!$N$5:$Q$8,MATCH(MOD($S34+$R34,4),Tables!$M$5:$M$8,0),MATCH($R35,Tables!$N$4:$Q$4,0))</f>
        <v>67</v>
      </c>
      <c r="T35" s="2" t="str">
        <f t="shared" si="7"/>
        <v>0043</v>
      </c>
      <c r="U35" s="2">
        <f t="shared" si="8"/>
        <v>16</v>
      </c>
      <c r="V35" s="2" t="str">
        <f t="shared" si="9"/>
        <v>010</v>
      </c>
      <c r="W35" s="2" t="str">
        <f t="shared" si="10"/>
        <v>X</v>
      </c>
      <c r="X35" s="2" t="str">
        <f t="shared" si="14"/>
        <v/>
      </c>
      <c r="Y35" s="2" t="str">
        <f t="shared" si="11"/>
        <v/>
      </c>
      <c r="Z35" s="2" t="str">
        <f t="shared" si="12"/>
        <v/>
      </c>
      <c r="AA35" s="2" t="str">
        <f t="shared" si="13"/>
        <v>(28 downto 24)</v>
      </c>
      <c r="AB35" s="2" t="str">
        <f t="shared" si="0"/>
        <v/>
      </c>
      <c r="AC35" s="2" t="str">
        <f t="shared" si="1"/>
        <v/>
      </c>
      <c r="AD35" s="2" t="str">
        <f t="shared" si="2"/>
        <v/>
      </c>
      <c r="AE35" s="2" t="str">
        <f t="shared" si="3"/>
        <v/>
      </c>
      <c r="AF35" s="2" t="str">
        <f t="shared" si="4"/>
        <v/>
      </c>
      <c r="AG35" s="2" t="str">
        <f t="shared" si="5"/>
        <v/>
      </c>
      <c r="AH35" s="2" t="str">
        <f t="shared" si="6"/>
        <v/>
      </c>
    </row>
    <row r="36" spans="2:34" x14ac:dyDescent="0.25">
      <c r="B36" s="2" t="s">
        <v>184</v>
      </c>
      <c r="D36" s="2" t="s">
        <v>1</v>
      </c>
      <c r="E36" s="2" t="s">
        <v>134</v>
      </c>
      <c r="F36" s="2" t="s">
        <v>280</v>
      </c>
      <c r="G36" s="2" t="s">
        <v>281</v>
      </c>
      <c r="H36" s="2" t="s">
        <v>282</v>
      </c>
      <c r="I36" s="2" t="s">
        <v>42</v>
      </c>
      <c r="J36" s="2">
        <v>5</v>
      </c>
      <c r="K36" s="2" t="s">
        <v>137</v>
      </c>
      <c r="L36" s="2" t="s">
        <v>41</v>
      </c>
      <c r="M36" s="2" t="s">
        <v>135</v>
      </c>
      <c r="N36" s="2" t="s">
        <v>188</v>
      </c>
      <c r="O36" s="2" t="s">
        <v>283</v>
      </c>
      <c r="P36" s="2" t="s">
        <v>48</v>
      </c>
      <c r="Q36" s="2">
        <f>INDEX(Tables!$C$4:$C$28,MATCH($P36,Tables!$B$4:$B$28,0))</f>
        <v>8</v>
      </c>
      <c r="R36" s="2">
        <f>INDEX(Tables!$D$4:$D$28,MATCH($P36,Tables!$B$4:$B$28,0))</f>
        <v>1</v>
      </c>
      <c r="S36" s="2">
        <f>$S35+$R35+INDEX(Tables!$N$5:$Q$8,MATCH(MOD($S35+$R35,4),Tables!$M$5:$M$8,0),MATCH($R36,Tables!$N$4:$Q$4,0))</f>
        <v>68</v>
      </c>
      <c r="T36" s="2" t="str">
        <f t="shared" si="7"/>
        <v>0044</v>
      </c>
      <c r="U36" s="2">
        <f t="shared" si="8"/>
        <v>17</v>
      </c>
      <c r="V36" s="2" t="str">
        <f t="shared" si="9"/>
        <v>011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13"/>
        <v/>
      </c>
      <c r="AB36" s="2" t="str">
        <f t="shared" si="0"/>
        <v/>
      </c>
      <c r="AC36" s="2" t="str">
        <f t="shared" si="1"/>
        <v/>
      </c>
      <c r="AD36" s="2" t="str">
        <f t="shared" si="2"/>
        <v>(4 downto 0)</v>
      </c>
      <c r="AE36" s="2" t="str">
        <f t="shared" si="3"/>
        <v/>
      </c>
      <c r="AF36" s="2" t="str">
        <f t="shared" si="4"/>
        <v/>
      </c>
      <c r="AG36" s="2" t="str">
        <f t="shared" si="5"/>
        <v/>
      </c>
      <c r="AH36" s="2" t="str">
        <f t="shared" si="6"/>
        <v/>
      </c>
    </row>
    <row r="37" spans="2:34" x14ac:dyDescent="0.25">
      <c r="B37" s="2" t="s">
        <v>184</v>
      </c>
      <c r="D37" s="2" t="s">
        <v>1</v>
      </c>
      <c r="E37" s="2" t="s">
        <v>134</v>
      </c>
      <c r="F37" s="2" t="s">
        <v>284</v>
      </c>
      <c r="G37" s="2" t="s">
        <v>285</v>
      </c>
      <c r="H37" s="2" t="s">
        <v>286</v>
      </c>
      <c r="I37" s="2" t="s">
        <v>42</v>
      </c>
      <c r="J37" s="2">
        <v>5</v>
      </c>
      <c r="K37" s="2" t="s">
        <v>137</v>
      </c>
      <c r="L37" s="2" t="s">
        <v>41</v>
      </c>
      <c r="M37" s="2" t="s">
        <v>135</v>
      </c>
      <c r="N37" s="2" t="s">
        <v>188</v>
      </c>
      <c r="O37" s="2" t="s">
        <v>287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69</v>
      </c>
      <c r="T37" s="2" t="str">
        <f t="shared" si="7"/>
        <v>0045</v>
      </c>
      <c r="U37" s="2">
        <f t="shared" si="8"/>
        <v>17</v>
      </c>
      <c r="V37" s="2" t="str">
        <f t="shared" si="9"/>
        <v>011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/>
      </c>
      <c r="AA37" s="2" t="str">
        <f t="shared" si="13"/>
        <v/>
      </c>
      <c r="AB37" s="2" t="str">
        <f t="shared" si="0"/>
        <v/>
      </c>
      <c r="AC37" s="2" t="str">
        <f t="shared" si="1"/>
        <v>(12 downto 8)</v>
      </c>
      <c r="AD37" s="2" t="str">
        <f t="shared" si="2"/>
        <v/>
      </c>
      <c r="AE37" s="2" t="str">
        <f t="shared" si="3"/>
        <v/>
      </c>
      <c r="AF37" s="2" t="str">
        <f t="shared" si="4"/>
        <v/>
      </c>
      <c r="AG37" s="2" t="str">
        <f t="shared" si="5"/>
        <v/>
      </c>
      <c r="AH37" s="2" t="str">
        <f t="shared" si="6"/>
        <v/>
      </c>
    </row>
    <row r="38" spans="2:34" x14ac:dyDescent="0.25">
      <c r="B38" s="2" t="s">
        <v>184</v>
      </c>
      <c r="D38" s="2" t="s">
        <v>1</v>
      </c>
      <c r="E38" s="2" t="s">
        <v>134</v>
      </c>
      <c r="F38" s="2" t="s">
        <v>288</v>
      </c>
      <c r="G38" s="2" t="s">
        <v>289</v>
      </c>
      <c r="H38" s="2" t="s">
        <v>290</v>
      </c>
      <c r="I38" s="2" t="s">
        <v>42</v>
      </c>
      <c r="J38" s="2">
        <v>5</v>
      </c>
      <c r="K38" s="2" t="s">
        <v>137</v>
      </c>
      <c r="L38" s="2" t="s">
        <v>41</v>
      </c>
      <c r="M38" s="2" t="s">
        <v>135</v>
      </c>
      <c r="N38" s="2" t="s">
        <v>188</v>
      </c>
      <c r="O38" s="2" t="s">
        <v>291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70</v>
      </c>
      <c r="T38" s="2" t="str">
        <f t="shared" si="7"/>
        <v>0046</v>
      </c>
      <c r="U38" s="2">
        <f t="shared" si="8"/>
        <v>17</v>
      </c>
      <c r="V38" s="2" t="str">
        <f t="shared" si="9"/>
        <v>011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3"/>
        <v/>
      </c>
      <c r="AB38" s="2" t="str">
        <f t="shared" si="0"/>
        <v>(20 downto 16)</v>
      </c>
      <c r="AC38" s="2" t="str">
        <f t="shared" si="1"/>
        <v/>
      </c>
      <c r="AD38" s="2" t="str">
        <f t="shared" si="2"/>
        <v/>
      </c>
      <c r="AE38" s="2" t="str">
        <f t="shared" si="3"/>
        <v/>
      </c>
      <c r="AF38" s="2" t="str">
        <f t="shared" si="4"/>
        <v/>
      </c>
      <c r="AG38" s="2" t="str">
        <f t="shared" si="5"/>
        <v/>
      </c>
      <c r="AH38" s="2" t="str">
        <f t="shared" si="6"/>
        <v/>
      </c>
    </row>
    <row r="39" spans="2:34" x14ac:dyDescent="0.25">
      <c r="B39" s="2" t="s">
        <v>184</v>
      </c>
      <c r="D39" s="2" t="s">
        <v>1</v>
      </c>
      <c r="E39" s="2" t="s">
        <v>134</v>
      </c>
      <c r="F39" s="2" t="s">
        <v>292</v>
      </c>
      <c r="G39" s="2" t="s">
        <v>293</v>
      </c>
      <c r="H39" s="2" t="s">
        <v>294</v>
      </c>
      <c r="I39" s="2" t="s">
        <v>42</v>
      </c>
      <c r="J39" s="2">
        <v>5</v>
      </c>
      <c r="K39" s="2" t="s">
        <v>137</v>
      </c>
      <c r="L39" s="2" t="s">
        <v>41</v>
      </c>
      <c r="M39" s="2" t="s">
        <v>135</v>
      </c>
      <c r="N39" s="2" t="s">
        <v>188</v>
      </c>
      <c r="O39" s="2" t="s">
        <v>295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71</v>
      </c>
      <c r="T39" s="2" t="str">
        <f t="shared" si="7"/>
        <v>0047</v>
      </c>
      <c r="U39" s="2">
        <f t="shared" si="8"/>
        <v>17</v>
      </c>
      <c r="V39" s="2" t="str">
        <f t="shared" si="9"/>
        <v>011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3"/>
        <v>(28 downto 24)</v>
      </c>
      <c r="AB39" s="2" t="str">
        <f t="shared" si="0"/>
        <v/>
      </c>
      <c r="AC39" s="2" t="str">
        <f t="shared" si="1"/>
        <v/>
      </c>
      <c r="AD39" s="2" t="str">
        <f t="shared" si="2"/>
        <v/>
      </c>
      <c r="AE39" s="2" t="str">
        <f t="shared" si="3"/>
        <v/>
      </c>
      <c r="AF39" s="2" t="str">
        <f t="shared" si="4"/>
        <v/>
      </c>
      <c r="AG39" s="2" t="str">
        <f t="shared" si="5"/>
        <v/>
      </c>
      <c r="AH39" s="2" t="str">
        <f t="shared" si="6"/>
        <v/>
      </c>
    </row>
    <row r="40" spans="2:34" x14ac:dyDescent="0.25">
      <c r="B40" s="2" t="s">
        <v>184</v>
      </c>
      <c r="D40" s="2" t="s">
        <v>1</v>
      </c>
      <c r="E40" s="2" t="s">
        <v>134</v>
      </c>
      <c r="F40" s="2" t="s">
        <v>296</v>
      </c>
      <c r="G40" s="2" t="s">
        <v>297</v>
      </c>
      <c r="H40" s="2" t="s">
        <v>298</v>
      </c>
      <c r="I40" s="2" t="s">
        <v>42</v>
      </c>
      <c r="J40" s="2">
        <v>8</v>
      </c>
      <c r="K40" s="2" t="s">
        <v>137</v>
      </c>
      <c r="L40" s="2" t="s">
        <v>41</v>
      </c>
      <c r="M40" s="2" t="s">
        <v>135</v>
      </c>
      <c r="N40" s="2" t="s">
        <v>188</v>
      </c>
      <c r="O40" s="2" t="s">
        <v>299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72</v>
      </c>
      <c r="T40" s="2" t="str">
        <f t="shared" si="7"/>
        <v>0048</v>
      </c>
      <c r="U40" s="2">
        <f t="shared" si="8"/>
        <v>18</v>
      </c>
      <c r="V40" s="2" t="str">
        <f t="shared" si="9"/>
        <v>012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3"/>
        <v/>
      </c>
      <c r="AB40" s="2" t="str">
        <f t="shared" si="0"/>
        <v/>
      </c>
      <c r="AC40" s="2" t="str">
        <f t="shared" si="1"/>
        <v/>
      </c>
      <c r="AD40" s="2" t="str">
        <f t="shared" si="2"/>
        <v>(7 downto 0)</v>
      </c>
      <c r="AE40" s="2" t="str">
        <f t="shared" si="3"/>
        <v/>
      </c>
      <c r="AF40" s="2" t="str">
        <f t="shared" si="4"/>
        <v/>
      </c>
      <c r="AG40" s="2" t="str">
        <f t="shared" si="5"/>
        <v/>
      </c>
      <c r="AH40" s="2" t="str">
        <f t="shared" si="6"/>
        <v/>
      </c>
    </row>
    <row r="41" spans="2:34" x14ac:dyDescent="0.25">
      <c r="B41" s="2" t="s">
        <v>184</v>
      </c>
      <c r="D41" s="2" t="s">
        <v>1</v>
      </c>
      <c r="E41" s="2" t="s">
        <v>134</v>
      </c>
      <c r="F41" s="2" t="s">
        <v>300</v>
      </c>
      <c r="G41" s="2" t="s">
        <v>301</v>
      </c>
      <c r="H41" s="2" t="s">
        <v>302</v>
      </c>
      <c r="I41" s="2" t="s">
        <v>42</v>
      </c>
      <c r="J41" s="2">
        <v>1</v>
      </c>
      <c r="K41" s="2" t="s">
        <v>82</v>
      </c>
      <c r="L41" s="2" t="s">
        <v>41</v>
      </c>
      <c r="M41" s="2" t="s">
        <v>135</v>
      </c>
      <c r="N41" s="2" t="s">
        <v>188</v>
      </c>
      <c r="O41" s="2" t="s">
        <v>303</v>
      </c>
      <c r="P41" s="2" t="s">
        <v>5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76</v>
      </c>
      <c r="T41" s="2" t="str">
        <f t="shared" si="7"/>
        <v>004C</v>
      </c>
      <c r="U41" s="2">
        <f t="shared" si="8"/>
        <v>19</v>
      </c>
      <c r="V41" s="2" t="str">
        <f t="shared" si="9"/>
        <v>013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3"/>
        <v/>
      </c>
      <c r="AB41" s="2" t="str">
        <f t="shared" si="0"/>
        <v/>
      </c>
      <c r="AC41" s="2" t="str">
        <f t="shared" si="1"/>
        <v/>
      </c>
      <c r="AD41" s="2" t="str">
        <f t="shared" si="2"/>
        <v>(0)</v>
      </c>
      <c r="AE41" s="2" t="str">
        <f t="shared" si="3"/>
        <v/>
      </c>
      <c r="AF41" s="2" t="str">
        <f t="shared" si="4"/>
        <v/>
      </c>
      <c r="AG41" s="2" t="str">
        <f t="shared" si="5"/>
        <v/>
      </c>
      <c r="AH41" s="2" t="str">
        <f t="shared" si="6"/>
        <v/>
      </c>
    </row>
    <row r="42" spans="2:34" x14ac:dyDescent="0.25">
      <c r="B42" s="2" t="s">
        <v>184</v>
      </c>
      <c r="D42" s="2" t="s">
        <v>1</v>
      </c>
      <c r="E42" s="2" t="s">
        <v>134</v>
      </c>
      <c r="F42" s="2" t="s">
        <v>304</v>
      </c>
      <c r="G42" s="2" t="s">
        <v>305</v>
      </c>
      <c r="H42" s="2" t="s">
        <v>306</v>
      </c>
      <c r="I42" s="2" t="s">
        <v>42</v>
      </c>
      <c r="J42" s="2">
        <v>16</v>
      </c>
      <c r="K42" s="2" t="s">
        <v>137</v>
      </c>
      <c r="L42" s="2" t="s">
        <v>41</v>
      </c>
      <c r="M42" s="2" t="s">
        <v>135</v>
      </c>
      <c r="N42" s="2" t="s">
        <v>188</v>
      </c>
      <c r="O42" s="2" t="s">
        <v>307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80</v>
      </c>
      <c r="T42" s="2" t="str">
        <f t="shared" si="7"/>
        <v>0050</v>
      </c>
      <c r="U42" s="2">
        <f t="shared" si="8"/>
        <v>20</v>
      </c>
      <c r="V42" s="2" t="str">
        <f t="shared" si="9"/>
        <v>014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0"/>
        <v/>
      </c>
      <c r="AC42" s="2" t="str">
        <f t="shared" si="1"/>
        <v>(15 downto 8)</v>
      </c>
      <c r="AD42" s="2" t="str">
        <f t="shared" si="2"/>
        <v>(7 downto 0)</v>
      </c>
      <c r="AE42" s="2" t="str">
        <f t="shared" si="3"/>
        <v/>
      </c>
      <c r="AF42" s="2" t="str">
        <f t="shared" si="4"/>
        <v/>
      </c>
      <c r="AG42" s="2" t="str">
        <f t="shared" si="5"/>
        <v>(15 downto 8)</v>
      </c>
      <c r="AH42" s="2" t="str">
        <f t="shared" si="6"/>
        <v>(7 downto 0)</v>
      </c>
    </row>
    <row r="43" spans="2:34" x14ac:dyDescent="0.25">
      <c r="B43" s="2" t="s">
        <v>184</v>
      </c>
      <c r="D43" s="2" t="s">
        <v>1</v>
      </c>
      <c r="E43" s="2" t="s">
        <v>134</v>
      </c>
      <c r="F43" s="2" t="s">
        <v>308</v>
      </c>
      <c r="G43" s="2" t="s">
        <v>309</v>
      </c>
      <c r="H43" s="2" t="s">
        <v>310</v>
      </c>
      <c r="I43" s="2" t="s">
        <v>42</v>
      </c>
      <c r="J43" s="2">
        <v>1</v>
      </c>
      <c r="K43" s="2" t="s">
        <v>82</v>
      </c>
      <c r="L43" s="2" t="s">
        <v>41</v>
      </c>
      <c r="M43" s="2" t="s">
        <v>135</v>
      </c>
      <c r="N43" s="2" t="s">
        <v>188</v>
      </c>
      <c r="O43" s="2" t="s">
        <v>311</v>
      </c>
      <c r="P43" s="2" t="s">
        <v>5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84</v>
      </c>
      <c r="T43" s="2" t="str">
        <f t="shared" si="7"/>
        <v>0054</v>
      </c>
      <c r="U43" s="2">
        <f t="shared" si="8"/>
        <v>21</v>
      </c>
      <c r="V43" s="2" t="str">
        <f t="shared" si="9"/>
        <v>015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13"/>
        <v/>
      </c>
      <c r="AB43" s="2" t="str">
        <f t="shared" si="0"/>
        <v/>
      </c>
      <c r="AC43" s="2" t="str">
        <f t="shared" si="1"/>
        <v/>
      </c>
      <c r="AD43" s="2" t="str">
        <f t="shared" si="2"/>
        <v>(0)</v>
      </c>
      <c r="AE43" s="2" t="str">
        <f t="shared" si="3"/>
        <v/>
      </c>
      <c r="AF43" s="2" t="str">
        <f t="shared" si="4"/>
        <v/>
      </c>
      <c r="AG43" s="2" t="str">
        <f t="shared" si="5"/>
        <v/>
      </c>
      <c r="AH43" s="2" t="str">
        <f t="shared" si="6"/>
        <v/>
      </c>
    </row>
    <row r="44" spans="2:34" x14ac:dyDescent="0.25">
      <c r="B44" s="2" t="s">
        <v>184</v>
      </c>
      <c r="D44" s="2" t="s">
        <v>1</v>
      </c>
      <c r="E44" s="2" t="s">
        <v>134</v>
      </c>
      <c r="F44" s="2" t="s">
        <v>312</v>
      </c>
      <c r="G44" s="2" t="s">
        <v>313</v>
      </c>
      <c r="H44" s="2" t="s">
        <v>314</v>
      </c>
      <c r="I44" s="2" t="s">
        <v>42</v>
      </c>
      <c r="J44" s="2">
        <v>1</v>
      </c>
      <c r="K44" s="2" t="s">
        <v>82</v>
      </c>
      <c r="L44" s="2" t="s">
        <v>41</v>
      </c>
      <c r="M44" s="2" t="s">
        <v>135</v>
      </c>
      <c r="N44" s="2" t="s">
        <v>188</v>
      </c>
      <c r="O44" s="2" t="s">
        <v>315</v>
      </c>
      <c r="P44" s="2" t="s">
        <v>5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88</v>
      </c>
      <c r="T44" s="2" t="str">
        <f t="shared" si="7"/>
        <v>0058</v>
      </c>
      <c r="U44" s="2">
        <f t="shared" si="8"/>
        <v>22</v>
      </c>
      <c r="V44" s="2" t="str">
        <f t="shared" si="9"/>
        <v>016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13"/>
        <v/>
      </c>
      <c r="AB44" s="2" t="str">
        <f t="shared" si="0"/>
        <v/>
      </c>
      <c r="AC44" s="2" t="str">
        <f t="shared" si="1"/>
        <v/>
      </c>
      <c r="AD44" s="2" t="str">
        <f t="shared" si="2"/>
        <v>(0)</v>
      </c>
      <c r="AE44" s="2" t="str">
        <f t="shared" si="3"/>
        <v/>
      </c>
      <c r="AF44" s="2" t="str">
        <f t="shared" si="4"/>
        <v/>
      </c>
      <c r="AG44" s="2" t="str">
        <f t="shared" si="5"/>
        <v/>
      </c>
      <c r="AH44" s="2" t="str">
        <f t="shared" si="6"/>
        <v/>
      </c>
    </row>
    <row r="45" spans="2:34" x14ac:dyDescent="0.25">
      <c r="B45" s="2" t="s">
        <v>184</v>
      </c>
      <c r="D45" s="2" t="s">
        <v>1</v>
      </c>
      <c r="E45" s="2" t="s">
        <v>134</v>
      </c>
      <c r="F45" s="2" t="s">
        <v>316</v>
      </c>
      <c r="G45" s="2" t="s">
        <v>317</v>
      </c>
      <c r="H45" s="2" t="s">
        <v>318</v>
      </c>
      <c r="I45" s="2" t="s">
        <v>42</v>
      </c>
      <c r="J45" s="2">
        <v>1</v>
      </c>
      <c r="K45" s="2" t="s">
        <v>82</v>
      </c>
      <c r="L45" s="2" t="s">
        <v>41</v>
      </c>
      <c r="M45" s="2" t="s">
        <v>135</v>
      </c>
      <c r="N45" s="2" t="s">
        <v>188</v>
      </c>
      <c r="O45" s="2" t="s">
        <v>319</v>
      </c>
      <c r="P45" s="2" t="s">
        <v>5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92</v>
      </c>
      <c r="T45" s="2" t="str">
        <f t="shared" si="7"/>
        <v>005C</v>
      </c>
      <c r="U45" s="2">
        <f t="shared" si="8"/>
        <v>23</v>
      </c>
      <c r="V45" s="2" t="str">
        <f t="shared" si="9"/>
        <v>017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0"/>
        <v/>
      </c>
      <c r="AC45" s="2" t="str">
        <f t="shared" si="1"/>
        <v/>
      </c>
      <c r="AD45" s="2" t="str">
        <f t="shared" si="2"/>
        <v>(0)</v>
      </c>
      <c r="AE45" s="2" t="str">
        <f t="shared" si="3"/>
        <v/>
      </c>
      <c r="AF45" s="2" t="str">
        <f t="shared" si="4"/>
        <v/>
      </c>
      <c r="AG45" s="2" t="str">
        <f t="shared" si="5"/>
        <v/>
      </c>
      <c r="AH45" s="2" t="str">
        <f t="shared" si="6"/>
        <v/>
      </c>
    </row>
    <row r="46" spans="2:34" x14ac:dyDescent="0.25">
      <c r="B46" s="2" t="s">
        <v>184</v>
      </c>
      <c r="D46" s="2" t="s">
        <v>1</v>
      </c>
      <c r="E46" s="2" t="s">
        <v>134</v>
      </c>
      <c r="F46" s="2" t="s">
        <v>320</v>
      </c>
      <c r="G46" s="2" t="s">
        <v>321</v>
      </c>
      <c r="H46" s="2" t="s">
        <v>322</v>
      </c>
      <c r="I46" s="2" t="s">
        <v>42</v>
      </c>
      <c r="J46" s="2">
        <v>24</v>
      </c>
      <c r="K46" s="2" t="s">
        <v>137</v>
      </c>
      <c r="L46" s="2" t="s">
        <v>41</v>
      </c>
      <c r="M46" s="2" t="s">
        <v>135</v>
      </c>
      <c r="N46" s="2" t="s">
        <v>188</v>
      </c>
      <c r="O46" s="2" t="s">
        <v>323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96</v>
      </c>
      <c r="T46" s="2" t="str">
        <f t="shared" si="7"/>
        <v>0060</v>
      </c>
      <c r="U46" s="2">
        <f t="shared" si="8"/>
        <v>24</v>
      </c>
      <c r="V46" s="2" t="str">
        <f t="shared" si="9"/>
        <v>018</v>
      </c>
      <c r="W46" s="2" t="str">
        <f t="shared" si="10"/>
        <v/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/>
      </c>
      <c r="AB46" s="2" t="str">
        <f t="shared" si="0"/>
        <v>(23 downto 16)</v>
      </c>
      <c r="AC46" s="2" t="str">
        <f t="shared" si="1"/>
        <v>(15 downto 8)</v>
      </c>
      <c r="AD46" s="2" t="str">
        <f t="shared" si="2"/>
        <v>(7 downto 0)</v>
      </c>
      <c r="AE46" s="2" t="str">
        <f t="shared" si="3"/>
        <v/>
      </c>
      <c r="AF46" s="2" t="str">
        <f t="shared" si="4"/>
        <v>(23 downto 16)</v>
      </c>
      <c r="AG46" s="2" t="str">
        <f t="shared" si="5"/>
        <v>(15 downto 8)</v>
      </c>
      <c r="AH46" s="2" t="str">
        <f t="shared" si="6"/>
        <v>(7 downto 0)</v>
      </c>
    </row>
    <row r="47" spans="2:34" x14ac:dyDescent="0.25">
      <c r="B47" s="2" t="s">
        <v>184</v>
      </c>
      <c r="D47" s="2" t="s">
        <v>1</v>
      </c>
      <c r="E47" s="2" t="s">
        <v>134</v>
      </c>
      <c r="F47" s="2" t="s">
        <v>324</v>
      </c>
      <c r="G47" s="2" t="s">
        <v>325</v>
      </c>
      <c r="H47" s="2" t="s">
        <v>326</v>
      </c>
      <c r="I47" s="2" t="s">
        <v>42</v>
      </c>
      <c r="J47" s="2">
        <v>16</v>
      </c>
      <c r="K47" s="2" t="s">
        <v>137</v>
      </c>
      <c r="L47" s="2" t="s">
        <v>41</v>
      </c>
      <c r="M47" s="2" t="s">
        <v>135</v>
      </c>
      <c r="N47" s="2" t="s">
        <v>188</v>
      </c>
      <c r="O47" s="2" t="s">
        <v>327</v>
      </c>
      <c r="P47" s="2" t="s">
        <v>50</v>
      </c>
      <c r="Q47" s="2">
        <f>INDEX(Tables!$C$4:$C$28,MATCH($P47,Tables!$B$4:$B$28,0))</f>
        <v>16</v>
      </c>
      <c r="R47" s="2">
        <f>INDEX(Tables!$D$4:$D$28,MATCH($P47,Tables!$B$4:$B$28,0))</f>
        <v>2</v>
      </c>
      <c r="S47" s="2">
        <f>$S46+$R46+INDEX(Tables!$N$5:$Q$8,MATCH(MOD($S46+$R46,4),Tables!$M$5:$M$8,0),MATCH($R47,Tables!$N$4:$Q$4,0))</f>
        <v>100</v>
      </c>
      <c r="T47" s="2" t="str">
        <f t="shared" si="7"/>
        <v>0064</v>
      </c>
      <c r="U47" s="2">
        <f t="shared" si="8"/>
        <v>25</v>
      </c>
      <c r="V47" s="2" t="str">
        <f t="shared" si="9"/>
        <v>019</v>
      </c>
      <c r="W47" s="2" t="str">
        <f t="shared" si="10"/>
        <v/>
      </c>
      <c r="X47" s="2" t="str">
        <f t="shared" si="14"/>
        <v/>
      </c>
      <c r="Y47" s="2" t="str">
        <f t="shared" si="11"/>
        <v>X</v>
      </c>
      <c r="Z47" s="2" t="str">
        <f t="shared" si="12"/>
        <v>X</v>
      </c>
      <c r="AA47" s="2" t="str">
        <f t="shared" si="13"/>
        <v/>
      </c>
      <c r="AB47" s="2" t="str">
        <f t="shared" si="0"/>
        <v/>
      </c>
      <c r="AC47" s="2" t="str">
        <f t="shared" si="1"/>
        <v>(15 downto 8)</v>
      </c>
      <c r="AD47" s="2" t="str">
        <f t="shared" si="2"/>
        <v>(7 downto 0)</v>
      </c>
      <c r="AE47" s="2" t="str">
        <f t="shared" si="3"/>
        <v/>
      </c>
      <c r="AF47" s="2" t="str">
        <f t="shared" si="4"/>
        <v/>
      </c>
      <c r="AG47" s="2" t="str">
        <f t="shared" si="5"/>
        <v>(15 downto 8)</v>
      </c>
      <c r="AH47" s="2" t="str">
        <f t="shared" si="6"/>
        <v>(7 downto 0)</v>
      </c>
    </row>
    <row r="48" spans="2:34" x14ac:dyDescent="0.25">
      <c r="B48" s="2" t="s">
        <v>328</v>
      </c>
      <c r="D48" s="2" t="s">
        <v>1</v>
      </c>
      <c r="E48" s="2" t="s">
        <v>134</v>
      </c>
      <c r="F48" s="2" t="s">
        <v>329</v>
      </c>
      <c r="G48" s="2" t="s">
        <v>330</v>
      </c>
      <c r="H48" s="2" t="s">
        <v>190</v>
      </c>
      <c r="I48" s="2" t="s">
        <v>42</v>
      </c>
      <c r="J48" s="2">
        <v>3</v>
      </c>
      <c r="K48" s="2" t="s">
        <v>137</v>
      </c>
      <c r="L48" s="2" t="s">
        <v>41</v>
      </c>
      <c r="M48" s="2" t="s">
        <v>135</v>
      </c>
      <c r="N48" s="2" t="s">
        <v>331</v>
      </c>
      <c r="O48" s="2" t="s">
        <v>191</v>
      </c>
      <c r="P48" s="2" t="s">
        <v>48</v>
      </c>
      <c r="Q48" s="2">
        <f>INDEX(Tables!$C$4:$C$28,MATCH($P48,Tables!$B$4:$B$28,0))</f>
        <v>8</v>
      </c>
      <c r="R48" s="2">
        <f>INDEX(Tables!$D$4:$D$28,MATCH($P48,Tables!$B$4:$B$28,0))</f>
        <v>1</v>
      </c>
      <c r="S48" s="2">
        <f>$S47+$R47+INDEX(Tables!$N$5:$Q$8,MATCH(MOD($S47+$R47,4),Tables!$M$5:$M$8,0),MATCH($R48,Tables!$N$4:$Q$4,0))</f>
        <v>102</v>
      </c>
      <c r="T48" s="2" t="str">
        <f t="shared" si="7"/>
        <v>0066</v>
      </c>
      <c r="U48" s="2">
        <f t="shared" si="8"/>
        <v>25</v>
      </c>
      <c r="V48" s="2" t="str">
        <f t="shared" si="9"/>
        <v>019</v>
      </c>
      <c r="W48" s="2" t="str">
        <f t="shared" si="10"/>
        <v/>
      </c>
      <c r="X48" s="2" t="str">
        <f t="shared" si="14"/>
        <v>X</v>
      </c>
      <c r="Y48" s="2" t="str">
        <f t="shared" si="11"/>
        <v/>
      </c>
      <c r="Z48" s="2" t="str">
        <f t="shared" si="12"/>
        <v/>
      </c>
      <c r="AA48" s="2" t="str">
        <f t="shared" si="13"/>
        <v/>
      </c>
      <c r="AB48" s="2" t="str">
        <f t="shared" si="0"/>
        <v>(18 downto 16)</v>
      </c>
      <c r="AC48" s="2" t="str">
        <f t="shared" si="1"/>
        <v/>
      </c>
      <c r="AD48" s="2" t="str">
        <f t="shared" si="2"/>
        <v/>
      </c>
      <c r="AE48" s="2" t="str">
        <f t="shared" si="3"/>
        <v/>
      </c>
      <c r="AF48" s="2" t="str">
        <f t="shared" si="4"/>
        <v/>
      </c>
      <c r="AG48" s="2" t="str">
        <f t="shared" si="5"/>
        <v/>
      </c>
      <c r="AH48" s="2" t="str">
        <f t="shared" si="6"/>
        <v/>
      </c>
    </row>
    <row r="49" spans="2:34" x14ac:dyDescent="0.25">
      <c r="B49" s="2" t="s">
        <v>328</v>
      </c>
      <c r="D49" s="2" t="s">
        <v>1</v>
      </c>
      <c r="E49" s="2" t="s">
        <v>134</v>
      </c>
      <c r="F49" s="2" t="s">
        <v>329</v>
      </c>
      <c r="G49" s="2" t="s">
        <v>330</v>
      </c>
      <c r="H49" s="2" t="s">
        <v>332</v>
      </c>
      <c r="I49" s="2" t="s">
        <v>42</v>
      </c>
      <c r="J49" s="2">
        <v>6</v>
      </c>
      <c r="K49" s="2" t="s">
        <v>137</v>
      </c>
      <c r="L49" s="2" t="s">
        <v>41</v>
      </c>
      <c r="M49" s="2" t="s">
        <v>135</v>
      </c>
      <c r="N49" s="2" t="s">
        <v>331</v>
      </c>
      <c r="O49" s="2" t="s">
        <v>333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103</v>
      </c>
      <c r="T49" s="2" t="str">
        <f t="shared" si="7"/>
        <v>0067</v>
      </c>
      <c r="U49" s="2">
        <f t="shared" si="8"/>
        <v>25</v>
      </c>
      <c r="V49" s="2" t="str">
        <f t="shared" si="9"/>
        <v>019</v>
      </c>
      <c r="W49" s="2" t="str">
        <f t="shared" si="10"/>
        <v>X</v>
      </c>
      <c r="X49" s="2" t="str">
        <f t="shared" si="14"/>
        <v/>
      </c>
      <c r="Y49" s="2" t="str">
        <f t="shared" si="11"/>
        <v/>
      </c>
      <c r="Z49" s="2" t="str">
        <f t="shared" si="12"/>
        <v/>
      </c>
      <c r="AA49" s="2" t="str">
        <f t="shared" si="13"/>
        <v>(29 downto 24)</v>
      </c>
      <c r="AB49" s="2" t="str">
        <f t="shared" si="0"/>
        <v/>
      </c>
      <c r="AC49" s="2" t="str">
        <f t="shared" si="1"/>
        <v/>
      </c>
      <c r="AD49" s="2" t="str">
        <f t="shared" si="2"/>
        <v/>
      </c>
      <c r="AE49" s="2" t="str">
        <f t="shared" si="3"/>
        <v/>
      </c>
      <c r="AF49" s="2" t="str">
        <f t="shared" si="4"/>
        <v/>
      </c>
      <c r="AG49" s="2" t="str">
        <f t="shared" si="5"/>
        <v/>
      </c>
      <c r="AH49" s="2" t="str">
        <f t="shared" si="6"/>
        <v/>
      </c>
    </row>
    <row r="50" spans="2:34" x14ac:dyDescent="0.25">
      <c r="B50" s="2" t="s">
        <v>328</v>
      </c>
      <c r="D50" s="2" t="s">
        <v>1</v>
      </c>
      <c r="E50" s="2" t="s">
        <v>134</v>
      </c>
      <c r="F50" s="2" t="s">
        <v>329</v>
      </c>
      <c r="G50" s="2" t="s">
        <v>330</v>
      </c>
      <c r="H50" s="2" t="s">
        <v>334</v>
      </c>
      <c r="I50" s="2" t="s">
        <v>42</v>
      </c>
      <c r="J50" s="2">
        <v>2</v>
      </c>
      <c r="K50" s="2" t="s">
        <v>137</v>
      </c>
      <c r="L50" s="2" t="s">
        <v>41</v>
      </c>
      <c r="M50" s="2" t="s">
        <v>135</v>
      </c>
      <c r="N50" s="2" t="s">
        <v>331</v>
      </c>
      <c r="O50" s="2" t="s">
        <v>335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104</v>
      </c>
      <c r="T50" s="2" t="str">
        <f t="shared" si="7"/>
        <v>0068</v>
      </c>
      <c r="U50" s="2">
        <f t="shared" si="8"/>
        <v>26</v>
      </c>
      <c r="V50" s="2" t="str">
        <f t="shared" si="9"/>
        <v>01A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13"/>
        <v/>
      </c>
      <c r="AB50" s="2" t="str">
        <f t="shared" si="0"/>
        <v/>
      </c>
      <c r="AC50" s="2" t="str">
        <f t="shared" si="1"/>
        <v/>
      </c>
      <c r="AD50" s="2" t="str">
        <f t="shared" si="2"/>
        <v>(1 downto 0)</v>
      </c>
      <c r="AE50" s="2" t="str">
        <f t="shared" si="3"/>
        <v/>
      </c>
      <c r="AF50" s="2" t="str">
        <f t="shared" si="4"/>
        <v/>
      </c>
      <c r="AG50" s="2" t="str">
        <f t="shared" si="5"/>
        <v/>
      </c>
      <c r="AH50" s="2" t="str">
        <f t="shared" si="6"/>
        <v/>
      </c>
    </row>
    <row r="51" spans="2:34" x14ac:dyDescent="0.25">
      <c r="B51" s="2" t="s">
        <v>328</v>
      </c>
      <c r="D51" s="2" t="s">
        <v>1</v>
      </c>
      <c r="E51" s="2" t="s">
        <v>134</v>
      </c>
      <c r="F51" s="2" t="s">
        <v>329</v>
      </c>
      <c r="G51" s="2" t="s">
        <v>330</v>
      </c>
      <c r="H51" s="2" t="s">
        <v>336</v>
      </c>
      <c r="I51" s="2" t="s">
        <v>42</v>
      </c>
      <c r="J51" s="2">
        <v>8</v>
      </c>
      <c r="K51" s="2" t="s">
        <v>137</v>
      </c>
      <c r="L51" s="2" t="s">
        <v>41</v>
      </c>
      <c r="M51" s="2" t="s">
        <v>135</v>
      </c>
      <c r="N51" s="2" t="s">
        <v>331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105</v>
      </c>
      <c r="T51" s="2" t="str">
        <f t="shared" si="7"/>
        <v>0069</v>
      </c>
      <c r="U51" s="2">
        <f t="shared" si="8"/>
        <v>26</v>
      </c>
      <c r="V51" s="2" t="str">
        <f t="shared" si="9"/>
        <v>01A</v>
      </c>
      <c r="W51" s="2" t="str">
        <f t="shared" si="10"/>
        <v/>
      </c>
      <c r="X51" s="2" t="str">
        <f t="shared" si="14"/>
        <v/>
      </c>
      <c r="Y51" s="2" t="str">
        <f t="shared" si="11"/>
        <v>X</v>
      </c>
      <c r="Z51" s="2" t="str">
        <f t="shared" si="12"/>
        <v/>
      </c>
      <c r="AA51" s="2" t="str">
        <f t="shared" si="13"/>
        <v/>
      </c>
      <c r="AB51" s="2" t="str">
        <f t="shared" si="0"/>
        <v/>
      </c>
      <c r="AC51" s="2" t="str">
        <f t="shared" si="1"/>
        <v>(15 downto 8)</v>
      </c>
      <c r="AD51" s="2" t="str">
        <f t="shared" si="2"/>
        <v/>
      </c>
      <c r="AE51" s="2" t="str">
        <f t="shared" si="3"/>
        <v/>
      </c>
      <c r="AF51" s="2" t="str">
        <f t="shared" si="4"/>
        <v/>
      </c>
      <c r="AG51" s="2" t="str">
        <f t="shared" si="5"/>
        <v/>
      </c>
      <c r="AH51" s="2" t="str">
        <f t="shared" si="6"/>
        <v/>
      </c>
    </row>
    <row r="52" spans="2:34" x14ac:dyDescent="0.25">
      <c r="B52" s="2" t="s">
        <v>328</v>
      </c>
      <c r="D52" s="2" t="s">
        <v>1</v>
      </c>
      <c r="E52" s="2" t="s">
        <v>134</v>
      </c>
      <c r="F52" s="2" t="s">
        <v>329</v>
      </c>
      <c r="G52" s="2" t="s">
        <v>330</v>
      </c>
      <c r="H52" s="2" t="s">
        <v>338</v>
      </c>
      <c r="I52" s="2" t="s">
        <v>42</v>
      </c>
      <c r="J52" s="2">
        <v>1</v>
      </c>
      <c r="K52" s="2" t="s">
        <v>82</v>
      </c>
      <c r="L52" s="2" t="s">
        <v>41</v>
      </c>
      <c r="M52" s="2" t="s">
        <v>135</v>
      </c>
      <c r="N52" s="2" t="s">
        <v>331</v>
      </c>
      <c r="O52" s="2" t="s">
        <v>339</v>
      </c>
      <c r="P52" s="2" t="s">
        <v>5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108</v>
      </c>
      <c r="T52" s="2" t="str">
        <f t="shared" si="7"/>
        <v>006C</v>
      </c>
      <c r="U52" s="2">
        <f t="shared" si="8"/>
        <v>27</v>
      </c>
      <c r="V52" s="2" t="str">
        <f t="shared" si="9"/>
        <v>01B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3"/>
        <v/>
      </c>
      <c r="AB52" s="2" t="str">
        <f t="shared" si="0"/>
        <v/>
      </c>
      <c r="AC52" s="2" t="str">
        <f t="shared" si="1"/>
        <v/>
      </c>
      <c r="AD52" s="2" t="str">
        <f t="shared" si="2"/>
        <v>(0)</v>
      </c>
      <c r="AE52" s="2" t="str">
        <f t="shared" si="3"/>
        <v/>
      </c>
      <c r="AF52" s="2" t="str">
        <f t="shared" si="4"/>
        <v/>
      </c>
      <c r="AG52" s="2" t="str">
        <f t="shared" si="5"/>
        <v/>
      </c>
      <c r="AH52" s="2" t="str">
        <f t="shared" si="6"/>
        <v/>
      </c>
    </row>
    <row r="53" spans="2:34" x14ac:dyDescent="0.25">
      <c r="B53" s="2" t="s">
        <v>328</v>
      </c>
      <c r="D53" s="2" t="s">
        <v>1</v>
      </c>
      <c r="E53" s="2" t="s">
        <v>134</v>
      </c>
      <c r="F53" s="2" t="s">
        <v>329</v>
      </c>
      <c r="G53" s="2" t="s">
        <v>330</v>
      </c>
      <c r="H53" s="2" t="s">
        <v>340</v>
      </c>
      <c r="I53" s="2" t="s">
        <v>42</v>
      </c>
      <c r="J53" s="2">
        <v>1</v>
      </c>
      <c r="K53" s="2" t="s">
        <v>82</v>
      </c>
      <c r="L53" s="2" t="s">
        <v>41</v>
      </c>
      <c r="M53" s="2" t="s">
        <v>135</v>
      </c>
      <c r="N53" s="2" t="s">
        <v>331</v>
      </c>
      <c r="O53" s="2" t="s">
        <v>341</v>
      </c>
      <c r="P53" s="2" t="s">
        <v>5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112</v>
      </c>
      <c r="T53" s="2" t="str">
        <f t="shared" si="7"/>
        <v>0070</v>
      </c>
      <c r="U53" s="2">
        <f t="shared" si="8"/>
        <v>28</v>
      </c>
      <c r="V53" s="2" t="str">
        <f t="shared" si="9"/>
        <v>01C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3"/>
        <v/>
      </c>
      <c r="AB53" s="2" t="str">
        <f t="shared" si="0"/>
        <v/>
      </c>
      <c r="AC53" s="2" t="str">
        <f t="shared" si="1"/>
        <v/>
      </c>
      <c r="AD53" s="2" t="str">
        <f t="shared" si="2"/>
        <v>(0)</v>
      </c>
      <c r="AE53" s="2" t="str">
        <f t="shared" si="3"/>
        <v/>
      </c>
      <c r="AF53" s="2" t="str">
        <f t="shared" si="4"/>
        <v/>
      </c>
      <c r="AG53" s="2" t="str">
        <f t="shared" si="5"/>
        <v/>
      </c>
      <c r="AH53" s="2" t="str">
        <f t="shared" si="6"/>
        <v/>
      </c>
    </row>
    <row r="54" spans="2:34" x14ac:dyDescent="0.25">
      <c r="B54" s="2" t="s">
        <v>328</v>
      </c>
      <c r="D54" s="2" t="s">
        <v>1</v>
      </c>
      <c r="E54" s="2" t="s">
        <v>134</v>
      </c>
      <c r="F54" s="2" t="s">
        <v>329</v>
      </c>
      <c r="G54" s="2" t="s">
        <v>330</v>
      </c>
      <c r="H54" s="2" t="s">
        <v>342</v>
      </c>
      <c r="I54" s="2" t="s">
        <v>42</v>
      </c>
      <c r="J54" s="2">
        <v>1</v>
      </c>
      <c r="K54" s="2" t="s">
        <v>82</v>
      </c>
      <c r="L54" s="2" t="s">
        <v>41</v>
      </c>
      <c r="M54" s="2" t="s">
        <v>135</v>
      </c>
      <c r="N54" s="2" t="s">
        <v>331</v>
      </c>
      <c r="O54" s="2" t="s">
        <v>343</v>
      </c>
      <c r="P54" s="2" t="s">
        <v>5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$S53+$R53+INDEX(Tables!$N$5:$Q$8,MATCH(MOD($S53+$R53,4),Tables!$M$5:$M$8,0),MATCH($R54,Tables!$N$4:$Q$4,0))</f>
        <v>116</v>
      </c>
      <c r="T54" s="2" t="str">
        <f t="shared" si="7"/>
        <v>0074</v>
      </c>
      <c r="U54" s="2">
        <f t="shared" si="8"/>
        <v>29</v>
      </c>
      <c r="V54" s="2" t="str">
        <f t="shared" si="9"/>
        <v>01D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13"/>
        <v/>
      </c>
      <c r="AB54" s="2" t="str">
        <f t="shared" si="0"/>
        <v/>
      </c>
      <c r="AC54" s="2" t="str">
        <f t="shared" si="1"/>
        <v/>
      </c>
      <c r="AD54" s="2" t="str">
        <f t="shared" si="2"/>
        <v>(0)</v>
      </c>
      <c r="AE54" s="2" t="str">
        <f t="shared" si="3"/>
        <v/>
      </c>
      <c r="AF54" s="2" t="str">
        <f t="shared" si="4"/>
        <v/>
      </c>
      <c r="AG54" s="2" t="str">
        <f t="shared" si="5"/>
        <v/>
      </c>
      <c r="AH54" s="2" t="str">
        <f t="shared" si="6"/>
        <v/>
      </c>
    </row>
    <row r="55" spans="2:34" x14ac:dyDescent="0.25">
      <c r="B55" s="2" t="s">
        <v>328</v>
      </c>
      <c r="D55" s="2" t="s">
        <v>1</v>
      </c>
      <c r="E55" s="2" t="s">
        <v>134</v>
      </c>
      <c r="F55" s="2" t="s">
        <v>329</v>
      </c>
      <c r="G55" s="2" t="s">
        <v>330</v>
      </c>
      <c r="H55" s="2" t="s">
        <v>344</v>
      </c>
      <c r="I55" s="2" t="s">
        <v>42</v>
      </c>
      <c r="J55" s="2">
        <v>1</v>
      </c>
      <c r="K55" s="2" t="s">
        <v>82</v>
      </c>
      <c r="L55" s="2" t="s">
        <v>41</v>
      </c>
      <c r="M55" s="2" t="s">
        <v>135</v>
      </c>
      <c r="N55" s="2" t="s">
        <v>331</v>
      </c>
      <c r="O55" s="2" t="s">
        <v>345</v>
      </c>
      <c r="P55" s="2" t="s">
        <v>5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120</v>
      </c>
      <c r="T55" s="2" t="str">
        <f t="shared" si="7"/>
        <v>0078</v>
      </c>
      <c r="U55" s="2">
        <f t="shared" si="8"/>
        <v>30</v>
      </c>
      <c r="V55" s="2" t="str">
        <f t="shared" si="9"/>
        <v>01E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13"/>
        <v/>
      </c>
      <c r="AB55" s="2" t="str">
        <f t="shared" si="0"/>
        <v/>
      </c>
      <c r="AC55" s="2" t="str">
        <f t="shared" si="1"/>
        <v/>
      </c>
      <c r="AD55" s="2" t="str">
        <f t="shared" si="2"/>
        <v>(0)</v>
      </c>
      <c r="AE55" s="2" t="str">
        <f t="shared" si="3"/>
        <v/>
      </c>
      <c r="AF55" s="2" t="str">
        <f t="shared" si="4"/>
        <v/>
      </c>
      <c r="AG55" s="2" t="str">
        <f t="shared" si="5"/>
        <v/>
      </c>
      <c r="AH55" s="2" t="str">
        <f t="shared" si="6"/>
        <v/>
      </c>
    </row>
    <row r="56" spans="2:34" x14ac:dyDescent="0.25">
      <c r="B56" s="2" t="s">
        <v>328</v>
      </c>
      <c r="D56" s="2" t="s">
        <v>1</v>
      </c>
      <c r="E56" s="2" t="s">
        <v>134</v>
      </c>
      <c r="F56" s="2" t="s">
        <v>329</v>
      </c>
      <c r="G56" s="2" t="s">
        <v>330</v>
      </c>
      <c r="H56" s="2" t="s">
        <v>346</v>
      </c>
      <c r="I56" s="2" t="s">
        <v>42</v>
      </c>
      <c r="J56" s="2">
        <v>2</v>
      </c>
      <c r="K56" s="2" t="s">
        <v>137</v>
      </c>
      <c r="L56" s="2" t="s">
        <v>41</v>
      </c>
      <c r="M56" s="2" t="s">
        <v>135</v>
      </c>
      <c r="N56" s="2" t="s">
        <v>331</v>
      </c>
      <c r="O56" s="2" t="s">
        <v>347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$S55+$R55+INDEX(Tables!$N$5:$Q$8,MATCH(MOD($S55+$R55,4),Tables!$M$5:$M$8,0),MATCH($R56,Tables!$N$4:$Q$4,0))</f>
        <v>124</v>
      </c>
      <c r="T56" s="2" t="str">
        <f t="shared" si="7"/>
        <v>007C</v>
      </c>
      <c r="U56" s="2">
        <f t="shared" si="8"/>
        <v>31</v>
      </c>
      <c r="V56" s="2" t="str">
        <f t="shared" si="9"/>
        <v>01F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13"/>
        <v/>
      </c>
      <c r="AB56" s="2" t="str">
        <f t="shared" si="0"/>
        <v/>
      </c>
      <c r="AC56" s="2" t="str">
        <f t="shared" si="1"/>
        <v/>
      </c>
      <c r="AD56" s="2" t="str">
        <f t="shared" si="2"/>
        <v>(1 downto 0)</v>
      </c>
      <c r="AE56" s="2" t="str">
        <f t="shared" si="3"/>
        <v/>
      </c>
      <c r="AF56" s="2" t="str">
        <f t="shared" si="4"/>
        <v/>
      </c>
      <c r="AG56" s="2" t="str">
        <f t="shared" si="5"/>
        <v/>
      </c>
      <c r="AH56" s="2" t="str">
        <f t="shared" si="6"/>
        <v/>
      </c>
    </row>
    <row r="57" spans="2:34" x14ac:dyDescent="0.25">
      <c r="B57" s="2" t="s">
        <v>328</v>
      </c>
      <c r="D57" s="2" t="s">
        <v>1</v>
      </c>
      <c r="E57" s="2" t="s">
        <v>134</v>
      </c>
      <c r="F57" s="2" t="s">
        <v>329</v>
      </c>
      <c r="G57" s="2" t="s">
        <v>330</v>
      </c>
      <c r="H57" s="2" t="s">
        <v>348</v>
      </c>
      <c r="I57" s="2" t="s">
        <v>42</v>
      </c>
      <c r="J57" s="2">
        <v>1</v>
      </c>
      <c r="K57" s="2" t="s">
        <v>82</v>
      </c>
      <c r="L57" s="2" t="s">
        <v>41</v>
      </c>
      <c r="M57" s="2" t="s">
        <v>135</v>
      </c>
      <c r="N57" s="2" t="s">
        <v>331</v>
      </c>
      <c r="O57" s="2" t="s">
        <v>349</v>
      </c>
      <c r="P57" s="2" t="s">
        <v>5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128</v>
      </c>
      <c r="T57" s="2" t="str">
        <f t="shared" si="7"/>
        <v>0080</v>
      </c>
      <c r="U57" s="2">
        <f t="shared" si="8"/>
        <v>32</v>
      </c>
      <c r="V57" s="2" t="str">
        <f t="shared" si="9"/>
        <v>020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13"/>
        <v/>
      </c>
      <c r="AB57" s="2" t="str">
        <f t="shared" si="0"/>
        <v/>
      </c>
      <c r="AC57" s="2" t="str">
        <f t="shared" si="1"/>
        <v/>
      </c>
      <c r="AD57" s="2" t="str">
        <f t="shared" si="2"/>
        <v>(0)</v>
      </c>
      <c r="AE57" s="2" t="str">
        <f t="shared" si="3"/>
        <v/>
      </c>
      <c r="AF57" s="2" t="str">
        <f t="shared" si="4"/>
        <v/>
      </c>
      <c r="AG57" s="2" t="str">
        <f t="shared" si="5"/>
        <v/>
      </c>
      <c r="AH57" s="2" t="str">
        <f t="shared" si="6"/>
        <v/>
      </c>
    </row>
    <row r="58" spans="2:34" x14ac:dyDescent="0.25">
      <c r="B58" s="2" t="s">
        <v>328</v>
      </c>
      <c r="D58" s="2" t="s">
        <v>1</v>
      </c>
      <c r="E58" s="2" t="s">
        <v>134</v>
      </c>
      <c r="F58" s="2" t="s">
        <v>329</v>
      </c>
      <c r="G58" s="2" t="s">
        <v>330</v>
      </c>
      <c r="H58" s="2" t="s">
        <v>350</v>
      </c>
      <c r="I58" s="2" t="s">
        <v>42</v>
      </c>
      <c r="J58" s="2">
        <v>1</v>
      </c>
      <c r="K58" s="2" t="s">
        <v>82</v>
      </c>
      <c r="L58" s="2" t="s">
        <v>41</v>
      </c>
      <c r="M58" s="2" t="s">
        <v>135</v>
      </c>
      <c r="N58" s="2" t="s">
        <v>331</v>
      </c>
      <c r="O58" s="2" t="s">
        <v>351</v>
      </c>
      <c r="P58" s="2" t="s">
        <v>5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132</v>
      </c>
      <c r="T58" s="2" t="str">
        <f t="shared" si="7"/>
        <v>0084</v>
      </c>
      <c r="U58" s="2">
        <f t="shared" si="8"/>
        <v>33</v>
      </c>
      <c r="V58" s="2" t="str">
        <f t="shared" si="9"/>
        <v>021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0"/>
        <v/>
      </c>
      <c r="AC58" s="2" t="str">
        <f t="shared" si="1"/>
        <v/>
      </c>
      <c r="AD58" s="2" t="str">
        <f t="shared" si="2"/>
        <v>(0)</v>
      </c>
      <c r="AE58" s="2" t="str">
        <f t="shared" si="3"/>
        <v/>
      </c>
      <c r="AF58" s="2" t="str">
        <f t="shared" si="4"/>
        <v/>
      </c>
      <c r="AG58" s="2" t="str">
        <f t="shared" si="5"/>
        <v/>
      </c>
      <c r="AH58" s="2" t="str">
        <f t="shared" si="6"/>
        <v/>
      </c>
    </row>
    <row r="59" spans="2:34" x14ac:dyDescent="0.25">
      <c r="B59" s="2" t="s">
        <v>328</v>
      </c>
      <c r="D59" s="2" t="s">
        <v>1</v>
      </c>
      <c r="E59" s="2" t="s">
        <v>134</v>
      </c>
      <c r="F59" s="2" t="s">
        <v>352</v>
      </c>
      <c r="G59" s="2" t="s">
        <v>353</v>
      </c>
      <c r="H59" s="2" t="s">
        <v>354</v>
      </c>
      <c r="I59" s="2" t="s">
        <v>42</v>
      </c>
      <c r="J59" s="2">
        <v>1</v>
      </c>
      <c r="K59" s="2" t="s">
        <v>82</v>
      </c>
      <c r="L59" s="2" t="s">
        <v>41</v>
      </c>
      <c r="M59" s="2" t="s">
        <v>135</v>
      </c>
      <c r="N59" s="2" t="s">
        <v>331</v>
      </c>
      <c r="O59" s="2" t="s">
        <v>355</v>
      </c>
      <c r="P59" s="2" t="s">
        <v>5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136</v>
      </c>
      <c r="T59" s="2" t="str">
        <f t="shared" si="7"/>
        <v>0088</v>
      </c>
      <c r="U59" s="2">
        <f t="shared" si="8"/>
        <v>34</v>
      </c>
      <c r="V59" s="2" t="str">
        <f t="shared" si="9"/>
        <v>022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3"/>
        <v/>
      </c>
      <c r="AB59" s="2" t="str">
        <f t="shared" si="0"/>
        <v/>
      </c>
      <c r="AC59" s="2" t="str">
        <f t="shared" si="1"/>
        <v/>
      </c>
      <c r="AD59" s="2" t="str">
        <f t="shared" si="2"/>
        <v>(0)</v>
      </c>
      <c r="AE59" s="2" t="str">
        <f t="shared" si="3"/>
        <v/>
      </c>
      <c r="AF59" s="2" t="str">
        <f t="shared" si="4"/>
        <v/>
      </c>
      <c r="AG59" s="2" t="str">
        <f t="shared" si="5"/>
        <v/>
      </c>
      <c r="AH59" s="2" t="str">
        <f t="shared" si="6"/>
        <v/>
      </c>
    </row>
    <row r="60" spans="2:34" x14ac:dyDescent="0.25">
      <c r="B60" s="2" t="s">
        <v>328</v>
      </c>
      <c r="D60" s="2" t="s">
        <v>1</v>
      </c>
      <c r="E60" s="2" t="s">
        <v>134</v>
      </c>
      <c r="F60" s="2" t="s">
        <v>352</v>
      </c>
      <c r="G60" s="2" t="s">
        <v>353</v>
      </c>
      <c r="H60" s="2" t="s">
        <v>356</v>
      </c>
      <c r="I60" s="2" t="s">
        <v>42</v>
      </c>
      <c r="J60" s="2">
        <v>1</v>
      </c>
      <c r="K60" s="2" t="s">
        <v>82</v>
      </c>
      <c r="L60" s="2" t="s">
        <v>41</v>
      </c>
      <c r="M60" s="2" t="s">
        <v>135</v>
      </c>
      <c r="N60" s="2" t="s">
        <v>331</v>
      </c>
      <c r="O60" s="2" t="s">
        <v>357</v>
      </c>
      <c r="P60" s="2" t="s">
        <v>5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$S59+$R59+INDEX(Tables!$N$5:$Q$8,MATCH(MOD($S59+$R59,4),Tables!$M$5:$M$8,0),MATCH($R60,Tables!$N$4:$Q$4,0))</f>
        <v>140</v>
      </c>
      <c r="T60" s="2" t="str">
        <f t="shared" si="7"/>
        <v>008C</v>
      </c>
      <c r="U60" s="2">
        <f t="shared" si="8"/>
        <v>35</v>
      </c>
      <c r="V60" s="2" t="str">
        <f t="shared" si="9"/>
        <v>023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3"/>
        <v/>
      </c>
      <c r="AB60" s="2" t="str">
        <f t="shared" si="0"/>
        <v/>
      </c>
      <c r="AC60" s="2" t="str">
        <f t="shared" si="1"/>
        <v/>
      </c>
      <c r="AD60" s="2" t="str">
        <f t="shared" si="2"/>
        <v>(0)</v>
      </c>
      <c r="AE60" s="2" t="str">
        <f t="shared" si="3"/>
        <v/>
      </c>
      <c r="AF60" s="2" t="str">
        <f t="shared" si="4"/>
        <v/>
      </c>
      <c r="AG60" s="2" t="str">
        <f t="shared" si="5"/>
        <v/>
      </c>
      <c r="AH60" s="2" t="str">
        <f t="shared" si="6"/>
        <v/>
      </c>
    </row>
    <row r="61" spans="2:34" x14ac:dyDescent="0.25">
      <c r="B61" s="2" t="s">
        <v>328</v>
      </c>
      <c r="D61" s="2" t="s">
        <v>1</v>
      </c>
      <c r="E61" s="2" t="s">
        <v>134</v>
      </c>
      <c r="F61" s="2" t="s">
        <v>352</v>
      </c>
      <c r="G61" s="2" t="s">
        <v>353</v>
      </c>
      <c r="H61" s="2" t="s">
        <v>358</v>
      </c>
      <c r="I61" s="2" t="s">
        <v>42</v>
      </c>
      <c r="J61" s="2">
        <v>1</v>
      </c>
      <c r="K61" s="2" t="s">
        <v>82</v>
      </c>
      <c r="L61" s="2" t="s">
        <v>41</v>
      </c>
      <c r="M61" s="2" t="s">
        <v>135</v>
      </c>
      <c r="N61" s="2" t="s">
        <v>331</v>
      </c>
      <c r="O61" s="2" t="s">
        <v>359</v>
      </c>
      <c r="P61" s="2" t="s">
        <v>5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144</v>
      </c>
      <c r="T61" s="2" t="str">
        <f t="shared" si="7"/>
        <v>0090</v>
      </c>
      <c r="U61" s="2">
        <f t="shared" si="8"/>
        <v>36</v>
      </c>
      <c r="V61" s="2" t="str">
        <f t="shared" si="9"/>
        <v>024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13"/>
        <v/>
      </c>
      <c r="AB61" s="2" t="str">
        <f t="shared" si="0"/>
        <v/>
      </c>
      <c r="AC61" s="2" t="str">
        <f t="shared" si="1"/>
        <v/>
      </c>
      <c r="AD61" s="2" t="str">
        <f t="shared" si="2"/>
        <v>(0)</v>
      </c>
      <c r="AE61" s="2" t="str">
        <f t="shared" si="3"/>
        <v/>
      </c>
      <c r="AF61" s="2" t="str">
        <f t="shared" si="4"/>
        <v/>
      </c>
      <c r="AG61" s="2" t="str">
        <f t="shared" si="5"/>
        <v/>
      </c>
      <c r="AH61" s="2" t="str">
        <f t="shared" si="6"/>
        <v/>
      </c>
    </row>
    <row r="62" spans="2:34" x14ac:dyDescent="0.25">
      <c r="B62" s="2" t="s">
        <v>328</v>
      </c>
      <c r="D62" s="2" t="s">
        <v>1</v>
      </c>
      <c r="E62" s="2" t="s">
        <v>134</v>
      </c>
      <c r="F62" s="2" t="s">
        <v>352</v>
      </c>
      <c r="G62" s="2" t="s">
        <v>353</v>
      </c>
      <c r="H62" s="2" t="s">
        <v>360</v>
      </c>
      <c r="I62" s="2" t="s">
        <v>42</v>
      </c>
      <c r="J62" s="2">
        <v>1</v>
      </c>
      <c r="K62" s="2" t="s">
        <v>82</v>
      </c>
      <c r="L62" s="2" t="s">
        <v>41</v>
      </c>
      <c r="M62" s="2" t="s">
        <v>135</v>
      </c>
      <c r="N62" s="2" t="s">
        <v>331</v>
      </c>
      <c r="O62" s="2" t="s">
        <v>361</v>
      </c>
      <c r="P62" s="2" t="s">
        <v>5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$S61+$R61+INDEX(Tables!$N$5:$Q$8,MATCH(MOD($S61+$R61,4),Tables!$M$5:$M$8,0),MATCH($R62,Tables!$N$4:$Q$4,0))</f>
        <v>148</v>
      </c>
      <c r="T62" s="2" t="str">
        <f t="shared" si="7"/>
        <v>0094</v>
      </c>
      <c r="U62" s="2">
        <f t="shared" si="8"/>
        <v>37</v>
      </c>
      <c r="V62" s="2" t="str">
        <f t="shared" si="9"/>
        <v>025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13"/>
        <v/>
      </c>
      <c r="AB62" s="2" t="str">
        <f t="shared" si="0"/>
        <v/>
      </c>
      <c r="AC62" s="2" t="str">
        <f t="shared" si="1"/>
        <v/>
      </c>
      <c r="AD62" s="2" t="str">
        <f t="shared" si="2"/>
        <v>(0)</v>
      </c>
      <c r="AE62" s="2" t="str">
        <f t="shared" si="3"/>
        <v/>
      </c>
      <c r="AF62" s="2" t="str">
        <f t="shared" si="4"/>
        <v/>
      </c>
      <c r="AG62" s="2" t="str">
        <f t="shared" si="5"/>
        <v/>
      </c>
      <c r="AH62" s="2" t="str">
        <f t="shared" si="6"/>
        <v/>
      </c>
    </row>
    <row r="63" spans="2:34" x14ac:dyDescent="0.25">
      <c r="B63" s="2" t="s">
        <v>328</v>
      </c>
      <c r="D63" s="2" t="s">
        <v>1</v>
      </c>
      <c r="E63" s="2" t="s">
        <v>134</v>
      </c>
      <c r="F63" s="2" t="s">
        <v>352</v>
      </c>
      <c r="G63" s="2" t="s">
        <v>353</v>
      </c>
      <c r="H63" s="2" t="s">
        <v>362</v>
      </c>
      <c r="I63" s="2" t="s">
        <v>42</v>
      </c>
      <c r="J63" s="2">
        <v>1</v>
      </c>
      <c r="K63" s="2" t="s">
        <v>82</v>
      </c>
      <c r="L63" s="2" t="s">
        <v>41</v>
      </c>
      <c r="M63" s="2" t="s">
        <v>135</v>
      </c>
      <c r="N63" s="2" t="s">
        <v>331</v>
      </c>
      <c r="O63" s="2" t="s">
        <v>363</v>
      </c>
      <c r="P63" s="2" t="s">
        <v>5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$S62+$R62+INDEX(Tables!$N$5:$Q$8,MATCH(MOD($S62+$R62,4),Tables!$M$5:$M$8,0),MATCH($R63,Tables!$N$4:$Q$4,0))</f>
        <v>152</v>
      </c>
      <c r="T63" s="2" t="str">
        <f t="shared" si="7"/>
        <v>0098</v>
      </c>
      <c r="U63" s="2">
        <f t="shared" si="8"/>
        <v>38</v>
      </c>
      <c r="V63" s="2" t="str">
        <f t="shared" si="9"/>
        <v>026</v>
      </c>
      <c r="W63" s="2" t="str">
        <f t="shared" si="10"/>
        <v/>
      </c>
      <c r="X63" s="2" t="str">
        <f t="shared" si="14"/>
        <v/>
      </c>
      <c r="Y63" s="2" t="str">
        <f t="shared" si="11"/>
        <v/>
      </c>
      <c r="Z63" s="2" t="str">
        <f t="shared" si="12"/>
        <v>X</v>
      </c>
      <c r="AA63" s="2" t="str">
        <f t="shared" si="13"/>
        <v/>
      </c>
      <c r="AB63" s="2" t="str">
        <f t="shared" si="0"/>
        <v/>
      </c>
      <c r="AC63" s="2" t="str">
        <f t="shared" si="1"/>
        <v/>
      </c>
      <c r="AD63" s="2" t="str">
        <f t="shared" si="2"/>
        <v>(0)</v>
      </c>
      <c r="AE63" s="2" t="str">
        <f t="shared" si="3"/>
        <v/>
      </c>
      <c r="AF63" s="2" t="str">
        <f t="shared" si="4"/>
        <v/>
      </c>
      <c r="AG63" s="2" t="str">
        <f t="shared" si="5"/>
        <v/>
      </c>
      <c r="AH63" s="2" t="str">
        <f t="shared" si="6"/>
        <v/>
      </c>
    </row>
    <row r="64" spans="2:34" x14ac:dyDescent="0.25">
      <c r="B64" s="2" t="s">
        <v>328</v>
      </c>
      <c r="D64" s="2" t="s">
        <v>1</v>
      </c>
      <c r="E64" s="2" t="s">
        <v>134</v>
      </c>
      <c r="F64" s="2" t="s">
        <v>352</v>
      </c>
      <c r="G64" s="2" t="s">
        <v>353</v>
      </c>
      <c r="H64" s="2" t="s">
        <v>364</v>
      </c>
      <c r="I64" s="2" t="s">
        <v>42</v>
      </c>
      <c r="J64" s="2">
        <v>1</v>
      </c>
      <c r="K64" s="2" t="s">
        <v>82</v>
      </c>
      <c r="L64" s="2" t="s">
        <v>41</v>
      </c>
      <c r="M64" s="2" t="s">
        <v>135</v>
      </c>
      <c r="N64" s="2" t="s">
        <v>331</v>
      </c>
      <c r="O64" s="2" t="s">
        <v>365</v>
      </c>
      <c r="P64" s="2" t="s">
        <v>5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$S63+$R63+INDEX(Tables!$N$5:$Q$8,MATCH(MOD($S63+$R63,4),Tables!$M$5:$M$8,0),MATCH($R64,Tables!$N$4:$Q$4,0))</f>
        <v>156</v>
      </c>
      <c r="T64" s="2" t="str">
        <f t="shared" si="7"/>
        <v>009C</v>
      </c>
      <c r="U64" s="2">
        <f t="shared" si="8"/>
        <v>39</v>
      </c>
      <c r="V64" s="2" t="str">
        <f t="shared" si="9"/>
        <v>027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13"/>
        <v/>
      </c>
      <c r="AB64" s="2" t="str">
        <f t="shared" si="0"/>
        <v/>
      </c>
      <c r="AC64" s="2" t="str">
        <f t="shared" si="1"/>
        <v/>
      </c>
      <c r="AD64" s="2" t="str">
        <f t="shared" si="2"/>
        <v>(0)</v>
      </c>
      <c r="AE64" s="2" t="str">
        <f t="shared" si="3"/>
        <v/>
      </c>
      <c r="AF64" s="2" t="str">
        <f t="shared" si="4"/>
        <v/>
      </c>
      <c r="AG64" s="2" t="str">
        <f t="shared" si="5"/>
        <v/>
      </c>
      <c r="AH64" s="2" t="str">
        <f t="shared" si="6"/>
        <v/>
      </c>
    </row>
    <row r="65" spans="2:34" x14ac:dyDescent="0.25">
      <c r="B65" s="2" t="s">
        <v>328</v>
      </c>
      <c r="D65" s="2" t="s">
        <v>1</v>
      </c>
      <c r="E65" s="2" t="s">
        <v>134</v>
      </c>
      <c r="F65" s="2" t="s">
        <v>352</v>
      </c>
      <c r="G65" s="2" t="s">
        <v>353</v>
      </c>
      <c r="H65" s="2" t="s">
        <v>366</v>
      </c>
      <c r="I65" s="2" t="s">
        <v>42</v>
      </c>
      <c r="J65" s="2">
        <v>1</v>
      </c>
      <c r="K65" s="2" t="s">
        <v>82</v>
      </c>
      <c r="L65" s="2" t="s">
        <v>41</v>
      </c>
      <c r="M65" s="2" t="s">
        <v>135</v>
      </c>
      <c r="N65" s="2" t="s">
        <v>331</v>
      </c>
      <c r="O65" s="2" t="s">
        <v>367</v>
      </c>
      <c r="P65" s="2" t="s">
        <v>5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$S64+$R64+INDEX(Tables!$N$5:$Q$8,MATCH(MOD($S64+$R64,4),Tables!$M$5:$M$8,0),MATCH($R65,Tables!$N$4:$Q$4,0))</f>
        <v>160</v>
      </c>
      <c r="T65" s="2" t="str">
        <f t="shared" si="7"/>
        <v>00A0</v>
      </c>
      <c r="U65" s="2">
        <f t="shared" si="8"/>
        <v>40</v>
      </c>
      <c r="V65" s="2" t="str">
        <f t="shared" si="9"/>
        <v>028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13"/>
        <v/>
      </c>
      <c r="AB65" s="2" t="str">
        <f t="shared" si="0"/>
        <v/>
      </c>
      <c r="AC65" s="2" t="str">
        <f t="shared" si="1"/>
        <v/>
      </c>
      <c r="AD65" s="2" t="str">
        <f t="shared" si="2"/>
        <v>(0)</v>
      </c>
      <c r="AE65" s="2" t="str">
        <f t="shared" si="3"/>
        <v/>
      </c>
      <c r="AF65" s="2" t="str">
        <f t="shared" si="4"/>
        <v/>
      </c>
      <c r="AG65" s="2" t="str">
        <f t="shared" si="5"/>
        <v/>
      </c>
      <c r="AH65" s="2" t="str">
        <f t="shared" si="6"/>
        <v/>
      </c>
    </row>
    <row r="66" spans="2:34" x14ac:dyDescent="0.25">
      <c r="B66" s="2" t="s">
        <v>328</v>
      </c>
      <c r="D66" s="2" t="s">
        <v>1</v>
      </c>
      <c r="E66" s="2" t="s">
        <v>134</v>
      </c>
      <c r="F66" s="2" t="s">
        <v>352</v>
      </c>
      <c r="G66" s="2" t="s">
        <v>353</v>
      </c>
      <c r="H66" s="2" t="s">
        <v>368</v>
      </c>
      <c r="I66" s="2" t="s">
        <v>42</v>
      </c>
      <c r="J66" s="2">
        <v>1</v>
      </c>
      <c r="K66" s="2" t="s">
        <v>82</v>
      </c>
      <c r="L66" s="2" t="s">
        <v>41</v>
      </c>
      <c r="M66" s="2" t="s">
        <v>135</v>
      </c>
      <c r="N66" s="2" t="s">
        <v>331</v>
      </c>
      <c r="O66" s="2" t="s">
        <v>369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164</v>
      </c>
      <c r="T66" s="2" t="str">
        <f t="shared" si="7"/>
        <v>00A4</v>
      </c>
      <c r="U66" s="2">
        <f t="shared" si="8"/>
        <v>41</v>
      </c>
      <c r="V66" s="2" t="str">
        <f t="shared" si="9"/>
        <v>029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0"/>
        <v/>
      </c>
      <c r="AC66" s="2" t="str">
        <f t="shared" si="1"/>
        <v/>
      </c>
      <c r="AD66" s="2" t="str">
        <f t="shared" si="2"/>
        <v>(0)</v>
      </c>
      <c r="AE66" s="2" t="str">
        <f t="shared" si="3"/>
        <v/>
      </c>
      <c r="AF66" s="2" t="str">
        <f t="shared" si="4"/>
        <v/>
      </c>
      <c r="AG66" s="2" t="str">
        <f t="shared" si="5"/>
        <v/>
      </c>
      <c r="AH66" s="2" t="str">
        <f t="shared" si="6"/>
        <v/>
      </c>
    </row>
    <row r="67" spans="2:34" x14ac:dyDescent="0.25">
      <c r="B67" s="2" t="s">
        <v>328</v>
      </c>
      <c r="D67" s="2" t="s">
        <v>1</v>
      </c>
      <c r="E67" s="2" t="s">
        <v>134</v>
      </c>
      <c r="F67" s="2" t="s">
        <v>352</v>
      </c>
      <c r="G67" s="2" t="s">
        <v>353</v>
      </c>
      <c r="H67" s="2" t="s">
        <v>370</v>
      </c>
      <c r="I67" s="2" t="s">
        <v>42</v>
      </c>
      <c r="J67" s="2">
        <v>1</v>
      </c>
      <c r="K67" s="2" t="s">
        <v>82</v>
      </c>
      <c r="L67" s="2" t="s">
        <v>41</v>
      </c>
      <c r="M67" s="2" t="s">
        <v>135</v>
      </c>
      <c r="N67" s="2" t="s">
        <v>331</v>
      </c>
      <c r="O67" s="2" t="s">
        <v>371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168</v>
      </c>
      <c r="T67" s="2" t="str">
        <f t="shared" si="7"/>
        <v>00A8</v>
      </c>
      <c r="U67" s="2">
        <f t="shared" si="8"/>
        <v>42</v>
      </c>
      <c r="V67" s="2" t="str">
        <f t="shared" si="9"/>
        <v>02A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3"/>
        <v/>
      </c>
      <c r="AB67" s="2" t="str">
        <f t="shared" si="0"/>
        <v/>
      </c>
      <c r="AC67" s="2" t="str">
        <f t="shared" si="1"/>
        <v/>
      </c>
      <c r="AD67" s="2" t="str">
        <f t="shared" si="2"/>
        <v>(0)</v>
      </c>
      <c r="AE67" s="2" t="str">
        <f t="shared" si="3"/>
        <v/>
      </c>
      <c r="AF67" s="2" t="str">
        <f t="shared" si="4"/>
        <v/>
      </c>
      <c r="AG67" s="2" t="str">
        <f t="shared" si="5"/>
        <v/>
      </c>
      <c r="AH67" s="2" t="str">
        <f t="shared" si="6"/>
        <v/>
      </c>
    </row>
    <row r="68" spans="2:34" x14ac:dyDescent="0.25">
      <c r="B68" s="2" t="s">
        <v>328</v>
      </c>
      <c r="D68" s="2" t="s">
        <v>1</v>
      </c>
      <c r="E68" s="2" t="s">
        <v>134</v>
      </c>
      <c r="F68" s="2" t="s">
        <v>352</v>
      </c>
      <c r="G68" s="2" t="s">
        <v>353</v>
      </c>
      <c r="H68" s="2" t="s">
        <v>372</v>
      </c>
      <c r="I68" s="2" t="s">
        <v>42</v>
      </c>
      <c r="J68" s="2">
        <v>1</v>
      </c>
      <c r="K68" s="2" t="s">
        <v>82</v>
      </c>
      <c r="L68" s="2" t="s">
        <v>41</v>
      </c>
      <c r="M68" s="2" t="s">
        <v>135</v>
      </c>
      <c r="N68" s="2" t="s">
        <v>331</v>
      </c>
      <c r="O68" s="2" t="s">
        <v>373</v>
      </c>
      <c r="P68" s="2" t="s">
        <v>5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172</v>
      </c>
      <c r="T68" s="2" t="str">
        <f t="shared" si="7"/>
        <v>00AC</v>
      </c>
      <c r="U68" s="2">
        <f t="shared" si="8"/>
        <v>43</v>
      </c>
      <c r="V68" s="2" t="str">
        <f t="shared" si="9"/>
        <v>02B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/>
      </c>
      <c r="AD68" s="2" t="str">
        <f t="shared" ref="AD68:AD131" si="18">IF(Z68="","",CONCATENATE("(",IF($J68=1,"0)",CONCATENATE(IF($J68&gt;=8,8,$J68)-1," downto 0)"))))</f>
        <v>(0)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2" t="str">
        <f t="shared" ref="AH68:AH131" si="22">IF(Z68="","",IF($J68&lt;=8,"",CONCATENATE("(",IF($J68&gt;=8,7,$J68-1)," downto ",0,")")))</f>
        <v/>
      </c>
    </row>
    <row r="69" spans="2:34" x14ac:dyDescent="0.25">
      <c r="B69" s="2" t="s">
        <v>328</v>
      </c>
      <c r="D69" s="2" t="s">
        <v>1</v>
      </c>
      <c r="E69" s="2" t="s">
        <v>134</v>
      </c>
      <c r="F69" s="2" t="s">
        <v>352</v>
      </c>
      <c r="G69" s="2" t="s">
        <v>353</v>
      </c>
      <c r="H69" s="2" t="s">
        <v>374</v>
      </c>
      <c r="I69" s="2" t="s">
        <v>42</v>
      </c>
      <c r="J69" s="2">
        <v>1</v>
      </c>
      <c r="K69" s="2" t="s">
        <v>82</v>
      </c>
      <c r="L69" s="2" t="s">
        <v>41</v>
      </c>
      <c r="M69" s="2" t="s">
        <v>135</v>
      </c>
      <c r="N69" s="2" t="s">
        <v>331</v>
      </c>
      <c r="O69" s="2" t="s">
        <v>375</v>
      </c>
      <c r="P69" s="2" t="s">
        <v>5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$S68+$R68+INDEX(Tables!$N$5:$Q$8,MATCH(MOD($S68+$R68,4),Tables!$M$5:$M$8,0),MATCH($R69,Tables!$N$4:$Q$4,0))</f>
        <v>176</v>
      </c>
      <c r="T69" s="2" t="str">
        <f t="shared" ref="T69:T132" si="23">DEC2HEX($S69,4)</f>
        <v>00B0</v>
      </c>
      <c r="U69" s="2">
        <f t="shared" ref="U69:U132" si="24">ROUNDDOWN(S69/4,0)</f>
        <v>44</v>
      </c>
      <c r="V69" s="2" t="str">
        <f t="shared" ref="V69:V132" si="25">DEC2HEX($U69,3)</f>
        <v>02C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si="11"/>
        <v/>
      </c>
      <c r="Z69" s="2" t="str">
        <f t="shared" si="12"/>
        <v>X</v>
      </c>
      <c r="AA69" s="2" t="str">
        <f t="shared" si="15"/>
        <v/>
      </c>
      <c r="AB69" s="2" t="str">
        <f t="shared" si="16"/>
        <v/>
      </c>
      <c r="AC69" s="2" t="str">
        <f t="shared" si="17"/>
        <v/>
      </c>
      <c r="AD69" s="2" t="str">
        <f t="shared" si="18"/>
        <v>(0)</v>
      </c>
      <c r="AE69" s="2" t="str">
        <f t="shared" si="19"/>
        <v/>
      </c>
      <c r="AF69" s="2" t="str">
        <f t="shared" si="20"/>
        <v/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328</v>
      </c>
      <c r="D70" s="2" t="s">
        <v>1</v>
      </c>
      <c r="E70" s="2" t="s">
        <v>134</v>
      </c>
      <c r="F70" s="2" t="s">
        <v>352</v>
      </c>
      <c r="G70" s="2" t="s">
        <v>353</v>
      </c>
      <c r="H70" s="2" t="s">
        <v>376</v>
      </c>
      <c r="I70" s="2" t="s">
        <v>42</v>
      </c>
      <c r="J70" s="2">
        <v>1</v>
      </c>
      <c r="K70" s="2" t="s">
        <v>82</v>
      </c>
      <c r="L70" s="2" t="s">
        <v>41</v>
      </c>
      <c r="M70" s="2" t="s">
        <v>135</v>
      </c>
      <c r="N70" s="2" t="s">
        <v>331</v>
      </c>
      <c r="O70" s="2" t="s">
        <v>377</v>
      </c>
      <c r="P70" s="2" t="s">
        <v>5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$S69+$R69+INDEX(Tables!$N$5:$Q$8,MATCH(MOD($S69+$R69,4),Tables!$M$5:$M$8,0),MATCH($R70,Tables!$N$4:$Q$4,0))</f>
        <v>180</v>
      </c>
      <c r="T70" s="2" t="str">
        <f t="shared" si="23"/>
        <v>00B4</v>
      </c>
      <c r="U70" s="2">
        <f t="shared" si="24"/>
        <v>45</v>
      </c>
      <c r="V70" s="2" t="str">
        <f t="shared" si="25"/>
        <v>02D</v>
      </c>
      <c r="W70" s="2" t="str">
        <f t="shared" si="26"/>
        <v/>
      </c>
      <c r="X70" s="2" t="str">
        <f t="shared" si="14"/>
        <v/>
      </c>
      <c r="Y70" s="2" t="str">
        <f t="shared" si="11"/>
        <v/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/>
      </c>
      <c r="AD70" s="2" t="str">
        <f t="shared" si="18"/>
        <v>(0)</v>
      </c>
      <c r="AE70" s="2" t="str">
        <f t="shared" si="19"/>
        <v/>
      </c>
      <c r="AF70" s="2" t="str">
        <f t="shared" si="20"/>
        <v/>
      </c>
      <c r="AG70" s="2" t="str">
        <f t="shared" si="21"/>
        <v/>
      </c>
      <c r="AH70" s="2" t="str">
        <f t="shared" si="22"/>
        <v/>
      </c>
    </row>
    <row r="71" spans="2:34" x14ac:dyDescent="0.25">
      <c r="B71" s="2" t="s">
        <v>328</v>
      </c>
      <c r="D71" s="2" t="s">
        <v>1</v>
      </c>
      <c r="E71" s="2" t="s">
        <v>134</v>
      </c>
      <c r="F71" s="2" t="s">
        <v>352</v>
      </c>
      <c r="G71" s="2" t="s">
        <v>353</v>
      </c>
      <c r="H71" s="2" t="s">
        <v>378</v>
      </c>
      <c r="I71" s="2" t="s">
        <v>42</v>
      </c>
      <c r="J71" s="2">
        <v>1</v>
      </c>
      <c r="K71" s="2" t="s">
        <v>82</v>
      </c>
      <c r="L71" s="2" t="s">
        <v>41</v>
      </c>
      <c r="M71" s="2" t="s">
        <v>135</v>
      </c>
      <c r="N71" s="2" t="s">
        <v>331</v>
      </c>
      <c r="O71" s="2" t="s">
        <v>379</v>
      </c>
      <c r="P71" s="2" t="s">
        <v>5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$S70+$R70+INDEX(Tables!$N$5:$Q$8,MATCH(MOD($S70+$R70,4),Tables!$M$5:$M$8,0),MATCH($R71,Tables!$N$4:$Q$4,0))</f>
        <v>184</v>
      </c>
      <c r="T71" s="2" t="str">
        <f t="shared" si="23"/>
        <v>00B8</v>
      </c>
      <c r="U71" s="2">
        <f t="shared" si="24"/>
        <v>46</v>
      </c>
      <c r="V71" s="2" t="str">
        <f t="shared" si="25"/>
        <v>02E</v>
      </c>
      <c r="W71" s="2" t="str">
        <f t="shared" si="26"/>
        <v/>
      </c>
      <c r="X71" s="2" t="str">
        <f t="shared" si="14"/>
        <v/>
      </c>
      <c r="Y71" s="2" t="str">
        <f t="shared" si="11"/>
        <v/>
      </c>
      <c r="Z71" s="2" t="str">
        <f t="shared" si="12"/>
        <v>X</v>
      </c>
      <c r="AA71" s="2" t="str">
        <f t="shared" si="15"/>
        <v/>
      </c>
      <c r="AB71" s="2" t="str">
        <f t="shared" si="16"/>
        <v/>
      </c>
      <c r="AC71" s="2" t="str">
        <f t="shared" si="17"/>
        <v/>
      </c>
      <c r="AD71" s="2" t="str">
        <f t="shared" si="18"/>
        <v>(0)</v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328</v>
      </c>
      <c r="D72" s="2" t="s">
        <v>1</v>
      </c>
      <c r="E72" s="2" t="s">
        <v>134</v>
      </c>
      <c r="F72" s="2" t="s">
        <v>352</v>
      </c>
      <c r="G72" s="2" t="s">
        <v>353</v>
      </c>
      <c r="H72" s="2" t="s">
        <v>380</v>
      </c>
      <c r="I72" s="2" t="s">
        <v>42</v>
      </c>
      <c r="J72" s="2">
        <v>1</v>
      </c>
      <c r="K72" s="2" t="s">
        <v>82</v>
      </c>
      <c r="L72" s="2" t="s">
        <v>41</v>
      </c>
      <c r="M72" s="2" t="s">
        <v>135</v>
      </c>
      <c r="N72" s="2" t="s">
        <v>331</v>
      </c>
      <c r="O72" s="2" t="s">
        <v>381</v>
      </c>
      <c r="P72" s="2" t="s">
        <v>5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$S71+$R71+INDEX(Tables!$N$5:$Q$8,MATCH(MOD($S71+$R71,4),Tables!$M$5:$M$8,0),MATCH($R72,Tables!$N$4:$Q$4,0))</f>
        <v>188</v>
      </c>
      <c r="T72" s="2" t="str">
        <f t="shared" si="23"/>
        <v>00BC</v>
      </c>
      <c r="U72" s="2">
        <f t="shared" si="24"/>
        <v>47</v>
      </c>
      <c r="V72" s="2" t="str">
        <f t="shared" si="25"/>
        <v>02F</v>
      </c>
      <c r="W72" s="2" t="str">
        <f t="shared" si="26"/>
        <v/>
      </c>
      <c r="X72" s="2" t="str">
        <f t="shared" si="14"/>
        <v/>
      </c>
      <c r="Y72" s="2" t="str">
        <f t="shared" si="11"/>
        <v/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/>
      </c>
      <c r="AD72" s="2" t="str">
        <f t="shared" si="18"/>
        <v>(0)</v>
      </c>
      <c r="AE72" s="2" t="str">
        <f t="shared" si="19"/>
        <v/>
      </c>
      <c r="AF72" s="2" t="str">
        <f t="shared" si="20"/>
        <v/>
      </c>
      <c r="AG72" s="2" t="str">
        <f t="shared" si="21"/>
        <v/>
      </c>
      <c r="AH72" s="2" t="str">
        <f t="shared" si="22"/>
        <v/>
      </c>
    </row>
    <row r="73" spans="2:34" x14ac:dyDescent="0.25">
      <c r="B73" s="2" t="s">
        <v>328</v>
      </c>
      <c r="D73" s="2" t="s">
        <v>1</v>
      </c>
      <c r="E73" s="2" t="s">
        <v>134</v>
      </c>
      <c r="F73" s="2" t="s">
        <v>352</v>
      </c>
      <c r="G73" s="2" t="s">
        <v>353</v>
      </c>
      <c r="H73" s="2" t="s">
        <v>382</v>
      </c>
      <c r="I73" s="2" t="s">
        <v>42</v>
      </c>
      <c r="J73" s="2">
        <v>1</v>
      </c>
      <c r="K73" s="2" t="s">
        <v>82</v>
      </c>
      <c r="L73" s="2" t="s">
        <v>41</v>
      </c>
      <c r="M73" s="2" t="s">
        <v>135</v>
      </c>
      <c r="N73" s="2" t="s">
        <v>331</v>
      </c>
      <c r="O73" s="2" t="s">
        <v>383</v>
      </c>
      <c r="P73" s="2" t="s">
        <v>5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$S72+$R72+INDEX(Tables!$N$5:$Q$8,MATCH(MOD($S72+$R72,4),Tables!$M$5:$M$8,0),MATCH($R73,Tables!$N$4:$Q$4,0))</f>
        <v>192</v>
      </c>
      <c r="T73" s="2" t="str">
        <f t="shared" si="23"/>
        <v>00C0</v>
      </c>
      <c r="U73" s="2">
        <f t="shared" si="24"/>
        <v>48</v>
      </c>
      <c r="V73" s="2" t="str">
        <f t="shared" si="25"/>
        <v>030</v>
      </c>
      <c r="W73" s="2" t="str">
        <f t="shared" si="26"/>
        <v/>
      </c>
      <c r="X73" s="2" t="str">
        <f t="shared" si="14"/>
        <v/>
      </c>
      <c r="Y73" s="2" t="str">
        <f t="shared" si="11"/>
        <v/>
      </c>
      <c r="Z73" s="2" t="str">
        <f t="shared" si="12"/>
        <v>X</v>
      </c>
      <c r="AA73" s="2" t="str">
        <f t="shared" si="15"/>
        <v/>
      </c>
      <c r="AB73" s="2" t="str">
        <f t="shared" si="16"/>
        <v/>
      </c>
      <c r="AC73" s="2" t="str">
        <f t="shared" si="17"/>
        <v/>
      </c>
      <c r="AD73" s="2" t="str">
        <f t="shared" si="18"/>
        <v>(0)</v>
      </c>
      <c r="AE73" s="2" t="str">
        <f t="shared" si="19"/>
        <v/>
      </c>
      <c r="AF73" s="2" t="str">
        <f t="shared" si="20"/>
        <v/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328</v>
      </c>
      <c r="D74" s="2" t="s">
        <v>1</v>
      </c>
      <c r="E74" s="2" t="s">
        <v>134</v>
      </c>
      <c r="F74" s="2" t="s">
        <v>352</v>
      </c>
      <c r="G74" s="2" t="s">
        <v>353</v>
      </c>
      <c r="H74" s="2" t="s">
        <v>384</v>
      </c>
      <c r="I74" s="2" t="s">
        <v>42</v>
      </c>
      <c r="J74" s="2">
        <v>1</v>
      </c>
      <c r="K74" s="2" t="s">
        <v>82</v>
      </c>
      <c r="L74" s="2" t="s">
        <v>41</v>
      </c>
      <c r="M74" s="2" t="s">
        <v>135</v>
      </c>
      <c r="N74" s="2" t="s">
        <v>331</v>
      </c>
      <c r="O74" s="2" t="s">
        <v>385</v>
      </c>
      <c r="P74" s="2" t="s">
        <v>5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$S73+$R73+INDEX(Tables!$N$5:$Q$8,MATCH(MOD($S73+$R73,4),Tables!$M$5:$M$8,0),MATCH($R74,Tables!$N$4:$Q$4,0))</f>
        <v>196</v>
      </c>
      <c r="T74" s="2" t="str">
        <f t="shared" si="23"/>
        <v>00C4</v>
      </c>
      <c r="U74" s="2">
        <f t="shared" si="24"/>
        <v>49</v>
      </c>
      <c r="V74" s="2" t="str">
        <f t="shared" si="25"/>
        <v>031</v>
      </c>
      <c r="W74" s="2" t="str">
        <f t="shared" si="26"/>
        <v/>
      </c>
      <c r="X74" s="2" t="str">
        <f t="shared" si="14"/>
        <v/>
      </c>
      <c r="Y74" s="2" t="str">
        <f t="shared" si="11"/>
        <v/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/>
      </c>
      <c r="AD74" s="2" t="str">
        <f t="shared" si="18"/>
        <v>(0)</v>
      </c>
      <c r="AE74" s="2" t="str">
        <f t="shared" si="19"/>
        <v/>
      </c>
      <c r="AF74" s="2" t="str">
        <f t="shared" si="20"/>
        <v/>
      </c>
      <c r="AG74" s="2" t="str">
        <f t="shared" si="21"/>
        <v/>
      </c>
      <c r="AH74" s="2" t="str">
        <f t="shared" si="22"/>
        <v/>
      </c>
    </row>
    <row r="75" spans="2:34" x14ac:dyDescent="0.25">
      <c r="B75" s="2" t="s">
        <v>328</v>
      </c>
      <c r="D75" s="2" t="s">
        <v>1</v>
      </c>
      <c r="E75" s="2" t="s">
        <v>134</v>
      </c>
      <c r="F75" s="2" t="s">
        <v>352</v>
      </c>
      <c r="G75" s="2" t="s">
        <v>353</v>
      </c>
      <c r="H75" s="2" t="s">
        <v>386</v>
      </c>
      <c r="I75" s="2" t="s">
        <v>42</v>
      </c>
      <c r="J75" s="2">
        <v>1</v>
      </c>
      <c r="K75" s="2" t="s">
        <v>82</v>
      </c>
      <c r="L75" s="2" t="s">
        <v>41</v>
      </c>
      <c r="M75" s="2" t="s">
        <v>135</v>
      </c>
      <c r="N75" s="2" t="s">
        <v>331</v>
      </c>
      <c r="O75" s="2" t="s">
        <v>387</v>
      </c>
      <c r="P75" s="2" t="s">
        <v>5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$S74+$R74+INDEX(Tables!$N$5:$Q$8,MATCH(MOD($S74+$R74,4),Tables!$M$5:$M$8,0),MATCH($R75,Tables!$N$4:$Q$4,0))</f>
        <v>200</v>
      </c>
      <c r="T75" s="2" t="str">
        <f t="shared" si="23"/>
        <v>00C8</v>
      </c>
      <c r="U75" s="2">
        <f t="shared" si="24"/>
        <v>50</v>
      </c>
      <c r="V75" s="2" t="str">
        <f t="shared" si="25"/>
        <v>032</v>
      </c>
      <c r="W75" s="2" t="str">
        <f t="shared" si="26"/>
        <v/>
      </c>
      <c r="X75" s="2" t="str">
        <f t="shared" si="14"/>
        <v/>
      </c>
      <c r="Y75" s="2" t="str">
        <f t="shared" si="11"/>
        <v/>
      </c>
      <c r="Z75" s="2" t="str">
        <f t="shared" si="12"/>
        <v>X</v>
      </c>
      <c r="AA75" s="2" t="str">
        <f t="shared" si="15"/>
        <v/>
      </c>
      <c r="AB75" s="2" t="str">
        <f t="shared" si="16"/>
        <v/>
      </c>
      <c r="AC75" s="2" t="str">
        <f t="shared" si="17"/>
        <v/>
      </c>
      <c r="AD75" s="2" t="str">
        <f t="shared" si="18"/>
        <v>(0)</v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328</v>
      </c>
      <c r="D76" s="2" t="s">
        <v>1</v>
      </c>
      <c r="E76" s="2" t="s">
        <v>134</v>
      </c>
      <c r="F76" s="2" t="s">
        <v>352</v>
      </c>
      <c r="G76" s="2" t="s">
        <v>353</v>
      </c>
      <c r="H76" s="2" t="s">
        <v>388</v>
      </c>
      <c r="I76" s="2" t="s">
        <v>42</v>
      </c>
      <c r="J76" s="2">
        <v>1</v>
      </c>
      <c r="K76" s="2" t="s">
        <v>82</v>
      </c>
      <c r="L76" s="2" t="s">
        <v>41</v>
      </c>
      <c r="M76" s="2" t="s">
        <v>135</v>
      </c>
      <c r="N76" s="2" t="s">
        <v>331</v>
      </c>
      <c r="O76" s="2" t="s">
        <v>389</v>
      </c>
      <c r="P76" s="2" t="s">
        <v>5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$S75+$R75+INDEX(Tables!$N$5:$Q$8,MATCH(MOD($S75+$R75,4),Tables!$M$5:$M$8,0),MATCH($R76,Tables!$N$4:$Q$4,0))</f>
        <v>204</v>
      </c>
      <c r="T76" s="2" t="str">
        <f t="shared" si="23"/>
        <v>00CC</v>
      </c>
      <c r="U76" s="2">
        <f t="shared" si="24"/>
        <v>51</v>
      </c>
      <c r="V76" s="2" t="str">
        <f t="shared" si="25"/>
        <v>033</v>
      </c>
      <c r="W76" s="2" t="str">
        <f t="shared" si="26"/>
        <v/>
      </c>
      <c r="X76" s="2" t="str">
        <f t="shared" si="14"/>
        <v/>
      </c>
      <c r="Y76" s="2" t="str">
        <f t="shared" si="11"/>
        <v/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/>
      </c>
      <c r="AD76" s="2" t="str">
        <f t="shared" si="18"/>
        <v>(0)</v>
      </c>
      <c r="AE76" s="2" t="str">
        <f t="shared" si="19"/>
        <v/>
      </c>
      <c r="AF76" s="2" t="str">
        <f t="shared" si="20"/>
        <v/>
      </c>
      <c r="AG76" s="2" t="str">
        <f t="shared" si="21"/>
        <v/>
      </c>
      <c r="AH76" s="2" t="str">
        <f t="shared" si="22"/>
        <v/>
      </c>
    </row>
    <row r="77" spans="2:34" x14ac:dyDescent="0.25">
      <c r="B77" s="2" t="s">
        <v>328</v>
      </c>
      <c r="D77" s="2" t="s">
        <v>1</v>
      </c>
      <c r="E77" s="2" t="s">
        <v>134</v>
      </c>
      <c r="F77" s="2" t="s">
        <v>352</v>
      </c>
      <c r="G77" s="2" t="s">
        <v>353</v>
      </c>
      <c r="H77" s="2" t="s">
        <v>390</v>
      </c>
      <c r="I77" s="2" t="s">
        <v>42</v>
      </c>
      <c r="J77" s="2">
        <v>1</v>
      </c>
      <c r="K77" s="2" t="s">
        <v>82</v>
      </c>
      <c r="L77" s="2" t="s">
        <v>41</v>
      </c>
      <c r="M77" s="2" t="s">
        <v>135</v>
      </c>
      <c r="N77" s="2" t="s">
        <v>331</v>
      </c>
      <c r="O77" s="2" t="s">
        <v>391</v>
      </c>
      <c r="P77" s="2" t="s">
        <v>5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$S76+$R76+INDEX(Tables!$N$5:$Q$8,MATCH(MOD($S76+$R76,4),Tables!$M$5:$M$8,0),MATCH($R77,Tables!$N$4:$Q$4,0))</f>
        <v>208</v>
      </c>
      <c r="T77" s="2" t="str">
        <f t="shared" si="23"/>
        <v>00D0</v>
      </c>
      <c r="U77" s="2">
        <f t="shared" si="24"/>
        <v>52</v>
      </c>
      <c r="V77" s="2" t="str">
        <f t="shared" si="25"/>
        <v>034</v>
      </c>
      <c r="W77" s="2" t="str">
        <f t="shared" si="26"/>
        <v/>
      </c>
      <c r="X77" s="2" t="str">
        <f t="shared" si="14"/>
        <v/>
      </c>
      <c r="Y77" s="2" t="str">
        <f t="shared" si="11"/>
        <v/>
      </c>
      <c r="Z77" s="2" t="str">
        <f t="shared" si="12"/>
        <v>X</v>
      </c>
      <c r="AA77" s="2" t="str">
        <f t="shared" si="15"/>
        <v/>
      </c>
      <c r="AB77" s="2" t="str">
        <f t="shared" si="16"/>
        <v/>
      </c>
      <c r="AC77" s="2" t="str">
        <f t="shared" si="17"/>
        <v/>
      </c>
      <c r="AD77" s="2" t="str">
        <f t="shared" si="18"/>
        <v>(0)</v>
      </c>
      <c r="AE77" s="2" t="str">
        <f t="shared" si="19"/>
        <v/>
      </c>
      <c r="AF77" s="2" t="str">
        <f t="shared" si="20"/>
        <v/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328</v>
      </c>
      <c r="D78" s="2" t="s">
        <v>1</v>
      </c>
      <c r="E78" s="2" t="s">
        <v>134</v>
      </c>
      <c r="F78" s="2" t="s">
        <v>352</v>
      </c>
      <c r="G78" s="2" t="s">
        <v>353</v>
      </c>
      <c r="H78" s="2" t="s">
        <v>392</v>
      </c>
      <c r="I78" s="2" t="s">
        <v>42</v>
      </c>
      <c r="J78" s="2">
        <v>1</v>
      </c>
      <c r="K78" s="2" t="s">
        <v>82</v>
      </c>
      <c r="L78" s="2" t="s">
        <v>41</v>
      </c>
      <c r="M78" s="2" t="s">
        <v>135</v>
      </c>
      <c r="N78" s="2" t="s">
        <v>331</v>
      </c>
      <c r="O78" s="2" t="s">
        <v>393</v>
      </c>
      <c r="P78" s="2" t="s">
        <v>5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212</v>
      </c>
      <c r="T78" s="2" t="str">
        <f t="shared" si="23"/>
        <v>00D4</v>
      </c>
      <c r="U78" s="2">
        <f t="shared" si="24"/>
        <v>53</v>
      </c>
      <c r="V78" s="2" t="str">
        <f t="shared" si="25"/>
        <v>035</v>
      </c>
      <c r="W78" s="2" t="str">
        <f t="shared" si="26"/>
        <v/>
      </c>
      <c r="X78" s="2" t="str">
        <f t="shared" si="14"/>
        <v/>
      </c>
      <c r="Y78" s="2" t="str">
        <f t="shared" si="11"/>
        <v/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/>
      </c>
      <c r="AD78" s="2" t="str">
        <f t="shared" si="18"/>
        <v>(0)</v>
      </c>
      <c r="AE78" s="2" t="str">
        <f t="shared" si="19"/>
        <v/>
      </c>
      <c r="AF78" s="2" t="str">
        <f t="shared" si="20"/>
        <v/>
      </c>
      <c r="AG78" s="2" t="str">
        <f t="shared" si="21"/>
        <v/>
      </c>
      <c r="AH78" s="2" t="str">
        <f t="shared" si="22"/>
        <v/>
      </c>
    </row>
    <row r="79" spans="2:34" x14ac:dyDescent="0.25">
      <c r="B79" s="2" t="s">
        <v>328</v>
      </c>
      <c r="D79" s="2" t="s">
        <v>1</v>
      </c>
      <c r="E79" s="2" t="s">
        <v>134</v>
      </c>
      <c r="F79" s="2" t="s">
        <v>352</v>
      </c>
      <c r="G79" s="2" t="s">
        <v>353</v>
      </c>
      <c r="H79" s="2" t="s">
        <v>394</v>
      </c>
      <c r="I79" s="2" t="s">
        <v>42</v>
      </c>
      <c r="J79" s="2">
        <v>8</v>
      </c>
      <c r="K79" s="2" t="s">
        <v>137</v>
      </c>
      <c r="L79" s="2" t="s">
        <v>41</v>
      </c>
      <c r="M79" s="2" t="s">
        <v>135</v>
      </c>
      <c r="N79" s="2" t="s">
        <v>331</v>
      </c>
      <c r="O79" s="2" t="s">
        <v>395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216</v>
      </c>
      <c r="T79" s="2" t="str">
        <f t="shared" si="23"/>
        <v>00D8</v>
      </c>
      <c r="U79" s="2">
        <f t="shared" si="24"/>
        <v>54</v>
      </c>
      <c r="V79" s="2" t="str">
        <f t="shared" si="25"/>
        <v>036</v>
      </c>
      <c r="W79" s="2" t="str">
        <f t="shared" si="26"/>
        <v/>
      </c>
      <c r="X79" s="2" t="str">
        <f t="shared" si="14"/>
        <v/>
      </c>
      <c r="Y79" s="2" t="str">
        <f t="shared" si="11"/>
        <v/>
      </c>
      <c r="Z79" s="2" t="str">
        <f t="shared" si="12"/>
        <v>X</v>
      </c>
      <c r="AA79" s="2" t="str">
        <f t="shared" si="15"/>
        <v/>
      </c>
      <c r="AB79" s="2" t="str">
        <f t="shared" si="16"/>
        <v/>
      </c>
      <c r="AC79" s="2" t="str">
        <f t="shared" si="17"/>
        <v/>
      </c>
      <c r="AD79" s="2" t="str">
        <f t="shared" si="18"/>
        <v>(7 downto 0)</v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328</v>
      </c>
      <c r="D80" s="2" t="s">
        <v>1</v>
      </c>
      <c r="E80" s="2" t="s">
        <v>134</v>
      </c>
      <c r="F80" s="2" t="s">
        <v>396</v>
      </c>
      <c r="G80" s="2" t="s">
        <v>397</v>
      </c>
      <c r="H80" s="2" t="s">
        <v>398</v>
      </c>
      <c r="I80" s="2" t="s">
        <v>42</v>
      </c>
      <c r="J80" s="2">
        <v>32</v>
      </c>
      <c r="K80" s="2" t="s">
        <v>137</v>
      </c>
      <c r="L80" s="2" t="s">
        <v>41</v>
      </c>
      <c r="M80" s="2" t="s">
        <v>135</v>
      </c>
      <c r="N80" s="2" t="s">
        <v>331</v>
      </c>
      <c r="O80" s="2" t="s">
        <v>399</v>
      </c>
      <c r="P80" s="2" t="s">
        <v>49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220</v>
      </c>
      <c r="T80" s="2" t="str">
        <f t="shared" si="23"/>
        <v>00DC</v>
      </c>
      <c r="U80" s="2">
        <f t="shared" si="24"/>
        <v>55</v>
      </c>
      <c r="V80" s="2" t="str">
        <f t="shared" si="25"/>
        <v>037</v>
      </c>
      <c r="W80" s="2" t="str">
        <f t="shared" si="26"/>
        <v>X</v>
      </c>
      <c r="X80" s="2" t="str">
        <f t="shared" si="14"/>
        <v>X</v>
      </c>
      <c r="Y80" s="2" t="str">
        <f t="shared" si="11"/>
        <v>X</v>
      </c>
      <c r="Z80" s="2" t="str">
        <f t="shared" si="12"/>
        <v>X</v>
      </c>
      <c r="AA80" s="2" t="str">
        <f t="shared" si="15"/>
        <v>(31 downto 24)</v>
      </c>
      <c r="AB80" s="2" t="str">
        <f t="shared" si="16"/>
        <v>(23 downto 16)</v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>(31 downto 24)</v>
      </c>
      <c r="AF80" s="2" t="str">
        <f t="shared" si="20"/>
        <v>(23 downto 16)</v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328</v>
      </c>
      <c r="D81" s="2" t="s">
        <v>1</v>
      </c>
      <c r="E81" s="2" t="s">
        <v>134</v>
      </c>
      <c r="F81" s="2" t="s">
        <v>400</v>
      </c>
      <c r="G81" s="2" t="s">
        <v>401</v>
      </c>
      <c r="H81" s="2" t="s">
        <v>402</v>
      </c>
      <c r="I81" s="2" t="s">
        <v>42</v>
      </c>
      <c r="J81" s="2">
        <v>12</v>
      </c>
      <c r="K81" s="2" t="s">
        <v>137</v>
      </c>
      <c r="L81" s="2" t="s">
        <v>41</v>
      </c>
      <c r="M81" s="2" t="s">
        <v>135</v>
      </c>
      <c r="N81" s="2" t="s">
        <v>331</v>
      </c>
      <c r="O81" s="2" t="s">
        <v>403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224</v>
      </c>
      <c r="T81" s="2" t="str">
        <f t="shared" si="23"/>
        <v>00E0</v>
      </c>
      <c r="U81" s="2">
        <f t="shared" si="24"/>
        <v>56</v>
      </c>
      <c r="V81" s="2" t="str">
        <f t="shared" si="25"/>
        <v>038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5"/>
        <v/>
      </c>
      <c r="AB81" s="2" t="str">
        <f t="shared" si="16"/>
        <v/>
      </c>
      <c r="AC81" s="2" t="str">
        <f t="shared" si="17"/>
        <v>(11 downto 8)</v>
      </c>
      <c r="AD81" s="2" t="str">
        <f t="shared" si="18"/>
        <v>(7 downto 0)</v>
      </c>
      <c r="AE81" s="2" t="str">
        <f t="shared" si="19"/>
        <v/>
      </c>
      <c r="AF81" s="2" t="str">
        <f t="shared" si="20"/>
        <v/>
      </c>
      <c r="AG81" s="2" t="str">
        <f t="shared" si="21"/>
        <v>(11 downto 8)</v>
      </c>
      <c r="AH81" s="2" t="str">
        <f t="shared" si="22"/>
        <v>(7 downto 0)</v>
      </c>
    </row>
    <row r="82" spans="2:34" x14ac:dyDescent="0.25">
      <c r="B82" s="2" t="s">
        <v>328</v>
      </c>
      <c r="D82" s="2" t="s">
        <v>1</v>
      </c>
      <c r="E82" s="2" t="s">
        <v>134</v>
      </c>
      <c r="F82" s="2" t="s">
        <v>400</v>
      </c>
      <c r="G82" s="2" t="s">
        <v>401</v>
      </c>
      <c r="H82" s="2" t="s">
        <v>404</v>
      </c>
      <c r="I82" s="2" t="s">
        <v>42</v>
      </c>
      <c r="J82" s="2">
        <v>12</v>
      </c>
      <c r="K82" s="2" t="s">
        <v>137</v>
      </c>
      <c r="L82" s="2" t="s">
        <v>41</v>
      </c>
      <c r="M82" s="2" t="s">
        <v>135</v>
      </c>
      <c r="N82" s="2" t="s">
        <v>331</v>
      </c>
      <c r="O82" s="2" t="s">
        <v>405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226</v>
      </c>
      <c r="T82" s="2" t="str">
        <f t="shared" si="23"/>
        <v>00E2</v>
      </c>
      <c r="U82" s="2">
        <f t="shared" si="24"/>
        <v>56</v>
      </c>
      <c r="V82" s="2" t="str">
        <f t="shared" si="25"/>
        <v>038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5"/>
        <v>(27 downto 24)</v>
      </c>
      <c r="AB82" s="2" t="str">
        <f t="shared" si="16"/>
        <v>(23 downto 16)</v>
      </c>
      <c r="AC82" s="2" t="str">
        <f t="shared" si="17"/>
        <v/>
      </c>
      <c r="AD82" s="2" t="str">
        <f t="shared" si="18"/>
        <v/>
      </c>
      <c r="AE82" s="2" t="str">
        <f t="shared" si="19"/>
        <v>(11 downto 8)</v>
      </c>
      <c r="AF82" s="2" t="str">
        <f t="shared" si="20"/>
        <v>(7 downto 0)</v>
      </c>
      <c r="AG82" s="2" t="str">
        <f t="shared" si="21"/>
        <v/>
      </c>
      <c r="AH82" s="2" t="str">
        <f t="shared" si="22"/>
        <v/>
      </c>
    </row>
    <row r="83" spans="2:34" x14ac:dyDescent="0.25">
      <c r="B83" s="2" t="s">
        <v>328</v>
      </c>
      <c r="D83" s="2" t="s">
        <v>1</v>
      </c>
      <c r="E83" s="2" t="s">
        <v>134</v>
      </c>
      <c r="F83" s="2" t="s">
        <v>406</v>
      </c>
      <c r="G83" s="2" t="s">
        <v>407</v>
      </c>
      <c r="H83" s="2" t="s">
        <v>408</v>
      </c>
      <c r="I83" s="2" t="s">
        <v>42</v>
      </c>
      <c r="J83" s="2">
        <v>12</v>
      </c>
      <c r="K83" s="2" t="s">
        <v>137</v>
      </c>
      <c r="L83" s="2" t="s">
        <v>41</v>
      </c>
      <c r="M83" s="2" t="s">
        <v>135</v>
      </c>
      <c r="N83" s="2" t="s">
        <v>331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228</v>
      </c>
      <c r="T83" s="2" t="str">
        <f t="shared" si="23"/>
        <v>00E4</v>
      </c>
      <c r="U83" s="2">
        <f t="shared" si="24"/>
        <v>57</v>
      </c>
      <c r="V83" s="2" t="str">
        <f t="shared" si="25"/>
        <v>039</v>
      </c>
      <c r="W83" s="2" t="str">
        <f t="shared" si="26"/>
        <v/>
      </c>
      <c r="X83" s="2" t="str">
        <f t="shared" ref="X83:X146" si="27">IF(MOD($S83,4)=2,"X",IF(AND(MOD($S83,4)=1,$J83&gt;8),"X",IF(AND(MOD($S83,4)=0,$J83&gt;16),"X","")))</f>
        <v/>
      </c>
      <c r="Y83" s="2" t="str">
        <f t="shared" ref="Y83:Y146" si="28">IF(MOD($S83,4)=1,"X",IF(AND(MOD($S83,4)=0,$J83&gt;8),"X",""))</f>
        <v>X</v>
      </c>
      <c r="Z83" s="2" t="str">
        <f t="shared" ref="Z83:Z146" si="29">IF(MOD($S83,4)=0,"X","")</f>
        <v>X</v>
      </c>
      <c r="AA83" s="2" t="str">
        <f t="shared" si="15"/>
        <v/>
      </c>
      <c r="AB83" s="2" t="str">
        <f t="shared" si="16"/>
        <v/>
      </c>
      <c r="AC83" s="2" t="str">
        <f t="shared" si="17"/>
        <v>(11 downto 8)</v>
      </c>
      <c r="AD83" s="2" t="str">
        <f t="shared" si="18"/>
        <v>(7 downto 0)</v>
      </c>
      <c r="AE83" s="2" t="str">
        <f t="shared" si="19"/>
        <v/>
      </c>
      <c r="AF83" s="2" t="str">
        <f t="shared" si="20"/>
        <v/>
      </c>
      <c r="AG83" s="2" t="str">
        <f t="shared" si="21"/>
        <v>(11 downto 8)</v>
      </c>
      <c r="AH83" s="2" t="str">
        <f t="shared" si="22"/>
        <v>(7 downto 0)</v>
      </c>
    </row>
    <row r="84" spans="2:34" x14ac:dyDescent="0.25">
      <c r="B84" s="2" t="s">
        <v>328</v>
      </c>
      <c r="D84" s="2" t="s">
        <v>1</v>
      </c>
      <c r="E84" s="2" t="s">
        <v>134</v>
      </c>
      <c r="F84" s="2" t="s">
        <v>406</v>
      </c>
      <c r="G84" s="2" t="s">
        <v>407</v>
      </c>
      <c r="H84" s="2" t="s">
        <v>410</v>
      </c>
      <c r="I84" s="2" t="s">
        <v>42</v>
      </c>
      <c r="J84" s="2">
        <v>12</v>
      </c>
      <c r="K84" s="2" t="s">
        <v>137</v>
      </c>
      <c r="L84" s="2" t="s">
        <v>41</v>
      </c>
      <c r="M84" s="2" t="s">
        <v>135</v>
      </c>
      <c r="N84" s="2" t="s">
        <v>331</v>
      </c>
      <c r="O84" s="2" t="s">
        <v>411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230</v>
      </c>
      <c r="T84" s="2" t="str">
        <f t="shared" si="23"/>
        <v>00E6</v>
      </c>
      <c r="U84" s="2">
        <f t="shared" si="24"/>
        <v>57</v>
      </c>
      <c r="V84" s="2" t="str">
        <f t="shared" si="25"/>
        <v>039</v>
      </c>
      <c r="W84" s="2" t="str">
        <f t="shared" si="26"/>
        <v>X</v>
      </c>
      <c r="X84" s="2" t="str">
        <f t="shared" si="27"/>
        <v>X</v>
      </c>
      <c r="Y84" s="2" t="str">
        <f t="shared" si="28"/>
        <v/>
      </c>
      <c r="Z84" s="2" t="str">
        <f t="shared" si="29"/>
        <v/>
      </c>
      <c r="AA84" s="2" t="str">
        <f t="shared" si="15"/>
        <v>(27 downto 24)</v>
      </c>
      <c r="AB84" s="2" t="str">
        <f t="shared" si="16"/>
        <v>(23 downto 16)</v>
      </c>
      <c r="AC84" s="2" t="str">
        <f t="shared" si="17"/>
        <v/>
      </c>
      <c r="AD84" s="2" t="str">
        <f t="shared" si="18"/>
        <v/>
      </c>
      <c r="AE84" s="2" t="str">
        <f t="shared" si="19"/>
        <v>(11 downto 8)</v>
      </c>
      <c r="AF84" s="2" t="str">
        <f t="shared" si="20"/>
        <v>(7 downto 0)</v>
      </c>
      <c r="AG84" s="2" t="str">
        <f t="shared" si="21"/>
        <v/>
      </c>
      <c r="AH84" s="2" t="str">
        <f t="shared" si="22"/>
        <v/>
      </c>
    </row>
    <row r="85" spans="2:34" x14ac:dyDescent="0.25">
      <c r="B85" s="2" t="s">
        <v>328</v>
      </c>
      <c r="D85" s="2" t="s">
        <v>1</v>
      </c>
      <c r="E85" s="2" t="s">
        <v>134</v>
      </c>
      <c r="F85" s="2" t="s">
        <v>412</v>
      </c>
      <c r="G85" s="2" t="s">
        <v>413</v>
      </c>
      <c r="H85" s="2" t="s">
        <v>414</v>
      </c>
      <c r="I85" s="2" t="s">
        <v>42</v>
      </c>
      <c r="J85" s="2">
        <v>12</v>
      </c>
      <c r="K85" s="2" t="s">
        <v>137</v>
      </c>
      <c r="L85" s="2" t="s">
        <v>41</v>
      </c>
      <c r="M85" s="2" t="s">
        <v>135</v>
      </c>
      <c r="N85" s="2" t="s">
        <v>331</v>
      </c>
      <c r="O85" s="2" t="s">
        <v>415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232</v>
      </c>
      <c r="T85" s="2" t="str">
        <f t="shared" si="23"/>
        <v>00E8</v>
      </c>
      <c r="U85" s="2">
        <f t="shared" si="24"/>
        <v>58</v>
      </c>
      <c r="V85" s="2" t="str">
        <f t="shared" si="25"/>
        <v>03A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5"/>
        <v/>
      </c>
      <c r="AB85" s="2" t="str">
        <f t="shared" si="16"/>
        <v/>
      </c>
      <c r="AC85" s="2" t="str">
        <f t="shared" si="17"/>
        <v>(11 downto 8)</v>
      </c>
      <c r="AD85" s="2" t="str">
        <f t="shared" si="18"/>
        <v>(7 downto 0)</v>
      </c>
      <c r="AE85" s="2" t="str">
        <f t="shared" si="19"/>
        <v/>
      </c>
      <c r="AF85" s="2" t="str">
        <f t="shared" si="20"/>
        <v/>
      </c>
      <c r="AG85" s="2" t="str">
        <f t="shared" si="21"/>
        <v>(11 downto 8)</v>
      </c>
      <c r="AH85" s="2" t="str">
        <f t="shared" si="22"/>
        <v>(7 downto 0)</v>
      </c>
    </row>
    <row r="86" spans="2:34" x14ac:dyDescent="0.25">
      <c r="B86" s="2" t="s">
        <v>416</v>
      </c>
      <c r="D86" s="2" t="s">
        <v>1</v>
      </c>
      <c r="E86" s="2" t="s">
        <v>134</v>
      </c>
      <c r="F86" s="2" t="s">
        <v>417</v>
      </c>
      <c r="G86" s="2" t="s">
        <v>418</v>
      </c>
      <c r="H86" s="2" t="s">
        <v>419</v>
      </c>
      <c r="I86" s="2" t="s">
        <v>42</v>
      </c>
      <c r="J86" s="2">
        <v>5</v>
      </c>
      <c r="K86" s="2" t="s">
        <v>137</v>
      </c>
      <c r="L86" s="2" t="s">
        <v>41</v>
      </c>
      <c r="M86" s="2" t="s">
        <v>135</v>
      </c>
      <c r="N86" s="2" t="s">
        <v>420</v>
      </c>
      <c r="O86" s="2" t="s">
        <v>421</v>
      </c>
      <c r="P86" s="2" t="s">
        <v>48</v>
      </c>
      <c r="Q86" s="2">
        <f>INDEX(Tables!$C$4:$C$28,MATCH($P86,Tables!$B$4:$B$28,0))</f>
        <v>8</v>
      </c>
      <c r="R86" s="2">
        <f>INDEX(Tables!$D$4:$D$28,MATCH($P86,Tables!$B$4:$B$28,0))</f>
        <v>1</v>
      </c>
      <c r="S86" s="2">
        <f>$S85+$R85+INDEX(Tables!$N$5:$Q$8,MATCH(MOD($S85+$R85,4),Tables!$M$5:$M$8,0),MATCH($R86,Tables!$N$4:$Q$4,0))</f>
        <v>234</v>
      </c>
      <c r="T86" s="2" t="str">
        <f t="shared" si="23"/>
        <v>00EA</v>
      </c>
      <c r="U86" s="2">
        <f t="shared" si="24"/>
        <v>58</v>
      </c>
      <c r="V86" s="2" t="str">
        <f t="shared" si="25"/>
        <v>03A</v>
      </c>
      <c r="W86" s="2" t="str">
        <f t="shared" si="26"/>
        <v/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5"/>
        <v/>
      </c>
      <c r="AB86" s="2" t="str">
        <f t="shared" si="16"/>
        <v>(20 downto 16)</v>
      </c>
      <c r="AC86" s="2" t="str">
        <f t="shared" si="17"/>
        <v/>
      </c>
      <c r="AD86" s="2" t="str">
        <f t="shared" si="18"/>
        <v/>
      </c>
      <c r="AE86" s="2" t="str">
        <f t="shared" si="19"/>
        <v/>
      </c>
      <c r="AF86" s="2" t="str">
        <f t="shared" si="20"/>
        <v/>
      </c>
      <c r="AG86" s="2" t="str">
        <f t="shared" si="21"/>
        <v/>
      </c>
      <c r="AH86" s="2" t="str">
        <f t="shared" si="22"/>
        <v/>
      </c>
    </row>
    <row r="87" spans="2:34" x14ac:dyDescent="0.25">
      <c r="B87" s="2" t="s">
        <v>416</v>
      </c>
      <c r="D87" s="2" t="s">
        <v>1</v>
      </c>
      <c r="E87" s="2" t="s">
        <v>134</v>
      </c>
      <c r="F87" s="2" t="s">
        <v>417</v>
      </c>
      <c r="G87" s="2" t="s">
        <v>418</v>
      </c>
      <c r="H87" s="2" t="s">
        <v>422</v>
      </c>
      <c r="I87" s="2" t="s">
        <v>42</v>
      </c>
      <c r="J87" s="2">
        <v>1</v>
      </c>
      <c r="K87" s="2" t="s">
        <v>82</v>
      </c>
      <c r="L87" s="2" t="s">
        <v>41</v>
      </c>
      <c r="M87" s="2" t="s">
        <v>135</v>
      </c>
      <c r="N87" s="2" t="s">
        <v>420</v>
      </c>
      <c r="O87" s="2" t="s">
        <v>423</v>
      </c>
      <c r="P87" s="2" t="s">
        <v>5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236</v>
      </c>
      <c r="T87" s="2" t="str">
        <f t="shared" si="23"/>
        <v>00EC</v>
      </c>
      <c r="U87" s="2">
        <f t="shared" si="24"/>
        <v>59</v>
      </c>
      <c r="V87" s="2" t="str">
        <f t="shared" si="25"/>
        <v>03B</v>
      </c>
      <c r="W87" s="2" t="str">
        <f t="shared" si="26"/>
        <v/>
      </c>
      <c r="X87" s="2" t="str">
        <f t="shared" si="27"/>
        <v/>
      </c>
      <c r="Y87" s="2" t="str">
        <f t="shared" si="28"/>
        <v/>
      </c>
      <c r="Z87" s="2" t="str">
        <f t="shared" si="29"/>
        <v>X</v>
      </c>
      <c r="AA87" s="2" t="str">
        <f t="shared" si="15"/>
        <v/>
      </c>
      <c r="AB87" s="2" t="str">
        <f t="shared" si="16"/>
        <v/>
      </c>
      <c r="AC87" s="2" t="str">
        <f t="shared" si="17"/>
        <v/>
      </c>
      <c r="AD87" s="2" t="str">
        <f t="shared" si="18"/>
        <v>(0)</v>
      </c>
      <c r="AE87" s="2" t="str">
        <f t="shared" si="19"/>
        <v/>
      </c>
      <c r="AF87" s="2" t="str">
        <f t="shared" si="20"/>
        <v/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416</v>
      </c>
      <c r="D88" s="2" t="s">
        <v>1</v>
      </c>
      <c r="E88" s="2" t="s">
        <v>134</v>
      </c>
      <c r="F88" s="2" t="s">
        <v>417</v>
      </c>
      <c r="G88" s="2" t="s">
        <v>418</v>
      </c>
      <c r="H88" s="2" t="s">
        <v>424</v>
      </c>
      <c r="I88" s="2" t="s">
        <v>42</v>
      </c>
      <c r="J88" s="2">
        <v>1</v>
      </c>
      <c r="K88" s="2" t="s">
        <v>82</v>
      </c>
      <c r="L88" s="2" t="s">
        <v>41</v>
      </c>
      <c r="M88" s="2" t="s">
        <v>135</v>
      </c>
      <c r="N88" s="2" t="s">
        <v>420</v>
      </c>
      <c r="O88" s="2" t="s">
        <v>425</v>
      </c>
      <c r="P88" s="2" t="s">
        <v>5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240</v>
      </c>
      <c r="T88" s="2" t="str">
        <f t="shared" si="23"/>
        <v>00F0</v>
      </c>
      <c r="U88" s="2">
        <f t="shared" si="24"/>
        <v>60</v>
      </c>
      <c r="V88" s="2" t="str">
        <f t="shared" si="25"/>
        <v>03C</v>
      </c>
      <c r="W88" s="2" t="str">
        <f t="shared" si="26"/>
        <v/>
      </c>
      <c r="X88" s="2" t="str">
        <f t="shared" si="27"/>
        <v/>
      </c>
      <c r="Y88" s="2" t="str">
        <f t="shared" si="28"/>
        <v/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/>
      </c>
      <c r="AD88" s="2" t="str">
        <f t="shared" si="18"/>
        <v>(0)</v>
      </c>
      <c r="AE88" s="2" t="str">
        <f t="shared" si="19"/>
        <v/>
      </c>
      <c r="AF88" s="2" t="str">
        <f t="shared" si="20"/>
        <v/>
      </c>
      <c r="AG88" s="2" t="str">
        <f t="shared" si="21"/>
        <v/>
      </c>
      <c r="AH88" s="2" t="str">
        <f t="shared" si="22"/>
        <v/>
      </c>
    </row>
    <row r="89" spans="2:34" x14ac:dyDescent="0.25">
      <c r="B89" s="2" t="s">
        <v>416</v>
      </c>
      <c r="D89" s="2" t="s">
        <v>1</v>
      </c>
      <c r="E89" s="2" t="s">
        <v>134</v>
      </c>
      <c r="F89" s="2" t="s">
        <v>417</v>
      </c>
      <c r="G89" s="2" t="s">
        <v>418</v>
      </c>
      <c r="H89" s="2" t="s">
        <v>426</v>
      </c>
      <c r="I89" s="2" t="s">
        <v>42</v>
      </c>
      <c r="J89" s="2">
        <v>1</v>
      </c>
      <c r="K89" s="2" t="s">
        <v>82</v>
      </c>
      <c r="L89" s="2" t="s">
        <v>41</v>
      </c>
      <c r="M89" s="2" t="s">
        <v>135</v>
      </c>
      <c r="N89" s="2" t="s">
        <v>420</v>
      </c>
      <c r="O89" s="2" t="s">
        <v>427</v>
      </c>
      <c r="P89" s="2" t="s">
        <v>5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244</v>
      </c>
      <c r="T89" s="2" t="str">
        <f t="shared" si="23"/>
        <v>00F4</v>
      </c>
      <c r="U89" s="2">
        <f t="shared" si="24"/>
        <v>61</v>
      </c>
      <c r="V89" s="2" t="str">
        <f t="shared" si="25"/>
        <v>03D</v>
      </c>
      <c r="W89" s="2" t="str">
        <f t="shared" si="26"/>
        <v/>
      </c>
      <c r="X89" s="2" t="str">
        <f t="shared" si="27"/>
        <v/>
      </c>
      <c r="Y89" s="2" t="str">
        <f t="shared" si="28"/>
        <v/>
      </c>
      <c r="Z89" s="2" t="str">
        <f t="shared" si="29"/>
        <v>X</v>
      </c>
      <c r="AA89" s="2" t="str">
        <f t="shared" si="15"/>
        <v/>
      </c>
      <c r="AB89" s="2" t="str">
        <f t="shared" si="16"/>
        <v/>
      </c>
      <c r="AC89" s="2" t="str">
        <f t="shared" si="17"/>
        <v/>
      </c>
      <c r="AD89" s="2" t="str">
        <f t="shared" si="18"/>
        <v>(0)</v>
      </c>
      <c r="AE89" s="2" t="str">
        <f t="shared" si="19"/>
        <v/>
      </c>
      <c r="AF89" s="2" t="str">
        <f t="shared" si="20"/>
        <v/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416</v>
      </c>
      <c r="D90" s="2" t="s">
        <v>1</v>
      </c>
      <c r="E90" s="2" t="s">
        <v>134</v>
      </c>
      <c r="F90" s="2" t="s">
        <v>417</v>
      </c>
      <c r="G90" s="2" t="s">
        <v>418</v>
      </c>
      <c r="H90" s="2" t="s">
        <v>428</v>
      </c>
      <c r="I90" s="2" t="s">
        <v>42</v>
      </c>
      <c r="J90" s="2">
        <v>1</v>
      </c>
      <c r="K90" s="2" t="s">
        <v>82</v>
      </c>
      <c r="L90" s="2" t="s">
        <v>41</v>
      </c>
      <c r="M90" s="2" t="s">
        <v>135</v>
      </c>
      <c r="N90" s="2" t="s">
        <v>420</v>
      </c>
      <c r="O90" s="2" t="s">
        <v>429</v>
      </c>
      <c r="P90" s="2" t="s">
        <v>5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248</v>
      </c>
      <c r="T90" s="2" t="str">
        <f t="shared" si="23"/>
        <v>00F8</v>
      </c>
      <c r="U90" s="2">
        <f t="shared" si="24"/>
        <v>62</v>
      </c>
      <c r="V90" s="2" t="str">
        <f t="shared" si="25"/>
        <v>03E</v>
      </c>
      <c r="W90" s="2" t="str">
        <f t="shared" si="26"/>
        <v/>
      </c>
      <c r="X90" s="2" t="str">
        <f t="shared" si="27"/>
        <v/>
      </c>
      <c r="Y90" s="2" t="str">
        <f t="shared" si="28"/>
        <v/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/>
      </c>
      <c r="AD90" s="2" t="str">
        <f t="shared" si="18"/>
        <v>(0)</v>
      </c>
      <c r="AE90" s="2" t="str">
        <f t="shared" si="19"/>
        <v/>
      </c>
      <c r="AF90" s="2" t="str">
        <f t="shared" si="20"/>
        <v/>
      </c>
      <c r="AG90" s="2" t="str">
        <f t="shared" si="21"/>
        <v/>
      </c>
      <c r="AH90" s="2" t="str">
        <f t="shared" si="22"/>
        <v/>
      </c>
    </row>
    <row r="91" spans="2:34" x14ac:dyDescent="0.25">
      <c r="B91" s="2" t="s">
        <v>416</v>
      </c>
      <c r="D91" s="2" t="s">
        <v>1</v>
      </c>
      <c r="E91" s="2" t="s">
        <v>134</v>
      </c>
      <c r="F91" s="2" t="s">
        <v>417</v>
      </c>
      <c r="G91" s="2" t="s">
        <v>418</v>
      </c>
      <c r="H91" s="2" t="s">
        <v>430</v>
      </c>
      <c r="I91" s="2" t="s">
        <v>42</v>
      </c>
      <c r="J91" s="2">
        <v>1</v>
      </c>
      <c r="K91" s="2" t="s">
        <v>82</v>
      </c>
      <c r="L91" s="2" t="s">
        <v>41</v>
      </c>
      <c r="M91" s="2" t="s">
        <v>135</v>
      </c>
      <c r="N91" s="2" t="s">
        <v>420</v>
      </c>
      <c r="O91" s="2" t="s">
        <v>431</v>
      </c>
      <c r="P91" s="2" t="s">
        <v>5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252</v>
      </c>
      <c r="T91" s="2" t="str">
        <f t="shared" si="23"/>
        <v>00FC</v>
      </c>
      <c r="U91" s="2">
        <f t="shared" si="24"/>
        <v>63</v>
      </c>
      <c r="V91" s="2" t="str">
        <f t="shared" si="25"/>
        <v>03F</v>
      </c>
      <c r="W91" s="2" t="str">
        <f t="shared" si="26"/>
        <v/>
      </c>
      <c r="X91" s="2" t="str">
        <f t="shared" si="27"/>
        <v/>
      </c>
      <c r="Y91" s="2" t="str">
        <f t="shared" si="28"/>
        <v/>
      </c>
      <c r="Z91" s="2" t="str">
        <f t="shared" si="29"/>
        <v>X</v>
      </c>
      <c r="AA91" s="2" t="str">
        <f t="shared" si="15"/>
        <v/>
      </c>
      <c r="AB91" s="2" t="str">
        <f t="shared" si="16"/>
        <v/>
      </c>
      <c r="AC91" s="2" t="str">
        <f t="shared" si="17"/>
        <v/>
      </c>
      <c r="AD91" s="2" t="str">
        <f t="shared" si="18"/>
        <v>(0)</v>
      </c>
      <c r="AE91" s="2" t="str">
        <f t="shared" si="19"/>
        <v/>
      </c>
      <c r="AF91" s="2" t="str">
        <f t="shared" si="20"/>
        <v/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416</v>
      </c>
      <c r="D92" s="2" t="s">
        <v>1</v>
      </c>
      <c r="E92" s="2" t="s">
        <v>134</v>
      </c>
      <c r="F92" s="2" t="s">
        <v>417</v>
      </c>
      <c r="G92" s="2" t="s">
        <v>418</v>
      </c>
      <c r="H92" s="2" t="s">
        <v>432</v>
      </c>
      <c r="I92" s="2" t="s">
        <v>42</v>
      </c>
      <c r="J92" s="2">
        <v>1</v>
      </c>
      <c r="K92" s="2" t="s">
        <v>82</v>
      </c>
      <c r="L92" s="2" t="s">
        <v>41</v>
      </c>
      <c r="M92" s="2" t="s">
        <v>135</v>
      </c>
      <c r="N92" s="2" t="s">
        <v>420</v>
      </c>
      <c r="O92" s="2" t="s">
        <v>433</v>
      </c>
      <c r="P92" s="2" t="s">
        <v>5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256</v>
      </c>
      <c r="T92" s="2" t="str">
        <f t="shared" si="23"/>
        <v>0100</v>
      </c>
      <c r="U92" s="2">
        <f t="shared" si="24"/>
        <v>64</v>
      </c>
      <c r="V92" s="2" t="str">
        <f t="shared" si="25"/>
        <v>040</v>
      </c>
      <c r="W92" s="2" t="str">
        <f t="shared" si="26"/>
        <v/>
      </c>
      <c r="X92" s="2" t="str">
        <f t="shared" si="27"/>
        <v/>
      </c>
      <c r="Y92" s="2" t="str">
        <f t="shared" si="28"/>
        <v/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/>
      </c>
      <c r="AD92" s="2" t="str">
        <f t="shared" si="18"/>
        <v>(0)</v>
      </c>
      <c r="AE92" s="2" t="str">
        <f t="shared" si="19"/>
        <v/>
      </c>
      <c r="AF92" s="2" t="str">
        <f t="shared" si="20"/>
        <v/>
      </c>
      <c r="AG92" s="2" t="str">
        <f t="shared" si="21"/>
        <v/>
      </c>
      <c r="AH92" s="2" t="str">
        <f t="shared" si="22"/>
        <v/>
      </c>
    </row>
    <row r="93" spans="2:34" x14ac:dyDescent="0.25">
      <c r="B93" s="2" t="s">
        <v>416</v>
      </c>
      <c r="D93" s="2" t="s">
        <v>1</v>
      </c>
      <c r="E93" s="2" t="s">
        <v>134</v>
      </c>
      <c r="F93" s="2" t="s">
        <v>434</v>
      </c>
      <c r="G93" s="2" t="s">
        <v>435</v>
      </c>
      <c r="H93" s="2" t="s">
        <v>436</v>
      </c>
      <c r="I93" s="2" t="s">
        <v>42</v>
      </c>
      <c r="J93" s="2">
        <v>1</v>
      </c>
      <c r="K93" s="2" t="s">
        <v>82</v>
      </c>
      <c r="L93" s="2" t="s">
        <v>41</v>
      </c>
      <c r="M93" s="2" t="s">
        <v>135</v>
      </c>
      <c r="N93" s="2" t="s">
        <v>420</v>
      </c>
      <c r="O93" s="2" t="s">
        <v>437</v>
      </c>
      <c r="P93" s="2" t="s">
        <v>5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260</v>
      </c>
      <c r="T93" s="2" t="str">
        <f t="shared" si="23"/>
        <v>0104</v>
      </c>
      <c r="U93" s="2">
        <f t="shared" si="24"/>
        <v>65</v>
      </c>
      <c r="V93" s="2" t="str">
        <f t="shared" si="25"/>
        <v>041</v>
      </c>
      <c r="W93" s="2" t="str">
        <f t="shared" si="26"/>
        <v/>
      </c>
      <c r="X93" s="2" t="str">
        <f t="shared" si="27"/>
        <v/>
      </c>
      <c r="Y93" s="2" t="str">
        <f t="shared" si="28"/>
        <v/>
      </c>
      <c r="Z93" s="2" t="str">
        <f t="shared" si="29"/>
        <v>X</v>
      </c>
      <c r="AA93" s="2" t="str">
        <f t="shared" si="15"/>
        <v/>
      </c>
      <c r="AB93" s="2" t="str">
        <f t="shared" si="16"/>
        <v/>
      </c>
      <c r="AC93" s="2" t="str">
        <f t="shared" si="17"/>
        <v/>
      </c>
      <c r="AD93" s="2" t="str">
        <f t="shared" si="18"/>
        <v>(0)</v>
      </c>
      <c r="AE93" s="2" t="str">
        <f t="shared" si="19"/>
        <v/>
      </c>
      <c r="AF93" s="2" t="str">
        <f t="shared" si="20"/>
        <v/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416</v>
      </c>
      <c r="D94" s="2" t="s">
        <v>1</v>
      </c>
      <c r="E94" s="2" t="s">
        <v>134</v>
      </c>
      <c r="F94" s="2" t="s">
        <v>434</v>
      </c>
      <c r="G94" s="2" t="s">
        <v>435</v>
      </c>
      <c r="H94" s="2" t="s">
        <v>438</v>
      </c>
      <c r="I94" s="2" t="s">
        <v>42</v>
      </c>
      <c r="J94" s="2">
        <v>1</v>
      </c>
      <c r="K94" s="2" t="s">
        <v>82</v>
      </c>
      <c r="L94" s="2" t="s">
        <v>41</v>
      </c>
      <c r="M94" s="2" t="s">
        <v>135</v>
      </c>
      <c r="N94" s="2" t="s">
        <v>420</v>
      </c>
      <c r="O94" s="2" t="s">
        <v>439</v>
      </c>
      <c r="P94" s="2" t="s">
        <v>5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264</v>
      </c>
      <c r="T94" s="2" t="str">
        <f t="shared" si="23"/>
        <v>0108</v>
      </c>
      <c r="U94" s="2">
        <f t="shared" si="24"/>
        <v>66</v>
      </c>
      <c r="V94" s="2" t="str">
        <f t="shared" si="25"/>
        <v>042</v>
      </c>
      <c r="W94" s="2" t="str">
        <f t="shared" si="26"/>
        <v/>
      </c>
      <c r="X94" s="2" t="str">
        <f t="shared" si="27"/>
        <v/>
      </c>
      <c r="Y94" s="2" t="str">
        <f t="shared" si="28"/>
        <v/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/>
      </c>
      <c r="AD94" s="2" t="str">
        <f t="shared" si="18"/>
        <v>(0)</v>
      </c>
      <c r="AE94" s="2" t="str">
        <f t="shared" si="19"/>
        <v/>
      </c>
      <c r="AF94" s="2" t="str">
        <f t="shared" si="20"/>
        <v/>
      </c>
      <c r="AG94" s="2" t="str">
        <f t="shared" si="21"/>
        <v/>
      </c>
      <c r="AH94" s="2" t="str">
        <f t="shared" si="22"/>
        <v/>
      </c>
    </row>
    <row r="95" spans="2:34" x14ac:dyDescent="0.25">
      <c r="B95" s="2" t="s">
        <v>416</v>
      </c>
      <c r="D95" s="2" t="s">
        <v>1</v>
      </c>
      <c r="E95" s="2" t="s">
        <v>134</v>
      </c>
      <c r="F95" s="2" t="s">
        <v>434</v>
      </c>
      <c r="G95" s="2" t="s">
        <v>435</v>
      </c>
      <c r="H95" s="2" t="s">
        <v>440</v>
      </c>
      <c r="I95" s="2" t="s">
        <v>42</v>
      </c>
      <c r="J95" s="2">
        <v>1</v>
      </c>
      <c r="K95" s="2" t="s">
        <v>82</v>
      </c>
      <c r="L95" s="2" t="s">
        <v>41</v>
      </c>
      <c r="M95" s="2" t="s">
        <v>135</v>
      </c>
      <c r="N95" s="2" t="s">
        <v>420</v>
      </c>
      <c r="O95" s="2" t="s">
        <v>441</v>
      </c>
      <c r="P95" s="2" t="s">
        <v>5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268</v>
      </c>
      <c r="T95" s="2" t="str">
        <f t="shared" si="23"/>
        <v>010C</v>
      </c>
      <c r="U95" s="2">
        <f t="shared" si="24"/>
        <v>67</v>
      </c>
      <c r="V95" s="2" t="str">
        <f t="shared" si="25"/>
        <v>043</v>
      </c>
      <c r="W95" s="2" t="str">
        <f t="shared" si="26"/>
        <v/>
      </c>
      <c r="X95" s="2" t="str">
        <f t="shared" si="27"/>
        <v/>
      </c>
      <c r="Y95" s="2" t="str">
        <f t="shared" si="28"/>
        <v/>
      </c>
      <c r="Z95" s="2" t="str">
        <f t="shared" si="29"/>
        <v>X</v>
      </c>
      <c r="AA95" s="2" t="str">
        <f t="shared" si="15"/>
        <v/>
      </c>
      <c r="AB95" s="2" t="str">
        <f t="shared" si="16"/>
        <v/>
      </c>
      <c r="AC95" s="2" t="str">
        <f t="shared" si="17"/>
        <v/>
      </c>
      <c r="AD95" s="2" t="str">
        <f t="shared" si="18"/>
        <v>(0)</v>
      </c>
      <c r="AE95" s="2" t="str">
        <f t="shared" si="19"/>
        <v/>
      </c>
      <c r="AF95" s="2" t="str">
        <f t="shared" si="20"/>
        <v/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416</v>
      </c>
      <c r="D96" s="2" t="s">
        <v>1</v>
      </c>
      <c r="E96" s="2" t="s">
        <v>134</v>
      </c>
      <c r="F96" s="2" t="s">
        <v>434</v>
      </c>
      <c r="G96" s="2" t="s">
        <v>435</v>
      </c>
      <c r="H96" s="2" t="s">
        <v>442</v>
      </c>
      <c r="I96" s="2" t="s">
        <v>42</v>
      </c>
      <c r="J96" s="2">
        <v>1</v>
      </c>
      <c r="K96" s="2" t="s">
        <v>82</v>
      </c>
      <c r="L96" s="2" t="s">
        <v>41</v>
      </c>
      <c r="M96" s="2" t="s">
        <v>135</v>
      </c>
      <c r="N96" s="2" t="s">
        <v>420</v>
      </c>
      <c r="O96" s="2" t="s">
        <v>443</v>
      </c>
      <c r="P96" s="2" t="s">
        <v>5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272</v>
      </c>
      <c r="T96" s="2" t="str">
        <f t="shared" si="23"/>
        <v>0110</v>
      </c>
      <c r="U96" s="2">
        <f t="shared" si="24"/>
        <v>68</v>
      </c>
      <c r="V96" s="2" t="str">
        <f t="shared" si="25"/>
        <v>044</v>
      </c>
      <c r="W96" s="2" t="str">
        <f t="shared" si="26"/>
        <v/>
      </c>
      <c r="X96" s="2" t="str">
        <f t="shared" si="27"/>
        <v/>
      </c>
      <c r="Y96" s="2" t="str">
        <f t="shared" si="28"/>
        <v/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/>
      </c>
      <c r="AD96" s="2" t="str">
        <f t="shared" si="18"/>
        <v>(0)</v>
      </c>
      <c r="AE96" s="2" t="str">
        <f t="shared" si="19"/>
        <v/>
      </c>
      <c r="AF96" s="2" t="str">
        <f t="shared" si="20"/>
        <v/>
      </c>
      <c r="AG96" s="2" t="str">
        <f t="shared" si="21"/>
        <v/>
      </c>
      <c r="AH96" s="2" t="str">
        <f t="shared" si="22"/>
        <v/>
      </c>
    </row>
    <row r="97" spans="1:38" x14ac:dyDescent="0.25">
      <c r="B97" s="2" t="s">
        <v>416</v>
      </c>
      <c r="D97" s="2" t="s">
        <v>1</v>
      </c>
      <c r="E97" s="2" t="s">
        <v>134</v>
      </c>
      <c r="F97" s="2" t="s">
        <v>434</v>
      </c>
      <c r="G97" s="2" t="s">
        <v>435</v>
      </c>
      <c r="H97" s="2" t="s">
        <v>444</v>
      </c>
      <c r="I97" s="2" t="s">
        <v>42</v>
      </c>
      <c r="J97" s="2">
        <v>1</v>
      </c>
      <c r="K97" s="2" t="s">
        <v>82</v>
      </c>
      <c r="L97" s="2" t="s">
        <v>41</v>
      </c>
      <c r="M97" s="2" t="s">
        <v>135</v>
      </c>
      <c r="N97" s="2" t="s">
        <v>420</v>
      </c>
      <c r="O97" s="2" t="s">
        <v>445</v>
      </c>
      <c r="P97" s="2" t="s">
        <v>5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276</v>
      </c>
      <c r="T97" s="2" t="str">
        <f t="shared" si="23"/>
        <v>0114</v>
      </c>
      <c r="U97" s="2">
        <f t="shared" si="24"/>
        <v>69</v>
      </c>
      <c r="V97" s="2" t="str">
        <f t="shared" si="25"/>
        <v>045</v>
      </c>
      <c r="W97" s="2" t="str">
        <f t="shared" si="26"/>
        <v/>
      </c>
      <c r="X97" s="2" t="str">
        <f t="shared" si="27"/>
        <v/>
      </c>
      <c r="Y97" s="2" t="str">
        <f t="shared" si="28"/>
        <v/>
      </c>
      <c r="Z97" s="2" t="str">
        <f t="shared" si="29"/>
        <v>X</v>
      </c>
      <c r="AA97" s="2" t="str">
        <f t="shared" si="15"/>
        <v/>
      </c>
      <c r="AB97" s="2" t="str">
        <f t="shared" si="16"/>
        <v/>
      </c>
      <c r="AC97" s="2" t="str">
        <f t="shared" si="17"/>
        <v/>
      </c>
      <c r="AD97" s="2" t="str">
        <f t="shared" si="18"/>
        <v>(0)</v>
      </c>
      <c r="AE97" s="2" t="str">
        <f t="shared" si="19"/>
        <v/>
      </c>
      <c r="AF97" s="2" t="str">
        <f t="shared" si="20"/>
        <v/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416</v>
      </c>
      <c r="D98" s="2" t="s">
        <v>1</v>
      </c>
      <c r="E98" s="2" t="s">
        <v>134</v>
      </c>
      <c r="F98" s="2" t="s">
        <v>446</v>
      </c>
      <c r="G98" s="2" t="s">
        <v>447</v>
      </c>
      <c r="H98" s="2" t="s">
        <v>448</v>
      </c>
      <c r="I98" s="2" t="s">
        <v>42</v>
      </c>
      <c r="J98" s="2">
        <v>32</v>
      </c>
      <c r="K98" s="2" t="s">
        <v>137</v>
      </c>
      <c r="L98" s="2" t="s">
        <v>41</v>
      </c>
      <c r="M98" s="2" t="s">
        <v>135</v>
      </c>
      <c r="N98" s="2" t="s">
        <v>420</v>
      </c>
      <c r="O98" s="2" t="s">
        <v>449</v>
      </c>
      <c r="P98" s="2" t="s">
        <v>49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280</v>
      </c>
      <c r="T98" s="2" t="str">
        <f t="shared" si="23"/>
        <v>0118</v>
      </c>
      <c r="U98" s="2">
        <f t="shared" si="24"/>
        <v>70</v>
      </c>
      <c r="V98" s="2" t="str">
        <f t="shared" si="25"/>
        <v>046</v>
      </c>
      <c r="W98" s="2" t="str">
        <f t="shared" si="26"/>
        <v>X</v>
      </c>
      <c r="X98" s="2" t="str">
        <f t="shared" si="27"/>
        <v>X</v>
      </c>
      <c r="Y98" s="2" t="str">
        <f t="shared" si="28"/>
        <v>X</v>
      </c>
      <c r="Z98" s="2" t="str">
        <f t="shared" si="29"/>
        <v>X</v>
      </c>
      <c r="AA98" s="2" t="str">
        <f t="shared" si="15"/>
        <v>(31 downto 24)</v>
      </c>
      <c r="AB98" s="2" t="str">
        <f t="shared" si="16"/>
        <v>(23 downto 16)</v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>(31 downto 24)</v>
      </c>
      <c r="AF98" s="2" t="str">
        <f t="shared" si="20"/>
        <v>(23 downto 16)</v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416</v>
      </c>
      <c r="D99" s="2" t="s">
        <v>1</v>
      </c>
      <c r="E99" s="2" t="s">
        <v>134</v>
      </c>
      <c r="F99" s="2" t="s">
        <v>450</v>
      </c>
      <c r="G99" s="2" t="s">
        <v>451</v>
      </c>
      <c r="H99" s="2" t="s">
        <v>452</v>
      </c>
      <c r="I99" s="2" t="s">
        <v>42</v>
      </c>
      <c r="J99" s="2">
        <v>1</v>
      </c>
      <c r="K99" s="2" t="s">
        <v>82</v>
      </c>
      <c r="L99" s="2" t="s">
        <v>41</v>
      </c>
      <c r="M99" s="2" t="s">
        <v>135</v>
      </c>
      <c r="N99" s="2" t="s">
        <v>420</v>
      </c>
      <c r="O99" s="2" t="s">
        <v>453</v>
      </c>
      <c r="P99" s="2" t="s">
        <v>5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284</v>
      </c>
      <c r="T99" s="2" t="str">
        <f t="shared" si="23"/>
        <v>011C</v>
      </c>
      <c r="U99" s="2">
        <f t="shared" si="24"/>
        <v>71</v>
      </c>
      <c r="V99" s="2" t="str">
        <f t="shared" si="25"/>
        <v>047</v>
      </c>
      <c r="W99" s="2" t="str">
        <f t="shared" si="26"/>
        <v/>
      </c>
      <c r="X99" s="2" t="str">
        <f t="shared" si="27"/>
        <v/>
      </c>
      <c r="Y99" s="2" t="str">
        <f t="shared" si="28"/>
        <v/>
      </c>
      <c r="Z99" s="2" t="str">
        <f t="shared" si="29"/>
        <v>X</v>
      </c>
      <c r="AA99" s="2" t="str">
        <f t="shared" si="15"/>
        <v/>
      </c>
      <c r="AB99" s="2" t="str">
        <f t="shared" si="16"/>
        <v/>
      </c>
      <c r="AC99" s="2" t="str">
        <f t="shared" si="17"/>
        <v/>
      </c>
      <c r="AD99" s="2" t="str">
        <f t="shared" si="18"/>
        <v>(0)</v>
      </c>
      <c r="AE99" s="2" t="str">
        <f t="shared" si="19"/>
        <v/>
      </c>
      <c r="AF99" s="2" t="str">
        <f t="shared" si="20"/>
        <v/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416</v>
      </c>
      <c r="D100" s="2" t="s">
        <v>1</v>
      </c>
      <c r="E100" s="2" t="s">
        <v>134</v>
      </c>
      <c r="F100" s="2" t="s">
        <v>450</v>
      </c>
      <c r="G100" s="2" t="s">
        <v>451</v>
      </c>
      <c r="H100" s="2" t="s">
        <v>454</v>
      </c>
      <c r="I100" s="2" t="s">
        <v>42</v>
      </c>
      <c r="J100" s="2">
        <v>1</v>
      </c>
      <c r="K100" s="2" t="s">
        <v>82</v>
      </c>
      <c r="L100" s="2" t="s">
        <v>41</v>
      </c>
      <c r="M100" s="2" t="s">
        <v>135</v>
      </c>
      <c r="N100" s="2" t="s">
        <v>420</v>
      </c>
      <c r="O100" s="2" t="s">
        <v>455</v>
      </c>
      <c r="P100" s="2" t="s">
        <v>5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288</v>
      </c>
      <c r="T100" s="2" t="str">
        <f t="shared" si="23"/>
        <v>0120</v>
      </c>
      <c r="U100" s="2">
        <f t="shared" si="24"/>
        <v>72</v>
      </c>
      <c r="V100" s="2" t="str">
        <f t="shared" si="25"/>
        <v>048</v>
      </c>
      <c r="W100" s="2" t="str">
        <f t="shared" si="26"/>
        <v/>
      </c>
      <c r="X100" s="2" t="str">
        <f t="shared" si="27"/>
        <v/>
      </c>
      <c r="Y100" s="2" t="str">
        <f t="shared" si="28"/>
        <v/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/>
      </c>
      <c r="AD100" s="2" t="str">
        <f t="shared" si="18"/>
        <v>(0)</v>
      </c>
      <c r="AE100" s="2" t="str">
        <f t="shared" si="19"/>
        <v/>
      </c>
      <c r="AF100" s="2" t="str">
        <f t="shared" si="20"/>
        <v/>
      </c>
      <c r="AG100" s="2" t="str">
        <f t="shared" si="21"/>
        <v/>
      </c>
      <c r="AH100" s="2" t="str">
        <f t="shared" si="22"/>
        <v/>
      </c>
    </row>
    <row r="101" spans="1:38" x14ac:dyDescent="0.25">
      <c r="B101" s="2" t="s">
        <v>416</v>
      </c>
      <c r="D101" s="2" t="s">
        <v>1</v>
      </c>
      <c r="E101" s="2" t="s">
        <v>134</v>
      </c>
      <c r="F101" s="2" t="s">
        <v>450</v>
      </c>
      <c r="G101" s="2" t="s">
        <v>451</v>
      </c>
      <c r="H101" s="2" t="s">
        <v>456</v>
      </c>
      <c r="I101" s="2" t="s">
        <v>42</v>
      </c>
      <c r="J101" s="2">
        <v>1</v>
      </c>
      <c r="K101" s="2" t="s">
        <v>82</v>
      </c>
      <c r="L101" s="2" t="s">
        <v>41</v>
      </c>
      <c r="M101" s="2" t="s">
        <v>135</v>
      </c>
      <c r="N101" s="2" t="s">
        <v>420</v>
      </c>
      <c r="O101" s="2" t="s">
        <v>457</v>
      </c>
      <c r="P101" s="2" t="s">
        <v>5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292</v>
      </c>
      <c r="T101" s="2" t="str">
        <f t="shared" si="23"/>
        <v>0124</v>
      </c>
      <c r="U101" s="2">
        <f t="shared" si="24"/>
        <v>73</v>
      </c>
      <c r="V101" s="2" t="str">
        <f t="shared" si="25"/>
        <v>049</v>
      </c>
      <c r="W101" s="2" t="str">
        <f t="shared" si="26"/>
        <v/>
      </c>
      <c r="X101" s="2" t="str">
        <f t="shared" si="27"/>
        <v/>
      </c>
      <c r="Y101" s="2" t="str">
        <f t="shared" si="28"/>
        <v/>
      </c>
      <c r="Z101" s="2" t="str">
        <f t="shared" si="29"/>
        <v>X</v>
      </c>
      <c r="AA101" s="2" t="str">
        <f t="shared" si="15"/>
        <v/>
      </c>
      <c r="AB101" s="2" t="str">
        <f t="shared" si="16"/>
        <v/>
      </c>
      <c r="AC101" s="2" t="str">
        <f t="shared" si="17"/>
        <v/>
      </c>
      <c r="AD101" s="2" t="str">
        <f t="shared" si="18"/>
        <v>(0)</v>
      </c>
      <c r="AE101" s="2" t="str">
        <f t="shared" si="19"/>
        <v/>
      </c>
      <c r="AF101" s="2" t="str">
        <f t="shared" si="20"/>
        <v/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416</v>
      </c>
      <c r="C102" s="2"/>
      <c r="D102" s="2" t="s">
        <v>1</v>
      </c>
      <c r="E102" s="2" t="s">
        <v>134</v>
      </c>
      <c r="F102" s="2" t="s">
        <v>450</v>
      </c>
      <c r="G102" s="2" t="s">
        <v>451</v>
      </c>
      <c r="H102" s="2" t="s">
        <v>458</v>
      </c>
      <c r="I102" s="2" t="s">
        <v>42</v>
      </c>
      <c r="J102" s="2">
        <v>1</v>
      </c>
      <c r="K102" s="2" t="s">
        <v>82</v>
      </c>
      <c r="L102" s="2" t="s">
        <v>41</v>
      </c>
      <c r="M102" s="2" t="s">
        <v>135</v>
      </c>
      <c r="N102" s="2" t="s">
        <v>420</v>
      </c>
      <c r="O102" s="2" t="s">
        <v>459</v>
      </c>
      <c r="P102" s="2" t="s">
        <v>5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296</v>
      </c>
      <c r="T102" s="2" t="str">
        <f t="shared" si="23"/>
        <v>0128</v>
      </c>
      <c r="U102" s="2">
        <f t="shared" si="24"/>
        <v>74</v>
      </c>
      <c r="V102" s="2" t="str">
        <f t="shared" si="25"/>
        <v>04A</v>
      </c>
      <c r="W102" s="2" t="str">
        <f t="shared" si="26"/>
        <v/>
      </c>
      <c r="X102" s="2" t="str">
        <f t="shared" si="27"/>
        <v/>
      </c>
      <c r="Y102" s="2" t="str">
        <f t="shared" si="28"/>
        <v/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/>
      </c>
      <c r="AD102" s="2" t="str">
        <f t="shared" si="18"/>
        <v>(0)</v>
      </c>
      <c r="AE102" s="2" t="str">
        <f t="shared" si="19"/>
        <v/>
      </c>
      <c r="AF102" s="2" t="str">
        <f t="shared" si="20"/>
        <v/>
      </c>
      <c r="AG102" s="2" t="str">
        <f t="shared" si="21"/>
        <v/>
      </c>
      <c r="AH102" s="2" t="str">
        <f t="shared" si="22"/>
        <v/>
      </c>
      <c r="AI102"/>
    </row>
    <row r="103" spans="1:38" x14ac:dyDescent="0.25">
      <c r="B103" s="2" t="s">
        <v>416</v>
      </c>
      <c r="D103" s="2" t="s">
        <v>1</v>
      </c>
      <c r="E103" s="2" t="s">
        <v>134</v>
      </c>
      <c r="F103" s="2" t="s">
        <v>450</v>
      </c>
      <c r="G103" s="2" t="s">
        <v>451</v>
      </c>
      <c r="H103" s="2" t="s">
        <v>460</v>
      </c>
      <c r="I103" s="2" t="s">
        <v>42</v>
      </c>
      <c r="J103" s="2">
        <v>1</v>
      </c>
      <c r="K103" s="2" t="s">
        <v>82</v>
      </c>
      <c r="L103" s="2" t="s">
        <v>41</v>
      </c>
      <c r="M103" s="2" t="s">
        <v>135</v>
      </c>
      <c r="N103" s="2" t="s">
        <v>420</v>
      </c>
      <c r="O103" s="2" t="s">
        <v>461</v>
      </c>
      <c r="P103" s="2" t="s">
        <v>5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300</v>
      </c>
      <c r="T103" s="2" t="str">
        <f t="shared" si="23"/>
        <v>012C</v>
      </c>
      <c r="U103" s="2">
        <f t="shared" si="24"/>
        <v>75</v>
      </c>
      <c r="V103" s="2" t="str">
        <f t="shared" si="25"/>
        <v>04B</v>
      </c>
      <c r="W103" s="2" t="str">
        <f t="shared" si="26"/>
        <v/>
      </c>
      <c r="X103" s="2" t="str">
        <f t="shared" si="27"/>
        <v/>
      </c>
      <c r="Y103" s="2" t="str">
        <f t="shared" si="28"/>
        <v/>
      </c>
      <c r="Z103" s="2" t="str">
        <f t="shared" si="29"/>
        <v>X</v>
      </c>
      <c r="AA103" s="2" t="str">
        <f t="shared" si="15"/>
        <v/>
      </c>
      <c r="AB103" s="2" t="str">
        <f t="shared" si="16"/>
        <v/>
      </c>
      <c r="AC103" s="2" t="str">
        <f t="shared" si="17"/>
        <v/>
      </c>
      <c r="AD103" s="2" t="str">
        <f t="shared" si="18"/>
        <v>(0)</v>
      </c>
      <c r="AE103" s="2" t="str">
        <f t="shared" si="19"/>
        <v/>
      </c>
      <c r="AF103" s="2" t="str">
        <f t="shared" si="20"/>
        <v/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416</v>
      </c>
      <c r="D104" s="2" t="s">
        <v>1</v>
      </c>
      <c r="E104" s="2" t="s">
        <v>134</v>
      </c>
      <c r="F104" s="2" t="s">
        <v>450</v>
      </c>
      <c r="G104" s="2" t="s">
        <v>451</v>
      </c>
      <c r="H104" s="2" t="s">
        <v>462</v>
      </c>
      <c r="I104" s="2" t="s">
        <v>42</v>
      </c>
      <c r="J104" s="2">
        <v>1</v>
      </c>
      <c r="K104" s="2" t="s">
        <v>82</v>
      </c>
      <c r="L104" s="2" t="s">
        <v>41</v>
      </c>
      <c r="M104" s="2" t="s">
        <v>135</v>
      </c>
      <c r="N104" s="2" t="s">
        <v>420</v>
      </c>
      <c r="O104" s="2" t="s">
        <v>463</v>
      </c>
      <c r="P104" s="2" t="s">
        <v>5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304</v>
      </c>
      <c r="T104" s="2" t="str">
        <f t="shared" si="23"/>
        <v>0130</v>
      </c>
      <c r="U104" s="2">
        <f t="shared" si="24"/>
        <v>76</v>
      </c>
      <c r="V104" s="2" t="str">
        <f t="shared" si="25"/>
        <v>04C</v>
      </c>
      <c r="W104" s="2" t="str">
        <f t="shared" si="26"/>
        <v/>
      </c>
      <c r="X104" s="2" t="str">
        <f t="shared" si="27"/>
        <v/>
      </c>
      <c r="Y104" s="2" t="str">
        <f t="shared" si="28"/>
        <v/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/>
      </c>
      <c r="AD104" s="2" t="str">
        <f t="shared" si="18"/>
        <v>(0)</v>
      </c>
      <c r="AE104" s="2" t="str">
        <f t="shared" si="19"/>
        <v/>
      </c>
      <c r="AF104" s="2" t="str">
        <f t="shared" si="20"/>
        <v/>
      </c>
      <c r="AG104" s="2" t="str">
        <f t="shared" si="21"/>
        <v/>
      </c>
      <c r="AH104" s="2" t="str">
        <f t="shared" si="22"/>
        <v/>
      </c>
    </row>
    <row r="105" spans="1:38" x14ac:dyDescent="0.25">
      <c r="B105" s="2" t="s">
        <v>416</v>
      </c>
      <c r="D105" s="2" t="s">
        <v>1</v>
      </c>
      <c r="E105" s="2" t="s">
        <v>134</v>
      </c>
      <c r="F105" s="2" t="s">
        <v>450</v>
      </c>
      <c r="G105" s="2" t="s">
        <v>451</v>
      </c>
      <c r="H105" s="2" t="s">
        <v>464</v>
      </c>
      <c r="I105" s="2" t="s">
        <v>42</v>
      </c>
      <c r="J105" s="2">
        <v>1</v>
      </c>
      <c r="K105" s="2" t="s">
        <v>82</v>
      </c>
      <c r="L105" s="2" t="s">
        <v>41</v>
      </c>
      <c r="M105" s="2" t="s">
        <v>135</v>
      </c>
      <c r="N105" s="2" t="s">
        <v>420</v>
      </c>
      <c r="O105" s="2" t="s">
        <v>465</v>
      </c>
      <c r="P105" s="2" t="s">
        <v>5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308</v>
      </c>
      <c r="T105" s="2" t="str">
        <f t="shared" si="23"/>
        <v>0134</v>
      </c>
      <c r="U105" s="2">
        <f t="shared" si="24"/>
        <v>77</v>
      </c>
      <c r="V105" s="2" t="str">
        <f t="shared" si="25"/>
        <v>04D</v>
      </c>
      <c r="W105" s="2" t="str">
        <f t="shared" si="26"/>
        <v/>
      </c>
      <c r="X105" s="2" t="str">
        <f t="shared" si="27"/>
        <v/>
      </c>
      <c r="Y105" s="2" t="str">
        <f t="shared" si="28"/>
        <v/>
      </c>
      <c r="Z105" s="2" t="str">
        <f t="shared" si="29"/>
        <v>X</v>
      </c>
      <c r="AA105" s="2" t="str">
        <f t="shared" si="15"/>
        <v/>
      </c>
      <c r="AB105" s="2" t="str">
        <f t="shared" si="16"/>
        <v/>
      </c>
      <c r="AC105" s="2" t="str">
        <f t="shared" si="17"/>
        <v/>
      </c>
      <c r="AD105" s="2" t="str">
        <f t="shared" si="18"/>
        <v>(0)</v>
      </c>
      <c r="AE105" s="2" t="str">
        <f t="shared" si="19"/>
        <v/>
      </c>
      <c r="AF105" s="2" t="str">
        <f t="shared" si="20"/>
        <v/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416</v>
      </c>
      <c r="D106" s="2" t="s">
        <v>1</v>
      </c>
      <c r="E106" s="2" t="s">
        <v>134</v>
      </c>
      <c r="F106" s="2" t="s">
        <v>450</v>
      </c>
      <c r="G106" s="2" t="s">
        <v>451</v>
      </c>
      <c r="H106" s="2" t="s">
        <v>466</v>
      </c>
      <c r="I106" s="2" t="s">
        <v>42</v>
      </c>
      <c r="J106" s="2">
        <v>1</v>
      </c>
      <c r="K106" s="2" t="s">
        <v>82</v>
      </c>
      <c r="L106" s="2" t="s">
        <v>41</v>
      </c>
      <c r="M106" s="2" t="s">
        <v>135</v>
      </c>
      <c r="N106" s="2" t="s">
        <v>420</v>
      </c>
      <c r="O106" s="2" t="s">
        <v>467</v>
      </c>
      <c r="P106" s="2" t="s">
        <v>5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312</v>
      </c>
      <c r="T106" s="2" t="str">
        <f t="shared" si="23"/>
        <v>0138</v>
      </c>
      <c r="U106" s="2">
        <f t="shared" si="24"/>
        <v>78</v>
      </c>
      <c r="V106" s="2" t="str">
        <f t="shared" si="25"/>
        <v>04E</v>
      </c>
      <c r="W106" s="2" t="str">
        <f t="shared" si="26"/>
        <v/>
      </c>
      <c r="X106" s="2" t="str">
        <f t="shared" si="27"/>
        <v/>
      </c>
      <c r="Y106" s="2" t="str">
        <f t="shared" si="28"/>
        <v/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/>
      </c>
      <c r="AD106" s="2" t="str">
        <f t="shared" si="18"/>
        <v>(0)</v>
      </c>
      <c r="AE106" s="2" t="str">
        <f t="shared" si="19"/>
        <v/>
      </c>
      <c r="AF106" s="2" t="str">
        <f t="shared" si="20"/>
        <v/>
      </c>
      <c r="AG106" s="2" t="str">
        <f t="shared" si="21"/>
        <v/>
      </c>
      <c r="AH106" s="2" t="str">
        <f t="shared" si="22"/>
        <v/>
      </c>
    </row>
    <row r="107" spans="1:38" x14ac:dyDescent="0.25">
      <c r="B107" s="2" t="s">
        <v>416</v>
      </c>
      <c r="D107" s="2" t="s">
        <v>1</v>
      </c>
      <c r="E107" s="2" t="s">
        <v>134</v>
      </c>
      <c r="F107" s="2" t="s">
        <v>450</v>
      </c>
      <c r="G107" s="2" t="s">
        <v>451</v>
      </c>
      <c r="H107" s="2" t="s">
        <v>468</v>
      </c>
      <c r="I107" s="2" t="s">
        <v>42</v>
      </c>
      <c r="J107" s="2">
        <v>1</v>
      </c>
      <c r="K107" s="2" t="s">
        <v>82</v>
      </c>
      <c r="L107" s="2" t="s">
        <v>41</v>
      </c>
      <c r="M107" s="2" t="s">
        <v>135</v>
      </c>
      <c r="N107" s="2" t="s">
        <v>420</v>
      </c>
      <c r="O107" s="2" t="s">
        <v>469</v>
      </c>
      <c r="P107" s="2" t="s">
        <v>5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316</v>
      </c>
      <c r="T107" s="2" t="str">
        <f t="shared" si="23"/>
        <v>013C</v>
      </c>
      <c r="U107" s="2">
        <f t="shared" si="24"/>
        <v>79</v>
      </c>
      <c r="V107" s="2" t="str">
        <f t="shared" si="25"/>
        <v>04F</v>
      </c>
      <c r="W107" s="2" t="str">
        <f t="shared" si="26"/>
        <v/>
      </c>
      <c r="X107" s="2" t="str">
        <f t="shared" si="27"/>
        <v/>
      </c>
      <c r="Y107" s="2" t="str">
        <f t="shared" si="28"/>
        <v/>
      </c>
      <c r="Z107" s="2" t="str">
        <f t="shared" si="29"/>
        <v>X</v>
      </c>
      <c r="AA107" s="2" t="str">
        <f t="shared" si="15"/>
        <v/>
      </c>
      <c r="AB107" s="2" t="str">
        <f t="shared" si="16"/>
        <v/>
      </c>
      <c r="AC107" s="2" t="str">
        <f t="shared" si="17"/>
        <v/>
      </c>
      <c r="AD107" s="2" t="str">
        <f t="shared" si="18"/>
        <v>(0)</v>
      </c>
      <c r="AE107" s="2" t="str">
        <f t="shared" si="19"/>
        <v/>
      </c>
      <c r="AF107" s="2" t="str">
        <f t="shared" si="20"/>
        <v/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416</v>
      </c>
      <c r="D108" s="2" t="s">
        <v>1</v>
      </c>
      <c r="E108" s="2" t="s">
        <v>134</v>
      </c>
      <c r="F108" s="2" t="s">
        <v>450</v>
      </c>
      <c r="G108" s="2" t="s">
        <v>451</v>
      </c>
      <c r="H108" s="2" t="s">
        <v>470</v>
      </c>
      <c r="I108" s="2" t="s">
        <v>42</v>
      </c>
      <c r="J108" s="2">
        <v>1</v>
      </c>
      <c r="K108" s="2" t="s">
        <v>82</v>
      </c>
      <c r="L108" s="2" t="s">
        <v>41</v>
      </c>
      <c r="M108" s="2" t="s">
        <v>135</v>
      </c>
      <c r="N108" s="2" t="s">
        <v>420</v>
      </c>
      <c r="O108" s="2" t="s">
        <v>471</v>
      </c>
      <c r="P108" s="2" t="s">
        <v>5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320</v>
      </c>
      <c r="T108" s="2" t="str">
        <f t="shared" si="23"/>
        <v>0140</v>
      </c>
      <c r="U108" s="2">
        <f t="shared" si="24"/>
        <v>80</v>
      </c>
      <c r="V108" s="2" t="str">
        <f t="shared" si="25"/>
        <v>050</v>
      </c>
      <c r="W108" s="2" t="str">
        <f t="shared" si="26"/>
        <v/>
      </c>
      <c r="X108" s="2" t="str">
        <f t="shared" si="27"/>
        <v/>
      </c>
      <c r="Y108" s="2" t="str">
        <f t="shared" si="28"/>
        <v/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/>
      </c>
      <c r="AD108" s="2" t="str">
        <f t="shared" si="18"/>
        <v>(0)</v>
      </c>
      <c r="AE108" s="2" t="str">
        <f t="shared" si="19"/>
        <v/>
      </c>
      <c r="AF108" s="2" t="str">
        <f t="shared" si="20"/>
        <v/>
      </c>
      <c r="AG108" s="2" t="str">
        <f t="shared" si="21"/>
        <v/>
      </c>
      <c r="AH108" s="2" t="str">
        <f t="shared" si="22"/>
        <v/>
      </c>
    </row>
    <row r="109" spans="1:38" x14ac:dyDescent="0.25">
      <c r="B109" s="2" t="s">
        <v>416</v>
      </c>
      <c r="D109" s="2" t="s">
        <v>1</v>
      </c>
      <c r="E109" s="2" t="s">
        <v>134</v>
      </c>
      <c r="F109" s="2" t="s">
        <v>450</v>
      </c>
      <c r="G109" s="2" t="s">
        <v>451</v>
      </c>
      <c r="H109" s="2" t="s">
        <v>472</v>
      </c>
      <c r="I109" s="2" t="s">
        <v>42</v>
      </c>
      <c r="J109" s="2">
        <v>1</v>
      </c>
      <c r="K109" s="2" t="s">
        <v>82</v>
      </c>
      <c r="L109" s="2" t="s">
        <v>41</v>
      </c>
      <c r="M109" s="2" t="s">
        <v>135</v>
      </c>
      <c r="N109" s="2" t="s">
        <v>420</v>
      </c>
      <c r="O109" s="2" t="s">
        <v>473</v>
      </c>
      <c r="P109" s="2" t="s">
        <v>5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324</v>
      </c>
      <c r="T109" s="2" t="str">
        <f t="shared" si="23"/>
        <v>0144</v>
      </c>
      <c r="U109" s="2">
        <f t="shared" si="24"/>
        <v>81</v>
      </c>
      <c r="V109" s="2" t="str">
        <f t="shared" si="25"/>
        <v>051</v>
      </c>
      <c r="W109" s="2" t="str">
        <f t="shared" si="26"/>
        <v/>
      </c>
      <c r="X109" s="2" t="str">
        <f t="shared" si="27"/>
        <v/>
      </c>
      <c r="Y109" s="2" t="str">
        <f t="shared" si="28"/>
        <v/>
      </c>
      <c r="Z109" s="2" t="str">
        <f t="shared" si="29"/>
        <v>X</v>
      </c>
      <c r="AA109" s="2" t="str">
        <f t="shared" si="15"/>
        <v/>
      </c>
      <c r="AB109" s="2" t="str">
        <f t="shared" si="16"/>
        <v/>
      </c>
      <c r="AC109" s="2" t="str">
        <f t="shared" si="17"/>
        <v/>
      </c>
      <c r="AD109" s="2" t="str">
        <f t="shared" si="18"/>
        <v>(0)</v>
      </c>
      <c r="AE109" s="2" t="str">
        <f t="shared" si="19"/>
        <v/>
      </c>
      <c r="AF109" s="2" t="str">
        <f t="shared" si="20"/>
        <v/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416</v>
      </c>
      <c r="D110" s="2" t="s">
        <v>1</v>
      </c>
      <c r="E110" s="2" t="s">
        <v>134</v>
      </c>
      <c r="F110" s="2" t="s">
        <v>450</v>
      </c>
      <c r="G110" s="2" t="s">
        <v>451</v>
      </c>
      <c r="H110" s="2" t="s">
        <v>474</v>
      </c>
      <c r="I110" s="2" t="s">
        <v>42</v>
      </c>
      <c r="J110" s="2">
        <v>1</v>
      </c>
      <c r="K110" s="2" t="s">
        <v>82</v>
      </c>
      <c r="L110" s="2" t="s">
        <v>41</v>
      </c>
      <c r="M110" s="2" t="s">
        <v>135</v>
      </c>
      <c r="N110" s="2" t="s">
        <v>420</v>
      </c>
      <c r="O110" s="2" t="s">
        <v>475</v>
      </c>
      <c r="P110" s="2" t="s">
        <v>5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328</v>
      </c>
      <c r="T110" s="2" t="str">
        <f t="shared" si="23"/>
        <v>0148</v>
      </c>
      <c r="U110" s="2">
        <f t="shared" si="24"/>
        <v>82</v>
      </c>
      <c r="V110" s="2" t="str">
        <f t="shared" si="25"/>
        <v>052</v>
      </c>
      <c r="W110" s="2" t="str">
        <f t="shared" si="26"/>
        <v/>
      </c>
      <c r="X110" s="2" t="str">
        <f t="shared" si="27"/>
        <v/>
      </c>
      <c r="Y110" s="2" t="str">
        <f t="shared" si="28"/>
        <v/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/>
      </c>
      <c r="AD110" s="2" t="str">
        <f t="shared" si="18"/>
        <v>(0)</v>
      </c>
      <c r="AE110" s="2" t="str">
        <f t="shared" si="19"/>
        <v/>
      </c>
      <c r="AF110" s="2" t="str">
        <f t="shared" si="20"/>
        <v/>
      </c>
      <c r="AG110" s="2" t="str">
        <f t="shared" si="21"/>
        <v/>
      </c>
      <c r="AH110" s="2" t="str">
        <f t="shared" si="22"/>
        <v/>
      </c>
    </row>
    <row r="111" spans="1:38" x14ac:dyDescent="0.25">
      <c r="B111" s="2" t="s">
        <v>416</v>
      </c>
      <c r="D111" s="2" t="s">
        <v>1</v>
      </c>
      <c r="E111" s="2" t="s">
        <v>134</v>
      </c>
      <c r="F111" s="2" t="s">
        <v>450</v>
      </c>
      <c r="G111" s="2" t="s">
        <v>451</v>
      </c>
      <c r="H111" s="2" t="s">
        <v>476</v>
      </c>
      <c r="I111" s="2" t="s">
        <v>42</v>
      </c>
      <c r="J111" s="2">
        <v>1</v>
      </c>
      <c r="K111" s="2" t="s">
        <v>82</v>
      </c>
      <c r="L111" s="2" t="s">
        <v>41</v>
      </c>
      <c r="M111" s="2" t="s">
        <v>135</v>
      </c>
      <c r="N111" s="2" t="s">
        <v>420</v>
      </c>
      <c r="O111" s="2" t="s">
        <v>477</v>
      </c>
      <c r="P111" s="2" t="s">
        <v>5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332</v>
      </c>
      <c r="T111" s="2" t="str">
        <f t="shared" si="23"/>
        <v>014C</v>
      </c>
      <c r="U111" s="2">
        <f t="shared" si="24"/>
        <v>83</v>
      </c>
      <c r="V111" s="2" t="str">
        <f t="shared" si="25"/>
        <v>053</v>
      </c>
      <c r="W111" s="2" t="str">
        <f t="shared" si="26"/>
        <v/>
      </c>
      <c r="X111" s="2" t="str">
        <f t="shared" si="27"/>
        <v/>
      </c>
      <c r="Y111" s="2" t="str">
        <f t="shared" si="28"/>
        <v/>
      </c>
      <c r="Z111" s="2" t="str">
        <f t="shared" si="29"/>
        <v>X</v>
      </c>
      <c r="AA111" s="2" t="str">
        <f t="shared" si="15"/>
        <v/>
      </c>
      <c r="AB111" s="2" t="str">
        <f t="shared" si="16"/>
        <v/>
      </c>
      <c r="AC111" s="2" t="str">
        <f t="shared" si="17"/>
        <v/>
      </c>
      <c r="AD111" s="2" t="str">
        <f t="shared" si="18"/>
        <v>(0)</v>
      </c>
      <c r="AE111" s="2" t="str">
        <f t="shared" si="19"/>
        <v/>
      </c>
      <c r="AF111" s="2" t="str">
        <f t="shared" si="20"/>
        <v/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416</v>
      </c>
      <c r="D112" s="2" t="s">
        <v>1</v>
      </c>
      <c r="E112" s="2" t="s">
        <v>134</v>
      </c>
      <c r="F112" s="2" t="s">
        <v>450</v>
      </c>
      <c r="G112" s="2" t="s">
        <v>451</v>
      </c>
      <c r="H112" s="2" t="s">
        <v>478</v>
      </c>
      <c r="I112" s="2" t="s">
        <v>42</v>
      </c>
      <c r="J112" s="2">
        <v>1</v>
      </c>
      <c r="K112" s="2" t="s">
        <v>82</v>
      </c>
      <c r="L112" s="2" t="s">
        <v>41</v>
      </c>
      <c r="M112" s="2" t="s">
        <v>135</v>
      </c>
      <c r="N112" s="2" t="s">
        <v>420</v>
      </c>
      <c r="O112" s="2" t="s">
        <v>479</v>
      </c>
      <c r="P112" s="2" t="s">
        <v>5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336</v>
      </c>
      <c r="T112" s="2" t="str">
        <f t="shared" si="23"/>
        <v>0150</v>
      </c>
      <c r="U112" s="2">
        <f t="shared" si="24"/>
        <v>84</v>
      </c>
      <c r="V112" s="2" t="str">
        <f t="shared" si="25"/>
        <v>054</v>
      </c>
      <c r="W112" s="2" t="str">
        <f t="shared" si="26"/>
        <v/>
      </c>
      <c r="X112" s="2" t="str">
        <f t="shared" si="27"/>
        <v/>
      </c>
      <c r="Y112" s="2" t="str">
        <f t="shared" si="28"/>
        <v/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/>
      </c>
      <c r="AD112" s="2" t="str">
        <f t="shared" si="18"/>
        <v>(0)</v>
      </c>
      <c r="AE112" s="2" t="str">
        <f t="shared" si="19"/>
        <v/>
      </c>
      <c r="AF112" s="2" t="str">
        <f t="shared" si="20"/>
        <v/>
      </c>
      <c r="AG112" s="2" t="str">
        <f t="shared" si="21"/>
        <v/>
      </c>
      <c r="AH112" s="2" t="str">
        <f t="shared" si="22"/>
        <v/>
      </c>
    </row>
    <row r="113" spans="2:34" x14ac:dyDescent="0.25">
      <c r="B113" s="2" t="s">
        <v>416</v>
      </c>
      <c r="D113" s="2" t="s">
        <v>1</v>
      </c>
      <c r="E113" s="2" t="s">
        <v>134</v>
      </c>
      <c r="F113" s="2" t="s">
        <v>450</v>
      </c>
      <c r="G113" s="2" t="s">
        <v>451</v>
      </c>
      <c r="H113" s="2" t="s">
        <v>480</v>
      </c>
      <c r="I113" s="2" t="s">
        <v>42</v>
      </c>
      <c r="J113" s="2">
        <v>1</v>
      </c>
      <c r="K113" s="2" t="s">
        <v>82</v>
      </c>
      <c r="L113" s="2" t="s">
        <v>41</v>
      </c>
      <c r="M113" s="2" t="s">
        <v>135</v>
      </c>
      <c r="N113" s="2" t="s">
        <v>420</v>
      </c>
      <c r="O113" s="2" t="s">
        <v>481</v>
      </c>
      <c r="P113" s="2" t="s">
        <v>5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340</v>
      </c>
      <c r="T113" s="2" t="str">
        <f t="shared" si="23"/>
        <v>0154</v>
      </c>
      <c r="U113" s="2">
        <f t="shared" si="24"/>
        <v>85</v>
      </c>
      <c r="V113" s="2" t="str">
        <f t="shared" si="25"/>
        <v>055</v>
      </c>
      <c r="W113" s="2" t="str">
        <f t="shared" si="26"/>
        <v/>
      </c>
      <c r="X113" s="2" t="str">
        <f t="shared" si="27"/>
        <v/>
      </c>
      <c r="Y113" s="2" t="str">
        <f t="shared" si="28"/>
        <v/>
      </c>
      <c r="Z113" s="2" t="str">
        <f t="shared" si="29"/>
        <v>X</v>
      </c>
      <c r="AA113" s="2" t="str">
        <f t="shared" si="15"/>
        <v/>
      </c>
      <c r="AB113" s="2" t="str">
        <f t="shared" si="16"/>
        <v/>
      </c>
      <c r="AC113" s="2" t="str">
        <f t="shared" si="17"/>
        <v/>
      </c>
      <c r="AD113" s="2" t="str">
        <f t="shared" si="18"/>
        <v>(0)</v>
      </c>
      <c r="AE113" s="2" t="str">
        <f t="shared" si="19"/>
        <v/>
      </c>
      <c r="AF113" s="2" t="str">
        <f t="shared" si="20"/>
        <v/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416</v>
      </c>
      <c r="D114" s="2" t="s">
        <v>1</v>
      </c>
      <c r="E114" s="2" t="s">
        <v>134</v>
      </c>
      <c r="F114" s="2" t="s">
        <v>450</v>
      </c>
      <c r="G114" s="2" t="s">
        <v>451</v>
      </c>
      <c r="H114" s="2" t="s">
        <v>482</v>
      </c>
      <c r="I114" s="2" t="s">
        <v>42</v>
      </c>
      <c r="J114" s="2">
        <v>1</v>
      </c>
      <c r="K114" s="2" t="s">
        <v>82</v>
      </c>
      <c r="L114" s="2" t="s">
        <v>41</v>
      </c>
      <c r="M114" s="2" t="s">
        <v>135</v>
      </c>
      <c r="N114" s="2" t="s">
        <v>420</v>
      </c>
      <c r="O114" s="2" t="s">
        <v>483</v>
      </c>
      <c r="P114" s="2" t="s">
        <v>5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344</v>
      </c>
      <c r="T114" s="2" t="str">
        <f t="shared" si="23"/>
        <v>0158</v>
      </c>
      <c r="U114" s="2">
        <f t="shared" si="24"/>
        <v>86</v>
      </c>
      <c r="V114" s="2" t="str">
        <f t="shared" si="25"/>
        <v>056</v>
      </c>
      <c r="W114" s="2" t="str">
        <f t="shared" si="26"/>
        <v/>
      </c>
      <c r="X114" s="2" t="str">
        <f t="shared" si="27"/>
        <v/>
      </c>
      <c r="Y114" s="2" t="str">
        <f t="shared" si="28"/>
        <v/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/>
      </c>
      <c r="AD114" s="2" t="str">
        <f t="shared" si="18"/>
        <v>(0)</v>
      </c>
      <c r="AE114" s="2" t="str">
        <f t="shared" si="19"/>
        <v/>
      </c>
      <c r="AF114" s="2" t="str">
        <f t="shared" si="20"/>
        <v/>
      </c>
      <c r="AG114" s="2" t="str">
        <f t="shared" si="21"/>
        <v/>
      </c>
      <c r="AH114" s="2" t="str">
        <f t="shared" si="22"/>
        <v/>
      </c>
    </row>
    <row r="115" spans="2:34" x14ac:dyDescent="0.25">
      <c r="B115" s="2" t="s">
        <v>416</v>
      </c>
      <c r="D115" s="2" t="s">
        <v>1</v>
      </c>
      <c r="E115" s="2" t="s">
        <v>134</v>
      </c>
      <c r="F115" s="2" t="s">
        <v>450</v>
      </c>
      <c r="G115" s="2" t="s">
        <v>451</v>
      </c>
      <c r="H115" s="2" t="s">
        <v>484</v>
      </c>
      <c r="I115" s="2" t="s">
        <v>42</v>
      </c>
      <c r="J115" s="2">
        <v>1</v>
      </c>
      <c r="K115" s="2" t="s">
        <v>82</v>
      </c>
      <c r="L115" s="2" t="s">
        <v>41</v>
      </c>
      <c r="M115" s="2" t="s">
        <v>135</v>
      </c>
      <c r="N115" s="2" t="s">
        <v>420</v>
      </c>
      <c r="O115" s="2" t="s">
        <v>485</v>
      </c>
      <c r="P115" s="2" t="s">
        <v>5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348</v>
      </c>
      <c r="T115" s="2" t="str">
        <f t="shared" si="23"/>
        <v>015C</v>
      </c>
      <c r="U115" s="2">
        <f t="shared" si="24"/>
        <v>87</v>
      </c>
      <c r="V115" s="2" t="str">
        <f t="shared" si="25"/>
        <v>057</v>
      </c>
      <c r="W115" s="2" t="str">
        <f t="shared" si="26"/>
        <v/>
      </c>
      <c r="X115" s="2" t="str">
        <f t="shared" si="27"/>
        <v/>
      </c>
      <c r="Y115" s="2" t="str">
        <f t="shared" si="28"/>
        <v/>
      </c>
      <c r="Z115" s="2" t="str">
        <f t="shared" si="29"/>
        <v>X</v>
      </c>
      <c r="AA115" s="2" t="str">
        <f t="shared" si="15"/>
        <v/>
      </c>
      <c r="AB115" s="2" t="str">
        <f t="shared" si="16"/>
        <v/>
      </c>
      <c r="AC115" s="2" t="str">
        <f t="shared" si="17"/>
        <v/>
      </c>
      <c r="AD115" s="2" t="str">
        <f t="shared" si="18"/>
        <v>(0)</v>
      </c>
      <c r="AE115" s="2" t="str">
        <f t="shared" si="19"/>
        <v/>
      </c>
      <c r="AF115" s="2" t="str">
        <f t="shared" si="20"/>
        <v/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416</v>
      </c>
      <c r="D116" s="2" t="s">
        <v>1</v>
      </c>
      <c r="E116" s="2" t="s">
        <v>134</v>
      </c>
      <c r="F116" s="2" t="s">
        <v>450</v>
      </c>
      <c r="G116" s="2" t="s">
        <v>451</v>
      </c>
      <c r="H116" s="2" t="s">
        <v>486</v>
      </c>
      <c r="I116" s="2" t="s">
        <v>42</v>
      </c>
      <c r="J116" s="2">
        <v>1</v>
      </c>
      <c r="K116" s="2" t="s">
        <v>82</v>
      </c>
      <c r="L116" s="2" t="s">
        <v>41</v>
      </c>
      <c r="M116" s="2" t="s">
        <v>135</v>
      </c>
      <c r="N116" s="2" t="s">
        <v>420</v>
      </c>
      <c r="O116" s="2" t="s">
        <v>487</v>
      </c>
      <c r="P116" s="2" t="s">
        <v>5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352</v>
      </c>
      <c r="T116" s="2" t="str">
        <f t="shared" si="23"/>
        <v>0160</v>
      </c>
      <c r="U116" s="2">
        <f t="shared" si="24"/>
        <v>88</v>
      </c>
      <c r="V116" s="2" t="str">
        <f t="shared" si="25"/>
        <v>058</v>
      </c>
      <c r="W116" s="2" t="str">
        <f t="shared" si="26"/>
        <v/>
      </c>
      <c r="X116" s="2" t="str">
        <f t="shared" si="27"/>
        <v/>
      </c>
      <c r="Y116" s="2" t="str">
        <f t="shared" si="28"/>
        <v/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/>
      </c>
      <c r="AD116" s="2" t="str">
        <f t="shared" si="18"/>
        <v>(0)</v>
      </c>
      <c r="AE116" s="2" t="str">
        <f t="shared" si="19"/>
        <v/>
      </c>
      <c r="AF116" s="2" t="str">
        <f t="shared" si="20"/>
        <v/>
      </c>
      <c r="AG116" s="2" t="str">
        <f t="shared" si="21"/>
        <v/>
      </c>
      <c r="AH116" s="2" t="str">
        <f t="shared" si="22"/>
        <v/>
      </c>
    </row>
    <row r="117" spans="2:34" x14ac:dyDescent="0.25">
      <c r="B117" s="2" t="s">
        <v>416</v>
      </c>
      <c r="D117" s="2" t="s">
        <v>1</v>
      </c>
      <c r="E117" s="2" t="s">
        <v>134</v>
      </c>
      <c r="F117" s="2" t="s">
        <v>450</v>
      </c>
      <c r="G117" s="2" t="s">
        <v>451</v>
      </c>
      <c r="H117" s="2" t="s">
        <v>488</v>
      </c>
      <c r="I117" s="2" t="s">
        <v>42</v>
      </c>
      <c r="J117" s="2">
        <v>1</v>
      </c>
      <c r="K117" s="2" t="s">
        <v>82</v>
      </c>
      <c r="L117" s="2" t="s">
        <v>41</v>
      </c>
      <c r="M117" s="2" t="s">
        <v>135</v>
      </c>
      <c r="N117" s="2" t="s">
        <v>420</v>
      </c>
      <c r="O117" s="2" t="s">
        <v>489</v>
      </c>
      <c r="P117" s="2" t="s">
        <v>5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356</v>
      </c>
      <c r="T117" s="2" t="str">
        <f t="shared" si="23"/>
        <v>0164</v>
      </c>
      <c r="U117" s="2">
        <f t="shared" si="24"/>
        <v>89</v>
      </c>
      <c r="V117" s="2" t="str">
        <f t="shared" si="25"/>
        <v>059</v>
      </c>
      <c r="W117" s="2" t="str">
        <f t="shared" si="26"/>
        <v/>
      </c>
      <c r="X117" s="2" t="str">
        <f t="shared" si="27"/>
        <v/>
      </c>
      <c r="Y117" s="2" t="str">
        <f t="shared" si="28"/>
        <v/>
      </c>
      <c r="Z117" s="2" t="str">
        <f t="shared" si="29"/>
        <v>X</v>
      </c>
      <c r="AA117" s="2" t="str">
        <f t="shared" si="15"/>
        <v/>
      </c>
      <c r="AB117" s="2" t="str">
        <f t="shared" si="16"/>
        <v/>
      </c>
      <c r="AC117" s="2" t="str">
        <f t="shared" si="17"/>
        <v/>
      </c>
      <c r="AD117" s="2" t="str">
        <f t="shared" si="18"/>
        <v>(0)</v>
      </c>
      <c r="AE117" s="2" t="str">
        <f t="shared" si="19"/>
        <v/>
      </c>
      <c r="AF117" s="2" t="str">
        <f t="shared" si="20"/>
        <v/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416</v>
      </c>
      <c r="D118" s="2" t="s">
        <v>1</v>
      </c>
      <c r="E118" s="2" t="s">
        <v>134</v>
      </c>
      <c r="F118" s="2" t="s">
        <v>450</v>
      </c>
      <c r="G118" s="2" t="s">
        <v>451</v>
      </c>
      <c r="H118" s="2" t="s">
        <v>490</v>
      </c>
      <c r="I118" s="2" t="s">
        <v>42</v>
      </c>
      <c r="J118" s="2">
        <v>1</v>
      </c>
      <c r="K118" s="2" t="s">
        <v>82</v>
      </c>
      <c r="L118" s="2" t="s">
        <v>41</v>
      </c>
      <c r="M118" s="2" t="s">
        <v>135</v>
      </c>
      <c r="N118" s="2" t="s">
        <v>420</v>
      </c>
      <c r="O118" s="2" t="s">
        <v>491</v>
      </c>
      <c r="P118" s="2" t="s">
        <v>5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360</v>
      </c>
      <c r="T118" s="2" t="str">
        <f t="shared" si="23"/>
        <v>0168</v>
      </c>
      <c r="U118" s="2">
        <f t="shared" si="24"/>
        <v>90</v>
      </c>
      <c r="V118" s="2" t="str">
        <f t="shared" si="25"/>
        <v>05A</v>
      </c>
      <c r="W118" s="2" t="str">
        <f t="shared" si="26"/>
        <v/>
      </c>
      <c r="X118" s="2" t="str">
        <f t="shared" si="27"/>
        <v/>
      </c>
      <c r="Y118" s="2" t="str">
        <f t="shared" si="28"/>
        <v/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/>
      </c>
      <c r="AD118" s="2" t="str">
        <f t="shared" si="18"/>
        <v>(0)</v>
      </c>
      <c r="AE118" s="2" t="str">
        <f t="shared" si="19"/>
        <v/>
      </c>
      <c r="AF118" s="2" t="str">
        <f t="shared" si="20"/>
        <v/>
      </c>
      <c r="AG118" s="2" t="str">
        <f t="shared" si="21"/>
        <v/>
      </c>
      <c r="AH118" s="2" t="str">
        <f t="shared" si="22"/>
        <v/>
      </c>
    </row>
    <row r="119" spans="2:34" x14ac:dyDescent="0.25">
      <c r="B119" s="2" t="s">
        <v>416</v>
      </c>
      <c r="D119" s="2" t="s">
        <v>1</v>
      </c>
      <c r="E119" s="2" t="s">
        <v>134</v>
      </c>
      <c r="F119" s="2" t="s">
        <v>450</v>
      </c>
      <c r="G119" s="2" t="s">
        <v>451</v>
      </c>
      <c r="H119" s="2" t="s">
        <v>492</v>
      </c>
      <c r="I119" s="2" t="s">
        <v>42</v>
      </c>
      <c r="J119" s="2">
        <v>1</v>
      </c>
      <c r="K119" s="2" t="s">
        <v>82</v>
      </c>
      <c r="L119" s="2" t="s">
        <v>41</v>
      </c>
      <c r="M119" s="2" t="s">
        <v>135</v>
      </c>
      <c r="N119" s="2" t="s">
        <v>420</v>
      </c>
      <c r="O119" s="2" t="s">
        <v>493</v>
      </c>
      <c r="P119" s="2" t="s">
        <v>5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364</v>
      </c>
      <c r="T119" s="2" t="str">
        <f t="shared" si="23"/>
        <v>016C</v>
      </c>
      <c r="U119" s="2">
        <f t="shared" si="24"/>
        <v>91</v>
      </c>
      <c r="V119" s="2" t="str">
        <f t="shared" si="25"/>
        <v>05B</v>
      </c>
      <c r="W119" s="2" t="str">
        <f t="shared" si="26"/>
        <v/>
      </c>
      <c r="X119" s="2" t="str">
        <f t="shared" si="27"/>
        <v/>
      </c>
      <c r="Y119" s="2" t="str">
        <f t="shared" si="28"/>
        <v/>
      </c>
      <c r="Z119" s="2" t="str">
        <f t="shared" si="29"/>
        <v>X</v>
      </c>
      <c r="AA119" s="2" t="str">
        <f t="shared" si="15"/>
        <v/>
      </c>
      <c r="AB119" s="2" t="str">
        <f t="shared" si="16"/>
        <v/>
      </c>
      <c r="AC119" s="2" t="str">
        <f t="shared" si="17"/>
        <v/>
      </c>
      <c r="AD119" s="2" t="str">
        <f t="shared" si="18"/>
        <v>(0)</v>
      </c>
      <c r="AE119" s="2" t="str">
        <f t="shared" si="19"/>
        <v/>
      </c>
      <c r="AF119" s="2" t="str">
        <f t="shared" si="20"/>
        <v/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416</v>
      </c>
      <c r="D120" s="2" t="s">
        <v>1</v>
      </c>
      <c r="E120" s="2" t="s">
        <v>134</v>
      </c>
      <c r="F120" s="2" t="s">
        <v>494</v>
      </c>
      <c r="G120" s="2" t="s">
        <v>495</v>
      </c>
      <c r="H120" s="2" t="s">
        <v>496</v>
      </c>
      <c r="I120" s="2" t="s">
        <v>42</v>
      </c>
      <c r="J120" s="2">
        <v>2</v>
      </c>
      <c r="K120" s="2" t="s">
        <v>137</v>
      </c>
      <c r="L120" s="2" t="s">
        <v>41</v>
      </c>
      <c r="M120" s="2" t="s">
        <v>135</v>
      </c>
      <c r="N120" s="2" t="s">
        <v>420</v>
      </c>
      <c r="O120" s="2" t="s">
        <v>497</v>
      </c>
      <c r="P120" s="2" t="s">
        <v>48</v>
      </c>
      <c r="Q120" s="2">
        <f>INDEX(Tables!$C$4:$C$28,MATCH($P120,Tables!$B$4:$B$28,0))</f>
        <v>8</v>
      </c>
      <c r="R120" s="2">
        <f>INDEX(Tables!$D$4:$D$28,MATCH($P120,Tables!$B$4:$B$28,0))</f>
        <v>1</v>
      </c>
      <c r="S120" s="2">
        <f>$S119+$R119+INDEX(Tables!$N$5:$Q$8,MATCH(MOD($S119+$R119,4),Tables!$M$5:$M$8,0),MATCH($R120,Tables!$N$4:$Q$4,0))</f>
        <v>368</v>
      </c>
      <c r="T120" s="2" t="str">
        <f t="shared" si="23"/>
        <v>0170</v>
      </c>
      <c r="U120" s="2">
        <f t="shared" si="24"/>
        <v>92</v>
      </c>
      <c r="V120" s="2" t="str">
        <f t="shared" si="25"/>
        <v>05C</v>
      </c>
      <c r="W120" s="2" t="str">
        <f t="shared" si="26"/>
        <v/>
      </c>
      <c r="X120" s="2" t="str">
        <f t="shared" si="27"/>
        <v/>
      </c>
      <c r="Y120" s="2" t="str">
        <f t="shared" si="28"/>
        <v/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/>
      </c>
      <c r="AD120" s="2" t="str">
        <f t="shared" si="18"/>
        <v>(1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/>
      </c>
      <c r="AH120" s="2" t="str">
        <f t="shared" si="22"/>
        <v/>
      </c>
    </row>
    <row r="121" spans="2:34" x14ac:dyDescent="0.25">
      <c r="B121" s="2" t="s">
        <v>416</v>
      </c>
      <c r="D121" s="2" t="s">
        <v>1</v>
      </c>
      <c r="E121" s="2" t="s">
        <v>134</v>
      </c>
      <c r="F121" s="2" t="s">
        <v>494</v>
      </c>
      <c r="G121" s="2" t="s">
        <v>495</v>
      </c>
      <c r="H121" s="2" t="s">
        <v>498</v>
      </c>
      <c r="I121" s="2" t="s">
        <v>42</v>
      </c>
      <c r="J121" s="2">
        <v>14</v>
      </c>
      <c r="K121" s="2" t="s">
        <v>137</v>
      </c>
      <c r="L121" s="2" t="s">
        <v>41</v>
      </c>
      <c r="M121" s="2" t="s">
        <v>135</v>
      </c>
      <c r="N121" s="2" t="s">
        <v>420</v>
      </c>
      <c r="O121" s="2" t="s">
        <v>499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370</v>
      </c>
      <c r="T121" s="2" t="str">
        <f t="shared" si="23"/>
        <v>0172</v>
      </c>
      <c r="U121" s="2">
        <f t="shared" si="24"/>
        <v>92</v>
      </c>
      <c r="V121" s="2" t="str">
        <f t="shared" si="25"/>
        <v>05C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(29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(13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416</v>
      </c>
      <c r="D122" s="2" t="s">
        <v>1</v>
      </c>
      <c r="E122" s="2" t="s">
        <v>134</v>
      </c>
      <c r="F122" s="2" t="s">
        <v>494</v>
      </c>
      <c r="G122" s="2" t="s">
        <v>495</v>
      </c>
      <c r="H122" s="2" t="s">
        <v>500</v>
      </c>
      <c r="I122" s="2" t="s">
        <v>42</v>
      </c>
      <c r="J122" s="2">
        <v>14</v>
      </c>
      <c r="K122" s="2" t="s">
        <v>137</v>
      </c>
      <c r="L122" s="2" t="s">
        <v>41</v>
      </c>
      <c r="M122" s="2" t="s">
        <v>135</v>
      </c>
      <c r="N122" s="2" t="s">
        <v>420</v>
      </c>
      <c r="O122" s="2" t="s">
        <v>501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372</v>
      </c>
      <c r="T122" s="2" t="str">
        <f t="shared" si="23"/>
        <v>0174</v>
      </c>
      <c r="U122" s="2">
        <f t="shared" si="24"/>
        <v>93</v>
      </c>
      <c r="V122" s="2" t="str">
        <f t="shared" si="25"/>
        <v>05D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(13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(13 downto 8)</v>
      </c>
      <c r="AH122" s="2" t="str">
        <f t="shared" si="22"/>
        <v>(7 downto 0)</v>
      </c>
    </row>
    <row r="123" spans="2:34" x14ac:dyDescent="0.25">
      <c r="B123" s="2" t="s">
        <v>416</v>
      </c>
      <c r="D123" s="2" t="s">
        <v>1</v>
      </c>
      <c r="E123" s="2" t="s">
        <v>134</v>
      </c>
      <c r="F123" s="2" t="s">
        <v>502</v>
      </c>
      <c r="G123" s="2" t="s">
        <v>503</v>
      </c>
      <c r="H123" s="2" t="s">
        <v>504</v>
      </c>
      <c r="I123" s="2" t="s">
        <v>42</v>
      </c>
      <c r="J123" s="2">
        <v>8</v>
      </c>
      <c r="K123" s="2" t="s">
        <v>137</v>
      </c>
      <c r="L123" s="2" t="s">
        <v>41</v>
      </c>
      <c r="M123" s="2" t="s">
        <v>135</v>
      </c>
      <c r="N123" s="2" t="s">
        <v>420</v>
      </c>
      <c r="O123" s="2" t="s">
        <v>505</v>
      </c>
      <c r="P123" s="2" t="s">
        <v>48</v>
      </c>
      <c r="Q123" s="2">
        <f>INDEX(Tables!$C$4:$C$28,MATCH($P123,Tables!$B$4:$B$28,0))</f>
        <v>8</v>
      </c>
      <c r="R123" s="2">
        <f>INDEX(Tables!$D$4:$D$28,MATCH($P123,Tables!$B$4:$B$28,0))</f>
        <v>1</v>
      </c>
      <c r="S123" s="2">
        <f>$S122+$R122+INDEX(Tables!$N$5:$Q$8,MATCH(MOD($S122+$R122,4),Tables!$M$5:$M$8,0),MATCH($R123,Tables!$N$4:$Q$4,0))</f>
        <v>374</v>
      </c>
      <c r="T123" s="2" t="str">
        <f t="shared" si="23"/>
        <v>0176</v>
      </c>
      <c r="U123" s="2">
        <f t="shared" si="24"/>
        <v>93</v>
      </c>
      <c r="V123" s="2" t="str">
        <f t="shared" si="25"/>
        <v>05D</v>
      </c>
      <c r="W123" s="2" t="str">
        <f t="shared" si="26"/>
        <v/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/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/>
      </c>
      <c r="AF123" s="2" t="str">
        <f t="shared" si="20"/>
        <v/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416</v>
      </c>
      <c r="D124" s="2" t="s">
        <v>1</v>
      </c>
      <c r="E124" s="2" t="s">
        <v>134</v>
      </c>
      <c r="F124" s="2" t="s">
        <v>502</v>
      </c>
      <c r="G124" s="2" t="s">
        <v>503</v>
      </c>
      <c r="H124" s="2" t="s">
        <v>506</v>
      </c>
      <c r="I124" s="2" t="s">
        <v>42</v>
      </c>
      <c r="J124" s="2">
        <v>8</v>
      </c>
      <c r="K124" s="2" t="s">
        <v>137</v>
      </c>
      <c r="L124" s="2" t="s">
        <v>41</v>
      </c>
      <c r="M124" s="2" t="s">
        <v>135</v>
      </c>
      <c r="N124" s="2" t="s">
        <v>420</v>
      </c>
      <c r="O124" s="2" t="s">
        <v>507</v>
      </c>
      <c r="P124" s="2" t="s">
        <v>48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$S123+$R123+INDEX(Tables!$N$5:$Q$8,MATCH(MOD($S123+$R123,4),Tables!$M$5:$M$8,0),MATCH($R124,Tables!$N$4:$Q$4,0))</f>
        <v>375</v>
      </c>
      <c r="T124" s="2" t="str">
        <f t="shared" si="23"/>
        <v>0177</v>
      </c>
      <c r="U124" s="2">
        <f t="shared" si="24"/>
        <v>93</v>
      </c>
      <c r="V124" s="2" t="str">
        <f t="shared" si="25"/>
        <v>05D</v>
      </c>
      <c r="W124" s="2" t="str">
        <f t="shared" si="26"/>
        <v>X</v>
      </c>
      <c r="X124" s="2" t="str">
        <f t="shared" si="27"/>
        <v/>
      </c>
      <c r="Y124" s="2" t="str">
        <f t="shared" si="28"/>
        <v/>
      </c>
      <c r="Z124" s="2" t="str">
        <f t="shared" si="29"/>
        <v/>
      </c>
      <c r="AA124" s="2" t="str">
        <f t="shared" si="15"/>
        <v>(31 downto 24)</v>
      </c>
      <c r="AB124" s="2" t="str">
        <f t="shared" si="16"/>
        <v/>
      </c>
      <c r="AC124" s="2" t="str">
        <f t="shared" si="17"/>
        <v/>
      </c>
      <c r="AD124" s="2" t="str">
        <f t="shared" si="18"/>
        <v/>
      </c>
      <c r="AE124" s="2" t="str">
        <f t="shared" si="19"/>
        <v/>
      </c>
      <c r="AF124" s="2" t="str">
        <f t="shared" si="20"/>
        <v/>
      </c>
      <c r="AG124" s="2" t="str">
        <f t="shared" si="21"/>
        <v/>
      </c>
      <c r="AH124" s="2" t="str">
        <f t="shared" si="22"/>
        <v/>
      </c>
    </row>
    <row r="125" spans="2:34" x14ac:dyDescent="0.25">
      <c r="B125" s="2" t="s">
        <v>416</v>
      </c>
      <c r="D125" s="2" t="s">
        <v>1</v>
      </c>
      <c r="E125" s="2" t="s">
        <v>134</v>
      </c>
      <c r="F125" s="2" t="s">
        <v>502</v>
      </c>
      <c r="G125" s="2" t="s">
        <v>503</v>
      </c>
      <c r="H125" s="2" t="s">
        <v>508</v>
      </c>
      <c r="I125" s="2" t="s">
        <v>42</v>
      </c>
      <c r="J125" s="2">
        <v>8</v>
      </c>
      <c r="K125" s="2" t="s">
        <v>137</v>
      </c>
      <c r="L125" s="2" t="s">
        <v>41</v>
      </c>
      <c r="M125" s="2" t="s">
        <v>135</v>
      </c>
      <c r="N125" s="2" t="s">
        <v>420</v>
      </c>
      <c r="O125" s="2" t="s">
        <v>509</v>
      </c>
      <c r="P125" s="2" t="s">
        <v>48</v>
      </c>
      <c r="Q125" s="2">
        <f>INDEX(Tables!$C$4:$C$28,MATCH($P125,Tables!$B$4:$B$28,0))</f>
        <v>8</v>
      </c>
      <c r="R125" s="2">
        <f>INDEX(Tables!$D$4:$D$28,MATCH($P125,Tables!$B$4:$B$28,0))</f>
        <v>1</v>
      </c>
      <c r="S125" s="2">
        <f>$S124+$R124+INDEX(Tables!$N$5:$Q$8,MATCH(MOD($S124+$R124,4),Tables!$M$5:$M$8,0),MATCH($R125,Tables!$N$4:$Q$4,0))</f>
        <v>376</v>
      </c>
      <c r="T125" s="2" t="str">
        <f t="shared" si="23"/>
        <v>0178</v>
      </c>
      <c r="U125" s="2">
        <f t="shared" si="24"/>
        <v>94</v>
      </c>
      <c r="V125" s="2" t="str">
        <f t="shared" si="25"/>
        <v>05E</v>
      </c>
      <c r="W125" s="2" t="str">
        <f t="shared" si="26"/>
        <v/>
      </c>
      <c r="X125" s="2" t="str">
        <f t="shared" si="27"/>
        <v/>
      </c>
      <c r="Y125" s="2" t="str">
        <f t="shared" si="28"/>
        <v/>
      </c>
      <c r="Z125" s="2" t="str">
        <f t="shared" si="29"/>
        <v>X</v>
      </c>
      <c r="AA125" s="2" t="str">
        <f t="shared" si="15"/>
        <v/>
      </c>
      <c r="AB125" s="2" t="str">
        <f t="shared" si="16"/>
        <v/>
      </c>
      <c r="AC125" s="2" t="str">
        <f t="shared" si="17"/>
        <v/>
      </c>
      <c r="AD125" s="2" t="str">
        <f t="shared" si="18"/>
        <v>(7 downto 0)</v>
      </c>
      <c r="AE125" s="2" t="str">
        <f t="shared" si="19"/>
        <v/>
      </c>
      <c r="AF125" s="2" t="str">
        <f t="shared" si="20"/>
        <v/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416</v>
      </c>
      <c r="D126" s="2" t="s">
        <v>1</v>
      </c>
      <c r="E126" s="2" t="s">
        <v>134</v>
      </c>
      <c r="F126" s="2" t="s">
        <v>502</v>
      </c>
      <c r="G126" s="2" t="s">
        <v>503</v>
      </c>
      <c r="H126" s="2" t="s">
        <v>510</v>
      </c>
      <c r="I126" s="2" t="s">
        <v>42</v>
      </c>
      <c r="J126" s="2">
        <v>1</v>
      </c>
      <c r="K126" s="2" t="s">
        <v>82</v>
      </c>
      <c r="L126" s="2" t="s">
        <v>41</v>
      </c>
      <c r="M126" s="2" t="s">
        <v>135</v>
      </c>
      <c r="N126" s="2" t="s">
        <v>420</v>
      </c>
      <c r="O126" s="2" t="s">
        <v>511</v>
      </c>
      <c r="P126" s="2" t="s">
        <v>5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380</v>
      </c>
      <c r="T126" s="2" t="str">
        <f t="shared" si="23"/>
        <v>017C</v>
      </c>
      <c r="U126" s="2">
        <f t="shared" si="24"/>
        <v>95</v>
      </c>
      <c r="V126" s="2" t="str">
        <f t="shared" si="25"/>
        <v>05F</v>
      </c>
      <c r="W126" s="2" t="str">
        <f t="shared" si="26"/>
        <v/>
      </c>
      <c r="X126" s="2" t="str">
        <f t="shared" si="27"/>
        <v/>
      </c>
      <c r="Y126" s="2" t="str">
        <f t="shared" si="28"/>
        <v/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/>
      </c>
      <c r="AD126" s="2" t="str">
        <f t="shared" si="18"/>
        <v>(0)</v>
      </c>
      <c r="AE126" s="2" t="str">
        <f t="shared" si="19"/>
        <v/>
      </c>
      <c r="AF126" s="2" t="str">
        <f t="shared" si="20"/>
        <v/>
      </c>
      <c r="AG126" s="2" t="str">
        <f t="shared" si="21"/>
        <v/>
      </c>
      <c r="AH126" s="2" t="str">
        <f t="shared" si="22"/>
        <v/>
      </c>
    </row>
    <row r="127" spans="2:34" x14ac:dyDescent="0.25">
      <c r="B127" s="2" t="s">
        <v>416</v>
      </c>
      <c r="D127" s="2" t="s">
        <v>1</v>
      </c>
      <c r="E127" s="2" t="s">
        <v>134</v>
      </c>
      <c r="F127" s="2" t="s">
        <v>502</v>
      </c>
      <c r="G127" s="2" t="s">
        <v>503</v>
      </c>
      <c r="H127" s="2" t="s">
        <v>512</v>
      </c>
      <c r="I127" s="2" t="s">
        <v>42</v>
      </c>
      <c r="J127" s="2">
        <v>1</v>
      </c>
      <c r="K127" s="2" t="s">
        <v>82</v>
      </c>
      <c r="L127" s="2" t="s">
        <v>41</v>
      </c>
      <c r="M127" s="2" t="s">
        <v>135</v>
      </c>
      <c r="N127" s="2" t="s">
        <v>420</v>
      </c>
      <c r="O127" s="2" t="s">
        <v>513</v>
      </c>
      <c r="P127" s="2" t="s">
        <v>5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384</v>
      </c>
      <c r="T127" s="2" t="str">
        <f t="shared" si="23"/>
        <v>0180</v>
      </c>
      <c r="U127" s="2">
        <f t="shared" si="24"/>
        <v>96</v>
      </c>
      <c r="V127" s="2" t="str">
        <f t="shared" si="25"/>
        <v>060</v>
      </c>
      <c r="W127" s="2" t="str">
        <f t="shared" si="26"/>
        <v/>
      </c>
      <c r="X127" s="2" t="str">
        <f t="shared" si="27"/>
        <v/>
      </c>
      <c r="Y127" s="2" t="str">
        <f t="shared" si="28"/>
        <v/>
      </c>
      <c r="Z127" s="2" t="str">
        <f t="shared" si="29"/>
        <v>X</v>
      </c>
      <c r="AA127" s="2" t="str">
        <f t="shared" si="15"/>
        <v/>
      </c>
      <c r="AB127" s="2" t="str">
        <f t="shared" si="16"/>
        <v/>
      </c>
      <c r="AC127" s="2" t="str">
        <f t="shared" si="17"/>
        <v/>
      </c>
      <c r="AD127" s="2" t="str">
        <f t="shared" si="18"/>
        <v>(0)</v>
      </c>
      <c r="AE127" s="2" t="str">
        <f t="shared" si="19"/>
        <v/>
      </c>
      <c r="AF127" s="2" t="str">
        <f t="shared" si="20"/>
        <v/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416</v>
      </c>
      <c r="D128" s="2" t="s">
        <v>1</v>
      </c>
      <c r="E128" s="2" t="s">
        <v>134</v>
      </c>
      <c r="F128" s="2" t="s">
        <v>502</v>
      </c>
      <c r="G128" s="2" t="s">
        <v>503</v>
      </c>
      <c r="H128" s="2" t="s">
        <v>514</v>
      </c>
      <c r="I128" s="2" t="s">
        <v>42</v>
      </c>
      <c r="J128" s="2">
        <v>1</v>
      </c>
      <c r="K128" s="2" t="s">
        <v>82</v>
      </c>
      <c r="L128" s="2" t="s">
        <v>41</v>
      </c>
      <c r="M128" s="2" t="s">
        <v>135</v>
      </c>
      <c r="N128" s="2" t="s">
        <v>420</v>
      </c>
      <c r="O128" s="2" t="s">
        <v>515</v>
      </c>
      <c r="P128" s="2" t="s">
        <v>5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388</v>
      </c>
      <c r="T128" s="2" t="str">
        <f t="shared" si="23"/>
        <v>0184</v>
      </c>
      <c r="U128" s="2">
        <f t="shared" si="24"/>
        <v>97</v>
      </c>
      <c r="V128" s="2" t="str">
        <f t="shared" si="25"/>
        <v>061</v>
      </c>
      <c r="W128" s="2" t="str">
        <f t="shared" si="26"/>
        <v/>
      </c>
      <c r="X128" s="2" t="str">
        <f t="shared" si="27"/>
        <v/>
      </c>
      <c r="Y128" s="2" t="str">
        <f t="shared" si="28"/>
        <v/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/>
      </c>
      <c r="AD128" s="2" t="str">
        <f t="shared" si="18"/>
        <v>(0)</v>
      </c>
      <c r="AE128" s="2" t="str">
        <f t="shared" si="19"/>
        <v/>
      </c>
      <c r="AF128" s="2" t="str">
        <f t="shared" si="20"/>
        <v/>
      </c>
      <c r="AG128" s="2" t="str">
        <f t="shared" si="21"/>
        <v/>
      </c>
      <c r="AH128" s="2" t="str">
        <f t="shared" si="22"/>
        <v/>
      </c>
    </row>
    <row r="129" spans="2:34" x14ac:dyDescent="0.25">
      <c r="B129" s="2" t="s">
        <v>416</v>
      </c>
      <c r="D129" s="2" t="s">
        <v>1</v>
      </c>
      <c r="E129" s="2" t="s">
        <v>134</v>
      </c>
      <c r="F129" s="2" t="s">
        <v>502</v>
      </c>
      <c r="G129" s="2" t="s">
        <v>503</v>
      </c>
      <c r="H129" s="2" t="s">
        <v>516</v>
      </c>
      <c r="I129" s="2" t="s">
        <v>42</v>
      </c>
      <c r="J129" s="2">
        <v>1</v>
      </c>
      <c r="K129" s="2" t="s">
        <v>82</v>
      </c>
      <c r="L129" s="2" t="s">
        <v>41</v>
      </c>
      <c r="M129" s="2" t="s">
        <v>135</v>
      </c>
      <c r="N129" s="2" t="s">
        <v>420</v>
      </c>
      <c r="O129" s="2" t="s">
        <v>517</v>
      </c>
      <c r="P129" s="2" t="s">
        <v>5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392</v>
      </c>
      <c r="T129" s="2" t="str">
        <f t="shared" si="23"/>
        <v>0188</v>
      </c>
      <c r="U129" s="2">
        <f t="shared" si="24"/>
        <v>98</v>
      </c>
      <c r="V129" s="2" t="str">
        <f t="shared" si="25"/>
        <v>062</v>
      </c>
      <c r="W129" s="2" t="str">
        <f t="shared" si="26"/>
        <v/>
      </c>
      <c r="X129" s="2" t="str">
        <f t="shared" si="27"/>
        <v/>
      </c>
      <c r="Y129" s="2" t="str">
        <f t="shared" si="28"/>
        <v/>
      </c>
      <c r="Z129" s="2" t="str">
        <f t="shared" si="29"/>
        <v>X</v>
      </c>
      <c r="AA129" s="2" t="str">
        <f t="shared" si="15"/>
        <v/>
      </c>
      <c r="AB129" s="2" t="str">
        <f t="shared" si="16"/>
        <v/>
      </c>
      <c r="AC129" s="2" t="str">
        <f t="shared" si="17"/>
        <v/>
      </c>
      <c r="AD129" s="2" t="str">
        <f t="shared" si="18"/>
        <v>(0)</v>
      </c>
      <c r="AE129" s="2" t="str">
        <f t="shared" si="19"/>
        <v/>
      </c>
      <c r="AF129" s="2" t="str">
        <f t="shared" si="20"/>
        <v/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416</v>
      </c>
      <c r="D130" s="2" t="s">
        <v>1</v>
      </c>
      <c r="E130" s="2" t="s">
        <v>134</v>
      </c>
      <c r="F130" s="2" t="s">
        <v>502</v>
      </c>
      <c r="G130" s="2" t="s">
        <v>503</v>
      </c>
      <c r="H130" s="2" t="s">
        <v>518</v>
      </c>
      <c r="I130" s="2" t="s">
        <v>42</v>
      </c>
      <c r="J130" s="2">
        <v>1</v>
      </c>
      <c r="K130" s="2" t="s">
        <v>82</v>
      </c>
      <c r="L130" s="2" t="s">
        <v>41</v>
      </c>
      <c r="M130" s="2" t="s">
        <v>135</v>
      </c>
      <c r="N130" s="2" t="s">
        <v>420</v>
      </c>
      <c r="O130" s="2" t="s">
        <v>519</v>
      </c>
      <c r="P130" s="2" t="s">
        <v>5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396</v>
      </c>
      <c r="T130" s="2" t="str">
        <f t="shared" si="23"/>
        <v>018C</v>
      </c>
      <c r="U130" s="2">
        <f t="shared" si="24"/>
        <v>99</v>
      </c>
      <c r="V130" s="2" t="str">
        <f t="shared" si="25"/>
        <v>063</v>
      </c>
      <c r="W130" s="2" t="str">
        <f t="shared" si="26"/>
        <v/>
      </c>
      <c r="X130" s="2" t="str">
        <f t="shared" si="27"/>
        <v/>
      </c>
      <c r="Y130" s="2" t="str">
        <f t="shared" si="28"/>
        <v/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/>
      </c>
      <c r="AD130" s="2" t="str">
        <f t="shared" si="18"/>
        <v>(0)</v>
      </c>
      <c r="AE130" s="2" t="str">
        <f t="shared" si="19"/>
        <v/>
      </c>
      <c r="AF130" s="2" t="str">
        <f t="shared" si="20"/>
        <v/>
      </c>
      <c r="AG130" s="2" t="str">
        <f t="shared" si="21"/>
        <v/>
      </c>
      <c r="AH130" s="2" t="str">
        <f t="shared" si="22"/>
        <v/>
      </c>
    </row>
    <row r="131" spans="2:34" x14ac:dyDescent="0.25">
      <c r="B131" s="2" t="s">
        <v>416</v>
      </c>
      <c r="D131" s="2" t="s">
        <v>1</v>
      </c>
      <c r="E131" s="2" t="s">
        <v>134</v>
      </c>
      <c r="F131" s="2" t="s">
        <v>520</v>
      </c>
      <c r="G131" s="2" t="s">
        <v>521</v>
      </c>
      <c r="H131" s="2" t="s">
        <v>522</v>
      </c>
      <c r="I131" s="2" t="s">
        <v>42</v>
      </c>
      <c r="J131" s="2">
        <v>12</v>
      </c>
      <c r="K131" s="2" t="s">
        <v>137</v>
      </c>
      <c r="L131" s="2" t="s">
        <v>41</v>
      </c>
      <c r="M131" s="2" t="s">
        <v>135</v>
      </c>
      <c r="N131" s="2" t="s">
        <v>420</v>
      </c>
      <c r="O131" s="2" t="s">
        <v>523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400</v>
      </c>
      <c r="T131" s="2" t="str">
        <f t="shared" si="23"/>
        <v>0190</v>
      </c>
      <c r="U131" s="2">
        <f t="shared" si="24"/>
        <v>100</v>
      </c>
      <c r="V131" s="2" t="str">
        <f t="shared" si="25"/>
        <v>064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15"/>
        <v/>
      </c>
      <c r="AB131" s="2" t="str">
        <f t="shared" si="16"/>
        <v/>
      </c>
      <c r="AC131" s="2" t="str">
        <f t="shared" si="17"/>
        <v>(11 downto 8)</v>
      </c>
      <c r="AD131" s="2" t="str">
        <f t="shared" si="18"/>
        <v>(7 downto 0)</v>
      </c>
      <c r="AE131" s="2" t="str">
        <f t="shared" si="19"/>
        <v/>
      </c>
      <c r="AF131" s="2" t="str">
        <f t="shared" si="20"/>
        <v/>
      </c>
      <c r="AG131" s="2" t="str">
        <f t="shared" si="21"/>
        <v>(11 downto 8)</v>
      </c>
      <c r="AH131" s="2" t="str">
        <f t="shared" si="22"/>
        <v>(7 downto 0)</v>
      </c>
    </row>
    <row r="132" spans="2:34" x14ac:dyDescent="0.25">
      <c r="B132" s="2" t="s">
        <v>416</v>
      </c>
      <c r="D132" s="2" t="s">
        <v>1</v>
      </c>
      <c r="E132" s="2" t="s">
        <v>134</v>
      </c>
      <c r="F132" s="2" t="s">
        <v>520</v>
      </c>
      <c r="G132" s="2" t="s">
        <v>521</v>
      </c>
      <c r="H132" s="2" t="s">
        <v>524</v>
      </c>
      <c r="I132" s="2" t="s">
        <v>42</v>
      </c>
      <c r="J132" s="2">
        <v>12</v>
      </c>
      <c r="K132" s="2" t="s">
        <v>137</v>
      </c>
      <c r="L132" s="2" t="s">
        <v>41</v>
      </c>
      <c r="M132" s="2" t="s">
        <v>135</v>
      </c>
      <c r="N132" s="2" t="s">
        <v>420</v>
      </c>
      <c r="O132" s="2" t="s">
        <v>525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402</v>
      </c>
      <c r="T132" s="2" t="str">
        <f t="shared" si="23"/>
        <v>0192</v>
      </c>
      <c r="U132" s="2">
        <f t="shared" si="24"/>
        <v>100</v>
      </c>
      <c r="V132" s="2" t="str">
        <f t="shared" si="25"/>
        <v>064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>(27 downto 24)</v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>(23 downto 16)</v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/>
      </c>
      <c r="AD132" s="2" t="str">
        <f t="shared" ref="AD132:AD169" si="33">IF(Z132="","",CONCATENATE("(",IF($J132=1,"0)",CONCATENATE(IF($J132&gt;=8,8,$J132)-1," downto 0)"))))</f>
        <v/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>(11 downto 8)</v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>(7 downto 0)</v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/>
      </c>
      <c r="AH132" s="2" t="str">
        <f t="shared" ref="AH132:AH169" si="37">IF(Z132="","",IF($J132&lt;=8,"",CONCATENATE("(",IF($J132&gt;=8,7,$J132-1)," downto ",0,")")))</f>
        <v/>
      </c>
    </row>
    <row r="133" spans="2:34" x14ac:dyDescent="0.25">
      <c r="B133" s="2" t="s">
        <v>416</v>
      </c>
      <c r="D133" s="2" t="s">
        <v>1</v>
      </c>
      <c r="E133" s="2" t="s">
        <v>134</v>
      </c>
      <c r="F133" s="2" t="s">
        <v>526</v>
      </c>
      <c r="G133" s="2" t="s">
        <v>527</v>
      </c>
      <c r="H133" s="2" t="s">
        <v>528</v>
      </c>
      <c r="I133" s="2" t="s">
        <v>42</v>
      </c>
      <c r="J133" s="2">
        <v>12</v>
      </c>
      <c r="K133" s="2" t="s">
        <v>137</v>
      </c>
      <c r="L133" s="2" t="s">
        <v>41</v>
      </c>
      <c r="M133" s="2" t="s">
        <v>135</v>
      </c>
      <c r="N133" s="2" t="s">
        <v>420</v>
      </c>
      <c r="O133" s="2" t="s">
        <v>529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404</v>
      </c>
      <c r="T133" s="2" t="str">
        <f t="shared" ref="T133:T196" si="38">DEC2HEX($S133,4)</f>
        <v>0194</v>
      </c>
      <c r="U133" s="2">
        <f t="shared" ref="U133:U169" si="39">ROUNDDOWN(S133/4,0)</f>
        <v>101</v>
      </c>
      <c r="V133" s="2" t="str">
        <f t="shared" ref="V133:V196" si="40">DEC2HEX($U133,3)</f>
        <v>065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0"/>
        <v/>
      </c>
      <c r="AB133" s="2" t="str">
        <f t="shared" si="31"/>
        <v/>
      </c>
      <c r="AC133" s="2" t="str">
        <f t="shared" si="32"/>
        <v>(11 downto 8)</v>
      </c>
      <c r="AD133" s="2" t="str">
        <f t="shared" si="33"/>
        <v>(7 downto 0)</v>
      </c>
      <c r="AE133" s="2" t="str">
        <f t="shared" si="34"/>
        <v/>
      </c>
      <c r="AF133" s="2" t="str">
        <f t="shared" si="35"/>
        <v/>
      </c>
      <c r="AG133" s="2" t="str">
        <f t="shared" si="36"/>
        <v>(11 downto 8)</v>
      </c>
      <c r="AH133" s="2" t="str">
        <f t="shared" si="37"/>
        <v>(7 downto 0)</v>
      </c>
    </row>
    <row r="134" spans="2:34" x14ac:dyDescent="0.25">
      <c r="B134" s="2" t="s">
        <v>416</v>
      </c>
      <c r="D134" s="2" t="s">
        <v>1</v>
      </c>
      <c r="E134" s="2" t="s">
        <v>134</v>
      </c>
      <c r="F134" s="2" t="s">
        <v>530</v>
      </c>
      <c r="G134" s="2" t="s">
        <v>531</v>
      </c>
      <c r="H134" s="2" t="s">
        <v>532</v>
      </c>
      <c r="I134" s="2" t="s">
        <v>42</v>
      </c>
      <c r="J134" s="2">
        <v>8</v>
      </c>
      <c r="K134" s="2" t="s">
        <v>137</v>
      </c>
      <c r="L134" s="2" t="s">
        <v>41</v>
      </c>
      <c r="M134" s="2" t="s">
        <v>135</v>
      </c>
      <c r="N134" s="2" t="s">
        <v>420</v>
      </c>
      <c r="O134" s="2" t="s">
        <v>533</v>
      </c>
      <c r="P134" s="2" t="s">
        <v>48</v>
      </c>
      <c r="Q134" s="2">
        <f>INDEX(Tables!$C$4:$C$28,MATCH($P134,Tables!$B$4:$B$28,0))</f>
        <v>8</v>
      </c>
      <c r="R134" s="2">
        <f>INDEX(Tables!$D$4:$D$28,MATCH($P134,Tables!$B$4:$B$28,0))</f>
        <v>1</v>
      </c>
      <c r="S134" s="2">
        <f>$S133+$R133+INDEX(Tables!$N$5:$Q$8,MATCH(MOD($S133+$R133,4),Tables!$M$5:$M$8,0),MATCH($R134,Tables!$N$4:$Q$4,0))</f>
        <v>406</v>
      </c>
      <c r="T134" s="2" t="str">
        <f t="shared" si="38"/>
        <v>0196</v>
      </c>
      <c r="U134" s="2">
        <f t="shared" si="39"/>
        <v>101</v>
      </c>
      <c r="V134" s="2" t="str">
        <f t="shared" si="40"/>
        <v>065</v>
      </c>
      <c r="W134" s="2" t="str">
        <f t="shared" si="41"/>
        <v/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0"/>
        <v/>
      </c>
      <c r="AB134" s="2" t="str">
        <f t="shared" si="31"/>
        <v>(23 downto 16)</v>
      </c>
      <c r="AC134" s="2" t="str">
        <f t="shared" si="32"/>
        <v/>
      </c>
      <c r="AD134" s="2" t="str">
        <f t="shared" si="33"/>
        <v/>
      </c>
      <c r="AE134" s="2" t="str">
        <f t="shared" si="34"/>
        <v/>
      </c>
      <c r="AF134" s="2" t="str">
        <f t="shared" si="35"/>
        <v/>
      </c>
      <c r="AG134" s="2" t="str">
        <f t="shared" si="36"/>
        <v/>
      </c>
      <c r="AH134" s="2" t="str">
        <f t="shared" si="37"/>
        <v/>
      </c>
    </row>
    <row r="135" spans="2:34" x14ac:dyDescent="0.25">
      <c r="B135" s="2" t="s">
        <v>416</v>
      </c>
      <c r="D135" s="2" t="s">
        <v>1</v>
      </c>
      <c r="E135" s="2" t="s">
        <v>134</v>
      </c>
      <c r="F135" s="2" t="s">
        <v>530</v>
      </c>
      <c r="G135" s="2" t="s">
        <v>531</v>
      </c>
      <c r="H135" s="2" t="s">
        <v>534</v>
      </c>
      <c r="I135" s="2" t="s">
        <v>42</v>
      </c>
      <c r="J135" s="2">
        <v>8</v>
      </c>
      <c r="K135" s="2" t="s">
        <v>137</v>
      </c>
      <c r="L135" s="2" t="s">
        <v>41</v>
      </c>
      <c r="M135" s="2" t="s">
        <v>135</v>
      </c>
      <c r="N135" s="2" t="s">
        <v>420</v>
      </c>
      <c r="O135" s="2" t="s">
        <v>535</v>
      </c>
      <c r="P135" s="2" t="s">
        <v>48</v>
      </c>
      <c r="Q135" s="2">
        <f>INDEX(Tables!$C$4:$C$28,MATCH($P135,Tables!$B$4:$B$28,0))</f>
        <v>8</v>
      </c>
      <c r="R135" s="2">
        <f>INDEX(Tables!$D$4:$D$28,MATCH($P135,Tables!$B$4:$B$28,0))</f>
        <v>1</v>
      </c>
      <c r="S135" s="2">
        <f>$S134+$R134+INDEX(Tables!$N$5:$Q$8,MATCH(MOD($S134+$R134,4),Tables!$M$5:$M$8,0),MATCH($R135,Tables!$N$4:$Q$4,0))</f>
        <v>407</v>
      </c>
      <c r="T135" s="2" t="str">
        <f t="shared" si="38"/>
        <v>0197</v>
      </c>
      <c r="U135" s="2">
        <f t="shared" si="39"/>
        <v>101</v>
      </c>
      <c r="V135" s="2" t="str">
        <f t="shared" si="40"/>
        <v>065</v>
      </c>
      <c r="W135" s="2" t="str">
        <f t="shared" si="41"/>
        <v>X</v>
      </c>
      <c r="X135" s="2" t="str">
        <f t="shared" si="27"/>
        <v/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/>
      </c>
      <c r="AC135" s="2" t="str">
        <f t="shared" si="32"/>
        <v/>
      </c>
      <c r="AD135" s="2" t="str">
        <f t="shared" si="33"/>
        <v/>
      </c>
      <c r="AE135" s="2" t="str">
        <f t="shared" si="34"/>
        <v/>
      </c>
      <c r="AF135" s="2" t="str">
        <f t="shared" si="35"/>
        <v/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416</v>
      </c>
      <c r="D136" s="2" t="s">
        <v>1</v>
      </c>
      <c r="E136" s="2" t="s">
        <v>134</v>
      </c>
      <c r="F136" s="2" t="s">
        <v>530</v>
      </c>
      <c r="G136" s="2" t="s">
        <v>531</v>
      </c>
      <c r="H136" s="2" t="s">
        <v>536</v>
      </c>
      <c r="I136" s="2" t="s">
        <v>42</v>
      </c>
      <c r="J136" s="2">
        <v>8</v>
      </c>
      <c r="K136" s="2" t="s">
        <v>137</v>
      </c>
      <c r="L136" s="2" t="s">
        <v>41</v>
      </c>
      <c r="M136" s="2" t="s">
        <v>135</v>
      </c>
      <c r="N136" s="2" t="s">
        <v>420</v>
      </c>
      <c r="O136" s="2" t="s">
        <v>537</v>
      </c>
      <c r="P136" s="2" t="s">
        <v>48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$S135+$R135+INDEX(Tables!$N$5:$Q$8,MATCH(MOD($S135+$R135,4),Tables!$M$5:$M$8,0),MATCH($R136,Tables!$N$4:$Q$4,0))</f>
        <v>408</v>
      </c>
      <c r="T136" s="2" t="str">
        <f t="shared" si="38"/>
        <v>0198</v>
      </c>
      <c r="U136" s="2">
        <f t="shared" si="39"/>
        <v>102</v>
      </c>
      <c r="V136" s="2" t="str">
        <f t="shared" si="40"/>
        <v>066</v>
      </c>
      <c r="W136" s="2" t="str">
        <f t="shared" si="41"/>
        <v/>
      </c>
      <c r="X136" s="2" t="str">
        <f t="shared" si="27"/>
        <v/>
      </c>
      <c r="Y136" s="2" t="str">
        <f t="shared" si="28"/>
        <v/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/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/>
      </c>
      <c r="AH136" s="2" t="str">
        <f t="shared" si="37"/>
        <v/>
      </c>
    </row>
    <row r="137" spans="2:34" x14ac:dyDescent="0.25">
      <c r="B137" s="2" t="s">
        <v>416</v>
      </c>
      <c r="D137" s="2" t="s">
        <v>1</v>
      </c>
      <c r="E137" s="2" t="s">
        <v>134</v>
      </c>
      <c r="F137" s="2" t="s">
        <v>530</v>
      </c>
      <c r="G137" s="2" t="s">
        <v>531</v>
      </c>
      <c r="H137" s="2" t="s">
        <v>538</v>
      </c>
      <c r="I137" s="2" t="s">
        <v>42</v>
      </c>
      <c r="J137" s="2">
        <v>8</v>
      </c>
      <c r="K137" s="2" t="s">
        <v>137</v>
      </c>
      <c r="L137" s="2" t="s">
        <v>41</v>
      </c>
      <c r="M137" s="2" t="s">
        <v>135</v>
      </c>
      <c r="N137" s="2" t="s">
        <v>420</v>
      </c>
      <c r="O137" s="2" t="s">
        <v>539</v>
      </c>
      <c r="P137" s="2" t="s">
        <v>48</v>
      </c>
      <c r="Q137" s="2">
        <f>INDEX(Tables!$C$4:$C$28,MATCH($P137,Tables!$B$4:$B$28,0))</f>
        <v>8</v>
      </c>
      <c r="R137" s="2">
        <f>INDEX(Tables!$D$4:$D$28,MATCH($P137,Tables!$B$4:$B$28,0))</f>
        <v>1</v>
      </c>
      <c r="S137" s="2">
        <f>$S136+$R136+INDEX(Tables!$N$5:$Q$8,MATCH(MOD($S136+$R136,4),Tables!$M$5:$M$8,0),MATCH($R137,Tables!$N$4:$Q$4,0))</f>
        <v>409</v>
      </c>
      <c r="T137" s="2" t="str">
        <f t="shared" si="38"/>
        <v>0199</v>
      </c>
      <c r="U137" s="2">
        <f t="shared" si="39"/>
        <v>102</v>
      </c>
      <c r="V137" s="2" t="str">
        <f t="shared" si="40"/>
        <v>066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/>
      </c>
      <c r="AA137" s="2" t="str">
        <f t="shared" si="30"/>
        <v/>
      </c>
      <c r="AB137" s="2" t="str">
        <f t="shared" si="31"/>
        <v/>
      </c>
      <c r="AC137" s="2" t="str">
        <f t="shared" si="32"/>
        <v>(15 downto 8)</v>
      </c>
      <c r="AD137" s="2" t="str">
        <f t="shared" si="33"/>
        <v/>
      </c>
      <c r="AE137" s="2" t="str">
        <f t="shared" si="34"/>
        <v/>
      </c>
      <c r="AF137" s="2" t="str">
        <f t="shared" si="35"/>
        <v/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416</v>
      </c>
      <c r="D138" s="2" t="s">
        <v>1</v>
      </c>
      <c r="E138" s="2" t="s">
        <v>134</v>
      </c>
      <c r="F138" s="2" t="s">
        <v>540</v>
      </c>
      <c r="G138" s="2" t="s">
        <v>541</v>
      </c>
      <c r="H138" s="2" t="s">
        <v>542</v>
      </c>
      <c r="I138" s="2" t="s">
        <v>42</v>
      </c>
      <c r="J138" s="2">
        <v>8</v>
      </c>
      <c r="K138" s="2" t="s">
        <v>137</v>
      </c>
      <c r="L138" s="2" t="s">
        <v>41</v>
      </c>
      <c r="M138" s="2" t="s">
        <v>135</v>
      </c>
      <c r="N138" s="2" t="s">
        <v>420</v>
      </c>
      <c r="O138" s="2" t="s">
        <v>543</v>
      </c>
      <c r="P138" s="2" t="s">
        <v>48</v>
      </c>
      <c r="Q138" s="2">
        <f>INDEX(Tables!$C$4:$C$28,MATCH($P138,Tables!$B$4:$B$28,0))</f>
        <v>8</v>
      </c>
      <c r="R138" s="2">
        <f>INDEX(Tables!$D$4:$D$28,MATCH($P138,Tables!$B$4:$B$28,0))</f>
        <v>1</v>
      </c>
      <c r="S138" s="2">
        <f>$S137+$R137+INDEX(Tables!$N$5:$Q$8,MATCH(MOD($S137+$R137,4),Tables!$M$5:$M$8,0),MATCH($R138,Tables!$N$4:$Q$4,0))</f>
        <v>410</v>
      </c>
      <c r="T138" s="2" t="str">
        <f t="shared" si="38"/>
        <v>019A</v>
      </c>
      <c r="U138" s="2">
        <f t="shared" si="39"/>
        <v>102</v>
      </c>
      <c r="V138" s="2" t="str">
        <f t="shared" si="40"/>
        <v>066</v>
      </c>
      <c r="W138" s="2" t="str">
        <f t="shared" si="41"/>
        <v/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0"/>
        <v/>
      </c>
      <c r="AB138" s="2" t="str">
        <f t="shared" si="31"/>
        <v>(23 downto 16)</v>
      </c>
      <c r="AC138" s="2" t="str">
        <f t="shared" si="32"/>
        <v/>
      </c>
      <c r="AD138" s="2" t="str">
        <f t="shared" si="33"/>
        <v/>
      </c>
      <c r="AE138" s="2" t="str">
        <f t="shared" si="34"/>
        <v/>
      </c>
      <c r="AF138" s="2" t="str">
        <f t="shared" si="35"/>
        <v/>
      </c>
      <c r="AG138" s="2" t="str">
        <f t="shared" si="36"/>
        <v/>
      </c>
      <c r="AH138" s="2" t="str">
        <f t="shared" si="37"/>
        <v/>
      </c>
    </row>
    <row r="139" spans="2:34" x14ac:dyDescent="0.25">
      <c r="B139" s="2" t="s">
        <v>416</v>
      </c>
      <c r="D139" s="2" t="s">
        <v>1</v>
      </c>
      <c r="E139" s="2" t="s">
        <v>134</v>
      </c>
      <c r="F139" s="2" t="s">
        <v>540</v>
      </c>
      <c r="G139" s="2" t="s">
        <v>541</v>
      </c>
      <c r="H139" s="2" t="s">
        <v>544</v>
      </c>
      <c r="I139" s="2" t="s">
        <v>42</v>
      </c>
      <c r="J139" s="2">
        <v>8</v>
      </c>
      <c r="K139" s="2" t="s">
        <v>137</v>
      </c>
      <c r="L139" s="2" t="s">
        <v>41</v>
      </c>
      <c r="M139" s="2" t="s">
        <v>135</v>
      </c>
      <c r="N139" s="2" t="s">
        <v>420</v>
      </c>
      <c r="O139" s="2" t="s">
        <v>545</v>
      </c>
      <c r="P139" s="2" t="s">
        <v>48</v>
      </c>
      <c r="Q139" s="2">
        <f>INDEX(Tables!$C$4:$C$28,MATCH($P139,Tables!$B$4:$B$28,0))</f>
        <v>8</v>
      </c>
      <c r="R139" s="2">
        <f>INDEX(Tables!$D$4:$D$28,MATCH($P139,Tables!$B$4:$B$28,0))</f>
        <v>1</v>
      </c>
      <c r="S139" s="2">
        <f>$S138+$R138+INDEX(Tables!$N$5:$Q$8,MATCH(MOD($S138+$R138,4),Tables!$M$5:$M$8,0),MATCH($R139,Tables!$N$4:$Q$4,0))</f>
        <v>411</v>
      </c>
      <c r="T139" s="2" t="str">
        <f t="shared" si="38"/>
        <v>019B</v>
      </c>
      <c r="U139" s="2">
        <f t="shared" si="39"/>
        <v>102</v>
      </c>
      <c r="V139" s="2" t="str">
        <f t="shared" si="40"/>
        <v>066</v>
      </c>
      <c r="W139" s="2" t="str">
        <f t="shared" si="41"/>
        <v>X</v>
      </c>
      <c r="X139" s="2" t="str">
        <f t="shared" si="27"/>
        <v/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/>
      </c>
      <c r="AC139" s="2" t="str">
        <f t="shared" si="32"/>
        <v/>
      </c>
      <c r="AD139" s="2" t="str">
        <f t="shared" si="33"/>
        <v/>
      </c>
      <c r="AE139" s="2" t="str">
        <f t="shared" si="34"/>
        <v/>
      </c>
      <c r="AF139" s="2" t="str">
        <f t="shared" si="35"/>
        <v/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416</v>
      </c>
      <c r="D140" s="2" t="s">
        <v>1</v>
      </c>
      <c r="E140" s="2" t="s">
        <v>134</v>
      </c>
      <c r="F140" s="2" t="s">
        <v>540</v>
      </c>
      <c r="G140" s="2" t="s">
        <v>541</v>
      </c>
      <c r="H140" s="2" t="s">
        <v>546</v>
      </c>
      <c r="I140" s="2" t="s">
        <v>42</v>
      </c>
      <c r="J140" s="2">
        <v>8</v>
      </c>
      <c r="K140" s="2" t="s">
        <v>137</v>
      </c>
      <c r="L140" s="2" t="s">
        <v>41</v>
      </c>
      <c r="M140" s="2" t="s">
        <v>135</v>
      </c>
      <c r="N140" s="2" t="s">
        <v>420</v>
      </c>
      <c r="O140" s="2" t="s">
        <v>547</v>
      </c>
      <c r="P140" s="2" t="s">
        <v>48</v>
      </c>
      <c r="Q140" s="2">
        <f>INDEX(Tables!$C$4:$C$28,MATCH($P140,Tables!$B$4:$B$28,0))</f>
        <v>8</v>
      </c>
      <c r="R140" s="2">
        <f>INDEX(Tables!$D$4:$D$28,MATCH($P140,Tables!$B$4:$B$28,0))</f>
        <v>1</v>
      </c>
      <c r="S140" s="2">
        <f>$S139+$R139+INDEX(Tables!$N$5:$Q$8,MATCH(MOD($S139+$R139,4),Tables!$M$5:$M$8,0),MATCH($R140,Tables!$N$4:$Q$4,0))</f>
        <v>412</v>
      </c>
      <c r="T140" s="2" t="str">
        <f t="shared" si="38"/>
        <v>019C</v>
      </c>
      <c r="U140" s="2">
        <f t="shared" si="39"/>
        <v>103</v>
      </c>
      <c r="V140" s="2" t="str">
        <f t="shared" si="40"/>
        <v>067</v>
      </c>
      <c r="W140" s="2" t="str">
        <f t="shared" si="41"/>
        <v/>
      </c>
      <c r="X140" s="2" t="str">
        <f t="shared" si="27"/>
        <v/>
      </c>
      <c r="Y140" s="2" t="str">
        <f t="shared" si="28"/>
        <v/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/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/>
      </c>
      <c r="AH140" s="2" t="str">
        <f t="shared" si="37"/>
        <v/>
      </c>
    </row>
    <row r="141" spans="2:34" x14ac:dyDescent="0.25">
      <c r="B141" s="2" t="s">
        <v>416</v>
      </c>
      <c r="D141" s="2" t="s">
        <v>1</v>
      </c>
      <c r="E141" s="2" t="s">
        <v>134</v>
      </c>
      <c r="F141" s="2" t="s">
        <v>540</v>
      </c>
      <c r="G141" s="2" t="s">
        <v>541</v>
      </c>
      <c r="H141" s="2" t="s">
        <v>548</v>
      </c>
      <c r="I141" s="2" t="s">
        <v>42</v>
      </c>
      <c r="J141" s="2">
        <v>8</v>
      </c>
      <c r="K141" s="2" t="s">
        <v>137</v>
      </c>
      <c r="L141" s="2" t="s">
        <v>41</v>
      </c>
      <c r="M141" s="2" t="s">
        <v>135</v>
      </c>
      <c r="N141" s="2" t="s">
        <v>420</v>
      </c>
      <c r="O141" s="2" t="s">
        <v>549</v>
      </c>
      <c r="P141" s="2" t="s">
        <v>48</v>
      </c>
      <c r="Q141" s="2">
        <f>INDEX(Tables!$C$4:$C$28,MATCH($P141,Tables!$B$4:$B$28,0))</f>
        <v>8</v>
      </c>
      <c r="R141" s="2">
        <f>INDEX(Tables!$D$4:$D$28,MATCH($P141,Tables!$B$4:$B$28,0))</f>
        <v>1</v>
      </c>
      <c r="S141" s="2">
        <f>$S140+$R140+INDEX(Tables!$N$5:$Q$8,MATCH(MOD($S140+$R140,4),Tables!$M$5:$M$8,0),MATCH($R141,Tables!$N$4:$Q$4,0))</f>
        <v>413</v>
      </c>
      <c r="T141" s="2" t="str">
        <f t="shared" si="38"/>
        <v>019D</v>
      </c>
      <c r="U141" s="2">
        <f t="shared" si="39"/>
        <v>103</v>
      </c>
      <c r="V141" s="2" t="str">
        <f t="shared" si="40"/>
        <v>067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/>
      </c>
      <c r="AA141" s="2" t="str">
        <f t="shared" si="30"/>
        <v/>
      </c>
      <c r="AB141" s="2" t="str">
        <f t="shared" si="31"/>
        <v/>
      </c>
      <c r="AC141" s="2" t="str">
        <f t="shared" si="32"/>
        <v>(15 downto 8)</v>
      </c>
      <c r="AD141" s="2" t="str">
        <f t="shared" si="33"/>
        <v/>
      </c>
      <c r="AE141" s="2" t="str">
        <f t="shared" si="34"/>
        <v/>
      </c>
      <c r="AF141" s="2" t="str">
        <f t="shared" si="35"/>
        <v/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416</v>
      </c>
      <c r="D142" s="2" t="s">
        <v>1</v>
      </c>
      <c r="E142" s="2" t="s">
        <v>134</v>
      </c>
      <c r="F142" s="2" t="s">
        <v>550</v>
      </c>
      <c r="G142" s="2" t="s">
        <v>551</v>
      </c>
      <c r="H142" s="2" t="s">
        <v>552</v>
      </c>
      <c r="I142" s="2" t="s">
        <v>42</v>
      </c>
      <c r="J142" s="2">
        <v>8</v>
      </c>
      <c r="K142" s="2" t="s">
        <v>137</v>
      </c>
      <c r="L142" s="2" t="s">
        <v>41</v>
      </c>
      <c r="M142" s="2" t="s">
        <v>135</v>
      </c>
      <c r="N142" s="2" t="s">
        <v>420</v>
      </c>
      <c r="O142" s="2" t="s">
        <v>553</v>
      </c>
      <c r="P142" s="2" t="s">
        <v>48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414</v>
      </c>
      <c r="T142" s="2" t="str">
        <f t="shared" si="38"/>
        <v>019E</v>
      </c>
      <c r="U142" s="2">
        <f t="shared" si="39"/>
        <v>103</v>
      </c>
      <c r="V142" s="2" t="str">
        <f t="shared" si="40"/>
        <v>067</v>
      </c>
      <c r="W142" s="2" t="str">
        <f t="shared" si="41"/>
        <v/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0"/>
        <v/>
      </c>
      <c r="AB142" s="2" t="str">
        <f t="shared" si="31"/>
        <v>(23 downto 16)</v>
      </c>
      <c r="AC142" s="2" t="str">
        <f t="shared" si="32"/>
        <v/>
      </c>
      <c r="AD142" s="2" t="str">
        <f t="shared" si="33"/>
        <v/>
      </c>
      <c r="AE142" s="2" t="str">
        <f t="shared" si="34"/>
        <v/>
      </c>
      <c r="AF142" s="2" t="str">
        <f t="shared" si="35"/>
        <v/>
      </c>
      <c r="AG142" s="2" t="str">
        <f t="shared" si="36"/>
        <v/>
      </c>
      <c r="AH142" s="2" t="str">
        <f t="shared" si="37"/>
        <v/>
      </c>
    </row>
    <row r="143" spans="2:34" x14ac:dyDescent="0.25">
      <c r="B143" s="2" t="s">
        <v>416</v>
      </c>
      <c r="D143" s="2" t="s">
        <v>1</v>
      </c>
      <c r="E143" s="2" t="s">
        <v>134</v>
      </c>
      <c r="F143" s="2" t="s">
        <v>550</v>
      </c>
      <c r="G143" s="2" t="s">
        <v>551</v>
      </c>
      <c r="H143" s="2" t="s">
        <v>554</v>
      </c>
      <c r="I143" s="2" t="s">
        <v>42</v>
      </c>
      <c r="J143" s="2">
        <v>8</v>
      </c>
      <c r="K143" s="2" t="s">
        <v>137</v>
      </c>
      <c r="L143" s="2" t="s">
        <v>41</v>
      </c>
      <c r="M143" s="2" t="s">
        <v>135</v>
      </c>
      <c r="N143" s="2" t="s">
        <v>420</v>
      </c>
      <c r="O143" s="2" t="s">
        <v>555</v>
      </c>
      <c r="P143" s="2" t="s">
        <v>48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415</v>
      </c>
      <c r="T143" s="2" t="str">
        <f t="shared" si="38"/>
        <v>019F</v>
      </c>
      <c r="U143" s="2">
        <f t="shared" si="39"/>
        <v>103</v>
      </c>
      <c r="V143" s="2" t="str">
        <f t="shared" si="40"/>
        <v>067</v>
      </c>
      <c r="W143" s="2" t="str">
        <f t="shared" si="41"/>
        <v>X</v>
      </c>
      <c r="X143" s="2" t="str">
        <f t="shared" si="27"/>
        <v/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/>
      </c>
      <c r="AC143" s="2" t="str">
        <f t="shared" si="32"/>
        <v/>
      </c>
      <c r="AD143" s="2" t="str">
        <f t="shared" si="33"/>
        <v/>
      </c>
      <c r="AE143" s="2" t="str">
        <f t="shared" si="34"/>
        <v/>
      </c>
      <c r="AF143" s="2" t="str">
        <f t="shared" si="35"/>
        <v/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556</v>
      </c>
      <c r="D144" s="2" t="s">
        <v>1</v>
      </c>
      <c r="E144" s="2" t="s">
        <v>134</v>
      </c>
      <c r="F144" s="2" t="s">
        <v>557</v>
      </c>
      <c r="G144" s="2" t="s">
        <v>558</v>
      </c>
      <c r="H144" s="2" t="s">
        <v>559</v>
      </c>
      <c r="I144" s="2" t="s">
        <v>42</v>
      </c>
      <c r="J144" s="2">
        <v>1</v>
      </c>
      <c r="K144" s="2" t="s">
        <v>82</v>
      </c>
      <c r="L144" s="2" t="s">
        <v>41</v>
      </c>
      <c r="M144" s="2" t="s">
        <v>135</v>
      </c>
      <c r="N144" s="2" t="s">
        <v>560</v>
      </c>
      <c r="O144" s="2" t="s">
        <v>561</v>
      </c>
      <c r="P144" s="2" t="s">
        <v>5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416</v>
      </c>
      <c r="T144" s="2" t="str">
        <f t="shared" si="38"/>
        <v>01A0</v>
      </c>
      <c r="U144" s="2">
        <f t="shared" si="39"/>
        <v>104</v>
      </c>
      <c r="V144" s="2" t="str">
        <f t="shared" si="40"/>
        <v>068</v>
      </c>
      <c r="W144" s="2" t="str">
        <f t="shared" si="41"/>
        <v/>
      </c>
      <c r="X144" s="2" t="str">
        <f t="shared" si="27"/>
        <v/>
      </c>
      <c r="Y144" s="2" t="str">
        <f t="shared" si="28"/>
        <v/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/>
      </c>
      <c r="AD144" s="2" t="str">
        <f t="shared" si="33"/>
        <v>(0)</v>
      </c>
      <c r="AE144" s="2" t="str">
        <f t="shared" si="34"/>
        <v/>
      </c>
      <c r="AF144" s="2" t="str">
        <f t="shared" si="35"/>
        <v/>
      </c>
      <c r="AG144" s="2" t="str">
        <f t="shared" si="36"/>
        <v/>
      </c>
      <c r="AH144" s="2" t="str">
        <f t="shared" si="37"/>
        <v/>
      </c>
    </row>
    <row r="145" spans="2:34" x14ac:dyDescent="0.25">
      <c r="B145" s="2" t="s">
        <v>556</v>
      </c>
      <c r="D145" s="2" t="s">
        <v>1</v>
      </c>
      <c r="E145" s="2" t="s">
        <v>134</v>
      </c>
      <c r="F145" s="2" t="s">
        <v>557</v>
      </c>
      <c r="G145" s="2" t="s">
        <v>558</v>
      </c>
      <c r="H145" s="2" t="s">
        <v>562</v>
      </c>
      <c r="I145" s="2" t="s">
        <v>42</v>
      </c>
      <c r="J145" s="2">
        <v>1</v>
      </c>
      <c r="K145" s="2" t="s">
        <v>136</v>
      </c>
      <c r="L145" s="2" t="s">
        <v>41</v>
      </c>
      <c r="M145" s="2" t="s">
        <v>135</v>
      </c>
      <c r="N145" s="2" t="s">
        <v>560</v>
      </c>
      <c r="O145" s="2" t="s">
        <v>563</v>
      </c>
      <c r="P145" s="2" t="s">
        <v>5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420</v>
      </c>
      <c r="T145" s="2" t="str">
        <f t="shared" si="38"/>
        <v>01A4</v>
      </c>
      <c r="U145" s="2">
        <f t="shared" si="39"/>
        <v>105</v>
      </c>
      <c r="V145" s="2" t="str">
        <f t="shared" si="40"/>
        <v>069</v>
      </c>
      <c r="W145" s="2" t="str">
        <f t="shared" si="41"/>
        <v/>
      </c>
      <c r="X145" s="2" t="str">
        <f t="shared" si="27"/>
        <v/>
      </c>
      <c r="Y145" s="2" t="str">
        <f t="shared" si="28"/>
        <v/>
      </c>
      <c r="Z145" s="2" t="str">
        <f t="shared" si="29"/>
        <v>X</v>
      </c>
      <c r="AA145" s="2" t="str">
        <f t="shared" si="30"/>
        <v/>
      </c>
      <c r="AB145" s="2" t="str">
        <f t="shared" si="31"/>
        <v/>
      </c>
      <c r="AC145" s="2" t="str">
        <f t="shared" si="32"/>
        <v/>
      </c>
      <c r="AD145" s="2" t="str">
        <f t="shared" si="33"/>
        <v>(0)</v>
      </c>
      <c r="AE145" s="2" t="str">
        <f t="shared" si="34"/>
        <v/>
      </c>
      <c r="AF145" s="2" t="str">
        <f t="shared" si="35"/>
        <v/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556</v>
      </c>
      <c r="D146" s="2" t="s">
        <v>1</v>
      </c>
      <c r="E146" s="2" t="s">
        <v>134</v>
      </c>
      <c r="F146" s="2" t="s">
        <v>557</v>
      </c>
      <c r="G146" s="2" t="s">
        <v>558</v>
      </c>
      <c r="H146" s="2" t="s">
        <v>564</v>
      </c>
      <c r="I146" s="2" t="s">
        <v>42</v>
      </c>
      <c r="J146" s="2">
        <v>1</v>
      </c>
      <c r="K146" s="2" t="s">
        <v>82</v>
      </c>
      <c r="L146" s="2" t="s">
        <v>41</v>
      </c>
      <c r="M146" s="2" t="s">
        <v>135</v>
      </c>
      <c r="N146" s="2" t="s">
        <v>560</v>
      </c>
      <c r="O146" s="2" t="s">
        <v>565</v>
      </c>
      <c r="P146" s="2" t="s">
        <v>5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424</v>
      </c>
      <c r="T146" s="2" t="str">
        <f t="shared" si="38"/>
        <v>01A8</v>
      </c>
      <c r="U146" s="2">
        <f t="shared" si="39"/>
        <v>106</v>
      </c>
      <c r="V146" s="2" t="str">
        <f t="shared" si="40"/>
        <v>06A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556</v>
      </c>
      <c r="D147" s="2" t="s">
        <v>1</v>
      </c>
      <c r="E147" s="2" t="s">
        <v>134</v>
      </c>
      <c r="F147" s="2" t="s">
        <v>557</v>
      </c>
      <c r="G147" s="2" t="s">
        <v>558</v>
      </c>
      <c r="H147" s="2" t="s">
        <v>566</v>
      </c>
      <c r="I147" s="2" t="s">
        <v>42</v>
      </c>
      <c r="J147" s="2">
        <v>1</v>
      </c>
      <c r="K147" s="2" t="s">
        <v>136</v>
      </c>
      <c r="L147" s="2" t="s">
        <v>41</v>
      </c>
      <c r="M147" s="2" t="s">
        <v>135</v>
      </c>
      <c r="N147" s="2" t="s">
        <v>560</v>
      </c>
      <c r="O147" s="2" t="s">
        <v>567</v>
      </c>
      <c r="P147" s="2" t="s">
        <v>5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428</v>
      </c>
      <c r="T147" s="2" t="str">
        <f t="shared" si="38"/>
        <v>01AC</v>
      </c>
      <c r="U147" s="2">
        <f t="shared" si="39"/>
        <v>107</v>
      </c>
      <c r="V147" s="2" t="str">
        <f t="shared" si="40"/>
        <v>06B</v>
      </c>
      <c r="W147" s="2" t="str">
        <f t="shared" si="41"/>
        <v/>
      </c>
      <c r="X147" s="2" t="str">
        <f t="shared" ref="X147:X210" si="42">IF(MOD($S147,4)=2,"X",IF(AND(MOD($S147,4)=1,$J147&gt;8),"X",IF(AND(MOD($S147,4)=0,$J147&gt;16),"X","")))</f>
        <v/>
      </c>
      <c r="Y147" s="2" t="str">
        <f t="shared" ref="Y147:Y210" si="43">IF(MOD($S147,4)=1,"X",IF(AND(MOD($S147,4)=0,$J147&gt;8),"X",""))</f>
        <v/>
      </c>
      <c r="Z147" s="2" t="str">
        <f t="shared" ref="Z147:Z210" si="44">IF(MOD($S147,4)=0,"X","")</f>
        <v>X</v>
      </c>
      <c r="AA147" s="2" t="str">
        <f t="shared" si="30"/>
        <v/>
      </c>
      <c r="AB147" s="2" t="str">
        <f t="shared" si="31"/>
        <v/>
      </c>
      <c r="AC147" s="2" t="str">
        <f t="shared" si="32"/>
        <v/>
      </c>
      <c r="AD147" s="2" t="str">
        <f t="shared" si="33"/>
        <v>(0)</v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556</v>
      </c>
      <c r="D148" s="2" t="s">
        <v>1</v>
      </c>
      <c r="E148" s="2" t="s">
        <v>134</v>
      </c>
      <c r="F148" s="2" t="s">
        <v>557</v>
      </c>
      <c r="G148" s="2" t="s">
        <v>558</v>
      </c>
      <c r="H148" s="2" t="s">
        <v>568</v>
      </c>
      <c r="I148" s="2" t="s">
        <v>42</v>
      </c>
      <c r="J148" s="2">
        <v>1</v>
      </c>
      <c r="K148" s="2" t="s">
        <v>82</v>
      </c>
      <c r="L148" s="2" t="s">
        <v>41</v>
      </c>
      <c r="M148" s="2" t="s">
        <v>135</v>
      </c>
      <c r="N148" s="2" t="s">
        <v>560</v>
      </c>
      <c r="O148" s="2" t="s">
        <v>569</v>
      </c>
      <c r="P148" s="2" t="s">
        <v>5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432</v>
      </c>
      <c r="T148" s="2" t="str">
        <f t="shared" si="38"/>
        <v>01B0</v>
      </c>
      <c r="U148" s="2">
        <f t="shared" si="39"/>
        <v>108</v>
      </c>
      <c r="V148" s="2" t="str">
        <f t="shared" si="40"/>
        <v>06C</v>
      </c>
      <c r="W148" s="2" t="str">
        <f t="shared" si="41"/>
        <v/>
      </c>
      <c r="X148" s="2" t="str">
        <f t="shared" si="42"/>
        <v/>
      </c>
      <c r="Y148" s="2" t="str">
        <f t="shared" si="43"/>
        <v/>
      </c>
      <c r="Z148" s="2" t="str">
        <f t="shared" si="44"/>
        <v>X</v>
      </c>
      <c r="AA148" s="2" t="str">
        <f t="shared" si="30"/>
        <v/>
      </c>
      <c r="AB148" s="2" t="str">
        <f t="shared" si="31"/>
        <v/>
      </c>
      <c r="AC148" s="2" t="str">
        <f t="shared" si="32"/>
        <v/>
      </c>
      <c r="AD148" s="2" t="str">
        <f t="shared" si="33"/>
        <v>(0)</v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556</v>
      </c>
      <c r="D149" s="2" t="s">
        <v>1</v>
      </c>
      <c r="E149" s="2" t="s">
        <v>134</v>
      </c>
      <c r="F149" s="2" t="s">
        <v>557</v>
      </c>
      <c r="G149" s="2" t="s">
        <v>558</v>
      </c>
      <c r="H149" s="2" t="s">
        <v>570</v>
      </c>
      <c r="I149" s="2" t="s">
        <v>42</v>
      </c>
      <c r="J149" s="2">
        <v>1</v>
      </c>
      <c r="K149" s="2" t="s">
        <v>136</v>
      </c>
      <c r="L149" s="2" t="s">
        <v>41</v>
      </c>
      <c r="M149" s="2" t="s">
        <v>135</v>
      </c>
      <c r="N149" s="2" t="s">
        <v>560</v>
      </c>
      <c r="O149" s="2" t="s">
        <v>571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436</v>
      </c>
      <c r="T149" s="2" t="str">
        <f t="shared" si="38"/>
        <v>01B4</v>
      </c>
      <c r="U149" s="2">
        <f t="shared" si="39"/>
        <v>109</v>
      </c>
      <c r="V149" s="2" t="str">
        <f t="shared" si="40"/>
        <v>06D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556</v>
      </c>
      <c r="D150" s="2" t="s">
        <v>1</v>
      </c>
      <c r="E150" s="2" t="s">
        <v>134</v>
      </c>
      <c r="F150" s="2" t="s">
        <v>557</v>
      </c>
      <c r="G150" s="2" t="s">
        <v>558</v>
      </c>
      <c r="H150" s="2" t="s">
        <v>572</v>
      </c>
      <c r="I150" s="2" t="s">
        <v>42</v>
      </c>
      <c r="J150" s="2">
        <v>1</v>
      </c>
      <c r="K150" s="2" t="s">
        <v>136</v>
      </c>
      <c r="L150" s="2" t="s">
        <v>41</v>
      </c>
      <c r="M150" s="2" t="s">
        <v>135</v>
      </c>
      <c r="N150" s="2" t="s">
        <v>560</v>
      </c>
      <c r="O150" s="2" t="s">
        <v>573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440</v>
      </c>
      <c r="T150" s="2" t="str">
        <f t="shared" si="38"/>
        <v>01B8</v>
      </c>
      <c r="U150" s="2">
        <f t="shared" si="39"/>
        <v>110</v>
      </c>
      <c r="V150" s="2" t="str">
        <f t="shared" si="40"/>
        <v>06E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556</v>
      </c>
      <c r="D151" s="2" t="s">
        <v>1</v>
      </c>
      <c r="E151" s="2" t="s">
        <v>134</v>
      </c>
      <c r="F151" s="2" t="s">
        <v>557</v>
      </c>
      <c r="G151" s="2" t="s">
        <v>558</v>
      </c>
      <c r="H151" s="2" t="s">
        <v>574</v>
      </c>
      <c r="I151" s="2" t="s">
        <v>42</v>
      </c>
      <c r="J151" s="2">
        <v>1</v>
      </c>
      <c r="K151" s="2" t="s">
        <v>136</v>
      </c>
      <c r="L151" s="2" t="s">
        <v>41</v>
      </c>
      <c r="M151" s="2" t="s">
        <v>135</v>
      </c>
      <c r="N151" s="2" t="s">
        <v>560</v>
      </c>
      <c r="O151" s="2" t="s">
        <v>575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444</v>
      </c>
      <c r="T151" s="2" t="str">
        <f t="shared" si="38"/>
        <v>01BC</v>
      </c>
      <c r="U151" s="2">
        <f t="shared" si="39"/>
        <v>111</v>
      </c>
      <c r="V151" s="2" t="str">
        <f t="shared" si="40"/>
        <v>06F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556</v>
      </c>
      <c r="D152" s="2" t="s">
        <v>1</v>
      </c>
      <c r="E152" s="2" t="s">
        <v>134</v>
      </c>
      <c r="F152" s="2" t="s">
        <v>557</v>
      </c>
      <c r="G152" s="2" t="s">
        <v>558</v>
      </c>
      <c r="H152" s="2" t="s">
        <v>576</v>
      </c>
      <c r="I152" s="2" t="s">
        <v>42</v>
      </c>
      <c r="J152" s="2">
        <v>1</v>
      </c>
      <c r="K152" s="2" t="s">
        <v>82</v>
      </c>
      <c r="L152" s="2" t="s">
        <v>41</v>
      </c>
      <c r="M152" s="2" t="s">
        <v>135</v>
      </c>
      <c r="N152" s="2" t="s">
        <v>560</v>
      </c>
      <c r="O152" s="2" t="s">
        <v>577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448</v>
      </c>
      <c r="T152" s="2" t="str">
        <f t="shared" si="38"/>
        <v>01C0</v>
      </c>
      <c r="U152" s="2">
        <f t="shared" si="39"/>
        <v>112</v>
      </c>
      <c r="V152" s="2" t="str">
        <f t="shared" si="40"/>
        <v>070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556</v>
      </c>
      <c r="D153" s="2" t="s">
        <v>1</v>
      </c>
      <c r="E153" s="2" t="s">
        <v>134</v>
      </c>
      <c r="F153" s="2" t="s">
        <v>557</v>
      </c>
      <c r="G153" s="2" t="s">
        <v>558</v>
      </c>
      <c r="H153" s="2" t="s">
        <v>578</v>
      </c>
      <c r="I153" s="2" t="s">
        <v>42</v>
      </c>
      <c r="J153" s="2">
        <v>1</v>
      </c>
      <c r="K153" s="2" t="s">
        <v>82</v>
      </c>
      <c r="L153" s="2" t="s">
        <v>41</v>
      </c>
      <c r="M153" s="2" t="s">
        <v>135</v>
      </c>
      <c r="N153" s="2" t="s">
        <v>560</v>
      </c>
      <c r="O153" s="2" t="s">
        <v>579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452</v>
      </c>
      <c r="T153" s="2" t="str">
        <f t="shared" si="38"/>
        <v>01C4</v>
      </c>
      <c r="U153" s="2">
        <f t="shared" si="39"/>
        <v>113</v>
      </c>
      <c r="V153" s="2" t="str">
        <f t="shared" si="40"/>
        <v>071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556</v>
      </c>
      <c r="D154" s="2" t="s">
        <v>1</v>
      </c>
      <c r="E154" s="2" t="s">
        <v>134</v>
      </c>
      <c r="F154" s="2" t="s">
        <v>557</v>
      </c>
      <c r="G154" s="2" t="s">
        <v>558</v>
      </c>
      <c r="H154" s="2" t="s">
        <v>580</v>
      </c>
      <c r="I154" s="2" t="s">
        <v>42</v>
      </c>
      <c r="J154" s="2">
        <v>1</v>
      </c>
      <c r="K154" s="2" t="s">
        <v>82</v>
      </c>
      <c r="L154" s="2" t="s">
        <v>41</v>
      </c>
      <c r="M154" s="2" t="s">
        <v>135</v>
      </c>
      <c r="N154" s="2" t="s">
        <v>560</v>
      </c>
      <c r="O154" s="2" t="s">
        <v>581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456</v>
      </c>
      <c r="T154" s="2" t="str">
        <f t="shared" si="38"/>
        <v>01C8</v>
      </c>
      <c r="U154" s="2">
        <f t="shared" si="39"/>
        <v>114</v>
      </c>
      <c r="V154" s="2" t="str">
        <f t="shared" si="40"/>
        <v>072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556</v>
      </c>
      <c r="D155" s="2" t="s">
        <v>1</v>
      </c>
      <c r="E155" s="2" t="s">
        <v>134</v>
      </c>
      <c r="F155" s="2" t="s">
        <v>557</v>
      </c>
      <c r="G155" s="2" t="s">
        <v>558</v>
      </c>
      <c r="H155" s="2" t="s">
        <v>582</v>
      </c>
      <c r="I155" s="2" t="s">
        <v>42</v>
      </c>
      <c r="J155" s="2">
        <v>1</v>
      </c>
      <c r="K155" s="2" t="s">
        <v>82</v>
      </c>
      <c r="L155" s="2" t="s">
        <v>41</v>
      </c>
      <c r="M155" s="2" t="s">
        <v>135</v>
      </c>
      <c r="N155" s="2" t="s">
        <v>560</v>
      </c>
      <c r="O155" s="2" t="s">
        <v>583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460</v>
      </c>
      <c r="T155" s="2" t="str">
        <f t="shared" si="38"/>
        <v>01CC</v>
      </c>
      <c r="U155" s="2">
        <f t="shared" si="39"/>
        <v>115</v>
      </c>
      <c r="V155" s="2" t="str">
        <f t="shared" si="40"/>
        <v>073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556</v>
      </c>
      <c r="D156" s="2" t="s">
        <v>1</v>
      </c>
      <c r="E156" s="2" t="s">
        <v>134</v>
      </c>
      <c r="F156" s="2" t="s">
        <v>557</v>
      </c>
      <c r="G156" s="2" t="s">
        <v>558</v>
      </c>
      <c r="H156" s="2" t="s">
        <v>584</v>
      </c>
      <c r="I156" s="2" t="s">
        <v>42</v>
      </c>
      <c r="J156" s="2">
        <v>1</v>
      </c>
      <c r="K156" s="2" t="s">
        <v>82</v>
      </c>
      <c r="L156" s="2" t="s">
        <v>41</v>
      </c>
      <c r="M156" s="2" t="s">
        <v>135</v>
      </c>
      <c r="N156" s="2" t="s">
        <v>560</v>
      </c>
      <c r="O156" s="2" t="s">
        <v>585</v>
      </c>
      <c r="P156" s="2" t="s">
        <v>5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464</v>
      </c>
      <c r="T156" s="2" t="str">
        <f t="shared" si="38"/>
        <v>01D0</v>
      </c>
      <c r="U156" s="2">
        <f t="shared" si="39"/>
        <v>116</v>
      </c>
      <c r="V156" s="2" t="str">
        <f t="shared" si="40"/>
        <v>074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30"/>
        <v/>
      </c>
      <c r="AB156" s="2" t="str">
        <f t="shared" si="31"/>
        <v/>
      </c>
      <c r="AC156" s="2" t="str">
        <f t="shared" si="32"/>
        <v/>
      </c>
      <c r="AD156" s="2" t="str">
        <f t="shared" si="33"/>
        <v>(0)</v>
      </c>
      <c r="AE156" s="2" t="str">
        <f t="shared" si="34"/>
        <v/>
      </c>
      <c r="AF156" s="2" t="str">
        <f t="shared" si="35"/>
        <v/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556</v>
      </c>
      <c r="D157" s="2" t="s">
        <v>1</v>
      </c>
      <c r="E157" s="2" t="s">
        <v>134</v>
      </c>
      <c r="F157" s="2" t="s">
        <v>557</v>
      </c>
      <c r="G157" s="2" t="s">
        <v>558</v>
      </c>
      <c r="H157" s="2" t="s">
        <v>586</v>
      </c>
      <c r="I157" s="2" t="s">
        <v>42</v>
      </c>
      <c r="J157" s="2">
        <v>1</v>
      </c>
      <c r="K157" s="2" t="s">
        <v>82</v>
      </c>
      <c r="L157" s="2" t="s">
        <v>41</v>
      </c>
      <c r="M157" s="2" t="s">
        <v>135</v>
      </c>
      <c r="N157" s="2" t="s">
        <v>560</v>
      </c>
      <c r="O157" s="2" t="s">
        <v>587</v>
      </c>
      <c r="P157" s="2" t="s">
        <v>5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468</v>
      </c>
      <c r="T157" s="2" t="str">
        <f t="shared" si="38"/>
        <v>01D4</v>
      </c>
      <c r="U157" s="2">
        <f t="shared" si="39"/>
        <v>117</v>
      </c>
      <c r="V157" s="2" t="str">
        <f t="shared" si="40"/>
        <v>075</v>
      </c>
      <c r="W157" s="2" t="str">
        <f t="shared" si="41"/>
        <v/>
      </c>
      <c r="X157" s="2" t="str">
        <f t="shared" si="42"/>
        <v/>
      </c>
      <c r="Y157" s="2" t="str">
        <f t="shared" si="43"/>
        <v/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/>
      </c>
      <c r="AD157" s="2" t="str">
        <f t="shared" si="33"/>
        <v>(0)</v>
      </c>
      <c r="AE157" s="2" t="str">
        <f t="shared" si="34"/>
        <v/>
      </c>
      <c r="AF157" s="2" t="str">
        <f t="shared" si="35"/>
        <v/>
      </c>
      <c r="AG157" s="2" t="str">
        <f t="shared" si="36"/>
        <v/>
      </c>
      <c r="AH157" s="2" t="str">
        <f t="shared" si="37"/>
        <v/>
      </c>
    </row>
    <row r="158" spans="2:34" x14ac:dyDescent="0.25">
      <c r="B158" s="2" t="s">
        <v>556</v>
      </c>
      <c r="D158" s="2" t="s">
        <v>1</v>
      </c>
      <c r="E158" s="2" t="s">
        <v>134</v>
      </c>
      <c r="F158" s="2" t="s">
        <v>557</v>
      </c>
      <c r="G158" s="2" t="s">
        <v>558</v>
      </c>
      <c r="H158" s="2" t="s">
        <v>588</v>
      </c>
      <c r="I158" s="2" t="s">
        <v>42</v>
      </c>
      <c r="J158" s="2">
        <v>1</v>
      </c>
      <c r="K158" s="2" t="s">
        <v>82</v>
      </c>
      <c r="L158" s="2" t="s">
        <v>41</v>
      </c>
      <c r="M158" s="2" t="s">
        <v>135</v>
      </c>
      <c r="N158" s="2" t="s">
        <v>560</v>
      </c>
      <c r="O158" s="2" t="s">
        <v>589</v>
      </c>
      <c r="P158" s="2" t="s">
        <v>5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472</v>
      </c>
      <c r="T158" s="2" t="str">
        <f t="shared" si="38"/>
        <v>01D8</v>
      </c>
      <c r="U158" s="2">
        <f t="shared" si="39"/>
        <v>118</v>
      </c>
      <c r="V158" s="2" t="str">
        <f t="shared" si="40"/>
        <v>076</v>
      </c>
      <c r="W158" s="2" t="str">
        <f t="shared" si="41"/>
        <v/>
      </c>
      <c r="X158" s="2" t="str">
        <f t="shared" si="42"/>
        <v/>
      </c>
      <c r="Y158" s="2" t="str">
        <f t="shared" si="43"/>
        <v/>
      </c>
      <c r="Z158" s="2" t="str">
        <f t="shared" si="44"/>
        <v>X</v>
      </c>
      <c r="AA158" s="2" t="str">
        <f t="shared" si="30"/>
        <v/>
      </c>
      <c r="AB158" s="2" t="str">
        <f t="shared" si="31"/>
        <v/>
      </c>
      <c r="AC158" s="2" t="str">
        <f t="shared" si="32"/>
        <v/>
      </c>
      <c r="AD158" s="2" t="str">
        <f t="shared" si="33"/>
        <v>(0)</v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556</v>
      </c>
      <c r="D159" s="2" t="s">
        <v>1</v>
      </c>
      <c r="E159" s="2" t="s">
        <v>134</v>
      </c>
      <c r="F159" s="2" t="s">
        <v>557</v>
      </c>
      <c r="G159" s="2" t="s">
        <v>558</v>
      </c>
      <c r="H159" s="2" t="s">
        <v>590</v>
      </c>
      <c r="I159" s="2" t="s">
        <v>42</v>
      </c>
      <c r="J159" s="2">
        <v>1</v>
      </c>
      <c r="K159" s="2" t="s">
        <v>82</v>
      </c>
      <c r="L159" s="2" t="s">
        <v>41</v>
      </c>
      <c r="M159" s="2" t="s">
        <v>135</v>
      </c>
      <c r="N159" s="2" t="s">
        <v>560</v>
      </c>
      <c r="O159" s="2" t="s">
        <v>591</v>
      </c>
      <c r="P159" s="2" t="s">
        <v>5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476</v>
      </c>
      <c r="T159" s="2" t="str">
        <f t="shared" si="38"/>
        <v>01DC</v>
      </c>
      <c r="U159" s="2">
        <f t="shared" si="39"/>
        <v>119</v>
      </c>
      <c r="V159" s="2" t="str">
        <f t="shared" si="40"/>
        <v>077</v>
      </c>
      <c r="W159" s="2" t="str">
        <f t="shared" si="41"/>
        <v/>
      </c>
      <c r="X159" s="2" t="str">
        <f t="shared" si="42"/>
        <v/>
      </c>
      <c r="Y159" s="2" t="str">
        <f t="shared" si="43"/>
        <v/>
      </c>
      <c r="Z159" s="2" t="str">
        <f t="shared" si="44"/>
        <v>X</v>
      </c>
      <c r="AA159" s="2" t="str">
        <f t="shared" si="30"/>
        <v/>
      </c>
      <c r="AB159" s="2" t="str">
        <f t="shared" si="31"/>
        <v/>
      </c>
      <c r="AC159" s="2" t="str">
        <f t="shared" si="32"/>
        <v/>
      </c>
      <c r="AD159" s="2" t="str">
        <f t="shared" si="33"/>
        <v>(0)</v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556</v>
      </c>
      <c r="D160" s="2" t="s">
        <v>1</v>
      </c>
      <c r="E160" s="2" t="s">
        <v>134</v>
      </c>
      <c r="F160" s="2" t="s">
        <v>557</v>
      </c>
      <c r="G160" s="2" t="s">
        <v>558</v>
      </c>
      <c r="H160" s="2" t="s">
        <v>592</v>
      </c>
      <c r="I160" s="2" t="s">
        <v>42</v>
      </c>
      <c r="J160" s="2">
        <v>1</v>
      </c>
      <c r="K160" s="2" t="s">
        <v>82</v>
      </c>
      <c r="L160" s="2" t="s">
        <v>41</v>
      </c>
      <c r="M160" s="2" t="s">
        <v>135</v>
      </c>
      <c r="N160" s="2" t="s">
        <v>560</v>
      </c>
      <c r="O160" s="2" t="s">
        <v>593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480</v>
      </c>
      <c r="T160" s="2" t="str">
        <f t="shared" si="38"/>
        <v>01E0</v>
      </c>
      <c r="U160" s="2">
        <f t="shared" si="39"/>
        <v>120</v>
      </c>
      <c r="V160" s="2" t="str">
        <f t="shared" si="40"/>
        <v>078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556</v>
      </c>
      <c r="D161" s="2" t="s">
        <v>1</v>
      </c>
      <c r="E161" s="2" t="s">
        <v>134</v>
      </c>
      <c r="F161" s="2" t="s">
        <v>557</v>
      </c>
      <c r="G161" s="2" t="s">
        <v>558</v>
      </c>
      <c r="H161" s="2" t="s">
        <v>594</v>
      </c>
      <c r="I161" s="2" t="s">
        <v>42</v>
      </c>
      <c r="J161" s="2">
        <v>1</v>
      </c>
      <c r="K161" s="2" t="s">
        <v>82</v>
      </c>
      <c r="L161" s="2" t="s">
        <v>41</v>
      </c>
      <c r="M161" s="2" t="s">
        <v>135</v>
      </c>
      <c r="N161" s="2" t="s">
        <v>560</v>
      </c>
      <c r="O161" s="2" t="s">
        <v>595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484</v>
      </c>
      <c r="T161" s="2" t="str">
        <f t="shared" si="38"/>
        <v>01E4</v>
      </c>
      <c r="U161" s="2">
        <f t="shared" si="39"/>
        <v>121</v>
      </c>
      <c r="V161" s="2" t="str">
        <f t="shared" si="40"/>
        <v>079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556</v>
      </c>
      <c r="D162" s="2" t="s">
        <v>1</v>
      </c>
      <c r="E162" s="2" t="s">
        <v>134</v>
      </c>
      <c r="F162" s="2" t="s">
        <v>557</v>
      </c>
      <c r="G162" s="2" t="s">
        <v>558</v>
      </c>
      <c r="H162" s="2" t="s">
        <v>596</v>
      </c>
      <c r="I162" s="2" t="s">
        <v>42</v>
      </c>
      <c r="J162" s="2">
        <v>1</v>
      </c>
      <c r="K162" s="2" t="s">
        <v>82</v>
      </c>
      <c r="L162" s="2" t="s">
        <v>41</v>
      </c>
      <c r="M162" s="2" t="s">
        <v>135</v>
      </c>
      <c r="N162" s="2" t="s">
        <v>560</v>
      </c>
      <c r="O162" s="2" t="s">
        <v>597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488</v>
      </c>
      <c r="T162" s="2" t="str">
        <f t="shared" si="38"/>
        <v>01E8</v>
      </c>
      <c r="U162" s="2">
        <f t="shared" si="39"/>
        <v>122</v>
      </c>
      <c r="V162" s="2" t="str">
        <f t="shared" si="40"/>
        <v>07A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556</v>
      </c>
      <c r="D163" s="2" t="s">
        <v>1</v>
      </c>
      <c r="E163" s="2" t="s">
        <v>134</v>
      </c>
      <c r="F163" s="2" t="s">
        <v>557</v>
      </c>
      <c r="G163" s="2" t="s">
        <v>558</v>
      </c>
      <c r="H163" s="2" t="s">
        <v>598</v>
      </c>
      <c r="I163" s="2" t="s">
        <v>42</v>
      </c>
      <c r="J163" s="2">
        <v>1</v>
      </c>
      <c r="K163" s="2" t="s">
        <v>82</v>
      </c>
      <c r="L163" s="2" t="s">
        <v>41</v>
      </c>
      <c r="M163" s="2" t="s">
        <v>135</v>
      </c>
      <c r="N163" s="2" t="s">
        <v>560</v>
      </c>
      <c r="O163" s="2" t="s">
        <v>599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492</v>
      </c>
      <c r="T163" s="2" t="str">
        <f t="shared" si="38"/>
        <v>01EC</v>
      </c>
      <c r="U163" s="2">
        <f t="shared" si="39"/>
        <v>123</v>
      </c>
      <c r="V163" s="2" t="str">
        <f t="shared" si="40"/>
        <v>07B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556</v>
      </c>
      <c r="D164" s="2" t="s">
        <v>1</v>
      </c>
      <c r="E164" s="2" t="s">
        <v>134</v>
      </c>
      <c r="F164" s="2" t="s">
        <v>557</v>
      </c>
      <c r="G164" s="2" t="s">
        <v>558</v>
      </c>
      <c r="H164" s="2" t="s">
        <v>600</v>
      </c>
      <c r="I164" s="2" t="s">
        <v>42</v>
      </c>
      <c r="J164" s="2">
        <v>1</v>
      </c>
      <c r="K164" s="26" t="s">
        <v>136</v>
      </c>
      <c r="L164" s="2" t="s">
        <v>41</v>
      </c>
      <c r="M164" s="2" t="s">
        <v>135</v>
      </c>
      <c r="N164" s="2" t="s">
        <v>560</v>
      </c>
      <c r="O164" s="2" t="s">
        <v>601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496</v>
      </c>
      <c r="T164" s="2" t="str">
        <f t="shared" si="38"/>
        <v>01F0</v>
      </c>
      <c r="U164" s="2">
        <f t="shared" si="39"/>
        <v>124</v>
      </c>
      <c r="V164" s="2" t="str">
        <f t="shared" si="40"/>
        <v>07C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556</v>
      </c>
      <c r="D165" s="2" t="s">
        <v>1</v>
      </c>
      <c r="E165" s="2" t="s">
        <v>134</v>
      </c>
      <c r="F165" s="2" t="s">
        <v>557</v>
      </c>
      <c r="G165" s="2" t="s">
        <v>558</v>
      </c>
      <c r="H165" s="2" t="s">
        <v>602</v>
      </c>
      <c r="I165" s="2" t="s">
        <v>42</v>
      </c>
      <c r="J165" s="2">
        <v>1</v>
      </c>
      <c r="K165" s="2" t="s">
        <v>136</v>
      </c>
      <c r="L165" s="2" t="s">
        <v>41</v>
      </c>
      <c r="M165" s="2" t="s">
        <v>135</v>
      </c>
      <c r="N165" s="2" t="s">
        <v>560</v>
      </c>
      <c r="O165" s="2" t="s">
        <v>603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500</v>
      </c>
      <c r="T165" s="2" t="str">
        <f t="shared" si="38"/>
        <v>01F4</v>
      </c>
      <c r="U165" s="2">
        <f t="shared" si="39"/>
        <v>125</v>
      </c>
      <c r="V165" s="2" t="str">
        <f t="shared" si="40"/>
        <v>07D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30"/>
        <v/>
      </c>
      <c r="AB165" s="2" t="str">
        <f t="shared" si="31"/>
        <v/>
      </c>
      <c r="AC165" s="2" t="str">
        <f t="shared" si="32"/>
        <v/>
      </c>
      <c r="AD165" s="2" t="str">
        <f t="shared" si="33"/>
        <v>(0)</v>
      </c>
      <c r="AE165" s="2" t="str">
        <f t="shared" si="34"/>
        <v/>
      </c>
      <c r="AF165" s="2" t="str">
        <f t="shared" si="35"/>
        <v/>
      </c>
      <c r="AG165" s="2" t="str">
        <f t="shared" si="36"/>
        <v/>
      </c>
      <c r="AH165" s="2" t="str">
        <f t="shared" si="37"/>
        <v/>
      </c>
    </row>
    <row r="166" spans="2:34" ht="14.25" customHeight="1" x14ac:dyDescent="0.25">
      <c r="B166" s="2" t="s">
        <v>556</v>
      </c>
      <c r="D166" s="2" t="s">
        <v>1</v>
      </c>
      <c r="E166" s="2" t="s">
        <v>134</v>
      </c>
      <c r="F166" s="2" t="s">
        <v>557</v>
      </c>
      <c r="G166" s="2" t="s">
        <v>558</v>
      </c>
      <c r="H166" s="2" t="s">
        <v>604</v>
      </c>
      <c r="I166" s="2" t="s">
        <v>42</v>
      </c>
      <c r="J166" s="2">
        <v>1</v>
      </c>
      <c r="K166" s="2" t="s">
        <v>82</v>
      </c>
      <c r="L166" s="2" t="s">
        <v>41</v>
      </c>
      <c r="M166" s="2" t="s">
        <v>135</v>
      </c>
      <c r="N166" s="2" t="s">
        <v>560</v>
      </c>
      <c r="O166" s="2" t="s">
        <v>605</v>
      </c>
      <c r="P166" s="2" t="s">
        <v>5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504</v>
      </c>
      <c r="T166" s="2" t="str">
        <f t="shared" si="38"/>
        <v>01F8</v>
      </c>
      <c r="U166" s="2">
        <f t="shared" si="39"/>
        <v>126</v>
      </c>
      <c r="V166" s="2" t="str">
        <f t="shared" si="40"/>
        <v>07E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556</v>
      </c>
      <c r="D167" s="2" t="s">
        <v>1</v>
      </c>
      <c r="E167" s="2" t="s">
        <v>134</v>
      </c>
      <c r="F167" s="2" t="s">
        <v>557</v>
      </c>
      <c r="G167" s="2" t="s">
        <v>558</v>
      </c>
      <c r="H167" s="2" t="s">
        <v>606</v>
      </c>
      <c r="I167" s="2" t="s">
        <v>42</v>
      </c>
      <c r="J167" s="2">
        <v>1</v>
      </c>
      <c r="K167" s="2" t="s">
        <v>82</v>
      </c>
      <c r="L167" s="2" t="s">
        <v>41</v>
      </c>
      <c r="M167" s="2" t="s">
        <v>135</v>
      </c>
      <c r="N167" s="2" t="s">
        <v>560</v>
      </c>
      <c r="O167" s="2" t="s">
        <v>607</v>
      </c>
      <c r="P167" s="2" t="s">
        <v>5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508</v>
      </c>
      <c r="T167" s="2" t="str">
        <f t="shared" si="38"/>
        <v>01FC</v>
      </c>
      <c r="U167" s="2">
        <f t="shared" si="39"/>
        <v>127</v>
      </c>
      <c r="V167" s="2" t="str">
        <f t="shared" si="40"/>
        <v>07F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30"/>
        <v/>
      </c>
      <c r="AB167" s="2" t="str">
        <f t="shared" si="31"/>
        <v/>
      </c>
      <c r="AC167" s="2" t="str">
        <f t="shared" si="32"/>
        <v/>
      </c>
      <c r="AD167" s="2" t="str">
        <f t="shared" si="33"/>
        <v>(0)</v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556</v>
      </c>
      <c r="D168" s="2" t="s">
        <v>1</v>
      </c>
      <c r="E168" s="2" t="s">
        <v>134</v>
      </c>
      <c r="F168" s="2" t="s">
        <v>557</v>
      </c>
      <c r="G168" s="2" t="s">
        <v>558</v>
      </c>
      <c r="H168" s="2" t="s">
        <v>608</v>
      </c>
      <c r="I168" s="2" t="s">
        <v>42</v>
      </c>
      <c r="J168" s="2">
        <v>1</v>
      </c>
      <c r="K168" s="2" t="s">
        <v>136</v>
      </c>
      <c r="L168" s="2" t="s">
        <v>41</v>
      </c>
      <c r="M168" s="2" t="s">
        <v>135</v>
      </c>
      <c r="N168" s="2" t="s">
        <v>560</v>
      </c>
      <c r="O168" s="2" t="s">
        <v>609</v>
      </c>
      <c r="P168" s="2" t="s">
        <v>5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512</v>
      </c>
      <c r="T168" s="2" t="str">
        <f t="shared" si="38"/>
        <v>0200</v>
      </c>
      <c r="U168" s="2">
        <f t="shared" si="39"/>
        <v>128</v>
      </c>
      <c r="V168" s="2" t="str">
        <f t="shared" si="40"/>
        <v>080</v>
      </c>
      <c r="W168" s="2" t="str">
        <f t="shared" si="41"/>
        <v/>
      </c>
      <c r="X168" s="2" t="str">
        <f t="shared" si="42"/>
        <v/>
      </c>
      <c r="Y168" s="2" t="str">
        <f t="shared" si="43"/>
        <v/>
      </c>
      <c r="Z168" s="2" t="str">
        <f t="shared" si="44"/>
        <v>X</v>
      </c>
      <c r="AA168" s="2" t="str">
        <f t="shared" si="30"/>
        <v/>
      </c>
      <c r="AB168" s="2" t="str">
        <f t="shared" si="31"/>
        <v/>
      </c>
      <c r="AC168" s="2" t="str">
        <f t="shared" si="32"/>
        <v/>
      </c>
      <c r="AD168" s="2" t="str">
        <f t="shared" si="33"/>
        <v>(0)</v>
      </c>
      <c r="AE168" s="2" t="str">
        <f t="shared" si="34"/>
        <v/>
      </c>
      <c r="AF168" s="2" t="str">
        <f t="shared" si="35"/>
        <v/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556</v>
      </c>
      <c r="D169" s="2" t="s">
        <v>1</v>
      </c>
      <c r="E169" s="2" t="s">
        <v>134</v>
      </c>
      <c r="F169" s="2" t="s">
        <v>557</v>
      </c>
      <c r="G169" s="2" t="s">
        <v>558</v>
      </c>
      <c r="H169" s="2" t="s">
        <v>610</v>
      </c>
      <c r="I169" s="2" t="s">
        <v>42</v>
      </c>
      <c r="J169" s="2">
        <v>1</v>
      </c>
      <c r="K169" s="2" t="s">
        <v>136</v>
      </c>
      <c r="L169" s="2" t="s">
        <v>41</v>
      </c>
      <c r="M169" s="2" t="s">
        <v>135</v>
      </c>
      <c r="N169" s="2" t="s">
        <v>560</v>
      </c>
      <c r="O169" s="2" t="s">
        <v>611</v>
      </c>
      <c r="P169" s="2" t="s">
        <v>5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516</v>
      </c>
      <c r="T169" s="2" t="str">
        <f t="shared" si="38"/>
        <v>0204</v>
      </c>
      <c r="U169" s="2">
        <f t="shared" si="39"/>
        <v>129</v>
      </c>
      <c r="V169" s="2" t="str">
        <f t="shared" si="40"/>
        <v>081</v>
      </c>
      <c r="W169" s="2" t="str">
        <f t="shared" si="41"/>
        <v/>
      </c>
      <c r="X169" s="2" t="str">
        <f t="shared" si="42"/>
        <v/>
      </c>
      <c r="Y169" s="2" t="str">
        <f t="shared" si="43"/>
        <v/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/>
      </c>
      <c r="AD169" s="2" t="str">
        <f t="shared" si="33"/>
        <v>(0)</v>
      </c>
      <c r="AE169" s="2" t="str">
        <f t="shared" si="34"/>
        <v/>
      </c>
      <c r="AF169" s="2" t="str">
        <f t="shared" si="35"/>
        <v/>
      </c>
      <c r="AG169" s="2" t="str">
        <f t="shared" si="36"/>
        <v/>
      </c>
      <c r="AH169" s="2" t="str">
        <f t="shared" si="37"/>
        <v/>
      </c>
    </row>
    <row r="170" spans="2:34" x14ac:dyDescent="0.25">
      <c r="B170" s="2" t="s">
        <v>556</v>
      </c>
      <c r="D170" s="2" t="s">
        <v>1</v>
      </c>
      <c r="E170" s="2" t="s">
        <v>134</v>
      </c>
      <c r="F170" s="2" t="s">
        <v>557</v>
      </c>
      <c r="G170" s="2" t="s">
        <v>558</v>
      </c>
      <c r="H170" s="2" t="s">
        <v>612</v>
      </c>
      <c r="I170" s="2" t="s">
        <v>42</v>
      </c>
      <c r="J170" s="2">
        <v>1</v>
      </c>
      <c r="K170" s="2" t="s">
        <v>136</v>
      </c>
      <c r="L170" s="2" t="s">
        <v>41</v>
      </c>
      <c r="M170" s="2" t="s">
        <v>135</v>
      </c>
      <c r="N170" s="2" t="s">
        <v>560</v>
      </c>
      <c r="O170" s="2" t="s">
        <v>613</v>
      </c>
      <c r="P170" s="2" t="s">
        <v>5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520</v>
      </c>
      <c r="T170" s="2" t="str">
        <f t="shared" si="38"/>
        <v>0208</v>
      </c>
      <c r="U170" s="2">
        <f t="shared" ref="U170:U233" si="45">ROUNDDOWN(S170/4,0)</f>
        <v>130</v>
      </c>
      <c r="V170" s="2" t="str">
        <f t="shared" si="40"/>
        <v>082</v>
      </c>
      <c r="W170" s="2" t="str">
        <f t="shared" si="41"/>
        <v/>
      </c>
      <c r="X170" s="2" t="str">
        <f t="shared" si="42"/>
        <v/>
      </c>
      <c r="Y170" s="2" t="str">
        <f t="shared" si="43"/>
        <v/>
      </c>
      <c r="Z170" s="2" t="str">
        <f t="shared" si="44"/>
        <v>X</v>
      </c>
      <c r="AA170" s="2" t="str">
        <f t="shared" ref="AA170:AA233" si="46">IF(W170="","",CONCATENATE("(",IF(($J170-COUNTIF($X170:$Z170,"X")*8)=1,"24)",CONCATENATE(IF(($J170-COUNTIF($X170:$Z170,"X")*8)&gt;=8,32,($J170-COUNTIF($X170:$Z170,"X")*8)+24)-1," downto 24)"))))</f>
        <v/>
      </c>
      <c r="AB170" s="2" t="str">
        <f t="shared" ref="AB170:AB233" si="47">IF(X170="","",CONCATENATE("(",IF(($J170-COUNTIF($Y170:$Z170,"X")*8)=1,"16)",CONCATENATE(IF(($J170-COUNTIF($Y170:$Z170,"X")*8)&gt;=8,24,($J170-COUNTIF($Y170:$Z170,"X")*8)+16)-1," downto 16)"))))</f>
        <v/>
      </c>
      <c r="AC170" s="2" t="str">
        <f t="shared" ref="AC170:AC233" si="48">IF(Y170="","",CONCATENATE("(",IF(($J170-COUNTIF($Z170,"X")*8)=1,"8)",CONCATENATE(IF(($J170-COUNTIF($Z170,"X")*8)&gt;=8,16,($J170-COUNTIF($Z170,"X")*8)+8)-1," downto 8)"))))</f>
        <v/>
      </c>
      <c r="AD170" s="2" t="str">
        <f t="shared" ref="AD170:AD233" si="49">IF(Z170="","",CONCATENATE("(",IF($J170=1,"0)",CONCATENATE(IF($J170&gt;=8,8,$J170)-1," downto 0)"))))</f>
        <v>(0)</v>
      </c>
      <c r="AE170" s="2" t="str">
        <f t="shared" ref="AE170:AE233" si="50">IF(W170="","",IF($J170&lt;=8,"",IF(($J170-COUNTIF($X170:$Z170,"X")*8)=1,CONCATENATE("(",($J170-1),")"),CONCATENATE("(",IF(($J170-COUNTIF($X170:$Z170,"X")*8)&gt;=8,COUNTIF($X170:$Z170,"X")*8+7,$J170-COUNTIF($X170:$Z170,"X")*8-1+COUNTIF($X170:$Z170,"X")*8)," downto ",COUNTIF($X170:$Z170,"X")*8,")"))))</f>
        <v/>
      </c>
      <c r="AF170" s="2" t="str">
        <f t="shared" ref="AF170:AF233" si="51">IF(X170="","",IF($J170&lt;=8,"",IF(($J170-COUNTIF($Y170:$Z170,"X")*8)=1,CONCATENATE("(",($J170-1),")"),CONCATENATE("(",IF(($J170-COUNTIF($Y170:$Z170,"X")*8)&gt;=8,COUNTIF($Y170:$Z170,"X")*8+7,$J170-COUNTIF($Y170:$Z170,"X")*8-1+COUNTIF($Y170:$Z170,"X")*8)," downto ",COUNTIF($Y170:$Z170,"X")*8,")"))))</f>
        <v/>
      </c>
      <c r="AG170" s="2" t="str">
        <f t="shared" ref="AG170:AG233" si="52">IF(Y170="","",IF($J170&lt;=8,"",IF(($J170-COUNTIF($Z170,"X")*8)=1,CONCATENATE("(",($J170-1),")"),CONCATENATE("(",IF(($J170-COUNTIF($Z170,"X")*8)&gt;=8,COUNTIF($Z170,"X")*8+7,$J170-COUNTIF($Z170,"X")*8-1+COUNTIF($Z170,"X")*8)," downto ",COUNTIF($Z170,"X")*8,")"))))</f>
        <v/>
      </c>
      <c r="AH170" s="2" t="str">
        <f t="shared" ref="AH170:AH233" si="53">IF(Z170="","",IF($J170&lt;=8,"",CONCATENATE("(",IF($J170&gt;=8,7,$J170-1)," downto ",0,")")))</f>
        <v/>
      </c>
    </row>
    <row r="171" spans="2:34" x14ac:dyDescent="0.25">
      <c r="B171" s="2" t="s">
        <v>556</v>
      </c>
      <c r="D171" s="2" t="s">
        <v>1</v>
      </c>
      <c r="E171" s="2" t="s">
        <v>134</v>
      </c>
      <c r="F171" s="2" t="s">
        <v>557</v>
      </c>
      <c r="G171" s="2" t="s">
        <v>558</v>
      </c>
      <c r="H171" s="2" t="s">
        <v>614</v>
      </c>
      <c r="I171" s="2" t="s">
        <v>42</v>
      </c>
      <c r="J171" s="2">
        <v>1</v>
      </c>
      <c r="K171" s="2" t="s">
        <v>136</v>
      </c>
      <c r="L171" s="2" t="s">
        <v>41</v>
      </c>
      <c r="M171" s="2" t="s">
        <v>135</v>
      </c>
      <c r="N171" s="2" t="s">
        <v>560</v>
      </c>
      <c r="O171" s="2" t="s">
        <v>615</v>
      </c>
      <c r="P171" s="2" t="s">
        <v>5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524</v>
      </c>
      <c r="T171" s="2" t="str">
        <f t="shared" si="38"/>
        <v>020C</v>
      </c>
      <c r="U171" s="2">
        <f t="shared" si="45"/>
        <v>131</v>
      </c>
      <c r="V171" s="2" t="str">
        <f t="shared" si="40"/>
        <v>083</v>
      </c>
      <c r="W171" s="2" t="str">
        <f t="shared" si="41"/>
        <v/>
      </c>
      <c r="X171" s="2" t="str">
        <f t="shared" si="42"/>
        <v/>
      </c>
      <c r="Y171" s="2" t="str">
        <f t="shared" si="43"/>
        <v/>
      </c>
      <c r="Z171" s="2" t="str">
        <f t="shared" si="44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556</v>
      </c>
      <c r="D172" s="2" t="s">
        <v>1</v>
      </c>
      <c r="E172" s="2" t="s">
        <v>134</v>
      </c>
      <c r="F172" s="2" t="s">
        <v>557</v>
      </c>
      <c r="G172" s="2" t="s">
        <v>558</v>
      </c>
      <c r="H172" s="2" t="s">
        <v>616</v>
      </c>
      <c r="I172" s="2" t="s">
        <v>42</v>
      </c>
      <c r="J172" s="2">
        <v>1</v>
      </c>
      <c r="K172" s="2" t="s">
        <v>82</v>
      </c>
      <c r="L172" s="2" t="s">
        <v>41</v>
      </c>
      <c r="M172" s="2" t="s">
        <v>135</v>
      </c>
      <c r="N172" s="2" t="s">
        <v>560</v>
      </c>
      <c r="O172" s="2" t="s">
        <v>617</v>
      </c>
      <c r="P172" s="2" t="s">
        <v>5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528</v>
      </c>
      <c r="T172" s="2" t="str">
        <f t="shared" si="38"/>
        <v>0210</v>
      </c>
      <c r="U172" s="2">
        <f t="shared" si="45"/>
        <v>132</v>
      </c>
      <c r="V172" s="2" t="str">
        <f t="shared" si="40"/>
        <v>084</v>
      </c>
      <c r="W172" s="2" t="str">
        <f t="shared" si="41"/>
        <v/>
      </c>
      <c r="X172" s="2" t="str">
        <f t="shared" si="42"/>
        <v/>
      </c>
      <c r="Y172" s="2" t="str">
        <f t="shared" si="43"/>
        <v/>
      </c>
      <c r="Z172" s="2" t="str">
        <f t="shared" si="44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556</v>
      </c>
      <c r="D173" s="2" t="s">
        <v>1</v>
      </c>
      <c r="E173" s="2" t="s">
        <v>134</v>
      </c>
      <c r="F173" s="2" t="s">
        <v>557</v>
      </c>
      <c r="G173" s="2" t="s">
        <v>558</v>
      </c>
      <c r="H173" s="2" t="s">
        <v>618</v>
      </c>
      <c r="I173" s="2" t="s">
        <v>42</v>
      </c>
      <c r="J173" s="2">
        <v>1</v>
      </c>
      <c r="K173" s="2" t="s">
        <v>82</v>
      </c>
      <c r="L173" s="2" t="s">
        <v>41</v>
      </c>
      <c r="M173" s="2" t="s">
        <v>135</v>
      </c>
      <c r="N173" s="2" t="s">
        <v>560</v>
      </c>
      <c r="O173" s="2" t="s">
        <v>619</v>
      </c>
      <c r="P173" s="2" t="s">
        <v>5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532</v>
      </c>
      <c r="T173" s="2" t="str">
        <f t="shared" si="38"/>
        <v>0214</v>
      </c>
      <c r="U173" s="2">
        <f t="shared" si="45"/>
        <v>133</v>
      </c>
      <c r="V173" s="2" t="str">
        <f t="shared" si="40"/>
        <v>085</v>
      </c>
      <c r="W173" s="2" t="str">
        <f t="shared" si="41"/>
        <v/>
      </c>
      <c r="X173" s="2" t="str">
        <f t="shared" si="42"/>
        <v/>
      </c>
      <c r="Y173" s="2" t="str">
        <f t="shared" si="43"/>
        <v/>
      </c>
      <c r="Z173" s="2" t="str">
        <f t="shared" si="44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556</v>
      </c>
      <c r="D174" s="2" t="s">
        <v>1</v>
      </c>
      <c r="E174" s="2" t="s">
        <v>134</v>
      </c>
      <c r="F174" s="2" t="s">
        <v>557</v>
      </c>
      <c r="G174" s="2" t="s">
        <v>558</v>
      </c>
      <c r="H174" s="2" t="s">
        <v>620</v>
      </c>
      <c r="I174" s="2" t="s">
        <v>42</v>
      </c>
      <c r="J174" s="2">
        <v>1</v>
      </c>
      <c r="K174" s="2" t="s">
        <v>82</v>
      </c>
      <c r="L174" s="2" t="s">
        <v>41</v>
      </c>
      <c r="M174" s="2" t="s">
        <v>135</v>
      </c>
      <c r="N174" s="2" t="s">
        <v>560</v>
      </c>
      <c r="O174" s="2" t="s">
        <v>621</v>
      </c>
      <c r="P174" s="2" t="s">
        <v>5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536</v>
      </c>
      <c r="T174" s="2" t="str">
        <f t="shared" si="38"/>
        <v>0218</v>
      </c>
      <c r="U174" s="2">
        <f t="shared" si="45"/>
        <v>134</v>
      </c>
      <c r="V174" s="2" t="str">
        <f t="shared" si="40"/>
        <v>086</v>
      </c>
      <c r="W174" s="2" t="str">
        <f t="shared" si="41"/>
        <v/>
      </c>
      <c r="X174" s="2" t="str">
        <f t="shared" si="42"/>
        <v/>
      </c>
      <c r="Y174" s="2" t="str">
        <f t="shared" si="43"/>
        <v/>
      </c>
      <c r="Z174" s="2" t="str">
        <f t="shared" si="44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556</v>
      </c>
      <c r="D175" s="2" t="s">
        <v>1</v>
      </c>
      <c r="E175" s="2" t="s">
        <v>134</v>
      </c>
      <c r="F175" s="2" t="s">
        <v>557</v>
      </c>
      <c r="G175" s="2" t="s">
        <v>558</v>
      </c>
      <c r="H175" s="2" t="s">
        <v>622</v>
      </c>
      <c r="I175" s="2" t="s">
        <v>42</v>
      </c>
      <c r="J175" s="2">
        <v>1</v>
      </c>
      <c r="K175" s="2" t="s">
        <v>82</v>
      </c>
      <c r="L175" s="2" t="s">
        <v>41</v>
      </c>
      <c r="M175" s="2" t="s">
        <v>135</v>
      </c>
      <c r="N175" s="2" t="s">
        <v>560</v>
      </c>
      <c r="O175" s="2" t="s">
        <v>623</v>
      </c>
      <c r="P175" s="2" t="s">
        <v>5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540</v>
      </c>
      <c r="T175" s="2" t="str">
        <f t="shared" si="38"/>
        <v>021C</v>
      </c>
      <c r="U175" s="2">
        <f t="shared" si="45"/>
        <v>135</v>
      </c>
      <c r="V175" s="2" t="str">
        <f t="shared" si="40"/>
        <v>087</v>
      </c>
      <c r="W175" s="2" t="str">
        <f t="shared" si="41"/>
        <v/>
      </c>
      <c r="X175" s="2" t="str">
        <f t="shared" si="42"/>
        <v/>
      </c>
      <c r="Y175" s="2" t="str">
        <f t="shared" si="43"/>
        <v/>
      </c>
      <c r="Z175" s="2" t="str">
        <f t="shared" si="44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556</v>
      </c>
      <c r="D176" s="2" t="s">
        <v>1</v>
      </c>
      <c r="E176" s="2" t="s">
        <v>134</v>
      </c>
      <c r="F176" s="2" t="s">
        <v>557</v>
      </c>
      <c r="G176" s="2" t="s">
        <v>558</v>
      </c>
      <c r="H176" s="2" t="s">
        <v>624</v>
      </c>
      <c r="I176" s="2" t="s">
        <v>42</v>
      </c>
      <c r="J176" s="2">
        <v>1</v>
      </c>
      <c r="K176" s="2" t="s">
        <v>82</v>
      </c>
      <c r="L176" s="2" t="s">
        <v>41</v>
      </c>
      <c r="M176" s="2" t="s">
        <v>135</v>
      </c>
      <c r="N176" s="2" t="s">
        <v>560</v>
      </c>
      <c r="O176" s="2" t="s">
        <v>625</v>
      </c>
      <c r="P176" s="2" t="s">
        <v>5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544</v>
      </c>
      <c r="T176" s="2" t="str">
        <f t="shared" si="38"/>
        <v>0220</v>
      </c>
      <c r="U176" s="2">
        <f t="shared" si="45"/>
        <v>136</v>
      </c>
      <c r="V176" s="2" t="str">
        <f t="shared" si="40"/>
        <v>088</v>
      </c>
      <c r="W176" s="2" t="str">
        <f t="shared" si="41"/>
        <v/>
      </c>
      <c r="X176" s="2" t="str">
        <f t="shared" si="42"/>
        <v/>
      </c>
      <c r="Y176" s="2" t="str">
        <f t="shared" si="43"/>
        <v/>
      </c>
      <c r="Z176" s="2" t="str">
        <f t="shared" si="44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556</v>
      </c>
      <c r="D177" s="2" t="s">
        <v>1</v>
      </c>
      <c r="E177" s="2" t="s">
        <v>134</v>
      </c>
      <c r="F177" s="2" t="s">
        <v>557</v>
      </c>
      <c r="G177" s="2" t="s">
        <v>558</v>
      </c>
      <c r="H177" s="2" t="s">
        <v>626</v>
      </c>
      <c r="I177" s="2" t="s">
        <v>42</v>
      </c>
      <c r="J177" s="2">
        <v>1</v>
      </c>
      <c r="K177" s="2" t="s">
        <v>82</v>
      </c>
      <c r="L177" s="2" t="s">
        <v>41</v>
      </c>
      <c r="M177" s="2" t="s">
        <v>135</v>
      </c>
      <c r="N177" s="2" t="s">
        <v>560</v>
      </c>
      <c r="O177" s="2" t="s">
        <v>627</v>
      </c>
      <c r="P177" s="2" t="s">
        <v>5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548</v>
      </c>
      <c r="T177" s="2" t="str">
        <f t="shared" si="38"/>
        <v>0224</v>
      </c>
      <c r="U177" s="2">
        <f t="shared" si="45"/>
        <v>137</v>
      </c>
      <c r="V177" s="2" t="str">
        <f t="shared" si="40"/>
        <v>089</v>
      </c>
      <c r="W177" s="2" t="str">
        <f t="shared" si="41"/>
        <v/>
      </c>
      <c r="X177" s="2" t="str">
        <f t="shared" si="42"/>
        <v/>
      </c>
      <c r="Y177" s="2" t="str">
        <f t="shared" si="43"/>
        <v/>
      </c>
      <c r="Z177" s="2" t="str">
        <f t="shared" si="44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556</v>
      </c>
      <c r="D178" s="2" t="s">
        <v>1</v>
      </c>
      <c r="E178" s="2" t="s">
        <v>134</v>
      </c>
      <c r="F178" s="2" t="s">
        <v>557</v>
      </c>
      <c r="G178" s="2" t="s">
        <v>558</v>
      </c>
      <c r="H178" s="2" t="s">
        <v>628</v>
      </c>
      <c r="I178" s="2" t="s">
        <v>42</v>
      </c>
      <c r="J178" s="2">
        <v>1</v>
      </c>
      <c r="K178" s="2" t="s">
        <v>82</v>
      </c>
      <c r="L178" s="2" t="s">
        <v>41</v>
      </c>
      <c r="M178" s="2" t="s">
        <v>135</v>
      </c>
      <c r="N178" s="2" t="s">
        <v>560</v>
      </c>
      <c r="O178" s="2" t="s">
        <v>629</v>
      </c>
      <c r="P178" s="2" t="s">
        <v>5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552</v>
      </c>
      <c r="T178" s="2" t="str">
        <f t="shared" si="38"/>
        <v>0228</v>
      </c>
      <c r="U178" s="2">
        <f t="shared" si="45"/>
        <v>138</v>
      </c>
      <c r="V178" s="2" t="str">
        <f t="shared" si="40"/>
        <v>08A</v>
      </c>
      <c r="W178" s="2" t="str">
        <f t="shared" si="41"/>
        <v/>
      </c>
      <c r="X178" s="2" t="str">
        <f t="shared" si="42"/>
        <v/>
      </c>
      <c r="Y178" s="2" t="str">
        <f t="shared" si="43"/>
        <v/>
      </c>
      <c r="Z178" s="2" t="str">
        <f t="shared" si="44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556</v>
      </c>
      <c r="D179" s="2" t="s">
        <v>1</v>
      </c>
      <c r="E179" s="2" t="s">
        <v>134</v>
      </c>
      <c r="F179" s="2" t="s">
        <v>557</v>
      </c>
      <c r="G179" s="2" t="s">
        <v>558</v>
      </c>
      <c r="H179" s="2" t="s">
        <v>630</v>
      </c>
      <c r="I179" s="2" t="s">
        <v>42</v>
      </c>
      <c r="J179" s="2">
        <v>1</v>
      </c>
      <c r="K179" s="2" t="s">
        <v>82</v>
      </c>
      <c r="L179" s="2" t="s">
        <v>41</v>
      </c>
      <c r="M179" s="2" t="s">
        <v>135</v>
      </c>
      <c r="N179" s="2" t="s">
        <v>560</v>
      </c>
      <c r="O179" s="2" t="s">
        <v>631</v>
      </c>
      <c r="P179" s="2" t="s">
        <v>5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556</v>
      </c>
      <c r="T179" s="2" t="str">
        <f t="shared" si="38"/>
        <v>022C</v>
      </c>
      <c r="U179" s="2">
        <f t="shared" si="45"/>
        <v>139</v>
      </c>
      <c r="V179" s="2" t="str">
        <f t="shared" si="40"/>
        <v>08B</v>
      </c>
      <c r="W179" s="2" t="str">
        <f t="shared" si="41"/>
        <v/>
      </c>
      <c r="X179" s="2" t="str">
        <f t="shared" si="42"/>
        <v/>
      </c>
      <c r="Y179" s="2" t="str">
        <f t="shared" si="43"/>
        <v/>
      </c>
      <c r="Z179" s="2" t="str">
        <f t="shared" si="44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556</v>
      </c>
      <c r="D180" s="2" t="s">
        <v>1</v>
      </c>
      <c r="E180" s="2" t="s">
        <v>134</v>
      </c>
      <c r="F180" s="2" t="s">
        <v>557</v>
      </c>
      <c r="G180" s="2" t="s">
        <v>558</v>
      </c>
      <c r="H180" s="2" t="s">
        <v>632</v>
      </c>
      <c r="I180" s="2" t="s">
        <v>42</v>
      </c>
      <c r="J180" s="2">
        <v>1</v>
      </c>
      <c r="K180" s="2" t="s">
        <v>82</v>
      </c>
      <c r="L180" s="2" t="s">
        <v>41</v>
      </c>
      <c r="M180" s="2" t="s">
        <v>135</v>
      </c>
      <c r="N180" s="2" t="s">
        <v>560</v>
      </c>
      <c r="O180" s="2" t="s">
        <v>633</v>
      </c>
      <c r="P180" s="2" t="s">
        <v>5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560</v>
      </c>
      <c r="T180" s="2" t="str">
        <f t="shared" si="38"/>
        <v>0230</v>
      </c>
      <c r="U180" s="2">
        <f t="shared" si="45"/>
        <v>140</v>
      </c>
      <c r="V180" s="2" t="str">
        <f t="shared" si="40"/>
        <v>08C</v>
      </c>
      <c r="W180" s="2" t="str">
        <f t="shared" si="41"/>
        <v/>
      </c>
      <c r="X180" s="2" t="str">
        <f t="shared" si="42"/>
        <v/>
      </c>
      <c r="Y180" s="2" t="str">
        <f t="shared" si="43"/>
        <v/>
      </c>
      <c r="Z180" s="2" t="str">
        <f t="shared" si="44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556</v>
      </c>
      <c r="D181" s="2" t="s">
        <v>1</v>
      </c>
      <c r="E181" s="2" t="s">
        <v>134</v>
      </c>
      <c r="F181" s="2" t="s">
        <v>557</v>
      </c>
      <c r="G181" s="2" t="s">
        <v>558</v>
      </c>
      <c r="H181" s="2" t="s">
        <v>634</v>
      </c>
      <c r="I181" s="2" t="s">
        <v>42</v>
      </c>
      <c r="J181" s="2">
        <v>1</v>
      </c>
      <c r="K181" s="2" t="s">
        <v>82</v>
      </c>
      <c r="L181" s="2" t="s">
        <v>41</v>
      </c>
      <c r="M181" s="2" t="s">
        <v>135</v>
      </c>
      <c r="N181" s="2" t="s">
        <v>560</v>
      </c>
      <c r="O181" s="2" t="s">
        <v>635</v>
      </c>
      <c r="P181" s="2" t="s">
        <v>5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564</v>
      </c>
      <c r="T181" s="2" t="str">
        <f t="shared" si="38"/>
        <v>0234</v>
      </c>
      <c r="U181" s="2">
        <f t="shared" si="45"/>
        <v>141</v>
      </c>
      <c r="V181" s="2" t="str">
        <f t="shared" si="40"/>
        <v>08D</v>
      </c>
      <c r="W181" s="2" t="str">
        <f t="shared" si="41"/>
        <v/>
      </c>
      <c r="X181" s="2" t="str">
        <f t="shared" si="42"/>
        <v/>
      </c>
      <c r="Y181" s="2" t="str">
        <f t="shared" si="43"/>
        <v/>
      </c>
      <c r="Z181" s="2" t="str">
        <f t="shared" si="44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556</v>
      </c>
      <c r="D182" s="2" t="s">
        <v>1</v>
      </c>
      <c r="E182" s="2" t="s">
        <v>134</v>
      </c>
      <c r="F182" s="2" t="s">
        <v>557</v>
      </c>
      <c r="G182" s="2" t="s">
        <v>558</v>
      </c>
      <c r="H182" s="2" t="s">
        <v>636</v>
      </c>
      <c r="I182" s="2" t="s">
        <v>42</v>
      </c>
      <c r="J182" s="2">
        <v>1</v>
      </c>
      <c r="K182" s="2" t="s">
        <v>82</v>
      </c>
      <c r="L182" s="2" t="s">
        <v>41</v>
      </c>
      <c r="M182" s="2" t="s">
        <v>135</v>
      </c>
      <c r="N182" s="2" t="s">
        <v>560</v>
      </c>
      <c r="O182" s="2" t="s">
        <v>637</v>
      </c>
      <c r="P182" s="2" t="s">
        <v>5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568</v>
      </c>
      <c r="T182" s="2" t="str">
        <f t="shared" si="38"/>
        <v>0238</v>
      </c>
      <c r="U182" s="2">
        <f t="shared" si="45"/>
        <v>142</v>
      </c>
      <c r="V182" s="2" t="str">
        <f t="shared" si="40"/>
        <v>08E</v>
      </c>
      <c r="W182" s="2" t="str">
        <f t="shared" si="41"/>
        <v/>
      </c>
      <c r="X182" s="2" t="str">
        <f t="shared" si="42"/>
        <v/>
      </c>
      <c r="Y182" s="2" t="str">
        <f t="shared" si="43"/>
        <v/>
      </c>
      <c r="Z182" s="2" t="str">
        <f t="shared" si="44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556</v>
      </c>
      <c r="D183" s="2" t="s">
        <v>1</v>
      </c>
      <c r="E183" s="2" t="s">
        <v>134</v>
      </c>
      <c r="F183" s="2" t="s">
        <v>557</v>
      </c>
      <c r="G183" s="2" t="s">
        <v>558</v>
      </c>
      <c r="H183" s="2" t="s">
        <v>638</v>
      </c>
      <c r="I183" s="2" t="s">
        <v>42</v>
      </c>
      <c r="J183" s="2">
        <v>1</v>
      </c>
      <c r="K183" s="2" t="s">
        <v>82</v>
      </c>
      <c r="L183" s="2" t="s">
        <v>41</v>
      </c>
      <c r="M183" s="2" t="s">
        <v>135</v>
      </c>
      <c r="N183" s="2" t="s">
        <v>560</v>
      </c>
      <c r="O183" s="2" t="s">
        <v>639</v>
      </c>
      <c r="P183" s="2" t="s">
        <v>5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572</v>
      </c>
      <c r="T183" s="2" t="str">
        <f t="shared" si="38"/>
        <v>023C</v>
      </c>
      <c r="U183" s="2">
        <f t="shared" si="45"/>
        <v>143</v>
      </c>
      <c r="V183" s="2" t="str">
        <f t="shared" si="40"/>
        <v>08F</v>
      </c>
      <c r="W183" s="2" t="str">
        <f t="shared" si="41"/>
        <v/>
      </c>
      <c r="X183" s="2" t="str">
        <f t="shared" si="42"/>
        <v/>
      </c>
      <c r="Y183" s="2" t="str">
        <f t="shared" si="43"/>
        <v/>
      </c>
      <c r="Z183" s="2" t="str">
        <f t="shared" si="44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556</v>
      </c>
      <c r="D184" s="2" t="s">
        <v>1</v>
      </c>
      <c r="E184" s="2" t="s">
        <v>134</v>
      </c>
      <c r="F184" s="2" t="s">
        <v>557</v>
      </c>
      <c r="G184" s="2" t="s">
        <v>558</v>
      </c>
      <c r="H184" s="2" t="s">
        <v>640</v>
      </c>
      <c r="I184" s="2" t="s">
        <v>42</v>
      </c>
      <c r="J184" s="2">
        <v>1</v>
      </c>
      <c r="K184" s="2" t="s">
        <v>136</v>
      </c>
      <c r="L184" s="2" t="s">
        <v>41</v>
      </c>
      <c r="M184" s="2" t="s">
        <v>135</v>
      </c>
      <c r="N184" s="2" t="s">
        <v>560</v>
      </c>
      <c r="O184" s="2" t="s">
        <v>641</v>
      </c>
      <c r="P184" s="2" t="s">
        <v>5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576</v>
      </c>
      <c r="T184" s="2" t="str">
        <f t="shared" si="38"/>
        <v>0240</v>
      </c>
      <c r="U184" s="2">
        <f t="shared" si="45"/>
        <v>144</v>
      </c>
      <c r="V184" s="2" t="str">
        <f t="shared" si="40"/>
        <v>090</v>
      </c>
      <c r="W184" s="2" t="str">
        <f t="shared" si="41"/>
        <v/>
      </c>
      <c r="X184" s="2" t="str">
        <f t="shared" si="42"/>
        <v/>
      </c>
      <c r="Y184" s="2" t="str">
        <f t="shared" si="43"/>
        <v/>
      </c>
      <c r="Z184" s="2" t="str">
        <f t="shared" si="44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556</v>
      </c>
      <c r="D185" s="2" t="s">
        <v>1</v>
      </c>
      <c r="E185" s="2" t="s">
        <v>134</v>
      </c>
      <c r="F185" s="2" t="s">
        <v>557</v>
      </c>
      <c r="G185" s="2" t="s">
        <v>558</v>
      </c>
      <c r="H185" s="2" t="s">
        <v>642</v>
      </c>
      <c r="I185" s="2" t="s">
        <v>42</v>
      </c>
      <c r="J185" s="2">
        <v>1</v>
      </c>
      <c r="K185" s="2" t="s">
        <v>136</v>
      </c>
      <c r="L185" s="2" t="s">
        <v>41</v>
      </c>
      <c r="M185" s="2" t="s">
        <v>135</v>
      </c>
      <c r="N185" s="2" t="s">
        <v>560</v>
      </c>
      <c r="O185" s="2" t="s">
        <v>643</v>
      </c>
      <c r="P185" s="2" t="s">
        <v>5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580</v>
      </c>
      <c r="T185" s="2" t="str">
        <f t="shared" si="38"/>
        <v>0244</v>
      </c>
      <c r="U185" s="2">
        <f t="shared" si="45"/>
        <v>145</v>
      </c>
      <c r="V185" s="2" t="str">
        <f t="shared" si="40"/>
        <v>091</v>
      </c>
      <c r="W185" s="2" t="str">
        <f t="shared" si="41"/>
        <v/>
      </c>
      <c r="X185" s="2" t="str">
        <f t="shared" si="42"/>
        <v/>
      </c>
      <c r="Y185" s="2" t="str">
        <f t="shared" si="43"/>
        <v/>
      </c>
      <c r="Z185" s="2" t="str">
        <f t="shared" si="44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556</v>
      </c>
      <c r="D186" s="2" t="s">
        <v>1</v>
      </c>
      <c r="E186" s="2" t="s">
        <v>134</v>
      </c>
      <c r="F186" s="2" t="s">
        <v>557</v>
      </c>
      <c r="G186" s="2" t="s">
        <v>558</v>
      </c>
      <c r="H186" s="2" t="s">
        <v>644</v>
      </c>
      <c r="I186" s="2" t="s">
        <v>42</v>
      </c>
      <c r="J186" s="2">
        <v>1</v>
      </c>
      <c r="K186" s="2" t="s">
        <v>136</v>
      </c>
      <c r="L186" s="2" t="s">
        <v>41</v>
      </c>
      <c r="M186" s="2" t="s">
        <v>135</v>
      </c>
      <c r="N186" s="2" t="s">
        <v>560</v>
      </c>
      <c r="O186" s="2" t="s">
        <v>645</v>
      </c>
      <c r="P186" s="2" t="s">
        <v>5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584</v>
      </c>
      <c r="T186" s="2" t="str">
        <f t="shared" si="38"/>
        <v>0248</v>
      </c>
      <c r="U186" s="2">
        <f t="shared" si="45"/>
        <v>146</v>
      </c>
      <c r="V186" s="2" t="str">
        <f t="shared" si="40"/>
        <v>092</v>
      </c>
      <c r="W186" s="2" t="str">
        <f t="shared" si="41"/>
        <v/>
      </c>
      <c r="X186" s="2" t="str">
        <f t="shared" si="42"/>
        <v/>
      </c>
      <c r="Y186" s="2" t="str">
        <f t="shared" si="43"/>
        <v/>
      </c>
      <c r="Z186" s="2" t="str">
        <f t="shared" si="44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556</v>
      </c>
      <c r="D187" s="2" t="s">
        <v>1</v>
      </c>
      <c r="E187" s="2" t="s">
        <v>134</v>
      </c>
      <c r="F187" s="2" t="s">
        <v>557</v>
      </c>
      <c r="G187" s="2" t="s">
        <v>558</v>
      </c>
      <c r="H187" s="2" t="s">
        <v>646</v>
      </c>
      <c r="I187" s="2" t="s">
        <v>42</v>
      </c>
      <c r="J187" s="2">
        <v>1</v>
      </c>
      <c r="K187" s="2" t="s">
        <v>136</v>
      </c>
      <c r="L187" s="2" t="s">
        <v>41</v>
      </c>
      <c r="M187" s="2" t="s">
        <v>135</v>
      </c>
      <c r="N187" s="2" t="s">
        <v>560</v>
      </c>
      <c r="O187" s="2" t="s">
        <v>647</v>
      </c>
      <c r="P187" s="2" t="s">
        <v>5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588</v>
      </c>
      <c r="T187" s="2" t="str">
        <f t="shared" si="38"/>
        <v>024C</v>
      </c>
      <c r="U187" s="2">
        <f t="shared" si="45"/>
        <v>147</v>
      </c>
      <c r="V187" s="2" t="str">
        <f t="shared" si="40"/>
        <v>093</v>
      </c>
      <c r="W187" s="2" t="str">
        <f t="shared" si="41"/>
        <v/>
      </c>
      <c r="X187" s="2" t="str">
        <f t="shared" si="42"/>
        <v/>
      </c>
      <c r="Y187" s="2" t="str">
        <f t="shared" si="43"/>
        <v/>
      </c>
      <c r="Z187" s="2" t="str">
        <f t="shared" si="44"/>
        <v>X</v>
      </c>
      <c r="AA187" s="2" t="str">
        <f t="shared" si="46"/>
        <v/>
      </c>
      <c r="AB187" s="2" t="str">
        <f t="shared" si="47"/>
        <v/>
      </c>
      <c r="AC187" s="2" t="str">
        <f t="shared" si="48"/>
        <v/>
      </c>
      <c r="AD187" s="2" t="str">
        <f t="shared" si="49"/>
        <v>(0)</v>
      </c>
      <c r="AE187" s="2" t="str">
        <f t="shared" si="50"/>
        <v/>
      </c>
      <c r="AF187" s="2" t="str">
        <f t="shared" si="51"/>
        <v/>
      </c>
      <c r="AG187" s="2" t="str">
        <f t="shared" si="52"/>
        <v/>
      </c>
      <c r="AH187" s="2" t="str">
        <f t="shared" si="53"/>
        <v/>
      </c>
    </row>
    <row r="188" spans="2:34" x14ac:dyDescent="0.25">
      <c r="B188" s="2" t="s">
        <v>556</v>
      </c>
      <c r="D188" s="2" t="s">
        <v>1</v>
      </c>
      <c r="E188" s="2" t="s">
        <v>134</v>
      </c>
      <c r="F188" s="2" t="s">
        <v>557</v>
      </c>
      <c r="G188" s="2" t="s">
        <v>558</v>
      </c>
      <c r="H188" s="2" t="s">
        <v>648</v>
      </c>
      <c r="I188" s="2" t="s">
        <v>42</v>
      </c>
      <c r="J188" s="2">
        <v>1</v>
      </c>
      <c r="K188" s="2" t="s">
        <v>82</v>
      </c>
      <c r="L188" s="2" t="s">
        <v>41</v>
      </c>
      <c r="M188" s="2" t="s">
        <v>135</v>
      </c>
      <c r="N188" s="2" t="s">
        <v>560</v>
      </c>
      <c r="O188" s="2" t="s">
        <v>649</v>
      </c>
      <c r="P188" s="2" t="s">
        <v>5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592</v>
      </c>
      <c r="T188" s="2" t="str">
        <f t="shared" si="38"/>
        <v>0250</v>
      </c>
      <c r="U188" s="2">
        <f t="shared" si="45"/>
        <v>148</v>
      </c>
      <c r="V188" s="2" t="str">
        <f t="shared" si="40"/>
        <v>094</v>
      </c>
      <c r="W188" s="2" t="str">
        <f t="shared" si="41"/>
        <v/>
      </c>
      <c r="X188" s="2" t="str">
        <f t="shared" si="42"/>
        <v/>
      </c>
      <c r="Y188" s="2" t="str">
        <f t="shared" si="43"/>
        <v/>
      </c>
      <c r="Z188" s="2" t="str">
        <f t="shared" si="44"/>
        <v>X</v>
      </c>
      <c r="AA188" s="2" t="str">
        <f t="shared" si="46"/>
        <v/>
      </c>
      <c r="AB188" s="2" t="str">
        <f t="shared" si="47"/>
        <v/>
      </c>
      <c r="AC188" s="2" t="str">
        <f t="shared" si="48"/>
        <v/>
      </c>
      <c r="AD188" s="2" t="str">
        <f t="shared" si="49"/>
        <v>(0)</v>
      </c>
      <c r="AE188" s="2" t="str">
        <f t="shared" si="50"/>
        <v/>
      </c>
      <c r="AF188" s="2" t="str">
        <f t="shared" si="51"/>
        <v/>
      </c>
      <c r="AG188" s="2" t="str">
        <f t="shared" si="52"/>
        <v/>
      </c>
      <c r="AH188" s="2" t="str">
        <f t="shared" si="53"/>
        <v/>
      </c>
    </row>
    <row r="189" spans="2:34" x14ac:dyDescent="0.25">
      <c r="B189" s="2" t="s">
        <v>556</v>
      </c>
      <c r="D189" s="2" t="s">
        <v>1</v>
      </c>
      <c r="E189" s="2" t="s">
        <v>134</v>
      </c>
      <c r="F189" s="2" t="s">
        <v>557</v>
      </c>
      <c r="G189" s="2" t="s">
        <v>558</v>
      </c>
      <c r="H189" s="2" t="s">
        <v>650</v>
      </c>
      <c r="I189" s="2" t="s">
        <v>42</v>
      </c>
      <c r="J189" s="2">
        <v>1</v>
      </c>
      <c r="K189" s="2" t="s">
        <v>82</v>
      </c>
      <c r="L189" s="2" t="s">
        <v>41</v>
      </c>
      <c r="M189" s="2" t="s">
        <v>135</v>
      </c>
      <c r="N189" s="2" t="s">
        <v>560</v>
      </c>
      <c r="O189" s="2" t="s">
        <v>651</v>
      </c>
      <c r="P189" s="2" t="s">
        <v>5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596</v>
      </c>
      <c r="T189" s="2" t="str">
        <f t="shared" si="38"/>
        <v>0254</v>
      </c>
      <c r="U189" s="2">
        <f t="shared" si="45"/>
        <v>149</v>
      </c>
      <c r="V189" s="2" t="str">
        <f t="shared" si="40"/>
        <v>095</v>
      </c>
      <c r="W189" s="2" t="str">
        <f t="shared" si="41"/>
        <v/>
      </c>
      <c r="X189" s="2" t="str">
        <f t="shared" si="42"/>
        <v/>
      </c>
      <c r="Y189" s="2" t="str">
        <f t="shared" si="43"/>
        <v/>
      </c>
      <c r="Z189" s="2" t="str">
        <f t="shared" si="44"/>
        <v>X</v>
      </c>
      <c r="AA189" s="2" t="str">
        <f t="shared" si="46"/>
        <v/>
      </c>
      <c r="AB189" s="2" t="str">
        <f t="shared" si="47"/>
        <v/>
      </c>
      <c r="AC189" s="2" t="str">
        <f t="shared" si="48"/>
        <v/>
      </c>
      <c r="AD189" s="2" t="str">
        <f t="shared" si="49"/>
        <v>(0)</v>
      </c>
      <c r="AE189" s="2" t="str">
        <f t="shared" si="50"/>
        <v/>
      </c>
      <c r="AF189" s="2" t="str">
        <f t="shared" si="51"/>
        <v/>
      </c>
      <c r="AG189" s="2" t="str">
        <f t="shared" si="52"/>
        <v/>
      </c>
      <c r="AH189" s="2" t="str">
        <f t="shared" si="53"/>
        <v/>
      </c>
    </row>
    <row r="190" spans="2:34" x14ac:dyDescent="0.25">
      <c r="B190" s="2" t="s">
        <v>556</v>
      </c>
      <c r="D190" s="2" t="s">
        <v>1</v>
      </c>
      <c r="E190" s="2" t="s">
        <v>134</v>
      </c>
      <c r="F190" s="2" t="s">
        <v>557</v>
      </c>
      <c r="G190" s="2" t="s">
        <v>558</v>
      </c>
      <c r="H190" s="2" t="s">
        <v>652</v>
      </c>
      <c r="I190" s="2" t="s">
        <v>42</v>
      </c>
      <c r="J190" s="2">
        <v>1</v>
      </c>
      <c r="K190" s="2" t="s">
        <v>82</v>
      </c>
      <c r="L190" s="2" t="s">
        <v>41</v>
      </c>
      <c r="M190" s="2" t="s">
        <v>135</v>
      </c>
      <c r="N190" s="2" t="s">
        <v>560</v>
      </c>
      <c r="O190" s="2" t="s">
        <v>653</v>
      </c>
      <c r="P190" s="2" t="s">
        <v>5</v>
      </c>
      <c r="Q190" s="2">
        <f>INDEX(Tables!$C$4:$C$28,MATCH($P190,Tables!$B$4:$B$28,0))</f>
        <v>32</v>
      </c>
      <c r="R190" s="2">
        <f>INDEX(Tables!$D$4:$D$28,MATCH($P190,Tables!$B$4:$B$28,0))</f>
        <v>4</v>
      </c>
      <c r="S190" s="2">
        <f>$S189+$R189+INDEX(Tables!$N$5:$Q$8,MATCH(MOD($S189+$R189,4),Tables!$M$5:$M$8,0),MATCH($R190,Tables!$N$4:$Q$4,0))</f>
        <v>600</v>
      </c>
      <c r="T190" s="2" t="str">
        <f t="shared" si="38"/>
        <v>0258</v>
      </c>
      <c r="U190" s="2">
        <f t="shared" si="45"/>
        <v>150</v>
      </c>
      <c r="V190" s="2" t="str">
        <f t="shared" si="40"/>
        <v>096</v>
      </c>
      <c r="W190" s="2" t="str">
        <f t="shared" si="41"/>
        <v/>
      </c>
      <c r="X190" s="2" t="str">
        <f t="shared" si="42"/>
        <v/>
      </c>
      <c r="Y190" s="2" t="str">
        <f t="shared" si="43"/>
        <v/>
      </c>
      <c r="Z190" s="2" t="str">
        <f t="shared" si="44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556</v>
      </c>
      <c r="D191" s="2" t="s">
        <v>1</v>
      </c>
      <c r="E191" s="2" t="s">
        <v>134</v>
      </c>
      <c r="F191" s="2" t="s">
        <v>557</v>
      </c>
      <c r="G191" s="2" t="s">
        <v>558</v>
      </c>
      <c r="H191" s="2" t="s">
        <v>654</v>
      </c>
      <c r="I191" s="2" t="s">
        <v>42</v>
      </c>
      <c r="J191" s="2">
        <v>1</v>
      </c>
      <c r="K191" s="2" t="s">
        <v>82</v>
      </c>
      <c r="L191" s="2" t="s">
        <v>41</v>
      </c>
      <c r="M191" s="2" t="s">
        <v>135</v>
      </c>
      <c r="N191" s="2" t="s">
        <v>560</v>
      </c>
      <c r="O191" s="2" t="s">
        <v>655</v>
      </c>
      <c r="P191" s="2" t="s">
        <v>5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604</v>
      </c>
      <c r="T191" s="2" t="str">
        <f t="shared" si="38"/>
        <v>025C</v>
      </c>
      <c r="U191" s="2">
        <f t="shared" si="45"/>
        <v>151</v>
      </c>
      <c r="V191" s="2" t="str">
        <f t="shared" si="40"/>
        <v>097</v>
      </c>
      <c r="W191" s="2" t="str">
        <f t="shared" si="41"/>
        <v/>
      </c>
      <c r="X191" s="2" t="str">
        <f t="shared" si="42"/>
        <v/>
      </c>
      <c r="Y191" s="2" t="str">
        <f t="shared" si="43"/>
        <v/>
      </c>
      <c r="Z191" s="2" t="str">
        <f t="shared" si="44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556</v>
      </c>
      <c r="D192" s="2" t="s">
        <v>1</v>
      </c>
      <c r="E192" s="2" t="s">
        <v>134</v>
      </c>
      <c r="F192" s="2" t="s">
        <v>557</v>
      </c>
      <c r="G192" s="2" t="s">
        <v>558</v>
      </c>
      <c r="H192" s="2" t="s">
        <v>656</v>
      </c>
      <c r="I192" s="2" t="s">
        <v>42</v>
      </c>
      <c r="J192" s="2">
        <v>1</v>
      </c>
      <c r="K192" s="2" t="s">
        <v>82</v>
      </c>
      <c r="L192" s="2" t="s">
        <v>41</v>
      </c>
      <c r="M192" s="2" t="s">
        <v>135</v>
      </c>
      <c r="N192" s="2" t="s">
        <v>560</v>
      </c>
      <c r="O192" s="2" t="s">
        <v>657</v>
      </c>
      <c r="P192" s="2" t="s">
        <v>5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608</v>
      </c>
      <c r="T192" s="2" t="str">
        <f t="shared" si="38"/>
        <v>0260</v>
      </c>
      <c r="U192" s="2">
        <f t="shared" si="45"/>
        <v>152</v>
      </c>
      <c r="V192" s="2" t="str">
        <f t="shared" si="40"/>
        <v>098</v>
      </c>
      <c r="W192" s="2" t="str">
        <f t="shared" si="41"/>
        <v/>
      </c>
      <c r="X192" s="2" t="str">
        <f t="shared" si="42"/>
        <v/>
      </c>
      <c r="Y192" s="2" t="str">
        <f t="shared" si="43"/>
        <v/>
      </c>
      <c r="Z192" s="2" t="str">
        <f t="shared" si="44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556</v>
      </c>
      <c r="D193" s="2" t="s">
        <v>1</v>
      </c>
      <c r="E193" s="2" t="s">
        <v>134</v>
      </c>
      <c r="F193" s="2" t="s">
        <v>557</v>
      </c>
      <c r="G193" s="2" t="s">
        <v>558</v>
      </c>
      <c r="H193" s="2" t="s">
        <v>658</v>
      </c>
      <c r="I193" s="2" t="s">
        <v>42</v>
      </c>
      <c r="J193" s="2">
        <v>1</v>
      </c>
      <c r="K193" s="2" t="s">
        <v>82</v>
      </c>
      <c r="L193" s="2" t="s">
        <v>41</v>
      </c>
      <c r="M193" s="2" t="s">
        <v>135</v>
      </c>
      <c r="N193" s="2" t="s">
        <v>560</v>
      </c>
      <c r="O193" s="2" t="s">
        <v>659</v>
      </c>
      <c r="P193" s="2" t="s">
        <v>5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612</v>
      </c>
      <c r="T193" s="2" t="str">
        <f t="shared" si="38"/>
        <v>0264</v>
      </c>
      <c r="U193" s="2">
        <f t="shared" si="45"/>
        <v>153</v>
      </c>
      <c r="V193" s="2" t="str">
        <f t="shared" si="40"/>
        <v>099</v>
      </c>
      <c r="W193" s="2" t="str">
        <f t="shared" si="41"/>
        <v/>
      </c>
      <c r="X193" s="2" t="str">
        <f t="shared" si="42"/>
        <v/>
      </c>
      <c r="Y193" s="2" t="str">
        <f t="shared" si="43"/>
        <v/>
      </c>
      <c r="Z193" s="2" t="str">
        <f t="shared" si="44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556</v>
      </c>
      <c r="D194" s="2" t="s">
        <v>1</v>
      </c>
      <c r="E194" s="2" t="s">
        <v>134</v>
      </c>
      <c r="F194" s="2" t="s">
        <v>557</v>
      </c>
      <c r="G194" s="2" t="s">
        <v>558</v>
      </c>
      <c r="H194" s="2" t="s">
        <v>660</v>
      </c>
      <c r="I194" s="2" t="s">
        <v>42</v>
      </c>
      <c r="J194" s="2">
        <v>1</v>
      </c>
      <c r="K194" s="2" t="s">
        <v>82</v>
      </c>
      <c r="L194" s="2" t="s">
        <v>41</v>
      </c>
      <c r="M194" s="2" t="s">
        <v>135</v>
      </c>
      <c r="N194" s="2" t="s">
        <v>560</v>
      </c>
      <c r="O194" s="2" t="s">
        <v>661</v>
      </c>
      <c r="P194" s="2" t="s">
        <v>5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616</v>
      </c>
      <c r="T194" s="2" t="str">
        <f t="shared" si="38"/>
        <v>0268</v>
      </c>
      <c r="U194" s="2">
        <f t="shared" si="45"/>
        <v>154</v>
      </c>
      <c r="V194" s="2" t="str">
        <f t="shared" si="40"/>
        <v>09A</v>
      </c>
      <c r="W194" s="2" t="str">
        <f t="shared" si="41"/>
        <v/>
      </c>
      <c r="X194" s="2" t="str">
        <f t="shared" si="42"/>
        <v/>
      </c>
      <c r="Y194" s="2" t="str">
        <f t="shared" si="43"/>
        <v/>
      </c>
      <c r="Z194" s="2" t="str">
        <f t="shared" si="44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556</v>
      </c>
      <c r="D195" s="2" t="s">
        <v>1</v>
      </c>
      <c r="E195" s="2" t="s">
        <v>134</v>
      </c>
      <c r="F195" s="2" t="s">
        <v>557</v>
      </c>
      <c r="G195" s="2" t="s">
        <v>558</v>
      </c>
      <c r="H195" s="2" t="s">
        <v>662</v>
      </c>
      <c r="I195" s="2" t="s">
        <v>42</v>
      </c>
      <c r="J195" s="2">
        <v>1</v>
      </c>
      <c r="K195" s="2" t="s">
        <v>82</v>
      </c>
      <c r="L195" s="2" t="s">
        <v>41</v>
      </c>
      <c r="M195" s="2" t="s">
        <v>135</v>
      </c>
      <c r="N195" s="2" t="s">
        <v>560</v>
      </c>
      <c r="O195" s="2" t="s">
        <v>663</v>
      </c>
      <c r="P195" s="2" t="s">
        <v>5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620</v>
      </c>
      <c r="T195" s="2" t="str">
        <f t="shared" si="38"/>
        <v>026C</v>
      </c>
      <c r="U195" s="2">
        <f t="shared" si="45"/>
        <v>155</v>
      </c>
      <c r="V195" s="2" t="str">
        <f t="shared" si="40"/>
        <v>09B</v>
      </c>
      <c r="W195" s="2" t="str">
        <f t="shared" si="41"/>
        <v/>
      </c>
      <c r="X195" s="2" t="str">
        <f t="shared" si="42"/>
        <v/>
      </c>
      <c r="Y195" s="2" t="str">
        <f t="shared" si="43"/>
        <v/>
      </c>
      <c r="Z195" s="2" t="str">
        <f t="shared" si="44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556</v>
      </c>
      <c r="D196" s="2" t="s">
        <v>1</v>
      </c>
      <c r="E196" s="2" t="s">
        <v>134</v>
      </c>
      <c r="F196" s="2" t="s">
        <v>557</v>
      </c>
      <c r="G196" s="2" t="s">
        <v>558</v>
      </c>
      <c r="H196" s="2" t="s">
        <v>664</v>
      </c>
      <c r="I196" s="2" t="s">
        <v>42</v>
      </c>
      <c r="J196" s="2">
        <v>1</v>
      </c>
      <c r="K196" s="2" t="s">
        <v>82</v>
      </c>
      <c r="L196" s="2" t="s">
        <v>41</v>
      </c>
      <c r="M196" s="2" t="s">
        <v>135</v>
      </c>
      <c r="N196" s="2" t="s">
        <v>560</v>
      </c>
      <c r="O196" s="2" t="s">
        <v>665</v>
      </c>
      <c r="P196" s="2" t="s">
        <v>5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624</v>
      </c>
      <c r="T196" s="2" t="str">
        <f t="shared" si="38"/>
        <v>0270</v>
      </c>
      <c r="U196" s="2">
        <f t="shared" si="45"/>
        <v>156</v>
      </c>
      <c r="V196" s="2" t="str">
        <f t="shared" si="40"/>
        <v>09C</v>
      </c>
      <c r="W196" s="2" t="str">
        <f t="shared" si="41"/>
        <v/>
      </c>
      <c r="X196" s="2" t="str">
        <f t="shared" si="42"/>
        <v/>
      </c>
      <c r="Y196" s="2" t="str">
        <f t="shared" si="43"/>
        <v/>
      </c>
      <c r="Z196" s="2" t="str">
        <f t="shared" si="44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556</v>
      </c>
      <c r="D197" s="2" t="s">
        <v>1</v>
      </c>
      <c r="E197" s="2" t="s">
        <v>134</v>
      </c>
      <c r="F197" s="2" t="s">
        <v>557</v>
      </c>
      <c r="G197" s="2" t="s">
        <v>558</v>
      </c>
      <c r="H197" s="2" t="s">
        <v>666</v>
      </c>
      <c r="I197" s="2" t="s">
        <v>42</v>
      </c>
      <c r="J197" s="2">
        <v>1</v>
      </c>
      <c r="K197" s="2" t="s">
        <v>82</v>
      </c>
      <c r="L197" s="2" t="s">
        <v>41</v>
      </c>
      <c r="M197" s="2" t="s">
        <v>135</v>
      </c>
      <c r="N197" s="2" t="s">
        <v>560</v>
      </c>
      <c r="O197" s="2" t="s">
        <v>667</v>
      </c>
      <c r="P197" s="2" t="s">
        <v>5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628</v>
      </c>
      <c r="T197" s="2" t="str">
        <f t="shared" ref="T197:T260" si="54">DEC2HEX($S197,4)</f>
        <v>0274</v>
      </c>
      <c r="U197" s="2">
        <f t="shared" si="45"/>
        <v>157</v>
      </c>
      <c r="V197" s="2" t="str">
        <f t="shared" ref="V197:V260" si="55">DEC2HEX($U197,3)</f>
        <v>09D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2"/>
        <v/>
      </c>
      <c r="Y197" s="2" t="str">
        <f t="shared" si="43"/>
        <v/>
      </c>
      <c r="Z197" s="2" t="str">
        <f t="shared" si="44"/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556</v>
      </c>
      <c r="D198" s="2" t="s">
        <v>1</v>
      </c>
      <c r="E198" s="2" t="s">
        <v>134</v>
      </c>
      <c r="F198" s="2" t="s">
        <v>557</v>
      </c>
      <c r="G198" s="2" t="s">
        <v>558</v>
      </c>
      <c r="H198" s="2" t="s">
        <v>668</v>
      </c>
      <c r="I198" s="2" t="s">
        <v>42</v>
      </c>
      <c r="J198" s="2">
        <v>1</v>
      </c>
      <c r="K198" s="2" t="s">
        <v>82</v>
      </c>
      <c r="L198" s="2" t="s">
        <v>41</v>
      </c>
      <c r="M198" s="2" t="s">
        <v>135</v>
      </c>
      <c r="N198" s="2" t="s">
        <v>560</v>
      </c>
      <c r="O198" s="2" t="s">
        <v>669</v>
      </c>
      <c r="P198" s="2" t="s">
        <v>5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632</v>
      </c>
      <c r="T198" s="2" t="str">
        <f t="shared" si="54"/>
        <v>0278</v>
      </c>
      <c r="U198" s="2">
        <f t="shared" si="45"/>
        <v>158</v>
      </c>
      <c r="V198" s="2" t="str">
        <f t="shared" si="55"/>
        <v>09E</v>
      </c>
      <c r="W198" s="2" t="str">
        <f t="shared" si="56"/>
        <v/>
      </c>
      <c r="X198" s="2" t="str">
        <f t="shared" si="42"/>
        <v/>
      </c>
      <c r="Y198" s="2" t="str">
        <f t="shared" si="43"/>
        <v/>
      </c>
      <c r="Z198" s="2" t="str">
        <f t="shared" si="44"/>
        <v>X</v>
      </c>
      <c r="AA198" s="2" t="str">
        <f t="shared" si="46"/>
        <v/>
      </c>
      <c r="AB198" s="2" t="str">
        <f t="shared" si="47"/>
        <v/>
      </c>
      <c r="AC198" s="2" t="str">
        <f t="shared" si="48"/>
        <v/>
      </c>
      <c r="AD198" s="2" t="str">
        <f t="shared" si="49"/>
        <v>(0)</v>
      </c>
      <c r="AE198" s="2" t="str">
        <f t="shared" si="50"/>
        <v/>
      </c>
      <c r="AF198" s="2" t="str">
        <f t="shared" si="51"/>
        <v/>
      </c>
      <c r="AG198" s="2" t="str">
        <f t="shared" si="52"/>
        <v/>
      </c>
      <c r="AH198" s="2" t="str">
        <f t="shared" si="53"/>
        <v/>
      </c>
    </row>
    <row r="199" spans="2:34" x14ac:dyDescent="0.25">
      <c r="B199" s="2" t="s">
        <v>556</v>
      </c>
      <c r="D199" s="2" t="s">
        <v>1</v>
      </c>
      <c r="E199" s="2" t="s">
        <v>134</v>
      </c>
      <c r="F199" s="2" t="s">
        <v>557</v>
      </c>
      <c r="G199" s="2" t="s">
        <v>558</v>
      </c>
      <c r="H199" s="2" t="s">
        <v>670</v>
      </c>
      <c r="I199" s="2" t="s">
        <v>42</v>
      </c>
      <c r="J199" s="2">
        <v>1</v>
      </c>
      <c r="K199" s="2" t="s">
        <v>82</v>
      </c>
      <c r="L199" s="2" t="s">
        <v>41</v>
      </c>
      <c r="M199" s="2" t="s">
        <v>135</v>
      </c>
      <c r="N199" s="2" t="s">
        <v>560</v>
      </c>
      <c r="O199" s="2" t="s">
        <v>671</v>
      </c>
      <c r="P199" s="2" t="s">
        <v>5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636</v>
      </c>
      <c r="T199" s="2" t="str">
        <f t="shared" si="54"/>
        <v>027C</v>
      </c>
      <c r="U199" s="2">
        <f t="shared" si="45"/>
        <v>159</v>
      </c>
      <c r="V199" s="2" t="str">
        <f t="shared" si="55"/>
        <v>09F</v>
      </c>
      <c r="W199" s="2" t="str">
        <f t="shared" si="56"/>
        <v/>
      </c>
      <c r="X199" s="2" t="str">
        <f t="shared" si="42"/>
        <v/>
      </c>
      <c r="Y199" s="2" t="str">
        <f t="shared" si="43"/>
        <v/>
      </c>
      <c r="Z199" s="2" t="str">
        <f t="shared" si="44"/>
        <v>X</v>
      </c>
      <c r="AA199" s="2" t="str">
        <f t="shared" si="46"/>
        <v/>
      </c>
      <c r="AB199" s="2" t="str">
        <f t="shared" si="47"/>
        <v/>
      </c>
      <c r="AC199" s="2" t="str">
        <f t="shared" si="48"/>
        <v/>
      </c>
      <c r="AD199" s="2" t="str">
        <f t="shared" si="49"/>
        <v>(0)</v>
      </c>
      <c r="AE199" s="2" t="str">
        <f t="shared" si="50"/>
        <v/>
      </c>
      <c r="AF199" s="2" t="str">
        <f t="shared" si="51"/>
        <v/>
      </c>
      <c r="AG199" s="2" t="str">
        <f t="shared" si="52"/>
        <v/>
      </c>
      <c r="AH199" s="2" t="str">
        <f t="shared" si="53"/>
        <v/>
      </c>
    </row>
    <row r="200" spans="2:34" x14ac:dyDescent="0.25">
      <c r="B200" s="2" t="s">
        <v>556</v>
      </c>
      <c r="D200" s="2" t="s">
        <v>1</v>
      </c>
      <c r="E200" s="2" t="s">
        <v>134</v>
      </c>
      <c r="F200" s="2" t="s">
        <v>557</v>
      </c>
      <c r="G200" s="2" t="s">
        <v>558</v>
      </c>
      <c r="H200" s="2" t="s">
        <v>672</v>
      </c>
      <c r="I200" s="2" t="s">
        <v>42</v>
      </c>
      <c r="J200" s="2">
        <v>1</v>
      </c>
      <c r="K200" s="2" t="s">
        <v>82</v>
      </c>
      <c r="L200" s="2" t="s">
        <v>41</v>
      </c>
      <c r="M200" s="2" t="s">
        <v>135</v>
      </c>
      <c r="N200" s="2" t="s">
        <v>560</v>
      </c>
      <c r="O200" s="2" t="s">
        <v>673</v>
      </c>
      <c r="P200" s="2" t="s">
        <v>5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640</v>
      </c>
      <c r="T200" s="2" t="str">
        <f t="shared" si="54"/>
        <v>0280</v>
      </c>
      <c r="U200" s="2">
        <f t="shared" si="45"/>
        <v>160</v>
      </c>
      <c r="V200" s="2" t="str">
        <f t="shared" si="55"/>
        <v>0A0</v>
      </c>
      <c r="W200" s="2" t="str">
        <f t="shared" si="56"/>
        <v/>
      </c>
      <c r="X200" s="2" t="str">
        <f t="shared" si="42"/>
        <v/>
      </c>
      <c r="Y200" s="2" t="str">
        <f t="shared" si="43"/>
        <v/>
      </c>
      <c r="Z200" s="2" t="str">
        <f t="shared" si="44"/>
        <v>X</v>
      </c>
      <c r="AA200" s="2" t="str">
        <f t="shared" si="46"/>
        <v/>
      </c>
      <c r="AB200" s="2" t="str">
        <f t="shared" si="47"/>
        <v/>
      </c>
      <c r="AC200" s="2" t="str">
        <f t="shared" si="48"/>
        <v/>
      </c>
      <c r="AD200" s="2" t="str">
        <f t="shared" si="49"/>
        <v>(0)</v>
      </c>
      <c r="AE200" s="2" t="str">
        <f t="shared" si="50"/>
        <v/>
      </c>
      <c r="AF200" s="2" t="str">
        <f t="shared" si="51"/>
        <v/>
      </c>
      <c r="AG200" s="2" t="str">
        <f t="shared" si="52"/>
        <v/>
      </c>
      <c r="AH200" s="2" t="str">
        <f t="shared" si="53"/>
        <v/>
      </c>
    </row>
    <row r="201" spans="2:34" x14ac:dyDescent="0.25">
      <c r="B201" s="2" t="s">
        <v>556</v>
      </c>
      <c r="D201" s="2" t="s">
        <v>1</v>
      </c>
      <c r="E201" s="2" t="s">
        <v>134</v>
      </c>
      <c r="F201" s="2" t="s">
        <v>557</v>
      </c>
      <c r="G201" s="2" t="s">
        <v>558</v>
      </c>
      <c r="H201" s="2" t="s">
        <v>674</v>
      </c>
      <c r="I201" s="2" t="s">
        <v>42</v>
      </c>
      <c r="J201" s="2">
        <v>1</v>
      </c>
      <c r="K201" s="2" t="s">
        <v>82</v>
      </c>
      <c r="L201" s="2" t="s">
        <v>41</v>
      </c>
      <c r="M201" s="2" t="s">
        <v>135</v>
      </c>
      <c r="N201" s="2" t="s">
        <v>560</v>
      </c>
      <c r="O201" s="2" t="s">
        <v>675</v>
      </c>
      <c r="P201" s="2" t="s">
        <v>5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644</v>
      </c>
      <c r="T201" s="2" t="str">
        <f t="shared" si="54"/>
        <v>0284</v>
      </c>
      <c r="U201" s="2">
        <f t="shared" si="45"/>
        <v>161</v>
      </c>
      <c r="V201" s="2" t="str">
        <f t="shared" si="55"/>
        <v>0A1</v>
      </c>
      <c r="W201" s="2" t="str">
        <f t="shared" si="56"/>
        <v/>
      </c>
      <c r="X201" s="2" t="str">
        <f t="shared" si="42"/>
        <v/>
      </c>
      <c r="Y201" s="2" t="str">
        <f t="shared" si="43"/>
        <v/>
      </c>
      <c r="Z201" s="2" t="str">
        <f t="shared" si="44"/>
        <v>X</v>
      </c>
      <c r="AA201" s="2" t="str">
        <f t="shared" si="46"/>
        <v/>
      </c>
      <c r="AB201" s="2" t="str">
        <f t="shared" si="47"/>
        <v/>
      </c>
      <c r="AC201" s="2" t="str">
        <f t="shared" si="48"/>
        <v/>
      </c>
      <c r="AD201" s="2" t="str">
        <f t="shared" si="49"/>
        <v>(0)</v>
      </c>
      <c r="AE201" s="2" t="str">
        <f t="shared" si="50"/>
        <v/>
      </c>
      <c r="AF201" s="2" t="str">
        <f t="shared" si="51"/>
        <v/>
      </c>
      <c r="AG201" s="2" t="str">
        <f t="shared" si="52"/>
        <v/>
      </c>
      <c r="AH201" s="2" t="str">
        <f t="shared" si="53"/>
        <v/>
      </c>
    </row>
    <row r="202" spans="2:34" x14ac:dyDescent="0.25">
      <c r="B202" s="2" t="s">
        <v>556</v>
      </c>
      <c r="D202" s="2" t="s">
        <v>1</v>
      </c>
      <c r="E202" s="2" t="s">
        <v>134</v>
      </c>
      <c r="F202" s="2" t="s">
        <v>557</v>
      </c>
      <c r="G202" s="2" t="s">
        <v>558</v>
      </c>
      <c r="H202" s="2" t="s">
        <v>676</v>
      </c>
      <c r="I202" s="2" t="s">
        <v>42</v>
      </c>
      <c r="J202" s="2">
        <v>1</v>
      </c>
      <c r="K202" s="2" t="s">
        <v>82</v>
      </c>
      <c r="L202" s="2" t="s">
        <v>41</v>
      </c>
      <c r="M202" s="2" t="s">
        <v>135</v>
      </c>
      <c r="N202" s="2" t="s">
        <v>560</v>
      </c>
      <c r="O202" s="2" t="s">
        <v>677</v>
      </c>
      <c r="P202" s="2" t="s">
        <v>5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648</v>
      </c>
      <c r="T202" s="2" t="str">
        <f t="shared" si="54"/>
        <v>0288</v>
      </c>
      <c r="U202" s="2">
        <f t="shared" si="45"/>
        <v>162</v>
      </c>
      <c r="V202" s="2" t="str">
        <f t="shared" si="55"/>
        <v>0A2</v>
      </c>
      <c r="W202" s="2" t="str">
        <f t="shared" si="56"/>
        <v/>
      </c>
      <c r="X202" s="2" t="str">
        <f t="shared" si="42"/>
        <v/>
      </c>
      <c r="Y202" s="2" t="str">
        <f t="shared" si="43"/>
        <v/>
      </c>
      <c r="Z202" s="2" t="str">
        <f t="shared" si="44"/>
        <v>X</v>
      </c>
      <c r="AA202" s="2" t="str">
        <f t="shared" si="46"/>
        <v/>
      </c>
      <c r="AB202" s="2" t="str">
        <f t="shared" si="47"/>
        <v/>
      </c>
      <c r="AC202" s="2" t="str">
        <f t="shared" si="48"/>
        <v/>
      </c>
      <c r="AD202" s="2" t="str">
        <f t="shared" si="49"/>
        <v>(0)</v>
      </c>
      <c r="AE202" s="2" t="str">
        <f t="shared" si="50"/>
        <v/>
      </c>
      <c r="AF202" s="2" t="str">
        <f t="shared" si="51"/>
        <v/>
      </c>
      <c r="AG202" s="2" t="str">
        <f t="shared" si="52"/>
        <v/>
      </c>
      <c r="AH202" s="2" t="str">
        <f t="shared" si="53"/>
        <v/>
      </c>
    </row>
    <row r="203" spans="2:34" x14ac:dyDescent="0.25">
      <c r="B203" s="2" t="s">
        <v>556</v>
      </c>
      <c r="D203" s="2" t="s">
        <v>1</v>
      </c>
      <c r="E203" s="2" t="s">
        <v>134</v>
      </c>
      <c r="F203" s="2" t="s">
        <v>557</v>
      </c>
      <c r="G203" s="2" t="s">
        <v>558</v>
      </c>
      <c r="H203" s="2" t="s">
        <v>678</v>
      </c>
      <c r="I203" s="2" t="s">
        <v>42</v>
      </c>
      <c r="J203" s="2">
        <v>1</v>
      </c>
      <c r="K203" s="2" t="s">
        <v>82</v>
      </c>
      <c r="L203" s="2" t="s">
        <v>41</v>
      </c>
      <c r="M203" s="2" t="s">
        <v>135</v>
      </c>
      <c r="N203" s="2" t="s">
        <v>560</v>
      </c>
      <c r="O203" s="2" t="s">
        <v>679</v>
      </c>
      <c r="P203" s="2" t="s">
        <v>5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652</v>
      </c>
      <c r="T203" s="2" t="str">
        <f t="shared" si="54"/>
        <v>028C</v>
      </c>
      <c r="U203" s="2">
        <f t="shared" si="45"/>
        <v>163</v>
      </c>
      <c r="V203" s="2" t="str">
        <f t="shared" si="55"/>
        <v>0A3</v>
      </c>
      <c r="W203" s="2" t="str">
        <f t="shared" si="56"/>
        <v/>
      </c>
      <c r="X203" s="2" t="str">
        <f t="shared" si="42"/>
        <v/>
      </c>
      <c r="Y203" s="2" t="str">
        <f t="shared" si="43"/>
        <v/>
      </c>
      <c r="Z203" s="2" t="str">
        <f t="shared" si="44"/>
        <v>X</v>
      </c>
      <c r="AA203" s="2" t="str">
        <f t="shared" si="46"/>
        <v/>
      </c>
      <c r="AB203" s="2" t="str">
        <f t="shared" si="47"/>
        <v/>
      </c>
      <c r="AC203" s="2" t="str">
        <f t="shared" si="48"/>
        <v/>
      </c>
      <c r="AD203" s="2" t="str">
        <f t="shared" si="49"/>
        <v>(0)</v>
      </c>
      <c r="AE203" s="2" t="str">
        <f t="shared" si="50"/>
        <v/>
      </c>
      <c r="AF203" s="2" t="str">
        <f t="shared" si="51"/>
        <v/>
      </c>
      <c r="AG203" s="2" t="str">
        <f t="shared" si="52"/>
        <v/>
      </c>
      <c r="AH203" s="2" t="str">
        <f t="shared" si="53"/>
        <v/>
      </c>
    </row>
    <row r="204" spans="2:34" x14ac:dyDescent="0.25">
      <c r="B204" s="2" t="s">
        <v>556</v>
      </c>
      <c r="D204" s="2" t="s">
        <v>1</v>
      </c>
      <c r="E204" s="2" t="s">
        <v>134</v>
      </c>
      <c r="F204" s="2" t="s">
        <v>557</v>
      </c>
      <c r="G204" s="2" t="s">
        <v>558</v>
      </c>
      <c r="H204" s="2" t="s">
        <v>680</v>
      </c>
      <c r="I204" s="2" t="s">
        <v>42</v>
      </c>
      <c r="J204" s="2">
        <v>1</v>
      </c>
      <c r="K204" s="2" t="s">
        <v>82</v>
      </c>
      <c r="L204" s="2" t="s">
        <v>41</v>
      </c>
      <c r="M204" s="2" t="s">
        <v>135</v>
      </c>
      <c r="N204" s="2" t="s">
        <v>560</v>
      </c>
      <c r="O204" s="2" t="s">
        <v>681</v>
      </c>
      <c r="P204" s="2" t="s">
        <v>5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656</v>
      </c>
      <c r="T204" s="2" t="str">
        <f t="shared" si="54"/>
        <v>0290</v>
      </c>
      <c r="U204" s="2">
        <f t="shared" si="45"/>
        <v>164</v>
      </c>
      <c r="V204" s="2" t="str">
        <f t="shared" si="55"/>
        <v>0A4</v>
      </c>
      <c r="W204" s="2" t="str">
        <f t="shared" si="56"/>
        <v/>
      </c>
      <c r="X204" s="2" t="str">
        <f t="shared" si="42"/>
        <v/>
      </c>
      <c r="Y204" s="2" t="str">
        <f t="shared" si="43"/>
        <v/>
      </c>
      <c r="Z204" s="2" t="str">
        <f t="shared" si="44"/>
        <v>X</v>
      </c>
      <c r="AA204" s="2" t="str">
        <f t="shared" si="46"/>
        <v/>
      </c>
      <c r="AB204" s="2" t="str">
        <f t="shared" si="47"/>
        <v/>
      </c>
      <c r="AC204" s="2" t="str">
        <f t="shared" si="48"/>
        <v/>
      </c>
      <c r="AD204" s="2" t="str">
        <f t="shared" si="49"/>
        <v>(0)</v>
      </c>
      <c r="AE204" s="2" t="str">
        <f t="shared" si="50"/>
        <v/>
      </c>
      <c r="AF204" s="2" t="str">
        <f t="shared" si="51"/>
        <v/>
      </c>
      <c r="AG204" s="2" t="str">
        <f t="shared" si="52"/>
        <v/>
      </c>
      <c r="AH204" s="2" t="str">
        <f t="shared" si="53"/>
        <v/>
      </c>
    </row>
    <row r="205" spans="2:34" x14ac:dyDescent="0.25">
      <c r="B205" s="2" t="s">
        <v>556</v>
      </c>
      <c r="D205" s="2" t="s">
        <v>1</v>
      </c>
      <c r="E205" s="2" t="s">
        <v>134</v>
      </c>
      <c r="F205" s="2" t="s">
        <v>557</v>
      </c>
      <c r="G205" s="2" t="s">
        <v>558</v>
      </c>
      <c r="H205" s="2" t="s">
        <v>682</v>
      </c>
      <c r="I205" s="2" t="s">
        <v>42</v>
      </c>
      <c r="J205" s="2">
        <v>1</v>
      </c>
      <c r="K205" s="2" t="s">
        <v>82</v>
      </c>
      <c r="L205" s="2" t="s">
        <v>41</v>
      </c>
      <c r="M205" s="2" t="s">
        <v>135</v>
      </c>
      <c r="N205" s="2" t="s">
        <v>560</v>
      </c>
      <c r="O205" s="2" t="s">
        <v>683</v>
      </c>
      <c r="P205" s="2" t="s">
        <v>5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660</v>
      </c>
      <c r="T205" s="2" t="str">
        <f t="shared" si="54"/>
        <v>0294</v>
      </c>
      <c r="U205" s="2">
        <f t="shared" si="45"/>
        <v>165</v>
      </c>
      <c r="V205" s="2" t="str">
        <f t="shared" si="55"/>
        <v>0A5</v>
      </c>
      <c r="W205" s="2" t="str">
        <f t="shared" si="56"/>
        <v/>
      </c>
      <c r="X205" s="2" t="str">
        <f t="shared" si="42"/>
        <v/>
      </c>
      <c r="Y205" s="2" t="str">
        <f t="shared" si="43"/>
        <v/>
      </c>
      <c r="Z205" s="2" t="str">
        <f t="shared" si="44"/>
        <v>X</v>
      </c>
      <c r="AA205" s="2" t="str">
        <f t="shared" si="46"/>
        <v/>
      </c>
      <c r="AB205" s="2" t="str">
        <f t="shared" si="47"/>
        <v/>
      </c>
      <c r="AC205" s="2" t="str">
        <f t="shared" si="48"/>
        <v/>
      </c>
      <c r="AD205" s="2" t="str">
        <f t="shared" si="49"/>
        <v>(0)</v>
      </c>
      <c r="AE205" s="2" t="str">
        <f t="shared" si="50"/>
        <v/>
      </c>
      <c r="AF205" s="2" t="str">
        <f t="shared" si="51"/>
        <v/>
      </c>
      <c r="AG205" s="2" t="str">
        <f t="shared" si="52"/>
        <v/>
      </c>
      <c r="AH205" s="2" t="str">
        <f t="shared" si="53"/>
        <v/>
      </c>
    </row>
    <row r="206" spans="2:34" x14ac:dyDescent="0.25">
      <c r="B206" s="2" t="s">
        <v>556</v>
      </c>
      <c r="D206" s="2" t="s">
        <v>1</v>
      </c>
      <c r="E206" s="2" t="s">
        <v>134</v>
      </c>
      <c r="F206" s="2" t="s">
        <v>557</v>
      </c>
      <c r="G206" s="2" t="s">
        <v>558</v>
      </c>
      <c r="H206" s="2" t="s">
        <v>684</v>
      </c>
      <c r="I206" s="2" t="s">
        <v>42</v>
      </c>
      <c r="J206" s="2">
        <v>1</v>
      </c>
      <c r="K206" s="2" t="s">
        <v>82</v>
      </c>
      <c r="L206" s="2" t="s">
        <v>41</v>
      </c>
      <c r="M206" s="2" t="s">
        <v>135</v>
      </c>
      <c r="N206" s="2" t="s">
        <v>560</v>
      </c>
      <c r="O206" s="2" t="s">
        <v>685</v>
      </c>
      <c r="P206" s="2" t="s">
        <v>5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664</v>
      </c>
      <c r="T206" s="2" t="str">
        <f t="shared" si="54"/>
        <v>0298</v>
      </c>
      <c r="U206" s="2">
        <f t="shared" si="45"/>
        <v>166</v>
      </c>
      <c r="V206" s="2" t="str">
        <f t="shared" si="55"/>
        <v>0A6</v>
      </c>
      <c r="W206" s="2" t="str">
        <f t="shared" si="56"/>
        <v/>
      </c>
      <c r="X206" s="2" t="str">
        <f t="shared" si="42"/>
        <v/>
      </c>
      <c r="Y206" s="2" t="str">
        <f t="shared" si="43"/>
        <v/>
      </c>
      <c r="Z206" s="2" t="str">
        <f t="shared" si="44"/>
        <v>X</v>
      </c>
      <c r="AA206" s="2" t="str">
        <f t="shared" si="46"/>
        <v/>
      </c>
      <c r="AB206" s="2" t="str">
        <f t="shared" si="47"/>
        <v/>
      </c>
      <c r="AC206" s="2" t="str">
        <f t="shared" si="48"/>
        <v/>
      </c>
      <c r="AD206" s="2" t="str">
        <f t="shared" si="49"/>
        <v>(0)</v>
      </c>
      <c r="AE206" s="2" t="str">
        <f t="shared" si="50"/>
        <v/>
      </c>
      <c r="AF206" s="2" t="str">
        <f t="shared" si="51"/>
        <v/>
      </c>
      <c r="AG206" s="2" t="str">
        <f t="shared" si="52"/>
        <v/>
      </c>
      <c r="AH206" s="2" t="str">
        <f t="shared" si="53"/>
        <v/>
      </c>
    </row>
    <row r="207" spans="2:34" x14ac:dyDescent="0.25">
      <c r="B207" s="2" t="s">
        <v>556</v>
      </c>
      <c r="D207" s="2" t="s">
        <v>1</v>
      </c>
      <c r="E207" s="2" t="s">
        <v>134</v>
      </c>
      <c r="F207" s="2" t="s">
        <v>557</v>
      </c>
      <c r="G207" s="2" t="s">
        <v>558</v>
      </c>
      <c r="H207" s="2" t="s">
        <v>686</v>
      </c>
      <c r="I207" s="2" t="s">
        <v>42</v>
      </c>
      <c r="J207" s="2">
        <v>1</v>
      </c>
      <c r="K207" s="2" t="s">
        <v>82</v>
      </c>
      <c r="L207" s="2" t="s">
        <v>41</v>
      </c>
      <c r="M207" s="2" t="s">
        <v>135</v>
      </c>
      <c r="N207" s="2" t="s">
        <v>560</v>
      </c>
      <c r="O207" s="2" t="s">
        <v>687</v>
      </c>
      <c r="P207" s="2" t="s">
        <v>5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668</v>
      </c>
      <c r="T207" s="2" t="str">
        <f t="shared" si="54"/>
        <v>029C</v>
      </c>
      <c r="U207" s="2">
        <f t="shared" si="45"/>
        <v>167</v>
      </c>
      <c r="V207" s="2" t="str">
        <f t="shared" si="55"/>
        <v>0A7</v>
      </c>
      <c r="W207" s="2" t="str">
        <f t="shared" si="56"/>
        <v/>
      </c>
      <c r="X207" s="2" t="str">
        <f t="shared" si="42"/>
        <v/>
      </c>
      <c r="Y207" s="2" t="str">
        <f t="shared" si="43"/>
        <v/>
      </c>
      <c r="Z207" s="2" t="str">
        <f t="shared" si="44"/>
        <v>X</v>
      </c>
      <c r="AA207" s="2" t="str">
        <f t="shared" si="46"/>
        <v/>
      </c>
      <c r="AB207" s="2" t="str">
        <f t="shared" si="47"/>
        <v/>
      </c>
      <c r="AC207" s="2" t="str">
        <f t="shared" si="48"/>
        <v/>
      </c>
      <c r="AD207" s="2" t="str">
        <f t="shared" si="49"/>
        <v>(0)</v>
      </c>
      <c r="AE207" s="2" t="str">
        <f t="shared" si="50"/>
        <v/>
      </c>
      <c r="AF207" s="2" t="str">
        <f t="shared" si="51"/>
        <v/>
      </c>
      <c r="AG207" s="2" t="str">
        <f t="shared" si="52"/>
        <v/>
      </c>
      <c r="AH207" s="2" t="str">
        <f t="shared" si="53"/>
        <v/>
      </c>
    </row>
    <row r="208" spans="2:34" x14ac:dyDescent="0.25">
      <c r="B208" s="2" t="s">
        <v>556</v>
      </c>
      <c r="D208" s="2" t="s">
        <v>1</v>
      </c>
      <c r="E208" s="2" t="s">
        <v>134</v>
      </c>
      <c r="F208" s="2" t="s">
        <v>557</v>
      </c>
      <c r="G208" s="2" t="s">
        <v>558</v>
      </c>
      <c r="H208" s="2" t="s">
        <v>688</v>
      </c>
      <c r="I208" s="2" t="s">
        <v>42</v>
      </c>
      <c r="J208" s="2">
        <v>1</v>
      </c>
      <c r="K208" s="2" t="s">
        <v>82</v>
      </c>
      <c r="L208" s="2" t="s">
        <v>41</v>
      </c>
      <c r="M208" s="2" t="s">
        <v>135</v>
      </c>
      <c r="N208" s="2" t="s">
        <v>560</v>
      </c>
      <c r="O208" s="2" t="s">
        <v>689</v>
      </c>
      <c r="P208" s="2" t="s">
        <v>5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672</v>
      </c>
      <c r="T208" s="2" t="str">
        <f t="shared" si="54"/>
        <v>02A0</v>
      </c>
      <c r="U208" s="2">
        <f t="shared" si="45"/>
        <v>168</v>
      </c>
      <c r="V208" s="2" t="str">
        <f t="shared" si="55"/>
        <v>0A8</v>
      </c>
      <c r="W208" s="2" t="str">
        <f t="shared" si="56"/>
        <v/>
      </c>
      <c r="X208" s="2" t="str">
        <f t="shared" si="42"/>
        <v/>
      </c>
      <c r="Y208" s="2" t="str">
        <f t="shared" si="43"/>
        <v/>
      </c>
      <c r="Z208" s="2" t="str">
        <f t="shared" si="44"/>
        <v>X</v>
      </c>
      <c r="AA208" s="2" t="str">
        <f t="shared" si="46"/>
        <v/>
      </c>
      <c r="AB208" s="2" t="str">
        <f t="shared" si="47"/>
        <v/>
      </c>
      <c r="AC208" s="2" t="str">
        <f t="shared" si="48"/>
        <v/>
      </c>
      <c r="AD208" s="2" t="str">
        <f t="shared" si="49"/>
        <v>(0)</v>
      </c>
      <c r="AE208" s="2" t="str">
        <f t="shared" si="50"/>
        <v/>
      </c>
      <c r="AF208" s="2" t="str">
        <f t="shared" si="51"/>
        <v/>
      </c>
      <c r="AG208" s="2" t="str">
        <f t="shared" si="52"/>
        <v/>
      </c>
      <c r="AH208" s="2" t="str">
        <f t="shared" si="53"/>
        <v/>
      </c>
    </row>
    <row r="209" spans="2:34" x14ac:dyDescent="0.25">
      <c r="B209" s="2" t="s">
        <v>556</v>
      </c>
      <c r="D209" s="2" t="s">
        <v>1</v>
      </c>
      <c r="E209" s="2" t="s">
        <v>134</v>
      </c>
      <c r="F209" s="2" t="s">
        <v>690</v>
      </c>
      <c r="G209" s="2" t="s">
        <v>691</v>
      </c>
      <c r="H209" s="2" t="s">
        <v>692</v>
      </c>
      <c r="I209" s="2" t="s">
        <v>42</v>
      </c>
      <c r="J209" s="2">
        <v>1</v>
      </c>
      <c r="K209" s="2" t="s">
        <v>82</v>
      </c>
      <c r="L209" s="2" t="s">
        <v>41</v>
      </c>
      <c r="M209" s="2" t="s">
        <v>135</v>
      </c>
      <c r="N209" s="2" t="s">
        <v>560</v>
      </c>
      <c r="O209" s="2" t="s">
        <v>693</v>
      </c>
      <c r="P209" s="2" t="s">
        <v>5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676</v>
      </c>
      <c r="T209" s="2" t="str">
        <f t="shared" si="54"/>
        <v>02A4</v>
      </c>
      <c r="U209" s="2">
        <f t="shared" si="45"/>
        <v>169</v>
      </c>
      <c r="V209" s="2" t="str">
        <f t="shared" si="55"/>
        <v>0A9</v>
      </c>
      <c r="W209" s="2" t="str">
        <f t="shared" si="56"/>
        <v/>
      </c>
      <c r="X209" s="2" t="str">
        <f t="shared" si="42"/>
        <v/>
      </c>
      <c r="Y209" s="2" t="str">
        <f t="shared" si="43"/>
        <v/>
      </c>
      <c r="Z209" s="2" t="str">
        <f t="shared" si="44"/>
        <v>X</v>
      </c>
      <c r="AA209" s="2" t="str">
        <f t="shared" si="46"/>
        <v/>
      </c>
      <c r="AB209" s="2" t="str">
        <f t="shared" si="47"/>
        <v/>
      </c>
      <c r="AC209" s="2" t="str">
        <f t="shared" si="48"/>
        <v/>
      </c>
      <c r="AD209" s="2" t="str">
        <f t="shared" si="49"/>
        <v>(0)</v>
      </c>
      <c r="AE209" s="2" t="str">
        <f t="shared" si="50"/>
        <v/>
      </c>
      <c r="AF209" s="2" t="str">
        <f t="shared" si="51"/>
        <v/>
      </c>
      <c r="AG209" s="2" t="str">
        <f t="shared" si="52"/>
        <v/>
      </c>
      <c r="AH209" s="2" t="str">
        <f t="shared" si="53"/>
        <v/>
      </c>
    </row>
    <row r="210" spans="2:34" x14ac:dyDescent="0.25">
      <c r="B210" s="2" t="s">
        <v>556</v>
      </c>
      <c r="D210" s="2" t="s">
        <v>1</v>
      </c>
      <c r="E210" s="2" t="s">
        <v>134</v>
      </c>
      <c r="F210" s="2" t="s">
        <v>690</v>
      </c>
      <c r="G210" s="2" t="s">
        <v>691</v>
      </c>
      <c r="H210" s="2" t="s">
        <v>694</v>
      </c>
      <c r="I210" s="2" t="s">
        <v>42</v>
      </c>
      <c r="J210" s="2">
        <v>1</v>
      </c>
      <c r="K210" s="2" t="s">
        <v>136</v>
      </c>
      <c r="L210" s="2" t="s">
        <v>41</v>
      </c>
      <c r="M210" s="2" t="s">
        <v>135</v>
      </c>
      <c r="N210" s="2" t="s">
        <v>560</v>
      </c>
      <c r="O210" s="2" t="s">
        <v>695</v>
      </c>
      <c r="P210" s="2" t="s">
        <v>5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680</v>
      </c>
      <c r="T210" s="2" t="str">
        <f t="shared" si="54"/>
        <v>02A8</v>
      </c>
      <c r="U210" s="2">
        <f t="shared" si="45"/>
        <v>170</v>
      </c>
      <c r="V210" s="2" t="str">
        <f t="shared" si="55"/>
        <v>0AA</v>
      </c>
      <c r="W210" s="2" t="str">
        <f t="shared" si="56"/>
        <v/>
      </c>
      <c r="X210" s="2" t="str">
        <f t="shared" si="42"/>
        <v/>
      </c>
      <c r="Y210" s="2" t="str">
        <f t="shared" si="43"/>
        <v/>
      </c>
      <c r="Z210" s="2" t="str">
        <f t="shared" si="44"/>
        <v>X</v>
      </c>
      <c r="AA210" s="2" t="str">
        <f t="shared" si="46"/>
        <v/>
      </c>
      <c r="AB210" s="2" t="str">
        <f t="shared" si="47"/>
        <v/>
      </c>
      <c r="AC210" s="2" t="str">
        <f t="shared" si="48"/>
        <v/>
      </c>
      <c r="AD210" s="2" t="str">
        <f t="shared" si="49"/>
        <v>(0)</v>
      </c>
      <c r="AE210" s="2" t="str">
        <f t="shared" si="50"/>
        <v/>
      </c>
      <c r="AF210" s="2" t="str">
        <f t="shared" si="51"/>
        <v/>
      </c>
      <c r="AG210" s="2" t="str">
        <f t="shared" si="52"/>
        <v/>
      </c>
      <c r="AH210" s="2" t="str">
        <f t="shared" si="53"/>
        <v/>
      </c>
    </row>
    <row r="211" spans="2:34" x14ac:dyDescent="0.25">
      <c r="B211" s="2" t="s">
        <v>556</v>
      </c>
      <c r="D211" s="2" t="s">
        <v>1</v>
      </c>
      <c r="E211" s="2" t="s">
        <v>134</v>
      </c>
      <c r="F211" s="2" t="s">
        <v>690</v>
      </c>
      <c r="G211" s="2" t="s">
        <v>691</v>
      </c>
      <c r="H211" s="2" t="s">
        <v>696</v>
      </c>
      <c r="I211" s="2" t="s">
        <v>42</v>
      </c>
      <c r="J211" s="2">
        <v>1</v>
      </c>
      <c r="K211" s="2" t="s">
        <v>82</v>
      </c>
      <c r="L211" s="2" t="s">
        <v>41</v>
      </c>
      <c r="M211" s="2" t="s">
        <v>135</v>
      </c>
      <c r="N211" s="2" t="s">
        <v>560</v>
      </c>
      <c r="O211" s="2" t="s">
        <v>697</v>
      </c>
      <c r="P211" s="2" t="s">
        <v>5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684</v>
      </c>
      <c r="T211" s="2" t="str">
        <f t="shared" si="54"/>
        <v>02AC</v>
      </c>
      <c r="U211" s="2">
        <f t="shared" si="45"/>
        <v>171</v>
      </c>
      <c r="V211" s="2" t="str">
        <f t="shared" si="55"/>
        <v>0AB</v>
      </c>
      <c r="W211" s="2" t="str">
        <f t="shared" si="56"/>
        <v/>
      </c>
      <c r="X211" s="2" t="str">
        <f t="shared" ref="X211:X274" si="57">IF(MOD($S211,4)=2,"X",IF(AND(MOD($S211,4)=1,$J211&gt;8),"X",IF(AND(MOD($S211,4)=0,$J211&gt;16),"X","")))</f>
        <v/>
      </c>
      <c r="Y211" s="2" t="str">
        <f t="shared" ref="Y211:Y274" si="58">IF(MOD($S211,4)=1,"X",IF(AND(MOD($S211,4)=0,$J211&gt;8),"X",""))</f>
        <v/>
      </c>
      <c r="Z211" s="2" t="str">
        <f t="shared" ref="Z211:Z274" si="59">IF(MOD($S211,4)=0,"X","")</f>
        <v>X</v>
      </c>
      <c r="AA211" s="2" t="str">
        <f t="shared" si="46"/>
        <v/>
      </c>
      <c r="AB211" s="2" t="str">
        <f t="shared" si="47"/>
        <v/>
      </c>
      <c r="AC211" s="2" t="str">
        <f t="shared" si="48"/>
        <v/>
      </c>
      <c r="AD211" s="2" t="str">
        <f t="shared" si="49"/>
        <v>(0)</v>
      </c>
      <c r="AE211" s="2" t="str">
        <f t="shared" si="50"/>
        <v/>
      </c>
      <c r="AF211" s="2" t="str">
        <f t="shared" si="51"/>
        <v/>
      </c>
      <c r="AG211" s="2" t="str">
        <f t="shared" si="52"/>
        <v/>
      </c>
      <c r="AH211" s="2" t="str">
        <f t="shared" si="53"/>
        <v/>
      </c>
    </row>
    <row r="212" spans="2:34" x14ac:dyDescent="0.25">
      <c r="B212" s="2" t="s">
        <v>556</v>
      </c>
      <c r="D212" s="2" t="s">
        <v>1</v>
      </c>
      <c r="E212" s="2" t="s">
        <v>134</v>
      </c>
      <c r="F212" s="2" t="s">
        <v>690</v>
      </c>
      <c r="G212" s="2" t="s">
        <v>691</v>
      </c>
      <c r="H212" s="2" t="s">
        <v>698</v>
      </c>
      <c r="I212" s="2" t="s">
        <v>42</v>
      </c>
      <c r="J212" s="2">
        <v>1</v>
      </c>
      <c r="K212" s="2" t="s">
        <v>136</v>
      </c>
      <c r="L212" s="2" t="s">
        <v>41</v>
      </c>
      <c r="M212" s="2" t="s">
        <v>135</v>
      </c>
      <c r="N212" s="2" t="s">
        <v>560</v>
      </c>
      <c r="O212" s="2" t="s">
        <v>699</v>
      </c>
      <c r="P212" s="2" t="s">
        <v>5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688</v>
      </c>
      <c r="T212" s="2" t="str">
        <f t="shared" si="54"/>
        <v>02B0</v>
      </c>
      <c r="U212" s="2">
        <f t="shared" si="45"/>
        <v>172</v>
      </c>
      <c r="V212" s="2" t="str">
        <f t="shared" si="55"/>
        <v>0AC</v>
      </c>
      <c r="W212" s="2" t="str">
        <f t="shared" si="56"/>
        <v/>
      </c>
      <c r="X212" s="2" t="str">
        <f t="shared" si="57"/>
        <v/>
      </c>
      <c r="Y212" s="2" t="str">
        <f t="shared" si="58"/>
        <v/>
      </c>
      <c r="Z212" s="2" t="str">
        <f t="shared" si="59"/>
        <v>X</v>
      </c>
      <c r="AA212" s="2" t="str">
        <f t="shared" si="46"/>
        <v/>
      </c>
      <c r="AB212" s="2" t="str">
        <f t="shared" si="47"/>
        <v/>
      </c>
      <c r="AC212" s="2" t="str">
        <f t="shared" si="48"/>
        <v/>
      </c>
      <c r="AD212" s="2" t="str">
        <f t="shared" si="49"/>
        <v>(0)</v>
      </c>
      <c r="AE212" s="2" t="str">
        <f t="shared" si="50"/>
        <v/>
      </c>
      <c r="AF212" s="2" t="str">
        <f t="shared" si="51"/>
        <v/>
      </c>
      <c r="AG212" s="2" t="str">
        <f t="shared" si="52"/>
        <v/>
      </c>
      <c r="AH212" s="2" t="str">
        <f t="shared" si="53"/>
        <v/>
      </c>
    </row>
    <row r="213" spans="2:34" x14ac:dyDescent="0.25">
      <c r="B213" s="2" t="s">
        <v>556</v>
      </c>
      <c r="D213" s="2" t="s">
        <v>1</v>
      </c>
      <c r="E213" s="2" t="s">
        <v>134</v>
      </c>
      <c r="F213" s="2" t="s">
        <v>690</v>
      </c>
      <c r="G213" s="2" t="s">
        <v>691</v>
      </c>
      <c r="H213" s="2" t="s">
        <v>700</v>
      </c>
      <c r="I213" s="2" t="s">
        <v>42</v>
      </c>
      <c r="J213" s="2">
        <v>1</v>
      </c>
      <c r="K213" s="2" t="s">
        <v>82</v>
      </c>
      <c r="L213" s="2" t="s">
        <v>41</v>
      </c>
      <c r="M213" s="2" t="s">
        <v>135</v>
      </c>
      <c r="N213" s="2" t="s">
        <v>560</v>
      </c>
      <c r="O213" s="2" t="s">
        <v>701</v>
      </c>
      <c r="P213" s="2" t="s">
        <v>5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692</v>
      </c>
      <c r="T213" s="2" t="str">
        <f t="shared" si="54"/>
        <v>02B4</v>
      </c>
      <c r="U213" s="2">
        <f t="shared" si="45"/>
        <v>173</v>
      </c>
      <c r="V213" s="2" t="str">
        <f t="shared" si="55"/>
        <v>0AD</v>
      </c>
      <c r="W213" s="2" t="str">
        <f t="shared" si="56"/>
        <v/>
      </c>
      <c r="X213" s="2" t="str">
        <f t="shared" si="57"/>
        <v/>
      </c>
      <c r="Y213" s="2" t="str">
        <f t="shared" si="58"/>
        <v/>
      </c>
      <c r="Z213" s="2" t="str">
        <f t="shared" si="59"/>
        <v>X</v>
      </c>
      <c r="AA213" s="2" t="str">
        <f t="shared" si="46"/>
        <v/>
      </c>
      <c r="AB213" s="2" t="str">
        <f t="shared" si="47"/>
        <v/>
      </c>
      <c r="AC213" s="2" t="str">
        <f t="shared" si="48"/>
        <v/>
      </c>
      <c r="AD213" s="2" t="str">
        <f t="shared" si="49"/>
        <v>(0)</v>
      </c>
      <c r="AE213" s="2" t="str">
        <f t="shared" si="50"/>
        <v/>
      </c>
      <c r="AF213" s="2" t="str">
        <f t="shared" si="51"/>
        <v/>
      </c>
      <c r="AG213" s="2" t="str">
        <f t="shared" si="52"/>
        <v/>
      </c>
      <c r="AH213" s="2" t="str">
        <f t="shared" si="53"/>
        <v/>
      </c>
    </row>
    <row r="214" spans="2:34" x14ac:dyDescent="0.25">
      <c r="B214" s="2" t="s">
        <v>556</v>
      </c>
      <c r="D214" s="2" t="s">
        <v>1</v>
      </c>
      <c r="E214" s="2" t="s">
        <v>134</v>
      </c>
      <c r="F214" s="2" t="s">
        <v>690</v>
      </c>
      <c r="G214" s="2" t="s">
        <v>691</v>
      </c>
      <c r="H214" s="2" t="s">
        <v>702</v>
      </c>
      <c r="I214" s="2" t="s">
        <v>42</v>
      </c>
      <c r="J214" s="2">
        <v>1</v>
      </c>
      <c r="K214" s="2" t="s">
        <v>136</v>
      </c>
      <c r="L214" s="2" t="s">
        <v>41</v>
      </c>
      <c r="M214" s="2" t="s">
        <v>135</v>
      </c>
      <c r="N214" s="2" t="s">
        <v>560</v>
      </c>
      <c r="O214" s="2" t="s">
        <v>703</v>
      </c>
      <c r="P214" s="2" t="s">
        <v>5</v>
      </c>
      <c r="Q214" s="2">
        <f>INDEX(Tables!$C$4:$C$28,MATCH($P214,Tables!$B$4:$B$28,0))</f>
        <v>32</v>
      </c>
      <c r="R214" s="2">
        <f>INDEX(Tables!$D$4:$D$28,MATCH($P214,Tables!$B$4:$B$28,0))</f>
        <v>4</v>
      </c>
      <c r="S214" s="2">
        <f>$S213+$R213+INDEX(Tables!$N$5:$Q$8,MATCH(MOD($S213+$R213,4),Tables!$M$5:$M$8,0),MATCH($R214,Tables!$N$4:$Q$4,0))</f>
        <v>696</v>
      </c>
      <c r="T214" s="2" t="str">
        <f t="shared" si="54"/>
        <v>02B8</v>
      </c>
      <c r="U214" s="2">
        <f t="shared" si="45"/>
        <v>174</v>
      </c>
      <c r="V214" s="2" t="str">
        <f t="shared" si="55"/>
        <v>0AE</v>
      </c>
      <c r="W214" s="2" t="str">
        <f t="shared" si="56"/>
        <v/>
      </c>
      <c r="X214" s="2" t="str">
        <f t="shared" si="57"/>
        <v/>
      </c>
      <c r="Y214" s="2" t="str">
        <f t="shared" si="58"/>
        <v/>
      </c>
      <c r="Z214" s="2" t="str">
        <f t="shared" si="59"/>
        <v>X</v>
      </c>
      <c r="AA214" s="2" t="str">
        <f t="shared" si="46"/>
        <v/>
      </c>
      <c r="AB214" s="2" t="str">
        <f t="shared" si="47"/>
        <v/>
      </c>
      <c r="AC214" s="2" t="str">
        <f t="shared" si="48"/>
        <v/>
      </c>
      <c r="AD214" s="2" t="str">
        <f t="shared" si="49"/>
        <v>(0)</v>
      </c>
      <c r="AE214" s="2" t="str">
        <f t="shared" si="50"/>
        <v/>
      </c>
      <c r="AF214" s="2" t="str">
        <f t="shared" si="51"/>
        <v/>
      </c>
      <c r="AG214" s="2" t="str">
        <f t="shared" si="52"/>
        <v/>
      </c>
      <c r="AH214" s="2" t="str">
        <f t="shared" si="53"/>
        <v/>
      </c>
    </row>
    <row r="215" spans="2:34" x14ac:dyDescent="0.25">
      <c r="B215" s="2" t="s">
        <v>556</v>
      </c>
      <c r="D215" s="2" t="s">
        <v>1</v>
      </c>
      <c r="E215" s="2" t="s">
        <v>134</v>
      </c>
      <c r="F215" s="2" t="s">
        <v>690</v>
      </c>
      <c r="G215" s="2" t="s">
        <v>691</v>
      </c>
      <c r="H215" s="2" t="s">
        <v>704</v>
      </c>
      <c r="I215" s="2" t="s">
        <v>42</v>
      </c>
      <c r="J215" s="2">
        <v>1</v>
      </c>
      <c r="K215" s="2" t="s">
        <v>136</v>
      </c>
      <c r="L215" s="2" t="s">
        <v>41</v>
      </c>
      <c r="M215" s="2" t="s">
        <v>135</v>
      </c>
      <c r="N215" s="2" t="s">
        <v>560</v>
      </c>
      <c r="O215" s="2" t="s">
        <v>705</v>
      </c>
      <c r="P215" s="2" t="s">
        <v>5</v>
      </c>
      <c r="Q215" s="2">
        <f>INDEX(Tables!$C$4:$C$28,MATCH($P215,Tables!$B$4:$B$28,0))</f>
        <v>32</v>
      </c>
      <c r="R215" s="2">
        <f>INDEX(Tables!$D$4:$D$28,MATCH($P215,Tables!$B$4:$B$28,0))</f>
        <v>4</v>
      </c>
      <c r="S215" s="2">
        <f>$S214+$R214+INDEX(Tables!$N$5:$Q$8,MATCH(MOD($S214+$R214,4),Tables!$M$5:$M$8,0),MATCH($R215,Tables!$N$4:$Q$4,0))</f>
        <v>700</v>
      </c>
      <c r="T215" s="2" t="str">
        <f t="shared" si="54"/>
        <v>02BC</v>
      </c>
      <c r="U215" s="2">
        <f t="shared" si="45"/>
        <v>175</v>
      </c>
      <c r="V215" s="2" t="str">
        <f t="shared" si="55"/>
        <v>0AF</v>
      </c>
      <c r="W215" s="2" t="str">
        <f t="shared" si="56"/>
        <v/>
      </c>
      <c r="X215" s="2" t="str">
        <f t="shared" si="57"/>
        <v/>
      </c>
      <c r="Y215" s="2" t="str">
        <f t="shared" si="58"/>
        <v/>
      </c>
      <c r="Z215" s="2" t="str">
        <f t="shared" si="59"/>
        <v>X</v>
      </c>
      <c r="AA215" s="2" t="str">
        <f t="shared" si="46"/>
        <v/>
      </c>
      <c r="AB215" s="2" t="str">
        <f t="shared" si="47"/>
        <v/>
      </c>
      <c r="AC215" s="2" t="str">
        <f t="shared" si="48"/>
        <v/>
      </c>
      <c r="AD215" s="2" t="str">
        <f t="shared" si="49"/>
        <v>(0)</v>
      </c>
      <c r="AE215" s="2" t="str">
        <f t="shared" si="50"/>
        <v/>
      </c>
      <c r="AF215" s="2" t="str">
        <f t="shared" si="51"/>
        <v/>
      </c>
      <c r="AG215" s="2" t="str">
        <f t="shared" si="52"/>
        <v/>
      </c>
      <c r="AH215" s="2" t="str">
        <f t="shared" si="53"/>
        <v/>
      </c>
    </row>
    <row r="216" spans="2:34" x14ac:dyDescent="0.25">
      <c r="B216" s="2" t="s">
        <v>556</v>
      </c>
      <c r="D216" s="2" t="s">
        <v>1</v>
      </c>
      <c r="E216" s="2" t="s">
        <v>134</v>
      </c>
      <c r="F216" s="2" t="s">
        <v>690</v>
      </c>
      <c r="G216" s="2" t="s">
        <v>691</v>
      </c>
      <c r="H216" s="2" t="s">
        <v>706</v>
      </c>
      <c r="I216" s="2" t="s">
        <v>42</v>
      </c>
      <c r="J216" s="2">
        <v>1</v>
      </c>
      <c r="K216" s="2" t="s">
        <v>136</v>
      </c>
      <c r="L216" s="2" t="s">
        <v>41</v>
      </c>
      <c r="M216" s="2" t="s">
        <v>135</v>
      </c>
      <c r="N216" s="2" t="s">
        <v>560</v>
      </c>
      <c r="O216" s="2" t="s">
        <v>707</v>
      </c>
      <c r="P216" s="2" t="s">
        <v>5</v>
      </c>
      <c r="Q216" s="2">
        <f>INDEX(Tables!$C$4:$C$28,MATCH($P216,Tables!$B$4:$B$28,0))</f>
        <v>32</v>
      </c>
      <c r="R216" s="2">
        <f>INDEX(Tables!$D$4:$D$28,MATCH($P216,Tables!$B$4:$B$28,0))</f>
        <v>4</v>
      </c>
      <c r="S216" s="2">
        <f>$S215+$R215+INDEX(Tables!$N$5:$Q$8,MATCH(MOD($S215+$R215,4),Tables!$M$5:$M$8,0),MATCH($R216,Tables!$N$4:$Q$4,0))</f>
        <v>704</v>
      </c>
      <c r="T216" s="2" t="str">
        <f t="shared" si="54"/>
        <v>02C0</v>
      </c>
      <c r="U216" s="2">
        <f t="shared" si="45"/>
        <v>176</v>
      </c>
      <c r="V216" s="2" t="str">
        <f t="shared" si="55"/>
        <v>0B0</v>
      </c>
      <c r="W216" s="2" t="str">
        <f t="shared" si="56"/>
        <v/>
      </c>
      <c r="X216" s="2" t="str">
        <f t="shared" si="57"/>
        <v/>
      </c>
      <c r="Y216" s="2" t="str">
        <f t="shared" si="58"/>
        <v/>
      </c>
      <c r="Z216" s="2" t="str">
        <f t="shared" si="59"/>
        <v>X</v>
      </c>
      <c r="AA216" s="2" t="str">
        <f t="shared" si="46"/>
        <v/>
      </c>
      <c r="AB216" s="2" t="str">
        <f t="shared" si="47"/>
        <v/>
      </c>
      <c r="AC216" s="2" t="str">
        <f t="shared" si="48"/>
        <v/>
      </c>
      <c r="AD216" s="2" t="str">
        <f t="shared" si="49"/>
        <v>(0)</v>
      </c>
      <c r="AE216" s="2" t="str">
        <f t="shared" si="50"/>
        <v/>
      </c>
      <c r="AF216" s="2" t="str">
        <f t="shared" si="51"/>
        <v/>
      </c>
      <c r="AG216" s="2" t="str">
        <f t="shared" si="52"/>
        <v/>
      </c>
      <c r="AH216" s="2" t="str">
        <f t="shared" si="53"/>
        <v/>
      </c>
    </row>
    <row r="217" spans="2:34" x14ac:dyDescent="0.25">
      <c r="B217" s="2" t="s">
        <v>556</v>
      </c>
      <c r="D217" s="2" t="s">
        <v>1</v>
      </c>
      <c r="E217" s="2" t="s">
        <v>134</v>
      </c>
      <c r="F217" s="2" t="s">
        <v>690</v>
      </c>
      <c r="G217" s="2" t="s">
        <v>691</v>
      </c>
      <c r="H217" s="2" t="s">
        <v>708</v>
      </c>
      <c r="I217" s="2" t="s">
        <v>42</v>
      </c>
      <c r="J217" s="2">
        <v>1</v>
      </c>
      <c r="K217" s="2" t="s">
        <v>82</v>
      </c>
      <c r="L217" s="2" t="s">
        <v>41</v>
      </c>
      <c r="M217" s="2" t="s">
        <v>135</v>
      </c>
      <c r="N217" s="2" t="s">
        <v>560</v>
      </c>
      <c r="O217" s="2" t="s">
        <v>709</v>
      </c>
      <c r="P217" s="2" t="s">
        <v>5</v>
      </c>
      <c r="Q217" s="2">
        <f>INDEX(Tables!$C$4:$C$28,MATCH($P217,Tables!$B$4:$B$28,0))</f>
        <v>32</v>
      </c>
      <c r="R217" s="2">
        <f>INDEX(Tables!$D$4:$D$28,MATCH($P217,Tables!$B$4:$B$28,0))</f>
        <v>4</v>
      </c>
      <c r="S217" s="2">
        <f>$S216+$R216+INDEX(Tables!$N$5:$Q$8,MATCH(MOD($S216+$R216,4),Tables!$M$5:$M$8,0),MATCH($R217,Tables!$N$4:$Q$4,0))</f>
        <v>708</v>
      </c>
      <c r="T217" s="2" t="str">
        <f t="shared" si="54"/>
        <v>02C4</v>
      </c>
      <c r="U217" s="2">
        <f t="shared" si="45"/>
        <v>177</v>
      </c>
      <c r="V217" s="2" t="str">
        <f t="shared" si="55"/>
        <v>0B1</v>
      </c>
      <c r="W217" s="2" t="str">
        <f t="shared" si="56"/>
        <v/>
      </c>
      <c r="X217" s="2" t="str">
        <f t="shared" si="57"/>
        <v/>
      </c>
      <c r="Y217" s="2" t="str">
        <f t="shared" si="58"/>
        <v/>
      </c>
      <c r="Z217" s="2" t="str">
        <f t="shared" si="59"/>
        <v>X</v>
      </c>
      <c r="AA217" s="2" t="str">
        <f t="shared" si="46"/>
        <v/>
      </c>
      <c r="AB217" s="2" t="str">
        <f t="shared" si="47"/>
        <v/>
      </c>
      <c r="AC217" s="2" t="str">
        <f t="shared" si="48"/>
        <v/>
      </c>
      <c r="AD217" s="2" t="str">
        <f t="shared" si="49"/>
        <v>(0)</v>
      </c>
      <c r="AE217" s="2" t="str">
        <f t="shared" si="50"/>
        <v/>
      </c>
      <c r="AF217" s="2" t="str">
        <f t="shared" si="51"/>
        <v/>
      </c>
      <c r="AG217" s="2" t="str">
        <f t="shared" si="52"/>
        <v/>
      </c>
      <c r="AH217" s="2" t="str">
        <f t="shared" si="53"/>
        <v/>
      </c>
    </row>
    <row r="218" spans="2:34" x14ac:dyDescent="0.25">
      <c r="B218" s="2" t="s">
        <v>556</v>
      </c>
      <c r="D218" s="2" t="s">
        <v>1</v>
      </c>
      <c r="E218" s="2" t="s">
        <v>134</v>
      </c>
      <c r="F218" s="2" t="s">
        <v>690</v>
      </c>
      <c r="G218" s="2" t="s">
        <v>691</v>
      </c>
      <c r="H218" s="2" t="s">
        <v>710</v>
      </c>
      <c r="I218" s="2" t="s">
        <v>42</v>
      </c>
      <c r="J218" s="2">
        <v>1</v>
      </c>
      <c r="K218" s="2" t="s">
        <v>82</v>
      </c>
      <c r="L218" s="2" t="s">
        <v>41</v>
      </c>
      <c r="M218" s="2" t="s">
        <v>135</v>
      </c>
      <c r="N218" s="2" t="s">
        <v>560</v>
      </c>
      <c r="O218" s="2" t="s">
        <v>711</v>
      </c>
      <c r="P218" s="2" t="s">
        <v>5</v>
      </c>
      <c r="Q218" s="2">
        <f>INDEX(Tables!$C$4:$C$28,MATCH($P218,Tables!$B$4:$B$28,0))</f>
        <v>32</v>
      </c>
      <c r="R218" s="2">
        <f>INDEX(Tables!$D$4:$D$28,MATCH($P218,Tables!$B$4:$B$28,0))</f>
        <v>4</v>
      </c>
      <c r="S218" s="2">
        <f>$S217+$R217+INDEX(Tables!$N$5:$Q$8,MATCH(MOD($S217+$R217,4),Tables!$M$5:$M$8,0),MATCH($R218,Tables!$N$4:$Q$4,0))</f>
        <v>712</v>
      </c>
      <c r="T218" s="2" t="str">
        <f t="shared" si="54"/>
        <v>02C8</v>
      </c>
      <c r="U218" s="2">
        <f t="shared" si="45"/>
        <v>178</v>
      </c>
      <c r="V218" s="2" t="str">
        <f t="shared" si="55"/>
        <v>0B2</v>
      </c>
      <c r="W218" s="2" t="str">
        <f t="shared" si="56"/>
        <v/>
      </c>
      <c r="X218" s="2" t="str">
        <f t="shared" si="57"/>
        <v/>
      </c>
      <c r="Y218" s="2" t="str">
        <f t="shared" si="58"/>
        <v/>
      </c>
      <c r="Z218" s="2" t="str">
        <f t="shared" si="59"/>
        <v>X</v>
      </c>
      <c r="AA218" s="2" t="str">
        <f t="shared" si="46"/>
        <v/>
      </c>
      <c r="AB218" s="2" t="str">
        <f t="shared" si="47"/>
        <v/>
      </c>
      <c r="AC218" s="2" t="str">
        <f t="shared" si="48"/>
        <v/>
      </c>
      <c r="AD218" s="2" t="str">
        <f t="shared" si="49"/>
        <v>(0)</v>
      </c>
      <c r="AE218" s="2" t="str">
        <f t="shared" si="50"/>
        <v/>
      </c>
      <c r="AF218" s="2" t="str">
        <f t="shared" si="51"/>
        <v/>
      </c>
      <c r="AG218" s="2" t="str">
        <f t="shared" si="52"/>
        <v/>
      </c>
      <c r="AH218" s="2" t="str">
        <f t="shared" si="53"/>
        <v/>
      </c>
    </row>
    <row r="219" spans="2:34" x14ac:dyDescent="0.25">
      <c r="B219" s="2" t="s">
        <v>556</v>
      </c>
      <c r="D219" s="2" t="s">
        <v>1</v>
      </c>
      <c r="E219" s="2" t="s">
        <v>134</v>
      </c>
      <c r="F219" s="2" t="s">
        <v>690</v>
      </c>
      <c r="G219" s="2" t="s">
        <v>691</v>
      </c>
      <c r="H219" s="2" t="s">
        <v>712</v>
      </c>
      <c r="I219" s="2" t="s">
        <v>42</v>
      </c>
      <c r="J219" s="2">
        <v>1</v>
      </c>
      <c r="K219" s="2" t="s">
        <v>82</v>
      </c>
      <c r="L219" s="2" t="s">
        <v>41</v>
      </c>
      <c r="M219" s="2" t="s">
        <v>135</v>
      </c>
      <c r="N219" s="2" t="s">
        <v>560</v>
      </c>
      <c r="O219" s="2" t="s">
        <v>713</v>
      </c>
      <c r="P219" s="2" t="s">
        <v>5</v>
      </c>
      <c r="Q219" s="2">
        <f>INDEX(Tables!$C$4:$C$28,MATCH($P219,Tables!$B$4:$B$28,0))</f>
        <v>32</v>
      </c>
      <c r="R219" s="2">
        <f>INDEX(Tables!$D$4:$D$28,MATCH($P219,Tables!$B$4:$B$28,0))</f>
        <v>4</v>
      </c>
      <c r="S219" s="2">
        <f>$S218+$R218+INDEX(Tables!$N$5:$Q$8,MATCH(MOD($S218+$R218,4),Tables!$M$5:$M$8,0),MATCH($R219,Tables!$N$4:$Q$4,0))</f>
        <v>716</v>
      </c>
      <c r="T219" s="2" t="str">
        <f t="shared" si="54"/>
        <v>02CC</v>
      </c>
      <c r="U219" s="2">
        <f t="shared" si="45"/>
        <v>179</v>
      </c>
      <c r="V219" s="2" t="str">
        <f t="shared" si="55"/>
        <v>0B3</v>
      </c>
      <c r="W219" s="2" t="str">
        <f t="shared" si="56"/>
        <v/>
      </c>
      <c r="X219" s="2" t="str">
        <f t="shared" si="57"/>
        <v/>
      </c>
      <c r="Y219" s="2" t="str">
        <f t="shared" si="58"/>
        <v/>
      </c>
      <c r="Z219" s="2" t="str">
        <f t="shared" si="59"/>
        <v>X</v>
      </c>
      <c r="AA219" s="2" t="str">
        <f t="shared" si="46"/>
        <v/>
      </c>
      <c r="AB219" s="2" t="str">
        <f t="shared" si="47"/>
        <v/>
      </c>
      <c r="AC219" s="2" t="str">
        <f t="shared" si="48"/>
        <v/>
      </c>
      <c r="AD219" s="2" t="str">
        <f t="shared" si="49"/>
        <v>(0)</v>
      </c>
      <c r="AE219" s="2" t="str">
        <f t="shared" si="50"/>
        <v/>
      </c>
      <c r="AF219" s="2" t="str">
        <f t="shared" si="51"/>
        <v/>
      </c>
      <c r="AG219" s="2" t="str">
        <f t="shared" si="52"/>
        <v/>
      </c>
      <c r="AH219" s="2" t="str">
        <f t="shared" si="53"/>
        <v/>
      </c>
    </row>
    <row r="220" spans="2:34" x14ac:dyDescent="0.25">
      <c r="B220" s="2" t="s">
        <v>556</v>
      </c>
      <c r="D220" s="2" t="s">
        <v>1</v>
      </c>
      <c r="E220" s="2" t="s">
        <v>134</v>
      </c>
      <c r="F220" s="2" t="s">
        <v>690</v>
      </c>
      <c r="G220" s="2" t="s">
        <v>691</v>
      </c>
      <c r="H220" s="2" t="s">
        <v>714</v>
      </c>
      <c r="I220" s="2" t="s">
        <v>42</v>
      </c>
      <c r="J220" s="2">
        <v>1</v>
      </c>
      <c r="K220" s="2" t="s">
        <v>82</v>
      </c>
      <c r="L220" s="2" t="s">
        <v>41</v>
      </c>
      <c r="M220" s="2" t="s">
        <v>135</v>
      </c>
      <c r="N220" s="2" t="s">
        <v>560</v>
      </c>
      <c r="O220" s="2" t="s">
        <v>715</v>
      </c>
      <c r="P220" s="2" t="s">
        <v>5</v>
      </c>
      <c r="Q220" s="2">
        <f>INDEX(Tables!$C$4:$C$28,MATCH($P220,Tables!$B$4:$B$28,0))</f>
        <v>32</v>
      </c>
      <c r="R220" s="2">
        <f>INDEX(Tables!$D$4:$D$28,MATCH($P220,Tables!$B$4:$B$28,0))</f>
        <v>4</v>
      </c>
      <c r="S220" s="2">
        <f>$S219+$R219+INDEX(Tables!$N$5:$Q$8,MATCH(MOD($S219+$R219,4),Tables!$M$5:$M$8,0),MATCH($R220,Tables!$N$4:$Q$4,0))</f>
        <v>720</v>
      </c>
      <c r="T220" s="2" t="str">
        <f t="shared" si="54"/>
        <v>02D0</v>
      </c>
      <c r="U220" s="2">
        <f t="shared" si="45"/>
        <v>180</v>
      </c>
      <c r="V220" s="2" t="str">
        <f t="shared" si="55"/>
        <v>0B4</v>
      </c>
      <c r="W220" s="2" t="str">
        <f t="shared" si="56"/>
        <v/>
      </c>
      <c r="X220" s="2" t="str">
        <f t="shared" si="57"/>
        <v/>
      </c>
      <c r="Y220" s="2" t="str">
        <f t="shared" si="58"/>
        <v/>
      </c>
      <c r="Z220" s="2" t="str">
        <f t="shared" si="59"/>
        <v>X</v>
      </c>
      <c r="AA220" s="2" t="str">
        <f t="shared" si="46"/>
        <v/>
      </c>
      <c r="AB220" s="2" t="str">
        <f t="shared" si="47"/>
        <v/>
      </c>
      <c r="AC220" s="2" t="str">
        <f t="shared" si="48"/>
        <v/>
      </c>
      <c r="AD220" s="2" t="str">
        <f t="shared" si="49"/>
        <v>(0)</v>
      </c>
      <c r="AE220" s="2" t="str">
        <f t="shared" si="50"/>
        <v/>
      </c>
      <c r="AF220" s="2" t="str">
        <f t="shared" si="51"/>
        <v/>
      </c>
      <c r="AG220" s="2" t="str">
        <f t="shared" si="52"/>
        <v/>
      </c>
      <c r="AH220" s="2" t="str">
        <f t="shared" si="53"/>
        <v/>
      </c>
    </row>
    <row r="221" spans="2:34" x14ac:dyDescent="0.25">
      <c r="B221" s="2" t="s">
        <v>556</v>
      </c>
      <c r="D221" s="2" t="s">
        <v>1</v>
      </c>
      <c r="E221" s="2" t="s">
        <v>134</v>
      </c>
      <c r="F221" s="2" t="s">
        <v>690</v>
      </c>
      <c r="G221" s="2" t="s">
        <v>691</v>
      </c>
      <c r="H221" s="2" t="s">
        <v>716</v>
      </c>
      <c r="I221" s="2" t="s">
        <v>42</v>
      </c>
      <c r="J221" s="2">
        <v>1</v>
      </c>
      <c r="K221" s="2" t="s">
        <v>82</v>
      </c>
      <c r="L221" s="2" t="s">
        <v>41</v>
      </c>
      <c r="M221" s="2" t="s">
        <v>135</v>
      </c>
      <c r="N221" s="2" t="s">
        <v>560</v>
      </c>
      <c r="O221" s="2" t="s">
        <v>717</v>
      </c>
      <c r="P221" s="2" t="s">
        <v>5</v>
      </c>
      <c r="Q221" s="2">
        <f>INDEX(Tables!$C$4:$C$28,MATCH($P221,Tables!$B$4:$B$28,0))</f>
        <v>32</v>
      </c>
      <c r="R221" s="2">
        <f>INDEX(Tables!$D$4:$D$28,MATCH($P221,Tables!$B$4:$B$28,0))</f>
        <v>4</v>
      </c>
      <c r="S221" s="2">
        <f>$S220+$R220+INDEX(Tables!$N$5:$Q$8,MATCH(MOD($S220+$R220,4),Tables!$M$5:$M$8,0),MATCH($R221,Tables!$N$4:$Q$4,0))</f>
        <v>724</v>
      </c>
      <c r="T221" s="2" t="str">
        <f t="shared" si="54"/>
        <v>02D4</v>
      </c>
      <c r="U221" s="2">
        <f t="shared" si="45"/>
        <v>181</v>
      </c>
      <c r="V221" s="2" t="str">
        <f t="shared" si="55"/>
        <v>0B5</v>
      </c>
      <c r="W221" s="2" t="str">
        <f t="shared" si="56"/>
        <v/>
      </c>
      <c r="X221" s="2" t="str">
        <f t="shared" si="57"/>
        <v/>
      </c>
      <c r="Y221" s="2" t="str">
        <f t="shared" si="58"/>
        <v/>
      </c>
      <c r="Z221" s="2" t="str">
        <f t="shared" si="59"/>
        <v>X</v>
      </c>
      <c r="AA221" s="2" t="str">
        <f t="shared" si="46"/>
        <v/>
      </c>
      <c r="AB221" s="2" t="str">
        <f t="shared" si="47"/>
        <v/>
      </c>
      <c r="AC221" s="2" t="str">
        <f t="shared" si="48"/>
        <v/>
      </c>
      <c r="AD221" s="2" t="str">
        <f t="shared" si="49"/>
        <v>(0)</v>
      </c>
      <c r="AE221" s="2" t="str">
        <f t="shared" si="50"/>
        <v/>
      </c>
      <c r="AF221" s="2" t="str">
        <f t="shared" si="51"/>
        <v/>
      </c>
      <c r="AG221" s="2" t="str">
        <f t="shared" si="52"/>
        <v/>
      </c>
      <c r="AH221" s="2" t="str">
        <f t="shared" si="53"/>
        <v/>
      </c>
    </row>
    <row r="222" spans="2:34" x14ac:dyDescent="0.25">
      <c r="B222" s="2" t="s">
        <v>556</v>
      </c>
      <c r="D222" s="2" t="s">
        <v>1</v>
      </c>
      <c r="E222" s="2" t="s">
        <v>134</v>
      </c>
      <c r="F222" s="2" t="s">
        <v>690</v>
      </c>
      <c r="G222" s="2" t="s">
        <v>691</v>
      </c>
      <c r="H222" s="2" t="s">
        <v>718</v>
      </c>
      <c r="I222" s="2" t="s">
        <v>42</v>
      </c>
      <c r="J222" s="2">
        <v>1</v>
      </c>
      <c r="K222" s="2" t="s">
        <v>82</v>
      </c>
      <c r="L222" s="2" t="s">
        <v>41</v>
      </c>
      <c r="M222" s="2" t="s">
        <v>135</v>
      </c>
      <c r="N222" s="2" t="s">
        <v>560</v>
      </c>
      <c r="O222" s="2" t="s">
        <v>719</v>
      </c>
      <c r="P222" s="2" t="s">
        <v>5</v>
      </c>
      <c r="Q222" s="2">
        <f>INDEX(Tables!$C$4:$C$28,MATCH($P222,Tables!$B$4:$B$28,0))</f>
        <v>32</v>
      </c>
      <c r="R222" s="2">
        <f>INDEX(Tables!$D$4:$D$28,MATCH($P222,Tables!$B$4:$B$28,0))</f>
        <v>4</v>
      </c>
      <c r="S222" s="2">
        <f>$S221+$R221+INDEX(Tables!$N$5:$Q$8,MATCH(MOD($S221+$R221,4),Tables!$M$5:$M$8,0),MATCH($R222,Tables!$N$4:$Q$4,0))</f>
        <v>728</v>
      </c>
      <c r="T222" s="2" t="str">
        <f t="shared" si="54"/>
        <v>02D8</v>
      </c>
      <c r="U222" s="2">
        <f t="shared" si="45"/>
        <v>182</v>
      </c>
      <c r="V222" s="2" t="str">
        <f t="shared" si="55"/>
        <v>0B6</v>
      </c>
      <c r="W222" s="2" t="str">
        <f t="shared" si="56"/>
        <v/>
      </c>
      <c r="X222" s="2" t="str">
        <f t="shared" si="57"/>
        <v/>
      </c>
      <c r="Y222" s="2" t="str">
        <f t="shared" si="58"/>
        <v/>
      </c>
      <c r="Z222" s="2" t="str">
        <f t="shared" si="59"/>
        <v>X</v>
      </c>
      <c r="AA222" s="2" t="str">
        <f t="shared" si="46"/>
        <v/>
      </c>
      <c r="AB222" s="2" t="str">
        <f t="shared" si="47"/>
        <v/>
      </c>
      <c r="AC222" s="2" t="str">
        <f t="shared" si="48"/>
        <v/>
      </c>
      <c r="AD222" s="2" t="str">
        <f t="shared" si="49"/>
        <v>(0)</v>
      </c>
      <c r="AE222" s="2" t="str">
        <f t="shared" si="50"/>
        <v/>
      </c>
      <c r="AF222" s="2" t="str">
        <f t="shared" si="51"/>
        <v/>
      </c>
      <c r="AG222" s="2" t="str">
        <f t="shared" si="52"/>
        <v/>
      </c>
      <c r="AH222" s="2" t="str">
        <f t="shared" si="53"/>
        <v/>
      </c>
    </row>
    <row r="223" spans="2:34" x14ac:dyDescent="0.25">
      <c r="B223" s="2" t="s">
        <v>556</v>
      </c>
      <c r="D223" s="2" t="s">
        <v>1</v>
      </c>
      <c r="E223" s="2" t="s">
        <v>134</v>
      </c>
      <c r="F223" s="2" t="s">
        <v>690</v>
      </c>
      <c r="G223" s="2" t="s">
        <v>691</v>
      </c>
      <c r="H223" s="2" t="s">
        <v>720</v>
      </c>
      <c r="I223" s="2" t="s">
        <v>42</v>
      </c>
      <c r="J223" s="2">
        <v>1</v>
      </c>
      <c r="K223" s="2" t="s">
        <v>82</v>
      </c>
      <c r="L223" s="2" t="s">
        <v>41</v>
      </c>
      <c r="M223" s="2" t="s">
        <v>135</v>
      </c>
      <c r="N223" s="2" t="s">
        <v>560</v>
      </c>
      <c r="O223" s="2" t="s">
        <v>721</v>
      </c>
      <c r="P223" s="2" t="s">
        <v>5</v>
      </c>
      <c r="Q223" s="2">
        <f>INDEX(Tables!$C$4:$C$28,MATCH($P223,Tables!$B$4:$B$28,0))</f>
        <v>32</v>
      </c>
      <c r="R223" s="2">
        <f>INDEX(Tables!$D$4:$D$28,MATCH($P223,Tables!$B$4:$B$28,0))</f>
        <v>4</v>
      </c>
      <c r="S223" s="2">
        <f>$S222+$R222+INDEX(Tables!$N$5:$Q$8,MATCH(MOD($S222+$R222,4),Tables!$M$5:$M$8,0),MATCH($R223,Tables!$N$4:$Q$4,0))</f>
        <v>732</v>
      </c>
      <c r="T223" s="2" t="str">
        <f t="shared" si="54"/>
        <v>02DC</v>
      </c>
      <c r="U223" s="2">
        <f t="shared" si="45"/>
        <v>183</v>
      </c>
      <c r="V223" s="2" t="str">
        <f t="shared" si="55"/>
        <v>0B7</v>
      </c>
      <c r="W223" s="2" t="str">
        <f t="shared" si="56"/>
        <v/>
      </c>
      <c r="X223" s="2" t="str">
        <f t="shared" si="57"/>
        <v/>
      </c>
      <c r="Y223" s="2" t="str">
        <f t="shared" si="58"/>
        <v/>
      </c>
      <c r="Z223" s="2" t="str">
        <f t="shared" si="59"/>
        <v>X</v>
      </c>
      <c r="AA223" s="2" t="str">
        <f t="shared" si="46"/>
        <v/>
      </c>
      <c r="AB223" s="2" t="str">
        <f t="shared" si="47"/>
        <v/>
      </c>
      <c r="AC223" s="2" t="str">
        <f t="shared" si="48"/>
        <v/>
      </c>
      <c r="AD223" s="2" t="str">
        <f t="shared" si="49"/>
        <v>(0)</v>
      </c>
      <c r="AE223" s="2" t="str">
        <f t="shared" si="50"/>
        <v/>
      </c>
      <c r="AF223" s="2" t="str">
        <f t="shared" si="51"/>
        <v/>
      </c>
      <c r="AG223" s="2" t="str">
        <f t="shared" si="52"/>
        <v/>
      </c>
      <c r="AH223" s="2" t="str">
        <f t="shared" si="53"/>
        <v/>
      </c>
    </row>
    <row r="224" spans="2:34" x14ac:dyDescent="0.25">
      <c r="B224" s="2" t="s">
        <v>556</v>
      </c>
      <c r="D224" s="2" t="s">
        <v>1</v>
      </c>
      <c r="E224" s="2" t="s">
        <v>134</v>
      </c>
      <c r="F224" s="2" t="s">
        <v>690</v>
      </c>
      <c r="G224" s="2" t="s">
        <v>691</v>
      </c>
      <c r="H224" s="2" t="s">
        <v>722</v>
      </c>
      <c r="I224" s="2" t="s">
        <v>42</v>
      </c>
      <c r="J224" s="2">
        <v>1</v>
      </c>
      <c r="K224" s="2" t="s">
        <v>82</v>
      </c>
      <c r="L224" s="2" t="s">
        <v>41</v>
      </c>
      <c r="M224" s="2" t="s">
        <v>135</v>
      </c>
      <c r="N224" s="2" t="s">
        <v>560</v>
      </c>
      <c r="O224" s="2" t="s">
        <v>723</v>
      </c>
      <c r="P224" s="2" t="s">
        <v>5</v>
      </c>
      <c r="Q224" s="2">
        <f>INDEX(Tables!$C$4:$C$28,MATCH($P224,Tables!$B$4:$B$28,0))</f>
        <v>32</v>
      </c>
      <c r="R224" s="2">
        <f>INDEX(Tables!$D$4:$D$28,MATCH($P224,Tables!$B$4:$B$28,0))</f>
        <v>4</v>
      </c>
      <c r="S224" s="2">
        <f>$S223+$R223+INDEX(Tables!$N$5:$Q$8,MATCH(MOD($S223+$R223,4),Tables!$M$5:$M$8,0),MATCH($R224,Tables!$N$4:$Q$4,0))</f>
        <v>736</v>
      </c>
      <c r="T224" s="2" t="str">
        <f t="shared" si="54"/>
        <v>02E0</v>
      </c>
      <c r="U224" s="2">
        <f t="shared" si="45"/>
        <v>184</v>
      </c>
      <c r="V224" s="2" t="str">
        <f t="shared" si="55"/>
        <v>0B8</v>
      </c>
      <c r="W224" s="2" t="str">
        <f t="shared" si="56"/>
        <v/>
      </c>
      <c r="X224" s="2" t="str">
        <f t="shared" si="57"/>
        <v/>
      </c>
      <c r="Y224" s="2" t="str">
        <f t="shared" si="58"/>
        <v/>
      </c>
      <c r="Z224" s="2" t="str">
        <f t="shared" si="59"/>
        <v>X</v>
      </c>
      <c r="AA224" s="2" t="str">
        <f t="shared" si="46"/>
        <v/>
      </c>
      <c r="AB224" s="2" t="str">
        <f t="shared" si="47"/>
        <v/>
      </c>
      <c r="AC224" s="2" t="str">
        <f t="shared" si="48"/>
        <v/>
      </c>
      <c r="AD224" s="2" t="str">
        <f t="shared" si="49"/>
        <v>(0)</v>
      </c>
      <c r="AE224" s="2" t="str">
        <f t="shared" si="50"/>
        <v/>
      </c>
      <c r="AF224" s="2" t="str">
        <f t="shared" si="51"/>
        <v/>
      </c>
      <c r="AG224" s="2" t="str">
        <f t="shared" si="52"/>
        <v/>
      </c>
      <c r="AH224" s="2" t="str">
        <f t="shared" si="53"/>
        <v/>
      </c>
    </row>
    <row r="225" spans="2:34" x14ac:dyDescent="0.25">
      <c r="B225" s="2" t="s">
        <v>556</v>
      </c>
      <c r="D225" s="2" t="s">
        <v>1</v>
      </c>
      <c r="E225" s="2" t="s">
        <v>134</v>
      </c>
      <c r="F225" s="2" t="s">
        <v>690</v>
      </c>
      <c r="G225" s="2" t="s">
        <v>691</v>
      </c>
      <c r="H225" s="2" t="s">
        <v>724</v>
      </c>
      <c r="I225" s="2" t="s">
        <v>42</v>
      </c>
      <c r="J225" s="2">
        <v>1</v>
      </c>
      <c r="K225" s="2" t="s">
        <v>82</v>
      </c>
      <c r="L225" s="2" t="s">
        <v>41</v>
      </c>
      <c r="M225" s="2" t="s">
        <v>135</v>
      </c>
      <c r="N225" s="2" t="s">
        <v>560</v>
      </c>
      <c r="O225" s="2" t="s">
        <v>725</v>
      </c>
      <c r="P225" s="2" t="s">
        <v>5</v>
      </c>
      <c r="Q225" s="2">
        <f>INDEX(Tables!$C$4:$C$28,MATCH($P225,Tables!$B$4:$B$28,0))</f>
        <v>32</v>
      </c>
      <c r="R225" s="2">
        <f>INDEX(Tables!$D$4:$D$28,MATCH($P225,Tables!$B$4:$B$28,0))</f>
        <v>4</v>
      </c>
      <c r="S225" s="2">
        <f>$S224+$R224+INDEX(Tables!$N$5:$Q$8,MATCH(MOD($S224+$R224,4),Tables!$M$5:$M$8,0),MATCH($R225,Tables!$N$4:$Q$4,0))</f>
        <v>740</v>
      </c>
      <c r="T225" s="2" t="str">
        <f t="shared" si="54"/>
        <v>02E4</v>
      </c>
      <c r="U225" s="2">
        <f t="shared" si="45"/>
        <v>185</v>
      </c>
      <c r="V225" s="2" t="str">
        <f t="shared" si="55"/>
        <v>0B9</v>
      </c>
      <c r="W225" s="2" t="str">
        <f t="shared" si="56"/>
        <v/>
      </c>
      <c r="X225" s="2" t="str">
        <f t="shared" si="57"/>
        <v/>
      </c>
      <c r="Y225" s="2" t="str">
        <f t="shared" si="58"/>
        <v/>
      </c>
      <c r="Z225" s="2" t="str">
        <f t="shared" si="59"/>
        <v>X</v>
      </c>
      <c r="AA225" s="2" t="str">
        <f t="shared" si="46"/>
        <v/>
      </c>
      <c r="AB225" s="2" t="str">
        <f t="shared" si="47"/>
        <v/>
      </c>
      <c r="AC225" s="2" t="str">
        <f t="shared" si="48"/>
        <v/>
      </c>
      <c r="AD225" s="2" t="str">
        <f t="shared" si="49"/>
        <v>(0)</v>
      </c>
      <c r="AE225" s="2" t="str">
        <f t="shared" si="50"/>
        <v/>
      </c>
      <c r="AF225" s="2" t="str">
        <f t="shared" si="51"/>
        <v/>
      </c>
      <c r="AG225" s="2" t="str">
        <f t="shared" si="52"/>
        <v/>
      </c>
      <c r="AH225" s="2" t="str">
        <f t="shared" si="53"/>
        <v/>
      </c>
    </row>
    <row r="226" spans="2:34" x14ac:dyDescent="0.25">
      <c r="B226" s="2" t="s">
        <v>556</v>
      </c>
      <c r="D226" s="2" t="s">
        <v>1</v>
      </c>
      <c r="E226" s="2" t="s">
        <v>134</v>
      </c>
      <c r="F226" s="2" t="s">
        <v>690</v>
      </c>
      <c r="G226" s="2" t="s">
        <v>691</v>
      </c>
      <c r="H226" s="2" t="s">
        <v>726</v>
      </c>
      <c r="I226" s="2" t="s">
        <v>42</v>
      </c>
      <c r="J226" s="2">
        <v>1</v>
      </c>
      <c r="K226" s="2" t="s">
        <v>82</v>
      </c>
      <c r="L226" s="2" t="s">
        <v>41</v>
      </c>
      <c r="M226" s="2" t="s">
        <v>135</v>
      </c>
      <c r="N226" s="2" t="s">
        <v>560</v>
      </c>
      <c r="O226" s="2" t="s">
        <v>727</v>
      </c>
      <c r="P226" s="2" t="s">
        <v>5</v>
      </c>
      <c r="Q226" s="2">
        <f>INDEX(Tables!$C$4:$C$28,MATCH($P226,Tables!$B$4:$B$28,0))</f>
        <v>32</v>
      </c>
      <c r="R226" s="2">
        <f>INDEX(Tables!$D$4:$D$28,MATCH($P226,Tables!$B$4:$B$28,0))</f>
        <v>4</v>
      </c>
      <c r="S226" s="2">
        <f>$S225+$R225+INDEX(Tables!$N$5:$Q$8,MATCH(MOD($S225+$R225,4),Tables!$M$5:$M$8,0),MATCH($R226,Tables!$N$4:$Q$4,0))</f>
        <v>744</v>
      </c>
      <c r="T226" s="2" t="str">
        <f t="shared" si="54"/>
        <v>02E8</v>
      </c>
      <c r="U226" s="2">
        <f t="shared" si="45"/>
        <v>186</v>
      </c>
      <c r="V226" s="2" t="str">
        <f t="shared" si="55"/>
        <v>0BA</v>
      </c>
      <c r="W226" s="2" t="str">
        <f t="shared" si="56"/>
        <v/>
      </c>
      <c r="X226" s="2" t="str">
        <f t="shared" si="57"/>
        <v/>
      </c>
      <c r="Y226" s="2" t="str">
        <f t="shared" si="58"/>
        <v/>
      </c>
      <c r="Z226" s="2" t="str">
        <f t="shared" si="59"/>
        <v>X</v>
      </c>
      <c r="AA226" s="2" t="str">
        <f t="shared" si="46"/>
        <v/>
      </c>
      <c r="AB226" s="2" t="str">
        <f t="shared" si="47"/>
        <v/>
      </c>
      <c r="AC226" s="2" t="str">
        <f t="shared" si="48"/>
        <v/>
      </c>
      <c r="AD226" s="2" t="str">
        <f t="shared" si="49"/>
        <v>(0)</v>
      </c>
      <c r="AE226" s="2" t="str">
        <f t="shared" si="50"/>
        <v/>
      </c>
      <c r="AF226" s="2" t="str">
        <f t="shared" si="51"/>
        <v/>
      </c>
      <c r="AG226" s="2" t="str">
        <f t="shared" si="52"/>
        <v/>
      </c>
      <c r="AH226" s="2" t="str">
        <f t="shared" si="53"/>
        <v/>
      </c>
    </row>
    <row r="227" spans="2:34" x14ac:dyDescent="0.25">
      <c r="B227" s="2" t="s">
        <v>556</v>
      </c>
      <c r="D227" s="2" t="s">
        <v>1</v>
      </c>
      <c r="E227" s="2" t="s">
        <v>134</v>
      </c>
      <c r="F227" s="2" t="s">
        <v>690</v>
      </c>
      <c r="G227" s="2" t="s">
        <v>691</v>
      </c>
      <c r="H227" s="2" t="s">
        <v>728</v>
      </c>
      <c r="I227" s="2" t="s">
        <v>42</v>
      </c>
      <c r="J227" s="2">
        <v>1</v>
      </c>
      <c r="K227" s="2" t="s">
        <v>82</v>
      </c>
      <c r="L227" s="2" t="s">
        <v>41</v>
      </c>
      <c r="M227" s="2" t="s">
        <v>135</v>
      </c>
      <c r="N227" s="2" t="s">
        <v>560</v>
      </c>
      <c r="O227" s="2" t="s">
        <v>729</v>
      </c>
      <c r="P227" s="2" t="s">
        <v>5</v>
      </c>
      <c r="Q227" s="2">
        <f>INDEX(Tables!$C$4:$C$28,MATCH($P227,Tables!$B$4:$B$28,0))</f>
        <v>32</v>
      </c>
      <c r="R227" s="2">
        <f>INDEX(Tables!$D$4:$D$28,MATCH($P227,Tables!$B$4:$B$28,0))</f>
        <v>4</v>
      </c>
      <c r="S227" s="2">
        <f>$S226+$R226+INDEX(Tables!$N$5:$Q$8,MATCH(MOD($S226+$R226,4),Tables!$M$5:$M$8,0),MATCH($R227,Tables!$N$4:$Q$4,0))</f>
        <v>748</v>
      </c>
      <c r="T227" s="2" t="str">
        <f t="shared" si="54"/>
        <v>02EC</v>
      </c>
      <c r="U227" s="2">
        <f t="shared" si="45"/>
        <v>187</v>
      </c>
      <c r="V227" s="2" t="str">
        <f t="shared" si="55"/>
        <v>0BB</v>
      </c>
      <c r="W227" s="2" t="str">
        <f t="shared" si="56"/>
        <v/>
      </c>
      <c r="X227" s="2" t="str">
        <f t="shared" si="57"/>
        <v/>
      </c>
      <c r="Y227" s="2" t="str">
        <f t="shared" si="58"/>
        <v/>
      </c>
      <c r="Z227" s="2" t="str">
        <f t="shared" si="59"/>
        <v>X</v>
      </c>
      <c r="AA227" s="2" t="str">
        <f t="shared" si="46"/>
        <v/>
      </c>
      <c r="AB227" s="2" t="str">
        <f t="shared" si="47"/>
        <v/>
      </c>
      <c r="AC227" s="2" t="str">
        <f t="shared" si="48"/>
        <v/>
      </c>
      <c r="AD227" s="2" t="str">
        <f t="shared" si="49"/>
        <v>(0)</v>
      </c>
      <c r="AE227" s="2" t="str">
        <f t="shared" si="50"/>
        <v/>
      </c>
      <c r="AF227" s="2" t="str">
        <f t="shared" si="51"/>
        <v/>
      </c>
      <c r="AG227" s="2" t="str">
        <f t="shared" si="52"/>
        <v/>
      </c>
      <c r="AH227" s="2" t="str">
        <f t="shared" si="53"/>
        <v/>
      </c>
    </row>
    <row r="228" spans="2:34" x14ac:dyDescent="0.25">
      <c r="B228" s="2" t="s">
        <v>556</v>
      </c>
      <c r="D228" s="2" t="s">
        <v>1</v>
      </c>
      <c r="E228" s="2" t="s">
        <v>134</v>
      </c>
      <c r="F228" s="2" t="s">
        <v>690</v>
      </c>
      <c r="G228" s="2" t="s">
        <v>691</v>
      </c>
      <c r="H228" s="2" t="s">
        <v>730</v>
      </c>
      <c r="I228" s="2" t="s">
        <v>42</v>
      </c>
      <c r="J228" s="2">
        <v>1</v>
      </c>
      <c r="K228" s="2" t="s">
        <v>82</v>
      </c>
      <c r="L228" s="2" t="s">
        <v>41</v>
      </c>
      <c r="M228" s="2" t="s">
        <v>135</v>
      </c>
      <c r="N228" s="2" t="s">
        <v>560</v>
      </c>
      <c r="O228" s="2" t="s">
        <v>731</v>
      </c>
      <c r="P228" s="2" t="s">
        <v>5</v>
      </c>
      <c r="Q228" s="2">
        <f>INDEX(Tables!$C$4:$C$28,MATCH($P228,Tables!$B$4:$B$28,0))</f>
        <v>32</v>
      </c>
      <c r="R228" s="2">
        <f>INDEX(Tables!$D$4:$D$28,MATCH($P228,Tables!$B$4:$B$28,0))</f>
        <v>4</v>
      </c>
      <c r="S228" s="2">
        <f>$S227+$R227+INDEX(Tables!$N$5:$Q$8,MATCH(MOD($S227+$R227,4),Tables!$M$5:$M$8,0),MATCH($R228,Tables!$N$4:$Q$4,0))</f>
        <v>752</v>
      </c>
      <c r="T228" s="2" t="str">
        <f t="shared" si="54"/>
        <v>02F0</v>
      </c>
      <c r="U228" s="2">
        <f t="shared" si="45"/>
        <v>188</v>
      </c>
      <c r="V228" s="2" t="str">
        <f t="shared" si="55"/>
        <v>0BC</v>
      </c>
      <c r="W228" s="2" t="str">
        <f t="shared" si="56"/>
        <v/>
      </c>
      <c r="X228" s="2" t="str">
        <f t="shared" si="57"/>
        <v/>
      </c>
      <c r="Y228" s="2" t="str">
        <f t="shared" si="58"/>
        <v/>
      </c>
      <c r="Z228" s="2" t="str">
        <f t="shared" si="59"/>
        <v>X</v>
      </c>
      <c r="AA228" s="2" t="str">
        <f t="shared" si="46"/>
        <v/>
      </c>
      <c r="AB228" s="2" t="str">
        <f t="shared" si="47"/>
        <v/>
      </c>
      <c r="AC228" s="2" t="str">
        <f t="shared" si="48"/>
        <v/>
      </c>
      <c r="AD228" s="2" t="str">
        <f t="shared" si="49"/>
        <v>(0)</v>
      </c>
      <c r="AE228" s="2" t="str">
        <f t="shared" si="50"/>
        <v/>
      </c>
      <c r="AF228" s="2" t="str">
        <f t="shared" si="51"/>
        <v/>
      </c>
      <c r="AG228" s="2" t="str">
        <f t="shared" si="52"/>
        <v/>
      </c>
      <c r="AH228" s="2" t="str">
        <f t="shared" si="53"/>
        <v/>
      </c>
    </row>
    <row r="229" spans="2:34" x14ac:dyDescent="0.25">
      <c r="B229" s="2" t="s">
        <v>556</v>
      </c>
      <c r="D229" s="2" t="s">
        <v>1</v>
      </c>
      <c r="E229" s="2" t="s">
        <v>134</v>
      </c>
      <c r="F229" s="2" t="s">
        <v>690</v>
      </c>
      <c r="G229" s="2" t="s">
        <v>691</v>
      </c>
      <c r="H229" s="2" t="s">
        <v>732</v>
      </c>
      <c r="I229" s="2" t="s">
        <v>42</v>
      </c>
      <c r="J229" s="2">
        <v>1</v>
      </c>
      <c r="K229" s="2" t="s">
        <v>136</v>
      </c>
      <c r="L229" s="2" t="s">
        <v>41</v>
      </c>
      <c r="M229" s="2" t="s">
        <v>135</v>
      </c>
      <c r="N229" s="2" t="s">
        <v>560</v>
      </c>
      <c r="O229" s="2" t="s">
        <v>733</v>
      </c>
      <c r="P229" s="2" t="s">
        <v>5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756</v>
      </c>
      <c r="T229" s="2" t="str">
        <f t="shared" si="54"/>
        <v>02F4</v>
      </c>
      <c r="U229" s="2">
        <f t="shared" si="45"/>
        <v>189</v>
      </c>
      <c r="V229" s="2" t="str">
        <f t="shared" si="55"/>
        <v>0BD</v>
      </c>
      <c r="W229" s="2" t="str">
        <f t="shared" si="56"/>
        <v/>
      </c>
      <c r="X229" s="2" t="str">
        <f t="shared" si="57"/>
        <v/>
      </c>
      <c r="Y229" s="2" t="str">
        <f t="shared" si="58"/>
        <v/>
      </c>
      <c r="Z229" s="2" t="str">
        <f t="shared" si="59"/>
        <v>X</v>
      </c>
      <c r="AA229" s="2" t="str">
        <f t="shared" si="46"/>
        <v/>
      </c>
      <c r="AB229" s="2" t="str">
        <f t="shared" si="47"/>
        <v/>
      </c>
      <c r="AC229" s="2" t="str">
        <f t="shared" si="48"/>
        <v/>
      </c>
      <c r="AD229" s="2" t="str">
        <f t="shared" si="49"/>
        <v>(0)</v>
      </c>
      <c r="AE229" s="2" t="str">
        <f t="shared" si="50"/>
        <v/>
      </c>
      <c r="AF229" s="2" t="str">
        <f t="shared" si="51"/>
        <v/>
      </c>
      <c r="AG229" s="2" t="str">
        <f t="shared" si="52"/>
        <v/>
      </c>
      <c r="AH229" s="2" t="str">
        <f t="shared" si="53"/>
        <v/>
      </c>
    </row>
    <row r="230" spans="2:34" x14ac:dyDescent="0.25">
      <c r="B230" s="2" t="s">
        <v>556</v>
      </c>
      <c r="D230" s="2" t="s">
        <v>1</v>
      </c>
      <c r="E230" s="2" t="s">
        <v>134</v>
      </c>
      <c r="F230" s="2" t="s">
        <v>690</v>
      </c>
      <c r="G230" s="2" t="s">
        <v>691</v>
      </c>
      <c r="H230" s="2" t="s">
        <v>734</v>
      </c>
      <c r="I230" s="2" t="s">
        <v>42</v>
      </c>
      <c r="J230" s="2">
        <v>1</v>
      </c>
      <c r="K230" s="2" t="s">
        <v>136</v>
      </c>
      <c r="L230" s="2" t="s">
        <v>41</v>
      </c>
      <c r="M230" s="2" t="s">
        <v>135</v>
      </c>
      <c r="N230" s="2" t="s">
        <v>560</v>
      </c>
      <c r="O230" s="2" t="s">
        <v>735</v>
      </c>
      <c r="P230" s="2" t="s">
        <v>5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760</v>
      </c>
      <c r="T230" s="2" t="str">
        <f t="shared" si="54"/>
        <v>02F8</v>
      </c>
      <c r="U230" s="2">
        <f t="shared" si="45"/>
        <v>190</v>
      </c>
      <c r="V230" s="2" t="str">
        <f t="shared" si="55"/>
        <v>0BE</v>
      </c>
      <c r="W230" s="2" t="str">
        <f t="shared" si="56"/>
        <v/>
      </c>
      <c r="X230" s="2" t="str">
        <f t="shared" si="57"/>
        <v/>
      </c>
      <c r="Y230" s="2" t="str">
        <f t="shared" si="58"/>
        <v/>
      </c>
      <c r="Z230" s="2" t="str">
        <f t="shared" si="59"/>
        <v>X</v>
      </c>
      <c r="AA230" s="2" t="str">
        <f t="shared" si="46"/>
        <v/>
      </c>
      <c r="AB230" s="2" t="str">
        <f t="shared" si="47"/>
        <v/>
      </c>
      <c r="AC230" s="2" t="str">
        <f t="shared" si="48"/>
        <v/>
      </c>
      <c r="AD230" s="2" t="str">
        <f t="shared" si="49"/>
        <v>(0)</v>
      </c>
      <c r="AE230" s="2" t="str">
        <f t="shared" si="50"/>
        <v/>
      </c>
      <c r="AF230" s="2" t="str">
        <f t="shared" si="51"/>
        <v/>
      </c>
      <c r="AG230" s="2" t="str">
        <f t="shared" si="52"/>
        <v/>
      </c>
      <c r="AH230" s="2" t="str">
        <f t="shared" si="53"/>
        <v/>
      </c>
    </row>
    <row r="231" spans="2:34" x14ac:dyDescent="0.25">
      <c r="B231" s="2" t="s">
        <v>556</v>
      </c>
      <c r="D231" s="2" t="s">
        <v>1</v>
      </c>
      <c r="E231" s="2" t="s">
        <v>134</v>
      </c>
      <c r="F231" s="2" t="s">
        <v>690</v>
      </c>
      <c r="G231" s="2" t="s">
        <v>691</v>
      </c>
      <c r="H231" s="2" t="s">
        <v>736</v>
      </c>
      <c r="I231" s="2" t="s">
        <v>42</v>
      </c>
      <c r="J231" s="2">
        <v>1</v>
      </c>
      <c r="K231" s="2" t="s">
        <v>82</v>
      </c>
      <c r="L231" s="2" t="s">
        <v>41</v>
      </c>
      <c r="M231" s="2" t="s">
        <v>135</v>
      </c>
      <c r="N231" s="2" t="s">
        <v>560</v>
      </c>
      <c r="O231" s="2" t="s">
        <v>737</v>
      </c>
      <c r="P231" s="2" t="s">
        <v>5</v>
      </c>
      <c r="Q231" s="2">
        <f>INDEX(Tables!$C$4:$C$28,MATCH($P231,Tables!$B$4:$B$28,0))</f>
        <v>32</v>
      </c>
      <c r="R231" s="2">
        <f>INDEX(Tables!$D$4:$D$28,MATCH($P231,Tables!$B$4:$B$28,0))</f>
        <v>4</v>
      </c>
      <c r="S231" s="2">
        <f>$S230+$R230+INDEX(Tables!$N$5:$Q$8,MATCH(MOD($S230+$R230,4),Tables!$M$5:$M$8,0),MATCH($R231,Tables!$N$4:$Q$4,0))</f>
        <v>764</v>
      </c>
      <c r="T231" s="2" t="str">
        <f t="shared" si="54"/>
        <v>02FC</v>
      </c>
      <c r="U231" s="2">
        <f t="shared" si="45"/>
        <v>191</v>
      </c>
      <c r="V231" s="2" t="str">
        <f t="shared" si="55"/>
        <v>0BF</v>
      </c>
      <c r="W231" s="2" t="str">
        <f t="shared" si="56"/>
        <v/>
      </c>
      <c r="X231" s="2" t="str">
        <f t="shared" si="57"/>
        <v/>
      </c>
      <c r="Y231" s="2" t="str">
        <f t="shared" si="58"/>
        <v/>
      </c>
      <c r="Z231" s="2" t="str">
        <f t="shared" si="59"/>
        <v>X</v>
      </c>
      <c r="AA231" s="2" t="str">
        <f t="shared" si="46"/>
        <v/>
      </c>
      <c r="AB231" s="2" t="str">
        <f t="shared" si="47"/>
        <v/>
      </c>
      <c r="AC231" s="2" t="str">
        <f t="shared" si="48"/>
        <v/>
      </c>
      <c r="AD231" s="2" t="str">
        <f t="shared" si="49"/>
        <v>(0)</v>
      </c>
      <c r="AE231" s="2" t="str">
        <f t="shared" si="50"/>
        <v/>
      </c>
      <c r="AF231" s="2" t="str">
        <f t="shared" si="51"/>
        <v/>
      </c>
      <c r="AG231" s="2" t="str">
        <f t="shared" si="52"/>
        <v/>
      </c>
      <c r="AH231" s="2" t="str">
        <f t="shared" si="53"/>
        <v/>
      </c>
    </row>
    <row r="232" spans="2:34" x14ac:dyDescent="0.25">
      <c r="B232" s="2" t="s">
        <v>556</v>
      </c>
      <c r="D232" s="2" t="s">
        <v>1</v>
      </c>
      <c r="E232" s="2" t="s">
        <v>134</v>
      </c>
      <c r="F232" s="2" t="s">
        <v>690</v>
      </c>
      <c r="G232" s="2" t="s">
        <v>691</v>
      </c>
      <c r="H232" s="2" t="s">
        <v>738</v>
      </c>
      <c r="I232" s="2" t="s">
        <v>42</v>
      </c>
      <c r="J232" s="2">
        <v>1</v>
      </c>
      <c r="K232" s="2" t="s">
        <v>82</v>
      </c>
      <c r="L232" s="2" t="s">
        <v>41</v>
      </c>
      <c r="M232" s="2" t="s">
        <v>135</v>
      </c>
      <c r="N232" s="2" t="s">
        <v>560</v>
      </c>
      <c r="O232" s="2" t="s">
        <v>739</v>
      </c>
      <c r="P232" s="2" t="s">
        <v>5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768</v>
      </c>
      <c r="T232" s="2" t="str">
        <f t="shared" si="54"/>
        <v>0300</v>
      </c>
      <c r="U232" s="2">
        <f t="shared" si="45"/>
        <v>192</v>
      </c>
      <c r="V232" s="2" t="str">
        <f t="shared" si="55"/>
        <v>0C0</v>
      </c>
      <c r="W232" s="2" t="str">
        <f t="shared" si="56"/>
        <v/>
      </c>
      <c r="X232" s="2" t="str">
        <f t="shared" si="57"/>
        <v/>
      </c>
      <c r="Y232" s="2" t="str">
        <f t="shared" si="58"/>
        <v/>
      </c>
      <c r="Z232" s="2" t="str">
        <f t="shared" si="59"/>
        <v>X</v>
      </c>
      <c r="AA232" s="2" t="str">
        <f t="shared" si="46"/>
        <v/>
      </c>
      <c r="AB232" s="2" t="str">
        <f t="shared" si="47"/>
        <v/>
      </c>
      <c r="AC232" s="2" t="str">
        <f t="shared" si="48"/>
        <v/>
      </c>
      <c r="AD232" s="2" t="str">
        <f t="shared" si="49"/>
        <v>(0)</v>
      </c>
      <c r="AE232" s="2" t="str">
        <f t="shared" si="50"/>
        <v/>
      </c>
      <c r="AF232" s="2" t="str">
        <f t="shared" si="51"/>
        <v/>
      </c>
      <c r="AG232" s="2" t="str">
        <f t="shared" si="52"/>
        <v/>
      </c>
      <c r="AH232" s="2" t="str">
        <f t="shared" si="53"/>
        <v/>
      </c>
    </row>
    <row r="233" spans="2:34" x14ac:dyDescent="0.25">
      <c r="B233" s="2" t="s">
        <v>556</v>
      </c>
      <c r="D233" s="2" t="s">
        <v>1</v>
      </c>
      <c r="E233" s="2" t="s">
        <v>134</v>
      </c>
      <c r="F233" s="2" t="s">
        <v>690</v>
      </c>
      <c r="G233" s="2" t="s">
        <v>691</v>
      </c>
      <c r="H233" s="2" t="s">
        <v>740</v>
      </c>
      <c r="I233" s="2" t="s">
        <v>42</v>
      </c>
      <c r="J233" s="2">
        <v>1</v>
      </c>
      <c r="K233" s="2" t="s">
        <v>136</v>
      </c>
      <c r="L233" s="2" t="s">
        <v>41</v>
      </c>
      <c r="M233" s="2" t="s">
        <v>135</v>
      </c>
      <c r="N233" s="2" t="s">
        <v>560</v>
      </c>
      <c r="O233" s="2" t="s">
        <v>741</v>
      </c>
      <c r="P233" s="2" t="s">
        <v>5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772</v>
      </c>
      <c r="T233" s="2" t="str">
        <f t="shared" si="54"/>
        <v>0304</v>
      </c>
      <c r="U233" s="2">
        <f t="shared" si="45"/>
        <v>193</v>
      </c>
      <c r="V233" s="2" t="str">
        <f t="shared" si="55"/>
        <v>0C1</v>
      </c>
      <c r="W233" s="2" t="str">
        <f t="shared" si="56"/>
        <v/>
      </c>
      <c r="X233" s="2" t="str">
        <f t="shared" si="57"/>
        <v/>
      </c>
      <c r="Y233" s="2" t="str">
        <f t="shared" si="58"/>
        <v/>
      </c>
      <c r="Z233" s="2" t="str">
        <f t="shared" si="59"/>
        <v>X</v>
      </c>
      <c r="AA233" s="2" t="str">
        <f t="shared" si="46"/>
        <v/>
      </c>
      <c r="AB233" s="2" t="str">
        <f t="shared" si="47"/>
        <v/>
      </c>
      <c r="AC233" s="2" t="str">
        <f t="shared" si="48"/>
        <v/>
      </c>
      <c r="AD233" s="2" t="str">
        <f t="shared" si="49"/>
        <v>(0)</v>
      </c>
      <c r="AE233" s="2" t="str">
        <f t="shared" si="50"/>
        <v/>
      </c>
      <c r="AF233" s="2" t="str">
        <f t="shared" si="51"/>
        <v/>
      </c>
      <c r="AG233" s="2" t="str">
        <f t="shared" si="52"/>
        <v/>
      </c>
      <c r="AH233" s="2" t="str">
        <f t="shared" si="53"/>
        <v/>
      </c>
    </row>
    <row r="234" spans="2:34" x14ac:dyDescent="0.25">
      <c r="B234" s="2" t="s">
        <v>556</v>
      </c>
      <c r="D234" s="2" t="s">
        <v>1</v>
      </c>
      <c r="E234" s="2" t="s">
        <v>134</v>
      </c>
      <c r="F234" s="2" t="s">
        <v>690</v>
      </c>
      <c r="G234" s="2" t="s">
        <v>691</v>
      </c>
      <c r="H234" s="2" t="s">
        <v>742</v>
      </c>
      <c r="I234" s="2" t="s">
        <v>42</v>
      </c>
      <c r="J234" s="2">
        <v>1</v>
      </c>
      <c r="K234" s="2" t="s">
        <v>136</v>
      </c>
      <c r="L234" s="2" t="s">
        <v>41</v>
      </c>
      <c r="M234" s="2" t="s">
        <v>135</v>
      </c>
      <c r="N234" s="2" t="s">
        <v>560</v>
      </c>
      <c r="O234" s="2" t="s">
        <v>743</v>
      </c>
      <c r="P234" s="2" t="s">
        <v>5</v>
      </c>
      <c r="Q234" s="2">
        <f>INDEX(Tables!$C$4:$C$28,MATCH($P234,Tables!$B$4:$B$28,0))</f>
        <v>32</v>
      </c>
      <c r="R234" s="2">
        <f>INDEX(Tables!$D$4:$D$28,MATCH($P234,Tables!$B$4:$B$28,0))</f>
        <v>4</v>
      </c>
      <c r="S234" s="2">
        <f>$S233+$R233+INDEX(Tables!$N$5:$Q$8,MATCH(MOD($S233+$R233,4),Tables!$M$5:$M$8,0),MATCH($R234,Tables!$N$4:$Q$4,0))</f>
        <v>776</v>
      </c>
      <c r="T234" s="2" t="str">
        <f t="shared" si="54"/>
        <v>0308</v>
      </c>
      <c r="U234" s="2">
        <f t="shared" ref="U234:U297" si="60">ROUNDDOWN(S234/4,0)</f>
        <v>194</v>
      </c>
      <c r="V234" s="2" t="str">
        <f t="shared" si="55"/>
        <v>0C2</v>
      </c>
      <c r="W234" s="2" t="str">
        <f t="shared" si="56"/>
        <v/>
      </c>
      <c r="X234" s="2" t="str">
        <f t="shared" si="57"/>
        <v/>
      </c>
      <c r="Y234" s="2" t="str">
        <f t="shared" si="58"/>
        <v/>
      </c>
      <c r="Z234" s="2" t="str">
        <f t="shared" si="59"/>
        <v>X</v>
      </c>
      <c r="AA234" s="2" t="str">
        <f t="shared" ref="AA234:AA297" si="61">IF(W234="","",CONCATENATE("(",IF(($J234-COUNTIF($X234:$Z234,"X")*8)=1,"24)",CONCATENATE(IF(($J234-COUNTIF($X234:$Z234,"X")*8)&gt;=8,32,($J234-COUNTIF($X234:$Z234,"X")*8)+24)-1," downto 24)"))))</f>
        <v/>
      </c>
      <c r="AB234" s="2" t="str">
        <f t="shared" ref="AB234:AB297" si="62">IF(X234="","",CONCATENATE("(",IF(($J234-COUNTIF($Y234:$Z234,"X")*8)=1,"16)",CONCATENATE(IF(($J234-COUNTIF($Y234:$Z234,"X")*8)&gt;=8,24,($J234-COUNTIF($Y234:$Z234,"X")*8)+16)-1," downto 16)"))))</f>
        <v/>
      </c>
      <c r="AC234" s="2" t="str">
        <f t="shared" ref="AC234:AC297" si="63">IF(Y234="","",CONCATENATE("(",IF(($J234-COUNTIF($Z234,"X")*8)=1,"8)",CONCATENATE(IF(($J234-COUNTIF($Z234,"X")*8)&gt;=8,16,($J234-COUNTIF($Z234,"X")*8)+8)-1," downto 8)"))))</f>
        <v/>
      </c>
      <c r="AD234" s="2" t="str">
        <f t="shared" ref="AD234:AD297" si="64">IF(Z234="","",CONCATENATE("(",IF($J234=1,"0)",CONCATENATE(IF($J234&gt;=8,8,$J234)-1," downto 0)"))))</f>
        <v>(0)</v>
      </c>
      <c r="AE234" s="2" t="str">
        <f t="shared" ref="AE234:AE297" si="65">IF(W234="","",IF($J234&lt;=8,"",IF(($J234-COUNTIF($X234:$Z234,"X")*8)=1,CONCATENATE("(",($J234-1),")"),CONCATENATE("(",IF(($J234-COUNTIF($X234:$Z234,"X")*8)&gt;=8,COUNTIF($X234:$Z234,"X")*8+7,$J234-COUNTIF($X234:$Z234,"X")*8-1+COUNTIF($X234:$Z234,"X")*8)," downto ",COUNTIF($X234:$Z234,"X")*8,")"))))</f>
        <v/>
      </c>
      <c r="AF234" s="2" t="str">
        <f t="shared" ref="AF234:AF297" si="66">IF(X234="","",IF($J234&lt;=8,"",IF(($J234-COUNTIF($Y234:$Z234,"X")*8)=1,CONCATENATE("(",($J234-1),")"),CONCATENATE("(",IF(($J234-COUNTIF($Y234:$Z234,"X")*8)&gt;=8,COUNTIF($Y234:$Z234,"X")*8+7,$J234-COUNTIF($Y234:$Z234,"X")*8-1+COUNTIF($Y234:$Z234,"X")*8)," downto ",COUNTIF($Y234:$Z234,"X")*8,")"))))</f>
        <v/>
      </c>
      <c r="AG234" s="2" t="str">
        <f t="shared" ref="AG234:AG297" si="67">IF(Y234="","",IF($J234&lt;=8,"",IF(($J234-COUNTIF($Z234,"X")*8)=1,CONCATENATE("(",($J234-1),")"),CONCATENATE("(",IF(($J234-COUNTIF($Z234,"X")*8)&gt;=8,COUNTIF($Z234,"X")*8+7,$J234-COUNTIF($Z234,"X")*8-1+COUNTIF($Z234,"X")*8)," downto ",COUNTIF($Z234,"X")*8,")"))))</f>
        <v/>
      </c>
      <c r="AH234" s="2" t="str">
        <f t="shared" ref="AH234:AH297" si="68">IF(Z234="","",IF($J234&lt;=8,"",CONCATENATE("(",IF($J234&gt;=8,7,$J234-1)," downto ",0,")")))</f>
        <v/>
      </c>
    </row>
    <row r="235" spans="2:34" x14ac:dyDescent="0.25">
      <c r="B235" s="2" t="s">
        <v>556</v>
      </c>
      <c r="D235" s="2" t="s">
        <v>1</v>
      </c>
      <c r="E235" s="2" t="s">
        <v>134</v>
      </c>
      <c r="F235" s="2" t="s">
        <v>690</v>
      </c>
      <c r="G235" s="2" t="s">
        <v>691</v>
      </c>
      <c r="H235" s="2" t="s">
        <v>744</v>
      </c>
      <c r="I235" s="2" t="s">
        <v>42</v>
      </c>
      <c r="J235" s="2">
        <v>1</v>
      </c>
      <c r="K235" s="2" t="s">
        <v>136</v>
      </c>
      <c r="L235" s="2" t="s">
        <v>41</v>
      </c>
      <c r="M235" s="2" t="s">
        <v>135</v>
      </c>
      <c r="N235" s="2" t="s">
        <v>560</v>
      </c>
      <c r="O235" s="2" t="s">
        <v>745</v>
      </c>
      <c r="P235" s="2" t="s">
        <v>5</v>
      </c>
      <c r="Q235" s="2">
        <f>INDEX(Tables!$C$4:$C$28,MATCH($P235,Tables!$B$4:$B$28,0))</f>
        <v>32</v>
      </c>
      <c r="R235" s="2">
        <f>INDEX(Tables!$D$4:$D$28,MATCH($P235,Tables!$B$4:$B$28,0))</f>
        <v>4</v>
      </c>
      <c r="S235" s="2">
        <f>$S234+$R234+INDEX(Tables!$N$5:$Q$8,MATCH(MOD($S234+$R234,4),Tables!$M$5:$M$8,0),MATCH($R235,Tables!$N$4:$Q$4,0))</f>
        <v>780</v>
      </c>
      <c r="T235" s="2" t="str">
        <f t="shared" si="54"/>
        <v>030C</v>
      </c>
      <c r="U235" s="2">
        <f t="shared" si="60"/>
        <v>195</v>
      </c>
      <c r="V235" s="2" t="str">
        <f t="shared" si="55"/>
        <v>0C3</v>
      </c>
      <c r="W235" s="2" t="str">
        <f t="shared" si="56"/>
        <v/>
      </c>
      <c r="X235" s="2" t="str">
        <f t="shared" si="57"/>
        <v/>
      </c>
      <c r="Y235" s="2" t="str">
        <f t="shared" si="58"/>
        <v/>
      </c>
      <c r="Z235" s="2" t="str">
        <f t="shared" si="59"/>
        <v>X</v>
      </c>
      <c r="AA235" s="2" t="str">
        <f t="shared" si="61"/>
        <v/>
      </c>
      <c r="AB235" s="2" t="str">
        <f t="shared" si="62"/>
        <v/>
      </c>
      <c r="AC235" s="2" t="str">
        <f t="shared" si="63"/>
        <v/>
      </c>
      <c r="AD235" s="2" t="str">
        <f t="shared" si="64"/>
        <v>(0)</v>
      </c>
      <c r="AE235" s="2" t="str">
        <f t="shared" si="65"/>
        <v/>
      </c>
      <c r="AF235" s="2" t="str">
        <f t="shared" si="66"/>
        <v/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556</v>
      </c>
      <c r="D236" s="2" t="s">
        <v>1</v>
      </c>
      <c r="E236" s="2" t="s">
        <v>134</v>
      </c>
      <c r="F236" s="2" t="s">
        <v>690</v>
      </c>
      <c r="G236" s="2" t="s">
        <v>691</v>
      </c>
      <c r="H236" s="2" t="s">
        <v>746</v>
      </c>
      <c r="I236" s="2" t="s">
        <v>42</v>
      </c>
      <c r="J236" s="2">
        <v>1</v>
      </c>
      <c r="K236" s="2" t="s">
        <v>136</v>
      </c>
      <c r="L236" s="2" t="s">
        <v>41</v>
      </c>
      <c r="M236" s="2" t="s">
        <v>135</v>
      </c>
      <c r="N236" s="2" t="s">
        <v>560</v>
      </c>
      <c r="O236" s="2" t="s">
        <v>747</v>
      </c>
      <c r="P236" s="2" t="s">
        <v>5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784</v>
      </c>
      <c r="T236" s="2" t="str">
        <f t="shared" si="54"/>
        <v>0310</v>
      </c>
      <c r="U236" s="2">
        <f t="shared" si="60"/>
        <v>196</v>
      </c>
      <c r="V236" s="2" t="str">
        <f t="shared" si="55"/>
        <v>0C4</v>
      </c>
      <c r="W236" s="2" t="str">
        <f t="shared" si="56"/>
        <v/>
      </c>
      <c r="X236" s="2" t="str">
        <f t="shared" si="57"/>
        <v/>
      </c>
      <c r="Y236" s="2" t="str">
        <f t="shared" si="58"/>
        <v/>
      </c>
      <c r="Z236" s="2" t="str">
        <f t="shared" si="59"/>
        <v>X</v>
      </c>
      <c r="AA236" s="2" t="str">
        <f t="shared" si="61"/>
        <v/>
      </c>
      <c r="AB236" s="2" t="str">
        <f t="shared" si="62"/>
        <v/>
      </c>
      <c r="AC236" s="2" t="str">
        <f t="shared" si="63"/>
        <v/>
      </c>
      <c r="AD236" s="2" t="str">
        <f t="shared" si="64"/>
        <v>(0)</v>
      </c>
      <c r="AE236" s="2" t="str">
        <f t="shared" si="65"/>
        <v/>
      </c>
      <c r="AF236" s="2" t="str">
        <f t="shared" si="66"/>
        <v/>
      </c>
      <c r="AG236" s="2" t="str">
        <f t="shared" si="67"/>
        <v/>
      </c>
      <c r="AH236" s="2" t="str">
        <f t="shared" si="68"/>
        <v/>
      </c>
    </row>
    <row r="237" spans="2:34" x14ac:dyDescent="0.25">
      <c r="B237" s="2" t="s">
        <v>556</v>
      </c>
      <c r="D237" s="2" t="s">
        <v>1</v>
      </c>
      <c r="E237" s="2" t="s">
        <v>134</v>
      </c>
      <c r="F237" s="2" t="s">
        <v>690</v>
      </c>
      <c r="G237" s="2" t="s">
        <v>691</v>
      </c>
      <c r="H237" s="2" t="s">
        <v>748</v>
      </c>
      <c r="I237" s="2" t="s">
        <v>42</v>
      </c>
      <c r="J237" s="2">
        <v>1</v>
      </c>
      <c r="K237" s="2" t="s">
        <v>82</v>
      </c>
      <c r="L237" s="2" t="s">
        <v>41</v>
      </c>
      <c r="M237" s="2" t="s">
        <v>135</v>
      </c>
      <c r="N237" s="2" t="s">
        <v>560</v>
      </c>
      <c r="O237" s="2" t="s">
        <v>749</v>
      </c>
      <c r="P237" s="2" t="s">
        <v>5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788</v>
      </c>
      <c r="T237" s="2" t="str">
        <f t="shared" si="54"/>
        <v>0314</v>
      </c>
      <c r="U237" s="2">
        <f t="shared" si="60"/>
        <v>197</v>
      </c>
      <c r="V237" s="2" t="str">
        <f t="shared" si="55"/>
        <v>0C5</v>
      </c>
      <c r="W237" s="2" t="str">
        <f t="shared" si="56"/>
        <v/>
      </c>
      <c r="X237" s="2" t="str">
        <f t="shared" si="57"/>
        <v/>
      </c>
      <c r="Y237" s="2" t="str">
        <f t="shared" si="58"/>
        <v/>
      </c>
      <c r="Z237" s="2" t="str">
        <f t="shared" si="59"/>
        <v>X</v>
      </c>
      <c r="AA237" s="2" t="str">
        <f t="shared" si="61"/>
        <v/>
      </c>
      <c r="AB237" s="2" t="str">
        <f t="shared" si="62"/>
        <v/>
      </c>
      <c r="AC237" s="2" t="str">
        <f t="shared" si="63"/>
        <v/>
      </c>
      <c r="AD237" s="2" t="str">
        <f t="shared" si="64"/>
        <v>(0)</v>
      </c>
      <c r="AE237" s="2" t="str">
        <f t="shared" si="65"/>
        <v/>
      </c>
      <c r="AF237" s="2" t="str">
        <f t="shared" si="66"/>
        <v/>
      </c>
      <c r="AG237" s="2" t="str">
        <f t="shared" si="67"/>
        <v/>
      </c>
      <c r="AH237" s="2" t="str">
        <f t="shared" si="68"/>
        <v/>
      </c>
    </row>
    <row r="238" spans="2:34" x14ac:dyDescent="0.25">
      <c r="B238" s="2" t="s">
        <v>556</v>
      </c>
      <c r="D238" s="2" t="s">
        <v>1</v>
      </c>
      <c r="E238" s="2" t="s">
        <v>134</v>
      </c>
      <c r="F238" s="2" t="s">
        <v>690</v>
      </c>
      <c r="G238" s="2" t="s">
        <v>691</v>
      </c>
      <c r="H238" s="2" t="s">
        <v>750</v>
      </c>
      <c r="I238" s="2" t="s">
        <v>42</v>
      </c>
      <c r="J238" s="2">
        <v>1</v>
      </c>
      <c r="K238" s="2" t="s">
        <v>82</v>
      </c>
      <c r="L238" s="2" t="s">
        <v>41</v>
      </c>
      <c r="M238" s="2" t="s">
        <v>135</v>
      </c>
      <c r="N238" s="2" t="s">
        <v>560</v>
      </c>
      <c r="O238" s="2" t="s">
        <v>751</v>
      </c>
      <c r="P238" s="2" t="s">
        <v>5</v>
      </c>
      <c r="Q238" s="2">
        <f>INDEX(Tables!$C$4:$C$28,MATCH($P238,Tables!$B$4:$B$28,0))</f>
        <v>32</v>
      </c>
      <c r="R238" s="2">
        <f>INDEX(Tables!$D$4:$D$28,MATCH($P238,Tables!$B$4:$B$28,0))</f>
        <v>4</v>
      </c>
      <c r="S238" s="2">
        <f>$S237+$R237+INDEX(Tables!$N$5:$Q$8,MATCH(MOD($S237+$R237,4),Tables!$M$5:$M$8,0),MATCH($R238,Tables!$N$4:$Q$4,0))</f>
        <v>792</v>
      </c>
      <c r="T238" s="2" t="str">
        <f t="shared" si="54"/>
        <v>0318</v>
      </c>
      <c r="U238" s="2">
        <f t="shared" si="60"/>
        <v>198</v>
      </c>
      <c r="V238" s="2" t="str">
        <f t="shared" si="55"/>
        <v>0C6</v>
      </c>
      <c r="W238" s="2" t="str">
        <f t="shared" si="56"/>
        <v/>
      </c>
      <c r="X238" s="2" t="str">
        <f t="shared" si="57"/>
        <v/>
      </c>
      <c r="Y238" s="2" t="str">
        <f t="shared" si="58"/>
        <v/>
      </c>
      <c r="Z238" s="2" t="str">
        <f t="shared" si="59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556</v>
      </c>
      <c r="D239" s="2" t="s">
        <v>1</v>
      </c>
      <c r="E239" s="2" t="s">
        <v>134</v>
      </c>
      <c r="F239" s="2" t="s">
        <v>690</v>
      </c>
      <c r="G239" s="2" t="s">
        <v>691</v>
      </c>
      <c r="H239" s="2" t="s">
        <v>752</v>
      </c>
      <c r="I239" s="2" t="s">
        <v>42</v>
      </c>
      <c r="J239" s="2">
        <v>1</v>
      </c>
      <c r="K239" s="2" t="s">
        <v>82</v>
      </c>
      <c r="L239" s="2" t="s">
        <v>41</v>
      </c>
      <c r="M239" s="2" t="s">
        <v>135</v>
      </c>
      <c r="N239" s="2" t="s">
        <v>560</v>
      </c>
      <c r="O239" s="2" t="s">
        <v>753</v>
      </c>
      <c r="P239" s="2" t="s">
        <v>5</v>
      </c>
      <c r="Q239" s="2">
        <f>INDEX(Tables!$C$4:$C$28,MATCH($P239,Tables!$B$4:$B$28,0))</f>
        <v>32</v>
      </c>
      <c r="R239" s="2">
        <f>INDEX(Tables!$D$4:$D$28,MATCH($P239,Tables!$B$4:$B$28,0))</f>
        <v>4</v>
      </c>
      <c r="S239" s="2">
        <f>$S238+$R238+INDEX(Tables!$N$5:$Q$8,MATCH(MOD($S238+$R238,4),Tables!$M$5:$M$8,0),MATCH($R239,Tables!$N$4:$Q$4,0))</f>
        <v>796</v>
      </c>
      <c r="T239" s="2" t="str">
        <f t="shared" si="54"/>
        <v>031C</v>
      </c>
      <c r="U239" s="2">
        <f t="shared" si="60"/>
        <v>199</v>
      </c>
      <c r="V239" s="2" t="str">
        <f t="shared" si="55"/>
        <v>0C7</v>
      </c>
      <c r="W239" s="2" t="str">
        <f t="shared" si="56"/>
        <v/>
      </c>
      <c r="X239" s="2" t="str">
        <f t="shared" si="57"/>
        <v/>
      </c>
      <c r="Y239" s="2" t="str">
        <f t="shared" si="58"/>
        <v/>
      </c>
      <c r="Z239" s="2" t="str">
        <f t="shared" si="59"/>
        <v>X</v>
      </c>
      <c r="AA239" s="2" t="str">
        <f t="shared" si="61"/>
        <v/>
      </c>
      <c r="AB239" s="2" t="str">
        <f t="shared" si="62"/>
        <v/>
      </c>
      <c r="AC239" s="2" t="str">
        <f t="shared" si="63"/>
        <v/>
      </c>
      <c r="AD239" s="2" t="str">
        <f t="shared" si="64"/>
        <v>(0)</v>
      </c>
      <c r="AE239" s="2" t="str">
        <f t="shared" si="65"/>
        <v/>
      </c>
      <c r="AF239" s="2" t="str">
        <f t="shared" si="66"/>
        <v/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556</v>
      </c>
      <c r="D240" s="2" t="s">
        <v>1</v>
      </c>
      <c r="E240" s="2" t="s">
        <v>134</v>
      </c>
      <c r="F240" s="2" t="s">
        <v>690</v>
      </c>
      <c r="G240" s="2" t="s">
        <v>691</v>
      </c>
      <c r="H240" s="2" t="s">
        <v>754</v>
      </c>
      <c r="I240" s="2" t="s">
        <v>42</v>
      </c>
      <c r="J240" s="2">
        <v>1</v>
      </c>
      <c r="K240" s="2" t="s">
        <v>82</v>
      </c>
      <c r="L240" s="2" t="s">
        <v>41</v>
      </c>
      <c r="M240" s="2" t="s">
        <v>135</v>
      </c>
      <c r="N240" s="2" t="s">
        <v>560</v>
      </c>
      <c r="O240" s="2" t="s">
        <v>755</v>
      </c>
      <c r="P240" s="2" t="s">
        <v>5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800</v>
      </c>
      <c r="T240" s="2" t="str">
        <f t="shared" si="54"/>
        <v>0320</v>
      </c>
      <c r="U240" s="2">
        <f t="shared" si="60"/>
        <v>200</v>
      </c>
      <c r="V240" s="2" t="str">
        <f t="shared" si="55"/>
        <v>0C8</v>
      </c>
      <c r="W240" s="2" t="str">
        <f t="shared" si="56"/>
        <v/>
      </c>
      <c r="X240" s="2" t="str">
        <f t="shared" si="57"/>
        <v/>
      </c>
      <c r="Y240" s="2" t="str">
        <f t="shared" si="58"/>
        <v/>
      </c>
      <c r="Z240" s="2" t="str">
        <f t="shared" si="59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556</v>
      </c>
      <c r="D241" s="2" t="s">
        <v>1</v>
      </c>
      <c r="E241" s="2" t="s">
        <v>134</v>
      </c>
      <c r="F241" s="2" t="s">
        <v>690</v>
      </c>
      <c r="G241" s="2" t="s">
        <v>691</v>
      </c>
      <c r="H241" s="2" t="s">
        <v>756</v>
      </c>
      <c r="I241" s="2" t="s">
        <v>42</v>
      </c>
      <c r="J241" s="2">
        <v>1</v>
      </c>
      <c r="K241" s="2" t="s">
        <v>82</v>
      </c>
      <c r="L241" s="2" t="s">
        <v>41</v>
      </c>
      <c r="M241" s="2" t="s">
        <v>135</v>
      </c>
      <c r="N241" s="2" t="s">
        <v>560</v>
      </c>
      <c r="O241" s="2" t="s">
        <v>757</v>
      </c>
      <c r="P241" s="2" t="s">
        <v>5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804</v>
      </c>
      <c r="T241" s="2" t="str">
        <f t="shared" si="54"/>
        <v>0324</v>
      </c>
      <c r="U241" s="2">
        <f t="shared" si="60"/>
        <v>201</v>
      </c>
      <c r="V241" s="2" t="str">
        <f t="shared" si="55"/>
        <v>0C9</v>
      </c>
      <c r="W241" s="2" t="str">
        <f t="shared" si="56"/>
        <v/>
      </c>
      <c r="X241" s="2" t="str">
        <f t="shared" si="57"/>
        <v/>
      </c>
      <c r="Y241" s="2" t="str">
        <f t="shared" si="58"/>
        <v/>
      </c>
      <c r="Z241" s="2" t="str">
        <f t="shared" si="59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556</v>
      </c>
      <c r="D242" s="2" t="s">
        <v>1</v>
      </c>
      <c r="E242" s="2" t="s">
        <v>134</v>
      </c>
      <c r="F242" s="2" t="s">
        <v>690</v>
      </c>
      <c r="G242" s="2" t="s">
        <v>691</v>
      </c>
      <c r="H242" s="2" t="s">
        <v>758</v>
      </c>
      <c r="I242" s="2" t="s">
        <v>42</v>
      </c>
      <c r="J242" s="2">
        <v>1</v>
      </c>
      <c r="K242" s="2" t="s">
        <v>82</v>
      </c>
      <c r="L242" s="2" t="s">
        <v>41</v>
      </c>
      <c r="M242" s="2" t="s">
        <v>135</v>
      </c>
      <c r="N242" s="2" t="s">
        <v>560</v>
      </c>
      <c r="O242" s="2" t="s">
        <v>759</v>
      </c>
      <c r="P242" s="2" t="s">
        <v>5</v>
      </c>
      <c r="Q242" s="2">
        <f>INDEX(Tables!$C$4:$C$28,MATCH($P242,Tables!$B$4:$B$28,0))</f>
        <v>32</v>
      </c>
      <c r="R242" s="2">
        <f>INDEX(Tables!$D$4:$D$28,MATCH($P242,Tables!$B$4:$B$28,0))</f>
        <v>4</v>
      </c>
      <c r="S242" s="2">
        <f>$S241+$R241+INDEX(Tables!$N$5:$Q$8,MATCH(MOD($S241+$R241,4),Tables!$M$5:$M$8,0),MATCH($R242,Tables!$N$4:$Q$4,0))</f>
        <v>808</v>
      </c>
      <c r="T242" s="2" t="str">
        <f t="shared" si="54"/>
        <v>0328</v>
      </c>
      <c r="U242" s="2">
        <f t="shared" si="60"/>
        <v>202</v>
      </c>
      <c r="V242" s="2" t="str">
        <f t="shared" si="55"/>
        <v>0CA</v>
      </c>
      <c r="W242" s="2" t="str">
        <f t="shared" si="56"/>
        <v/>
      </c>
      <c r="X242" s="2" t="str">
        <f t="shared" si="57"/>
        <v/>
      </c>
      <c r="Y242" s="2" t="str">
        <f t="shared" si="58"/>
        <v/>
      </c>
      <c r="Z242" s="2" t="str">
        <f t="shared" si="59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/>
      </c>
      <c r="AD242" s="2" t="str">
        <f t="shared" si="64"/>
        <v>(0)</v>
      </c>
      <c r="AE242" s="2" t="str">
        <f t="shared" si="65"/>
        <v/>
      </c>
      <c r="AF242" s="2" t="str">
        <f t="shared" si="66"/>
        <v/>
      </c>
      <c r="AG242" s="2" t="str">
        <f t="shared" si="67"/>
        <v/>
      </c>
      <c r="AH242" s="2" t="str">
        <f t="shared" si="68"/>
        <v/>
      </c>
    </row>
    <row r="243" spans="2:34" x14ac:dyDescent="0.25">
      <c r="B243" s="2" t="s">
        <v>556</v>
      </c>
      <c r="D243" s="2" t="s">
        <v>1</v>
      </c>
      <c r="E243" s="2" t="s">
        <v>134</v>
      </c>
      <c r="F243" s="2" t="s">
        <v>690</v>
      </c>
      <c r="G243" s="2" t="s">
        <v>691</v>
      </c>
      <c r="H243" s="2" t="s">
        <v>760</v>
      </c>
      <c r="I243" s="2" t="s">
        <v>42</v>
      </c>
      <c r="J243" s="2">
        <v>1</v>
      </c>
      <c r="K243" s="2" t="s">
        <v>82</v>
      </c>
      <c r="L243" s="2" t="s">
        <v>41</v>
      </c>
      <c r="M243" s="2" t="s">
        <v>135</v>
      </c>
      <c r="N243" s="2" t="s">
        <v>560</v>
      </c>
      <c r="O243" s="2" t="s">
        <v>761</v>
      </c>
      <c r="P243" s="2" t="s">
        <v>5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812</v>
      </c>
      <c r="T243" s="2" t="str">
        <f t="shared" si="54"/>
        <v>032C</v>
      </c>
      <c r="U243" s="2">
        <f t="shared" si="60"/>
        <v>203</v>
      </c>
      <c r="V243" s="2" t="str">
        <f t="shared" si="55"/>
        <v>0CB</v>
      </c>
      <c r="W243" s="2" t="str">
        <f t="shared" si="56"/>
        <v/>
      </c>
      <c r="X243" s="2" t="str">
        <f t="shared" si="57"/>
        <v/>
      </c>
      <c r="Y243" s="2" t="str">
        <f t="shared" si="58"/>
        <v/>
      </c>
      <c r="Z243" s="2" t="str">
        <f t="shared" si="59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556</v>
      </c>
      <c r="D244" s="2" t="s">
        <v>1</v>
      </c>
      <c r="E244" s="2" t="s">
        <v>134</v>
      </c>
      <c r="F244" s="2" t="s">
        <v>690</v>
      </c>
      <c r="G244" s="2" t="s">
        <v>691</v>
      </c>
      <c r="H244" s="2" t="s">
        <v>762</v>
      </c>
      <c r="I244" s="2" t="s">
        <v>42</v>
      </c>
      <c r="J244" s="2">
        <v>1</v>
      </c>
      <c r="K244" s="2" t="s">
        <v>82</v>
      </c>
      <c r="L244" s="2" t="s">
        <v>41</v>
      </c>
      <c r="M244" s="2" t="s">
        <v>135</v>
      </c>
      <c r="N244" s="2" t="s">
        <v>560</v>
      </c>
      <c r="O244" s="2" t="s">
        <v>763</v>
      </c>
      <c r="P244" s="2" t="s">
        <v>5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816</v>
      </c>
      <c r="T244" s="2" t="str">
        <f t="shared" si="54"/>
        <v>0330</v>
      </c>
      <c r="U244" s="2">
        <f t="shared" si="60"/>
        <v>204</v>
      </c>
      <c r="V244" s="2" t="str">
        <f t="shared" si="55"/>
        <v>0CC</v>
      </c>
      <c r="W244" s="2" t="str">
        <f t="shared" si="56"/>
        <v/>
      </c>
      <c r="X244" s="2" t="str">
        <f t="shared" si="57"/>
        <v/>
      </c>
      <c r="Y244" s="2" t="str">
        <f t="shared" si="58"/>
        <v/>
      </c>
      <c r="Z244" s="2" t="str">
        <f t="shared" si="59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556</v>
      </c>
      <c r="D245" s="2" t="s">
        <v>1</v>
      </c>
      <c r="E245" s="2" t="s">
        <v>134</v>
      </c>
      <c r="F245" s="2" t="s">
        <v>690</v>
      </c>
      <c r="G245" s="2" t="s">
        <v>691</v>
      </c>
      <c r="H245" s="2" t="s">
        <v>764</v>
      </c>
      <c r="I245" s="2" t="s">
        <v>42</v>
      </c>
      <c r="J245" s="2">
        <v>1</v>
      </c>
      <c r="K245" s="2" t="s">
        <v>82</v>
      </c>
      <c r="L245" s="2" t="s">
        <v>41</v>
      </c>
      <c r="M245" s="2" t="s">
        <v>135</v>
      </c>
      <c r="N245" s="2" t="s">
        <v>560</v>
      </c>
      <c r="O245" s="2" t="s">
        <v>765</v>
      </c>
      <c r="P245" s="2" t="s">
        <v>5</v>
      </c>
      <c r="Q245" s="2">
        <f>INDEX(Tables!$C$4:$C$28,MATCH($P245,Tables!$B$4:$B$28,0))</f>
        <v>32</v>
      </c>
      <c r="R245" s="2">
        <f>INDEX(Tables!$D$4:$D$28,MATCH($P245,Tables!$B$4:$B$28,0))</f>
        <v>4</v>
      </c>
      <c r="S245" s="2">
        <f>$S244+$R244+INDEX(Tables!$N$5:$Q$8,MATCH(MOD($S244+$R244,4),Tables!$M$5:$M$8,0),MATCH($R245,Tables!$N$4:$Q$4,0))</f>
        <v>820</v>
      </c>
      <c r="T245" s="2" t="str">
        <f t="shared" si="54"/>
        <v>0334</v>
      </c>
      <c r="U245" s="2">
        <f t="shared" si="60"/>
        <v>205</v>
      </c>
      <c r="V245" s="2" t="str">
        <f t="shared" si="55"/>
        <v>0CD</v>
      </c>
      <c r="W245" s="2" t="str">
        <f t="shared" si="56"/>
        <v/>
      </c>
      <c r="X245" s="2" t="str">
        <f t="shared" si="57"/>
        <v/>
      </c>
      <c r="Y245" s="2" t="str">
        <f t="shared" si="58"/>
        <v/>
      </c>
      <c r="Z245" s="2" t="str">
        <f t="shared" si="59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/>
      </c>
      <c r="AD245" s="2" t="str">
        <f t="shared" si="64"/>
        <v>(0)</v>
      </c>
      <c r="AE245" s="2" t="str">
        <f t="shared" si="65"/>
        <v/>
      </c>
      <c r="AF245" s="2" t="str">
        <f t="shared" si="66"/>
        <v/>
      </c>
      <c r="AG245" s="2" t="str">
        <f t="shared" si="67"/>
        <v/>
      </c>
      <c r="AH245" s="2" t="str">
        <f t="shared" si="68"/>
        <v/>
      </c>
    </row>
    <row r="246" spans="2:34" x14ac:dyDescent="0.25">
      <c r="B246" s="2" t="s">
        <v>556</v>
      </c>
      <c r="D246" s="2" t="s">
        <v>1</v>
      </c>
      <c r="E246" s="2" t="s">
        <v>134</v>
      </c>
      <c r="F246" s="2" t="s">
        <v>690</v>
      </c>
      <c r="G246" s="2" t="s">
        <v>691</v>
      </c>
      <c r="H246" s="2" t="s">
        <v>766</v>
      </c>
      <c r="I246" s="2" t="s">
        <v>42</v>
      </c>
      <c r="J246" s="2">
        <v>1</v>
      </c>
      <c r="K246" s="2" t="s">
        <v>82</v>
      </c>
      <c r="L246" s="2" t="s">
        <v>41</v>
      </c>
      <c r="M246" s="2" t="s">
        <v>135</v>
      </c>
      <c r="N246" s="2" t="s">
        <v>560</v>
      </c>
      <c r="O246" s="2" t="s">
        <v>767</v>
      </c>
      <c r="P246" s="2" t="s">
        <v>5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824</v>
      </c>
      <c r="T246" s="2" t="str">
        <f t="shared" si="54"/>
        <v>0338</v>
      </c>
      <c r="U246" s="2">
        <f t="shared" si="60"/>
        <v>206</v>
      </c>
      <c r="V246" s="2" t="str">
        <f t="shared" si="55"/>
        <v>0CE</v>
      </c>
      <c r="W246" s="2" t="str">
        <f t="shared" si="56"/>
        <v/>
      </c>
      <c r="X246" s="2" t="str">
        <f t="shared" si="57"/>
        <v/>
      </c>
      <c r="Y246" s="2" t="str">
        <f t="shared" si="58"/>
        <v/>
      </c>
      <c r="Z246" s="2" t="str">
        <f t="shared" si="59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556</v>
      </c>
      <c r="D247" s="2" t="s">
        <v>1</v>
      </c>
      <c r="E247" s="2" t="s">
        <v>134</v>
      </c>
      <c r="F247" s="2" t="s">
        <v>690</v>
      </c>
      <c r="G247" s="2" t="s">
        <v>691</v>
      </c>
      <c r="H247" s="2" t="s">
        <v>768</v>
      </c>
      <c r="I247" s="2" t="s">
        <v>42</v>
      </c>
      <c r="J247" s="2">
        <v>1</v>
      </c>
      <c r="K247" s="2" t="s">
        <v>82</v>
      </c>
      <c r="L247" s="2" t="s">
        <v>41</v>
      </c>
      <c r="M247" s="2" t="s">
        <v>135</v>
      </c>
      <c r="N247" s="2" t="s">
        <v>560</v>
      </c>
      <c r="O247" s="2" t="s">
        <v>769</v>
      </c>
      <c r="P247" s="2" t="s">
        <v>5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828</v>
      </c>
      <c r="T247" s="2" t="str">
        <f t="shared" si="54"/>
        <v>033C</v>
      </c>
      <c r="U247" s="2">
        <f t="shared" si="60"/>
        <v>207</v>
      </c>
      <c r="V247" s="2" t="str">
        <f t="shared" si="55"/>
        <v>0CF</v>
      </c>
      <c r="W247" s="2" t="str">
        <f t="shared" si="56"/>
        <v/>
      </c>
      <c r="X247" s="2" t="str">
        <f t="shared" si="57"/>
        <v/>
      </c>
      <c r="Y247" s="2" t="str">
        <f t="shared" si="58"/>
        <v/>
      </c>
      <c r="Z247" s="2" t="str">
        <f t="shared" si="59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556</v>
      </c>
      <c r="D248" s="2" t="s">
        <v>1</v>
      </c>
      <c r="E248" s="2" t="s">
        <v>134</v>
      </c>
      <c r="F248" s="2" t="s">
        <v>690</v>
      </c>
      <c r="G248" s="2" t="s">
        <v>691</v>
      </c>
      <c r="H248" s="2" t="s">
        <v>770</v>
      </c>
      <c r="I248" s="2" t="s">
        <v>42</v>
      </c>
      <c r="J248" s="2">
        <v>1</v>
      </c>
      <c r="K248" s="2" t="s">
        <v>82</v>
      </c>
      <c r="L248" s="2" t="s">
        <v>41</v>
      </c>
      <c r="M248" s="2" t="s">
        <v>135</v>
      </c>
      <c r="N248" s="2" t="s">
        <v>560</v>
      </c>
      <c r="O248" s="2" t="s">
        <v>771</v>
      </c>
      <c r="P248" s="2" t="s">
        <v>5</v>
      </c>
      <c r="Q248" s="2">
        <f>INDEX(Tables!$C$4:$C$28,MATCH($P248,Tables!$B$4:$B$28,0))</f>
        <v>32</v>
      </c>
      <c r="R248" s="2">
        <f>INDEX(Tables!$D$4:$D$28,MATCH($P248,Tables!$B$4:$B$28,0))</f>
        <v>4</v>
      </c>
      <c r="S248" s="2">
        <f>$S247+$R247+INDEX(Tables!$N$5:$Q$8,MATCH(MOD($S247+$R247,4),Tables!$M$5:$M$8,0),MATCH($R248,Tables!$N$4:$Q$4,0))</f>
        <v>832</v>
      </c>
      <c r="T248" s="2" t="str">
        <f t="shared" si="54"/>
        <v>0340</v>
      </c>
      <c r="U248" s="2">
        <f t="shared" si="60"/>
        <v>208</v>
      </c>
      <c r="V248" s="2" t="str">
        <f t="shared" si="55"/>
        <v>0D0</v>
      </c>
      <c r="W248" s="2" t="str">
        <f t="shared" si="56"/>
        <v/>
      </c>
      <c r="X248" s="2" t="str">
        <f t="shared" si="57"/>
        <v/>
      </c>
      <c r="Y248" s="2" t="str">
        <f t="shared" si="58"/>
        <v/>
      </c>
      <c r="Z248" s="2" t="str">
        <f t="shared" si="59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/>
      </c>
      <c r="AD248" s="2" t="str">
        <f t="shared" si="64"/>
        <v>(0)</v>
      </c>
      <c r="AE248" s="2" t="str">
        <f t="shared" si="65"/>
        <v/>
      </c>
      <c r="AF248" s="2" t="str">
        <f t="shared" si="66"/>
        <v/>
      </c>
      <c r="AG248" s="2" t="str">
        <f t="shared" si="67"/>
        <v/>
      </c>
      <c r="AH248" s="2" t="str">
        <f t="shared" si="68"/>
        <v/>
      </c>
    </row>
    <row r="249" spans="2:34" x14ac:dyDescent="0.25">
      <c r="B249" s="2" t="s">
        <v>556</v>
      </c>
      <c r="D249" s="2" t="s">
        <v>1</v>
      </c>
      <c r="E249" s="2" t="s">
        <v>134</v>
      </c>
      <c r="F249" s="2" t="s">
        <v>690</v>
      </c>
      <c r="G249" s="2" t="s">
        <v>691</v>
      </c>
      <c r="H249" s="2" t="s">
        <v>772</v>
      </c>
      <c r="I249" s="2" t="s">
        <v>42</v>
      </c>
      <c r="J249" s="2">
        <v>1</v>
      </c>
      <c r="K249" s="2" t="s">
        <v>136</v>
      </c>
      <c r="L249" s="2" t="s">
        <v>41</v>
      </c>
      <c r="M249" s="2" t="s">
        <v>135</v>
      </c>
      <c r="N249" s="2" t="s">
        <v>560</v>
      </c>
      <c r="O249" s="2" t="s">
        <v>773</v>
      </c>
      <c r="P249" s="2" t="s">
        <v>5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836</v>
      </c>
      <c r="T249" s="2" t="str">
        <f t="shared" si="54"/>
        <v>0344</v>
      </c>
      <c r="U249" s="2">
        <f t="shared" si="60"/>
        <v>209</v>
      </c>
      <c r="V249" s="2" t="str">
        <f t="shared" si="55"/>
        <v>0D1</v>
      </c>
      <c r="W249" s="2" t="str">
        <f t="shared" si="56"/>
        <v/>
      </c>
      <c r="X249" s="2" t="str">
        <f t="shared" si="57"/>
        <v/>
      </c>
      <c r="Y249" s="2" t="str">
        <f t="shared" si="58"/>
        <v/>
      </c>
      <c r="Z249" s="2" t="str">
        <f t="shared" si="59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556</v>
      </c>
      <c r="D250" s="2" t="s">
        <v>1</v>
      </c>
      <c r="E250" s="2" t="s">
        <v>134</v>
      </c>
      <c r="F250" s="2" t="s">
        <v>690</v>
      </c>
      <c r="G250" s="2" t="s">
        <v>691</v>
      </c>
      <c r="H250" s="2" t="s">
        <v>774</v>
      </c>
      <c r="I250" s="2" t="s">
        <v>42</v>
      </c>
      <c r="J250" s="2">
        <v>1</v>
      </c>
      <c r="K250" s="2" t="s">
        <v>136</v>
      </c>
      <c r="L250" s="2" t="s">
        <v>41</v>
      </c>
      <c r="M250" s="2" t="s">
        <v>135</v>
      </c>
      <c r="N250" s="2" t="s">
        <v>560</v>
      </c>
      <c r="O250" s="2" t="s">
        <v>775</v>
      </c>
      <c r="P250" s="2" t="s">
        <v>5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840</v>
      </c>
      <c r="T250" s="2" t="str">
        <f t="shared" si="54"/>
        <v>0348</v>
      </c>
      <c r="U250" s="2">
        <f t="shared" si="60"/>
        <v>210</v>
      </c>
      <c r="V250" s="2" t="str">
        <f t="shared" si="55"/>
        <v>0D2</v>
      </c>
      <c r="W250" s="2" t="str">
        <f t="shared" si="56"/>
        <v/>
      </c>
      <c r="X250" s="2" t="str">
        <f t="shared" si="57"/>
        <v/>
      </c>
      <c r="Y250" s="2" t="str">
        <f t="shared" si="58"/>
        <v/>
      </c>
      <c r="Z250" s="2" t="str">
        <f t="shared" si="59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556</v>
      </c>
      <c r="D251" s="2" t="s">
        <v>1</v>
      </c>
      <c r="E251" s="2" t="s">
        <v>134</v>
      </c>
      <c r="F251" s="2" t="s">
        <v>690</v>
      </c>
      <c r="G251" s="2" t="s">
        <v>691</v>
      </c>
      <c r="H251" s="2" t="s">
        <v>776</v>
      </c>
      <c r="I251" s="2" t="s">
        <v>42</v>
      </c>
      <c r="J251" s="2">
        <v>1</v>
      </c>
      <c r="K251" s="2" t="s">
        <v>136</v>
      </c>
      <c r="L251" s="2" t="s">
        <v>41</v>
      </c>
      <c r="M251" s="2" t="s">
        <v>135</v>
      </c>
      <c r="N251" s="2" t="s">
        <v>560</v>
      </c>
      <c r="O251" s="2" t="s">
        <v>777</v>
      </c>
      <c r="P251" s="2" t="s">
        <v>5</v>
      </c>
      <c r="Q251" s="2">
        <f>INDEX(Tables!$C$4:$C$28,MATCH($P251,Tables!$B$4:$B$28,0))</f>
        <v>32</v>
      </c>
      <c r="R251" s="2">
        <f>INDEX(Tables!$D$4:$D$28,MATCH($P251,Tables!$B$4:$B$28,0))</f>
        <v>4</v>
      </c>
      <c r="S251" s="2">
        <f>$S250+$R250+INDEX(Tables!$N$5:$Q$8,MATCH(MOD($S250+$R250,4),Tables!$M$5:$M$8,0),MATCH($R251,Tables!$N$4:$Q$4,0))</f>
        <v>844</v>
      </c>
      <c r="T251" s="2" t="str">
        <f t="shared" si="54"/>
        <v>034C</v>
      </c>
      <c r="U251" s="2">
        <f t="shared" si="60"/>
        <v>211</v>
      </c>
      <c r="V251" s="2" t="str">
        <f t="shared" si="55"/>
        <v>0D3</v>
      </c>
      <c r="W251" s="2" t="str">
        <f t="shared" si="56"/>
        <v/>
      </c>
      <c r="X251" s="2" t="str">
        <f t="shared" si="57"/>
        <v/>
      </c>
      <c r="Y251" s="2" t="str">
        <f t="shared" si="58"/>
        <v/>
      </c>
      <c r="Z251" s="2" t="str">
        <f t="shared" si="59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/>
      </c>
      <c r="AD251" s="2" t="str">
        <f t="shared" si="64"/>
        <v>(0)</v>
      </c>
      <c r="AE251" s="2" t="str">
        <f t="shared" si="65"/>
        <v/>
      </c>
      <c r="AF251" s="2" t="str">
        <f t="shared" si="66"/>
        <v/>
      </c>
      <c r="AG251" s="2" t="str">
        <f t="shared" si="67"/>
        <v/>
      </c>
      <c r="AH251" s="2" t="str">
        <f t="shared" si="68"/>
        <v/>
      </c>
    </row>
    <row r="252" spans="2:34" x14ac:dyDescent="0.25">
      <c r="B252" s="2" t="s">
        <v>556</v>
      </c>
      <c r="D252" s="2" t="s">
        <v>1</v>
      </c>
      <c r="E252" s="2" t="s">
        <v>134</v>
      </c>
      <c r="F252" s="2" t="s">
        <v>690</v>
      </c>
      <c r="G252" s="2" t="s">
        <v>691</v>
      </c>
      <c r="H252" s="2" t="s">
        <v>778</v>
      </c>
      <c r="I252" s="2" t="s">
        <v>42</v>
      </c>
      <c r="J252" s="2">
        <v>1</v>
      </c>
      <c r="K252" s="2" t="s">
        <v>136</v>
      </c>
      <c r="L252" s="2" t="s">
        <v>41</v>
      </c>
      <c r="M252" s="2" t="s">
        <v>135</v>
      </c>
      <c r="N252" s="2" t="s">
        <v>560</v>
      </c>
      <c r="O252" s="2" t="s">
        <v>779</v>
      </c>
      <c r="P252" s="2" t="s">
        <v>5</v>
      </c>
      <c r="Q252" s="2">
        <f>INDEX(Tables!$C$4:$C$28,MATCH($P252,Tables!$B$4:$B$28,0))</f>
        <v>32</v>
      </c>
      <c r="R252" s="2">
        <f>INDEX(Tables!$D$4:$D$28,MATCH($P252,Tables!$B$4:$B$28,0))</f>
        <v>4</v>
      </c>
      <c r="S252" s="2">
        <f>$S251+$R251+INDEX(Tables!$N$5:$Q$8,MATCH(MOD($S251+$R251,4),Tables!$M$5:$M$8,0),MATCH($R252,Tables!$N$4:$Q$4,0))</f>
        <v>848</v>
      </c>
      <c r="T252" s="2" t="str">
        <f t="shared" si="54"/>
        <v>0350</v>
      </c>
      <c r="U252" s="2">
        <f t="shared" si="60"/>
        <v>212</v>
      </c>
      <c r="V252" s="2" t="str">
        <f t="shared" si="55"/>
        <v>0D4</v>
      </c>
      <c r="W252" s="2" t="str">
        <f t="shared" si="56"/>
        <v/>
      </c>
      <c r="X252" s="2" t="str">
        <f t="shared" si="57"/>
        <v/>
      </c>
      <c r="Y252" s="2" t="str">
        <f t="shared" si="58"/>
        <v/>
      </c>
      <c r="Z252" s="2" t="str">
        <f t="shared" si="59"/>
        <v>X</v>
      </c>
      <c r="AA252" s="2" t="str">
        <f t="shared" si="61"/>
        <v/>
      </c>
      <c r="AB252" s="2" t="str">
        <f t="shared" si="62"/>
        <v/>
      </c>
      <c r="AC252" s="2" t="str">
        <f t="shared" si="63"/>
        <v/>
      </c>
      <c r="AD252" s="2" t="str">
        <f t="shared" si="64"/>
        <v>(0)</v>
      </c>
      <c r="AE252" s="2" t="str">
        <f t="shared" si="65"/>
        <v/>
      </c>
      <c r="AF252" s="2" t="str">
        <f t="shared" si="66"/>
        <v/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556</v>
      </c>
      <c r="D253" s="2" t="s">
        <v>1</v>
      </c>
      <c r="E253" s="2" t="s">
        <v>134</v>
      </c>
      <c r="F253" s="2" t="s">
        <v>690</v>
      </c>
      <c r="G253" s="2" t="s">
        <v>691</v>
      </c>
      <c r="H253" s="2" t="s">
        <v>780</v>
      </c>
      <c r="I253" s="2" t="s">
        <v>42</v>
      </c>
      <c r="J253" s="2">
        <v>1</v>
      </c>
      <c r="K253" s="2" t="s">
        <v>82</v>
      </c>
      <c r="L253" s="2" t="s">
        <v>41</v>
      </c>
      <c r="M253" s="2" t="s">
        <v>135</v>
      </c>
      <c r="N253" s="2" t="s">
        <v>560</v>
      </c>
      <c r="O253" s="2" t="s">
        <v>781</v>
      </c>
      <c r="P253" s="2" t="s">
        <v>5</v>
      </c>
      <c r="Q253" s="2">
        <f>INDEX(Tables!$C$4:$C$28,MATCH($P253,Tables!$B$4:$B$28,0))</f>
        <v>32</v>
      </c>
      <c r="R253" s="2">
        <f>INDEX(Tables!$D$4:$D$28,MATCH($P253,Tables!$B$4:$B$28,0))</f>
        <v>4</v>
      </c>
      <c r="S253" s="2">
        <f>$S252+$R252+INDEX(Tables!$N$5:$Q$8,MATCH(MOD($S252+$R252,4),Tables!$M$5:$M$8,0),MATCH($R253,Tables!$N$4:$Q$4,0))</f>
        <v>852</v>
      </c>
      <c r="T253" s="2" t="str">
        <f t="shared" si="54"/>
        <v>0354</v>
      </c>
      <c r="U253" s="2">
        <f t="shared" si="60"/>
        <v>213</v>
      </c>
      <c r="V253" s="2" t="str">
        <f t="shared" si="55"/>
        <v>0D5</v>
      </c>
      <c r="W253" s="2" t="str">
        <f t="shared" si="56"/>
        <v/>
      </c>
      <c r="X253" s="2" t="str">
        <f t="shared" si="57"/>
        <v/>
      </c>
      <c r="Y253" s="2" t="str">
        <f t="shared" si="58"/>
        <v/>
      </c>
      <c r="Z253" s="2" t="str">
        <f t="shared" si="59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/>
      </c>
      <c r="AD253" s="2" t="str">
        <f t="shared" si="64"/>
        <v>(0)</v>
      </c>
      <c r="AE253" s="2" t="str">
        <f t="shared" si="65"/>
        <v/>
      </c>
      <c r="AF253" s="2" t="str">
        <f t="shared" si="66"/>
        <v/>
      </c>
      <c r="AG253" s="2" t="str">
        <f t="shared" si="67"/>
        <v/>
      </c>
      <c r="AH253" s="2" t="str">
        <f t="shared" si="68"/>
        <v/>
      </c>
    </row>
    <row r="254" spans="2:34" x14ac:dyDescent="0.25">
      <c r="B254" s="2" t="s">
        <v>556</v>
      </c>
      <c r="D254" s="2" t="s">
        <v>1</v>
      </c>
      <c r="E254" s="2" t="s">
        <v>134</v>
      </c>
      <c r="F254" s="2" t="s">
        <v>690</v>
      </c>
      <c r="G254" s="2" t="s">
        <v>691</v>
      </c>
      <c r="H254" s="2" t="s">
        <v>782</v>
      </c>
      <c r="I254" s="2" t="s">
        <v>42</v>
      </c>
      <c r="J254" s="2">
        <v>1</v>
      </c>
      <c r="K254" s="2" t="s">
        <v>82</v>
      </c>
      <c r="L254" s="2" t="s">
        <v>41</v>
      </c>
      <c r="M254" s="2" t="s">
        <v>135</v>
      </c>
      <c r="N254" s="2" t="s">
        <v>560</v>
      </c>
      <c r="O254" s="2" t="s">
        <v>783</v>
      </c>
      <c r="P254" s="2" t="s">
        <v>5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856</v>
      </c>
      <c r="T254" s="2" t="str">
        <f t="shared" si="54"/>
        <v>0358</v>
      </c>
      <c r="U254" s="2">
        <f t="shared" si="60"/>
        <v>214</v>
      </c>
      <c r="V254" s="2" t="str">
        <f t="shared" si="55"/>
        <v>0D6</v>
      </c>
      <c r="W254" s="2" t="str">
        <f t="shared" si="56"/>
        <v/>
      </c>
      <c r="X254" s="2" t="str">
        <f t="shared" si="57"/>
        <v/>
      </c>
      <c r="Y254" s="2" t="str">
        <f t="shared" si="58"/>
        <v/>
      </c>
      <c r="Z254" s="2" t="str">
        <f t="shared" si="59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556</v>
      </c>
      <c r="D255" s="2" t="s">
        <v>1</v>
      </c>
      <c r="E255" s="2" t="s">
        <v>134</v>
      </c>
      <c r="F255" s="2" t="s">
        <v>690</v>
      </c>
      <c r="G255" s="2" t="s">
        <v>691</v>
      </c>
      <c r="H255" s="2" t="s">
        <v>784</v>
      </c>
      <c r="I255" s="2" t="s">
        <v>42</v>
      </c>
      <c r="J255" s="2">
        <v>1</v>
      </c>
      <c r="K255" s="2" t="s">
        <v>82</v>
      </c>
      <c r="L255" s="2" t="s">
        <v>41</v>
      </c>
      <c r="M255" s="2" t="s">
        <v>135</v>
      </c>
      <c r="N255" s="2" t="s">
        <v>560</v>
      </c>
      <c r="O255" s="2" t="s">
        <v>785</v>
      </c>
      <c r="P255" s="2" t="s">
        <v>5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860</v>
      </c>
      <c r="T255" s="2" t="str">
        <f t="shared" si="54"/>
        <v>035C</v>
      </c>
      <c r="U255" s="2">
        <f t="shared" si="60"/>
        <v>215</v>
      </c>
      <c r="V255" s="2" t="str">
        <f t="shared" si="55"/>
        <v>0D7</v>
      </c>
      <c r="W255" s="2" t="str">
        <f t="shared" si="56"/>
        <v/>
      </c>
      <c r="X255" s="2" t="str">
        <f t="shared" si="57"/>
        <v/>
      </c>
      <c r="Y255" s="2" t="str">
        <f t="shared" si="58"/>
        <v/>
      </c>
      <c r="Z255" s="2" t="str">
        <f t="shared" si="59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556</v>
      </c>
      <c r="D256" s="2" t="s">
        <v>1</v>
      </c>
      <c r="E256" s="2" t="s">
        <v>134</v>
      </c>
      <c r="F256" s="2" t="s">
        <v>690</v>
      </c>
      <c r="G256" s="2" t="s">
        <v>691</v>
      </c>
      <c r="H256" s="2" t="s">
        <v>786</v>
      </c>
      <c r="I256" s="2" t="s">
        <v>42</v>
      </c>
      <c r="J256" s="2">
        <v>1</v>
      </c>
      <c r="K256" s="2" t="s">
        <v>82</v>
      </c>
      <c r="L256" s="2" t="s">
        <v>41</v>
      </c>
      <c r="M256" s="2" t="s">
        <v>135</v>
      </c>
      <c r="N256" s="2" t="s">
        <v>560</v>
      </c>
      <c r="O256" s="2" t="s">
        <v>787</v>
      </c>
      <c r="P256" s="2" t="s">
        <v>5</v>
      </c>
      <c r="Q256" s="2">
        <f>INDEX(Tables!$C$4:$C$28,MATCH($P256,Tables!$B$4:$B$28,0))</f>
        <v>32</v>
      </c>
      <c r="R256" s="2">
        <f>INDEX(Tables!$D$4:$D$28,MATCH($P256,Tables!$B$4:$B$28,0))</f>
        <v>4</v>
      </c>
      <c r="S256" s="2">
        <f>$S255+$R255+INDEX(Tables!$N$5:$Q$8,MATCH(MOD($S255+$R255,4),Tables!$M$5:$M$8,0),MATCH($R256,Tables!$N$4:$Q$4,0))</f>
        <v>864</v>
      </c>
      <c r="T256" s="2" t="str">
        <f t="shared" si="54"/>
        <v>0360</v>
      </c>
      <c r="U256" s="2">
        <f t="shared" si="60"/>
        <v>216</v>
      </c>
      <c r="V256" s="2" t="str">
        <f t="shared" si="55"/>
        <v>0D8</v>
      </c>
      <c r="W256" s="2" t="str">
        <f t="shared" si="56"/>
        <v/>
      </c>
      <c r="X256" s="2" t="str">
        <f t="shared" si="57"/>
        <v/>
      </c>
      <c r="Y256" s="2" t="str">
        <f t="shared" si="58"/>
        <v/>
      </c>
      <c r="Z256" s="2" t="str">
        <f t="shared" si="59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/>
      </c>
      <c r="AD256" s="2" t="str">
        <f t="shared" si="64"/>
        <v>(0)</v>
      </c>
      <c r="AE256" s="2" t="str">
        <f t="shared" si="65"/>
        <v/>
      </c>
      <c r="AF256" s="2" t="str">
        <f t="shared" si="66"/>
        <v/>
      </c>
      <c r="AG256" s="2" t="str">
        <f t="shared" si="67"/>
        <v/>
      </c>
      <c r="AH256" s="2" t="str">
        <f t="shared" si="68"/>
        <v/>
      </c>
    </row>
    <row r="257" spans="2:34" x14ac:dyDescent="0.25">
      <c r="B257" s="2" t="s">
        <v>556</v>
      </c>
      <c r="D257" s="2" t="s">
        <v>1</v>
      </c>
      <c r="E257" s="2" t="s">
        <v>134</v>
      </c>
      <c r="F257" s="2" t="s">
        <v>690</v>
      </c>
      <c r="G257" s="2" t="s">
        <v>691</v>
      </c>
      <c r="H257" s="2" t="s">
        <v>788</v>
      </c>
      <c r="I257" s="2" t="s">
        <v>42</v>
      </c>
      <c r="J257" s="2">
        <v>1</v>
      </c>
      <c r="K257" s="2" t="s">
        <v>82</v>
      </c>
      <c r="L257" s="2" t="s">
        <v>41</v>
      </c>
      <c r="M257" s="2" t="s">
        <v>135</v>
      </c>
      <c r="N257" s="2" t="s">
        <v>560</v>
      </c>
      <c r="O257" s="2" t="s">
        <v>789</v>
      </c>
      <c r="P257" s="2" t="s">
        <v>5</v>
      </c>
      <c r="Q257" s="2">
        <f>INDEX(Tables!$C$4:$C$28,MATCH($P257,Tables!$B$4:$B$28,0))</f>
        <v>32</v>
      </c>
      <c r="R257" s="2">
        <f>INDEX(Tables!$D$4:$D$28,MATCH($P257,Tables!$B$4:$B$28,0))</f>
        <v>4</v>
      </c>
      <c r="S257" s="2">
        <f>$S256+$R256+INDEX(Tables!$N$5:$Q$8,MATCH(MOD($S256+$R256,4),Tables!$M$5:$M$8,0),MATCH($R257,Tables!$N$4:$Q$4,0))</f>
        <v>868</v>
      </c>
      <c r="T257" s="2" t="str">
        <f t="shared" si="54"/>
        <v>0364</v>
      </c>
      <c r="U257" s="2">
        <f t="shared" si="60"/>
        <v>217</v>
      </c>
      <c r="V257" s="2" t="str">
        <f t="shared" si="55"/>
        <v>0D9</v>
      </c>
      <c r="W257" s="2" t="str">
        <f t="shared" si="56"/>
        <v/>
      </c>
      <c r="X257" s="2" t="str">
        <f t="shared" si="57"/>
        <v/>
      </c>
      <c r="Y257" s="2" t="str">
        <f t="shared" si="58"/>
        <v/>
      </c>
      <c r="Z257" s="2" t="str">
        <f t="shared" si="59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556</v>
      </c>
      <c r="D258" s="2" t="s">
        <v>1</v>
      </c>
      <c r="E258" s="2" t="s">
        <v>134</v>
      </c>
      <c r="F258" s="2" t="s">
        <v>690</v>
      </c>
      <c r="G258" s="2" t="s">
        <v>691</v>
      </c>
      <c r="H258" s="2" t="s">
        <v>790</v>
      </c>
      <c r="I258" s="2" t="s">
        <v>42</v>
      </c>
      <c r="J258" s="2">
        <v>1</v>
      </c>
      <c r="K258" s="2" t="s">
        <v>82</v>
      </c>
      <c r="L258" s="2" t="s">
        <v>41</v>
      </c>
      <c r="M258" s="2" t="s">
        <v>135</v>
      </c>
      <c r="N258" s="2" t="s">
        <v>560</v>
      </c>
      <c r="O258" s="2" t="s">
        <v>791</v>
      </c>
      <c r="P258" s="2" t="s">
        <v>5</v>
      </c>
      <c r="Q258" s="2">
        <f>INDEX(Tables!$C$4:$C$28,MATCH($P258,Tables!$B$4:$B$28,0))</f>
        <v>32</v>
      </c>
      <c r="R258" s="2">
        <f>INDEX(Tables!$D$4:$D$28,MATCH($P258,Tables!$B$4:$B$28,0))</f>
        <v>4</v>
      </c>
      <c r="S258" s="2">
        <f>$S257+$R257+INDEX(Tables!$N$5:$Q$8,MATCH(MOD($S257+$R257,4),Tables!$M$5:$M$8,0),MATCH($R258,Tables!$N$4:$Q$4,0))</f>
        <v>872</v>
      </c>
      <c r="T258" s="2" t="str">
        <f t="shared" si="54"/>
        <v>0368</v>
      </c>
      <c r="U258" s="2">
        <f t="shared" si="60"/>
        <v>218</v>
      </c>
      <c r="V258" s="2" t="str">
        <f t="shared" si="55"/>
        <v>0DA</v>
      </c>
      <c r="W258" s="2" t="str">
        <f t="shared" si="56"/>
        <v/>
      </c>
      <c r="X258" s="2" t="str">
        <f t="shared" si="57"/>
        <v/>
      </c>
      <c r="Y258" s="2" t="str">
        <f t="shared" si="58"/>
        <v/>
      </c>
      <c r="Z258" s="2" t="str">
        <f t="shared" si="59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/>
      </c>
      <c r="AD258" s="2" t="str">
        <f t="shared" si="64"/>
        <v>(0)</v>
      </c>
      <c r="AE258" s="2" t="str">
        <f t="shared" si="65"/>
        <v/>
      </c>
      <c r="AF258" s="2" t="str">
        <f t="shared" si="66"/>
        <v/>
      </c>
      <c r="AG258" s="2" t="str">
        <f t="shared" si="67"/>
        <v/>
      </c>
      <c r="AH258" s="2" t="str">
        <f t="shared" si="68"/>
        <v/>
      </c>
    </row>
    <row r="259" spans="2:34" x14ac:dyDescent="0.25">
      <c r="B259" s="2" t="s">
        <v>556</v>
      </c>
      <c r="D259" s="2" t="s">
        <v>1</v>
      </c>
      <c r="E259" s="2" t="s">
        <v>134</v>
      </c>
      <c r="F259" s="2" t="s">
        <v>690</v>
      </c>
      <c r="G259" s="2" t="s">
        <v>691</v>
      </c>
      <c r="H259" s="2" t="s">
        <v>792</v>
      </c>
      <c r="I259" s="2" t="s">
        <v>42</v>
      </c>
      <c r="J259" s="2">
        <v>1</v>
      </c>
      <c r="K259" s="2" t="s">
        <v>82</v>
      </c>
      <c r="L259" s="2" t="s">
        <v>41</v>
      </c>
      <c r="M259" s="2" t="s">
        <v>135</v>
      </c>
      <c r="N259" s="2" t="s">
        <v>560</v>
      </c>
      <c r="O259" s="2" t="s">
        <v>793</v>
      </c>
      <c r="P259" s="2" t="s">
        <v>5</v>
      </c>
      <c r="Q259" s="2">
        <f>INDEX(Tables!$C$4:$C$28,MATCH($P259,Tables!$B$4:$B$28,0))</f>
        <v>32</v>
      </c>
      <c r="R259" s="2">
        <f>INDEX(Tables!$D$4:$D$28,MATCH($P259,Tables!$B$4:$B$28,0))</f>
        <v>4</v>
      </c>
      <c r="S259" s="2">
        <f>$S258+$R258+INDEX(Tables!$N$5:$Q$8,MATCH(MOD($S258+$R258,4),Tables!$M$5:$M$8,0),MATCH($R259,Tables!$N$4:$Q$4,0))</f>
        <v>876</v>
      </c>
      <c r="T259" s="2" t="str">
        <f t="shared" si="54"/>
        <v>036C</v>
      </c>
      <c r="U259" s="2">
        <f t="shared" si="60"/>
        <v>219</v>
      </c>
      <c r="V259" s="2" t="str">
        <f t="shared" si="55"/>
        <v>0DB</v>
      </c>
      <c r="W259" s="2" t="str">
        <f t="shared" si="56"/>
        <v/>
      </c>
      <c r="X259" s="2" t="str">
        <f t="shared" si="57"/>
        <v/>
      </c>
      <c r="Y259" s="2" t="str">
        <f t="shared" si="58"/>
        <v/>
      </c>
      <c r="Z259" s="2" t="str">
        <f t="shared" si="59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556</v>
      </c>
      <c r="D260" s="2" t="s">
        <v>1</v>
      </c>
      <c r="E260" s="2" t="s">
        <v>134</v>
      </c>
      <c r="F260" s="2" t="s">
        <v>690</v>
      </c>
      <c r="G260" s="2" t="s">
        <v>691</v>
      </c>
      <c r="H260" s="2" t="s">
        <v>794</v>
      </c>
      <c r="I260" s="2" t="s">
        <v>42</v>
      </c>
      <c r="J260" s="2">
        <v>1</v>
      </c>
      <c r="K260" s="2" t="s">
        <v>82</v>
      </c>
      <c r="L260" s="2" t="s">
        <v>41</v>
      </c>
      <c r="M260" s="2" t="s">
        <v>135</v>
      </c>
      <c r="N260" s="2" t="s">
        <v>560</v>
      </c>
      <c r="O260" s="2" t="s">
        <v>795</v>
      </c>
      <c r="P260" s="2" t="s">
        <v>5</v>
      </c>
      <c r="Q260" s="2">
        <f>INDEX(Tables!$C$4:$C$28,MATCH($P260,Tables!$B$4:$B$28,0))</f>
        <v>32</v>
      </c>
      <c r="R260" s="2">
        <f>INDEX(Tables!$D$4:$D$28,MATCH($P260,Tables!$B$4:$B$28,0))</f>
        <v>4</v>
      </c>
      <c r="S260" s="2">
        <f>$S259+$R259+INDEX(Tables!$N$5:$Q$8,MATCH(MOD($S259+$R259,4),Tables!$M$5:$M$8,0),MATCH($R260,Tables!$N$4:$Q$4,0))</f>
        <v>880</v>
      </c>
      <c r="T260" s="2" t="str">
        <f t="shared" si="54"/>
        <v>0370</v>
      </c>
      <c r="U260" s="2">
        <f t="shared" si="60"/>
        <v>220</v>
      </c>
      <c r="V260" s="2" t="str">
        <f t="shared" si="55"/>
        <v>0DC</v>
      </c>
      <c r="W260" s="2" t="str">
        <f t="shared" si="56"/>
        <v/>
      </c>
      <c r="X260" s="2" t="str">
        <f t="shared" si="57"/>
        <v/>
      </c>
      <c r="Y260" s="2" t="str">
        <f t="shared" si="58"/>
        <v/>
      </c>
      <c r="Z260" s="2" t="str">
        <f t="shared" si="59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/>
      </c>
      <c r="AD260" s="2" t="str">
        <f t="shared" si="64"/>
        <v>(0)</v>
      </c>
      <c r="AE260" s="2" t="str">
        <f t="shared" si="65"/>
        <v/>
      </c>
      <c r="AF260" s="2" t="str">
        <f t="shared" si="66"/>
        <v/>
      </c>
      <c r="AG260" s="2" t="str">
        <f t="shared" si="67"/>
        <v/>
      </c>
      <c r="AH260" s="2" t="str">
        <f t="shared" si="68"/>
        <v/>
      </c>
    </row>
    <row r="261" spans="2:34" x14ac:dyDescent="0.25">
      <c r="B261" s="2" t="s">
        <v>556</v>
      </c>
      <c r="D261" s="2" t="s">
        <v>1</v>
      </c>
      <c r="E261" s="2" t="s">
        <v>134</v>
      </c>
      <c r="F261" s="2" t="s">
        <v>690</v>
      </c>
      <c r="G261" s="2" t="s">
        <v>691</v>
      </c>
      <c r="H261" s="2" t="s">
        <v>796</v>
      </c>
      <c r="I261" s="2" t="s">
        <v>42</v>
      </c>
      <c r="J261" s="2">
        <v>1</v>
      </c>
      <c r="K261" s="2" t="s">
        <v>82</v>
      </c>
      <c r="L261" s="2" t="s">
        <v>41</v>
      </c>
      <c r="M261" s="2" t="s">
        <v>135</v>
      </c>
      <c r="N261" s="2" t="s">
        <v>560</v>
      </c>
      <c r="O261" s="2" t="s">
        <v>797</v>
      </c>
      <c r="P261" s="2" t="s">
        <v>5</v>
      </c>
      <c r="Q261" s="2">
        <f>INDEX(Tables!$C$4:$C$28,MATCH($P261,Tables!$B$4:$B$28,0))</f>
        <v>32</v>
      </c>
      <c r="R261" s="2">
        <f>INDEX(Tables!$D$4:$D$28,MATCH($P261,Tables!$B$4:$B$28,0))</f>
        <v>4</v>
      </c>
      <c r="S261" s="2">
        <f>$S260+$R260+INDEX(Tables!$N$5:$Q$8,MATCH(MOD($S260+$R260,4),Tables!$M$5:$M$8,0),MATCH($R261,Tables!$N$4:$Q$4,0))</f>
        <v>884</v>
      </c>
      <c r="T261" s="2" t="str">
        <f t="shared" ref="T261:T324" si="69">DEC2HEX($S261,4)</f>
        <v>0374</v>
      </c>
      <c r="U261" s="2">
        <f t="shared" si="60"/>
        <v>221</v>
      </c>
      <c r="V261" s="2" t="str">
        <f t="shared" ref="V261:V324" si="70">DEC2HEX($U261,3)</f>
        <v>0DD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57"/>
        <v/>
      </c>
      <c r="Y261" s="2" t="str">
        <f t="shared" si="58"/>
        <v/>
      </c>
      <c r="Z261" s="2" t="str">
        <f t="shared" si="59"/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556</v>
      </c>
      <c r="D262" s="2" t="s">
        <v>1</v>
      </c>
      <c r="E262" s="2" t="s">
        <v>134</v>
      </c>
      <c r="F262" s="2" t="s">
        <v>690</v>
      </c>
      <c r="G262" s="2" t="s">
        <v>691</v>
      </c>
      <c r="H262" s="2" t="s">
        <v>798</v>
      </c>
      <c r="I262" s="2" t="s">
        <v>42</v>
      </c>
      <c r="J262" s="2">
        <v>1</v>
      </c>
      <c r="K262" s="2" t="s">
        <v>82</v>
      </c>
      <c r="L262" s="2" t="s">
        <v>41</v>
      </c>
      <c r="M262" s="2" t="s">
        <v>135</v>
      </c>
      <c r="N262" s="2" t="s">
        <v>560</v>
      </c>
      <c r="O262" s="2" t="s">
        <v>799</v>
      </c>
      <c r="P262" s="2" t="s">
        <v>5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888</v>
      </c>
      <c r="T262" s="2" t="str">
        <f t="shared" si="69"/>
        <v>0378</v>
      </c>
      <c r="U262" s="2">
        <f t="shared" si="60"/>
        <v>222</v>
      </c>
      <c r="V262" s="2" t="str">
        <f t="shared" si="70"/>
        <v>0DE</v>
      </c>
      <c r="W262" s="2" t="str">
        <f t="shared" si="71"/>
        <v/>
      </c>
      <c r="X262" s="2" t="str">
        <f t="shared" si="57"/>
        <v/>
      </c>
      <c r="Y262" s="2" t="str">
        <f t="shared" si="58"/>
        <v/>
      </c>
      <c r="Z262" s="2" t="str">
        <f t="shared" si="59"/>
        <v>X</v>
      </c>
      <c r="AA262" s="2" t="str">
        <f t="shared" si="61"/>
        <v/>
      </c>
      <c r="AB262" s="2" t="str">
        <f t="shared" si="62"/>
        <v/>
      </c>
      <c r="AC262" s="2" t="str">
        <f t="shared" si="63"/>
        <v/>
      </c>
      <c r="AD262" s="2" t="str">
        <f t="shared" si="64"/>
        <v>(0)</v>
      </c>
      <c r="AE262" s="2" t="str">
        <f t="shared" si="65"/>
        <v/>
      </c>
      <c r="AF262" s="2" t="str">
        <f t="shared" si="66"/>
        <v/>
      </c>
      <c r="AG262" s="2" t="str">
        <f t="shared" si="67"/>
        <v/>
      </c>
      <c r="AH262" s="2" t="str">
        <f t="shared" si="68"/>
        <v/>
      </c>
    </row>
    <row r="263" spans="2:34" x14ac:dyDescent="0.25">
      <c r="B263" s="2" t="s">
        <v>556</v>
      </c>
      <c r="D263" s="2" t="s">
        <v>1</v>
      </c>
      <c r="E263" s="2" t="s">
        <v>134</v>
      </c>
      <c r="F263" s="2" t="s">
        <v>690</v>
      </c>
      <c r="G263" s="2" t="s">
        <v>691</v>
      </c>
      <c r="H263" s="2" t="s">
        <v>800</v>
      </c>
      <c r="I263" s="2" t="s">
        <v>42</v>
      </c>
      <c r="J263" s="2">
        <v>1</v>
      </c>
      <c r="K263" s="2" t="s">
        <v>82</v>
      </c>
      <c r="L263" s="2" t="s">
        <v>41</v>
      </c>
      <c r="M263" s="2" t="s">
        <v>135</v>
      </c>
      <c r="N263" s="2" t="s">
        <v>560</v>
      </c>
      <c r="O263" s="2" t="s">
        <v>801</v>
      </c>
      <c r="P263" s="2" t="s">
        <v>5</v>
      </c>
      <c r="Q263" s="2">
        <f>INDEX(Tables!$C$4:$C$28,MATCH($P263,Tables!$B$4:$B$28,0))</f>
        <v>32</v>
      </c>
      <c r="R263" s="2">
        <f>INDEX(Tables!$D$4:$D$28,MATCH($P263,Tables!$B$4:$B$28,0))</f>
        <v>4</v>
      </c>
      <c r="S263" s="2">
        <f>$S262+$R262+INDEX(Tables!$N$5:$Q$8,MATCH(MOD($S262+$R262,4),Tables!$M$5:$M$8,0),MATCH($R263,Tables!$N$4:$Q$4,0))</f>
        <v>892</v>
      </c>
      <c r="T263" s="2" t="str">
        <f t="shared" si="69"/>
        <v>037C</v>
      </c>
      <c r="U263" s="2">
        <f t="shared" si="60"/>
        <v>223</v>
      </c>
      <c r="V263" s="2" t="str">
        <f t="shared" si="70"/>
        <v>0DF</v>
      </c>
      <c r="W263" s="2" t="str">
        <f t="shared" si="71"/>
        <v/>
      </c>
      <c r="X263" s="2" t="str">
        <f t="shared" si="57"/>
        <v/>
      </c>
      <c r="Y263" s="2" t="str">
        <f t="shared" si="58"/>
        <v/>
      </c>
      <c r="Z263" s="2" t="str">
        <f t="shared" si="59"/>
        <v>X</v>
      </c>
      <c r="AA263" s="2" t="str">
        <f t="shared" si="61"/>
        <v/>
      </c>
      <c r="AB263" s="2" t="str">
        <f t="shared" si="62"/>
        <v/>
      </c>
      <c r="AC263" s="2" t="str">
        <f t="shared" si="63"/>
        <v/>
      </c>
      <c r="AD263" s="2" t="str">
        <f t="shared" si="64"/>
        <v>(0)</v>
      </c>
      <c r="AE263" s="2" t="str">
        <f t="shared" si="65"/>
        <v/>
      </c>
      <c r="AF263" s="2" t="str">
        <f t="shared" si="66"/>
        <v/>
      </c>
      <c r="AG263" s="2" t="str">
        <f t="shared" si="67"/>
        <v/>
      </c>
      <c r="AH263" s="2" t="str">
        <f t="shared" si="68"/>
        <v/>
      </c>
    </row>
    <row r="264" spans="2:34" x14ac:dyDescent="0.25">
      <c r="B264" s="2" t="s">
        <v>556</v>
      </c>
      <c r="D264" s="2" t="s">
        <v>1</v>
      </c>
      <c r="E264" s="2" t="s">
        <v>134</v>
      </c>
      <c r="F264" s="2" t="s">
        <v>690</v>
      </c>
      <c r="G264" s="2" t="s">
        <v>691</v>
      </c>
      <c r="H264" s="2" t="s">
        <v>802</v>
      </c>
      <c r="I264" s="2" t="s">
        <v>42</v>
      </c>
      <c r="J264" s="2">
        <v>1</v>
      </c>
      <c r="K264" s="2" t="s">
        <v>82</v>
      </c>
      <c r="L264" s="2" t="s">
        <v>41</v>
      </c>
      <c r="M264" s="2" t="s">
        <v>135</v>
      </c>
      <c r="N264" s="2" t="s">
        <v>560</v>
      </c>
      <c r="O264" s="2" t="s">
        <v>803</v>
      </c>
      <c r="P264" s="2" t="s">
        <v>5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896</v>
      </c>
      <c r="T264" s="2" t="str">
        <f t="shared" si="69"/>
        <v>0380</v>
      </c>
      <c r="U264" s="2">
        <f t="shared" si="60"/>
        <v>224</v>
      </c>
      <c r="V264" s="2" t="str">
        <f t="shared" si="70"/>
        <v>0E0</v>
      </c>
      <c r="W264" s="2" t="str">
        <f t="shared" si="71"/>
        <v/>
      </c>
      <c r="X264" s="2" t="str">
        <f t="shared" si="57"/>
        <v/>
      </c>
      <c r="Y264" s="2" t="str">
        <f t="shared" si="58"/>
        <v/>
      </c>
      <c r="Z264" s="2" t="str">
        <f t="shared" si="59"/>
        <v>X</v>
      </c>
      <c r="AA264" s="2" t="str">
        <f t="shared" si="61"/>
        <v/>
      </c>
      <c r="AB264" s="2" t="str">
        <f t="shared" si="62"/>
        <v/>
      </c>
      <c r="AC264" s="2" t="str">
        <f t="shared" si="63"/>
        <v/>
      </c>
      <c r="AD264" s="2" t="str">
        <f t="shared" si="64"/>
        <v>(0)</v>
      </c>
      <c r="AE264" s="2" t="str">
        <f t="shared" si="65"/>
        <v/>
      </c>
      <c r="AF264" s="2" t="str">
        <f t="shared" si="66"/>
        <v/>
      </c>
      <c r="AG264" s="2" t="str">
        <f t="shared" si="67"/>
        <v/>
      </c>
      <c r="AH264" s="2" t="str">
        <f t="shared" si="68"/>
        <v/>
      </c>
    </row>
    <row r="265" spans="2:34" x14ac:dyDescent="0.25">
      <c r="B265" s="2" t="s">
        <v>556</v>
      </c>
      <c r="D265" s="2" t="s">
        <v>1</v>
      </c>
      <c r="E265" s="2" t="s">
        <v>134</v>
      </c>
      <c r="F265" s="2" t="s">
        <v>690</v>
      </c>
      <c r="G265" s="2" t="s">
        <v>691</v>
      </c>
      <c r="H265" s="2" t="s">
        <v>804</v>
      </c>
      <c r="I265" s="2" t="s">
        <v>42</v>
      </c>
      <c r="J265" s="2">
        <v>1</v>
      </c>
      <c r="K265" s="2" t="s">
        <v>82</v>
      </c>
      <c r="L265" s="2" t="s">
        <v>41</v>
      </c>
      <c r="M265" s="2" t="s">
        <v>135</v>
      </c>
      <c r="N265" s="2" t="s">
        <v>560</v>
      </c>
      <c r="O265" s="2" t="s">
        <v>805</v>
      </c>
      <c r="P265" s="2" t="s">
        <v>5</v>
      </c>
      <c r="Q265" s="2">
        <f>INDEX(Tables!$C$4:$C$28,MATCH($P265,Tables!$B$4:$B$28,0))</f>
        <v>32</v>
      </c>
      <c r="R265" s="2">
        <f>INDEX(Tables!$D$4:$D$28,MATCH($P265,Tables!$B$4:$B$28,0))</f>
        <v>4</v>
      </c>
      <c r="S265" s="2">
        <f>$S264+$R264+INDEX(Tables!$N$5:$Q$8,MATCH(MOD($S264+$R264,4),Tables!$M$5:$M$8,0),MATCH($R265,Tables!$N$4:$Q$4,0))</f>
        <v>900</v>
      </c>
      <c r="T265" s="2" t="str">
        <f t="shared" si="69"/>
        <v>0384</v>
      </c>
      <c r="U265" s="2">
        <f t="shared" si="60"/>
        <v>225</v>
      </c>
      <c r="V265" s="2" t="str">
        <f t="shared" si="70"/>
        <v>0E1</v>
      </c>
      <c r="W265" s="2" t="str">
        <f t="shared" si="71"/>
        <v/>
      </c>
      <c r="X265" s="2" t="str">
        <f t="shared" si="57"/>
        <v/>
      </c>
      <c r="Y265" s="2" t="str">
        <f t="shared" si="58"/>
        <v/>
      </c>
      <c r="Z265" s="2" t="str">
        <f t="shared" si="59"/>
        <v>X</v>
      </c>
      <c r="AA265" s="2" t="str">
        <f t="shared" si="61"/>
        <v/>
      </c>
      <c r="AB265" s="2" t="str">
        <f t="shared" si="62"/>
        <v/>
      </c>
      <c r="AC265" s="2" t="str">
        <f t="shared" si="63"/>
        <v/>
      </c>
      <c r="AD265" s="2" t="str">
        <f t="shared" si="64"/>
        <v>(0)</v>
      </c>
      <c r="AE265" s="2" t="str">
        <f t="shared" si="65"/>
        <v/>
      </c>
      <c r="AF265" s="2" t="str">
        <f t="shared" si="66"/>
        <v/>
      </c>
      <c r="AG265" s="2" t="str">
        <f t="shared" si="67"/>
        <v/>
      </c>
      <c r="AH265" s="2" t="str">
        <f t="shared" si="68"/>
        <v/>
      </c>
    </row>
    <row r="266" spans="2:34" x14ac:dyDescent="0.25">
      <c r="B266" s="2" t="s">
        <v>556</v>
      </c>
      <c r="D266" s="2" t="s">
        <v>1</v>
      </c>
      <c r="E266" s="2" t="s">
        <v>134</v>
      </c>
      <c r="F266" s="2" t="s">
        <v>690</v>
      </c>
      <c r="G266" s="2" t="s">
        <v>691</v>
      </c>
      <c r="H266" s="2" t="s">
        <v>806</v>
      </c>
      <c r="I266" s="2" t="s">
        <v>42</v>
      </c>
      <c r="J266" s="2">
        <v>1</v>
      </c>
      <c r="K266" s="2" t="s">
        <v>82</v>
      </c>
      <c r="L266" s="2" t="s">
        <v>41</v>
      </c>
      <c r="M266" s="2" t="s">
        <v>135</v>
      </c>
      <c r="N266" s="2" t="s">
        <v>560</v>
      </c>
      <c r="O266" s="2" t="s">
        <v>807</v>
      </c>
      <c r="P266" s="2" t="s">
        <v>5</v>
      </c>
      <c r="Q266" s="2">
        <f>INDEX(Tables!$C$4:$C$28,MATCH($P266,Tables!$B$4:$B$28,0))</f>
        <v>32</v>
      </c>
      <c r="R266" s="2">
        <f>INDEX(Tables!$D$4:$D$28,MATCH($P266,Tables!$B$4:$B$28,0))</f>
        <v>4</v>
      </c>
      <c r="S266" s="2">
        <f>$S265+$R265+INDEX(Tables!$N$5:$Q$8,MATCH(MOD($S265+$R265,4),Tables!$M$5:$M$8,0),MATCH($R266,Tables!$N$4:$Q$4,0))</f>
        <v>904</v>
      </c>
      <c r="T266" s="2" t="str">
        <f t="shared" si="69"/>
        <v>0388</v>
      </c>
      <c r="U266" s="2">
        <f t="shared" si="60"/>
        <v>226</v>
      </c>
      <c r="V266" s="2" t="str">
        <f t="shared" si="70"/>
        <v>0E2</v>
      </c>
      <c r="W266" s="2" t="str">
        <f t="shared" si="71"/>
        <v/>
      </c>
      <c r="X266" s="2" t="str">
        <f t="shared" si="57"/>
        <v/>
      </c>
      <c r="Y266" s="2" t="str">
        <f t="shared" si="58"/>
        <v/>
      </c>
      <c r="Z266" s="2" t="str">
        <f t="shared" si="59"/>
        <v>X</v>
      </c>
      <c r="AA266" s="2" t="str">
        <f t="shared" si="61"/>
        <v/>
      </c>
      <c r="AB266" s="2" t="str">
        <f t="shared" si="62"/>
        <v/>
      </c>
      <c r="AC266" s="2" t="str">
        <f t="shared" si="63"/>
        <v/>
      </c>
      <c r="AD266" s="2" t="str">
        <f t="shared" si="64"/>
        <v>(0)</v>
      </c>
      <c r="AE266" s="2" t="str">
        <f t="shared" si="65"/>
        <v/>
      </c>
      <c r="AF266" s="2" t="str">
        <f t="shared" si="66"/>
        <v/>
      </c>
      <c r="AG266" s="2" t="str">
        <f t="shared" si="67"/>
        <v/>
      </c>
      <c r="AH266" s="2" t="str">
        <f t="shared" si="68"/>
        <v/>
      </c>
    </row>
    <row r="267" spans="2:34" x14ac:dyDescent="0.25">
      <c r="B267" s="2" t="s">
        <v>556</v>
      </c>
      <c r="D267" s="2" t="s">
        <v>1</v>
      </c>
      <c r="E267" s="2" t="s">
        <v>134</v>
      </c>
      <c r="F267" s="2" t="s">
        <v>690</v>
      </c>
      <c r="G267" s="2" t="s">
        <v>691</v>
      </c>
      <c r="H267" s="2" t="s">
        <v>808</v>
      </c>
      <c r="I267" s="2" t="s">
        <v>42</v>
      </c>
      <c r="J267" s="2">
        <v>1</v>
      </c>
      <c r="K267" s="2" t="s">
        <v>82</v>
      </c>
      <c r="L267" s="2" t="s">
        <v>41</v>
      </c>
      <c r="M267" s="2" t="s">
        <v>135</v>
      </c>
      <c r="N267" s="2" t="s">
        <v>560</v>
      </c>
      <c r="O267" s="2" t="s">
        <v>809</v>
      </c>
      <c r="P267" s="2" t="s">
        <v>5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908</v>
      </c>
      <c r="T267" s="2" t="str">
        <f t="shared" si="69"/>
        <v>038C</v>
      </c>
      <c r="U267" s="2">
        <f t="shared" si="60"/>
        <v>227</v>
      </c>
      <c r="V267" s="2" t="str">
        <f t="shared" si="70"/>
        <v>0E3</v>
      </c>
      <c r="W267" s="2" t="str">
        <f t="shared" si="71"/>
        <v/>
      </c>
      <c r="X267" s="2" t="str">
        <f t="shared" si="57"/>
        <v/>
      </c>
      <c r="Y267" s="2" t="str">
        <f t="shared" si="58"/>
        <v/>
      </c>
      <c r="Z267" s="2" t="str">
        <f t="shared" si="59"/>
        <v>X</v>
      </c>
      <c r="AA267" s="2" t="str">
        <f t="shared" si="61"/>
        <v/>
      </c>
      <c r="AB267" s="2" t="str">
        <f t="shared" si="62"/>
        <v/>
      </c>
      <c r="AC267" s="2" t="str">
        <f t="shared" si="63"/>
        <v/>
      </c>
      <c r="AD267" s="2" t="str">
        <f t="shared" si="64"/>
        <v>(0)</v>
      </c>
      <c r="AE267" s="2" t="str">
        <f t="shared" si="65"/>
        <v/>
      </c>
      <c r="AF267" s="2" t="str">
        <f t="shared" si="66"/>
        <v/>
      </c>
      <c r="AG267" s="2" t="str">
        <f t="shared" si="67"/>
        <v/>
      </c>
      <c r="AH267" s="2" t="str">
        <f t="shared" si="68"/>
        <v/>
      </c>
    </row>
    <row r="268" spans="2:34" x14ac:dyDescent="0.25">
      <c r="B268" s="2" t="s">
        <v>556</v>
      </c>
      <c r="D268" s="2" t="s">
        <v>1</v>
      </c>
      <c r="E268" s="2" t="s">
        <v>134</v>
      </c>
      <c r="F268" s="2" t="s">
        <v>690</v>
      </c>
      <c r="G268" s="2" t="s">
        <v>691</v>
      </c>
      <c r="H268" s="2" t="s">
        <v>810</v>
      </c>
      <c r="I268" s="2" t="s">
        <v>42</v>
      </c>
      <c r="J268" s="2">
        <v>1</v>
      </c>
      <c r="K268" s="2" t="s">
        <v>82</v>
      </c>
      <c r="L268" s="2" t="s">
        <v>41</v>
      </c>
      <c r="M268" s="2" t="s">
        <v>135</v>
      </c>
      <c r="N268" s="2" t="s">
        <v>560</v>
      </c>
      <c r="O268" s="2" t="s">
        <v>811</v>
      </c>
      <c r="P268" s="2" t="s">
        <v>5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912</v>
      </c>
      <c r="T268" s="2" t="str">
        <f t="shared" si="69"/>
        <v>0390</v>
      </c>
      <c r="U268" s="2">
        <f t="shared" si="60"/>
        <v>228</v>
      </c>
      <c r="V268" s="2" t="str">
        <f t="shared" si="70"/>
        <v>0E4</v>
      </c>
      <c r="W268" s="2" t="str">
        <f t="shared" si="71"/>
        <v/>
      </c>
      <c r="X268" s="2" t="str">
        <f t="shared" si="57"/>
        <v/>
      </c>
      <c r="Y268" s="2" t="str">
        <f t="shared" si="58"/>
        <v/>
      </c>
      <c r="Z268" s="2" t="str">
        <f t="shared" si="59"/>
        <v>X</v>
      </c>
      <c r="AA268" s="2" t="str">
        <f t="shared" si="61"/>
        <v/>
      </c>
      <c r="AB268" s="2" t="str">
        <f t="shared" si="62"/>
        <v/>
      </c>
      <c r="AC268" s="2" t="str">
        <f t="shared" si="63"/>
        <v/>
      </c>
      <c r="AD268" s="2" t="str">
        <f t="shared" si="64"/>
        <v>(0)</v>
      </c>
      <c r="AE268" s="2" t="str">
        <f t="shared" si="65"/>
        <v/>
      </c>
      <c r="AF268" s="2" t="str">
        <f t="shared" si="66"/>
        <v/>
      </c>
      <c r="AG268" s="2" t="str">
        <f t="shared" si="67"/>
        <v/>
      </c>
      <c r="AH268" s="2" t="str">
        <f t="shared" si="68"/>
        <v/>
      </c>
    </row>
    <row r="269" spans="2:34" x14ac:dyDescent="0.25">
      <c r="B269" s="2" t="s">
        <v>556</v>
      </c>
      <c r="D269" s="2" t="s">
        <v>1</v>
      </c>
      <c r="E269" s="2" t="s">
        <v>134</v>
      </c>
      <c r="F269" s="2" t="s">
        <v>690</v>
      </c>
      <c r="G269" s="2" t="s">
        <v>691</v>
      </c>
      <c r="H269" s="2" t="s">
        <v>812</v>
      </c>
      <c r="I269" s="2" t="s">
        <v>42</v>
      </c>
      <c r="J269" s="2">
        <v>1</v>
      </c>
      <c r="K269" s="2" t="s">
        <v>82</v>
      </c>
      <c r="L269" s="2" t="s">
        <v>41</v>
      </c>
      <c r="M269" s="2" t="s">
        <v>135</v>
      </c>
      <c r="N269" s="2" t="s">
        <v>560</v>
      </c>
      <c r="O269" s="2" t="s">
        <v>813</v>
      </c>
      <c r="P269" s="2" t="s">
        <v>5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916</v>
      </c>
      <c r="T269" s="2" t="str">
        <f t="shared" si="69"/>
        <v>0394</v>
      </c>
      <c r="U269" s="2">
        <f t="shared" si="60"/>
        <v>229</v>
      </c>
      <c r="V269" s="2" t="str">
        <f t="shared" si="70"/>
        <v>0E5</v>
      </c>
      <c r="W269" s="2" t="str">
        <f t="shared" si="71"/>
        <v/>
      </c>
      <c r="X269" s="2" t="str">
        <f t="shared" si="57"/>
        <v/>
      </c>
      <c r="Y269" s="2" t="str">
        <f t="shared" si="58"/>
        <v/>
      </c>
      <c r="Z269" s="2" t="str">
        <f t="shared" si="59"/>
        <v>X</v>
      </c>
      <c r="AA269" s="2" t="str">
        <f t="shared" si="61"/>
        <v/>
      </c>
      <c r="AB269" s="2" t="str">
        <f t="shared" si="62"/>
        <v/>
      </c>
      <c r="AC269" s="2" t="str">
        <f t="shared" si="63"/>
        <v/>
      </c>
      <c r="AD269" s="2" t="str">
        <f t="shared" si="64"/>
        <v>(0)</v>
      </c>
      <c r="AE269" s="2" t="str">
        <f t="shared" si="65"/>
        <v/>
      </c>
      <c r="AF269" s="2" t="str">
        <f t="shared" si="66"/>
        <v/>
      </c>
      <c r="AG269" s="2" t="str">
        <f t="shared" si="67"/>
        <v/>
      </c>
      <c r="AH269" s="2" t="str">
        <f t="shared" si="68"/>
        <v/>
      </c>
    </row>
    <row r="270" spans="2:34" x14ac:dyDescent="0.25">
      <c r="B270" s="2" t="s">
        <v>556</v>
      </c>
      <c r="D270" s="2" t="s">
        <v>1</v>
      </c>
      <c r="E270" s="2" t="s">
        <v>134</v>
      </c>
      <c r="F270" s="2" t="s">
        <v>690</v>
      </c>
      <c r="G270" s="2" t="s">
        <v>691</v>
      </c>
      <c r="H270" s="2" t="s">
        <v>814</v>
      </c>
      <c r="I270" s="2" t="s">
        <v>42</v>
      </c>
      <c r="J270" s="2">
        <v>1</v>
      </c>
      <c r="K270" s="2" t="s">
        <v>82</v>
      </c>
      <c r="L270" s="2" t="s">
        <v>41</v>
      </c>
      <c r="M270" s="2" t="s">
        <v>135</v>
      </c>
      <c r="N270" s="2" t="s">
        <v>560</v>
      </c>
      <c r="O270" s="2" t="s">
        <v>815</v>
      </c>
      <c r="P270" s="2" t="s">
        <v>5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920</v>
      </c>
      <c r="T270" s="2" t="str">
        <f t="shared" si="69"/>
        <v>0398</v>
      </c>
      <c r="U270" s="2">
        <f t="shared" si="60"/>
        <v>230</v>
      </c>
      <c r="V270" s="2" t="str">
        <f t="shared" si="70"/>
        <v>0E6</v>
      </c>
      <c r="W270" s="2" t="str">
        <f t="shared" si="71"/>
        <v/>
      </c>
      <c r="X270" s="2" t="str">
        <f t="shared" si="57"/>
        <v/>
      </c>
      <c r="Y270" s="2" t="str">
        <f t="shared" si="58"/>
        <v/>
      </c>
      <c r="Z270" s="2" t="str">
        <f t="shared" si="59"/>
        <v>X</v>
      </c>
      <c r="AA270" s="2" t="str">
        <f t="shared" si="61"/>
        <v/>
      </c>
      <c r="AB270" s="2" t="str">
        <f t="shared" si="62"/>
        <v/>
      </c>
      <c r="AC270" s="2" t="str">
        <f t="shared" si="63"/>
        <v/>
      </c>
      <c r="AD270" s="2" t="str">
        <f t="shared" si="64"/>
        <v>(0)</v>
      </c>
      <c r="AE270" s="2" t="str">
        <f t="shared" si="65"/>
        <v/>
      </c>
      <c r="AF270" s="2" t="str">
        <f t="shared" si="66"/>
        <v/>
      </c>
      <c r="AG270" s="2" t="str">
        <f t="shared" si="67"/>
        <v/>
      </c>
      <c r="AH270" s="2" t="str">
        <f t="shared" si="68"/>
        <v/>
      </c>
    </row>
    <row r="271" spans="2:34" x14ac:dyDescent="0.25">
      <c r="B271" s="2" t="s">
        <v>556</v>
      </c>
      <c r="D271" s="2" t="s">
        <v>1</v>
      </c>
      <c r="E271" s="2" t="s">
        <v>134</v>
      </c>
      <c r="F271" s="2" t="s">
        <v>690</v>
      </c>
      <c r="G271" s="2" t="s">
        <v>691</v>
      </c>
      <c r="H271" s="2" t="s">
        <v>816</v>
      </c>
      <c r="I271" s="2" t="s">
        <v>42</v>
      </c>
      <c r="J271" s="2">
        <v>1</v>
      </c>
      <c r="K271" s="2" t="s">
        <v>82</v>
      </c>
      <c r="L271" s="2" t="s">
        <v>41</v>
      </c>
      <c r="M271" s="2" t="s">
        <v>135</v>
      </c>
      <c r="N271" s="2" t="s">
        <v>560</v>
      </c>
      <c r="O271" s="2" t="s">
        <v>817</v>
      </c>
      <c r="P271" s="2" t="s">
        <v>5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924</v>
      </c>
      <c r="T271" s="2" t="str">
        <f t="shared" si="69"/>
        <v>039C</v>
      </c>
      <c r="U271" s="2">
        <f t="shared" si="60"/>
        <v>231</v>
      </c>
      <c r="V271" s="2" t="str">
        <f t="shared" si="70"/>
        <v>0E7</v>
      </c>
      <c r="W271" s="2" t="str">
        <f t="shared" si="71"/>
        <v/>
      </c>
      <c r="X271" s="2" t="str">
        <f t="shared" si="57"/>
        <v/>
      </c>
      <c r="Y271" s="2" t="str">
        <f t="shared" si="58"/>
        <v/>
      </c>
      <c r="Z271" s="2" t="str">
        <f t="shared" si="59"/>
        <v>X</v>
      </c>
      <c r="AA271" s="2" t="str">
        <f t="shared" si="61"/>
        <v/>
      </c>
      <c r="AB271" s="2" t="str">
        <f t="shared" si="62"/>
        <v/>
      </c>
      <c r="AC271" s="2" t="str">
        <f t="shared" si="63"/>
        <v/>
      </c>
      <c r="AD271" s="2" t="str">
        <f t="shared" si="64"/>
        <v>(0)</v>
      </c>
      <c r="AE271" s="2" t="str">
        <f t="shared" si="65"/>
        <v/>
      </c>
      <c r="AF271" s="2" t="str">
        <f t="shared" si="66"/>
        <v/>
      </c>
      <c r="AG271" s="2" t="str">
        <f t="shared" si="67"/>
        <v/>
      </c>
      <c r="AH271" s="2" t="str">
        <f t="shared" si="68"/>
        <v/>
      </c>
    </row>
    <row r="272" spans="2:34" x14ac:dyDescent="0.25">
      <c r="B272" s="2" t="s">
        <v>556</v>
      </c>
      <c r="D272" s="2" t="s">
        <v>1</v>
      </c>
      <c r="E272" s="2" t="s">
        <v>134</v>
      </c>
      <c r="F272" s="2" t="s">
        <v>690</v>
      </c>
      <c r="G272" s="2" t="s">
        <v>691</v>
      </c>
      <c r="H272" s="2" t="s">
        <v>818</v>
      </c>
      <c r="I272" s="2" t="s">
        <v>42</v>
      </c>
      <c r="J272" s="2">
        <v>1</v>
      </c>
      <c r="K272" s="2" t="s">
        <v>82</v>
      </c>
      <c r="L272" s="2" t="s">
        <v>41</v>
      </c>
      <c r="M272" s="2" t="s">
        <v>135</v>
      </c>
      <c r="N272" s="2" t="s">
        <v>560</v>
      </c>
      <c r="O272" s="2" t="s">
        <v>819</v>
      </c>
      <c r="P272" s="2" t="s">
        <v>5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928</v>
      </c>
      <c r="T272" s="2" t="str">
        <f t="shared" si="69"/>
        <v>03A0</v>
      </c>
      <c r="U272" s="2">
        <f t="shared" si="60"/>
        <v>232</v>
      </c>
      <c r="V272" s="2" t="str">
        <f t="shared" si="70"/>
        <v>0E8</v>
      </c>
      <c r="W272" s="2" t="str">
        <f t="shared" si="71"/>
        <v/>
      </c>
      <c r="X272" s="2" t="str">
        <f t="shared" si="57"/>
        <v/>
      </c>
      <c r="Y272" s="2" t="str">
        <f t="shared" si="58"/>
        <v/>
      </c>
      <c r="Z272" s="2" t="str">
        <f t="shared" si="59"/>
        <v>X</v>
      </c>
      <c r="AA272" s="2" t="str">
        <f t="shared" si="61"/>
        <v/>
      </c>
      <c r="AB272" s="2" t="str">
        <f t="shared" si="62"/>
        <v/>
      </c>
      <c r="AC272" s="2" t="str">
        <f t="shared" si="63"/>
        <v/>
      </c>
      <c r="AD272" s="2" t="str">
        <f t="shared" si="64"/>
        <v>(0)</v>
      </c>
      <c r="AE272" s="2" t="str">
        <f t="shared" si="65"/>
        <v/>
      </c>
      <c r="AF272" s="2" t="str">
        <f t="shared" si="66"/>
        <v/>
      </c>
      <c r="AG272" s="2" t="str">
        <f t="shared" si="67"/>
        <v/>
      </c>
      <c r="AH272" s="2" t="str">
        <f t="shared" si="68"/>
        <v/>
      </c>
    </row>
    <row r="273" spans="2:34" x14ac:dyDescent="0.25">
      <c r="B273" s="2" t="s">
        <v>556</v>
      </c>
      <c r="D273" s="2" t="s">
        <v>1</v>
      </c>
      <c r="E273" s="2" t="s">
        <v>134</v>
      </c>
      <c r="F273" s="2" t="s">
        <v>690</v>
      </c>
      <c r="G273" s="2" t="s">
        <v>691</v>
      </c>
      <c r="H273" s="2" t="s">
        <v>820</v>
      </c>
      <c r="I273" s="2" t="s">
        <v>42</v>
      </c>
      <c r="J273" s="2">
        <v>1</v>
      </c>
      <c r="K273" s="2" t="s">
        <v>82</v>
      </c>
      <c r="L273" s="2" t="s">
        <v>41</v>
      </c>
      <c r="M273" s="2" t="s">
        <v>135</v>
      </c>
      <c r="N273" s="2" t="s">
        <v>560</v>
      </c>
      <c r="O273" s="2" t="s">
        <v>821</v>
      </c>
      <c r="P273" s="2" t="s">
        <v>5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932</v>
      </c>
      <c r="T273" s="2" t="str">
        <f t="shared" si="69"/>
        <v>03A4</v>
      </c>
      <c r="U273" s="2">
        <f t="shared" si="60"/>
        <v>233</v>
      </c>
      <c r="V273" s="2" t="str">
        <f t="shared" si="70"/>
        <v>0E9</v>
      </c>
      <c r="W273" s="2" t="str">
        <f t="shared" si="71"/>
        <v/>
      </c>
      <c r="X273" s="2" t="str">
        <f t="shared" si="57"/>
        <v/>
      </c>
      <c r="Y273" s="2" t="str">
        <f t="shared" si="58"/>
        <v/>
      </c>
      <c r="Z273" s="2" t="str">
        <f t="shared" si="59"/>
        <v>X</v>
      </c>
      <c r="AA273" s="2" t="str">
        <f t="shared" si="61"/>
        <v/>
      </c>
      <c r="AB273" s="2" t="str">
        <f t="shared" si="62"/>
        <v/>
      </c>
      <c r="AC273" s="2" t="str">
        <f t="shared" si="63"/>
        <v/>
      </c>
      <c r="AD273" s="2" t="str">
        <f t="shared" si="64"/>
        <v>(0)</v>
      </c>
      <c r="AE273" s="2" t="str">
        <f t="shared" si="65"/>
        <v/>
      </c>
      <c r="AF273" s="2" t="str">
        <f t="shared" si="66"/>
        <v/>
      </c>
      <c r="AG273" s="2" t="str">
        <f t="shared" si="67"/>
        <v/>
      </c>
      <c r="AH273" s="2" t="str">
        <f t="shared" si="68"/>
        <v/>
      </c>
    </row>
    <row r="274" spans="2:34" x14ac:dyDescent="0.25">
      <c r="B274" s="2" t="s">
        <v>556</v>
      </c>
      <c r="D274" s="2" t="s">
        <v>1</v>
      </c>
      <c r="E274" s="2" t="s">
        <v>134</v>
      </c>
      <c r="F274" s="2" t="s">
        <v>822</v>
      </c>
      <c r="G274" s="2" t="s">
        <v>823</v>
      </c>
      <c r="H274" s="2" t="s">
        <v>824</v>
      </c>
      <c r="I274" s="2" t="s">
        <v>42</v>
      </c>
      <c r="J274" s="2">
        <v>22</v>
      </c>
      <c r="K274" s="2" t="s">
        <v>137</v>
      </c>
      <c r="L274" s="2" t="s">
        <v>41</v>
      </c>
      <c r="M274" s="2" t="s">
        <v>135</v>
      </c>
      <c r="N274" s="2" t="s">
        <v>560</v>
      </c>
      <c r="O274" s="2" t="s">
        <v>825</v>
      </c>
      <c r="P274" s="2" t="s">
        <v>49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936</v>
      </c>
      <c r="T274" s="2" t="str">
        <f t="shared" si="69"/>
        <v>03A8</v>
      </c>
      <c r="U274" s="2">
        <f t="shared" si="60"/>
        <v>234</v>
      </c>
      <c r="V274" s="2" t="str">
        <f t="shared" si="70"/>
        <v>0EA</v>
      </c>
      <c r="W274" s="2" t="str">
        <f t="shared" si="71"/>
        <v/>
      </c>
      <c r="X274" s="2" t="str">
        <f t="shared" si="57"/>
        <v>X</v>
      </c>
      <c r="Y274" s="2" t="str">
        <f t="shared" si="58"/>
        <v>X</v>
      </c>
      <c r="Z274" s="2" t="str">
        <f t="shared" si="59"/>
        <v>X</v>
      </c>
      <c r="AA274" s="2" t="str">
        <f t="shared" si="61"/>
        <v/>
      </c>
      <c r="AB274" s="2" t="str">
        <f t="shared" si="62"/>
        <v>(21 downto 16)</v>
      </c>
      <c r="AC274" s="2" t="str">
        <f t="shared" si="63"/>
        <v>(15 downto 8)</v>
      </c>
      <c r="AD274" s="2" t="str">
        <f t="shared" si="64"/>
        <v>(7 downto 0)</v>
      </c>
      <c r="AE274" s="2" t="str">
        <f t="shared" si="65"/>
        <v/>
      </c>
      <c r="AF274" s="2" t="str">
        <f t="shared" si="66"/>
        <v>(21 downto 16)</v>
      </c>
      <c r="AG274" s="2" t="str">
        <f t="shared" si="67"/>
        <v>(15 downto 8)</v>
      </c>
      <c r="AH274" s="2" t="str">
        <f t="shared" si="68"/>
        <v>(7 downto 0)</v>
      </c>
    </row>
    <row r="275" spans="2:34" x14ac:dyDescent="0.25">
      <c r="B275" s="2" t="s">
        <v>556</v>
      </c>
      <c r="D275" s="2" t="s">
        <v>1</v>
      </c>
      <c r="E275" s="2" t="s">
        <v>134</v>
      </c>
      <c r="F275" s="2" t="s">
        <v>822</v>
      </c>
      <c r="G275" s="2" t="s">
        <v>823</v>
      </c>
      <c r="H275" s="2" t="s">
        <v>826</v>
      </c>
      <c r="I275" s="2" t="s">
        <v>42</v>
      </c>
      <c r="J275" s="2">
        <v>7</v>
      </c>
      <c r="K275" s="2" t="s">
        <v>137</v>
      </c>
      <c r="L275" s="2" t="s">
        <v>41</v>
      </c>
      <c r="M275" s="2" t="s">
        <v>135</v>
      </c>
      <c r="N275" s="2" t="s">
        <v>560</v>
      </c>
      <c r="O275" s="2" t="s">
        <v>827</v>
      </c>
      <c r="P275" s="2" t="s">
        <v>48</v>
      </c>
      <c r="Q275" s="2">
        <f>INDEX(Tables!$C$4:$C$28,MATCH($P275,Tables!$B$4:$B$28,0))</f>
        <v>8</v>
      </c>
      <c r="R275" s="2">
        <f>INDEX(Tables!$D$4:$D$28,MATCH($P275,Tables!$B$4:$B$28,0))</f>
        <v>1</v>
      </c>
      <c r="S275" s="2">
        <f>$S274+$R274+INDEX(Tables!$N$5:$Q$8,MATCH(MOD($S274+$R274,4),Tables!$M$5:$M$8,0),MATCH($R275,Tables!$N$4:$Q$4,0))</f>
        <v>940</v>
      </c>
      <c r="T275" s="2" t="str">
        <f t="shared" si="69"/>
        <v>03AC</v>
      </c>
      <c r="U275" s="2">
        <f t="shared" si="60"/>
        <v>235</v>
      </c>
      <c r="V275" s="2" t="str">
        <f t="shared" si="70"/>
        <v>0EB</v>
      </c>
      <c r="W275" s="2" t="str">
        <f t="shared" si="71"/>
        <v/>
      </c>
      <c r="X275" s="2" t="str">
        <f t="shared" ref="X275:X338" si="72">IF(MOD($S275,4)=2,"X",IF(AND(MOD($S275,4)=1,$J275&gt;8),"X",IF(AND(MOD($S275,4)=0,$J275&gt;16),"X","")))</f>
        <v/>
      </c>
      <c r="Y275" s="2" t="str">
        <f t="shared" ref="Y275:Y338" si="73">IF(MOD($S275,4)=1,"X",IF(AND(MOD($S275,4)=0,$J275&gt;8),"X",""))</f>
        <v/>
      </c>
      <c r="Z275" s="2" t="str">
        <f t="shared" ref="Z275:Z338" si="74">IF(MOD($S275,4)=0,"X","")</f>
        <v>X</v>
      </c>
      <c r="AA275" s="2" t="str">
        <f t="shared" si="61"/>
        <v/>
      </c>
      <c r="AB275" s="2" t="str">
        <f t="shared" si="62"/>
        <v/>
      </c>
      <c r="AC275" s="2" t="str">
        <f t="shared" si="63"/>
        <v/>
      </c>
      <c r="AD275" s="2" t="str">
        <f t="shared" si="64"/>
        <v>(6 downto 0)</v>
      </c>
      <c r="AE275" s="2" t="str">
        <f t="shared" si="65"/>
        <v/>
      </c>
      <c r="AF275" s="2" t="str">
        <f t="shared" si="66"/>
        <v/>
      </c>
      <c r="AG275" s="2" t="str">
        <f t="shared" si="67"/>
        <v/>
      </c>
      <c r="AH275" s="2" t="str">
        <f t="shared" si="68"/>
        <v/>
      </c>
    </row>
    <row r="276" spans="2:34" x14ac:dyDescent="0.25">
      <c r="B276" s="2" t="s">
        <v>556</v>
      </c>
      <c r="D276" s="2" t="s">
        <v>1</v>
      </c>
      <c r="E276" s="2" t="s">
        <v>134</v>
      </c>
      <c r="F276" s="2" t="s">
        <v>822</v>
      </c>
      <c r="G276" s="2" t="s">
        <v>823</v>
      </c>
      <c r="H276" s="2" t="s">
        <v>828</v>
      </c>
      <c r="I276" s="2" t="s">
        <v>42</v>
      </c>
      <c r="J276" s="2">
        <v>8</v>
      </c>
      <c r="K276" s="2" t="s">
        <v>137</v>
      </c>
      <c r="L276" s="2" t="s">
        <v>41</v>
      </c>
      <c r="M276" s="2" t="s">
        <v>135</v>
      </c>
      <c r="N276" s="2" t="s">
        <v>560</v>
      </c>
      <c r="O276" s="2" t="s">
        <v>829</v>
      </c>
      <c r="P276" s="2" t="s">
        <v>48</v>
      </c>
      <c r="Q276" s="2">
        <f>INDEX(Tables!$C$4:$C$28,MATCH($P276,Tables!$B$4:$B$28,0))</f>
        <v>8</v>
      </c>
      <c r="R276" s="2">
        <f>INDEX(Tables!$D$4:$D$28,MATCH($P276,Tables!$B$4:$B$28,0))</f>
        <v>1</v>
      </c>
      <c r="S276" s="2">
        <f>$S275+$R275+INDEX(Tables!$N$5:$Q$8,MATCH(MOD($S275+$R275,4),Tables!$M$5:$M$8,0),MATCH($R276,Tables!$N$4:$Q$4,0))</f>
        <v>941</v>
      </c>
      <c r="T276" s="2" t="str">
        <f t="shared" si="69"/>
        <v>03AD</v>
      </c>
      <c r="U276" s="2">
        <f t="shared" si="60"/>
        <v>235</v>
      </c>
      <c r="V276" s="2" t="str">
        <f t="shared" si="70"/>
        <v>0EB</v>
      </c>
      <c r="W276" s="2" t="str">
        <f t="shared" si="71"/>
        <v/>
      </c>
      <c r="X276" s="2" t="str">
        <f t="shared" si="72"/>
        <v/>
      </c>
      <c r="Y276" s="2" t="str">
        <f t="shared" si="73"/>
        <v>X</v>
      </c>
      <c r="Z276" s="2" t="str">
        <f t="shared" si="74"/>
        <v/>
      </c>
      <c r="AA276" s="2" t="str">
        <f t="shared" si="61"/>
        <v/>
      </c>
      <c r="AB276" s="2" t="str">
        <f t="shared" si="62"/>
        <v/>
      </c>
      <c r="AC276" s="2" t="str">
        <f t="shared" si="63"/>
        <v>(15 downto 8)</v>
      </c>
      <c r="AD276" s="2" t="str">
        <f t="shared" si="64"/>
        <v/>
      </c>
      <c r="AE276" s="2" t="str">
        <f t="shared" si="65"/>
        <v/>
      </c>
      <c r="AF276" s="2" t="str">
        <f t="shared" si="66"/>
        <v/>
      </c>
      <c r="AG276" s="2" t="str">
        <f t="shared" si="67"/>
        <v/>
      </c>
      <c r="AH276" s="2" t="str">
        <f t="shared" si="68"/>
        <v/>
      </c>
    </row>
    <row r="277" spans="2:34" x14ac:dyDescent="0.25">
      <c r="B277" s="2" t="s">
        <v>556</v>
      </c>
      <c r="D277" s="2" t="s">
        <v>1</v>
      </c>
      <c r="E277" s="2" t="s">
        <v>134</v>
      </c>
      <c r="F277" s="2" t="s">
        <v>822</v>
      </c>
      <c r="G277" s="2" t="s">
        <v>823</v>
      </c>
      <c r="H277" s="2" t="s">
        <v>830</v>
      </c>
      <c r="I277" s="2" t="s">
        <v>42</v>
      </c>
      <c r="J277" s="2">
        <v>8</v>
      </c>
      <c r="K277" s="2" t="s">
        <v>137</v>
      </c>
      <c r="L277" s="2" t="s">
        <v>41</v>
      </c>
      <c r="M277" s="2" t="s">
        <v>135</v>
      </c>
      <c r="N277" s="2" t="s">
        <v>560</v>
      </c>
      <c r="O277" s="2" t="s">
        <v>831</v>
      </c>
      <c r="P277" s="2" t="s">
        <v>48</v>
      </c>
      <c r="Q277" s="2">
        <f>INDEX(Tables!$C$4:$C$28,MATCH($P277,Tables!$B$4:$B$28,0))</f>
        <v>8</v>
      </c>
      <c r="R277" s="2">
        <f>INDEX(Tables!$D$4:$D$28,MATCH($P277,Tables!$B$4:$B$28,0))</f>
        <v>1</v>
      </c>
      <c r="S277" s="2">
        <f>$S276+$R276+INDEX(Tables!$N$5:$Q$8,MATCH(MOD($S276+$R276,4),Tables!$M$5:$M$8,0),MATCH($R277,Tables!$N$4:$Q$4,0))</f>
        <v>942</v>
      </c>
      <c r="T277" s="2" t="str">
        <f t="shared" si="69"/>
        <v>03AE</v>
      </c>
      <c r="U277" s="2">
        <f t="shared" si="60"/>
        <v>235</v>
      </c>
      <c r="V277" s="2" t="str">
        <f t="shared" si="70"/>
        <v>0EB</v>
      </c>
      <c r="W277" s="2" t="str">
        <f t="shared" si="71"/>
        <v/>
      </c>
      <c r="X277" s="2" t="str">
        <f t="shared" si="72"/>
        <v>X</v>
      </c>
      <c r="Y277" s="2" t="str">
        <f t="shared" si="73"/>
        <v/>
      </c>
      <c r="Z277" s="2" t="str">
        <f t="shared" si="74"/>
        <v/>
      </c>
      <c r="AA277" s="2" t="str">
        <f t="shared" si="61"/>
        <v/>
      </c>
      <c r="AB277" s="2" t="str">
        <f t="shared" si="62"/>
        <v>(23 downto 16)</v>
      </c>
      <c r="AC277" s="2" t="str">
        <f t="shared" si="63"/>
        <v/>
      </c>
      <c r="AD277" s="2" t="str">
        <f t="shared" si="64"/>
        <v/>
      </c>
      <c r="AE277" s="2" t="str">
        <f t="shared" si="65"/>
        <v/>
      </c>
      <c r="AF277" s="2" t="str">
        <f t="shared" si="66"/>
        <v/>
      </c>
      <c r="AG277" s="2" t="str">
        <f t="shared" si="67"/>
        <v/>
      </c>
      <c r="AH277" s="2" t="str">
        <f t="shared" si="68"/>
        <v/>
      </c>
    </row>
    <row r="278" spans="2:34" x14ac:dyDescent="0.25">
      <c r="B278" s="2" t="s">
        <v>556</v>
      </c>
      <c r="D278" s="2" t="s">
        <v>1</v>
      </c>
      <c r="E278" s="2" t="s">
        <v>134</v>
      </c>
      <c r="F278" s="2" t="s">
        <v>822</v>
      </c>
      <c r="G278" s="2" t="s">
        <v>823</v>
      </c>
      <c r="H278" s="2" t="s">
        <v>832</v>
      </c>
      <c r="I278" s="2" t="s">
        <v>42</v>
      </c>
      <c r="J278" s="2">
        <v>8</v>
      </c>
      <c r="K278" s="2" t="s">
        <v>137</v>
      </c>
      <c r="L278" s="2" t="s">
        <v>41</v>
      </c>
      <c r="M278" s="2" t="s">
        <v>135</v>
      </c>
      <c r="N278" s="2" t="s">
        <v>560</v>
      </c>
      <c r="O278" s="2" t="s">
        <v>833</v>
      </c>
      <c r="P278" s="2" t="s">
        <v>48</v>
      </c>
      <c r="Q278" s="2">
        <f>INDEX(Tables!$C$4:$C$28,MATCH($P278,Tables!$B$4:$B$28,0))</f>
        <v>8</v>
      </c>
      <c r="R278" s="2">
        <f>INDEX(Tables!$D$4:$D$28,MATCH($P278,Tables!$B$4:$B$28,0))</f>
        <v>1</v>
      </c>
      <c r="S278" s="2">
        <f>$S277+$R277+INDEX(Tables!$N$5:$Q$8,MATCH(MOD($S277+$R277,4),Tables!$M$5:$M$8,0),MATCH($R278,Tables!$N$4:$Q$4,0))</f>
        <v>943</v>
      </c>
      <c r="T278" s="2" t="str">
        <f t="shared" si="69"/>
        <v>03AF</v>
      </c>
      <c r="U278" s="2">
        <f t="shared" si="60"/>
        <v>235</v>
      </c>
      <c r="V278" s="2" t="str">
        <f t="shared" si="70"/>
        <v>0EB</v>
      </c>
      <c r="W278" s="2" t="str">
        <f t="shared" si="71"/>
        <v>X</v>
      </c>
      <c r="X278" s="2" t="str">
        <f t="shared" si="72"/>
        <v/>
      </c>
      <c r="Y278" s="2" t="str">
        <f t="shared" si="73"/>
        <v/>
      </c>
      <c r="Z278" s="2" t="str">
        <f t="shared" si="74"/>
        <v/>
      </c>
      <c r="AA278" s="2" t="str">
        <f t="shared" si="61"/>
        <v>(31 downto 24)</v>
      </c>
      <c r="AB278" s="2" t="str">
        <f t="shared" si="62"/>
        <v/>
      </c>
      <c r="AC278" s="2" t="str">
        <f t="shared" si="63"/>
        <v/>
      </c>
      <c r="AD278" s="2" t="str">
        <f t="shared" si="64"/>
        <v/>
      </c>
      <c r="AE278" s="2" t="str">
        <f t="shared" si="65"/>
        <v/>
      </c>
      <c r="AF278" s="2" t="str">
        <f t="shared" si="66"/>
        <v/>
      </c>
      <c r="AG278" s="2" t="str">
        <f t="shared" si="67"/>
        <v/>
      </c>
      <c r="AH278" s="2" t="str">
        <f t="shared" si="68"/>
        <v/>
      </c>
    </row>
    <row r="279" spans="2:34" x14ac:dyDescent="0.25">
      <c r="B279" s="2" t="s">
        <v>556</v>
      </c>
      <c r="D279" s="2" t="s">
        <v>1</v>
      </c>
      <c r="E279" s="2" t="s">
        <v>134</v>
      </c>
      <c r="F279" s="2" t="s">
        <v>822</v>
      </c>
      <c r="G279" s="2" t="s">
        <v>823</v>
      </c>
      <c r="H279" s="2" t="s">
        <v>834</v>
      </c>
      <c r="I279" s="2" t="s">
        <v>42</v>
      </c>
      <c r="J279" s="2">
        <v>8</v>
      </c>
      <c r="K279" s="2" t="s">
        <v>137</v>
      </c>
      <c r="L279" s="2" t="s">
        <v>41</v>
      </c>
      <c r="M279" s="2" t="s">
        <v>135</v>
      </c>
      <c r="N279" s="2" t="s">
        <v>560</v>
      </c>
      <c r="O279" s="2" t="s">
        <v>835</v>
      </c>
      <c r="P279" s="2" t="s">
        <v>48</v>
      </c>
      <c r="Q279" s="2">
        <f>INDEX(Tables!$C$4:$C$28,MATCH($P279,Tables!$B$4:$B$28,0))</f>
        <v>8</v>
      </c>
      <c r="R279" s="2">
        <f>INDEX(Tables!$D$4:$D$28,MATCH($P279,Tables!$B$4:$B$28,0))</f>
        <v>1</v>
      </c>
      <c r="S279" s="2">
        <f>$S278+$R278+INDEX(Tables!$N$5:$Q$8,MATCH(MOD($S278+$R278,4),Tables!$M$5:$M$8,0),MATCH($R279,Tables!$N$4:$Q$4,0))</f>
        <v>944</v>
      </c>
      <c r="T279" s="2" t="str">
        <f t="shared" si="69"/>
        <v>03B0</v>
      </c>
      <c r="U279" s="2">
        <f t="shared" si="60"/>
        <v>236</v>
      </c>
      <c r="V279" s="2" t="str">
        <f t="shared" si="70"/>
        <v>0EC</v>
      </c>
      <c r="W279" s="2" t="str">
        <f t="shared" si="71"/>
        <v/>
      </c>
      <c r="X279" s="2" t="str">
        <f t="shared" si="72"/>
        <v/>
      </c>
      <c r="Y279" s="2" t="str">
        <f t="shared" si="73"/>
        <v/>
      </c>
      <c r="Z279" s="2" t="str">
        <f t="shared" si="74"/>
        <v>X</v>
      </c>
      <c r="AA279" s="2" t="str">
        <f t="shared" si="61"/>
        <v/>
      </c>
      <c r="AB279" s="2" t="str">
        <f t="shared" si="62"/>
        <v/>
      </c>
      <c r="AC279" s="2" t="str">
        <f t="shared" si="63"/>
        <v/>
      </c>
      <c r="AD279" s="2" t="str">
        <f t="shared" si="64"/>
        <v>(7 downto 0)</v>
      </c>
      <c r="AE279" s="2" t="str">
        <f t="shared" si="65"/>
        <v/>
      </c>
      <c r="AF279" s="2" t="str">
        <f t="shared" si="66"/>
        <v/>
      </c>
      <c r="AG279" s="2" t="str">
        <f t="shared" si="67"/>
        <v/>
      </c>
      <c r="AH279" s="2" t="str">
        <f t="shared" si="68"/>
        <v/>
      </c>
    </row>
    <row r="280" spans="2:34" x14ac:dyDescent="0.25">
      <c r="B280" s="2" t="s">
        <v>556</v>
      </c>
      <c r="D280" s="2" t="s">
        <v>1</v>
      </c>
      <c r="E280" s="2" t="s">
        <v>134</v>
      </c>
      <c r="F280" s="2" t="s">
        <v>822</v>
      </c>
      <c r="G280" s="2" t="s">
        <v>823</v>
      </c>
      <c r="H280" s="2" t="s">
        <v>836</v>
      </c>
      <c r="I280" s="2" t="s">
        <v>42</v>
      </c>
      <c r="J280" s="2">
        <v>14</v>
      </c>
      <c r="K280" s="2" t="s">
        <v>137</v>
      </c>
      <c r="L280" s="2" t="s">
        <v>41</v>
      </c>
      <c r="M280" s="2" t="s">
        <v>135</v>
      </c>
      <c r="N280" s="2" t="s">
        <v>560</v>
      </c>
      <c r="O280" s="2" t="s">
        <v>837</v>
      </c>
      <c r="P280" s="2" t="s">
        <v>50</v>
      </c>
      <c r="Q280" s="2">
        <f>INDEX(Tables!$C$4:$C$28,MATCH($P280,Tables!$B$4:$B$28,0))</f>
        <v>16</v>
      </c>
      <c r="R280" s="2">
        <f>INDEX(Tables!$D$4:$D$28,MATCH($P280,Tables!$B$4:$B$28,0))</f>
        <v>2</v>
      </c>
      <c r="S280" s="2">
        <f>$S279+$R279+INDEX(Tables!$N$5:$Q$8,MATCH(MOD($S279+$R279,4),Tables!$M$5:$M$8,0),MATCH($R280,Tables!$N$4:$Q$4,0))</f>
        <v>946</v>
      </c>
      <c r="T280" s="2" t="str">
        <f t="shared" si="69"/>
        <v>03B2</v>
      </c>
      <c r="U280" s="2">
        <f t="shared" si="60"/>
        <v>236</v>
      </c>
      <c r="V280" s="2" t="str">
        <f t="shared" si="70"/>
        <v>0EC</v>
      </c>
      <c r="W280" s="2" t="str">
        <f t="shared" si="71"/>
        <v>X</v>
      </c>
      <c r="X280" s="2" t="str">
        <f t="shared" si="72"/>
        <v>X</v>
      </c>
      <c r="Y280" s="2" t="str">
        <f t="shared" si="73"/>
        <v/>
      </c>
      <c r="Z280" s="2" t="str">
        <f t="shared" si="74"/>
        <v/>
      </c>
      <c r="AA280" s="2" t="str">
        <f t="shared" si="61"/>
        <v>(29 downto 24)</v>
      </c>
      <c r="AB280" s="2" t="str">
        <f t="shared" si="62"/>
        <v>(23 downto 16)</v>
      </c>
      <c r="AC280" s="2" t="str">
        <f t="shared" si="63"/>
        <v/>
      </c>
      <c r="AD280" s="2" t="str">
        <f t="shared" si="64"/>
        <v/>
      </c>
      <c r="AE280" s="2" t="str">
        <f t="shared" si="65"/>
        <v>(13 downto 8)</v>
      </c>
      <c r="AF280" s="2" t="str">
        <f t="shared" si="66"/>
        <v>(7 downto 0)</v>
      </c>
      <c r="AG280" s="2" t="str">
        <f t="shared" si="67"/>
        <v/>
      </c>
      <c r="AH280" s="2" t="str">
        <f t="shared" si="68"/>
        <v/>
      </c>
    </row>
    <row r="281" spans="2:34" x14ac:dyDescent="0.25">
      <c r="B281" s="2" t="s">
        <v>556</v>
      </c>
      <c r="D281" s="2" t="s">
        <v>1</v>
      </c>
      <c r="E281" s="2" t="s">
        <v>134</v>
      </c>
      <c r="F281" s="2" t="s">
        <v>822</v>
      </c>
      <c r="G281" s="2" t="s">
        <v>823</v>
      </c>
      <c r="H281" s="2" t="s">
        <v>838</v>
      </c>
      <c r="I281" s="2" t="s">
        <v>42</v>
      </c>
      <c r="J281" s="2">
        <v>1</v>
      </c>
      <c r="K281" s="2" t="s">
        <v>82</v>
      </c>
      <c r="L281" s="2" t="s">
        <v>41</v>
      </c>
      <c r="M281" s="2" t="s">
        <v>135</v>
      </c>
      <c r="N281" s="2" t="s">
        <v>560</v>
      </c>
      <c r="O281" s="2" t="s">
        <v>839</v>
      </c>
      <c r="P281" s="2" t="s">
        <v>5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948</v>
      </c>
      <c r="T281" s="2" t="str">
        <f t="shared" si="69"/>
        <v>03B4</v>
      </c>
      <c r="U281" s="2">
        <f t="shared" si="60"/>
        <v>237</v>
      </c>
      <c r="V281" s="2" t="str">
        <f t="shared" si="70"/>
        <v>0ED</v>
      </c>
      <c r="W281" s="2" t="str">
        <f t="shared" si="71"/>
        <v/>
      </c>
      <c r="X281" s="2" t="str">
        <f t="shared" si="72"/>
        <v/>
      </c>
      <c r="Y281" s="2" t="str">
        <f t="shared" si="73"/>
        <v/>
      </c>
      <c r="Z281" s="2" t="str">
        <f t="shared" si="74"/>
        <v>X</v>
      </c>
      <c r="AA281" s="2" t="str">
        <f t="shared" si="61"/>
        <v/>
      </c>
      <c r="AB281" s="2" t="str">
        <f t="shared" si="62"/>
        <v/>
      </c>
      <c r="AC281" s="2" t="str">
        <f t="shared" si="63"/>
        <v/>
      </c>
      <c r="AD281" s="2" t="str">
        <f t="shared" si="64"/>
        <v>(0)</v>
      </c>
      <c r="AE281" s="2" t="str">
        <f t="shared" si="65"/>
        <v/>
      </c>
      <c r="AF281" s="2" t="str">
        <f t="shared" si="66"/>
        <v/>
      </c>
      <c r="AG281" s="2" t="str">
        <f t="shared" si="67"/>
        <v/>
      </c>
      <c r="AH281" s="2" t="str">
        <f t="shared" si="68"/>
        <v/>
      </c>
    </row>
    <row r="282" spans="2:34" x14ac:dyDescent="0.25">
      <c r="B282" s="2" t="s">
        <v>556</v>
      </c>
      <c r="D282" s="2" t="s">
        <v>1</v>
      </c>
      <c r="E282" s="2" t="s">
        <v>134</v>
      </c>
      <c r="F282" s="2" t="s">
        <v>822</v>
      </c>
      <c r="G282" s="2" t="s">
        <v>823</v>
      </c>
      <c r="H282" s="2" t="s">
        <v>840</v>
      </c>
      <c r="I282" s="2" t="s">
        <v>42</v>
      </c>
      <c r="J282" s="2">
        <v>1</v>
      </c>
      <c r="K282" s="2" t="s">
        <v>82</v>
      </c>
      <c r="L282" s="2" t="s">
        <v>41</v>
      </c>
      <c r="M282" s="2" t="s">
        <v>135</v>
      </c>
      <c r="N282" s="2" t="s">
        <v>560</v>
      </c>
      <c r="O282" s="2" t="s">
        <v>841</v>
      </c>
      <c r="P282" s="2" t="s">
        <v>5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952</v>
      </c>
      <c r="T282" s="2" t="str">
        <f t="shared" si="69"/>
        <v>03B8</v>
      </c>
      <c r="U282" s="2">
        <f t="shared" si="60"/>
        <v>238</v>
      </c>
      <c r="V282" s="2" t="str">
        <f t="shared" si="70"/>
        <v>0EE</v>
      </c>
      <c r="W282" s="2" t="str">
        <f t="shared" si="71"/>
        <v/>
      </c>
      <c r="X282" s="2" t="str">
        <f t="shared" si="72"/>
        <v/>
      </c>
      <c r="Y282" s="2" t="str">
        <f t="shared" si="73"/>
        <v/>
      </c>
      <c r="Z282" s="2" t="str">
        <f t="shared" si="74"/>
        <v>X</v>
      </c>
      <c r="AA282" s="2" t="str">
        <f t="shared" si="61"/>
        <v/>
      </c>
      <c r="AB282" s="2" t="str">
        <f t="shared" si="62"/>
        <v/>
      </c>
      <c r="AC282" s="2" t="str">
        <f t="shared" si="63"/>
        <v/>
      </c>
      <c r="AD282" s="2" t="str">
        <f t="shared" si="64"/>
        <v>(0)</v>
      </c>
      <c r="AE282" s="2" t="str">
        <f t="shared" si="65"/>
        <v/>
      </c>
      <c r="AF282" s="2" t="str">
        <f t="shared" si="66"/>
        <v/>
      </c>
      <c r="AG282" s="2" t="str">
        <f t="shared" si="67"/>
        <v/>
      </c>
      <c r="AH282" s="2" t="str">
        <f t="shared" si="68"/>
        <v/>
      </c>
    </row>
    <row r="283" spans="2:34" x14ac:dyDescent="0.25">
      <c r="B283" s="2" t="s">
        <v>556</v>
      </c>
      <c r="D283" s="2" t="s">
        <v>1</v>
      </c>
      <c r="E283" s="2" t="s">
        <v>134</v>
      </c>
      <c r="F283" s="2" t="s">
        <v>822</v>
      </c>
      <c r="G283" s="2" t="s">
        <v>823</v>
      </c>
      <c r="H283" s="2" t="s">
        <v>842</v>
      </c>
      <c r="I283" s="2" t="s">
        <v>42</v>
      </c>
      <c r="J283" s="2">
        <v>14</v>
      </c>
      <c r="K283" s="2" t="s">
        <v>137</v>
      </c>
      <c r="L283" s="2" t="s">
        <v>41</v>
      </c>
      <c r="M283" s="2" t="s">
        <v>135</v>
      </c>
      <c r="N283" s="2" t="s">
        <v>560</v>
      </c>
      <c r="O283" s="2" t="s">
        <v>843</v>
      </c>
      <c r="P283" s="2" t="s">
        <v>50</v>
      </c>
      <c r="Q283" s="2">
        <f>INDEX(Tables!$C$4:$C$28,MATCH($P283,Tables!$B$4:$B$28,0))</f>
        <v>16</v>
      </c>
      <c r="R283" s="2">
        <f>INDEX(Tables!$D$4:$D$28,MATCH($P283,Tables!$B$4:$B$28,0))</f>
        <v>2</v>
      </c>
      <c r="S283" s="2">
        <f>$S282+$R282+INDEX(Tables!$N$5:$Q$8,MATCH(MOD($S282+$R282,4),Tables!$M$5:$M$8,0),MATCH($R283,Tables!$N$4:$Q$4,0))</f>
        <v>956</v>
      </c>
      <c r="T283" s="2" t="str">
        <f t="shared" si="69"/>
        <v>03BC</v>
      </c>
      <c r="U283" s="2">
        <f t="shared" si="60"/>
        <v>239</v>
      </c>
      <c r="V283" s="2" t="str">
        <f t="shared" si="70"/>
        <v>0EF</v>
      </c>
      <c r="W283" s="2" t="str">
        <f t="shared" si="71"/>
        <v/>
      </c>
      <c r="X283" s="2" t="str">
        <f t="shared" si="72"/>
        <v/>
      </c>
      <c r="Y283" s="2" t="str">
        <f t="shared" si="73"/>
        <v>X</v>
      </c>
      <c r="Z283" s="2" t="str">
        <f t="shared" si="74"/>
        <v>X</v>
      </c>
      <c r="AA283" s="2" t="str">
        <f t="shared" si="61"/>
        <v/>
      </c>
      <c r="AB283" s="2" t="str">
        <f t="shared" si="62"/>
        <v/>
      </c>
      <c r="AC283" s="2" t="str">
        <f t="shared" si="63"/>
        <v>(13 downto 8)</v>
      </c>
      <c r="AD283" s="2" t="str">
        <f t="shared" si="64"/>
        <v>(7 downto 0)</v>
      </c>
      <c r="AE283" s="2" t="str">
        <f t="shared" si="65"/>
        <v/>
      </c>
      <c r="AF283" s="2" t="str">
        <f t="shared" si="66"/>
        <v/>
      </c>
      <c r="AG283" s="2" t="str">
        <f t="shared" si="67"/>
        <v>(13 downto 8)</v>
      </c>
      <c r="AH283" s="2" t="str">
        <f t="shared" si="68"/>
        <v>(7 downto 0)</v>
      </c>
    </row>
    <row r="284" spans="2:34" x14ac:dyDescent="0.25">
      <c r="B284" s="2" t="s">
        <v>556</v>
      </c>
      <c r="D284" s="2" t="s">
        <v>1</v>
      </c>
      <c r="E284" s="2" t="s">
        <v>134</v>
      </c>
      <c r="F284" s="2" t="s">
        <v>822</v>
      </c>
      <c r="G284" s="2" t="s">
        <v>823</v>
      </c>
      <c r="H284" s="2" t="s">
        <v>844</v>
      </c>
      <c r="I284" s="2" t="s">
        <v>42</v>
      </c>
      <c r="J284" s="2">
        <v>1</v>
      </c>
      <c r="K284" s="2" t="s">
        <v>82</v>
      </c>
      <c r="L284" s="2" t="s">
        <v>41</v>
      </c>
      <c r="M284" s="2" t="s">
        <v>135</v>
      </c>
      <c r="N284" s="2" t="s">
        <v>560</v>
      </c>
      <c r="O284" s="2" t="s">
        <v>845</v>
      </c>
      <c r="P284" s="2" t="s">
        <v>5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960</v>
      </c>
      <c r="T284" s="2" t="str">
        <f t="shared" si="69"/>
        <v>03C0</v>
      </c>
      <c r="U284" s="2">
        <f t="shared" si="60"/>
        <v>240</v>
      </c>
      <c r="V284" s="2" t="str">
        <f t="shared" si="70"/>
        <v>0F0</v>
      </c>
      <c r="W284" s="2" t="str">
        <f t="shared" si="71"/>
        <v/>
      </c>
      <c r="X284" s="2" t="str">
        <f t="shared" si="72"/>
        <v/>
      </c>
      <c r="Y284" s="2" t="str">
        <f t="shared" si="73"/>
        <v/>
      </c>
      <c r="Z284" s="2" t="str">
        <f t="shared" si="74"/>
        <v>X</v>
      </c>
      <c r="AA284" s="2" t="str">
        <f t="shared" si="61"/>
        <v/>
      </c>
      <c r="AB284" s="2" t="str">
        <f t="shared" si="62"/>
        <v/>
      </c>
      <c r="AC284" s="2" t="str">
        <f t="shared" si="63"/>
        <v/>
      </c>
      <c r="AD284" s="2" t="str">
        <f t="shared" si="64"/>
        <v>(0)</v>
      </c>
      <c r="AE284" s="2" t="str">
        <f t="shared" si="65"/>
        <v/>
      </c>
      <c r="AF284" s="2" t="str">
        <f t="shared" si="66"/>
        <v/>
      </c>
      <c r="AG284" s="2" t="str">
        <f t="shared" si="67"/>
        <v/>
      </c>
      <c r="AH284" s="2" t="str">
        <f t="shared" si="68"/>
        <v/>
      </c>
    </row>
    <row r="285" spans="2:34" x14ac:dyDescent="0.25">
      <c r="B285" s="2" t="s">
        <v>556</v>
      </c>
      <c r="D285" s="2" t="s">
        <v>1</v>
      </c>
      <c r="E285" s="2" t="s">
        <v>134</v>
      </c>
      <c r="F285" s="2" t="s">
        <v>822</v>
      </c>
      <c r="G285" s="2" t="s">
        <v>823</v>
      </c>
      <c r="H285" s="2" t="s">
        <v>846</v>
      </c>
      <c r="I285" s="2" t="s">
        <v>42</v>
      </c>
      <c r="J285" s="2">
        <v>1</v>
      </c>
      <c r="K285" s="2" t="s">
        <v>82</v>
      </c>
      <c r="L285" s="2" t="s">
        <v>41</v>
      </c>
      <c r="M285" s="2" t="s">
        <v>135</v>
      </c>
      <c r="N285" s="2" t="s">
        <v>560</v>
      </c>
      <c r="O285" s="2" t="s">
        <v>847</v>
      </c>
      <c r="P285" s="2" t="s">
        <v>5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964</v>
      </c>
      <c r="T285" s="2" t="str">
        <f t="shared" si="69"/>
        <v>03C4</v>
      </c>
      <c r="U285" s="2">
        <f t="shared" si="60"/>
        <v>241</v>
      </c>
      <c r="V285" s="2" t="str">
        <f t="shared" si="70"/>
        <v>0F1</v>
      </c>
      <c r="W285" s="2" t="str">
        <f t="shared" si="71"/>
        <v/>
      </c>
      <c r="X285" s="2" t="str">
        <f t="shared" si="72"/>
        <v/>
      </c>
      <c r="Y285" s="2" t="str">
        <f t="shared" si="73"/>
        <v/>
      </c>
      <c r="Z285" s="2" t="str">
        <f t="shared" si="74"/>
        <v>X</v>
      </c>
      <c r="AA285" s="2" t="str">
        <f t="shared" si="61"/>
        <v/>
      </c>
      <c r="AB285" s="2" t="str">
        <f t="shared" si="62"/>
        <v/>
      </c>
      <c r="AC285" s="2" t="str">
        <f t="shared" si="63"/>
        <v/>
      </c>
      <c r="AD285" s="2" t="str">
        <f t="shared" si="64"/>
        <v>(0)</v>
      </c>
      <c r="AE285" s="2" t="str">
        <f t="shared" si="65"/>
        <v/>
      </c>
      <c r="AF285" s="2" t="str">
        <f t="shared" si="66"/>
        <v/>
      </c>
      <c r="AG285" s="2" t="str">
        <f t="shared" si="67"/>
        <v/>
      </c>
      <c r="AH285" s="2" t="str">
        <f t="shared" si="68"/>
        <v/>
      </c>
    </row>
    <row r="286" spans="2:34" x14ac:dyDescent="0.25">
      <c r="B286" s="2" t="s">
        <v>556</v>
      </c>
      <c r="D286" s="2" t="s">
        <v>1</v>
      </c>
      <c r="E286" s="2" t="s">
        <v>134</v>
      </c>
      <c r="F286" s="2" t="s">
        <v>822</v>
      </c>
      <c r="G286" s="2" t="s">
        <v>823</v>
      </c>
      <c r="H286" s="2" t="s">
        <v>848</v>
      </c>
      <c r="I286" s="2" t="s">
        <v>42</v>
      </c>
      <c r="J286" s="2">
        <v>14</v>
      </c>
      <c r="K286" s="2" t="s">
        <v>137</v>
      </c>
      <c r="L286" s="2" t="s">
        <v>41</v>
      </c>
      <c r="M286" s="2" t="s">
        <v>135</v>
      </c>
      <c r="N286" s="2" t="s">
        <v>560</v>
      </c>
      <c r="O286" s="2" t="s">
        <v>849</v>
      </c>
      <c r="P286" s="2" t="s">
        <v>50</v>
      </c>
      <c r="Q286" s="2">
        <f>INDEX(Tables!$C$4:$C$28,MATCH($P286,Tables!$B$4:$B$28,0))</f>
        <v>16</v>
      </c>
      <c r="R286" s="2">
        <f>INDEX(Tables!$D$4:$D$28,MATCH($P286,Tables!$B$4:$B$28,0))</f>
        <v>2</v>
      </c>
      <c r="S286" s="2">
        <f>$S285+$R285+INDEX(Tables!$N$5:$Q$8,MATCH(MOD($S285+$R285,4),Tables!$M$5:$M$8,0),MATCH($R286,Tables!$N$4:$Q$4,0))</f>
        <v>968</v>
      </c>
      <c r="T286" s="2" t="str">
        <f t="shared" si="69"/>
        <v>03C8</v>
      </c>
      <c r="U286" s="2">
        <f t="shared" si="60"/>
        <v>242</v>
      </c>
      <c r="V286" s="2" t="str">
        <f t="shared" si="70"/>
        <v>0F2</v>
      </c>
      <c r="W286" s="2" t="str">
        <f t="shared" si="71"/>
        <v/>
      </c>
      <c r="X286" s="2" t="str">
        <f t="shared" si="72"/>
        <v/>
      </c>
      <c r="Y286" s="2" t="str">
        <f t="shared" si="73"/>
        <v>X</v>
      </c>
      <c r="Z286" s="2" t="str">
        <f t="shared" si="74"/>
        <v>X</v>
      </c>
      <c r="AA286" s="2" t="str">
        <f t="shared" si="61"/>
        <v/>
      </c>
      <c r="AB286" s="2" t="str">
        <f t="shared" si="62"/>
        <v/>
      </c>
      <c r="AC286" s="2" t="str">
        <f t="shared" si="63"/>
        <v>(13 downto 8)</v>
      </c>
      <c r="AD286" s="2" t="str">
        <f t="shared" si="64"/>
        <v>(7 downto 0)</v>
      </c>
      <c r="AE286" s="2" t="str">
        <f t="shared" si="65"/>
        <v/>
      </c>
      <c r="AF286" s="2" t="str">
        <f t="shared" si="66"/>
        <v/>
      </c>
      <c r="AG286" s="2" t="str">
        <f t="shared" si="67"/>
        <v>(13 downto 8)</v>
      </c>
      <c r="AH286" s="2" t="str">
        <f t="shared" si="68"/>
        <v>(7 downto 0)</v>
      </c>
    </row>
    <row r="287" spans="2:34" x14ac:dyDescent="0.25">
      <c r="B287" s="2" t="s">
        <v>556</v>
      </c>
      <c r="D287" s="2" t="s">
        <v>1</v>
      </c>
      <c r="E287" s="2" t="s">
        <v>134</v>
      </c>
      <c r="F287" s="2" t="s">
        <v>822</v>
      </c>
      <c r="G287" s="2" t="s">
        <v>823</v>
      </c>
      <c r="H287" s="2" t="s">
        <v>850</v>
      </c>
      <c r="I287" s="2" t="s">
        <v>42</v>
      </c>
      <c r="J287" s="2">
        <v>1</v>
      </c>
      <c r="K287" s="2" t="s">
        <v>82</v>
      </c>
      <c r="L287" s="2" t="s">
        <v>41</v>
      </c>
      <c r="M287" s="2" t="s">
        <v>135</v>
      </c>
      <c r="N287" s="2" t="s">
        <v>560</v>
      </c>
      <c r="O287" s="2" t="s">
        <v>851</v>
      </c>
      <c r="P287" s="2" t="s">
        <v>5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972</v>
      </c>
      <c r="T287" s="2" t="str">
        <f t="shared" si="69"/>
        <v>03CC</v>
      </c>
      <c r="U287" s="2">
        <f t="shared" si="60"/>
        <v>243</v>
      </c>
      <c r="V287" s="2" t="str">
        <f t="shared" si="70"/>
        <v>0F3</v>
      </c>
      <c r="W287" s="2" t="str">
        <f t="shared" si="71"/>
        <v/>
      </c>
      <c r="X287" s="2" t="str">
        <f t="shared" si="72"/>
        <v/>
      </c>
      <c r="Y287" s="2" t="str">
        <f t="shared" si="73"/>
        <v/>
      </c>
      <c r="Z287" s="2" t="str">
        <f t="shared" si="74"/>
        <v>X</v>
      </c>
      <c r="AA287" s="2" t="str">
        <f t="shared" si="61"/>
        <v/>
      </c>
      <c r="AB287" s="2" t="str">
        <f t="shared" si="62"/>
        <v/>
      </c>
      <c r="AC287" s="2" t="str">
        <f t="shared" si="63"/>
        <v/>
      </c>
      <c r="AD287" s="2" t="str">
        <f t="shared" si="64"/>
        <v>(0)</v>
      </c>
      <c r="AE287" s="2" t="str">
        <f t="shared" si="65"/>
        <v/>
      </c>
      <c r="AF287" s="2" t="str">
        <f t="shared" si="66"/>
        <v/>
      </c>
      <c r="AG287" s="2" t="str">
        <f t="shared" si="67"/>
        <v/>
      </c>
      <c r="AH287" s="2" t="str">
        <f t="shared" si="68"/>
        <v/>
      </c>
    </row>
    <row r="288" spans="2:34" x14ac:dyDescent="0.25">
      <c r="B288" s="2" t="s">
        <v>556</v>
      </c>
      <c r="D288" s="2" t="s">
        <v>1</v>
      </c>
      <c r="E288" s="2" t="s">
        <v>134</v>
      </c>
      <c r="F288" s="2" t="s">
        <v>822</v>
      </c>
      <c r="G288" s="2" t="s">
        <v>823</v>
      </c>
      <c r="H288" s="2" t="s">
        <v>852</v>
      </c>
      <c r="I288" s="2" t="s">
        <v>42</v>
      </c>
      <c r="J288" s="2">
        <v>1</v>
      </c>
      <c r="K288" s="2" t="s">
        <v>82</v>
      </c>
      <c r="L288" s="2" t="s">
        <v>41</v>
      </c>
      <c r="M288" s="2" t="s">
        <v>135</v>
      </c>
      <c r="N288" s="2" t="s">
        <v>560</v>
      </c>
      <c r="O288" s="2" t="s">
        <v>853</v>
      </c>
      <c r="P288" s="2" t="s">
        <v>5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976</v>
      </c>
      <c r="T288" s="2" t="str">
        <f t="shared" si="69"/>
        <v>03D0</v>
      </c>
      <c r="U288" s="2">
        <f t="shared" si="60"/>
        <v>244</v>
      </c>
      <c r="V288" s="2" t="str">
        <f t="shared" si="70"/>
        <v>0F4</v>
      </c>
      <c r="W288" s="2" t="str">
        <f t="shared" si="71"/>
        <v/>
      </c>
      <c r="X288" s="2" t="str">
        <f t="shared" si="72"/>
        <v/>
      </c>
      <c r="Y288" s="2" t="str">
        <f t="shared" si="73"/>
        <v/>
      </c>
      <c r="Z288" s="2" t="str">
        <f t="shared" si="74"/>
        <v>X</v>
      </c>
      <c r="AA288" s="2" t="str">
        <f t="shared" si="61"/>
        <v/>
      </c>
      <c r="AB288" s="2" t="str">
        <f t="shared" si="62"/>
        <v/>
      </c>
      <c r="AC288" s="2" t="str">
        <f t="shared" si="63"/>
        <v/>
      </c>
      <c r="AD288" s="2" t="str">
        <f t="shared" si="64"/>
        <v>(0)</v>
      </c>
      <c r="AE288" s="2" t="str">
        <f t="shared" si="65"/>
        <v/>
      </c>
      <c r="AF288" s="2" t="str">
        <f t="shared" si="66"/>
        <v/>
      </c>
      <c r="AG288" s="2" t="str">
        <f t="shared" si="67"/>
        <v/>
      </c>
      <c r="AH288" s="2" t="str">
        <f t="shared" si="68"/>
        <v/>
      </c>
    </row>
    <row r="289" spans="2:34" x14ac:dyDescent="0.25">
      <c r="B289" s="2" t="s">
        <v>556</v>
      </c>
      <c r="D289" s="2" t="s">
        <v>1</v>
      </c>
      <c r="E289" s="2" t="s">
        <v>134</v>
      </c>
      <c r="F289" s="2" t="s">
        <v>822</v>
      </c>
      <c r="G289" s="2" t="s">
        <v>823</v>
      </c>
      <c r="H289" s="2" t="s">
        <v>854</v>
      </c>
      <c r="I289" s="2" t="s">
        <v>42</v>
      </c>
      <c r="J289" s="2">
        <v>14</v>
      </c>
      <c r="K289" s="2" t="s">
        <v>137</v>
      </c>
      <c r="L289" s="2" t="s">
        <v>41</v>
      </c>
      <c r="M289" s="2" t="s">
        <v>135</v>
      </c>
      <c r="N289" s="2" t="s">
        <v>560</v>
      </c>
      <c r="O289" s="2" t="s">
        <v>855</v>
      </c>
      <c r="P289" s="2" t="s">
        <v>50</v>
      </c>
      <c r="Q289" s="2">
        <f>INDEX(Tables!$C$4:$C$28,MATCH($P289,Tables!$B$4:$B$28,0))</f>
        <v>16</v>
      </c>
      <c r="R289" s="2">
        <f>INDEX(Tables!$D$4:$D$28,MATCH($P289,Tables!$B$4:$B$28,0))</f>
        <v>2</v>
      </c>
      <c r="S289" s="2">
        <f>$S288+$R288+INDEX(Tables!$N$5:$Q$8,MATCH(MOD($S288+$R288,4),Tables!$M$5:$M$8,0),MATCH($R289,Tables!$N$4:$Q$4,0))</f>
        <v>980</v>
      </c>
      <c r="T289" s="2" t="str">
        <f t="shared" si="69"/>
        <v>03D4</v>
      </c>
      <c r="U289" s="2">
        <f t="shared" si="60"/>
        <v>245</v>
      </c>
      <c r="V289" s="2" t="str">
        <f t="shared" si="70"/>
        <v>0F5</v>
      </c>
      <c r="W289" s="2" t="str">
        <f t="shared" si="71"/>
        <v/>
      </c>
      <c r="X289" s="2" t="str">
        <f t="shared" si="72"/>
        <v/>
      </c>
      <c r="Y289" s="2" t="str">
        <f t="shared" si="73"/>
        <v>X</v>
      </c>
      <c r="Z289" s="2" t="str">
        <f t="shared" si="74"/>
        <v>X</v>
      </c>
      <c r="AA289" s="2" t="str">
        <f t="shared" si="61"/>
        <v/>
      </c>
      <c r="AB289" s="2" t="str">
        <f t="shared" si="62"/>
        <v/>
      </c>
      <c r="AC289" s="2" t="str">
        <f t="shared" si="63"/>
        <v>(13 downto 8)</v>
      </c>
      <c r="AD289" s="2" t="str">
        <f t="shared" si="64"/>
        <v>(7 downto 0)</v>
      </c>
      <c r="AE289" s="2" t="str">
        <f t="shared" si="65"/>
        <v/>
      </c>
      <c r="AF289" s="2" t="str">
        <f t="shared" si="66"/>
        <v/>
      </c>
      <c r="AG289" s="2" t="str">
        <f t="shared" si="67"/>
        <v>(13 downto 8)</v>
      </c>
      <c r="AH289" s="2" t="str">
        <f t="shared" si="68"/>
        <v>(7 downto 0)</v>
      </c>
    </row>
    <row r="290" spans="2:34" x14ac:dyDescent="0.25">
      <c r="B290" s="2" t="s">
        <v>556</v>
      </c>
      <c r="D290" s="2" t="s">
        <v>1</v>
      </c>
      <c r="E290" s="2" t="s">
        <v>134</v>
      </c>
      <c r="F290" s="2" t="s">
        <v>822</v>
      </c>
      <c r="G290" s="2" t="s">
        <v>823</v>
      </c>
      <c r="H290" s="2" t="s">
        <v>856</v>
      </c>
      <c r="I290" s="2" t="s">
        <v>42</v>
      </c>
      <c r="J290" s="2">
        <v>1</v>
      </c>
      <c r="K290" s="2" t="s">
        <v>82</v>
      </c>
      <c r="L290" s="2" t="s">
        <v>41</v>
      </c>
      <c r="M290" s="2" t="s">
        <v>135</v>
      </c>
      <c r="N290" s="2" t="s">
        <v>560</v>
      </c>
      <c r="O290" s="2" t="s">
        <v>857</v>
      </c>
      <c r="P290" s="2" t="s">
        <v>5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984</v>
      </c>
      <c r="T290" s="2" t="str">
        <f t="shared" si="69"/>
        <v>03D8</v>
      </c>
      <c r="U290" s="2">
        <f t="shared" si="60"/>
        <v>246</v>
      </c>
      <c r="V290" s="2" t="str">
        <f t="shared" si="70"/>
        <v>0F6</v>
      </c>
      <c r="W290" s="2" t="str">
        <f t="shared" si="71"/>
        <v/>
      </c>
      <c r="X290" s="2" t="str">
        <f t="shared" si="72"/>
        <v/>
      </c>
      <c r="Y290" s="2" t="str">
        <f t="shared" si="73"/>
        <v/>
      </c>
      <c r="Z290" s="2" t="str">
        <f t="shared" si="74"/>
        <v>X</v>
      </c>
      <c r="AA290" s="2" t="str">
        <f t="shared" si="61"/>
        <v/>
      </c>
      <c r="AB290" s="2" t="str">
        <f t="shared" si="62"/>
        <v/>
      </c>
      <c r="AC290" s="2" t="str">
        <f t="shared" si="63"/>
        <v/>
      </c>
      <c r="AD290" s="2" t="str">
        <f t="shared" si="64"/>
        <v>(0)</v>
      </c>
      <c r="AE290" s="2" t="str">
        <f t="shared" si="65"/>
        <v/>
      </c>
      <c r="AF290" s="2" t="str">
        <f t="shared" si="66"/>
        <v/>
      </c>
      <c r="AG290" s="2" t="str">
        <f t="shared" si="67"/>
        <v/>
      </c>
      <c r="AH290" s="2" t="str">
        <f t="shared" si="68"/>
        <v/>
      </c>
    </row>
    <row r="291" spans="2:34" x14ac:dyDescent="0.25">
      <c r="B291" s="2" t="s">
        <v>556</v>
      </c>
      <c r="D291" s="2" t="s">
        <v>1</v>
      </c>
      <c r="E291" s="2" t="s">
        <v>134</v>
      </c>
      <c r="F291" s="2" t="s">
        <v>822</v>
      </c>
      <c r="G291" s="2" t="s">
        <v>823</v>
      </c>
      <c r="H291" s="2" t="s">
        <v>858</v>
      </c>
      <c r="I291" s="2" t="s">
        <v>42</v>
      </c>
      <c r="J291" s="2">
        <v>1</v>
      </c>
      <c r="K291" s="2" t="s">
        <v>82</v>
      </c>
      <c r="L291" s="2" t="s">
        <v>41</v>
      </c>
      <c r="M291" s="2" t="s">
        <v>135</v>
      </c>
      <c r="N291" s="2" t="s">
        <v>560</v>
      </c>
      <c r="O291" s="2" t="s">
        <v>859</v>
      </c>
      <c r="P291" s="2" t="s">
        <v>5</v>
      </c>
      <c r="Q291" s="2">
        <f>INDEX(Tables!$C$4:$C$28,MATCH($P291,Tables!$B$4:$B$28,0))</f>
        <v>32</v>
      </c>
      <c r="R291" s="2">
        <f>INDEX(Tables!$D$4:$D$28,MATCH($P291,Tables!$B$4:$B$28,0))</f>
        <v>4</v>
      </c>
      <c r="S291" s="2">
        <f>$S290+$R290+INDEX(Tables!$N$5:$Q$8,MATCH(MOD($S290+$R290,4),Tables!$M$5:$M$8,0),MATCH($R291,Tables!$N$4:$Q$4,0))</f>
        <v>988</v>
      </c>
      <c r="T291" s="2" t="str">
        <f t="shared" si="69"/>
        <v>03DC</v>
      </c>
      <c r="U291" s="2">
        <f t="shared" si="60"/>
        <v>247</v>
      </c>
      <c r="V291" s="2" t="str">
        <f t="shared" si="70"/>
        <v>0F7</v>
      </c>
      <c r="W291" s="2" t="str">
        <f t="shared" si="71"/>
        <v/>
      </c>
      <c r="X291" s="2" t="str">
        <f t="shared" si="72"/>
        <v/>
      </c>
      <c r="Y291" s="2" t="str">
        <f t="shared" si="73"/>
        <v/>
      </c>
      <c r="Z291" s="2" t="str">
        <f t="shared" si="74"/>
        <v>X</v>
      </c>
      <c r="AA291" s="2" t="str">
        <f t="shared" si="61"/>
        <v/>
      </c>
      <c r="AB291" s="2" t="str">
        <f t="shared" si="62"/>
        <v/>
      </c>
      <c r="AC291" s="2" t="str">
        <f t="shared" si="63"/>
        <v/>
      </c>
      <c r="AD291" s="2" t="str">
        <f t="shared" si="64"/>
        <v>(0)</v>
      </c>
      <c r="AE291" s="2" t="str">
        <f t="shared" si="65"/>
        <v/>
      </c>
      <c r="AF291" s="2" t="str">
        <f t="shared" si="66"/>
        <v/>
      </c>
      <c r="AG291" s="2" t="str">
        <f t="shared" si="67"/>
        <v/>
      </c>
      <c r="AH291" s="2" t="str">
        <f t="shared" si="68"/>
        <v/>
      </c>
    </row>
    <row r="292" spans="2:34" x14ac:dyDescent="0.25">
      <c r="B292" s="2" t="s">
        <v>556</v>
      </c>
      <c r="D292" s="2" t="s">
        <v>1</v>
      </c>
      <c r="E292" s="2" t="s">
        <v>134</v>
      </c>
      <c r="F292" s="2" t="s">
        <v>822</v>
      </c>
      <c r="G292" s="2" t="s">
        <v>823</v>
      </c>
      <c r="H292" s="2" t="s">
        <v>860</v>
      </c>
      <c r="I292" s="2" t="s">
        <v>42</v>
      </c>
      <c r="J292" s="2">
        <v>14</v>
      </c>
      <c r="K292" s="2" t="s">
        <v>137</v>
      </c>
      <c r="L292" s="2" t="s">
        <v>41</v>
      </c>
      <c r="M292" s="2" t="s">
        <v>135</v>
      </c>
      <c r="N292" s="2" t="s">
        <v>560</v>
      </c>
      <c r="O292" s="2" t="s">
        <v>861</v>
      </c>
      <c r="P292" s="2" t="s">
        <v>50</v>
      </c>
      <c r="Q292" s="2">
        <f>INDEX(Tables!$C$4:$C$28,MATCH($P292,Tables!$B$4:$B$28,0))</f>
        <v>16</v>
      </c>
      <c r="R292" s="2">
        <f>INDEX(Tables!$D$4:$D$28,MATCH($P292,Tables!$B$4:$B$28,0))</f>
        <v>2</v>
      </c>
      <c r="S292" s="2">
        <f>$S291+$R291+INDEX(Tables!$N$5:$Q$8,MATCH(MOD($S291+$R291,4),Tables!$M$5:$M$8,0),MATCH($R292,Tables!$N$4:$Q$4,0))</f>
        <v>992</v>
      </c>
      <c r="T292" s="2" t="str">
        <f t="shared" si="69"/>
        <v>03E0</v>
      </c>
      <c r="U292" s="2">
        <f t="shared" si="60"/>
        <v>248</v>
      </c>
      <c r="V292" s="2" t="str">
        <f t="shared" si="70"/>
        <v>0F8</v>
      </c>
      <c r="W292" s="2" t="str">
        <f t="shared" si="71"/>
        <v/>
      </c>
      <c r="X292" s="2" t="str">
        <f t="shared" si="72"/>
        <v/>
      </c>
      <c r="Y292" s="2" t="str">
        <f t="shared" si="73"/>
        <v>X</v>
      </c>
      <c r="Z292" s="2" t="str">
        <f t="shared" si="74"/>
        <v>X</v>
      </c>
      <c r="AA292" s="2" t="str">
        <f t="shared" si="61"/>
        <v/>
      </c>
      <c r="AB292" s="2" t="str">
        <f t="shared" si="62"/>
        <v/>
      </c>
      <c r="AC292" s="2" t="str">
        <f t="shared" si="63"/>
        <v>(13 downto 8)</v>
      </c>
      <c r="AD292" s="2" t="str">
        <f t="shared" si="64"/>
        <v>(7 downto 0)</v>
      </c>
      <c r="AE292" s="2" t="str">
        <f t="shared" si="65"/>
        <v/>
      </c>
      <c r="AF292" s="2" t="str">
        <f t="shared" si="66"/>
        <v/>
      </c>
      <c r="AG292" s="2" t="str">
        <f t="shared" si="67"/>
        <v>(13 downto 8)</v>
      </c>
      <c r="AH292" s="2" t="str">
        <f t="shared" si="68"/>
        <v>(7 downto 0)</v>
      </c>
    </row>
    <row r="293" spans="2:34" x14ac:dyDescent="0.25">
      <c r="B293" s="2" t="s">
        <v>556</v>
      </c>
      <c r="D293" s="2" t="s">
        <v>1</v>
      </c>
      <c r="E293" s="2" t="s">
        <v>134</v>
      </c>
      <c r="F293" s="2" t="s">
        <v>822</v>
      </c>
      <c r="G293" s="2" t="s">
        <v>823</v>
      </c>
      <c r="H293" s="2" t="s">
        <v>862</v>
      </c>
      <c r="I293" s="2" t="s">
        <v>42</v>
      </c>
      <c r="J293" s="2">
        <v>14</v>
      </c>
      <c r="K293" s="2" t="s">
        <v>137</v>
      </c>
      <c r="L293" s="2" t="s">
        <v>41</v>
      </c>
      <c r="M293" s="2" t="s">
        <v>135</v>
      </c>
      <c r="N293" s="2" t="s">
        <v>560</v>
      </c>
      <c r="O293" s="2" t="s">
        <v>863</v>
      </c>
      <c r="P293" s="2" t="s">
        <v>50</v>
      </c>
      <c r="Q293" s="2">
        <f>INDEX(Tables!$C$4:$C$28,MATCH($P293,Tables!$B$4:$B$28,0))</f>
        <v>16</v>
      </c>
      <c r="R293" s="2">
        <f>INDEX(Tables!$D$4:$D$28,MATCH($P293,Tables!$B$4:$B$28,0))</f>
        <v>2</v>
      </c>
      <c r="S293" s="2">
        <f>$S292+$R292+INDEX(Tables!$N$5:$Q$8,MATCH(MOD($S292+$R292,4),Tables!$M$5:$M$8,0),MATCH($R293,Tables!$N$4:$Q$4,0))</f>
        <v>994</v>
      </c>
      <c r="T293" s="2" t="str">
        <f t="shared" si="69"/>
        <v>03E2</v>
      </c>
      <c r="U293" s="2">
        <f t="shared" si="60"/>
        <v>248</v>
      </c>
      <c r="V293" s="2" t="str">
        <f t="shared" si="70"/>
        <v>0F8</v>
      </c>
      <c r="W293" s="2" t="str">
        <f t="shared" si="71"/>
        <v>X</v>
      </c>
      <c r="X293" s="2" t="str">
        <f t="shared" si="72"/>
        <v>X</v>
      </c>
      <c r="Y293" s="2" t="str">
        <f t="shared" si="73"/>
        <v/>
      </c>
      <c r="Z293" s="2" t="str">
        <f t="shared" si="74"/>
        <v/>
      </c>
      <c r="AA293" s="2" t="str">
        <f t="shared" si="61"/>
        <v>(29 downto 24)</v>
      </c>
      <c r="AB293" s="2" t="str">
        <f t="shared" si="62"/>
        <v>(23 downto 16)</v>
      </c>
      <c r="AC293" s="2" t="str">
        <f t="shared" si="63"/>
        <v/>
      </c>
      <c r="AD293" s="2" t="str">
        <f t="shared" si="64"/>
        <v/>
      </c>
      <c r="AE293" s="2" t="str">
        <f t="shared" si="65"/>
        <v>(13 downto 8)</v>
      </c>
      <c r="AF293" s="2" t="str">
        <f t="shared" si="66"/>
        <v>(7 downto 0)</v>
      </c>
      <c r="AG293" s="2" t="str">
        <f t="shared" si="67"/>
        <v/>
      </c>
      <c r="AH293" s="2" t="str">
        <f t="shared" si="68"/>
        <v/>
      </c>
    </row>
    <row r="294" spans="2:34" x14ac:dyDescent="0.25">
      <c r="B294" s="2" t="s">
        <v>556</v>
      </c>
      <c r="D294" s="2" t="s">
        <v>1</v>
      </c>
      <c r="E294" s="2" t="s">
        <v>134</v>
      </c>
      <c r="F294" s="2" t="s">
        <v>822</v>
      </c>
      <c r="G294" s="2" t="s">
        <v>823</v>
      </c>
      <c r="H294" s="2" t="s">
        <v>864</v>
      </c>
      <c r="I294" s="2" t="s">
        <v>42</v>
      </c>
      <c r="J294" s="2">
        <v>1</v>
      </c>
      <c r="K294" s="2" t="s">
        <v>82</v>
      </c>
      <c r="L294" s="2" t="s">
        <v>41</v>
      </c>
      <c r="M294" s="2" t="s">
        <v>135</v>
      </c>
      <c r="N294" s="2" t="s">
        <v>560</v>
      </c>
      <c r="O294" s="2" t="s">
        <v>865</v>
      </c>
      <c r="P294" s="2" t="s">
        <v>5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996</v>
      </c>
      <c r="T294" s="2" t="str">
        <f t="shared" si="69"/>
        <v>03E4</v>
      </c>
      <c r="U294" s="2">
        <f t="shared" si="60"/>
        <v>249</v>
      </c>
      <c r="V294" s="2" t="str">
        <f t="shared" si="70"/>
        <v>0F9</v>
      </c>
      <c r="W294" s="2" t="str">
        <f t="shared" si="71"/>
        <v/>
      </c>
      <c r="X294" s="2" t="str">
        <f t="shared" si="72"/>
        <v/>
      </c>
      <c r="Y294" s="2" t="str">
        <f t="shared" si="73"/>
        <v/>
      </c>
      <c r="Z294" s="2" t="str">
        <f t="shared" si="74"/>
        <v>X</v>
      </c>
      <c r="AA294" s="2" t="str">
        <f t="shared" si="61"/>
        <v/>
      </c>
      <c r="AB294" s="2" t="str">
        <f t="shared" si="62"/>
        <v/>
      </c>
      <c r="AC294" s="2" t="str">
        <f t="shared" si="63"/>
        <v/>
      </c>
      <c r="AD294" s="2" t="str">
        <f t="shared" si="64"/>
        <v>(0)</v>
      </c>
      <c r="AE294" s="2" t="str">
        <f t="shared" si="65"/>
        <v/>
      </c>
      <c r="AF294" s="2" t="str">
        <f t="shared" si="66"/>
        <v/>
      </c>
      <c r="AG294" s="2" t="str">
        <f t="shared" si="67"/>
        <v/>
      </c>
      <c r="AH294" s="2" t="str">
        <f t="shared" si="68"/>
        <v/>
      </c>
    </row>
    <row r="295" spans="2:34" x14ac:dyDescent="0.25">
      <c r="B295" s="2" t="s">
        <v>556</v>
      </c>
      <c r="D295" s="2" t="s">
        <v>1</v>
      </c>
      <c r="E295" s="2" t="s">
        <v>134</v>
      </c>
      <c r="F295" s="2" t="s">
        <v>822</v>
      </c>
      <c r="G295" s="2" t="s">
        <v>823</v>
      </c>
      <c r="H295" s="2" t="s">
        <v>866</v>
      </c>
      <c r="I295" s="2" t="s">
        <v>42</v>
      </c>
      <c r="J295" s="2">
        <v>14</v>
      </c>
      <c r="K295" s="2" t="s">
        <v>137</v>
      </c>
      <c r="L295" s="2" t="s">
        <v>41</v>
      </c>
      <c r="M295" s="2" t="s">
        <v>135</v>
      </c>
      <c r="N295" s="2" t="s">
        <v>560</v>
      </c>
      <c r="O295" s="2" t="s">
        <v>867</v>
      </c>
      <c r="P295" s="2" t="s">
        <v>50</v>
      </c>
      <c r="Q295" s="2">
        <f>INDEX(Tables!$C$4:$C$28,MATCH($P295,Tables!$B$4:$B$28,0))</f>
        <v>16</v>
      </c>
      <c r="R295" s="2">
        <f>INDEX(Tables!$D$4:$D$28,MATCH($P295,Tables!$B$4:$B$28,0))</f>
        <v>2</v>
      </c>
      <c r="S295" s="2">
        <f>$S294+$R294+INDEX(Tables!$N$5:$Q$8,MATCH(MOD($S294+$R294,4),Tables!$M$5:$M$8,0),MATCH($R295,Tables!$N$4:$Q$4,0))</f>
        <v>1000</v>
      </c>
      <c r="T295" s="2" t="str">
        <f t="shared" si="69"/>
        <v>03E8</v>
      </c>
      <c r="U295" s="2">
        <f t="shared" si="60"/>
        <v>250</v>
      </c>
      <c r="V295" s="2" t="str">
        <f t="shared" si="70"/>
        <v>0FA</v>
      </c>
      <c r="W295" s="2" t="str">
        <f t="shared" si="71"/>
        <v/>
      </c>
      <c r="X295" s="2" t="str">
        <f t="shared" si="72"/>
        <v/>
      </c>
      <c r="Y295" s="2" t="str">
        <f t="shared" si="73"/>
        <v>X</v>
      </c>
      <c r="Z295" s="2" t="str">
        <f t="shared" si="74"/>
        <v>X</v>
      </c>
      <c r="AA295" s="2" t="str">
        <f t="shared" si="61"/>
        <v/>
      </c>
      <c r="AB295" s="2" t="str">
        <f t="shared" si="62"/>
        <v/>
      </c>
      <c r="AC295" s="2" t="str">
        <f t="shared" si="63"/>
        <v>(13 downto 8)</v>
      </c>
      <c r="AD295" s="2" t="str">
        <f t="shared" si="64"/>
        <v>(7 downto 0)</v>
      </c>
      <c r="AE295" s="2" t="str">
        <f t="shared" si="65"/>
        <v/>
      </c>
      <c r="AF295" s="2" t="str">
        <f t="shared" si="66"/>
        <v/>
      </c>
      <c r="AG295" s="2" t="str">
        <f t="shared" si="67"/>
        <v>(13 downto 8)</v>
      </c>
      <c r="AH295" s="2" t="str">
        <f t="shared" si="68"/>
        <v>(7 downto 0)</v>
      </c>
    </row>
    <row r="296" spans="2:34" x14ac:dyDescent="0.25">
      <c r="B296" s="2" t="s">
        <v>556</v>
      </c>
      <c r="D296" s="2" t="s">
        <v>1</v>
      </c>
      <c r="E296" s="2" t="s">
        <v>134</v>
      </c>
      <c r="F296" s="2" t="s">
        <v>822</v>
      </c>
      <c r="G296" s="2" t="s">
        <v>823</v>
      </c>
      <c r="H296" s="2" t="s">
        <v>868</v>
      </c>
      <c r="I296" s="2" t="s">
        <v>42</v>
      </c>
      <c r="J296" s="2">
        <v>14</v>
      </c>
      <c r="K296" s="2" t="s">
        <v>137</v>
      </c>
      <c r="L296" s="2" t="s">
        <v>41</v>
      </c>
      <c r="M296" s="2" t="s">
        <v>135</v>
      </c>
      <c r="N296" s="2" t="s">
        <v>560</v>
      </c>
      <c r="O296" s="2" t="s">
        <v>869</v>
      </c>
      <c r="P296" s="2" t="s">
        <v>50</v>
      </c>
      <c r="Q296" s="2">
        <f>INDEX(Tables!$C$4:$C$28,MATCH($P296,Tables!$B$4:$B$28,0))</f>
        <v>16</v>
      </c>
      <c r="R296" s="2">
        <f>INDEX(Tables!$D$4:$D$28,MATCH($P296,Tables!$B$4:$B$28,0))</f>
        <v>2</v>
      </c>
      <c r="S296" s="2">
        <f>$S295+$R295+INDEX(Tables!$N$5:$Q$8,MATCH(MOD($S295+$R295,4),Tables!$M$5:$M$8,0),MATCH($R296,Tables!$N$4:$Q$4,0))</f>
        <v>1002</v>
      </c>
      <c r="T296" s="2" t="str">
        <f t="shared" si="69"/>
        <v>03EA</v>
      </c>
      <c r="U296" s="2">
        <f t="shared" si="60"/>
        <v>250</v>
      </c>
      <c r="V296" s="2" t="str">
        <f t="shared" si="70"/>
        <v>0FA</v>
      </c>
      <c r="W296" s="2" t="str">
        <f t="shared" si="71"/>
        <v>X</v>
      </c>
      <c r="X296" s="2" t="str">
        <f t="shared" si="72"/>
        <v>X</v>
      </c>
      <c r="Y296" s="2" t="str">
        <f t="shared" si="73"/>
        <v/>
      </c>
      <c r="Z296" s="2" t="str">
        <f t="shared" si="74"/>
        <v/>
      </c>
      <c r="AA296" s="2" t="str">
        <f t="shared" si="61"/>
        <v>(29 downto 24)</v>
      </c>
      <c r="AB296" s="2" t="str">
        <f t="shared" si="62"/>
        <v>(23 downto 16)</v>
      </c>
      <c r="AC296" s="2" t="str">
        <f t="shared" si="63"/>
        <v/>
      </c>
      <c r="AD296" s="2" t="str">
        <f t="shared" si="64"/>
        <v/>
      </c>
      <c r="AE296" s="2" t="str">
        <f t="shared" si="65"/>
        <v>(13 downto 8)</v>
      </c>
      <c r="AF296" s="2" t="str">
        <f t="shared" si="66"/>
        <v>(7 downto 0)</v>
      </c>
      <c r="AG296" s="2" t="str">
        <f t="shared" si="67"/>
        <v/>
      </c>
      <c r="AH296" s="2" t="str">
        <f t="shared" si="68"/>
        <v/>
      </c>
    </row>
    <row r="297" spans="2:34" x14ac:dyDescent="0.25">
      <c r="B297" s="2" t="s">
        <v>556</v>
      </c>
      <c r="D297" s="2" t="s">
        <v>1</v>
      </c>
      <c r="E297" s="2" t="s">
        <v>134</v>
      </c>
      <c r="F297" s="2" t="s">
        <v>822</v>
      </c>
      <c r="G297" s="2" t="s">
        <v>823</v>
      </c>
      <c r="H297" s="2" t="s">
        <v>870</v>
      </c>
      <c r="I297" s="2" t="s">
        <v>42</v>
      </c>
      <c r="J297" s="2">
        <v>14</v>
      </c>
      <c r="K297" s="2" t="s">
        <v>137</v>
      </c>
      <c r="L297" s="2" t="s">
        <v>41</v>
      </c>
      <c r="M297" s="2" t="s">
        <v>135</v>
      </c>
      <c r="N297" s="2" t="s">
        <v>560</v>
      </c>
      <c r="O297" s="2" t="s">
        <v>871</v>
      </c>
      <c r="P297" s="2" t="s">
        <v>50</v>
      </c>
      <c r="Q297" s="2">
        <f>INDEX(Tables!$C$4:$C$28,MATCH($P297,Tables!$B$4:$B$28,0))</f>
        <v>16</v>
      </c>
      <c r="R297" s="2">
        <f>INDEX(Tables!$D$4:$D$28,MATCH($P297,Tables!$B$4:$B$28,0))</f>
        <v>2</v>
      </c>
      <c r="S297" s="2">
        <f>$S296+$R296+INDEX(Tables!$N$5:$Q$8,MATCH(MOD($S296+$R296,4),Tables!$M$5:$M$8,0),MATCH($R297,Tables!$N$4:$Q$4,0))</f>
        <v>1004</v>
      </c>
      <c r="T297" s="2" t="str">
        <f t="shared" si="69"/>
        <v>03EC</v>
      </c>
      <c r="U297" s="2">
        <f t="shared" si="60"/>
        <v>251</v>
      </c>
      <c r="V297" s="2" t="str">
        <f t="shared" si="70"/>
        <v>0FB</v>
      </c>
      <c r="W297" s="2" t="str">
        <f t="shared" si="71"/>
        <v/>
      </c>
      <c r="X297" s="2" t="str">
        <f t="shared" si="72"/>
        <v/>
      </c>
      <c r="Y297" s="2" t="str">
        <f t="shared" si="73"/>
        <v>X</v>
      </c>
      <c r="Z297" s="2" t="str">
        <f t="shared" si="74"/>
        <v>X</v>
      </c>
      <c r="AA297" s="2" t="str">
        <f t="shared" si="61"/>
        <v/>
      </c>
      <c r="AB297" s="2" t="str">
        <f t="shared" si="62"/>
        <v/>
      </c>
      <c r="AC297" s="2" t="str">
        <f t="shared" si="63"/>
        <v>(13 downto 8)</v>
      </c>
      <c r="AD297" s="2" t="str">
        <f t="shared" si="64"/>
        <v>(7 downto 0)</v>
      </c>
      <c r="AE297" s="2" t="str">
        <f t="shared" si="65"/>
        <v/>
      </c>
      <c r="AF297" s="2" t="str">
        <f t="shared" si="66"/>
        <v/>
      </c>
      <c r="AG297" s="2" t="str">
        <f t="shared" si="67"/>
        <v>(13 downto 8)</v>
      </c>
      <c r="AH297" s="2" t="str">
        <f t="shared" si="68"/>
        <v>(7 downto 0)</v>
      </c>
    </row>
    <row r="298" spans="2:34" x14ac:dyDescent="0.25">
      <c r="B298" s="2" t="s">
        <v>872</v>
      </c>
      <c r="D298" s="2" t="s">
        <v>1</v>
      </c>
      <c r="E298" s="2" t="s">
        <v>134</v>
      </c>
      <c r="F298" s="2" t="s">
        <v>873</v>
      </c>
      <c r="G298" s="2" t="s">
        <v>874</v>
      </c>
      <c r="H298" s="2" t="s">
        <v>875</v>
      </c>
      <c r="I298" s="2" t="s">
        <v>42</v>
      </c>
      <c r="J298" s="2">
        <v>3</v>
      </c>
      <c r="K298" s="2" t="s">
        <v>137</v>
      </c>
      <c r="L298" s="2" t="s">
        <v>41</v>
      </c>
      <c r="M298" s="2" t="s">
        <v>135</v>
      </c>
      <c r="N298" s="2" t="s">
        <v>876</v>
      </c>
      <c r="O298" s="2" t="s">
        <v>877</v>
      </c>
      <c r="P298" s="2" t="s">
        <v>48</v>
      </c>
      <c r="Q298" s="2">
        <f>INDEX(Tables!$C$4:$C$28,MATCH($P298,Tables!$B$4:$B$28,0))</f>
        <v>8</v>
      </c>
      <c r="R298" s="2">
        <f>INDEX(Tables!$D$4:$D$28,MATCH($P298,Tables!$B$4:$B$28,0))</f>
        <v>1</v>
      </c>
      <c r="S298" s="2">
        <f>$S297+$R297+INDEX(Tables!$N$5:$Q$8,MATCH(MOD($S297+$R297,4),Tables!$M$5:$M$8,0),MATCH($R298,Tables!$N$4:$Q$4,0))</f>
        <v>1006</v>
      </c>
      <c r="T298" s="2" t="str">
        <f t="shared" si="69"/>
        <v>03EE</v>
      </c>
      <c r="U298" s="2">
        <f t="shared" ref="U298:U361" si="75">ROUNDDOWN(S298/4,0)</f>
        <v>251</v>
      </c>
      <c r="V298" s="2" t="str">
        <f t="shared" si="70"/>
        <v>0FB</v>
      </c>
      <c r="W298" s="2" t="str">
        <f t="shared" si="71"/>
        <v/>
      </c>
      <c r="X298" s="2" t="str">
        <f t="shared" si="72"/>
        <v>X</v>
      </c>
      <c r="Y298" s="2" t="str">
        <f t="shared" si="73"/>
        <v/>
      </c>
      <c r="Z298" s="2" t="str">
        <f t="shared" si="74"/>
        <v/>
      </c>
      <c r="AA298" s="2" t="str">
        <f t="shared" ref="AA298:AA361" si="76">IF(W298="","",CONCATENATE("(",IF(($J298-COUNTIF($X298:$Z298,"X")*8)=1,"24)",CONCATENATE(IF(($J298-COUNTIF($X298:$Z298,"X")*8)&gt;=8,32,($J298-COUNTIF($X298:$Z298,"X")*8)+24)-1," downto 24)"))))</f>
        <v/>
      </c>
      <c r="AB298" s="2" t="str">
        <f t="shared" ref="AB298:AB361" si="77">IF(X298="","",CONCATENATE("(",IF(($J298-COUNTIF($Y298:$Z298,"X")*8)=1,"16)",CONCATENATE(IF(($J298-COUNTIF($Y298:$Z298,"X")*8)&gt;=8,24,($J298-COUNTIF($Y298:$Z298,"X")*8)+16)-1," downto 16)"))))</f>
        <v>(18 downto 16)</v>
      </c>
      <c r="AC298" s="2" t="str">
        <f t="shared" ref="AC298:AC361" si="78">IF(Y298="","",CONCATENATE("(",IF(($J298-COUNTIF($Z298,"X")*8)=1,"8)",CONCATENATE(IF(($J298-COUNTIF($Z298,"X")*8)&gt;=8,16,($J298-COUNTIF($Z298,"X")*8)+8)-1," downto 8)"))))</f>
        <v/>
      </c>
      <c r="AD298" s="2" t="str">
        <f t="shared" ref="AD298:AD361" si="79">IF(Z298="","",CONCATENATE("(",IF($J298=1,"0)",CONCATENATE(IF($J298&gt;=8,8,$J298)-1," downto 0)"))))</f>
        <v/>
      </c>
      <c r="AE298" s="2" t="str">
        <f t="shared" ref="AE298:AE361" si="80">IF(W298="","",IF($J298&lt;=8,"",IF(($J298-COUNTIF($X298:$Z298,"X")*8)=1,CONCATENATE("(",($J298-1),")"),CONCATENATE("(",IF(($J298-COUNTIF($X298:$Z298,"X")*8)&gt;=8,COUNTIF($X298:$Z298,"X")*8+7,$J298-COUNTIF($X298:$Z298,"X")*8-1+COUNTIF($X298:$Z298,"X")*8)," downto ",COUNTIF($X298:$Z298,"X")*8,")"))))</f>
        <v/>
      </c>
      <c r="AF298" s="2" t="str">
        <f t="shared" ref="AF298:AF361" si="81">IF(X298="","",IF($J298&lt;=8,"",IF(($J298-COUNTIF($Y298:$Z298,"X")*8)=1,CONCATENATE("(",($J298-1),")"),CONCATENATE("(",IF(($J298-COUNTIF($Y298:$Z298,"X")*8)&gt;=8,COUNTIF($Y298:$Z298,"X")*8+7,$J298-COUNTIF($Y298:$Z298,"X")*8-1+COUNTIF($Y298:$Z298,"X")*8)," downto ",COUNTIF($Y298:$Z298,"X")*8,")"))))</f>
        <v/>
      </c>
      <c r="AG298" s="2" t="str">
        <f t="shared" ref="AG298:AG361" si="82">IF(Y298="","",IF($J298&lt;=8,"",IF(($J298-COUNTIF($Z298,"X")*8)=1,CONCATENATE("(",($J298-1),")"),CONCATENATE("(",IF(($J298-COUNTIF($Z298,"X")*8)&gt;=8,COUNTIF($Z298,"X")*8+7,$J298-COUNTIF($Z298,"X")*8-1+COUNTIF($Z298,"X")*8)," downto ",COUNTIF($Z298,"X")*8,")"))))</f>
        <v/>
      </c>
      <c r="AH298" s="2" t="str">
        <f t="shared" ref="AH298:AH361" si="83">IF(Z298="","",IF($J298&lt;=8,"",CONCATENATE("(",IF($J298&gt;=8,7,$J298-1)," downto ",0,")")))</f>
        <v/>
      </c>
    </row>
    <row r="299" spans="2:34" x14ac:dyDescent="0.25">
      <c r="B299" s="2" t="s">
        <v>872</v>
      </c>
      <c r="D299" s="2" t="s">
        <v>1</v>
      </c>
      <c r="E299" s="2" t="s">
        <v>134</v>
      </c>
      <c r="F299" s="2" t="s">
        <v>873</v>
      </c>
      <c r="G299" s="2" t="s">
        <v>874</v>
      </c>
      <c r="H299" s="2" t="s">
        <v>878</v>
      </c>
      <c r="I299" s="2" t="s">
        <v>42</v>
      </c>
      <c r="J299" s="2">
        <v>1</v>
      </c>
      <c r="K299" s="2" t="s">
        <v>82</v>
      </c>
      <c r="L299" s="2" t="s">
        <v>41</v>
      </c>
      <c r="M299" s="2" t="s">
        <v>135</v>
      </c>
      <c r="N299" s="2" t="s">
        <v>876</v>
      </c>
      <c r="O299" s="2" t="s">
        <v>879</v>
      </c>
      <c r="P299" s="2" t="s">
        <v>5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1008</v>
      </c>
      <c r="T299" s="2" t="str">
        <f t="shared" si="69"/>
        <v>03F0</v>
      </c>
      <c r="U299" s="2">
        <f t="shared" si="75"/>
        <v>252</v>
      </c>
      <c r="V299" s="2" t="str">
        <f t="shared" si="70"/>
        <v>0FC</v>
      </c>
      <c r="W299" s="2" t="str">
        <f t="shared" si="71"/>
        <v/>
      </c>
      <c r="X299" s="2" t="str">
        <f t="shared" si="72"/>
        <v/>
      </c>
      <c r="Y299" s="2" t="str">
        <f t="shared" si="73"/>
        <v/>
      </c>
      <c r="Z299" s="2" t="str">
        <f t="shared" si="74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872</v>
      </c>
      <c r="D300" s="2" t="s">
        <v>1</v>
      </c>
      <c r="E300" s="2" t="s">
        <v>134</v>
      </c>
      <c r="F300" s="2" t="s">
        <v>873</v>
      </c>
      <c r="G300" s="2" t="s">
        <v>874</v>
      </c>
      <c r="H300" s="2" t="s">
        <v>880</v>
      </c>
      <c r="I300" s="2" t="s">
        <v>42</v>
      </c>
      <c r="J300" s="2">
        <v>1</v>
      </c>
      <c r="K300" s="2" t="s">
        <v>82</v>
      </c>
      <c r="L300" s="2" t="s">
        <v>41</v>
      </c>
      <c r="M300" s="2" t="s">
        <v>135</v>
      </c>
      <c r="N300" s="2" t="s">
        <v>876</v>
      </c>
      <c r="O300" s="2" t="s">
        <v>881</v>
      </c>
      <c r="P300" s="2" t="s">
        <v>5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1012</v>
      </c>
      <c r="T300" s="2" t="str">
        <f t="shared" si="69"/>
        <v>03F4</v>
      </c>
      <c r="U300" s="2">
        <f t="shared" si="75"/>
        <v>253</v>
      </c>
      <c r="V300" s="2" t="str">
        <f t="shared" si="70"/>
        <v>0FD</v>
      </c>
      <c r="W300" s="2" t="str">
        <f t="shared" si="71"/>
        <v/>
      </c>
      <c r="X300" s="2" t="str">
        <f t="shared" si="72"/>
        <v/>
      </c>
      <c r="Y300" s="2" t="str">
        <f t="shared" si="73"/>
        <v/>
      </c>
      <c r="Z300" s="2" t="str">
        <f t="shared" si="74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872</v>
      </c>
      <c r="D301" s="2" t="s">
        <v>1</v>
      </c>
      <c r="E301" s="2" t="s">
        <v>134</v>
      </c>
      <c r="F301" s="2" t="s">
        <v>873</v>
      </c>
      <c r="G301" s="2" t="s">
        <v>874</v>
      </c>
      <c r="H301" s="2" t="s">
        <v>882</v>
      </c>
      <c r="I301" s="2" t="s">
        <v>42</v>
      </c>
      <c r="J301" s="2">
        <v>1</v>
      </c>
      <c r="K301" s="2" t="s">
        <v>82</v>
      </c>
      <c r="L301" s="2" t="s">
        <v>41</v>
      </c>
      <c r="M301" s="2" t="s">
        <v>135</v>
      </c>
      <c r="N301" s="2" t="s">
        <v>876</v>
      </c>
      <c r="O301" s="2" t="s">
        <v>883</v>
      </c>
      <c r="P301" s="2" t="s">
        <v>5</v>
      </c>
      <c r="Q301" s="2">
        <f>INDEX(Tables!$C$4:$C$28,MATCH($P301,Tables!$B$4:$B$28,0))</f>
        <v>32</v>
      </c>
      <c r="R301" s="2">
        <f>INDEX(Tables!$D$4:$D$28,MATCH($P301,Tables!$B$4:$B$28,0))</f>
        <v>4</v>
      </c>
      <c r="S301" s="2">
        <f>$S300+$R300+INDEX(Tables!$N$5:$Q$8,MATCH(MOD($S300+$R300,4),Tables!$M$5:$M$8,0),MATCH($R301,Tables!$N$4:$Q$4,0))</f>
        <v>1016</v>
      </c>
      <c r="T301" s="2" t="str">
        <f t="shared" si="69"/>
        <v>03F8</v>
      </c>
      <c r="U301" s="2">
        <f t="shared" si="75"/>
        <v>254</v>
      </c>
      <c r="V301" s="2" t="str">
        <f t="shared" si="70"/>
        <v>0FE</v>
      </c>
      <c r="W301" s="2" t="str">
        <f t="shared" si="71"/>
        <v/>
      </c>
      <c r="X301" s="2" t="str">
        <f t="shared" si="72"/>
        <v/>
      </c>
      <c r="Y301" s="2" t="str">
        <f t="shared" si="73"/>
        <v/>
      </c>
      <c r="Z301" s="2" t="str">
        <f t="shared" si="74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872</v>
      </c>
      <c r="D302" s="2" t="s">
        <v>1</v>
      </c>
      <c r="E302" s="2" t="s">
        <v>134</v>
      </c>
      <c r="F302" s="2" t="s">
        <v>873</v>
      </c>
      <c r="G302" s="2" t="s">
        <v>874</v>
      </c>
      <c r="H302" s="2" t="s">
        <v>884</v>
      </c>
      <c r="I302" s="2" t="s">
        <v>42</v>
      </c>
      <c r="J302" s="2">
        <v>1</v>
      </c>
      <c r="K302" s="2" t="s">
        <v>82</v>
      </c>
      <c r="L302" s="2" t="s">
        <v>41</v>
      </c>
      <c r="M302" s="2" t="s">
        <v>135</v>
      </c>
      <c r="N302" s="2" t="s">
        <v>876</v>
      </c>
      <c r="O302" s="2" t="s">
        <v>885</v>
      </c>
      <c r="P302" s="2" t="s">
        <v>5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1020</v>
      </c>
      <c r="T302" s="2" t="str">
        <f t="shared" si="69"/>
        <v>03FC</v>
      </c>
      <c r="U302" s="2">
        <f t="shared" si="75"/>
        <v>255</v>
      </c>
      <c r="V302" s="2" t="str">
        <f t="shared" si="70"/>
        <v>0FF</v>
      </c>
      <c r="W302" s="2" t="str">
        <f t="shared" si="71"/>
        <v/>
      </c>
      <c r="X302" s="2" t="str">
        <f t="shared" si="72"/>
        <v/>
      </c>
      <c r="Y302" s="2" t="str">
        <f t="shared" si="73"/>
        <v/>
      </c>
      <c r="Z302" s="2" t="str">
        <f t="shared" si="74"/>
        <v>X</v>
      </c>
      <c r="AA302" s="2" t="str">
        <f t="shared" si="76"/>
        <v/>
      </c>
      <c r="AB302" s="2" t="str">
        <f t="shared" si="77"/>
        <v/>
      </c>
      <c r="AC302" s="2" t="str">
        <f t="shared" si="78"/>
        <v/>
      </c>
      <c r="AD302" s="2" t="str">
        <f t="shared" si="79"/>
        <v>(0)</v>
      </c>
      <c r="AE302" s="2" t="str">
        <f t="shared" si="80"/>
        <v/>
      </c>
      <c r="AF302" s="2" t="str">
        <f t="shared" si="81"/>
        <v/>
      </c>
      <c r="AG302" s="2" t="str">
        <f t="shared" si="82"/>
        <v/>
      </c>
      <c r="AH302" s="2" t="str">
        <f t="shared" si="83"/>
        <v/>
      </c>
    </row>
    <row r="303" spans="2:34" x14ac:dyDescent="0.25">
      <c r="B303" s="2" t="s">
        <v>872</v>
      </c>
      <c r="D303" s="2" t="s">
        <v>1</v>
      </c>
      <c r="E303" s="2" t="s">
        <v>134</v>
      </c>
      <c r="F303" s="2" t="s">
        <v>873</v>
      </c>
      <c r="G303" s="2" t="s">
        <v>874</v>
      </c>
      <c r="H303" s="2" t="s">
        <v>886</v>
      </c>
      <c r="I303" s="2" t="s">
        <v>42</v>
      </c>
      <c r="J303" s="2">
        <v>1</v>
      </c>
      <c r="K303" s="2" t="s">
        <v>82</v>
      </c>
      <c r="L303" s="2" t="s">
        <v>41</v>
      </c>
      <c r="M303" s="2" t="s">
        <v>135</v>
      </c>
      <c r="N303" s="2" t="s">
        <v>876</v>
      </c>
      <c r="O303" s="2" t="s">
        <v>887</v>
      </c>
      <c r="P303" s="2" t="s">
        <v>5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1024</v>
      </c>
      <c r="T303" s="2" t="str">
        <f t="shared" si="69"/>
        <v>0400</v>
      </c>
      <c r="U303" s="2">
        <f t="shared" si="75"/>
        <v>256</v>
      </c>
      <c r="V303" s="2" t="str">
        <f t="shared" si="70"/>
        <v>100</v>
      </c>
      <c r="W303" s="2" t="str">
        <f t="shared" si="71"/>
        <v/>
      </c>
      <c r="X303" s="2" t="str">
        <f t="shared" si="72"/>
        <v/>
      </c>
      <c r="Y303" s="2" t="str">
        <f t="shared" si="73"/>
        <v/>
      </c>
      <c r="Z303" s="2" t="str">
        <f t="shared" si="74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872</v>
      </c>
      <c r="D304" s="2" t="s">
        <v>1</v>
      </c>
      <c r="E304" s="2" t="s">
        <v>134</v>
      </c>
      <c r="F304" s="2" t="s">
        <v>873</v>
      </c>
      <c r="G304" s="2" t="s">
        <v>874</v>
      </c>
      <c r="H304" s="2" t="s">
        <v>888</v>
      </c>
      <c r="I304" s="2" t="s">
        <v>42</v>
      </c>
      <c r="J304" s="2">
        <v>1</v>
      </c>
      <c r="K304" s="2" t="s">
        <v>82</v>
      </c>
      <c r="L304" s="2" t="s">
        <v>41</v>
      </c>
      <c r="M304" s="2" t="s">
        <v>135</v>
      </c>
      <c r="N304" s="2" t="s">
        <v>876</v>
      </c>
      <c r="O304" s="2" t="s">
        <v>889</v>
      </c>
      <c r="P304" s="2" t="s">
        <v>5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1028</v>
      </c>
      <c r="T304" s="2" t="str">
        <f t="shared" si="69"/>
        <v>0404</v>
      </c>
      <c r="U304" s="2">
        <f t="shared" si="75"/>
        <v>257</v>
      </c>
      <c r="V304" s="2" t="str">
        <f t="shared" si="70"/>
        <v>101</v>
      </c>
      <c r="W304" s="2" t="str">
        <f t="shared" si="71"/>
        <v/>
      </c>
      <c r="X304" s="2" t="str">
        <f t="shared" si="72"/>
        <v/>
      </c>
      <c r="Y304" s="2" t="str">
        <f t="shared" si="73"/>
        <v/>
      </c>
      <c r="Z304" s="2" t="str">
        <f t="shared" si="74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872</v>
      </c>
      <c r="D305" s="2" t="s">
        <v>1</v>
      </c>
      <c r="E305" s="2" t="s">
        <v>134</v>
      </c>
      <c r="F305" s="2" t="s">
        <v>873</v>
      </c>
      <c r="G305" s="2" t="s">
        <v>874</v>
      </c>
      <c r="H305" s="2" t="s">
        <v>890</v>
      </c>
      <c r="I305" s="2" t="s">
        <v>42</v>
      </c>
      <c r="J305" s="2">
        <v>1</v>
      </c>
      <c r="K305" s="2" t="s">
        <v>82</v>
      </c>
      <c r="L305" s="2" t="s">
        <v>41</v>
      </c>
      <c r="M305" s="2" t="s">
        <v>135</v>
      </c>
      <c r="N305" s="2" t="s">
        <v>876</v>
      </c>
      <c r="O305" s="2" t="s">
        <v>891</v>
      </c>
      <c r="P305" s="2" t="s">
        <v>5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1032</v>
      </c>
      <c r="T305" s="2" t="str">
        <f t="shared" si="69"/>
        <v>0408</v>
      </c>
      <c r="U305" s="2">
        <f t="shared" si="75"/>
        <v>258</v>
      </c>
      <c r="V305" s="2" t="str">
        <f t="shared" si="70"/>
        <v>102</v>
      </c>
      <c r="W305" s="2" t="str">
        <f t="shared" si="71"/>
        <v/>
      </c>
      <c r="X305" s="2" t="str">
        <f t="shared" si="72"/>
        <v/>
      </c>
      <c r="Y305" s="2" t="str">
        <f t="shared" si="73"/>
        <v/>
      </c>
      <c r="Z305" s="2" t="str">
        <f t="shared" si="74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872</v>
      </c>
      <c r="D306" s="2" t="s">
        <v>1</v>
      </c>
      <c r="E306" s="2" t="s">
        <v>134</v>
      </c>
      <c r="F306" s="2" t="s">
        <v>873</v>
      </c>
      <c r="G306" s="2" t="s">
        <v>874</v>
      </c>
      <c r="H306" s="2" t="s">
        <v>892</v>
      </c>
      <c r="I306" s="2" t="s">
        <v>42</v>
      </c>
      <c r="J306" s="2">
        <v>1</v>
      </c>
      <c r="K306" s="2" t="s">
        <v>82</v>
      </c>
      <c r="L306" s="2" t="s">
        <v>41</v>
      </c>
      <c r="M306" s="2" t="s">
        <v>135</v>
      </c>
      <c r="N306" s="2" t="s">
        <v>876</v>
      </c>
      <c r="O306" s="2" t="s">
        <v>893</v>
      </c>
      <c r="P306" s="2" t="s">
        <v>5</v>
      </c>
      <c r="Q306" s="2">
        <f>INDEX(Tables!$C$4:$C$28,MATCH($P306,Tables!$B$4:$B$28,0))</f>
        <v>32</v>
      </c>
      <c r="R306" s="2">
        <f>INDEX(Tables!$D$4:$D$28,MATCH($P306,Tables!$B$4:$B$28,0))</f>
        <v>4</v>
      </c>
      <c r="S306" s="2">
        <f>$S305+$R305+INDEX(Tables!$N$5:$Q$8,MATCH(MOD($S305+$R305,4),Tables!$M$5:$M$8,0),MATCH($R306,Tables!$N$4:$Q$4,0))</f>
        <v>1036</v>
      </c>
      <c r="T306" s="2" t="str">
        <f t="shared" si="69"/>
        <v>040C</v>
      </c>
      <c r="U306" s="2">
        <f t="shared" si="75"/>
        <v>259</v>
      </c>
      <c r="V306" s="2" t="str">
        <f t="shared" si="70"/>
        <v>103</v>
      </c>
      <c r="W306" s="2" t="str">
        <f t="shared" si="71"/>
        <v/>
      </c>
      <c r="X306" s="2" t="str">
        <f t="shared" si="72"/>
        <v/>
      </c>
      <c r="Y306" s="2" t="str">
        <f t="shared" si="73"/>
        <v/>
      </c>
      <c r="Z306" s="2" t="str">
        <f t="shared" si="74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872</v>
      </c>
      <c r="D307" s="2" t="s">
        <v>1</v>
      </c>
      <c r="E307" s="2" t="s">
        <v>134</v>
      </c>
      <c r="F307" s="2" t="s">
        <v>873</v>
      </c>
      <c r="G307" s="2" t="s">
        <v>874</v>
      </c>
      <c r="H307" s="2" t="s">
        <v>894</v>
      </c>
      <c r="I307" s="2" t="s">
        <v>42</v>
      </c>
      <c r="J307" s="2">
        <v>1</v>
      </c>
      <c r="K307" s="2" t="s">
        <v>82</v>
      </c>
      <c r="L307" s="2" t="s">
        <v>41</v>
      </c>
      <c r="M307" s="2" t="s">
        <v>135</v>
      </c>
      <c r="N307" s="2" t="s">
        <v>876</v>
      </c>
      <c r="O307" s="2" t="s">
        <v>895</v>
      </c>
      <c r="P307" s="2" t="s">
        <v>5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1040</v>
      </c>
      <c r="T307" s="2" t="str">
        <f t="shared" si="69"/>
        <v>0410</v>
      </c>
      <c r="U307" s="2">
        <f t="shared" si="75"/>
        <v>260</v>
      </c>
      <c r="V307" s="2" t="str">
        <f t="shared" si="70"/>
        <v>104</v>
      </c>
      <c r="W307" s="2" t="str">
        <f t="shared" si="71"/>
        <v/>
      </c>
      <c r="X307" s="2" t="str">
        <f t="shared" si="72"/>
        <v/>
      </c>
      <c r="Y307" s="2" t="str">
        <f t="shared" si="73"/>
        <v/>
      </c>
      <c r="Z307" s="2" t="str">
        <f t="shared" si="74"/>
        <v>X</v>
      </c>
      <c r="AA307" s="2" t="str">
        <f t="shared" si="76"/>
        <v/>
      </c>
      <c r="AB307" s="2" t="str">
        <f t="shared" si="77"/>
        <v/>
      </c>
      <c r="AC307" s="2" t="str">
        <f t="shared" si="78"/>
        <v/>
      </c>
      <c r="AD307" s="2" t="str">
        <f t="shared" si="79"/>
        <v>(0)</v>
      </c>
      <c r="AE307" s="2" t="str">
        <f t="shared" si="80"/>
        <v/>
      </c>
      <c r="AF307" s="2" t="str">
        <f t="shared" si="81"/>
        <v/>
      </c>
      <c r="AG307" s="2" t="str">
        <f t="shared" si="82"/>
        <v/>
      </c>
      <c r="AH307" s="2" t="str">
        <f t="shared" si="83"/>
        <v/>
      </c>
    </row>
    <row r="308" spans="2:34" x14ac:dyDescent="0.25">
      <c r="B308" s="2" t="s">
        <v>872</v>
      </c>
      <c r="D308" s="2" t="s">
        <v>1</v>
      </c>
      <c r="E308" s="2" t="s">
        <v>134</v>
      </c>
      <c r="F308" s="2" t="s">
        <v>873</v>
      </c>
      <c r="G308" s="2" t="s">
        <v>874</v>
      </c>
      <c r="H308" s="2" t="s">
        <v>896</v>
      </c>
      <c r="I308" s="2" t="s">
        <v>42</v>
      </c>
      <c r="J308" s="2">
        <v>1</v>
      </c>
      <c r="K308" s="2" t="s">
        <v>82</v>
      </c>
      <c r="L308" s="2" t="s">
        <v>41</v>
      </c>
      <c r="M308" s="2" t="s">
        <v>135</v>
      </c>
      <c r="N308" s="2" t="s">
        <v>876</v>
      </c>
      <c r="O308" s="2" t="s">
        <v>897</v>
      </c>
      <c r="P308" s="2" t="s">
        <v>5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1044</v>
      </c>
      <c r="T308" s="2" t="str">
        <f t="shared" si="69"/>
        <v>0414</v>
      </c>
      <c r="U308" s="2">
        <f t="shared" si="75"/>
        <v>261</v>
      </c>
      <c r="V308" s="2" t="str">
        <f t="shared" si="70"/>
        <v>105</v>
      </c>
      <c r="W308" s="2" t="str">
        <f t="shared" si="71"/>
        <v/>
      </c>
      <c r="X308" s="2" t="str">
        <f t="shared" si="72"/>
        <v/>
      </c>
      <c r="Y308" s="2" t="str">
        <f t="shared" si="73"/>
        <v/>
      </c>
      <c r="Z308" s="2" t="str">
        <f t="shared" si="74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872</v>
      </c>
      <c r="D309" s="2" t="s">
        <v>1</v>
      </c>
      <c r="E309" s="2" t="s">
        <v>134</v>
      </c>
      <c r="F309" s="2" t="s">
        <v>873</v>
      </c>
      <c r="G309" s="2" t="s">
        <v>874</v>
      </c>
      <c r="H309" s="2" t="s">
        <v>430</v>
      </c>
      <c r="I309" s="2" t="s">
        <v>42</v>
      </c>
      <c r="J309" s="2">
        <v>1</v>
      </c>
      <c r="K309" s="2" t="s">
        <v>82</v>
      </c>
      <c r="L309" s="2" t="s">
        <v>41</v>
      </c>
      <c r="M309" s="2" t="s">
        <v>135</v>
      </c>
      <c r="N309" s="2" t="s">
        <v>876</v>
      </c>
      <c r="O309" s="2" t="s">
        <v>431</v>
      </c>
      <c r="P309" s="2" t="s">
        <v>5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1048</v>
      </c>
      <c r="T309" s="2" t="str">
        <f t="shared" si="69"/>
        <v>0418</v>
      </c>
      <c r="U309" s="2">
        <f t="shared" si="75"/>
        <v>262</v>
      </c>
      <c r="V309" s="2" t="str">
        <f t="shared" si="70"/>
        <v>106</v>
      </c>
      <c r="W309" s="2" t="str">
        <f t="shared" si="71"/>
        <v/>
      </c>
      <c r="X309" s="2" t="str">
        <f t="shared" si="72"/>
        <v/>
      </c>
      <c r="Y309" s="2" t="str">
        <f t="shared" si="73"/>
        <v/>
      </c>
      <c r="Z309" s="2" t="str">
        <f t="shared" si="74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872</v>
      </c>
      <c r="D310" s="2" t="s">
        <v>1</v>
      </c>
      <c r="E310" s="2" t="s">
        <v>134</v>
      </c>
      <c r="F310" s="2" t="s">
        <v>873</v>
      </c>
      <c r="G310" s="2" t="s">
        <v>874</v>
      </c>
      <c r="H310" s="2" t="s">
        <v>428</v>
      </c>
      <c r="I310" s="2" t="s">
        <v>42</v>
      </c>
      <c r="J310" s="2">
        <v>1</v>
      </c>
      <c r="K310" s="2" t="s">
        <v>82</v>
      </c>
      <c r="L310" s="2" t="s">
        <v>41</v>
      </c>
      <c r="M310" s="2" t="s">
        <v>135</v>
      </c>
      <c r="N310" s="2" t="s">
        <v>876</v>
      </c>
      <c r="O310" s="2" t="s">
        <v>429</v>
      </c>
      <c r="P310" s="2" t="s">
        <v>5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1052</v>
      </c>
      <c r="T310" s="2" t="str">
        <f t="shared" si="69"/>
        <v>041C</v>
      </c>
      <c r="U310" s="2">
        <f t="shared" si="75"/>
        <v>263</v>
      </c>
      <c r="V310" s="2" t="str">
        <f t="shared" si="70"/>
        <v>107</v>
      </c>
      <c r="W310" s="2" t="str">
        <f t="shared" si="71"/>
        <v/>
      </c>
      <c r="X310" s="2" t="str">
        <f t="shared" si="72"/>
        <v/>
      </c>
      <c r="Y310" s="2" t="str">
        <f t="shared" si="73"/>
        <v/>
      </c>
      <c r="Z310" s="2" t="str">
        <f t="shared" si="74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872</v>
      </c>
      <c r="D311" s="2" t="s">
        <v>1</v>
      </c>
      <c r="E311" s="2" t="s">
        <v>134</v>
      </c>
      <c r="F311" s="2" t="s">
        <v>873</v>
      </c>
      <c r="G311" s="2" t="s">
        <v>874</v>
      </c>
      <c r="H311" s="2" t="s">
        <v>898</v>
      </c>
      <c r="I311" s="2" t="s">
        <v>42</v>
      </c>
      <c r="J311" s="2">
        <v>1</v>
      </c>
      <c r="K311" s="2" t="s">
        <v>82</v>
      </c>
      <c r="L311" s="2" t="s">
        <v>41</v>
      </c>
      <c r="M311" s="2" t="s">
        <v>135</v>
      </c>
      <c r="N311" s="2" t="s">
        <v>876</v>
      </c>
      <c r="O311" s="2" t="s">
        <v>899</v>
      </c>
      <c r="P311" s="2" t="s">
        <v>5</v>
      </c>
      <c r="Q311" s="2">
        <f>INDEX(Tables!$C$4:$C$28,MATCH($P311,Tables!$B$4:$B$28,0))</f>
        <v>32</v>
      </c>
      <c r="R311" s="2">
        <f>INDEX(Tables!$D$4:$D$28,MATCH($P311,Tables!$B$4:$B$28,0))</f>
        <v>4</v>
      </c>
      <c r="S311" s="2">
        <f>$S310+$R310+INDEX(Tables!$N$5:$Q$8,MATCH(MOD($S310+$R310,4),Tables!$M$5:$M$8,0),MATCH($R311,Tables!$N$4:$Q$4,0))</f>
        <v>1056</v>
      </c>
      <c r="T311" s="2" t="str">
        <f t="shared" si="69"/>
        <v>0420</v>
      </c>
      <c r="U311" s="2">
        <f t="shared" si="75"/>
        <v>264</v>
      </c>
      <c r="V311" s="2" t="str">
        <f t="shared" si="70"/>
        <v>108</v>
      </c>
      <c r="W311" s="2" t="str">
        <f t="shared" si="71"/>
        <v/>
      </c>
      <c r="X311" s="2" t="str">
        <f t="shared" si="72"/>
        <v/>
      </c>
      <c r="Y311" s="2" t="str">
        <f t="shared" si="73"/>
        <v/>
      </c>
      <c r="Z311" s="2" t="str">
        <f t="shared" si="74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872</v>
      </c>
      <c r="D312" s="2" t="s">
        <v>1</v>
      </c>
      <c r="E312" s="2" t="s">
        <v>134</v>
      </c>
      <c r="F312" s="2" t="s">
        <v>873</v>
      </c>
      <c r="G312" s="2" t="s">
        <v>874</v>
      </c>
      <c r="H312" s="2" t="s">
        <v>900</v>
      </c>
      <c r="I312" s="2" t="s">
        <v>42</v>
      </c>
      <c r="J312" s="2">
        <v>1</v>
      </c>
      <c r="K312" s="2" t="s">
        <v>82</v>
      </c>
      <c r="L312" s="2" t="s">
        <v>41</v>
      </c>
      <c r="M312" s="2" t="s">
        <v>135</v>
      </c>
      <c r="N312" s="2" t="s">
        <v>876</v>
      </c>
      <c r="O312" s="2" t="s">
        <v>901</v>
      </c>
      <c r="P312" s="2" t="s">
        <v>5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1060</v>
      </c>
      <c r="T312" s="2" t="str">
        <f t="shared" si="69"/>
        <v>0424</v>
      </c>
      <c r="U312" s="2">
        <f t="shared" si="75"/>
        <v>265</v>
      </c>
      <c r="V312" s="2" t="str">
        <f t="shared" si="70"/>
        <v>109</v>
      </c>
      <c r="W312" s="2" t="str">
        <f t="shared" si="71"/>
        <v/>
      </c>
      <c r="X312" s="2" t="str">
        <f t="shared" si="72"/>
        <v/>
      </c>
      <c r="Y312" s="2" t="str">
        <f t="shared" si="73"/>
        <v/>
      </c>
      <c r="Z312" s="2" t="str">
        <f t="shared" si="74"/>
        <v>X</v>
      </c>
      <c r="AA312" s="2" t="str">
        <f t="shared" si="76"/>
        <v/>
      </c>
      <c r="AB312" s="2" t="str">
        <f t="shared" si="77"/>
        <v/>
      </c>
      <c r="AC312" s="2" t="str">
        <f t="shared" si="78"/>
        <v/>
      </c>
      <c r="AD312" s="2" t="str">
        <f t="shared" si="79"/>
        <v>(0)</v>
      </c>
      <c r="AE312" s="2" t="str">
        <f t="shared" si="80"/>
        <v/>
      </c>
      <c r="AF312" s="2" t="str">
        <f t="shared" si="81"/>
        <v/>
      </c>
      <c r="AG312" s="2" t="str">
        <f t="shared" si="82"/>
        <v/>
      </c>
      <c r="AH312" s="2" t="str">
        <f t="shared" si="83"/>
        <v/>
      </c>
    </row>
    <row r="313" spans="2:34" x14ac:dyDescent="0.25">
      <c r="B313" s="2" t="s">
        <v>872</v>
      </c>
      <c r="D313" s="2" t="s">
        <v>1</v>
      </c>
      <c r="E313" s="2" t="s">
        <v>134</v>
      </c>
      <c r="F313" s="2" t="s">
        <v>873</v>
      </c>
      <c r="G313" s="2" t="s">
        <v>874</v>
      </c>
      <c r="H313" s="2" t="s">
        <v>139</v>
      </c>
      <c r="I313" s="2" t="s">
        <v>42</v>
      </c>
      <c r="J313" s="2">
        <v>16</v>
      </c>
      <c r="K313" s="2" t="s">
        <v>137</v>
      </c>
      <c r="L313" s="2" t="s">
        <v>41</v>
      </c>
      <c r="M313" s="2" t="s">
        <v>135</v>
      </c>
      <c r="N313" s="2" t="s">
        <v>876</v>
      </c>
      <c r="O313" s="2" t="s">
        <v>140</v>
      </c>
      <c r="P313" s="2" t="s">
        <v>50</v>
      </c>
      <c r="Q313" s="2">
        <f>INDEX(Tables!$C$4:$C$28,MATCH($P313,Tables!$B$4:$B$28,0))</f>
        <v>16</v>
      </c>
      <c r="R313" s="2">
        <f>INDEX(Tables!$D$4:$D$28,MATCH($P313,Tables!$B$4:$B$28,0))</f>
        <v>2</v>
      </c>
      <c r="S313" s="2">
        <f>$S312+$R312+INDEX(Tables!$N$5:$Q$8,MATCH(MOD($S312+$R312,4),Tables!$M$5:$M$8,0),MATCH($R313,Tables!$N$4:$Q$4,0))</f>
        <v>1064</v>
      </c>
      <c r="T313" s="2" t="str">
        <f t="shared" si="69"/>
        <v>0428</v>
      </c>
      <c r="U313" s="2">
        <f t="shared" si="75"/>
        <v>266</v>
      </c>
      <c r="V313" s="2" t="str">
        <f t="shared" si="70"/>
        <v>10A</v>
      </c>
      <c r="W313" s="2" t="str">
        <f t="shared" si="71"/>
        <v/>
      </c>
      <c r="X313" s="2" t="str">
        <f t="shared" si="72"/>
        <v/>
      </c>
      <c r="Y313" s="2" t="str">
        <f t="shared" si="73"/>
        <v>X</v>
      </c>
      <c r="Z313" s="2" t="str">
        <f t="shared" si="74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>(15 downto 8)</v>
      </c>
      <c r="AD313" s="2" t="str">
        <f t="shared" si="79"/>
        <v>(7 downto 0)</v>
      </c>
      <c r="AE313" s="2" t="str">
        <f t="shared" si="80"/>
        <v/>
      </c>
      <c r="AF313" s="2" t="str">
        <f t="shared" si="81"/>
        <v/>
      </c>
      <c r="AG313" s="2" t="str">
        <f t="shared" si="82"/>
        <v>(15 downto 8)</v>
      </c>
      <c r="AH313" s="2" t="str">
        <f t="shared" si="83"/>
        <v>(7 downto 0)</v>
      </c>
    </row>
    <row r="314" spans="2:34" x14ac:dyDescent="0.25">
      <c r="B314" s="2" t="s">
        <v>872</v>
      </c>
      <c r="D314" s="2" t="s">
        <v>1</v>
      </c>
      <c r="E314" s="2" t="s">
        <v>134</v>
      </c>
      <c r="F314" s="2" t="s">
        <v>902</v>
      </c>
      <c r="G314" s="2" t="s">
        <v>903</v>
      </c>
      <c r="H314" s="2" t="s">
        <v>904</v>
      </c>
      <c r="I314" s="2" t="s">
        <v>42</v>
      </c>
      <c r="J314" s="2">
        <v>32</v>
      </c>
      <c r="K314" s="2" t="s">
        <v>137</v>
      </c>
      <c r="L314" s="2" t="s">
        <v>41</v>
      </c>
      <c r="M314" s="2" t="s">
        <v>135</v>
      </c>
      <c r="N314" s="2" t="s">
        <v>876</v>
      </c>
      <c r="O314" s="2" t="s">
        <v>905</v>
      </c>
      <c r="P314" s="2" t="s">
        <v>49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1068</v>
      </c>
      <c r="T314" s="2" t="str">
        <f t="shared" si="69"/>
        <v>042C</v>
      </c>
      <c r="U314" s="2">
        <f t="shared" si="75"/>
        <v>267</v>
      </c>
      <c r="V314" s="2" t="str">
        <f t="shared" si="70"/>
        <v>10B</v>
      </c>
      <c r="W314" s="2" t="str">
        <f t="shared" si="71"/>
        <v>X</v>
      </c>
      <c r="X314" s="2" t="str">
        <f t="shared" si="72"/>
        <v>X</v>
      </c>
      <c r="Y314" s="2" t="str">
        <f t="shared" si="73"/>
        <v>X</v>
      </c>
      <c r="Z314" s="2" t="str">
        <f t="shared" si="74"/>
        <v>X</v>
      </c>
      <c r="AA314" s="2" t="str">
        <f t="shared" si="76"/>
        <v>(31 downto 24)</v>
      </c>
      <c r="AB314" s="2" t="str">
        <f t="shared" si="77"/>
        <v>(23 downto 16)</v>
      </c>
      <c r="AC314" s="2" t="str">
        <f t="shared" si="78"/>
        <v>(15 downto 8)</v>
      </c>
      <c r="AD314" s="2" t="str">
        <f t="shared" si="79"/>
        <v>(7 downto 0)</v>
      </c>
      <c r="AE314" s="2" t="str">
        <f t="shared" si="80"/>
        <v>(31 downto 24)</v>
      </c>
      <c r="AF314" s="2" t="str">
        <f t="shared" si="81"/>
        <v>(23 downto 16)</v>
      </c>
      <c r="AG314" s="2" t="str">
        <f t="shared" si="82"/>
        <v>(15 downto 8)</v>
      </c>
      <c r="AH314" s="2" t="str">
        <f t="shared" si="83"/>
        <v>(7 downto 0)</v>
      </c>
    </row>
    <row r="315" spans="2:34" x14ac:dyDescent="0.25">
      <c r="B315" s="2" t="s">
        <v>872</v>
      </c>
      <c r="D315" s="2" t="s">
        <v>1</v>
      </c>
      <c r="E315" s="2" t="s">
        <v>134</v>
      </c>
      <c r="F315" s="2" t="s">
        <v>902</v>
      </c>
      <c r="G315" s="2" t="s">
        <v>903</v>
      </c>
      <c r="H315" s="2" t="s">
        <v>906</v>
      </c>
      <c r="I315" s="2" t="s">
        <v>42</v>
      </c>
      <c r="J315" s="2">
        <v>32</v>
      </c>
      <c r="K315" s="2" t="s">
        <v>137</v>
      </c>
      <c r="L315" s="2" t="s">
        <v>41</v>
      </c>
      <c r="M315" s="2" t="s">
        <v>135</v>
      </c>
      <c r="N315" s="2" t="s">
        <v>876</v>
      </c>
      <c r="O315" s="2" t="s">
        <v>907</v>
      </c>
      <c r="P315" s="2" t="s">
        <v>49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1072</v>
      </c>
      <c r="T315" s="2" t="str">
        <f t="shared" si="69"/>
        <v>0430</v>
      </c>
      <c r="U315" s="2">
        <f t="shared" si="75"/>
        <v>268</v>
      </c>
      <c r="V315" s="2" t="str">
        <f t="shared" si="70"/>
        <v>10C</v>
      </c>
      <c r="W315" s="2" t="str">
        <f t="shared" si="71"/>
        <v>X</v>
      </c>
      <c r="X315" s="2" t="str">
        <f t="shared" si="72"/>
        <v>X</v>
      </c>
      <c r="Y315" s="2" t="str">
        <f t="shared" si="73"/>
        <v>X</v>
      </c>
      <c r="Z315" s="2" t="str">
        <f t="shared" si="74"/>
        <v>X</v>
      </c>
      <c r="AA315" s="2" t="str">
        <f t="shared" si="76"/>
        <v>(31 downto 24)</v>
      </c>
      <c r="AB315" s="2" t="str">
        <f t="shared" si="77"/>
        <v>(23 downto 16)</v>
      </c>
      <c r="AC315" s="2" t="str">
        <f t="shared" si="78"/>
        <v>(15 downto 8)</v>
      </c>
      <c r="AD315" s="2" t="str">
        <f t="shared" si="79"/>
        <v>(7 downto 0)</v>
      </c>
      <c r="AE315" s="2" t="str">
        <f t="shared" si="80"/>
        <v>(31 downto 24)</v>
      </c>
      <c r="AF315" s="2" t="str">
        <f t="shared" si="81"/>
        <v>(23 downto 16)</v>
      </c>
      <c r="AG315" s="2" t="str">
        <f t="shared" si="82"/>
        <v>(15 downto 8)</v>
      </c>
      <c r="AH315" s="2" t="str">
        <f t="shared" si="83"/>
        <v>(7 downto 0)</v>
      </c>
    </row>
    <row r="316" spans="2:34" x14ac:dyDescent="0.25">
      <c r="B316" s="2" t="s">
        <v>872</v>
      </c>
      <c r="D316" s="2" t="s">
        <v>1</v>
      </c>
      <c r="E316" s="2" t="s">
        <v>134</v>
      </c>
      <c r="F316" s="2" t="s">
        <v>908</v>
      </c>
      <c r="G316" s="2" t="s">
        <v>909</v>
      </c>
      <c r="H316" s="2" t="s">
        <v>910</v>
      </c>
      <c r="I316" s="2" t="s">
        <v>42</v>
      </c>
      <c r="J316" s="2">
        <v>32</v>
      </c>
      <c r="K316" s="2" t="s">
        <v>137</v>
      </c>
      <c r="L316" s="2" t="s">
        <v>41</v>
      </c>
      <c r="M316" s="2" t="s">
        <v>135</v>
      </c>
      <c r="N316" s="2" t="s">
        <v>876</v>
      </c>
      <c r="O316" s="2" t="s">
        <v>911</v>
      </c>
      <c r="P316" s="2" t="s">
        <v>49</v>
      </c>
      <c r="Q316" s="2">
        <f>INDEX(Tables!$C$4:$C$28,MATCH($P316,Tables!$B$4:$B$28,0))</f>
        <v>32</v>
      </c>
      <c r="R316" s="2">
        <f>INDEX(Tables!$D$4:$D$28,MATCH($P316,Tables!$B$4:$B$28,0))</f>
        <v>4</v>
      </c>
      <c r="S316" s="2">
        <f>$S315+$R315+INDEX(Tables!$N$5:$Q$8,MATCH(MOD($S315+$R315,4),Tables!$M$5:$M$8,0),MATCH($R316,Tables!$N$4:$Q$4,0))</f>
        <v>1076</v>
      </c>
      <c r="T316" s="2" t="str">
        <f t="shared" si="69"/>
        <v>0434</v>
      </c>
      <c r="U316" s="2">
        <f t="shared" si="75"/>
        <v>269</v>
      </c>
      <c r="V316" s="2" t="str">
        <f t="shared" si="70"/>
        <v>10D</v>
      </c>
      <c r="W316" s="2" t="str">
        <f t="shared" si="71"/>
        <v>X</v>
      </c>
      <c r="X316" s="2" t="str">
        <f t="shared" si="72"/>
        <v>X</v>
      </c>
      <c r="Y316" s="2" t="str">
        <f t="shared" si="73"/>
        <v>X</v>
      </c>
      <c r="Z316" s="2" t="str">
        <f t="shared" si="74"/>
        <v>X</v>
      </c>
      <c r="AA316" s="2" t="str">
        <f t="shared" si="76"/>
        <v>(31 downto 24)</v>
      </c>
      <c r="AB316" s="2" t="str">
        <f t="shared" si="77"/>
        <v>(23 downto 16)</v>
      </c>
      <c r="AC316" s="2" t="str">
        <f t="shared" si="78"/>
        <v>(15 downto 8)</v>
      </c>
      <c r="AD316" s="2" t="str">
        <f t="shared" si="79"/>
        <v>(7 downto 0)</v>
      </c>
      <c r="AE316" s="2" t="str">
        <f t="shared" si="80"/>
        <v>(31 downto 24)</v>
      </c>
      <c r="AF316" s="2" t="str">
        <f t="shared" si="81"/>
        <v>(23 downto 16)</v>
      </c>
      <c r="AG316" s="2" t="str">
        <f t="shared" si="82"/>
        <v>(15 downto 8)</v>
      </c>
      <c r="AH316" s="2" t="str">
        <f t="shared" si="83"/>
        <v>(7 downto 0)</v>
      </c>
    </row>
    <row r="317" spans="2:34" x14ac:dyDescent="0.25">
      <c r="B317" s="2" t="s">
        <v>872</v>
      </c>
      <c r="D317" s="2" t="s">
        <v>1</v>
      </c>
      <c r="E317" s="2" t="s">
        <v>134</v>
      </c>
      <c r="F317" s="2" t="s">
        <v>908</v>
      </c>
      <c r="G317" s="2" t="s">
        <v>909</v>
      </c>
      <c r="H317" s="2" t="s">
        <v>912</v>
      </c>
      <c r="I317" s="2" t="s">
        <v>42</v>
      </c>
      <c r="J317" s="2">
        <v>32</v>
      </c>
      <c r="K317" s="2" t="s">
        <v>137</v>
      </c>
      <c r="L317" s="2" t="s">
        <v>41</v>
      </c>
      <c r="M317" s="2" t="s">
        <v>135</v>
      </c>
      <c r="N317" s="2" t="s">
        <v>876</v>
      </c>
      <c r="O317" s="2" t="s">
        <v>913</v>
      </c>
      <c r="P317" s="2" t="s">
        <v>49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1080</v>
      </c>
      <c r="T317" s="2" t="str">
        <f t="shared" si="69"/>
        <v>0438</v>
      </c>
      <c r="U317" s="2">
        <f t="shared" si="75"/>
        <v>270</v>
      </c>
      <c r="V317" s="2" t="str">
        <f t="shared" si="70"/>
        <v>10E</v>
      </c>
      <c r="W317" s="2" t="str">
        <f t="shared" si="71"/>
        <v>X</v>
      </c>
      <c r="X317" s="2" t="str">
        <f t="shared" si="72"/>
        <v>X</v>
      </c>
      <c r="Y317" s="2" t="str">
        <f t="shared" si="73"/>
        <v>X</v>
      </c>
      <c r="Z317" s="2" t="str">
        <f t="shared" si="74"/>
        <v>X</v>
      </c>
      <c r="AA317" s="2" t="str">
        <f t="shared" si="76"/>
        <v>(31 downto 24)</v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>(31 downto 24)</v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872</v>
      </c>
      <c r="D318" s="2" t="s">
        <v>1</v>
      </c>
      <c r="E318" s="2" t="s">
        <v>134</v>
      </c>
      <c r="F318" s="2" t="s">
        <v>908</v>
      </c>
      <c r="G318" s="2" t="s">
        <v>909</v>
      </c>
      <c r="H318" s="2" t="s">
        <v>914</v>
      </c>
      <c r="I318" s="2" t="s">
        <v>42</v>
      </c>
      <c r="J318" s="2">
        <v>32</v>
      </c>
      <c r="K318" s="2" t="s">
        <v>137</v>
      </c>
      <c r="L318" s="2" t="s">
        <v>41</v>
      </c>
      <c r="M318" s="2" t="s">
        <v>135</v>
      </c>
      <c r="N318" s="2" t="s">
        <v>876</v>
      </c>
      <c r="O318" s="2" t="s">
        <v>915</v>
      </c>
      <c r="P318" s="2" t="s">
        <v>49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1084</v>
      </c>
      <c r="T318" s="2" t="str">
        <f t="shared" si="69"/>
        <v>043C</v>
      </c>
      <c r="U318" s="2">
        <f t="shared" si="75"/>
        <v>271</v>
      </c>
      <c r="V318" s="2" t="str">
        <f t="shared" si="70"/>
        <v>10F</v>
      </c>
      <c r="W318" s="2" t="str">
        <f t="shared" si="71"/>
        <v>X</v>
      </c>
      <c r="X318" s="2" t="str">
        <f t="shared" si="72"/>
        <v>X</v>
      </c>
      <c r="Y318" s="2" t="str">
        <f t="shared" si="73"/>
        <v>X</v>
      </c>
      <c r="Z318" s="2" t="str">
        <f t="shared" si="74"/>
        <v>X</v>
      </c>
      <c r="AA318" s="2" t="str">
        <f t="shared" si="76"/>
        <v>(31 downto 24)</v>
      </c>
      <c r="AB318" s="2" t="str">
        <f t="shared" si="77"/>
        <v>(23 downto 16)</v>
      </c>
      <c r="AC318" s="2" t="str">
        <f t="shared" si="78"/>
        <v>(15 downto 8)</v>
      </c>
      <c r="AD318" s="2" t="str">
        <f t="shared" si="79"/>
        <v>(7 downto 0)</v>
      </c>
      <c r="AE318" s="2" t="str">
        <f t="shared" si="80"/>
        <v>(31 downto 24)</v>
      </c>
      <c r="AF318" s="2" t="str">
        <f t="shared" si="81"/>
        <v>(23 downto 16)</v>
      </c>
      <c r="AG318" s="2" t="str">
        <f t="shared" si="82"/>
        <v>(15 downto 8)</v>
      </c>
      <c r="AH318" s="2" t="str">
        <f t="shared" si="83"/>
        <v>(7 downto 0)</v>
      </c>
    </row>
    <row r="319" spans="2:34" x14ac:dyDescent="0.25">
      <c r="B319" s="2" t="s">
        <v>872</v>
      </c>
      <c r="D319" s="2" t="s">
        <v>1</v>
      </c>
      <c r="E319" s="2" t="s">
        <v>134</v>
      </c>
      <c r="F319" s="2" t="s">
        <v>908</v>
      </c>
      <c r="G319" s="2" t="s">
        <v>909</v>
      </c>
      <c r="H319" s="2" t="s">
        <v>916</v>
      </c>
      <c r="I319" s="2" t="s">
        <v>42</v>
      </c>
      <c r="J319" s="2">
        <v>32</v>
      </c>
      <c r="K319" s="2" t="s">
        <v>137</v>
      </c>
      <c r="L319" s="2" t="s">
        <v>41</v>
      </c>
      <c r="M319" s="2" t="s">
        <v>135</v>
      </c>
      <c r="N319" s="2" t="s">
        <v>876</v>
      </c>
      <c r="O319" s="2" t="s">
        <v>917</v>
      </c>
      <c r="P319" s="2" t="s">
        <v>49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1088</v>
      </c>
      <c r="T319" s="2" t="str">
        <f t="shared" si="69"/>
        <v>0440</v>
      </c>
      <c r="U319" s="2">
        <f t="shared" si="75"/>
        <v>272</v>
      </c>
      <c r="V319" s="2" t="str">
        <f t="shared" si="70"/>
        <v>110</v>
      </c>
      <c r="W319" s="2" t="str">
        <f t="shared" si="71"/>
        <v>X</v>
      </c>
      <c r="X319" s="2" t="str">
        <f t="shared" si="72"/>
        <v>X</v>
      </c>
      <c r="Y319" s="2" t="str">
        <f t="shared" si="73"/>
        <v>X</v>
      </c>
      <c r="Z319" s="2" t="str">
        <f t="shared" si="74"/>
        <v>X</v>
      </c>
      <c r="AA319" s="2" t="str">
        <f t="shared" si="76"/>
        <v>(31 downto 24)</v>
      </c>
      <c r="AB319" s="2" t="str">
        <f t="shared" si="77"/>
        <v>(23 downto 16)</v>
      </c>
      <c r="AC319" s="2" t="str">
        <f t="shared" si="78"/>
        <v>(15 downto 8)</v>
      </c>
      <c r="AD319" s="2" t="str">
        <f t="shared" si="79"/>
        <v>(7 downto 0)</v>
      </c>
      <c r="AE319" s="2" t="str">
        <f t="shared" si="80"/>
        <v>(31 downto 24)</v>
      </c>
      <c r="AF319" s="2" t="str">
        <f t="shared" si="81"/>
        <v>(23 downto 16)</v>
      </c>
      <c r="AG319" s="2" t="str">
        <f t="shared" si="82"/>
        <v>(15 downto 8)</v>
      </c>
      <c r="AH319" s="2" t="str">
        <f t="shared" si="83"/>
        <v>(7 downto 0)</v>
      </c>
    </row>
    <row r="320" spans="2:34" x14ac:dyDescent="0.25">
      <c r="B320" s="2" t="s">
        <v>872</v>
      </c>
      <c r="D320" s="2" t="s">
        <v>1</v>
      </c>
      <c r="E320" s="2" t="s">
        <v>134</v>
      </c>
      <c r="F320" s="2" t="s">
        <v>908</v>
      </c>
      <c r="G320" s="2" t="s">
        <v>909</v>
      </c>
      <c r="H320" s="2" t="s">
        <v>918</v>
      </c>
      <c r="I320" s="2" t="s">
        <v>42</v>
      </c>
      <c r="J320" s="2">
        <v>32</v>
      </c>
      <c r="K320" s="2" t="s">
        <v>137</v>
      </c>
      <c r="L320" s="2" t="s">
        <v>41</v>
      </c>
      <c r="M320" s="2" t="s">
        <v>135</v>
      </c>
      <c r="N320" s="2" t="s">
        <v>876</v>
      </c>
      <c r="O320" s="2" t="s">
        <v>919</v>
      </c>
      <c r="P320" s="2" t="s">
        <v>49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1092</v>
      </c>
      <c r="T320" s="2" t="str">
        <f t="shared" si="69"/>
        <v>0444</v>
      </c>
      <c r="U320" s="2">
        <f t="shared" si="75"/>
        <v>273</v>
      </c>
      <c r="V320" s="2" t="str">
        <f t="shared" si="70"/>
        <v>111</v>
      </c>
      <c r="W320" s="2" t="str">
        <f t="shared" si="71"/>
        <v>X</v>
      </c>
      <c r="X320" s="2" t="str">
        <f t="shared" si="72"/>
        <v>X</v>
      </c>
      <c r="Y320" s="2" t="str">
        <f t="shared" si="73"/>
        <v>X</v>
      </c>
      <c r="Z320" s="2" t="str">
        <f t="shared" si="74"/>
        <v>X</v>
      </c>
      <c r="AA320" s="2" t="str">
        <f t="shared" si="76"/>
        <v>(31 downto 24)</v>
      </c>
      <c r="AB320" s="2" t="str">
        <f t="shared" si="77"/>
        <v>(23 downto 16)</v>
      </c>
      <c r="AC320" s="2" t="str">
        <f t="shared" si="78"/>
        <v>(15 downto 8)</v>
      </c>
      <c r="AD320" s="2" t="str">
        <f t="shared" si="79"/>
        <v>(7 downto 0)</v>
      </c>
      <c r="AE320" s="2" t="str">
        <f t="shared" si="80"/>
        <v>(31 downto 24)</v>
      </c>
      <c r="AF320" s="2" t="str">
        <f t="shared" si="81"/>
        <v>(23 downto 16)</v>
      </c>
      <c r="AG320" s="2" t="str">
        <f t="shared" si="82"/>
        <v>(15 downto 8)</v>
      </c>
      <c r="AH320" s="2" t="str">
        <f t="shared" si="83"/>
        <v>(7 downto 0)</v>
      </c>
    </row>
    <row r="321" spans="2:34" x14ac:dyDescent="0.25">
      <c r="B321" s="2" t="s">
        <v>872</v>
      </c>
      <c r="D321" s="2" t="s">
        <v>1</v>
      </c>
      <c r="E321" s="2" t="s">
        <v>134</v>
      </c>
      <c r="F321" s="2" t="s">
        <v>908</v>
      </c>
      <c r="G321" s="2" t="s">
        <v>909</v>
      </c>
      <c r="H321" s="2" t="s">
        <v>920</v>
      </c>
      <c r="I321" s="2" t="s">
        <v>42</v>
      </c>
      <c r="J321" s="2">
        <v>32</v>
      </c>
      <c r="K321" s="2" t="s">
        <v>137</v>
      </c>
      <c r="L321" s="2" t="s">
        <v>41</v>
      </c>
      <c r="M321" s="2" t="s">
        <v>135</v>
      </c>
      <c r="N321" s="2" t="s">
        <v>876</v>
      </c>
      <c r="O321" s="2" t="s">
        <v>921</v>
      </c>
      <c r="P321" s="2" t="s">
        <v>49</v>
      </c>
      <c r="Q321" s="2">
        <f>INDEX(Tables!$C$4:$C$28,MATCH($P321,Tables!$B$4:$B$28,0))</f>
        <v>32</v>
      </c>
      <c r="R321" s="2">
        <f>INDEX(Tables!$D$4:$D$28,MATCH($P321,Tables!$B$4:$B$28,0))</f>
        <v>4</v>
      </c>
      <c r="S321" s="2">
        <f>$S320+$R320+INDEX(Tables!$N$5:$Q$8,MATCH(MOD($S320+$R320,4),Tables!$M$5:$M$8,0),MATCH($R321,Tables!$N$4:$Q$4,0))</f>
        <v>1096</v>
      </c>
      <c r="T321" s="2" t="str">
        <f t="shared" si="69"/>
        <v>0448</v>
      </c>
      <c r="U321" s="2">
        <f t="shared" si="75"/>
        <v>274</v>
      </c>
      <c r="V321" s="2" t="str">
        <f t="shared" si="70"/>
        <v>112</v>
      </c>
      <c r="W321" s="2" t="str">
        <f t="shared" si="71"/>
        <v>X</v>
      </c>
      <c r="X321" s="2" t="str">
        <f t="shared" si="72"/>
        <v>X</v>
      </c>
      <c r="Y321" s="2" t="str">
        <f t="shared" si="73"/>
        <v>X</v>
      </c>
      <c r="Z321" s="2" t="str">
        <f t="shared" si="74"/>
        <v>X</v>
      </c>
      <c r="AA321" s="2" t="str">
        <f t="shared" si="76"/>
        <v>(31 downto 24)</v>
      </c>
      <c r="AB321" s="2" t="str">
        <f t="shared" si="77"/>
        <v>(23 downto 16)</v>
      </c>
      <c r="AC321" s="2" t="str">
        <f t="shared" si="78"/>
        <v>(15 downto 8)</v>
      </c>
      <c r="AD321" s="2" t="str">
        <f t="shared" si="79"/>
        <v>(7 downto 0)</v>
      </c>
      <c r="AE321" s="2" t="str">
        <f t="shared" si="80"/>
        <v>(31 downto 24)</v>
      </c>
      <c r="AF321" s="2" t="str">
        <f t="shared" si="81"/>
        <v>(23 downto 16)</v>
      </c>
      <c r="AG321" s="2" t="str">
        <f t="shared" si="82"/>
        <v>(15 downto 8)</v>
      </c>
      <c r="AH321" s="2" t="str">
        <f t="shared" si="83"/>
        <v>(7 downto 0)</v>
      </c>
    </row>
    <row r="322" spans="2:34" x14ac:dyDescent="0.25">
      <c r="B322" s="2" t="s">
        <v>872</v>
      </c>
      <c r="D322" s="2" t="s">
        <v>1</v>
      </c>
      <c r="E322" s="2" t="s">
        <v>134</v>
      </c>
      <c r="F322" s="2" t="s">
        <v>908</v>
      </c>
      <c r="G322" s="2" t="s">
        <v>909</v>
      </c>
      <c r="H322" s="2" t="s">
        <v>922</v>
      </c>
      <c r="I322" s="2" t="s">
        <v>42</v>
      </c>
      <c r="J322" s="2">
        <v>32</v>
      </c>
      <c r="K322" s="2" t="s">
        <v>137</v>
      </c>
      <c r="L322" s="2" t="s">
        <v>41</v>
      </c>
      <c r="M322" s="2" t="s">
        <v>135</v>
      </c>
      <c r="N322" s="2" t="s">
        <v>876</v>
      </c>
      <c r="O322" s="2" t="s">
        <v>923</v>
      </c>
      <c r="P322" s="2" t="s">
        <v>49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1100</v>
      </c>
      <c r="T322" s="2" t="str">
        <f t="shared" si="69"/>
        <v>044C</v>
      </c>
      <c r="U322" s="2">
        <f t="shared" si="75"/>
        <v>275</v>
      </c>
      <c r="V322" s="2" t="str">
        <f t="shared" si="70"/>
        <v>113</v>
      </c>
      <c r="W322" s="2" t="str">
        <f t="shared" si="71"/>
        <v>X</v>
      </c>
      <c r="X322" s="2" t="str">
        <f t="shared" si="72"/>
        <v>X</v>
      </c>
      <c r="Y322" s="2" t="str">
        <f t="shared" si="73"/>
        <v>X</v>
      </c>
      <c r="Z322" s="2" t="str">
        <f t="shared" si="74"/>
        <v>X</v>
      </c>
      <c r="AA322" s="2" t="str">
        <f t="shared" si="76"/>
        <v>(31 downto 24)</v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>(31 downto 24)</v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872</v>
      </c>
      <c r="D323" s="2" t="s">
        <v>1</v>
      </c>
      <c r="E323" s="2" t="s">
        <v>134</v>
      </c>
      <c r="F323" s="2" t="s">
        <v>908</v>
      </c>
      <c r="G323" s="2" t="s">
        <v>909</v>
      </c>
      <c r="H323" s="2" t="s">
        <v>924</v>
      </c>
      <c r="I323" s="2" t="s">
        <v>42</v>
      </c>
      <c r="J323" s="2">
        <v>32</v>
      </c>
      <c r="K323" s="2" t="s">
        <v>137</v>
      </c>
      <c r="L323" s="2" t="s">
        <v>41</v>
      </c>
      <c r="M323" s="2" t="s">
        <v>135</v>
      </c>
      <c r="N323" s="2" t="s">
        <v>876</v>
      </c>
      <c r="O323" s="2" t="s">
        <v>925</v>
      </c>
      <c r="P323" s="2" t="s">
        <v>49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1104</v>
      </c>
      <c r="T323" s="2" t="str">
        <f t="shared" si="69"/>
        <v>0450</v>
      </c>
      <c r="U323" s="2">
        <f t="shared" si="75"/>
        <v>276</v>
      </c>
      <c r="V323" s="2" t="str">
        <f t="shared" si="70"/>
        <v>114</v>
      </c>
      <c r="W323" s="2" t="str">
        <f t="shared" si="71"/>
        <v>X</v>
      </c>
      <c r="X323" s="2" t="str">
        <f t="shared" si="72"/>
        <v>X</v>
      </c>
      <c r="Y323" s="2" t="str">
        <f t="shared" si="73"/>
        <v>X</v>
      </c>
      <c r="Z323" s="2" t="str">
        <f t="shared" si="74"/>
        <v>X</v>
      </c>
      <c r="AA323" s="2" t="str">
        <f t="shared" si="76"/>
        <v>(31 downto 24)</v>
      </c>
      <c r="AB323" s="2" t="str">
        <f t="shared" si="77"/>
        <v>(23 downto 16)</v>
      </c>
      <c r="AC323" s="2" t="str">
        <f t="shared" si="78"/>
        <v>(15 downto 8)</v>
      </c>
      <c r="AD323" s="2" t="str">
        <f t="shared" si="79"/>
        <v>(7 downto 0)</v>
      </c>
      <c r="AE323" s="2" t="str">
        <f t="shared" si="80"/>
        <v>(31 downto 24)</v>
      </c>
      <c r="AF323" s="2" t="str">
        <f t="shared" si="81"/>
        <v>(23 downto 16)</v>
      </c>
      <c r="AG323" s="2" t="str">
        <f t="shared" si="82"/>
        <v>(15 downto 8)</v>
      </c>
      <c r="AH323" s="2" t="str">
        <f t="shared" si="83"/>
        <v>(7 downto 0)</v>
      </c>
    </row>
    <row r="324" spans="2:34" x14ac:dyDescent="0.25">
      <c r="B324" s="2" t="s">
        <v>872</v>
      </c>
      <c r="D324" s="2" t="s">
        <v>1</v>
      </c>
      <c r="E324" s="2" t="s">
        <v>134</v>
      </c>
      <c r="F324" s="2" t="s">
        <v>908</v>
      </c>
      <c r="G324" s="2" t="s">
        <v>909</v>
      </c>
      <c r="H324" s="2" t="s">
        <v>926</v>
      </c>
      <c r="I324" s="2" t="s">
        <v>42</v>
      </c>
      <c r="J324" s="2">
        <v>32</v>
      </c>
      <c r="K324" s="2" t="s">
        <v>137</v>
      </c>
      <c r="L324" s="2" t="s">
        <v>41</v>
      </c>
      <c r="M324" s="2" t="s">
        <v>135</v>
      </c>
      <c r="N324" s="2" t="s">
        <v>876</v>
      </c>
      <c r="O324" s="2" t="s">
        <v>927</v>
      </c>
      <c r="P324" s="2" t="s">
        <v>49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1108</v>
      </c>
      <c r="T324" s="2" t="str">
        <f t="shared" si="69"/>
        <v>0454</v>
      </c>
      <c r="U324" s="2">
        <f t="shared" si="75"/>
        <v>277</v>
      </c>
      <c r="V324" s="2" t="str">
        <f t="shared" si="70"/>
        <v>115</v>
      </c>
      <c r="W324" s="2" t="str">
        <f t="shared" si="71"/>
        <v>X</v>
      </c>
      <c r="X324" s="2" t="str">
        <f t="shared" si="72"/>
        <v>X</v>
      </c>
      <c r="Y324" s="2" t="str">
        <f t="shared" si="73"/>
        <v>X</v>
      </c>
      <c r="Z324" s="2" t="str">
        <f t="shared" si="74"/>
        <v>X</v>
      </c>
      <c r="AA324" s="2" t="str">
        <f t="shared" si="76"/>
        <v>(31 downto 24)</v>
      </c>
      <c r="AB324" s="2" t="str">
        <f t="shared" si="77"/>
        <v>(23 downto 16)</v>
      </c>
      <c r="AC324" s="2" t="str">
        <f t="shared" si="78"/>
        <v>(15 downto 8)</v>
      </c>
      <c r="AD324" s="2" t="str">
        <f t="shared" si="79"/>
        <v>(7 downto 0)</v>
      </c>
      <c r="AE324" s="2" t="str">
        <f t="shared" si="80"/>
        <v>(31 downto 24)</v>
      </c>
      <c r="AF324" s="2" t="str">
        <f t="shared" si="81"/>
        <v>(23 downto 16)</v>
      </c>
      <c r="AG324" s="2" t="str">
        <f t="shared" si="82"/>
        <v>(15 downto 8)</v>
      </c>
      <c r="AH324" s="2" t="str">
        <f t="shared" si="83"/>
        <v>(7 downto 0)</v>
      </c>
    </row>
    <row r="325" spans="2:34" x14ac:dyDescent="0.25">
      <c r="B325" s="2" t="s">
        <v>872</v>
      </c>
      <c r="D325" s="2" t="s">
        <v>1</v>
      </c>
      <c r="E325" s="2" t="s">
        <v>134</v>
      </c>
      <c r="F325" s="2" t="s">
        <v>908</v>
      </c>
      <c r="G325" s="2" t="s">
        <v>909</v>
      </c>
      <c r="H325" s="2" t="s">
        <v>928</v>
      </c>
      <c r="I325" s="2" t="s">
        <v>42</v>
      </c>
      <c r="J325" s="2">
        <v>32</v>
      </c>
      <c r="K325" s="2" t="s">
        <v>137</v>
      </c>
      <c r="L325" s="2" t="s">
        <v>41</v>
      </c>
      <c r="M325" s="2" t="s">
        <v>135</v>
      </c>
      <c r="N325" s="2" t="s">
        <v>876</v>
      </c>
      <c r="O325" s="2" t="s">
        <v>929</v>
      </c>
      <c r="P325" s="2" t="s">
        <v>49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1112</v>
      </c>
      <c r="T325" s="2" t="str">
        <f t="shared" ref="T325:T388" si="84">DEC2HEX($S325,4)</f>
        <v>0458</v>
      </c>
      <c r="U325" s="2">
        <f t="shared" si="75"/>
        <v>278</v>
      </c>
      <c r="V325" s="2" t="str">
        <f t="shared" ref="V325:V388" si="85">DEC2HEX($U325,3)</f>
        <v>116</v>
      </c>
      <c r="W325" s="2" t="str">
        <f t="shared" ref="W325:W388" si="86">IF(MOD($S325,4)=3,"X",IF(AND(MOD($S325,4)=2,$J325&gt;8),"X",IF(AND(MOD($S325,4)=1,$J325&gt;16),"X",IF(AND(MOD($S325,4)=0,$J325&gt;24),"X",""))))</f>
        <v>X</v>
      </c>
      <c r="X325" s="2" t="str">
        <f t="shared" si="72"/>
        <v>X</v>
      </c>
      <c r="Y325" s="2" t="str">
        <f t="shared" si="73"/>
        <v>X</v>
      </c>
      <c r="Z325" s="2" t="str">
        <f t="shared" si="74"/>
        <v>X</v>
      </c>
      <c r="AA325" s="2" t="str">
        <f t="shared" si="76"/>
        <v>(31 downto 24)</v>
      </c>
      <c r="AB325" s="2" t="str">
        <f t="shared" si="77"/>
        <v>(23 downto 16)</v>
      </c>
      <c r="AC325" s="2" t="str">
        <f t="shared" si="78"/>
        <v>(15 downto 8)</v>
      </c>
      <c r="AD325" s="2" t="str">
        <f t="shared" si="79"/>
        <v>(7 downto 0)</v>
      </c>
      <c r="AE325" s="2" t="str">
        <f t="shared" si="80"/>
        <v>(31 downto 24)</v>
      </c>
      <c r="AF325" s="2" t="str">
        <f t="shared" si="81"/>
        <v>(23 downto 16)</v>
      </c>
      <c r="AG325" s="2" t="str">
        <f t="shared" si="82"/>
        <v>(15 downto 8)</v>
      </c>
      <c r="AH325" s="2" t="str">
        <f t="shared" si="83"/>
        <v>(7 downto 0)</v>
      </c>
    </row>
    <row r="326" spans="2:34" x14ac:dyDescent="0.25">
      <c r="B326" s="2" t="s">
        <v>872</v>
      </c>
      <c r="D326" s="2" t="s">
        <v>1</v>
      </c>
      <c r="E326" s="2" t="s">
        <v>134</v>
      </c>
      <c r="F326" s="2" t="s">
        <v>908</v>
      </c>
      <c r="G326" s="2" t="s">
        <v>909</v>
      </c>
      <c r="H326" s="2" t="s">
        <v>930</v>
      </c>
      <c r="I326" s="2" t="s">
        <v>42</v>
      </c>
      <c r="J326" s="2">
        <v>32</v>
      </c>
      <c r="K326" s="2" t="s">
        <v>137</v>
      </c>
      <c r="L326" s="2" t="s">
        <v>41</v>
      </c>
      <c r="M326" s="2" t="s">
        <v>135</v>
      </c>
      <c r="N326" s="2" t="s">
        <v>876</v>
      </c>
      <c r="O326" s="2" t="s">
        <v>931</v>
      </c>
      <c r="P326" s="2" t="s">
        <v>49</v>
      </c>
      <c r="Q326" s="2">
        <f>INDEX(Tables!$C$4:$C$28,MATCH($P326,Tables!$B$4:$B$28,0))</f>
        <v>32</v>
      </c>
      <c r="R326" s="2">
        <f>INDEX(Tables!$D$4:$D$28,MATCH($P326,Tables!$B$4:$B$28,0))</f>
        <v>4</v>
      </c>
      <c r="S326" s="2">
        <f>$S325+$R325+INDEX(Tables!$N$5:$Q$8,MATCH(MOD($S325+$R325,4),Tables!$M$5:$M$8,0),MATCH($R326,Tables!$N$4:$Q$4,0))</f>
        <v>1116</v>
      </c>
      <c r="T326" s="2" t="str">
        <f t="shared" si="84"/>
        <v>045C</v>
      </c>
      <c r="U326" s="2">
        <f t="shared" si="75"/>
        <v>279</v>
      </c>
      <c r="V326" s="2" t="str">
        <f t="shared" si="85"/>
        <v>117</v>
      </c>
      <c r="W326" s="2" t="str">
        <f t="shared" si="86"/>
        <v>X</v>
      </c>
      <c r="X326" s="2" t="str">
        <f t="shared" si="72"/>
        <v>X</v>
      </c>
      <c r="Y326" s="2" t="str">
        <f t="shared" si="73"/>
        <v>X</v>
      </c>
      <c r="Z326" s="2" t="str">
        <f t="shared" si="74"/>
        <v>X</v>
      </c>
      <c r="AA326" s="2" t="str">
        <f t="shared" si="76"/>
        <v>(31 downto 24)</v>
      </c>
      <c r="AB326" s="2" t="str">
        <f t="shared" si="77"/>
        <v>(23 downto 16)</v>
      </c>
      <c r="AC326" s="2" t="str">
        <f t="shared" si="78"/>
        <v>(15 downto 8)</v>
      </c>
      <c r="AD326" s="2" t="str">
        <f t="shared" si="79"/>
        <v>(7 downto 0)</v>
      </c>
      <c r="AE326" s="2" t="str">
        <f t="shared" si="80"/>
        <v>(31 downto 24)</v>
      </c>
      <c r="AF326" s="2" t="str">
        <f t="shared" si="81"/>
        <v>(23 downto 16)</v>
      </c>
      <c r="AG326" s="2" t="str">
        <f t="shared" si="82"/>
        <v>(15 downto 8)</v>
      </c>
      <c r="AH326" s="2" t="str">
        <f t="shared" si="83"/>
        <v>(7 downto 0)</v>
      </c>
    </row>
    <row r="327" spans="2:34" x14ac:dyDescent="0.25">
      <c r="B327" s="2" t="s">
        <v>872</v>
      </c>
      <c r="D327" s="2" t="s">
        <v>1</v>
      </c>
      <c r="E327" s="2" t="s">
        <v>134</v>
      </c>
      <c r="F327" s="2" t="s">
        <v>908</v>
      </c>
      <c r="G327" s="2" t="s">
        <v>909</v>
      </c>
      <c r="H327" s="2" t="s">
        <v>932</v>
      </c>
      <c r="I327" s="2" t="s">
        <v>42</v>
      </c>
      <c r="J327" s="2">
        <v>32</v>
      </c>
      <c r="K327" s="2" t="s">
        <v>137</v>
      </c>
      <c r="L327" s="2" t="s">
        <v>41</v>
      </c>
      <c r="M327" s="2" t="s">
        <v>135</v>
      </c>
      <c r="N327" s="2" t="s">
        <v>876</v>
      </c>
      <c r="O327" s="2" t="s">
        <v>933</v>
      </c>
      <c r="P327" s="2" t="s">
        <v>49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1120</v>
      </c>
      <c r="T327" s="2" t="str">
        <f t="shared" si="84"/>
        <v>0460</v>
      </c>
      <c r="U327" s="2">
        <f t="shared" si="75"/>
        <v>280</v>
      </c>
      <c r="V327" s="2" t="str">
        <f t="shared" si="85"/>
        <v>118</v>
      </c>
      <c r="W327" s="2" t="str">
        <f t="shared" si="86"/>
        <v>X</v>
      </c>
      <c r="X327" s="2" t="str">
        <f t="shared" si="72"/>
        <v>X</v>
      </c>
      <c r="Y327" s="2" t="str">
        <f t="shared" si="73"/>
        <v>X</v>
      </c>
      <c r="Z327" s="2" t="str">
        <f t="shared" si="74"/>
        <v>X</v>
      </c>
      <c r="AA327" s="2" t="str">
        <f t="shared" si="76"/>
        <v>(31 downto 24)</v>
      </c>
      <c r="AB327" s="2" t="str">
        <f t="shared" si="77"/>
        <v>(23 downto 16)</v>
      </c>
      <c r="AC327" s="2" t="str">
        <f t="shared" si="78"/>
        <v>(15 downto 8)</v>
      </c>
      <c r="AD327" s="2" t="str">
        <f t="shared" si="79"/>
        <v>(7 downto 0)</v>
      </c>
      <c r="AE327" s="2" t="str">
        <f t="shared" si="80"/>
        <v>(31 downto 24)</v>
      </c>
      <c r="AF327" s="2" t="str">
        <f t="shared" si="81"/>
        <v>(23 downto 16)</v>
      </c>
      <c r="AG327" s="2" t="str">
        <f t="shared" si="82"/>
        <v>(15 downto 8)</v>
      </c>
      <c r="AH327" s="2" t="str">
        <f t="shared" si="83"/>
        <v>(7 downto 0)</v>
      </c>
    </row>
    <row r="328" spans="2:34" x14ac:dyDescent="0.25">
      <c r="B328" s="2" t="s">
        <v>872</v>
      </c>
      <c r="D328" s="2" t="s">
        <v>1</v>
      </c>
      <c r="E328" s="2" t="s">
        <v>134</v>
      </c>
      <c r="F328" s="2" t="s">
        <v>908</v>
      </c>
      <c r="G328" s="2" t="s">
        <v>909</v>
      </c>
      <c r="H328" s="2" t="s">
        <v>934</v>
      </c>
      <c r="I328" s="2" t="s">
        <v>42</v>
      </c>
      <c r="J328" s="2">
        <v>32</v>
      </c>
      <c r="K328" s="2" t="s">
        <v>137</v>
      </c>
      <c r="L328" s="2" t="s">
        <v>41</v>
      </c>
      <c r="M328" s="2" t="s">
        <v>135</v>
      </c>
      <c r="N328" s="2" t="s">
        <v>876</v>
      </c>
      <c r="O328" s="2" t="s">
        <v>935</v>
      </c>
      <c r="P328" s="2" t="s">
        <v>49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1124</v>
      </c>
      <c r="T328" s="2" t="str">
        <f t="shared" si="84"/>
        <v>0464</v>
      </c>
      <c r="U328" s="2">
        <f t="shared" si="75"/>
        <v>281</v>
      </c>
      <c r="V328" s="2" t="str">
        <f t="shared" si="85"/>
        <v>119</v>
      </c>
      <c r="W328" s="2" t="str">
        <f t="shared" si="86"/>
        <v>X</v>
      </c>
      <c r="X328" s="2" t="str">
        <f t="shared" si="72"/>
        <v>X</v>
      </c>
      <c r="Y328" s="2" t="str">
        <f t="shared" si="73"/>
        <v>X</v>
      </c>
      <c r="Z328" s="2" t="str">
        <f t="shared" si="74"/>
        <v>X</v>
      </c>
      <c r="AA328" s="2" t="str">
        <f t="shared" si="76"/>
        <v>(31 downto 24)</v>
      </c>
      <c r="AB328" s="2" t="str">
        <f t="shared" si="77"/>
        <v>(23 downto 16)</v>
      </c>
      <c r="AC328" s="2" t="str">
        <f t="shared" si="78"/>
        <v>(15 downto 8)</v>
      </c>
      <c r="AD328" s="2" t="str">
        <f t="shared" si="79"/>
        <v>(7 downto 0)</v>
      </c>
      <c r="AE328" s="2" t="str">
        <f t="shared" si="80"/>
        <v>(31 downto 24)</v>
      </c>
      <c r="AF328" s="2" t="str">
        <f t="shared" si="81"/>
        <v>(23 downto 16)</v>
      </c>
      <c r="AG328" s="2" t="str">
        <f t="shared" si="82"/>
        <v>(15 downto 8)</v>
      </c>
      <c r="AH328" s="2" t="str">
        <f t="shared" si="83"/>
        <v>(7 downto 0)</v>
      </c>
    </row>
    <row r="329" spans="2:34" x14ac:dyDescent="0.25">
      <c r="B329" s="2" t="s">
        <v>872</v>
      </c>
      <c r="D329" s="2" t="s">
        <v>1</v>
      </c>
      <c r="E329" s="2" t="s">
        <v>134</v>
      </c>
      <c r="F329" s="2" t="s">
        <v>908</v>
      </c>
      <c r="G329" s="2" t="s">
        <v>909</v>
      </c>
      <c r="H329" s="2" t="s">
        <v>936</v>
      </c>
      <c r="I329" s="2" t="s">
        <v>42</v>
      </c>
      <c r="J329" s="2">
        <v>32</v>
      </c>
      <c r="K329" s="2" t="s">
        <v>137</v>
      </c>
      <c r="L329" s="2" t="s">
        <v>41</v>
      </c>
      <c r="M329" s="2" t="s">
        <v>135</v>
      </c>
      <c r="N329" s="2" t="s">
        <v>876</v>
      </c>
      <c r="O329" s="2" t="s">
        <v>937</v>
      </c>
      <c r="P329" s="2" t="s">
        <v>49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1128</v>
      </c>
      <c r="T329" s="2" t="str">
        <f t="shared" si="84"/>
        <v>0468</v>
      </c>
      <c r="U329" s="2">
        <f t="shared" si="75"/>
        <v>282</v>
      </c>
      <c r="V329" s="2" t="str">
        <f t="shared" si="85"/>
        <v>11A</v>
      </c>
      <c r="W329" s="2" t="str">
        <f t="shared" si="86"/>
        <v>X</v>
      </c>
      <c r="X329" s="2" t="str">
        <f t="shared" si="72"/>
        <v>X</v>
      </c>
      <c r="Y329" s="2" t="str">
        <f t="shared" si="73"/>
        <v>X</v>
      </c>
      <c r="Z329" s="2" t="str">
        <f t="shared" si="74"/>
        <v>X</v>
      </c>
      <c r="AA329" s="2" t="str">
        <f t="shared" si="76"/>
        <v>(31 downto 24)</v>
      </c>
      <c r="AB329" s="2" t="str">
        <f t="shared" si="77"/>
        <v>(23 downto 16)</v>
      </c>
      <c r="AC329" s="2" t="str">
        <f t="shared" si="78"/>
        <v>(15 downto 8)</v>
      </c>
      <c r="AD329" s="2" t="str">
        <f t="shared" si="79"/>
        <v>(7 downto 0)</v>
      </c>
      <c r="AE329" s="2" t="str">
        <f t="shared" si="80"/>
        <v>(31 downto 24)</v>
      </c>
      <c r="AF329" s="2" t="str">
        <f t="shared" si="81"/>
        <v>(23 downto 16)</v>
      </c>
      <c r="AG329" s="2" t="str">
        <f t="shared" si="82"/>
        <v>(15 downto 8)</v>
      </c>
      <c r="AH329" s="2" t="str">
        <f t="shared" si="83"/>
        <v>(7 downto 0)</v>
      </c>
    </row>
    <row r="330" spans="2:34" x14ac:dyDescent="0.25">
      <c r="B330" s="2" t="s">
        <v>872</v>
      </c>
      <c r="D330" s="2" t="s">
        <v>1</v>
      </c>
      <c r="E330" s="2" t="s">
        <v>134</v>
      </c>
      <c r="F330" s="2" t="s">
        <v>908</v>
      </c>
      <c r="G330" s="2" t="s">
        <v>909</v>
      </c>
      <c r="H330" s="2" t="s">
        <v>938</v>
      </c>
      <c r="I330" s="2" t="s">
        <v>42</v>
      </c>
      <c r="J330" s="2">
        <v>32</v>
      </c>
      <c r="K330" s="2" t="s">
        <v>137</v>
      </c>
      <c r="L330" s="2" t="s">
        <v>41</v>
      </c>
      <c r="M330" s="2" t="s">
        <v>135</v>
      </c>
      <c r="N330" s="2" t="s">
        <v>876</v>
      </c>
      <c r="O330" s="2" t="s">
        <v>939</v>
      </c>
      <c r="P330" s="2" t="s">
        <v>49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1132</v>
      </c>
      <c r="T330" s="2" t="str">
        <f t="shared" si="84"/>
        <v>046C</v>
      </c>
      <c r="U330" s="2">
        <f t="shared" si="75"/>
        <v>283</v>
      </c>
      <c r="V330" s="2" t="str">
        <f t="shared" si="85"/>
        <v>11B</v>
      </c>
      <c r="W330" s="2" t="str">
        <f t="shared" si="86"/>
        <v>X</v>
      </c>
      <c r="X330" s="2" t="str">
        <f t="shared" si="72"/>
        <v>X</v>
      </c>
      <c r="Y330" s="2" t="str">
        <f t="shared" si="73"/>
        <v>X</v>
      </c>
      <c r="Z330" s="2" t="str">
        <f t="shared" si="74"/>
        <v>X</v>
      </c>
      <c r="AA330" s="2" t="str">
        <f t="shared" si="76"/>
        <v>(31 downto 24)</v>
      </c>
      <c r="AB330" s="2" t="str">
        <f t="shared" si="77"/>
        <v>(23 downto 16)</v>
      </c>
      <c r="AC330" s="2" t="str">
        <f t="shared" si="78"/>
        <v>(15 downto 8)</v>
      </c>
      <c r="AD330" s="2" t="str">
        <f t="shared" si="79"/>
        <v>(7 downto 0)</v>
      </c>
      <c r="AE330" s="2" t="str">
        <f t="shared" si="80"/>
        <v>(31 downto 24)</v>
      </c>
      <c r="AF330" s="2" t="str">
        <f t="shared" si="81"/>
        <v>(23 downto 16)</v>
      </c>
      <c r="AG330" s="2" t="str">
        <f t="shared" si="82"/>
        <v>(15 downto 8)</v>
      </c>
      <c r="AH330" s="2" t="str">
        <f t="shared" si="83"/>
        <v>(7 downto 0)</v>
      </c>
    </row>
    <row r="331" spans="2:34" x14ac:dyDescent="0.25">
      <c r="B331" s="2" t="s">
        <v>872</v>
      </c>
      <c r="D331" s="2" t="s">
        <v>1</v>
      </c>
      <c r="E331" s="2" t="s">
        <v>134</v>
      </c>
      <c r="F331" s="2" t="s">
        <v>908</v>
      </c>
      <c r="G331" s="2" t="s">
        <v>909</v>
      </c>
      <c r="H331" s="2" t="s">
        <v>940</v>
      </c>
      <c r="I331" s="2" t="s">
        <v>42</v>
      </c>
      <c r="J331" s="2">
        <v>32</v>
      </c>
      <c r="K331" s="2" t="s">
        <v>137</v>
      </c>
      <c r="L331" s="2" t="s">
        <v>41</v>
      </c>
      <c r="M331" s="2" t="s">
        <v>135</v>
      </c>
      <c r="N331" s="2" t="s">
        <v>876</v>
      </c>
      <c r="O331" s="2" t="s">
        <v>941</v>
      </c>
      <c r="P331" s="2" t="s">
        <v>49</v>
      </c>
      <c r="Q331" s="2">
        <f>INDEX(Tables!$C$4:$C$28,MATCH($P331,Tables!$B$4:$B$28,0))</f>
        <v>32</v>
      </c>
      <c r="R331" s="2">
        <f>INDEX(Tables!$D$4:$D$28,MATCH($P331,Tables!$B$4:$B$28,0))</f>
        <v>4</v>
      </c>
      <c r="S331" s="2">
        <f>$S330+$R330+INDEX(Tables!$N$5:$Q$8,MATCH(MOD($S330+$R330,4),Tables!$M$5:$M$8,0),MATCH($R331,Tables!$N$4:$Q$4,0))</f>
        <v>1136</v>
      </c>
      <c r="T331" s="2" t="str">
        <f t="shared" si="84"/>
        <v>0470</v>
      </c>
      <c r="U331" s="2">
        <f t="shared" si="75"/>
        <v>284</v>
      </c>
      <c r="V331" s="2" t="str">
        <f t="shared" si="85"/>
        <v>11C</v>
      </c>
      <c r="W331" s="2" t="str">
        <f t="shared" si="86"/>
        <v>X</v>
      </c>
      <c r="X331" s="2" t="str">
        <f t="shared" si="72"/>
        <v>X</v>
      </c>
      <c r="Y331" s="2" t="str">
        <f t="shared" si="73"/>
        <v>X</v>
      </c>
      <c r="Z331" s="2" t="str">
        <f t="shared" si="74"/>
        <v>X</v>
      </c>
      <c r="AA331" s="2" t="str">
        <f t="shared" si="76"/>
        <v>(31 downto 24)</v>
      </c>
      <c r="AB331" s="2" t="str">
        <f t="shared" si="77"/>
        <v>(23 downto 16)</v>
      </c>
      <c r="AC331" s="2" t="str">
        <f t="shared" si="78"/>
        <v>(15 downto 8)</v>
      </c>
      <c r="AD331" s="2" t="str">
        <f t="shared" si="79"/>
        <v>(7 downto 0)</v>
      </c>
      <c r="AE331" s="2" t="str">
        <f t="shared" si="80"/>
        <v>(31 downto 24)</v>
      </c>
      <c r="AF331" s="2" t="str">
        <f t="shared" si="81"/>
        <v>(23 downto 16)</v>
      </c>
      <c r="AG331" s="2" t="str">
        <f t="shared" si="82"/>
        <v>(15 downto 8)</v>
      </c>
      <c r="AH331" s="2" t="str">
        <f t="shared" si="83"/>
        <v>(7 downto 0)</v>
      </c>
    </row>
    <row r="332" spans="2:34" x14ac:dyDescent="0.25">
      <c r="B332" s="2" t="s">
        <v>872</v>
      </c>
      <c r="D332" s="2" t="s">
        <v>1</v>
      </c>
      <c r="E332" s="2" t="s">
        <v>134</v>
      </c>
      <c r="F332" s="2" t="s">
        <v>908</v>
      </c>
      <c r="G332" s="2" t="s">
        <v>909</v>
      </c>
      <c r="H332" s="2" t="s">
        <v>942</v>
      </c>
      <c r="I332" s="2" t="s">
        <v>42</v>
      </c>
      <c r="J332" s="2">
        <v>32</v>
      </c>
      <c r="K332" s="2" t="s">
        <v>137</v>
      </c>
      <c r="L332" s="2" t="s">
        <v>41</v>
      </c>
      <c r="M332" s="2" t="s">
        <v>135</v>
      </c>
      <c r="N332" s="2" t="s">
        <v>876</v>
      </c>
      <c r="O332" s="2" t="s">
        <v>943</v>
      </c>
      <c r="P332" s="2" t="s">
        <v>49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1140</v>
      </c>
      <c r="T332" s="2" t="str">
        <f t="shared" si="84"/>
        <v>0474</v>
      </c>
      <c r="U332" s="2">
        <f t="shared" si="75"/>
        <v>285</v>
      </c>
      <c r="V332" s="2" t="str">
        <f t="shared" si="85"/>
        <v>11D</v>
      </c>
      <c r="W332" s="2" t="str">
        <f t="shared" si="86"/>
        <v>X</v>
      </c>
      <c r="X332" s="2" t="str">
        <f t="shared" si="72"/>
        <v>X</v>
      </c>
      <c r="Y332" s="2" t="str">
        <f t="shared" si="73"/>
        <v>X</v>
      </c>
      <c r="Z332" s="2" t="str">
        <f t="shared" si="74"/>
        <v>X</v>
      </c>
      <c r="AA332" s="2" t="str">
        <f t="shared" si="76"/>
        <v>(31 downto 24)</v>
      </c>
      <c r="AB332" s="2" t="str">
        <f t="shared" si="77"/>
        <v>(23 downto 16)</v>
      </c>
      <c r="AC332" s="2" t="str">
        <f t="shared" si="78"/>
        <v>(15 downto 8)</v>
      </c>
      <c r="AD332" s="2" t="str">
        <f t="shared" si="79"/>
        <v>(7 downto 0)</v>
      </c>
      <c r="AE332" s="2" t="str">
        <f t="shared" si="80"/>
        <v>(31 downto 24)</v>
      </c>
      <c r="AF332" s="2" t="str">
        <f t="shared" si="81"/>
        <v>(23 downto 16)</v>
      </c>
      <c r="AG332" s="2" t="str">
        <f t="shared" si="82"/>
        <v>(15 downto 8)</v>
      </c>
      <c r="AH332" s="2" t="str">
        <f t="shared" si="83"/>
        <v>(7 downto 0)</v>
      </c>
    </row>
    <row r="333" spans="2:34" x14ac:dyDescent="0.25">
      <c r="B333" s="2" t="s">
        <v>872</v>
      </c>
      <c r="D333" s="2" t="s">
        <v>1</v>
      </c>
      <c r="E333" s="2" t="s">
        <v>134</v>
      </c>
      <c r="F333" s="2" t="s">
        <v>908</v>
      </c>
      <c r="G333" s="2" t="s">
        <v>909</v>
      </c>
      <c r="H333" s="2" t="s">
        <v>944</v>
      </c>
      <c r="I333" s="2" t="s">
        <v>42</v>
      </c>
      <c r="J333" s="2">
        <v>32</v>
      </c>
      <c r="K333" s="2" t="s">
        <v>137</v>
      </c>
      <c r="L333" s="2" t="s">
        <v>41</v>
      </c>
      <c r="M333" s="2" t="s">
        <v>135</v>
      </c>
      <c r="N333" s="2" t="s">
        <v>876</v>
      </c>
      <c r="O333" s="2" t="s">
        <v>945</v>
      </c>
      <c r="P333" s="2" t="s">
        <v>49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1144</v>
      </c>
      <c r="T333" s="2" t="str">
        <f t="shared" si="84"/>
        <v>0478</v>
      </c>
      <c r="U333" s="2">
        <f t="shared" si="75"/>
        <v>286</v>
      </c>
      <c r="V333" s="2" t="str">
        <f t="shared" si="85"/>
        <v>11E</v>
      </c>
      <c r="W333" s="2" t="str">
        <f t="shared" si="86"/>
        <v>X</v>
      </c>
      <c r="X333" s="2" t="str">
        <f t="shared" si="72"/>
        <v>X</v>
      </c>
      <c r="Y333" s="2" t="str">
        <f t="shared" si="73"/>
        <v>X</v>
      </c>
      <c r="Z333" s="2" t="str">
        <f t="shared" si="74"/>
        <v>X</v>
      </c>
      <c r="AA333" s="2" t="str">
        <f t="shared" si="76"/>
        <v>(31 downto 24)</v>
      </c>
      <c r="AB333" s="2" t="str">
        <f t="shared" si="77"/>
        <v>(23 downto 16)</v>
      </c>
      <c r="AC333" s="2" t="str">
        <f t="shared" si="78"/>
        <v>(15 downto 8)</v>
      </c>
      <c r="AD333" s="2" t="str">
        <f t="shared" si="79"/>
        <v>(7 downto 0)</v>
      </c>
      <c r="AE333" s="2" t="str">
        <f t="shared" si="80"/>
        <v>(31 downto 24)</v>
      </c>
      <c r="AF333" s="2" t="str">
        <f t="shared" si="81"/>
        <v>(23 downto 16)</v>
      </c>
      <c r="AG333" s="2" t="str">
        <f t="shared" si="82"/>
        <v>(15 downto 8)</v>
      </c>
      <c r="AH333" s="2" t="str">
        <f t="shared" si="83"/>
        <v>(7 downto 0)</v>
      </c>
    </row>
    <row r="334" spans="2:34" x14ac:dyDescent="0.25">
      <c r="B334" s="2" t="s">
        <v>872</v>
      </c>
      <c r="D334" s="2" t="s">
        <v>1</v>
      </c>
      <c r="E334" s="2" t="s">
        <v>134</v>
      </c>
      <c r="F334" s="2" t="s">
        <v>908</v>
      </c>
      <c r="G334" s="2" t="s">
        <v>909</v>
      </c>
      <c r="H334" s="2" t="s">
        <v>946</v>
      </c>
      <c r="I334" s="2" t="s">
        <v>42</v>
      </c>
      <c r="J334" s="2">
        <v>32</v>
      </c>
      <c r="K334" s="2" t="s">
        <v>137</v>
      </c>
      <c r="L334" s="2" t="s">
        <v>41</v>
      </c>
      <c r="M334" s="2" t="s">
        <v>135</v>
      </c>
      <c r="N334" s="2" t="s">
        <v>876</v>
      </c>
      <c r="O334" s="2" t="s">
        <v>947</v>
      </c>
      <c r="P334" s="2" t="s">
        <v>49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1148</v>
      </c>
      <c r="T334" s="2" t="str">
        <f t="shared" si="84"/>
        <v>047C</v>
      </c>
      <c r="U334" s="2">
        <f t="shared" si="75"/>
        <v>287</v>
      </c>
      <c r="V334" s="2" t="str">
        <f t="shared" si="85"/>
        <v>11F</v>
      </c>
      <c r="W334" s="2" t="str">
        <f t="shared" si="86"/>
        <v>X</v>
      </c>
      <c r="X334" s="2" t="str">
        <f t="shared" si="72"/>
        <v>X</v>
      </c>
      <c r="Y334" s="2" t="str">
        <f t="shared" si="73"/>
        <v>X</v>
      </c>
      <c r="Z334" s="2" t="str">
        <f t="shared" si="74"/>
        <v>X</v>
      </c>
      <c r="AA334" s="2" t="str">
        <f t="shared" si="76"/>
        <v>(31 downto 24)</v>
      </c>
      <c r="AB334" s="2" t="str">
        <f t="shared" si="77"/>
        <v>(23 downto 16)</v>
      </c>
      <c r="AC334" s="2" t="str">
        <f t="shared" si="78"/>
        <v>(15 downto 8)</v>
      </c>
      <c r="AD334" s="2" t="str">
        <f t="shared" si="79"/>
        <v>(7 downto 0)</v>
      </c>
      <c r="AE334" s="2" t="str">
        <f t="shared" si="80"/>
        <v>(31 downto 24)</v>
      </c>
      <c r="AF334" s="2" t="str">
        <f t="shared" si="81"/>
        <v>(23 downto 16)</v>
      </c>
      <c r="AG334" s="2" t="str">
        <f t="shared" si="82"/>
        <v>(15 downto 8)</v>
      </c>
      <c r="AH334" s="2" t="str">
        <f t="shared" si="83"/>
        <v>(7 downto 0)</v>
      </c>
    </row>
    <row r="335" spans="2:34" x14ac:dyDescent="0.25">
      <c r="B335" s="2" t="s">
        <v>872</v>
      </c>
      <c r="D335" s="2" t="s">
        <v>1</v>
      </c>
      <c r="E335" s="2" t="s">
        <v>134</v>
      </c>
      <c r="F335" s="2" t="s">
        <v>948</v>
      </c>
      <c r="G335" s="2" t="s">
        <v>949</v>
      </c>
      <c r="H335" s="2" t="s">
        <v>950</v>
      </c>
      <c r="I335" s="2" t="s">
        <v>42</v>
      </c>
      <c r="J335" s="2">
        <v>32</v>
      </c>
      <c r="K335" s="2" t="s">
        <v>137</v>
      </c>
      <c r="L335" s="2" t="s">
        <v>41</v>
      </c>
      <c r="M335" s="2" t="s">
        <v>135</v>
      </c>
      <c r="N335" s="2" t="s">
        <v>876</v>
      </c>
      <c r="O335" s="2" t="s">
        <v>951</v>
      </c>
      <c r="P335" s="2" t="s">
        <v>49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1152</v>
      </c>
      <c r="T335" s="2" t="str">
        <f t="shared" si="84"/>
        <v>0480</v>
      </c>
      <c r="U335" s="2">
        <f t="shared" si="75"/>
        <v>288</v>
      </c>
      <c r="V335" s="2" t="str">
        <f t="shared" si="85"/>
        <v>120</v>
      </c>
      <c r="W335" s="2" t="str">
        <f t="shared" si="86"/>
        <v>X</v>
      </c>
      <c r="X335" s="2" t="str">
        <f t="shared" si="72"/>
        <v>X</v>
      </c>
      <c r="Y335" s="2" t="str">
        <f t="shared" si="73"/>
        <v>X</v>
      </c>
      <c r="Z335" s="2" t="str">
        <f t="shared" si="74"/>
        <v>X</v>
      </c>
      <c r="AA335" s="2" t="str">
        <f t="shared" si="76"/>
        <v>(31 downto 24)</v>
      </c>
      <c r="AB335" s="2" t="str">
        <f t="shared" si="77"/>
        <v>(23 downto 16)</v>
      </c>
      <c r="AC335" s="2" t="str">
        <f t="shared" si="78"/>
        <v>(15 downto 8)</v>
      </c>
      <c r="AD335" s="2" t="str">
        <f t="shared" si="79"/>
        <v>(7 downto 0)</v>
      </c>
      <c r="AE335" s="2" t="str">
        <f t="shared" si="80"/>
        <v>(31 downto 24)</v>
      </c>
      <c r="AF335" s="2" t="str">
        <f t="shared" si="81"/>
        <v>(23 downto 16)</v>
      </c>
      <c r="AG335" s="2" t="str">
        <f t="shared" si="82"/>
        <v>(15 downto 8)</v>
      </c>
      <c r="AH335" s="2" t="str">
        <f t="shared" si="83"/>
        <v>(7 downto 0)</v>
      </c>
    </row>
    <row r="336" spans="2:34" x14ac:dyDescent="0.25">
      <c r="B336" s="2" t="s">
        <v>872</v>
      </c>
      <c r="D336" s="2" t="s">
        <v>1</v>
      </c>
      <c r="E336" s="2" t="s">
        <v>134</v>
      </c>
      <c r="F336" s="2" t="s">
        <v>948</v>
      </c>
      <c r="G336" s="2" t="s">
        <v>949</v>
      </c>
      <c r="H336" s="2" t="s">
        <v>952</v>
      </c>
      <c r="I336" s="2" t="s">
        <v>42</v>
      </c>
      <c r="J336" s="2">
        <v>32</v>
      </c>
      <c r="K336" s="2" t="s">
        <v>137</v>
      </c>
      <c r="L336" s="2" t="s">
        <v>41</v>
      </c>
      <c r="M336" s="2" t="s">
        <v>135</v>
      </c>
      <c r="N336" s="2" t="s">
        <v>876</v>
      </c>
      <c r="O336" s="2" t="s">
        <v>953</v>
      </c>
      <c r="P336" s="2" t="s">
        <v>49</v>
      </c>
      <c r="Q336" s="2">
        <f>INDEX(Tables!$C$4:$C$28,MATCH($P336,Tables!$B$4:$B$28,0))</f>
        <v>32</v>
      </c>
      <c r="R336" s="2">
        <f>INDEX(Tables!$D$4:$D$28,MATCH($P336,Tables!$B$4:$B$28,0))</f>
        <v>4</v>
      </c>
      <c r="S336" s="2">
        <f>$S335+$R335+INDEX(Tables!$N$5:$Q$8,MATCH(MOD($S335+$R335,4),Tables!$M$5:$M$8,0),MATCH($R336,Tables!$N$4:$Q$4,0))</f>
        <v>1156</v>
      </c>
      <c r="T336" s="2" t="str">
        <f t="shared" si="84"/>
        <v>0484</v>
      </c>
      <c r="U336" s="2">
        <f t="shared" si="75"/>
        <v>289</v>
      </c>
      <c r="V336" s="2" t="str">
        <f t="shared" si="85"/>
        <v>121</v>
      </c>
      <c r="W336" s="2" t="str">
        <f t="shared" si="86"/>
        <v>X</v>
      </c>
      <c r="X336" s="2" t="str">
        <f t="shared" si="72"/>
        <v>X</v>
      </c>
      <c r="Y336" s="2" t="str">
        <f t="shared" si="73"/>
        <v>X</v>
      </c>
      <c r="Z336" s="2" t="str">
        <f t="shared" si="74"/>
        <v>X</v>
      </c>
      <c r="AA336" s="2" t="str">
        <f t="shared" si="76"/>
        <v>(31 downto 24)</v>
      </c>
      <c r="AB336" s="2" t="str">
        <f t="shared" si="77"/>
        <v>(23 downto 16)</v>
      </c>
      <c r="AC336" s="2" t="str">
        <f t="shared" si="78"/>
        <v>(15 downto 8)</v>
      </c>
      <c r="AD336" s="2" t="str">
        <f t="shared" si="79"/>
        <v>(7 downto 0)</v>
      </c>
      <c r="AE336" s="2" t="str">
        <f t="shared" si="80"/>
        <v>(31 downto 24)</v>
      </c>
      <c r="AF336" s="2" t="str">
        <f t="shared" si="81"/>
        <v>(23 downto 16)</v>
      </c>
      <c r="AG336" s="2" t="str">
        <f t="shared" si="82"/>
        <v>(15 downto 8)</v>
      </c>
      <c r="AH336" s="2" t="str">
        <f t="shared" si="83"/>
        <v>(7 downto 0)</v>
      </c>
    </row>
    <row r="337" spans="2:34" x14ac:dyDescent="0.25">
      <c r="B337" s="2" t="s">
        <v>872</v>
      </c>
      <c r="D337" s="2" t="s">
        <v>1</v>
      </c>
      <c r="E337" s="2" t="s">
        <v>134</v>
      </c>
      <c r="F337" s="2" t="s">
        <v>948</v>
      </c>
      <c r="G337" s="2" t="s">
        <v>949</v>
      </c>
      <c r="H337" s="2" t="s">
        <v>954</v>
      </c>
      <c r="I337" s="2" t="s">
        <v>42</v>
      </c>
      <c r="J337" s="2">
        <v>32</v>
      </c>
      <c r="K337" s="2" t="s">
        <v>137</v>
      </c>
      <c r="L337" s="2" t="s">
        <v>41</v>
      </c>
      <c r="M337" s="2" t="s">
        <v>135</v>
      </c>
      <c r="N337" s="2" t="s">
        <v>876</v>
      </c>
      <c r="O337" s="2" t="s">
        <v>955</v>
      </c>
      <c r="P337" s="2" t="s">
        <v>49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1160</v>
      </c>
      <c r="T337" s="2" t="str">
        <f t="shared" si="84"/>
        <v>0488</v>
      </c>
      <c r="U337" s="2">
        <f t="shared" si="75"/>
        <v>290</v>
      </c>
      <c r="V337" s="2" t="str">
        <f t="shared" si="85"/>
        <v>122</v>
      </c>
      <c r="W337" s="2" t="str">
        <f t="shared" si="86"/>
        <v>X</v>
      </c>
      <c r="X337" s="2" t="str">
        <f t="shared" si="72"/>
        <v>X</v>
      </c>
      <c r="Y337" s="2" t="str">
        <f t="shared" si="73"/>
        <v>X</v>
      </c>
      <c r="Z337" s="2" t="str">
        <f t="shared" si="74"/>
        <v>X</v>
      </c>
      <c r="AA337" s="2" t="str">
        <f t="shared" si="76"/>
        <v>(31 downto 24)</v>
      </c>
      <c r="AB337" s="2" t="str">
        <f t="shared" si="77"/>
        <v>(23 downto 16)</v>
      </c>
      <c r="AC337" s="2" t="str">
        <f t="shared" si="78"/>
        <v>(15 downto 8)</v>
      </c>
      <c r="AD337" s="2" t="str">
        <f t="shared" si="79"/>
        <v>(7 downto 0)</v>
      </c>
      <c r="AE337" s="2" t="str">
        <f t="shared" si="80"/>
        <v>(31 downto 24)</v>
      </c>
      <c r="AF337" s="2" t="str">
        <f t="shared" si="81"/>
        <v>(23 downto 16)</v>
      </c>
      <c r="AG337" s="2" t="str">
        <f t="shared" si="82"/>
        <v>(15 downto 8)</v>
      </c>
      <c r="AH337" s="2" t="str">
        <f t="shared" si="83"/>
        <v>(7 downto 0)</v>
      </c>
    </row>
    <row r="338" spans="2:34" x14ac:dyDescent="0.25">
      <c r="B338" s="2" t="s">
        <v>872</v>
      </c>
      <c r="D338" s="2" t="s">
        <v>1</v>
      </c>
      <c r="E338" s="2" t="s">
        <v>134</v>
      </c>
      <c r="F338" s="2" t="s">
        <v>948</v>
      </c>
      <c r="G338" s="2" t="s">
        <v>949</v>
      </c>
      <c r="H338" s="2" t="s">
        <v>956</v>
      </c>
      <c r="I338" s="2" t="s">
        <v>42</v>
      </c>
      <c r="J338" s="2">
        <v>32</v>
      </c>
      <c r="K338" s="2" t="s">
        <v>137</v>
      </c>
      <c r="L338" s="2" t="s">
        <v>41</v>
      </c>
      <c r="M338" s="2" t="s">
        <v>135</v>
      </c>
      <c r="N338" s="2" t="s">
        <v>876</v>
      </c>
      <c r="O338" s="2" t="s">
        <v>957</v>
      </c>
      <c r="P338" s="2" t="s">
        <v>49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1164</v>
      </c>
      <c r="T338" s="2" t="str">
        <f t="shared" si="84"/>
        <v>048C</v>
      </c>
      <c r="U338" s="2">
        <f t="shared" si="75"/>
        <v>291</v>
      </c>
      <c r="V338" s="2" t="str">
        <f t="shared" si="85"/>
        <v>123</v>
      </c>
      <c r="W338" s="2" t="str">
        <f t="shared" si="86"/>
        <v>X</v>
      </c>
      <c r="X338" s="2" t="str">
        <f t="shared" si="72"/>
        <v>X</v>
      </c>
      <c r="Y338" s="2" t="str">
        <f t="shared" si="73"/>
        <v>X</v>
      </c>
      <c r="Z338" s="2" t="str">
        <f t="shared" si="74"/>
        <v>X</v>
      </c>
      <c r="AA338" s="2" t="str">
        <f t="shared" si="76"/>
        <v>(31 downto 24)</v>
      </c>
      <c r="AB338" s="2" t="str">
        <f t="shared" si="77"/>
        <v>(23 downto 16)</v>
      </c>
      <c r="AC338" s="2" t="str">
        <f t="shared" si="78"/>
        <v>(15 downto 8)</v>
      </c>
      <c r="AD338" s="2" t="str">
        <f t="shared" si="79"/>
        <v>(7 downto 0)</v>
      </c>
      <c r="AE338" s="2" t="str">
        <f t="shared" si="80"/>
        <v>(31 downto 24)</v>
      </c>
      <c r="AF338" s="2" t="str">
        <f t="shared" si="81"/>
        <v>(23 downto 16)</v>
      </c>
      <c r="AG338" s="2" t="str">
        <f t="shared" si="82"/>
        <v>(15 downto 8)</v>
      </c>
      <c r="AH338" s="2" t="str">
        <f t="shared" si="83"/>
        <v>(7 downto 0)</v>
      </c>
    </row>
    <row r="339" spans="2:34" x14ac:dyDescent="0.25">
      <c r="B339" s="2" t="s">
        <v>872</v>
      </c>
      <c r="D339" s="2" t="s">
        <v>1</v>
      </c>
      <c r="E339" s="2" t="s">
        <v>134</v>
      </c>
      <c r="F339" s="2" t="s">
        <v>958</v>
      </c>
      <c r="G339" s="2" t="s">
        <v>959</v>
      </c>
      <c r="H339" s="2" t="s">
        <v>960</v>
      </c>
      <c r="I339" s="2" t="s">
        <v>42</v>
      </c>
      <c r="J339" s="2">
        <v>32</v>
      </c>
      <c r="K339" s="2" t="s">
        <v>137</v>
      </c>
      <c r="L339" s="2" t="s">
        <v>41</v>
      </c>
      <c r="M339" s="2" t="s">
        <v>135</v>
      </c>
      <c r="N339" s="2" t="s">
        <v>876</v>
      </c>
      <c r="O339" s="2" t="s">
        <v>961</v>
      </c>
      <c r="P339" s="2" t="s">
        <v>49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1168</v>
      </c>
      <c r="T339" s="2" t="str">
        <f t="shared" si="84"/>
        <v>0490</v>
      </c>
      <c r="U339" s="2">
        <f t="shared" si="75"/>
        <v>292</v>
      </c>
      <c r="V339" s="2" t="str">
        <f t="shared" si="85"/>
        <v>124</v>
      </c>
      <c r="W339" s="2" t="str">
        <f t="shared" si="86"/>
        <v>X</v>
      </c>
      <c r="X339" s="2" t="str">
        <f t="shared" ref="X339:X402" si="87">IF(MOD($S339,4)=2,"X",IF(AND(MOD($S339,4)=1,$J339&gt;8),"X",IF(AND(MOD($S339,4)=0,$J339&gt;16),"X","")))</f>
        <v>X</v>
      </c>
      <c r="Y339" s="2" t="str">
        <f t="shared" ref="Y339:Y402" si="88">IF(MOD($S339,4)=1,"X",IF(AND(MOD($S339,4)=0,$J339&gt;8),"X",""))</f>
        <v>X</v>
      </c>
      <c r="Z339" s="2" t="str">
        <f t="shared" ref="Z339:Z402" si="89">IF(MOD($S339,4)=0,"X","")</f>
        <v>X</v>
      </c>
      <c r="AA339" s="2" t="str">
        <f t="shared" si="76"/>
        <v>(31 downto 24)</v>
      </c>
      <c r="AB339" s="2" t="str">
        <f t="shared" si="77"/>
        <v>(23 downto 16)</v>
      </c>
      <c r="AC339" s="2" t="str">
        <f t="shared" si="78"/>
        <v>(15 downto 8)</v>
      </c>
      <c r="AD339" s="2" t="str">
        <f t="shared" si="79"/>
        <v>(7 downto 0)</v>
      </c>
      <c r="AE339" s="2" t="str">
        <f t="shared" si="80"/>
        <v>(31 downto 24)</v>
      </c>
      <c r="AF339" s="2" t="str">
        <f t="shared" si="81"/>
        <v>(23 downto 16)</v>
      </c>
      <c r="AG339" s="2" t="str">
        <f t="shared" si="82"/>
        <v>(15 downto 8)</v>
      </c>
      <c r="AH339" s="2" t="str">
        <f t="shared" si="83"/>
        <v>(7 downto 0)</v>
      </c>
    </row>
    <row r="340" spans="2:34" x14ac:dyDescent="0.25">
      <c r="B340" s="2" t="s">
        <v>872</v>
      </c>
      <c r="D340" s="2" t="s">
        <v>1</v>
      </c>
      <c r="E340" s="2" t="s">
        <v>134</v>
      </c>
      <c r="F340" s="2" t="s">
        <v>958</v>
      </c>
      <c r="G340" s="2" t="s">
        <v>959</v>
      </c>
      <c r="H340" s="2" t="s">
        <v>962</v>
      </c>
      <c r="I340" s="2" t="s">
        <v>42</v>
      </c>
      <c r="J340" s="2">
        <v>32</v>
      </c>
      <c r="K340" s="2" t="s">
        <v>137</v>
      </c>
      <c r="L340" s="2" t="s">
        <v>41</v>
      </c>
      <c r="M340" s="2" t="s">
        <v>135</v>
      </c>
      <c r="N340" s="2" t="s">
        <v>876</v>
      </c>
      <c r="O340" s="2" t="s">
        <v>963</v>
      </c>
      <c r="P340" s="2" t="s">
        <v>49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1172</v>
      </c>
      <c r="T340" s="2" t="str">
        <f t="shared" si="84"/>
        <v>0494</v>
      </c>
      <c r="U340" s="2">
        <f t="shared" si="75"/>
        <v>293</v>
      </c>
      <c r="V340" s="2" t="str">
        <f t="shared" si="85"/>
        <v>125</v>
      </c>
      <c r="W340" s="2" t="str">
        <f t="shared" si="86"/>
        <v>X</v>
      </c>
      <c r="X340" s="2" t="str">
        <f t="shared" si="87"/>
        <v>X</v>
      </c>
      <c r="Y340" s="2" t="str">
        <f t="shared" si="88"/>
        <v>X</v>
      </c>
      <c r="Z340" s="2" t="str">
        <f t="shared" si="89"/>
        <v>X</v>
      </c>
      <c r="AA340" s="2" t="str">
        <f t="shared" si="76"/>
        <v>(31 downto 24)</v>
      </c>
      <c r="AB340" s="2" t="str">
        <f t="shared" si="77"/>
        <v>(23 downto 16)</v>
      </c>
      <c r="AC340" s="2" t="str">
        <f t="shared" si="78"/>
        <v>(15 downto 8)</v>
      </c>
      <c r="AD340" s="2" t="str">
        <f t="shared" si="79"/>
        <v>(7 downto 0)</v>
      </c>
      <c r="AE340" s="2" t="str">
        <f t="shared" si="80"/>
        <v>(31 downto 24)</v>
      </c>
      <c r="AF340" s="2" t="str">
        <f t="shared" si="81"/>
        <v>(23 downto 16)</v>
      </c>
      <c r="AG340" s="2" t="str">
        <f t="shared" si="82"/>
        <v>(15 downto 8)</v>
      </c>
      <c r="AH340" s="2" t="str">
        <f t="shared" si="83"/>
        <v>(7 downto 0)</v>
      </c>
    </row>
    <row r="341" spans="2:34" x14ac:dyDescent="0.25">
      <c r="B341" s="2" t="s">
        <v>872</v>
      </c>
      <c r="D341" s="2" t="s">
        <v>1</v>
      </c>
      <c r="E341" s="2" t="s">
        <v>134</v>
      </c>
      <c r="F341" s="2" t="s">
        <v>958</v>
      </c>
      <c r="G341" s="2" t="s">
        <v>959</v>
      </c>
      <c r="H341" s="2" t="s">
        <v>964</v>
      </c>
      <c r="I341" s="2" t="s">
        <v>42</v>
      </c>
      <c r="J341" s="2">
        <v>32</v>
      </c>
      <c r="K341" s="2" t="s">
        <v>137</v>
      </c>
      <c r="L341" s="2" t="s">
        <v>41</v>
      </c>
      <c r="M341" s="2" t="s">
        <v>135</v>
      </c>
      <c r="N341" s="2" t="s">
        <v>876</v>
      </c>
      <c r="O341" s="2" t="s">
        <v>965</v>
      </c>
      <c r="P341" s="2" t="s">
        <v>49</v>
      </c>
      <c r="Q341" s="2">
        <f>INDEX(Tables!$C$4:$C$28,MATCH($P341,Tables!$B$4:$B$28,0))</f>
        <v>32</v>
      </c>
      <c r="R341" s="2">
        <f>INDEX(Tables!$D$4:$D$28,MATCH($P341,Tables!$B$4:$B$28,0))</f>
        <v>4</v>
      </c>
      <c r="S341" s="2">
        <f>$S340+$R340+INDEX(Tables!$N$5:$Q$8,MATCH(MOD($S340+$R340,4),Tables!$M$5:$M$8,0),MATCH($R341,Tables!$N$4:$Q$4,0))</f>
        <v>1176</v>
      </c>
      <c r="T341" s="2" t="str">
        <f t="shared" si="84"/>
        <v>0498</v>
      </c>
      <c r="U341" s="2">
        <f t="shared" si="75"/>
        <v>294</v>
      </c>
      <c r="V341" s="2" t="str">
        <f t="shared" si="85"/>
        <v>126</v>
      </c>
      <c r="W341" s="2" t="str">
        <f t="shared" si="86"/>
        <v>X</v>
      </c>
      <c r="X341" s="2" t="str">
        <f t="shared" si="87"/>
        <v>X</v>
      </c>
      <c r="Y341" s="2" t="str">
        <f t="shared" si="88"/>
        <v>X</v>
      </c>
      <c r="Z341" s="2" t="str">
        <f t="shared" si="89"/>
        <v>X</v>
      </c>
      <c r="AA341" s="2" t="str">
        <f t="shared" si="76"/>
        <v>(31 downto 24)</v>
      </c>
      <c r="AB341" s="2" t="str">
        <f t="shared" si="77"/>
        <v>(23 downto 16)</v>
      </c>
      <c r="AC341" s="2" t="str">
        <f t="shared" si="78"/>
        <v>(15 downto 8)</v>
      </c>
      <c r="AD341" s="2" t="str">
        <f t="shared" si="79"/>
        <v>(7 downto 0)</v>
      </c>
      <c r="AE341" s="2" t="str">
        <f t="shared" si="80"/>
        <v>(31 downto 24)</v>
      </c>
      <c r="AF341" s="2" t="str">
        <f t="shared" si="81"/>
        <v>(23 downto 16)</v>
      </c>
      <c r="AG341" s="2" t="str">
        <f t="shared" si="82"/>
        <v>(15 downto 8)</v>
      </c>
      <c r="AH341" s="2" t="str">
        <f t="shared" si="83"/>
        <v>(7 downto 0)</v>
      </c>
    </row>
    <row r="342" spans="2:34" x14ac:dyDescent="0.25">
      <c r="B342" s="2" t="s">
        <v>872</v>
      </c>
      <c r="D342" s="2" t="s">
        <v>1</v>
      </c>
      <c r="E342" s="2" t="s">
        <v>134</v>
      </c>
      <c r="F342" s="2" t="s">
        <v>958</v>
      </c>
      <c r="G342" s="2" t="s">
        <v>959</v>
      </c>
      <c r="H342" s="2" t="s">
        <v>966</v>
      </c>
      <c r="I342" s="2" t="s">
        <v>42</v>
      </c>
      <c r="J342" s="2">
        <v>32</v>
      </c>
      <c r="K342" s="2" t="s">
        <v>137</v>
      </c>
      <c r="L342" s="2" t="s">
        <v>41</v>
      </c>
      <c r="M342" s="2" t="s">
        <v>135</v>
      </c>
      <c r="N342" s="2" t="s">
        <v>876</v>
      </c>
      <c r="O342" s="2" t="s">
        <v>967</v>
      </c>
      <c r="P342" s="2" t="s">
        <v>49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1180</v>
      </c>
      <c r="T342" s="2" t="str">
        <f t="shared" si="84"/>
        <v>049C</v>
      </c>
      <c r="U342" s="2">
        <f t="shared" si="75"/>
        <v>295</v>
      </c>
      <c r="V342" s="2" t="str">
        <f t="shared" si="85"/>
        <v>127</v>
      </c>
      <c r="W342" s="2" t="str">
        <f t="shared" si="86"/>
        <v>X</v>
      </c>
      <c r="X342" s="2" t="str">
        <f t="shared" si="87"/>
        <v>X</v>
      </c>
      <c r="Y342" s="2" t="str">
        <f t="shared" si="88"/>
        <v>X</v>
      </c>
      <c r="Z342" s="2" t="str">
        <f t="shared" si="89"/>
        <v>X</v>
      </c>
      <c r="AA342" s="2" t="str">
        <f t="shared" si="76"/>
        <v>(31 downto 24)</v>
      </c>
      <c r="AB342" s="2" t="str">
        <f t="shared" si="77"/>
        <v>(23 downto 16)</v>
      </c>
      <c r="AC342" s="2" t="str">
        <f t="shared" si="78"/>
        <v>(15 downto 8)</v>
      </c>
      <c r="AD342" s="2" t="str">
        <f t="shared" si="79"/>
        <v>(7 downto 0)</v>
      </c>
      <c r="AE342" s="2" t="str">
        <f t="shared" si="80"/>
        <v>(31 downto 24)</v>
      </c>
      <c r="AF342" s="2" t="str">
        <f t="shared" si="81"/>
        <v>(23 downto 16)</v>
      </c>
      <c r="AG342" s="2" t="str">
        <f t="shared" si="82"/>
        <v>(15 downto 8)</v>
      </c>
      <c r="AH342" s="2" t="str">
        <f t="shared" si="83"/>
        <v>(7 downto 0)</v>
      </c>
    </row>
    <row r="343" spans="2:34" x14ac:dyDescent="0.25">
      <c r="B343" s="2" t="s">
        <v>872</v>
      </c>
      <c r="D343" s="2" t="s">
        <v>1</v>
      </c>
      <c r="E343" s="2" t="s">
        <v>134</v>
      </c>
      <c r="F343" s="2" t="s">
        <v>968</v>
      </c>
      <c r="G343" s="2" t="s">
        <v>969</v>
      </c>
      <c r="H343" s="2" t="s">
        <v>970</v>
      </c>
      <c r="I343" s="2" t="s">
        <v>42</v>
      </c>
      <c r="J343" s="2">
        <v>8</v>
      </c>
      <c r="K343" s="2" t="s">
        <v>137</v>
      </c>
      <c r="L343" s="2" t="s">
        <v>41</v>
      </c>
      <c r="M343" s="2" t="s">
        <v>135</v>
      </c>
      <c r="N343" s="2" t="s">
        <v>876</v>
      </c>
      <c r="O343" s="2" t="s">
        <v>971</v>
      </c>
      <c r="P343" s="2" t="s">
        <v>48</v>
      </c>
      <c r="Q343" s="2">
        <f>INDEX(Tables!$C$4:$C$28,MATCH($P343,Tables!$B$4:$B$28,0))</f>
        <v>8</v>
      </c>
      <c r="R343" s="2">
        <f>INDEX(Tables!$D$4:$D$28,MATCH($P343,Tables!$B$4:$B$28,0))</f>
        <v>1</v>
      </c>
      <c r="S343" s="2">
        <f>$S342+$R342+INDEX(Tables!$N$5:$Q$8,MATCH(MOD($S342+$R342,4),Tables!$M$5:$M$8,0),MATCH($R343,Tables!$N$4:$Q$4,0))</f>
        <v>1184</v>
      </c>
      <c r="T343" s="2" t="str">
        <f t="shared" si="84"/>
        <v>04A0</v>
      </c>
      <c r="U343" s="2">
        <f t="shared" si="75"/>
        <v>296</v>
      </c>
      <c r="V343" s="2" t="str">
        <f t="shared" si="85"/>
        <v>128</v>
      </c>
      <c r="W343" s="2" t="str">
        <f t="shared" si="86"/>
        <v/>
      </c>
      <c r="X343" s="2" t="str">
        <f t="shared" si="87"/>
        <v/>
      </c>
      <c r="Y343" s="2" t="str">
        <f t="shared" si="88"/>
        <v/>
      </c>
      <c r="Z343" s="2" t="str">
        <f t="shared" si="89"/>
        <v>X</v>
      </c>
      <c r="AA343" s="2" t="str">
        <f t="shared" si="76"/>
        <v/>
      </c>
      <c r="AB343" s="2" t="str">
        <f t="shared" si="77"/>
        <v/>
      </c>
      <c r="AC343" s="2" t="str">
        <f t="shared" si="78"/>
        <v/>
      </c>
      <c r="AD343" s="2" t="str">
        <f t="shared" si="79"/>
        <v>(7 downto 0)</v>
      </c>
      <c r="AE343" s="2" t="str">
        <f t="shared" si="80"/>
        <v/>
      </c>
      <c r="AF343" s="2" t="str">
        <f t="shared" si="81"/>
        <v/>
      </c>
      <c r="AG343" s="2" t="str">
        <f t="shared" si="82"/>
        <v/>
      </c>
      <c r="AH343" s="2" t="str">
        <f t="shared" si="83"/>
        <v/>
      </c>
    </row>
    <row r="344" spans="2:34" x14ac:dyDescent="0.25">
      <c r="B344" s="2" t="s">
        <v>872</v>
      </c>
      <c r="D344" s="2" t="s">
        <v>1</v>
      </c>
      <c r="E344" s="2" t="s">
        <v>134</v>
      </c>
      <c r="F344" s="2" t="s">
        <v>968</v>
      </c>
      <c r="G344" s="2" t="s">
        <v>969</v>
      </c>
      <c r="H344" s="2" t="s">
        <v>972</v>
      </c>
      <c r="I344" s="2" t="s">
        <v>42</v>
      </c>
      <c r="J344" s="2">
        <v>8</v>
      </c>
      <c r="K344" s="2" t="s">
        <v>137</v>
      </c>
      <c r="L344" s="2" t="s">
        <v>41</v>
      </c>
      <c r="M344" s="2" t="s">
        <v>135</v>
      </c>
      <c r="N344" s="2" t="s">
        <v>876</v>
      </c>
      <c r="O344" s="2" t="s">
        <v>973</v>
      </c>
      <c r="P344" s="2" t="s">
        <v>48</v>
      </c>
      <c r="Q344" s="2">
        <f>INDEX(Tables!$C$4:$C$28,MATCH($P344,Tables!$B$4:$B$28,0))</f>
        <v>8</v>
      </c>
      <c r="R344" s="2">
        <f>INDEX(Tables!$D$4:$D$28,MATCH($P344,Tables!$B$4:$B$28,0))</f>
        <v>1</v>
      </c>
      <c r="S344" s="2">
        <f>$S343+$R343+INDEX(Tables!$N$5:$Q$8,MATCH(MOD($S343+$R343,4),Tables!$M$5:$M$8,0),MATCH($R344,Tables!$N$4:$Q$4,0))</f>
        <v>1185</v>
      </c>
      <c r="T344" s="2" t="str">
        <f t="shared" si="84"/>
        <v>04A1</v>
      </c>
      <c r="U344" s="2">
        <f t="shared" si="75"/>
        <v>296</v>
      </c>
      <c r="V344" s="2" t="str">
        <f t="shared" si="85"/>
        <v>128</v>
      </c>
      <c r="W344" s="2" t="str">
        <f t="shared" si="86"/>
        <v/>
      </c>
      <c r="X344" s="2" t="str">
        <f t="shared" si="87"/>
        <v/>
      </c>
      <c r="Y344" s="2" t="str">
        <f t="shared" si="88"/>
        <v>X</v>
      </c>
      <c r="Z344" s="2" t="str">
        <f t="shared" si="89"/>
        <v/>
      </c>
      <c r="AA344" s="2" t="str">
        <f t="shared" si="76"/>
        <v/>
      </c>
      <c r="AB344" s="2" t="str">
        <f t="shared" si="77"/>
        <v/>
      </c>
      <c r="AC344" s="2" t="str">
        <f t="shared" si="78"/>
        <v>(15 downto 8)</v>
      </c>
      <c r="AD344" s="2" t="str">
        <f t="shared" si="79"/>
        <v/>
      </c>
      <c r="AE344" s="2" t="str">
        <f t="shared" si="80"/>
        <v/>
      </c>
      <c r="AF344" s="2" t="str">
        <f t="shared" si="81"/>
        <v/>
      </c>
      <c r="AG344" s="2" t="str">
        <f t="shared" si="82"/>
        <v/>
      </c>
      <c r="AH344" s="2" t="str">
        <f t="shared" si="83"/>
        <v/>
      </c>
    </row>
    <row r="345" spans="2:34" x14ac:dyDescent="0.25">
      <c r="B345" s="2" t="s">
        <v>872</v>
      </c>
      <c r="D345" s="2" t="s">
        <v>1</v>
      </c>
      <c r="E345" s="2" t="s">
        <v>134</v>
      </c>
      <c r="F345" s="2" t="s">
        <v>974</v>
      </c>
      <c r="G345" s="2" t="s">
        <v>975</v>
      </c>
      <c r="H345" s="2" t="s">
        <v>976</v>
      </c>
      <c r="I345" s="2" t="s">
        <v>42</v>
      </c>
      <c r="J345" s="2">
        <v>16</v>
      </c>
      <c r="K345" s="2" t="s">
        <v>137</v>
      </c>
      <c r="L345" s="2" t="s">
        <v>41</v>
      </c>
      <c r="M345" s="2" t="s">
        <v>135</v>
      </c>
      <c r="N345" s="2" t="s">
        <v>876</v>
      </c>
      <c r="O345" s="2" t="s">
        <v>977</v>
      </c>
      <c r="P345" s="2" t="s">
        <v>50</v>
      </c>
      <c r="Q345" s="2">
        <f>INDEX(Tables!$C$4:$C$28,MATCH($P345,Tables!$B$4:$B$28,0))</f>
        <v>16</v>
      </c>
      <c r="R345" s="2">
        <f>INDEX(Tables!$D$4:$D$28,MATCH($P345,Tables!$B$4:$B$28,0))</f>
        <v>2</v>
      </c>
      <c r="S345" s="2">
        <f>$S344+$R344+INDEX(Tables!$N$5:$Q$8,MATCH(MOD($S344+$R344,4),Tables!$M$5:$M$8,0),MATCH($R345,Tables!$N$4:$Q$4,0))</f>
        <v>1186</v>
      </c>
      <c r="T345" s="2" t="str">
        <f t="shared" si="84"/>
        <v>04A2</v>
      </c>
      <c r="U345" s="2">
        <f t="shared" si="75"/>
        <v>296</v>
      </c>
      <c r="V345" s="2" t="str">
        <f t="shared" si="85"/>
        <v>128</v>
      </c>
      <c r="W345" s="2" t="str">
        <f t="shared" si="86"/>
        <v>X</v>
      </c>
      <c r="X345" s="2" t="str">
        <f t="shared" si="87"/>
        <v>X</v>
      </c>
      <c r="Y345" s="2" t="str">
        <f t="shared" si="88"/>
        <v/>
      </c>
      <c r="Z345" s="2" t="str">
        <f t="shared" si="89"/>
        <v/>
      </c>
      <c r="AA345" s="2" t="str">
        <f t="shared" si="76"/>
        <v>(31 downto 24)</v>
      </c>
      <c r="AB345" s="2" t="str">
        <f t="shared" si="77"/>
        <v>(23 downto 16)</v>
      </c>
      <c r="AC345" s="2" t="str">
        <f t="shared" si="78"/>
        <v/>
      </c>
      <c r="AD345" s="2" t="str">
        <f t="shared" si="79"/>
        <v/>
      </c>
      <c r="AE345" s="2" t="str">
        <f t="shared" si="80"/>
        <v>(15 downto 8)</v>
      </c>
      <c r="AF345" s="2" t="str">
        <f t="shared" si="81"/>
        <v>(7 downto 0)</v>
      </c>
      <c r="AG345" s="2" t="str">
        <f t="shared" si="82"/>
        <v/>
      </c>
      <c r="AH345" s="2" t="str">
        <f t="shared" si="83"/>
        <v/>
      </c>
    </row>
    <row r="346" spans="2:34" x14ac:dyDescent="0.25">
      <c r="B346" s="2" t="s">
        <v>872</v>
      </c>
      <c r="D346" s="2" t="s">
        <v>1</v>
      </c>
      <c r="E346" s="2" t="s">
        <v>134</v>
      </c>
      <c r="F346" s="2" t="s">
        <v>974</v>
      </c>
      <c r="G346" s="2" t="s">
        <v>975</v>
      </c>
      <c r="H346" s="2" t="s">
        <v>978</v>
      </c>
      <c r="I346" s="2" t="s">
        <v>42</v>
      </c>
      <c r="J346" s="2">
        <v>16</v>
      </c>
      <c r="K346" s="2" t="s">
        <v>137</v>
      </c>
      <c r="L346" s="2" t="s">
        <v>41</v>
      </c>
      <c r="M346" s="2" t="s">
        <v>135</v>
      </c>
      <c r="N346" s="2" t="s">
        <v>876</v>
      </c>
      <c r="O346" s="2" t="s">
        <v>979</v>
      </c>
      <c r="P346" s="2" t="s">
        <v>50</v>
      </c>
      <c r="Q346" s="2">
        <f>INDEX(Tables!$C$4:$C$28,MATCH($P346,Tables!$B$4:$B$28,0))</f>
        <v>16</v>
      </c>
      <c r="R346" s="2">
        <f>INDEX(Tables!$D$4:$D$28,MATCH($P346,Tables!$B$4:$B$28,0))</f>
        <v>2</v>
      </c>
      <c r="S346" s="2">
        <f>$S345+$R345+INDEX(Tables!$N$5:$Q$8,MATCH(MOD($S345+$R345,4),Tables!$M$5:$M$8,0),MATCH($R346,Tables!$N$4:$Q$4,0))</f>
        <v>1188</v>
      </c>
      <c r="T346" s="2" t="str">
        <f t="shared" si="84"/>
        <v>04A4</v>
      </c>
      <c r="U346" s="2">
        <f t="shared" si="75"/>
        <v>297</v>
      </c>
      <c r="V346" s="2" t="str">
        <f t="shared" si="85"/>
        <v>129</v>
      </c>
      <c r="W346" s="2" t="str">
        <f t="shared" si="86"/>
        <v/>
      </c>
      <c r="X346" s="2" t="str">
        <f t="shared" si="87"/>
        <v/>
      </c>
      <c r="Y346" s="2" t="str">
        <f t="shared" si="88"/>
        <v>X</v>
      </c>
      <c r="Z346" s="2" t="str">
        <f t="shared" si="89"/>
        <v>X</v>
      </c>
      <c r="AA346" s="2" t="str">
        <f t="shared" si="76"/>
        <v/>
      </c>
      <c r="AB346" s="2" t="str">
        <f t="shared" si="77"/>
        <v/>
      </c>
      <c r="AC346" s="2" t="str">
        <f t="shared" si="78"/>
        <v>(15 downto 8)</v>
      </c>
      <c r="AD346" s="2" t="str">
        <f t="shared" si="79"/>
        <v>(7 downto 0)</v>
      </c>
      <c r="AE346" s="2" t="str">
        <f t="shared" si="80"/>
        <v/>
      </c>
      <c r="AF346" s="2" t="str">
        <f t="shared" si="81"/>
        <v/>
      </c>
      <c r="AG346" s="2" t="str">
        <f t="shared" si="82"/>
        <v>(15 downto 8)</v>
      </c>
      <c r="AH346" s="2" t="str">
        <f t="shared" si="83"/>
        <v>(7 downto 0)</v>
      </c>
    </row>
    <row r="347" spans="2:34" x14ac:dyDescent="0.25">
      <c r="B347" s="2" t="s">
        <v>872</v>
      </c>
      <c r="D347" s="2" t="s">
        <v>1</v>
      </c>
      <c r="E347" s="2" t="s">
        <v>134</v>
      </c>
      <c r="F347" s="2" t="s">
        <v>974</v>
      </c>
      <c r="G347" s="2" t="s">
        <v>975</v>
      </c>
      <c r="H347" s="2" t="s">
        <v>980</v>
      </c>
      <c r="I347" s="2" t="s">
        <v>42</v>
      </c>
      <c r="J347" s="2">
        <v>16</v>
      </c>
      <c r="K347" s="2" t="s">
        <v>137</v>
      </c>
      <c r="L347" s="2" t="s">
        <v>41</v>
      </c>
      <c r="M347" s="2" t="s">
        <v>135</v>
      </c>
      <c r="N347" s="2" t="s">
        <v>876</v>
      </c>
      <c r="O347" s="2" t="s">
        <v>981</v>
      </c>
      <c r="P347" s="2" t="s">
        <v>50</v>
      </c>
      <c r="Q347" s="2">
        <f>INDEX(Tables!$C$4:$C$28,MATCH($P347,Tables!$B$4:$B$28,0))</f>
        <v>16</v>
      </c>
      <c r="R347" s="2">
        <f>INDEX(Tables!$D$4:$D$28,MATCH($P347,Tables!$B$4:$B$28,0))</f>
        <v>2</v>
      </c>
      <c r="S347" s="2">
        <f>$S346+$R346+INDEX(Tables!$N$5:$Q$8,MATCH(MOD($S346+$R346,4),Tables!$M$5:$M$8,0),MATCH($R347,Tables!$N$4:$Q$4,0))</f>
        <v>1190</v>
      </c>
      <c r="T347" s="2" t="str">
        <f t="shared" si="84"/>
        <v>04A6</v>
      </c>
      <c r="U347" s="2">
        <f t="shared" si="75"/>
        <v>297</v>
      </c>
      <c r="V347" s="2" t="str">
        <f t="shared" si="85"/>
        <v>129</v>
      </c>
      <c r="W347" s="2" t="str">
        <f t="shared" si="86"/>
        <v>X</v>
      </c>
      <c r="X347" s="2" t="str">
        <f t="shared" si="87"/>
        <v>X</v>
      </c>
      <c r="Y347" s="2" t="str">
        <f t="shared" si="88"/>
        <v/>
      </c>
      <c r="Z347" s="2" t="str">
        <f t="shared" si="89"/>
        <v/>
      </c>
      <c r="AA347" s="2" t="str">
        <f t="shared" si="76"/>
        <v>(31 downto 24)</v>
      </c>
      <c r="AB347" s="2" t="str">
        <f t="shared" si="77"/>
        <v>(23 downto 16)</v>
      </c>
      <c r="AC347" s="2" t="str">
        <f t="shared" si="78"/>
        <v/>
      </c>
      <c r="AD347" s="2" t="str">
        <f t="shared" si="79"/>
        <v/>
      </c>
      <c r="AE347" s="2" t="str">
        <f t="shared" si="80"/>
        <v>(15 downto 8)</v>
      </c>
      <c r="AF347" s="2" t="str">
        <f t="shared" si="81"/>
        <v>(7 downto 0)</v>
      </c>
      <c r="AG347" s="2" t="str">
        <f t="shared" si="82"/>
        <v/>
      </c>
      <c r="AH347" s="2" t="str">
        <f t="shared" si="83"/>
        <v/>
      </c>
    </row>
    <row r="348" spans="2:34" x14ac:dyDescent="0.25">
      <c r="B348" s="2" t="s">
        <v>872</v>
      </c>
      <c r="D348" s="2" t="s">
        <v>1</v>
      </c>
      <c r="E348" s="2" t="s">
        <v>134</v>
      </c>
      <c r="F348" s="2" t="s">
        <v>974</v>
      </c>
      <c r="G348" s="2" t="s">
        <v>975</v>
      </c>
      <c r="H348" s="2" t="s">
        <v>982</v>
      </c>
      <c r="I348" s="2" t="s">
        <v>42</v>
      </c>
      <c r="J348" s="2">
        <v>16</v>
      </c>
      <c r="K348" s="2" t="s">
        <v>137</v>
      </c>
      <c r="L348" s="2" t="s">
        <v>41</v>
      </c>
      <c r="M348" s="2" t="s">
        <v>135</v>
      </c>
      <c r="N348" s="2" t="s">
        <v>876</v>
      </c>
      <c r="O348" s="2" t="s">
        <v>983</v>
      </c>
      <c r="P348" s="2" t="s">
        <v>50</v>
      </c>
      <c r="Q348" s="2">
        <f>INDEX(Tables!$C$4:$C$28,MATCH($P348,Tables!$B$4:$B$28,0))</f>
        <v>16</v>
      </c>
      <c r="R348" s="2">
        <f>INDEX(Tables!$D$4:$D$28,MATCH($P348,Tables!$B$4:$B$28,0))</f>
        <v>2</v>
      </c>
      <c r="S348" s="2">
        <f>$S347+$R347+INDEX(Tables!$N$5:$Q$8,MATCH(MOD($S347+$R347,4),Tables!$M$5:$M$8,0),MATCH($R348,Tables!$N$4:$Q$4,0))</f>
        <v>1192</v>
      </c>
      <c r="T348" s="2" t="str">
        <f t="shared" si="84"/>
        <v>04A8</v>
      </c>
      <c r="U348" s="2">
        <f t="shared" si="75"/>
        <v>298</v>
      </c>
      <c r="V348" s="2" t="str">
        <f t="shared" si="85"/>
        <v>12A</v>
      </c>
      <c r="W348" s="2" t="str">
        <f t="shared" si="86"/>
        <v/>
      </c>
      <c r="X348" s="2" t="str">
        <f t="shared" si="87"/>
        <v/>
      </c>
      <c r="Y348" s="2" t="str">
        <f t="shared" si="88"/>
        <v>X</v>
      </c>
      <c r="Z348" s="2" t="str">
        <f t="shared" si="89"/>
        <v>X</v>
      </c>
      <c r="AA348" s="2" t="str">
        <f t="shared" si="76"/>
        <v/>
      </c>
      <c r="AB348" s="2" t="str">
        <f t="shared" si="77"/>
        <v/>
      </c>
      <c r="AC348" s="2" t="str">
        <f t="shared" si="78"/>
        <v>(15 downto 8)</v>
      </c>
      <c r="AD348" s="2" t="str">
        <f t="shared" si="79"/>
        <v>(7 downto 0)</v>
      </c>
      <c r="AE348" s="2" t="str">
        <f t="shared" si="80"/>
        <v/>
      </c>
      <c r="AF348" s="2" t="str">
        <f t="shared" si="81"/>
        <v/>
      </c>
      <c r="AG348" s="2" t="str">
        <f t="shared" si="82"/>
        <v>(15 downto 8)</v>
      </c>
      <c r="AH348" s="2" t="str">
        <f t="shared" si="83"/>
        <v>(7 downto 0)</v>
      </c>
    </row>
    <row r="349" spans="2:34" x14ac:dyDescent="0.25">
      <c r="B349" s="2" t="s">
        <v>984</v>
      </c>
      <c r="D349" s="2" t="s">
        <v>1</v>
      </c>
      <c r="E349" s="2" t="s">
        <v>134</v>
      </c>
      <c r="F349" s="2" t="s">
        <v>985</v>
      </c>
      <c r="G349" s="2" t="s">
        <v>986</v>
      </c>
      <c r="H349" s="2" t="s">
        <v>419</v>
      </c>
      <c r="I349" s="2" t="s">
        <v>42</v>
      </c>
      <c r="J349" s="2">
        <v>5</v>
      </c>
      <c r="K349" s="2" t="s">
        <v>137</v>
      </c>
      <c r="L349" s="2" t="s">
        <v>41</v>
      </c>
      <c r="M349" s="2" t="s">
        <v>135</v>
      </c>
      <c r="N349" s="2" t="s">
        <v>987</v>
      </c>
      <c r="O349" s="2" t="s">
        <v>421</v>
      </c>
      <c r="P349" s="2" t="s">
        <v>48</v>
      </c>
      <c r="Q349" s="2">
        <f>INDEX(Tables!$C$4:$C$28,MATCH($P349,Tables!$B$4:$B$28,0))</f>
        <v>8</v>
      </c>
      <c r="R349" s="2">
        <f>INDEX(Tables!$D$4:$D$28,MATCH($P349,Tables!$B$4:$B$28,0))</f>
        <v>1</v>
      </c>
      <c r="S349" s="2">
        <f>$S348+$R348+INDEX(Tables!$N$5:$Q$8,MATCH(MOD($S348+$R348,4),Tables!$M$5:$M$8,0),MATCH($R349,Tables!$N$4:$Q$4,0))</f>
        <v>1194</v>
      </c>
      <c r="T349" s="2" t="str">
        <f t="shared" si="84"/>
        <v>04AA</v>
      </c>
      <c r="U349" s="2">
        <f t="shared" si="75"/>
        <v>298</v>
      </c>
      <c r="V349" s="2" t="str">
        <f t="shared" si="85"/>
        <v>12A</v>
      </c>
      <c r="W349" s="2" t="str">
        <f t="shared" si="86"/>
        <v/>
      </c>
      <c r="X349" s="2" t="str">
        <f t="shared" si="87"/>
        <v>X</v>
      </c>
      <c r="Y349" s="2" t="str">
        <f t="shared" si="88"/>
        <v/>
      </c>
      <c r="Z349" s="2" t="str">
        <f t="shared" si="89"/>
        <v/>
      </c>
      <c r="AA349" s="2" t="str">
        <f t="shared" si="76"/>
        <v/>
      </c>
      <c r="AB349" s="2" t="str">
        <f t="shared" si="77"/>
        <v>(20 downto 16)</v>
      </c>
      <c r="AC349" s="2" t="str">
        <f t="shared" si="78"/>
        <v/>
      </c>
      <c r="AD349" s="2" t="str">
        <f t="shared" si="79"/>
        <v/>
      </c>
      <c r="AE349" s="2" t="str">
        <f t="shared" si="80"/>
        <v/>
      </c>
      <c r="AF349" s="2" t="str">
        <f t="shared" si="81"/>
        <v/>
      </c>
      <c r="AG349" s="2" t="str">
        <f t="shared" si="82"/>
        <v/>
      </c>
      <c r="AH349" s="2" t="str">
        <f t="shared" si="83"/>
        <v/>
      </c>
    </row>
    <row r="350" spans="2:34" x14ac:dyDescent="0.25">
      <c r="B350" s="2" t="s">
        <v>984</v>
      </c>
      <c r="D350" s="2" t="s">
        <v>1</v>
      </c>
      <c r="E350" s="2" t="s">
        <v>134</v>
      </c>
      <c r="F350" s="2" t="s">
        <v>985</v>
      </c>
      <c r="G350" s="2" t="s">
        <v>986</v>
      </c>
      <c r="H350" s="2" t="s">
        <v>422</v>
      </c>
      <c r="I350" s="2" t="s">
        <v>42</v>
      </c>
      <c r="J350" s="2">
        <v>1</v>
      </c>
      <c r="K350" s="2" t="s">
        <v>82</v>
      </c>
      <c r="L350" s="2" t="s">
        <v>41</v>
      </c>
      <c r="M350" s="2" t="s">
        <v>135</v>
      </c>
      <c r="N350" s="2" t="s">
        <v>987</v>
      </c>
      <c r="O350" s="2" t="s">
        <v>423</v>
      </c>
      <c r="P350" s="2" t="s">
        <v>5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1196</v>
      </c>
      <c r="T350" s="2" t="str">
        <f t="shared" si="84"/>
        <v>04AC</v>
      </c>
      <c r="U350" s="2">
        <f t="shared" si="75"/>
        <v>299</v>
      </c>
      <c r="V350" s="2" t="str">
        <f t="shared" si="85"/>
        <v>12B</v>
      </c>
      <c r="W350" s="2" t="str">
        <f t="shared" si="86"/>
        <v/>
      </c>
      <c r="X350" s="2" t="str">
        <f t="shared" si="87"/>
        <v/>
      </c>
      <c r="Y350" s="2" t="str">
        <f t="shared" si="88"/>
        <v/>
      </c>
      <c r="Z350" s="2" t="str">
        <f t="shared" si="89"/>
        <v>X</v>
      </c>
      <c r="AA350" s="2" t="str">
        <f t="shared" si="76"/>
        <v/>
      </c>
      <c r="AB350" s="2" t="str">
        <f t="shared" si="77"/>
        <v/>
      </c>
      <c r="AC350" s="2" t="str">
        <f t="shared" si="78"/>
        <v/>
      </c>
      <c r="AD350" s="2" t="str">
        <f t="shared" si="79"/>
        <v>(0)</v>
      </c>
      <c r="AE350" s="2" t="str">
        <f t="shared" si="80"/>
        <v/>
      </c>
      <c r="AF350" s="2" t="str">
        <f t="shared" si="81"/>
        <v/>
      </c>
      <c r="AG350" s="2" t="str">
        <f t="shared" si="82"/>
        <v/>
      </c>
      <c r="AH350" s="2" t="str">
        <f t="shared" si="83"/>
        <v/>
      </c>
    </row>
    <row r="351" spans="2:34" x14ac:dyDescent="0.25">
      <c r="B351" s="2" t="s">
        <v>984</v>
      </c>
      <c r="D351" s="2" t="s">
        <v>1</v>
      </c>
      <c r="E351" s="2" t="s">
        <v>134</v>
      </c>
      <c r="F351" s="2" t="s">
        <v>985</v>
      </c>
      <c r="G351" s="2" t="s">
        <v>986</v>
      </c>
      <c r="H351" s="2" t="s">
        <v>424</v>
      </c>
      <c r="I351" s="2" t="s">
        <v>42</v>
      </c>
      <c r="J351" s="2">
        <v>1</v>
      </c>
      <c r="K351" s="2" t="s">
        <v>82</v>
      </c>
      <c r="L351" s="2" t="s">
        <v>41</v>
      </c>
      <c r="M351" s="2" t="s">
        <v>135</v>
      </c>
      <c r="N351" s="2" t="s">
        <v>987</v>
      </c>
      <c r="O351" s="2" t="s">
        <v>425</v>
      </c>
      <c r="P351" s="2" t="s">
        <v>5</v>
      </c>
      <c r="Q351" s="2">
        <f>INDEX(Tables!$C$4:$C$28,MATCH($P351,Tables!$B$4:$B$28,0))</f>
        <v>32</v>
      </c>
      <c r="R351" s="2">
        <f>INDEX(Tables!$D$4:$D$28,MATCH($P351,Tables!$B$4:$B$28,0))</f>
        <v>4</v>
      </c>
      <c r="S351" s="2">
        <f>$S350+$R350+INDEX(Tables!$N$5:$Q$8,MATCH(MOD($S350+$R350,4),Tables!$M$5:$M$8,0),MATCH($R351,Tables!$N$4:$Q$4,0))</f>
        <v>1200</v>
      </c>
      <c r="T351" s="2" t="str">
        <f t="shared" si="84"/>
        <v>04B0</v>
      </c>
      <c r="U351" s="2">
        <f t="shared" si="75"/>
        <v>300</v>
      </c>
      <c r="V351" s="2" t="str">
        <f t="shared" si="85"/>
        <v>12C</v>
      </c>
      <c r="W351" s="2" t="str">
        <f t="shared" si="86"/>
        <v/>
      </c>
      <c r="X351" s="2" t="str">
        <f t="shared" si="87"/>
        <v/>
      </c>
      <c r="Y351" s="2" t="str">
        <f t="shared" si="88"/>
        <v/>
      </c>
      <c r="Z351" s="2" t="str">
        <f t="shared" si="89"/>
        <v>X</v>
      </c>
      <c r="AA351" s="2" t="str">
        <f t="shared" si="76"/>
        <v/>
      </c>
      <c r="AB351" s="2" t="str">
        <f t="shared" si="77"/>
        <v/>
      </c>
      <c r="AC351" s="2" t="str">
        <f t="shared" si="78"/>
        <v/>
      </c>
      <c r="AD351" s="2" t="str">
        <f t="shared" si="79"/>
        <v>(0)</v>
      </c>
      <c r="AE351" s="2" t="str">
        <f t="shared" si="80"/>
        <v/>
      </c>
      <c r="AF351" s="2" t="str">
        <f t="shared" si="81"/>
        <v/>
      </c>
      <c r="AG351" s="2" t="str">
        <f t="shared" si="82"/>
        <v/>
      </c>
      <c r="AH351" s="2" t="str">
        <f t="shared" si="83"/>
        <v/>
      </c>
    </row>
    <row r="352" spans="2:34" x14ac:dyDescent="0.25">
      <c r="B352" s="2" t="s">
        <v>984</v>
      </c>
      <c r="D352" s="2" t="s">
        <v>1</v>
      </c>
      <c r="E352" s="2" t="s">
        <v>134</v>
      </c>
      <c r="F352" s="2" t="s">
        <v>985</v>
      </c>
      <c r="G352" s="2" t="s">
        <v>986</v>
      </c>
      <c r="H352" s="2" t="s">
        <v>426</v>
      </c>
      <c r="I352" s="2" t="s">
        <v>42</v>
      </c>
      <c r="J352" s="2">
        <v>1</v>
      </c>
      <c r="K352" s="2" t="s">
        <v>82</v>
      </c>
      <c r="L352" s="2" t="s">
        <v>41</v>
      </c>
      <c r="M352" s="2" t="s">
        <v>135</v>
      </c>
      <c r="N352" s="2" t="s">
        <v>987</v>
      </c>
      <c r="O352" s="2" t="s">
        <v>427</v>
      </c>
      <c r="P352" s="2" t="s">
        <v>5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1204</v>
      </c>
      <c r="T352" s="2" t="str">
        <f t="shared" si="84"/>
        <v>04B4</v>
      </c>
      <c r="U352" s="2">
        <f t="shared" si="75"/>
        <v>301</v>
      </c>
      <c r="V352" s="2" t="str">
        <f t="shared" si="85"/>
        <v>12D</v>
      </c>
      <c r="W352" s="2" t="str">
        <f t="shared" si="86"/>
        <v/>
      </c>
      <c r="X352" s="2" t="str">
        <f t="shared" si="87"/>
        <v/>
      </c>
      <c r="Y352" s="2" t="str">
        <f t="shared" si="88"/>
        <v/>
      </c>
      <c r="Z352" s="2" t="str">
        <f t="shared" si="89"/>
        <v>X</v>
      </c>
      <c r="AA352" s="2" t="str">
        <f t="shared" si="76"/>
        <v/>
      </c>
      <c r="AB352" s="2" t="str">
        <f t="shared" si="77"/>
        <v/>
      </c>
      <c r="AC352" s="2" t="str">
        <f t="shared" si="78"/>
        <v/>
      </c>
      <c r="AD352" s="2" t="str">
        <f t="shared" si="79"/>
        <v>(0)</v>
      </c>
      <c r="AE352" s="2" t="str">
        <f t="shared" si="80"/>
        <v/>
      </c>
      <c r="AF352" s="2" t="str">
        <f t="shared" si="81"/>
        <v/>
      </c>
      <c r="AG352" s="2" t="str">
        <f t="shared" si="82"/>
        <v/>
      </c>
      <c r="AH352" s="2" t="str">
        <f t="shared" si="83"/>
        <v/>
      </c>
    </row>
    <row r="353" spans="2:34" x14ac:dyDescent="0.25">
      <c r="B353" s="2" t="s">
        <v>984</v>
      </c>
      <c r="D353" s="2" t="s">
        <v>1</v>
      </c>
      <c r="E353" s="2" t="s">
        <v>134</v>
      </c>
      <c r="F353" s="2" t="s">
        <v>985</v>
      </c>
      <c r="G353" s="2" t="s">
        <v>986</v>
      </c>
      <c r="H353" s="2" t="s">
        <v>428</v>
      </c>
      <c r="I353" s="2" t="s">
        <v>42</v>
      </c>
      <c r="J353" s="2">
        <v>1</v>
      </c>
      <c r="K353" s="2" t="s">
        <v>82</v>
      </c>
      <c r="L353" s="2" t="s">
        <v>41</v>
      </c>
      <c r="M353" s="2" t="s">
        <v>135</v>
      </c>
      <c r="N353" s="2" t="s">
        <v>987</v>
      </c>
      <c r="O353" s="2" t="s">
        <v>429</v>
      </c>
      <c r="P353" s="2" t="s">
        <v>5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1208</v>
      </c>
      <c r="T353" s="2" t="str">
        <f t="shared" si="84"/>
        <v>04B8</v>
      </c>
      <c r="U353" s="2">
        <f t="shared" si="75"/>
        <v>302</v>
      </c>
      <c r="V353" s="2" t="str">
        <f t="shared" si="85"/>
        <v>12E</v>
      </c>
      <c r="W353" s="2" t="str">
        <f t="shared" si="86"/>
        <v/>
      </c>
      <c r="X353" s="2" t="str">
        <f t="shared" si="87"/>
        <v/>
      </c>
      <c r="Y353" s="2" t="str">
        <f t="shared" si="88"/>
        <v/>
      </c>
      <c r="Z353" s="2" t="str">
        <f t="shared" si="89"/>
        <v>X</v>
      </c>
      <c r="AA353" s="2" t="str">
        <f t="shared" si="76"/>
        <v/>
      </c>
      <c r="AB353" s="2" t="str">
        <f t="shared" si="77"/>
        <v/>
      </c>
      <c r="AC353" s="2" t="str">
        <f t="shared" si="78"/>
        <v/>
      </c>
      <c r="AD353" s="2" t="str">
        <f t="shared" si="79"/>
        <v>(0)</v>
      </c>
      <c r="AE353" s="2" t="str">
        <f t="shared" si="80"/>
        <v/>
      </c>
      <c r="AF353" s="2" t="str">
        <f t="shared" si="81"/>
        <v/>
      </c>
      <c r="AG353" s="2" t="str">
        <f t="shared" si="82"/>
        <v/>
      </c>
      <c r="AH353" s="2" t="str">
        <f t="shared" si="83"/>
        <v/>
      </c>
    </row>
    <row r="354" spans="2:34" x14ac:dyDescent="0.25">
      <c r="B354" s="2" t="s">
        <v>984</v>
      </c>
      <c r="D354" s="2" t="s">
        <v>1</v>
      </c>
      <c r="E354" s="2" t="s">
        <v>134</v>
      </c>
      <c r="F354" s="2" t="s">
        <v>985</v>
      </c>
      <c r="G354" s="2" t="s">
        <v>986</v>
      </c>
      <c r="H354" s="2" t="s">
        <v>430</v>
      </c>
      <c r="I354" s="2" t="s">
        <v>42</v>
      </c>
      <c r="J354" s="2">
        <v>1</v>
      </c>
      <c r="K354" s="2" t="s">
        <v>82</v>
      </c>
      <c r="L354" s="2" t="s">
        <v>41</v>
      </c>
      <c r="M354" s="2" t="s">
        <v>135</v>
      </c>
      <c r="N354" s="2" t="s">
        <v>987</v>
      </c>
      <c r="O354" s="2" t="s">
        <v>431</v>
      </c>
      <c r="P354" s="2" t="s">
        <v>5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1212</v>
      </c>
      <c r="T354" s="2" t="str">
        <f t="shared" si="84"/>
        <v>04BC</v>
      </c>
      <c r="U354" s="2">
        <f t="shared" si="75"/>
        <v>303</v>
      </c>
      <c r="V354" s="2" t="str">
        <f t="shared" si="85"/>
        <v>12F</v>
      </c>
      <c r="W354" s="2" t="str">
        <f t="shared" si="86"/>
        <v/>
      </c>
      <c r="X354" s="2" t="str">
        <f t="shared" si="87"/>
        <v/>
      </c>
      <c r="Y354" s="2" t="str">
        <f t="shared" si="88"/>
        <v/>
      </c>
      <c r="Z354" s="2" t="str">
        <f t="shared" si="89"/>
        <v>X</v>
      </c>
      <c r="AA354" s="2" t="str">
        <f t="shared" si="76"/>
        <v/>
      </c>
      <c r="AB354" s="2" t="str">
        <f t="shared" si="77"/>
        <v/>
      </c>
      <c r="AC354" s="2" t="str">
        <f t="shared" si="78"/>
        <v/>
      </c>
      <c r="AD354" s="2" t="str">
        <f t="shared" si="79"/>
        <v>(0)</v>
      </c>
      <c r="AE354" s="2" t="str">
        <f t="shared" si="80"/>
        <v/>
      </c>
      <c r="AF354" s="2" t="str">
        <f t="shared" si="81"/>
        <v/>
      </c>
      <c r="AG354" s="2" t="str">
        <f t="shared" si="82"/>
        <v/>
      </c>
      <c r="AH354" s="2" t="str">
        <f t="shared" si="83"/>
        <v/>
      </c>
    </row>
    <row r="355" spans="2:34" x14ac:dyDescent="0.25">
      <c r="B355" s="2" t="s">
        <v>984</v>
      </c>
      <c r="D355" s="2" t="s">
        <v>1</v>
      </c>
      <c r="E355" s="2" t="s">
        <v>134</v>
      </c>
      <c r="F355" s="2" t="s">
        <v>985</v>
      </c>
      <c r="G355" s="2" t="s">
        <v>986</v>
      </c>
      <c r="H355" s="2" t="s">
        <v>432</v>
      </c>
      <c r="I355" s="2" t="s">
        <v>42</v>
      </c>
      <c r="J355" s="2">
        <v>1</v>
      </c>
      <c r="K355" s="2" t="s">
        <v>82</v>
      </c>
      <c r="L355" s="2" t="s">
        <v>41</v>
      </c>
      <c r="M355" s="2" t="s">
        <v>135</v>
      </c>
      <c r="N355" s="2" t="s">
        <v>987</v>
      </c>
      <c r="O355" s="2" t="s">
        <v>433</v>
      </c>
      <c r="P355" s="2" t="s">
        <v>5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1216</v>
      </c>
      <c r="T355" s="2" t="str">
        <f t="shared" si="84"/>
        <v>04C0</v>
      </c>
      <c r="U355" s="2">
        <f t="shared" si="75"/>
        <v>304</v>
      </c>
      <c r="V355" s="2" t="str">
        <f t="shared" si="85"/>
        <v>130</v>
      </c>
      <c r="W355" s="2" t="str">
        <f t="shared" si="86"/>
        <v/>
      </c>
      <c r="X355" s="2" t="str">
        <f t="shared" si="87"/>
        <v/>
      </c>
      <c r="Y355" s="2" t="str">
        <f t="shared" si="88"/>
        <v/>
      </c>
      <c r="Z355" s="2" t="str">
        <f t="shared" si="89"/>
        <v>X</v>
      </c>
      <c r="AA355" s="2" t="str">
        <f t="shared" si="76"/>
        <v/>
      </c>
      <c r="AB355" s="2" t="str">
        <f t="shared" si="77"/>
        <v/>
      </c>
      <c r="AC355" s="2" t="str">
        <f t="shared" si="78"/>
        <v/>
      </c>
      <c r="AD355" s="2" t="str">
        <f t="shared" si="79"/>
        <v>(0)</v>
      </c>
      <c r="AE355" s="2" t="str">
        <f t="shared" si="80"/>
        <v/>
      </c>
      <c r="AF355" s="2" t="str">
        <f t="shared" si="81"/>
        <v/>
      </c>
      <c r="AG355" s="2" t="str">
        <f t="shared" si="82"/>
        <v/>
      </c>
      <c r="AH355" s="2" t="str">
        <f t="shared" si="83"/>
        <v/>
      </c>
    </row>
    <row r="356" spans="2:34" x14ac:dyDescent="0.25">
      <c r="B356" s="2" t="s">
        <v>984</v>
      </c>
      <c r="D356" s="2" t="s">
        <v>1</v>
      </c>
      <c r="E356" s="2" t="s">
        <v>134</v>
      </c>
      <c r="F356" s="2" t="s">
        <v>988</v>
      </c>
      <c r="G356" s="2" t="s">
        <v>989</v>
      </c>
      <c r="H356" s="2" t="s">
        <v>436</v>
      </c>
      <c r="I356" s="2" t="s">
        <v>42</v>
      </c>
      <c r="J356" s="2">
        <v>1</v>
      </c>
      <c r="K356" s="2" t="s">
        <v>82</v>
      </c>
      <c r="L356" s="2" t="s">
        <v>41</v>
      </c>
      <c r="M356" s="2" t="s">
        <v>135</v>
      </c>
      <c r="N356" s="2" t="s">
        <v>987</v>
      </c>
      <c r="O356" s="2" t="s">
        <v>437</v>
      </c>
      <c r="P356" s="2" t="s">
        <v>5</v>
      </c>
      <c r="Q356" s="2">
        <f>INDEX(Tables!$C$4:$C$28,MATCH($P356,Tables!$B$4:$B$28,0))</f>
        <v>32</v>
      </c>
      <c r="R356" s="2">
        <f>INDEX(Tables!$D$4:$D$28,MATCH($P356,Tables!$B$4:$B$28,0))</f>
        <v>4</v>
      </c>
      <c r="S356" s="2">
        <f>$S355+$R355+INDEX(Tables!$N$5:$Q$8,MATCH(MOD($S355+$R355,4),Tables!$M$5:$M$8,0),MATCH($R356,Tables!$N$4:$Q$4,0))</f>
        <v>1220</v>
      </c>
      <c r="T356" s="2" t="str">
        <f t="shared" si="84"/>
        <v>04C4</v>
      </c>
      <c r="U356" s="2">
        <f t="shared" si="75"/>
        <v>305</v>
      </c>
      <c r="V356" s="2" t="str">
        <f t="shared" si="85"/>
        <v>131</v>
      </c>
      <c r="W356" s="2" t="str">
        <f t="shared" si="86"/>
        <v/>
      </c>
      <c r="X356" s="2" t="str">
        <f t="shared" si="87"/>
        <v/>
      </c>
      <c r="Y356" s="2" t="str">
        <f t="shared" si="88"/>
        <v/>
      </c>
      <c r="Z356" s="2" t="str">
        <f t="shared" si="89"/>
        <v>X</v>
      </c>
      <c r="AA356" s="2" t="str">
        <f t="shared" si="76"/>
        <v/>
      </c>
      <c r="AB356" s="2" t="str">
        <f t="shared" si="77"/>
        <v/>
      </c>
      <c r="AC356" s="2" t="str">
        <f t="shared" si="78"/>
        <v/>
      </c>
      <c r="AD356" s="2" t="str">
        <f t="shared" si="79"/>
        <v>(0)</v>
      </c>
      <c r="AE356" s="2" t="str">
        <f t="shared" si="80"/>
        <v/>
      </c>
      <c r="AF356" s="2" t="str">
        <f t="shared" si="81"/>
        <v/>
      </c>
      <c r="AG356" s="2" t="str">
        <f t="shared" si="82"/>
        <v/>
      </c>
      <c r="AH356" s="2" t="str">
        <f t="shared" si="83"/>
        <v/>
      </c>
    </row>
    <row r="357" spans="2:34" x14ac:dyDescent="0.25">
      <c r="B357" s="2" t="s">
        <v>984</v>
      </c>
      <c r="D357" s="2" t="s">
        <v>1</v>
      </c>
      <c r="E357" s="2" t="s">
        <v>134</v>
      </c>
      <c r="F357" s="2" t="s">
        <v>988</v>
      </c>
      <c r="G357" s="2" t="s">
        <v>989</v>
      </c>
      <c r="H357" s="2" t="s">
        <v>438</v>
      </c>
      <c r="I357" s="2" t="s">
        <v>42</v>
      </c>
      <c r="J357" s="2">
        <v>1</v>
      </c>
      <c r="K357" s="2" t="s">
        <v>82</v>
      </c>
      <c r="L357" s="2" t="s">
        <v>41</v>
      </c>
      <c r="M357" s="2" t="s">
        <v>135</v>
      </c>
      <c r="N357" s="2" t="s">
        <v>987</v>
      </c>
      <c r="O357" s="2" t="s">
        <v>439</v>
      </c>
      <c r="P357" s="2" t="s">
        <v>5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1224</v>
      </c>
      <c r="T357" s="2" t="str">
        <f t="shared" si="84"/>
        <v>04C8</v>
      </c>
      <c r="U357" s="2">
        <f t="shared" si="75"/>
        <v>306</v>
      </c>
      <c r="V357" s="2" t="str">
        <f t="shared" si="85"/>
        <v>132</v>
      </c>
      <c r="W357" s="2" t="str">
        <f t="shared" si="86"/>
        <v/>
      </c>
      <c r="X357" s="2" t="str">
        <f t="shared" si="87"/>
        <v/>
      </c>
      <c r="Y357" s="2" t="str">
        <f t="shared" si="88"/>
        <v/>
      </c>
      <c r="Z357" s="2" t="str">
        <f t="shared" si="89"/>
        <v>X</v>
      </c>
      <c r="AA357" s="2" t="str">
        <f t="shared" si="76"/>
        <v/>
      </c>
      <c r="AB357" s="2" t="str">
        <f t="shared" si="77"/>
        <v/>
      </c>
      <c r="AC357" s="2" t="str">
        <f t="shared" si="78"/>
        <v/>
      </c>
      <c r="AD357" s="2" t="str">
        <f t="shared" si="79"/>
        <v>(0)</v>
      </c>
      <c r="AE357" s="2" t="str">
        <f t="shared" si="80"/>
        <v/>
      </c>
      <c r="AF357" s="2" t="str">
        <f t="shared" si="81"/>
        <v/>
      </c>
      <c r="AG357" s="2" t="str">
        <f t="shared" si="82"/>
        <v/>
      </c>
      <c r="AH357" s="2" t="str">
        <f t="shared" si="83"/>
        <v/>
      </c>
    </row>
    <row r="358" spans="2:34" x14ac:dyDescent="0.25">
      <c r="B358" s="2" t="s">
        <v>984</v>
      </c>
      <c r="D358" s="2" t="s">
        <v>1</v>
      </c>
      <c r="E358" s="2" t="s">
        <v>134</v>
      </c>
      <c r="F358" s="2" t="s">
        <v>988</v>
      </c>
      <c r="G358" s="2" t="s">
        <v>989</v>
      </c>
      <c r="H358" s="2" t="s">
        <v>440</v>
      </c>
      <c r="I358" s="2" t="s">
        <v>42</v>
      </c>
      <c r="J358" s="2">
        <v>1</v>
      </c>
      <c r="K358" s="2" t="s">
        <v>82</v>
      </c>
      <c r="L358" s="2" t="s">
        <v>41</v>
      </c>
      <c r="M358" s="2" t="s">
        <v>135</v>
      </c>
      <c r="N358" s="2" t="s">
        <v>987</v>
      </c>
      <c r="O358" s="2" t="s">
        <v>441</v>
      </c>
      <c r="P358" s="2" t="s">
        <v>5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1228</v>
      </c>
      <c r="T358" s="2" t="str">
        <f t="shared" si="84"/>
        <v>04CC</v>
      </c>
      <c r="U358" s="2">
        <f t="shared" si="75"/>
        <v>307</v>
      </c>
      <c r="V358" s="2" t="str">
        <f t="shared" si="85"/>
        <v>133</v>
      </c>
      <c r="W358" s="2" t="str">
        <f t="shared" si="86"/>
        <v/>
      </c>
      <c r="X358" s="2" t="str">
        <f t="shared" si="87"/>
        <v/>
      </c>
      <c r="Y358" s="2" t="str">
        <f t="shared" si="88"/>
        <v/>
      </c>
      <c r="Z358" s="2" t="str">
        <f t="shared" si="89"/>
        <v>X</v>
      </c>
      <c r="AA358" s="2" t="str">
        <f t="shared" si="76"/>
        <v/>
      </c>
      <c r="AB358" s="2" t="str">
        <f t="shared" si="77"/>
        <v/>
      </c>
      <c r="AC358" s="2" t="str">
        <f t="shared" si="78"/>
        <v/>
      </c>
      <c r="AD358" s="2" t="str">
        <f t="shared" si="79"/>
        <v>(0)</v>
      </c>
      <c r="AE358" s="2" t="str">
        <f t="shared" si="80"/>
        <v/>
      </c>
      <c r="AF358" s="2" t="str">
        <f t="shared" si="81"/>
        <v/>
      </c>
      <c r="AG358" s="2" t="str">
        <f t="shared" si="82"/>
        <v/>
      </c>
      <c r="AH358" s="2" t="str">
        <f t="shared" si="83"/>
        <v/>
      </c>
    </row>
    <row r="359" spans="2:34" x14ac:dyDescent="0.25">
      <c r="B359" s="2" t="s">
        <v>984</v>
      </c>
      <c r="D359" s="2" t="s">
        <v>1</v>
      </c>
      <c r="E359" s="2" t="s">
        <v>134</v>
      </c>
      <c r="F359" s="2" t="s">
        <v>988</v>
      </c>
      <c r="G359" s="2" t="s">
        <v>989</v>
      </c>
      <c r="H359" s="2" t="s">
        <v>442</v>
      </c>
      <c r="I359" s="2" t="s">
        <v>42</v>
      </c>
      <c r="J359" s="2">
        <v>1</v>
      </c>
      <c r="K359" s="2" t="s">
        <v>82</v>
      </c>
      <c r="L359" s="2" t="s">
        <v>41</v>
      </c>
      <c r="M359" s="2" t="s">
        <v>135</v>
      </c>
      <c r="N359" s="2" t="s">
        <v>987</v>
      </c>
      <c r="O359" s="2" t="s">
        <v>443</v>
      </c>
      <c r="P359" s="2" t="s">
        <v>5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1232</v>
      </c>
      <c r="T359" s="2" t="str">
        <f t="shared" si="84"/>
        <v>04D0</v>
      </c>
      <c r="U359" s="2">
        <f t="shared" si="75"/>
        <v>308</v>
      </c>
      <c r="V359" s="2" t="str">
        <f t="shared" si="85"/>
        <v>134</v>
      </c>
      <c r="W359" s="2" t="str">
        <f t="shared" si="86"/>
        <v/>
      </c>
      <c r="X359" s="2" t="str">
        <f t="shared" si="87"/>
        <v/>
      </c>
      <c r="Y359" s="2" t="str">
        <f t="shared" si="88"/>
        <v/>
      </c>
      <c r="Z359" s="2" t="str">
        <f t="shared" si="89"/>
        <v>X</v>
      </c>
      <c r="AA359" s="2" t="str">
        <f t="shared" si="76"/>
        <v/>
      </c>
      <c r="AB359" s="2" t="str">
        <f t="shared" si="77"/>
        <v/>
      </c>
      <c r="AC359" s="2" t="str">
        <f t="shared" si="78"/>
        <v/>
      </c>
      <c r="AD359" s="2" t="str">
        <f t="shared" si="79"/>
        <v>(0)</v>
      </c>
      <c r="AE359" s="2" t="str">
        <f t="shared" si="80"/>
        <v/>
      </c>
      <c r="AF359" s="2" t="str">
        <f t="shared" si="81"/>
        <v/>
      </c>
      <c r="AG359" s="2" t="str">
        <f t="shared" si="82"/>
        <v/>
      </c>
      <c r="AH359" s="2" t="str">
        <f t="shared" si="83"/>
        <v/>
      </c>
    </row>
    <row r="360" spans="2:34" x14ac:dyDescent="0.25">
      <c r="B360" s="2" t="s">
        <v>984</v>
      </c>
      <c r="D360" s="2" t="s">
        <v>1</v>
      </c>
      <c r="E360" s="2" t="s">
        <v>134</v>
      </c>
      <c r="F360" s="2" t="s">
        <v>988</v>
      </c>
      <c r="G360" s="2" t="s">
        <v>989</v>
      </c>
      <c r="H360" s="2" t="s">
        <v>444</v>
      </c>
      <c r="I360" s="2" t="s">
        <v>42</v>
      </c>
      <c r="J360" s="2">
        <v>1</v>
      </c>
      <c r="K360" s="2" t="s">
        <v>82</v>
      </c>
      <c r="L360" s="2" t="s">
        <v>41</v>
      </c>
      <c r="M360" s="2" t="s">
        <v>135</v>
      </c>
      <c r="N360" s="2" t="s">
        <v>987</v>
      </c>
      <c r="O360" s="2" t="s">
        <v>445</v>
      </c>
      <c r="P360" s="2" t="s">
        <v>5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1236</v>
      </c>
      <c r="T360" s="2" t="str">
        <f t="shared" si="84"/>
        <v>04D4</v>
      </c>
      <c r="U360" s="2">
        <f t="shared" si="75"/>
        <v>309</v>
      </c>
      <c r="V360" s="2" t="str">
        <f t="shared" si="85"/>
        <v>135</v>
      </c>
      <c r="W360" s="2" t="str">
        <f t="shared" si="86"/>
        <v/>
      </c>
      <c r="X360" s="2" t="str">
        <f t="shared" si="87"/>
        <v/>
      </c>
      <c r="Y360" s="2" t="str">
        <f t="shared" si="88"/>
        <v/>
      </c>
      <c r="Z360" s="2" t="str">
        <f t="shared" si="89"/>
        <v>X</v>
      </c>
      <c r="AA360" s="2" t="str">
        <f t="shared" si="76"/>
        <v/>
      </c>
      <c r="AB360" s="2" t="str">
        <f t="shared" si="77"/>
        <v/>
      </c>
      <c r="AC360" s="2" t="str">
        <f t="shared" si="78"/>
        <v/>
      </c>
      <c r="AD360" s="2" t="str">
        <f t="shared" si="79"/>
        <v>(0)</v>
      </c>
      <c r="AE360" s="2" t="str">
        <f t="shared" si="80"/>
        <v/>
      </c>
      <c r="AF360" s="2" t="str">
        <f t="shared" si="81"/>
        <v/>
      </c>
      <c r="AG360" s="2" t="str">
        <f t="shared" si="82"/>
        <v/>
      </c>
      <c r="AH360" s="2" t="str">
        <f t="shared" si="83"/>
        <v/>
      </c>
    </row>
    <row r="361" spans="2:34" x14ac:dyDescent="0.25">
      <c r="B361" s="2" t="s">
        <v>984</v>
      </c>
      <c r="D361" s="2" t="s">
        <v>1</v>
      </c>
      <c r="E361" s="2" t="s">
        <v>134</v>
      </c>
      <c r="F361" s="2" t="s">
        <v>990</v>
      </c>
      <c r="G361" s="2" t="s">
        <v>991</v>
      </c>
      <c r="H361" s="2" t="s">
        <v>448</v>
      </c>
      <c r="I361" s="2" t="s">
        <v>42</v>
      </c>
      <c r="J361" s="2">
        <v>31</v>
      </c>
      <c r="K361" s="2" t="s">
        <v>137</v>
      </c>
      <c r="L361" s="2" t="s">
        <v>41</v>
      </c>
      <c r="M361" s="2" t="s">
        <v>135</v>
      </c>
      <c r="N361" s="2" t="s">
        <v>987</v>
      </c>
      <c r="O361" s="2" t="s">
        <v>449</v>
      </c>
      <c r="P361" s="2" t="s">
        <v>49</v>
      </c>
      <c r="Q361" s="2">
        <f>INDEX(Tables!$C$4:$C$28,MATCH($P361,Tables!$B$4:$B$28,0))</f>
        <v>32</v>
      </c>
      <c r="R361" s="2">
        <f>INDEX(Tables!$D$4:$D$28,MATCH($P361,Tables!$B$4:$B$28,0))</f>
        <v>4</v>
      </c>
      <c r="S361" s="2">
        <f>$S360+$R360+INDEX(Tables!$N$5:$Q$8,MATCH(MOD($S360+$R360,4),Tables!$M$5:$M$8,0),MATCH($R361,Tables!$N$4:$Q$4,0))</f>
        <v>1240</v>
      </c>
      <c r="T361" s="2" t="str">
        <f t="shared" si="84"/>
        <v>04D8</v>
      </c>
      <c r="U361" s="2">
        <f t="shared" si="75"/>
        <v>310</v>
      </c>
      <c r="V361" s="2" t="str">
        <f t="shared" si="85"/>
        <v>136</v>
      </c>
      <c r="W361" s="2" t="str">
        <f t="shared" si="86"/>
        <v>X</v>
      </c>
      <c r="X361" s="2" t="str">
        <f t="shared" si="87"/>
        <v>X</v>
      </c>
      <c r="Y361" s="2" t="str">
        <f t="shared" si="88"/>
        <v>X</v>
      </c>
      <c r="Z361" s="2" t="str">
        <f t="shared" si="89"/>
        <v>X</v>
      </c>
      <c r="AA361" s="2" t="str">
        <f t="shared" si="76"/>
        <v>(30 downto 24)</v>
      </c>
      <c r="AB361" s="2" t="str">
        <f t="shared" si="77"/>
        <v>(23 downto 16)</v>
      </c>
      <c r="AC361" s="2" t="str">
        <f t="shared" si="78"/>
        <v>(15 downto 8)</v>
      </c>
      <c r="AD361" s="2" t="str">
        <f t="shared" si="79"/>
        <v>(7 downto 0)</v>
      </c>
      <c r="AE361" s="2" t="str">
        <f t="shared" si="80"/>
        <v>(30 downto 24)</v>
      </c>
      <c r="AF361" s="2" t="str">
        <f t="shared" si="81"/>
        <v>(23 downto 16)</v>
      </c>
      <c r="AG361" s="2" t="str">
        <f t="shared" si="82"/>
        <v>(15 downto 8)</v>
      </c>
      <c r="AH361" s="2" t="str">
        <f t="shared" si="83"/>
        <v>(7 downto 0)</v>
      </c>
    </row>
    <row r="362" spans="2:34" x14ac:dyDescent="0.25">
      <c r="B362" s="2" t="s">
        <v>984</v>
      </c>
      <c r="D362" s="2" t="s">
        <v>1</v>
      </c>
      <c r="E362" s="2" t="s">
        <v>134</v>
      </c>
      <c r="F362" s="2" t="s">
        <v>992</v>
      </c>
      <c r="G362" s="2" t="s">
        <v>993</v>
      </c>
      <c r="H362" s="2" t="s">
        <v>452</v>
      </c>
      <c r="I362" s="2" t="s">
        <v>42</v>
      </c>
      <c r="J362" s="2">
        <v>1</v>
      </c>
      <c r="K362" s="2" t="s">
        <v>82</v>
      </c>
      <c r="L362" s="2" t="s">
        <v>41</v>
      </c>
      <c r="M362" s="2" t="s">
        <v>135</v>
      </c>
      <c r="N362" s="2" t="s">
        <v>987</v>
      </c>
      <c r="O362" s="2" t="s">
        <v>453</v>
      </c>
      <c r="P362" s="2" t="s">
        <v>5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1244</v>
      </c>
      <c r="T362" s="2" t="str">
        <f t="shared" si="84"/>
        <v>04DC</v>
      </c>
      <c r="U362" s="2">
        <f t="shared" ref="U362:U425" si="90">ROUNDDOWN(S362/4,0)</f>
        <v>311</v>
      </c>
      <c r="V362" s="2" t="str">
        <f t="shared" si="85"/>
        <v>137</v>
      </c>
      <c r="W362" s="2" t="str">
        <f t="shared" si="86"/>
        <v/>
      </c>
      <c r="X362" s="2" t="str">
        <f t="shared" si="87"/>
        <v/>
      </c>
      <c r="Y362" s="2" t="str">
        <f t="shared" si="88"/>
        <v/>
      </c>
      <c r="Z362" s="2" t="str">
        <f t="shared" si="89"/>
        <v>X</v>
      </c>
      <c r="AA362" s="2" t="str">
        <f t="shared" ref="AA362:AA425" si="91">IF(W362="","",CONCATENATE("(",IF(($J362-COUNTIF($X362:$Z362,"X")*8)=1,"24)",CONCATENATE(IF(($J362-COUNTIF($X362:$Z362,"X")*8)&gt;=8,32,($J362-COUNTIF($X362:$Z362,"X")*8)+24)-1," downto 24)"))))</f>
        <v/>
      </c>
      <c r="AB362" s="2" t="str">
        <f t="shared" ref="AB362:AB425" si="92">IF(X362="","",CONCATENATE("(",IF(($J362-COUNTIF($Y362:$Z362,"X")*8)=1,"16)",CONCATENATE(IF(($J362-COUNTIF($Y362:$Z362,"X")*8)&gt;=8,24,($J362-COUNTIF($Y362:$Z362,"X")*8)+16)-1," downto 16)"))))</f>
        <v/>
      </c>
      <c r="AC362" s="2" t="str">
        <f t="shared" ref="AC362:AC425" si="93">IF(Y362="","",CONCATENATE("(",IF(($J362-COUNTIF($Z362,"X")*8)=1,"8)",CONCATENATE(IF(($J362-COUNTIF($Z362,"X")*8)&gt;=8,16,($J362-COUNTIF($Z362,"X")*8)+8)-1," downto 8)"))))</f>
        <v/>
      </c>
      <c r="AD362" s="2" t="str">
        <f t="shared" ref="AD362:AD425" si="94">IF(Z362="","",CONCATENATE("(",IF($J362=1,"0)",CONCATENATE(IF($J362&gt;=8,8,$J362)-1," downto 0)"))))</f>
        <v>(0)</v>
      </c>
      <c r="AE362" s="2" t="str">
        <f t="shared" ref="AE362:AE425" si="95">IF(W362="","",IF($J362&lt;=8,"",IF(($J362-COUNTIF($X362:$Z362,"X")*8)=1,CONCATENATE("(",($J362-1),")"),CONCATENATE("(",IF(($J362-COUNTIF($X362:$Z362,"X")*8)&gt;=8,COUNTIF($X362:$Z362,"X")*8+7,$J362-COUNTIF($X362:$Z362,"X")*8-1+COUNTIF($X362:$Z362,"X")*8)," downto ",COUNTIF($X362:$Z362,"X")*8,")"))))</f>
        <v/>
      </c>
      <c r="AF362" s="2" t="str">
        <f t="shared" ref="AF362:AF425" si="96">IF(X362="","",IF($J362&lt;=8,"",IF(($J362-COUNTIF($Y362:$Z362,"X")*8)=1,CONCATENATE("(",($J362-1),")"),CONCATENATE("(",IF(($J362-COUNTIF($Y362:$Z362,"X")*8)&gt;=8,COUNTIF($Y362:$Z362,"X")*8+7,$J362-COUNTIF($Y362:$Z362,"X")*8-1+COUNTIF($Y362:$Z362,"X")*8)," downto ",COUNTIF($Y362:$Z362,"X")*8,")"))))</f>
        <v/>
      </c>
      <c r="AG362" s="2" t="str">
        <f t="shared" ref="AG362:AG425" si="97">IF(Y362="","",IF($J362&lt;=8,"",IF(($J362-COUNTIF($Z362,"X")*8)=1,CONCATENATE("(",($J362-1),")"),CONCATENATE("(",IF(($J362-COUNTIF($Z362,"X")*8)&gt;=8,COUNTIF($Z362,"X")*8+7,$J362-COUNTIF($Z362,"X")*8-1+COUNTIF($Z362,"X")*8)," downto ",COUNTIF($Z362,"X")*8,")"))))</f>
        <v/>
      </c>
      <c r="AH362" s="2" t="str">
        <f t="shared" ref="AH362:AH425" si="98">IF(Z362="","",IF($J362&lt;=8,"",CONCATENATE("(",IF($J362&gt;=8,7,$J362-1)," downto ",0,")")))</f>
        <v/>
      </c>
    </row>
    <row r="363" spans="2:34" x14ac:dyDescent="0.25">
      <c r="B363" s="2" t="s">
        <v>984</v>
      </c>
      <c r="D363" s="2" t="s">
        <v>1</v>
      </c>
      <c r="E363" s="2" t="s">
        <v>134</v>
      </c>
      <c r="F363" s="2" t="s">
        <v>992</v>
      </c>
      <c r="G363" s="2" t="s">
        <v>993</v>
      </c>
      <c r="H363" s="2" t="s">
        <v>454</v>
      </c>
      <c r="I363" s="2" t="s">
        <v>42</v>
      </c>
      <c r="J363" s="2">
        <v>1</v>
      </c>
      <c r="K363" s="2" t="s">
        <v>82</v>
      </c>
      <c r="L363" s="2" t="s">
        <v>41</v>
      </c>
      <c r="M363" s="2" t="s">
        <v>135</v>
      </c>
      <c r="N363" s="2" t="s">
        <v>987</v>
      </c>
      <c r="O363" s="2" t="s">
        <v>455</v>
      </c>
      <c r="P363" s="2" t="s">
        <v>5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1248</v>
      </c>
      <c r="T363" s="2" t="str">
        <f t="shared" si="84"/>
        <v>04E0</v>
      </c>
      <c r="U363" s="2">
        <f t="shared" si="90"/>
        <v>312</v>
      </c>
      <c r="V363" s="2" t="str">
        <f t="shared" si="85"/>
        <v>138</v>
      </c>
      <c r="W363" s="2" t="str">
        <f t="shared" si="86"/>
        <v/>
      </c>
      <c r="X363" s="2" t="str">
        <f t="shared" si="87"/>
        <v/>
      </c>
      <c r="Y363" s="2" t="str">
        <f t="shared" si="88"/>
        <v/>
      </c>
      <c r="Z363" s="2" t="str">
        <f t="shared" si="89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984</v>
      </c>
      <c r="D364" s="2" t="s">
        <v>1</v>
      </c>
      <c r="E364" s="2" t="s">
        <v>134</v>
      </c>
      <c r="F364" s="2" t="s">
        <v>992</v>
      </c>
      <c r="G364" s="2" t="s">
        <v>993</v>
      </c>
      <c r="H364" s="2" t="s">
        <v>456</v>
      </c>
      <c r="I364" s="2" t="s">
        <v>42</v>
      </c>
      <c r="J364" s="2">
        <v>1</v>
      </c>
      <c r="K364" s="2" t="s">
        <v>82</v>
      </c>
      <c r="L364" s="2" t="s">
        <v>41</v>
      </c>
      <c r="M364" s="2" t="s">
        <v>135</v>
      </c>
      <c r="N364" s="2" t="s">
        <v>987</v>
      </c>
      <c r="O364" s="2" t="s">
        <v>457</v>
      </c>
      <c r="P364" s="2" t="s">
        <v>5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1252</v>
      </c>
      <c r="T364" s="2" t="str">
        <f t="shared" si="84"/>
        <v>04E4</v>
      </c>
      <c r="U364" s="2">
        <f t="shared" si="90"/>
        <v>313</v>
      </c>
      <c r="V364" s="2" t="str">
        <f t="shared" si="85"/>
        <v>139</v>
      </c>
      <c r="W364" s="2" t="str">
        <f t="shared" si="86"/>
        <v/>
      </c>
      <c r="X364" s="2" t="str">
        <f t="shared" si="87"/>
        <v/>
      </c>
      <c r="Y364" s="2" t="str">
        <f t="shared" si="88"/>
        <v/>
      </c>
      <c r="Z364" s="2" t="str">
        <f t="shared" si="89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984</v>
      </c>
      <c r="D365" s="2" t="s">
        <v>1</v>
      </c>
      <c r="E365" s="2" t="s">
        <v>134</v>
      </c>
      <c r="F365" s="2" t="s">
        <v>992</v>
      </c>
      <c r="G365" s="2" t="s">
        <v>993</v>
      </c>
      <c r="H365" s="2" t="s">
        <v>458</v>
      </c>
      <c r="I365" s="2" t="s">
        <v>42</v>
      </c>
      <c r="J365" s="2">
        <v>1</v>
      </c>
      <c r="K365" s="2" t="s">
        <v>82</v>
      </c>
      <c r="L365" s="2" t="s">
        <v>41</v>
      </c>
      <c r="M365" s="2" t="s">
        <v>135</v>
      </c>
      <c r="N365" s="2" t="s">
        <v>987</v>
      </c>
      <c r="O365" s="2" t="s">
        <v>459</v>
      </c>
      <c r="P365" s="2" t="s">
        <v>5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1256</v>
      </c>
      <c r="T365" s="2" t="str">
        <f t="shared" si="84"/>
        <v>04E8</v>
      </c>
      <c r="U365" s="2">
        <f t="shared" si="90"/>
        <v>314</v>
      </c>
      <c r="V365" s="2" t="str">
        <f t="shared" si="85"/>
        <v>13A</v>
      </c>
      <c r="W365" s="2" t="str">
        <f t="shared" si="86"/>
        <v/>
      </c>
      <c r="X365" s="2" t="str">
        <f t="shared" si="87"/>
        <v/>
      </c>
      <c r="Y365" s="2" t="str">
        <f t="shared" si="88"/>
        <v/>
      </c>
      <c r="Z365" s="2" t="str">
        <f t="shared" si="89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984</v>
      </c>
      <c r="D366" s="2" t="s">
        <v>1</v>
      </c>
      <c r="E366" s="2" t="s">
        <v>134</v>
      </c>
      <c r="F366" s="2" t="s">
        <v>992</v>
      </c>
      <c r="G366" s="2" t="s">
        <v>993</v>
      </c>
      <c r="H366" s="2" t="s">
        <v>460</v>
      </c>
      <c r="I366" s="2" t="s">
        <v>42</v>
      </c>
      <c r="J366" s="2">
        <v>1</v>
      </c>
      <c r="K366" s="2" t="s">
        <v>82</v>
      </c>
      <c r="L366" s="2" t="s">
        <v>41</v>
      </c>
      <c r="M366" s="2" t="s">
        <v>135</v>
      </c>
      <c r="N366" s="2" t="s">
        <v>987</v>
      </c>
      <c r="O366" s="2" t="s">
        <v>461</v>
      </c>
      <c r="P366" s="2" t="s">
        <v>5</v>
      </c>
      <c r="Q366" s="2">
        <f>INDEX(Tables!$C$4:$C$28,MATCH($P366,Tables!$B$4:$B$28,0))</f>
        <v>32</v>
      </c>
      <c r="R366" s="2">
        <f>INDEX(Tables!$D$4:$D$28,MATCH($P366,Tables!$B$4:$B$28,0))</f>
        <v>4</v>
      </c>
      <c r="S366" s="2">
        <f>$S365+$R365+INDEX(Tables!$N$5:$Q$8,MATCH(MOD($S365+$R365,4),Tables!$M$5:$M$8,0),MATCH($R366,Tables!$N$4:$Q$4,0))</f>
        <v>1260</v>
      </c>
      <c r="T366" s="2" t="str">
        <f t="shared" si="84"/>
        <v>04EC</v>
      </c>
      <c r="U366" s="2">
        <f t="shared" si="90"/>
        <v>315</v>
      </c>
      <c r="V366" s="2" t="str">
        <f t="shared" si="85"/>
        <v>13B</v>
      </c>
      <c r="W366" s="2" t="str">
        <f t="shared" si="86"/>
        <v/>
      </c>
      <c r="X366" s="2" t="str">
        <f t="shared" si="87"/>
        <v/>
      </c>
      <c r="Y366" s="2" t="str">
        <f t="shared" si="88"/>
        <v/>
      </c>
      <c r="Z366" s="2" t="str">
        <f t="shared" si="89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984</v>
      </c>
      <c r="D367" s="2" t="s">
        <v>1</v>
      </c>
      <c r="E367" s="2" t="s">
        <v>134</v>
      </c>
      <c r="F367" s="2" t="s">
        <v>992</v>
      </c>
      <c r="G367" s="2" t="s">
        <v>993</v>
      </c>
      <c r="H367" s="2" t="s">
        <v>462</v>
      </c>
      <c r="I367" s="2" t="s">
        <v>42</v>
      </c>
      <c r="J367" s="2">
        <v>1</v>
      </c>
      <c r="K367" s="2" t="s">
        <v>82</v>
      </c>
      <c r="L367" s="2" t="s">
        <v>41</v>
      </c>
      <c r="M367" s="2" t="s">
        <v>135</v>
      </c>
      <c r="N367" s="2" t="s">
        <v>987</v>
      </c>
      <c r="O367" s="2" t="s">
        <v>463</v>
      </c>
      <c r="P367" s="2" t="s">
        <v>5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1264</v>
      </c>
      <c r="T367" s="2" t="str">
        <f t="shared" si="84"/>
        <v>04F0</v>
      </c>
      <c r="U367" s="2">
        <f t="shared" si="90"/>
        <v>316</v>
      </c>
      <c r="V367" s="2" t="str">
        <f t="shared" si="85"/>
        <v>13C</v>
      </c>
      <c r="W367" s="2" t="str">
        <f t="shared" si="86"/>
        <v/>
      </c>
      <c r="X367" s="2" t="str">
        <f t="shared" si="87"/>
        <v/>
      </c>
      <c r="Y367" s="2" t="str">
        <f t="shared" si="88"/>
        <v/>
      </c>
      <c r="Z367" s="2" t="str">
        <f t="shared" si="89"/>
        <v>X</v>
      </c>
      <c r="AA367" s="2" t="str">
        <f t="shared" si="91"/>
        <v/>
      </c>
      <c r="AB367" s="2" t="str">
        <f t="shared" si="92"/>
        <v/>
      </c>
      <c r="AC367" s="2" t="str">
        <f t="shared" si="93"/>
        <v/>
      </c>
      <c r="AD367" s="2" t="str">
        <f t="shared" si="94"/>
        <v>(0)</v>
      </c>
      <c r="AE367" s="2" t="str">
        <f t="shared" si="95"/>
        <v/>
      </c>
      <c r="AF367" s="2" t="str">
        <f t="shared" si="96"/>
        <v/>
      </c>
      <c r="AG367" s="2" t="str">
        <f t="shared" si="97"/>
        <v/>
      </c>
      <c r="AH367" s="2" t="str">
        <f t="shared" si="98"/>
        <v/>
      </c>
    </row>
    <row r="368" spans="2:34" x14ac:dyDescent="0.25">
      <c r="B368" s="2" t="s">
        <v>984</v>
      </c>
      <c r="D368" s="2" t="s">
        <v>1</v>
      </c>
      <c r="E368" s="2" t="s">
        <v>134</v>
      </c>
      <c r="F368" s="2" t="s">
        <v>992</v>
      </c>
      <c r="G368" s="2" t="s">
        <v>993</v>
      </c>
      <c r="H368" s="2" t="s">
        <v>464</v>
      </c>
      <c r="I368" s="2" t="s">
        <v>42</v>
      </c>
      <c r="J368" s="2">
        <v>1</v>
      </c>
      <c r="K368" s="2" t="s">
        <v>82</v>
      </c>
      <c r="L368" s="2" t="s">
        <v>41</v>
      </c>
      <c r="M368" s="2" t="s">
        <v>135</v>
      </c>
      <c r="N368" s="2" t="s">
        <v>987</v>
      </c>
      <c r="O368" s="2" t="s">
        <v>465</v>
      </c>
      <c r="P368" s="2" t="s">
        <v>5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1268</v>
      </c>
      <c r="T368" s="2" t="str">
        <f t="shared" si="84"/>
        <v>04F4</v>
      </c>
      <c r="U368" s="2">
        <f t="shared" si="90"/>
        <v>317</v>
      </c>
      <c r="V368" s="2" t="str">
        <f t="shared" si="85"/>
        <v>13D</v>
      </c>
      <c r="W368" s="2" t="str">
        <f t="shared" si="86"/>
        <v/>
      </c>
      <c r="X368" s="2" t="str">
        <f t="shared" si="87"/>
        <v/>
      </c>
      <c r="Y368" s="2" t="str">
        <f t="shared" si="88"/>
        <v/>
      </c>
      <c r="Z368" s="2" t="str">
        <f t="shared" si="89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984</v>
      </c>
      <c r="D369" s="2" t="s">
        <v>1</v>
      </c>
      <c r="E369" s="2" t="s">
        <v>134</v>
      </c>
      <c r="F369" s="2" t="s">
        <v>992</v>
      </c>
      <c r="G369" s="2" t="s">
        <v>993</v>
      </c>
      <c r="H369" s="2" t="s">
        <v>466</v>
      </c>
      <c r="I369" s="2" t="s">
        <v>42</v>
      </c>
      <c r="J369" s="2">
        <v>1</v>
      </c>
      <c r="K369" s="2" t="s">
        <v>82</v>
      </c>
      <c r="L369" s="2" t="s">
        <v>41</v>
      </c>
      <c r="M369" s="2" t="s">
        <v>135</v>
      </c>
      <c r="N369" s="2" t="s">
        <v>987</v>
      </c>
      <c r="O369" s="2" t="s">
        <v>467</v>
      </c>
      <c r="P369" s="2" t="s">
        <v>5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1272</v>
      </c>
      <c r="T369" s="2" t="str">
        <f t="shared" si="84"/>
        <v>04F8</v>
      </c>
      <c r="U369" s="2">
        <f t="shared" si="90"/>
        <v>318</v>
      </c>
      <c r="V369" s="2" t="str">
        <f t="shared" si="85"/>
        <v>13E</v>
      </c>
      <c r="W369" s="2" t="str">
        <f t="shared" si="86"/>
        <v/>
      </c>
      <c r="X369" s="2" t="str">
        <f t="shared" si="87"/>
        <v/>
      </c>
      <c r="Y369" s="2" t="str">
        <f t="shared" si="88"/>
        <v/>
      </c>
      <c r="Z369" s="2" t="str">
        <f t="shared" si="89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984</v>
      </c>
      <c r="D370" s="2" t="s">
        <v>1</v>
      </c>
      <c r="E370" s="2" t="s">
        <v>134</v>
      </c>
      <c r="F370" s="2" t="s">
        <v>992</v>
      </c>
      <c r="G370" s="2" t="s">
        <v>993</v>
      </c>
      <c r="H370" s="2" t="s">
        <v>468</v>
      </c>
      <c r="I370" s="2" t="s">
        <v>42</v>
      </c>
      <c r="J370" s="2">
        <v>1</v>
      </c>
      <c r="K370" s="2" t="s">
        <v>82</v>
      </c>
      <c r="L370" s="2" t="s">
        <v>41</v>
      </c>
      <c r="M370" s="2" t="s">
        <v>135</v>
      </c>
      <c r="N370" s="2" t="s">
        <v>987</v>
      </c>
      <c r="O370" s="2" t="s">
        <v>469</v>
      </c>
      <c r="P370" s="2" t="s">
        <v>5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1276</v>
      </c>
      <c r="T370" s="2" t="str">
        <f t="shared" si="84"/>
        <v>04FC</v>
      </c>
      <c r="U370" s="2">
        <f t="shared" si="90"/>
        <v>319</v>
      </c>
      <c r="V370" s="2" t="str">
        <f t="shared" si="85"/>
        <v>13F</v>
      </c>
      <c r="W370" s="2" t="str">
        <f t="shared" si="86"/>
        <v/>
      </c>
      <c r="X370" s="2" t="str">
        <f t="shared" si="87"/>
        <v/>
      </c>
      <c r="Y370" s="2" t="str">
        <f t="shared" si="88"/>
        <v/>
      </c>
      <c r="Z370" s="2" t="str">
        <f t="shared" si="89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984</v>
      </c>
      <c r="D371" s="2" t="s">
        <v>1</v>
      </c>
      <c r="E371" s="2" t="s">
        <v>134</v>
      </c>
      <c r="F371" s="2" t="s">
        <v>992</v>
      </c>
      <c r="G371" s="2" t="s">
        <v>993</v>
      </c>
      <c r="H371" s="2" t="s">
        <v>470</v>
      </c>
      <c r="I371" s="2" t="s">
        <v>42</v>
      </c>
      <c r="J371" s="2">
        <v>1</v>
      </c>
      <c r="K371" s="2" t="s">
        <v>82</v>
      </c>
      <c r="L371" s="2" t="s">
        <v>41</v>
      </c>
      <c r="M371" s="2" t="s">
        <v>135</v>
      </c>
      <c r="N371" s="2" t="s">
        <v>987</v>
      </c>
      <c r="O371" s="2" t="s">
        <v>471</v>
      </c>
      <c r="P371" s="2" t="s">
        <v>5</v>
      </c>
      <c r="Q371" s="2">
        <f>INDEX(Tables!$C$4:$C$28,MATCH($P371,Tables!$B$4:$B$28,0))</f>
        <v>32</v>
      </c>
      <c r="R371" s="2">
        <f>INDEX(Tables!$D$4:$D$28,MATCH($P371,Tables!$B$4:$B$28,0))</f>
        <v>4</v>
      </c>
      <c r="S371" s="2">
        <f>$S370+$R370+INDEX(Tables!$N$5:$Q$8,MATCH(MOD($S370+$R370,4),Tables!$M$5:$M$8,0),MATCH($R371,Tables!$N$4:$Q$4,0))</f>
        <v>1280</v>
      </c>
      <c r="T371" s="2" t="str">
        <f t="shared" si="84"/>
        <v>0500</v>
      </c>
      <c r="U371" s="2">
        <f t="shared" si="90"/>
        <v>320</v>
      </c>
      <c r="V371" s="2" t="str">
        <f t="shared" si="85"/>
        <v>140</v>
      </c>
      <c r="W371" s="2" t="str">
        <f t="shared" si="86"/>
        <v/>
      </c>
      <c r="X371" s="2" t="str">
        <f t="shared" si="87"/>
        <v/>
      </c>
      <c r="Y371" s="2" t="str">
        <f t="shared" si="88"/>
        <v/>
      </c>
      <c r="Z371" s="2" t="str">
        <f t="shared" si="89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984</v>
      </c>
      <c r="D372" s="2" t="s">
        <v>1</v>
      </c>
      <c r="E372" s="2" t="s">
        <v>134</v>
      </c>
      <c r="F372" s="2" t="s">
        <v>992</v>
      </c>
      <c r="G372" s="2" t="s">
        <v>993</v>
      </c>
      <c r="H372" s="2" t="s">
        <v>472</v>
      </c>
      <c r="I372" s="2" t="s">
        <v>42</v>
      </c>
      <c r="J372" s="2">
        <v>1</v>
      </c>
      <c r="K372" s="2" t="s">
        <v>82</v>
      </c>
      <c r="L372" s="2" t="s">
        <v>41</v>
      </c>
      <c r="M372" s="2" t="s">
        <v>135</v>
      </c>
      <c r="N372" s="2" t="s">
        <v>987</v>
      </c>
      <c r="O372" s="2" t="s">
        <v>473</v>
      </c>
      <c r="P372" s="2" t="s">
        <v>5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1284</v>
      </c>
      <c r="T372" s="2" t="str">
        <f t="shared" si="84"/>
        <v>0504</v>
      </c>
      <c r="U372" s="2">
        <f t="shared" si="90"/>
        <v>321</v>
      </c>
      <c r="V372" s="2" t="str">
        <f t="shared" si="85"/>
        <v>141</v>
      </c>
      <c r="W372" s="2" t="str">
        <f t="shared" si="86"/>
        <v/>
      </c>
      <c r="X372" s="2" t="str">
        <f t="shared" si="87"/>
        <v/>
      </c>
      <c r="Y372" s="2" t="str">
        <f t="shared" si="88"/>
        <v/>
      </c>
      <c r="Z372" s="2" t="str">
        <f t="shared" si="89"/>
        <v>X</v>
      </c>
      <c r="AA372" s="2" t="str">
        <f t="shared" si="91"/>
        <v/>
      </c>
      <c r="AB372" s="2" t="str">
        <f t="shared" si="92"/>
        <v/>
      </c>
      <c r="AC372" s="2" t="str">
        <f t="shared" si="93"/>
        <v/>
      </c>
      <c r="AD372" s="2" t="str">
        <f t="shared" si="94"/>
        <v>(0)</v>
      </c>
      <c r="AE372" s="2" t="str">
        <f t="shared" si="95"/>
        <v/>
      </c>
      <c r="AF372" s="2" t="str">
        <f t="shared" si="96"/>
        <v/>
      </c>
      <c r="AG372" s="2" t="str">
        <f t="shared" si="97"/>
        <v/>
      </c>
      <c r="AH372" s="2" t="str">
        <f t="shared" si="98"/>
        <v/>
      </c>
    </row>
    <row r="373" spans="2:34" x14ac:dyDescent="0.25">
      <c r="B373" s="2" t="s">
        <v>984</v>
      </c>
      <c r="D373" s="2" t="s">
        <v>1</v>
      </c>
      <c r="E373" s="2" t="s">
        <v>134</v>
      </c>
      <c r="F373" s="2" t="s">
        <v>992</v>
      </c>
      <c r="G373" s="2" t="s">
        <v>993</v>
      </c>
      <c r="H373" s="2" t="s">
        <v>474</v>
      </c>
      <c r="I373" s="2" t="s">
        <v>42</v>
      </c>
      <c r="J373" s="2">
        <v>1</v>
      </c>
      <c r="K373" s="2" t="s">
        <v>82</v>
      </c>
      <c r="L373" s="2" t="s">
        <v>41</v>
      </c>
      <c r="M373" s="2" t="s">
        <v>135</v>
      </c>
      <c r="N373" s="2" t="s">
        <v>987</v>
      </c>
      <c r="O373" s="2" t="s">
        <v>475</v>
      </c>
      <c r="P373" s="2" t="s">
        <v>5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1288</v>
      </c>
      <c r="T373" s="2" t="str">
        <f t="shared" si="84"/>
        <v>0508</v>
      </c>
      <c r="U373" s="2">
        <f t="shared" si="90"/>
        <v>322</v>
      </c>
      <c r="V373" s="2" t="str">
        <f t="shared" si="85"/>
        <v>142</v>
      </c>
      <c r="W373" s="2" t="str">
        <f t="shared" si="86"/>
        <v/>
      </c>
      <c r="X373" s="2" t="str">
        <f t="shared" si="87"/>
        <v/>
      </c>
      <c r="Y373" s="2" t="str">
        <f t="shared" si="88"/>
        <v/>
      </c>
      <c r="Z373" s="2" t="str">
        <f t="shared" si="89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984</v>
      </c>
      <c r="D374" s="2" t="s">
        <v>1</v>
      </c>
      <c r="E374" s="2" t="s">
        <v>134</v>
      </c>
      <c r="F374" s="2" t="s">
        <v>992</v>
      </c>
      <c r="G374" s="2" t="s">
        <v>993</v>
      </c>
      <c r="H374" s="2" t="s">
        <v>476</v>
      </c>
      <c r="I374" s="2" t="s">
        <v>42</v>
      </c>
      <c r="J374" s="2">
        <v>1</v>
      </c>
      <c r="K374" s="2" t="s">
        <v>82</v>
      </c>
      <c r="L374" s="2" t="s">
        <v>41</v>
      </c>
      <c r="M374" s="2" t="s">
        <v>135</v>
      </c>
      <c r="N374" s="2" t="s">
        <v>987</v>
      </c>
      <c r="O374" s="2" t="s">
        <v>477</v>
      </c>
      <c r="P374" s="2" t="s">
        <v>5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1292</v>
      </c>
      <c r="T374" s="2" t="str">
        <f t="shared" si="84"/>
        <v>050C</v>
      </c>
      <c r="U374" s="2">
        <f t="shared" si="90"/>
        <v>323</v>
      </c>
      <c r="V374" s="2" t="str">
        <f t="shared" si="85"/>
        <v>143</v>
      </c>
      <c r="W374" s="2" t="str">
        <f t="shared" si="86"/>
        <v/>
      </c>
      <c r="X374" s="2" t="str">
        <f t="shared" si="87"/>
        <v/>
      </c>
      <c r="Y374" s="2" t="str">
        <f t="shared" si="88"/>
        <v/>
      </c>
      <c r="Z374" s="2" t="str">
        <f t="shared" si="89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984</v>
      </c>
      <c r="D375" s="2" t="s">
        <v>1</v>
      </c>
      <c r="E375" s="2" t="s">
        <v>134</v>
      </c>
      <c r="F375" s="2" t="s">
        <v>992</v>
      </c>
      <c r="G375" s="2" t="s">
        <v>993</v>
      </c>
      <c r="H375" s="2" t="s">
        <v>478</v>
      </c>
      <c r="I375" s="2" t="s">
        <v>42</v>
      </c>
      <c r="J375" s="2">
        <v>1</v>
      </c>
      <c r="K375" s="2" t="s">
        <v>82</v>
      </c>
      <c r="L375" s="2" t="s">
        <v>41</v>
      </c>
      <c r="M375" s="2" t="s">
        <v>135</v>
      </c>
      <c r="N375" s="2" t="s">
        <v>987</v>
      </c>
      <c r="O375" s="2" t="s">
        <v>479</v>
      </c>
      <c r="P375" s="2" t="s">
        <v>5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1296</v>
      </c>
      <c r="T375" s="2" t="str">
        <f t="shared" si="84"/>
        <v>0510</v>
      </c>
      <c r="U375" s="2">
        <f t="shared" si="90"/>
        <v>324</v>
      </c>
      <c r="V375" s="2" t="str">
        <f t="shared" si="85"/>
        <v>144</v>
      </c>
      <c r="W375" s="2" t="str">
        <f t="shared" si="86"/>
        <v/>
      </c>
      <c r="X375" s="2" t="str">
        <f t="shared" si="87"/>
        <v/>
      </c>
      <c r="Y375" s="2" t="str">
        <f t="shared" si="88"/>
        <v/>
      </c>
      <c r="Z375" s="2" t="str">
        <f t="shared" si="89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984</v>
      </c>
      <c r="D376" s="2" t="s">
        <v>1</v>
      </c>
      <c r="E376" s="2" t="s">
        <v>134</v>
      </c>
      <c r="F376" s="2" t="s">
        <v>992</v>
      </c>
      <c r="G376" s="2" t="s">
        <v>993</v>
      </c>
      <c r="H376" s="2" t="s">
        <v>480</v>
      </c>
      <c r="I376" s="2" t="s">
        <v>42</v>
      </c>
      <c r="J376" s="2">
        <v>1</v>
      </c>
      <c r="K376" s="2" t="s">
        <v>82</v>
      </c>
      <c r="L376" s="2" t="s">
        <v>41</v>
      </c>
      <c r="M376" s="2" t="s">
        <v>135</v>
      </c>
      <c r="N376" s="2" t="s">
        <v>987</v>
      </c>
      <c r="O376" s="2" t="s">
        <v>481</v>
      </c>
      <c r="P376" s="2" t="s">
        <v>5</v>
      </c>
      <c r="Q376" s="2">
        <f>INDEX(Tables!$C$4:$C$28,MATCH($P376,Tables!$B$4:$B$28,0))</f>
        <v>32</v>
      </c>
      <c r="R376" s="2">
        <f>INDEX(Tables!$D$4:$D$28,MATCH($P376,Tables!$B$4:$B$28,0))</f>
        <v>4</v>
      </c>
      <c r="S376" s="2">
        <f>$S375+$R375+INDEX(Tables!$N$5:$Q$8,MATCH(MOD($S375+$R375,4),Tables!$M$5:$M$8,0),MATCH($R376,Tables!$N$4:$Q$4,0))</f>
        <v>1300</v>
      </c>
      <c r="T376" s="2" t="str">
        <f t="shared" si="84"/>
        <v>0514</v>
      </c>
      <c r="U376" s="2">
        <f t="shared" si="90"/>
        <v>325</v>
      </c>
      <c r="V376" s="2" t="str">
        <f t="shared" si="85"/>
        <v>145</v>
      </c>
      <c r="W376" s="2" t="str">
        <f t="shared" si="86"/>
        <v/>
      </c>
      <c r="X376" s="2" t="str">
        <f t="shared" si="87"/>
        <v/>
      </c>
      <c r="Y376" s="2" t="str">
        <f t="shared" si="88"/>
        <v/>
      </c>
      <c r="Z376" s="2" t="str">
        <f t="shared" si="89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984</v>
      </c>
      <c r="D377" s="2" t="s">
        <v>1</v>
      </c>
      <c r="E377" s="2" t="s">
        <v>134</v>
      </c>
      <c r="F377" s="2" t="s">
        <v>992</v>
      </c>
      <c r="G377" s="2" t="s">
        <v>993</v>
      </c>
      <c r="H377" s="2" t="s">
        <v>482</v>
      </c>
      <c r="I377" s="2" t="s">
        <v>42</v>
      </c>
      <c r="J377" s="2">
        <v>1</v>
      </c>
      <c r="K377" s="2" t="s">
        <v>82</v>
      </c>
      <c r="L377" s="2" t="s">
        <v>41</v>
      </c>
      <c r="M377" s="2" t="s">
        <v>135</v>
      </c>
      <c r="N377" s="2" t="s">
        <v>987</v>
      </c>
      <c r="O377" s="2" t="s">
        <v>483</v>
      </c>
      <c r="P377" s="2" t="s">
        <v>5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1304</v>
      </c>
      <c r="T377" s="2" t="str">
        <f t="shared" si="84"/>
        <v>0518</v>
      </c>
      <c r="U377" s="2">
        <f t="shared" si="90"/>
        <v>326</v>
      </c>
      <c r="V377" s="2" t="str">
        <f t="shared" si="85"/>
        <v>146</v>
      </c>
      <c r="W377" s="2" t="str">
        <f t="shared" si="86"/>
        <v/>
      </c>
      <c r="X377" s="2" t="str">
        <f t="shared" si="87"/>
        <v/>
      </c>
      <c r="Y377" s="2" t="str">
        <f t="shared" si="88"/>
        <v/>
      </c>
      <c r="Z377" s="2" t="str">
        <f t="shared" si="89"/>
        <v>X</v>
      </c>
      <c r="AA377" s="2" t="str">
        <f t="shared" si="91"/>
        <v/>
      </c>
      <c r="AB377" s="2" t="str">
        <f t="shared" si="92"/>
        <v/>
      </c>
      <c r="AC377" s="2" t="str">
        <f t="shared" si="93"/>
        <v/>
      </c>
      <c r="AD377" s="2" t="str">
        <f t="shared" si="94"/>
        <v>(0)</v>
      </c>
      <c r="AE377" s="2" t="str">
        <f t="shared" si="95"/>
        <v/>
      </c>
      <c r="AF377" s="2" t="str">
        <f t="shared" si="96"/>
        <v/>
      </c>
      <c r="AG377" s="2" t="str">
        <f t="shared" si="97"/>
        <v/>
      </c>
      <c r="AH377" s="2" t="str">
        <f t="shared" si="98"/>
        <v/>
      </c>
    </row>
    <row r="378" spans="2:34" x14ac:dyDescent="0.25">
      <c r="B378" s="2" t="s">
        <v>984</v>
      </c>
      <c r="D378" s="2" t="s">
        <v>1</v>
      </c>
      <c r="E378" s="2" t="s">
        <v>134</v>
      </c>
      <c r="F378" s="2" t="s">
        <v>992</v>
      </c>
      <c r="G378" s="2" t="s">
        <v>993</v>
      </c>
      <c r="H378" s="2" t="s">
        <v>484</v>
      </c>
      <c r="I378" s="2" t="s">
        <v>42</v>
      </c>
      <c r="J378" s="2">
        <v>1</v>
      </c>
      <c r="K378" s="2" t="s">
        <v>82</v>
      </c>
      <c r="L378" s="2" t="s">
        <v>41</v>
      </c>
      <c r="M378" s="2" t="s">
        <v>135</v>
      </c>
      <c r="N378" s="2" t="s">
        <v>987</v>
      </c>
      <c r="O378" s="2" t="s">
        <v>485</v>
      </c>
      <c r="P378" s="2" t="s">
        <v>5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1308</v>
      </c>
      <c r="T378" s="2" t="str">
        <f t="shared" si="84"/>
        <v>051C</v>
      </c>
      <c r="U378" s="2">
        <f t="shared" si="90"/>
        <v>327</v>
      </c>
      <c r="V378" s="2" t="str">
        <f t="shared" si="85"/>
        <v>147</v>
      </c>
      <c r="W378" s="2" t="str">
        <f t="shared" si="86"/>
        <v/>
      </c>
      <c r="X378" s="2" t="str">
        <f t="shared" si="87"/>
        <v/>
      </c>
      <c r="Y378" s="2" t="str">
        <f t="shared" si="88"/>
        <v/>
      </c>
      <c r="Z378" s="2" t="str">
        <f t="shared" si="89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984</v>
      </c>
      <c r="D379" s="2" t="s">
        <v>1</v>
      </c>
      <c r="E379" s="2" t="s">
        <v>134</v>
      </c>
      <c r="F379" s="2" t="s">
        <v>992</v>
      </c>
      <c r="G379" s="2" t="s">
        <v>993</v>
      </c>
      <c r="H379" s="2" t="s">
        <v>486</v>
      </c>
      <c r="I379" s="2" t="s">
        <v>42</v>
      </c>
      <c r="J379" s="2">
        <v>1</v>
      </c>
      <c r="K379" s="2" t="s">
        <v>82</v>
      </c>
      <c r="L379" s="2" t="s">
        <v>41</v>
      </c>
      <c r="M379" s="2" t="s">
        <v>135</v>
      </c>
      <c r="N379" s="2" t="s">
        <v>987</v>
      </c>
      <c r="O379" s="2" t="s">
        <v>487</v>
      </c>
      <c r="P379" s="2" t="s">
        <v>5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1312</v>
      </c>
      <c r="T379" s="2" t="str">
        <f t="shared" si="84"/>
        <v>0520</v>
      </c>
      <c r="U379" s="2">
        <f t="shared" si="90"/>
        <v>328</v>
      </c>
      <c r="V379" s="2" t="str">
        <f t="shared" si="85"/>
        <v>148</v>
      </c>
      <c r="W379" s="2" t="str">
        <f t="shared" si="86"/>
        <v/>
      </c>
      <c r="X379" s="2" t="str">
        <f t="shared" si="87"/>
        <v/>
      </c>
      <c r="Y379" s="2" t="str">
        <f t="shared" si="88"/>
        <v/>
      </c>
      <c r="Z379" s="2" t="str">
        <f t="shared" si="89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984</v>
      </c>
      <c r="D380" s="2" t="s">
        <v>1</v>
      </c>
      <c r="E380" s="2" t="s">
        <v>134</v>
      </c>
      <c r="F380" s="2" t="s">
        <v>992</v>
      </c>
      <c r="G380" s="2" t="s">
        <v>993</v>
      </c>
      <c r="H380" s="2" t="s">
        <v>488</v>
      </c>
      <c r="I380" s="2" t="s">
        <v>42</v>
      </c>
      <c r="J380" s="2">
        <v>1</v>
      </c>
      <c r="K380" s="2" t="s">
        <v>82</v>
      </c>
      <c r="L380" s="2" t="s">
        <v>41</v>
      </c>
      <c r="M380" s="2" t="s">
        <v>135</v>
      </c>
      <c r="N380" s="2" t="s">
        <v>987</v>
      </c>
      <c r="O380" s="2" t="s">
        <v>489</v>
      </c>
      <c r="P380" s="2" t="s">
        <v>5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1316</v>
      </c>
      <c r="T380" s="2" t="str">
        <f t="shared" si="84"/>
        <v>0524</v>
      </c>
      <c r="U380" s="2">
        <f t="shared" si="90"/>
        <v>329</v>
      </c>
      <c r="V380" s="2" t="str">
        <f t="shared" si="85"/>
        <v>149</v>
      </c>
      <c r="W380" s="2" t="str">
        <f t="shared" si="86"/>
        <v/>
      </c>
      <c r="X380" s="2" t="str">
        <f t="shared" si="87"/>
        <v/>
      </c>
      <c r="Y380" s="2" t="str">
        <f t="shared" si="88"/>
        <v/>
      </c>
      <c r="Z380" s="2" t="str">
        <f t="shared" si="89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984</v>
      </c>
      <c r="D381" s="2" t="s">
        <v>1</v>
      </c>
      <c r="E381" s="2" t="s">
        <v>134</v>
      </c>
      <c r="F381" s="2" t="s">
        <v>992</v>
      </c>
      <c r="G381" s="2" t="s">
        <v>993</v>
      </c>
      <c r="H381" s="2" t="s">
        <v>490</v>
      </c>
      <c r="I381" s="2" t="s">
        <v>42</v>
      </c>
      <c r="J381" s="2">
        <v>1</v>
      </c>
      <c r="K381" s="2" t="s">
        <v>82</v>
      </c>
      <c r="L381" s="2" t="s">
        <v>41</v>
      </c>
      <c r="M381" s="2" t="s">
        <v>135</v>
      </c>
      <c r="N381" s="2" t="s">
        <v>987</v>
      </c>
      <c r="O381" s="2" t="s">
        <v>491</v>
      </c>
      <c r="P381" s="2" t="s">
        <v>5</v>
      </c>
      <c r="Q381" s="2">
        <f>INDEX(Tables!$C$4:$C$28,MATCH($P381,Tables!$B$4:$B$28,0))</f>
        <v>32</v>
      </c>
      <c r="R381" s="2">
        <f>INDEX(Tables!$D$4:$D$28,MATCH($P381,Tables!$B$4:$B$28,0))</f>
        <v>4</v>
      </c>
      <c r="S381" s="2">
        <f>$S380+$R380+INDEX(Tables!$N$5:$Q$8,MATCH(MOD($S380+$R380,4),Tables!$M$5:$M$8,0),MATCH($R381,Tables!$N$4:$Q$4,0))</f>
        <v>1320</v>
      </c>
      <c r="T381" s="2" t="str">
        <f t="shared" si="84"/>
        <v>0528</v>
      </c>
      <c r="U381" s="2">
        <f t="shared" si="90"/>
        <v>330</v>
      </c>
      <c r="V381" s="2" t="str">
        <f t="shared" si="85"/>
        <v>14A</v>
      </c>
      <c r="W381" s="2" t="str">
        <f t="shared" si="86"/>
        <v/>
      </c>
      <c r="X381" s="2" t="str">
        <f t="shared" si="87"/>
        <v/>
      </c>
      <c r="Y381" s="2" t="str">
        <f t="shared" si="88"/>
        <v/>
      </c>
      <c r="Z381" s="2" t="str">
        <f t="shared" si="89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984</v>
      </c>
      <c r="D382" s="2" t="s">
        <v>1</v>
      </c>
      <c r="E382" s="2" t="s">
        <v>134</v>
      </c>
      <c r="F382" s="2" t="s">
        <v>992</v>
      </c>
      <c r="G382" s="2" t="s">
        <v>993</v>
      </c>
      <c r="H382" s="2" t="s">
        <v>492</v>
      </c>
      <c r="I382" s="2" t="s">
        <v>42</v>
      </c>
      <c r="J382" s="2">
        <v>1</v>
      </c>
      <c r="K382" s="2" t="s">
        <v>82</v>
      </c>
      <c r="L382" s="2" t="s">
        <v>41</v>
      </c>
      <c r="M382" s="2" t="s">
        <v>135</v>
      </c>
      <c r="N382" s="2" t="s">
        <v>987</v>
      </c>
      <c r="O382" s="2" t="s">
        <v>493</v>
      </c>
      <c r="P382" s="2" t="s">
        <v>5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1324</v>
      </c>
      <c r="T382" s="2" t="str">
        <f t="shared" si="84"/>
        <v>052C</v>
      </c>
      <c r="U382" s="2">
        <f t="shared" si="90"/>
        <v>331</v>
      </c>
      <c r="V382" s="2" t="str">
        <f t="shared" si="85"/>
        <v>14B</v>
      </c>
      <c r="W382" s="2" t="str">
        <f t="shared" si="86"/>
        <v/>
      </c>
      <c r="X382" s="2" t="str">
        <f t="shared" si="87"/>
        <v/>
      </c>
      <c r="Y382" s="2" t="str">
        <f t="shared" si="88"/>
        <v/>
      </c>
      <c r="Z382" s="2" t="str">
        <f t="shared" si="89"/>
        <v>X</v>
      </c>
      <c r="AA382" s="2" t="str">
        <f t="shared" si="91"/>
        <v/>
      </c>
      <c r="AB382" s="2" t="str">
        <f t="shared" si="92"/>
        <v/>
      </c>
      <c r="AC382" s="2" t="str">
        <f t="shared" si="93"/>
        <v/>
      </c>
      <c r="AD382" s="2" t="str">
        <f t="shared" si="94"/>
        <v>(0)</v>
      </c>
      <c r="AE382" s="2" t="str">
        <f t="shared" si="95"/>
        <v/>
      </c>
      <c r="AF382" s="2" t="str">
        <f t="shared" si="96"/>
        <v/>
      </c>
      <c r="AG382" s="2" t="str">
        <f t="shared" si="97"/>
        <v/>
      </c>
      <c r="AH382" s="2" t="str">
        <f t="shared" si="98"/>
        <v/>
      </c>
    </row>
    <row r="383" spans="2:34" x14ac:dyDescent="0.25">
      <c r="B383" s="2" t="s">
        <v>984</v>
      </c>
      <c r="D383" s="2" t="s">
        <v>1</v>
      </c>
      <c r="E383" s="2" t="s">
        <v>134</v>
      </c>
      <c r="F383" s="2" t="s">
        <v>994</v>
      </c>
      <c r="G383" s="2" t="s">
        <v>995</v>
      </c>
      <c r="H383" s="2" t="s">
        <v>496</v>
      </c>
      <c r="I383" s="2" t="s">
        <v>42</v>
      </c>
      <c r="J383" s="2">
        <v>2</v>
      </c>
      <c r="K383" s="2" t="s">
        <v>137</v>
      </c>
      <c r="L383" s="2" t="s">
        <v>41</v>
      </c>
      <c r="M383" s="2" t="s">
        <v>135</v>
      </c>
      <c r="N383" s="2" t="s">
        <v>987</v>
      </c>
      <c r="O383" s="2" t="s">
        <v>497</v>
      </c>
      <c r="P383" s="2" t="s">
        <v>48</v>
      </c>
      <c r="Q383" s="2">
        <f>INDEX(Tables!$C$4:$C$28,MATCH($P383,Tables!$B$4:$B$28,0))</f>
        <v>8</v>
      </c>
      <c r="R383" s="2">
        <f>INDEX(Tables!$D$4:$D$28,MATCH($P383,Tables!$B$4:$B$28,0))</f>
        <v>1</v>
      </c>
      <c r="S383" s="2">
        <f>$S382+$R382+INDEX(Tables!$N$5:$Q$8,MATCH(MOD($S382+$R382,4),Tables!$M$5:$M$8,0),MATCH($R383,Tables!$N$4:$Q$4,0))</f>
        <v>1328</v>
      </c>
      <c r="T383" s="2" t="str">
        <f t="shared" si="84"/>
        <v>0530</v>
      </c>
      <c r="U383" s="2">
        <f t="shared" si="90"/>
        <v>332</v>
      </c>
      <c r="V383" s="2" t="str">
        <f t="shared" si="85"/>
        <v>14C</v>
      </c>
      <c r="W383" s="2" t="str">
        <f t="shared" si="86"/>
        <v/>
      </c>
      <c r="X383" s="2" t="str">
        <f t="shared" si="87"/>
        <v/>
      </c>
      <c r="Y383" s="2" t="str">
        <f t="shared" si="88"/>
        <v/>
      </c>
      <c r="Z383" s="2" t="str">
        <f t="shared" si="89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(1 downto 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984</v>
      </c>
      <c r="D384" s="2" t="s">
        <v>1</v>
      </c>
      <c r="E384" s="2" t="s">
        <v>134</v>
      </c>
      <c r="F384" s="2" t="s">
        <v>994</v>
      </c>
      <c r="G384" s="2" t="s">
        <v>995</v>
      </c>
      <c r="H384" s="2" t="s">
        <v>498</v>
      </c>
      <c r="I384" s="2" t="s">
        <v>42</v>
      </c>
      <c r="J384" s="2">
        <v>14</v>
      </c>
      <c r="K384" s="2" t="s">
        <v>137</v>
      </c>
      <c r="L384" s="2" t="s">
        <v>41</v>
      </c>
      <c r="M384" s="2" t="s">
        <v>135</v>
      </c>
      <c r="N384" s="2" t="s">
        <v>987</v>
      </c>
      <c r="O384" s="2" t="s">
        <v>499</v>
      </c>
      <c r="P384" s="2" t="s">
        <v>50</v>
      </c>
      <c r="Q384" s="2">
        <f>INDEX(Tables!$C$4:$C$28,MATCH($P384,Tables!$B$4:$B$28,0))</f>
        <v>16</v>
      </c>
      <c r="R384" s="2">
        <f>INDEX(Tables!$D$4:$D$28,MATCH($P384,Tables!$B$4:$B$28,0))</f>
        <v>2</v>
      </c>
      <c r="S384" s="2">
        <f>$S383+$R383+INDEX(Tables!$N$5:$Q$8,MATCH(MOD($S383+$R383,4),Tables!$M$5:$M$8,0),MATCH($R384,Tables!$N$4:$Q$4,0))</f>
        <v>1330</v>
      </c>
      <c r="T384" s="2" t="str">
        <f t="shared" si="84"/>
        <v>0532</v>
      </c>
      <c r="U384" s="2">
        <f t="shared" si="90"/>
        <v>332</v>
      </c>
      <c r="V384" s="2" t="str">
        <f t="shared" si="85"/>
        <v>14C</v>
      </c>
      <c r="W384" s="2" t="str">
        <f t="shared" si="86"/>
        <v>X</v>
      </c>
      <c r="X384" s="2" t="str">
        <f t="shared" si="87"/>
        <v>X</v>
      </c>
      <c r="Y384" s="2" t="str">
        <f t="shared" si="88"/>
        <v/>
      </c>
      <c r="Z384" s="2" t="str">
        <f t="shared" si="89"/>
        <v/>
      </c>
      <c r="AA384" s="2" t="str">
        <f t="shared" si="91"/>
        <v>(29 downto 24)</v>
      </c>
      <c r="AB384" s="2" t="str">
        <f t="shared" si="92"/>
        <v>(23 downto 16)</v>
      </c>
      <c r="AC384" s="2" t="str">
        <f t="shared" si="93"/>
        <v/>
      </c>
      <c r="AD384" s="2" t="str">
        <f t="shared" si="94"/>
        <v/>
      </c>
      <c r="AE384" s="2" t="str">
        <f t="shared" si="95"/>
        <v>(13 downto 8)</v>
      </c>
      <c r="AF384" s="2" t="str">
        <f t="shared" si="96"/>
        <v>(7 downto 0)</v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984</v>
      </c>
      <c r="D385" s="2" t="s">
        <v>1</v>
      </c>
      <c r="E385" s="2" t="s">
        <v>134</v>
      </c>
      <c r="F385" s="2" t="s">
        <v>994</v>
      </c>
      <c r="G385" s="2" t="s">
        <v>995</v>
      </c>
      <c r="H385" s="2" t="s">
        <v>500</v>
      </c>
      <c r="I385" s="2" t="s">
        <v>42</v>
      </c>
      <c r="J385" s="2">
        <v>14</v>
      </c>
      <c r="K385" s="2" t="s">
        <v>137</v>
      </c>
      <c r="L385" s="2" t="s">
        <v>41</v>
      </c>
      <c r="M385" s="2" t="s">
        <v>135</v>
      </c>
      <c r="N385" s="2" t="s">
        <v>987</v>
      </c>
      <c r="O385" s="2" t="s">
        <v>501</v>
      </c>
      <c r="P385" s="2" t="s">
        <v>50</v>
      </c>
      <c r="Q385" s="2">
        <f>INDEX(Tables!$C$4:$C$28,MATCH($P385,Tables!$B$4:$B$28,0))</f>
        <v>16</v>
      </c>
      <c r="R385" s="2">
        <f>INDEX(Tables!$D$4:$D$28,MATCH($P385,Tables!$B$4:$B$28,0))</f>
        <v>2</v>
      </c>
      <c r="S385" s="2">
        <f>$S384+$R384+INDEX(Tables!$N$5:$Q$8,MATCH(MOD($S384+$R384,4),Tables!$M$5:$M$8,0),MATCH($R385,Tables!$N$4:$Q$4,0))</f>
        <v>1332</v>
      </c>
      <c r="T385" s="2" t="str">
        <f t="shared" si="84"/>
        <v>0534</v>
      </c>
      <c r="U385" s="2">
        <f t="shared" si="90"/>
        <v>333</v>
      </c>
      <c r="V385" s="2" t="str">
        <f t="shared" si="85"/>
        <v>14D</v>
      </c>
      <c r="W385" s="2" t="str">
        <f t="shared" si="86"/>
        <v/>
      </c>
      <c r="X385" s="2" t="str">
        <f t="shared" si="87"/>
        <v/>
      </c>
      <c r="Y385" s="2" t="str">
        <f t="shared" si="88"/>
        <v>X</v>
      </c>
      <c r="Z385" s="2" t="str">
        <f t="shared" si="89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>(13 downto 8)</v>
      </c>
      <c r="AD385" s="2" t="str">
        <f t="shared" si="94"/>
        <v>(7 downto 0)</v>
      </c>
      <c r="AE385" s="2" t="str">
        <f t="shared" si="95"/>
        <v/>
      </c>
      <c r="AF385" s="2" t="str">
        <f t="shared" si="96"/>
        <v/>
      </c>
      <c r="AG385" s="2" t="str">
        <f t="shared" si="97"/>
        <v>(13 downto 8)</v>
      </c>
      <c r="AH385" s="2" t="str">
        <f t="shared" si="98"/>
        <v>(7 downto 0)</v>
      </c>
    </row>
    <row r="386" spans="2:34" x14ac:dyDescent="0.25">
      <c r="B386" s="2" t="s">
        <v>984</v>
      </c>
      <c r="D386" s="2" t="s">
        <v>1</v>
      </c>
      <c r="E386" s="2" t="s">
        <v>134</v>
      </c>
      <c r="F386" s="2" t="s">
        <v>996</v>
      </c>
      <c r="G386" s="2" t="s">
        <v>997</v>
      </c>
      <c r="H386" s="2" t="s">
        <v>504</v>
      </c>
      <c r="I386" s="2" t="s">
        <v>42</v>
      </c>
      <c r="J386" s="2">
        <v>8</v>
      </c>
      <c r="K386" s="2" t="s">
        <v>137</v>
      </c>
      <c r="L386" s="2" t="s">
        <v>41</v>
      </c>
      <c r="M386" s="2" t="s">
        <v>135</v>
      </c>
      <c r="N386" s="2" t="s">
        <v>987</v>
      </c>
      <c r="O386" s="2" t="s">
        <v>505</v>
      </c>
      <c r="P386" s="2" t="s">
        <v>48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1334</v>
      </c>
      <c r="T386" s="2" t="str">
        <f t="shared" si="84"/>
        <v>0536</v>
      </c>
      <c r="U386" s="2">
        <f t="shared" si="90"/>
        <v>333</v>
      </c>
      <c r="V386" s="2" t="str">
        <f t="shared" si="85"/>
        <v>14D</v>
      </c>
      <c r="W386" s="2" t="str">
        <f t="shared" si="86"/>
        <v/>
      </c>
      <c r="X386" s="2" t="str">
        <f t="shared" si="87"/>
        <v>X</v>
      </c>
      <c r="Y386" s="2" t="str">
        <f t="shared" si="88"/>
        <v/>
      </c>
      <c r="Z386" s="2" t="str">
        <f t="shared" si="89"/>
        <v/>
      </c>
      <c r="AA386" s="2" t="str">
        <f t="shared" si="91"/>
        <v/>
      </c>
      <c r="AB386" s="2" t="str">
        <f t="shared" si="92"/>
        <v>(23 downto 16)</v>
      </c>
      <c r="AC386" s="2" t="str">
        <f t="shared" si="93"/>
        <v/>
      </c>
      <c r="AD386" s="2" t="str">
        <f t="shared" si="94"/>
        <v/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984</v>
      </c>
      <c r="D387" s="2" t="s">
        <v>1</v>
      </c>
      <c r="E387" s="2" t="s">
        <v>134</v>
      </c>
      <c r="F387" s="2" t="s">
        <v>996</v>
      </c>
      <c r="G387" s="2" t="s">
        <v>997</v>
      </c>
      <c r="H387" s="2" t="s">
        <v>506</v>
      </c>
      <c r="I387" s="2" t="s">
        <v>42</v>
      </c>
      <c r="J387" s="2">
        <v>8</v>
      </c>
      <c r="K387" s="2" t="s">
        <v>137</v>
      </c>
      <c r="L387" s="2" t="s">
        <v>41</v>
      </c>
      <c r="M387" s="2" t="s">
        <v>135</v>
      </c>
      <c r="N387" s="2" t="s">
        <v>987</v>
      </c>
      <c r="O387" s="2" t="s">
        <v>507</v>
      </c>
      <c r="P387" s="2" t="s">
        <v>48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1335</v>
      </c>
      <c r="T387" s="2" t="str">
        <f t="shared" si="84"/>
        <v>0537</v>
      </c>
      <c r="U387" s="2">
        <f t="shared" si="90"/>
        <v>333</v>
      </c>
      <c r="V387" s="2" t="str">
        <f t="shared" si="85"/>
        <v>14D</v>
      </c>
      <c r="W387" s="2" t="str">
        <f t="shared" si="86"/>
        <v>X</v>
      </c>
      <c r="X387" s="2" t="str">
        <f t="shared" si="87"/>
        <v/>
      </c>
      <c r="Y387" s="2" t="str">
        <f t="shared" si="88"/>
        <v/>
      </c>
      <c r="Z387" s="2" t="str">
        <f t="shared" si="89"/>
        <v/>
      </c>
      <c r="AA387" s="2" t="str">
        <f t="shared" si="91"/>
        <v>(31 downto 24)</v>
      </c>
      <c r="AB387" s="2" t="str">
        <f t="shared" si="92"/>
        <v/>
      </c>
      <c r="AC387" s="2" t="str">
        <f t="shared" si="93"/>
        <v/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984</v>
      </c>
      <c r="D388" s="2" t="s">
        <v>1</v>
      </c>
      <c r="E388" s="2" t="s">
        <v>134</v>
      </c>
      <c r="F388" s="2" t="s">
        <v>996</v>
      </c>
      <c r="G388" s="2" t="s">
        <v>997</v>
      </c>
      <c r="H388" s="2" t="s">
        <v>508</v>
      </c>
      <c r="I388" s="2" t="s">
        <v>42</v>
      </c>
      <c r="J388" s="2">
        <v>8</v>
      </c>
      <c r="K388" s="2" t="s">
        <v>137</v>
      </c>
      <c r="L388" s="2" t="s">
        <v>41</v>
      </c>
      <c r="M388" s="2" t="s">
        <v>135</v>
      </c>
      <c r="N388" s="2" t="s">
        <v>987</v>
      </c>
      <c r="O388" s="2" t="s">
        <v>509</v>
      </c>
      <c r="P388" s="2" t="s">
        <v>48</v>
      </c>
      <c r="Q388" s="2">
        <f>INDEX(Tables!$C$4:$C$28,MATCH($P388,Tables!$B$4:$B$28,0))</f>
        <v>8</v>
      </c>
      <c r="R388" s="2">
        <f>INDEX(Tables!$D$4:$D$28,MATCH($P388,Tables!$B$4:$B$28,0))</f>
        <v>1</v>
      </c>
      <c r="S388" s="2">
        <f>$S387+$R387+INDEX(Tables!$N$5:$Q$8,MATCH(MOD($S387+$R387,4),Tables!$M$5:$M$8,0),MATCH($R388,Tables!$N$4:$Q$4,0))</f>
        <v>1336</v>
      </c>
      <c r="T388" s="2" t="str">
        <f t="shared" si="84"/>
        <v>0538</v>
      </c>
      <c r="U388" s="2">
        <f t="shared" si="90"/>
        <v>334</v>
      </c>
      <c r="V388" s="2" t="str">
        <f t="shared" si="85"/>
        <v>14E</v>
      </c>
      <c r="W388" s="2" t="str">
        <f t="shared" si="86"/>
        <v/>
      </c>
      <c r="X388" s="2" t="str">
        <f t="shared" si="87"/>
        <v/>
      </c>
      <c r="Y388" s="2" t="str">
        <f t="shared" si="88"/>
        <v/>
      </c>
      <c r="Z388" s="2" t="str">
        <f t="shared" si="89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(7 downto 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984</v>
      </c>
      <c r="D389" s="2" t="s">
        <v>1</v>
      </c>
      <c r="E389" s="2" t="s">
        <v>134</v>
      </c>
      <c r="F389" s="2" t="s">
        <v>996</v>
      </c>
      <c r="G389" s="2" t="s">
        <v>997</v>
      </c>
      <c r="H389" s="2" t="s">
        <v>510</v>
      </c>
      <c r="I389" s="2" t="s">
        <v>42</v>
      </c>
      <c r="J389" s="2">
        <v>1</v>
      </c>
      <c r="K389" s="2" t="s">
        <v>82</v>
      </c>
      <c r="L389" s="2" t="s">
        <v>41</v>
      </c>
      <c r="M389" s="2" t="s">
        <v>135</v>
      </c>
      <c r="N389" s="2" t="s">
        <v>987</v>
      </c>
      <c r="O389" s="2" t="s">
        <v>511</v>
      </c>
      <c r="P389" s="2" t="s">
        <v>5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1340</v>
      </c>
      <c r="T389" s="2" t="str">
        <f t="shared" ref="T389:T452" si="99">DEC2HEX($S389,4)</f>
        <v>053C</v>
      </c>
      <c r="U389" s="2">
        <f t="shared" si="90"/>
        <v>335</v>
      </c>
      <c r="V389" s="2" t="str">
        <f t="shared" ref="V389:V452" si="100">DEC2HEX($U389,3)</f>
        <v>14F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87"/>
        <v/>
      </c>
      <c r="Y389" s="2" t="str">
        <f t="shared" si="88"/>
        <v/>
      </c>
      <c r="Z389" s="2" t="str">
        <f t="shared" si="89"/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984</v>
      </c>
      <c r="D390" s="2" t="s">
        <v>1</v>
      </c>
      <c r="E390" s="2" t="s">
        <v>134</v>
      </c>
      <c r="F390" s="2" t="s">
        <v>996</v>
      </c>
      <c r="G390" s="2" t="s">
        <v>997</v>
      </c>
      <c r="H390" s="2" t="s">
        <v>512</v>
      </c>
      <c r="I390" s="2" t="s">
        <v>42</v>
      </c>
      <c r="J390" s="2">
        <v>1</v>
      </c>
      <c r="K390" s="2" t="s">
        <v>82</v>
      </c>
      <c r="L390" s="2" t="s">
        <v>41</v>
      </c>
      <c r="M390" s="2" t="s">
        <v>135</v>
      </c>
      <c r="N390" s="2" t="s">
        <v>987</v>
      </c>
      <c r="O390" s="2" t="s">
        <v>513</v>
      </c>
      <c r="P390" s="2" t="s">
        <v>5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1344</v>
      </c>
      <c r="T390" s="2" t="str">
        <f t="shared" si="99"/>
        <v>0540</v>
      </c>
      <c r="U390" s="2">
        <f t="shared" si="90"/>
        <v>336</v>
      </c>
      <c r="V390" s="2" t="str">
        <f t="shared" si="100"/>
        <v>150</v>
      </c>
      <c r="W390" s="2" t="str">
        <f t="shared" si="101"/>
        <v/>
      </c>
      <c r="X390" s="2" t="str">
        <f t="shared" si="87"/>
        <v/>
      </c>
      <c r="Y390" s="2" t="str">
        <f t="shared" si="88"/>
        <v/>
      </c>
      <c r="Z390" s="2" t="str">
        <f t="shared" si="89"/>
        <v>X</v>
      </c>
      <c r="AA390" s="2" t="str">
        <f t="shared" si="91"/>
        <v/>
      </c>
      <c r="AB390" s="2" t="str">
        <f t="shared" si="92"/>
        <v/>
      </c>
      <c r="AC390" s="2" t="str">
        <f t="shared" si="93"/>
        <v/>
      </c>
      <c r="AD390" s="2" t="str">
        <f t="shared" si="94"/>
        <v>(0)</v>
      </c>
      <c r="AE390" s="2" t="str">
        <f t="shared" si="95"/>
        <v/>
      </c>
      <c r="AF390" s="2" t="str">
        <f t="shared" si="96"/>
        <v/>
      </c>
      <c r="AG390" s="2" t="str">
        <f t="shared" si="97"/>
        <v/>
      </c>
      <c r="AH390" s="2" t="str">
        <f t="shared" si="98"/>
        <v/>
      </c>
    </row>
    <row r="391" spans="2:34" x14ac:dyDescent="0.25">
      <c r="B391" s="2" t="s">
        <v>984</v>
      </c>
      <c r="D391" s="2" t="s">
        <v>1</v>
      </c>
      <c r="E391" s="2" t="s">
        <v>134</v>
      </c>
      <c r="F391" s="2" t="s">
        <v>996</v>
      </c>
      <c r="G391" s="2" t="s">
        <v>997</v>
      </c>
      <c r="H391" s="2" t="s">
        <v>514</v>
      </c>
      <c r="I391" s="2" t="s">
        <v>42</v>
      </c>
      <c r="J391" s="2">
        <v>1</v>
      </c>
      <c r="K391" s="2" t="s">
        <v>82</v>
      </c>
      <c r="L391" s="2" t="s">
        <v>41</v>
      </c>
      <c r="M391" s="2" t="s">
        <v>135</v>
      </c>
      <c r="N391" s="2" t="s">
        <v>987</v>
      </c>
      <c r="O391" s="2" t="s">
        <v>515</v>
      </c>
      <c r="P391" s="2" t="s">
        <v>5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1348</v>
      </c>
      <c r="T391" s="2" t="str">
        <f t="shared" si="99"/>
        <v>0544</v>
      </c>
      <c r="U391" s="2">
        <f t="shared" si="90"/>
        <v>337</v>
      </c>
      <c r="V391" s="2" t="str">
        <f t="shared" si="100"/>
        <v>151</v>
      </c>
      <c r="W391" s="2" t="str">
        <f t="shared" si="101"/>
        <v/>
      </c>
      <c r="X391" s="2" t="str">
        <f t="shared" si="87"/>
        <v/>
      </c>
      <c r="Y391" s="2" t="str">
        <f t="shared" si="88"/>
        <v/>
      </c>
      <c r="Z391" s="2" t="str">
        <f t="shared" si="89"/>
        <v>X</v>
      </c>
      <c r="AA391" s="2" t="str">
        <f t="shared" si="91"/>
        <v/>
      </c>
      <c r="AB391" s="2" t="str">
        <f t="shared" si="92"/>
        <v/>
      </c>
      <c r="AC391" s="2" t="str">
        <f t="shared" si="93"/>
        <v/>
      </c>
      <c r="AD391" s="2" t="str">
        <f t="shared" si="94"/>
        <v>(0)</v>
      </c>
      <c r="AE391" s="2" t="str">
        <f t="shared" si="95"/>
        <v/>
      </c>
      <c r="AF391" s="2" t="str">
        <f t="shared" si="96"/>
        <v/>
      </c>
      <c r="AG391" s="2" t="str">
        <f t="shared" si="97"/>
        <v/>
      </c>
      <c r="AH391" s="2" t="str">
        <f t="shared" si="98"/>
        <v/>
      </c>
    </row>
    <row r="392" spans="2:34" x14ac:dyDescent="0.25">
      <c r="B392" s="2" t="s">
        <v>984</v>
      </c>
      <c r="D392" s="2" t="s">
        <v>1</v>
      </c>
      <c r="E392" s="2" t="s">
        <v>134</v>
      </c>
      <c r="F392" s="2" t="s">
        <v>996</v>
      </c>
      <c r="G392" s="2" t="s">
        <v>997</v>
      </c>
      <c r="H392" s="2" t="s">
        <v>516</v>
      </c>
      <c r="I392" s="2" t="s">
        <v>42</v>
      </c>
      <c r="J392" s="2">
        <v>1</v>
      </c>
      <c r="K392" s="2" t="s">
        <v>82</v>
      </c>
      <c r="L392" s="2" t="s">
        <v>41</v>
      </c>
      <c r="M392" s="2" t="s">
        <v>135</v>
      </c>
      <c r="N392" s="2" t="s">
        <v>987</v>
      </c>
      <c r="O392" s="2" t="s">
        <v>517</v>
      </c>
      <c r="P392" s="2" t="s">
        <v>5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1352</v>
      </c>
      <c r="T392" s="2" t="str">
        <f t="shared" si="99"/>
        <v>0548</v>
      </c>
      <c r="U392" s="2">
        <f t="shared" si="90"/>
        <v>338</v>
      </c>
      <c r="V392" s="2" t="str">
        <f t="shared" si="100"/>
        <v>152</v>
      </c>
      <c r="W392" s="2" t="str">
        <f t="shared" si="101"/>
        <v/>
      </c>
      <c r="X392" s="2" t="str">
        <f t="shared" si="87"/>
        <v/>
      </c>
      <c r="Y392" s="2" t="str">
        <f t="shared" si="88"/>
        <v/>
      </c>
      <c r="Z392" s="2" t="str">
        <f t="shared" si="89"/>
        <v>X</v>
      </c>
      <c r="AA392" s="2" t="str">
        <f t="shared" si="91"/>
        <v/>
      </c>
      <c r="AB392" s="2" t="str">
        <f t="shared" si="92"/>
        <v/>
      </c>
      <c r="AC392" s="2" t="str">
        <f t="shared" si="93"/>
        <v/>
      </c>
      <c r="AD392" s="2" t="str">
        <f t="shared" si="94"/>
        <v>(0)</v>
      </c>
      <c r="AE392" s="2" t="str">
        <f t="shared" si="95"/>
        <v/>
      </c>
      <c r="AF392" s="2" t="str">
        <f t="shared" si="96"/>
        <v/>
      </c>
      <c r="AG392" s="2" t="str">
        <f t="shared" si="97"/>
        <v/>
      </c>
      <c r="AH392" s="2" t="str">
        <f t="shared" si="98"/>
        <v/>
      </c>
    </row>
    <row r="393" spans="2:34" x14ac:dyDescent="0.25">
      <c r="B393" s="2" t="s">
        <v>984</v>
      </c>
      <c r="D393" s="2" t="s">
        <v>1</v>
      </c>
      <c r="E393" s="2" t="s">
        <v>134</v>
      </c>
      <c r="F393" s="2" t="s">
        <v>996</v>
      </c>
      <c r="G393" s="2" t="s">
        <v>997</v>
      </c>
      <c r="H393" s="2" t="s">
        <v>518</v>
      </c>
      <c r="I393" s="2" t="s">
        <v>42</v>
      </c>
      <c r="J393" s="2">
        <v>1</v>
      </c>
      <c r="K393" s="2" t="s">
        <v>82</v>
      </c>
      <c r="L393" s="2" t="s">
        <v>41</v>
      </c>
      <c r="M393" s="2" t="s">
        <v>135</v>
      </c>
      <c r="N393" s="2" t="s">
        <v>987</v>
      </c>
      <c r="O393" s="2" t="s">
        <v>519</v>
      </c>
      <c r="P393" s="2" t="s">
        <v>5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1356</v>
      </c>
      <c r="T393" s="2" t="str">
        <f t="shared" si="99"/>
        <v>054C</v>
      </c>
      <c r="U393" s="2">
        <f t="shared" si="90"/>
        <v>339</v>
      </c>
      <c r="V393" s="2" t="str">
        <f t="shared" si="100"/>
        <v>153</v>
      </c>
      <c r="W393" s="2" t="str">
        <f t="shared" si="101"/>
        <v/>
      </c>
      <c r="X393" s="2" t="str">
        <f t="shared" si="87"/>
        <v/>
      </c>
      <c r="Y393" s="2" t="str">
        <f t="shared" si="88"/>
        <v/>
      </c>
      <c r="Z393" s="2" t="str">
        <f t="shared" si="89"/>
        <v>X</v>
      </c>
      <c r="AA393" s="2" t="str">
        <f t="shared" si="91"/>
        <v/>
      </c>
      <c r="AB393" s="2" t="str">
        <f t="shared" si="92"/>
        <v/>
      </c>
      <c r="AC393" s="2" t="str">
        <f t="shared" si="93"/>
        <v/>
      </c>
      <c r="AD393" s="2" t="str">
        <f t="shared" si="94"/>
        <v>(0)</v>
      </c>
      <c r="AE393" s="2" t="str">
        <f t="shared" si="95"/>
        <v/>
      </c>
      <c r="AF393" s="2" t="str">
        <f t="shared" si="96"/>
        <v/>
      </c>
      <c r="AG393" s="2" t="str">
        <f t="shared" si="97"/>
        <v/>
      </c>
      <c r="AH393" s="2" t="str">
        <f t="shared" si="98"/>
        <v/>
      </c>
    </row>
    <row r="394" spans="2:34" x14ac:dyDescent="0.25">
      <c r="B394" s="2" t="s">
        <v>984</v>
      </c>
      <c r="D394" s="2" t="s">
        <v>1</v>
      </c>
      <c r="E394" s="2" t="s">
        <v>134</v>
      </c>
      <c r="F394" s="2" t="s">
        <v>998</v>
      </c>
      <c r="G394" s="2" t="s">
        <v>999</v>
      </c>
      <c r="H394" s="2" t="s">
        <v>522</v>
      </c>
      <c r="I394" s="2" t="s">
        <v>42</v>
      </c>
      <c r="J394" s="2">
        <v>12</v>
      </c>
      <c r="K394" s="2" t="s">
        <v>137</v>
      </c>
      <c r="L394" s="2" t="s">
        <v>41</v>
      </c>
      <c r="M394" s="2" t="s">
        <v>135</v>
      </c>
      <c r="N394" s="2" t="s">
        <v>987</v>
      </c>
      <c r="O394" s="2" t="s">
        <v>523</v>
      </c>
      <c r="P394" s="2" t="s">
        <v>50</v>
      </c>
      <c r="Q394" s="2">
        <f>INDEX(Tables!$C$4:$C$28,MATCH($P394,Tables!$B$4:$B$28,0))</f>
        <v>16</v>
      </c>
      <c r="R394" s="2">
        <f>INDEX(Tables!$D$4:$D$28,MATCH($P394,Tables!$B$4:$B$28,0))</f>
        <v>2</v>
      </c>
      <c r="S394" s="2">
        <f>$S393+$R393+INDEX(Tables!$N$5:$Q$8,MATCH(MOD($S393+$R393,4),Tables!$M$5:$M$8,0),MATCH($R394,Tables!$N$4:$Q$4,0))</f>
        <v>1360</v>
      </c>
      <c r="T394" s="2" t="str">
        <f t="shared" si="99"/>
        <v>0550</v>
      </c>
      <c r="U394" s="2">
        <f t="shared" si="90"/>
        <v>340</v>
      </c>
      <c r="V394" s="2" t="str">
        <f t="shared" si="100"/>
        <v>154</v>
      </c>
      <c r="W394" s="2" t="str">
        <f t="shared" si="101"/>
        <v/>
      </c>
      <c r="X394" s="2" t="str">
        <f t="shared" si="87"/>
        <v/>
      </c>
      <c r="Y394" s="2" t="str">
        <f t="shared" si="88"/>
        <v>X</v>
      </c>
      <c r="Z394" s="2" t="str">
        <f t="shared" si="89"/>
        <v>X</v>
      </c>
      <c r="AA394" s="2" t="str">
        <f t="shared" si="91"/>
        <v/>
      </c>
      <c r="AB394" s="2" t="str">
        <f t="shared" si="92"/>
        <v/>
      </c>
      <c r="AC394" s="2" t="str">
        <f t="shared" si="93"/>
        <v>(11 downto 8)</v>
      </c>
      <c r="AD394" s="2" t="str">
        <f t="shared" si="94"/>
        <v>(7 downto 0)</v>
      </c>
      <c r="AE394" s="2" t="str">
        <f t="shared" si="95"/>
        <v/>
      </c>
      <c r="AF394" s="2" t="str">
        <f t="shared" si="96"/>
        <v/>
      </c>
      <c r="AG394" s="2" t="str">
        <f t="shared" si="97"/>
        <v>(11 downto 8)</v>
      </c>
      <c r="AH394" s="2" t="str">
        <f t="shared" si="98"/>
        <v>(7 downto 0)</v>
      </c>
    </row>
    <row r="395" spans="2:34" x14ac:dyDescent="0.25">
      <c r="B395" s="2" t="s">
        <v>984</v>
      </c>
      <c r="D395" s="2" t="s">
        <v>1</v>
      </c>
      <c r="E395" s="2" t="s">
        <v>134</v>
      </c>
      <c r="F395" s="2" t="s">
        <v>998</v>
      </c>
      <c r="G395" s="2" t="s">
        <v>999</v>
      </c>
      <c r="H395" s="2" t="s">
        <v>524</v>
      </c>
      <c r="I395" s="2" t="s">
        <v>42</v>
      </c>
      <c r="J395" s="2">
        <v>12</v>
      </c>
      <c r="K395" s="2" t="s">
        <v>137</v>
      </c>
      <c r="L395" s="2" t="s">
        <v>41</v>
      </c>
      <c r="M395" s="2" t="s">
        <v>135</v>
      </c>
      <c r="N395" s="2" t="s">
        <v>987</v>
      </c>
      <c r="O395" s="2" t="s">
        <v>525</v>
      </c>
      <c r="P395" s="2" t="s">
        <v>50</v>
      </c>
      <c r="Q395" s="2">
        <f>INDEX(Tables!$C$4:$C$28,MATCH($P395,Tables!$B$4:$B$28,0))</f>
        <v>16</v>
      </c>
      <c r="R395" s="2">
        <f>INDEX(Tables!$D$4:$D$28,MATCH($P395,Tables!$B$4:$B$28,0))</f>
        <v>2</v>
      </c>
      <c r="S395" s="2">
        <f>$S394+$R394+INDEX(Tables!$N$5:$Q$8,MATCH(MOD($S394+$R394,4),Tables!$M$5:$M$8,0),MATCH($R395,Tables!$N$4:$Q$4,0))</f>
        <v>1362</v>
      </c>
      <c r="T395" s="2" t="str">
        <f t="shared" si="99"/>
        <v>0552</v>
      </c>
      <c r="U395" s="2">
        <f t="shared" si="90"/>
        <v>340</v>
      </c>
      <c r="V395" s="2" t="str">
        <f t="shared" si="100"/>
        <v>154</v>
      </c>
      <c r="W395" s="2" t="str">
        <f t="shared" si="101"/>
        <v>X</v>
      </c>
      <c r="X395" s="2" t="str">
        <f t="shared" si="87"/>
        <v>X</v>
      </c>
      <c r="Y395" s="2" t="str">
        <f t="shared" si="88"/>
        <v/>
      </c>
      <c r="Z395" s="2" t="str">
        <f t="shared" si="89"/>
        <v/>
      </c>
      <c r="AA395" s="2" t="str">
        <f t="shared" si="91"/>
        <v>(27 downto 24)</v>
      </c>
      <c r="AB395" s="2" t="str">
        <f t="shared" si="92"/>
        <v>(23 downto 16)</v>
      </c>
      <c r="AC395" s="2" t="str">
        <f t="shared" si="93"/>
        <v/>
      </c>
      <c r="AD395" s="2" t="str">
        <f t="shared" si="94"/>
        <v/>
      </c>
      <c r="AE395" s="2" t="str">
        <f t="shared" si="95"/>
        <v>(11 downto 8)</v>
      </c>
      <c r="AF395" s="2" t="str">
        <f t="shared" si="96"/>
        <v>(7 downto 0)</v>
      </c>
      <c r="AG395" s="2" t="str">
        <f t="shared" si="97"/>
        <v/>
      </c>
      <c r="AH395" s="2" t="str">
        <f t="shared" si="98"/>
        <v/>
      </c>
    </row>
    <row r="396" spans="2:34" x14ac:dyDescent="0.25">
      <c r="B396" s="2" t="s">
        <v>984</v>
      </c>
      <c r="D396" s="2" t="s">
        <v>1</v>
      </c>
      <c r="E396" s="2" t="s">
        <v>134</v>
      </c>
      <c r="F396" s="2" t="s">
        <v>1000</v>
      </c>
      <c r="G396" s="2" t="s">
        <v>1001</v>
      </c>
      <c r="H396" s="2" t="s">
        <v>528</v>
      </c>
      <c r="I396" s="2" t="s">
        <v>42</v>
      </c>
      <c r="J396" s="2">
        <v>12</v>
      </c>
      <c r="K396" s="2" t="s">
        <v>137</v>
      </c>
      <c r="L396" s="2" t="s">
        <v>41</v>
      </c>
      <c r="M396" s="2" t="s">
        <v>135</v>
      </c>
      <c r="N396" s="2" t="s">
        <v>987</v>
      </c>
      <c r="O396" s="2" t="s">
        <v>529</v>
      </c>
      <c r="P396" s="2" t="s">
        <v>50</v>
      </c>
      <c r="Q396" s="2">
        <f>INDEX(Tables!$C$4:$C$28,MATCH($P396,Tables!$B$4:$B$28,0))</f>
        <v>16</v>
      </c>
      <c r="R396" s="2">
        <f>INDEX(Tables!$D$4:$D$28,MATCH($P396,Tables!$B$4:$B$28,0))</f>
        <v>2</v>
      </c>
      <c r="S396" s="2">
        <f>$S395+$R395+INDEX(Tables!$N$5:$Q$8,MATCH(MOD($S395+$R395,4),Tables!$M$5:$M$8,0),MATCH($R396,Tables!$N$4:$Q$4,0))</f>
        <v>1364</v>
      </c>
      <c r="T396" s="2" t="str">
        <f t="shared" si="99"/>
        <v>0554</v>
      </c>
      <c r="U396" s="2">
        <f t="shared" si="90"/>
        <v>341</v>
      </c>
      <c r="V396" s="2" t="str">
        <f t="shared" si="100"/>
        <v>155</v>
      </c>
      <c r="W396" s="2" t="str">
        <f t="shared" si="101"/>
        <v/>
      </c>
      <c r="X396" s="2" t="str">
        <f t="shared" si="87"/>
        <v/>
      </c>
      <c r="Y396" s="2" t="str">
        <f t="shared" si="88"/>
        <v>X</v>
      </c>
      <c r="Z396" s="2" t="str">
        <f t="shared" si="89"/>
        <v>X</v>
      </c>
      <c r="AA396" s="2" t="str">
        <f t="shared" si="91"/>
        <v/>
      </c>
      <c r="AB396" s="2" t="str">
        <f t="shared" si="92"/>
        <v/>
      </c>
      <c r="AC396" s="2" t="str">
        <f t="shared" si="93"/>
        <v>(11 downto 8)</v>
      </c>
      <c r="AD396" s="2" t="str">
        <f t="shared" si="94"/>
        <v>(7 downto 0)</v>
      </c>
      <c r="AE396" s="2" t="str">
        <f t="shared" si="95"/>
        <v/>
      </c>
      <c r="AF396" s="2" t="str">
        <f t="shared" si="96"/>
        <v/>
      </c>
      <c r="AG396" s="2" t="str">
        <f t="shared" si="97"/>
        <v>(11 downto 8)</v>
      </c>
      <c r="AH396" s="2" t="str">
        <f t="shared" si="98"/>
        <v>(7 downto 0)</v>
      </c>
    </row>
    <row r="397" spans="2:34" x14ac:dyDescent="0.25">
      <c r="B397" s="2" t="s">
        <v>984</v>
      </c>
      <c r="D397" s="2" t="s">
        <v>1</v>
      </c>
      <c r="E397" s="2" t="s">
        <v>134</v>
      </c>
      <c r="F397" s="2" t="s">
        <v>1002</v>
      </c>
      <c r="G397" s="2" t="s">
        <v>1003</v>
      </c>
      <c r="H397" s="2" t="s">
        <v>532</v>
      </c>
      <c r="I397" s="2" t="s">
        <v>42</v>
      </c>
      <c r="J397" s="2">
        <v>8</v>
      </c>
      <c r="K397" s="2" t="s">
        <v>137</v>
      </c>
      <c r="L397" s="2" t="s">
        <v>41</v>
      </c>
      <c r="M397" s="2" t="s">
        <v>135</v>
      </c>
      <c r="N397" s="2" t="s">
        <v>987</v>
      </c>
      <c r="O397" s="2" t="s">
        <v>533</v>
      </c>
      <c r="P397" s="2" t="s">
        <v>48</v>
      </c>
      <c r="Q397" s="2">
        <f>INDEX(Tables!$C$4:$C$28,MATCH($P397,Tables!$B$4:$B$28,0))</f>
        <v>8</v>
      </c>
      <c r="R397" s="2">
        <f>INDEX(Tables!$D$4:$D$28,MATCH($P397,Tables!$B$4:$B$28,0))</f>
        <v>1</v>
      </c>
      <c r="S397" s="2">
        <f>$S396+$R396+INDEX(Tables!$N$5:$Q$8,MATCH(MOD($S396+$R396,4),Tables!$M$5:$M$8,0),MATCH($R397,Tables!$N$4:$Q$4,0))</f>
        <v>1366</v>
      </c>
      <c r="T397" s="2" t="str">
        <f t="shared" si="99"/>
        <v>0556</v>
      </c>
      <c r="U397" s="2">
        <f t="shared" si="90"/>
        <v>341</v>
      </c>
      <c r="V397" s="2" t="str">
        <f t="shared" si="100"/>
        <v>155</v>
      </c>
      <c r="W397" s="2" t="str">
        <f t="shared" si="101"/>
        <v/>
      </c>
      <c r="X397" s="2" t="str">
        <f t="shared" si="87"/>
        <v>X</v>
      </c>
      <c r="Y397" s="2" t="str">
        <f t="shared" si="88"/>
        <v/>
      </c>
      <c r="Z397" s="2" t="str">
        <f t="shared" si="89"/>
        <v/>
      </c>
      <c r="AA397" s="2" t="str">
        <f t="shared" si="91"/>
        <v/>
      </c>
      <c r="AB397" s="2" t="str">
        <f t="shared" si="92"/>
        <v>(23 downto 16)</v>
      </c>
      <c r="AC397" s="2" t="str">
        <f t="shared" si="93"/>
        <v/>
      </c>
      <c r="AD397" s="2" t="str">
        <f t="shared" si="94"/>
        <v/>
      </c>
      <c r="AE397" s="2" t="str">
        <f t="shared" si="95"/>
        <v/>
      </c>
      <c r="AF397" s="2" t="str">
        <f t="shared" si="96"/>
        <v/>
      </c>
      <c r="AG397" s="2" t="str">
        <f t="shared" si="97"/>
        <v/>
      </c>
      <c r="AH397" s="2" t="str">
        <f t="shared" si="98"/>
        <v/>
      </c>
    </row>
    <row r="398" spans="2:34" x14ac:dyDescent="0.25">
      <c r="B398" s="2" t="s">
        <v>984</v>
      </c>
      <c r="D398" s="2" t="s">
        <v>1</v>
      </c>
      <c r="E398" s="2" t="s">
        <v>134</v>
      </c>
      <c r="F398" s="2" t="s">
        <v>1002</v>
      </c>
      <c r="G398" s="2" t="s">
        <v>1003</v>
      </c>
      <c r="H398" s="2" t="s">
        <v>534</v>
      </c>
      <c r="I398" s="2" t="s">
        <v>42</v>
      </c>
      <c r="J398" s="2">
        <v>8</v>
      </c>
      <c r="K398" s="2" t="s">
        <v>137</v>
      </c>
      <c r="L398" s="2" t="s">
        <v>41</v>
      </c>
      <c r="M398" s="2" t="s">
        <v>135</v>
      </c>
      <c r="N398" s="2" t="s">
        <v>987</v>
      </c>
      <c r="O398" s="2" t="s">
        <v>535</v>
      </c>
      <c r="P398" s="2" t="s">
        <v>48</v>
      </c>
      <c r="Q398" s="2">
        <f>INDEX(Tables!$C$4:$C$28,MATCH($P398,Tables!$B$4:$B$28,0))</f>
        <v>8</v>
      </c>
      <c r="R398" s="2">
        <f>INDEX(Tables!$D$4:$D$28,MATCH($P398,Tables!$B$4:$B$28,0))</f>
        <v>1</v>
      </c>
      <c r="S398" s="2">
        <f>$S397+$R397+INDEX(Tables!$N$5:$Q$8,MATCH(MOD($S397+$R397,4),Tables!$M$5:$M$8,0),MATCH($R398,Tables!$N$4:$Q$4,0))</f>
        <v>1367</v>
      </c>
      <c r="T398" s="2" t="str">
        <f t="shared" si="99"/>
        <v>0557</v>
      </c>
      <c r="U398" s="2">
        <f t="shared" si="90"/>
        <v>341</v>
      </c>
      <c r="V398" s="2" t="str">
        <f t="shared" si="100"/>
        <v>155</v>
      </c>
      <c r="W398" s="2" t="str">
        <f t="shared" si="101"/>
        <v>X</v>
      </c>
      <c r="X398" s="2" t="str">
        <f t="shared" si="87"/>
        <v/>
      </c>
      <c r="Y398" s="2" t="str">
        <f t="shared" si="88"/>
        <v/>
      </c>
      <c r="Z398" s="2" t="str">
        <f t="shared" si="89"/>
        <v/>
      </c>
      <c r="AA398" s="2" t="str">
        <f t="shared" si="91"/>
        <v>(31 downto 24)</v>
      </c>
      <c r="AB398" s="2" t="str">
        <f t="shared" si="92"/>
        <v/>
      </c>
      <c r="AC398" s="2" t="str">
        <f t="shared" si="93"/>
        <v/>
      </c>
      <c r="AD398" s="2" t="str">
        <f t="shared" si="94"/>
        <v/>
      </c>
      <c r="AE398" s="2" t="str">
        <f t="shared" si="95"/>
        <v/>
      </c>
      <c r="AF398" s="2" t="str">
        <f t="shared" si="96"/>
        <v/>
      </c>
      <c r="AG398" s="2" t="str">
        <f t="shared" si="97"/>
        <v/>
      </c>
      <c r="AH398" s="2" t="str">
        <f t="shared" si="98"/>
        <v/>
      </c>
    </row>
    <row r="399" spans="2:34" x14ac:dyDescent="0.25">
      <c r="B399" s="2" t="s">
        <v>984</v>
      </c>
      <c r="D399" s="2" t="s">
        <v>1</v>
      </c>
      <c r="E399" s="2" t="s">
        <v>134</v>
      </c>
      <c r="F399" s="2" t="s">
        <v>1002</v>
      </c>
      <c r="G399" s="2" t="s">
        <v>1003</v>
      </c>
      <c r="H399" s="2" t="s">
        <v>536</v>
      </c>
      <c r="I399" s="2" t="s">
        <v>42</v>
      </c>
      <c r="J399" s="2">
        <v>8</v>
      </c>
      <c r="K399" s="2" t="s">
        <v>137</v>
      </c>
      <c r="L399" s="2" t="s">
        <v>41</v>
      </c>
      <c r="M399" s="2" t="s">
        <v>135</v>
      </c>
      <c r="N399" s="2" t="s">
        <v>987</v>
      </c>
      <c r="O399" s="2" t="s">
        <v>537</v>
      </c>
      <c r="P399" s="2" t="s">
        <v>48</v>
      </c>
      <c r="Q399" s="2">
        <f>INDEX(Tables!$C$4:$C$28,MATCH($P399,Tables!$B$4:$B$28,0))</f>
        <v>8</v>
      </c>
      <c r="R399" s="2">
        <f>INDEX(Tables!$D$4:$D$28,MATCH($P399,Tables!$B$4:$B$28,0))</f>
        <v>1</v>
      </c>
      <c r="S399" s="2">
        <f>$S398+$R398+INDEX(Tables!$N$5:$Q$8,MATCH(MOD($S398+$R398,4),Tables!$M$5:$M$8,0),MATCH($R399,Tables!$N$4:$Q$4,0))</f>
        <v>1368</v>
      </c>
      <c r="T399" s="2" t="str">
        <f t="shared" si="99"/>
        <v>0558</v>
      </c>
      <c r="U399" s="2">
        <f t="shared" si="90"/>
        <v>342</v>
      </c>
      <c r="V399" s="2" t="str">
        <f t="shared" si="100"/>
        <v>156</v>
      </c>
      <c r="W399" s="2" t="str">
        <f t="shared" si="101"/>
        <v/>
      </c>
      <c r="X399" s="2" t="str">
        <f t="shared" si="87"/>
        <v/>
      </c>
      <c r="Y399" s="2" t="str">
        <f t="shared" si="88"/>
        <v/>
      </c>
      <c r="Z399" s="2" t="str">
        <f t="shared" si="89"/>
        <v>X</v>
      </c>
      <c r="AA399" s="2" t="str">
        <f t="shared" si="91"/>
        <v/>
      </c>
      <c r="AB399" s="2" t="str">
        <f t="shared" si="92"/>
        <v/>
      </c>
      <c r="AC399" s="2" t="str">
        <f t="shared" si="93"/>
        <v/>
      </c>
      <c r="AD399" s="2" t="str">
        <f t="shared" si="94"/>
        <v>(7 downto 0)</v>
      </c>
      <c r="AE399" s="2" t="str">
        <f t="shared" si="95"/>
        <v/>
      </c>
      <c r="AF399" s="2" t="str">
        <f t="shared" si="96"/>
        <v/>
      </c>
      <c r="AG399" s="2" t="str">
        <f t="shared" si="97"/>
        <v/>
      </c>
      <c r="AH399" s="2" t="str">
        <f t="shared" si="98"/>
        <v/>
      </c>
    </row>
    <row r="400" spans="2:34" x14ac:dyDescent="0.25">
      <c r="B400" s="2" t="s">
        <v>984</v>
      </c>
      <c r="D400" s="2" t="s">
        <v>1</v>
      </c>
      <c r="E400" s="2" t="s">
        <v>134</v>
      </c>
      <c r="F400" s="2" t="s">
        <v>1002</v>
      </c>
      <c r="G400" s="2" t="s">
        <v>1003</v>
      </c>
      <c r="H400" s="2" t="s">
        <v>538</v>
      </c>
      <c r="I400" s="2" t="s">
        <v>42</v>
      </c>
      <c r="J400" s="2">
        <v>8</v>
      </c>
      <c r="K400" s="2" t="s">
        <v>137</v>
      </c>
      <c r="L400" s="2" t="s">
        <v>41</v>
      </c>
      <c r="M400" s="2" t="s">
        <v>135</v>
      </c>
      <c r="N400" s="2" t="s">
        <v>987</v>
      </c>
      <c r="O400" s="2" t="s">
        <v>539</v>
      </c>
      <c r="P400" s="2" t="s">
        <v>48</v>
      </c>
      <c r="Q400" s="2">
        <f>INDEX(Tables!$C$4:$C$28,MATCH($P400,Tables!$B$4:$B$28,0))</f>
        <v>8</v>
      </c>
      <c r="R400" s="2">
        <f>INDEX(Tables!$D$4:$D$28,MATCH($P400,Tables!$B$4:$B$28,0))</f>
        <v>1</v>
      </c>
      <c r="S400" s="2">
        <f>$S399+$R399+INDEX(Tables!$N$5:$Q$8,MATCH(MOD($S399+$R399,4),Tables!$M$5:$M$8,0),MATCH($R400,Tables!$N$4:$Q$4,0))</f>
        <v>1369</v>
      </c>
      <c r="T400" s="2" t="str">
        <f t="shared" si="99"/>
        <v>0559</v>
      </c>
      <c r="U400" s="2">
        <f t="shared" si="90"/>
        <v>342</v>
      </c>
      <c r="V400" s="2" t="str">
        <f t="shared" si="100"/>
        <v>156</v>
      </c>
      <c r="W400" s="2" t="str">
        <f t="shared" si="101"/>
        <v/>
      </c>
      <c r="X400" s="2" t="str">
        <f t="shared" si="87"/>
        <v/>
      </c>
      <c r="Y400" s="2" t="str">
        <f t="shared" si="88"/>
        <v>X</v>
      </c>
      <c r="Z400" s="2" t="str">
        <f t="shared" si="89"/>
        <v/>
      </c>
      <c r="AA400" s="2" t="str">
        <f t="shared" si="91"/>
        <v/>
      </c>
      <c r="AB400" s="2" t="str">
        <f t="shared" si="92"/>
        <v/>
      </c>
      <c r="AC400" s="2" t="str">
        <f t="shared" si="93"/>
        <v>(15 downto 8)</v>
      </c>
      <c r="AD400" s="2" t="str">
        <f t="shared" si="94"/>
        <v/>
      </c>
      <c r="AE400" s="2" t="str">
        <f t="shared" si="95"/>
        <v/>
      </c>
      <c r="AF400" s="2" t="str">
        <f t="shared" si="96"/>
        <v/>
      </c>
      <c r="AG400" s="2" t="str">
        <f t="shared" si="97"/>
        <v/>
      </c>
      <c r="AH400" s="2" t="str">
        <f t="shared" si="98"/>
        <v/>
      </c>
    </row>
    <row r="401" spans="2:34" x14ac:dyDescent="0.25">
      <c r="B401" s="2" t="s">
        <v>984</v>
      </c>
      <c r="D401" s="2" t="s">
        <v>1</v>
      </c>
      <c r="E401" s="2" t="s">
        <v>134</v>
      </c>
      <c r="F401" s="2" t="s">
        <v>1004</v>
      </c>
      <c r="G401" s="2" t="s">
        <v>1005</v>
      </c>
      <c r="H401" s="2" t="s">
        <v>542</v>
      </c>
      <c r="I401" s="2" t="s">
        <v>42</v>
      </c>
      <c r="J401" s="2">
        <v>8</v>
      </c>
      <c r="K401" s="2" t="s">
        <v>137</v>
      </c>
      <c r="L401" s="2" t="s">
        <v>41</v>
      </c>
      <c r="M401" s="2" t="s">
        <v>135</v>
      </c>
      <c r="N401" s="2" t="s">
        <v>987</v>
      </c>
      <c r="O401" s="2" t="s">
        <v>543</v>
      </c>
      <c r="P401" s="2" t="s">
        <v>48</v>
      </c>
      <c r="Q401" s="2">
        <f>INDEX(Tables!$C$4:$C$28,MATCH($P401,Tables!$B$4:$B$28,0))</f>
        <v>8</v>
      </c>
      <c r="R401" s="2">
        <f>INDEX(Tables!$D$4:$D$28,MATCH($P401,Tables!$B$4:$B$28,0))</f>
        <v>1</v>
      </c>
      <c r="S401" s="2">
        <f>$S400+$R400+INDEX(Tables!$N$5:$Q$8,MATCH(MOD($S400+$R400,4),Tables!$M$5:$M$8,0),MATCH($R401,Tables!$N$4:$Q$4,0))</f>
        <v>1370</v>
      </c>
      <c r="T401" s="2" t="str">
        <f t="shared" si="99"/>
        <v>055A</v>
      </c>
      <c r="U401" s="2">
        <f t="shared" si="90"/>
        <v>342</v>
      </c>
      <c r="V401" s="2" t="str">
        <f t="shared" si="100"/>
        <v>156</v>
      </c>
      <c r="W401" s="2" t="str">
        <f t="shared" si="101"/>
        <v/>
      </c>
      <c r="X401" s="2" t="str">
        <f t="shared" si="87"/>
        <v>X</v>
      </c>
      <c r="Y401" s="2" t="str">
        <f t="shared" si="88"/>
        <v/>
      </c>
      <c r="Z401" s="2" t="str">
        <f t="shared" si="89"/>
        <v/>
      </c>
      <c r="AA401" s="2" t="str">
        <f t="shared" si="91"/>
        <v/>
      </c>
      <c r="AB401" s="2" t="str">
        <f t="shared" si="92"/>
        <v>(23 downto 16)</v>
      </c>
      <c r="AC401" s="2" t="str">
        <f t="shared" si="93"/>
        <v/>
      </c>
      <c r="AD401" s="2" t="str">
        <f t="shared" si="94"/>
        <v/>
      </c>
      <c r="AE401" s="2" t="str">
        <f t="shared" si="95"/>
        <v/>
      </c>
      <c r="AF401" s="2" t="str">
        <f t="shared" si="96"/>
        <v/>
      </c>
      <c r="AG401" s="2" t="str">
        <f t="shared" si="97"/>
        <v/>
      </c>
      <c r="AH401" s="2" t="str">
        <f t="shared" si="98"/>
        <v/>
      </c>
    </row>
    <row r="402" spans="2:34" x14ac:dyDescent="0.25">
      <c r="B402" s="2" t="s">
        <v>984</v>
      </c>
      <c r="D402" s="2" t="s">
        <v>1</v>
      </c>
      <c r="E402" s="2" t="s">
        <v>134</v>
      </c>
      <c r="F402" s="2" t="s">
        <v>1004</v>
      </c>
      <c r="G402" s="2" t="s">
        <v>1005</v>
      </c>
      <c r="H402" s="2" t="s">
        <v>544</v>
      </c>
      <c r="I402" s="2" t="s">
        <v>42</v>
      </c>
      <c r="J402" s="2">
        <v>8</v>
      </c>
      <c r="K402" s="2" t="s">
        <v>137</v>
      </c>
      <c r="L402" s="2" t="s">
        <v>41</v>
      </c>
      <c r="M402" s="2" t="s">
        <v>135</v>
      </c>
      <c r="N402" s="2" t="s">
        <v>987</v>
      </c>
      <c r="O402" s="2" t="s">
        <v>545</v>
      </c>
      <c r="P402" s="2" t="s">
        <v>48</v>
      </c>
      <c r="Q402" s="2">
        <f>INDEX(Tables!$C$4:$C$28,MATCH($P402,Tables!$B$4:$B$28,0))</f>
        <v>8</v>
      </c>
      <c r="R402" s="2">
        <f>INDEX(Tables!$D$4:$D$28,MATCH($P402,Tables!$B$4:$B$28,0))</f>
        <v>1</v>
      </c>
      <c r="S402" s="2">
        <f>$S401+$R401+INDEX(Tables!$N$5:$Q$8,MATCH(MOD($S401+$R401,4),Tables!$M$5:$M$8,0),MATCH($R402,Tables!$N$4:$Q$4,0))</f>
        <v>1371</v>
      </c>
      <c r="T402" s="2" t="str">
        <f t="shared" si="99"/>
        <v>055B</v>
      </c>
      <c r="U402" s="2">
        <f t="shared" si="90"/>
        <v>342</v>
      </c>
      <c r="V402" s="2" t="str">
        <f t="shared" si="100"/>
        <v>156</v>
      </c>
      <c r="W402" s="2" t="str">
        <f t="shared" si="101"/>
        <v>X</v>
      </c>
      <c r="X402" s="2" t="str">
        <f t="shared" si="87"/>
        <v/>
      </c>
      <c r="Y402" s="2" t="str">
        <f t="shared" si="88"/>
        <v/>
      </c>
      <c r="Z402" s="2" t="str">
        <f t="shared" si="89"/>
        <v/>
      </c>
      <c r="AA402" s="2" t="str">
        <f t="shared" si="91"/>
        <v>(31 downto 24)</v>
      </c>
      <c r="AB402" s="2" t="str">
        <f t="shared" si="92"/>
        <v/>
      </c>
      <c r="AC402" s="2" t="str">
        <f t="shared" si="93"/>
        <v/>
      </c>
      <c r="AD402" s="2" t="str">
        <f t="shared" si="94"/>
        <v/>
      </c>
      <c r="AE402" s="2" t="str">
        <f t="shared" si="95"/>
        <v/>
      </c>
      <c r="AF402" s="2" t="str">
        <f t="shared" si="96"/>
        <v/>
      </c>
      <c r="AG402" s="2" t="str">
        <f t="shared" si="97"/>
        <v/>
      </c>
      <c r="AH402" s="2" t="str">
        <f t="shared" si="98"/>
        <v/>
      </c>
    </row>
    <row r="403" spans="2:34" x14ac:dyDescent="0.25">
      <c r="B403" s="2" t="s">
        <v>984</v>
      </c>
      <c r="D403" s="2" t="s">
        <v>1</v>
      </c>
      <c r="E403" s="2" t="s">
        <v>134</v>
      </c>
      <c r="F403" s="2" t="s">
        <v>1004</v>
      </c>
      <c r="G403" s="2" t="s">
        <v>1005</v>
      </c>
      <c r="H403" s="2" t="s">
        <v>546</v>
      </c>
      <c r="I403" s="2" t="s">
        <v>42</v>
      </c>
      <c r="J403" s="2">
        <v>8</v>
      </c>
      <c r="K403" s="2" t="s">
        <v>137</v>
      </c>
      <c r="L403" s="2" t="s">
        <v>41</v>
      </c>
      <c r="M403" s="2" t="s">
        <v>135</v>
      </c>
      <c r="N403" s="2" t="s">
        <v>987</v>
      </c>
      <c r="O403" s="2" t="s">
        <v>547</v>
      </c>
      <c r="P403" s="2" t="s">
        <v>48</v>
      </c>
      <c r="Q403" s="2">
        <f>INDEX(Tables!$C$4:$C$28,MATCH($P403,Tables!$B$4:$B$28,0))</f>
        <v>8</v>
      </c>
      <c r="R403" s="2">
        <f>INDEX(Tables!$D$4:$D$28,MATCH($P403,Tables!$B$4:$B$28,0))</f>
        <v>1</v>
      </c>
      <c r="S403" s="2">
        <f>$S402+$R402+INDEX(Tables!$N$5:$Q$8,MATCH(MOD($S402+$R402,4),Tables!$M$5:$M$8,0),MATCH($R403,Tables!$N$4:$Q$4,0))</f>
        <v>1372</v>
      </c>
      <c r="T403" s="2" t="str">
        <f t="shared" si="99"/>
        <v>055C</v>
      </c>
      <c r="U403" s="2">
        <f t="shared" si="90"/>
        <v>343</v>
      </c>
      <c r="V403" s="2" t="str">
        <f t="shared" si="100"/>
        <v>157</v>
      </c>
      <c r="W403" s="2" t="str">
        <f t="shared" si="101"/>
        <v/>
      </c>
      <c r="X403" s="2" t="str">
        <f t="shared" ref="X403:X466" si="102">IF(MOD($S403,4)=2,"X",IF(AND(MOD($S403,4)=1,$J403&gt;8),"X",IF(AND(MOD($S403,4)=0,$J403&gt;16),"X","")))</f>
        <v/>
      </c>
      <c r="Y403" s="2" t="str">
        <f t="shared" ref="Y403:Y466" si="103">IF(MOD($S403,4)=1,"X",IF(AND(MOD($S403,4)=0,$J403&gt;8),"X",""))</f>
        <v/>
      </c>
      <c r="Z403" s="2" t="str">
        <f t="shared" ref="Z403:Z466" si="104">IF(MOD($S403,4)=0,"X","")</f>
        <v>X</v>
      </c>
      <c r="AA403" s="2" t="str">
        <f t="shared" si="91"/>
        <v/>
      </c>
      <c r="AB403" s="2" t="str">
        <f t="shared" si="92"/>
        <v/>
      </c>
      <c r="AC403" s="2" t="str">
        <f t="shared" si="93"/>
        <v/>
      </c>
      <c r="AD403" s="2" t="str">
        <f t="shared" si="94"/>
        <v>(7 downto 0)</v>
      </c>
      <c r="AE403" s="2" t="str">
        <f t="shared" si="95"/>
        <v/>
      </c>
      <c r="AF403" s="2" t="str">
        <f t="shared" si="96"/>
        <v/>
      </c>
      <c r="AG403" s="2" t="str">
        <f t="shared" si="97"/>
        <v/>
      </c>
      <c r="AH403" s="2" t="str">
        <f t="shared" si="98"/>
        <v/>
      </c>
    </row>
    <row r="404" spans="2:34" x14ac:dyDescent="0.25">
      <c r="B404" s="2" t="s">
        <v>984</v>
      </c>
      <c r="D404" s="2" t="s">
        <v>1</v>
      </c>
      <c r="E404" s="2" t="s">
        <v>134</v>
      </c>
      <c r="F404" s="2" t="s">
        <v>1004</v>
      </c>
      <c r="G404" s="2" t="s">
        <v>1005</v>
      </c>
      <c r="H404" s="2" t="s">
        <v>548</v>
      </c>
      <c r="I404" s="2" t="s">
        <v>42</v>
      </c>
      <c r="J404" s="2">
        <v>8</v>
      </c>
      <c r="K404" s="2" t="s">
        <v>137</v>
      </c>
      <c r="L404" s="2" t="s">
        <v>41</v>
      </c>
      <c r="M404" s="2" t="s">
        <v>135</v>
      </c>
      <c r="N404" s="2" t="s">
        <v>987</v>
      </c>
      <c r="O404" s="2" t="s">
        <v>549</v>
      </c>
      <c r="P404" s="2" t="s">
        <v>48</v>
      </c>
      <c r="Q404" s="2">
        <f>INDEX(Tables!$C$4:$C$28,MATCH($P404,Tables!$B$4:$B$28,0))</f>
        <v>8</v>
      </c>
      <c r="R404" s="2">
        <f>INDEX(Tables!$D$4:$D$28,MATCH($P404,Tables!$B$4:$B$28,0))</f>
        <v>1</v>
      </c>
      <c r="S404" s="2">
        <f>$S403+$R403+INDEX(Tables!$N$5:$Q$8,MATCH(MOD($S403+$R403,4),Tables!$M$5:$M$8,0),MATCH($R404,Tables!$N$4:$Q$4,0))</f>
        <v>1373</v>
      </c>
      <c r="T404" s="2" t="str">
        <f t="shared" si="99"/>
        <v>055D</v>
      </c>
      <c r="U404" s="2">
        <f t="shared" si="90"/>
        <v>343</v>
      </c>
      <c r="V404" s="2" t="str">
        <f t="shared" si="100"/>
        <v>157</v>
      </c>
      <c r="W404" s="2" t="str">
        <f t="shared" si="101"/>
        <v/>
      </c>
      <c r="X404" s="2" t="str">
        <f t="shared" si="102"/>
        <v/>
      </c>
      <c r="Y404" s="2" t="str">
        <f t="shared" si="103"/>
        <v>X</v>
      </c>
      <c r="Z404" s="2" t="str">
        <f t="shared" si="104"/>
        <v/>
      </c>
      <c r="AA404" s="2" t="str">
        <f t="shared" si="91"/>
        <v/>
      </c>
      <c r="AB404" s="2" t="str">
        <f t="shared" si="92"/>
        <v/>
      </c>
      <c r="AC404" s="2" t="str">
        <f t="shared" si="93"/>
        <v>(15 downto 8)</v>
      </c>
      <c r="AD404" s="2" t="str">
        <f t="shared" si="94"/>
        <v/>
      </c>
      <c r="AE404" s="2" t="str">
        <f t="shared" si="95"/>
        <v/>
      </c>
      <c r="AF404" s="2" t="str">
        <f t="shared" si="96"/>
        <v/>
      </c>
      <c r="AG404" s="2" t="str">
        <f t="shared" si="97"/>
        <v/>
      </c>
      <c r="AH404" s="2" t="str">
        <f t="shared" si="98"/>
        <v/>
      </c>
    </row>
    <row r="405" spans="2:34" x14ac:dyDescent="0.25">
      <c r="B405" s="2" t="s">
        <v>984</v>
      </c>
      <c r="D405" s="2" t="s">
        <v>1</v>
      </c>
      <c r="E405" s="2" t="s">
        <v>134</v>
      </c>
      <c r="F405" s="2" t="s">
        <v>1006</v>
      </c>
      <c r="G405" s="2" t="s">
        <v>1007</v>
      </c>
      <c r="H405" s="2" t="s">
        <v>552</v>
      </c>
      <c r="I405" s="2" t="s">
        <v>42</v>
      </c>
      <c r="J405" s="2">
        <v>8</v>
      </c>
      <c r="K405" s="2" t="s">
        <v>137</v>
      </c>
      <c r="L405" s="2" t="s">
        <v>41</v>
      </c>
      <c r="M405" s="2" t="s">
        <v>135</v>
      </c>
      <c r="N405" s="2" t="s">
        <v>987</v>
      </c>
      <c r="O405" s="2" t="s">
        <v>553</v>
      </c>
      <c r="P405" s="2" t="s">
        <v>48</v>
      </c>
      <c r="Q405" s="2">
        <f>INDEX(Tables!$C$4:$C$28,MATCH($P405,Tables!$B$4:$B$28,0))</f>
        <v>8</v>
      </c>
      <c r="R405" s="2">
        <f>INDEX(Tables!$D$4:$D$28,MATCH($P405,Tables!$B$4:$B$28,0))</f>
        <v>1</v>
      </c>
      <c r="S405" s="2">
        <f>$S404+$R404+INDEX(Tables!$N$5:$Q$8,MATCH(MOD($S404+$R404,4),Tables!$M$5:$M$8,0),MATCH($R405,Tables!$N$4:$Q$4,0))</f>
        <v>1374</v>
      </c>
      <c r="T405" s="2" t="str">
        <f t="shared" si="99"/>
        <v>055E</v>
      </c>
      <c r="U405" s="2">
        <f t="shared" si="90"/>
        <v>343</v>
      </c>
      <c r="V405" s="2" t="str">
        <f t="shared" si="100"/>
        <v>157</v>
      </c>
      <c r="W405" s="2" t="str">
        <f t="shared" si="101"/>
        <v/>
      </c>
      <c r="X405" s="2" t="str">
        <f t="shared" si="102"/>
        <v>X</v>
      </c>
      <c r="Y405" s="2" t="str">
        <f t="shared" si="103"/>
        <v/>
      </c>
      <c r="Z405" s="2" t="str">
        <f t="shared" si="104"/>
        <v/>
      </c>
      <c r="AA405" s="2" t="str">
        <f t="shared" si="91"/>
        <v/>
      </c>
      <c r="AB405" s="2" t="str">
        <f t="shared" si="92"/>
        <v>(23 downto 16)</v>
      </c>
      <c r="AC405" s="2" t="str">
        <f t="shared" si="93"/>
        <v/>
      </c>
      <c r="AD405" s="2" t="str">
        <f t="shared" si="94"/>
        <v/>
      </c>
      <c r="AE405" s="2" t="str">
        <f t="shared" si="95"/>
        <v/>
      </c>
      <c r="AF405" s="2" t="str">
        <f t="shared" si="96"/>
        <v/>
      </c>
      <c r="AG405" s="2" t="str">
        <f t="shared" si="97"/>
        <v/>
      </c>
      <c r="AH405" s="2" t="str">
        <f t="shared" si="98"/>
        <v/>
      </c>
    </row>
    <row r="406" spans="2:34" x14ac:dyDescent="0.25">
      <c r="B406" s="2" t="s">
        <v>984</v>
      </c>
      <c r="D406" s="2" t="s">
        <v>1</v>
      </c>
      <c r="E406" s="2" t="s">
        <v>134</v>
      </c>
      <c r="F406" s="2" t="s">
        <v>1006</v>
      </c>
      <c r="G406" s="2" t="s">
        <v>1007</v>
      </c>
      <c r="H406" s="2" t="s">
        <v>554</v>
      </c>
      <c r="I406" s="2" t="s">
        <v>42</v>
      </c>
      <c r="J406" s="2">
        <v>8</v>
      </c>
      <c r="K406" s="2" t="s">
        <v>137</v>
      </c>
      <c r="L406" s="2" t="s">
        <v>41</v>
      </c>
      <c r="M406" s="2" t="s">
        <v>135</v>
      </c>
      <c r="N406" s="2" t="s">
        <v>987</v>
      </c>
      <c r="O406" s="2" t="s">
        <v>555</v>
      </c>
      <c r="P406" s="2" t="s">
        <v>48</v>
      </c>
      <c r="Q406" s="2">
        <f>INDEX(Tables!$C$4:$C$28,MATCH($P406,Tables!$B$4:$B$28,0))</f>
        <v>8</v>
      </c>
      <c r="R406" s="2">
        <f>INDEX(Tables!$D$4:$D$28,MATCH($P406,Tables!$B$4:$B$28,0))</f>
        <v>1</v>
      </c>
      <c r="S406" s="2">
        <f>$S405+$R405+INDEX(Tables!$N$5:$Q$8,MATCH(MOD($S405+$R405,4),Tables!$M$5:$M$8,0),MATCH($R406,Tables!$N$4:$Q$4,0))</f>
        <v>1375</v>
      </c>
      <c r="T406" s="2" t="str">
        <f t="shared" si="99"/>
        <v>055F</v>
      </c>
      <c r="U406" s="2">
        <f t="shared" si="90"/>
        <v>343</v>
      </c>
      <c r="V406" s="2" t="str">
        <f t="shared" si="100"/>
        <v>157</v>
      </c>
      <c r="W406" s="2" t="str">
        <f t="shared" si="101"/>
        <v>X</v>
      </c>
      <c r="X406" s="2" t="str">
        <f t="shared" si="102"/>
        <v/>
      </c>
      <c r="Y406" s="2" t="str">
        <f t="shared" si="103"/>
        <v/>
      </c>
      <c r="Z406" s="2" t="str">
        <f t="shared" si="104"/>
        <v/>
      </c>
      <c r="AA406" s="2" t="str">
        <f t="shared" si="91"/>
        <v>(31 downto 24)</v>
      </c>
      <c r="AB406" s="2" t="str">
        <f t="shared" si="92"/>
        <v/>
      </c>
      <c r="AC406" s="2" t="str">
        <f t="shared" si="93"/>
        <v/>
      </c>
      <c r="AD406" s="2" t="str">
        <f t="shared" si="94"/>
        <v/>
      </c>
      <c r="AE406" s="2" t="str">
        <f t="shared" si="95"/>
        <v/>
      </c>
      <c r="AF406" s="2" t="str">
        <f t="shared" si="96"/>
        <v/>
      </c>
      <c r="AG406" s="2" t="str">
        <f t="shared" si="97"/>
        <v/>
      </c>
      <c r="AH406" s="2" t="str">
        <f t="shared" si="98"/>
        <v/>
      </c>
    </row>
    <row r="407" spans="2:34" x14ac:dyDescent="0.25">
      <c r="B407" s="2" t="s">
        <v>1008</v>
      </c>
      <c r="D407" s="2" t="s">
        <v>1</v>
      </c>
      <c r="E407" s="2" t="s">
        <v>134</v>
      </c>
      <c r="F407" s="2" t="s">
        <v>1009</v>
      </c>
      <c r="G407" s="2" t="s">
        <v>1010</v>
      </c>
      <c r="H407" s="2" t="s">
        <v>559</v>
      </c>
      <c r="I407" s="2" t="s">
        <v>42</v>
      </c>
      <c r="J407" s="2">
        <v>1</v>
      </c>
      <c r="K407" s="2" t="s">
        <v>82</v>
      </c>
      <c r="L407" s="2" t="s">
        <v>41</v>
      </c>
      <c r="M407" s="2" t="s">
        <v>135</v>
      </c>
      <c r="N407" s="2" t="s">
        <v>1011</v>
      </c>
      <c r="O407" s="2" t="s">
        <v>561</v>
      </c>
      <c r="P407" s="2" t="s">
        <v>5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1376</v>
      </c>
      <c r="T407" s="2" t="str">
        <f t="shared" si="99"/>
        <v>0560</v>
      </c>
      <c r="U407" s="2">
        <f t="shared" si="90"/>
        <v>344</v>
      </c>
      <c r="V407" s="2" t="str">
        <f t="shared" si="100"/>
        <v>158</v>
      </c>
      <c r="W407" s="2" t="str">
        <f t="shared" si="101"/>
        <v/>
      </c>
      <c r="X407" s="2" t="str">
        <f t="shared" si="102"/>
        <v/>
      </c>
      <c r="Y407" s="2" t="str">
        <f t="shared" si="103"/>
        <v/>
      </c>
      <c r="Z407" s="2" t="str">
        <f t="shared" si="104"/>
        <v>X</v>
      </c>
      <c r="AA407" s="2" t="str">
        <f t="shared" si="91"/>
        <v/>
      </c>
      <c r="AB407" s="2" t="str">
        <f t="shared" si="92"/>
        <v/>
      </c>
      <c r="AC407" s="2" t="str">
        <f t="shared" si="93"/>
        <v/>
      </c>
      <c r="AD407" s="2" t="str">
        <f t="shared" si="94"/>
        <v>(0)</v>
      </c>
      <c r="AE407" s="2" t="str">
        <f t="shared" si="95"/>
        <v/>
      </c>
      <c r="AF407" s="2" t="str">
        <f t="shared" si="96"/>
        <v/>
      </c>
      <c r="AG407" s="2" t="str">
        <f t="shared" si="97"/>
        <v/>
      </c>
      <c r="AH407" s="2" t="str">
        <f t="shared" si="98"/>
        <v/>
      </c>
    </row>
    <row r="408" spans="2:34" x14ac:dyDescent="0.25">
      <c r="B408" s="2" t="s">
        <v>1008</v>
      </c>
      <c r="D408" s="2" t="s">
        <v>1</v>
      </c>
      <c r="E408" s="2" t="s">
        <v>134</v>
      </c>
      <c r="F408" s="2" t="s">
        <v>1009</v>
      </c>
      <c r="G408" s="2" t="s">
        <v>1010</v>
      </c>
      <c r="H408" s="2" t="s">
        <v>562</v>
      </c>
      <c r="I408" s="2" t="s">
        <v>42</v>
      </c>
      <c r="J408" s="2">
        <v>1</v>
      </c>
      <c r="K408" s="2" t="s">
        <v>136</v>
      </c>
      <c r="L408" s="2" t="s">
        <v>41</v>
      </c>
      <c r="M408" s="2" t="s">
        <v>135</v>
      </c>
      <c r="N408" s="2" t="s">
        <v>1011</v>
      </c>
      <c r="O408" s="2" t="s">
        <v>563</v>
      </c>
      <c r="P408" s="2" t="s">
        <v>5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1380</v>
      </c>
      <c r="T408" s="2" t="str">
        <f t="shared" si="99"/>
        <v>0564</v>
      </c>
      <c r="U408" s="2">
        <f t="shared" si="90"/>
        <v>345</v>
      </c>
      <c r="V408" s="2" t="str">
        <f t="shared" si="100"/>
        <v>159</v>
      </c>
      <c r="W408" s="2" t="str">
        <f t="shared" si="101"/>
        <v/>
      </c>
      <c r="X408" s="2" t="str">
        <f t="shared" si="102"/>
        <v/>
      </c>
      <c r="Y408" s="2" t="str">
        <f t="shared" si="103"/>
        <v/>
      </c>
      <c r="Z408" s="2" t="str">
        <f t="shared" si="104"/>
        <v>X</v>
      </c>
      <c r="AA408" s="2" t="str">
        <f t="shared" si="91"/>
        <v/>
      </c>
      <c r="AB408" s="2" t="str">
        <f t="shared" si="92"/>
        <v/>
      </c>
      <c r="AC408" s="2" t="str">
        <f t="shared" si="93"/>
        <v/>
      </c>
      <c r="AD408" s="2" t="str">
        <f t="shared" si="94"/>
        <v>(0)</v>
      </c>
      <c r="AE408" s="2" t="str">
        <f t="shared" si="95"/>
        <v/>
      </c>
      <c r="AF408" s="2" t="str">
        <f t="shared" si="96"/>
        <v/>
      </c>
      <c r="AG408" s="2" t="str">
        <f t="shared" si="97"/>
        <v/>
      </c>
      <c r="AH408" s="2" t="str">
        <f t="shared" si="98"/>
        <v/>
      </c>
    </row>
    <row r="409" spans="2:34" x14ac:dyDescent="0.25">
      <c r="B409" s="2" t="s">
        <v>1008</v>
      </c>
      <c r="D409" s="2" t="s">
        <v>1</v>
      </c>
      <c r="E409" s="2" t="s">
        <v>134</v>
      </c>
      <c r="F409" s="2" t="s">
        <v>1009</v>
      </c>
      <c r="G409" s="2" t="s">
        <v>1010</v>
      </c>
      <c r="H409" s="2" t="s">
        <v>564</v>
      </c>
      <c r="I409" s="2" t="s">
        <v>42</v>
      </c>
      <c r="J409" s="2">
        <v>1</v>
      </c>
      <c r="K409" s="2" t="s">
        <v>82</v>
      </c>
      <c r="L409" s="2" t="s">
        <v>41</v>
      </c>
      <c r="M409" s="2" t="s">
        <v>135</v>
      </c>
      <c r="N409" s="2" t="s">
        <v>1011</v>
      </c>
      <c r="O409" s="2" t="s">
        <v>565</v>
      </c>
      <c r="P409" s="2" t="s">
        <v>5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1384</v>
      </c>
      <c r="T409" s="2" t="str">
        <f t="shared" si="99"/>
        <v>0568</v>
      </c>
      <c r="U409" s="2">
        <f t="shared" si="90"/>
        <v>346</v>
      </c>
      <c r="V409" s="2" t="str">
        <f t="shared" si="100"/>
        <v>15A</v>
      </c>
      <c r="W409" s="2" t="str">
        <f t="shared" si="101"/>
        <v/>
      </c>
      <c r="X409" s="2" t="str">
        <f t="shared" si="102"/>
        <v/>
      </c>
      <c r="Y409" s="2" t="str">
        <f t="shared" si="103"/>
        <v/>
      </c>
      <c r="Z409" s="2" t="str">
        <f t="shared" si="104"/>
        <v>X</v>
      </c>
      <c r="AA409" s="2" t="str">
        <f t="shared" si="91"/>
        <v/>
      </c>
      <c r="AB409" s="2" t="str">
        <f t="shared" si="92"/>
        <v/>
      </c>
      <c r="AC409" s="2" t="str">
        <f t="shared" si="93"/>
        <v/>
      </c>
      <c r="AD409" s="2" t="str">
        <f t="shared" si="94"/>
        <v>(0)</v>
      </c>
      <c r="AE409" s="2" t="str">
        <f t="shared" si="95"/>
        <v/>
      </c>
      <c r="AF409" s="2" t="str">
        <f t="shared" si="96"/>
        <v/>
      </c>
      <c r="AG409" s="2" t="str">
        <f t="shared" si="97"/>
        <v/>
      </c>
      <c r="AH409" s="2" t="str">
        <f t="shared" si="98"/>
        <v/>
      </c>
    </row>
    <row r="410" spans="2:34" x14ac:dyDescent="0.25">
      <c r="B410" s="2" t="s">
        <v>1008</v>
      </c>
      <c r="D410" s="2" t="s">
        <v>1</v>
      </c>
      <c r="E410" s="2" t="s">
        <v>134</v>
      </c>
      <c r="F410" s="2" t="s">
        <v>1009</v>
      </c>
      <c r="G410" s="2" t="s">
        <v>1010</v>
      </c>
      <c r="H410" s="2" t="s">
        <v>566</v>
      </c>
      <c r="I410" s="2" t="s">
        <v>42</v>
      </c>
      <c r="J410" s="2">
        <v>1</v>
      </c>
      <c r="K410" s="2" t="s">
        <v>136</v>
      </c>
      <c r="L410" s="2" t="s">
        <v>41</v>
      </c>
      <c r="M410" s="2" t="s">
        <v>135</v>
      </c>
      <c r="N410" s="2" t="s">
        <v>1011</v>
      </c>
      <c r="O410" s="2" t="s">
        <v>567</v>
      </c>
      <c r="P410" s="2" t="s">
        <v>5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1388</v>
      </c>
      <c r="T410" s="2" t="str">
        <f t="shared" si="99"/>
        <v>056C</v>
      </c>
      <c r="U410" s="2">
        <f t="shared" si="90"/>
        <v>347</v>
      </c>
      <c r="V410" s="2" t="str">
        <f t="shared" si="100"/>
        <v>15B</v>
      </c>
      <c r="W410" s="2" t="str">
        <f t="shared" si="101"/>
        <v/>
      </c>
      <c r="X410" s="2" t="str">
        <f t="shared" si="102"/>
        <v/>
      </c>
      <c r="Y410" s="2" t="str">
        <f t="shared" si="103"/>
        <v/>
      </c>
      <c r="Z410" s="2" t="str">
        <f t="shared" si="104"/>
        <v>X</v>
      </c>
      <c r="AA410" s="2" t="str">
        <f t="shared" si="91"/>
        <v/>
      </c>
      <c r="AB410" s="2" t="str">
        <f t="shared" si="92"/>
        <v/>
      </c>
      <c r="AC410" s="2" t="str">
        <f t="shared" si="93"/>
        <v/>
      </c>
      <c r="AD410" s="2" t="str">
        <f t="shared" si="94"/>
        <v>(0)</v>
      </c>
      <c r="AE410" s="2" t="str">
        <f t="shared" si="95"/>
        <v/>
      </c>
      <c r="AF410" s="2" t="str">
        <f t="shared" si="96"/>
        <v/>
      </c>
      <c r="AG410" s="2" t="str">
        <f t="shared" si="97"/>
        <v/>
      </c>
      <c r="AH410" s="2" t="str">
        <f t="shared" si="98"/>
        <v/>
      </c>
    </row>
    <row r="411" spans="2:34" x14ac:dyDescent="0.25">
      <c r="B411" s="2" t="s">
        <v>1008</v>
      </c>
      <c r="D411" s="2" t="s">
        <v>1</v>
      </c>
      <c r="E411" s="2" t="s">
        <v>134</v>
      </c>
      <c r="F411" s="2" t="s">
        <v>1009</v>
      </c>
      <c r="G411" s="2" t="s">
        <v>1010</v>
      </c>
      <c r="H411" s="2" t="s">
        <v>568</v>
      </c>
      <c r="I411" s="2" t="s">
        <v>42</v>
      </c>
      <c r="J411" s="2">
        <v>1</v>
      </c>
      <c r="K411" s="2" t="s">
        <v>82</v>
      </c>
      <c r="L411" s="2" t="s">
        <v>41</v>
      </c>
      <c r="M411" s="2" t="s">
        <v>135</v>
      </c>
      <c r="N411" s="2" t="s">
        <v>1011</v>
      </c>
      <c r="O411" s="2" t="s">
        <v>569</v>
      </c>
      <c r="P411" s="2" t="s">
        <v>5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1392</v>
      </c>
      <c r="T411" s="2" t="str">
        <f t="shared" si="99"/>
        <v>0570</v>
      </c>
      <c r="U411" s="2">
        <f t="shared" si="90"/>
        <v>348</v>
      </c>
      <c r="V411" s="2" t="str">
        <f t="shared" si="100"/>
        <v>15C</v>
      </c>
      <c r="W411" s="2" t="str">
        <f t="shared" si="101"/>
        <v/>
      </c>
      <c r="X411" s="2" t="str">
        <f t="shared" si="102"/>
        <v/>
      </c>
      <c r="Y411" s="2" t="str">
        <f t="shared" si="103"/>
        <v/>
      </c>
      <c r="Z411" s="2" t="str">
        <f t="shared" si="104"/>
        <v>X</v>
      </c>
      <c r="AA411" s="2" t="str">
        <f t="shared" si="91"/>
        <v/>
      </c>
      <c r="AB411" s="2" t="str">
        <f t="shared" si="92"/>
        <v/>
      </c>
      <c r="AC411" s="2" t="str">
        <f t="shared" si="93"/>
        <v/>
      </c>
      <c r="AD411" s="2" t="str">
        <f t="shared" si="94"/>
        <v>(0)</v>
      </c>
      <c r="AE411" s="2" t="str">
        <f t="shared" si="95"/>
        <v/>
      </c>
      <c r="AF411" s="2" t="str">
        <f t="shared" si="96"/>
        <v/>
      </c>
      <c r="AG411" s="2" t="str">
        <f t="shared" si="97"/>
        <v/>
      </c>
      <c r="AH411" s="2" t="str">
        <f t="shared" si="98"/>
        <v/>
      </c>
    </row>
    <row r="412" spans="2:34" x14ac:dyDescent="0.25">
      <c r="B412" s="2" t="s">
        <v>1008</v>
      </c>
      <c r="D412" s="2" t="s">
        <v>1</v>
      </c>
      <c r="E412" s="2" t="s">
        <v>134</v>
      </c>
      <c r="F412" s="2" t="s">
        <v>1009</v>
      </c>
      <c r="G412" s="2" t="s">
        <v>1010</v>
      </c>
      <c r="H412" s="2" t="s">
        <v>570</v>
      </c>
      <c r="I412" s="2" t="s">
        <v>42</v>
      </c>
      <c r="J412" s="2">
        <v>1</v>
      </c>
      <c r="K412" s="2" t="s">
        <v>136</v>
      </c>
      <c r="L412" s="2" t="s">
        <v>41</v>
      </c>
      <c r="M412" s="2" t="s">
        <v>135</v>
      </c>
      <c r="N412" s="2" t="s">
        <v>1011</v>
      </c>
      <c r="O412" s="2" t="s">
        <v>571</v>
      </c>
      <c r="P412" s="2" t="s">
        <v>5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1396</v>
      </c>
      <c r="T412" s="2" t="str">
        <f t="shared" si="99"/>
        <v>0574</v>
      </c>
      <c r="U412" s="2">
        <f t="shared" si="90"/>
        <v>349</v>
      </c>
      <c r="V412" s="2" t="str">
        <f t="shared" si="100"/>
        <v>15D</v>
      </c>
      <c r="W412" s="2" t="str">
        <f t="shared" si="101"/>
        <v/>
      </c>
      <c r="X412" s="2" t="str">
        <f t="shared" si="102"/>
        <v/>
      </c>
      <c r="Y412" s="2" t="str">
        <f t="shared" si="103"/>
        <v/>
      </c>
      <c r="Z412" s="2" t="str">
        <f t="shared" si="104"/>
        <v>X</v>
      </c>
      <c r="AA412" s="2" t="str">
        <f t="shared" si="91"/>
        <v/>
      </c>
      <c r="AB412" s="2" t="str">
        <f t="shared" si="92"/>
        <v/>
      </c>
      <c r="AC412" s="2" t="str">
        <f t="shared" si="93"/>
        <v/>
      </c>
      <c r="AD412" s="2" t="str">
        <f t="shared" si="94"/>
        <v>(0)</v>
      </c>
      <c r="AE412" s="2" t="str">
        <f t="shared" si="95"/>
        <v/>
      </c>
      <c r="AF412" s="2" t="str">
        <f t="shared" si="96"/>
        <v/>
      </c>
      <c r="AG412" s="2" t="str">
        <f t="shared" si="97"/>
        <v/>
      </c>
      <c r="AH412" s="2" t="str">
        <f t="shared" si="98"/>
        <v/>
      </c>
    </row>
    <row r="413" spans="2:34" x14ac:dyDescent="0.25">
      <c r="B413" s="2" t="s">
        <v>1008</v>
      </c>
      <c r="D413" s="2" t="s">
        <v>1</v>
      </c>
      <c r="E413" s="2" t="s">
        <v>134</v>
      </c>
      <c r="F413" s="2" t="s">
        <v>1009</v>
      </c>
      <c r="G413" s="2" t="s">
        <v>1010</v>
      </c>
      <c r="H413" s="2" t="s">
        <v>572</v>
      </c>
      <c r="I413" s="2" t="s">
        <v>42</v>
      </c>
      <c r="J413" s="2">
        <v>1</v>
      </c>
      <c r="K413" s="2" t="s">
        <v>136</v>
      </c>
      <c r="L413" s="2" t="s">
        <v>41</v>
      </c>
      <c r="M413" s="2" t="s">
        <v>135</v>
      </c>
      <c r="N413" s="2" t="s">
        <v>1011</v>
      </c>
      <c r="O413" s="2" t="s">
        <v>573</v>
      </c>
      <c r="P413" s="2" t="s">
        <v>5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1400</v>
      </c>
      <c r="T413" s="2" t="str">
        <f t="shared" si="99"/>
        <v>0578</v>
      </c>
      <c r="U413" s="2">
        <f t="shared" si="90"/>
        <v>350</v>
      </c>
      <c r="V413" s="2" t="str">
        <f t="shared" si="100"/>
        <v>15E</v>
      </c>
      <c r="W413" s="2" t="str">
        <f t="shared" si="101"/>
        <v/>
      </c>
      <c r="X413" s="2" t="str">
        <f t="shared" si="102"/>
        <v/>
      </c>
      <c r="Y413" s="2" t="str">
        <f t="shared" si="103"/>
        <v/>
      </c>
      <c r="Z413" s="2" t="str">
        <f t="shared" si="104"/>
        <v>X</v>
      </c>
      <c r="AA413" s="2" t="str">
        <f t="shared" si="91"/>
        <v/>
      </c>
      <c r="AB413" s="2" t="str">
        <f t="shared" si="92"/>
        <v/>
      </c>
      <c r="AC413" s="2" t="str">
        <f t="shared" si="93"/>
        <v/>
      </c>
      <c r="AD413" s="2" t="str">
        <f t="shared" si="94"/>
        <v>(0)</v>
      </c>
      <c r="AE413" s="2" t="str">
        <f t="shared" si="95"/>
        <v/>
      </c>
      <c r="AF413" s="2" t="str">
        <f t="shared" si="96"/>
        <v/>
      </c>
      <c r="AG413" s="2" t="str">
        <f t="shared" si="97"/>
        <v/>
      </c>
      <c r="AH413" s="2" t="str">
        <f t="shared" si="98"/>
        <v/>
      </c>
    </row>
    <row r="414" spans="2:34" x14ac:dyDescent="0.25">
      <c r="B414" s="2" t="s">
        <v>1008</v>
      </c>
      <c r="D414" s="2" t="s">
        <v>1</v>
      </c>
      <c r="E414" s="2" t="s">
        <v>134</v>
      </c>
      <c r="F414" s="2" t="s">
        <v>1009</v>
      </c>
      <c r="G414" s="2" t="s">
        <v>1010</v>
      </c>
      <c r="H414" s="2" t="s">
        <v>574</v>
      </c>
      <c r="I414" s="2" t="s">
        <v>42</v>
      </c>
      <c r="J414" s="2">
        <v>1</v>
      </c>
      <c r="K414" s="2" t="s">
        <v>136</v>
      </c>
      <c r="L414" s="2" t="s">
        <v>41</v>
      </c>
      <c r="M414" s="2" t="s">
        <v>135</v>
      </c>
      <c r="N414" s="2" t="s">
        <v>1011</v>
      </c>
      <c r="O414" s="2" t="s">
        <v>575</v>
      </c>
      <c r="P414" s="2" t="s">
        <v>5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1404</v>
      </c>
      <c r="T414" s="2" t="str">
        <f t="shared" si="99"/>
        <v>057C</v>
      </c>
      <c r="U414" s="2">
        <f t="shared" si="90"/>
        <v>351</v>
      </c>
      <c r="V414" s="2" t="str">
        <f t="shared" si="100"/>
        <v>15F</v>
      </c>
      <c r="W414" s="2" t="str">
        <f t="shared" si="101"/>
        <v/>
      </c>
      <c r="X414" s="2" t="str">
        <f t="shared" si="102"/>
        <v/>
      </c>
      <c r="Y414" s="2" t="str">
        <f t="shared" si="103"/>
        <v/>
      </c>
      <c r="Z414" s="2" t="str">
        <f t="shared" si="104"/>
        <v>X</v>
      </c>
      <c r="AA414" s="2" t="str">
        <f t="shared" si="91"/>
        <v/>
      </c>
      <c r="AB414" s="2" t="str">
        <f t="shared" si="92"/>
        <v/>
      </c>
      <c r="AC414" s="2" t="str">
        <f t="shared" si="93"/>
        <v/>
      </c>
      <c r="AD414" s="2" t="str">
        <f t="shared" si="94"/>
        <v>(0)</v>
      </c>
      <c r="AE414" s="2" t="str">
        <f t="shared" si="95"/>
        <v/>
      </c>
      <c r="AF414" s="2" t="str">
        <f t="shared" si="96"/>
        <v/>
      </c>
      <c r="AG414" s="2" t="str">
        <f t="shared" si="97"/>
        <v/>
      </c>
      <c r="AH414" s="2" t="str">
        <f t="shared" si="98"/>
        <v/>
      </c>
    </row>
    <row r="415" spans="2:34" x14ac:dyDescent="0.25">
      <c r="B415" s="2" t="s">
        <v>1008</v>
      </c>
      <c r="D415" s="2" t="s">
        <v>1</v>
      </c>
      <c r="E415" s="2" t="s">
        <v>134</v>
      </c>
      <c r="F415" s="2" t="s">
        <v>1009</v>
      </c>
      <c r="G415" s="2" t="s">
        <v>1010</v>
      </c>
      <c r="H415" s="2" t="s">
        <v>576</v>
      </c>
      <c r="I415" s="2" t="s">
        <v>42</v>
      </c>
      <c r="J415" s="2">
        <v>1</v>
      </c>
      <c r="K415" s="2" t="s">
        <v>82</v>
      </c>
      <c r="L415" s="2" t="s">
        <v>41</v>
      </c>
      <c r="M415" s="2" t="s">
        <v>135</v>
      </c>
      <c r="N415" s="2" t="s">
        <v>1011</v>
      </c>
      <c r="O415" s="2" t="s">
        <v>577</v>
      </c>
      <c r="P415" s="2" t="s">
        <v>5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1408</v>
      </c>
      <c r="T415" s="2" t="str">
        <f t="shared" si="99"/>
        <v>0580</v>
      </c>
      <c r="U415" s="2">
        <f t="shared" si="90"/>
        <v>352</v>
      </c>
      <c r="V415" s="2" t="str">
        <f t="shared" si="100"/>
        <v>160</v>
      </c>
      <c r="W415" s="2" t="str">
        <f t="shared" si="101"/>
        <v/>
      </c>
      <c r="X415" s="2" t="str">
        <f t="shared" si="102"/>
        <v/>
      </c>
      <c r="Y415" s="2" t="str">
        <f t="shared" si="103"/>
        <v/>
      </c>
      <c r="Z415" s="2" t="str">
        <f t="shared" si="104"/>
        <v>X</v>
      </c>
      <c r="AA415" s="2" t="str">
        <f t="shared" si="91"/>
        <v/>
      </c>
      <c r="AB415" s="2" t="str">
        <f t="shared" si="92"/>
        <v/>
      </c>
      <c r="AC415" s="2" t="str">
        <f t="shared" si="93"/>
        <v/>
      </c>
      <c r="AD415" s="2" t="str">
        <f t="shared" si="94"/>
        <v>(0)</v>
      </c>
      <c r="AE415" s="2" t="str">
        <f t="shared" si="95"/>
        <v/>
      </c>
      <c r="AF415" s="2" t="str">
        <f t="shared" si="96"/>
        <v/>
      </c>
      <c r="AG415" s="2" t="str">
        <f t="shared" si="97"/>
        <v/>
      </c>
      <c r="AH415" s="2" t="str">
        <f t="shared" si="98"/>
        <v/>
      </c>
    </row>
    <row r="416" spans="2:34" x14ac:dyDescent="0.25">
      <c r="B416" s="2" t="s">
        <v>1008</v>
      </c>
      <c r="D416" s="2" t="s">
        <v>1</v>
      </c>
      <c r="E416" s="2" t="s">
        <v>134</v>
      </c>
      <c r="F416" s="2" t="s">
        <v>1009</v>
      </c>
      <c r="G416" s="2" t="s">
        <v>1010</v>
      </c>
      <c r="H416" s="2" t="s">
        <v>578</v>
      </c>
      <c r="I416" s="2" t="s">
        <v>42</v>
      </c>
      <c r="J416" s="2">
        <v>1</v>
      </c>
      <c r="K416" s="2" t="s">
        <v>82</v>
      </c>
      <c r="L416" s="2" t="s">
        <v>41</v>
      </c>
      <c r="M416" s="2" t="s">
        <v>135</v>
      </c>
      <c r="N416" s="2" t="s">
        <v>1011</v>
      </c>
      <c r="O416" s="2" t="s">
        <v>579</v>
      </c>
      <c r="P416" s="2" t="s">
        <v>5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1412</v>
      </c>
      <c r="T416" s="2" t="str">
        <f t="shared" si="99"/>
        <v>0584</v>
      </c>
      <c r="U416" s="2">
        <f t="shared" si="90"/>
        <v>353</v>
      </c>
      <c r="V416" s="2" t="str">
        <f t="shared" si="100"/>
        <v>161</v>
      </c>
      <c r="W416" s="2" t="str">
        <f t="shared" si="101"/>
        <v/>
      </c>
      <c r="X416" s="2" t="str">
        <f t="shared" si="102"/>
        <v/>
      </c>
      <c r="Y416" s="2" t="str">
        <f t="shared" si="103"/>
        <v/>
      </c>
      <c r="Z416" s="2" t="str">
        <f t="shared" si="104"/>
        <v>X</v>
      </c>
      <c r="AA416" s="2" t="str">
        <f t="shared" si="91"/>
        <v/>
      </c>
      <c r="AB416" s="2" t="str">
        <f t="shared" si="92"/>
        <v/>
      </c>
      <c r="AC416" s="2" t="str">
        <f t="shared" si="93"/>
        <v/>
      </c>
      <c r="AD416" s="2" t="str">
        <f t="shared" si="94"/>
        <v>(0)</v>
      </c>
      <c r="AE416" s="2" t="str">
        <f t="shared" si="95"/>
        <v/>
      </c>
      <c r="AF416" s="2" t="str">
        <f t="shared" si="96"/>
        <v/>
      </c>
      <c r="AG416" s="2" t="str">
        <f t="shared" si="97"/>
        <v/>
      </c>
      <c r="AH416" s="2" t="str">
        <f t="shared" si="98"/>
        <v/>
      </c>
    </row>
    <row r="417" spans="2:34" x14ac:dyDescent="0.25">
      <c r="B417" s="2" t="s">
        <v>1008</v>
      </c>
      <c r="D417" s="2" t="s">
        <v>1</v>
      </c>
      <c r="E417" s="2" t="s">
        <v>134</v>
      </c>
      <c r="F417" s="2" t="s">
        <v>1009</v>
      </c>
      <c r="G417" s="2" t="s">
        <v>1010</v>
      </c>
      <c r="H417" s="2" t="s">
        <v>580</v>
      </c>
      <c r="I417" s="2" t="s">
        <v>42</v>
      </c>
      <c r="J417" s="2">
        <v>1</v>
      </c>
      <c r="K417" s="2" t="s">
        <v>82</v>
      </c>
      <c r="L417" s="2" t="s">
        <v>41</v>
      </c>
      <c r="M417" s="2" t="s">
        <v>135</v>
      </c>
      <c r="N417" s="2" t="s">
        <v>1011</v>
      </c>
      <c r="O417" s="2" t="s">
        <v>581</v>
      </c>
      <c r="P417" s="2" t="s">
        <v>5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1416</v>
      </c>
      <c r="T417" s="2" t="str">
        <f t="shared" si="99"/>
        <v>0588</v>
      </c>
      <c r="U417" s="2">
        <f t="shared" si="90"/>
        <v>354</v>
      </c>
      <c r="V417" s="2" t="str">
        <f t="shared" si="100"/>
        <v>162</v>
      </c>
      <c r="W417" s="2" t="str">
        <f t="shared" si="101"/>
        <v/>
      </c>
      <c r="X417" s="2" t="str">
        <f t="shared" si="102"/>
        <v/>
      </c>
      <c r="Y417" s="2" t="str">
        <f t="shared" si="103"/>
        <v/>
      </c>
      <c r="Z417" s="2" t="str">
        <f t="shared" si="104"/>
        <v>X</v>
      </c>
      <c r="AA417" s="2" t="str">
        <f t="shared" si="91"/>
        <v/>
      </c>
      <c r="AB417" s="2" t="str">
        <f t="shared" si="92"/>
        <v/>
      </c>
      <c r="AC417" s="2" t="str">
        <f t="shared" si="93"/>
        <v/>
      </c>
      <c r="AD417" s="2" t="str">
        <f t="shared" si="94"/>
        <v>(0)</v>
      </c>
      <c r="AE417" s="2" t="str">
        <f t="shared" si="95"/>
        <v/>
      </c>
      <c r="AF417" s="2" t="str">
        <f t="shared" si="96"/>
        <v/>
      </c>
      <c r="AG417" s="2" t="str">
        <f t="shared" si="97"/>
        <v/>
      </c>
      <c r="AH417" s="2" t="str">
        <f t="shared" si="98"/>
        <v/>
      </c>
    </row>
    <row r="418" spans="2:34" x14ac:dyDescent="0.25">
      <c r="B418" s="2" t="s">
        <v>1008</v>
      </c>
      <c r="D418" s="2" t="s">
        <v>1</v>
      </c>
      <c r="E418" s="2" t="s">
        <v>134</v>
      </c>
      <c r="F418" s="2" t="s">
        <v>1009</v>
      </c>
      <c r="G418" s="2" t="s">
        <v>1010</v>
      </c>
      <c r="H418" s="2" t="s">
        <v>582</v>
      </c>
      <c r="I418" s="2" t="s">
        <v>42</v>
      </c>
      <c r="J418" s="2">
        <v>1</v>
      </c>
      <c r="K418" s="2" t="s">
        <v>82</v>
      </c>
      <c r="L418" s="2" t="s">
        <v>41</v>
      </c>
      <c r="M418" s="2" t="s">
        <v>135</v>
      </c>
      <c r="N418" s="2" t="s">
        <v>1011</v>
      </c>
      <c r="O418" s="2" t="s">
        <v>583</v>
      </c>
      <c r="P418" s="2" t="s">
        <v>5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1420</v>
      </c>
      <c r="T418" s="2" t="str">
        <f t="shared" si="99"/>
        <v>058C</v>
      </c>
      <c r="U418" s="2">
        <f t="shared" si="90"/>
        <v>355</v>
      </c>
      <c r="V418" s="2" t="str">
        <f t="shared" si="100"/>
        <v>163</v>
      </c>
      <c r="W418" s="2" t="str">
        <f t="shared" si="101"/>
        <v/>
      </c>
      <c r="X418" s="2" t="str">
        <f t="shared" si="102"/>
        <v/>
      </c>
      <c r="Y418" s="2" t="str">
        <f t="shared" si="103"/>
        <v/>
      </c>
      <c r="Z418" s="2" t="str">
        <f t="shared" si="104"/>
        <v>X</v>
      </c>
      <c r="AA418" s="2" t="str">
        <f t="shared" si="91"/>
        <v/>
      </c>
      <c r="AB418" s="2" t="str">
        <f t="shared" si="92"/>
        <v/>
      </c>
      <c r="AC418" s="2" t="str">
        <f t="shared" si="93"/>
        <v/>
      </c>
      <c r="AD418" s="2" t="str">
        <f t="shared" si="94"/>
        <v>(0)</v>
      </c>
      <c r="AE418" s="2" t="str">
        <f t="shared" si="95"/>
        <v/>
      </c>
      <c r="AF418" s="2" t="str">
        <f t="shared" si="96"/>
        <v/>
      </c>
      <c r="AG418" s="2" t="str">
        <f t="shared" si="97"/>
        <v/>
      </c>
      <c r="AH418" s="2" t="str">
        <f t="shared" si="98"/>
        <v/>
      </c>
    </row>
    <row r="419" spans="2:34" x14ac:dyDescent="0.25">
      <c r="B419" s="2" t="s">
        <v>1008</v>
      </c>
      <c r="D419" s="2" t="s">
        <v>1</v>
      </c>
      <c r="E419" s="2" t="s">
        <v>134</v>
      </c>
      <c r="F419" s="2" t="s">
        <v>1009</v>
      </c>
      <c r="G419" s="2" t="s">
        <v>1010</v>
      </c>
      <c r="H419" s="2" t="s">
        <v>584</v>
      </c>
      <c r="I419" s="2" t="s">
        <v>42</v>
      </c>
      <c r="J419" s="2">
        <v>1</v>
      </c>
      <c r="K419" s="2" t="s">
        <v>82</v>
      </c>
      <c r="L419" s="2" t="s">
        <v>41</v>
      </c>
      <c r="M419" s="2" t="s">
        <v>135</v>
      </c>
      <c r="N419" s="2" t="s">
        <v>1011</v>
      </c>
      <c r="O419" s="2" t="s">
        <v>585</v>
      </c>
      <c r="P419" s="2" t="s">
        <v>5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1424</v>
      </c>
      <c r="T419" s="2" t="str">
        <f t="shared" si="99"/>
        <v>0590</v>
      </c>
      <c r="U419" s="2">
        <f t="shared" si="90"/>
        <v>356</v>
      </c>
      <c r="V419" s="2" t="str">
        <f t="shared" si="100"/>
        <v>164</v>
      </c>
      <c r="W419" s="2" t="str">
        <f t="shared" si="101"/>
        <v/>
      </c>
      <c r="X419" s="2" t="str">
        <f t="shared" si="102"/>
        <v/>
      </c>
      <c r="Y419" s="2" t="str">
        <f t="shared" si="103"/>
        <v/>
      </c>
      <c r="Z419" s="2" t="str">
        <f t="shared" si="104"/>
        <v>X</v>
      </c>
      <c r="AA419" s="2" t="str">
        <f t="shared" si="91"/>
        <v/>
      </c>
      <c r="AB419" s="2" t="str">
        <f t="shared" si="92"/>
        <v/>
      </c>
      <c r="AC419" s="2" t="str">
        <f t="shared" si="93"/>
        <v/>
      </c>
      <c r="AD419" s="2" t="str">
        <f t="shared" si="94"/>
        <v>(0)</v>
      </c>
      <c r="AE419" s="2" t="str">
        <f t="shared" si="95"/>
        <v/>
      </c>
      <c r="AF419" s="2" t="str">
        <f t="shared" si="96"/>
        <v/>
      </c>
      <c r="AG419" s="2" t="str">
        <f t="shared" si="97"/>
        <v/>
      </c>
      <c r="AH419" s="2" t="str">
        <f t="shared" si="98"/>
        <v/>
      </c>
    </row>
    <row r="420" spans="2:34" x14ac:dyDescent="0.25">
      <c r="B420" s="2" t="s">
        <v>1008</v>
      </c>
      <c r="D420" s="2" t="s">
        <v>1</v>
      </c>
      <c r="E420" s="2" t="s">
        <v>134</v>
      </c>
      <c r="F420" s="2" t="s">
        <v>1009</v>
      </c>
      <c r="G420" s="2" t="s">
        <v>1010</v>
      </c>
      <c r="H420" s="2" t="s">
        <v>586</v>
      </c>
      <c r="I420" s="2" t="s">
        <v>42</v>
      </c>
      <c r="J420" s="2">
        <v>1</v>
      </c>
      <c r="K420" s="2" t="s">
        <v>82</v>
      </c>
      <c r="L420" s="2" t="s">
        <v>41</v>
      </c>
      <c r="M420" s="2" t="s">
        <v>135</v>
      </c>
      <c r="N420" s="2" t="s">
        <v>1011</v>
      </c>
      <c r="O420" s="2" t="s">
        <v>587</v>
      </c>
      <c r="P420" s="2" t="s">
        <v>5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1428</v>
      </c>
      <c r="T420" s="2" t="str">
        <f t="shared" si="99"/>
        <v>0594</v>
      </c>
      <c r="U420" s="2">
        <f t="shared" si="90"/>
        <v>357</v>
      </c>
      <c r="V420" s="2" t="str">
        <f t="shared" si="100"/>
        <v>165</v>
      </c>
      <c r="W420" s="2" t="str">
        <f t="shared" si="101"/>
        <v/>
      </c>
      <c r="X420" s="2" t="str">
        <f t="shared" si="102"/>
        <v/>
      </c>
      <c r="Y420" s="2" t="str">
        <f t="shared" si="103"/>
        <v/>
      </c>
      <c r="Z420" s="2" t="str">
        <f t="shared" si="104"/>
        <v>X</v>
      </c>
      <c r="AA420" s="2" t="str">
        <f t="shared" si="91"/>
        <v/>
      </c>
      <c r="AB420" s="2" t="str">
        <f t="shared" si="92"/>
        <v/>
      </c>
      <c r="AC420" s="2" t="str">
        <f t="shared" si="93"/>
        <v/>
      </c>
      <c r="AD420" s="2" t="str">
        <f t="shared" si="94"/>
        <v>(0)</v>
      </c>
      <c r="AE420" s="2" t="str">
        <f t="shared" si="95"/>
        <v/>
      </c>
      <c r="AF420" s="2" t="str">
        <f t="shared" si="96"/>
        <v/>
      </c>
      <c r="AG420" s="2" t="str">
        <f t="shared" si="97"/>
        <v/>
      </c>
      <c r="AH420" s="2" t="str">
        <f t="shared" si="98"/>
        <v/>
      </c>
    </row>
    <row r="421" spans="2:34" x14ac:dyDescent="0.25">
      <c r="B421" s="2" t="s">
        <v>1008</v>
      </c>
      <c r="D421" s="2" t="s">
        <v>1</v>
      </c>
      <c r="E421" s="2" t="s">
        <v>134</v>
      </c>
      <c r="F421" s="2" t="s">
        <v>1009</v>
      </c>
      <c r="G421" s="2" t="s">
        <v>1010</v>
      </c>
      <c r="H421" s="2" t="s">
        <v>588</v>
      </c>
      <c r="I421" s="2" t="s">
        <v>42</v>
      </c>
      <c r="J421" s="2">
        <v>1</v>
      </c>
      <c r="K421" s="2" t="s">
        <v>82</v>
      </c>
      <c r="L421" s="2" t="s">
        <v>41</v>
      </c>
      <c r="M421" s="2" t="s">
        <v>135</v>
      </c>
      <c r="N421" s="2" t="s">
        <v>1011</v>
      </c>
      <c r="O421" s="2" t="s">
        <v>589</v>
      </c>
      <c r="P421" s="2" t="s">
        <v>5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1432</v>
      </c>
      <c r="T421" s="2" t="str">
        <f t="shared" si="99"/>
        <v>0598</v>
      </c>
      <c r="U421" s="2">
        <f t="shared" si="90"/>
        <v>358</v>
      </c>
      <c r="V421" s="2" t="str">
        <f t="shared" si="100"/>
        <v>166</v>
      </c>
      <c r="W421" s="2" t="str">
        <f t="shared" si="101"/>
        <v/>
      </c>
      <c r="X421" s="2" t="str">
        <f t="shared" si="102"/>
        <v/>
      </c>
      <c r="Y421" s="2" t="str">
        <f t="shared" si="103"/>
        <v/>
      </c>
      <c r="Z421" s="2" t="str">
        <f t="shared" si="104"/>
        <v>X</v>
      </c>
      <c r="AA421" s="2" t="str">
        <f t="shared" si="91"/>
        <v/>
      </c>
      <c r="AB421" s="2" t="str">
        <f t="shared" si="92"/>
        <v/>
      </c>
      <c r="AC421" s="2" t="str">
        <f t="shared" si="93"/>
        <v/>
      </c>
      <c r="AD421" s="2" t="str">
        <f t="shared" si="94"/>
        <v>(0)</v>
      </c>
      <c r="AE421" s="2" t="str">
        <f t="shared" si="95"/>
        <v/>
      </c>
      <c r="AF421" s="2" t="str">
        <f t="shared" si="96"/>
        <v/>
      </c>
      <c r="AG421" s="2" t="str">
        <f t="shared" si="97"/>
        <v/>
      </c>
      <c r="AH421" s="2" t="str">
        <f t="shared" si="98"/>
        <v/>
      </c>
    </row>
    <row r="422" spans="2:34" x14ac:dyDescent="0.25">
      <c r="B422" s="2" t="s">
        <v>1008</v>
      </c>
      <c r="D422" s="2" t="s">
        <v>1</v>
      </c>
      <c r="E422" s="2" t="s">
        <v>134</v>
      </c>
      <c r="F422" s="2" t="s">
        <v>1009</v>
      </c>
      <c r="G422" s="2" t="s">
        <v>1010</v>
      </c>
      <c r="H422" s="2" t="s">
        <v>590</v>
      </c>
      <c r="I422" s="2" t="s">
        <v>42</v>
      </c>
      <c r="J422" s="2">
        <v>1</v>
      </c>
      <c r="K422" s="2" t="s">
        <v>82</v>
      </c>
      <c r="L422" s="2" t="s">
        <v>41</v>
      </c>
      <c r="M422" s="2" t="s">
        <v>135</v>
      </c>
      <c r="N422" s="2" t="s">
        <v>1011</v>
      </c>
      <c r="O422" s="2" t="s">
        <v>591</v>
      </c>
      <c r="P422" s="2" t="s">
        <v>5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1436</v>
      </c>
      <c r="T422" s="2" t="str">
        <f t="shared" si="99"/>
        <v>059C</v>
      </c>
      <c r="U422" s="2">
        <f t="shared" si="90"/>
        <v>359</v>
      </c>
      <c r="V422" s="2" t="str">
        <f t="shared" si="100"/>
        <v>167</v>
      </c>
      <c r="W422" s="2" t="str">
        <f t="shared" si="101"/>
        <v/>
      </c>
      <c r="X422" s="2" t="str">
        <f t="shared" si="102"/>
        <v/>
      </c>
      <c r="Y422" s="2" t="str">
        <f t="shared" si="103"/>
        <v/>
      </c>
      <c r="Z422" s="2" t="str">
        <f t="shared" si="104"/>
        <v>X</v>
      </c>
      <c r="AA422" s="2" t="str">
        <f t="shared" si="91"/>
        <v/>
      </c>
      <c r="AB422" s="2" t="str">
        <f t="shared" si="92"/>
        <v/>
      </c>
      <c r="AC422" s="2" t="str">
        <f t="shared" si="93"/>
        <v/>
      </c>
      <c r="AD422" s="2" t="str">
        <f t="shared" si="94"/>
        <v>(0)</v>
      </c>
      <c r="AE422" s="2" t="str">
        <f t="shared" si="95"/>
        <v/>
      </c>
      <c r="AF422" s="2" t="str">
        <f t="shared" si="96"/>
        <v/>
      </c>
      <c r="AG422" s="2" t="str">
        <f t="shared" si="97"/>
        <v/>
      </c>
      <c r="AH422" s="2" t="str">
        <f t="shared" si="98"/>
        <v/>
      </c>
    </row>
    <row r="423" spans="2:34" x14ac:dyDescent="0.25">
      <c r="B423" s="2" t="s">
        <v>1008</v>
      </c>
      <c r="D423" s="2" t="s">
        <v>1</v>
      </c>
      <c r="E423" s="2" t="s">
        <v>134</v>
      </c>
      <c r="F423" s="2" t="s">
        <v>1009</v>
      </c>
      <c r="G423" s="2" t="s">
        <v>1010</v>
      </c>
      <c r="H423" s="2" t="s">
        <v>592</v>
      </c>
      <c r="I423" s="2" t="s">
        <v>42</v>
      </c>
      <c r="J423" s="2">
        <v>1</v>
      </c>
      <c r="K423" s="2" t="s">
        <v>82</v>
      </c>
      <c r="L423" s="2" t="s">
        <v>41</v>
      </c>
      <c r="M423" s="2" t="s">
        <v>135</v>
      </c>
      <c r="N423" s="2" t="s">
        <v>1011</v>
      </c>
      <c r="O423" s="2" t="s">
        <v>593</v>
      </c>
      <c r="P423" s="2" t="s">
        <v>5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1440</v>
      </c>
      <c r="T423" s="2" t="str">
        <f t="shared" si="99"/>
        <v>05A0</v>
      </c>
      <c r="U423" s="2">
        <f t="shared" si="90"/>
        <v>360</v>
      </c>
      <c r="V423" s="2" t="str">
        <f t="shared" si="100"/>
        <v>168</v>
      </c>
      <c r="W423" s="2" t="str">
        <f t="shared" si="101"/>
        <v/>
      </c>
      <c r="X423" s="2" t="str">
        <f t="shared" si="102"/>
        <v/>
      </c>
      <c r="Y423" s="2" t="str">
        <f t="shared" si="103"/>
        <v/>
      </c>
      <c r="Z423" s="2" t="str">
        <f t="shared" si="104"/>
        <v>X</v>
      </c>
      <c r="AA423" s="2" t="str">
        <f t="shared" si="91"/>
        <v/>
      </c>
      <c r="AB423" s="2" t="str">
        <f t="shared" si="92"/>
        <v/>
      </c>
      <c r="AC423" s="2" t="str">
        <f t="shared" si="93"/>
        <v/>
      </c>
      <c r="AD423" s="2" t="str">
        <f t="shared" si="94"/>
        <v>(0)</v>
      </c>
      <c r="AE423" s="2" t="str">
        <f t="shared" si="95"/>
        <v/>
      </c>
      <c r="AF423" s="2" t="str">
        <f t="shared" si="96"/>
        <v/>
      </c>
      <c r="AG423" s="2" t="str">
        <f t="shared" si="97"/>
        <v/>
      </c>
      <c r="AH423" s="2" t="str">
        <f t="shared" si="98"/>
        <v/>
      </c>
    </row>
    <row r="424" spans="2:34" x14ac:dyDescent="0.25">
      <c r="B424" s="2" t="s">
        <v>1008</v>
      </c>
      <c r="D424" s="2" t="s">
        <v>1</v>
      </c>
      <c r="E424" s="2" t="s">
        <v>134</v>
      </c>
      <c r="F424" s="2" t="s">
        <v>1009</v>
      </c>
      <c r="G424" s="2" t="s">
        <v>1010</v>
      </c>
      <c r="H424" s="2" t="s">
        <v>594</v>
      </c>
      <c r="I424" s="2" t="s">
        <v>42</v>
      </c>
      <c r="J424" s="2">
        <v>1</v>
      </c>
      <c r="K424" s="2" t="s">
        <v>82</v>
      </c>
      <c r="L424" s="2" t="s">
        <v>41</v>
      </c>
      <c r="M424" s="2" t="s">
        <v>135</v>
      </c>
      <c r="N424" s="2" t="s">
        <v>1011</v>
      </c>
      <c r="O424" s="2" t="s">
        <v>595</v>
      </c>
      <c r="P424" s="2" t="s">
        <v>5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1444</v>
      </c>
      <c r="T424" s="2" t="str">
        <f t="shared" si="99"/>
        <v>05A4</v>
      </c>
      <c r="U424" s="2">
        <f t="shared" si="90"/>
        <v>361</v>
      </c>
      <c r="V424" s="2" t="str">
        <f t="shared" si="100"/>
        <v>169</v>
      </c>
      <c r="W424" s="2" t="str">
        <f t="shared" si="101"/>
        <v/>
      </c>
      <c r="X424" s="2" t="str">
        <f t="shared" si="102"/>
        <v/>
      </c>
      <c r="Y424" s="2" t="str">
        <f t="shared" si="103"/>
        <v/>
      </c>
      <c r="Z424" s="2" t="str">
        <f t="shared" si="104"/>
        <v>X</v>
      </c>
      <c r="AA424" s="2" t="str">
        <f t="shared" si="91"/>
        <v/>
      </c>
      <c r="AB424" s="2" t="str">
        <f t="shared" si="92"/>
        <v/>
      </c>
      <c r="AC424" s="2" t="str">
        <f t="shared" si="93"/>
        <v/>
      </c>
      <c r="AD424" s="2" t="str">
        <f t="shared" si="94"/>
        <v>(0)</v>
      </c>
      <c r="AE424" s="2" t="str">
        <f t="shared" si="95"/>
        <v/>
      </c>
      <c r="AF424" s="2" t="str">
        <f t="shared" si="96"/>
        <v/>
      </c>
      <c r="AG424" s="2" t="str">
        <f t="shared" si="97"/>
        <v/>
      </c>
      <c r="AH424" s="2" t="str">
        <f t="shared" si="98"/>
        <v/>
      </c>
    </row>
    <row r="425" spans="2:34" x14ac:dyDescent="0.25">
      <c r="B425" s="2" t="s">
        <v>1008</v>
      </c>
      <c r="D425" s="2" t="s">
        <v>1</v>
      </c>
      <c r="E425" s="2" t="s">
        <v>134</v>
      </c>
      <c r="F425" s="2" t="s">
        <v>1009</v>
      </c>
      <c r="G425" s="2" t="s">
        <v>1010</v>
      </c>
      <c r="H425" s="2" t="s">
        <v>596</v>
      </c>
      <c r="I425" s="2" t="s">
        <v>42</v>
      </c>
      <c r="J425" s="2">
        <v>1</v>
      </c>
      <c r="K425" s="2" t="s">
        <v>82</v>
      </c>
      <c r="L425" s="2" t="s">
        <v>41</v>
      </c>
      <c r="M425" s="2" t="s">
        <v>135</v>
      </c>
      <c r="N425" s="2" t="s">
        <v>1011</v>
      </c>
      <c r="O425" s="2" t="s">
        <v>597</v>
      </c>
      <c r="P425" s="2" t="s">
        <v>5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1448</v>
      </c>
      <c r="T425" s="2" t="str">
        <f t="shared" si="99"/>
        <v>05A8</v>
      </c>
      <c r="U425" s="2">
        <f t="shared" si="90"/>
        <v>362</v>
      </c>
      <c r="V425" s="2" t="str">
        <f t="shared" si="100"/>
        <v>16A</v>
      </c>
      <c r="W425" s="2" t="str">
        <f t="shared" si="101"/>
        <v/>
      </c>
      <c r="X425" s="2" t="str">
        <f t="shared" si="102"/>
        <v/>
      </c>
      <c r="Y425" s="2" t="str">
        <f t="shared" si="103"/>
        <v/>
      </c>
      <c r="Z425" s="2" t="str">
        <f t="shared" si="104"/>
        <v>X</v>
      </c>
      <c r="AA425" s="2" t="str">
        <f t="shared" si="91"/>
        <v/>
      </c>
      <c r="AB425" s="2" t="str">
        <f t="shared" si="92"/>
        <v/>
      </c>
      <c r="AC425" s="2" t="str">
        <f t="shared" si="93"/>
        <v/>
      </c>
      <c r="AD425" s="2" t="str">
        <f t="shared" si="94"/>
        <v>(0)</v>
      </c>
      <c r="AE425" s="2" t="str">
        <f t="shared" si="95"/>
        <v/>
      </c>
      <c r="AF425" s="2" t="str">
        <f t="shared" si="96"/>
        <v/>
      </c>
      <c r="AG425" s="2" t="str">
        <f t="shared" si="97"/>
        <v/>
      </c>
      <c r="AH425" s="2" t="str">
        <f t="shared" si="98"/>
        <v/>
      </c>
    </row>
    <row r="426" spans="2:34" x14ac:dyDescent="0.25">
      <c r="B426" s="2" t="s">
        <v>1008</v>
      </c>
      <c r="D426" s="2" t="s">
        <v>1</v>
      </c>
      <c r="E426" s="2" t="s">
        <v>134</v>
      </c>
      <c r="F426" s="2" t="s">
        <v>1009</v>
      </c>
      <c r="G426" s="2" t="s">
        <v>1010</v>
      </c>
      <c r="H426" s="2" t="s">
        <v>598</v>
      </c>
      <c r="I426" s="2" t="s">
        <v>42</v>
      </c>
      <c r="J426" s="2">
        <v>1</v>
      </c>
      <c r="K426" s="2" t="s">
        <v>82</v>
      </c>
      <c r="L426" s="2" t="s">
        <v>41</v>
      </c>
      <c r="M426" s="2" t="s">
        <v>135</v>
      </c>
      <c r="N426" s="2" t="s">
        <v>1011</v>
      </c>
      <c r="O426" s="2" t="s">
        <v>599</v>
      </c>
      <c r="P426" s="2" t="s">
        <v>5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1452</v>
      </c>
      <c r="T426" s="2" t="str">
        <f t="shared" si="99"/>
        <v>05AC</v>
      </c>
      <c r="U426" s="2">
        <f t="shared" ref="U426:U489" si="105">ROUNDDOWN(S426/4,0)</f>
        <v>363</v>
      </c>
      <c r="V426" s="2" t="str">
        <f t="shared" si="100"/>
        <v>16B</v>
      </c>
      <c r="W426" s="2" t="str">
        <f t="shared" si="101"/>
        <v/>
      </c>
      <c r="X426" s="2" t="str">
        <f t="shared" si="102"/>
        <v/>
      </c>
      <c r="Y426" s="2" t="str">
        <f t="shared" si="103"/>
        <v/>
      </c>
      <c r="Z426" s="2" t="str">
        <f t="shared" si="104"/>
        <v>X</v>
      </c>
      <c r="AA426" s="2" t="str">
        <f t="shared" ref="AA426:AA489" si="106">IF(W426="","",CONCATENATE("(",IF(($J426-COUNTIF($X426:$Z426,"X")*8)=1,"24)",CONCATENATE(IF(($J426-COUNTIF($X426:$Z426,"X")*8)&gt;=8,32,($J426-COUNTIF($X426:$Z426,"X")*8)+24)-1," downto 24)"))))</f>
        <v/>
      </c>
      <c r="AB426" s="2" t="str">
        <f t="shared" ref="AB426:AB489" si="107">IF(X426="","",CONCATENATE("(",IF(($J426-COUNTIF($Y426:$Z426,"X")*8)=1,"16)",CONCATENATE(IF(($J426-COUNTIF($Y426:$Z426,"X")*8)&gt;=8,24,($J426-COUNTIF($Y426:$Z426,"X")*8)+16)-1," downto 16)"))))</f>
        <v/>
      </c>
      <c r="AC426" s="2" t="str">
        <f t="shared" ref="AC426:AC489" si="108">IF(Y426="","",CONCATENATE("(",IF(($J426-COUNTIF($Z426,"X")*8)=1,"8)",CONCATENATE(IF(($J426-COUNTIF($Z426,"X")*8)&gt;=8,16,($J426-COUNTIF($Z426,"X")*8)+8)-1," downto 8)"))))</f>
        <v/>
      </c>
      <c r="AD426" s="2" t="str">
        <f t="shared" ref="AD426:AD489" si="109">IF(Z426="","",CONCATENATE("(",IF($J426=1,"0)",CONCATENATE(IF($J426&gt;=8,8,$J426)-1," downto 0)"))))</f>
        <v>(0)</v>
      </c>
      <c r="AE426" s="2" t="str">
        <f t="shared" ref="AE426:AE489" si="110">IF(W426="","",IF($J426&lt;=8,"",IF(($J426-COUNTIF($X426:$Z426,"X")*8)=1,CONCATENATE("(",($J426-1),")"),CONCATENATE("(",IF(($J426-COUNTIF($X426:$Z426,"X")*8)&gt;=8,COUNTIF($X426:$Z426,"X")*8+7,$J426-COUNTIF($X426:$Z426,"X")*8-1+COUNTIF($X426:$Z426,"X")*8)," downto ",COUNTIF($X426:$Z426,"X")*8,")"))))</f>
        <v/>
      </c>
      <c r="AF426" s="2" t="str">
        <f t="shared" ref="AF426:AF489" si="111">IF(X426="","",IF($J426&lt;=8,"",IF(($J426-COUNTIF($Y426:$Z426,"X")*8)=1,CONCATENATE("(",($J426-1),")"),CONCATENATE("(",IF(($J426-COUNTIF($Y426:$Z426,"X")*8)&gt;=8,COUNTIF($Y426:$Z426,"X")*8+7,$J426-COUNTIF($Y426:$Z426,"X")*8-1+COUNTIF($Y426:$Z426,"X")*8)," downto ",COUNTIF($Y426:$Z426,"X")*8,")"))))</f>
        <v/>
      </c>
      <c r="AG426" s="2" t="str">
        <f t="shared" ref="AG426:AG489" si="112">IF(Y426="","",IF($J426&lt;=8,"",IF(($J426-COUNTIF($Z426,"X")*8)=1,CONCATENATE("(",($J426-1),")"),CONCATENATE("(",IF(($J426-COUNTIF($Z426,"X")*8)&gt;=8,COUNTIF($Z426,"X")*8+7,$J426-COUNTIF($Z426,"X")*8-1+COUNTIF($Z426,"X")*8)," downto ",COUNTIF($Z426,"X")*8,")"))))</f>
        <v/>
      </c>
      <c r="AH426" s="2" t="str">
        <f t="shared" ref="AH426:AH489" si="113">IF(Z426="","",IF($J426&lt;=8,"",CONCATENATE("(",IF($J426&gt;=8,7,$J426-1)," downto ",0,")")))</f>
        <v/>
      </c>
    </row>
    <row r="427" spans="2:34" x14ac:dyDescent="0.25">
      <c r="B427" s="2" t="s">
        <v>1008</v>
      </c>
      <c r="D427" s="2" t="s">
        <v>1</v>
      </c>
      <c r="E427" s="2" t="s">
        <v>134</v>
      </c>
      <c r="F427" s="2" t="s">
        <v>1009</v>
      </c>
      <c r="G427" s="2" t="s">
        <v>1010</v>
      </c>
      <c r="H427" s="2" t="s">
        <v>600</v>
      </c>
      <c r="I427" s="2" t="s">
        <v>42</v>
      </c>
      <c r="J427" s="2">
        <v>1</v>
      </c>
      <c r="K427" s="2" t="s">
        <v>136</v>
      </c>
      <c r="L427" s="2" t="s">
        <v>41</v>
      </c>
      <c r="M427" s="2" t="s">
        <v>135</v>
      </c>
      <c r="N427" s="2" t="s">
        <v>1011</v>
      </c>
      <c r="O427" s="2" t="s">
        <v>601</v>
      </c>
      <c r="P427" s="2" t="s">
        <v>5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1456</v>
      </c>
      <c r="T427" s="2" t="str">
        <f t="shared" si="99"/>
        <v>05B0</v>
      </c>
      <c r="U427" s="2">
        <f t="shared" si="105"/>
        <v>364</v>
      </c>
      <c r="V427" s="2" t="str">
        <f t="shared" si="100"/>
        <v>16C</v>
      </c>
      <c r="W427" s="2" t="str">
        <f t="shared" si="101"/>
        <v/>
      </c>
      <c r="X427" s="2" t="str">
        <f t="shared" si="102"/>
        <v/>
      </c>
      <c r="Y427" s="2" t="str">
        <f t="shared" si="103"/>
        <v/>
      </c>
      <c r="Z427" s="2" t="str">
        <f t="shared" si="104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1008</v>
      </c>
      <c r="D428" s="2" t="s">
        <v>1</v>
      </c>
      <c r="E428" s="2" t="s">
        <v>134</v>
      </c>
      <c r="F428" s="2" t="s">
        <v>1009</v>
      </c>
      <c r="G428" s="2" t="s">
        <v>1010</v>
      </c>
      <c r="H428" s="2" t="s">
        <v>602</v>
      </c>
      <c r="I428" s="2" t="s">
        <v>42</v>
      </c>
      <c r="J428" s="2">
        <v>1</v>
      </c>
      <c r="K428" s="2" t="s">
        <v>136</v>
      </c>
      <c r="L428" s="2" t="s">
        <v>41</v>
      </c>
      <c r="M428" s="2" t="s">
        <v>135</v>
      </c>
      <c r="N428" s="2" t="s">
        <v>1011</v>
      </c>
      <c r="O428" s="2" t="s">
        <v>603</v>
      </c>
      <c r="P428" s="2" t="s">
        <v>5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1460</v>
      </c>
      <c r="T428" s="2" t="str">
        <f t="shared" si="99"/>
        <v>05B4</v>
      </c>
      <c r="U428" s="2">
        <f t="shared" si="105"/>
        <v>365</v>
      </c>
      <c r="V428" s="2" t="str">
        <f t="shared" si="100"/>
        <v>16D</v>
      </c>
      <c r="W428" s="2" t="str">
        <f t="shared" si="101"/>
        <v/>
      </c>
      <c r="X428" s="2" t="str">
        <f t="shared" si="102"/>
        <v/>
      </c>
      <c r="Y428" s="2" t="str">
        <f t="shared" si="103"/>
        <v/>
      </c>
      <c r="Z428" s="2" t="str">
        <f t="shared" si="104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1008</v>
      </c>
      <c r="D429" s="2" t="s">
        <v>1</v>
      </c>
      <c r="E429" s="2" t="s">
        <v>134</v>
      </c>
      <c r="F429" s="2" t="s">
        <v>1009</v>
      </c>
      <c r="G429" s="2" t="s">
        <v>1010</v>
      </c>
      <c r="H429" s="2" t="s">
        <v>604</v>
      </c>
      <c r="I429" s="2" t="s">
        <v>42</v>
      </c>
      <c r="J429" s="2">
        <v>1</v>
      </c>
      <c r="K429" s="2" t="s">
        <v>82</v>
      </c>
      <c r="L429" s="2" t="s">
        <v>41</v>
      </c>
      <c r="M429" s="2" t="s">
        <v>135</v>
      </c>
      <c r="N429" s="2" t="s">
        <v>1011</v>
      </c>
      <c r="O429" s="2" t="s">
        <v>605</v>
      </c>
      <c r="P429" s="2" t="s">
        <v>5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1464</v>
      </c>
      <c r="T429" s="2" t="str">
        <f t="shared" si="99"/>
        <v>05B8</v>
      </c>
      <c r="U429" s="2">
        <f t="shared" si="105"/>
        <v>366</v>
      </c>
      <c r="V429" s="2" t="str">
        <f t="shared" si="100"/>
        <v>16E</v>
      </c>
      <c r="W429" s="2" t="str">
        <f t="shared" si="101"/>
        <v/>
      </c>
      <c r="X429" s="2" t="str">
        <f t="shared" si="102"/>
        <v/>
      </c>
      <c r="Y429" s="2" t="str">
        <f t="shared" si="103"/>
        <v/>
      </c>
      <c r="Z429" s="2" t="str">
        <f t="shared" si="104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1008</v>
      </c>
      <c r="D430" s="2" t="s">
        <v>1</v>
      </c>
      <c r="E430" s="2" t="s">
        <v>134</v>
      </c>
      <c r="F430" s="2" t="s">
        <v>1009</v>
      </c>
      <c r="G430" s="2" t="s">
        <v>1010</v>
      </c>
      <c r="H430" s="2" t="s">
        <v>606</v>
      </c>
      <c r="I430" s="2" t="s">
        <v>42</v>
      </c>
      <c r="J430" s="2">
        <v>1</v>
      </c>
      <c r="K430" s="2" t="s">
        <v>82</v>
      </c>
      <c r="L430" s="2" t="s">
        <v>41</v>
      </c>
      <c r="M430" s="2" t="s">
        <v>135</v>
      </c>
      <c r="N430" s="2" t="s">
        <v>1011</v>
      </c>
      <c r="O430" s="2" t="s">
        <v>607</v>
      </c>
      <c r="P430" s="2" t="s">
        <v>5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1468</v>
      </c>
      <c r="T430" s="2" t="str">
        <f t="shared" si="99"/>
        <v>05BC</v>
      </c>
      <c r="U430" s="2">
        <f t="shared" si="105"/>
        <v>367</v>
      </c>
      <c r="V430" s="2" t="str">
        <f t="shared" si="100"/>
        <v>16F</v>
      </c>
      <c r="W430" s="2" t="str">
        <f t="shared" si="101"/>
        <v/>
      </c>
      <c r="X430" s="2" t="str">
        <f t="shared" si="102"/>
        <v/>
      </c>
      <c r="Y430" s="2" t="str">
        <f t="shared" si="103"/>
        <v/>
      </c>
      <c r="Z430" s="2" t="str">
        <f t="shared" si="104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1008</v>
      </c>
      <c r="D431" s="2" t="s">
        <v>1</v>
      </c>
      <c r="E431" s="2" t="s">
        <v>134</v>
      </c>
      <c r="F431" s="2" t="s">
        <v>1009</v>
      </c>
      <c r="G431" s="2" t="s">
        <v>1010</v>
      </c>
      <c r="H431" s="2" t="s">
        <v>608</v>
      </c>
      <c r="I431" s="2" t="s">
        <v>42</v>
      </c>
      <c r="J431" s="2">
        <v>1</v>
      </c>
      <c r="K431" s="2" t="s">
        <v>136</v>
      </c>
      <c r="L431" s="2" t="s">
        <v>41</v>
      </c>
      <c r="M431" s="2" t="s">
        <v>135</v>
      </c>
      <c r="N431" s="2" t="s">
        <v>1011</v>
      </c>
      <c r="O431" s="2" t="s">
        <v>609</v>
      </c>
      <c r="P431" s="2" t="s">
        <v>5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1472</v>
      </c>
      <c r="T431" s="2" t="str">
        <f t="shared" si="99"/>
        <v>05C0</v>
      </c>
      <c r="U431" s="2">
        <f t="shared" si="105"/>
        <v>368</v>
      </c>
      <c r="V431" s="2" t="str">
        <f t="shared" si="100"/>
        <v>170</v>
      </c>
      <c r="W431" s="2" t="str">
        <f t="shared" si="101"/>
        <v/>
      </c>
      <c r="X431" s="2" t="str">
        <f t="shared" si="102"/>
        <v/>
      </c>
      <c r="Y431" s="2" t="str">
        <f t="shared" si="103"/>
        <v/>
      </c>
      <c r="Z431" s="2" t="str">
        <f t="shared" si="104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1008</v>
      </c>
      <c r="D432" s="2" t="s">
        <v>1</v>
      </c>
      <c r="E432" s="2" t="s">
        <v>134</v>
      </c>
      <c r="F432" s="2" t="s">
        <v>1009</v>
      </c>
      <c r="G432" s="2" t="s">
        <v>1010</v>
      </c>
      <c r="H432" s="2" t="s">
        <v>610</v>
      </c>
      <c r="I432" s="2" t="s">
        <v>42</v>
      </c>
      <c r="J432" s="2">
        <v>1</v>
      </c>
      <c r="K432" s="2" t="s">
        <v>136</v>
      </c>
      <c r="L432" s="2" t="s">
        <v>41</v>
      </c>
      <c r="M432" s="2" t="s">
        <v>135</v>
      </c>
      <c r="N432" s="2" t="s">
        <v>1011</v>
      </c>
      <c r="O432" s="2" t="s">
        <v>611</v>
      </c>
      <c r="P432" s="2" t="s">
        <v>5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1476</v>
      </c>
      <c r="T432" s="2" t="str">
        <f t="shared" si="99"/>
        <v>05C4</v>
      </c>
      <c r="U432" s="2">
        <f t="shared" si="105"/>
        <v>369</v>
      </c>
      <c r="V432" s="2" t="str">
        <f t="shared" si="100"/>
        <v>171</v>
      </c>
      <c r="W432" s="2" t="str">
        <f t="shared" si="101"/>
        <v/>
      </c>
      <c r="X432" s="2" t="str">
        <f t="shared" si="102"/>
        <v/>
      </c>
      <c r="Y432" s="2" t="str">
        <f t="shared" si="103"/>
        <v/>
      </c>
      <c r="Z432" s="2" t="str">
        <f t="shared" si="104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1008</v>
      </c>
      <c r="D433" s="2" t="s">
        <v>1</v>
      </c>
      <c r="E433" s="2" t="s">
        <v>134</v>
      </c>
      <c r="F433" s="2" t="s">
        <v>1009</v>
      </c>
      <c r="G433" s="2" t="s">
        <v>1010</v>
      </c>
      <c r="H433" s="2" t="s">
        <v>612</v>
      </c>
      <c r="I433" s="2" t="s">
        <v>42</v>
      </c>
      <c r="J433" s="2">
        <v>1</v>
      </c>
      <c r="K433" s="2" t="s">
        <v>136</v>
      </c>
      <c r="L433" s="2" t="s">
        <v>41</v>
      </c>
      <c r="M433" s="2" t="s">
        <v>135</v>
      </c>
      <c r="N433" s="2" t="s">
        <v>1011</v>
      </c>
      <c r="O433" s="2" t="s">
        <v>613</v>
      </c>
      <c r="P433" s="2" t="s">
        <v>5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1480</v>
      </c>
      <c r="T433" s="2" t="str">
        <f t="shared" si="99"/>
        <v>05C8</v>
      </c>
      <c r="U433" s="2">
        <f t="shared" si="105"/>
        <v>370</v>
      </c>
      <c r="V433" s="2" t="str">
        <f t="shared" si="100"/>
        <v>172</v>
      </c>
      <c r="W433" s="2" t="str">
        <f t="shared" si="101"/>
        <v/>
      </c>
      <c r="X433" s="2" t="str">
        <f t="shared" si="102"/>
        <v/>
      </c>
      <c r="Y433" s="2" t="str">
        <f t="shared" si="103"/>
        <v/>
      </c>
      <c r="Z433" s="2" t="str">
        <f t="shared" si="104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1008</v>
      </c>
      <c r="D434" s="2" t="s">
        <v>1</v>
      </c>
      <c r="E434" s="2" t="s">
        <v>134</v>
      </c>
      <c r="F434" s="2" t="s">
        <v>1009</v>
      </c>
      <c r="G434" s="2" t="s">
        <v>1010</v>
      </c>
      <c r="H434" s="2" t="s">
        <v>614</v>
      </c>
      <c r="I434" s="2" t="s">
        <v>42</v>
      </c>
      <c r="J434" s="2">
        <v>1</v>
      </c>
      <c r="K434" s="2" t="s">
        <v>136</v>
      </c>
      <c r="L434" s="2" t="s">
        <v>41</v>
      </c>
      <c r="M434" s="2" t="s">
        <v>135</v>
      </c>
      <c r="N434" s="2" t="s">
        <v>1011</v>
      </c>
      <c r="O434" s="2" t="s">
        <v>615</v>
      </c>
      <c r="P434" s="2" t="s">
        <v>5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1484</v>
      </c>
      <c r="T434" s="2" t="str">
        <f t="shared" si="99"/>
        <v>05CC</v>
      </c>
      <c r="U434" s="2">
        <f t="shared" si="105"/>
        <v>371</v>
      </c>
      <c r="V434" s="2" t="str">
        <f t="shared" si="100"/>
        <v>173</v>
      </c>
      <c r="W434" s="2" t="str">
        <f t="shared" si="101"/>
        <v/>
      </c>
      <c r="X434" s="2" t="str">
        <f t="shared" si="102"/>
        <v/>
      </c>
      <c r="Y434" s="2" t="str">
        <f t="shared" si="103"/>
        <v/>
      </c>
      <c r="Z434" s="2" t="str">
        <f t="shared" si="104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1008</v>
      </c>
      <c r="D435" s="2" t="s">
        <v>1</v>
      </c>
      <c r="E435" s="2" t="s">
        <v>134</v>
      </c>
      <c r="F435" s="2" t="s">
        <v>1009</v>
      </c>
      <c r="G435" s="2" t="s">
        <v>1010</v>
      </c>
      <c r="H435" s="2" t="s">
        <v>616</v>
      </c>
      <c r="I435" s="2" t="s">
        <v>42</v>
      </c>
      <c r="J435" s="2">
        <v>1</v>
      </c>
      <c r="K435" s="2" t="s">
        <v>82</v>
      </c>
      <c r="L435" s="2" t="s">
        <v>41</v>
      </c>
      <c r="M435" s="2" t="s">
        <v>135</v>
      </c>
      <c r="N435" s="2" t="s">
        <v>1011</v>
      </c>
      <c r="O435" s="2" t="s">
        <v>617</v>
      </c>
      <c r="P435" s="2" t="s">
        <v>5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1488</v>
      </c>
      <c r="T435" s="2" t="str">
        <f t="shared" si="99"/>
        <v>05D0</v>
      </c>
      <c r="U435" s="2">
        <f t="shared" si="105"/>
        <v>372</v>
      </c>
      <c r="V435" s="2" t="str">
        <f t="shared" si="100"/>
        <v>174</v>
      </c>
      <c r="W435" s="2" t="str">
        <f t="shared" si="101"/>
        <v/>
      </c>
      <c r="X435" s="2" t="str">
        <f t="shared" si="102"/>
        <v/>
      </c>
      <c r="Y435" s="2" t="str">
        <f t="shared" si="103"/>
        <v/>
      </c>
      <c r="Z435" s="2" t="str">
        <f t="shared" si="104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1008</v>
      </c>
      <c r="D436" s="2" t="s">
        <v>1</v>
      </c>
      <c r="E436" s="2" t="s">
        <v>134</v>
      </c>
      <c r="F436" s="2" t="s">
        <v>1009</v>
      </c>
      <c r="G436" s="2" t="s">
        <v>1010</v>
      </c>
      <c r="H436" s="2" t="s">
        <v>618</v>
      </c>
      <c r="I436" s="2" t="s">
        <v>42</v>
      </c>
      <c r="J436" s="2">
        <v>1</v>
      </c>
      <c r="K436" s="2" t="s">
        <v>82</v>
      </c>
      <c r="L436" s="2" t="s">
        <v>41</v>
      </c>
      <c r="M436" s="2" t="s">
        <v>135</v>
      </c>
      <c r="N436" s="2" t="s">
        <v>1011</v>
      </c>
      <c r="O436" s="2" t="s">
        <v>619</v>
      </c>
      <c r="P436" s="2" t="s">
        <v>5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1492</v>
      </c>
      <c r="T436" s="2" t="str">
        <f t="shared" si="99"/>
        <v>05D4</v>
      </c>
      <c r="U436" s="2">
        <f t="shared" si="105"/>
        <v>373</v>
      </c>
      <c r="V436" s="2" t="str">
        <f t="shared" si="100"/>
        <v>175</v>
      </c>
      <c r="W436" s="2" t="str">
        <f t="shared" si="101"/>
        <v/>
      </c>
      <c r="X436" s="2" t="str">
        <f t="shared" si="102"/>
        <v/>
      </c>
      <c r="Y436" s="2" t="str">
        <f t="shared" si="103"/>
        <v/>
      </c>
      <c r="Z436" s="2" t="str">
        <f t="shared" si="104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1008</v>
      </c>
      <c r="D437" s="2" t="s">
        <v>1</v>
      </c>
      <c r="E437" s="2" t="s">
        <v>134</v>
      </c>
      <c r="F437" s="2" t="s">
        <v>1009</v>
      </c>
      <c r="G437" s="2" t="s">
        <v>1010</v>
      </c>
      <c r="H437" s="2" t="s">
        <v>620</v>
      </c>
      <c r="I437" s="2" t="s">
        <v>42</v>
      </c>
      <c r="J437" s="2">
        <v>1</v>
      </c>
      <c r="K437" s="2" t="s">
        <v>82</v>
      </c>
      <c r="L437" s="2" t="s">
        <v>41</v>
      </c>
      <c r="M437" s="2" t="s">
        <v>135</v>
      </c>
      <c r="N437" s="2" t="s">
        <v>1011</v>
      </c>
      <c r="O437" s="2" t="s">
        <v>621</v>
      </c>
      <c r="P437" s="2" t="s">
        <v>5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1496</v>
      </c>
      <c r="T437" s="2" t="str">
        <f t="shared" si="99"/>
        <v>05D8</v>
      </c>
      <c r="U437" s="2">
        <f t="shared" si="105"/>
        <v>374</v>
      </c>
      <c r="V437" s="2" t="str">
        <f t="shared" si="100"/>
        <v>176</v>
      </c>
      <c r="W437" s="2" t="str">
        <f t="shared" si="101"/>
        <v/>
      </c>
      <c r="X437" s="2" t="str">
        <f t="shared" si="102"/>
        <v/>
      </c>
      <c r="Y437" s="2" t="str">
        <f t="shared" si="103"/>
        <v/>
      </c>
      <c r="Z437" s="2" t="str">
        <f t="shared" si="104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1008</v>
      </c>
      <c r="D438" s="2" t="s">
        <v>1</v>
      </c>
      <c r="E438" s="2" t="s">
        <v>134</v>
      </c>
      <c r="F438" s="2" t="s">
        <v>1009</v>
      </c>
      <c r="G438" s="2" t="s">
        <v>1010</v>
      </c>
      <c r="H438" s="2" t="s">
        <v>622</v>
      </c>
      <c r="I438" s="2" t="s">
        <v>42</v>
      </c>
      <c r="J438" s="2">
        <v>1</v>
      </c>
      <c r="K438" s="2" t="s">
        <v>82</v>
      </c>
      <c r="L438" s="2" t="s">
        <v>41</v>
      </c>
      <c r="M438" s="2" t="s">
        <v>135</v>
      </c>
      <c r="N438" s="2" t="s">
        <v>1011</v>
      </c>
      <c r="O438" s="2" t="s">
        <v>623</v>
      </c>
      <c r="P438" s="2" t="s">
        <v>5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1500</v>
      </c>
      <c r="T438" s="2" t="str">
        <f t="shared" si="99"/>
        <v>05DC</v>
      </c>
      <c r="U438" s="2">
        <f t="shared" si="105"/>
        <v>375</v>
      </c>
      <c r="V438" s="2" t="str">
        <f t="shared" si="100"/>
        <v>177</v>
      </c>
      <c r="W438" s="2" t="str">
        <f t="shared" si="101"/>
        <v/>
      </c>
      <c r="X438" s="2" t="str">
        <f t="shared" si="102"/>
        <v/>
      </c>
      <c r="Y438" s="2" t="str">
        <f t="shared" si="103"/>
        <v/>
      </c>
      <c r="Z438" s="2" t="str">
        <f t="shared" si="104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1008</v>
      </c>
      <c r="D439" s="2" t="s">
        <v>1</v>
      </c>
      <c r="E439" s="2" t="s">
        <v>134</v>
      </c>
      <c r="F439" s="2" t="s">
        <v>1009</v>
      </c>
      <c r="G439" s="2" t="s">
        <v>1010</v>
      </c>
      <c r="H439" s="2" t="s">
        <v>624</v>
      </c>
      <c r="I439" s="2" t="s">
        <v>42</v>
      </c>
      <c r="J439" s="2">
        <v>1</v>
      </c>
      <c r="K439" s="2" t="s">
        <v>82</v>
      </c>
      <c r="L439" s="2" t="s">
        <v>41</v>
      </c>
      <c r="M439" s="2" t="s">
        <v>135</v>
      </c>
      <c r="N439" s="2" t="s">
        <v>1011</v>
      </c>
      <c r="O439" s="2" t="s">
        <v>625</v>
      </c>
      <c r="P439" s="2" t="s">
        <v>5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1504</v>
      </c>
      <c r="T439" s="2" t="str">
        <f t="shared" si="99"/>
        <v>05E0</v>
      </c>
      <c r="U439" s="2">
        <f t="shared" si="105"/>
        <v>376</v>
      </c>
      <c r="V439" s="2" t="str">
        <f t="shared" si="100"/>
        <v>178</v>
      </c>
      <c r="W439" s="2" t="str">
        <f t="shared" si="101"/>
        <v/>
      </c>
      <c r="X439" s="2" t="str">
        <f t="shared" si="102"/>
        <v/>
      </c>
      <c r="Y439" s="2" t="str">
        <f t="shared" si="103"/>
        <v/>
      </c>
      <c r="Z439" s="2" t="str">
        <f t="shared" si="104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1008</v>
      </c>
      <c r="D440" s="2" t="s">
        <v>1</v>
      </c>
      <c r="E440" s="2" t="s">
        <v>134</v>
      </c>
      <c r="F440" s="2" t="s">
        <v>1009</v>
      </c>
      <c r="G440" s="2" t="s">
        <v>1010</v>
      </c>
      <c r="H440" s="2" t="s">
        <v>626</v>
      </c>
      <c r="I440" s="2" t="s">
        <v>42</v>
      </c>
      <c r="J440" s="2">
        <v>1</v>
      </c>
      <c r="K440" s="2" t="s">
        <v>82</v>
      </c>
      <c r="L440" s="2" t="s">
        <v>41</v>
      </c>
      <c r="M440" s="2" t="s">
        <v>135</v>
      </c>
      <c r="N440" s="2" t="s">
        <v>1011</v>
      </c>
      <c r="O440" s="2" t="s">
        <v>627</v>
      </c>
      <c r="P440" s="2" t="s">
        <v>5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1508</v>
      </c>
      <c r="T440" s="2" t="str">
        <f t="shared" si="99"/>
        <v>05E4</v>
      </c>
      <c r="U440" s="2">
        <f t="shared" si="105"/>
        <v>377</v>
      </c>
      <c r="V440" s="2" t="str">
        <f t="shared" si="100"/>
        <v>179</v>
      </c>
      <c r="W440" s="2" t="str">
        <f t="shared" si="101"/>
        <v/>
      </c>
      <c r="X440" s="2" t="str">
        <f t="shared" si="102"/>
        <v/>
      </c>
      <c r="Y440" s="2" t="str">
        <f t="shared" si="103"/>
        <v/>
      </c>
      <c r="Z440" s="2" t="str">
        <f t="shared" si="104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1008</v>
      </c>
      <c r="D441" s="2" t="s">
        <v>1</v>
      </c>
      <c r="E441" s="2" t="s">
        <v>134</v>
      </c>
      <c r="F441" s="2" t="s">
        <v>1009</v>
      </c>
      <c r="G441" s="2" t="s">
        <v>1010</v>
      </c>
      <c r="H441" s="2" t="s">
        <v>628</v>
      </c>
      <c r="I441" s="2" t="s">
        <v>42</v>
      </c>
      <c r="J441" s="2">
        <v>1</v>
      </c>
      <c r="K441" s="2" t="s">
        <v>82</v>
      </c>
      <c r="L441" s="2" t="s">
        <v>41</v>
      </c>
      <c r="M441" s="2" t="s">
        <v>135</v>
      </c>
      <c r="N441" s="2" t="s">
        <v>1011</v>
      </c>
      <c r="O441" s="2" t="s">
        <v>629</v>
      </c>
      <c r="P441" s="2" t="s">
        <v>5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1512</v>
      </c>
      <c r="T441" s="2" t="str">
        <f t="shared" si="99"/>
        <v>05E8</v>
      </c>
      <c r="U441" s="2">
        <f t="shared" si="105"/>
        <v>378</v>
      </c>
      <c r="V441" s="2" t="str">
        <f t="shared" si="100"/>
        <v>17A</v>
      </c>
      <c r="W441" s="2" t="str">
        <f t="shared" si="101"/>
        <v/>
      </c>
      <c r="X441" s="2" t="str">
        <f t="shared" si="102"/>
        <v/>
      </c>
      <c r="Y441" s="2" t="str">
        <f t="shared" si="103"/>
        <v/>
      </c>
      <c r="Z441" s="2" t="str">
        <f t="shared" si="104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1008</v>
      </c>
      <c r="D442" s="2" t="s">
        <v>1</v>
      </c>
      <c r="E442" s="2" t="s">
        <v>134</v>
      </c>
      <c r="F442" s="2" t="s">
        <v>1009</v>
      </c>
      <c r="G442" s="2" t="s">
        <v>1010</v>
      </c>
      <c r="H442" s="2" t="s">
        <v>630</v>
      </c>
      <c r="I442" s="2" t="s">
        <v>42</v>
      </c>
      <c r="J442" s="2">
        <v>1</v>
      </c>
      <c r="K442" s="2" t="s">
        <v>82</v>
      </c>
      <c r="L442" s="2" t="s">
        <v>41</v>
      </c>
      <c r="M442" s="2" t="s">
        <v>135</v>
      </c>
      <c r="N442" s="2" t="s">
        <v>1011</v>
      </c>
      <c r="O442" s="2" t="s">
        <v>631</v>
      </c>
      <c r="P442" s="2" t="s">
        <v>5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1516</v>
      </c>
      <c r="T442" s="2" t="str">
        <f t="shared" si="99"/>
        <v>05EC</v>
      </c>
      <c r="U442" s="2">
        <f t="shared" si="105"/>
        <v>379</v>
      </c>
      <c r="V442" s="2" t="str">
        <f t="shared" si="100"/>
        <v>17B</v>
      </c>
      <c r="W442" s="2" t="str">
        <f t="shared" si="101"/>
        <v/>
      </c>
      <c r="X442" s="2" t="str">
        <f t="shared" si="102"/>
        <v/>
      </c>
      <c r="Y442" s="2" t="str">
        <f t="shared" si="103"/>
        <v/>
      </c>
      <c r="Z442" s="2" t="str">
        <f t="shared" si="104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1008</v>
      </c>
      <c r="D443" s="2" t="s">
        <v>1</v>
      </c>
      <c r="E443" s="2" t="s">
        <v>134</v>
      </c>
      <c r="F443" s="2" t="s">
        <v>1009</v>
      </c>
      <c r="G443" s="2" t="s">
        <v>1010</v>
      </c>
      <c r="H443" s="2" t="s">
        <v>632</v>
      </c>
      <c r="I443" s="2" t="s">
        <v>42</v>
      </c>
      <c r="J443" s="2">
        <v>1</v>
      </c>
      <c r="K443" s="2" t="s">
        <v>82</v>
      </c>
      <c r="L443" s="2" t="s">
        <v>41</v>
      </c>
      <c r="M443" s="2" t="s">
        <v>135</v>
      </c>
      <c r="N443" s="2" t="s">
        <v>1011</v>
      </c>
      <c r="O443" s="2" t="s">
        <v>633</v>
      </c>
      <c r="P443" s="2" t="s">
        <v>5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1520</v>
      </c>
      <c r="T443" s="2" t="str">
        <f t="shared" si="99"/>
        <v>05F0</v>
      </c>
      <c r="U443" s="2">
        <f t="shared" si="105"/>
        <v>380</v>
      </c>
      <c r="V443" s="2" t="str">
        <f t="shared" si="100"/>
        <v>17C</v>
      </c>
      <c r="W443" s="2" t="str">
        <f t="shared" si="101"/>
        <v/>
      </c>
      <c r="X443" s="2" t="str">
        <f t="shared" si="102"/>
        <v/>
      </c>
      <c r="Y443" s="2" t="str">
        <f t="shared" si="103"/>
        <v/>
      </c>
      <c r="Z443" s="2" t="str">
        <f t="shared" si="104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1008</v>
      </c>
      <c r="D444" s="2" t="s">
        <v>1</v>
      </c>
      <c r="E444" s="2" t="s">
        <v>134</v>
      </c>
      <c r="F444" s="2" t="s">
        <v>1009</v>
      </c>
      <c r="G444" s="2" t="s">
        <v>1010</v>
      </c>
      <c r="H444" s="2" t="s">
        <v>634</v>
      </c>
      <c r="I444" s="2" t="s">
        <v>42</v>
      </c>
      <c r="J444" s="2">
        <v>1</v>
      </c>
      <c r="K444" s="2" t="s">
        <v>82</v>
      </c>
      <c r="L444" s="2" t="s">
        <v>41</v>
      </c>
      <c r="M444" s="2" t="s">
        <v>135</v>
      </c>
      <c r="N444" s="2" t="s">
        <v>1011</v>
      </c>
      <c r="O444" s="2" t="s">
        <v>635</v>
      </c>
      <c r="P444" s="2" t="s">
        <v>5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1524</v>
      </c>
      <c r="T444" s="2" t="str">
        <f t="shared" si="99"/>
        <v>05F4</v>
      </c>
      <c r="U444" s="2">
        <f t="shared" si="105"/>
        <v>381</v>
      </c>
      <c r="V444" s="2" t="str">
        <f t="shared" si="100"/>
        <v>17D</v>
      </c>
      <c r="W444" s="2" t="str">
        <f t="shared" si="101"/>
        <v/>
      </c>
      <c r="X444" s="2" t="str">
        <f t="shared" si="102"/>
        <v/>
      </c>
      <c r="Y444" s="2" t="str">
        <f t="shared" si="103"/>
        <v/>
      </c>
      <c r="Z444" s="2" t="str">
        <f t="shared" si="104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1008</v>
      </c>
      <c r="D445" s="2" t="s">
        <v>1</v>
      </c>
      <c r="E445" s="2" t="s">
        <v>134</v>
      </c>
      <c r="F445" s="2" t="s">
        <v>1009</v>
      </c>
      <c r="G445" s="2" t="s">
        <v>1010</v>
      </c>
      <c r="H445" s="2" t="s">
        <v>636</v>
      </c>
      <c r="I445" s="2" t="s">
        <v>42</v>
      </c>
      <c r="J445" s="2">
        <v>1</v>
      </c>
      <c r="K445" s="2" t="s">
        <v>82</v>
      </c>
      <c r="L445" s="2" t="s">
        <v>41</v>
      </c>
      <c r="M445" s="2" t="s">
        <v>135</v>
      </c>
      <c r="N445" s="2" t="s">
        <v>1011</v>
      </c>
      <c r="O445" s="2" t="s">
        <v>637</v>
      </c>
      <c r="P445" s="2" t="s">
        <v>5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1528</v>
      </c>
      <c r="T445" s="2" t="str">
        <f t="shared" si="99"/>
        <v>05F8</v>
      </c>
      <c r="U445" s="2">
        <f t="shared" si="105"/>
        <v>382</v>
      </c>
      <c r="V445" s="2" t="str">
        <f t="shared" si="100"/>
        <v>17E</v>
      </c>
      <c r="W445" s="2" t="str">
        <f t="shared" si="101"/>
        <v/>
      </c>
      <c r="X445" s="2" t="str">
        <f t="shared" si="102"/>
        <v/>
      </c>
      <c r="Y445" s="2" t="str">
        <f t="shared" si="103"/>
        <v/>
      </c>
      <c r="Z445" s="2" t="str">
        <f t="shared" si="104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1008</v>
      </c>
      <c r="D446" s="2" t="s">
        <v>1</v>
      </c>
      <c r="E446" s="2" t="s">
        <v>134</v>
      </c>
      <c r="F446" s="2" t="s">
        <v>1009</v>
      </c>
      <c r="G446" s="2" t="s">
        <v>1010</v>
      </c>
      <c r="H446" s="2" t="s">
        <v>638</v>
      </c>
      <c r="I446" s="2" t="s">
        <v>42</v>
      </c>
      <c r="J446" s="2">
        <v>1</v>
      </c>
      <c r="K446" s="2" t="s">
        <v>82</v>
      </c>
      <c r="L446" s="2" t="s">
        <v>41</v>
      </c>
      <c r="M446" s="2" t="s">
        <v>135</v>
      </c>
      <c r="N446" s="2" t="s">
        <v>1011</v>
      </c>
      <c r="O446" s="2" t="s">
        <v>639</v>
      </c>
      <c r="P446" s="2" t="s">
        <v>5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1532</v>
      </c>
      <c r="T446" s="2" t="str">
        <f t="shared" si="99"/>
        <v>05FC</v>
      </c>
      <c r="U446" s="2">
        <f t="shared" si="105"/>
        <v>383</v>
      </c>
      <c r="V446" s="2" t="str">
        <f t="shared" si="100"/>
        <v>17F</v>
      </c>
      <c r="W446" s="2" t="str">
        <f t="shared" si="101"/>
        <v/>
      </c>
      <c r="X446" s="2" t="str">
        <f t="shared" si="102"/>
        <v/>
      </c>
      <c r="Y446" s="2" t="str">
        <f t="shared" si="103"/>
        <v/>
      </c>
      <c r="Z446" s="2" t="str">
        <f t="shared" si="104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1008</v>
      </c>
      <c r="D447" s="2" t="s">
        <v>1</v>
      </c>
      <c r="E447" s="2" t="s">
        <v>134</v>
      </c>
      <c r="F447" s="2" t="s">
        <v>1009</v>
      </c>
      <c r="G447" s="2" t="s">
        <v>1010</v>
      </c>
      <c r="H447" s="2" t="s">
        <v>640</v>
      </c>
      <c r="I447" s="2" t="s">
        <v>42</v>
      </c>
      <c r="J447" s="2">
        <v>1</v>
      </c>
      <c r="K447" s="2" t="s">
        <v>136</v>
      </c>
      <c r="L447" s="2" t="s">
        <v>41</v>
      </c>
      <c r="M447" s="2" t="s">
        <v>135</v>
      </c>
      <c r="N447" s="2" t="s">
        <v>1011</v>
      </c>
      <c r="O447" s="2" t="s">
        <v>641</v>
      </c>
      <c r="P447" s="2" t="s">
        <v>5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1536</v>
      </c>
      <c r="T447" s="2" t="str">
        <f t="shared" si="99"/>
        <v>0600</v>
      </c>
      <c r="U447" s="2">
        <f t="shared" si="105"/>
        <v>384</v>
      </c>
      <c r="V447" s="2" t="str">
        <f t="shared" si="100"/>
        <v>180</v>
      </c>
      <c r="W447" s="2" t="str">
        <f t="shared" si="101"/>
        <v/>
      </c>
      <c r="X447" s="2" t="str">
        <f t="shared" si="102"/>
        <v/>
      </c>
      <c r="Y447" s="2" t="str">
        <f t="shared" si="103"/>
        <v/>
      </c>
      <c r="Z447" s="2" t="str">
        <f t="shared" si="104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1008</v>
      </c>
      <c r="D448" s="2" t="s">
        <v>1</v>
      </c>
      <c r="E448" s="2" t="s">
        <v>134</v>
      </c>
      <c r="F448" s="2" t="s">
        <v>1009</v>
      </c>
      <c r="G448" s="2" t="s">
        <v>1010</v>
      </c>
      <c r="H448" s="2" t="s">
        <v>642</v>
      </c>
      <c r="I448" s="2" t="s">
        <v>42</v>
      </c>
      <c r="J448" s="2">
        <v>1</v>
      </c>
      <c r="K448" s="2" t="s">
        <v>136</v>
      </c>
      <c r="L448" s="2" t="s">
        <v>41</v>
      </c>
      <c r="M448" s="2" t="s">
        <v>135</v>
      </c>
      <c r="N448" s="2" t="s">
        <v>1011</v>
      </c>
      <c r="O448" s="2" t="s">
        <v>643</v>
      </c>
      <c r="P448" s="2" t="s">
        <v>5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1540</v>
      </c>
      <c r="T448" s="2" t="str">
        <f t="shared" si="99"/>
        <v>0604</v>
      </c>
      <c r="U448" s="2">
        <f t="shared" si="105"/>
        <v>385</v>
      </c>
      <c r="V448" s="2" t="str">
        <f t="shared" si="100"/>
        <v>181</v>
      </c>
      <c r="W448" s="2" t="str">
        <f t="shared" si="101"/>
        <v/>
      </c>
      <c r="X448" s="2" t="str">
        <f t="shared" si="102"/>
        <v/>
      </c>
      <c r="Y448" s="2" t="str">
        <f t="shared" si="103"/>
        <v/>
      </c>
      <c r="Z448" s="2" t="str">
        <f t="shared" si="104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1008</v>
      </c>
      <c r="D449" s="2" t="s">
        <v>1</v>
      </c>
      <c r="E449" s="2" t="s">
        <v>134</v>
      </c>
      <c r="F449" s="2" t="s">
        <v>1009</v>
      </c>
      <c r="G449" s="2" t="s">
        <v>1010</v>
      </c>
      <c r="H449" s="2" t="s">
        <v>644</v>
      </c>
      <c r="I449" s="2" t="s">
        <v>42</v>
      </c>
      <c r="J449" s="2">
        <v>1</v>
      </c>
      <c r="K449" s="2" t="s">
        <v>136</v>
      </c>
      <c r="L449" s="2" t="s">
        <v>41</v>
      </c>
      <c r="M449" s="2" t="s">
        <v>135</v>
      </c>
      <c r="N449" s="2" t="s">
        <v>1011</v>
      </c>
      <c r="O449" s="2" t="s">
        <v>645</v>
      </c>
      <c r="P449" s="2" t="s">
        <v>5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1544</v>
      </c>
      <c r="T449" s="2" t="str">
        <f t="shared" si="99"/>
        <v>0608</v>
      </c>
      <c r="U449" s="2">
        <f t="shared" si="105"/>
        <v>386</v>
      </c>
      <c r="V449" s="2" t="str">
        <f t="shared" si="100"/>
        <v>182</v>
      </c>
      <c r="W449" s="2" t="str">
        <f t="shared" si="101"/>
        <v/>
      </c>
      <c r="X449" s="2" t="str">
        <f t="shared" si="102"/>
        <v/>
      </c>
      <c r="Y449" s="2" t="str">
        <f t="shared" si="103"/>
        <v/>
      </c>
      <c r="Z449" s="2" t="str">
        <f t="shared" si="104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1008</v>
      </c>
      <c r="D450" s="2" t="s">
        <v>1</v>
      </c>
      <c r="E450" s="2" t="s">
        <v>134</v>
      </c>
      <c r="F450" s="2" t="s">
        <v>1009</v>
      </c>
      <c r="G450" s="2" t="s">
        <v>1010</v>
      </c>
      <c r="H450" s="2" t="s">
        <v>646</v>
      </c>
      <c r="I450" s="2" t="s">
        <v>42</v>
      </c>
      <c r="J450" s="2">
        <v>1</v>
      </c>
      <c r="K450" s="2" t="s">
        <v>136</v>
      </c>
      <c r="L450" s="2" t="s">
        <v>41</v>
      </c>
      <c r="M450" s="2" t="s">
        <v>135</v>
      </c>
      <c r="N450" s="2" t="s">
        <v>1011</v>
      </c>
      <c r="O450" s="2" t="s">
        <v>647</v>
      </c>
      <c r="P450" s="2" t="s">
        <v>5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1548</v>
      </c>
      <c r="T450" s="2" t="str">
        <f t="shared" si="99"/>
        <v>060C</v>
      </c>
      <c r="U450" s="2">
        <f t="shared" si="105"/>
        <v>387</v>
      </c>
      <c r="V450" s="2" t="str">
        <f t="shared" si="100"/>
        <v>183</v>
      </c>
      <c r="W450" s="2" t="str">
        <f t="shared" si="101"/>
        <v/>
      </c>
      <c r="X450" s="2" t="str">
        <f t="shared" si="102"/>
        <v/>
      </c>
      <c r="Y450" s="2" t="str">
        <f t="shared" si="103"/>
        <v/>
      </c>
      <c r="Z450" s="2" t="str">
        <f t="shared" si="104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1008</v>
      </c>
      <c r="D451" s="2" t="s">
        <v>1</v>
      </c>
      <c r="E451" s="2" t="s">
        <v>134</v>
      </c>
      <c r="F451" s="2" t="s">
        <v>1009</v>
      </c>
      <c r="G451" s="2" t="s">
        <v>1010</v>
      </c>
      <c r="H451" s="2" t="s">
        <v>648</v>
      </c>
      <c r="I451" s="2" t="s">
        <v>42</v>
      </c>
      <c r="J451" s="2">
        <v>1</v>
      </c>
      <c r="K451" s="2" t="s">
        <v>82</v>
      </c>
      <c r="L451" s="2" t="s">
        <v>41</v>
      </c>
      <c r="M451" s="2" t="s">
        <v>135</v>
      </c>
      <c r="N451" s="2" t="s">
        <v>1011</v>
      </c>
      <c r="O451" s="2" t="s">
        <v>649</v>
      </c>
      <c r="P451" s="2" t="s">
        <v>5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1552</v>
      </c>
      <c r="T451" s="2" t="str">
        <f t="shared" si="99"/>
        <v>0610</v>
      </c>
      <c r="U451" s="2">
        <f t="shared" si="105"/>
        <v>388</v>
      </c>
      <c r="V451" s="2" t="str">
        <f t="shared" si="100"/>
        <v>184</v>
      </c>
      <c r="W451" s="2" t="str">
        <f t="shared" si="101"/>
        <v/>
      </c>
      <c r="X451" s="2" t="str">
        <f t="shared" si="102"/>
        <v/>
      </c>
      <c r="Y451" s="2" t="str">
        <f t="shared" si="103"/>
        <v/>
      </c>
      <c r="Z451" s="2" t="str">
        <f t="shared" si="104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1008</v>
      </c>
      <c r="D452" s="2" t="s">
        <v>1</v>
      </c>
      <c r="E452" s="2" t="s">
        <v>134</v>
      </c>
      <c r="F452" s="2" t="s">
        <v>1009</v>
      </c>
      <c r="G452" s="2" t="s">
        <v>1010</v>
      </c>
      <c r="H452" s="2" t="s">
        <v>650</v>
      </c>
      <c r="I452" s="2" t="s">
        <v>42</v>
      </c>
      <c r="J452" s="2">
        <v>1</v>
      </c>
      <c r="K452" s="2" t="s">
        <v>82</v>
      </c>
      <c r="L452" s="2" t="s">
        <v>41</v>
      </c>
      <c r="M452" s="2" t="s">
        <v>135</v>
      </c>
      <c r="N452" s="2" t="s">
        <v>1011</v>
      </c>
      <c r="O452" s="2" t="s">
        <v>651</v>
      </c>
      <c r="P452" s="2" t="s">
        <v>5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1556</v>
      </c>
      <c r="T452" s="2" t="str">
        <f t="shared" si="99"/>
        <v>0614</v>
      </c>
      <c r="U452" s="2">
        <f t="shared" si="105"/>
        <v>389</v>
      </c>
      <c r="V452" s="2" t="str">
        <f t="shared" si="100"/>
        <v>185</v>
      </c>
      <c r="W452" s="2" t="str">
        <f t="shared" si="101"/>
        <v/>
      </c>
      <c r="X452" s="2" t="str">
        <f t="shared" si="102"/>
        <v/>
      </c>
      <c r="Y452" s="2" t="str">
        <f t="shared" si="103"/>
        <v/>
      </c>
      <c r="Z452" s="2" t="str">
        <f t="shared" si="104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1008</v>
      </c>
      <c r="D453" s="2" t="s">
        <v>1</v>
      </c>
      <c r="E453" s="2" t="s">
        <v>134</v>
      </c>
      <c r="F453" s="2" t="s">
        <v>1009</v>
      </c>
      <c r="G453" s="2" t="s">
        <v>1010</v>
      </c>
      <c r="H453" s="2" t="s">
        <v>652</v>
      </c>
      <c r="I453" s="2" t="s">
        <v>42</v>
      </c>
      <c r="J453" s="2">
        <v>1</v>
      </c>
      <c r="K453" s="2" t="s">
        <v>82</v>
      </c>
      <c r="L453" s="2" t="s">
        <v>41</v>
      </c>
      <c r="M453" s="2" t="s">
        <v>135</v>
      </c>
      <c r="N453" s="2" t="s">
        <v>1011</v>
      </c>
      <c r="O453" s="2" t="s">
        <v>653</v>
      </c>
      <c r="P453" s="2" t="s">
        <v>5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1560</v>
      </c>
      <c r="T453" s="2" t="str">
        <f t="shared" ref="T453:T516" si="114">DEC2HEX($S453,4)</f>
        <v>0618</v>
      </c>
      <c r="U453" s="2">
        <f t="shared" si="105"/>
        <v>390</v>
      </c>
      <c r="V453" s="2" t="str">
        <f t="shared" ref="V453:V516" si="115">DEC2HEX($U453,3)</f>
        <v>186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2"/>
        <v/>
      </c>
      <c r="Y453" s="2" t="str">
        <f t="shared" si="103"/>
        <v/>
      </c>
      <c r="Z453" s="2" t="str">
        <f t="shared" si="104"/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1008</v>
      </c>
      <c r="D454" s="2" t="s">
        <v>1</v>
      </c>
      <c r="E454" s="2" t="s">
        <v>134</v>
      </c>
      <c r="F454" s="2" t="s">
        <v>1009</v>
      </c>
      <c r="G454" s="2" t="s">
        <v>1010</v>
      </c>
      <c r="H454" s="2" t="s">
        <v>654</v>
      </c>
      <c r="I454" s="2" t="s">
        <v>42</v>
      </c>
      <c r="J454" s="2">
        <v>1</v>
      </c>
      <c r="K454" s="2" t="s">
        <v>82</v>
      </c>
      <c r="L454" s="2" t="s">
        <v>41</v>
      </c>
      <c r="M454" s="2" t="s">
        <v>135</v>
      </c>
      <c r="N454" s="2" t="s">
        <v>1011</v>
      </c>
      <c r="O454" s="2" t="s">
        <v>655</v>
      </c>
      <c r="P454" s="2" t="s">
        <v>5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1564</v>
      </c>
      <c r="T454" s="2" t="str">
        <f t="shared" si="114"/>
        <v>061C</v>
      </c>
      <c r="U454" s="2">
        <f t="shared" si="105"/>
        <v>391</v>
      </c>
      <c r="V454" s="2" t="str">
        <f t="shared" si="115"/>
        <v>187</v>
      </c>
      <c r="W454" s="2" t="str">
        <f t="shared" si="116"/>
        <v/>
      </c>
      <c r="X454" s="2" t="str">
        <f t="shared" si="102"/>
        <v/>
      </c>
      <c r="Y454" s="2" t="str">
        <f t="shared" si="103"/>
        <v/>
      </c>
      <c r="Z454" s="2" t="str">
        <f t="shared" si="104"/>
        <v>X</v>
      </c>
      <c r="AA454" s="2" t="str">
        <f t="shared" si="106"/>
        <v/>
      </c>
      <c r="AB454" s="2" t="str">
        <f t="shared" si="107"/>
        <v/>
      </c>
      <c r="AC454" s="2" t="str">
        <f t="shared" si="108"/>
        <v/>
      </c>
      <c r="AD454" s="2" t="str">
        <f t="shared" si="109"/>
        <v>(0)</v>
      </c>
      <c r="AE454" s="2" t="str">
        <f t="shared" si="110"/>
        <v/>
      </c>
      <c r="AF454" s="2" t="str">
        <f t="shared" si="111"/>
        <v/>
      </c>
      <c r="AG454" s="2" t="str">
        <f t="shared" si="112"/>
        <v/>
      </c>
      <c r="AH454" s="2" t="str">
        <f t="shared" si="113"/>
        <v/>
      </c>
    </row>
    <row r="455" spans="2:34" x14ac:dyDescent="0.25">
      <c r="B455" s="2" t="s">
        <v>1008</v>
      </c>
      <c r="D455" s="2" t="s">
        <v>1</v>
      </c>
      <c r="E455" s="2" t="s">
        <v>134</v>
      </c>
      <c r="F455" s="2" t="s">
        <v>1009</v>
      </c>
      <c r="G455" s="2" t="s">
        <v>1010</v>
      </c>
      <c r="H455" s="2" t="s">
        <v>656</v>
      </c>
      <c r="I455" s="2" t="s">
        <v>42</v>
      </c>
      <c r="J455" s="2">
        <v>1</v>
      </c>
      <c r="K455" s="2" t="s">
        <v>82</v>
      </c>
      <c r="L455" s="2" t="s">
        <v>41</v>
      </c>
      <c r="M455" s="2" t="s">
        <v>135</v>
      </c>
      <c r="N455" s="2" t="s">
        <v>1011</v>
      </c>
      <c r="O455" s="2" t="s">
        <v>657</v>
      </c>
      <c r="P455" s="2" t="s">
        <v>5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1568</v>
      </c>
      <c r="T455" s="2" t="str">
        <f t="shared" si="114"/>
        <v>0620</v>
      </c>
      <c r="U455" s="2">
        <f t="shared" si="105"/>
        <v>392</v>
      </c>
      <c r="V455" s="2" t="str">
        <f t="shared" si="115"/>
        <v>188</v>
      </c>
      <c r="W455" s="2" t="str">
        <f t="shared" si="116"/>
        <v/>
      </c>
      <c r="X455" s="2" t="str">
        <f t="shared" si="102"/>
        <v/>
      </c>
      <c r="Y455" s="2" t="str">
        <f t="shared" si="103"/>
        <v/>
      </c>
      <c r="Z455" s="2" t="str">
        <f t="shared" si="104"/>
        <v>X</v>
      </c>
      <c r="AA455" s="2" t="str">
        <f t="shared" si="106"/>
        <v/>
      </c>
      <c r="AB455" s="2" t="str">
        <f t="shared" si="107"/>
        <v/>
      </c>
      <c r="AC455" s="2" t="str">
        <f t="shared" si="108"/>
        <v/>
      </c>
      <c r="AD455" s="2" t="str">
        <f t="shared" si="109"/>
        <v>(0)</v>
      </c>
      <c r="AE455" s="2" t="str">
        <f t="shared" si="110"/>
        <v/>
      </c>
      <c r="AF455" s="2" t="str">
        <f t="shared" si="111"/>
        <v/>
      </c>
      <c r="AG455" s="2" t="str">
        <f t="shared" si="112"/>
        <v/>
      </c>
      <c r="AH455" s="2" t="str">
        <f t="shared" si="113"/>
        <v/>
      </c>
    </row>
    <row r="456" spans="2:34" x14ac:dyDescent="0.25">
      <c r="B456" s="2" t="s">
        <v>1008</v>
      </c>
      <c r="D456" s="2" t="s">
        <v>1</v>
      </c>
      <c r="E456" s="2" t="s">
        <v>134</v>
      </c>
      <c r="F456" s="2" t="s">
        <v>1009</v>
      </c>
      <c r="G456" s="2" t="s">
        <v>1010</v>
      </c>
      <c r="H456" s="2" t="s">
        <v>658</v>
      </c>
      <c r="I456" s="2" t="s">
        <v>42</v>
      </c>
      <c r="J456" s="2">
        <v>1</v>
      </c>
      <c r="K456" s="2" t="s">
        <v>82</v>
      </c>
      <c r="L456" s="2" t="s">
        <v>41</v>
      </c>
      <c r="M456" s="2" t="s">
        <v>135</v>
      </c>
      <c r="N456" s="2" t="s">
        <v>1011</v>
      </c>
      <c r="O456" s="2" t="s">
        <v>659</v>
      </c>
      <c r="P456" s="2" t="s">
        <v>5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1572</v>
      </c>
      <c r="T456" s="2" t="str">
        <f t="shared" si="114"/>
        <v>0624</v>
      </c>
      <c r="U456" s="2">
        <f t="shared" si="105"/>
        <v>393</v>
      </c>
      <c r="V456" s="2" t="str">
        <f t="shared" si="115"/>
        <v>189</v>
      </c>
      <c r="W456" s="2" t="str">
        <f t="shared" si="116"/>
        <v/>
      </c>
      <c r="X456" s="2" t="str">
        <f t="shared" si="102"/>
        <v/>
      </c>
      <c r="Y456" s="2" t="str">
        <f t="shared" si="103"/>
        <v/>
      </c>
      <c r="Z456" s="2" t="str">
        <f t="shared" si="104"/>
        <v>X</v>
      </c>
      <c r="AA456" s="2" t="str">
        <f t="shared" si="106"/>
        <v/>
      </c>
      <c r="AB456" s="2" t="str">
        <f t="shared" si="107"/>
        <v/>
      </c>
      <c r="AC456" s="2" t="str">
        <f t="shared" si="108"/>
        <v/>
      </c>
      <c r="AD456" s="2" t="str">
        <f t="shared" si="109"/>
        <v>(0)</v>
      </c>
      <c r="AE456" s="2" t="str">
        <f t="shared" si="110"/>
        <v/>
      </c>
      <c r="AF456" s="2" t="str">
        <f t="shared" si="111"/>
        <v/>
      </c>
      <c r="AG456" s="2" t="str">
        <f t="shared" si="112"/>
        <v/>
      </c>
      <c r="AH456" s="2" t="str">
        <f t="shared" si="113"/>
        <v/>
      </c>
    </row>
    <row r="457" spans="2:34" x14ac:dyDescent="0.25">
      <c r="B457" s="2" t="s">
        <v>1008</v>
      </c>
      <c r="D457" s="2" t="s">
        <v>1</v>
      </c>
      <c r="E457" s="2" t="s">
        <v>134</v>
      </c>
      <c r="F457" s="2" t="s">
        <v>1009</v>
      </c>
      <c r="G457" s="2" t="s">
        <v>1010</v>
      </c>
      <c r="H457" s="2" t="s">
        <v>660</v>
      </c>
      <c r="I457" s="2" t="s">
        <v>42</v>
      </c>
      <c r="J457" s="2">
        <v>1</v>
      </c>
      <c r="K457" s="2" t="s">
        <v>82</v>
      </c>
      <c r="L457" s="2" t="s">
        <v>41</v>
      </c>
      <c r="M457" s="2" t="s">
        <v>135</v>
      </c>
      <c r="N457" s="2" t="s">
        <v>1011</v>
      </c>
      <c r="O457" s="2" t="s">
        <v>661</v>
      </c>
      <c r="P457" s="2" t="s">
        <v>5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1576</v>
      </c>
      <c r="T457" s="2" t="str">
        <f t="shared" si="114"/>
        <v>0628</v>
      </c>
      <c r="U457" s="2">
        <f t="shared" si="105"/>
        <v>394</v>
      </c>
      <c r="V457" s="2" t="str">
        <f t="shared" si="115"/>
        <v>18A</v>
      </c>
      <c r="W457" s="2" t="str">
        <f t="shared" si="116"/>
        <v/>
      </c>
      <c r="X457" s="2" t="str">
        <f t="shared" si="102"/>
        <v/>
      </c>
      <c r="Y457" s="2" t="str">
        <f t="shared" si="103"/>
        <v/>
      </c>
      <c r="Z457" s="2" t="str">
        <f t="shared" si="104"/>
        <v>X</v>
      </c>
      <c r="AA457" s="2" t="str">
        <f t="shared" si="106"/>
        <v/>
      </c>
      <c r="AB457" s="2" t="str">
        <f t="shared" si="107"/>
        <v/>
      </c>
      <c r="AC457" s="2" t="str">
        <f t="shared" si="108"/>
        <v/>
      </c>
      <c r="AD457" s="2" t="str">
        <f t="shared" si="109"/>
        <v>(0)</v>
      </c>
      <c r="AE457" s="2" t="str">
        <f t="shared" si="110"/>
        <v/>
      </c>
      <c r="AF457" s="2" t="str">
        <f t="shared" si="111"/>
        <v/>
      </c>
      <c r="AG457" s="2" t="str">
        <f t="shared" si="112"/>
        <v/>
      </c>
      <c r="AH457" s="2" t="str">
        <f t="shared" si="113"/>
        <v/>
      </c>
    </row>
    <row r="458" spans="2:34" x14ac:dyDescent="0.25">
      <c r="B458" s="2" t="s">
        <v>1008</v>
      </c>
      <c r="D458" s="2" t="s">
        <v>1</v>
      </c>
      <c r="E458" s="2" t="s">
        <v>134</v>
      </c>
      <c r="F458" s="2" t="s">
        <v>1009</v>
      </c>
      <c r="G458" s="2" t="s">
        <v>1010</v>
      </c>
      <c r="H458" s="2" t="s">
        <v>662</v>
      </c>
      <c r="I458" s="2" t="s">
        <v>42</v>
      </c>
      <c r="J458" s="2">
        <v>1</v>
      </c>
      <c r="K458" s="2" t="s">
        <v>82</v>
      </c>
      <c r="L458" s="2" t="s">
        <v>41</v>
      </c>
      <c r="M458" s="2" t="s">
        <v>135</v>
      </c>
      <c r="N458" s="2" t="s">
        <v>1011</v>
      </c>
      <c r="O458" s="2" t="s">
        <v>663</v>
      </c>
      <c r="P458" s="2" t="s">
        <v>5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1580</v>
      </c>
      <c r="T458" s="2" t="str">
        <f t="shared" si="114"/>
        <v>062C</v>
      </c>
      <c r="U458" s="2">
        <f t="shared" si="105"/>
        <v>395</v>
      </c>
      <c r="V458" s="2" t="str">
        <f t="shared" si="115"/>
        <v>18B</v>
      </c>
      <c r="W458" s="2" t="str">
        <f t="shared" si="116"/>
        <v/>
      </c>
      <c r="X458" s="2" t="str">
        <f t="shared" si="102"/>
        <v/>
      </c>
      <c r="Y458" s="2" t="str">
        <f t="shared" si="103"/>
        <v/>
      </c>
      <c r="Z458" s="2" t="str">
        <f t="shared" si="104"/>
        <v>X</v>
      </c>
      <c r="AA458" s="2" t="str">
        <f t="shared" si="106"/>
        <v/>
      </c>
      <c r="AB458" s="2" t="str">
        <f t="shared" si="107"/>
        <v/>
      </c>
      <c r="AC458" s="2" t="str">
        <f t="shared" si="108"/>
        <v/>
      </c>
      <c r="AD458" s="2" t="str">
        <f t="shared" si="109"/>
        <v>(0)</v>
      </c>
      <c r="AE458" s="2" t="str">
        <f t="shared" si="110"/>
        <v/>
      </c>
      <c r="AF458" s="2" t="str">
        <f t="shared" si="111"/>
        <v/>
      </c>
      <c r="AG458" s="2" t="str">
        <f t="shared" si="112"/>
        <v/>
      </c>
      <c r="AH458" s="2" t="str">
        <f t="shared" si="113"/>
        <v/>
      </c>
    </row>
    <row r="459" spans="2:34" x14ac:dyDescent="0.25">
      <c r="B459" s="2" t="s">
        <v>1008</v>
      </c>
      <c r="D459" s="2" t="s">
        <v>1</v>
      </c>
      <c r="E459" s="2" t="s">
        <v>134</v>
      </c>
      <c r="F459" s="2" t="s">
        <v>1009</v>
      </c>
      <c r="G459" s="2" t="s">
        <v>1010</v>
      </c>
      <c r="H459" s="2" t="s">
        <v>664</v>
      </c>
      <c r="I459" s="2" t="s">
        <v>42</v>
      </c>
      <c r="J459" s="2">
        <v>1</v>
      </c>
      <c r="K459" s="2" t="s">
        <v>82</v>
      </c>
      <c r="L459" s="2" t="s">
        <v>41</v>
      </c>
      <c r="M459" s="2" t="s">
        <v>135</v>
      </c>
      <c r="N459" s="2" t="s">
        <v>1011</v>
      </c>
      <c r="O459" s="2" t="s">
        <v>665</v>
      </c>
      <c r="P459" s="2" t="s">
        <v>5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1584</v>
      </c>
      <c r="T459" s="2" t="str">
        <f t="shared" si="114"/>
        <v>0630</v>
      </c>
      <c r="U459" s="2">
        <f t="shared" si="105"/>
        <v>396</v>
      </c>
      <c r="V459" s="2" t="str">
        <f t="shared" si="115"/>
        <v>18C</v>
      </c>
      <c r="W459" s="2" t="str">
        <f t="shared" si="116"/>
        <v/>
      </c>
      <c r="X459" s="2" t="str">
        <f t="shared" si="102"/>
        <v/>
      </c>
      <c r="Y459" s="2" t="str">
        <f t="shared" si="103"/>
        <v/>
      </c>
      <c r="Z459" s="2" t="str">
        <f t="shared" si="104"/>
        <v>X</v>
      </c>
      <c r="AA459" s="2" t="str">
        <f t="shared" si="106"/>
        <v/>
      </c>
      <c r="AB459" s="2" t="str">
        <f t="shared" si="107"/>
        <v/>
      </c>
      <c r="AC459" s="2" t="str">
        <f t="shared" si="108"/>
        <v/>
      </c>
      <c r="AD459" s="2" t="str">
        <f t="shared" si="109"/>
        <v>(0)</v>
      </c>
      <c r="AE459" s="2" t="str">
        <f t="shared" si="110"/>
        <v/>
      </c>
      <c r="AF459" s="2" t="str">
        <f t="shared" si="111"/>
        <v/>
      </c>
      <c r="AG459" s="2" t="str">
        <f t="shared" si="112"/>
        <v/>
      </c>
      <c r="AH459" s="2" t="str">
        <f t="shared" si="113"/>
        <v/>
      </c>
    </row>
    <row r="460" spans="2:34" x14ac:dyDescent="0.25">
      <c r="B460" s="2" t="s">
        <v>1008</v>
      </c>
      <c r="D460" s="2" t="s">
        <v>1</v>
      </c>
      <c r="E460" s="2" t="s">
        <v>134</v>
      </c>
      <c r="F460" s="2" t="s">
        <v>1009</v>
      </c>
      <c r="G460" s="2" t="s">
        <v>1010</v>
      </c>
      <c r="H460" s="2" t="s">
        <v>666</v>
      </c>
      <c r="I460" s="2" t="s">
        <v>42</v>
      </c>
      <c r="J460" s="2">
        <v>1</v>
      </c>
      <c r="K460" s="2" t="s">
        <v>82</v>
      </c>
      <c r="L460" s="2" t="s">
        <v>41</v>
      </c>
      <c r="M460" s="2" t="s">
        <v>135</v>
      </c>
      <c r="N460" s="2" t="s">
        <v>1011</v>
      </c>
      <c r="O460" s="2" t="s">
        <v>667</v>
      </c>
      <c r="P460" s="2" t="s">
        <v>5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1588</v>
      </c>
      <c r="T460" s="2" t="str">
        <f t="shared" si="114"/>
        <v>0634</v>
      </c>
      <c r="U460" s="2">
        <f t="shared" si="105"/>
        <v>397</v>
      </c>
      <c r="V460" s="2" t="str">
        <f t="shared" si="115"/>
        <v>18D</v>
      </c>
      <c r="W460" s="2" t="str">
        <f t="shared" si="116"/>
        <v/>
      </c>
      <c r="X460" s="2" t="str">
        <f t="shared" si="102"/>
        <v/>
      </c>
      <c r="Y460" s="2" t="str">
        <f t="shared" si="103"/>
        <v/>
      </c>
      <c r="Z460" s="2" t="str">
        <f t="shared" si="104"/>
        <v>X</v>
      </c>
      <c r="AA460" s="2" t="str">
        <f t="shared" si="106"/>
        <v/>
      </c>
      <c r="AB460" s="2" t="str">
        <f t="shared" si="107"/>
        <v/>
      </c>
      <c r="AC460" s="2" t="str">
        <f t="shared" si="108"/>
        <v/>
      </c>
      <c r="AD460" s="2" t="str">
        <f t="shared" si="109"/>
        <v>(0)</v>
      </c>
      <c r="AE460" s="2" t="str">
        <f t="shared" si="110"/>
        <v/>
      </c>
      <c r="AF460" s="2" t="str">
        <f t="shared" si="111"/>
        <v/>
      </c>
      <c r="AG460" s="2" t="str">
        <f t="shared" si="112"/>
        <v/>
      </c>
      <c r="AH460" s="2" t="str">
        <f t="shared" si="113"/>
        <v/>
      </c>
    </row>
    <row r="461" spans="2:34" x14ac:dyDescent="0.25">
      <c r="B461" s="2" t="s">
        <v>1008</v>
      </c>
      <c r="D461" s="2" t="s">
        <v>1</v>
      </c>
      <c r="E461" s="2" t="s">
        <v>134</v>
      </c>
      <c r="F461" s="2" t="s">
        <v>1009</v>
      </c>
      <c r="G461" s="2" t="s">
        <v>1010</v>
      </c>
      <c r="H461" s="2" t="s">
        <v>668</v>
      </c>
      <c r="I461" s="2" t="s">
        <v>42</v>
      </c>
      <c r="J461" s="2">
        <v>1</v>
      </c>
      <c r="K461" s="2" t="s">
        <v>82</v>
      </c>
      <c r="L461" s="2" t="s">
        <v>41</v>
      </c>
      <c r="M461" s="2" t="s">
        <v>135</v>
      </c>
      <c r="N461" s="2" t="s">
        <v>1011</v>
      </c>
      <c r="O461" s="2" t="s">
        <v>669</v>
      </c>
      <c r="P461" s="2" t="s">
        <v>5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1592</v>
      </c>
      <c r="T461" s="2" t="str">
        <f t="shared" si="114"/>
        <v>0638</v>
      </c>
      <c r="U461" s="2">
        <f t="shared" si="105"/>
        <v>398</v>
      </c>
      <c r="V461" s="2" t="str">
        <f t="shared" si="115"/>
        <v>18E</v>
      </c>
      <c r="W461" s="2" t="str">
        <f t="shared" si="116"/>
        <v/>
      </c>
      <c r="X461" s="2" t="str">
        <f t="shared" si="102"/>
        <v/>
      </c>
      <c r="Y461" s="2" t="str">
        <f t="shared" si="103"/>
        <v/>
      </c>
      <c r="Z461" s="2" t="str">
        <f t="shared" si="104"/>
        <v>X</v>
      </c>
      <c r="AA461" s="2" t="str">
        <f t="shared" si="106"/>
        <v/>
      </c>
      <c r="AB461" s="2" t="str">
        <f t="shared" si="107"/>
        <v/>
      </c>
      <c r="AC461" s="2" t="str">
        <f t="shared" si="108"/>
        <v/>
      </c>
      <c r="AD461" s="2" t="str">
        <f t="shared" si="109"/>
        <v>(0)</v>
      </c>
      <c r="AE461" s="2" t="str">
        <f t="shared" si="110"/>
        <v/>
      </c>
      <c r="AF461" s="2" t="str">
        <f t="shared" si="111"/>
        <v/>
      </c>
      <c r="AG461" s="2" t="str">
        <f t="shared" si="112"/>
        <v/>
      </c>
      <c r="AH461" s="2" t="str">
        <f t="shared" si="113"/>
        <v/>
      </c>
    </row>
    <row r="462" spans="2:34" x14ac:dyDescent="0.25">
      <c r="B462" s="2" t="s">
        <v>1008</v>
      </c>
      <c r="D462" s="2" t="s">
        <v>1</v>
      </c>
      <c r="E462" s="2" t="s">
        <v>134</v>
      </c>
      <c r="F462" s="2" t="s">
        <v>1009</v>
      </c>
      <c r="G462" s="2" t="s">
        <v>1010</v>
      </c>
      <c r="H462" s="2" t="s">
        <v>670</v>
      </c>
      <c r="I462" s="2" t="s">
        <v>42</v>
      </c>
      <c r="J462" s="2">
        <v>1</v>
      </c>
      <c r="K462" s="2" t="s">
        <v>82</v>
      </c>
      <c r="L462" s="2" t="s">
        <v>41</v>
      </c>
      <c r="M462" s="2" t="s">
        <v>135</v>
      </c>
      <c r="N462" s="2" t="s">
        <v>1011</v>
      </c>
      <c r="O462" s="2" t="s">
        <v>671</v>
      </c>
      <c r="P462" s="2" t="s">
        <v>5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1596</v>
      </c>
      <c r="T462" s="2" t="str">
        <f t="shared" si="114"/>
        <v>063C</v>
      </c>
      <c r="U462" s="2">
        <f t="shared" si="105"/>
        <v>399</v>
      </c>
      <c r="V462" s="2" t="str">
        <f t="shared" si="115"/>
        <v>18F</v>
      </c>
      <c r="W462" s="2" t="str">
        <f t="shared" si="116"/>
        <v/>
      </c>
      <c r="X462" s="2" t="str">
        <f t="shared" si="102"/>
        <v/>
      </c>
      <c r="Y462" s="2" t="str">
        <f t="shared" si="103"/>
        <v/>
      </c>
      <c r="Z462" s="2" t="str">
        <f t="shared" si="104"/>
        <v>X</v>
      </c>
      <c r="AA462" s="2" t="str">
        <f t="shared" si="106"/>
        <v/>
      </c>
      <c r="AB462" s="2" t="str">
        <f t="shared" si="107"/>
        <v/>
      </c>
      <c r="AC462" s="2" t="str">
        <f t="shared" si="108"/>
        <v/>
      </c>
      <c r="AD462" s="2" t="str">
        <f t="shared" si="109"/>
        <v>(0)</v>
      </c>
      <c r="AE462" s="2" t="str">
        <f t="shared" si="110"/>
        <v/>
      </c>
      <c r="AF462" s="2" t="str">
        <f t="shared" si="111"/>
        <v/>
      </c>
      <c r="AG462" s="2" t="str">
        <f t="shared" si="112"/>
        <v/>
      </c>
      <c r="AH462" s="2" t="str">
        <f t="shared" si="113"/>
        <v/>
      </c>
    </row>
    <row r="463" spans="2:34" x14ac:dyDescent="0.25">
      <c r="B463" s="2" t="s">
        <v>1008</v>
      </c>
      <c r="D463" s="2" t="s">
        <v>1</v>
      </c>
      <c r="E463" s="2" t="s">
        <v>134</v>
      </c>
      <c r="F463" s="2" t="s">
        <v>1009</v>
      </c>
      <c r="G463" s="2" t="s">
        <v>1010</v>
      </c>
      <c r="H463" s="2" t="s">
        <v>672</v>
      </c>
      <c r="I463" s="2" t="s">
        <v>42</v>
      </c>
      <c r="J463" s="2">
        <v>1</v>
      </c>
      <c r="K463" s="2" t="s">
        <v>82</v>
      </c>
      <c r="L463" s="2" t="s">
        <v>41</v>
      </c>
      <c r="M463" s="2" t="s">
        <v>135</v>
      </c>
      <c r="N463" s="2" t="s">
        <v>1011</v>
      </c>
      <c r="O463" s="2" t="s">
        <v>673</v>
      </c>
      <c r="P463" s="2" t="s">
        <v>5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1600</v>
      </c>
      <c r="T463" s="2" t="str">
        <f t="shared" si="114"/>
        <v>0640</v>
      </c>
      <c r="U463" s="2">
        <f t="shared" si="105"/>
        <v>400</v>
      </c>
      <c r="V463" s="2" t="str">
        <f t="shared" si="115"/>
        <v>190</v>
      </c>
      <c r="W463" s="2" t="str">
        <f t="shared" si="116"/>
        <v/>
      </c>
      <c r="X463" s="2" t="str">
        <f t="shared" si="102"/>
        <v/>
      </c>
      <c r="Y463" s="2" t="str">
        <f t="shared" si="103"/>
        <v/>
      </c>
      <c r="Z463" s="2" t="str">
        <f t="shared" si="104"/>
        <v>X</v>
      </c>
      <c r="AA463" s="2" t="str">
        <f t="shared" si="106"/>
        <v/>
      </c>
      <c r="AB463" s="2" t="str">
        <f t="shared" si="107"/>
        <v/>
      </c>
      <c r="AC463" s="2" t="str">
        <f t="shared" si="108"/>
        <v/>
      </c>
      <c r="AD463" s="2" t="str">
        <f t="shared" si="109"/>
        <v>(0)</v>
      </c>
      <c r="AE463" s="2" t="str">
        <f t="shared" si="110"/>
        <v/>
      </c>
      <c r="AF463" s="2" t="str">
        <f t="shared" si="111"/>
        <v/>
      </c>
      <c r="AG463" s="2" t="str">
        <f t="shared" si="112"/>
        <v/>
      </c>
      <c r="AH463" s="2" t="str">
        <f t="shared" si="113"/>
        <v/>
      </c>
    </row>
    <row r="464" spans="2:34" x14ac:dyDescent="0.25">
      <c r="B464" s="2" t="s">
        <v>1008</v>
      </c>
      <c r="D464" s="2" t="s">
        <v>1</v>
      </c>
      <c r="E464" s="2" t="s">
        <v>134</v>
      </c>
      <c r="F464" s="2" t="s">
        <v>1009</v>
      </c>
      <c r="G464" s="2" t="s">
        <v>1010</v>
      </c>
      <c r="H464" s="2" t="s">
        <v>674</v>
      </c>
      <c r="I464" s="2" t="s">
        <v>42</v>
      </c>
      <c r="J464" s="2">
        <v>1</v>
      </c>
      <c r="K464" s="2" t="s">
        <v>82</v>
      </c>
      <c r="L464" s="2" t="s">
        <v>41</v>
      </c>
      <c r="M464" s="2" t="s">
        <v>135</v>
      </c>
      <c r="N464" s="2" t="s">
        <v>1011</v>
      </c>
      <c r="O464" s="2" t="s">
        <v>675</v>
      </c>
      <c r="P464" s="2" t="s">
        <v>5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1604</v>
      </c>
      <c r="T464" s="2" t="str">
        <f t="shared" si="114"/>
        <v>0644</v>
      </c>
      <c r="U464" s="2">
        <f t="shared" si="105"/>
        <v>401</v>
      </c>
      <c r="V464" s="2" t="str">
        <f t="shared" si="115"/>
        <v>191</v>
      </c>
      <c r="W464" s="2" t="str">
        <f t="shared" si="116"/>
        <v/>
      </c>
      <c r="X464" s="2" t="str">
        <f t="shared" si="102"/>
        <v/>
      </c>
      <c r="Y464" s="2" t="str">
        <f t="shared" si="103"/>
        <v/>
      </c>
      <c r="Z464" s="2" t="str">
        <f t="shared" si="104"/>
        <v>X</v>
      </c>
      <c r="AA464" s="2" t="str">
        <f t="shared" si="106"/>
        <v/>
      </c>
      <c r="AB464" s="2" t="str">
        <f t="shared" si="107"/>
        <v/>
      </c>
      <c r="AC464" s="2" t="str">
        <f t="shared" si="108"/>
        <v/>
      </c>
      <c r="AD464" s="2" t="str">
        <f t="shared" si="109"/>
        <v>(0)</v>
      </c>
      <c r="AE464" s="2" t="str">
        <f t="shared" si="110"/>
        <v/>
      </c>
      <c r="AF464" s="2" t="str">
        <f t="shared" si="111"/>
        <v/>
      </c>
      <c r="AG464" s="2" t="str">
        <f t="shared" si="112"/>
        <v/>
      </c>
      <c r="AH464" s="2" t="str">
        <f t="shared" si="113"/>
        <v/>
      </c>
    </row>
    <row r="465" spans="2:34" x14ac:dyDescent="0.25">
      <c r="B465" s="2" t="s">
        <v>1008</v>
      </c>
      <c r="D465" s="2" t="s">
        <v>1</v>
      </c>
      <c r="E465" s="2" t="s">
        <v>134</v>
      </c>
      <c r="F465" s="2" t="s">
        <v>1009</v>
      </c>
      <c r="G465" s="2" t="s">
        <v>1010</v>
      </c>
      <c r="H465" s="2" t="s">
        <v>676</v>
      </c>
      <c r="I465" s="2" t="s">
        <v>42</v>
      </c>
      <c r="J465" s="2">
        <v>1</v>
      </c>
      <c r="K465" s="2" t="s">
        <v>82</v>
      </c>
      <c r="L465" s="2" t="s">
        <v>41</v>
      </c>
      <c r="M465" s="2" t="s">
        <v>135</v>
      </c>
      <c r="N465" s="2" t="s">
        <v>1011</v>
      </c>
      <c r="O465" s="2" t="s">
        <v>677</v>
      </c>
      <c r="P465" s="2" t="s">
        <v>5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1608</v>
      </c>
      <c r="T465" s="2" t="str">
        <f t="shared" si="114"/>
        <v>0648</v>
      </c>
      <c r="U465" s="2">
        <f t="shared" si="105"/>
        <v>402</v>
      </c>
      <c r="V465" s="2" t="str">
        <f t="shared" si="115"/>
        <v>192</v>
      </c>
      <c r="W465" s="2" t="str">
        <f t="shared" si="116"/>
        <v/>
      </c>
      <c r="X465" s="2" t="str">
        <f t="shared" si="102"/>
        <v/>
      </c>
      <c r="Y465" s="2" t="str">
        <f t="shared" si="103"/>
        <v/>
      </c>
      <c r="Z465" s="2" t="str">
        <f t="shared" si="104"/>
        <v>X</v>
      </c>
      <c r="AA465" s="2" t="str">
        <f t="shared" si="106"/>
        <v/>
      </c>
      <c r="AB465" s="2" t="str">
        <f t="shared" si="107"/>
        <v/>
      </c>
      <c r="AC465" s="2" t="str">
        <f t="shared" si="108"/>
        <v/>
      </c>
      <c r="AD465" s="2" t="str">
        <f t="shared" si="109"/>
        <v>(0)</v>
      </c>
      <c r="AE465" s="2" t="str">
        <f t="shared" si="110"/>
        <v/>
      </c>
      <c r="AF465" s="2" t="str">
        <f t="shared" si="111"/>
        <v/>
      </c>
      <c r="AG465" s="2" t="str">
        <f t="shared" si="112"/>
        <v/>
      </c>
      <c r="AH465" s="2" t="str">
        <f t="shared" si="113"/>
        <v/>
      </c>
    </row>
    <row r="466" spans="2:34" x14ac:dyDescent="0.25">
      <c r="B466" s="2" t="s">
        <v>1008</v>
      </c>
      <c r="D466" s="2" t="s">
        <v>1</v>
      </c>
      <c r="E466" s="2" t="s">
        <v>134</v>
      </c>
      <c r="F466" s="2" t="s">
        <v>1009</v>
      </c>
      <c r="G466" s="2" t="s">
        <v>1010</v>
      </c>
      <c r="H466" s="2" t="s">
        <v>678</v>
      </c>
      <c r="I466" s="2" t="s">
        <v>42</v>
      </c>
      <c r="J466" s="2">
        <v>1</v>
      </c>
      <c r="K466" s="2" t="s">
        <v>82</v>
      </c>
      <c r="L466" s="2" t="s">
        <v>41</v>
      </c>
      <c r="M466" s="2" t="s">
        <v>135</v>
      </c>
      <c r="N466" s="2" t="s">
        <v>1011</v>
      </c>
      <c r="O466" s="2" t="s">
        <v>679</v>
      </c>
      <c r="P466" s="2" t="s">
        <v>5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1612</v>
      </c>
      <c r="T466" s="2" t="str">
        <f t="shared" si="114"/>
        <v>064C</v>
      </c>
      <c r="U466" s="2">
        <f t="shared" si="105"/>
        <v>403</v>
      </c>
      <c r="V466" s="2" t="str">
        <f t="shared" si="115"/>
        <v>193</v>
      </c>
      <c r="W466" s="2" t="str">
        <f t="shared" si="116"/>
        <v/>
      </c>
      <c r="X466" s="2" t="str">
        <f t="shared" si="102"/>
        <v/>
      </c>
      <c r="Y466" s="2" t="str">
        <f t="shared" si="103"/>
        <v/>
      </c>
      <c r="Z466" s="2" t="str">
        <f t="shared" si="104"/>
        <v>X</v>
      </c>
      <c r="AA466" s="2" t="str">
        <f t="shared" si="106"/>
        <v/>
      </c>
      <c r="AB466" s="2" t="str">
        <f t="shared" si="107"/>
        <v/>
      </c>
      <c r="AC466" s="2" t="str">
        <f t="shared" si="108"/>
        <v/>
      </c>
      <c r="AD466" s="2" t="str">
        <f t="shared" si="109"/>
        <v>(0)</v>
      </c>
      <c r="AE466" s="2" t="str">
        <f t="shared" si="110"/>
        <v/>
      </c>
      <c r="AF466" s="2" t="str">
        <f t="shared" si="111"/>
        <v/>
      </c>
      <c r="AG466" s="2" t="str">
        <f t="shared" si="112"/>
        <v/>
      </c>
      <c r="AH466" s="2" t="str">
        <f t="shared" si="113"/>
        <v/>
      </c>
    </row>
    <row r="467" spans="2:34" x14ac:dyDescent="0.25">
      <c r="B467" s="2" t="s">
        <v>1008</v>
      </c>
      <c r="D467" s="2" t="s">
        <v>1</v>
      </c>
      <c r="E467" s="2" t="s">
        <v>134</v>
      </c>
      <c r="F467" s="2" t="s">
        <v>1009</v>
      </c>
      <c r="G467" s="2" t="s">
        <v>1010</v>
      </c>
      <c r="H467" s="2" t="s">
        <v>680</v>
      </c>
      <c r="I467" s="2" t="s">
        <v>42</v>
      </c>
      <c r="J467" s="2">
        <v>1</v>
      </c>
      <c r="K467" s="2" t="s">
        <v>82</v>
      </c>
      <c r="L467" s="2" t="s">
        <v>41</v>
      </c>
      <c r="M467" s="2" t="s">
        <v>135</v>
      </c>
      <c r="N467" s="2" t="s">
        <v>1011</v>
      </c>
      <c r="O467" s="2" t="s">
        <v>681</v>
      </c>
      <c r="P467" s="2" t="s">
        <v>5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1616</v>
      </c>
      <c r="T467" s="2" t="str">
        <f t="shared" si="114"/>
        <v>0650</v>
      </c>
      <c r="U467" s="2">
        <f t="shared" si="105"/>
        <v>404</v>
      </c>
      <c r="V467" s="2" t="str">
        <f t="shared" si="115"/>
        <v>194</v>
      </c>
      <c r="W467" s="2" t="str">
        <f t="shared" si="116"/>
        <v/>
      </c>
      <c r="X467" s="2" t="str">
        <f t="shared" ref="X467:X530" si="117">IF(MOD($S467,4)=2,"X",IF(AND(MOD($S467,4)=1,$J467&gt;8),"X",IF(AND(MOD($S467,4)=0,$J467&gt;16),"X","")))</f>
        <v/>
      </c>
      <c r="Y467" s="2" t="str">
        <f t="shared" ref="Y467:Y530" si="118">IF(MOD($S467,4)=1,"X",IF(AND(MOD($S467,4)=0,$J467&gt;8),"X",""))</f>
        <v/>
      </c>
      <c r="Z467" s="2" t="str">
        <f t="shared" ref="Z467:Z530" si="119">IF(MOD($S467,4)=0,"X","")</f>
        <v>X</v>
      </c>
      <c r="AA467" s="2" t="str">
        <f t="shared" si="106"/>
        <v/>
      </c>
      <c r="AB467" s="2" t="str">
        <f t="shared" si="107"/>
        <v/>
      </c>
      <c r="AC467" s="2" t="str">
        <f t="shared" si="108"/>
        <v/>
      </c>
      <c r="AD467" s="2" t="str">
        <f t="shared" si="109"/>
        <v>(0)</v>
      </c>
      <c r="AE467" s="2" t="str">
        <f t="shared" si="110"/>
        <v/>
      </c>
      <c r="AF467" s="2" t="str">
        <f t="shared" si="111"/>
        <v/>
      </c>
      <c r="AG467" s="2" t="str">
        <f t="shared" si="112"/>
        <v/>
      </c>
      <c r="AH467" s="2" t="str">
        <f t="shared" si="113"/>
        <v/>
      </c>
    </row>
    <row r="468" spans="2:34" x14ac:dyDescent="0.25">
      <c r="B468" s="2" t="s">
        <v>1008</v>
      </c>
      <c r="D468" s="2" t="s">
        <v>1</v>
      </c>
      <c r="E468" s="2" t="s">
        <v>134</v>
      </c>
      <c r="F468" s="2" t="s">
        <v>1009</v>
      </c>
      <c r="G468" s="2" t="s">
        <v>1010</v>
      </c>
      <c r="H468" s="2" t="s">
        <v>682</v>
      </c>
      <c r="I468" s="2" t="s">
        <v>42</v>
      </c>
      <c r="J468" s="2">
        <v>1</v>
      </c>
      <c r="K468" s="2" t="s">
        <v>82</v>
      </c>
      <c r="L468" s="2" t="s">
        <v>41</v>
      </c>
      <c r="M468" s="2" t="s">
        <v>135</v>
      </c>
      <c r="N468" s="2" t="s">
        <v>1011</v>
      </c>
      <c r="O468" s="2" t="s">
        <v>683</v>
      </c>
      <c r="P468" s="2" t="s">
        <v>5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1620</v>
      </c>
      <c r="T468" s="2" t="str">
        <f t="shared" si="114"/>
        <v>0654</v>
      </c>
      <c r="U468" s="2">
        <f t="shared" si="105"/>
        <v>405</v>
      </c>
      <c r="V468" s="2" t="str">
        <f t="shared" si="115"/>
        <v>195</v>
      </c>
      <c r="W468" s="2" t="str">
        <f t="shared" si="116"/>
        <v/>
      </c>
      <c r="X468" s="2" t="str">
        <f t="shared" si="117"/>
        <v/>
      </c>
      <c r="Y468" s="2" t="str">
        <f t="shared" si="118"/>
        <v/>
      </c>
      <c r="Z468" s="2" t="str">
        <f t="shared" si="119"/>
        <v>X</v>
      </c>
      <c r="AA468" s="2" t="str">
        <f t="shared" si="106"/>
        <v/>
      </c>
      <c r="AB468" s="2" t="str">
        <f t="shared" si="107"/>
        <v/>
      </c>
      <c r="AC468" s="2" t="str">
        <f t="shared" si="108"/>
        <v/>
      </c>
      <c r="AD468" s="2" t="str">
        <f t="shared" si="109"/>
        <v>(0)</v>
      </c>
      <c r="AE468" s="2" t="str">
        <f t="shared" si="110"/>
        <v/>
      </c>
      <c r="AF468" s="2" t="str">
        <f t="shared" si="111"/>
        <v/>
      </c>
      <c r="AG468" s="2" t="str">
        <f t="shared" si="112"/>
        <v/>
      </c>
      <c r="AH468" s="2" t="str">
        <f t="shared" si="113"/>
        <v/>
      </c>
    </row>
    <row r="469" spans="2:34" x14ac:dyDescent="0.25">
      <c r="B469" s="2" t="s">
        <v>1008</v>
      </c>
      <c r="D469" s="2" t="s">
        <v>1</v>
      </c>
      <c r="E469" s="2" t="s">
        <v>134</v>
      </c>
      <c r="F469" s="2" t="s">
        <v>1009</v>
      </c>
      <c r="G469" s="2" t="s">
        <v>1010</v>
      </c>
      <c r="H469" s="2" t="s">
        <v>684</v>
      </c>
      <c r="I469" s="2" t="s">
        <v>42</v>
      </c>
      <c r="J469" s="2">
        <v>1</v>
      </c>
      <c r="K469" s="2" t="s">
        <v>82</v>
      </c>
      <c r="L469" s="2" t="s">
        <v>41</v>
      </c>
      <c r="M469" s="2" t="s">
        <v>135</v>
      </c>
      <c r="N469" s="2" t="s">
        <v>1011</v>
      </c>
      <c r="O469" s="2" t="s">
        <v>685</v>
      </c>
      <c r="P469" s="2" t="s">
        <v>5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1624</v>
      </c>
      <c r="T469" s="2" t="str">
        <f t="shared" si="114"/>
        <v>0658</v>
      </c>
      <c r="U469" s="2">
        <f t="shared" si="105"/>
        <v>406</v>
      </c>
      <c r="V469" s="2" t="str">
        <f t="shared" si="115"/>
        <v>196</v>
      </c>
      <c r="W469" s="2" t="str">
        <f t="shared" si="116"/>
        <v/>
      </c>
      <c r="X469" s="2" t="str">
        <f t="shared" si="117"/>
        <v/>
      </c>
      <c r="Y469" s="2" t="str">
        <f t="shared" si="118"/>
        <v/>
      </c>
      <c r="Z469" s="2" t="str">
        <f t="shared" si="119"/>
        <v>X</v>
      </c>
      <c r="AA469" s="2" t="str">
        <f t="shared" si="106"/>
        <v/>
      </c>
      <c r="AB469" s="2" t="str">
        <f t="shared" si="107"/>
        <v/>
      </c>
      <c r="AC469" s="2" t="str">
        <f t="shared" si="108"/>
        <v/>
      </c>
      <c r="AD469" s="2" t="str">
        <f t="shared" si="109"/>
        <v>(0)</v>
      </c>
      <c r="AE469" s="2" t="str">
        <f t="shared" si="110"/>
        <v/>
      </c>
      <c r="AF469" s="2" t="str">
        <f t="shared" si="111"/>
        <v/>
      </c>
      <c r="AG469" s="2" t="str">
        <f t="shared" si="112"/>
        <v/>
      </c>
      <c r="AH469" s="2" t="str">
        <f t="shared" si="113"/>
        <v/>
      </c>
    </row>
    <row r="470" spans="2:34" x14ac:dyDescent="0.25">
      <c r="B470" s="2" t="s">
        <v>1008</v>
      </c>
      <c r="D470" s="2" t="s">
        <v>1</v>
      </c>
      <c r="E470" s="2" t="s">
        <v>134</v>
      </c>
      <c r="F470" s="2" t="s">
        <v>1009</v>
      </c>
      <c r="G470" s="2" t="s">
        <v>1010</v>
      </c>
      <c r="H470" s="2" t="s">
        <v>686</v>
      </c>
      <c r="I470" s="2" t="s">
        <v>42</v>
      </c>
      <c r="J470" s="2">
        <v>1</v>
      </c>
      <c r="K470" s="2" t="s">
        <v>82</v>
      </c>
      <c r="L470" s="2" t="s">
        <v>41</v>
      </c>
      <c r="M470" s="2" t="s">
        <v>135</v>
      </c>
      <c r="N470" s="2" t="s">
        <v>1011</v>
      </c>
      <c r="O470" s="2" t="s">
        <v>687</v>
      </c>
      <c r="P470" s="2" t="s">
        <v>5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1628</v>
      </c>
      <c r="T470" s="2" t="str">
        <f t="shared" si="114"/>
        <v>065C</v>
      </c>
      <c r="U470" s="2">
        <f t="shared" si="105"/>
        <v>407</v>
      </c>
      <c r="V470" s="2" t="str">
        <f t="shared" si="115"/>
        <v>197</v>
      </c>
      <c r="W470" s="2" t="str">
        <f t="shared" si="116"/>
        <v/>
      </c>
      <c r="X470" s="2" t="str">
        <f t="shared" si="117"/>
        <v/>
      </c>
      <c r="Y470" s="2" t="str">
        <f t="shared" si="118"/>
        <v/>
      </c>
      <c r="Z470" s="2" t="str">
        <f t="shared" si="119"/>
        <v>X</v>
      </c>
      <c r="AA470" s="2" t="str">
        <f t="shared" si="106"/>
        <v/>
      </c>
      <c r="AB470" s="2" t="str">
        <f t="shared" si="107"/>
        <v/>
      </c>
      <c r="AC470" s="2" t="str">
        <f t="shared" si="108"/>
        <v/>
      </c>
      <c r="AD470" s="2" t="str">
        <f t="shared" si="109"/>
        <v>(0)</v>
      </c>
      <c r="AE470" s="2" t="str">
        <f t="shared" si="110"/>
        <v/>
      </c>
      <c r="AF470" s="2" t="str">
        <f t="shared" si="111"/>
        <v/>
      </c>
      <c r="AG470" s="2" t="str">
        <f t="shared" si="112"/>
        <v/>
      </c>
      <c r="AH470" s="2" t="str">
        <f t="shared" si="113"/>
        <v/>
      </c>
    </row>
    <row r="471" spans="2:34" x14ac:dyDescent="0.25">
      <c r="B471" s="2" t="s">
        <v>1008</v>
      </c>
      <c r="D471" s="2" t="s">
        <v>1</v>
      </c>
      <c r="E471" s="2" t="s">
        <v>134</v>
      </c>
      <c r="F471" s="2" t="s">
        <v>1009</v>
      </c>
      <c r="G471" s="2" t="s">
        <v>1010</v>
      </c>
      <c r="H471" s="2" t="s">
        <v>688</v>
      </c>
      <c r="I471" s="2" t="s">
        <v>42</v>
      </c>
      <c r="J471" s="2">
        <v>1</v>
      </c>
      <c r="K471" s="2" t="s">
        <v>82</v>
      </c>
      <c r="L471" s="2" t="s">
        <v>41</v>
      </c>
      <c r="M471" s="2" t="s">
        <v>135</v>
      </c>
      <c r="N471" s="2" t="s">
        <v>1011</v>
      </c>
      <c r="O471" s="2" t="s">
        <v>689</v>
      </c>
      <c r="P471" s="2" t="s">
        <v>5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1632</v>
      </c>
      <c r="T471" s="2" t="str">
        <f t="shared" si="114"/>
        <v>0660</v>
      </c>
      <c r="U471" s="2">
        <f t="shared" si="105"/>
        <v>408</v>
      </c>
      <c r="V471" s="2" t="str">
        <f t="shared" si="115"/>
        <v>198</v>
      </c>
      <c r="W471" s="2" t="str">
        <f t="shared" si="116"/>
        <v/>
      </c>
      <c r="X471" s="2" t="str">
        <f t="shared" si="117"/>
        <v/>
      </c>
      <c r="Y471" s="2" t="str">
        <f t="shared" si="118"/>
        <v/>
      </c>
      <c r="Z471" s="2" t="str">
        <f t="shared" si="119"/>
        <v>X</v>
      </c>
      <c r="AA471" s="2" t="str">
        <f t="shared" si="106"/>
        <v/>
      </c>
      <c r="AB471" s="2" t="str">
        <f t="shared" si="107"/>
        <v/>
      </c>
      <c r="AC471" s="2" t="str">
        <f t="shared" si="108"/>
        <v/>
      </c>
      <c r="AD471" s="2" t="str">
        <f t="shared" si="109"/>
        <v>(0)</v>
      </c>
      <c r="AE471" s="2" t="str">
        <f t="shared" si="110"/>
        <v/>
      </c>
      <c r="AF471" s="2" t="str">
        <f t="shared" si="111"/>
        <v/>
      </c>
      <c r="AG471" s="2" t="str">
        <f t="shared" si="112"/>
        <v/>
      </c>
      <c r="AH471" s="2" t="str">
        <f t="shared" si="113"/>
        <v/>
      </c>
    </row>
    <row r="472" spans="2:34" x14ac:dyDescent="0.25">
      <c r="B472" s="2" t="s">
        <v>1008</v>
      </c>
      <c r="D472" s="2" t="s">
        <v>1</v>
      </c>
      <c r="E472" s="2" t="s">
        <v>134</v>
      </c>
      <c r="F472" s="2" t="s">
        <v>1012</v>
      </c>
      <c r="G472" s="2" t="s">
        <v>1013</v>
      </c>
      <c r="H472" s="2" t="s">
        <v>692</v>
      </c>
      <c r="I472" s="2" t="s">
        <v>42</v>
      </c>
      <c r="J472" s="2">
        <v>1</v>
      </c>
      <c r="K472" s="2" t="s">
        <v>82</v>
      </c>
      <c r="L472" s="2" t="s">
        <v>41</v>
      </c>
      <c r="M472" s="2" t="s">
        <v>135</v>
      </c>
      <c r="N472" s="2" t="s">
        <v>1011</v>
      </c>
      <c r="O472" s="2" t="s">
        <v>693</v>
      </c>
      <c r="P472" s="2" t="s">
        <v>5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1636</v>
      </c>
      <c r="T472" s="2" t="str">
        <f t="shared" si="114"/>
        <v>0664</v>
      </c>
      <c r="U472" s="2">
        <f t="shared" si="105"/>
        <v>409</v>
      </c>
      <c r="V472" s="2" t="str">
        <f t="shared" si="115"/>
        <v>199</v>
      </c>
      <c r="W472" s="2" t="str">
        <f t="shared" si="116"/>
        <v/>
      </c>
      <c r="X472" s="2" t="str">
        <f t="shared" si="117"/>
        <v/>
      </c>
      <c r="Y472" s="2" t="str">
        <f t="shared" si="118"/>
        <v/>
      </c>
      <c r="Z472" s="2" t="str">
        <f t="shared" si="119"/>
        <v>X</v>
      </c>
      <c r="AA472" s="2" t="str">
        <f t="shared" si="106"/>
        <v/>
      </c>
      <c r="AB472" s="2" t="str">
        <f t="shared" si="107"/>
        <v/>
      </c>
      <c r="AC472" s="2" t="str">
        <f t="shared" si="108"/>
        <v/>
      </c>
      <c r="AD472" s="2" t="str">
        <f t="shared" si="109"/>
        <v>(0)</v>
      </c>
      <c r="AE472" s="2" t="str">
        <f t="shared" si="110"/>
        <v/>
      </c>
      <c r="AF472" s="2" t="str">
        <f t="shared" si="111"/>
        <v/>
      </c>
      <c r="AG472" s="2" t="str">
        <f t="shared" si="112"/>
        <v/>
      </c>
      <c r="AH472" s="2" t="str">
        <f t="shared" si="113"/>
        <v/>
      </c>
    </row>
    <row r="473" spans="2:34" x14ac:dyDescent="0.25">
      <c r="B473" s="2" t="s">
        <v>1008</v>
      </c>
      <c r="D473" s="2" t="s">
        <v>1</v>
      </c>
      <c r="E473" s="2" t="s">
        <v>134</v>
      </c>
      <c r="F473" s="2" t="s">
        <v>1012</v>
      </c>
      <c r="G473" s="2" t="s">
        <v>1013</v>
      </c>
      <c r="H473" s="2" t="s">
        <v>694</v>
      </c>
      <c r="I473" s="2" t="s">
        <v>42</v>
      </c>
      <c r="J473" s="2">
        <v>1</v>
      </c>
      <c r="K473" s="2" t="s">
        <v>136</v>
      </c>
      <c r="L473" s="2" t="s">
        <v>41</v>
      </c>
      <c r="M473" s="2" t="s">
        <v>135</v>
      </c>
      <c r="N473" s="2" t="s">
        <v>1011</v>
      </c>
      <c r="O473" s="2" t="s">
        <v>695</v>
      </c>
      <c r="P473" s="2" t="s">
        <v>5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1640</v>
      </c>
      <c r="T473" s="2" t="str">
        <f t="shared" si="114"/>
        <v>0668</v>
      </c>
      <c r="U473" s="2">
        <f t="shared" si="105"/>
        <v>410</v>
      </c>
      <c r="V473" s="2" t="str">
        <f t="shared" si="115"/>
        <v>19A</v>
      </c>
      <c r="W473" s="2" t="str">
        <f t="shared" si="116"/>
        <v/>
      </c>
      <c r="X473" s="2" t="str">
        <f t="shared" si="117"/>
        <v/>
      </c>
      <c r="Y473" s="2" t="str">
        <f t="shared" si="118"/>
        <v/>
      </c>
      <c r="Z473" s="2" t="str">
        <f t="shared" si="119"/>
        <v>X</v>
      </c>
      <c r="AA473" s="2" t="str">
        <f t="shared" si="106"/>
        <v/>
      </c>
      <c r="AB473" s="2" t="str">
        <f t="shared" si="107"/>
        <v/>
      </c>
      <c r="AC473" s="2" t="str">
        <f t="shared" si="108"/>
        <v/>
      </c>
      <c r="AD473" s="2" t="str">
        <f t="shared" si="109"/>
        <v>(0)</v>
      </c>
      <c r="AE473" s="2" t="str">
        <f t="shared" si="110"/>
        <v/>
      </c>
      <c r="AF473" s="2" t="str">
        <f t="shared" si="111"/>
        <v/>
      </c>
      <c r="AG473" s="2" t="str">
        <f t="shared" si="112"/>
        <v/>
      </c>
      <c r="AH473" s="2" t="str">
        <f t="shared" si="113"/>
        <v/>
      </c>
    </row>
    <row r="474" spans="2:34" x14ac:dyDescent="0.25">
      <c r="B474" s="2" t="s">
        <v>1008</v>
      </c>
      <c r="D474" s="2" t="s">
        <v>1</v>
      </c>
      <c r="E474" s="2" t="s">
        <v>134</v>
      </c>
      <c r="F474" s="2" t="s">
        <v>1012</v>
      </c>
      <c r="G474" s="2" t="s">
        <v>1013</v>
      </c>
      <c r="H474" s="2" t="s">
        <v>696</v>
      </c>
      <c r="I474" s="2" t="s">
        <v>42</v>
      </c>
      <c r="J474" s="2">
        <v>1</v>
      </c>
      <c r="K474" s="2" t="s">
        <v>82</v>
      </c>
      <c r="L474" s="2" t="s">
        <v>41</v>
      </c>
      <c r="M474" s="2" t="s">
        <v>135</v>
      </c>
      <c r="N474" s="2" t="s">
        <v>1011</v>
      </c>
      <c r="O474" s="2" t="s">
        <v>697</v>
      </c>
      <c r="P474" s="2" t="s">
        <v>5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1644</v>
      </c>
      <c r="T474" s="2" t="str">
        <f t="shared" si="114"/>
        <v>066C</v>
      </c>
      <c r="U474" s="2">
        <f t="shared" si="105"/>
        <v>411</v>
      </c>
      <c r="V474" s="2" t="str">
        <f t="shared" si="115"/>
        <v>19B</v>
      </c>
      <c r="W474" s="2" t="str">
        <f t="shared" si="116"/>
        <v/>
      </c>
      <c r="X474" s="2" t="str">
        <f t="shared" si="117"/>
        <v/>
      </c>
      <c r="Y474" s="2" t="str">
        <f t="shared" si="118"/>
        <v/>
      </c>
      <c r="Z474" s="2" t="str">
        <f t="shared" si="119"/>
        <v>X</v>
      </c>
      <c r="AA474" s="2" t="str">
        <f t="shared" si="106"/>
        <v/>
      </c>
      <c r="AB474" s="2" t="str">
        <f t="shared" si="107"/>
        <v/>
      </c>
      <c r="AC474" s="2" t="str">
        <f t="shared" si="108"/>
        <v/>
      </c>
      <c r="AD474" s="2" t="str">
        <f t="shared" si="109"/>
        <v>(0)</v>
      </c>
      <c r="AE474" s="2" t="str">
        <f t="shared" si="110"/>
        <v/>
      </c>
      <c r="AF474" s="2" t="str">
        <f t="shared" si="111"/>
        <v/>
      </c>
      <c r="AG474" s="2" t="str">
        <f t="shared" si="112"/>
        <v/>
      </c>
      <c r="AH474" s="2" t="str">
        <f t="shared" si="113"/>
        <v/>
      </c>
    </row>
    <row r="475" spans="2:34" x14ac:dyDescent="0.25">
      <c r="B475" s="2" t="s">
        <v>1008</v>
      </c>
      <c r="D475" s="2" t="s">
        <v>1</v>
      </c>
      <c r="E475" s="2" t="s">
        <v>134</v>
      </c>
      <c r="F475" s="2" t="s">
        <v>1012</v>
      </c>
      <c r="G475" s="2" t="s">
        <v>1013</v>
      </c>
      <c r="H475" s="2" t="s">
        <v>698</v>
      </c>
      <c r="I475" s="2" t="s">
        <v>42</v>
      </c>
      <c r="J475" s="2">
        <v>1</v>
      </c>
      <c r="K475" s="2" t="s">
        <v>136</v>
      </c>
      <c r="L475" s="2" t="s">
        <v>41</v>
      </c>
      <c r="M475" s="2" t="s">
        <v>135</v>
      </c>
      <c r="N475" s="2" t="s">
        <v>1011</v>
      </c>
      <c r="O475" s="2" t="s">
        <v>699</v>
      </c>
      <c r="P475" s="2" t="s">
        <v>5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1648</v>
      </c>
      <c r="T475" s="2" t="str">
        <f t="shared" si="114"/>
        <v>0670</v>
      </c>
      <c r="U475" s="2">
        <f t="shared" si="105"/>
        <v>412</v>
      </c>
      <c r="V475" s="2" t="str">
        <f t="shared" si="115"/>
        <v>19C</v>
      </c>
      <c r="W475" s="2" t="str">
        <f t="shared" si="116"/>
        <v/>
      </c>
      <c r="X475" s="2" t="str">
        <f t="shared" si="117"/>
        <v/>
      </c>
      <c r="Y475" s="2" t="str">
        <f t="shared" si="118"/>
        <v/>
      </c>
      <c r="Z475" s="2" t="str">
        <f t="shared" si="119"/>
        <v>X</v>
      </c>
      <c r="AA475" s="2" t="str">
        <f t="shared" si="106"/>
        <v/>
      </c>
      <c r="AB475" s="2" t="str">
        <f t="shared" si="107"/>
        <v/>
      </c>
      <c r="AC475" s="2" t="str">
        <f t="shared" si="108"/>
        <v/>
      </c>
      <c r="AD475" s="2" t="str">
        <f t="shared" si="109"/>
        <v>(0)</v>
      </c>
      <c r="AE475" s="2" t="str">
        <f t="shared" si="110"/>
        <v/>
      </c>
      <c r="AF475" s="2" t="str">
        <f t="shared" si="111"/>
        <v/>
      </c>
      <c r="AG475" s="2" t="str">
        <f t="shared" si="112"/>
        <v/>
      </c>
      <c r="AH475" s="2" t="str">
        <f t="shared" si="113"/>
        <v/>
      </c>
    </row>
    <row r="476" spans="2:34" x14ac:dyDescent="0.25">
      <c r="B476" s="2" t="s">
        <v>1008</v>
      </c>
      <c r="D476" s="2" t="s">
        <v>1</v>
      </c>
      <c r="E476" s="2" t="s">
        <v>134</v>
      </c>
      <c r="F476" s="2" t="s">
        <v>1012</v>
      </c>
      <c r="G476" s="2" t="s">
        <v>1013</v>
      </c>
      <c r="H476" s="2" t="s">
        <v>700</v>
      </c>
      <c r="I476" s="2" t="s">
        <v>42</v>
      </c>
      <c r="J476" s="2">
        <v>1</v>
      </c>
      <c r="K476" s="2" t="s">
        <v>82</v>
      </c>
      <c r="L476" s="2" t="s">
        <v>41</v>
      </c>
      <c r="M476" s="2" t="s">
        <v>135</v>
      </c>
      <c r="N476" s="2" t="s">
        <v>1011</v>
      </c>
      <c r="O476" s="2" t="s">
        <v>701</v>
      </c>
      <c r="P476" s="2" t="s">
        <v>5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1652</v>
      </c>
      <c r="T476" s="2" t="str">
        <f t="shared" si="114"/>
        <v>0674</v>
      </c>
      <c r="U476" s="2">
        <f t="shared" si="105"/>
        <v>413</v>
      </c>
      <c r="V476" s="2" t="str">
        <f t="shared" si="115"/>
        <v>19D</v>
      </c>
      <c r="W476" s="2" t="str">
        <f t="shared" si="116"/>
        <v/>
      </c>
      <c r="X476" s="2" t="str">
        <f t="shared" si="117"/>
        <v/>
      </c>
      <c r="Y476" s="2" t="str">
        <f t="shared" si="118"/>
        <v/>
      </c>
      <c r="Z476" s="2" t="str">
        <f t="shared" si="119"/>
        <v>X</v>
      </c>
      <c r="AA476" s="2" t="str">
        <f t="shared" si="106"/>
        <v/>
      </c>
      <c r="AB476" s="2" t="str">
        <f t="shared" si="107"/>
        <v/>
      </c>
      <c r="AC476" s="2" t="str">
        <f t="shared" si="108"/>
        <v/>
      </c>
      <c r="AD476" s="2" t="str">
        <f t="shared" si="109"/>
        <v>(0)</v>
      </c>
      <c r="AE476" s="2" t="str">
        <f t="shared" si="110"/>
        <v/>
      </c>
      <c r="AF476" s="2" t="str">
        <f t="shared" si="111"/>
        <v/>
      </c>
      <c r="AG476" s="2" t="str">
        <f t="shared" si="112"/>
        <v/>
      </c>
      <c r="AH476" s="2" t="str">
        <f t="shared" si="113"/>
        <v/>
      </c>
    </row>
    <row r="477" spans="2:34" x14ac:dyDescent="0.25">
      <c r="B477" s="2" t="s">
        <v>1008</v>
      </c>
      <c r="D477" s="2" t="s">
        <v>1</v>
      </c>
      <c r="E477" s="2" t="s">
        <v>134</v>
      </c>
      <c r="F477" s="2" t="s">
        <v>1012</v>
      </c>
      <c r="G477" s="2" t="s">
        <v>1013</v>
      </c>
      <c r="H477" s="2" t="s">
        <v>702</v>
      </c>
      <c r="I477" s="2" t="s">
        <v>42</v>
      </c>
      <c r="J477" s="2">
        <v>1</v>
      </c>
      <c r="K477" s="2" t="s">
        <v>136</v>
      </c>
      <c r="L477" s="2" t="s">
        <v>41</v>
      </c>
      <c r="M477" s="2" t="s">
        <v>135</v>
      </c>
      <c r="N477" s="2" t="s">
        <v>1011</v>
      </c>
      <c r="O477" s="2" t="s">
        <v>703</v>
      </c>
      <c r="P477" s="2" t="s">
        <v>5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1656</v>
      </c>
      <c r="T477" s="2" t="str">
        <f t="shared" si="114"/>
        <v>0678</v>
      </c>
      <c r="U477" s="2">
        <f t="shared" si="105"/>
        <v>414</v>
      </c>
      <c r="V477" s="2" t="str">
        <f t="shared" si="115"/>
        <v>19E</v>
      </c>
      <c r="W477" s="2" t="str">
        <f t="shared" si="116"/>
        <v/>
      </c>
      <c r="X477" s="2" t="str">
        <f t="shared" si="117"/>
        <v/>
      </c>
      <c r="Y477" s="2" t="str">
        <f t="shared" si="118"/>
        <v/>
      </c>
      <c r="Z477" s="2" t="str">
        <f t="shared" si="119"/>
        <v>X</v>
      </c>
      <c r="AA477" s="2" t="str">
        <f t="shared" si="106"/>
        <v/>
      </c>
      <c r="AB477" s="2" t="str">
        <f t="shared" si="107"/>
        <v/>
      </c>
      <c r="AC477" s="2" t="str">
        <f t="shared" si="108"/>
        <v/>
      </c>
      <c r="AD477" s="2" t="str">
        <f t="shared" si="109"/>
        <v>(0)</v>
      </c>
      <c r="AE477" s="2" t="str">
        <f t="shared" si="110"/>
        <v/>
      </c>
      <c r="AF477" s="2" t="str">
        <f t="shared" si="111"/>
        <v/>
      </c>
      <c r="AG477" s="2" t="str">
        <f t="shared" si="112"/>
        <v/>
      </c>
      <c r="AH477" s="2" t="str">
        <f t="shared" si="113"/>
        <v/>
      </c>
    </row>
    <row r="478" spans="2:34" x14ac:dyDescent="0.25">
      <c r="B478" s="2" t="s">
        <v>1008</v>
      </c>
      <c r="D478" s="2" t="s">
        <v>1</v>
      </c>
      <c r="E478" s="2" t="s">
        <v>134</v>
      </c>
      <c r="F478" s="2" t="s">
        <v>1012</v>
      </c>
      <c r="G478" s="2" t="s">
        <v>1013</v>
      </c>
      <c r="H478" s="2" t="s">
        <v>704</v>
      </c>
      <c r="I478" s="2" t="s">
        <v>42</v>
      </c>
      <c r="J478" s="2">
        <v>1</v>
      </c>
      <c r="K478" s="2" t="s">
        <v>136</v>
      </c>
      <c r="L478" s="2" t="s">
        <v>41</v>
      </c>
      <c r="M478" s="2" t="s">
        <v>135</v>
      </c>
      <c r="N478" s="2" t="s">
        <v>1011</v>
      </c>
      <c r="O478" s="2" t="s">
        <v>705</v>
      </c>
      <c r="P478" s="2" t="s">
        <v>5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1660</v>
      </c>
      <c r="T478" s="2" t="str">
        <f t="shared" si="114"/>
        <v>067C</v>
      </c>
      <c r="U478" s="2">
        <f t="shared" si="105"/>
        <v>415</v>
      </c>
      <c r="V478" s="2" t="str">
        <f t="shared" si="115"/>
        <v>19F</v>
      </c>
      <c r="W478" s="2" t="str">
        <f t="shared" si="116"/>
        <v/>
      </c>
      <c r="X478" s="2" t="str">
        <f t="shared" si="117"/>
        <v/>
      </c>
      <c r="Y478" s="2" t="str">
        <f t="shared" si="118"/>
        <v/>
      </c>
      <c r="Z478" s="2" t="str">
        <f t="shared" si="119"/>
        <v>X</v>
      </c>
      <c r="AA478" s="2" t="str">
        <f t="shared" si="106"/>
        <v/>
      </c>
      <c r="AB478" s="2" t="str">
        <f t="shared" si="107"/>
        <v/>
      </c>
      <c r="AC478" s="2" t="str">
        <f t="shared" si="108"/>
        <v/>
      </c>
      <c r="AD478" s="2" t="str">
        <f t="shared" si="109"/>
        <v>(0)</v>
      </c>
      <c r="AE478" s="2" t="str">
        <f t="shared" si="110"/>
        <v/>
      </c>
      <c r="AF478" s="2" t="str">
        <f t="shared" si="111"/>
        <v/>
      </c>
      <c r="AG478" s="2" t="str">
        <f t="shared" si="112"/>
        <v/>
      </c>
      <c r="AH478" s="2" t="str">
        <f t="shared" si="113"/>
        <v/>
      </c>
    </row>
    <row r="479" spans="2:34" x14ac:dyDescent="0.25">
      <c r="B479" s="2" t="s">
        <v>1008</v>
      </c>
      <c r="D479" s="2" t="s">
        <v>1</v>
      </c>
      <c r="E479" s="2" t="s">
        <v>134</v>
      </c>
      <c r="F479" s="2" t="s">
        <v>1012</v>
      </c>
      <c r="G479" s="2" t="s">
        <v>1013</v>
      </c>
      <c r="H479" s="2" t="s">
        <v>706</v>
      </c>
      <c r="I479" s="2" t="s">
        <v>42</v>
      </c>
      <c r="J479" s="2">
        <v>1</v>
      </c>
      <c r="K479" s="2" t="s">
        <v>136</v>
      </c>
      <c r="L479" s="2" t="s">
        <v>41</v>
      </c>
      <c r="M479" s="2" t="s">
        <v>135</v>
      </c>
      <c r="N479" s="2" t="s">
        <v>1011</v>
      </c>
      <c r="O479" s="2" t="s">
        <v>707</v>
      </c>
      <c r="P479" s="2" t="s">
        <v>5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1664</v>
      </c>
      <c r="T479" s="2" t="str">
        <f t="shared" si="114"/>
        <v>0680</v>
      </c>
      <c r="U479" s="2">
        <f t="shared" si="105"/>
        <v>416</v>
      </c>
      <c r="V479" s="2" t="str">
        <f t="shared" si="115"/>
        <v>1A0</v>
      </c>
      <c r="W479" s="2" t="str">
        <f t="shared" si="116"/>
        <v/>
      </c>
      <c r="X479" s="2" t="str">
        <f t="shared" si="117"/>
        <v/>
      </c>
      <c r="Y479" s="2" t="str">
        <f t="shared" si="118"/>
        <v/>
      </c>
      <c r="Z479" s="2" t="str">
        <f t="shared" si="119"/>
        <v>X</v>
      </c>
      <c r="AA479" s="2" t="str">
        <f t="shared" si="106"/>
        <v/>
      </c>
      <c r="AB479" s="2" t="str">
        <f t="shared" si="107"/>
        <v/>
      </c>
      <c r="AC479" s="2" t="str">
        <f t="shared" si="108"/>
        <v/>
      </c>
      <c r="AD479" s="2" t="str">
        <f t="shared" si="109"/>
        <v>(0)</v>
      </c>
      <c r="AE479" s="2" t="str">
        <f t="shared" si="110"/>
        <v/>
      </c>
      <c r="AF479" s="2" t="str">
        <f t="shared" si="111"/>
        <v/>
      </c>
      <c r="AG479" s="2" t="str">
        <f t="shared" si="112"/>
        <v/>
      </c>
      <c r="AH479" s="2" t="str">
        <f t="shared" si="113"/>
        <v/>
      </c>
    </row>
    <row r="480" spans="2:34" x14ac:dyDescent="0.25">
      <c r="B480" s="2" t="s">
        <v>1008</v>
      </c>
      <c r="D480" s="2" t="s">
        <v>1</v>
      </c>
      <c r="E480" s="2" t="s">
        <v>134</v>
      </c>
      <c r="F480" s="2" t="s">
        <v>1012</v>
      </c>
      <c r="G480" s="2" t="s">
        <v>1013</v>
      </c>
      <c r="H480" s="2" t="s">
        <v>708</v>
      </c>
      <c r="I480" s="2" t="s">
        <v>42</v>
      </c>
      <c r="J480" s="2">
        <v>1</v>
      </c>
      <c r="K480" s="2" t="s">
        <v>82</v>
      </c>
      <c r="L480" s="2" t="s">
        <v>41</v>
      </c>
      <c r="M480" s="2" t="s">
        <v>135</v>
      </c>
      <c r="N480" s="2" t="s">
        <v>1011</v>
      </c>
      <c r="O480" s="2" t="s">
        <v>709</v>
      </c>
      <c r="P480" s="2" t="s">
        <v>5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1668</v>
      </c>
      <c r="T480" s="2" t="str">
        <f t="shared" si="114"/>
        <v>0684</v>
      </c>
      <c r="U480" s="2">
        <f t="shared" si="105"/>
        <v>417</v>
      </c>
      <c r="V480" s="2" t="str">
        <f t="shared" si="115"/>
        <v>1A1</v>
      </c>
      <c r="W480" s="2" t="str">
        <f t="shared" si="116"/>
        <v/>
      </c>
      <c r="X480" s="2" t="str">
        <f t="shared" si="117"/>
        <v/>
      </c>
      <c r="Y480" s="2" t="str">
        <f t="shared" si="118"/>
        <v/>
      </c>
      <c r="Z480" s="2" t="str">
        <f t="shared" si="119"/>
        <v>X</v>
      </c>
      <c r="AA480" s="2" t="str">
        <f t="shared" si="106"/>
        <v/>
      </c>
      <c r="AB480" s="2" t="str">
        <f t="shared" si="107"/>
        <v/>
      </c>
      <c r="AC480" s="2" t="str">
        <f t="shared" si="108"/>
        <v/>
      </c>
      <c r="AD480" s="2" t="str">
        <f t="shared" si="109"/>
        <v>(0)</v>
      </c>
      <c r="AE480" s="2" t="str">
        <f t="shared" si="110"/>
        <v/>
      </c>
      <c r="AF480" s="2" t="str">
        <f t="shared" si="111"/>
        <v/>
      </c>
      <c r="AG480" s="2" t="str">
        <f t="shared" si="112"/>
        <v/>
      </c>
      <c r="AH480" s="2" t="str">
        <f t="shared" si="113"/>
        <v/>
      </c>
    </row>
    <row r="481" spans="2:34" x14ac:dyDescent="0.25">
      <c r="B481" s="2" t="s">
        <v>1008</v>
      </c>
      <c r="D481" s="2" t="s">
        <v>1</v>
      </c>
      <c r="E481" s="2" t="s">
        <v>134</v>
      </c>
      <c r="F481" s="2" t="s">
        <v>1012</v>
      </c>
      <c r="G481" s="2" t="s">
        <v>1013</v>
      </c>
      <c r="H481" s="2" t="s">
        <v>710</v>
      </c>
      <c r="I481" s="2" t="s">
        <v>42</v>
      </c>
      <c r="J481" s="2">
        <v>1</v>
      </c>
      <c r="K481" s="2" t="s">
        <v>82</v>
      </c>
      <c r="L481" s="2" t="s">
        <v>41</v>
      </c>
      <c r="M481" s="2" t="s">
        <v>135</v>
      </c>
      <c r="N481" s="2" t="s">
        <v>1011</v>
      </c>
      <c r="O481" s="2" t="s">
        <v>711</v>
      </c>
      <c r="P481" s="2" t="s">
        <v>5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1672</v>
      </c>
      <c r="T481" s="2" t="str">
        <f t="shared" si="114"/>
        <v>0688</v>
      </c>
      <c r="U481" s="2">
        <f t="shared" si="105"/>
        <v>418</v>
      </c>
      <c r="V481" s="2" t="str">
        <f t="shared" si="115"/>
        <v>1A2</v>
      </c>
      <c r="W481" s="2" t="str">
        <f t="shared" si="116"/>
        <v/>
      </c>
      <c r="X481" s="2" t="str">
        <f t="shared" si="117"/>
        <v/>
      </c>
      <c r="Y481" s="2" t="str">
        <f t="shared" si="118"/>
        <v/>
      </c>
      <c r="Z481" s="2" t="str">
        <f t="shared" si="119"/>
        <v>X</v>
      </c>
      <c r="AA481" s="2" t="str">
        <f t="shared" si="106"/>
        <v/>
      </c>
      <c r="AB481" s="2" t="str">
        <f t="shared" si="107"/>
        <v/>
      </c>
      <c r="AC481" s="2" t="str">
        <f t="shared" si="108"/>
        <v/>
      </c>
      <c r="AD481" s="2" t="str">
        <f t="shared" si="109"/>
        <v>(0)</v>
      </c>
      <c r="AE481" s="2" t="str">
        <f t="shared" si="110"/>
        <v/>
      </c>
      <c r="AF481" s="2" t="str">
        <f t="shared" si="111"/>
        <v/>
      </c>
      <c r="AG481" s="2" t="str">
        <f t="shared" si="112"/>
        <v/>
      </c>
      <c r="AH481" s="2" t="str">
        <f t="shared" si="113"/>
        <v/>
      </c>
    </row>
    <row r="482" spans="2:34" x14ac:dyDescent="0.25">
      <c r="B482" s="2" t="s">
        <v>1008</v>
      </c>
      <c r="D482" s="2" t="s">
        <v>1</v>
      </c>
      <c r="E482" s="2" t="s">
        <v>134</v>
      </c>
      <c r="F482" s="2" t="s">
        <v>1012</v>
      </c>
      <c r="G482" s="2" t="s">
        <v>1013</v>
      </c>
      <c r="H482" s="2" t="s">
        <v>712</v>
      </c>
      <c r="I482" s="2" t="s">
        <v>42</v>
      </c>
      <c r="J482" s="2">
        <v>1</v>
      </c>
      <c r="K482" s="2" t="s">
        <v>82</v>
      </c>
      <c r="L482" s="2" t="s">
        <v>41</v>
      </c>
      <c r="M482" s="2" t="s">
        <v>135</v>
      </c>
      <c r="N482" s="2" t="s">
        <v>1011</v>
      </c>
      <c r="O482" s="2" t="s">
        <v>713</v>
      </c>
      <c r="P482" s="2" t="s">
        <v>5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1676</v>
      </c>
      <c r="T482" s="2" t="str">
        <f t="shared" si="114"/>
        <v>068C</v>
      </c>
      <c r="U482" s="2">
        <f t="shared" si="105"/>
        <v>419</v>
      </c>
      <c r="V482" s="2" t="str">
        <f t="shared" si="115"/>
        <v>1A3</v>
      </c>
      <c r="W482" s="2" t="str">
        <f t="shared" si="116"/>
        <v/>
      </c>
      <c r="X482" s="2" t="str">
        <f t="shared" si="117"/>
        <v/>
      </c>
      <c r="Y482" s="2" t="str">
        <f t="shared" si="118"/>
        <v/>
      </c>
      <c r="Z482" s="2" t="str">
        <f t="shared" si="119"/>
        <v>X</v>
      </c>
      <c r="AA482" s="2" t="str">
        <f t="shared" si="106"/>
        <v/>
      </c>
      <c r="AB482" s="2" t="str">
        <f t="shared" si="107"/>
        <v/>
      </c>
      <c r="AC482" s="2" t="str">
        <f t="shared" si="108"/>
        <v/>
      </c>
      <c r="AD482" s="2" t="str">
        <f t="shared" si="109"/>
        <v>(0)</v>
      </c>
      <c r="AE482" s="2" t="str">
        <f t="shared" si="110"/>
        <v/>
      </c>
      <c r="AF482" s="2" t="str">
        <f t="shared" si="111"/>
        <v/>
      </c>
      <c r="AG482" s="2" t="str">
        <f t="shared" si="112"/>
        <v/>
      </c>
      <c r="AH482" s="2" t="str">
        <f t="shared" si="113"/>
        <v/>
      </c>
    </row>
    <row r="483" spans="2:34" x14ac:dyDescent="0.25">
      <c r="B483" s="2" t="s">
        <v>1008</v>
      </c>
      <c r="D483" s="2" t="s">
        <v>1</v>
      </c>
      <c r="E483" s="2" t="s">
        <v>134</v>
      </c>
      <c r="F483" s="2" t="s">
        <v>1012</v>
      </c>
      <c r="G483" s="2" t="s">
        <v>1013</v>
      </c>
      <c r="H483" s="2" t="s">
        <v>714</v>
      </c>
      <c r="I483" s="2" t="s">
        <v>42</v>
      </c>
      <c r="J483" s="2">
        <v>1</v>
      </c>
      <c r="K483" s="2" t="s">
        <v>82</v>
      </c>
      <c r="L483" s="2" t="s">
        <v>41</v>
      </c>
      <c r="M483" s="2" t="s">
        <v>135</v>
      </c>
      <c r="N483" s="2" t="s">
        <v>1011</v>
      </c>
      <c r="O483" s="2" t="s">
        <v>715</v>
      </c>
      <c r="P483" s="2" t="s">
        <v>5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1680</v>
      </c>
      <c r="T483" s="2" t="str">
        <f t="shared" si="114"/>
        <v>0690</v>
      </c>
      <c r="U483" s="2">
        <f t="shared" si="105"/>
        <v>420</v>
      </c>
      <c r="V483" s="2" t="str">
        <f t="shared" si="115"/>
        <v>1A4</v>
      </c>
      <c r="W483" s="2" t="str">
        <f t="shared" si="116"/>
        <v/>
      </c>
      <c r="X483" s="2" t="str">
        <f t="shared" si="117"/>
        <v/>
      </c>
      <c r="Y483" s="2" t="str">
        <f t="shared" si="118"/>
        <v/>
      </c>
      <c r="Z483" s="2" t="str">
        <f t="shared" si="119"/>
        <v>X</v>
      </c>
      <c r="AA483" s="2" t="str">
        <f t="shared" si="106"/>
        <v/>
      </c>
      <c r="AB483" s="2" t="str">
        <f t="shared" si="107"/>
        <v/>
      </c>
      <c r="AC483" s="2" t="str">
        <f t="shared" si="108"/>
        <v/>
      </c>
      <c r="AD483" s="2" t="str">
        <f t="shared" si="109"/>
        <v>(0)</v>
      </c>
      <c r="AE483" s="2" t="str">
        <f t="shared" si="110"/>
        <v/>
      </c>
      <c r="AF483" s="2" t="str">
        <f t="shared" si="111"/>
        <v/>
      </c>
      <c r="AG483" s="2" t="str">
        <f t="shared" si="112"/>
        <v/>
      </c>
      <c r="AH483" s="2" t="str">
        <f t="shared" si="113"/>
        <v/>
      </c>
    </row>
    <row r="484" spans="2:34" x14ac:dyDescent="0.25">
      <c r="B484" s="2" t="s">
        <v>1008</v>
      </c>
      <c r="D484" s="2" t="s">
        <v>1</v>
      </c>
      <c r="E484" s="2" t="s">
        <v>134</v>
      </c>
      <c r="F484" s="2" t="s">
        <v>1012</v>
      </c>
      <c r="G484" s="2" t="s">
        <v>1013</v>
      </c>
      <c r="H484" s="2" t="s">
        <v>716</v>
      </c>
      <c r="I484" s="2" t="s">
        <v>42</v>
      </c>
      <c r="J484" s="2">
        <v>1</v>
      </c>
      <c r="K484" s="2" t="s">
        <v>82</v>
      </c>
      <c r="L484" s="2" t="s">
        <v>41</v>
      </c>
      <c r="M484" s="2" t="s">
        <v>135</v>
      </c>
      <c r="N484" s="2" t="s">
        <v>1011</v>
      </c>
      <c r="O484" s="2" t="s">
        <v>717</v>
      </c>
      <c r="P484" s="2" t="s">
        <v>5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1684</v>
      </c>
      <c r="T484" s="2" t="str">
        <f t="shared" si="114"/>
        <v>0694</v>
      </c>
      <c r="U484" s="2">
        <f t="shared" si="105"/>
        <v>421</v>
      </c>
      <c r="V484" s="2" t="str">
        <f t="shared" si="115"/>
        <v>1A5</v>
      </c>
      <c r="W484" s="2" t="str">
        <f t="shared" si="116"/>
        <v/>
      </c>
      <c r="X484" s="2" t="str">
        <f t="shared" si="117"/>
        <v/>
      </c>
      <c r="Y484" s="2" t="str">
        <f t="shared" si="118"/>
        <v/>
      </c>
      <c r="Z484" s="2" t="str">
        <f t="shared" si="119"/>
        <v>X</v>
      </c>
      <c r="AA484" s="2" t="str">
        <f t="shared" si="106"/>
        <v/>
      </c>
      <c r="AB484" s="2" t="str">
        <f t="shared" si="107"/>
        <v/>
      </c>
      <c r="AC484" s="2" t="str">
        <f t="shared" si="108"/>
        <v/>
      </c>
      <c r="AD484" s="2" t="str">
        <f t="shared" si="109"/>
        <v>(0)</v>
      </c>
      <c r="AE484" s="2" t="str">
        <f t="shared" si="110"/>
        <v/>
      </c>
      <c r="AF484" s="2" t="str">
        <f t="shared" si="111"/>
        <v/>
      </c>
      <c r="AG484" s="2" t="str">
        <f t="shared" si="112"/>
        <v/>
      </c>
      <c r="AH484" s="2" t="str">
        <f t="shared" si="113"/>
        <v/>
      </c>
    </row>
    <row r="485" spans="2:34" x14ac:dyDescent="0.25">
      <c r="B485" s="2" t="s">
        <v>1008</v>
      </c>
      <c r="D485" s="2" t="s">
        <v>1</v>
      </c>
      <c r="E485" s="2" t="s">
        <v>134</v>
      </c>
      <c r="F485" s="2" t="s">
        <v>1012</v>
      </c>
      <c r="G485" s="2" t="s">
        <v>1013</v>
      </c>
      <c r="H485" s="2" t="s">
        <v>718</v>
      </c>
      <c r="I485" s="2" t="s">
        <v>42</v>
      </c>
      <c r="J485" s="2">
        <v>1</v>
      </c>
      <c r="K485" s="2" t="s">
        <v>82</v>
      </c>
      <c r="L485" s="2" t="s">
        <v>41</v>
      </c>
      <c r="M485" s="2" t="s">
        <v>135</v>
      </c>
      <c r="N485" s="2" t="s">
        <v>1011</v>
      </c>
      <c r="O485" s="2" t="s">
        <v>719</v>
      </c>
      <c r="P485" s="2" t="s">
        <v>5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1688</v>
      </c>
      <c r="T485" s="2" t="str">
        <f t="shared" si="114"/>
        <v>0698</v>
      </c>
      <c r="U485" s="2">
        <f t="shared" si="105"/>
        <v>422</v>
      </c>
      <c r="V485" s="2" t="str">
        <f t="shared" si="115"/>
        <v>1A6</v>
      </c>
      <c r="W485" s="2" t="str">
        <f t="shared" si="116"/>
        <v/>
      </c>
      <c r="X485" s="2" t="str">
        <f t="shared" si="117"/>
        <v/>
      </c>
      <c r="Y485" s="2" t="str">
        <f t="shared" si="118"/>
        <v/>
      </c>
      <c r="Z485" s="2" t="str">
        <f t="shared" si="119"/>
        <v>X</v>
      </c>
      <c r="AA485" s="2" t="str">
        <f t="shared" si="106"/>
        <v/>
      </c>
      <c r="AB485" s="2" t="str">
        <f t="shared" si="107"/>
        <v/>
      </c>
      <c r="AC485" s="2" t="str">
        <f t="shared" si="108"/>
        <v/>
      </c>
      <c r="AD485" s="2" t="str">
        <f t="shared" si="109"/>
        <v>(0)</v>
      </c>
      <c r="AE485" s="2" t="str">
        <f t="shared" si="110"/>
        <v/>
      </c>
      <c r="AF485" s="2" t="str">
        <f t="shared" si="111"/>
        <v/>
      </c>
      <c r="AG485" s="2" t="str">
        <f t="shared" si="112"/>
        <v/>
      </c>
      <c r="AH485" s="2" t="str">
        <f t="shared" si="113"/>
        <v/>
      </c>
    </row>
    <row r="486" spans="2:34" x14ac:dyDescent="0.25">
      <c r="B486" s="2" t="s">
        <v>1008</v>
      </c>
      <c r="D486" s="2" t="s">
        <v>1</v>
      </c>
      <c r="E486" s="2" t="s">
        <v>134</v>
      </c>
      <c r="F486" s="2" t="s">
        <v>1012</v>
      </c>
      <c r="G486" s="2" t="s">
        <v>1013</v>
      </c>
      <c r="H486" s="2" t="s">
        <v>720</v>
      </c>
      <c r="I486" s="2" t="s">
        <v>42</v>
      </c>
      <c r="J486" s="2">
        <v>1</v>
      </c>
      <c r="K486" s="2" t="s">
        <v>82</v>
      </c>
      <c r="L486" s="2" t="s">
        <v>41</v>
      </c>
      <c r="M486" s="2" t="s">
        <v>135</v>
      </c>
      <c r="N486" s="2" t="s">
        <v>1011</v>
      </c>
      <c r="O486" s="2" t="s">
        <v>721</v>
      </c>
      <c r="P486" s="2" t="s">
        <v>5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1692</v>
      </c>
      <c r="T486" s="2" t="str">
        <f t="shared" si="114"/>
        <v>069C</v>
      </c>
      <c r="U486" s="2">
        <f t="shared" si="105"/>
        <v>423</v>
      </c>
      <c r="V486" s="2" t="str">
        <f t="shared" si="115"/>
        <v>1A7</v>
      </c>
      <c r="W486" s="2" t="str">
        <f t="shared" si="116"/>
        <v/>
      </c>
      <c r="X486" s="2" t="str">
        <f t="shared" si="117"/>
        <v/>
      </c>
      <c r="Y486" s="2" t="str">
        <f t="shared" si="118"/>
        <v/>
      </c>
      <c r="Z486" s="2" t="str">
        <f t="shared" si="119"/>
        <v>X</v>
      </c>
      <c r="AA486" s="2" t="str">
        <f t="shared" si="106"/>
        <v/>
      </c>
      <c r="AB486" s="2" t="str">
        <f t="shared" si="107"/>
        <v/>
      </c>
      <c r="AC486" s="2" t="str">
        <f t="shared" si="108"/>
        <v/>
      </c>
      <c r="AD486" s="2" t="str">
        <f t="shared" si="109"/>
        <v>(0)</v>
      </c>
      <c r="AE486" s="2" t="str">
        <f t="shared" si="110"/>
        <v/>
      </c>
      <c r="AF486" s="2" t="str">
        <f t="shared" si="111"/>
        <v/>
      </c>
      <c r="AG486" s="2" t="str">
        <f t="shared" si="112"/>
        <v/>
      </c>
      <c r="AH486" s="2" t="str">
        <f t="shared" si="113"/>
        <v/>
      </c>
    </row>
    <row r="487" spans="2:34" x14ac:dyDescent="0.25">
      <c r="B487" s="2" t="s">
        <v>1008</v>
      </c>
      <c r="D487" s="2" t="s">
        <v>1</v>
      </c>
      <c r="E487" s="2" t="s">
        <v>134</v>
      </c>
      <c r="F487" s="2" t="s">
        <v>1012</v>
      </c>
      <c r="G487" s="2" t="s">
        <v>1013</v>
      </c>
      <c r="H487" s="2" t="s">
        <v>722</v>
      </c>
      <c r="I487" s="2" t="s">
        <v>42</v>
      </c>
      <c r="J487" s="2">
        <v>1</v>
      </c>
      <c r="K487" s="2" t="s">
        <v>82</v>
      </c>
      <c r="L487" s="2" t="s">
        <v>41</v>
      </c>
      <c r="M487" s="2" t="s">
        <v>135</v>
      </c>
      <c r="N487" s="2" t="s">
        <v>1011</v>
      </c>
      <c r="O487" s="2" t="s">
        <v>723</v>
      </c>
      <c r="P487" s="2" t="s">
        <v>5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1696</v>
      </c>
      <c r="T487" s="2" t="str">
        <f t="shared" si="114"/>
        <v>06A0</v>
      </c>
      <c r="U487" s="2">
        <f t="shared" si="105"/>
        <v>424</v>
      </c>
      <c r="V487" s="2" t="str">
        <f t="shared" si="115"/>
        <v>1A8</v>
      </c>
      <c r="W487" s="2" t="str">
        <f t="shared" si="116"/>
        <v/>
      </c>
      <c r="X487" s="2" t="str">
        <f t="shared" si="117"/>
        <v/>
      </c>
      <c r="Y487" s="2" t="str">
        <f t="shared" si="118"/>
        <v/>
      </c>
      <c r="Z487" s="2" t="str">
        <f t="shared" si="119"/>
        <v>X</v>
      </c>
      <c r="AA487" s="2" t="str">
        <f t="shared" si="106"/>
        <v/>
      </c>
      <c r="AB487" s="2" t="str">
        <f t="shared" si="107"/>
        <v/>
      </c>
      <c r="AC487" s="2" t="str">
        <f t="shared" si="108"/>
        <v/>
      </c>
      <c r="AD487" s="2" t="str">
        <f t="shared" si="109"/>
        <v>(0)</v>
      </c>
      <c r="AE487" s="2" t="str">
        <f t="shared" si="110"/>
        <v/>
      </c>
      <c r="AF487" s="2" t="str">
        <f t="shared" si="111"/>
        <v/>
      </c>
      <c r="AG487" s="2" t="str">
        <f t="shared" si="112"/>
        <v/>
      </c>
      <c r="AH487" s="2" t="str">
        <f t="shared" si="113"/>
        <v/>
      </c>
    </row>
    <row r="488" spans="2:34" x14ac:dyDescent="0.25">
      <c r="B488" s="2" t="s">
        <v>1008</v>
      </c>
      <c r="D488" s="2" t="s">
        <v>1</v>
      </c>
      <c r="E488" s="2" t="s">
        <v>134</v>
      </c>
      <c r="F488" s="2" t="s">
        <v>1012</v>
      </c>
      <c r="G488" s="2" t="s">
        <v>1013</v>
      </c>
      <c r="H488" s="2" t="s">
        <v>724</v>
      </c>
      <c r="I488" s="2" t="s">
        <v>42</v>
      </c>
      <c r="J488" s="2">
        <v>1</v>
      </c>
      <c r="K488" s="2" t="s">
        <v>82</v>
      </c>
      <c r="L488" s="2" t="s">
        <v>41</v>
      </c>
      <c r="M488" s="2" t="s">
        <v>135</v>
      </c>
      <c r="N488" s="2" t="s">
        <v>1011</v>
      </c>
      <c r="O488" s="2" t="s">
        <v>725</v>
      </c>
      <c r="P488" s="2" t="s">
        <v>5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1700</v>
      </c>
      <c r="T488" s="2" t="str">
        <f t="shared" si="114"/>
        <v>06A4</v>
      </c>
      <c r="U488" s="2">
        <f t="shared" si="105"/>
        <v>425</v>
      </c>
      <c r="V488" s="2" t="str">
        <f t="shared" si="115"/>
        <v>1A9</v>
      </c>
      <c r="W488" s="2" t="str">
        <f t="shared" si="116"/>
        <v/>
      </c>
      <c r="X488" s="2" t="str">
        <f t="shared" si="117"/>
        <v/>
      </c>
      <c r="Y488" s="2" t="str">
        <f t="shared" si="118"/>
        <v/>
      </c>
      <c r="Z488" s="2" t="str">
        <f t="shared" si="119"/>
        <v>X</v>
      </c>
      <c r="AA488" s="2" t="str">
        <f t="shared" si="106"/>
        <v/>
      </c>
      <c r="AB488" s="2" t="str">
        <f t="shared" si="107"/>
        <v/>
      </c>
      <c r="AC488" s="2" t="str">
        <f t="shared" si="108"/>
        <v/>
      </c>
      <c r="AD488" s="2" t="str">
        <f t="shared" si="109"/>
        <v>(0)</v>
      </c>
      <c r="AE488" s="2" t="str">
        <f t="shared" si="110"/>
        <v/>
      </c>
      <c r="AF488" s="2" t="str">
        <f t="shared" si="111"/>
        <v/>
      </c>
      <c r="AG488" s="2" t="str">
        <f t="shared" si="112"/>
        <v/>
      </c>
      <c r="AH488" s="2" t="str">
        <f t="shared" si="113"/>
        <v/>
      </c>
    </row>
    <row r="489" spans="2:34" x14ac:dyDescent="0.25">
      <c r="B489" s="2" t="s">
        <v>1008</v>
      </c>
      <c r="D489" s="2" t="s">
        <v>1</v>
      </c>
      <c r="E489" s="2" t="s">
        <v>134</v>
      </c>
      <c r="F489" s="2" t="s">
        <v>1012</v>
      </c>
      <c r="G489" s="2" t="s">
        <v>1013</v>
      </c>
      <c r="H489" s="2" t="s">
        <v>726</v>
      </c>
      <c r="I489" s="2" t="s">
        <v>42</v>
      </c>
      <c r="J489" s="2">
        <v>1</v>
      </c>
      <c r="K489" s="2" t="s">
        <v>82</v>
      </c>
      <c r="L489" s="2" t="s">
        <v>41</v>
      </c>
      <c r="M489" s="2" t="s">
        <v>135</v>
      </c>
      <c r="N489" s="2" t="s">
        <v>1011</v>
      </c>
      <c r="O489" s="2" t="s">
        <v>727</v>
      </c>
      <c r="P489" s="2" t="s">
        <v>5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1704</v>
      </c>
      <c r="T489" s="2" t="str">
        <f t="shared" si="114"/>
        <v>06A8</v>
      </c>
      <c r="U489" s="2">
        <f t="shared" si="105"/>
        <v>426</v>
      </c>
      <c r="V489" s="2" t="str">
        <f t="shared" si="115"/>
        <v>1AA</v>
      </c>
      <c r="W489" s="2" t="str">
        <f t="shared" si="116"/>
        <v/>
      </c>
      <c r="X489" s="2" t="str">
        <f t="shared" si="117"/>
        <v/>
      </c>
      <c r="Y489" s="2" t="str">
        <f t="shared" si="118"/>
        <v/>
      </c>
      <c r="Z489" s="2" t="str">
        <f t="shared" si="119"/>
        <v>X</v>
      </c>
      <c r="AA489" s="2" t="str">
        <f t="shared" si="106"/>
        <v/>
      </c>
      <c r="AB489" s="2" t="str">
        <f t="shared" si="107"/>
        <v/>
      </c>
      <c r="AC489" s="2" t="str">
        <f t="shared" si="108"/>
        <v/>
      </c>
      <c r="AD489" s="2" t="str">
        <f t="shared" si="109"/>
        <v>(0)</v>
      </c>
      <c r="AE489" s="2" t="str">
        <f t="shared" si="110"/>
        <v/>
      </c>
      <c r="AF489" s="2" t="str">
        <f t="shared" si="111"/>
        <v/>
      </c>
      <c r="AG489" s="2" t="str">
        <f t="shared" si="112"/>
        <v/>
      </c>
      <c r="AH489" s="2" t="str">
        <f t="shared" si="113"/>
        <v/>
      </c>
    </row>
    <row r="490" spans="2:34" x14ac:dyDescent="0.25">
      <c r="B490" s="2" t="s">
        <v>1008</v>
      </c>
      <c r="D490" s="2" t="s">
        <v>1</v>
      </c>
      <c r="E490" s="2" t="s">
        <v>134</v>
      </c>
      <c r="F490" s="2" t="s">
        <v>1012</v>
      </c>
      <c r="G490" s="2" t="s">
        <v>1013</v>
      </c>
      <c r="H490" s="2" t="s">
        <v>728</v>
      </c>
      <c r="I490" s="2" t="s">
        <v>42</v>
      </c>
      <c r="J490" s="2">
        <v>1</v>
      </c>
      <c r="K490" s="2" t="s">
        <v>82</v>
      </c>
      <c r="L490" s="2" t="s">
        <v>41</v>
      </c>
      <c r="M490" s="2" t="s">
        <v>135</v>
      </c>
      <c r="N490" s="2" t="s">
        <v>1011</v>
      </c>
      <c r="O490" s="2" t="s">
        <v>729</v>
      </c>
      <c r="P490" s="2" t="s">
        <v>5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1708</v>
      </c>
      <c r="T490" s="2" t="str">
        <f t="shared" si="114"/>
        <v>06AC</v>
      </c>
      <c r="U490" s="2">
        <f t="shared" ref="U490:U553" si="120">ROUNDDOWN(S490/4,0)</f>
        <v>427</v>
      </c>
      <c r="V490" s="2" t="str">
        <f t="shared" si="115"/>
        <v>1AB</v>
      </c>
      <c r="W490" s="2" t="str">
        <f t="shared" si="116"/>
        <v/>
      </c>
      <c r="X490" s="2" t="str">
        <f t="shared" si="117"/>
        <v/>
      </c>
      <c r="Y490" s="2" t="str">
        <f t="shared" si="118"/>
        <v/>
      </c>
      <c r="Z490" s="2" t="str">
        <f t="shared" si="119"/>
        <v>X</v>
      </c>
      <c r="AA490" s="2" t="str">
        <f t="shared" ref="AA490:AA553" si="121">IF(W490="","",CONCATENATE("(",IF(($J490-COUNTIF($X490:$Z490,"X")*8)=1,"24)",CONCATENATE(IF(($J490-COUNTIF($X490:$Z490,"X")*8)&gt;=8,32,($J490-COUNTIF($X490:$Z490,"X")*8)+24)-1," downto 24)"))))</f>
        <v/>
      </c>
      <c r="AB490" s="2" t="str">
        <f t="shared" ref="AB490:AB553" si="122">IF(X490="","",CONCATENATE("(",IF(($J490-COUNTIF($Y490:$Z490,"X")*8)=1,"16)",CONCATENATE(IF(($J490-COUNTIF($Y490:$Z490,"X")*8)&gt;=8,24,($J490-COUNTIF($Y490:$Z490,"X")*8)+16)-1," downto 16)"))))</f>
        <v/>
      </c>
      <c r="AC490" s="2" t="str">
        <f t="shared" ref="AC490:AC553" si="123">IF(Y490="","",CONCATENATE("(",IF(($J490-COUNTIF($Z490,"X")*8)=1,"8)",CONCATENATE(IF(($J490-COUNTIF($Z490,"X")*8)&gt;=8,16,($J490-COUNTIF($Z490,"X")*8)+8)-1," downto 8)"))))</f>
        <v/>
      </c>
      <c r="AD490" s="2" t="str">
        <f t="shared" ref="AD490:AD553" si="124">IF(Z490="","",CONCATENATE("(",IF($J490=1,"0)",CONCATENATE(IF($J490&gt;=8,8,$J490)-1," downto 0)"))))</f>
        <v>(0)</v>
      </c>
      <c r="AE490" s="2" t="str">
        <f t="shared" ref="AE490:AE553" si="125">IF(W490="","",IF($J490&lt;=8,"",IF(($J490-COUNTIF($X490:$Z490,"X")*8)=1,CONCATENATE("(",($J490-1),")"),CONCATENATE("(",IF(($J490-COUNTIF($X490:$Z490,"X")*8)&gt;=8,COUNTIF($X490:$Z490,"X")*8+7,$J490-COUNTIF($X490:$Z490,"X")*8-1+COUNTIF($X490:$Z490,"X")*8)," downto ",COUNTIF($X490:$Z490,"X")*8,")"))))</f>
        <v/>
      </c>
      <c r="AF490" s="2" t="str">
        <f t="shared" ref="AF490:AF553" si="126">IF(X490="","",IF($J490&lt;=8,"",IF(($J490-COUNTIF($Y490:$Z490,"X")*8)=1,CONCATENATE("(",($J490-1),")"),CONCATENATE("(",IF(($J490-COUNTIF($Y490:$Z490,"X")*8)&gt;=8,COUNTIF($Y490:$Z490,"X")*8+7,$J490-COUNTIF($Y490:$Z490,"X")*8-1+COUNTIF($Y490:$Z490,"X")*8)," downto ",COUNTIF($Y490:$Z490,"X")*8,")"))))</f>
        <v/>
      </c>
      <c r="AG490" s="2" t="str">
        <f t="shared" ref="AG490:AG553" si="127">IF(Y490="","",IF($J490&lt;=8,"",IF(($J490-COUNTIF($Z490,"X")*8)=1,CONCATENATE("(",($J490-1),")"),CONCATENATE("(",IF(($J490-COUNTIF($Z490,"X")*8)&gt;=8,COUNTIF($Z490,"X")*8+7,$J490-COUNTIF($Z490,"X")*8-1+COUNTIF($Z490,"X")*8)," downto ",COUNTIF($Z490,"X")*8,")"))))</f>
        <v/>
      </c>
      <c r="AH490" s="2" t="str">
        <f t="shared" ref="AH490:AH553" si="128">IF(Z490="","",IF($J490&lt;=8,"",CONCATENATE("(",IF($J490&gt;=8,7,$J490-1)," downto ",0,")")))</f>
        <v/>
      </c>
    </row>
    <row r="491" spans="2:34" x14ac:dyDescent="0.25">
      <c r="B491" s="2" t="s">
        <v>1008</v>
      </c>
      <c r="D491" s="2" t="s">
        <v>1</v>
      </c>
      <c r="E491" s="2" t="s">
        <v>134</v>
      </c>
      <c r="F491" s="2" t="s">
        <v>1012</v>
      </c>
      <c r="G491" s="2" t="s">
        <v>1013</v>
      </c>
      <c r="H491" s="2" t="s">
        <v>730</v>
      </c>
      <c r="I491" s="2" t="s">
        <v>42</v>
      </c>
      <c r="J491" s="2">
        <v>1</v>
      </c>
      <c r="K491" s="2" t="s">
        <v>82</v>
      </c>
      <c r="L491" s="2" t="s">
        <v>41</v>
      </c>
      <c r="M491" s="2" t="s">
        <v>135</v>
      </c>
      <c r="N491" s="2" t="s">
        <v>1011</v>
      </c>
      <c r="O491" s="2" t="s">
        <v>731</v>
      </c>
      <c r="P491" s="2" t="s">
        <v>5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1712</v>
      </c>
      <c r="T491" s="2" t="str">
        <f t="shared" si="114"/>
        <v>06B0</v>
      </c>
      <c r="U491" s="2">
        <f t="shared" si="120"/>
        <v>428</v>
      </c>
      <c r="V491" s="2" t="str">
        <f t="shared" si="115"/>
        <v>1AC</v>
      </c>
      <c r="W491" s="2" t="str">
        <f t="shared" si="116"/>
        <v/>
      </c>
      <c r="X491" s="2" t="str">
        <f t="shared" si="117"/>
        <v/>
      </c>
      <c r="Y491" s="2" t="str">
        <f t="shared" si="118"/>
        <v/>
      </c>
      <c r="Z491" s="2" t="str">
        <f t="shared" si="119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1008</v>
      </c>
      <c r="D492" s="2" t="s">
        <v>1</v>
      </c>
      <c r="E492" s="2" t="s">
        <v>134</v>
      </c>
      <c r="F492" s="2" t="s">
        <v>1012</v>
      </c>
      <c r="G492" s="2" t="s">
        <v>1013</v>
      </c>
      <c r="H492" s="2" t="s">
        <v>732</v>
      </c>
      <c r="I492" s="2" t="s">
        <v>42</v>
      </c>
      <c r="J492" s="2">
        <v>1</v>
      </c>
      <c r="K492" s="2" t="s">
        <v>136</v>
      </c>
      <c r="L492" s="2" t="s">
        <v>41</v>
      </c>
      <c r="M492" s="2" t="s">
        <v>135</v>
      </c>
      <c r="N492" s="2" t="s">
        <v>1011</v>
      </c>
      <c r="O492" s="2" t="s">
        <v>733</v>
      </c>
      <c r="P492" s="2" t="s">
        <v>5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1716</v>
      </c>
      <c r="T492" s="2" t="str">
        <f t="shared" si="114"/>
        <v>06B4</v>
      </c>
      <c r="U492" s="2">
        <f t="shared" si="120"/>
        <v>429</v>
      </c>
      <c r="V492" s="2" t="str">
        <f t="shared" si="115"/>
        <v>1AD</v>
      </c>
      <c r="W492" s="2" t="str">
        <f t="shared" si="116"/>
        <v/>
      </c>
      <c r="X492" s="2" t="str">
        <f t="shared" si="117"/>
        <v/>
      </c>
      <c r="Y492" s="2" t="str">
        <f t="shared" si="118"/>
        <v/>
      </c>
      <c r="Z492" s="2" t="str">
        <f t="shared" si="119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1008</v>
      </c>
      <c r="D493" s="2" t="s">
        <v>1</v>
      </c>
      <c r="E493" s="2" t="s">
        <v>134</v>
      </c>
      <c r="F493" s="2" t="s">
        <v>1012</v>
      </c>
      <c r="G493" s="2" t="s">
        <v>1013</v>
      </c>
      <c r="H493" s="2" t="s">
        <v>734</v>
      </c>
      <c r="I493" s="2" t="s">
        <v>42</v>
      </c>
      <c r="J493" s="2">
        <v>1</v>
      </c>
      <c r="K493" s="2" t="s">
        <v>136</v>
      </c>
      <c r="L493" s="2" t="s">
        <v>41</v>
      </c>
      <c r="M493" s="2" t="s">
        <v>135</v>
      </c>
      <c r="N493" s="2" t="s">
        <v>1011</v>
      </c>
      <c r="O493" s="2" t="s">
        <v>735</v>
      </c>
      <c r="P493" s="2" t="s">
        <v>5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1720</v>
      </c>
      <c r="T493" s="2" t="str">
        <f t="shared" si="114"/>
        <v>06B8</v>
      </c>
      <c r="U493" s="2">
        <f t="shared" si="120"/>
        <v>430</v>
      </c>
      <c r="V493" s="2" t="str">
        <f t="shared" si="115"/>
        <v>1AE</v>
      </c>
      <c r="W493" s="2" t="str">
        <f t="shared" si="116"/>
        <v/>
      </c>
      <c r="X493" s="2" t="str">
        <f t="shared" si="117"/>
        <v/>
      </c>
      <c r="Y493" s="2" t="str">
        <f t="shared" si="118"/>
        <v/>
      </c>
      <c r="Z493" s="2" t="str">
        <f t="shared" si="119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1008</v>
      </c>
      <c r="D494" s="2" t="s">
        <v>1</v>
      </c>
      <c r="E494" s="2" t="s">
        <v>134</v>
      </c>
      <c r="F494" s="2" t="s">
        <v>1012</v>
      </c>
      <c r="G494" s="2" t="s">
        <v>1013</v>
      </c>
      <c r="H494" s="2" t="s">
        <v>736</v>
      </c>
      <c r="I494" s="2" t="s">
        <v>42</v>
      </c>
      <c r="J494" s="2">
        <v>1</v>
      </c>
      <c r="K494" s="2" t="s">
        <v>82</v>
      </c>
      <c r="L494" s="2" t="s">
        <v>41</v>
      </c>
      <c r="M494" s="2" t="s">
        <v>135</v>
      </c>
      <c r="N494" s="2" t="s">
        <v>1011</v>
      </c>
      <c r="O494" s="2" t="s">
        <v>737</v>
      </c>
      <c r="P494" s="2" t="s">
        <v>5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1724</v>
      </c>
      <c r="T494" s="2" t="str">
        <f t="shared" si="114"/>
        <v>06BC</v>
      </c>
      <c r="U494" s="2">
        <f t="shared" si="120"/>
        <v>431</v>
      </c>
      <c r="V494" s="2" t="str">
        <f t="shared" si="115"/>
        <v>1AF</v>
      </c>
      <c r="W494" s="2" t="str">
        <f t="shared" si="116"/>
        <v/>
      </c>
      <c r="X494" s="2" t="str">
        <f t="shared" si="117"/>
        <v/>
      </c>
      <c r="Y494" s="2" t="str">
        <f t="shared" si="118"/>
        <v/>
      </c>
      <c r="Z494" s="2" t="str">
        <f t="shared" si="119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1008</v>
      </c>
      <c r="D495" s="2" t="s">
        <v>1</v>
      </c>
      <c r="E495" s="2" t="s">
        <v>134</v>
      </c>
      <c r="F495" s="2" t="s">
        <v>1012</v>
      </c>
      <c r="G495" s="2" t="s">
        <v>1013</v>
      </c>
      <c r="H495" s="2" t="s">
        <v>738</v>
      </c>
      <c r="I495" s="2" t="s">
        <v>42</v>
      </c>
      <c r="J495" s="2">
        <v>1</v>
      </c>
      <c r="K495" s="2" t="s">
        <v>82</v>
      </c>
      <c r="L495" s="2" t="s">
        <v>41</v>
      </c>
      <c r="M495" s="2" t="s">
        <v>135</v>
      </c>
      <c r="N495" s="2" t="s">
        <v>1011</v>
      </c>
      <c r="O495" s="2" t="s">
        <v>739</v>
      </c>
      <c r="P495" s="2" t="s">
        <v>5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1728</v>
      </c>
      <c r="T495" s="2" t="str">
        <f t="shared" si="114"/>
        <v>06C0</v>
      </c>
      <c r="U495" s="2">
        <f t="shared" si="120"/>
        <v>432</v>
      </c>
      <c r="V495" s="2" t="str">
        <f t="shared" si="115"/>
        <v>1B0</v>
      </c>
      <c r="W495" s="2" t="str">
        <f t="shared" si="116"/>
        <v/>
      </c>
      <c r="X495" s="2" t="str">
        <f t="shared" si="117"/>
        <v/>
      </c>
      <c r="Y495" s="2" t="str">
        <f t="shared" si="118"/>
        <v/>
      </c>
      <c r="Z495" s="2" t="str">
        <f t="shared" si="119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1008</v>
      </c>
      <c r="D496" s="2" t="s">
        <v>1</v>
      </c>
      <c r="E496" s="2" t="s">
        <v>134</v>
      </c>
      <c r="F496" s="2" t="s">
        <v>1012</v>
      </c>
      <c r="G496" s="2" t="s">
        <v>1013</v>
      </c>
      <c r="H496" s="2" t="s">
        <v>740</v>
      </c>
      <c r="I496" s="2" t="s">
        <v>42</v>
      </c>
      <c r="J496" s="2">
        <v>1</v>
      </c>
      <c r="K496" s="2" t="s">
        <v>136</v>
      </c>
      <c r="L496" s="2" t="s">
        <v>41</v>
      </c>
      <c r="M496" s="2" t="s">
        <v>135</v>
      </c>
      <c r="N496" s="2" t="s">
        <v>1011</v>
      </c>
      <c r="O496" s="2" t="s">
        <v>741</v>
      </c>
      <c r="P496" s="2" t="s">
        <v>5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1732</v>
      </c>
      <c r="T496" s="2" t="str">
        <f t="shared" si="114"/>
        <v>06C4</v>
      </c>
      <c r="U496" s="2">
        <f t="shared" si="120"/>
        <v>433</v>
      </c>
      <c r="V496" s="2" t="str">
        <f t="shared" si="115"/>
        <v>1B1</v>
      </c>
      <c r="W496" s="2" t="str">
        <f t="shared" si="116"/>
        <v/>
      </c>
      <c r="X496" s="2" t="str">
        <f t="shared" si="117"/>
        <v/>
      </c>
      <c r="Y496" s="2" t="str">
        <f t="shared" si="118"/>
        <v/>
      </c>
      <c r="Z496" s="2" t="str">
        <f t="shared" si="119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1008</v>
      </c>
      <c r="D497" s="2" t="s">
        <v>1</v>
      </c>
      <c r="E497" s="2" t="s">
        <v>134</v>
      </c>
      <c r="F497" s="2" t="s">
        <v>1012</v>
      </c>
      <c r="G497" s="2" t="s">
        <v>1013</v>
      </c>
      <c r="H497" s="2" t="s">
        <v>742</v>
      </c>
      <c r="I497" s="2" t="s">
        <v>42</v>
      </c>
      <c r="J497" s="2">
        <v>1</v>
      </c>
      <c r="K497" s="2" t="s">
        <v>136</v>
      </c>
      <c r="L497" s="2" t="s">
        <v>41</v>
      </c>
      <c r="M497" s="2" t="s">
        <v>135</v>
      </c>
      <c r="N497" s="2" t="s">
        <v>1011</v>
      </c>
      <c r="O497" s="2" t="s">
        <v>743</v>
      </c>
      <c r="P497" s="2" t="s">
        <v>5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1736</v>
      </c>
      <c r="T497" s="2" t="str">
        <f t="shared" si="114"/>
        <v>06C8</v>
      </c>
      <c r="U497" s="2">
        <f t="shared" si="120"/>
        <v>434</v>
      </c>
      <c r="V497" s="2" t="str">
        <f t="shared" si="115"/>
        <v>1B2</v>
      </c>
      <c r="W497" s="2" t="str">
        <f t="shared" si="116"/>
        <v/>
      </c>
      <c r="X497" s="2" t="str">
        <f t="shared" si="117"/>
        <v/>
      </c>
      <c r="Y497" s="2" t="str">
        <f t="shared" si="118"/>
        <v/>
      </c>
      <c r="Z497" s="2" t="str">
        <f t="shared" si="119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1008</v>
      </c>
      <c r="D498" s="2" t="s">
        <v>1</v>
      </c>
      <c r="E498" s="2" t="s">
        <v>134</v>
      </c>
      <c r="F498" s="2" t="s">
        <v>1012</v>
      </c>
      <c r="G498" s="2" t="s">
        <v>1013</v>
      </c>
      <c r="H498" s="2" t="s">
        <v>744</v>
      </c>
      <c r="I498" s="2" t="s">
        <v>42</v>
      </c>
      <c r="J498" s="2">
        <v>1</v>
      </c>
      <c r="K498" s="2" t="s">
        <v>136</v>
      </c>
      <c r="L498" s="2" t="s">
        <v>41</v>
      </c>
      <c r="M498" s="2" t="s">
        <v>135</v>
      </c>
      <c r="N498" s="2" t="s">
        <v>1011</v>
      </c>
      <c r="O498" s="2" t="s">
        <v>745</v>
      </c>
      <c r="P498" s="2" t="s">
        <v>5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1740</v>
      </c>
      <c r="T498" s="2" t="str">
        <f t="shared" si="114"/>
        <v>06CC</v>
      </c>
      <c r="U498" s="2">
        <f t="shared" si="120"/>
        <v>435</v>
      </c>
      <c r="V498" s="2" t="str">
        <f t="shared" si="115"/>
        <v>1B3</v>
      </c>
      <c r="W498" s="2" t="str">
        <f t="shared" si="116"/>
        <v/>
      </c>
      <c r="X498" s="2" t="str">
        <f t="shared" si="117"/>
        <v/>
      </c>
      <c r="Y498" s="2" t="str">
        <f t="shared" si="118"/>
        <v/>
      </c>
      <c r="Z498" s="2" t="str">
        <f t="shared" si="119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1008</v>
      </c>
      <c r="D499" s="2" t="s">
        <v>1</v>
      </c>
      <c r="E499" s="2" t="s">
        <v>134</v>
      </c>
      <c r="F499" s="2" t="s">
        <v>1012</v>
      </c>
      <c r="G499" s="2" t="s">
        <v>1013</v>
      </c>
      <c r="H499" s="2" t="s">
        <v>746</v>
      </c>
      <c r="I499" s="2" t="s">
        <v>42</v>
      </c>
      <c r="J499" s="2">
        <v>1</v>
      </c>
      <c r="K499" s="2" t="s">
        <v>136</v>
      </c>
      <c r="L499" s="2" t="s">
        <v>41</v>
      </c>
      <c r="M499" s="2" t="s">
        <v>135</v>
      </c>
      <c r="N499" s="2" t="s">
        <v>1011</v>
      </c>
      <c r="O499" s="2" t="s">
        <v>747</v>
      </c>
      <c r="P499" s="2" t="s">
        <v>5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1744</v>
      </c>
      <c r="T499" s="2" t="str">
        <f t="shared" si="114"/>
        <v>06D0</v>
      </c>
      <c r="U499" s="2">
        <f t="shared" si="120"/>
        <v>436</v>
      </c>
      <c r="V499" s="2" t="str">
        <f t="shared" si="115"/>
        <v>1B4</v>
      </c>
      <c r="W499" s="2" t="str">
        <f t="shared" si="116"/>
        <v/>
      </c>
      <c r="X499" s="2" t="str">
        <f t="shared" si="117"/>
        <v/>
      </c>
      <c r="Y499" s="2" t="str">
        <f t="shared" si="118"/>
        <v/>
      </c>
      <c r="Z499" s="2" t="str">
        <f t="shared" si="119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1008</v>
      </c>
      <c r="D500" s="2" t="s">
        <v>1</v>
      </c>
      <c r="E500" s="2" t="s">
        <v>134</v>
      </c>
      <c r="F500" s="2" t="s">
        <v>1012</v>
      </c>
      <c r="G500" s="2" t="s">
        <v>1013</v>
      </c>
      <c r="H500" s="2" t="s">
        <v>748</v>
      </c>
      <c r="I500" s="2" t="s">
        <v>42</v>
      </c>
      <c r="J500" s="2">
        <v>1</v>
      </c>
      <c r="K500" s="2" t="s">
        <v>82</v>
      </c>
      <c r="L500" s="2" t="s">
        <v>41</v>
      </c>
      <c r="M500" s="2" t="s">
        <v>135</v>
      </c>
      <c r="N500" s="2" t="s">
        <v>1011</v>
      </c>
      <c r="O500" s="2" t="s">
        <v>749</v>
      </c>
      <c r="P500" s="2" t="s">
        <v>5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1748</v>
      </c>
      <c r="T500" s="2" t="str">
        <f t="shared" si="114"/>
        <v>06D4</v>
      </c>
      <c r="U500" s="2">
        <f t="shared" si="120"/>
        <v>437</v>
      </c>
      <c r="V500" s="2" t="str">
        <f t="shared" si="115"/>
        <v>1B5</v>
      </c>
      <c r="W500" s="2" t="str">
        <f t="shared" si="116"/>
        <v/>
      </c>
      <c r="X500" s="2" t="str">
        <f t="shared" si="117"/>
        <v/>
      </c>
      <c r="Y500" s="2" t="str">
        <f t="shared" si="118"/>
        <v/>
      </c>
      <c r="Z500" s="2" t="str">
        <f t="shared" si="119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1008</v>
      </c>
      <c r="D501" s="2" t="s">
        <v>1</v>
      </c>
      <c r="E501" s="2" t="s">
        <v>134</v>
      </c>
      <c r="F501" s="2" t="s">
        <v>1012</v>
      </c>
      <c r="G501" s="2" t="s">
        <v>1013</v>
      </c>
      <c r="H501" s="2" t="s">
        <v>750</v>
      </c>
      <c r="I501" s="2" t="s">
        <v>42</v>
      </c>
      <c r="J501" s="2">
        <v>1</v>
      </c>
      <c r="K501" s="2" t="s">
        <v>82</v>
      </c>
      <c r="L501" s="2" t="s">
        <v>41</v>
      </c>
      <c r="M501" s="2" t="s">
        <v>135</v>
      </c>
      <c r="N501" s="2" t="s">
        <v>1011</v>
      </c>
      <c r="O501" s="2" t="s">
        <v>751</v>
      </c>
      <c r="P501" s="2" t="s">
        <v>5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1752</v>
      </c>
      <c r="T501" s="2" t="str">
        <f t="shared" si="114"/>
        <v>06D8</v>
      </c>
      <c r="U501" s="2">
        <f t="shared" si="120"/>
        <v>438</v>
      </c>
      <c r="V501" s="2" t="str">
        <f t="shared" si="115"/>
        <v>1B6</v>
      </c>
      <c r="W501" s="2" t="str">
        <f t="shared" si="116"/>
        <v/>
      </c>
      <c r="X501" s="2" t="str">
        <f t="shared" si="117"/>
        <v/>
      </c>
      <c r="Y501" s="2" t="str">
        <f t="shared" si="118"/>
        <v/>
      </c>
      <c r="Z501" s="2" t="str">
        <f t="shared" si="119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1008</v>
      </c>
      <c r="D502" s="2" t="s">
        <v>1</v>
      </c>
      <c r="E502" s="2" t="s">
        <v>134</v>
      </c>
      <c r="F502" s="2" t="s">
        <v>1012</v>
      </c>
      <c r="G502" s="2" t="s">
        <v>1013</v>
      </c>
      <c r="H502" s="2" t="s">
        <v>752</v>
      </c>
      <c r="I502" s="2" t="s">
        <v>42</v>
      </c>
      <c r="J502" s="2">
        <v>1</v>
      </c>
      <c r="K502" s="2" t="s">
        <v>82</v>
      </c>
      <c r="L502" s="2" t="s">
        <v>41</v>
      </c>
      <c r="M502" s="2" t="s">
        <v>135</v>
      </c>
      <c r="N502" s="2" t="s">
        <v>1011</v>
      </c>
      <c r="O502" s="2" t="s">
        <v>753</v>
      </c>
      <c r="P502" s="2" t="s">
        <v>5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1756</v>
      </c>
      <c r="T502" s="2" t="str">
        <f t="shared" si="114"/>
        <v>06DC</v>
      </c>
      <c r="U502" s="2">
        <f t="shared" si="120"/>
        <v>439</v>
      </c>
      <c r="V502" s="2" t="str">
        <f t="shared" si="115"/>
        <v>1B7</v>
      </c>
      <c r="W502" s="2" t="str">
        <f t="shared" si="116"/>
        <v/>
      </c>
      <c r="X502" s="2" t="str">
        <f t="shared" si="117"/>
        <v/>
      </c>
      <c r="Y502" s="2" t="str">
        <f t="shared" si="118"/>
        <v/>
      </c>
      <c r="Z502" s="2" t="str">
        <f t="shared" si="119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1008</v>
      </c>
      <c r="D503" s="2" t="s">
        <v>1</v>
      </c>
      <c r="E503" s="2" t="s">
        <v>134</v>
      </c>
      <c r="F503" s="2" t="s">
        <v>1012</v>
      </c>
      <c r="G503" s="2" t="s">
        <v>1013</v>
      </c>
      <c r="H503" s="2" t="s">
        <v>754</v>
      </c>
      <c r="I503" s="2" t="s">
        <v>42</v>
      </c>
      <c r="J503" s="2">
        <v>1</v>
      </c>
      <c r="K503" s="2" t="s">
        <v>82</v>
      </c>
      <c r="L503" s="2" t="s">
        <v>41</v>
      </c>
      <c r="M503" s="2" t="s">
        <v>135</v>
      </c>
      <c r="N503" s="2" t="s">
        <v>1011</v>
      </c>
      <c r="O503" s="2" t="s">
        <v>755</v>
      </c>
      <c r="P503" s="2" t="s">
        <v>5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1760</v>
      </c>
      <c r="T503" s="2" t="str">
        <f t="shared" si="114"/>
        <v>06E0</v>
      </c>
      <c r="U503" s="2">
        <f t="shared" si="120"/>
        <v>440</v>
      </c>
      <c r="V503" s="2" t="str">
        <f t="shared" si="115"/>
        <v>1B8</v>
      </c>
      <c r="W503" s="2" t="str">
        <f t="shared" si="116"/>
        <v/>
      </c>
      <c r="X503" s="2" t="str">
        <f t="shared" si="117"/>
        <v/>
      </c>
      <c r="Y503" s="2" t="str">
        <f t="shared" si="118"/>
        <v/>
      </c>
      <c r="Z503" s="2" t="str">
        <f t="shared" si="119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1008</v>
      </c>
      <c r="D504" s="2" t="s">
        <v>1</v>
      </c>
      <c r="E504" s="2" t="s">
        <v>134</v>
      </c>
      <c r="F504" s="2" t="s">
        <v>1012</v>
      </c>
      <c r="G504" s="2" t="s">
        <v>1013</v>
      </c>
      <c r="H504" s="2" t="s">
        <v>756</v>
      </c>
      <c r="I504" s="2" t="s">
        <v>42</v>
      </c>
      <c r="J504" s="2">
        <v>1</v>
      </c>
      <c r="K504" s="2" t="s">
        <v>82</v>
      </c>
      <c r="L504" s="2" t="s">
        <v>41</v>
      </c>
      <c r="M504" s="2" t="s">
        <v>135</v>
      </c>
      <c r="N504" s="2" t="s">
        <v>1011</v>
      </c>
      <c r="O504" s="2" t="s">
        <v>757</v>
      </c>
      <c r="P504" s="2" t="s">
        <v>5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1764</v>
      </c>
      <c r="T504" s="2" t="str">
        <f t="shared" si="114"/>
        <v>06E4</v>
      </c>
      <c r="U504" s="2">
        <f t="shared" si="120"/>
        <v>441</v>
      </c>
      <c r="V504" s="2" t="str">
        <f t="shared" si="115"/>
        <v>1B9</v>
      </c>
      <c r="W504" s="2" t="str">
        <f t="shared" si="116"/>
        <v/>
      </c>
      <c r="X504" s="2" t="str">
        <f t="shared" si="117"/>
        <v/>
      </c>
      <c r="Y504" s="2" t="str">
        <f t="shared" si="118"/>
        <v/>
      </c>
      <c r="Z504" s="2" t="str">
        <f t="shared" si="119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1008</v>
      </c>
      <c r="D505" s="2" t="s">
        <v>1</v>
      </c>
      <c r="E505" s="2" t="s">
        <v>134</v>
      </c>
      <c r="F505" s="2" t="s">
        <v>1012</v>
      </c>
      <c r="G505" s="2" t="s">
        <v>1013</v>
      </c>
      <c r="H505" s="2" t="s">
        <v>758</v>
      </c>
      <c r="I505" s="2" t="s">
        <v>42</v>
      </c>
      <c r="J505" s="2">
        <v>1</v>
      </c>
      <c r="K505" s="2" t="s">
        <v>82</v>
      </c>
      <c r="L505" s="2" t="s">
        <v>41</v>
      </c>
      <c r="M505" s="2" t="s">
        <v>135</v>
      </c>
      <c r="N505" s="2" t="s">
        <v>1011</v>
      </c>
      <c r="O505" s="2" t="s">
        <v>759</v>
      </c>
      <c r="P505" s="2" t="s">
        <v>5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1768</v>
      </c>
      <c r="T505" s="2" t="str">
        <f t="shared" si="114"/>
        <v>06E8</v>
      </c>
      <c r="U505" s="2">
        <f t="shared" si="120"/>
        <v>442</v>
      </c>
      <c r="V505" s="2" t="str">
        <f t="shared" si="115"/>
        <v>1BA</v>
      </c>
      <c r="W505" s="2" t="str">
        <f t="shared" si="116"/>
        <v/>
      </c>
      <c r="X505" s="2" t="str">
        <f t="shared" si="117"/>
        <v/>
      </c>
      <c r="Y505" s="2" t="str">
        <f t="shared" si="118"/>
        <v/>
      </c>
      <c r="Z505" s="2" t="str">
        <f t="shared" si="119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1008</v>
      </c>
      <c r="D506" s="2" t="s">
        <v>1</v>
      </c>
      <c r="E506" s="2" t="s">
        <v>134</v>
      </c>
      <c r="F506" s="2" t="s">
        <v>1012</v>
      </c>
      <c r="G506" s="2" t="s">
        <v>1013</v>
      </c>
      <c r="H506" s="2" t="s">
        <v>760</v>
      </c>
      <c r="I506" s="2" t="s">
        <v>42</v>
      </c>
      <c r="J506" s="2">
        <v>1</v>
      </c>
      <c r="K506" s="2" t="s">
        <v>82</v>
      </c>
      <c r="L506" s="2" t="s">
        <v>41</v>
      </c>
      <c r="M506" s="2" t="s">
        <v>135</v>
      </c>
      <c r="N506" s="2" t="s">
        <v>1011</v>
      </c>
      <c r="O506" s="2" t="s">
        <v>761</v>
      </c>
      <c r="P506" s="2" t="s">
        <v>5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1772</v>
      </c>
      <c r="T506" s="2" t="str">
        <f t="shared" si="114"/>
        <v>06EC</v>
      </c>
      <c r="U506" s="2">
        <f t="shared" si="120"/>
        <v>443</v>
      </c>
      <c r="V506" s="2" t="str">
        <f t="shared" si="115"/>
        <v>1BB</v>
      </c>
      <c r="W506" s="2" t="str">
        <f t="shared" si="116"/>
        <v/>
      </c>
      <c r="X506" s="2" t="str">
        <f t="shared" si="117"/>
        <v/>
      </c>
      <c r="Y506" s="2" t="str">
        <f t="shared" si="118"/>
        <v/>
      </c>
      <c r="Z506" s="2" t="str">
        <f t="shared" si="119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1008</v>
      </c>
      <c r="D507" s="2" t="s">
        <v>1</v>
      </c>
      <c r="E507" s="2" t="s">
        <v>134</v>
      </c>
      <c r="F507" s="2" t="s">
        <v>1012</v>
      </c>
      <c r="G507" s="2" t="s">
        <v>1013</v>
      </c>
      <c r="H507" s="2" t="s">
        <v>762</v>
      </c>
      <c r="I507" s="2" t="s">
        <v>42</v>
      </c>
      <c r="J507" s="2">
        <v>1</v>
      </c>
      <c r="K507" s="2" t="s">
        <v>82</v>
      </c>
      <c r="L507" s="2" t="s">
        <v>41</v>
      </c>
      <c r="M507" s="2" t="s">
        <v>135</v>
      </c>
      <c r="N507" s="2" t="s">
        <v>1011</v>
      </c>
      <c r="O507" s="2" t="s">
        <v>763</v>
      </c>
      <c r="P507" s="2" t="s">
        <v>5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1776</v>
      </c>
      <c r="T507" s="2" t="str">
        <f t="shared" si="114"/>
        <v>06F0</v>
      </c>
      <c r="U507" s="2">
        <f t="shared" si="120"/>
        <v>444</v>
      </c>
      <c r="V507" s="2" t="str">
        <f t="shared" si="115"/>
        <v>1BC</v>
      </c>
      <c r="W507" s="2" t="str">
        <f t="shared" si="116"/>
        <v/>
      </c>
      <c r="X507" s="2" t="str">
        <f t="shared" si="117"/>
        <v/>
      </c>
      <c r="Y507" s="2" t="str">
        <f t="shared" si="118"/>
        <v/>
      </c>
      <c r="Z507" s="2" t="str">
        <f t="shared" si="119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1008</v>
      </c>
      <c r="D508" s="2" t="s">
        <v>1</v>
      </c>
      <c r="E508" s="2" t="s">
        <v>134</v>
      </c>
      <c r="F508" s="2" t="s">
        <v>1012</v>
      </c>
      <c r="G508" s="2" t="s">
        <v>1013</v>
      </c>
      <c r="H508" s="2" t="s">
        <v>764</v>
      </c>
      <c r="I508" s="2" t="s">
        <v>42</v>
      </c>
      <c r="J508" s="2">
        <v>1</v>
      </c>
      <c r="K508" s="2" t="s">
        <v>82</v>
      </c>
      <c r="L508" s="2" t="s">
        <v>41</v>
      </c>
      <c r="M508" s="2" t="s">
        <v>135</v>
      </c>
      <c r="N508" s="2" t="s">
        <v>1011</v>
      </c>
      <c r="O508" s="2" t="s">
        <v>765</v>
      </c>
      <c r="P508" s="2" t="s">
        <v>5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1780</v>
      </c>
      <c r="T508" s="2" t="str">
        <f t="shared" si="114"/>
        <v>06F4</v>
      </c>
      <c r="U508" s="2">
        <f t="shared" si="120"/>
        <v>445</v>
      </c>
      <c r="V508" s="2" t="str">
        <f t="shared" si="115"/>
        <v>1BD</v>
      </c>
      <c r="W508" s="2" t="str">
        <f t="shared" si="116"/>
        <v/>
      </c>
      <c r="X508" s="2" t="str">
        <f t="shared" si="117"/>
        <v/>
      </c>
      <c r="Y508" s="2" t="str">
        <f t="shared" si="118"/>
        <v/>
      </c>
      <c r="Z508" s="2" t="str">
        <f t="shared" si="119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1008</v>
      </c>
      <c r="D509" s="2" t="s">
        <v>1</v>
      </c>
      <c r="E509" s="2" t="s">
        <v>134</v>
      </c>
      <c r="F509" s="2" t="s">
        <v>1012</v>
      </c>
      <c r="G509" s="2" t="s">
        <v>1013</v>
      </c>
      <c r="H509" s="2" t="s">
        <v>766</v>
      </c>
      <c r="I509" s="2" t="s">
        <v>42</v>
      </c>
      <c r="J509" s="2">
        <v>1</v>
      </c>
      <c r="K509" s="2" t="s">
        <v>82</v>
      </c>
      <c r="L509" s="2" t="s">
        <v>41</v>
      </c>
      <c r="M509" s="2" t="s">
        <v>135</v>
      </c>
      <c r="N509" s="2" t="s">
        <v>1011</v>
      </c>
      <c r="O509" s="2" t="s">
        <v>767</v>
      </c>
      <c r="P509" s="2" t="s">
        <v>5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1784</v>
      </c>
      <c r="T509" s="2" t="str">
        <f t="shared" si="114"/>
        <v>06F8</v>
      </c>
      <c r="U509" s="2">
        <f t="shared" si="120"/>
        <v>446</v>
      </c>
      <c r="V509" s="2" t="str">
        <f t="shared" si="115"/>
        <v>1BE</v>
      </c>
      <c r="W509" s="2" t="str">
        <f t="shared" si="116"/>
        <v/>
      </c>
      <c r="X509" s="2" t="str">
        <f t="shared" si="117"/>
        <v/>
      </c>
      <c r="Y509" s="2" t="str">
        <f t="shared" si="118"/>
        <v/>
      </c>
      <c r="Z509" s="2" t="str">
        <f t="shared" si="119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1008</v>
      </c>
      <c r="D510" s="2" t="s">
        <v>1</v>
      </c>
      <c r="E510" s="2" t="s">
        <v>134</v>
      </c>
      <c r="F510" s="2" t="s">
        <v>1012</v>
      </c>
      <c r="G510" s="2" t="s">
        <v>1013</v>
      </c>
      <c r="H510" s="2" t="s">
        <v>768</v>
      </c>
      <c r="I510" s="2" t="s">
        <v>42</v>
      </c>
      <c r="J510" s="2">
        <v>1</v>
      </c>
      <c r="K510" s="2" t="s">
        <v>82</v>
      </c>
      <c r="L510" s="2" t="s">
        <v>41</v>
      </c>
      <c r="M510" s="2" t="s">
        <v>135</v>
      </c>
      <c r="N510" s="2" t="s">
        <v>1011</v>
      </c>
      <c r="O510" s="2" t="s">
        <v>769</v>
      </c>
      <c r="P510" s="2" t="s">
        <v>5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1788</v>
      </c>
      <c r="T510" s="2" t="str">
        <f t="shared" si="114"/>
        <v>06FC</v>
      </c>
      <c r="U510" s="2">
        <f t="shared" si="120"/>
        <v>447</v>
      </c>
      <c r="V510" s="2" t="str">
        <f t="shared" si="115"/>
        <v>1BF</v>
      </c>
      <c r="W510" s="2" t="str">
        <f t="shared" si="116"/>
        <v/>
      </c>
      <c r="X510" s="2" t="str">
        <f t="shared" si="117"/>
        <v/>
      </c>
      <c r="Y510" s="2" t="str">
        <f t="shared" si="118"/>
        <v/>
      </c>
      <c r="Z510" s="2" t="str">
        <f t="shared" si="119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1008</v>
      </c>
      <c r="D511" s="2" t="s">
        <v>1</v>
      </c>
      <c r="E511" s="2" t="s">
        <v>134</v>
      </c>
      <c r="F511" s="2" t="s">
        <v>1012</v>
      </c>
      <c r="G511" s="2" t="s">
        <v>1013</v>
      </c>
      <c r="H511" s="2" t="s">
        <v>770</v>
      </c>
      <c r="I511" s="2" t="s">
        <v>42</v>
      </c>
      <c r="J511" s="2">
        <v>1</v>
      </c>
      <c r="K511" s="2" t="s">
        <v>82</v>
      </c>
      <c r="L511" s="2" t="s">
        <v>41</v>
      </c>
      <c r="M511" s="2" t="s">
        <v>135</v>
      </c>
      <c r="N511" s="2" t="s">
        <v>1011</v>
      </c>
      <c r="O511" s="2" t="s">
        <v>771</v>
      </c>
      <c r="P511" s="2" t="s">
        <v>5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1792</v>
      </c>
      <c r="T511" s="2" t="str">
        <f t="shared" si="114"/>
        <v>0700</v>
      </c>
      <c r="U511" s="2">
        <f t="shared" si="120"/>
        <v>448</v>
      </c>
      <c r="V511" s="2" t="str">
        <f t="shared" si="115"/>
        <v>1C0</v>
      </c>
      <c r="W511" s="2" t="str">
        <f t="shared" si="116"/>
        <v/>
      </c>
      <c r="X511" s="2" t="str">
        <f t="shared" si="117"/>
        <v/>
      </c>
      <c r="Y511" s="2" t="str">
        <f t="shared" si="118"/>
        <v/>
      </c>
      <c r="Z511" s="2" t="str">
        <f t="shared" si="119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1008</v>
      </c>
      <c r="D512" s="2" t="s">
        <v>1</v>
      </c>
      <c r="E512" s="2" t="s">
        <v>134</v>
      </c>
      <c r="F512" s="2" t="s">
        <v>1012</v>
      </c>
      <c r="G512" s="2" t="s">
        <v>1013</v>
      </c>
      <c r="H512" s="2" t="s">
        <v>772</v>
      </c>
      <c r="I512" s="2" t="s">
        <v>42</v>
      </c>
      <c r="J512" s="2">
        <v>1</v>
      </c>
      <c r="K512" s="2" t="s">
        <v>136</v>
      </c>
      <c r="L512" s="2" t="s">
        <v>41</v>
      </c>
      <c r="M512" s="2" t="s">
        <v>135</v>
      </c>
      <c r="N512" s="2" t="s">
        <v>1011</v>
      </c>
      <c r="O512" s="2" t="s">
        <v>773</v>
      </c>
      <c r="P512" s="2" t="s">
        <v>5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1796</v>
      </c>
      <c r="T512" s="2" t="str">
        <f t="shared" si="114"/>
        <v>0704</v>
      </c>
      <c r="U512" s="2">
        <f t="shared" si="120"/>
        <v>449</v>
      </c>
      <c r="V512" s="2" t="str">
        <f t="shared" si="115"/>
        <v>1C1</v>
      </c>
      <c r="W512" s="2" t="str">
        <f t="shared" si="116"/>
        <v/>
      </c>
      <c r="X512" s="2" t="str">
        <f t="shared" si="117"/>
        <v/>
      </c>
      <c r="Y512" s="2" t="str">
        <f t="shared" si="118"/>
        <v/>
      </c>
      <c r="Z512" s="2" t="str">
        <f t="shared" si="119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1008</v>
      </c>
      <c r="D513" s="2" t="s">
        <v>1</v>
      </c>
      <c r="E513" s="2" t="s">
        <v>134</v>
      </c>
      <c r="F513" s="2" t="s">
        <v>1012</v>
      </c>
      <c r="G513" s="2" t="s">
        <v>1013</v>
      </c>
      <c r="H513" s="2" t="s">
        <v>774</v>
      </c>
      <c r="I513" s="2" t="s">
        <v>42</v>
      </c>
      <c r="J513" s="2">
        <v>1</v>
      </c>
      <c r="K513" s="2" t="s">
        <v>136</v>
      </c>
      <c r="L513" s="2" t="s">
        <v>41</v>
      </c>
      <c r="M513" s="2" t="s">
        <v>135</v>
      </c>
      <c r="N513" s="2" t="s">
        <v>1011</v>
      </c>
      <c r="O513" s="2" t="s">
        <v>775</v>
      </c>
      <c r="P513" s="2" t="s">
        <v>5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1800</v>
      </c>
      <c r="T513" s="2" t="str">
        <f t="shared" si="114"/>
        <v>0708</v>
      </c>
      <c r="U513" s="2">
        <f t="shared" si="120"/>
        <v>450</v>
      </c>
      <c r="V513" s="2" t="str">
        <f t="shared" si="115"/>
        <v>1C2</v>
      </c>
      <c r="W513" s="2" t="str">
        <f t="shared" si="116"/>
        <v/>
      </c>
      <c r="X513" s="2" t="str">
        <f t="shared" si="117"/>
        <v/>
      </c>
      <c r="Y513" s="2" t="str">
        <f t="shared" si="118"/>
        <v/>
      </c>
      <c r="Z513" s="2" t="str">
        <f t="shared" si="119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1008</v>
      </c>
      <c r="D514" s="2" t="s">
        <v>1</v>
      </c>
      <c r="E514" s="2" t="s">
        <v>134</v>
      </c>
      <c r="F514" s="2" t="s">
        <v>1012</v>
      </c>
      <c r="G514" s="2" t="s">
        <v>1013</v>
      </c>
      <c r="H514" s="2" t="s">
        <v>776</v>
      </c>
      <c r="I514" s="2" t="s">
        <v>42</v>
      </c>
      <c r="J514" s="2">
        <v>1</v>
      </c>
      <c r="K514" s="2" t="s">
        <v>136</v>
      </c>
      <c r="L514" s="2" t="s">
        <v>41</v>
      </c>
      <c r="M514" s="2" t="s">
        <v>135</v>
      </c>
      <c r="N514" s="2" t="s">
        <v>1011</v>
      </c>
      <c r="O514" s="2" t="s">
        <v>777</v>
      </c>
      <c r="P514" s="2" t="s">
        <v>5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1804</v>
      </c>
      <c r="T514" s="2" t="str">
        <f t="shared" si="114"/>
        <v>070C</v>
      </c>
      <c r="U514" s="2">
        <f t="shared" si="120"/>
        <v>451</v>
      </c>
      <c r="V514" s="2" t="str">
        <f t="shared" si="115"/>
        <v>1C3</v>
      </c>
      <c r="W514" s="2" t="str">
        <f t="shared" si="116"/>
        <v/>
      </c>
      <c r="X514" s="2" t="str">
        <f t="shared" si="117"/>
        <v/>
      </c>
      <c r="Y514" s="2" t="str">
        <f t="shared" si="118"/>
        <v/>
      </c>
      <c r="Z514" s="2" t="str">
        <f t="shared" si="119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1008</v>
      </c>
      <c r="D515" s="2" t="s">
        <v>1</v>
      </c>
      <c r="E515" s="2" t="s">
        <v>134</v>
      </c>
      <c r="F515" s="2" t="s">
        <v>1012</v>
      </c>
      <c r="G515" s="2" t="s">
        <v>1013</v>
      </c>
      <c r="H515" s="2" t="s">
        <v>778</v>
      </c>
      <c r="I515" s="2" t="s">
        <v>42</v>
      </c>
      <c r="J515" s="2">
        <v>1</v>
      </c>
      <c r="K515" s="2" t="s">
        <v>136</v>
      </c>
      <c r="L515" s="2" t="s">
        <v>41</v>
      </c>
      <c r="M515" s="2" t="s">
        <v>135</v>
      </c>
      <c r="N515" s="2" t="s">
        <v>1011</v>
      </c>
      <c r="O515" s="2" t="s">
        <v>779</v>
      </c>
      <c r="P515" s="2" t="s">
        <v>5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1808</v>
      </c>
      <c r="T515" s="2" t="str">
        <f t="shared" si="114"/>
        <v>0710</v>
      </c>
      <c r="U515" s="2">
        <f t="shared" si="120"/>
        <v>452</v>
      </c>
      <c r="V515" s="2" t="str">
        <f t="shared" si="115"/>
        <v>1C4</v>
      </c>
      <c r="W515" s="2" t="str">
        <f t="shared" si="116"/>
        <v/>
      </c>
      <c r="X515" s="2" t="str">
        <f t="shared" si="117"/>
        <v/>
      </c>
      <c r="Y515" s="2" t="str">
        <f t="shared" si="118"/>
        <v/>
      </c>
      <c r="Z515" s="2" t="str">
        <f t="shared" si="119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1008</v>
      </c>
      <c r="D516" s="2" t="s">
        <v>1</v>
      </c>
      <c r="E516" s="2" t="s">
        <v>134</v>
      </c>
      <c r="F516" s="2" t="s">
        <v>1012</v>
      </c>
      <c r="G516" s="2" t="s">
        <v>1013</v>
      </c>
      <c r="H516" s="2" t="s">
        <v>780</v>
      </c>
      <c r="I516" s="2" t="s">
        <v>42</v>
      </c>
      <c r="J516" s="2">
        <v>1</v>
      </c>
      <c r="K516" s="2" t="s">
        <v>82</v>
      </c>
      <c r="L516" s="2" t="s">
        <v>41</v>
      </c>
      <c r="M516" s="2" t="s">
        <v>135</v>
      </c>
      <c r="N516" s="2" t="s">
        <v>1011</v>
      </c>
      <c r="O516" s="2" t="s">
        <v>781</v>
      </c>
      <c r="P516" s="2" t="s">
        <v>5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1812</v>
      </c>
      <c r="T516" s="2" t="str">
        <f t="shared" si="114"/>
        <v>0714</v>
      </c>
      <c r="U516" s="2">
        <f t="shared" si="120"/>
        <v>453</v>
      </c>
      <c r="V516" s="2" t="str">
        <f t="shared" si="115"/>
        <v>1C5</v>
      </c>
      <c r="W516" s="2" t="str">
        <f t="shared" si="116"/>
        <v/>
      </c>
      <c r="X516" s="2" t="str">
        <f t="shared" si="117"/>
        <v/>
      </c>
      <c r="Y516" s="2" t="str">
        <f t="shared" si="118"/>
        <v/>
      </c>
      <c r="Z516" s="2" t="str">
        <f t="shared" si="119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1008</v>
      </c>
      <c r="D517" s="2" t="s">
        <v>1</v>
      </c>
      <c r="E517" s="2" t="s">
        <v>134</v>
      </c>
      <c r="F517" s="2" t="s">
        <v>1012</v>
      </c>
      <c r="G517" s="2" t="s">
        <v>1013</v>
      </c>
      <c r="H517" s="2" t="s">
        <v>782</v>
      </c>
      <c r="I517" s="2" t="s">
        <v>42</v>
      </c>
      <c r="J517" s="2">
        <v>1</v>
      </c>
      <c r="K517" s="2" t="s">
        <v>82</v>
      </c>
      <c r="L517" s="2" t="s">
        <v>41</v>
      </c>
      <c r="M517" s="2" t="s">
        <v>135</v>
      </c>
      <c r="N517" s="2" t="s">
        <v>1011</v>
      </c>
      <c r="O517" s="2" t="s">
        <v>783</v>
      </c>
      <c r="P517" s="2" t="s">
        <v>5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1816</v>
      </c>
      <c r="T517" s="2" t="str">
        <f t="shared" ref="T517:T580" si="129">DEC2HEX($S517,4)</f>
        <v>0718</v>
      </c>
      <c r="U517" s="2">
        <f t="shared" si="120"/>
        <v>454</v>
      </c>
      <c r="V517" s="2" t="str">
        <f t="shared" ref="V517:V580" si="130">DEC2HEX($U517,3)</f>
        <v>1C6</v>
      </c>
      <c r="W517" s="2" t="str">
        <f t="shared" ref="W517:W580" si="131">IF(MOD($S517,4)=3,"X",IF(AND(MOD($S517,4)=2,$J517&gt;8),"X",IF(AND(MOD($S517,4)=1,$J517&gt;16),"X",IF(AND(MOD($S517,4)=0,$J517&gt;24),"X",""))))</f>
        <v/>
      </c>
      <c r="X517" s="2" t="str">
        <f t="shared" si="117"/>
        <v/>
      </c>
      <c r="Y517" s="2" t="str">
        <f t="shared" si="118"/>
        <v/>
      </c>
      <c r="Z517" s="2" t="str">
        <f t="shared" si="119"/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1008</v>
      </c>
      <c r="D518" s="2" t="s">
        <v>1</v>
      </c>
      <c r="E518" s="2" t="s">
        <v>134</v>
      </c>
      <c r="F518" s="2" t="s">
        <v>1012</v>
      </c>
      <c r="G518" s="2" t="s">
        <v>1013</v>
      </c>
      <c r="H518" s="2" t="s">
        <v>784</v>
      </c>
      <c r="I518" s="2" t="s">
        <v>42</v>
      </c>
      <c r="J518" s="2">
        <v>1</v>
      </c>
      <c r="K518" s="2" t="s">
        <v>82</v>
      </c>
      <c r="L518" s="2" t="s">
        <v>41</v>
      </c>
      <c r="M518" s="2" t="s">
        <v>135</v>
      </c>
      <c r="N518" s="2" t="s">
        <v>1011</v>
      </c>
      <c r="O518" s="2" t="s">
        <v>785</v>
      </c>
      <c r="P518" s="2" t="s">
        <v>5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1820</v>
      </c>
      <c r="T518" s="2" t="str">
        <f t="shared" si="129"/>
        <v>071C</v>
      </c>
      <c r="U518" s="2">
        <f t="shared" si="120"/>
        <v>455</v>
      </c>
      <c r="V518" s="2" t="str">
        <f t="shared" si="130"/>
        <v>1C7</v>
      </c>
      <c r="W518" s="2" t="str">
        <f t="shared" si="131"/>
        <v/>
      </c>
      <c r="X518" s="2" t="str">
        <f t="shared" si="117"/>
        <v/>
      </c>
      <c r="Y518" s="2" t="str">
        <f t="shared" si="118"/>
        <v/>
      </c>
      <c r="Z518" s="2" t="str">
        <f t="shared" si="119"/>
        <v>X</v>
      </c>
      <c r="AA518" s="2" t="str">
        <f t="shared" si="121"/>
        <v/>
      </c>
      <c r="AB518" s="2" t="str">
        <f t="shared" si="122"/>
        <v/>
      </c>
      <c r="AC518" s="2" t="str">
        <f t="shared" si="123"/>
        <v/>
      </c>
      <c r="AD518" s="2" t="str">
        <f t="shared" si="124"/>
        <v>(0)</v>
      </c>
      <c r="AE518" s="2" t="str">
        <f t="shared" si="125"/>
        <v/>
      </c>
      <c r="AF518" s="2" t="str">
        <f t="shared" si="126"/>
        <v/>
      </c>
      <c r="AG518" s="2" t="str">
        <f t="shared" si="127"/>
        <v/>
      </c>
      <c r="AH518" s="2" t="str">
        <f t="shared" si="128"/>
        <v/>
      </c>
    </row>
    <row r="519" spans="2:34" x14ac:dyDescent="0.25">
      <c r="B519" s="2" t="s">
        <v>1008</v>
      </c>
      <c r="D519" s="2" t="s">
        <v>1</v>
      </c>
      <c r="E519" s="2" t="s">
        <v>134</v>
      </c>
      <c r="F519" s="2" t="s">
        <v>1012</v>
      </c>
      <c r="G519" s="2" t="s">
        <v>1013</v>
      </c>
      <c r="H519" s="2" t="s">
        <v>786</v>
      </c>
      <c r="I519" s="2" t="s">
        <v>42</v>
      </c>
      <c r="J519" s="2">
        <v>1</v>
      </c>
      <c r="K519" s="2" t="s">
        <v>82</v>
      </c>
      <c r="L519" s="2" t="s">
        <v>41</v>
      </c>
      <c r="M519" s="2" t="s">
        <v>135</v>
      </c>
      <c r="N519" s="2" t="s">
        <v>1011</v>
      </c>
      <c r="O519" s="2" t="s">
        <v>787</v>
      </c>
      <c r="P519" s="2" t="s">
        <v>5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1824</v>
      </c>
      <c r="T519" s="2" t="str">
        <f t="shared" si="129"/>
        <v>0720</v>
      </c>
      <c r="U519" s="2">
        <f t="shared" si="120"/>
        <v>456</v>
      </c>
      <c r="V519" s="2" t="str">
        <f t="shared" si="130"/>
        <v>1C8</v>
      </c>
      <c r="W519" s="2" t="str">
        <f t="shared" si="131"/>
        <v/>
      </c>
      <c r="X519" s="2" t="str">
        <f t="shared" si="117"/>
        <v/>
      </c>
      <c r="Y519" s="2" t="str">
        <f t="shared" si="118"/>
        <v/>
      </c>
      <c r="Z519" s="2" t="str">
        <f t="shared" si="119"/>
        <v>X</v>
      </c>
      <c r="AA519" s="2" t="str">
        <f t="shared" si="121"/>
        <v/>
      </c>
      <c r="AB519" s="2" t="str">
        <f t="shared" si="122"/>
        <v/>
      </c>
      <c r="AC519" s="2" t="str">
        <f t="shared" si="123"/>
        <v/>
      </c>
      <c r="AD519" s="2" t="str">
        <f t="shared" si="124"/>
        <v>(0)</v>
      </c>
      <c r="AE519" s="2" t="str">
        <f t="shared" si="125"/>
        <v/>
      </c>
      <c r="AF519" s="2" t="str">
        <f t="shared" si="126"/>
        <v/>
      </c>
      <c r="AG519" s="2" t="str">
        <f t="shared" si="127"/>
        <v/>
      </c>
      <c r="AH519" s="2" t="str">
        <f t="shared" si="128"/>
        <v/>
      </c>
    </row>
    <row r="520" spans="2:34" x14ac:dyDescent="0.25">
      <c r="B520" s="2" t="s">
        <v>1008</v>
      </c>
      <c r="D520" s="2" t="s">
        <v>1</v>
      </c>
      <c r="E520" s="2" t="s">
        <v>134</v>
      </c>
      <c r="F520" s="2" t="s">
        <v>1012</v>
      </c>
      <c r="G520" s="2" t="s">
        <v>1013</v>
      </c>
      <c r="H520" s="2" t="s">
        <v>788</v>
      </c>
      <c r="I520" s="2" t="s">
        <v>42</v>
      </c>
      <c r="J520" s="2">
        <v>1</v>
      </c>
      <c r="K520" s="2" t="s">
        <v>82</v>
      </c>
      <c r="L520" s="2" t="s">
        <v>41</v>
      </c>
      <c r="M520" s="2" t="s">
        <v>135</v>
      </c>
      <c r="N520" s="2" t="s">
        <v>1011</v>
      </c>
      <c r="O520" s="2" t="s">
        <v>789</v>
      </c>
      <c r="P520" s="2" t="s">
        <v>5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1828</v>
      </c>
      <c r="T520" s="2" t="str">
        <f t="shared" si="129"/>
        <v>0724</v>
      </c>
      <c r="U520" s="2">
        <f t="shared" si="120"/>
        <v>457</v>
      </c>
      <c r="V520" s="2" t="str">
        <f t="shared" si="130"/>
        <v>1C9</v>
      </c>
      <c r="W520" s="2" t="str">
        <f t="shared" si="131"/>
        <v/>
      </c>
      <c r="X520" s="2" t="str">
        <f t="shared" si="117"/>
        <v/>
      </c>
      <c r="Y520" s="2" t="str">
        <f t="shared" si="118"/>
        <v/>
      </c>
      <c r="Z520" s="2" t="str">
        <f t="shared" si="119"/>
        <v>X</v>
      </c>
      <c r="AA520" s="2" t="str">
        <f t="shared" si="121"/>
        <v/>
      </c>
      <c r="AB520" s="2" t="str">
        <f t="shared" si="122"/>
        <v/>
      </c>
      <c r="AC520" s="2" t="str">
        <f t="shared" si="123"/>
        <v/>
      </c>
      <c r="AD520" s="2" t="str">
        <f t="shared" si="124"/>
        <v>(0)</v>
      </c>
      <c r="AE520" s="2" t="str">
        <f t="shared" si="125"/>
        <v/>
      </c>
      <c r="AF520" s="2" t="str">
        <f t="shared" si="126"/>
        <v/>
      </c>
      <c r="AG520" s="2" t="str">
        <f t="shared" si="127"/>
        <v/>
      </c>
      <c r="AH520" s="2" t="str">
        <f t="shared" si="128"/>
        <v/>
      </c>
    </row>
    <row r="521" spans="2:34" x14ac:dyDescent="0.25">
      <c r="B521" s="2" t="s">
        <v>1008</v>
      </c>
      <c r="D521" s="2" t="s">
        <v>1</v>
      </c>
      <c r="E521" s="2" t="s">
        <v>134</v>
      </c>
      <c r="F521" s="2" t="s">
        <v>1012</v>
      </c>
      <c r="G521" s="2" t="s">
        <v>1013</v>
      </c>
      <c r="H521" s="2" t="s">
        <v>790</v>
      </c>
      <c r="I521" s="2" t="s">
        <v>42</v>
      </c>
      <c r="J521" s="2">
        <v>1</v>
      </c>
      <c r="K521" s="2" t="s">
        <v>82</v>
      </c>
      <c r="L521" s="2" t="s">
        <v>41</v>
      </c>
      <c r="M521" s="2" t="s">
        <v>135</v>
      </c>
      <c r="N521" s="2" t="s">
        <v>1011</v>
      </c>
      <c r="O521" s="2" t="s">
        <v>791</v>
      </c>
      <c r="P521" s="2" t="s">
        <v>5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1832</v>
      </c>
      <c r="T521" s="2" t="str">
        <f t="shared" si="129"/>
        <v>0728</v>
      </c>
      <c r="U521" s="2">
        <f t="shared" si="120"/>
        <v>458</v>
      </c>
      <c r="V521" s="2" t="str">
        <f t="shared" si="130"/>
        <v>1CA</v>
      </c>
      <c r="W521" s="2" t="str">
        <f t="shared" si="131"/>
        <v/>
      </c>
      <c r="X521" s="2" t="str">
        <f t="shared" si="117"/>
        <v/>
      </c>
      <c r="Y521" s="2" t="str">
        <f t="shared" si="118"/>
        <v/>
      </c>
      <c r="Z521" s="2" t="str">
        <f t="shared" si="119"/>
        <v>X</v>
      </c>
      <c r="AA521" s="2" t="str">
        <f t="shared" si="121"/>
        <v/>
      </c>
      <c r="AB521" s="2" t="str">
        <f t="shared" si="122"/>
        <v/>
      </c>
      <c r="AC521" s="2" t="str">
        <f t="shared" si="123"/>
        <v/>
      </c>
      <c r="AD521" s="2" t="str">
        <f t="shared" si="124"/>
        <v>(0)</v>
      </c>
      <c r="AE521" s="2" t="str">
        <f t="shared" si="125"/>
        <v/>
      </c>
      <c r="AF521" s="2" t="str">
        <f t="shared" si="126"/>
        <v/>
      </c>
      <c r="AG521" s="2" t="str">
        <f t="shared" si="127"/>
        <v/>
      </c>
      <c r="AH521" s="2" t="str">
        <f t="shared" si="128"/>
        <v/>
      </c>
    </row>
    <row r="522" spans="2:34" x14ac:dyDescent="0.25">
      <c r="B522" s="2" t="s">
        <v>1008</v>
      </c>
      <c r="D522" s="2" t="s">
        <v>1</v>
      </c>
      <c r="E522" s="2" t="s">
        <v>134</v>
      </c>
      <c r="F522" s="2" t="s">
        <v>1012</v>
      </c>
      <c r="G522" s="2" t="s">
        <v>1013</v>
      </c>
      <c r="H522" s="2" t="s">
        <v>792</v>
      </c>
      <c r="I522" s="2" t="s">
        <v>42</v>
      </c>
      <c r="J522" s="2">
        <v>1</v>
      </c>
      <c r="K522" s="2" t="s">
        <v>82</v>
      </c>
      <c r="L522" s="2" t="s">
        <v>41</v>
      </c>
      <c r="M522" s="2" t="s">
        <v>135</v>
      </c>
      <c r="N522" s="2" t="s">
        <v>1011</v>
      </c>
      <c r="O522" s="2" t="s">
        <v>793</v>
      </c>
      <c r="P522" s="2" t="s">
        <v>5</v>
      </c>
      <c r="Q522" s="2">
        <f>INDEX(Tables!$C$4:$C$28,MATCH($P522,Tables!$B$4:$B$28,0))</f>
        <v>32</v>
      </c>
      <c r="R522" s="2">
        <f>INDEX(Tables!$D$4:$D$28,MATCH($P522,Tables!$B$4:$B$28,0))</f>
        <v>4</v>
      </c>
      <c r="S522" s="2">
        <f>$S521+$R521+INDEX(Tables!$N$5:$Q$8,MATCH(MOD($S521+$R521,4),Tables!$M$5:$M$8,0),MATCH($R522,Tables!$N$4:$Q$4,0))</f>
        <v>1836</v>
      </c>
      <c r="T522" s="2" t="str">
        <f t="shared" si="129"/>
        <v>072C</v>
      </c>
      <c r="U522" s="2">
        <f t="shared" si="120"/>
        <v>459</v>
      </c>
      <c r="V522" s="2" t="str">
        <f t="shared" si="130"/>
        <v>1CB</v>
      </c>
      <c r="W522" s="2" t="str">
        <f t="shared" si="131"/>
        <v/>
      </c>
      <c r="X522" s="2" t="str">
        <f t="shared" si="117"/>
        <v/>
      </c>
      <c r="Y522" s="2" t="str">
        <f t="shared" si="118"/>
        <v/>
      </c>
      <c r="Z522" s="2" t="str">
        <f t="shared" si="119"/>
        <v>X</v>
      </c>
      <c r="AA522" s="2" t="str">
        <f t="shared" si="121"/>
        <v/>
      </c>
      <c r="AB522" s="2" t="str">
        <f t="shared" si="122"/>
        <v/>
      </c>
      <c r="AC522" s="2" t="str">
        <f t="shared" si="123"/>
        <v/>
      </c>
      <c r="AD522" s="2" t="str">
        <f t="shared" si="124"/>
        <v>(0)</v>
      </c>
      <c r="AE522" s="2" t="str">
        <f t="shared" si="125"/>
        <v/>
      </c>
      <c r="AF522" s="2" t="str">
        <f t="shared" si="126"/>
        <v/>
      </c>
      <c r="AG522" s="2" t="str">
        <f t="shared" si="127"/>
        <v/>
      </c>
      <c r="AH522" s="2" t="str">
        <f t="shared" si="128"/>
        <v/>
      </c>
    </row>
    <row r="523" spans="2:34" x14ac:dyDescent="0.25">
      <c r="B523" s="2" t="s">
        <v>1008</v>
      </c>
      <c r="D523" s="2" t="s">
        <v>1</v>
      </c>
      <c r="E523" s="2" t="s">
        <v>134</v>
      </c>
      <c r="F523" s="2" t="s">
        <v>1012</v>
      </c>
      <c r="G523" s="2" t="s">
        <v>1013</v>
      </c>
      <c r="H523" s="2" t="s">
        <v>794</v>
      </c>
      <c r="I523" s="2" t="s">
        <v>42</v>
      </c>
      <c r="J523" s="2">
        <v>1</v>
      </c>
      <c r="K523" s="2" t="s">
        <v>82</v>
      </c>
      <c r="L523" s="2" t="s">
        <v>41</v>
      </c>
      <c r="M523" s="2" t="s">
        <v>135</v>
      </c>
      <c r="N523" s="2" t="s">
        <v>1011</v>
      </c>
      <c r="O523" s="2" t="s">
        <v>795</v>
      </c>
      <c r="P523" s="2" t="s">
        <v>5</v>
      </c>
      <c r="Q523" s="2">
        <f>INDEX(Tables!$C$4:$C$28,MATCH($P523,Tables!$B$4:$B$28,0))</f>
        <v>32</v>
      </c>
      <c r="R523" s="2">
        <f>INDEX(Tables!$D$4:$D$28,MATCH($P523,Tables!$B$4:$B$28,0))</f>
        <v>4</v>
      </c>
      <c r="S523" s="2">
        <f>$S522+$R522+INDEX(Tables!$N$5:$Q$8,MATCH(MOD($S522+$R522,4),Tables!$M$5:$M$8,0),MATCH($R523,Tables!$N$4:$Q$4,0))</f>
        <v>1840</v>
      </c>
      <c r="T523" s="2" t="str">
        <f t="shared" si="129"/>
        <v>0730</v>
      </c>
      <c r="U523" s="2">
        <f t="shared" si="120"/>
        <v>460</v>
      </c>
      <c r="V523" s="2" t="str">
        <f t="shared" si="130"/>
        <v>1CC</v>
      </c>
      <c r="W523" s="2" t="str">
        <f t="shared" si="131"/>
        <v/>
      </c>
      <c r="X523" s="2" t="str">
        <f t="shared" si="117"/>
        <v/>
      </c>
      <c r="Y523" s="2" t="str">
        <f t="shared" si="118"/>
        <v/>
      </c>
      <c r="Z523" s="2" t="str">
        <f t="shared" si="119"/>
        <v>X</v>
      </c>
      <c r="AA523" s="2" t="str">
        <f t="shared" si="121"/>
        <v/>
      </c>
      <c r="AB523" s="2" t="str">
        <f t="shared" si="122"/>
        <v/>
      </c>
      <c r="AC523" s="2" t="str">
        <f t="shared" si="123"/>
        <v/>
      </c>
      <c r="AD523" s="2" t="str">
        <f t="shared" si="124"/>
        <v>(0)</v>
      </c>
      <c r="AE523" s="2" t="str">
        <f t="shared" si="125"/>
        <v/>
      </c>
      <c r="AF523" s="2" t="str">
        <f t="shared" si="126"/>
        <v/>
      </c>
      <c r="AG523" s="2" t="str">
        <f t="shared" si="127"/>
        <v/>
      </c>
      <c r="AH523" s="2" t="str">
        <f t="shared" si="128"/>
        <v/>
      </c>
    </row>
    <row r="524" spans="2:34" x14ac:dyDescent="0.25">
      <c r="B524" s="2" t="s">
        <v>1008</v>
      </c>
      <c r="D524" s="2" t="s">
        <v>1</v>
      </c>
      <c r="E524" s="2" t="s">
        <v>134</v>
      </c>
      <c r="F524" s="2" t="s">
        <v>1012</v>
      </c>
      <c r="G524" s="2" t="s">
        <v>1013</v>
      </c>
      <c r="H524" s="2" t="s">
        <v>796</v>
      </c>
      <c r="I524" s="2" t="s">
        <v>42</v>
      </c>
      <c r="J524" s="2">
        <v>1</v>
      </c>
      <c r="K524" s="2" t="s">
        <v>82</v>
      </c>
      <c r="L524" s="2" t="s">
        <v>41</v>
      </c>
      <c r="M524" s="2" t="s">
        <v>135</v>
      </c>
      <c r="N524" s="2" t="s">
        <v>1011</v>
      </c>
      <c r="O524" s="2" t="s">
        <v>797</v>
      </c>
      <c r="P524" s="2" t="s">
        <v>5</v>
      </c>
      <c r="Q524" s="2">
        <f>INDEX(Tables!$C$4:$C$28,MATCH($P524,Tables!$B$4:$B$28,0))</f>
        <v>32</v>
      </c>
      <c r="R524" s="2">
        <f>INDEX(Tables!$D$4:$D$28,MATCH($P524,Tables!$B$4:$B$28,0))</f>
        <v>4</v>
      </c>
      <c r="S524" s="2">
        <f>$S523+$R523+INDEX(Tables!$N$5:$Q$8,MATCH(MOD($S523+$R523,4),Tables!$M$5:$M$8,0),MATCH($R524,Tables!$N$4:$Q$4,0))</f>
        <v>1844</v>
      </c>
      <c r="T524" s="2" t="str">
        <f t="shared" si="129"/>
        <v>0734</v>
      </c>
      <c r="U524" s="2">
        <f t="shared" si="120"/>
        <v>461</v>
      </c>
      <c r="V524" s="2" t="str">
        <f t="shared" si="130"/>
        <v>1CD</v>
      </c>
      <c r="W524" s="2" t="str">
        <f t="shared" si="131"/>
        <v/>
      </c>
      <c r="X524" s="2" t="str">
        <f t="shared" si="117"/>
        <v/>
      </c>
      <c r="Y524" s="2" t="str">
        <f t="shared" si="118"/>
        <v/>
      </c>
      <c r="Z524" s="2" t="str">
        <f t="shared" si="119"/>
        <v>X</v>
      </c>
      <c r="AA524" s="2" t="str">
        <f t="shared" si="121"/>
        <v/>
      </c>
      <c r="AB524" s="2" t="str">
        <f t="shared" si="122"/>
        <v/>
      </c>
      <c r="AC524" s="2" t="str">
        <f t="shared" si="123"/>
        <v/>
      </c>
      <c r="AD524" s="2" t="str">
        <f t="shared" si="124"/>
        <v>(0)</v>
      </c>
      <c r="AE524" s="2" t="str">
        <f t="shared" si="125"/>
        <v/>
      </c>
      <c r="AF524" s="2" t="str">
        <f t="shared" si="126"/>
        <v/>
      </c>
      <c r="AG524" s="2" t="str">
        <f t="shared" si="127"/>
        <v/>
      </c>
      <c r="AH524" s="2" t="str">
        <f t="shared" si="128"/>
        <v/>
      </c>
    </row>
    <row r="525" spans="2:34" x14ac:dyDescent="0.25">
      <c r="B525" s="2" t="s">
        <v>1008</v>
      </c>
      <c r="D525" s="2" t="s">
        <v>1</v>
      </c>
      <c r="E525" s="2" t="s">
        <v>134</v>
      </c>
      <c r="F525" s="2" t="s">
        <v>1012</v>
      </c>
      <c r="G525" s="2" t="s">
        <v>1013</v>
      </c>
      <c r="H525" s="2" t="s">
        <v>798</v>
      </c>
      <c r="I525" s="2" t="s">
        <v>42</v>
      </c>
      <c r="J525" s="2">
        <v>1</v>
      </c>
      <c r="K525" s="2" t="s">
        <v>82</v>
      </c>
      <c r="L525" s="2" t="s">
        <v>41</v>
      </c>
      <c r="M525" s="2" t="s">
        <v>135</v>
      </c>
      <c r="N525" s="2" t="s">
        <v>1011</v>
      </c>
      <c r="O525" s="2" t="s">
        <v>799</v>
      </c>
      <c r="P525" s="2" t="s">
        <v>5</v>
      </c>
      <c r="Q525" s="2">
        <f>INDEX(Tables!$C$4:$C$28,MATCH($P525,Tables!$B$4:$B$28,0))</f>
        <v>32</v>
      </c>
      <c r="R525" s="2">
        <f>INDEX(Tables!$D$4:$D$28,MATCH($P525,Tables!$B$4:$B$28,0))</f>
        <v>4</v>
      </c>
      <c r="S525" s="2">
        <f>$S524+$R524+INDEX(Tables!$N$5:$Q$8,MATCH(MOD($S524+$R524,4),Tables!$M$5:$M$8,0),MATCH($R525,Tables!$N$4:$Q$4,0))</f>
        <v>1848</v>
      </c>
      <c r="T525" s="2" t="str">
        <f t="shared" si="129"/>
        <v>0738</v>
      </c>
      <c r="U525" s="2">
        <f t="shared" si="120"/>
        <v>462</v>
      </c>
      <c r="V525" s="2" t="str">
        <f t="shared" si="130"/>
        <v>1CE</v>
      </c>
      <c r="W525" s="2" t="str">
        <f t="shared" si="131"/>
        <v/>
      </c>
      <c r="X525" s="2" t="str">
        <f t="shared" si="117"/>
        <v/>
      </c>
      <c r="Y525" s="2" t="str">
        <f t="shared" si="118"/>
        <v/>
      </c>
      <c r="Z525" s="2" t="str">
        <f t="shared" si="119"/>
        <v>X</v>
      </c>
      <c r="AA525" s="2" t="str">
        <f t="shared" si="121"/>
        <v/>
      </c>
      <c r="AB525" s="2" t="str">
        <f t="shared" si="122"/>
        <v/>
      </c>
      <c r="AC525" s="2" t="str">
        <f t="shared" si="123"/>
        <v/>
      </c>
      <c r="AD525" s="2" t="str">
        <f t="shared" si="124"/>
        <v>(0)</v>
      </c>
      <c r="AE525" s="2" t="str">
        <f t="shared" si="125"/>
        <v/>
      </c>
      <c r="AF525" s="2" t="str">
        <f t="shared" si="126"/>
        <v/>
      </c>
      <c r="AG525" s="2" t="str">
        <f t="shared" si="127"/>
        <v/>
      </c>
      <c r="AH525" s="2" t="str">
        <f t="shared" si="128"/>
        <v/>
      </c>
    </row>
    <row r="526" spans="2:34" x14ac:dyDescent="0.25">
      <c r="B526" s="2" t="s">
        <v>1008</v>
      </c>
      <c r="D526" s="2" t="s">
        <v>1</v>
      </c>
      <c r="E526" s="2" t="s">
        <v>134</v>
      </c>
      <c r="F526" s="2" t="s">
        <v>1012</v>
      </c>
      <c r="G526" s="2" t="s">
        <v>1013</v>
      </c>
      <c r="H526" s="2" t="s">
        <v>800</v>
      </c>
      <c r="I526" s="2" t="s">
        <v>42</v>
      </c>
      <c r="J526" s="2">
        <v>1</v>
      </c>
      <c r="K526" s="2" t="s">
        <v>82</v>
      </c>
      <c r="L526" s="2" t="s">
        <v>41</v>
      </c>
      <c r="M526" s="2" t="s">
        <v>135</v>
      </c>
      <c r="N526" s="2" t="s">
        <v>1011</v>
      </c>
      <c r="O526" s="2" t="s">
        <v>801</v>
      </c>
      <c r="P526" s="2" t="s">
        <v>5</v>
      </c>
      <c r="Q526" s="2">
        <f>INDEX(Tables!$C$4:$C$28,MATCH($P526,Tables!$B$4:$B$28,0))</f>
        <v>32</v>
      </c>
      <c r="R526" s="2">
        <f>INDEX(Tables!$D$4:$D$28,MATCH($P526,Tables!$B$4:$B$28,0))</f>
        <v>4</v>
      </c>
      <c r="S526" s="2">
        <f>$S525+$R525+INDEX(Tables!$N$5:$Q$8,MATCH(MOD($S525+$R525,4),Tables!$M$5:$M$8,0),MATCH($R526,Tables!$N$4:$Q$4,0))</f>
        <v>1852</v>
      </c>
      <c r="T526" s="2" t="str">
        <f t="shared" si="129"/>
        <v>073C</v>
      </c>
      <c r="U526" s="2">
        <f t="shared" si="120"/>
        <v>463</v>
      </c>
      <c r="V526" s="2" t="str">
        <f t="shared" si="130"/>
        <v>1CF</v>
      </c>
      <c r="W526" s="2" t="str">
        <f t="shared" si="131"/>
        <v/>
      </c>
      <c r="X526" s="2" t="str">
        <f t="shared" si="117"/>
        <v/>
      </c>
      <c r="Y526" s="2" t="str">
        <f t="shared" si="118"/>
        <v/>
      </c>
      <c r="Z526" s="2" t="str">
        <f t="shared" si="119"/>
        <v>X</v>
      </c>
      <c r="AA526" s="2" t="str">
        <f t="shared" si="121"/>
        <v/>
      </c>
      <c r="AB526" s="2" t="str">
        <f t="shared" si="122"/>
        <v/>
      </c>
      <c r="AC526" s="2" t="str">
        <f t="shared" si="123"/>
        <v/>
      </c>
      <c r="AD526" s="2" t="str">
        <f t="shared" si="124"/>
        <v>(0)</v>
      </c>
      <c r="AE526" s="2" t="str">
        <f t="shared" si="125"/>
        <v/>
      </c>
      <c r="AF526" s="2" t="str">
        <f t="shared" si="126"/>
        <v/>
      </c>
      <c r="AG526" s="2" t="str">
        <f t="shared" si="127"/>
        <v/>
      </c>
      <c r="AH526" s="2" t="str">
        <f t="shared" si="128"/>
        <v/>
      </c>
    </row>
    <row r="527" spans="2:34" x14ac:dyDescent="0.25">
      <c r="B527" s="2" t="s">
        <v>1008</v>
      </c>
      <c r="D527" s="2" t="s">
        <v>1</v>
      </c>
      <c r="E527" s="2" t="s">
        <v>134</v>
      </c>
      <c r="F527" s="2" t="s">
        <v>1012</v>
      </c>
      <c r="G527" s="2" t="s">
        <v>1013</v>
      </c>
      <c r="H527" s="2" t="s">
        <v>802</v>
      </c>
      <c r="I527" s="2" t="s">
        <v>42</v>
      </c>
      <c r="J527" s="2">
        <v>1</v>
      </c>
      <c r="K527" s="2" t="s">
        <v>82</v>
      </c>
      <c r="L527" s="2" t="s">
        <v>41</v>
      </c>
      <c r="M527" s="2" t="s">
        <v>135</v>
      </c>
      <c r="N527" s="2" t="s">
        <v>1011</v>
      </c>
      <c r="O527" s="2" t="s">
        <v>803</v>
      </c>
      <c r="P527" s="2" t="s">
        <v>5</v>
      </c>
      <c r="Q527" s="2">
        <f>INDEX(Tables!$C$4:$C$28,MATCH($P527,Tables!$B$4:$B$28,0))</f>
        <v>32</v>
      </c>
      <c r="R527" s="2">
        <f>INDEX(Tables!$D$4:$D$28,MATCH($P527,Tables!$B$4:$B$28,0))</f>
        <v>4</v>
      </c>
      <c r="S527" s="2">
        <f>$S526+$R526+INDEX(Tables!$N$5:$Q$8,MATCH(MOD($S526+$R526,4),Tables!$M$5:$M$8,0),MATCH($R527,Tables!$N$4:$Q$4,0))</f>
        <v>1856</v>
      </c>
      <c r="T527" s="2" t="str">
        <f t="shared" si="129"/>
        <v>0740</v>
      </c>
      <c r="U527" s="2">
        <f t="shared" si="120"/>
        <v>464</v>
      </c>
      <c r="V527" s="2" t="str">
        <f t="shared" si="130"/>
        <v>1D0</v>
      </c>
      <c r="W527" s="2" t="str">
        <f t="shared" si="131"/>
        <v/>
      </c>
      <c r="X527" s="2" t="str">
        <f t="shared" si="117"/>
        <v/>
      </c>
      <c r="Y527" s="2" t="str">
        <f t="shared" si="118"/>
        <v/>
      </c>
      <c r="Z527" s="2" t="str">
        <f t="shared" si="119"/>
        <v>X</v>
      </c>
      <c r="AA527" s="2" t="str">
        <f t="shared" si="121"/>
        <v/>
      </c>
      <c r="AB527" s="2" t="str">
        <f t="shared" si="122"/>
        <v/>
      </c>
      <c r="AC527" s="2" t="str">
        <f t="shared" si="123"/>
        <v/>
      </c>
      <c r="AD527" s="2" t="str">
        <f t="shared" si="124"/>
        <v>(0)</v>
      </c>
      <c r="AE527" s="2" t="str">
        <f t="shared" si="125"/>
        <v/>
      </c>
      <c r="AF527" s="2" t="str">
        <f t="shared" si="126"/>
        <v/>
      </c>
      <c r="AG527" s="2" t="str">
        <f t="shared" si="127"/>
        <v/>
      </c>
      <c r="AH527" s="2" t="str">
        <f t="shared" si="128"/>
        <v/>
      </c>
    </row>
    <row r="528" spans="2:34" x14ac:dyDescent="0.25">
      <c r="B528" s="2" t="s">
        <v>1008</v>
      </c>
      <c r="D528" s="2" t="s">
        <v>1</v>
      </c>
      <c r="E528" s="2" t="s">
        <v>134</v>
      </c>
      <c r="F528" s="2" t="s">
        <v>1012</v>
      </c>
      <c r="G528" s="2" t="s">
        <v>1013</v>
      </c>
      <c r="H528" s="2" t="s">
        <v>804</v>
      </c>
      <c r="I528" s="2" t="s">
        <v>42</v>
      </c>
      <c r="J528" s="2">
        <v>1</v>
      </c>
      <c r="K528" s="2" t="s">
        <v>82</v>
      </c>
      <c r="L528" s="2" t="s">
        <v>41</v>
      </c>
      <c r="M528" s="2" t="s">
        <v>135</v>
      </c>
      <c r="N528" s="2" t="s">
        <v>1011</v>
      </c>
      <c r="O528" s="2" t="s">
        <v>805</v>
      </c>
      <c r="P528" s="2" t="s">
        <v>5</v>
      </c>
      <c r="Q528" s="2">
        <f>INDEX(Tables!$C$4:$C$28,MATCH($P528,Tables!$B$4:$B$28,0))</f>
        <v>32</v>
      </c>
      <c r="R528" s="2">
        <f>INDEX(Tables!$D$4:$D$28,MATCH($P528,Tables!$B$4:$B$28,0))</f>
        <v>4</v>
      </c>
      <c r="S528" s="2">
        <f>$S527+$R527+INDEX(Tables!$N$5:$Q$8,MATCH(MOD($S527+$R527,4),Tables!$M$5:$M$8,0),MATCH($R528,Tables!$N$4:$Q$4,0))</f>
        <v>1860</v>
      </c>
      <c r="T528" s="2" t="str">
        <f t="shared" si="129"/>
        <v>0744</v>
      </c>
      <c r="U528" s="2">
        <f t="shared" si="120"/>
        <v>465</v>
      </c>
      <c r="V528" s="2" t="str">
        <f t="shared" si="130"/>
        <v>1D1</v>
      </c>
      <c r="W528" s="2" t="str">
        <f t="shared" si="131"/>
        <v/>
      </c>
      <c r="X528" s="2" t="str">
        <f t="shared" si="117"/>
        <v/>
      </c>
      <c r="Y528" s="2" t="str">
        <f t="shared" si="118"/>
        <v/>
      </c>
      <c r="Z528" s="2" t="str">
        <f t="shared" si="119"/>
        <v>X</v>
      </c>
      <c r="AA528" s="2" t="str">
        <f t="shared" si="121"/>
        <v/>
      </c>
      <c r="AB528" s="2" t="str">
        <f t="shared" si="122"/>
        <v/>
      </c>
      <c r="AC528" s="2" t="str">
        <f t="shared" si="123"/>
        <v/>
      </c>
      <c r="AD528" s="2" t="str">
        <f t="shared" si="124"/>
        <v>(0)</v>
      </c>
      <c r="AE528" s="2" t="str">
        <f t="shared" si="125"/>
        <v/>
      </c>
      <c r="AF528" s="2" t="str">
        <f t="shared" si="126"/>
        <v/>
      </c>
      <c r="AG528" s="2" t="str">
        <f t="shared" si="127"/>
        <v/>
      </c>
      <c r="AH528" s="2" t="str">
        <f t="shared" si="128"/>
        <v/>
      </c>
    </row>
    <row r="529" spans="2:34" x14ac:dyDescent="0.25">
      <c r="B529" s="2" t="s">
        <v>1008</v>
      </c>
      <c r="D529" s="2" t="s">
        <v>1</v>
      </c>
      <c r="E529" s="2" t="s">
        <v>134</v>
      </c>
      <c r="F529" s="2" t="s">
        <v>1012</v>
      </c>
      <c r="G529" s="2" t="s">
        <v>1013</v>
      </c>
      <c r="H529" s="2" t="s">
        <v>806</v>
      </c>
      <c r="I529" s="2" t="s">
        <v>42</v>
      </c>
      <c r="J529" s="2">
        <v>1</v>
      </c>
      <c r="K529" s="2" t="s">
        <v>82</v>
      </c>
      <c r="L529" s="2" t="s">
        <v>41</v>
      </c>
      <c r="M529" s="2" t="s">
        <v>135</v>
      </c>
      <c r="N529" s="2" t="s">
        <v>1011</v>
      </c>
      <c r="O529" s="2" t="s">
        <v>807</v>
      </c>
      <c r="P529" s="2" t="s">
        <v>5</v>
      </c>
      <c r="Q529" s="2">
        <f>INDEX(Tables!$C$4:$C$28,MATCH($P529,Tables!$B$4:$B$28,0))</f>
        <v>32</v>
      </c>
      <c r="R529" s="2">
        <f>INDEX(Tables!$D$4:$D$28,MATCH($P529,Tables!$B$4:$B$28,0))</f>
        <v>4</v>
      </c>
      <c r="S529" s="2">
        <f>$S528+$R528+INDEX(Tables!$N$5:$Q$8,MATCH(MOD($S528+$R528,4),Tables!$M$5:$M$8,0),MATCH($R529,Tables!$N$4:$Q$4,0))</f>
        <v>1864</v>
      </c>
      <c r="T529" s="2" t="str">
        <f t="shared" si="129"/>
        <v>0748</v>
      </c>
      <c r="U529" s="2">
        <f t="shared" si="120"/>
        <v>466</v>
      </c>
      <c r="V529" s="2" t="str">
        <f t="shared" si="130"/>
        <v>1D2</v>
      </c>
      <c r="W529" s="2" t="str">
        <f t="shared" si="131"/>
        <v/>
      </c>
      <c r="X529" s="2" t="str">
        <f t="shared" si="117"/>
        <v/>
      </c>
      <c r="Y529" s="2" t="str">
        <f t="shared" si="118"/>
        <v/>
      </c>
      <c r="Z529" s="2" t="str">
        <f t="shared" si="119"/>
        <v>X</v>
      </c>
      <c r="AA529" s="2" t="str">
        <f t="shared" si="121"/>
        <v/>
      </c>
      <c r="AB529" s="2" t="str">
        <f t="shared" si="122"/>
        <v/>
      </c>
      <c r="AC529" s="2" t="str">
        <f t="shared" si="123"/>
        <v/>
      </c>
      <c r="AD529" s="2" t="str">
        <f t="shared" si="124"/>
        <v>(0)</v>
      </c>
      <c r="AE529" s="2" t="str">
        <f t="shared" si="125"/>
        <v/>
      </c>
      <c r="AF529" s="2" t="str">
        <f t="shared" si="126"/>
        <v/>
      </c>
      <c r="AG529" s="2" t="str">
        <f t="shared" si="127"/>
        <v/>
      </c>
      <c r="AH529" s="2" t="str">
        <f t="shared" si="128"/>
        <v/>
      </c>
    </row>
    <row r="530" spans="2:34" x14ac:dyDescent="0.25">
      <c r="B530" s="2" t="s">
        <v>1008</v>
      </c>
      <c r="D530" s="2" t="s">
        <v>1</v>
      </c>
      <c r="E530" s="2" t="s">
        <v>134</v>
      </c>
      <c r="F530" s="2" t="s">
        <v>1012</v>
      </c>
      <c r="G530" s="2" t="s">
        <v>1013</v>
      </c>
      <c r="H530" s="2" t="s">
        <v>808</v>
      </c>
      <c r="I530" s="2" t="s">
        <v>42</v>
      </c>
      <c r="J530" s="2">
        <v>1</v>
      </c>
      <c r="K530" s="2" t="s">
        <v>82</v>
      </c>
      <c r="L530" s="2" t="s">
        <v>41</v>
      </c>
      <c r="M530" s="2" t="s">
        <v>135</v>
      </c>
      <c r="N530" s="2" t="s">
        <v>1011</v>
      </c>
      <c r="O530" s="2" t="s">
        <v>809</v>
      </c>
      <c r="P530" s="2" t="s">
        <v>5</v>
      </c>
      <c r="Q530" s="2">
        <f>INDEX(Tables!$C$4:$C$28,MATCH($P530,Tables!$B$4:$B$28,0))</f>
        <v>32</v>
      </c>
      <c r="R530" s="2">
        <f>INDEX(Tables!$D$4:$D$28,MATCH($P530,Tables!$B$4:$B$28,0))</f>
        <v>4</v>
      </c>
      <c r="S530" s="2">
        <f>$S529+$R529+INDEX(Tables!$N$5:$Q$8,MATCH(MOD($S529+$R529,4),Tables!$M$5:$M$8,0),MATCH($R530,Tables!$N$4:$Q$4,0))</f>
        <v>1868</v>
      </c>
      <c r="T530" s="2" t="str">
        <f t="shared" si="129"/>
        <v>074C</v>
      </c>
      <c r="U530" s="2">
        <f t="shared" si="120"/>
        <v>467</v>
      </c>
      <c r="V530" s="2" t="str">
        <f t="shared" si="130"/>
        <v>1D3</v>
      </c>
      <c r="W530" s="2" t="str">
        <f t="shared" si="131"/>
        <v/>
      </c>
      <c r="X530" s="2" t="str">
        <f t="shared" si="117"/>
        <v/>
      </c>
      <c r="Y530" s="2" t="str">
        <f t="shared" si="118"/>
        <v/>
      </c>
      <c r="Z530" s="2" t="str">
        <f t="shared" si="119"/>
        <v>X</v>
      </c>
      <c r="AA530" s="2" t="str">
        <f t="shared" si="121"/>
        <v/>
      </c>
      <c r="AB530" s="2" t="str">
        <f t="shared" si="122"/>
        <v/>
      </c>
      <c r="AC530" s="2" t="str">
        <f t="shared" si="123"/>
        <v/>
      </c>
      <c r="AD530" s="2" t="str">
        <f t="shared" si="124"/>
        <v>(0)</v>
      </c>
      <c r="AE530" s="2" t="str">
        <f t="shared" si="125"/>
        <v/>
      </c>
      <c r="AF530" s="2" t="str">
        <f t="shared" si="126"/>
        <v/>
      </c>
      <c r="AG530" s="2" t="str">
        <f t="shared" si="127"/>
        <v/>
      </c>
      <c r="AH530" s="2" t="str">
        <f t="shared" si="128"/>
        <v/>
      </c>
    </row>
    <row r="531" spans="2:34" x14ac:dyDescent="0.25">
      <c r="B531" s="2" t="s">
        <v>1008</v>
      </c>
      <c r="D531" s="2" t="s">
        <v>1</v>
      </c>
      <c r="E531" s="2" t="s">
        <v>134</v>
      </c>
      <c r="F531" s="2" t="s">
        <v>1012</v>
      </c>
      <c r="G531" s="2" t="s">
        <v>1013</v>
      </c>
      <c r="H531" s="2" t="s">
        <v>810</v>
      </c>
      <c r="I531" s="2" t="s">
        <v>42</v>
      </c>
      <c r="J531" s="2">
        <v>1</v>
      </c>
      <c r="K531" s="2" t="s">
        <v>82</v>
      </c>
      <c r="L531" s="2" t="s">
        <v>41</v>
      </c>
      <c r="M531" s="2" t="s">
        <v>135</v>
      </c>
      <c r="N531" s="2" t="s">
        <v>1011</v>
      </c>
      <c r="O531" s="2" t="s">
        <v>811</v>
      </c>
      <c r="P531" s="2" t="s">
        <v>5</v>
      </c>
      <c r="Q531" s="2">
        <f>INDEX(Tables!$C$4:$C$28,MATCH($P531,Tables!$B$4:$B$28,0))</f>
        <v>32</v>
      </c>
      <c r="R531" s="2">
        <f>INDEX(Tables!$D$4:$D$28,MATCH($P531,Tables!$B$4:$B$28,0))</f>
        <v>4</v>
      </c>
      <c r="S531" s="2">
        <f>$S530+$R530+INDEX(Tables!$N$5:$Q$8,MATCH(MOD($S530+$R530,4),Tables!$M$5:$M$8,0),MATCH($R531,Tables!$N$4:$Q$4,0))</f>
        <v>1872</v>
      </c>
      <c r="T531" s="2" t="str">
        <f t="shared" si="129"/>
        <v>0750</v>
      </c>
      <c r="U531" s="2">
        <f t="shared" si="120"/>
        <v>468</v>
      </c>
      <c r="V531" s="2" t="str">
        <f t="shared" si="130"/>
        <v>1D4</v>
      </c>
      <c r="W531" s="2" t="str">
        <f t="shared" si="131"/>
        <v/>
      </c>
      <c r="X531" s="2" t="str">
        <f t="shared" ref="X531:X594" si="132">IF(MOD($S531,4)=2,"X",IF(AND(MOD($S531,4)=1,$J531&gt;8),"X",IF(AND(MOD($S531,4)=0,$J531&gt;16),"X","")))</f>
        <v/>
      </c>
      <c r="Y531" s="2" t="str">
        <f t="shared" ref="Y531:Y594" si="133">IF(MOD($S531,4)=1,"X",IF(AND(MOD($S531,4)=0,$J531&gt;8),"X",""))</f>
        <v/>
      </c>
      <c r="Z531" s="2" t="str">
        <f t="shared" ref="Z531:Z594" si="134">IF(MOD($S531,4)=0,"X","")</f>
        <v>X</v>
      </c>
      <c r="AA531" s="2" t="str">
        <f t="shared" si="121"/>
        <v/>
      </c>
      <c r="AB531" s="2" t="str">
        <f t="shared" si="122"/>
        <v/>
      </c>
      <c r="AC531" s="2" t="str">
        <f t="shared" si="123"/>
        <v/>
      </c>
      <c r="AD531" s="2" t="str">
        <f t="shared" si="124"/>
        <v>(0)</v>
      </c>
      <c r="AE531" s="2" t="str">
        <f t="shared" si="125"/>
        <v/>
      </c>
      <c r="AF531" s="2" t="str">
        <f t="shared" si="126"/>
        <v/>
      </c>
      <c r="AG531" s="2" t="str">
        <f t="shared" si="127"/>
        <v/>
      </c>
      <c r="AH531" s="2" t="str">
        <f t="shared" si="128"/>
        <v/>
      </c>
    </row>
    <row r="532" spans="2:34" x14ac:dyDescent="0.25">
      <c r="B532" s="2" t="s">
        <v>1008</v>
      </c>
      <c r="D532" s="2" t="s">
        <v>1</v>
      </c>
      <c r="E532" s="2" t="s">
        <v>134</v>
      </c>
      <c r="F532" s="2" t="s">
        <v>1012</v>
      </c>
      <c r="G532" s="2" t="s">
        <v>1013</v>
      </c>
      <c r="H532" s="2" t="s">
        <v>812</v>
      </c>
      <c r="I532" s="2" t="s">
        <v>42</v>
      </c>
      <c r="J532" s="2">
        <v>1</v>
      </c>
      <c r="K532" s="2" t="s">
        <v>82</v>
      </c>
      <c r="L532" s="2" t="s">
        <v>41</v>
      </c>
      <c r="M532" s="2" t="s">
        <v>135</v>
      </c>
      <c r="N532" s="2" t="s">
        <v>1011</v>
      </c>
      <c r="O532" s="2" t="s">
        <v>813</v>
      </c>
      <c r="P532" s="2" t="s">
        <v>5</v>
      </c>
      <c r="Q532" s="2">
        <f>INDEX(Tables!$C$4:$C$28,MATCH($P532,Tables!$B$4:$B$28,0))</f>
        <v>32</v>
      </c>
      <c r="R532" s="2">
        <f>INDEX(Tables!$D$4:$D$28,MATCH($P532,Tables!$B$4:$B$28,0))</f>
        <v>4</v>
      </c>
      <c r="S532" s="2">
        <f>$S531+$R531+INDEX(Tables!$N$5:$Q$8,MATCH(MOD($S531+$R531,4),Tables!$M$5:$M$8,0),MATCH($R532,Tables!$N$4:$Q$4,0))</f>
        <v>1876</v>
      </c>
      <c r="T532" s="2" t="str">
        <f t="shared" si="129"/>
        <v>0754</v>
      </c>
      <c r="U532" s="2">
        <f t="shared" si="120"/>
        <v>469</v>
      </c>
      <c r="V532" s="2" t="str">
        <f t="shared" si="130"/>
        <v>1D5</v>
      </c>
      <c r="W532" s="2" t="str">
        <f t="shared" si="131"/>
        <v/>
      </c>
      <c r="X532" s="2" t="str">
        <f t="shared" si="132"/>
        <v/>
      </c>
      <c r="Y532" s="2" t="str">
        <f t="shared" si="133"/>
        <v/>
      </c>
      <c r="Z532" s="2" t="str">
        <f t="shared" si="134"/>
        <v>X</v>
      </c>
      <c r="AA532" s="2" t="str">
        <f t="shared" si="121"/>
        <v/>
      </c>
      <c r="AB532" s="2" t="str">
        <f t="shared" si="122"/>
        <v/>
      </c>
      <c r="AC532" s="2" t="str">
        <f t="shared" si="123"/>
        <v/>
      </c>
      <c r="AD532" s="2" t="str">
        <f t="shared" si="124"/>
        <v>(0)</v>
      </c>
      <c r="AE532" s="2" t="str">
        <f t="shared" si="125"/>
        <v/>
      </c>
      <c r="AF532" s="2" t="str">
        <f t="shared" si="126"/>
        <v/>
      </c>
      <c r="AG532" s="2" t="str">
        <f t="shared" si="127"/>
        <v/>
      </c>
      <c r="AH532" s="2" t="str">
        <f t="shared" si="128"/>
        <v/>
      </c>
    </row>
    <row r="533" spans="2:34" x14ac:dyDescent="0.25">
      <c r="B533" s="2" t="s">
        <v>1008</v>
      </c>
      <c r="D533" s="2" t="s">
        <v>1</v>
      </c>
      <c r="E533" s="2" t="s">
        <v>134</v>
      </c>
      <c r="F533" s="2" t="s">
        <v>1012</v>
      </c>
      <c r="G533" s="2" t="s">
        <v>1013</v>
      </c>
      <c r="H533" s="2" t="s">
        <v>814</v>
      </c>
      <c r="I533" s="2" t="s">
        <v>42</v>
      </c>
      <c r="J533" s="2">
        <v>1</v>
      </c>
      <c r="K533" s="2" t="s">
        <v>82</v>
      </c>
      <c r="L533" s="2" t="s">
        <v>41</v>
      </c>
      <c r="M533" s="2" t="s">
        <v>135</v>
      </c>
      <c r="N533" s="2" t="s">
        <v>1011</v>
      </c>
      <c r="O533" s="2" t="s">
        <v>815</v>
      </c>
      <c r="P533" s="2" t="s">
        <v>5</v>
      </c>
      <c r="Q533" s="2">
        <f>INDEX(Tables!$C$4:$C$28,MATCH($P533,Tables!$B$4:$B$28,0))</f>
        <v>32</v>
      </c>
      <c r="R533" s="2">
        <f>INDEX(Tables!$D$4:$D$28,MATCH($P533,Tables!$B$4:$B$28,0))</f>
        <v>4</v>
      </c>
      <c r="S533" s="2">
        <f>$S532+$R532+INDEX(Tables!$N$5:$Q$8,MATCH(MOD($S532+$R532,4),Tables!$M$5:$M$8,0),MATCH($R533,Tables!$N$4:$Q$4,0))</f>
        <v>1880</v>
      </c>
      <c r="T533" s="2" t="str">
        <f t="shared" si="129"/>
        <v>0758</v>
      </c>
      <c r="U533" s="2">
        <f t="shared" si="120"/>
        <v>470</v>
      </c>
      <c r="V533" s="2" t="str">
        <f t="shared" si="130"/>
        <v>1D6</v>
      </c>
      <c r="W533" s="2" t="str">
        <f t="shared" si="131"/>
        <v/>
      </c>
      <c r="X533" s="2" t="str">
        <f t="shared" si="132"/>
        <v/>
      </c>
      <c r="Y533" s="2" t="str">
        <f t="shared" si="133"/>
        <v/>
      </c>
      <c r="Z533" s="2" t="str">
        <f t="shared" si="134"/>
        <v>X</v>
      </c>
      <c r="AA533" s="2" t="str">
        <f t="shared" si="121"/>
        <v/>
      </c>
      <c r="AB533" s="2" t="str">
        <f t="shared" si="122"/>
        <v/>
      </c>
      <c r="AC533" s="2" t="str">
        <f t="shared" si="123"/>
        <v/>
      </c>
      <c r="AD533" s="2" t="str">
        <f t="shared" si="124"/>
        <v>(0)</v>
      </c>
      <c r="AE533" s="2" t="str">
        <f t="shared" si="125"/>
        <v/>
      </c>
      <c r="AF533" s="2" t="str">
        <f t="shared" si="126"/>
        <v/>
      </c>
      <c r="AG533" s="2" t="str">
        <f t="shared" si="127"/>
        <v/>
      </c>
      <c r="AH533" s="2" t="str">
        <f t="shared" si="128"/>
        <v/>
      </c>
    </row>
    <row r="534" spans="2:34" x14ac:dyDescent="0.25">
      <c r="B534" s="2" t="s">
        <v>1008</v>
      </c>
      <c r="D534" s="2" t="s">
        <v>1</v>
      </c>
      <c r="E534" s="2" t="s">
        <v>134</v>
      </c>
      <c r="F534" s="2" t="s">
        <v>1012</v>
      </c>
      <c r="G534" s="2" t="s">
        <v>1013</v>
      </c>
      <c r="H534" s="2" t="s">
        <v>816</v>
      </c>
      <c r="I534" s="2" t="s">
        <v>42</v>
      </c>
      <c r="J534" s="2">
        <v>1</v>
      </c>
      <c r="K534" s="2" t="s">
        <v>82</v>
      </c>
      <c r="L534" s="2" t="s">
        <v>41</v>
      </c>
      <c r="M534" s="2" t="s">
        <v>135</v>
      </c>
      <c r="N534" s="2" t="s">
        <v>1011</v>
      </c>
      <c r="O534" s="2" t="s">
        <v>817</v>
      </c>
      <c r="P534" s="2" t="s">
        <v>5</v>
      </c>
      <c r="Q534" s="2">
        <f>INDEX(Tables!$C$4:$C$28,MATCH($P534,Tables!$B$4:$B$28,0))</f>
        <v>32</v>
      </c>
      <c r="R534" s="2">
        <f>INDEX(Tables!$D$4:$D$28,MATCH($P534,Tables!$B$4:$B$28,0))</f>
        <v>4</v>
      </c>
      <c r="S534" s="2">
        <f>$S533+$R533+INDEX(Tables!$N$5:$Q$8,MATCH(MOD($S533+$R533,4),Tables!$M$5:$M$8,0),MATCH($R534,Tables!$N$4:$Q$4,0))</f>
        <v>1884</v>
      </c>
      <c r="T534" s="2" t="str">
        <f t="shared" si="129"/>
        <v>075C</v>
      </c>
      <c r="U534" s="2">
        <f t="shared" si="120"/>
        <v>471</v>
      </c>
      <c r="V534" s="2" t="str">
        <f t="shared" si="130"/>
        <v>1D7</v>
      </c>
      <c r="W534" s="2" t="str">
        <f t="shared" si="131"/>
        <v/>
      </c>
      <c r="X534" s="2" t="str">
        <f t="shared" si="132"/>
        <v/>
      </c>
      <c r="Y534" s="2" t="str">
        <f t="shared" si="133"/>
        <v/>
      </c>
      <c r="Z534" s="2" t="str">
        <f t="shared" si="134"/>
        <v>X</v>
      </c>
      <c r="AA534" s="2" t="str">
        <f t="shared" si="121"/>
        <v/>
      </c>
      <c r="AB534" s="2" t="str">
        <f t="shared" si="122"/>
        <v/>
      </c>
      <c r="AC534" s="2" t="str">
        <f t="shared" si="123"/>
        <v/>
      </c>
      <c r="AD534" s="2" t="str">
        <f t="shared" si="124"/>
        <v>(0)</v>
      </c>
      <c r="AE534" s="2" t="str">
        <f t="shared" si="125"/>
        <v/>
      </c>
      <c r="AF534" s="2" t="str">
        <f t="shared" si="126"/>
        <v/>
      </c>
      <c r="AG534" s="2" t="str">
        <f t="shared" si="127"/>
        <v/>
      </c>
      <c r="AH534" s="2" t="str">
        <f t="shared" si="128"/>
        <v/>
      </c>
    </row>
    <row r="535" spans="2:34" x14ac:dyDescent="0.25">
      <c r="B535" s="2" t="s">
        <v>1008</v>
      </c>
      <c r="D535" s="2" t="s">
        <v>1</v>
      </c>
      <c r="E535" s="2" t="s">
        <v>134</v>
      </c>
      <c r="F535" s="2" t="s">
        <v>1012</v>
      </c>
      <c r="G535" s="2" t="s">
        <v>1013</v>
      </c>
      <c r="H535" s="2" t="s">
        <v>818</v>
      </c>
      <c r="I535" s="2" t="s">
        <v>42</v>
      </c>
      <c r="J535" s="2">
        <v>1</v>
      </c>
      <c r="K535" s="2" t="s">
        <v>82</v>
      </c>
      <c r="L535" s="2" t="s">
        <v>41</v>
      </c>
      <c r="M535" s="2" t="s">
        <v>135</v>
      </c>
      <c r="N535" s="2" t="s">
        <v>1011</v>
      </c>
      <c r="O535" s="2" t="s">
        <v>819</v>
      </c>
      <c r="P535" s="2" t="s">
        <v>5</v>
      </c>
      <c r="Q535" s="2">
        <f>INDEX(Tables!$C$4:$C$28,MATCH($P535,Tables!$B$4:$B$28,0))</f>
        <v>32</v>
      </c>
      <c r="R535" s="2">
        <f>INDEX(Tables!$D$4:$D$28,MATCH($P535,Tables!$B$4:$B$28,0))</f>
        <v>4</v>
      </c>
      <c r="S535" s="2">
        <f>$S534+$R534+INDEX(Tables!$N$5:$Q$8,MATCH(MOD($S534+$R534,4),Tables!$M$5:$M$8,0),MATCH($R535,Tables!$N$4:$Q$4,0))</f>
        <v>1888</v>
      </c>
      <c r="T535" s="2" t="str">
        <f t="shared" si="129"/>
        <v>0760</v>
      </c>
      <c r="U535" s="2">
        <f t="shared" si="120"/>
        <v>472</v>
      </c>
      <c r="V535" s="2" t="str">
        <f t="shared" si="130"/>
        <v>1D8</v>
      </c>
      <c r="W535" s="2" t="str">
        <f t="shared" si="131"/>
        <v/>
      </c>
      <c r="X535" s="2" t="str">
        <f t="shared" si="132"/>
        <v/>
      </c>
      <c r="Y535" s="2" t="str">
        <f t="shared" si="133"/>
        <v/>
      </c>
      <c r="Z535" s="2" t="str">
        <f t="shared" si="134"/>
        <v>X</v>
      </c>
      <c r="AA535" s="2" t="str">
        <f t="shared" si="121"/>
        <v/>
      </c>
      <c r="AB535" s="2" t="str">
        <f t="shared" si="122"/>
        <v/>
      </c>
      <c r="AC535" s="2" t="str">
        <f t="shared" si="123"/>
        <v/>
      </c>
      <c r="AD535" s="2" t="str">
        <f t="shared" si="124"/>
        <v>(0)</v>
      </c>
      <c r="AE535" s="2" t="str">
        <f t="shared" si="125"/>
        <v/>
      </c>
      <c r="AF535" s="2" t="str">
        <f t="shared" si="126"/>
        <v/>
      </c>
      <c r="AG535" s="2" t="str">
        <f t="shared" si="127"/>
        <v/>
      </c>
      <c r="AH535" s="2" t="str">
        <f t="shared" si="128"/>
        <v/>
      </c>
    </row>
    <row r="536" spans="2:34" x14ac:dyDescent="0.25">
      <c r="B536" s="2" t="s">
        <v>1008</v>
      </c>
      <c r="D536" s="2" t="s">
        <v>1</v>
      </c>
      <c r="E536" s="2" t="s">
        <v>134</v>
      </c>
      <c r="F536" s="2" t="s">
        <v>1012</v>
      </c>
      <c r="G536" s="2" t="s">
        <v>1013</v>
      </c>
      <c r="H536" s="2" t="s">
        <v>820</v>
      </c>
      <c r="I536" s="2" t="s">
        <v>42</v>
      </c>
      <c r="J536" s="2">
        <v>1</v>
      </c>
      <c r="K536" s="2" t="s">
        <v>82</v>
      </c>
      <c r="L536" s="2" t="s">
        <v>41</v>
      </c>
      <c r="M536" s="2" t="s">
        <v>135</v>
      </c>
      <c r="N536" s="2" t="s">
        <v>1011</v>
      </c>
      <c r="O536" s="2" t="s">
        <v>821</v>
      </c>
      <c r="P536" s="2" t="s">
        <v>5</v>
      </c>
      <c r="Q536" s="2">
        <f>INDEX(Tables!$C$4:$C$28,MATCH($P536,Tables!$B$4:$B$28,0))</f>
        <v>32</v>
      </c>
      <c r="R536" s="2">
        <f>INDEX(Tables!$D$4:$D$28,MATCH($P536,Tables!$B$4:$B$28,0))</f>
        <v>4</v>
      </c>
      <c r="S536" s="2">
        <f>$S535+$R535+INDEX(Tables!$N$5:$Q$8,MATCH(MOD($S535+$R535,4),Tables!$M$5:$M$8,0),MATCH($R536,Tables!$N$4:$Q$4,0))</f>
        <v>1892</v>
      </c>
      <c r="T536" s="2" t="str">
        <f t="shared" si="129"/>
        <v>0764</v>
      </c>
      <c r="U536" s="2">
        <f t="shared" si="120"/>
        <v>473</v>
      </c>
      <c r="V536" s="2" t="str">
        <f t="shared" si="130"/>
        <v>1D9</v>
      </c>
      <c r="W536" s="2" t="str">
        <f t="shared" si="131"/>
        <v/>
      </c>
      <c r="X536" s="2" t="str">
        <f t="shared" si="132"/>
        <v/>
      </c>
      <c r="Y536" s="2" t="str">
        <f t="shared" si="133"/>
        <v/>
      </c>
      <c r="Z536" s="2" t="str">
        <f t="shared" si="134"/>
        <v>X</v>
      </c>
      <c r="AA536" s="2" t="str">
        <f t="shared" si="121"/>
        <v/>
      </c>
      <c r="AB536" s="2" t="str">
        <f t="shared" si="122"/>
        <v/>
      </c>
      <c r="AC536" s="2" t="str">
        <f t="shared" si="123"/>
        <v/>
      </c>
      <c r="AD536" s="2" t="str">
        <f t="shared" si="124"/>
        <v>(0)</v>
      </c>
      <c r="AE536" s="2" t="str">
        <f t="shared" si="125"/>
        <v/>
      </c>
      <c r="AF536" s="2" t="str">
        <f t="shared" si="126"/>
        <v/>
      </c>
      <c r="AG536" s="2" t="str">
        <f t="shared" si="127"/>
        <v/>
      </c>
      <c r="AH536" s="2" t="str">
        <f t="shared" si="128"/>
        <v/>
      </c>
    </row>
    <row r="537" spans="2:34" x14ac:dyDescent="0.25">
      <c r="B537" s="2" t="s">
        <v>1008</v>
      </c>
      <c r="D537" s="2" t="s">
        <v>1</v>
      </c>
      <c r="E537" s="2" t="s">
        <v>134</v>
      </c>
      <c r="F537" s="2" t="s">
        <v>1014</v>
      </c>
      <c r="G537" s="2" t="s">
        <v>1015</v>
      </c>
      <c r="H537" s="2" t="s">
        <v>824</v>
      </c>
      <c r="I537" s="2" t="s">
        <v>42</v>
      </c>
      <c r="J537" s="2">
        <v>22</v>
      </c>
      <c r="K537" s="2" t="s">
        <v>137</v>
      </c>
      <c r="L537" s="2" t="s">
        <v>41</v>
      </c>
      <c r="M537" s="2" t="s">
        <v>135</v>
      </c>
      <c r="N537" s="2" t="s">
        <v>1011</v>
      </c>
      <c r="O537" s="2" t="s">
        <v>825</v>
      </c>
      <c r="P537" s="2" t="s">
        <v>49</v>
      </c>
      <c r="Q537" s="2">
        <f>INDEX(Tables!$C$4:$C$28,MATCH($P537,Tables!$B$4:$B$28,0))</f>
        <v>32</v>
      </c>
      <c r="R537" s="2">
        <f>INDEX(Tables!$D$4:$D$28,MATCH($P537,Tables!$B$4:$B$28,0))</f>
        <v>4</v>
      </c>
      <c r="S537" s="2">
        <f>$S536+$R536+INDEX(Tables!$N$5:$Q$8,MATCH(MOD($S536+$R536,4),Tables!$M$5:$M$8,0),MATCH($R537,Tables!$N$4:$Q$4,0))</f>
        <v>1896</v>
      </c>
      <c r="T537" s="2" t="str">
        <f t="shared" si="129"/>
        <v>0768</v>
      </c>
      <c r="U537" s="2">
        <f t="shared" si="120"/>
        <v>474</v>
      </c>
      <c r="V537" s="2" t="str">
        <f t="shared" si="130"/>
        <v>1DA</v>
      </c>
      <c r="W537" s="2" t="str">
        <f t="shared" si="131"/>
        <v/>
      </c>
      <c r="X537" s="2" t="str">
        <f t="shared" si="132"/>
        <v>X</v>
      </c>
      <c r="Y537" s="2" t="str">
        <f t="shared" si="133"/>
        <v>X</v>
      </c>
      <c r="Z537" s="2" t="str">
        <f t="shared" si="134"/>
        <v>X</v>
      </c>
      <c r="AA537" s="2" t="str">
        <f t="shared" si="121"/>
        <v/>
      </c>
      <c r="AB537" s="2" t="str">
        <f t="shared" si="122"/>
        <v>(21 downto 16)</v>
      </c>
      <c r="AC537" s="2" t="str">
        <f t="shared" si="123"/>
        <v>(15 downto 8)</v>
      </c>
      <c r="AD537" s="2" t="str">
        <f t="shared" si="124"/>
        <v>(7 downto 0)</v>
      </c>
      <c r="AE537" s="2" t="str">
        <f t="shared" si="125"/>
        <v/>
      </c>
      <c r="AF537" s="2" t="str">
        <f t="shared" si="126"/>
        <v>(21 downto 16)</v>
      </c>
      <c r="AG537" s="2" t="str">
        <f t="shared" si="127"/>
        <v>(15 downto 8)</v>
      </c>
      <c r="AH537" s="2" t="str">
        <f t="shared" si="128"/>
        <v>(7 downto 0)</v>
      </c>
    </row>
    <row r="538" spans="2:34" x14ac:dyDescent="0.25">
      <c r="B538" s="2" t="s">
        <v>1008</v>
      </c>
      <c r="D538" s="2" t="s">
        <v>1</v>
      </c>
      <c r="E538" s="2" t="s">
        <v>134</v>
      </c>
      <c r="F538" s="2" t="s">
        <v>1014</v>
      </c>
      <c r="G538" s="2" t="s">
        <v>1015</v>
      </c>
      <c r="H538" s="2" t="s">
        <v>826</v>
      </c>
      <c r="I538" s="2" t="s">
        <v>42</v>
      </c>
      <c r="J538" s="2">
        <v>7</v>
      </c>
      <c r="K538" s="2" t="s">
        <v>137</v>
      </c>
      <c r="L538" s="2" t="s">
        <v>41</v>
      </c>
      <c r="M538" s="2" t="s">
        <v>135</v>
      </c>
      <c r="N538" s="2" t="s">
        <v>1011</v>
      </c>
      <c r="O538" s="2" t="s">
        <v>827</v>
      </c>
      <c r="P538" s="2" t="s">
        <v>48</v>
      </c>
      <c r="Q538" s="2">
        <f>INDEX(Tables!$C$4:$C$28,MATCH($P538,Tables!$B$4:$B$28,0))</f>
        <v>8</v>
      </c>
      <c r="R538" s="2">
        <f>INDEX(Tables!$D$4:$D$28,MATCH($P538,Tables!$B$4:$B$28,0))</f>
        <v>1</v>
      </c>
      <c r="S538" s="2">
        <f>$S537+$R537+INDEX(Tables!$N$5:$Q$8,MATCH(MOD($S537+$R537,4),Tables!$M$5:$M$8,0),MATCH($R538,Tables!$N$4:$Q$4,0))</f>
        <v>1900</v>
      </c>
      <c r="T538" s="2" t="str">
        <f t="shared" si="129"/>
        <v>076C</v>
      </c>
      <c r="U538" s="2">
        <f t="shared" si="120"/>
        <v>475</v>
      </c>
      <c r="V538" s="2" t="str">
        <f t="shared" si="130"/>
        <v>1DB</v>
      </c>
      <c r="W538" s="2" t="str">
        <f t="shared" si="131"/>
        <v/>
      </c>
      <c r="X538" s="2" t="str">
        <f t="shared" si="132"/>
        <v/>
      </c>
      <c r="Y538" s="2" t="str">
        <f t="shared" si="133"/>
        <v/>
      </c>
      <c r="Z538" s="2" t="str">
        <f t="shared" si="134"/>
        <v>X</v>
      </c>
      <c r="AA538" s="2" t="str">
        <f t="shared" si="121"/>
        <v/>
      </c>
      <c r="AB538" s="2" t="str">
        <f t="shared" si="122"/>
        <v/>
      </c>
      <c r="AC538" s="2" t="str">
        <f t="shared" si="123"/>
        <v/>
      </c>
      <c r="AD538" s="2" t="str">
        <f t="shared" si="124"/>
        <v>(6 downto 0)</v>
      </c>
      <c r="AE538" s="2" t="str">
        <f t="shared" si="125"/>
        <v/>
      </c>
      <c r="AF538" s="2" t="str">
        <f t="shared" si="126"/>
        <v/>
      </c>
      <c r="AG538" s="2" t="str">
        <f t="shared" si="127"/>
        <v/>
      </c>
      <c r="AH538" s="2" t="str">
        <f t="shared" si="128"/>
        <v/>
      </c>
    </row>
    <row r="539" spans="2:34" x14ac:dyDescent="0.25">
      <c r="B539" s="2" t="s">
        <v>1008</v>
      </c>
      <c r="D539" s="2" t="s">
        <v>1</v>
      </c>
      <c r="E539" s="2" t="s">
        <v>134</v>
      </c>
      <c r="F539" s="2" t="s">
        <v>1014</v>
      </c>
      <c r="G539" s="2" t="s">
        <v>1015</v>
      </c>
      <c r="H539" s="2" t="s">
        <v>828</v>
      </c>
      <c r="I539" s="2" t="s">
        <v>42</v>
      </c>
      <c r="J539" s="2">
        <v>8</v>
      </c>
      <c r="K539" s="2" t="s">
        <v>137</v>
      </c>
      <c r="L539" s="2" t="s">
        <v>41</v>
      </c>
      <c r="M539" s="2" t="s">
        <v>135</v>
      </c>
      <c r="N539" s="2" t="s">
        <v>1011</v>
      </c>
      <c r="O539" s="2" t="s">
        <v>829</v>
      </c>
      <c r="P539" s="2" t="s">
        <v>48</v>
      </c>
      <c r="Q539" s="2">
        <f>INDEX(Tables!$C$4:$C$28,MATCH($P539,Tables!$B$4:$B$28,0))</f>
        <v>8</v>
      </c>
      <c r="R539" s="2">
        <f>INDEX(Tables!$D$4:$D$28,MATCH($P539,Tables!$B$4:$B$28,0))</f>
        <v>1</v>
      </c>
      <c r="S539" s="2">
        <f>$S538+$R538+INDEX(Tables!$N$5:$Q$8,MATCH(MOD($S538+$R538,4),Tables!$M$5:$M$8,0),MATCH($R539,Tables!$N$4:$Q$4,0))</f>
        <v>1901</v>
      </c>
      <c r="T539" s="2" t="str">
        <f t="shared" si="129"/>
        <v>076D</v>
      </c>
      <c r="U539" s="2">
        <f t="shared" si="120"/>
        <v>475</v>
      </c>
      <c r="V539" s="2" t="str">
        <f t="shared" si="130"/>
        <v>1DB</v>
      </c>
      <c r="W539" s="2" t="str">
        <f t="shared" si="131"/>
        <v/>
      </c>
      <c r="X539" s="2" t="str">
        <f t="shared" si="132"/>
        <v/>
      </c>
      <c r="Y539" s="2" t="str">
        <f t="shared" si="133"/>
        <v>X</v>
      </c>
      <c r="Z539" s="2" t="str">
        <f t="shared" si="134"/>
        <v/>
      </c>
      <c r="AA539" s="2" t="str">
        <f t="shared" si="121"/>
        <v/>
      </c>
      <c r="AB539" s="2" t="str">
        <f t="shared" si="122"/>
        <v/>
      </c>
      <c r="AC539" s="2" t="str">
        <f t="shared" si="123"/>
        <v>(15 downto 8)</v>
      </c>
      <c r="AD539" s="2" t="str">
        <f t="shared" si="124"/>
        <v/>
      </c>
      <c r="AE539" s="2" t="str">
        <f t="shared" si="125"/>
        <v/>
      </c>
      <c r="AF539" s="2" t="str">
        <f t="shared" si="126"/>
        <v/>
      </c>
      <c r="AG539" s="2" t="str">
        <f t="shared" si="127"/>
        <v/>
      </c>
      <c r="AH539" s="2" t="str">
        <f t="shared" si="128"/>
        <v/>
      </c>
    </row>
    <row r="540" spans="2:34" x14ac:dyDescent="0.25">
      <c r="B540" s="2" t="s">
        <v>1008</v>
      </c>
      <c r="D540" s="2" t="s">
        <v>1</v>
      </c>
      <c r="E540" s="2" t="s">
        <v>134</v>
      </c>
      <c r="F540" s="2" t="s">
        <v>1014</v>
      </c>
      <c r="G540" s="2" t="s">
        <v>1015</v>
      </c>
      <c r="H540" s="2" t="s">
        <v>830</v>
      </c>
      <c r="I540" s="2" t="s">
        <v>42</v>
      </c>
      <c r="J540" s="2">
        <v>8</v>
      </c>
      <c r="K540" s="2" t="s">
        <v>137</v>
      </c>
      <c r="L540" s="2" t="s">
        <v>41</v>
      </c>
      <c r="M540" s="2" t="s">
        <v>135</v>
      </c>
      <c r="N540" s="2" t="s">
        <v>1011</v>
      </c>
      <c r="O540" s="2" t="s">
        <v>831</v>
      </c>
      <c r="P540" s="2" t="s">
        <v>48</v>
      </c>
      <c r="Q540" s="2">
        <f>INDEX(Tables!$C$4:$C$28,MATCH($P540,Tables!$B$4:$B$28,0))</f>
        <v>8</v>
      </c>
      <c r="R540" s="2">
        <f>INDEX(Tables!$D$4:$D$28,MATCH($P540,Tables!$B$4:$B$28,0))</f>
        <v>1</v>
      </c>
      <c r="S540" s="2">
        <f>$S539+$R539+INDEX(Tables!$N$5:$Q$8,MATCH(MOD($S539+$R539,4),Tables!$M$5:$M$8,0),MATCH($R540,Tables!$N$4:$Q$4,0))</f>
        <v>1902</v>
      </c>
      <c r="T540" s="2" t="str">
        <f t="shared" si="129"/>
        <v>076E</v>
      </c>
      <c r="U540" s="2">
        <f t="shared" si="120"/>
        <v>475</v>
      </c>
      <c r="V540" s="2" t="str">
        <f t="shared" si="130"/>
        <v>1DB</v>
      </c>
      <c r="W540" s="2" t="str">
        <f t="shared" si="131"/>
        <v/>
      </c>
      <c r="X540" s="2" t="str">
        <f t="shared" si="132"/>
        <v>X</v>
      </c>
      <c r="Y540" s="2" t="str">
        <f t="shared" si="133"/>
        <v/>
      </c>
      <c r="Z540" s="2" t="str">
        <f t="shared" si="134"/>
        <v/>
      </c>
      <c r="AA540" s="2" t="str">
        <f t="shared" si="121"/>
        <v/>
      </c>
      <c r="AB540" s="2" t="str">
        <f t="shared" si="122"/>
        <v>(23 downto 16)</v>
      </c>
      <c r="AC540" s="2" t="str">
        <f t="shared" si="123"/>
        <v/>
      </c>
      <c r="AD540" s="2" t="str">
        <f t="shared" si="124"/>
        <v/>
      </c>
      <c r="AE540" s="2" t="str">
        <f t="shared" si="125"/>
        <v/>
      </c>
      <c r="AF540" s="2" t="str">
        <f t="shared" si="126"/>
        <v/>
      </c>
      <c r="AG540" s="2" t="str">
        <f t="shared" si="127"/>
        <v/>
      </c>
      <c r="AH540" s="2" t="str">
        <f t="shared" si="128"/>
        <v/>
      </c>
    </row>
    <row r="541" spans="2:34" x14ac:dyDescent="0.25">
      <c r="B541" s="2" t="s">
        <v>1008</v>
      </c>
      <c r="D541" s="2" t="s">
        <v>1</v>
      </c>
      <c r="E541" s="2" t="s">
        <v>134</v>
      </c>
      <c r="F541" s="2" t="s">
        <v>1014</v>
      </c>
      <c r="G541" s="2" t="s">
        <v>1015</v>
      </c>
      <c r="H541" s="2" t="s">
        <v>832</v>
      </c>
      <c r="I541" s="2" t="s">
        <v>42</v>
      </c>
      <c r="J541" s="2">
        <v>8</v>
      </c>
      <c r="K541" s="2" t="s">
        <v>137</v>
      </c>
      <c r="L541" s="2" t="s">
        <v>41</v>
      </c>
      <c r="M541" s="2" t="s">
        <v>135</v>
      </c>
      <c r="N541" s="2" t="s">
        <v>1011</v>
      </c>
      <c r="O541" s="2" t="s">
        <v>833</v>
      </c>
      <c r="P541" s="2" t="s">
        <v>48</v>
      </c>
      <c r="Q541" s="2">
        <f>INDEX(Tables!$C$4:$C$28,MATCH($P541,Tables!$B$4:$B$28,0))</f>
        <v>8</v>
      </c>
      <c r="R541" s="2">
        <f>INDEX(Tables!$D$4:$D$28,MATCH($P541,Tables!$B$4:$B$28,0))</f>
        <v>1</v>
      </c>
      <c r="S541" s="2">
        <f>$S540+$R540+INDEX(Tables!$N$5:$Q$8,MATCH(MOD($S540+$R540,4),Tables!$M$5:$M$8,0),MATCH($R541,Tables!$N$4:$Q$4,0))</f>
        <v>1903</v>
      </c>
      <c r="T541" s="2" t="str">
        <f t="shared" si="129"/>
        <v>076F</v>
      </c>
      <c r="U541" s="2">
        <f t="shared" si="120"/>
        <v>475</v>
      </c>
      <c r="V541" s="2" t="str">
        <f t="shared" si="130"/>
        <v>1DB</v>
      </c>
      <c r="W541" s="2" t="str">
        <f t="shared" si="131"/>
        <v>X</v>
      </c>
      <c r="X541" s="2" t="str">
        <f t="shared" si="132"/>
        <v/>
      </c>
      <c r="Y541" s="2" t="str">
        <f t="shared" si="133"/>
        <v/>
      </c>
      <c r="Z541" s="2" t="str">
        <f t="shared" si="134"/>
        <v/>
      </c>
      <c r="AA541" s="2" t="str">
        <f t="shared" si="121"/>
        <v>(31 downto 24)</v>
      </c>
      <c r="AB541" s="2" t="str">
        <f t="shared" si="122"/>
        <v/>
      </c>
      <c r="AC541" s="2" t="str">
        <f t="shared" si="123"/>
        <v/>
      </c>
      <c r="AD541" s="2" t="str">
        <f t="shared" si="124"/>
        <v/>
      </c>
      <c r="AE541" s="2" t="str">
        <f t="shared" si="125"/>
        <v/>
      </c>
      <c r="AF541" s="2" t="str">
        <f t="shared" si="126"/>
        <v/>
      </c>
      <c r="AG541" s="2" t="str">
        <f t="shared" si="127"/>
        <v/>
      </c>
      <c r="AH541" s="2" t="str">
        <f t="shared" si="128"/>
        <v/>
      </c>
    </row>
    <row r="542" spans="2:34" x14ac:dyDescent="0.25">
      <c r="B542" s="2" t="s">
        <v>1008</v>
      </c>
      <c r="D542" s="2" t="s">
        <v>1</v>
      </c>
      <c r="E542" s="2" t="s">
        <v>134</v>
      </c>
      <c r="F542" s="2" t="s">
        <v>1014</v>
      </c>
      <c r="G542" s="2" t="s">
        <v>1015</v>
      </c>
      <c r="H542" s="2" t="s">
        <v>834</v>
      </c>
      <c r="I542" s="2" t="s">
        <v>42</v>
      </c>
      <c r="J542" s="2">
        <v>8</v>
      </c>
      <c r="K542" s="2" t="s">
        <v>137</v>
      </c>
      <c r="L542" s="2" t="s">
        <v>41</v>
      </c>
      <c r="M542" s="2" t="s">
        <v>135</v>
      </c>
      <c r="N542" s="2" t="s">
        <v>1011</v>
      </c>
      <c r="O542" s="2" t="s">
        <v>835</v>
      </c>
      <c r="P542" s="2" t="s">
        <v>48</v>
      </c>
      <c r="Q542" s="2">
        <f>INDEX(Tables!$C$4:$C$28,MATCH($P542,Tables!$B$4:$B$28,0))</f>
        <v>8</v>
      </c>
      <c r="R542" s="2">
        <f>INDEX(Tables!$D$4:$D$28,MATCH($P542,Tables!$B$4:$B$28,0))</f>
        <v>1</v>
      </c>
      <c r="S542" s="2">
        <f>$S541+$R541+INDEX(Tables!$N$5:$Q$8,MATCH(MOD($S541+$R541,4),Tables!$M$5:$M$8,0),MATCH($R542,Tables!$N$4:$Q$4,0))</f>
        <v>1904</v>
      </c>
      <c r="T542" s="2" t="str">
        <f t="shared" si="129"/>
        <v>0770</v>
      </c>
      <c r="U542" s="2">
        <f t="shared" si="120"/>
        <v>476</v>
      </c>
      <c r="V542" s="2" t="str">
        <f t="shared" si="130"/>
        <v>1DC</v>
      </c>
      <c r="W542" s="2" t="str">
        <f t="shared" si="131"/>
        <v/>
      </c>
      <c r="X542" s="2" t="str">
        <f t="shared" si="132"/>
        <v/>
      </c>
      <c r="Y542" s="2" t="str">
        <f t="shared" si="133"/>
        <v/>
      </c>
      <c r="Z542" s="2" t="str">
        <f t="shared" si="134"/>
        <v>X</v>
      </c>
      <c r="AA542" s="2" t="str">
        <f t="shared" si="121"/>
        <v/>
      </c>
      <c r="AB542" s="2" t="str">
        <f t="shared" si="122"/>
        <v/>
      </c>
      <c r="AC542" s="2" t="str">
        <f t="shared" si="123"/>
        <v/>
      </c>
      <c r="AD542" s="2" t="str">
        <f t="shared" si="124"/>
        <v>(7 downto 0)</v>
      </c>
      <c r="AE542" s="2" t="str">
        <f t="shared" si="125"/>
        <v/>
      </c>
      <c r="AF542" s="2" t="str">
        <f t="shared" si="126"/>
        <v/>
      </c>
      <c r="AG542" s="2" t="str">
        <f t="shared" si="127"/>
        <v/>
      </c>
      <c r="AH542" s="2" t="str">
        <f t="shared" si="128"/>
        <v/>
      </c>
    </row>
    <row r="543" spans="2:34" x14ac:dyDescent="0.25">
      <c r="B543" s="2" t="s">
        <v>1008</v>
      </c>
      <c r="D543" s="2" t="s">
        <v>1</v>
      </c>
      <c r="E543" s="2" t="s">
        <v>134</v>
      </c>
      <c r="F543" s="2" t="s">
        <v>1014</v>
      </c>
      <c r="G543" s="2" t="s">
        <v>1015</v>
      </c>
      <c r="H543" s="2" t="s">
        <v>836</v>
      </c>
      <c r="I543" s="2" t="s">
        <v>42</v>
      </c>
      <c r="J543" s="2">
        <v>14</v>
      </c>
      <c r="K543" s="2" t="s">
        <v>137</v>
      </c>
      <c r="L543" s="2" t="s">
        <v>41</v>
      </c>
      <c r="M543" s="2" t="s">
        <v>135</v>
      </c>
      <c r="N543" s="2" t="s">
        <v>1011</v>
      </c>
      <c r="O543" s="2" t="s">
        <v>837</v>
      </c>
      <c r="P543" s="2" t="s">
        <v>50</v>
      </c>
      <c r="Q543" s="2">
        <f>INDEX(Tables!$C$4:$C$28,MATCH($P543,Tables!$B$4:$B$28,0))</f>
        <v>16</v>
      </c>
      <c r="R543" s="2">
        <f>INDEX(Tables!$D$4:$D$28,MATCH($P543,Tables!$B$4:$B$28,0))</f>
        <v>2</v>
      </c>
      <c r="S543" s="2">
        <f>$S542+$R542+INDEX(Tables!$N$5:$Q$8,MATCH(MOD($S542+$R542,4),Tables!$M$5:$M$8,0),MATCH($R543,Tables!$N$4:$Q$4,0))</f>
        <v>1906</v>
      </c>
      <c r="T543" s="2" t="str">
        <f t="shared" si="129"/>
        <v>0772</v>
      </c>
      <c r="U543" s="2">
        <f t="shared" si="120"/>
        <v>476</v>
      </c>
      <c r="V543" s="2" t="str">
        <f t="shared" si="130"/>
        <v>1DC</v>
      </c>
      <c r="W543" s="2" t="str">
        <f t="shared" si="131"/>
        <v>X</v>
      </c>
      <c r="X543" s="2" t="str">
        <f t="shared" si="132"/>
        <v>X</v>
      </c>
      <c r="Y543" s="2" t="str">
        <f t="shared" si="133"/>
        <v/>
      </c>
      <c r="Z543" s="2" t="str">
        <f t="shared" si="134"/>
        <v/>
      </c>
      <c r="AA543" s="2" t="str">
        <f t="shared" si="121"/>
        <v>(29 downto 24)</v>
      </c>
      <c r="AB543" s="2" t="str">
        <f t="shared" si="122"/>
        <v>(23 downto 16)</v>
      </c>
      <c r="AC543" s="2" t="str">
        <f t="shared" si="123"/>
        <v/>
      </c>
      <c r="AD543" s="2" t="str">
        <f t="shared" si="124"/>
        <v/>
      </c>
      <c r="AE543" s="2" t="str">
        <f t="shared" si="125"/>
        <v>(13 downto 8)</v>
      </c>
      <c r="AF543" s="2" t="str">
        <f t="shared" si="126"/>
        <v>(7 downto 0)</v>
      </c>
      <c r="AG543" s="2" t="str">
        <f t="shared" si="127"/>
        <v/>
      </c>
      <c r="AH543" s="2" t="str">
        <f t="shared" si="128"/>
        <v/>
      </c>
    </row>
    <row r="544" spans="2:34" x14ac:dyDescent="0.25">
      <c r="B544" s="2" t="s">
        <v>1008</v>
      </c>
      <c r="D544" s="2" t="s">
        <v>1</v>
      </c>
      <c r="E544" s="2" t="s">
        <v>134</v>
      </c>
      <c r="F544" s="2" t="s">
        <v>1014</v>
      </c>
      <c r="G544" s="2" t="s">
        <v>1015</v>
      </c>
      <c r="H544" s="2" t="s">
        <v>838</v>
      </c>
      <c r="I544" s="2" t="s">
        <v>42</v>
      </c>
      <c r="J544" s="2">
        <v>1</v>
      </c>
      <c r="K544" s="2" t="s">
        <v>82</v>
      </c>
      <c r="L544" s="2" t="s">
        <v>41</v>
      </c>
      <c r="M544" s="2" t="s">
        <v>135</v>
      </c>
      <c r="N544" s="2" t="s">
        <v>1011</v>
      </c>
      <c r="O544" s="2" t="s">
        <v>839</v>
      </c>
      <c r="P544" s="2" t="s">
        <v>5</v>
      </c>
      <c r="Q544" s="2">
        <f>INDEX(Tables!$C$4:$C$28,MATCH($P544,Tables!$B$4:$B$28,0))</f>
        <v>32</v>
      </c>
      <c r="R544" s="2">
        <f>INDEX(Tables!$D$4:$D$28,MATCH($P544,Tables!$B$4:$B$28,0))</f>
        <v>4</v>
      </c>
      <c r="S544" s="2">
        <f>$S543+$R543+INDEX(Tables!$N$5:$Q$8,MATCH(MOD($S543+$R543,4),Tables!$M$5:$M$8,0),MATCH($R544,Tables!$N$4:$Q$4,0))</f>
        <v>1908</v>
      </c>
      <c r="T544" s="2" t="str">
        <f t="shared" si="129"/>
        <v>0774</v>
      </c>
      <c r="U544" s="2">
        <f t="shared" si="120"/>
        <v>477</v>
      </c>
      <c r="V544" s="2" t="str">
        <f t="shared" si="130"/>
        <v>1DD</v>
      </c>
      <c r="W544" s="2" t="str">
        <f t="shared" si="131"/>
        <v/>
      </c>
      <c r="X544" s="2" t="str">
        <f t="shared" si="132"/>
        <v/>
      </c>
      <c r="Y544" s="2" t="str">
        <f t="shared" si="133"/>
        <v/>
      </c>
      <c r="Z544" s="2" t="str">
        <f t="shared" si="134"/>
        <v>X</v>
      </c>
      <c r="AA544" s="2" t="str">
        <f t="shared" si="121"/>
        <v/>
      </c>
      <c r="AB544" s="2" t="str">
        <f t="shared" si="122"/>
        <v/>
      </c>
      <c r="AC544" s="2" t="str">
        <f t="shared" si="123"/>
        <v/>
      </c>
      <c r="AD544" s="2" t="str">
        <f t="shared" si="124"/>
        <v>(0)</v>
      </c>
      <c r="AE544" s="2" t="str">
        <f t="shared" si="125"/>
        <v/>
      </c>
      <c r="AF544" s="2" t="str">
        <f t="shared" si="126"/>
        <v/>
      </c>
      <c r="AG544" s="2" t="str">
        <f t="shared" si="127"/>
        <v/>
      </c>
      <c r="AH544" s="2" t="str">
        <f t="shared" si="128"/>
        <v/>
      </c>
    </row>
    <row r="545" spans="2:34" x14ac:dyDescent="0.25">
      <c r="B545" s="2" t="s">
        <v>1008</v>
      </c>
      <c r="D545" s="2" t="s">
        <v>1</v>
      </c>
      <c r="E545" s="2" t="s">
        <v>134</v>
      </c>
      <c r="F545" s="2" t="s">
        <v>1014</v>
      </c>
      <c r="G545" s="2" t="s">
        <v>1015</v>
      </c>
      <c r="H545" s="2" t="s">
        <v>840</v>
      </c>
      <c r="I545" s="2" t="s">
        <v>42</v>
      </c>
      <c r="J545" s="2">
        <v>1</v>
      </c>
      <c r="K545" s="2" t="s">
        <v>82</v>
      </c>
      <c r="L545" s="2" t="s">
        <v>41</v>
      </c>
      <c r="M545" s="2" t="s">
        <v>135</v>
      </c>
      <c r="N545" s="2" t="s">
        <v>1011</v>
      </c>
      <c r="O545" s="2" t="s">
        <v>841</v>
      </c>
      <c r="P545" s="2" t="s">
        <v>5</v>
      </c>
      <c r="Q545" s="2">
        <f>INDEX(Tables!$C$4:$C$28,MATCH($P545,Tables!$B$4:$B$28,0))</f>
        <v>32</v>
      </c>
      <c r="R545" s="2">
        <f>INDEX(Tables!$D$4:$D$28,MATCH($P545,Tables!$B$4:$B$28,0))</f>
        <v>4</v>
      </c>
      <c r="S545" s="2">
        <f>$S544+$R544+INDEX(Tables!$N$5:$Q$8,MATCH(MOD($S544+$R544,4),Tables!$M$5:$M$8,0),MATCH($R545,Tables!$N$4:$Q$4,0))</f>
        <v>1912</v>
      </c>
      <c r="T545" s="2" t="str">
        <f t="shared" si="129"/>
        <v>0778</v>
      </c>
      <c r="U545" s="2">
        <f t="shared" si="120"/>
        <v>478</v>
      </c>
      <c r="V545" s="2" t="str">
        <f t="shared" si="130"/>
        <v>1DE</v>
      </c>
      <c r="W545" s="2" t="str">
        <f t="shared" si="131"/>
        <v/>
      </c>
      <c r="X545" s="2" t="str">
        <f t="shared" si="132"/>
        <v/>
      </c>
      <c r="Y545" s="2" t="str">
        <f t="shared" si="133"/>
        <v/>
      </c>
      <c r="Z545" s="2" t="str">
        <f t="shared" si="134"/>
        <v>X</v>
      </c>
      <c r="AA545" s="2" t="str">
        <f t="shared" si="121"/>
        <v/>
      </c>
      <c r="AB545" s="2" t="str">
        <f t="shared" si="122"/>
        <v/>
      </c>
      <c r="AC545" s="2" t="str">
        <f t="shared" si="123"/>
        <v/>
      </c>
      <c r="AD545" s="2" t="str">
        <f t="shared" si="124"/>
        <v>(0)</v>
      </c>
      <c r="AE545" s="2" t="str">
        <f t="shared" si="125"/>
        <v/>
      </c>
      <c r="AF545" s="2" t="str">
        <f t="shared" si="126"/>
        <v/>
      </c>
      <c r="AG545" s="2" t="str">
        <f t="shared" si="127"/>
        <v/>
      </c>
      <c r="AH545" s="2" t="str">
        <f t="shared" si="128"/>
        <v/>
      </c>
    </row>
    <row r="546" spans="2:34" x14ac:dyDescent="0.25">
      <c r="B546" s="2" t="s">
        <v>1008</v>
      </c>
      <c r="D546" s="2" t="s">
        <v>1</v>
      </c>
      <c r="E546" s="2" t="s">
        <v>134</v>
      </c>
      <c r="F546" s="2" t="s">
        <v>1014</v>
      </c>
      <c r="G546" s="2" t="s">
        <v>1015</v>
      </c>
      <c r="H546" s="2" t="s">
        <v>842</v>
      </c>
      <c r="I546" s="2" t="s">
        <v>42</v>
      </c>
      <c r="J546" s="2">
        <v>14</v>
      </c>
      <c r="K546" s="2" t="s">
        <v>137</v>
      </c>
      <c r="L546" s="2" t="s">
        <v>41</v>
      </c>
      <c r="M546" s="2" t="s">
        <v>135</v>
      </c>
      <c r="N546" s="2" t="s">
        <v>1011</v>
      </c>
      <c r="O546" s="2" t="s">
        <v>843</v>
      </c>
      <c r="P546" s="2" t="s">
        <v>50</v>
      </c>
      <c r="Q546" s="2">
        <f>INDEX(Tables!$C$4:$C$28,MATCH($P546,Tables!$B$4:$B$28,0))</f>
        <v>16</v>
      </c>
      <c r="R546" s="2">
        <f>INDEX(Tables!$D$4:$D$28,MATCH($P546,Tables!$B$4:$B$28,0))</f>
        <v>2</v>
      </c>
      <c r="S546" s="2">
        <f>$S545+$R545+INDEX(Tables!$N$5:$Q$8,MATCH(MOD($S545+$R545,4),Tables!$M$5:$M$8,0),MATCH($R546,Tables!$N$4:$Q$4,0))</f>
        <v>1916</v>
      </c>
      <c r="T546" s="2" t="str">
        <f t="shared" si="129"/>
        <v>077C</v>
      </c>
      <c r="U546" s="2">
        <f t="shared" si="120"/>
        <v>479</v>
      </c>
      <c r="V546" s="2" t="str">
        <f t="shared" si="130"/>
        <v>1DF</v>
      </c>
      <c r="W546" s="2" t="str">
        <f t="shared" si="131"/>
        <v/>
      </c>
      <c r="X546" s="2" t="str">
        <f t="shared" si="132"/>
        <v/>
      </c>
      <c r="Y546" s="2" t="str">
        <f t="shared" si="133"/>
        <v>X</v>
      </c>
      <c r="Z546" s="2" t="str">
        <f t="shared" si="134"/>
        <v>X</v>
      </c>
      <c r="AA546" s="2" t="str">
        <f t="shared" si="121"/>
        <v/>
      </c>
      <c r="AB546" s="2" t="str">
        <f t="shared" si="122"/>
        <v/>
      </c>
      <c r="AC546" s="2" t="str">
        <f t="shared" si="123"/>
        <v>(13 downto 8)</v>
      </c>
      <c r="AD546" s="2" t="str">
        <f t="shared" si="124"/>
        <v>(7 downto 0)</v>
      </c>
      <c r="AE546" s="2" t="str">
        <f t="shared" si="125"/>
        <v/>
      </c>
      <c r="AF546" s="2" t="str">
        <f t="shared" si="126"/>
        <v/>
      </c>
      <c r="AG546" s="2" t="str">
        <f t="shared" si="127"/>
        <v>(13 downto 8)</v>
      </c>
      <c r="AH546" s="2" t="str">
        <f t="shared" si="128"/>
        <v>(7 downto 0)</v>
      </c>
    </row>
    <row r="547" spans="2:34" x14ac:dyDescent="0.25">
      <c r="B547" s="2" t="s">
        <v>1008</v>
      </c>
      <c r="D547" s="2" t="s">
        <v>1</v>
      </c>
      <c r="E547" s="2" t="s">
        <v>134</v>
      </c>
      <c r="F547" s="2" t="s">
        <v>1014</v>
      </c>
      <c r="G547" s="2" t="s">
        <v>1015</v>
      </c>
      <c r="H547" s="2" t="s">
        <v>844</v>
      </c>
      <c r="I547" s="2" t="s">
        <v>42</v>
      </c>
      <c r="J547" s="2">
        <v>1</v>
      </c>
      <c r="K547" s="2" t="s">
        <v>82</v>
      </c>
      <c r="L547" s="2" t="s">
        <v>41</v>
      </c>
      <c r="M547" s="2" t="s">
        <v>135</v>
      </c>
      <c r="N547" s="2" t="s">
        <v>1011</v>
      </c>
      <c r="O547" s="2" t="s">
        <v>845</v>
      </c>
      <c r="P547" s="2" t="s">
        <v>5</v>
      </c>
      <c r="Q547" s="2">
        <f>INDEX(Tables!$C$4:$C$28,MATCH($P547,Tables!$B$4:$B$28,0))</f>
        <v>32</v>
      </c>
      <c r="R547" s="2">
        <f>INDEX(Tables!$D$4:$D$28,MATCH($P547,Tables!$B$4:$B$28,0))</f>
        <v>4</v>
      </c>
      <c r="S547" s="2">
        <f>$S546+$R546+INDEX(Tables!$N$5:$Q$8,MATCH(MOD($S546+$R546,4),Tables!$M$5:$M$8,0),MATCH($R547,Tables!$N$4:$Q$4,0))</f>
        <v>1920</v>
      </c>
      <c r="T547" s="2" t="str">
        <f t="shared" si="129"/>
        <v>0780</v>
      </c>
      <c r="U547" s="2">
        <f t="shared" si="120"/>
        <v>480</v>
      </c>
      <c r="V547" s="2" t="str">
        <f t="shared" si="130"/>
        <v>1E0</v>
      </c>
      <c r="W547" s="2" t="str">
        <f t="shared" si="131"/>
        <v/>
      </c>
      <c r="X547" s="2" t="str">
        <f t="shared" si="132"/>
        <v/>
      </c>
      <c r="Y547" s="2" t="str">
        <f t="shared" si="133"/>
        <v/>
      </c>
      <c r="Z547" s="2" t="str">
        <f t="shared" si="134"/>
        <v>X</v>
      </c>
      <c r="AA547" s="2" t="str">
        <f t="shared" si="121"/>
        <v/>
      </c>
      <c r="AB547" s="2" t="str">
        <f t="shared" si="122"/>
        <v/>
      </c>
      <c r="AC547" s="2" t="str">
        <f t="shared" si="123"/>
        <v/>
      </c>
      <c r="AD547" s="2" t="str">
        <f t="shared" si="124"/>
        <v>(0)</v>
      </c>
      <c r="AE547" s="2" t="str">
        <f t="shared" si="125"/>
        <v/>
      </c>
      <c r="AF547" s="2" t="str">
        <f t="shared" si="126"/>
        <v/>
      </c>
      <c r="AG547" s="2" t="str">
        <f t="shared" si="127"/>
        <v/>
      </c>
      <c r="AH547" s="2" t="str">
        <f t="shared" si="128"/>
        <v/>
      </c>
    </row>
    <row r="548" spans="2:34" x14ac:dyDescent="0.25">
      <c r="B548" s="2" t="s">
        <v>1008</v>
      </c>
      <c r="D548" s="2" t="s">
        <v>1</v>
      </c>
      <c r="E548" s="2" t="s">
        <v>134</v>
      </c>
      <c r="F548" s="2" t="s">
        <v>1014</v>
      </c>
      <c r="G548" s="2" t="s">
        <v>1015</v>
      </c>
      <c r="H548" s="2" t="s">
        <v>846</v>
      </c>
      <c r="I548" s="2" t="s">
        <v>42</v>
      </c>
      <c r="J548" s="2">
        <v>1</v>
      </c>
      <c r="K548" s="2" t="s">
        <v>82</v>
      </c>
      <c r="L548" s="2" t="s">
        <v>41</v>
      </c>
      <c r="M548" s="2" t="s">
        <v>135</v>
      </c>
      <c r="N548" s="2" t="s">
        <v>1011</v>
      </c>
      <c r="O548" s="2" t="s">
        <v>847</v>
      </c>
      <c r="P548" s="2" t="s">
        <v>5</v>
      </c>
      <c r="Q548" s="2">
        <f>INDEX(Tables!$C$4:$C$28,MATCH($P548,Tables!$B$4:$B$28,0))</f>
        <v>32</v>
      </c>
      <c r="R548" s="2">
        <f>INDEX(Tables!$D$4:$D$28,MATCH($P548,Tables!$B$4:$B$28,0))</f>
        <v>4</v>
      </c>
      <c r="S548" s="2">
        <f>$S547+$R547+INDEX(Tables!$N$5:$Q$8,MATCH(MOD($S547+$R547,4),Tables!$M$5:$M$8,0),MATCH($R548,Tables!$N$4:$Q$4,0))</f>
        <v>1924</v>
      </c>
      <c r="T548" s="2" t="str">
        <f t="shared" si="129"/>
        <v>0784</v>
      </c>
      <c r="U548" s="2">
        <f t="shared" si="120"/>
        <v>481</v>
      </c>
      <c r="V548" s="2" t="str">
        <f t="shared" si="130"/>
        <v>1E1</v>
      </c>
      <c r="W548" s="2" t="str">
        <f t="shared" si="131"/>
        <v/>
      </c>
      <c r="X548" s="2" t="str">
        <f t="shared" si="132"/>
        <v/>
      </c>
      <c r="Y548" s="2" t="str">
        <f t="shared" si="133"/>
        <v/>
      </c>
      <c r="Z548" s="2" t="str">
        <f t="shared" si="134"/>
        <v>X</v>
      </c>
      <c r="AA548" s="2" t="str">
        <f t="shared" si="121"/>
        <v/>
      </c>
      <c r="AB548" s="2" t="str">
        <f t="shared" si="122"/>
        <v/>
      </c>
      <c r="AC548" s="2" t="str">
        <f t="shared" si="123"/>
        <v/>
      </c>
      <c r="AD548" s="2" t="str">
        <f t="shared" si="124"/>
        <v>(0)</v>
      </c>
      <c r="AE548" s="2" t="str">
        <f t="shared" si="125"/>
        <v/>
      </c>
      <c r="AF548" s="2" t="str">
        <f t="shared" si="126"/>
        <v/>
      </c>
      <c r="AG548" s="2" t="str">
        <f t="shared" si="127"/>
        <v/>
      </c>
      <c r="AH548" s="2" t="str">
        <f t="shared" si="128"/>
        <v/>
      </c>
    </row>
    <row r="549" spans="2:34" x14ac:dyDescent="0.25">
      <c r="B549" s="2" t="s">
        <v>1008</v>
      </c>
      <c r="D549" s="2" t="s">
        <v>1</v>
      </c>
      <c r="E549" s="2" t="s">
        <v>134</v>
      </c>
      <c r="F549" s="2" t="s">
        <v>1014</v>
      </c>
      <c r="G549" s="2" t="s">
        <v>1015</v>
      </c>
      <c r="H549" s="2" t="s">
        <v>848</v>
      </c>
      <c r="I549" s="2" t="s">
        <v>42</v>
      </c>
      <c r="J549" s="2">
        <v>14</v>
      </c>
      <c r="K549" s="2" t="s">
        <v>137</v>
      </c>
      <c r="L549" s="2" t="s">
        <v>41</v>
      </c>
      <c r="M549" s="2" t="s">
        <v>135</v>
      </c>
      <c r="N549" s="2" t="s">
        <v>1011</v>
      </c>
      <c r="O549" s="2" t="s">
        <v>849</v>
      </c>
      <c r="P549" s="2" t="s">
        <v>50</v>
      </c>
      <c r="Q549" s="2">
        <f>INDEX(Tables!$C$4:$C$28,MATCH($P549,Tables!$B$4:$B$28,0))</f>
        <v>16</v>
      </c>
      <c r="R549" s="2">
        <f>INDEX(Tables!$D$4:$D$28,MATCH($P549,Tables!$B$4:$B$28,0))</f>
        <v>2</v>
      </c>
      <c r="S549" s="2">
        <f>$S548+$R548+INDEX(Tables!$N$5:$Q$8,MATCH(MOD($S548+$R548,4),Tables!$M$5:$M$8,0),MATCH($R549,Tables!$N$4:$Q$4,0))</f>
        <v>1928</v>
      </c>
      <c r="T549" s="2" t="str">
        <f t="shared" si="129"/>
        <v>0788</v>
      </c>
      <c r="U549" s="2">
        <f t="shared" si="120"/>
        <v>482</v>
      </c>
      <c r="V549" s="2" t="str">
        <f t="shared" si="130"/>
        <v>1E2</v>
      </c>
      <c r="W549" s="2" t="str">
        <f t="shared" si="131"/>
        <v/>
      </c>
      <c r="X549" s="2" t="str">
        <f t="shared" si="132"/>
        <v/>
      </c>
      <c r="Y549" s="2" t="str">
        <f t="shared" si="133"/>
        <v>X</v>
      </c>
      <c r="Z549" s="2" t="str">
        <f t="shared" si="134"/>
        <v>X</v>
      </c>
      <c r="AA549" s="2" t="str">
        <f t="shared" si="121"/>
        <v/>
      </c>
      <c r="AB549" s="2" t="str">
        <f t="shared" si="122"/>
        <v/>
      </c>
      <c r="AC549" s="2" t="str">
        <f t="shared" si="123"/>
        <v>(13 downto 8)</v>
      </c>
      <c r="AD549" s="2" t="str">
        <f t="shared" si="124"/>
        <v>(7 downto 0)</v>
      </c>
      <c r="AE549" s="2" t="str">
        <f t="shared" si="125"/>
        <v/>
      </c>
      <c r="AF549" s="2" t="str">
        <f t="shared" si="126"/>
        <v/>
      </c>
      <c r="AG549" s="2" t="str">
        <f t="shared" si="127"/>
        <v>(13 downto 8)</v>
      </c>
      <c r="AH549" s="2" t="str">
        <f t="shared" si="128"/>
        <v>(7 downto 0)</v>
      </c>
    </row>
    <row r="550" spans="2:34" x14ac:dyDescent="0.25">
      <c r="B550" s="2" t="s">
        <v>1008</v>
      </c>
      <c r="D550" s="2" t="s">
        <v>1</v>
      </c>
      <c r="E550" s="2" t="s">
        <v>134</v>
      </c>
      <c r="F550" s="2" t="s">
        <v>1014</v>
      </c>
      <c r="G550" s="2" t="s">
        <v>1015</v>
      </c>
      <c r="H550" s="2" t="s">
        <v>850</v>
      </c>
      <c r="I550" s="2" t="s">
        <v>42</v>
      </c>
      <c r="J550" s="2">
        <v>1</v>
      </c>
      <c r="K550" s="2" t="s">
        <v>82</v>
      </c>
      <c r="L550" s="2" t="s">
        <v>41</v>
      </c>
      <c r="M550" s="2" t="s">
        <v>135</v>
      </c>
      <c r="N550" s="2" t="s">
        <v>1011</v>
      </c>
      <c r="O550" s="2" t="s">
        <v>851</v>
      </c>
      <c r="P550" s="2" t="s">
        <v>5</v>
      </c>
      <c r="Q550" s="2">
        <f>INDEX(Tables!$C$4:$C$28,MATCH($P550,Tables!$B$4:$B$28,0))</f>
        <v>32</v>
      </c>
      <c r="R550" s="2">
        <f>INDEX(Tables!$D$4:$D$28,MATCH($P550,Tables!$B$4:$B$28,0))</f>
        <v>4</v>
      </c>
      <c r="S550" s="2">
        <f>$S549+$R549+INDEX(Tables!$N$5:$Q$8,MATCH(MOD($S549+$R549,4),Tables!$M$5:$M$8,0),MATCH($R550,Tables!$N$4:$Q$4,0))</f>
        <v>1932</v>
      </c>
      <c r="T550" s="2" t="str">
        <f t="shared" si="129"/>
        <v>078C</v>
      </c>
      <c r="U550" s="2">
        <f t="shared" si="120"/>
        <v>483</v>
      </c>
      <c r="V550" s="2" t="str">
        <f t="shared" si="130"/>
        <v>1E3</v>
      </c>
      <c r="W550" s="2" t="str">
        <f t="shared" si="131"/>
        <v/>
      </c>
      <c r="X550" s="2" t="str">
        <f t="shared" si="132"/>
        <v/>
      </c>
      <c r="Y550" s="2" t="str">
        <f t="shared" si="133"/>
        <v/>
      </c>
      <c r="Z550" s="2" t="str">
        <f t="shared" si="134"/>
        <v>X</v>
      </c>
      <c r="AA550" s="2" t="str">
        <f t="shared" si="121"/>
        <v/>
      </c>
      <c r="AB550" s="2" t="str">
        <f t="shared" si="122"/>
        <v/>
      </c>
      <c r="AC550" s="2" t="str">
        <f t="shared" si="123"/>
        <v/>
      </c>
      <c r="AD550" s="2" t="str">
        <f t="shared" si="124"/>
        <v>(0)</v>
      </c>
      <c r="AE550" s="2" t="str">
        <f t="shared" si="125"/>
        <v/>
      </c>
      <c r="AF550" s="2" t="str">
        <f t="shared" si="126"/>
        <v/>
      </c>
      <c r="AG550" s="2" t="str">
        <f t="shared" si="127"/>
        <v/>
      </c>
      <c r="AH550" s="2" t="str">
        <f t="shared" si="128"/>
        <v/>
      </c>
    </row>
    <row r="551" spans="2:34" x14ac:dyDescent="0.25">
      <c r="B551" s="2" t="s">
        <v>1008</v>
      </c>
      <c r="D551" s="2" t="s">
        <v>1</v>
      </c>
      <c r="E551" s="2" t="s">
        <v>134</v>
      </c>
      <c r="F551" s="2" t="s">
        <v>1014</v>
      </c>
      <c r="G551" s="2" t="s">
        <v>1015</v>
      </c>
      <c r="H551" s="2" t="s">
        <v>852</v>
      </c>
      <c r="I551" s="2" t="s">
        <v>42</v>
      </c>
      <c r="J551" s="2">
        <v>1</v>
      </c>
      <c r="K551" s="2" t="s">
        <v>82</v>
      </c>
      <c r="L551" s="2" t="s">
        <v>41</v>
      </c>
      <c r="M551" s="2" t="s">
        <v>135</v>
      </c>
      <c r="N551" s="2" t="s">
        <v>1011</v>
      </c>
      <c r="O551" s="2" t="s">
        <v>853</v>
      </c>
      <c r="P551" s="2" t="s">
        <v>5</v>
      </c>
      <c r="Q551" s="2">
        <f>INDEX(Tables!$C$4:$C$28,MATCH($P551,Tables!$B$4:$B$28,0))</f>
        <v>32</v>
      </c>
      <c r="R551" s="2">
        <f>INDEX(Tables!$D$4:$D$28,MATCH($P551,Tables!$B$4:$B$28,0))</f>
        <v>4</v>
      </c>
      <c r="S551" s="2">
        <f>$S550+$R550+INDEX(Tables!$N$5:$Q$8,MATCH(MOD($S550+$R550,4),Tables!$M$5:$M$8,0),MATCH($R551,Tables!$N$4:$Q$4,0))</f>
        <v>1936</v>
      </c>
      <c r="T551" s="2" t="str">
        <f t="shared" si="129"/>
        <v>0790</v>
      </c>
      <c r="U551" s="2">
        <f t="shared" si="120"/>
        <v>484</v>
      </c>
      <c r="V551" s="2" t="str">
        <f t="shared" si="130"/>
        <v>1E4</v>
      </c>
      <c r="W551" s="2" t="str">
        <f t="shared" si="131"/>
        <v/>
      </c>
      <c r="X551" s="2" t="str">
        <f t="shared" si="132"/>
        <v/>
      </c>
      <c r="Y551" s="2" t="str">
        <f t="shared" si="133"/>
        <v/>
      </c>
      <c r="Z551" s="2" t="str">
        <f t="shared" si="134"/>
        <v>X</v>
      </c>
      <c r="AA551" s="2" t="str">
        <f t="shared" si="121"/>
        <v/>
      </c>
      <c r="AB551" s="2" t="str">
        <f t="shared" si="122"/>
        <v/>
      </c>
      <c r="AC551" s="2" t="str">
        <f t="shared" si="123"/>
        <v/>
      </c>
      <c r="AD551" s="2" t="str">
        <f t="shared" si="124"/>
        <v>(0)</v>
      </c>
      <c r="AE551" s="2" t="str">
        <f t="shared" si="125"/>
        <v/>
      </c>
      <c r="AF551" s="2" t="str">
        <f t="shared" si="126"/>
        <v/>
      </c>
      <c r="AG551" s="2" t="str">
        <f t="shared" si="127"/>
        <v/>
      </c>
      <c r="AH551" s="2" t="str">
        <f t="shared" si="128"/>
        <v/>
      </c>
    </row>
    <row r="552" spans="2:34" x14ac:dyDescent="0.25">
      <c r="B552" s="2" t="s">
        <v>1008</v>
      </c>
      <c r="D552" s="2" t="s">
        <v>1</v>
      </c>
      <c r="E552" s="2" t="s">
        <v>134</v>
      </c>
      <c r="F552" s="2" t="s">
        <v>1014</v>
      </c>
      <c r="G552" s="2" t="s">
        <v>1015</v>
      </c>
      <c r="H552" s="2" t="s">
        <v>854</v>
      </c>
      <c r="I552" s="2" t="s">
        <v>42</v>
      </c>
      <c r="J552" s="2">
        <v>14</v>
      </c>
      <c r="K552" s="2" t="s">
        <v>137</v>
      </c>
      <c r="L552" s="2" t="s">
        <v>41</v>
      </c>
      <c r="M552" s="2" t="s">
        <v>135</v>
      </c>
      <c r="N552" s="2" t="s">
        <v>1011</v>
      </c>
      <c r="O552" s="2" t="s">
        <v>855</v>
      </c>
      <c r="P552" s="2" t="s">
        <v>50</v>
      </c>
      <c r="Q552" s="2">
        <f>INDEX(Tables!$C$4:$C$28,MATCH($P552,Tables!$B$4:$B$28,0))</f>
        <v>16</v>
      </c>
      <c r="R552" s="2">
        <f>INDEX(Tables!$D$4:$D$28,MATCH($P552,Tables!$B$4:$B$28,0))</f>
        <v>2</v>
      </c>
      <c r="S552" s="2">
        <f>$S551+$R551+INDEX(Tables!$N$5:$Q$8,MATCH(MOD($S551+$R551,4),Tables!$M$5:$M$8,0),MATCH($R552,Tables!$N$4:$Q$4,0))</f>
        <v>1940</v>
      </c>
      <c r="T552" s="2" t="str">
        <f t="shared" si="129"/>
        <v>0794</v>
      </c>
      <c r="U552" s="2">
        <f t="shared" si="120"/>
        <v>485</v>
      </c>
      <c r="V552" s="2" t="str">
        <f t="shared" si="130"/>
        <v>1E5</v>
      </c>
      <c r="W552" s="2" t="str">
        <f t="shared" si="131"/>
        <v/>
      </c>
      <c r="X552" s="2" t="str">
        <f t="shared" si="132"/>
        <v/>
      </c>
      <c r="Y552" s="2" t="str">
        <f t="shared" si="133"/>
        <v>X</v>
      </c>
      <c r="Z552" s="2" t="str">
        <f t="shared" si="134"/>
        <v>X</v>
      </c>
      <c r="AA552" s="2" t="str">
        <f t="shared" si="121"/>
        <v/>
      </c>
      <c r="AB552" s="2" t="str">
        <f t="shared" si="122"/>
        <v/>
      </c>
      <c r="AC552" s="2" t="str">
        <f t="shared" si="123"/>
        <v>(13 downto 8)</v>
      </c>
      <c r="AD552" s="2" t="str">
        <f t="shared" si="124"/>
        <v>(7 downto 0)</v>
      </c>
      <c r="AE552" s="2" t="str">
        <f t="shared" si="125"/>
        <v/>
      </c>
      <c r="AF552" s="2" t="str">
        <f t="shared" si="126"/>
        <v/>
      </c>
      <c r="AG552" s="2" t="str">
        <f t="shared" si="127"/>
        <v>(13 downto 8)</v>
      </c>
      <c r="AH552" s="2" t="str">
        <f t="shared" si="128"/>
        <v>(7 downto 0)</v>
      </c>
    </row>
    <row r="553" spans="2:34" x14ac:dyDescent="0.25">
      <c r="B553" s="2" t="s">
        <v>1008</v>
      </c>
      <c r="D553" s="2" t="s">
        <v>1</v>
      </c>
      <c r="E553" s="2" t="s">
        <v>134</v>
      </c>
      <c r="F553" s="2" t="s">
        <v>1014</v>
      </c>
      <c r="G553" s="2" t="s">
        <v>1015</v>
      </c>
      <c r="H553" s="2" t="s">
        <v>856</v>
      </c>
      <c r="I553" s="2" t="s">
        <v>42</v>
      </c>
      <c r="J553" s="2">
        <v>1</v>
      </c>
      <c r="K553" s="2" t="s">
        <v>82</v>
      </c>
      <c r="L553" s="2" t="s">
        <v>41</v>
      </c>
      <c r="M553" s="2" t="s">
        <v>135</v>
      </c>
      <c r="N553" s="2" t="s">
        <v>1011</v>
      </c>
      <c r="O553" s="2" t="s">
        <v>857</v>
      </c>
      <c r="P553" s="2" t="s">
        <v>5</v>
      </c>
      <c r="Q553" s="2">
        <f>INDEX(Tables!$C$4:$C$28,MATCH($P553,Tables!$B$4:$B$28,0))</f>
        <v>32</v>
      </c>
      <c r="R553" s="2">
        <f>INDEX(Tables!$D$4:$D$28,MATCH($P553,Tables!$B$4:$B$28,0))</f>
        <v>4</v>
      </c>
      <c r="S553" s="2">
        <f>$S552+$R552+INDEX(Tables!$N$5:$Q$8,MATCH(MOD($S552+$R552,4),Tables!$M$5:$M$8,0),MATCH($R553,Tables!$N$4:$Q$4,0))</f>
        <v>1944</v>
      </c>
      <c r="T553" s="2" t="str">
        <f t="shared" si="129"/>
        <v>0798</v>
      </c>
      <c r="U553" s="2">
        <f t="shared" si="120"/>
        <v>486</v>
      </c>
      <c r="V553" s="2" t="str">
        <f t="shared" si="130"/>
        <v>1E6</v>
      </c>
      <c r="W553" s="2" t="str">
        <f t="shared" si="131"/>
        <v/>
      </c>
      <c r="X553" s="2" t="str">
        <f t="shared" si="132"/>
        <v/>
      </c>
      <c r="Y553" s="2" t="str">
        <f t="shared" si="133"/>
        <v/>
      </c>
      <c r="Z553" s="2" t="str">
        <f t="shared" si="134"/>
        <v>X</v>
      </c>
      <c r="AA553" s="2" t="str">
        <f t="shared" si="121"/>
        <v/>
      </c>
      <c r="AB553" s="2" t="str">
        <f t="shared" si="122"/>
        <v/>
      </c>
      <c r="AC553" s="2" t="str">
        <f t="shared" si="123"/>
        <v/>
      </c>
      <c r="AD553" s="2" t="str">
        <f t="shared" si="124"/>
        <v>(0)</v>
      </c>
      <c r="AE553" s="2" t="str">
        <f t="shared" si="125"/>
        <v/>
      </c>
      <c r="AF553" s="2" t="str">
        <f t="shared" si="126"/>
        <v/>
      </c>
      <c r="AG553" s="2" t="str">
        <f t="shared" si="127"/>
        <v/>
      </c>
      <c r="AH553" s="2" t="str">
        <f t="shared" si="128"/>
        <v/>
      </c>
    </row>
    <row r="554" spans="2:34" x14ac:dyDescent="0.25">
      <c r="B554" s="2" t="s">
        <v>1008</v>
      </c>
      <c r="D554" s="2" t="s">
        <v>1</v>
      </c>
      <c r="E554" s="2" t="s">
        <v>134</v>
      </c>
      <c r="F554" s="2" t="s">
        <v>1014</v>
      </c>
      <c r="G554" s="2" t="s">
        <v>1015</v>
      </c>
      <c r="H554" s="2" t="s">
        <v>858</v>
      </c>
      <c r="I554" s="2" t="s">
        <v>42</v>
      </c>
      <c r="J554" s="2">
        <v>1</v>
      </c>
      <c r="K554" s="2" t="s">
        <v>82</v>
      </c>
      <c r="L554" s="2" t="s">
        <v>41</v>
      </c>
      <c r="M554" s="2" t="s">
        <v>135</v>
      </c>
      <c r="N554" s="2" t="s">
        <v>1011</v>
      </c>
      <c r="O554" s="2" t="s">
        <v>859</v>
      </c>
      <c r="P554" s="2" t="s">
        <v>5</v>
      </c>
      <c r="Q554" s="2">
        <f>INDEX(Tables!$C$4:$C$28,MATCH($P554,Tables!$B$4:$B$28,0))</f>
        <v>32</v>
      </c>
      <c r="R554" s="2">
        <f>INDEX(Tables!$D$4:$D$28,MATCH($P554,Tables!$B$4:$B$28,0))</f>
        <v>4</v>
      </c>
      <c r="S554" s="2">
        <f>$S553+$R553+INDEX(Tables!$N$5:$Q$8,MATCH(MOD($S553+$R553,4),Tables!$M$5:$M$8,0),MATCH($R554,Tables!$N$4:$Q$4,0))</f>
        <v>1948</v>
      </c>
      <c r="T554" s="2" t="str">
        <f t="shared" si="129"/>
        <v>079C</v>
      </c>
      <c r="U554" s="2">
        <f t="shared" ref="U554:U617" si="135">ROUNDDOWN(S554/4,0)</f>
        <v>487</v>
      </c>
      <c r="V554" s="2" t="str">
        <f t="shared" si="130"/>
        <v>1E7</v>
      </c>
      <c r="W554" s="2" t="str">
        <f t="shared" si="131"/>
        <v/>
      </c>
      <c r="X554" s="2" t="str">
        <f t="shared" si="132"/>
        <v/>
      </c>
      <c r="Y554" s="2" t="str">
        <f t="shared" si="133"/>
        <v/>
      </c>
      <c r="Z554" s="2" t="str">
        <f t="shared" si="134"/>
        <v>X</v>
      </c>
      <c r="AA554" s="2" t="str">
        <f t="shared" ref="AA554:AA617" si="136">IF(W554="","",CONCATENATE("(",IF(($J554-COUNTIF($X554:$Z554,"X")*8)=1,"24)",CONCATENATE(IF(($J554-COUNTIF($X554:$Z554,"X")*8)&gt;=8,32,($J554-COUNTIF($X554:$Z554,"X")*8)+24)-1," downto 24)"))))</f>
        <v/>
      </c>
      <c r="AB554" s="2" t="str">
        <f t="shared" ref="AB554:AB617" si="137">IF(X554="","",CONCATENATE("(",IF(($J554-COUNTIF($Y554:$Z554,"X")*8)=1,"16)",CONCATENATE(IF(($J554-COUNTIF($Y554:$Z554,"X")*8)&gt;=8,24,($J554-COUNTIF($Y554:$Z554,"X")*8)+16)-1," downto 16)"))))</f>
        <v/>
      </c>
      <c r="AC554" s="2" t="str">
        <f t="shared" ref="AC554:AC617" si="138">IF(Y554="","",CONCATENATE("(",IF(($J554-COUNTIF($Z554,"X")*8)=1,"8)",CONCATENATE(IF(($J554-COUNTIF($Z554,"X")*8)&gt;=8,16,($J554-COUNTIF($Z554,"X")*8)+8)-1," downto 8)"))))</f>
        <v/>
      </c>
      <c r="AD554" s="2" t="str">
        <f t="shared" ref="AD554:AD617" si="139">IF(Z554="","",CONCATENATE("(",IF($J554=1,"0)",CONCATENATE(IF($J554&gt;=8,8,$J554)-1," downto 0)"))))</f>
        <v>(0)</v>
      </c>
      <c r="AE554" s="2" t="str">
        <f t="shared" ref="AE554:AE617" si="140">IF(W554="","",IF($J554&lt;=8,"",IF(($J554-COUNTIF($X554:$Z554,"X")*8)=1,CONCATENATE("(",($J554-1),")"),CONCATENATE("(",IF(($J554-COUNTIF($X554:$Z554,"X")*8)&gt;=8,COUNTIF($X554:$Z554,"X")*8+7,$J554-COUNTIF($X554:$Z554,"X")*8-1+COUNTIF($X554:$Z554,"X")*8)," downto ",COUNTIF($X554:$Z554,"X")*8,")"))))</f>
        <v/>
      </c>
      <c r="AF554" s="2" t="str">
        <f t="shared" ref="AF554:AF617" si="141">IF(X554="","",IF($J554&lt;=8,"",IF(($J554-COUNTIF($Y554:$Z554,"X")*8)=1,CONCATENATE("(",($J554-1),")"),CONCATENATE("(",IF(($J554-COUNTIF($Y554:$Z554,"X")*8)&gt;=8,COUNTIF($Y554:$Z554,"X")*8+7,$J554-COUNTIF($Y554:$Z554,"X")*8-1+COUNTIF($Y554:$Z554,"X")*8)," downto ",COUNTIF($Y554:$Z554,"X")*8,")"))))</f>
        <v/>
      </c>
      <c r="AG554" s="2" t="str">
        <f t="shared" ref="AG554:AG617" si="142">IF(Y554="","",IF($J554&lt;=8,"",IF(($J554-COUNTIF($Z554,"X")*8)=1,CONCATENATE("(",($J554-1),")"),CONCATENATE("(",IF(($J554-COUNTIF($Z554,"X")*8)&gt;=8,COUNTIF($Z554,"X")*8+7,$J554-COUNTIF($Z554,"X")*8-1+COUNTIF($Z554,"X")*8)," downto ",COUNTIF($Z554,"X")*8,")"))))</f>
        <v/>
      </c>
      <c r="AH554" s="2" t="str">
        <f t="shared" ref="AH554:AH617" si="143">IF(Z554="","",IF($J554&lt;=8,"",CONCATENATE("(",IF($J554&gt;=8,7,$J554-1)," downto ",0,")")))</f>
        <v/>
      </c>
    </row>
    <row r="555" spans="2:34" x14ac:dyDescent="0.25">
      <c r="B555" s="2" t="s">
        <v>1008</v>
      </c>
      <c r="D555" s="2" t="s">
        <v>1</v>
      </c>
      <c r="E555" s="2" t="s">
        <v>134</v>
      </c>
      <c r="F555" s="2" t="s">
        <v>1014</v>
      </c>
      <c r="G555" s="2" t="s">
        <v>1015</v>
      </c>
      <c r="H555" s="2" t="s">
        <v>860</v>
      </c>
      <c r="I555" s="2" t="s">
        <v>42</v>
      </c>
      <c r="J555" s="2">
        <v>14</v>
      </c>
      <c r="K555" s="2" t="s">
        <v>137</v>
      </c>
      <c r="L555" s="2" t="s">
        <v>41</v>
      </c>
      <c r="M555" s="2" t="s">
        <v>135</v>
      </c>
      <c r="N555" s="2" t="s">
        <v>1011</v>
      </c>
      <c r="O555" s="2" t="s">
        <v>861</v>
      </c>
      <c r="P555" s="2" t="s">
        <v>50</v>
      </c>
      <c r="Q555" s="2">
        <f>INDEX(Tables!$C$4:$C$28,MATCH($P555,Tables!$B$4:$B$28,0))</f>
        <v>16</v>
      </c>
      <c r="R555" s="2">
        <f>INDEX(Tables!$D$4:$D$28,MATCH($P555,Tables!$B$4:$B$28,0))</f>
        <v>2</v>
      </c>
      <c r="S555" s="2">
        <f>$S554+$R554+INDEX(Tables!$N$5:$Q$8,MATCH(MOD($S554+$R554,4),Tables!$M$5:$M$8,0),MATCH($R555,Tables!$N$4:$Q$4,0))</f>
        <v>1952</v>
      </c>
      <c r="T555" s="2" t="str">
        <f t="shared" si="129"/>
        <v>07A0</v>
      </c>
      <c r="U555" s="2">
        <f t="shared" si="135"/>
        <v>488</v>
      </c>
      <c r="V555" s="2" t="str">
        <f t="shared" si="130"/>
        <v>1E8</v>
      </c>
      <c r="W555" s="2" t="str">
        <f t="shared" si="131"/>
        <v/>
      </c>
      <c r="X555" s="2" t="str">
        <f t="shared" si="132"/>
        <v/>
      </c>
      <c r="Y555" s="2" t="str">
        <f t="shared" si="133"/>
        <v>X</v>
      </c>
      <c r="Z555" s="2" t="str">
        <f t="shared" si="134"/>
        <v>X</v>
      </c>
      <c r="AA555" s="2" t="str">
        <f t="shared" si="136"/>
        <v/>
      </c>
      <c r="AB555" s="2" t="str">
        <f t="shared" si="137"/>
        <v/>
      </c>
      <c r="AC555" s="2" t="str">
        <f t="shared" si="138"/>
        <v>(13 downto 8)</v>
      </c>
      <c r="AD555" s="2" t="str">
        <f t="shared" si="139"/>
        <v>(7 downto 0)</v>
      </c>
      <c r="AE555" s="2" t="str">
        <f t="shared" si="140"/>
        <v/>
      </c>
      <c r="AF555" s="2" t="str">
        <f t="shared" si="141"/>
        <v/>
      </c>
      <c r="AG555" s="2" t="str">
        <f t="shared" si="142"/>
        <v>(13 downto 8)</v>
      </c>
      <c r="AH555" s="2" t="str">
        <f t="shared" si="143"/>
        <v>(7 downto 0)</v>
      </c>
    </row>
    <row r="556" spans="2:34" x14ac:dyDescent="0.25">
      <c r="B556" s="2" t="s">
        <v>1008</v>
      </c>
      <c r="D556" s="2" t="s">
        <v>1</v>
      </c>
      <c r="E556" s="2" t="s">
        <v>134</v>
      </c>
      <c r="F556" s="2" t="s">
        <v>1014</v>
      </c>
      <c r="G556" s="2" t="s">
        <v>1015</v>
      </c>
      <c r="H556" s="2" t="s">
        <v>862</v>
      </c>
      <c r="I556" s="2" t="s">
        <v>42</v>
      </c>
      <c r="J556" s="2">
        <v>14</v>
      </c>
      <c r="K556" s="2" t="s">
        <v>137</v>
      </c>
      <c r="L556" s="2" t="s">
        <v>41</v>
      </c>
      <c r="M556" s="2" t="s">
        <v>135</v>
      </c>
      <c r="N556" s="2" t="s">
        <v>1011</v>
      </c>
      <c r="O556" s="2" t="s">
        <v>863</v>
      </c>
      <c r="P556" s="2" t="s">
        <v>50</v>
      </c>
      <c r="Q556" s="2">
        <f>INDEX(Tables!$C$4:$C$28,MATCH($P556,Tables!$B$4:$B$28,0))</f>
        <v>16</v>
      </c>
      <c r="R556" s="2">
        <f>INDEX(Tables!$D$4:$D$28,MATCH($P556,Tables!$B$4:$B$28,0))</f>
        <v>2</v>
      </c>
      <c r="S556" s="2">
        <f>$S555+$R555+INDEX(Tables!$N$5:$Q$8,MATCH(MOD($S555+$R555,4),Tables!$M$5:$M$8,0),MATCH($R556,Tables!$N$4:$Q$4,0))</f>
        <v>1954</v>
      </c>
      <c r="T556" s="2" t="str">
        <f t="shared" si="129"/>
        <v>07A2</v>
      </c>
      <c r="U556" s="2">
        <f t="shared" si="135"/>
        <v>488</v>
      </c>
      <c r="V556" s="2" t="str">
        <f t="shared" si="130"/>
        <v>1E8</v>
      </c>
      <c r="W556" s="2" t="str">
        <f t="shared" si="131"/>
        <v>X</v>
      </c>
      <c r="X556" s="2" t="str">
        <f t="shared" si="132"/>
        <v>X</v>
      </c>
      <c r="Y556" s="2" t="str">
        <f t="shared" si="133"/>
        <v/>
      </c>
      <c r="Z556" s="2" t="str">
        <f t="shared" si="134"/>
        <v/>
      </c>
      <c r="AA556" s="2" t="str">
        <f t="shared" si="136"/>
        <v>(29 downto 24)</v>
      </c>
      <c r="AB556" s="2" t="str">
        <f t="shared" si="137"/>
        <v>(23 downto 16)</v>
      </c>
      <c r="AC556" s="2" t="str">
        <f t="shared" si="138"/>
        <v/>
      </c>
      <c r="AD556" s="2" t="str">
        <f t="shared" si="139"/>
        <v/>
      </c>
      <c r="AE556" s="2" t="str">
        <f t="shared" si="140"/>
        <v>(13 downto 8)</v>
      </c>
      <c r="AF556" s="2" t="str">
        <f t="shared" si="141"/>
        <v>(7 downto 0)</v>
      </c>
      <c r="AG556" s="2" t="str">
        <f t="shared" si="142"/>
        <v/>
      </c>
      <c r="AH556" s="2" t="str">
        <f t="shared" si="143"/>
        <v/>
      </c>
    </row>
    <row r="557" spans="2:34" x14ac:dyDescent="0.25">
      <c r="B557" s="2" t="s">
        <v>1008</v>
      </c>
      <c r="D557" s="2" t="s">
        <v>1</v>
      </c>
      <c r="E557" s="2" t="s">
        <v>134</v>
      </c>
      <c r="F557" s="2" t="s">
        <v>1014</v>
      </c>
      <c r="G557" s="2" t="s">
        <v>1015</v>
      </c>
      <c r="H557" s="2" t="s">
        <v>864</v>
      </c>
      <c r="I557" s="2" t="s">
        <v>42</v>
      </c>
      <c r="J557" s="2">
        <v>1</v>
      </c>
      <c r="K557" s="2" t="s">
        <v>82</v>
      </c>
      <c r="L557" s="2" t="s">
        <v>41</v>
      </c>
      <c r="M557" s="2" t="s">
        <v>135</v>
      </c>
      <c r="N557" s="2" t="s">
        <v>1011</v>
      </c>
      <c r="O557" s="2" t="s">
        <v>865</v>
      </c>
      <c r="P557" s="2" t="s">
        <v>5</v>
      </c>
      <c r="Q557" s="2">
        <f>INDEX(Tables!$C$4:$C$28,MATCH($P557,Tables!$B$4:$B$28,0))</f>
        <v>32</v>
      </c>
      <c r="R557" s="2">
        <f>INDEX(Tables!$D$4:$D$28,MATCH($P557,Tables!$B$4:$B$28,0))</f>
        <v>4</v>
      </c>
      <c r="S557" s="2">
        <f>$S556+$R556+INDEX(Tables!$N$5:$Q$8,MATCH(MOD($S556+$R556,4),Tables!$M$5:$M$8,0),MATCH($R557,Tables!$N$4:$Q$4,0))</f>
        <v>1956</v>
      </c>
      <c r="T557" s="2" t="str">
        <f t="shared" si="129"/>
        <v>07A4</v>
      </c>
      <c r="U557" s="2">
        <f t="shared" si="135"/>
        <v>489</v>
      </c>
      <c r="V557" s="2" t="str">
        <f t="shared" si="130"/>
        <v>1E9</v>
      </c>
      <c r="W557" s="2" t="str">
        <f t="shared" si="131"/>
        <v/>
      </c>
      <c r="X557" s="2" t="str">
        <f t="shared" si="132"/>
        <v/>
      </c>
      <c r="Y557" s="2" t="str">
        <f t="shared" si="133"/>
        <v/>
      </c>
      <c r="Z557" s="2" t="str">
        <f t="shared" si="134"/>
        <v>X</v>
      </c>
      <c r="AA557" s="2" t="str">
        <f t="shared" si="136"/>
        <v/>
      </c>
      <c r="AB557" s="2" t="str">
        <f t="shared" si="137"/>
        <v/>
      </c>
      <c r="AC557" s="2" t="str">
        <f t="shared" si="138"/>
        <v/>
      </c>
      <c r="AD557" s="2" t="str">
        <f t="shared" si="139"/>
        <v>(0)</v>
      </c>
      <c r="AE557" s="2" t="str">
        <f t="shared" si="140"/>
        <v/>
      </c>
      <c r="AF557" s="2" t="str">
        <f t="shared" si="141"/>
        <v/>
      </c>
      <c r="AG557" s="2" t="str">
        <f t="shared" si="142"/>
        <v/>
      </c>
      <c r="AH557" s="2" t="str">
        <f t="shared" si="143"/>
        <v/>
      </c>
    </row>
    <row r="558" spans="2:34" x14ac:dyDescent="0.25">
      <c r="B558" s="2" t="s">
        <v>1008</v>
      </c>
      <c r="D558" s="2" t="s">
        <v>1</v>
      </c>
      <c r="E558" s="2" t="s">
        <v>134</v>
      </c>
      <c r="F558" s="2" t="s">
        <v>1014</v>
      </c>
      <c r="G558" s="2" t="s">
        <v>1015</v>
      </c>
      <c r="H558" s="2" t="s">
        <v>866</v>
      </c>
      <c r="I558" s="2" t="s">
        <v>42</v>
      </c>
      <c r="J558" s="2">
        <v>14</v>
      </c>
      <c r="K558" s="2" t="s">
        <v>137</v>
      </c>
      <c r="L558" s="2" t="s">
        <v>41</v>
      </c>
      <c r="M558" s="2" t="s">
        <v>135</v>
      </c>
      <c r="N558" s="2" t="s">
        <v>1011</v>
      </c>
      <c r="O558" s="2" t="s">
        <v>867</v>
      </c>
      <c r="P558" s="2" t="s">
        <v>50</v>
      </c>
      <c r="Q558" s="2">
        <f>INDEX(Tables!$C$4:$C$28,MATCH($P558,Tables!$B$4:$B$28,0))</f>
        <v>16</v>
      </c>
      <c r="R558" s="2">
        <f>INDEX(Tables!$D$4:$D$28,MATCH($P558,Tables!$B$4:$B$28,0))</f>
        <v>2</v>
      </c>
      <c r="S558" s="2">
        <f>$S557+$R557+INDEX(Tables!$N$5:$Q$8,MATCH(MOD($S557+$R557,4),Tables!$M$5:$M$8,0),MATCH($R558,Tables!$N$4:$Q$4,0))</f>
        <v>1960</v>
      </c>
      <c r="T558" s="2" t="str">
        <f t="shared" si="129"/>
        <v>07A8</v>
      </c>
      <c r="U558" s="2">
        <f t="shared" si="135"/>
        <v>490</v>
      </c>
      <c r="V558" s="2" t="str">
        <f t="shared" si="130"/>
        <v>1EA</v>
      </c>
      <c r="W558" s="2" t="str">
        <f t="shared" si="131"/>
        <v/>
      </c>
      <c r="X558" s="2" t="str">
        <f t="shared" si="132"/>
        <v/>
      </c>
      <c r="Y558" s="2" t="str">
        <f t="shared" si="133"/>
        <v>X</v>
      </c>
      <c r="Z558" s="2" t="str">
        <f t="shared" si="134"/>
        <v>X</v>
      </c>
      <c r="AA558" s="2" t="str">
        <f t="shared" si="136"/>
        <v/>
      </c>
      <c r="AB558" s="2" t="str">
        <f t="shared" si="137"/>
        <v/>
      </c>
      <c r="AC558" s="2" t="str">
        <f t="shared" si="138"/>
        <v>(13 downto 8)</v>
      </c>
      <c r="AD558" s="2" t="str">
        <f t="shared" si="139"/>
        <v>(7 downto 0)</v>
      </c>
      <c r="AE558" s="2" t="str">
        <f t="shared" si="140"/>
        <v/>
      </c>
      <c r="AF558" s="2" t="str">
        <f t="shared" si="141"/>
        <v/>
      </c>
      <c r="AG558" s="2" t="str">
        <f t="shared" si="142"/>
        <v>(13 downto 8)</v>
      </c>
      <c r="AH558" s="2" t="str">
        <f t="shared" si="143"/>
        <v>(7 downto 0)</v>
      </c>
    </row>
    <row r="559" spans="2:34" x14ac:dyDescent="0.25">
      <c r="B559" s="2" t="s">
        <v>1008</v>
      </c>
      <c r="D559" s="2" t="s">
        <v>1</v>
      </c>
      <c r="E559" s="2" t="s">
        <v>134</v>
      </c>
      <c r="F559" s="2" t="s">
        <v>1014</v>
      </c>
      <c r="G559" s="2" t="s">
        <v>1015</v>
      </c>
      <c r="H559" s="2" t="s">
        <v>868</v>
      </c>
      <c r="I559" s="2" t="s">
        <v>42</v>
      </c>
      <c r="J559" s="2">
        <v>14</v>
      </c>
      <c r="K559" s="2" t="s">
        <v>137</v>
      </c>
      <c r="L559" s="2" t="s">
        <v>41</v>
      </c>
      <c r="M559" s="2" t="s">
        <v>135</v>
      </c>
      <c r="N559" s="2" t="s">
        <v>1011</v>
      </c>
      <c r="O559" s="2" t="s">
        <v>869</v>
      </c>
      <c r="P559" s="2" t="s">
        <v>50</v>
      </c>
      <c r="Q559" s="2">
        <f>INDEX(Tables!$C$4:$C$28,MATCH($P559,Tables!$B$4:$B$28,0))</f>
        <v>16</v>
      </c>
      <c r="R559" s="2">
        <f>INDEX(Tables!$D$4:$D$28,MATCH($P559,Tables!$B$4:$B$28,0))</f>
        <v>2</v>
      </c>
      <c r="S559" s="2">
        <f>$S558+$R558+INDEX(Tables!$N$5:$Q$8,MATCH(MOD($S558+$R558,4),Tables!$M$5:$M$8,0),MATCH($R559,Tables!$N$4:$Q$4,0))</f>
        <v>1962</v>
      </c>
      <c r="T559" s="2" t="str">
        <f t="shared" si="129"/>
        <v>07AA</v>
      </c>
      <c r="U559" s="2">
        <f t="shared" si="135"/>
        <v>490</v>
      </c>
      <c r="V559" s="2" t="str">
        <f t="shared" si="130"/>
        <v>1EA</v>
      </c>
      <c r="W559" s="2" t="str">
        <f t="shared" si="131"/>
        <v>X</v>
      </c>
      <c r="X559" s="2" t="str">
        <f t="shared" si="132"/>
        <v>X</v>
      </c>
      <c r="Y559" s="2" t="str">
        <f t="shared" si="133"/>
        <v/>
      </c>
      <c r="Z559" s="2" t="str">
        <f t="shared" si="134"/>
        <v/>
      </c>
      <c r="AA559" s="2" t="str">
        <f t="shared" si="136"/>
        <v>(29 downto 24)</v>
      </c>
      <c r="AB559" s="2" t="str">
        <f t="shared" si="137"/>
        <v>(23 downto 16)</v>
      </c>
      <c r="AC559" s="2" t="str">
        <f t="shared" si="138"/>
        <v/>
      </c>
      <c r="AD559" s="2" t="str">
        <f t="shared" si="139"/>
        <v/>
      </c>
      <c r="AE559" s="2" t="str">
        <f t="shared" si="140"/>
        <v>(13 downto 8)</v>
      </c>
      <c r="AF559" s="2" t="str">
        <f t="shared" si="141"/>
        <v>(7 downto 0)</v>
      </c>
      <c r="AG559" s="2" t="str">
        <f t="shared" si="142"/>
        <v/>
      </c>
      <c r="AH559" s="2" t="str">
        <f t="shared" si="143"/>
        <v/>
      </c>
    </row>
    <row r="560" spans="2:34" x14ac:dyDescent="0.25">
      <c r="B560" s="2" t="s">
        <v>1008</v>
      </c>
      <c r="D560" s="2" t="s">
        <v>1</v>
      </c>
      <c r="E560" s="2" t="s">
        <v>134</v>
      </c>
      <c r="F560" s="2" t="s">
        <v>1014</v>
      </c>
      <c r="G560" s="2" t="s">
        <v>1015</v>
      </c>
      <c r="H560" s="2" t="s">
        <v>870</v>
      </c>
      <c r="I560" s="2" t="s">
        <v>42</v>
      </c>
      <c r="J560" s="2">
        <v>14</v>
      </c>
      <c r="K560" s="2" t="s">
        <v>137</v>
      </c>
      <c r="L560" s="2" t="s">
        <v>41</v>
      </c>
      <c r="M560" s="2" t="s">
        <v>135</v>
      </c>
      <c r="N560" s="2" t="s">
        <v>1011</v>
      </c>
      <c r="O560" s="2" t="s">
        <v>871</v>
      </c>
      <c r="P560" s="2" t="s">
        <v>50</v>
      </c>
      <c r="Q560" s="2">
        <f>INDEX(Tables!$C$4:$C$28,MATCH($P560,Tables!$B$4:$B$28,0))</f>
        <v>16</v>
      </c>
      <c r="R560" s="2">
        <f>INDEX(Tables!$D$4:$D$28,MATCH($P560,Tables!$B$4:$B$28,0))</f>
        <v>2</v>
      </c>
      <c r="S560" s="2">
        <f>$S559+$R559+INDEX(Tables!$N$5:$Q$8,MATCH(MOD($S559+$R559,4),Tables!$M$5:$M$8,0),MATCH($R560,Tables!$N$4:$Q$4,0))</f>
        <v>1964</v>
      </c>
      <c r="T560" s="2" t="str">
        <f t="shared" si="129"/>
        <v>07AC</v>
      </c>
      <c r="U560" s="2">
        <f t="shared" si="135"/>
        <v>491</v>
      </c>
      <c r="V560" s="2" t="str">
        <f t="shared" si="130"/>
        <v>1EB</v>
      </c>
      <c r="W560" s="2" t="str">
        <f t="shared" si="131"/>
        <v/>
      </c>
      <c r="X560" s="2" t="str">
        <f t="shared" si="132"/>
        <v/>
      </c>
      <c r="Y560" s="2" t="str">
        <f t="shared" si="133"/>
        <v>X</v>
      </c>
      <c r="Z560" s="2" t="str">
        <f t="shared" si="134"/>
        <v>X</v>
      </c>
      <c r="AA560" s="2" t="str">
        <f t="shared" si="136"/>
        <v/>
      </c>
      <c r="AB560" s="2" t="str">
        <f t="shared" si="137"/>
        <v/>
      </c>
      <c r="AC560" s="2" t="str">
        <f t="shared" si="138"/>
        <v>(13 downto 8)</v>
      </c>
      <c r="AD560" s="2" t="str">
        <f t="shared" si="139"/>
        <v>(7 downto 0)</v>
      </c>
      <c r="AE560" s="2" t="str">
        <f t="shared" si="140"/>
        <v/>
      </c>
      <c r="AF560" s="2" t="str">
        <f t="shared" si="141"/>
        <v/>
      </c>
      <c r="AG560" s="2" t="str">
        <f t="shared" si="142"/>
        <v>(13 downto 8)</v>
      </c>
      <c r="AH560" s="2" t="str">
        <f t="shared" si="143"/>
        <v>(7 downto 0)</v>
      </c>
    </row>
    <row r="561" spans="2:34" x14ac:dyDescent="0.25">
      <c r="B561" s="2" t="s">
        <v>1016</v>
      </c>
      <c r="D561" s="2" t="s">
        <v>1</v>
      </c>
      <c r="E561" s="2" t="s">
        <v>134</v>
      </c>
      <c r="F561" s="2" t="s">
        <v>1017</v>
      </c>
      <c r="G561" s="2" t="s">
        <v>1018</v>
      </c>
      <c r="H561" s="2" t="s">
        <v>875</v>
      </c>
      <c r="I561" s="2" t="s">
        <v>42</v>
      </c>
      <c r="J561" s="2">
        <v>3</v>
      </c>
      <c r="K561" s="2" t="s">
        <v>137</v>
      </c>
      <c r="L561" s="2" t="s">
        <v>41</v>
      </c>
      <c r="M561" s="2" t="s">
        <v>135</v>
      </c>
      <c r="N561" s="2" t="s">
        <v>1019</v>
      </c>
      <c r="O561" s="2" t="s">
        <v>877</v>
      </c>
      <c r="P561" s="2" t="s">
        <v>48</v>
      </c>
      <c r="Q561" s="2">
        <f>INDEX(Tables!$C$4:$C$28,MATCH($P561,Tables!$B$4:$B$28,0))</f>
        <v>8</v>
      </c>
      <c r="R561" s="2">
        <f>INDEX(Tables!$D$4:$D$28,MATCH($P561,Tables!$B$4:$B$28,0))</f>
        <v>1</v>
      </c>
      <c r="S561" s="2">
        <f>$S560+$R560+INDEX(Tables!$N$5:$Q$8,MATCH(MOD($S560+$R560,4),Tables!$M$5:$M$8,0),MATCH($R561,Tables!$N$4:$Q$4,0))</f>
        <v>1966</v>
      </c>
      <c r="T561" s="2" t="str">
        <f t="shared" si="129"/>
        <v>07AE</v>
      </c>
      <c r="U561" s="2">
        <f t="shared" si="135"/>
        <v>491</v>
      </c>
      <c r="V561" s="2" t="str">
        <f t="shared" si="130"/>
        <v>1EB</v>
      </c>
      <c r="W561" s="2" t="str">
        <f t="shared" si="131"/>
        <v/>
      </c>
      <c r="X561" s="2" t="str">
        <f t="shared" si="132"/>
        <v>X</v>
      </c>
      <c r="Y561" s="2" t="str">
        <f t="shared" si="133"/>
        <v/>
      </c>
      <c r="Z561" s="2" t="str">
        <f t="shared" si="134"/>
        <v/>
      </c>
      <c r="AA561" s="2" t="str">
        <f t="shared" si="136"/>
        <v/>
      </c>
      <c r="AB561" s="2" t="str">
        <f t="shared" si="137"/>
        <v>(18 downto 16)</v>
      </c>
      <c r="AC561" s="2" t="str">
        <f t="shared" si="138"/>
        <v/>
      </c>
      <c r="AD561" s="2" t="str">
        <f t="shared" si="139"/>
        <v/>
      </c>
      <c r="AE561" s="2" t="str">
        <f t="shared" si="140"/>
        <v/>
      </c>
      <c r="AF561" s="2" t="str">
        <f t="shared" si="141"/>
        <v/>
      </c>
      <c r="AG561" s="2" t="str">
        <f t="shared" si="142"/>
        <v/>
      </c>
      <c r="AH561" s="2" t="str">
        <f t="shared" si="143"/>
        <v/>
      </c>
    </row>
    <row r="562" spans="2:34" x14ac:dyDescent="0.25">
      <c r="B562" s="2" t="s">
        <v>1016</v>
      </c>
      <c r="D562" s="2" t="s">
        <v>1</v>
      </c>
      <c r="E562" s="2" t="s">
        <v>134</v>
      </c>
      <c r="F562" s="2" t="s">
        <v>1017</v>
      </c>
      <c r="G562" s="2" t="s">
        <v>1018</v>
      </c>
      <c r="H562" s="2" t="s">
        <v>878</v>
      </c>
      <c r="I562" s="2" t="s">
        <v>42</v>
      </c>
      <c r="J562" s="2">
        <v>1</v>
      </c>
      <c r="K562" s="2" t="s">
        <v>82</v>
      </c>
      <c r="L562" s="2" t="s">
        <v>41</v>
      </c>
      <c r="M562" s="2" t="s">
        <v>135</v>
      </c>
      <c r="N562" s="2" t="s">
        <v>1019</v>
      </c>
      <c r="O562" s="2" t="s">
        <v>879</v>
      </c>
      <c r="P562" s="2" t="s">
        <v>5</v>
      </c>
      <c r="Q562" s="2">
        <f>INDEX(Tables!$C$4:$C$28,MATCH($P562,Tables!$B$4:$B$28,0))</f>
        <v>32</v>
      </c>
      <c r="R562" s="2">
        <f>INDEX(Tables!$D$4:$D$28,MATCH($P562,Tables!$B$4:$B$28,0))</f>
        <v>4</v>
      </c>
      <c r="S562" s="2">
        <f>$S561+$R561+INDEX(Tables!$N$5:$Q$8,MATCH(MOD($S561+$R561,4),Tables!$M$5:$M$8,0),MATCH($R562,Tables!$N$4:$Q$4,0))</f>
        <v>1968</v>
      </c>
      <c r="T562" s="2" t="str">
        <f t="shared" si="129"/>
        <v>07B0</v>
      </c>
      <c r="U562" s="2">
        <f t="shared" si="135"/>
        <v>492</v>
      </c>
      <c r="V562" s="2" t="str">
        <f t="shared" si="130"/>
        <v>1EC</v>
      </c>
      <c r="W562" s="2" t="str">
        <f t="shared" si="131"/>
        <v/>
      </c>
      <c r="X562" s="2" t="str">
        <f t="shared" si="132"/>
        <v/>
      </c>
      <c r="Y562" s="2" t="str">
        <f t="shared" si="133"/>
        <v/>
      </c>
      <c r="Z562" s="2" t="str">
        <f t="shared" si="134"/>
        <v>X</v>
      </c>
      <c r="AA562" s="2" t="str">
        <f t="shared" si="136"/>
        <v/>
      </c>
      <c r="AB562" s="2" t="str">
        <f t="shared" si="137"/>
        <v/>
      </c>
      <c r="AC562" s="2" t="str">
        <f t="shared" si="138"/>
        <v/>
      </c>
      <c r="AD562" s="2" t="str">
        <f t="shared" si="139"/>
        <v>(0)</v>
      </c>
      <c r="AE562" s="2" t="str">
        <f t="shared" si="140"/>
        <v/>
      </c>
      <c r="AF562" s="2" t="str">
        <f t="shared" si="141"/>
        <v/>
      </c>
      <c r="AG562" s="2" t="str">
        <f t="shared" si="142"/>
        <v/>
      </c>
      <c r="AH562" s="2" t="str">
        <f t="shared" si="143"/>
        <v/>
      </c>
    </row>
    <row r="563" spans="2:34" x14ac:dyDescent="0.25">
      <c r="B563" s="2" t="s">
        <v>1016</v>
      </c>
      <c r="D563" s="2" t="s">
        <v>1</v>
      </c>
      <c r="E563" s="2" t="s">
        <v>134</v>
      </c>
      <c r="F563" s="2" t="s">
        <v>1017</v>
      </c>
      <c r="G563" s="2" t="s">
        <v>1018</v>
      </c>
      <c r="H563" s="2" t="s">
        <v>880</v>
      </c>
      <c r="I563" s="2" t="s">
        <v>42</v>
      </c>
      <c r="J563" s="2">
        <v>1</v>
      </c>
      <c r="K563" s="2" t="s">
        <v>82</v>
      </c>
      <c r="L563" s="2" t="s">
        <v>41</v>
      </c>
      <c r="M563" s="2" t="s">
        <v>135</v>
      </c>
      <c r="N563" s="2" t="s">
        <v>1019</v>
      </c>
      <c r="O563" s="2" t="s">
        <v>881</v>
      </c>
      <c r="P563" s="2" t="s">
        <v>5</v>
      </c>
      <c r="Q563" s="2">
        <f>INDEX(Tables!$C$4:$C$28,MATCH($P563,Tables!$B$4:$B$28,0))</f>
        <v>32</v>
      </c>
      <c r="R563" s="2">
        <f>INDEX(Tables!$D$4:$D$28,MATCH($P563,Tables!$B$4:$B$28,0))</f>
        <v>4</v>
      </c>
      <c r="S563" s="2">
        <f>$S562+$R562+INDEX(Tables!$N$5:$Q$8,MATCH(MOD($S562+$R562,4),Tables!$M$5:$M$8,0),MATCH($R563,Tables!$N$4:$Q$4,0))</f>
        <v>1972</v>
      </c>
      <c r="T563" s="2" t="str">
        <f t="shared" si="129"/>
        <v>07B4</v>
      </c>
      <c r="U563" s="2">
        <f t="shared" si="135"/>
        <v>493</v>
      </c>
      <c r="V563" s="2" t="str">
        <f t="shared" si="130"/>
        <v>1ED</v>
      </c>
      <c r="W563" s="2" t="str">
        <f t="shared" si="131"/>
        <v/>
      </c>
      <c r="X563" s="2" t="str">
        <f t="shared" si="132"/>
        <v/>
      </c>
      <c r="Y563" s="2" t="str">
        <f t="shared" si="133"/>
        <v/>
      </c>
      <c r="Z563" s="2" t="str">
        <f t="shared" si="134"/>
        <v>X</v>
      </c>
      <c r="AA563" s="2" t="str">
        <f t="shared" si="136"/>
        <v/>
      </c>
      <c r="AB563" s="2" t="str">
        <f t="shared" si="137"/>
        <v/>
      </c>
      <c r="AC563" s="2" t="str">
        <f t="shared" si="138"/>
        <v/>
      </c>
      <c r="AD563" s="2" t="str">
        <f t="shared" si="139"/>
        <v>(0)</v>
      </c>
      <c r="AE563" s="2" t="str">
        <f t="shared" si="140"/>
        <v/>
      </c>
      <c r="AF563" s="2" t="str">
        <f t="shared" si="141"/>
        <v/>
      </c>
      <c r="AG563" s="2" t="str">
        <f t="shared" si="142"/>
        <v/>
      </c>
      <c r="AH563" s="2" t="str">
        <f t="shared" si="143"/>
        <v/>
      </c>
    </row>
    <row r="564" spans="2:34" x14ac:dyDescent="0.25">
      <c r="B564" s="2" t="s">
        <v>1016</v>
      </c>
      <c r="D564" s="2" t="s">
        <v>1</v>
      </c>
      <c r="E564" s="2" t="s">
        <v>134</v>
      </c>
      <c r="F564" s="2" t="s">
        <v>1017</v>
      </c>
      <c r="G564" s="2" t="s">
        <v>1018</v>
      </c>
      <c r="H564" s="2" t="s">
        <v>882</v>
      </c>
      <c r="I564" s="2" t="s">
        <v>42</v>
      </c>
      <c r="J564" s="2">
        <v>1</v>
      </c>
      <c r="K564" s="2" t="s">
        <v>82</v>
      </c>
      <c r="L564" s="2" t="s">
        <v>41</v>
      </c>
      <c r="M564" s="2" t="s">
        <v>135</v>
      </c>
      <c r="N564" s="2" t="s">
        <v>1019</v>
      </c>
      <c r="O564" s="2" t="s">
        <v>883</v>
      </c>
      <c r="P564" s="2" t="s">
        <v>5</v>
      </c>
      <c r="Q564" s="2">
        <f>INDEX(Tables!$C$4:$C$28,MATCH($P564,Tables!$B$4:$B$28,0))</f>
        <v>32</v>
      </c>
      <c r="R564" s="2">
        <f>INDEX(Tables!$D$4:$D$28,MATCH($P564,Tables!$B$4:$B$28,0))</f>
        <v>4</v>
      </c>
      <c r="S564" s="2">
        <f>$S563+$R563+INDEX(Tables!$N$5:$Q$8,MATCH(MOD($S563+$R563,4),Tables!$M$5:$M$8,0),MATCH($R564,Tables!$N$4:$Q$4,0))</f>
        <v>1976</v>
      </c>
      <c r="T564" s="2" t="str">
        <f t="shared" si="129"/>
        <v>07B8</v>
      </c>
      <c r="U564" s="2">
        <f t="shared" si="135"/>
        <v>494</v>
      </c>
      <c r="V564" s="2" t="str">
        <f t="shared" si="130"/>
        <v>1EE</v>
      </c>
      <c r="W564" s="2" t="str">
        <f t="shared" si="131"/>
        <v/>
      </c>
      <c r="X564" s="2" t="str">
        <f t="shared" si="132"/>
        <v/>
      </c>
      <c r="Y564" s="2" t="str">
        <f t="shared" si="133"/>
        <v/>
      </c>
      <c r="Z564" s="2" t="str">
        <f t="shared" si="134"/>
        <v>X</v>
      </c>
      <c r="AA564" s="2" t="str">
        <f t="shared" si="136"/>
        <v/>
      </c>
      <c r="AB564" s="2" t="str">
        <f t="shared" si="137"/>
        <v/>
      </c>
      <c r="AC564" s="2" t="str">
        <f t="shared" si="138"/>
        <v/>
      </c>
      <c r="AD564" s="2" t="str">
        <f t="shared" si="139"/>
        <v>(0)</v>
      </c>
      <c r="AE564" s="2" t="str">
        <f t="shared" si="140"/>
        <v/>
      </c>
      <c r="AF564" s="2" t="str">
        <f t="shared" si="141"/>
        <v/>
      </c>
      <c r="AG564" s="2" t="str">
        <f t="shared" si="142"/>
        <v/>
      </c>
      <c r="AH564" s="2" t="str">
        <f t="shared" si="143"/>
        <v/>
      </c>
    </row>
    <row r="565" spans="2:34" x14ac:dyDescent="0.25">
      <c r="B565" s="2" t="s">
        <v>1016</v>
      </c>
      <c r="D565" s="2" t="s">
        <v>1</v>
      </c>
      <c r="E565" s="2" t="s">
        <v>134</v>
      </c>
      <c r="F565" s="2" t="s">
        <v>1017</v>
      </c>
      <c r="G565" s="2" t="s">
        <v>1018</v>
      </c>
      <c r="H565" s="2" t="s">
        <v>884</v>
      </c>
      <c r="I565" s="2" t="s">
        <v>42</v>
      </c>
      <c r="J565" s="2">
        <v>1</v>
      </c>
      <c r="K565" s="2" t="s">
        <v>82</v>
      </c>
      <c r="L565" s="2" t="s">
        <v>41</v>
      </c>
      <c r="M565" s="2" t="s">
        <v>135</v>
      </c>
      <c r="N565" s="2" t="s">
        <v>1019</v>
      </c>
      <c r="O565" s="2" t="s">
        <v>885</v>
      </c>
      <c r="P565" s="2" t="s">
        <v>5</v>
      </c>
      <c r="Q565" s="2">
        <f>INDEX(Tables!$C$4:$C$28,MATCH($P565,Tables!$B$4:$B$28,0))</f>
        <v>32</v>
      </c>
      <c r="R565" s="2">
        <f>INDEX(Tables!$D$4:$D$28,MATCH($P565,Tables!$B$4:$B$28,0))</f>
        <v>4</v>
      </c>
      <c r="S565" s="2">
        <f>$S564+$R564+INDEX(Tables!$N$5:$Q$8,MATCH(MOD($S564+$R564,4),Tables!$M$5:$M$8,0),MATCH($R565,Tables!$N$4:$Q$4,0))</f>
        <v>1980</v>
      </c>
      <c r="T565" s="2" t="str">
        <f t="shared" si="129"/>
        <v>07BC</v>
      </c>
      <c r="U565" s="2">
        <f t="shared" si="135"/>
        <v>495</v>
      </c>
      <c r="V565" s="2" t="str">
        <f t="shared" si="130"/>
        <v>1EF</v>
      </c>
      <c r="W565" s="2" t="str">
        <f t="shared" si="131"/>
        <v/>
      </c>
      <c r="X565" s="2" t="str">
        <f t="shared" si="132"/>
        <v/>
      </c>
      <c r="Y565" s="2" t="str">
        <f t="shared" si="133"/>
        <v/>
      </c>
      <c r="Z565" s="2" t="str">
        <f t="shared" si="134"/>
        <v>X</v>
      </c>
      <c r="AA565" s="2" t="str">
        <f t="shared" si="136"/>
        <v/>
      </c>
      <c r="AB565" s="2" t="str">
        <f t="shared" si="137"/>
        <v/>
      </c>
      <c r="AC565" s="2" t="str">
        <f t="shared" si="138"/>
        <v/>
      </c>
      <c r="AD565" s="2" t="str">
        <f t="shared" si="139"/>
        <v>(0)</v>
      </c>
      <c r="AE565" s="2" t="str">
        <f t="shared" si="140"/>
        <v/>
      </c>
      <c r="AF565" s="2" t="str">
        <f t="shared" si="141"/>
        <v/>
      </c>
      <c r="AG565" s="2" t="str">
        <f t="shared" si="142"/>
        <v/>
      </c>
      <c r="AH565" s="2" t="str">
        <f t="shared" si="143"/>
        <v/>
      </c>
    </row>
    <row r="566" spans="2:34" x14ac:dyDescent="0.25">
      <c r="B566" s="2" t="s">
        <v>1016</v>
      </c>
      <c r="D566" s="2" t="s">
        <v>1</v>
      </c>
      <c r="E566" s="2" t="s">
        <v>134</v>
      </c>
      <c r="F566" s="2" t="s">
        <v>1017</v>
      </c>
      <c r="G566" s="2" t="s">
        <v>1018</v>
      </c>
      <c r="H566" s="2" t="s">
        <v>886</v>
      </c>
      <c r="I566" s="2" t="s">
        <v>42</v>
      </c>
      <c r="J566" s="2">
        <v>1</v>
      </c>
      <c r="K566" s="2" t="s">
        <v>82</v>
      </c>
      <c r="L566" s="2" t="s">
        <v>41</v>
      </c>
      <c r="M566" s="2" t="s">
        <v>135</v>
      </c>
      <c r="N566" s="2" t="s">
        <v>1019</v>
      </c>
      <c r="O566" s="2" t="s">
        <v>887</v>
      </c>
      <c r="P566" s="2" t="s">
        <v>5</v>
      </c>
      <c r="Q566" s="2">
        <f>INDEX(Tables!$C$4:$C$28,MATCH($P566,Tables!$B$4:$B$28,0))</f>
        <v>32</v>
      </c>
      <c r="R566" s="2">
        <f>INDEX(Tables!$D$4:$D$28,MATCH($P566,Tables!$B$4:$B$28,0))</f>
        <v>4</v>
      </c>
      <c r="S566" s="2">
        <f>$S565+$R565+INDEX(Tables!$N$5:$Q$8,MATCH(MOD($S565+$R565,4),Tables!$M$5:$M$8,0),MATCH($R566,Tables!$N$4:$Q$4,0))</f>
        <v>1984</v>
      </c>
      <c r="T566" s="2" t="str">
        <f t="shared" si="129"/>
        <v>07C0</v>
      </c>
      <c r="U566" s="2">
        <f t="shared" si="135"/>
        <v>496</v>
      </c>
      <c r="V566" s="2" t="str">
        <f t="shared" si="130"/>
        <v>1F0</v>
      </c>
      <c r="W566" s="2" t="str">
        <f t="shared" si="131"/>
        <v/>
      </c>
      <c r="X566" s="2" t="str">
        <f t="shared" si="132"/>
        <v/>
      </c>
      <c r="Y566" s="2" t="str">
        <f t="shared" si="133"/>
        <v/>
      </c>
      <c r="Z566" s="2" t="str">
        <f t="shared" si="134"/>
        <v>X</v>
      </c>
      <c r="AA566" s="2" t="str">
        <f t="shared" si="136"/>
        <v/>
      </c>
      <c r="AB566" s="2" t="str">
        <f t="shared" si="137"/>
        <v/>
      </c>
      <c r="AC566" s="2" t="str">
        <f t="shared" si="138"/>
        <v/>
      </c>
      <c r="AD566" s="2" t="str">
        <f t="shared" si="139"/>
        <v>(0)</v>
      </c>
      <c r="AE566" s="2" t="str">
        <f t="shared" si="140"/>
        <v/>
      </c>
      <c r="AF566" s="2" t="str">
        <f t="shared" si="141"/>
        <v/>
      </c>
      <c r="AG566" s="2" t="str">
        <f t="shared" si="142"/>
        <v/>
      </c>
      <c r="AH566" s="2" t="str">
        <f t="shared" si="143"/>
        <v/>
      </c>
    </row>
    <row r="567" spans="2:34" x14ac:dyDescent="0.25">
      <c r="B567" s="2" t="s">
        <v>1016</v>
      </c>
      <c r="D567" s="2" t="s">
        <v>1</v>
      </c>
      <c r="E567" s="2" t="s">
        <v>134</v>
      </c>
      <c r="F567" s="2" t="s">
        <v>1017</v>
      </c>
      <c r="G567" s="2" t="s">
        <v>1018</v>
      </c>
      <c r="H567" s="2" t="s">
        <v>888</v>
      </c>
      <c r="I567" s="2" t="s">
        <v>42</v>
      </c>
      <c r="J567" s="2">
        <v>1</v>
      </c>
      <c r="K567" s="2" t="s">
        <v>82</v>
      </c>
      <c r="L567" s="2" t="s">
        <v>41</v>
      </c>
      <c r="M567" s="2" t="s">
        <v>135</v>
      </c>
      <c r="N567" s="2" t="s">
        <v>1019</v>
      </c>
      <c r="O567" s="2" t="s">
        <v>889</v>
      </c>
      <c r="P567" s="2" t="s">
        <v>5</v>
      </c>
      <c r="Q567" s="2">
        <f>INDEX(Tables!$C$4:$C$28,MATCH($P567,Tables!$B$4:$B$28,0))</f>
        <v>32</v>
      </c>
      <c r="R567" s="2">
        <f>INDEX(Tables!$D$4:$D$28,MATCH($P567,Tables!$B$4:$B$28,0))</f>
        <v>4</v>
      </c>
      <c r="S567" s="2">
        <f>$S566+$R566+INDEX(Tables!$N$5:$Q$8,MATCH(MOD($S566+$R566,4),Tables!$M$5:$M$8,0),MATCH($R567,Tables!$N$4:$Q$4,0))</f>
        <v>1988</v>
      </c>
      <c r="T567" s="2" t="str">
        <f t="shared" si="129"/>
        <v>07C4</v>
      </c>
      <c r="U567" s="2">
        <f t="shared" si="135"/>
        <v>497</v>
      </c>
      <c r="V567" s="2" t="str">
        <f t="shared" si="130"/>
        <v>1F1</v>
      </c>
      <c r="W567" s="2" t="str">
        <f t="shared" si="131"/>
        <v/>
      </c>
      <c r="X567" s="2" t="str">
        <f t="shared" si="132"/>
        <v/>
      </c>
      <c r="Y567" s="2" t="str">
        <f t="shared" si="133"/>
        <v/>
      </c>
      <c r="Z567" s="2" t="str">
        <f t="shared" si="134"/>
        <v>X</v>
      </c>
      <c r="AA567" s="2" t="str">
        <f t="shared" si="136"/>
        <v/>
      </c>
      <c r="AB567" s="2" t="str">
        <f t="shared" si="137"/>
        <v/>
      </c>
      <c r="AC567" s="2" t="str">
        <f t="shared" si="138"/>
        <v/>
      </c>
      <c r="AD567" s="2" t="str">
        <f t="shared" si="139"/>
        <v>(0)</v>
      </c>
      <c r="AE567" s="2" t="str">
        <f t="shared" si="140"/>
        <v/>
      </c>
      <c r="AF567" s="2" t="str">
        <f t="shared" si="141"/>
        <v/>
      </c>
      <c r="AG567" s="2" t="str">
        <f t="shared" si="142"/>
        <v/>
      </c>
      <c r="AH567" s="2" t="str">
        <f t="shared" si="143"/>
        <v/>
      </c>
    </row>
    <row r="568" spans="2:34" x14ac:dyDescent="0.25">
      <c r="B568" s="2" t="s">
        <v>1016</v>
      </c>
      <c r="D568" s="2" t="s">
        <v>1</v>
      </c>
      <c r="E568" s="2" t="s">
        <v>134</v>
      </c>
      <c r="F568" s="2" t="s">
        <v>1017</v>
      </c>
      <c r="G568" s="2" t="s">
        <v>1018</v>
      </c>
      <c r="H568" s="2" t="s">
        <v>890</v>
      </c>
      <c r="I568" s="2" t="s">
        <v>42</v>
      </c>
      <c r="J568" s="2">
        <v>1</v>
      </c>
      <c r="K568" s="2" t="s">
        <v>82</v>
      </c>
      <c r="L568" s="2" t="s">
        <v>41</v>
      </c>
      <c r="M568" s="2" t="s">
        <v>135</v>
      </c>
      <c r="N568" s="2" t="s">
        <v>1019</v>
      </c>
      <c r="O568" s="2" t="s">
        <v>891</v>
      </c>
      <c r="P568" s="2" t="s">
        <v>5</v>
      </c>
      <c r="Q568" s="2">
        <f>INDEX(Tables!$C$4:$C$28,MATCH($P568,Tables!$B$4:$B$28,0))</f>
        <v>32</v>
      </c>
      <c r="R568" s="2">
        <f>INDEX(Tables!$D$4:$D$28,MATCH($P568,Tables!$B$4:$B$28,0))</f>
        <v>4</v>
      </c>
      <c r="S568" s="2">
        <f>$S567+$R567+INDEX(Tables!$N$5:$Q$8,MATCH(MOD($S567+$R567,4),Tables!$M$5:$M$8,0),MATCH($R568,Tables!$N$4:$Q$4,0))</f>
        <v>1992</v>
      </c>
      <c r="T568" s="2" t="str">
        <f t="shared" si="129"/>
        <v>07C8</v>
      </c>
      <c r="U568" s="2">
        <f t="shared" si="135"/>
        <v>498</v>
      </c>
      <c r="V568" s="2" t="str">
        <f t="shared" si="130"/>
        <v>1F2</v>
      </c>
      <c r="W568" s="2" t="str">
        <f t="shared" si="131"/>
        <v/>
      </c>
      <c r="X568" s="2" t="str">
        <f t="shared" si="132"/>
        <v/>
      </c>
      <c r="Y568" s="2" t="str">
        <f t="shared" si="133"/>
        <v/>
      </c>
      <c r="Z568" s="2" t="str">
        <f t="shared" si="134"/>
        <v>X</v>
      </c>
      <c r="AA568" s="2" t="str">
        <f t="shared" si="136"/>
        <v/>
      </c>
      <c r="AB568" s="2" t="str">
        <f t="shared" si="137"/>
        <v/>
      </c>
      <c r="AC568" s="2" t="str">
        <f t="shared" si="138"/>
        <v/>
      </c>
      <c r="AD568" s="2" t="str">
        <f t="shared" si="139"/>
        <v>(0)</v>
      </c>
      <c r="AE568" s="2" t="str">
        <f t="shared" si="140"/>
        <v/>
      </c>
      <c r="AF568" s="2" t="str">
        <f t="shared" si="141"/>
        <v/>
      </c>
      <c r="AG568" s="2" t="str">
        <f t="shared" si="142"/>
        <v/>
      </c>
      <c r="AH568" s="2" t="str">
        <f t="shared" si="143"/>
        <v/>
      </c>
    </row>
    <row r="569" spans="2:34" x14ac:dyDescent="0.25">
      <c r="B569" s="2" t="s">
        <v>1016</v>
      </c>
      <c r="D569" s="2" t="s">
        <v>1</v>
      </c>
      <c r="E569" s="2" t="s">
        <v>134</v>
      </c>
      <c r="F569" s="2" t="s">
        <v>1017</v>
      </c>
      <c r="G569" s="2" t="s">
        <v>1018</v>
      </c>
      <c r="H569" s="2" t="s">
        <v>892</v>
      </c>
      <c r="I569" s="2" t="s">
        <v>42</v>
      </c>
      <c r="J569" s="2">
        <v>1</v>
      </c>
      <c r="K569" s="2" t="s">
        <v>82</v>
      </c>
      <c r="L569" s="2" t="s">
        <v>41</v>
      </c>
      <c r="M569" s="2" t="s">
        <v>135</v>
      </c>
      <c r="N569" s="2" t="s">
        <v>1019</v>
      </c>
      <c r="O569" s="2" t="s">
        <v>893</v>
      </c>
      <c r="P569" s="2" t="s">
        <v>5</v>
      </c>
      <c r="Q569" s="2">
        <f>INDEX(Tables!$C$4:$C$28,MATCH($P569,Tables!$B$4:$B$28,0))</f>
        <v>32</v>
      </c>
      <c r="R569" s="2">
        <f>INDEX(Tables!$D$4:$D$28,MATCH($P569,Tables!$B$4:$B$28,0))</f>
        <v>4</v>
      </c>
      <c r="S569" s="2">
        <f>$S568+$R568+INDEX(Tables!$N$5:$Q$8,MATCH(MOD($S568+$R568,4),Tables!$M$5:$M$8,0),MATCH($R569,Tables!$N$4:$Q$4,0))</f>
        <v>1996</v>
      </c>
      <c r="T569" s="2" t="str">
        <f t="shared" si="129"/>
        <v>07CC</v>
      </c>
      <c r="U569" s="2">
        <f t="shared" si="135"/>
        <v>499</v>
      </c>
      <c r="V569" s="2" t="str">
        <f t="shared" si="130"/>
        <v>1F3</v>
      </c>
      <c r="W569" s="2" t="str">
        <f t="shared" si="131"/>
        <v/>
      </c>
      <c r="X569" s="2" t="str">
        <f t="shared" si="132"/>
        <v/>
      </c>
      <c r="Y569" s="2" t="str">
        <f t="shared" si="133"/>
        <v/>
      </c>
      <c r="Z569" s="2" t="str">
        <f t="shared" si="134"/>
        <v>X</v>
      </c>
      <c r="AA569" s="2" t="str">
        <f t="shared" si="136"/>
        <v/>
      </c>
      <c r="AB569" s="2" t="str">
        <f t="shared" si="137"/>
        <v/>
      </c>
      <c r="AC569" s="2" t="str">
        <f t="shared" si="138"/>
        <v/>
      </c>
      <c r="AD569" s="2" t="str">
        <f t="shared" si="139"/>
        <v>(0)</v>
      </c>
      <c r="AE569" s="2" t="str">
        <f t="shared" si="140"/>
        <v/>
      </c>
      <c r="AF569" s="2" t="str">
        <f t="shared" si="141"/>
        <v/>
      </c>
      <c r="AG569" s="2" t="str">
        <f t="shared" si="142"/>
        <v/>
      </c>
      <c r="AH569" s="2" t="str">
        <f t="shared" si="143"/>
        <v/>
      </c>
    </row>
    <row r="570" spans="2:34" x14ac:dyDescent="0.25">
      <c r="B570" s="2" t="s">
        <v>1016</v>
      </c>
      <c r="D570" s="2" t="s">
        <v>1</v>
      </c>
      <c r="E570" s="2" t="s">
        <v>134</v>
      </c>
      <c r="F570" s="2" t="s">
        <v>1017</v>
      </c>
      <c r="G570" s="2" t="s">
        <v>1018</v>
      </c>
      <c r="H570" s="2" t="s">
        <v>894</v>
      </c>
      <c r="I570" s="2" t="s">
        <v>42</v>
      </c>
      <c r="J570" s="2">
        <v>1</v>
      </c>
      <c r="K570" s="2" t="s">
        <v>82</v>
      </c>
      <c r="L570" s="2" t="s">
        <v>41</v>
      </c>
      <c r="M570" s="2" t="s">
        <v>135</v>
      </c>
      <c r="N570" s="2" t="s">
        <v>1019</v>
      </c>
      <c r="O570" s="2" t="s">
        <v>895</v>
      </c>
      <c r="P570" s="2" t="s">
        <v>5</v>
      </c>
      <c r="Q570" s="2">
        <f>INDEX(Tables!$C$4:$C$28,MATCH($P570,Tables!$B$4:$B$28,0))</f>
        <v>32</v>
      </c>
      <c r="R570" s="2">
        <f>INDEX(Tables!$D$4:$D$28,MATCH($P570,Tables!$B$4:$B$28,0))</f>
        <v>4</v>
      </c>
      <c r="S570" s="2">
        <f>$S569+$R569+INDEX(Tables!$N$5:$Q$8,MATCH(MOD($S569+$R569,4),Tables!$M$5:$M$8,0),MATCH($R570,Tables!$N$4:$Q$4,0))</f>
        <v>2000</v>
      </c>
      <c r="T570" s="2" t="str">
        <f t="shared" si="129"/>
        <v>07D0</v>
      </c>
      <c r="U570" s="2">
        <f t="shared" si="135"/>
        <v>500</v>
      </c>
      <c r="V570" s="2" t="str">
        <f t="shared" si="130"/>
        <v>1F4</v>
      </c>
      <c r="W570" s="2" t="str">
        <f t="shared" si="131"/>
        <v/>
      </c>
      <c r="X570" s="2" t="str">
        <f t="shared" si="132"/>
        <v/>
      </c>
      <c r="Y570" s="2" t="str">
        <f t="shared" si="133"/>
        <v/>
      </c>
      <c r="Z570" s="2" t="str">
        <f t="shared" si="134"/>
        <v>X</v>
      </c>
      <c r="AA570" s="2" t="str">
        <f t="shared" si="136"/>
        <v/>
      </c>
      <c r="AB570" s="2" t="str">
        <f t="shared" si="137"/>
        <v/>
      </c>
      <c r="AC570" s="2" t="str">
        <f t="shared" si="138"/>
        <v/>
      </c>
      <c r="AD570" s="2" t="str">
        <f t="shared" si="139"/>
        <v>(0)</v>
      </c>
      <c r="AE570" s="2" t="str">
        <f t="shared" si="140"/>
        <v/>
      </c>
      <c r="AF570" s="2" t="str">
        <f t="shared" si="141"/>
        <v/>
      </c>
      <c r="AG570" s="2" t="str">
        <f t="shared" si="142"/>
        <v/>
      </c>
      <c r="AH570" s="2" t="str">
        <f t="shared" si="143"/>
        <v/>
      </c>
    </row>
    <row r="571" spans="2:34" x14ac:dyDescent="0.25">
      <c r="B571" s="2" t="s">
        <v>1016</v>
      </c>
      <c r="D571" s="2" t="s">
        <v>1</v>
      </c>
      <c r="E571" s="2" t="s">
        <v>134</v>
      </c>
      <c r="F571" s="2" t="s">
        <v>1017</v>
      </c>
      <c r="G571" s="2" t="s">
        <v>1018</v>
      </c>
      <c r="H571" s="2" t="s">
        <v>896</v>
      </c>
      <c r="I571" s="2" t="s">
        <v>42</v>
      </c>
      <c r="J571" s="2">
        <v>1</v>
      </c>
      <c r="K571" s="2" t="s">
        <v>82</v>
      </c>
      <c r="L571" s="2" t="s">
        <v>41</v>
      </c>
      <c r="M571" s="2" t="s">
        <v>135</v>
      </c>
      <c r="N571" s="2" t="s">
        <v>1019</v>
      </c>
      <c r="O571" s="2" t="s">
        <v>897</v>
      </c>
      <c r="P571" s="2" t="s">
        <v>5</v>
      </c>
      <c r="Q571" s="2">
        <f>INDEX(Tables!$C$4:$C$28,MATCH($P571,Tables!$B$4:$B$28,0))</f>
        <v>32</v>
      </c>
      <c r="R571" s="2">
        <f>INDEX(Tables!$D$4:$D$28,MATCH($P571,Tables!$B$4:$B$28,0))</f>
        <v>4</v>
      </c>
      <c r="S571" s="2">
        <f>$S570+$R570+INDEX(Tables!$N$5:$Q$8,MATCH(MOD($S570+$R570,4),Tables!$M$5:$M$8,0),MATCH($R571,Tables!$N$4:$Q$4,0))</f>
        <v>2004</v>
      </c>
      <c r="T571" s="2" t="str">
        <f t="shared" si="129"/>
        <v>07D4</v>
      </c>
      <c r="U571" s="2">
        <f t="shared" si="135"/>
        <v>501</v>
      </c>
      <c r="V571" s="2" t="str">
        <f t="shared" si="130"/>
        <v>1F5</v>
      </c>
      <c r="W571" s="2" t="str">
        <f t="shared" si="131"/>
        <v/>
      </c>
      <c r="X571" s="2" t="str">
        <f t="shared" si="132"/>
        <v/>
      </c>
      <c r="Y571" s="2" t="str">
        <f t="shared" si="133"/>
        <v/>
      </c>
      <c r="Z571" s="2" t="str">
        <f t="shared" si="134"/>
        <v>X</v>
      </c>
      <c r="AA571" s="2" t="str">
        <f t="shared" si="136"/>
        <v/>
      </c>
      <c r="AB571" s="2" t="str">
        <f t="shared" si="137"/>
        <v/>
      </c>
      <c r="AC571" s="2" t="str">
        <f t="shared" si="138"/>
        <v/>
      </c>
      <c r="AD571" s="2" t="str">
        <f t="shared" si="139"/>
        <v>(0)</v>
      </c>
      <c r="AE571" s="2" t="str">
        <f t="shared" si="140"/>
        <v/>
      </c>
      <c r="AF571" s="2" t="str">
        <f t="shared" si="141"/>
        <v/>
      </c>
      <c r="AG571" s="2" t="str">
        <f t="shared" si="142"/>
        <v/>
      </c>
      <c r="AH571" s="2" t="str">
        <f t="shared" si="143"/>
        <v/>
      </c>
    </row>
    <row r="572" spans="2:34" x14ac:dyDescent="0.25">
      <c r="B572" s="2" t="s">
        <v>1016</v>
      </c>
      <c r="D572" s="2" t="s">
        <v>1</v>
      </c>
      <c r="E572" s="2" t="s">
        <v>134</v>
      </c>
      <c r="F572" s="2" t="s">
        <v>1017</v>
      </c>
      <c r="G572" s="2" t="s">
        <v>1018</v>
      </c>
      <c r="H572" s="2" t="s">
        <v>430</v>
      </c>
      <c r="I572" s="2" t="s">
        <v>42</v>
      </c>
      <c r="J572" s="2">
        <v>1</v>
      </c>
      <c r="K572" s="2" t="s">
        <v>82</v>
      </c>
      <c r="L572" s="2" t="s">
        <v>41</v>
      </c>
      <c r="M572" s="2" t="s">
        <v>135</v>
      </c>
      <c r="N572" s="2" t="s">
        <v>1019</v>
      </c>
      <c r="O572" s="2" t="s">
        <v>431</v>
      </c>
      <c r="P572" s="2" t="s">
        <v>5</v>
      </c>
      <c r="Q572" s="2">
        <f>INDEX(Tables!$C$4:$C$28,MATCH($P572,Tables!$B$4:$B$28,0))</f>
        <v>32</v>
      </c>
      <c r="R572" s="2">
        <f>INDEX(Tables!$D$4:$D$28,MATCH($P572,Tables!$B$4:$B$28,0))</f>
        <v>4</v>
      </c>
      <c r="S572" s="2">
        <f>$S571+$R571+INDEX(Tables!$N$5:$Q$8,MATCH(MOD($S571+$R571,4),Tables!$M$5:$M$8,0),MATCH($R572,Tables!$N$4:$Q$4,0))</f>
        <v>2008</v>
      </c>
      <c r="T572" s="2" t="str">
        <f t="shared" si="129"/>
        <v>07D8</v>
      </c>
      <c r="U572" s="2">
        <f t="shared" si="135"/>
        <v>502</v>
      </c>
      <c r="V572" s="2" t="str">
        <f t="shared" si="130"/>
        <v>1F6</v>
      </c>
      <c r="W572" s="2" t="str">
        <f t="shared" si="131"/>
        <v/>
      </c>
      <c r="X572" s="2" t="str">
        <f t="shared" si="132"/>
        <v/>
      </c>
      <c r="Y572" s="2" t="str">
        <f t="shared" si="133"/>
        <v/>
      </c>
      <c r="Z572" s="2" t="str">
        <f t="shared" si="134"/>
        <v>X</v>
      </c>
      <c r="AA572" s="2" t="str">
        <f t="shared" si="136"/>
        <v/>
      </c>
      <c r="AB572" s="2" t="str">
        <f t="shared" si="137"/>
        <v/>
      </c>
      <c r="AC572" s="2" t="str">
        <f t="shared" si="138"/>
        <v/>
      </c>
      <c r="AD572" s="2" t="str">
        <f t="shared" si="139"/>
        <v>(0)</v>
      </c>
      <c r="AE572" s="2" t="str">
        <f t="shared" si="140"/>
        <v/>
      </c>
      <c r="AF572" s="2" t="str">
        <f t="shared" si="141"/>
        <v/>
      </c>
      <c r="AG572" s="2" t="str">
        <f t="shared" si="142"/>
        <v/>
      </c>
      <c r="AH572" s="2" t="str">
        <f t="shared" si="143"/>
        <v/>
      </c>
    </row>
    <row r="573" spans="2:34" x14ac:dyDescent="0.25">
      <c r="B573" s="2" t="s">
        <v>1016</v>
      </c>
      <c r="D573" s="2" t="s">
        <v>1</v>
      </c>
      <c r="E573" s="2" t="s">
        <v>134</v>
      </c>
      <c r="F573" s="2" t="s">
        <v>1017</v>
      </c>
      <c r="G573" s="2" t="s">
        <v>1018</v>
      </c>
      <c r="H573" s="2" t="s">
        <v>428</v>
      </c>
      <c r="I573" s="2" t="s">
        <v>42</v>
      </c>
      <c r="J573" s="2">
        <v>1</v>
      </c>
      <c r="K573" s="2" t="s">
        <v>82</v>
      </c>
      <c r="L573" s="2" t="s">
        <v>41</v>
      </c>
      <c r="M573" s="2" t="s">
        <v>135</v>
      </c>
      <c r="N573" s="2" t="s">
        <v>1019</v>
      </c>
      <c r="O573" s="2" t="s">
        <v>429</v>
      </c>
      <c r="P573" s="2" t="s">
        <v>5</v>
      </c>
      <c r="Q573" s="2">
        <f>INDEX(Tables!$C$4:$C$28,MATCH($P573,Tables!$B$4:$B$28,0))</f>
        <v>32</v>
      </c>
      <c r="R573" s="2">
        <f>INDEX(Tables!$D$4:$D$28,MATCH($P573,Tables!$B$4:$B$28,0))</f>
        <v>4</v>
      </c>
      <c r="S573" s="2">
        <f>$S572+$R572+INDEX(Tables!$N$5:$Q$8,MATCH(MOD($S572+$R572,4),Tables!$M$5:$M$8,0),MATCH($R573,Tables!$N$4:$Q$4,0))</f>
        <v>2012</v>
      </c>
      <c r="T573" s="2" t="str">
        <f t="shared" si="129"/>
        <v>07DC</v>
      </c>
      <c r="U573" s="2">
        <f t="shared" si="135"/>
        <v>503</v>
      </c>
      <c r="V573" s="2" t="str">
        <f t="shared" si="130"/>
        <v>1F7</v>
      </c>
      <c r="W573" s="2" t="str">
        <f t="shared" si="131"/>
        <v/>
      </c>
      <c r="X573" s="2" t="str">
        <f t="shared" si="132"/>
        <v/>
      </c>
      <c r="Y573" s="2" t="str">
        <f t="shared" si="133"/>
        <v/>
      </c>
      <c r="Z573" s="2" t="str">
        <f t="shared" si="134"/>
        <v>X</v>
      </c>
      <c r="AA573" s="2" t="str">
        <f t="shared" si="136"/>
        <v/>
      </c>
      <c r="AB573" s="2" t="str">
        <f t="shared" si="137"/>
        <v/>
      </c>
      <c r="AC573" s="2" t="str">
        <f t="shared" si="138"/>
        <v/>
      </c>
      <c r="AD573" s="2" t="str">
        <f t="shared" si="139"/>
        <v>(0)</v>
      </c>
      <c r="AE573" s="2" t="str">
        <f t="shared" si="140"/>
        <v/>
      </c>
      <c r="AF573" s="2" t="str">
        <f t="shared" si="141"/>
        <v/>
      </c>
      <c r="AG573" s="2" t="str">
        <f t="shared" si="142"/>
        <v/>
      </c>
      <c r="AH573" s="2" t="str">
        <f t="shared" si="143"/>
        <v/>
      </c>
    </row>
    <row r="574" spans="2:34" x14ac:dyDescent="0.25">
      <c r="B574" s="2" t="s">
        <v>1016</v>
      </c>
      <c r="D574" s="2" t="s">
        <v>1</v>
      </c>
      <c r="E574" s="2" t="s">
        <v>134</v>
      </c>
      <c r="F574" s="2" t="s">
        <v>1017</v>
      </c>
      <c r="G574" s="2" t="s">
        <v>1018</v>
      </c>
      <c r="H574" s="2" t="s">
        <v>898</v>
      </c>
      <c r="I574" s="2" t="s">
        <v>42</v>
      </c>
      <c r="J574" s="2">
        <v>1</v>
      </c>
      <c r="K574" s="2" t="s">
        <v>82</v>
      </c>
      <c r="L574" s="2" t="s">
        <v>41</v>
      </c>
      <c r="M574" s="2" t="s">
        <v>135</v>
      </c>
      <c r="N574" s="2" t="s">
        <v>1019</v>
      </c>
      <c r="O574" s="2" t="s">
        <v>899</v>
      </c>
      <c r="P574" s="2" t="s">
        <v>5</v>
      </c>
      <c r="Q574" s="2">
        <f>INDEX(Tables!$C$4:$C$28,MATCH($P574,Tables!$B$4:$B$28,0))</f>
        <v>32</v>
      </c>
      <c r="R574" s="2">
        <f>INDEX(Tables!$D$4:$D$28,MATCH($P574,Tables!$B$4:$B$28,0))</f>
        <v>4</v>
      </c>
      <c r="S574" s="2">
        <f>$S573+$R573+INDEX(Tables!$N$5:$Q$8,MATCH(MOD($S573+$R573,4),Tables!$M$5:$M$8,0),MATCH($R574,Tables!$N$4:$Q$4,0))</f>
        <v>2016</v>
      </c>
      <c r="T574" s="2" t="str">
        <f t="shared" si="129"/>
        <v>07E0</v>
      </c>
      <c r="U574" s="2">
        <f t="shared" si="135"/>
        <v>504</v>
      </c>
      <c r="V574" s="2" t="str">
        <f t="shared" si="130"/>
        <v>1F8</v>
      </c>
      <c r="W574" s="2" t="str">
        <f t="shared" si="131"/>
        <v/>
      </c>
      <c r="X574" s="2" t="str">
        <f t="shared" si="132"/>
        <v/>
      </c>
      <c r="Y574" s="2" t="str">
        <f t="shared" si="133"/>
        <v/>
      </c>
      <c r="Z574" s="2" t="str">
        <f t="shared" si="134"/>
        <v>X</v>
      </c>
      <c r="AA574" s="2" t="str">
        <f t="shared" si="136"/>
        <v/>
      </c>
      <c r="AB574" s="2" t="str">
        <f t="shared" si="137"/>
        <v/>
      </c>
      <c r="AC574" s="2" t="str">
        <f t="shared" si="138"/>
        <v/>
      </c>
      <c r="AD574" s="2" t="str">
        <f t="shared" si="139"/>
        <v>(0)</v>
      </c>
      <c r="AE574" s="2" t="str">
        <f t="shared" si="140"/>
        <v/>
      </c>
      <c r="AF574" s="2" t="str">
        <f t="shared" si="141"/>
        <v/>
      </c>
      <c r="AG574" s="2" t="str">
        <f t="shared" si="142"/>
        <v/>
      </c>
      <c r="AH574" s="2" t="str">
        <f t="shared" si="143"/>
        <v/>
      </c>
    </row>
    <row r="575" spans="2:34" x14ac:dyDescent="0.25">
      <c r="B575" s="2" t="s">
        <v>1016</v>
      </c>
      <c r="D575" s="2" t="s">
        <v>1</v>
      </c>
      <c r="E575" s="2" t="s">
        <v>134</v>
      </c>
      <c r="F575" s="2" t="s">
        <v>1017</v>
      </c>
      <c r="G575" s="2" t="s">
        <v>1018</v>
      </c>
      <c r="H575" s="2" t="s">
        <v>900</v>
      </c>
      <c r="I575" s="2" t="s">
        <v>42</v>
      </c>
      <c r="J575" s="2">
        <v>1</v>
      </c>
      <c r="K575" s="2" t="s">
        <v>82</v>
      </c>
      <c r="L575" s="2" t="s">
        <v>41</v>
      </c>
      <c r="M575" s="2" t="s">
        <v>135</v>
      </c>
      <c r="N575" s="2" t="s">
        <v>1019</v>
      </c>
      <c r="O575" s="2" t="s">
        <v>901</v>
      </c>
      <c r="P575" s="2" t="s">
        <v>5</v>
      </c>
      <c r="Q575" s="2">
        <f>INDEX(Tables!$C$4:$C$28,MATCH($P575,Tables!$B$4:$B$28,0))</f>
        <v>32</v>
      </c>
      <c r="R575" s="2">
        <f>INDEX(Tables!$D$4:$D$28,MATCH($P575,Tables!$B$4:$B$28,0))</f>
        <v>4</v>
      </c>
      <c r="S575" s="2">
        <f>$S574+$R574+INDEX(Tables!$N$5:$Q$8,MATCH(MOD($S574+$R574,4),Tables!$M$5:$M$8,0),MATCH($R575,Tables!$N$4:$Q$4,0))</f>
        <v>2020</v>
      </c>
      <c r="T575" s="2" t="str">
        <f t="shared" si="129"/>
        <v>07E4</v>
      </c>
      <c r="U575" s="2">
        <f t="shared" si="135"/>
        <v>505</v>
      </c>
      <c r="V575" s="2" t="str">
        <f t="shared" si="130"/>
        <v>1F9</v>
      </c>
      <c r="W575" s="2" t="str">
        <f t="shared" si="131"/>
        <v/>
      </c>
      <c r="X575" s="2" t="str">
        <f t="shared" si="132"/>
        <v/>
      </c>
      <c r="Y575" s="2" t="str">
        <f t="shared" si="133"/>
        <v/>
      </c>
      <c r="Z575" s="2" t="str">
        <f t="shared" si="134"/>
        <v>X</v>
      </c>
      <c r="AA575" s="2" t="str">
        <f t="shared" si="136"/>
        <v/>
      </c>
      <c r="AB575" s="2" t="str">
        <f t="shared" si="137"/>
        <v/>
      </c>
      <c r="AC575" s="2" t="str">
        <f t="shared" si="138"/>
        <v/>
      </c>
      <c r="AD575" s="2" t="str">
        <f t="shared" si="139"/>
        <v>(0)</v>
      </c>
      <c r="AE575" s="2" t="str">
        <f t="shared" si="140"/>
        <v/>
      </c>
      <c r="AF575" s="2" t="str">
        <f t="shared" si="141"/>
        <v/>
      </c>
      <c r="AG575" s="2" t="str">
        <f t="shared" si="142"/>
        <v/>
      </c>
      <c r="AH575" s="2" t="str">
        <f t="shared" si="143"/>
        <v/>
      </c>
    </row>
    <row r="576" spans="2:34" x14ac:dyDescent="0.25">
      <c r="B576" s="2" t="s">
        <v>1016</v>
      </c>
      <c r="D576" s="2" t="s">
        <v>1</v>
      </c>
      <c r="E576" s="2" t="s">
        <v>134</v>
      </c>
      <c r="F576" s="2" t="s">
        <v>1017</v>
      </c>
      <c r="G576" s="2" t="s">
        <v>1018</v>
      </c>
      <c r="H576" s="2" t="s">
        <v>139</v>
      </c>
      <c r="I576" s="2" t="s">
        <v>42</v>
      </c>
      <c r="J576" s="2">
        <v>16</v>
      </c>
      <c r="K576" s="2" t="s">
        <v>137</v>
      </c>
      <c r="L576" s="2" t="s">
        <v>41</v>
      </c>
      <c r="M576" s="2" t="s">
        <v>135</v>
      </c>
      <c r="N576" s="2" t="s">
        <v>1019</v>
      </c>
      <c r="O576" s="2" t="s">
        <v>140</v>
      </c>
      <c r="P576" s="2" t="s">
        <v>50</v>
      </c>
      <c r="Q576" s="2">
        <f>INDEX(Tables!$C$4:$C$28,MATCH($P576,Tables!$B$4:$B$28,0))</f>
        <v>16</v>
      </c>
      <c r="R576" s="2">
        <f>INDEX(Tables!$D$4:$D$28,MATCH($P576,Tables!$B$4:$B$28,0))</f>
        <v>2</v>
      </c>
      <c r="S576" s="2">
        <f>$S575+$R575+INDEX(Tables!$N$5:$Q$8,MATCH(MOD($S575+$R575,4),Tables!$M$5:$M$8,0),MATCH($R576,Tables!$N$4:$Q$4,0))</f>
        <v>2024</v>
      </c>
      <c r="T576" s="2" t="str">
        <f t="shared" si="129"/>
        <v>07E8</v>
      </c>
      <c r="U576" s="2">
        <f t="shared" si="135"/>
        <v>506</v>
      </c>
      <c r="V576" s="2" t="str">
        <f t="shared" si="130"/>
        <v>1FA</v>
      </c>
      <c r="W576" s="2" t="str">
        <f t="shared" si="131"/>
        <v/>
      </c>
      <c r="X576" s="2" t="str">
        <f t="shared" si="132"/>
        <v/>
      </c>
      <c r="Y576" s="2" t="str">
        <f t="shared" si="133"/>
        <v>X</v>
      </c>
      <c r="Z576" s="2" t="str">
        <f t="shared" si="134"/>
        <v>X</v>
      </c>
      <c r="AA576" s="2" t="str">
        <f t="shared" si="136"/>
        <v/>
      </c>
      <c r="AB576" s="2" t="str">
        <f t="shared" si="137"/>
        <v/>
      </c>
      <c r="AC576" s="2" t="str">
        <f t="shared" si="138"/>
        <v>(15 downto 8)</v>
      </c>
      <c r="AD576" s="2" t="str">
        <f t="shared" si="139"/>
        <v>(7 downto 0)</v>
      </c>
      <c r="AE576" s="2" t="str">
        <f t="shared" si="140"/>
        <v/>
      </c>
      <c r="AF576" s="2" t="str">
        <f t="shared" si="141"/>
        <v/>
      </c>
      <c r="AG576" s="2" t="str">
        <f t="shared" si="142"/>
        <v>(15 downto 8)</v>
      </c>
      <c r="AH576" s="2" t="str">
        <f t="shared" si="143"/>
        <v>(7 downto 0)</v>
      </c>
    </row>
    <row r="577" spans="2:34" x14ac:dyDescent="0.25">
      <c r="B577" s="2" t="s">
        <v>1016</v>
      </c>
      <c r="D577" s="2" t="s">
        <v>1</v>
      </c>
      <c r="E577" s="2" t="s">
        <v>134</v>
      </c>
      <c r="F577" s="2" t="s">
        <v>1020</v>
      </c>
      <c r="G577" s="2" t="s">
        <v>1021</v>
      </c>
      <c r="H577" s="2" t="s">
        <v>904</v>
      </c>
      <c r="I577" s="2" t="s">
        <v>42</v>
      </c>
      <c r="J577" s="2">
        <v>32</v>
      </c>
      <c r="K577" s="2" t="s">
        <v>137</v>
      </c>
      <c r="L577" s="2" t="s">
        <v>41</v>
      </c>
      <c r="M577" s="2" t="s">
        <v>135</v>
      </c>
      <c r="N577" s="2" t="s">
        <v>1019</v>
      </c>
      <c r="O577" s="2" t="s">
        <v>905</v>
      </c>
      <c r="P577" s="2" t="s">
        <v>49</v>
      </c>
      <c r="Q577" s="2">
        <f>INDEX(Tables!$C$4:$C$28,MATCH($P577,Tables!$B$4:$B$28,0))</f>
        <v>32</v>
      </c>
      <c r="R577" s="2">
        <f>INDEX(Tables!$D$4:$D$28,MATCH($P577,Tables!$B$4:$B$28,0))</f>
        <v>4</v>
      </c>
      <c r="S577" s="2">
        <f>$S576+$R576+INDEX(Tables!$N$5:$Q$8,MATCH(MOD($S576+$R576,4),Tables!$M$5:$M$8,0),MATCH($R577,Tables!$N$4:$Q$4,0))</f>
        <v>2028</v>
      </c>
      <c r="T577" s="2" t="str">
        <f t="shared" si="129"/>
        <v>07EC</v>
      </c>
      <c r="U577" s="2">
        <f t="shared" si="135"/>
        <v>507</v>
      </c>
      <c r="V577" s="2" t="str">
        <f t="shared" si="130"/>
        <v>1FB</v>
      </c>
      <c r="W577" s="2" t="str">
        <f t="shared" si="131"/>
        <v>X</v>
      </c>
      <c r="X577" s="2" t="str">
        <f t="shared" si="132"/>
        <v>X</v>
      </c>
      <c r="Y577" s="2" t="str">
        <f t="shared" si="133"/>
        <v>X</v>
      </c>
      <c r="Z577" s="2" t="str">
        <f t="shared" si="134"/>
        <v>X</v>
      </c>
      <c r="AA577" s="2" t="str">
        <f t="shared" si="136"/>
        <v>(31 downto 24)</v>
      </c>
      <c r="AB577" s="2" t="str">
        <f t="shared" si="137"/>
        <v>(23 downto 16)</v>
      </c>
      <c r="AC577" s="2" t="str">
        <f t="shared" si="138"/>
        <v>(15 downto 8)</v>
      </c>
      <c r="AD577" s="2" t="str">
        <f t="shared" si="139"/>
        <v>(7 downto 0)</v>
      </c>
      <c r="AE577" s="2" t="str">
        <f t="shared" si="140"/>
        <v>(31 downto 24)</v>
      </c>
      <c r="AF577" s="2" t="str">
        <f t="shared" si="141"/>
        <v>(23 downto 16)</v>
      </c>
      <c r="AG577" s="2" t="str">
        <f t="shared" si="142"/>
        <v>(15 downto 8)</v>
      </c>
      <c r="AH577" s="2" t="str">
        <f t="shared" si="143"/>
        <v>(7 downto 0)</v>
      </c>
    </row>
    <row r="578" spans="2:34" x14ac:dyDescent="0.25">
      <c r="B578" s="2" t="s">
        <v>1016</v>
      </c>
      <c r="D578" s="2" t="s">
        <v>1</v>
      </c>
      <c r="E578" s="2" t="s">
        <v>134</v>
      </c>
      <c r="F578" s="2" t="s">
        <v>1020</v>
      </c>
      <c r="G578" s="2" t="s">
        <v>1021</v>
      </c>
      <c r="H578" s="2" t="s">
        <v>906</v>
      </c>
      <c r="I578" s="2" t="s">
        <v>42</v>
      </c>
      <c r="J578" s="2">
        <v>32</v>
      </c>
      <c r="K578" s="2" t="s">
        <v>137</v>
      </c>
      <c r="L578" s="2" t="s">
        <v>41</v>
      </c>
      <c r="M578" s="2" t="s">
        <v>135</v>
      </c>
      <c r="N578" s="2" t="s">
        <v>1019</v>
      </c>
      <c r="O578" s="2" t="s">
        <v>907</v>
      </c>
      <c r="P578" s="2" t="s">
        <v>49</v>
      </c>
      <c r="Q578" s="2">
        <f>INDEX(Tables!$C$4:$C$28,MATCH($P578,Tables!$B$4:$B$28,0))</f>
        <v>32</v>
      </c>
      <c r="R578" s="2">
        <f>INDEX(Tables!$D$4:$D$28,MATCH($P578,Tables!$B$4:$B$28,0))</f>
        <v>4</v>
      </c>
      <c r="S578" s="2">
        <f>$S577+$R577+INDEX(Tables!$N$5:$Q$8,MATCH(MOD($S577+$R577,4),Tables!$M$5:$M$8,0),MATCH($R578,Tables!$N$4:$Q$4,0))</f>
        <v>2032</v>
      </c>
      <c r="T578" s="2" t="str">
        <f t="shared" si="129"/>
        <v>07F0</v>
      </c>
      <c r="U578" s="2">
        <f t="shared" si="135"/>
        <v>508</v>
      </c>
      <c r="V578" s="2" t="str">
        <f t="shared" si="130"/>
        <v>1FC</v>
      </c>
      <c r="W578" s="2" t="str">
        <f t="shared" si="131"/>
        <v>X</v>
      </c>
      <c r="X578" s="2" t="str">
        <f t="shared" si="132"/>
        <v>X</v>
      </c>
      <c r="Y578" s="2" t="str">
        <f t="shared" si="133"/>
        <v>X</v>
      </c>
      <c r="Z578" s="2" t="str">
        <f t="shared" si="134"/>
        <v>X</v>
      </c>
      <c r="AA578" s="2" t="str">
        <f t="shared" si="136"/>
        <v>(31 downto 24)</v>
      </c>
      <c r="AB578" s="2" t="str">
        <f t="shared" si="137"/>
        <v>(23 downto 16)</v>
      </c>
      <c r="AC578" s="2" t="str">
        <f t="shared" si="138"/>
        <v>(15 downto 8)</v>
      </c>
      <c r="AD578" s="2" t="str">
        <f t="shared" si="139"/>
        <v>(7 downto 0)</v>
      </c>
      <c r="AE578" s="2" t="str">
        <f t="shared" si="140"/>
        <v>(31 downto 24)</v>
      </c>
      <c r="AF578" s="2" t="str">
        <f t="shared" si="141"/>
        <v>(23 downto 16)</v>
      </c>
      <c r="AG578" s="2" t="str">
        <f t="shared" si="142"/>
        <v>(15 downto 8)</v>
      </c>
      <c r="AH578" s="2" t="str">
        <f t="shared" si="143"/>
        <v>(7 downto 0)</v>
      </c>
    </row>
    <row r="579" spans="2:34" x14ac:dyDescent="0.25">
      <c r="B579" s="2" t="s">
        <v>1016</v>
      </c>
      <c r="D579" s="2" t="s">
        <v>1</v>
      </c>
      <c r="E579" s="2" t="s">
        <v>134</v>
      </c>
      <c r="F579" s="2" t="s">
        <v>1022</v>
      </c>
      <c r="G579" s="2" t="s">
        <v>1023</v>
      </c>
      <c r="H579" s="2" t="s">
        <v>910</v>
      </c>
      <c r="I579" s="2" t="s">
        <v>42</v>
      </c>
      <c r="J579" s="2">
        <v>32</v>
      </c>
      <c r="K579" s="2" t="s">
        <v>137</v>
      </c>
      <c r="L579" s="2" t="s">
        <v>41</v>
      </c>
      <c r="M579" s="2" t="s">
        <v>135</v>
      </c>
      <c r="N579" s="2" t="s">
        <v>1019</v>
      </c>
      <c r="O579" s="2" t="s">
        <v>911</v>
      </c>
      <c r="P579" s="2" t="s">
        <v>49</v>
      </c>
      <c r="Q579" s="2">
        <f>INDEX(Tables!$C$4:$C$28,MATCH($P579,Tables!$B$4:$B$28,0))</f>
        <v>32</v>
      </c>
      <c r="R579" s="2">
        <f>INDEX(Tables!$D$4:$D$28,MATCH($P579,Tables!$B$4:$B$28,0))</f>
        <v>4</v>
      </c>
      <c r="S579" s="2">
        <f>$S578+$R578+INDEX(Tables!$N$5:$Q$8,MATCH(MOD($S578+$R578,4),Tables!$M$5:$M$8,0),MATCH($R579,Tables!$N$4:$Q$4,0))</f>
        <v>2036</v>
      </c>
      <c r="T579" s="2" t="str">
        <f t="shared" si="129"/>
        <v>07F4</v>
      </c>
      <c r="U579" s="2">
        <f t="shared" si="135"/>
        <v>509</v>
      </c>
      <c r="V579" s="2" t="str">
        <f t="shared" si="130"/>
        <v>1FD</v>
      </c>
      <c r="W579" s="2" t="str">
        <f t="shared" si="131"/>
        <v>X</v>
      </c>
      <c r="X579" s="2" t="str">
        <f t="shared" si="132"/>
        <v>X</v>
      </c>
      <c r="Y579" s="2" t="str">
        <f t="shared" si="133"/>
        <v>X</v>
      </c>
      <c r="Z579" s="2" t="str">
        <f t="shared" si="134"/>
        <v>X</v>
      </c>
      <c r="AA579" s="2" t="str">
        <f t="shared" si="136"/>
        <v>(31 downto 24)</v>
      </c>
      <c r="AB579" s="2" t="str">
        <f t="shared" si="137"/>
        <v>(23 downto 16)</v>
      </c>
      <c r="AC579" s="2" t="str">
        <f t="shared" si="138"/>
        <v>(15 downto 8)</v>
      </c>
      <c r="AD579" s="2" t="str">
        <f t="shared" si="139"/>
        <v>(7 downto 0)</v>
      </c>
      <c r="AE579" s="2" t="str">
        <f t="shared" si="140"/>
        <v>(31 downto 24)</v>
      </c>
      <c r="AF579" s="2" t="str">
        <f t="shared" si="141"/>
        <v>(23 downto 16)</v>
      </c>
      <c r="AG579" s="2" t="str">
        <f t="shared" si="142"/>
        <v>(15 downto 8)</v>
      </c>
      <c r="AH579" s="2" t="str">
        <f t="shared" si="143"/>
        <v>(7 downto 0)</v>
      </c>
    </row>
    <row r="580" spans="2:34" x14ac:dyDescent="0.25">
      <c r="B580" s="2" t="s">
        <v>1016</v>
      </c>
      <c r="D580" s="2" t="s">
        <v>1</v>
      </c>
      <c r="E580" s="2" t="s">
        <v>134</v>
      </c>
      <c r="F580" s="2" t="s">
        <v>1022</v>
      </c>
      <c r="G580" s="2" t="s">
        <v>1023</v>
      </c>
      <c r="H580" s="2" t="s">
        <v>912</v>
      </c>
      <c r="I580" s="2" t="s">
        <v>42</v>
      </c>
      <c r="J580" s="2">
        <v>32</v>
      </c>
      <c r="K580" s="2" t="s">
        <v>137</v>
      </c>
      <c r="L580" s="2" t="s">
        <v>41</v>
      </c>
      <c r="M580" s="2" t="s">
        <v>135</v>
      </c>
      <c r="N580" s="2" t="s">
        <v>1019</v>
      </c>
      <c r="O580" s="2" t="s">
        <v>913</v>
      </c>
      <c r="P580" s="2" t="s">
        <v>49</v>
      </c>
      <c r="Q580" s="2">
        <f>INDEX(Tables!$C$4:$C$28,MATCH($P580,Tables!$B$4:$B$28,0))</f>
        <v>32</v>
      </c>
      <c r="R580" s="2">
        <f>INDEX(Tables!$D$4:$D$28,MATCH($P580,Tables!$B$4:$B$28,0))</f>
        <v>4</v>
      </c>
      <c r="S580" s="2">
        <f>$S579+$R579+INDEX(Tables!$N$5:$Q$8,MATCH(MOD($S579+$R579,4),Tables!$M$5:$M$8,0),MATCH($R580,Tables!$N$4:$Q$4,0))</f>
        <v>2040</v>
      </c>
      <c r="T580" s="2" t="str">
        <f t="shared" si="129"/>
        <v>07F8</v>
      </c>
      <c r="U580" s="2">
        <f t="shared" si="135"/>
        <v>510</v>
      </c>
      <c r="V580" s="2" t="str">
        <f t="shared" si="130"/>
        <v>1FE</v>
      </c>
      <c r="W580" s="2" t="str">
        <f t="shared" si="131"/>
        <v>X</v>
      </c>
      <c r="X580" s="2" t="str">
        <f t="shared" si="132"/>
        <v>X</v>
      </c>
      <c r="Y580" s="2" t="str">
        <f t="shared" si="133"/>
        <v>X</v>
      </c>
      <c r="Z580" s="2" t="str">
        <f t="shared" si="134"/>
        <v>X</v>
      </c>
      <c r="AA580" s="2" t="str">
        <f t="shared" si="136"/>
        <v>(31 downto 24)</v>
      </c>
      <c r="AB580" s="2" t="str">
        <f t="shared" si="137"/>
        <v>(23 downto 16)</v>
      </c>
      <c r="AC580" s="2" t="str">
        <f t="shared" si="138"/>
        <v>(15 downto 8)</v>
      </c>
      <c r="AD580" s="2" t="str">
        <f t="shared" si="139"/>
        <v>(7 downto 0)</v>
      </c>
      <c r="AE580" s="2" t="str">
        <f t="shared" si="140"/>
        <v>(31 downto 24)</v>
      </c>
      <c r="AF580" s="2" t="str">
        <f t="shared" si="141"/>
        <v>(23 downto 16)</v>
      </c>
      <c r="AG580" s="2" t="str">
        <f t="shared" si="142"/>
        <v>(15 downto 8)</v>
      </c>
      <c r="AH580" s="2" t="str">
        <f t="shared" si="143"/>
        <v>(7 downto 0)</v>
      </c>
    </row>
    <row r="581" spans="2:34" x14ac:dyDescent="0.25">
      <c r="B581" s="2" t="s">
        <v>1016</v>
      </c>
      <c r="D581" s="2" t="s">
        <v>1</v>
      </c>
      <c r="E581" s="2" t="s">
        <v>134</v>
      </c>
      <c r="F581" s="2" t="s">
        <v>1022</v>
      </c>
      <c r="G581" s="2" t="s">
        <v>1023</v>
      </c>
      <c r="H581" s="2" t="s">
        <v>914</v>
      </c>
      <c r="I581" s="2" t="s">
        <v>42</v>
      </c>
      <c r="J581" s="2">
        <v>32</v>
      </c>
      <c r="K581" s="2" t="s">
        <v>137</v>
      </c>
      <c r="L581" s="2" t="s">
        <v>41</v>
      </c>
      <c r="M581" s="2" t="s">
        <v>135</v>
      </c>
      <c r="N581" s="2" t="s">
        <v>1019</v>
      </c>
      <c r="O581" s="2" t="s">
        <v>915</v>
      </c>
      <c r="P581" s="2" t="s">
        <v>49</v>
      </c>
      <c r="Q581" s="2">
        <f>INDEX(Tables!$C$4:$C$28,MATCH($P581,Tables!$B$4:$B$28,0))</f>
        <v>32</v>
      </c>
      <c r="R581" s="2">
        <f>INDEX(Tables!$D$4:$D$28,MATCH($P581,Tables!$B$4:$B$28,0))</f>
        <v>4</v>
      </c>
      <c r="S581" s="2">
        <f>$S580+$R580+INDEX(Tables!$N$5:$Q$8,MATCH(MOD($S580+$R580,4),Tables!$M$5:$M$8,0),MATCH($R581,Tables!$N$4:$Q$4,0))</f>
        <v>2044</v>
      </c>
      <c r="T581" s="2" t="str">
        <f t="shared" ref="T581:T644" si="144">DEC2HEX($S581,4)</f>
        <v>07FC</v>
      </c>
      <c r="U581" s="2">
        <f t="shared" si="135"/>
        <v>511</v>
      </c>
      <c r="V581" s="2" t="str">
        <f t="shared" ref="V581:V644" si="145">DEC2HEX($U581,3)</f>
        <v>1FF</v>
      </c>
      <c r="W581" s="2" t="str">
        <f t="shared" ref="W581:W644" si="146">IF(MOD($S581,4)=3,"X",IF(AND(MOD($S581,4)=2,$J581&gt;8),"X",IF(AND(MOD($S581,4)=1,$J581&gt;16),"X",IF(AND(MOD($S581,4)=0,$J581&gt;24),"X",""))))</f>
        <v>X</v>
      </c>
      <c r="X581" s="2" t="str">
        <f t="shared" si="132"/>
        <v>X</v>
      </c>
      <c r="Y581" s="2" t="str">
        <f t="shared" si="133"/>
        <v>X</v>
      </c>
      <c r="Z581" s="2" t="str">
        <f t="shared" si="134"/>
        <v>X</v>
      </c>
      <c r="AA581" s="2" t="str">
        <f t="shared" si="136"/>
        <v>(31 downto 24)</v>
      </c>
      <c r="AB581" s="2" t="str">
        <f t="shared" si="137"/>
        <v>(23 downto 16)</v>
      </c>
      <c r="AC581" s="2" t="str">
        <f t="shared" si="138"/>
        <v>(15 downto 8)</v>
      </c>
      <c r="AD581" s="2" t="str">
        <f t="shared" si="139"/>
        <v>(7 downto 0)</v>
      </c>
      <c r="AE581" s="2" t="str">
        <f t="shared" si="140"/>
        <v>(31 downto 24)</v>
      </c>
      <c r="AF581" s="2" t="str">
        <f t="shared" si="141"/>
        <v>(23 downto 16)</v>
      </c>
      <c r="AG581" s="2" t="str">
        <f t="shared" si="142"/>
        <v>(15 downto 8)</v>
      </c>
      <c r="AH581" s="2" t="str">
        <f t="shared" si="143"/>
        <v>(7 downto 0)</v>
      </c>
    </row>
    <row r="582" spans="2:34" x14ac:dyDescent="0.25">
      <c r="B582" s="2" t="s">
        <v>1016</v>
      </c>
      <c r="D582" s="2" t="s">
        <v>1</v>
      </c>
      <c r="E582" s="2" t="s">
        <v>134</v>
      </c>
      <c r="F582" s="2" t="s">
        <v>1022</v>
      </c>
      <c r="G582" s="2" t="s">
        <v>1023</v>
      </c>
      <c r="H582" s="2" t="s">
        <v>916</v>
      </c>
      <c r="I582" s="2" t="s">
        <v>42</v>
      </c>
      <c r="J582" s="2">
        <v>32</v>
      </c>
      <c r="K582" s="2" t="s">
        <v>137</v>
      </c>
      <c r="L582" s="2" t="s">
        <v>41</v>
      </c>
      <c r="M582" s="2" t="s">
        <v>135</v>
      </c>
      <c r="N582" s="2" t="s">
        <v>1019</v>
      </c>
      <c r="O582" s="2" t="s">
        <v>917</v>
      </c>
      <c r="P582" s="2" t="s">
        <v>49</v>
      </c>
      <c r="Q582" s="2">
        <f>INDEX(Tables!$C$4:$C$28,MATCH($P582,Tables!$B$4:$B$28,0))</f>
        <v>32</v>
      </c>
      <c r="R582" s="2">
        <f>INDEX(Tables!$D$4:$D$28,MATCH($P582,Tables!$B$4:$B$28,0))</f>
        <v>4</v>
      </c>
      <c r="S582" s="2">
        <f>$S581+$R581+INDEX(Tables!$N$5:$Q$8,MATCH(MOD($S581+$R581,4),Tables!$M$5:$M$8,0),MATCH($R582,Tables!$N$4:$Q$4,0))</f>
        <v>2048</v>
      </c>
      <c r="T582" s="2" t="str">
        <f t="shared" si="144"/>
        <v>0800</v>
      </c>
      <c r="U582" s="2">
        <f t="shared" si="135"/>
        <v>512</v>
      </c>
      <c r="V582" s="2" t="str">
        <f t="shared" si="145"/>
        <v>200</v>
      </c>
      <c r="W582" s="2" t="str">
        <f t="shared" si="146"/>
        <v>X</v>
      </c>
      <c r="X582" s="2" t="str">
        <f t="shared" si="132"/>
        <v>X</v>
      </c>
      <c r="Y582" s="2" t="str">
        <f t="shared" si="133"/>
        <v>X</v>
      </c>
      <c r="Z582" s="2" t="str">
        <f t="shared" si="134"/>
        <v>X</v>
      </c>
      <c r="AA582" s="2" t="str">
        <f t="shared" si="136"/>
        <v>(31 downto 24)</v>
      </c>
      <c r="AB582" s="2" t="str">
        <f t="shared" si="137"/>
        <v>(23 downto 16)</v>
      </c>
      <c r="AC582" s="2" t="str">
        <f t="shared" si="138"/>
        <v>(15 downto 8)</v>
      </c>
      <c r="AD582" s="2" t="str">
        <f t="shared" si="139"/>
        <v>(7 downto 0)</v>
      </c>
      <c r="AE582" s="2" t="str">
        <f t="shared" si="140"/>
        <v>(31 downto 24)</v>
      </c>
      <c r="AF582" s="2" t="str">
        <f t="shared" si="141"/>
        <v>(23 downto 16)</v>
      </c>
      <c r="AG582" s="2" t="str">
        <f t="shared" si="142"/>
        <v>(15 downto 8)</v>
      </c>
      <c r="AH582" s="2" t="str">
        <f t="shared" si="143"/>
        <v>(7 downto 0)</v>
      </c>
    </row>
    <row r="583" spans="2:34" x14ac:dyDescent="0.25">
      <c r="B583" s="2" t="s">
        <v>1016</v>
      </c>
      <c r="D583" s="2" t="s">
        <v>1</v>
      </c>
      <c r="E583" s="2" t="s">
        <v>134</v>
      </c>
      <c r="F583" s="2" t="s">
        <v>1022</v>
      </c>
      <c r="G583" s="2" t="s">
        <v>1023</v>
      </c>
      <c r="H583" s="2" t="s">
        <v>918</v>
      </c>
      <c r="I583" s="2" t="s">
        <v>42</v>
      </c>
      <c r="J583" s="2">
        <v>32</v>
      </c>
      <c r="K583" s="2" t="s">
        <v>137</v>
      </c>
      <c r="L583" s="2" t="s">
        <v>41</v>
      </c>
      <c r="M583" s="2" t="s">
        <v>135</v>
      </c>
      <c r="N583" s="2" t="s">
        <v>1019</v>
      </c>
      <c r="O583" s="2" t="s">
        <v>919</v>
      </c>
      <c r="P583" s="2" t="s">
        <v>49</v>
      </c>
      <c r="Q583" s="2">
        <f>INDEX(Tables!$C$4:$C$28,MATCH($P583,Tables!$B$4:$B$28,0))</f>
        <v>32</v>
      </c>
      <c r="R583" s="2">
        <f>INDEX(Tables!$D$4:$D$28,MATCH($P583,Tables!$B$4:$B$28,0))</f>
        <v>4</v>
      </c>
      <c r="S583" s="2">
        <f>$S582+$R582+INDEX(Tables!$N$5:$Q$8,MATCH(MOD($S582+$R582,4),Tables!$M$5:$M$8,0),MATCH($R583,Tables!$N$4:$Q$4,0))</f>
        <v>2052</v>
      </c>
      <c r="T583" s="2" t="str">
        <f t="shared" si="144"/>
        <v>0804</v>
      </c>
      <c r="U583" s="2">
        <f t="shared" si="135"/>
        <v>513</v>
      </c>
      <c r="V583" s="2" t="str">
        <f t="shared" si="145"/>
        <v>201</v>
      </c>
      <c r="W583" s="2" t="str">
        <f t="shared" si="146"/>
        <v>X</v>
      </c>
      <c r="X583" s="2" t="str">
        <f t="shared" si="132"/>
        <v>X</v>
      </c>
      <c r="Y583" s="2" t="str">
        <f t="shared" si="133"/>
        <v>X</v>
      </c>
      <c r="Z583" s="2" t="str">
        <f t="shared" si="134"/>
        <v>X</v>
      </c>
      <c r="AA583" s="2" t="str">
        <f t="shared" si="136"/>
        <v>(31 downto 24)</v>
      </c>
      <c r="AB583" s="2" t="str">
        <f t="shared" si="137"/>
        <v>(23 downto 16)</v>
      </c>
      <c r="AC583" s="2" t="str">
        <f t="shared" si="138"/>
        <v>(15 downto 8)</v>
      </c>
      <c r="AD583" s="2" t="str">
        <f t="shared" si="139"/>
        <v>(7 downto 0)</v>
      </c>
      <c r="AE583" s="2" t="str">
        <f t="shared" si="140"/>
        <v>(31 downto 24)</v>
      </c>
      <c r="AF583" s="2" t="str">
        <f t="shared" si="141"/>
        <v>(23 downto 16)</v>
      </c>
      <c r="AG583" s="2" t="str">
        <f t="shared" si="142"/>
        <v>(15 downto 8)</v>
      </c>
      <c r="AH583" s="2" t="str">
        <f t="shared" si="143"/>
        <v>(7 downto 0)</v>
      </c>
    </row>
    <row r="584" spans="2:34" x14ac:dyDescent="0.25">
      <c r="B584" s="2" t="s">
        <v>1016</v>
      </c>
      <c r="D584" s="2" t="s">
        <v>1</v>
      </c>
      <c r="E584" s="2" t="s">
        <v>134</v>
      </c>
      <c r="F584" s="2" t="s">
        <v>1022</v>
      </c>
      <c r="G584" s="2" t="s">
        <v>1023</v>
      </c>
      <c r="H584" s="2" t="s">
        <v>920</v>
      </c>
      <c r="I584" s="2" t="s">
        <v>42</v>
      </c>
      <c r="J584" s="2">
        <v>32</v>
      </c>
      <c r="K584" s="2" t="s">
        <v>137</v>
      </c>
      <c r="L584" s="2" t="s">
        <v>41</v>
      </c>
      <c r="M584" s="2" t="s">
        <v>135</v>
      </c>
      <c r="N584" s="2" t="s">
        <v>1019</v>
      </c>
      <c r="O584" s="2" t="s">
        <v>921</v>
      </c>
      <c r="P584" s="2" t="s">
        <v>49</v>
      </c>
      <c r="Q584" s="2">
        <f>INDEX(Tables!$C$4:$C$28,MATCH($P584,Tables!$B$4:$B$28,0))</f>
        <v>32</v>
      </c>
      <c r="R584" s="2">
        <f>INDEX(Tables!$D$4:$D$28,MATCH($P584,Tables!$B$4:$B$28,0))</f>
        <v>4</v>
      </c>
      <c r="S584" s="2">
        <f>$S583+$R583+INDEX(Tables!$N$5:$Q$8,MATCH(MOD($S583+$R583,4),Tables!$M$5:$M$8,0),MATCH($R584,Tables!$N$4:$Q$4,0))</f>
        <v>2056</v>
      </c>
      <c r="T584" s="2" t="str">
        <f t="shared" si="144"/>
        <v>0808</v>
      </c>
      <c r="U584" s="2">
        <f t="shared" si="135"/>
        <v>514</v>
      </c>
      <c r="V584" s="2" t="str">
        <f t="shared" si="145"/>
        <v>202</v>
      </c>
      <c r="W584" s="2" t="str">
        <f t="shared" si="146"/>
        <v>X</v>
      </c>
      <c r="X584" s="2" t="str">
        <f t="shared" si="132"/>
        <v>X</v>
      </c>
      <c r="Y584" s="2" t="str">
        <f t="shared" si="133"/>
        <v>X</v>
      </c>
      <c r="Z584" s="2" t="str">
        <f t="shared" si="134"/>
        <v>X</v>
      </c>
      <c r="AA584" s="2" t="str">
        <f t="shared" si="136"/>
        <v>(31 downto 24)</v>
      </c>
      <c r="AB584" s="2" t="str">
        <f t="shared" si="137"/>
        <v>(23 downto 16)</v>
      </c>
      <c r="AC584" s="2" t="str">
        <f t="shared" si="138"/>
        <v>(15 downto 8)</v>
      </c>
      <c r="AD584" s="2" t="str">
        <f t="shared" si="139"/>
        <v>(7 downto 0)</v>
      </c>
      <c r="AE584" s="2" t="str">
        <f t="shared" si="140"/>
        <v>(31 downto 24)</v>
      </c>
      <c r="AF584" s="2" t="str">
        <f t="shared" si="141"/>
        <v>(23 downto 16)</v>
      </c>
      <c r="AG584" s="2" t="str">
        <f t="shared" si="142"/>
        <v>(15 downto 8)</v>
      </c>
      <c r="AH584" s="2" t="str">
        <f t="shared" si="143"/>
        <v>(7 downto 0)</v>
      </c>
    </row>
    <row r="585" spans="2:34" x14ac:dyDescent="0.25">
      <c r="B585" s="2" t="s">
        <v>1016</v>
      </c>
      <c r="D585" s="2" t="s">
        <v>1</v>
      </c>
      <c r="E585" s="2" t="s">
        <v>134</v>
      </c>
      <c r="F585" s="2" t="s">
        <v>1022</v>
      </c>
      <c r="G585" s="2" t="s">
        <v>1023</v>
      </c>
      <c r="H585" s="2" t="s">
        <v>922</v>
      </c>
      <c r="I585" s="2" t="s">
        <v>42</v>
      </c>
      <c r="J585" s="2">
        <v>32</v>
      </c>
      <c r="K585" s="2" t="s">
        <v>137</v>
      </c>
      <c r="L585" s="2" t="s">
        <v>41</v>
      </c>
      <c r="M585" s="2" t="s">
        <v>135</v>
      </c>
      <c r="N585" s="2" t="s">
        <v>1019</v>
      </c>
      <c r="O585" s="2" t="s">
        <v>923</v>
      </c>
      <c r="P585" s="2" t="s">
        <v>49</v>
      </c>
      <c r="Q585" s="2">
        <f>INDEX(Tables!$C$4:$C$28,MATCH($P585,Tables!$B$4:$B$28,0))</f>
        <v>32</v>
      </c>
      <c r="R585" s="2">
        <f>INDEX(Tables!$D$4:$D$28,MATCH($P585,Tables!$B$4:$B$28,0))</f>
        <v>4</v>
      </c>
      <c r="S585" s="2">
        <f>$S584+$R584+INDEX(Tables!$N$5:$Q$8,MATCH(MOD($S584+$R584,4),Tables!$M$5:$M$8,0),MATCH($R585,Tables!$N$4:$Q$4,0))</f>
        <v>2060</v>
      </c>
      <c r="T585" s="2" t="str">
        <f t="shared" si="144"/>
        <v>080C</v>
      </c>
      <c r="U585" s="2">
        <f t="shared" si="135"/>
        <v>515</v>
      </c>
      <c r="V585" s="2" t="str">
        <f t="shared" si="145"/>
        <v>203</v>
      </c>
      <c r="W585" s="2" t="str">
        <f t="shared" si="146"/>
        <v>X</v>
      </c>
      <c r="X585" s="2" t="str">
        <f t="shared" si="132"/>
        <v>X</v>
      </c>
      <c r="Y585" s="2" t="str">
        <f t="shared" si="133"/>
        <v>X</v>
      </c>
      <c r="Z585" s="2" t="str">
        <f t="shared" si="134"/>
        <v>X</v>
      </c>
      <c r="AA585" s="2" t="str">
        <f t="shared" si="136"/>
        <v>(31 downto 24)</v>
      </c>
      <c r="AB585" s="2" t="str">
        <f t="shared" si="137"/>
        <v>(23 downto 16)</v>
      </c>
      <c r="AC585" s="2" t="str">
        <f t="shared" si="138"/>
        <v>(15 downto 8)</v>
      </c>
      <c r="AD585" s="2" t="str">
        <f t="shared" si="139"/>
        <v>(7 downto 0)</v>
      </c>
      <c r="AE585" s="2" t="str">
        <f t="shared" si="140"/>
        <v>(31 downto 24)</v>
      </c>
      <c r="AF585" s="2" t="str">
        <f t="shared" si="141"/>
        <v>(23 downto 16)</v>
      </c>
      <c r="AG585" s="2" t="str">
        <f t="shared" si="142"/>
        <v>(15 downto 8)</v>
      </c>
      <c r="AH585" s="2" t="str">
        <f t="shared" si="143"/>
        <v>(7 downto 0)</v>
      </c>
    </row>
    <row r="586" spans="2:34" x14ac:dyDescent="0.25">
      <c r="B586" s="2" t="s">
        <v>1016</v>
      </c>
      <c r="D586" s="2" t="s">
        <v>1</v>
      </c>
      <c r="E586" s="2" t="s">
        <v>134</v>
      </c>
      <c r="F586" s="2" t="s">
        <v>1022</v>
      </c>
      <c r="G586" s="2" t="s">
        <v>1023</v>
      </c>
      <c r="H586" s="2" t="s">
        <v>924</v>
      </c>
      <c r="I586" s="2" t="s">
        <v>42</v>
      </c>
      <c r="J586" s="2">
        <v>32</v>
      </c>
      <c r="K586" s="2" t="s">
        <v>137</v>
      </c>
      <c r="L586" s="2" t="s">
        <v>41</v>
      </c>
      <c r="M586" s="2" t="s">
        <v>135</v>
      </c>
      <c r="N586" s="2" t="s">
        <v>1019</v>
      </c>
      <c r="O586" s="2" t="s">
        <v>925</v>
      </c>
      <c r="P586" s="2" t="s">
        <v>49</v>
      </c>
      <c r="Q586" s="2">
        <f>INDEX(Tables!$C$4:$C$28,MATCH($P586,Tables!$B$4:$B$28,0))</f>
        <v>32</v>
      </c>
      <c r="R586" s="2">
        <f>INDEX(Tables!$D$4:$D$28,MATCH($P586,Tables!$B$4:$B$28,0))</f>
        <v>4</v>
      </c>
      <c r="S586" s="2">
        <f>$S585+$R585+INDEX(Tables!$N$5:$Q$8,MATCH(MOD($S585+$R585,4),Tables!$M$5:$M$8,0),MATCH($R586,Tables!$N$4:$Q$4,0))</f>
        <v>2064</v>
      </c>
      <c r="T586" s="2" t="str">
        <f t="shared" si="144"/>
        <v>0810</v>
      </c>
      <c r="U586" s="2">
        <f t="shared" si="135"/>
        <v>516</v>
      </c>
      <c r="V586" s="2" t="str">
        <f t="shared" si="145"/>
        <v>204</v>
      </c>
      <c r="W586" s="2" t="str">
        <f t="shared" si="146"/>
        <v>X</v>
      </c>
      <c r="X586" s="2" t="str">
        <f t="shared" si="132"/>
        <v>X</v>
      </c>
      <c r="Y586" s="2" t="str">
        <f t="shared" si="133"/>
        <v>X</v>
      </c>
      <c r="Z586" s="2" t="str">
        <f t="shared" si="134"/>
        <v>X</v>
      </c>
      <c r="AA586" s="2" t="str">
        <f t="shared" si="136"/>
        <v>(31 downto 24)</v>
      </c>
      <c r="AB586" s="2" t="str">
        <f t="shared" si="137"/>
        <v>(23 downto 16)</v>
      </c>
      <c r="AC586" s="2" t="str">
        <f t="shared" si="138"/>
        <v>(15 downto 8)</v>
      </c>
      <c r="AD586" s="2" t="str">
        <f t="shared" si="139"/>
        <v>(7 downto 0)</v>
      </c>
      <c r="AE586" s="2" t="str">
        <f t="shared" si="140"/>
        <v>(31 downto 24)</v>
      </c>
      <c r="AF586" s="2" t="str">
        <f t="shared" si="141"/>
        <v>(23 downto 16)</v>
      </c>
      <c r="AG586" s="2" t="str">
        <f t="shared" si="142"/>
        <v>(15 downto 8)</v>
      </c>
      <c r="AH586" s="2" t="str">
        <f t="shared" si="143"/>
        <v>(7 downto 0)</v>
      </c>
    </row>
    <row r="587" spans="2:34" x14ac:dyDescent="0.25">
      <c r="B587" s="2" t="s">
        <v>1016</v>
      </c>
      <c r="D587" s="2" t="s">
        <v>1</v>
      </c>
      <c r="E587" s="2" t="s">
        <v>134</v>
      </c>
      <c r="F587" s="2" t="s">
        <v>1022</v>
      </c>
      <c r="G587" s="2" t="s">
        <v>1023</v>
      </c>
      <c r="H587" s="2" t="s">
        <v>926</v>
      </c>
      <c r="I587" s="2" t="s">
        <v>42</v>
      </c>
      <c r="J587" s="2">
        <v>32</v>
      </c>
      <c r="K587" s="2" t="s">
        <v>137</v>
      </c>
      <c r="L587" s="2" t="s">
        <v>41</v>
      </c>
      <c r="M587" s="2" t="s">
        <v>135</v>
      </c>
      <c r="N587" s="2" t="s">
        <v>1019</v>
      </c>
      <c r="O587" s="2" t="s">
        <v>927</v>
      </c>
      <c r="P587" s="2" t="s">
        <v>49</v>
      </c>
      <c r="Q587" s="2">
        <f>INDEX(Tables!$C$4:$C$28,MATCH($P587,Tables!$B$4:$B$28,0))</f>
        <v>32</v>
      </c>
      <c r="R587" s="2">
        <f>INDEX(Tables!$D$4:$D$28,MATCH($P587,Tables!$B$4:$B$28,0))</f>
        <v>4</v>
      </c>
      <c r="S587" s="2">
        <f>$S586+$R586+INDEX(Tables!$N$5:$Q$8,MATCH(MOD($S586+$R586,4),Tables!$M$5:$M$8,0),MATCH($R587,Tables!$N$4:$Q$4,0))</f>
        <v>2068</v>
      </c>
      <c r="T587" s="2" t="str">
        <f t="shared" si="144"/>
        <v>0814</v>
      </c>
      <c r="U587" s="2">
        <f t="shared" si="135"/>
        <v>517</v>
      </c>
      <c r="V587" s="2" t="str">
        <f t="shared" si="145"/>
        <v>205</v>
      </c>
      <c r="W587" s="2" t="str">
        <f t="shared" si="146"/>
        <v>X</v>
      </c>
      <c r="X587" s="2" t="str">
        <f t="shared" si="132"/>
        <v>X</v>
      </c>
      <c r="Y587" s="2" t="str">
        <f t="shared" si="133"/>
        <v>X</v>
      </c>
      <c r="Z587" s="2" t="str">
        <f t="shared" si="134"/>
        <v>X</v>
      </c>
      <c r="AA587" s="2" t="str">
        <f t="shared" si="136"/>
        <v>(31 downto 24)</v>
      </c>
      <c r="AB587" s="2" t="str">
        <f t="shared" si="137"/>
        <v>(23 downto 16)</v>
      </c>
      <c r="AC587" s="2" t="str">
        <f t="shared" si="138"/>
        <v>(15 downto 8)</v>
      </c>
      <c r="AD587" s="2" t="str">
        <f t="shared" si="139"/>
        <v>(7 downto 0)</v>
      </c>
      <c r="AE587" s="2" t="str">
        <f t="shared" si="140"/>
        <v>(31 downto 24)</v>
      </c>
      <c r="AF587" s="2" t="str">
        <f t="shared" si="141"/>
        <v>(23 downto 16)</v>
      </c>
      <c r="AG587" s="2" t="str">
        <f t="shared" si="142"/>
        <v>(15 downto 8)</v>
      </c>
      <c r="AH587" s="2" t="str">
        <f t="shared" si="143"/>
        <v>(7 downto 0)</v>
      </c>
    </row>
    <row r="588" spans="2:34" x14ac:dyDescent="0.25">
      <c r="B588" s="2" t="s">
        <v>1016</v>
      </c>
      <c r="D588" s="2" t="s">
        <v>1</v>
      </c>
      <c r="E588" s="2" t="s">
        <v>134</v>
      </c>
      <c r="F588" s="2" t="s">
        <v>1022</v>
      </c>
      <c r="G588" s="2" t="s">
        <v>1023</v>
      </c>
      <c r="H588" s="2" t="s">
        <v>928</v>
      </c>
      <c r="I588" s="2" t="s">
        <v>42</v>
      </c>
      <c r="J588" s="2">
        <v>32</v>
      </c>
      <c r="K588" s="2" t="s">
        <v>137</v>
      </c>
      <c r="L588" s="2" t="s">
        <v>41</v>
      </c>
      <c r="M588" s="2" t="s">
        <v>135</v>
      </c>
      <c r="N588" s="2" t="s">
        <v>1019</v>
      </c>
      <c r="O588" s="2" t="s">
        <v>929</v>
      </c>
      <c r="P588" s="2" t="s">
        <v>49</v>
      </c>
      <c r="Q588" s="2">
        <f>INDEX(Tables!$C$4:$C$28,MATCH($P588,Tables!$B$4:$B$28,0))</f>
        <v>32</v>
      </c>
      <c r="R588" s="2">
        <f>INDEX(Tables!$D$4:$D$28,MATCH($P588,Tables!$B$4:$B$28,0))</f>
        <v>4</v>
      </c>
      <c r="S588" s="2">
        <f>$S587+$R587+INDEX(Tables!$N$5:$Q$8,MATCH(MOD($S587+$R587,4),Tables!$M$5:$M$8,0),MATCH($R588,Tables!$N$4:$Q$4,0))</f>
        <v>2072</v>
      </c>
      <c r="T588" s="2" t="str">
        <f t="shared" si="144"/>
        <v>0818</v>
      </c>
      <c r="U588" s="2">
        <f t="shared" si="135"/>
        <v>518</v>
      </c>
      <c r="V588" s="2" t="str">
        <f t="shared" si="145"/>
        <v>206</v>
      </c>
      <c r="W588" s="2" t="str">
        <f t="shared" si="146"/>
        <v>X</v>
      </c>
      <c r="X588" s="2" t="str">
        <f t="shared" si="132"/>
        <v>X</v>
      </c>
      <c r="Y588" s="2" t="str">
        <f t="shared" si="133"/>
        <v>X</v>
      </c>
      <c r="Z588" s="2" t="str">
        <f t="shared" si="134"/>
        <v>X</v>
      </c>
      <c r="AA588" s="2" t="str">
        <f t="shared" si="136"/>
        <v>(31 downto 24)</v>
      </c>
      <c r="AB588" s="2" t="str">
        <f t="shared" si="137"/>
        <v>(23 downto 16)</v>
      </c>
      <c r="AC588" s="2" t="str">
        <f t="shared" si="138"/>
        <v>(15 downto 8)</v>
      </c>
      <c r="AD588" s="2" t="str">
        <f t="shared" si="139"/>
        <v>(7 downto 0)</v>
      </c>
      <c r="AE588" s="2" t="str">
        <f t="shared" si="140"/>
        <v>(31 downto 24)</v>
      </c>
      <c r="AF588" s="2" t="str">
        <f t="shared" si="141"/>
        <v>(23 downto 16)</v>
      </c>
      <c r="AG588" s="2" t="str">
        <f t="shared" si="142"/>
        <v>(15 downto 8)</v>
      </c>
      <c r="AH588" s="2" t="str">
        <f t="shared" si="143"/>
        <v>(7 downto 0)</v>
      </c>
    </row>
    <row r="589" spans="2:34" x14ac:dyDescent="0.25">
      <c r="B589" s="2" t="s">
        <v>1016</v>
      </c>
      <c r="D589" s="2" t="s">
        <v>1</v>
      </c>
      <c r="E589" s="2" t="s">
        <v>134</v>
      </c>
      <c r="F589" s="2" t="s">
        <v>1022</v>
      </c>
      <c r="G589" s="2" t="s">
        <v>1023</v>
      </c>
      <c r="H589" s="2" t="s">
        <v>930</v>
      </c>
      <c r="I589" s="2" t="s">
        <v>42</v>
      </c>
      <c r="J589" s="2">
        <v>32</v>
      </c>
      <c r="K589" s="2" t="s">
        <v>137</v>
      </c>
      <c r="L589" s="2" t="s">
        <v>41</v>
      </c>
      <c r="M589" s="2" t="s">
        <v>135</v>
      </c>
      <c r="N589" s="2" t="s">
        <v>1019</v>
      </c>
      <c r="O589" s="2" t="s">
        <v>931</v>
      </c>
      <c r="P589" s="2" t="s">
        <v>49</v>
      </c>
      <c r="Q589" s="2">
        <f>INDEX(Tables!$C$4:$C$28,MATCH($P589,Tables!$B$4:$B$28,0))</f>
        <v>32</v>
      </c>
      <c r="R589" s="2">
        <f>INDEX(Tables!$D$4:$D$28,MATCH($P589,Tables!$B$4:$B$28,0))</f>
        <v>4</v>
      </c>
      <c r="S589" s="2">
        <f>$S588+$R588+INDEX(Tables!$N$5:$Q$8,MATCH(MOD($S588+$R588,4),Tables!$M$5:$M$8,0),MATCH($R589,Tables!$N$4:$Q$4,0))</f>
        <v>2076</v>
      </c>
      <c r="T589" s="2" t="str">
        <f t="shared" si="144"/>
        <v>081C</v>
      </c>
      <c r="U589" s="2">
        <f t="shared" si="135"/>
        <v>519</v>
      </c>
      <c r="V589" s="2" t="str">
        <f t="shared" si="145"/>
        <v>207</v>
      </c>
      <c r="W589" s="2" t="str">
        <f t="shared" si="146"/>
        <v>X</v>
      </c>
      <c r="X589" s="2" t="str">
        <f t="shared" si="132"/>
        <v>X</v>
      </c>
      <c r="Y589" s="2" t="str">
        <f t="shared" si="133"/>
        <v>X</v>
      </c>
      <c r="Z589" s="2" t="str">
        <f t="shared" si="134"/>
        <v>X</v>
      </c>
      <c r="AA589" s="2" t="str">
        <f t="shared" si="136"/>
        <v>(31 downto 24)</v>
      </c>
      <c r="AB589" s="2" t="str">
        <f t="shared" si="137"/>
        <v>(23 downto 16)</v>
      </c>
      <c r="AC589" s="2" t="str">
        <f t="shared" si="138"/>
        <v>(15 downto 8)</v>
      </c>
      <c r="AD589" s="2" t="str">
        <f t="shared" si="139"/>
        <v>(7 downto 0)</v>
      </c>
      <c r="AE589" s="2" t="str">
        <f t="shared" si="140"/>
        <v>(31 downto 24)</v>
      </c>
      <c r="AF589" s="2" t="str">
        <f t="shared" si="141"/>
        <v>(23 downto 16)</v>
      </c>
      <c r="AG589" s="2" t="str">
        <f t="shared" si="142"/>
        <v>(15 downto 8)</v>
      </c>
      <c r="AH589" s="2" t="str">
        <f t="shared" si="143"/>
        <v>(7 downto 0)</v>
      </c>
    </row>
    <row r="590" spans="2:34" x14ac:dyDescent="0.25">
      <c r="B590" s="2" t="s">
        <v>1016</v>
      </c>
      <c r="D590" s="2" t="s">
        <v>1</v>
      </c>
      <c r="E590" s="2" t="s">
        <v>134</v>
      </c>
      <c r="F590" s="2" t="s">
        <v>1022</v>
      </c>
      <c r="G590" s="2" t="s">
        <v>1023</v>
      </c>
      <c r="H590" s="2" t="s">
        <v>932</v>
      </c>
      <c r="I590" s="2" t="s">
        <v>42</v>
      </c>
      <c r="J590" s="2">
        <v>32</v>
      </c>
      <c r="K590" s="2" t="s">
        <v>137</v>
      </c>
      <c r="L590" s="2" t="s">
        <v>41</v>
      </c>
      <c r="M590" s="2" t="s">
        <v>135</v>
      </c>
      <c r="N590" s="2" t="s">
        <v>1019</v>
      </c>
      <c r="O590" s="2" t="s">
        <v>933</v>
      </c>
      <c r="P590" s="2" t="s">
        <v>49</v>
      </c>
      <c r="Q590" s="2">
        <f>INDEX(Tables!$C$4:$C$28,MATCH($P590,Tables!$B$4:$B$28,0))</f>
        <v>32</v>
      </c>
      <c r="R590" s="2">
        <f>INDEX(Tables!$D$4:$D$28,MATCH($P590,Tables!$B$4:$B$28,0))</f>
        <v>4</v>
      </c>
      <c r="S590" s="2">
        <f>$S589+$R589+INDEX(Tables!$N$5:$Q$8,MATCH(MOD($S589+$R589,4),Tables!$M$5:$M$8,0),MATCH($R590,Tables!$N$4:$Q$4,0))</f>
        <v>2080</v>
      </c>
      <c r="T590" s="2" t="str">
        <f t="shared" si="144"/>
        <v>0820</v>
      </c>
      <c r="U590" s="2">
        <f t="shared" si="135"/>
        <v>520</v>
      </c>
      <c r="V590" s="2" t="str">
        <f t="shared" si="145"/>
        <v>208</v>
      </c>
      <c r="W590" s="2" t="str">
        <f t="shared" si="146"/>
        <v>X</v>
      </c>
      <c r="X590" s="2" t="str">
        <f t="shared" si="132"/>
        <v>X</v>
      </c>
      <c r="Y590" s="2" t="str">
        <f t="shared" si="133"/>
        <v>X</v>
      </c>
      <c r="Z590" s="2" t="str">
        <f t="shared" si="134"/>
        <v>X</v>
      </c>
      <c r="AA590" s="2" t="str">
        <f t="shared" si="136"/>
        <v>(31 downto 24)</v>
      </c>
      <c r="AB590" s="2" t="str">
        <f t="shared" si="137"/>
        <v>(23 downto 16)</v>
      </c>
      <c r="AC590" s="2" t="str">
        <f t="shared" si="138"/>
        <v>(15 downto 8)</v>
      </c>
      <c r="AD590" s="2" t="str">
        <f t="shared" si="139"/>
        <v>(7 downto 0)</v>
      </c>
      <c r="AE590" s="2" t="str">
        <f t="shared" si="140"/>
        <v>(31 downto 24)</v>
      </c>
      <c r="AF590" s="2" t="str">
        <f t="shared" si="141"/>
        <v>(23 downto 16)</v>
      </c>
      <c r="AG590" s="2" t="str">
        <f t="shared" si="142"/>
        <v>(15 downto 8)</v>
      </c>
      <c r="AH590" s="2" t="str">
        <f t="shared" si="143"/>
        <v>(7 downto 0)</v>
      </c>
    </row>
    <row r="591" spans="2:34" x14ac:dyDescent="0.25">
      <c r="B591" s="2" t="s">
        <v>1016</v>
      </c>
      <c r="D591" s="2" t="s">
        <v>1</v>
      </c>
      <c r="E591" s="2" t="s">
        <v>134</v>
      </c>
      <c r="F591" s="2" t="s">
        <v>1022</v>
      </c>
      <c r="G591" s="2" t="s">
        <v>1023</v>
      </c>
      <c r="H591" s="2" t="s">
        <v>934</v>
      </c>
      <c r="I591" s="2" t="s">
        <v>42</v>
      </c>
      <c r="J591" s="2">
        <v>32</v>
      </c>
      <c r="K591" s="2" t="s">
        <v>137</v>
      </c>
      <c r="L591" s="2" t="s">
        <v>41</v>
      </c>
      <c r="M591" s="2" t="s">
        <v>135</v>
      </c>
      <c r="N591" s="2" t="s">
        <v>1019</v>
      </c>
      <c r="O591" s="2" t="s">
        <v>935</v>
      </c>
      <c r="P591" s="2" t="s">
        <v>49</v>
      </c>
      <c r="Q591" s="2">
        <f>INDEX(Tables!$C$4:$C$28,MATCH($P591,Tables!$B$4:$B$28,0))</f>
        <v>32</v>
      </c>
      <c r="R591" s="2">
        <f>INDEX(Tables!$D$4:$D$28,MATCH($P591,Tables!$B$4:$B$28,0))</f>
        <v>4</v>
      </c>
      <c r="S591" s="2">
        <f>$S590+$R590+INDEX(Tables!$N$5:$Q$8,MATCH(MOD($S590+$R590,4),Tables!$M$5:$M$8,0),MATCH($R591,Tables!$N$4:$Q$4,0))</f>
        <v>2084</v>
      </c>
      <c r="T591" s="2" t="str">
        <f t="shared" si="144"/>
        <v>0824</v>
      </c>
      <c r="U591" s="2">
        <f t="shared" si="135"/>
        <v>521</v>
      </c>
      <c r="V591" s="2" t="str">
        <f t="shared" si="145"/>
        <v>209</v>
      </c>
      <c r="W591" s="2" t="str">
        <f t="shared" si="146"/>
        <v>X</v>
      </c>
      <c r="X591" s="2" t="str">
        <f t="shared" si="132"/>
        <v>X</v>
      </c>
      <c r="Y591" s="2" t="str">
        <f t="shared" si="133"/>
        <v>X</v>
      </c>
      <c r="Z591" s="2" t="str">
        <f t="shared" si="134"/>
        <v>X</v>
      </c>
      <c r="AA591" s="2" t="str">
        <f t="shared" si="136"/>
        <v>(31 downto 24)</v>
      </c>
      <c r="AB591" s="2" t="str">
        <f t="shared" si="137"/>
        <v>(23 downto 16)</v>
      </c>
      <c r="AC591" s="2" t="str">
        <f t="shared" si="138"/>
        <v>(15 downto 8)</v>
      </c>
      <c r="AD591" s="2" t="str">
        <f t="shared" si="139"/>
        <v>(7 downto 0)</v>
      </c>
      <c r="AE591" s="2" t="str">
        <f t="shared" si="140"/>
        <v>(31 downto 24)</v>
      </c>
      <c r="AF591" s="2" t="str">
        <f t="shared" si="141"/>
        <v>(23 downto 16)</v>
      </c>
      <c r="AG591" s="2" t="str">
        <f t="shared" si="142"/>
        <v>(15 downto 8)</v>
      </c>
      <c r="AH591" s="2" t="str">
        <f t="shared" si="143"/>
        <v>(7 downto 0)</v>
      </c>
    </row>
    <row r="592" spans="2:34" x14ac:dyDescent="0.25">
      <c r="B592" s="2" t="s">
        <v>1016</v>
      </c>
      <c r="D592" s="2" t="s">
        <v>1</v>
      </c>
      <c r="E592" s="2" t="s">
        <v>134</v>
      </c>
      <c r="F592" s="2" t="s">
        <v>1022</v>
      </c>
      <c r="G592" s="2" t="s">
        <v>1023</v>
      </c>
      <c r="H592" s="2" t="s">
        <v>936</v>
      </c>
      <c r="I592" s="2" t="s">
        <v>42</v>
      </c>
      <c r="J592" s="2">
        <v>32</v>
      </c>
      <c r="K592" s="2" t="s">
        <v>137</v>
      </c>
      <c r="L592" s="2" t="s">
        <v>41</v>
      </c>
      <c r="M592" s="2" t="s">
        <v>135</v>
      </c>
      <c r="N592" s="2" t="s">
        <v>1019</v>
      </c>
      <c r="O592" s="2" t="s">
        <v>937</v>
      </c>
      <c r="P592" s="2" t="s">
        <v>49</v>
      </c>
      <c r="Q592" s="2">
        <f>INDEX(Tables!$C$4:$C$28,MATCH($P592,Tables!$B$4:$B$28,0))</f>
        <v>32</v>
      </c>
      <c r="R592" s="2">
        <f>INDEX(Tables!$D$4:$D$28,MATCH($P592,Tables!$B$4:$B$28,0))</f>
        <v>4</v>
      </c>
      <c r="S592" s="2">
        <f>$S591+$R591+INDEX(Tables!$N$5:$Q$8,MATCH(MOD($S591+$R591,4),Tables!$M$5:$M$8,0),MATCH($R592,Tables!$N$4:$Q$4,0))</f>
        <v>2088</v>
      </c>
      <c r="T592" s="2" t="str">
        <f t="shared" si="144"/>
        <v>0828</v>
      </c>
      <c r="U592" s="2">
        <f t="shared" si="135"/>
        <v>522</v>
      </c>
      <c r="V592" s="2" t="str">
        <f t="shared" si="145"/>
        <v>20A</v>
      </c>
      <c r="W592" s="2" t="str">
        <f t="shared" si="146"/>
        <v>X</v>
      </c>
      <c r="X592" s="2" t="str">
        <f t="shared" si="132"/>
        <v>X</v>
      </c>
      <c r="Y592" s="2" t="str">
        <f t="shared" si="133"/>
        <v>X</v>
      </c>
      <c r="Z592" s="2" t="str">
        <f t="shared" si="134"/>
        <v>X</v>
      </c>
      <c r="AA592" s="2" t="str">
        <f t="shared" si="136"/>
        <v>(31 downto 24)</v>
      </c>
      <c r="AB592" s="2" t="str">
        <f t="shared" si="137"/>
        <v>(23 downto 16)</v>
      </c>
      <c r="AC592" s="2" t="str">
        <f t="shared" si="138"/>
        <v>(15 downto 8)</v>
      </c>
      <c r="AD592" s="2" t="str">
        <f t="shared" si="139"/>
        <v>(7 downto 0)</v>
      </c>
      <c r="AE592" s="2" t="str">
        <f t="shared" si="140"/>
        <v>(31 downto 24)</v>
      </c>
      <c r="AF592" s="2" t="str">
        <f t="shared" si="141"/>
        <v>(23 downto 16)</v>
      </c>
      <c r="AG592" s="2" t="str">
        <f t="shared" si="142"/>
        <v>(15 downto 8)</v>
      </c>
      <c r="AH592" s="2" t="str">
        <f t="shared" si="143"/>
        <v>(7 downto 0)</v>
      </c>
    </row>
    <row r="593" spans="2:34" x14ac:dyDescent="0.25">
      <c r="B593" s="2" t="s">
        <v>1016</v>
      </c>
      <c r="D593" s="2" t="s">
        <v>1</v>
      </c>
      <c r="E593" s="2" t="s">
        <v>134</v>
      </c>
      <c r="F593" s="2" t="s">
        <v>1022</v>
      </c>
      <c r="G593" s="2" t="s">
        <v>1023</v>
      </c>
      <c r="H593" s="2" t="s">
        <v>938</v>
      </c>
      <c r="I593" s="2" t="s">
        <v>42</v>
      </c>
      <c r="J593" s="2">
        <v>32</v>
      </c>
      <c r="K593" s="2" t="s">
        <v>137</v>
      </c>
      <c r="L593" s="2" t="s">
        <v>41</v>
      </c>
      <c r="M593" s="2" t="s">
        <v>135</v>
      </c>
      <c r="N593" s="2" t="s">
        <v>1019</v>
      </c>
      <c r="O593" s="2" t="s">
        <v>939</v>
      </c>
      <c r="P593" s="2" t="s">
        <v>49</v>
      </c>
      <c r="Q593" s="2">
        <f>INDEX(Tables!$C$4:$C$28,MATCH($P593,Tables!$B$4:$B$28,0))</f>
        <v>32</v>
      </c>
      <c r="R593" s="2">
        <f>INDEX(Tables!$D$4:$D$28,MATCH($P593,Tables!$B$4:$B$28,0))</f>
        <v>4</v>
      </c>
      <c r="S593" s="2">
        <f>$S592+$R592+INDEX(Tables!$N$5:$Q$8,MATCH(MOD($S592+$R592,4),Tables!$M$5:$M$8,0),MATCH($R593,Tables!$N$4:$Q$4,0))</f>
        <v>2092</v>
      </c>
      <c r="T593" s="2" t="str">
        <f t="shared" si="144"/>
        <v>082C</v>
      </c>
      <c r="U593" s="2">
        <f t="shared" si="135"/>
        <v>523</v>
      </c>
      <c r="V593" s="2" t="str">
        <f t="shared" si="145"/>
        <v>20B</v>
      </c>
      <c r="W593" s="2" t="str">
        <f t="shared" si="146"/>
        <v>X</v>
      </c>
      <c r="X593" s="2" t="str">
        <f t="shared" si="132"/>
        <v>X</v>
      </c>
      <c r="Y593" s="2" t="str">
        <f t="shared" si="133"/>
        <v>X</v>
      </c>
      <c r="Z593" s="2" t="str">
        <f t="shared" si="134"/>
        <v>X</v>
      </c>
      <c r="AA593" s="2" t="str">
        <f t="shared" si="136"/>
        <v>(31 downto 24)</v>
      </c>
      <c r="AB593" s="2" t="str">
        <f t="shared" si="137"/>
        <v>(23 downto 16)</v>
      </c>
      <c r="AC593" s="2" t="str">
        <f t="shared" si="138"/>
        <v>(15 downto 8)</v>
      </c>
      <c r="AD593" s="2" t="str">
        <f t="shared" si="139"/>
        <v>(7 downto 0)</v>
      </c>
      <c r="AE593" s="2" t="str">
        <f t="shared" si="140"/>
        <v>(31 downto 24)</v>
      </c>
      <c r="AF593" s="2" t="str">
        <f t="shared" si="141"/>
        <v>(23 downto 16)</v>
      </c>
      <c r="AG593" s="2" t="str">
        <f t="shared" si="142"/>
        <v>(15 downto 8)</v>
      </c>
      <c r="AH593" s="2" t="str">
        <f t="shared" si="143"/>
        <v>(7 downto 0)</v>
      </c>
    </row>
    <row r="594" spans="2:34" x14ac:dyDescent="0.25">
      <c r="B594" s="2" t="s">
        <v>1016</v>
      </c>
      <c r="D594" s="2" t="s">
        <v>1</v>
      </c>
      <c r="E594" s="2" t="s">
        <v>134</v>
      </c>
      <c r="F594" s="2" t="s">
        <v>1022</v>
      </c>
      <c r="G594" s="2" t="s">
        <v>1023</v>
      </c>
      <c r="H594" s="2" t="s">
        <v>940</v>
      </c>
      <c r="I594" s="2" t="s">
        <v>42</v>
      </c>
      <c r="J594" s="2">
        <v>32</v>
      </c>
      <c r="K594" s="2" t="s">
        <v>137</v>
      </c>
      <c r="L594" s="2" t="s">
        <v>41</v>
      </c>
      <c r="M594" s="2" t="s">
        <v>135</v>
      </c>
      <c r="N594" s="2" t="s">
        <v>1019</v>
      </c>
      <c r="O594" s="2" t="s">
        <v>941</v>
      </c>
      <c r="P594" s="2" t="s">
        <v>49</v>
      </c>
      <c r="Q594" s="2">
        <f>INDEX(Tables!$C$4:$C$28,MATCH($P594,Tables!$B$4:$B$28,0))</f>
        <v>32</v>
      </c>
      <c r="R594" s="2">
        <f>INDEX(Tables!$D$4:$D$28,MATCH($P594,Tables!$B$4:$B$28,0))</f>
        <v>4</v>
      </c>
      <c r="S594" s="2">
        <f>$S593+$R593+INDEX(Tables!$N$5:$Q$8,MATCH(MOD($S593+$R593,4),Tables!$M$5:$M$8,0),MATCH($R594,Tables!$N$4:$Q$4,0))</f>
        <v>2096</v>
      </c>
      <c r="T594" s="2" t="str">
        <f t="shared" si="144"/>
        <v>0830</v>
      </c>
      <c r="U594" s="2">
        <f t="shared" si="135"/>
        <v>524</v>
      </c>
      <c r="V594" s="2" t="str">
        <f t="shared" si="145"/>
        <v>20C</v>
      </c>
      <c r="W594" s="2" t="str">
        <f t="shared" si="146"/>
        <v>X</v>
      </c>
      <c r="X594" s="2" t="str">
        <f t="shared" si="132"/>
        <v>X</v>
      </c>
      <c r="Y594" s="2" t="str">
        <f t="shared" si="133"/>
        <v>X</v>
      </c>
      <c r="Z594" s="2" t="str">
        <f t="shared" si="134"/>
        <v>X</v>
      </c>
      <c r="AA594" s="2" t="str">
        <f t="shared" si="136"/>
        <v>(31 downto 24)</v>
      </c>
      <c r="AB594" s="2" t="str">
        <f t="shared" si="137"/>
        <v>(23 downto 16)</v>
      </c>
      <c r="AC594" s="2" t="str">
        <f t="shared" si="138"/>
        <v>(15 downto 8)</v>
      </c>
      <c r="AD594" s="2" t="str">
        <f t="shared" si="139"/>
        <v>(7 downto 0)</v>
      </c>
      <c r="AE594" s="2" t="str">
        <f t="shared" si="140"/>
        <v>(31 downto 24)</v>
      </c>
      <c r="AF594" s="2" t="str">
        <f t="shared" si="141"/>
        <v>(23 downto 16)</v>
      </c>
      <c r="AG594" s="2" t="str">
        <f t="shared" si="142"/>
        <v>(15 downto 8)</v>
      </c>
      <c r="AH594" s="2" t="str">
        <f t="shared" si="143"/>
        <v>(7 downto 0)</v>
      </c>
    </row>
    <row r="595" spans="2:34" x14ac:dyDescent="0.25">
      <c r="B595" s="2" t="s">
        <v>1016</v>
      </c>
      <c r="D595" s="2" t="s">
        <v>1</v>
      </c>
      <c r="E595" s="2" t="s">
        <v>134</v>
      </c>
      <c r="F595" s="2" t="s">
        <v>1022</v>
      </c>
      <c r="G595" s="2" t="s">
        <v>1023</v>
      </c>
      <c r="H595" s="2" t="s">
        <v>942</v>
      </c>
      <c r="I595" s="2" t="s">
        <v>42</v>
      </c>
      <c r="J595" s="2">
        <v>32</v>
      </c>
      <c r="K595" s="2" t="s">
        <v>137</v>
      </c>
      <c r="L595" s="2" t="s">
        <v>41</v>
      </c>
      <c r="M595" s="2" t="s">
        <v>135</v>
      </c>
      <c r="N595" s="2" t="s">
        <v>1019</v>
      </c>
      <c r="O595" s="2" t="s">
        <v>943</v>
      </c>
      <c r="P595" s="2" t="s">
        <v>49</v>
      </c>
      <c r="Q595" s="2">
        <f>INDEX(Tables!$C$4:$C$28,MATCH($P595,Tables!$B$4:$B$28,0))</f>
        <v>32</v>
      </c>
      <c r="R595" s="2">
        <f>INDEX(Tables!$D$4:$D$28,MATCH($P595,Tables!$B$4:$B$28,0))</f>
        <v>4</v>
      </c>
      <c r="S595" s="2">
        <f>$S594+$R594+INDEX(Tables!$N$5:$Q$8,MATCH(MOD($S594+$R594,4),Tables!$M$5:$M$8,0),MATCH($R595,Tables!$N$4:$Q$4,0))</f>
        <v>2100</v>
      </c>
      <c r="T595" s="2" t="str">
        <f t="shared" si="144"/>
        <v>0834</v>
      </c>
      <c r="U595" s="2">
        <f t="shared" si="135"/>
        <v>525</v>
      </c>
      <c r="V595" s="2" t="str">
        <f t="shared" si="145"/>
        <v>20D</v>
      </c>
      <c r="W595" s="2" t="str">
        <f t="shared" si="146"/>
        <v>X</v>
      </c>
      <c r="X595" s="2" t="str">
        <f t="shared" ref="X595:X658" si="147">IF(MOD($S595,4)=2,"X",IF(AND(MOD($S595,4)=1,$J595&gt;8),"X",IF(AND(MOD($S595,4)=0,$J595&gt;16),"X","")))</f>
        <v>X</v>
      </c>
      <c r="Y595" s="2" t="str">
        <f t="shared" ref="Y595:Y658" si="148">IF(MOD($S595,4)=1,"X",IF(AND(MOD($S595,4)=0,$J595&gt;8),"X",""))</f>
        <v>X</v>
      </c>
      <c r="Z595" s="2" t="str">
        <f t="shared" ref="Z595:Z658" si="149">IF(MOD($S595,4)=0,"X","")</f>
        <v>X</v>
      </c>
      <c r="AA595" s="2" t="str">
        <f t="shared" si="136"/>
        <v>(31 downto 24)</v>
      </c>
      <c r="AB595" s="2" t="str">
        <f t="shared" si="137"/>
        <v>(23 downto 16)</v>
      </c>
      <c r="AC595" s="2" t="str">
        <f t="shared" si="138"/>
        <v>(15 downto 8)</v>
      </c>
      <c r="AD595" s="2" t="str">
        <f t="shared" si="139"/>
        <v>(7 downto 0)</v>
      </c>
      <c r="AE595" s="2" t="str">
        <f t="shared" si="140"/>
        <v>(31 downto 24)</v>
      </c>
      <c r="AF595" s="2" t="str">
        <f t="shared" si="141"/>
        <v>(23 downto 16)</v>
      </c>
      <c r="AG595" s="2" t="str">
        <f t="shared" si="142"/>
        <v>(15 downto 8)</v>
      </c>
      <c r="AH595" s="2" t="str">
        <f t="shared" si="143"/>
        <v>(7 downto 0)</v>
      </c>
    </row>
    <row r="596" spans="2:34" x14ac:dyDescent="0.25">
      <c r="B596" s="2" t="s">
        <v>1016</v>
      </c>
      <c r="D596" s="2" t="s">
        <v>1</v>
      </c>
      <c r="E596" s="2" t="s">
        <v>134</v>
      </c>
      <c r="F596" s="2" t="s">
        <v>1022</v>
      </c>
      <c r="G596" s="2" t="s">
        <v>1023</v>
      </c>
      <c r="H596" s="2" t="s">
        <v>944</v>
      </c>
      <c r="I596" s="2" t="s">
        <v>42</v>
      </c>
      <c r="J596" s="2">
        <v>32</v>
      </c>
      <c r="K596" s="2" t="s">
        <v>137</v>
      </c>
      <c r="L596" s="2" t="s">
        <v>41</v>
      </c>
      <c r="M596" s="2" t="s">
        <v>135</v>
      </c>
      <c r="N596" s="2" t="s">
        <v>1019</v>
      </c>
      <c r="O596" s="2" t="s">
        <v>945</v>
      </c>
      <c r="P596" s="2" t="s">
        <v>49</v>
      </c>
      <c r="Q596" s="2">
        <f>INDEX(Tables!$C$4:$C$28,MATCH($P596,Tables!$B$4:$B$28,0))</f>
        <v>32</v>
      </c>
      <c r="R596" s="2">
        <f>INDEX(Tables!$D$4:$D$28,MATCH($P596,Tables!$B$4:$B$28,0))</f>
        <v>4</v>
      </c>
      <c r="S596" s="2">
        <f>$S595+$R595+INDEX(Tables!$N$5:$Q$8,MATCH(MOD($S595+$R595,4),Tables!$M$5:$M$8,0),MATCH($R596,Tables!$N$4:$Q$4,0))</f>
        <v>2104</v>
      </c>
      <c r="T596" s="2" t="str">
        <f t="shared" si="144"/>
        <v>0838</v>
      </c>
      <c r="U596" s="2">
        <f t="shared" si="135"/>
        <v>526</v>
      </c>
      <c r="V596" s="2" t="str">
        <f t="shared" si="145"/>
        <v>20E</v>
      </c>
      <c r="W596" s="2" t="str">
        <f t="shared" si="146"/>
        <v>X</v>
      </c>
      <c r="X596" s="2" t="str">
        <f t="shared" si="147"/>
        <v>X</v>
      </c>
      <c r="Y596" s="2" t="str">
        <f t="shared" si="148"/>
        <v>X</v>
      </c>
      <c r="Z596" s="2" t="str">
        <f t="shared" si="149"/>
        <v>X</v>
      </c>
      <c r="AA596" s="2" t="str">
        <f t="shared" si="136"/>
        <v>(31 downto 24)</v>
      </c>
      <c r="AB596" s="2" t="str">
        <f t="shared" si="137"/>
        <v>(23 downto 16)</v>
      </c>
      <c r="AC596" s="2" t="str">
        <f t="shared" si="138"/>
        <v>(15 downto 8)</v>
      </c>
      <c r="AD596" s="2" t="str">
        <f t="shared" si="139"/>
        <v>(7 downto 0)</v>
      </c>
      <c r="AE596" s="2" t="str">
        <f t="shared" si="140"/>
        <v>(31 downto 24)</v>
      </c>
      <c r="AF596" s="2" t="str">
        <f t="shared" si="141"/>
        <v>(23 downto 16)</v>
      </c>
      <c r="AG596" s="2" t="str">
        <f t="shared" si="142"/>
        <v>(15 downto 8)</v>
      </c>
      <c r="AH596" s="2" t="str">
        <f t="shared" si="143"/>
        <v>(7 downto 0)</v>
      </c>
    </row>
    <row r="597" spans="2:34" x14ac:dyDescent="0.25">
      <c r="B597" s="2" t="s">
        <v>1016</v>
      </c>
      <c r="D597" s="2" t="s">
        <v>1</v>
      </c>
      <c r="E597" s="2" t="s">
        <v>134</v>
      </c>
      <c r="F597" s="2" t="s">
        <v>1022</v>
      </c>
      <c r="G597" s="2" t="s">
        <v>1023</v>
      </c>
      <c r="H597" s="2" t="s">
        <v>946</v>
      </c>
      <c r="I597" s="2" t="s">
        <v>42</v>
      </c>
      <c r="J597" s="2">
        <v>32</v>
      </c>
      <c r="K597" s="2" t="s">
        <v>137</v>
      </c>
      <c r="L597" s="2" t="s">
        <v>41</v>
      </c>
      <c r="M597" s="2" t="s">
        <v>135</v>
      </c>
      <c r="N597" s="2" t="s">
        <v>1019</v>
      </c>
      <c r="O597" s="2" t="s">
        <v>947</v>
      </c>
      <c r="P597" s="2" t="s">
        <v>49</v>
      </c>
      <c r="Q597" s="2">
        <f>INDEX(Tables!$C$4:$C$28,MATCH($P597,Tables!$B$4:$B$28,0))</f>
        <v>32</v>
      </c>
      <c r="R597" s="2">
        <f>INDEX(Tables!$D$4:$D$28,MATCH($P597,Tables!$B$4:$B$28,0))</f>
        <v>4</v>
      </c>
      <c r="S597" s="2">
        <f>$S596+$R596+INDEX(Tables!$N$5:$Q$8,MATCH(MOD($S596+$R596,4),Tables!$M$5:$M$8,0),MATCH($R597,Tables!$N$4:$Q$4,0))</f>
        <v>2108</v>
      </c>
      <c r="T597" s="2" t="str">
        <f t="shared" si="144"/>
        <v>083C</v>
      </c>
      <c r="U597" s="2">
        <f t="shared" si="135"/>
        <v>527</v>
      </c>
      <c r="V597" s="2" t="str">
        <f t="shared" si="145"/>
        <v>20F</v>
      </c>
      <c r="W597" s="2" t="str">
        <f t="shared" si="146"/>
        <v>X</v>
      </c>
      <c r="X597" s="2" t="str">
        <f t="shared" si="147"/>
        <v>X</v>
      </c>
      <c r="Y597" s="2" t="str">
        <f t="shared" si="148"/>
        <v>X</v>
      </c>
      <c r="Z597" s="2" t="str">
        <f t="shared" si="149"/>
        <v>X</v>
      </c>
      <c r="AA597" s="2" t="str">
        <f t="shared" si="136"/>
        <v>(31 downto 24)</v>
      </c>
      <c r="AB597" s="2" t="str">
        <f t="shared" si="137"/>
        <v>(23 downto 16)</v>
      </c>
      <c r="AC597" s="2" t="str">
        <f t="shared" si="138"/>
        <v>(15 downto 8)</v>
      </c>
      <c r="AD597" s="2" t="str">
        <f t="shared" si="139"/>
        <v>(7 downto 0)</v>
      </c>
      <c r="AE597" s="2" t="str">
        <f t="shared" si="140"/>
        <v>(31 downto 24)</v>
      </c>
      <c r="AF597" s="2" t="str">
        <f t="shared" si="141"/>
        <v>(23 downto 16)</v>
      </c>
      <c r="AG597" s="2" t="str">
        <f t="shared" si="142"/>
        <v>(15 downto 8)</v>
      </c>
      <c r="AH597" s="2" t="str">
        <f t="shared" si="143"/>
        <v>(7 downto 0)</v>
      </c>
    </row>
    <row r="598" spans="2:34" x14ac:dyDescent="0.25">
      <c r="B598" s="2" t="s">
        <v>1016</v>
      </c>
      <c r="D598" s="2" t="s">
        <v>1</v>
      </c>
      <c r="E598" s="2" t="s">
        <v>134</v>
      </c>
      <c r="F598" s="2" t="s">
        <v>1024</v>
      </c>
      <c r="G598" s="2" t="s">
        <v>1025</v>
      </c>
      <c r="H598" s="2" t="s">
        <v>950</v>
      </c>
      <c r="I598" s="2" t="s">
        <v>42</v>
      </c>
      <c r="J598" s="2">
        <v>32</v>
      </c>
      <c r="K598" s="2" t="s">
        <v>137</v>
      </c>
      <c r="L598" s="2" t="s">
        <v>41</v>
      </c>
      <c r="M598" s="2" t="s">
        <v>135</v>
      </c>
      <c r="N598" s="2" t="s">
        <v>1019</v>
      </c>
      <c r="O598" s="2" t="s">
        <v>951</v>
      </c>
      <c r="P598" s="2" t="s">
        <v>49</v>
      </c>
      <c r="Q598" s="2">
        <f>INDEX(Tables!$C$4:$C$28,MATCH($P598,Tables!$B$4:$B$28,0))</f>
        <v>32</v>
      </c>
      <c r="R598" s="2">
        <f>INDEX(Tables!$D$4:$D$28,MATCH($P598,Tables!$B$4:$B$28,0))</f>
        <v>4</v>
      </c>
      <c r="S598" s="2">
        <f>$S597+$R597+INDEX(Tables!$N$5:$Q$8,MATCH(MOD($S597+$R597,4),Tables!$M$5:$M$8,0),MATCH($R598,Tables!$N$4:$Q$4,0))</f>
        <v>2112</v>
      </c>
      <c r="T598" s="2" t="str">
        <f t="shared" si="144"/>
        <v>0840</v>
      </c>
      <c r="U598" s="2">
        <f t="shared" si="135"/>
        <v>528</v>
      </c>
      <c r="V598" s="2" t="str">
        <f t="shared" si="145"/>
        <v>210</v>
      </c>
      <c r="W598" s="2" t="str">
        <f t="shared" si="146"/>
        <v>X</v>
      </c>
      <c r="X598" s="2" t="str">
        <f t="shared" si="147"/>
        <v>X</v>
      </c>
      <c r="Y598" s="2" t="str">
        <f t="shared" si="148"/>
        <v>X</v>
      </c>
      <c r="Z598" s="2" t="str">
        <f t="shared" si="149"/>
        <v>X</v>
      </c>
      <c r="AA598" s="2" t="str">
        <f t="shared" si="136"/>
        <v>(31 downto 24)</v>
      </c>
      <c r="AB598" s="2" t="str">
        <f t="shared" si="137"/>
        <v>(23 downto 16)</v>
      </c>
      <c r="AC598" s="2" t="str">
        <f t="shared" si="138"/>
        <v>(15 downto 8)</v>
      </c>
      <c r="AD598" s="2" t="str">
        <f t="shared" si="139"/>
        <v>(7 downto 0)</v>
      </c>
      <c r="AE598" s="2" t="str">
        <f t="shared" si="140"/>
        <v>(31 downto 24)</v>
      </c>
      <c r="AF598" s="2" t="str">
        <f t="shared" si="141"/>
        <v>(23 downto 16)</v>
      </c>
      <c r="AG598" s="2" t="str">
        <f t="shared" si="142"/>
        <v>(15 downto 8)</v>
      </c>
      <c r="AH598" s="2" t="str">
        <f t="shared" si="143"/>
        <v>(7 downto 0)</v>
      </c>
    </row>
    <row r="599" spans="2:34" x14ac:dyDescent="0.25">
      <c r="B599" s="2" t="s">
        <v>1016</v>
      </c>
      <c r="D599" s="2" t="s">
        <v>1</v>
      </c>
      <c r="E599" s="2" t="s">
        <v>134</v>
      </c>
      <c r="F599" s="2" t="s">
        <v>1024</v>
      </c>
      <c r="G599" s="2" t="s">
        <v>1025</v>
      </c>
      <c r="H599" s="2" t="s">
        <v>952</v>
      </c>
      <c r="I599" s="2" t="s">
        <v>42</v>
      </c>
      <c r="J599" s="2">
        <v>32</v>
      </c>
      <c r="K599" s="2" t="s">
        <v>137</v>
      </c>
      <c r="L599" s="2" t="s">
        <v>41</v>
      </c>
      <c r="M599" s="2" t="s">
        <v>135</v>
      </c>
      <c r="N599" s="2" t="s">
        <v>1019</v>
      </c>
      <c r="O599" s="2" t="s">
        <v>953</v>
      </c>
      <c r="P599" s="2" t="s">
        <v>49</v>
      </c>
      <c r="Q599" s="2">
        <f>INDEX(Tables!$C$4:$C$28,MATCH($P599,Tables!$B$4:$B$28,0))</f>
        <v>32</v>
      </c>
      <c r="R599" s="2">
        <f>INDEX(Tables!$D$4:$D$28,MATCH($P599,Tables!$B$4:$B$28,0))</f>
        <v>4</v>
      </c>
      <c r="S599" s="2">
        <f>$S598+$R598+INDEX(Tables!$N$5:$Q$8,MATCH(MOD($S598+$R598,4),Tables!$M$5:$M$8,0),MATCH($R599,Tables!$N$4:$Q$4,0))</f>
        <v>2116</v>
      </c>
      <c r="T599" s="2" t="str">
        <f t="shared" si="144"/>
        <v>0844</v>
      </c>
      <c r="U599" s="2">
        <f t="shared" si="135"/>
        <v>529</v>
      </c>
      <c r="V599" s="2" t="str">
        <f t="shared" si="145"/>
        <v>211</v>
      </c>
      <c r="W599" s="2" t="str">
        <f t="shared" si="146"/>
        <v>X</v>
      </c>
      <c r="X599" s="2" t="str">
        <f t="shared" si="147"/>
        <v>X</v>
      </c>
      <c r="Y599" s="2" t="str">
        <f t="shared" si="148"/>
        <v>X</v>
      </c>
      <c r="Z599" s="2" t="str">
        <f t="shared" si="149"/>
        <v>X</v>
      </c>
      <c r="AA599" s="2" t="str">
        <f t="shared" si="136"/>
        <v>(31 downto 24)</v>
      </c>
      <c r="AB599" s="2" t="str">
        <f t="shared" si="137"/>
        <v>(23 downto 16)</v>
      </c>
      <c r="AC599" s="2" t="str">
        <f t="shared" si="138"/>
        <v>(15 downto 8)</v>
      </c>
      <c r="AD599" s="2" t="str">
        <f t="shared" si="139"/>
        <v>(7 downto 0)</v>
      </c>
      <c r="AE599" s="2" t="str">
        <f t="shared" si="140"/>
        <v>(31 downto 24)</v>
      </c>
      <c r="AF599" s="2" t="str">
        <f t="shared" si="141"/>
        <v>(23 downto 16)</v>
      </c>
      <c r="AG599" s="2" t="str">
        <f t="shared" si="142"/>
        <v>(15 downto 8)</v>
      </c>
      <c r="AH599" s="2" t="str">
        <f t="shared" si="143"/>
        <v>(7 downto 0)</v>
      </c>
    </row>
    <row r="600" spans="2:34" x14ac:dyDescent="0.25">
      <c r="B600" s="2" t="s">
        <v>1016</v>
      </c>
      <c r="D600" s="2" t="s">
        <v>1</v>
      </c>
      <c r="E600" s="2" t="s">
        <v>134</v>
      </c>
      <c r="F600" s="2" t="s">
        <v>1024</v>
      </c>
      <c r="G600" s="2" t="s">
        <v>1025</v>
      </c>
      <c r="H600" s="2" t="s">
        <v>954</v>
      </c>
      <c r="I600" s="2" t="s">
        <v>42</v>
      </c>
      <c r="J600" s="2">
        <v>32</v>
      </c>
      <c r="K600" s="2" t="s">
        <v>137</v>
      </c>
      <c r="L600" s="2" t="s">
        <v>41</v>
      </c>
      <c r="M600" s="2" t="s">
        <v>135</v>
      </c>
      <c r="N600" s="2" t="s">
        <v>1019</v>
      </c>
      <c r="O600" s="2" t="s">
        <v>955</v>
      </c>
      <c r="P600" s="2" t="s">
        <v>49</v>
      </c>
      <c r="Q600" s="2">
        <f>INDEX(Tables!$C$4:$C$28,MATCH($P600,Tables!$B$4:$B$28,0))</f>
        <v>32</v>
      </c>
      <c r="R600" s="2">
        <f>INDEX(Tables!$D$4:$D$28,MATCH($P600,Tables!$B$4:$B$28,0))</f>
        <v>4</v>
      </c>
      <c r="S600" s="2">
        <f>$S599+$R599+INDEX(Tables!$N$5:$Q$8,MATCH(MOD($S599+$R599,4),Tables!$M$5:$M$8,0),MATCH($R600,Tables!$N$4:$Q$4,0))</f>
        <v>2120</v>
      </c>
      <c r="T600" s="2" t="str">
        <f t="shared" si="144"/>
        <v>0848</v>
      </c>
      <c r="U600" s="2">
        <f t="shared" si="135"/>
        <v>530</v>
      </c>
      <c r="V600" s="2" t="str">
        <f t="shared" si="145"/>
        <v>212</v>
      </c>
      <c r="W600" s="2" t="str">
        <f t="shared" si="146"/>
        <v>X</v>
      </c>
      <c r="X600" s="2" t="str">
        <f t="shared" si="147"/>
        <v>X</v>
      </c>
      <c r="Y600" s="2" t="str">
        <f t="shared" si="148"/>
        <v>X</v>
      </c>
      <c r="Z600" s="2" t="str">
        <f t="shared" si="149"/>
        <v>X</v>
      </c>
      <c r="AA600" s="2" t="str">
        <f t="shared" si="136"/>
        <v>(31 downto 24)</v>
      </c>
      <c r="AB600" s="2" t="str">
        <f t="shared" si="137"/>
        <v>(23 downto 16)</v>
      </c>
      <c r="AC600" s="2" t="str">
        <f t="shared" si="138"/>
        <v>(15 downto 8)</v>
      </c>
      <c r="AD600" s="2" t="str">
        <f t="shared" si="139"/>
        <v>(7 downto 0)</v>
      </c>
      <c r="AE600" s="2" t="str">
        <f t="shared" si="140"/>
        <v>(31 downto 24)</v>
      </c>
      <c r="AF600" s="2" t="str">
        <f t="shared" si="141"/>
        <v>(23 downto 16)</v>
      </c>
      <c r="AG600" s="2" t="str">
        <f t="shared" si="142"/>
        <v>(15 downto 8)</v>
      </c>
      <c r="AH600" s="2" t="str">
        <f t="shared" si="143"/>
        <v>(7 downto 0)</v>
      </c>
    </row>
    <row r="601" spans="2:34" x14ac:dyDescent="0.25">
      <c r="B601" s="2" t="s">
        <v>1016</v>
      </c>
      <c r="D601" s="2" t="s">
        <v>1</v>
      </c>
      <c r="E601" s="2" t="s">
        <v>134</v>
      </c>
      <c r="F601" s="2" t="s">
        <v>1024</v>
      </c>
      <c r="G601" s="2" t="s">
        <v>1025</v>
      </c>
      <c r="H601" s="2" t="s">
        <v>956</v>
      </c>
      <c r="I601" s="2" t="s">
        <v>42</v>
      </c>
      <c r="J601" s="2">
        <v>32</v>
      </c>
      <c r="K601" s="2" t="s">
        <v>137</v>
      </c>
      <c r="L601" s="2" t="s">
        <v>41</v>
      </c>
      <c r="M601" s="2" t="s">
        <v>135</v>
      </c>
      <c r="N601" s="2" t="s">
        <v>1019</v>
      </c>
      <c r="O601" s="2" t="s">
        <v>957</v>
      </c>
      <c r="P601" s="2" t="s">
        <v>49</v>
      </c>
      <c r="Q601" s="2">
        <f>INDEX(Tables!$C$4:$C$28,MATCH($P601,Tables!$B$4:$B$28,0))</f>
        <v>32</v>
      </c>
      <c r="R601" s="2">
        <f>INDEX(Tables!$D$4:$D$28,MATCH($P601,Tables!$B$4:$B$28,0))</f>
        <v>4</v>
      </c>
      <c r="S601" s="2">
        <f>$S600+$R600+INDEX(Tables!$N$5:$Q$8,MATCH(MOD($S600+$R600,4),Tables!$M$5:$M$8,0),MATCH($R601,Tables!$N$4:$Q$4,0))</f>
        <v>2124</v>
      </c>
      <c r="T601" s="2" t="str">
        <f t="shared" si="144"/>
        <v>084C</v>
      </c>
      <c r="U601" s="2">
        <f t="shared" si="135"/>
        <v>531</v>
      </c>
      <c r="V601" s="2" t="str">
        <f t="shared" si="145"/>
        <v>213</v>
      </c>
      <c r="W601" s="2" t="str">
        <f t="shared" si="146"/>
        <v>X</v>
      </c>
      <c r="X601" s="2" t="str">
        <f t="shared" si="147"/>
        <v>X</v>
      </c>
      <c r="Y601" s="2" t="str">
        <f t="shared" si="148"/>
        <v>X</v>
      </c>
      <c r="Z601" s="2" t="str">
        <f t="shared" si="149"/>
        <v>X</v>
      </c>
      <c r="AA601" s="2" t="str">
        <f t="shared" si="136"/>
        <v>(31 downto 24)</v>
      </c>
      <c r="AB601" s="2" t="str">
        <f t="shared" si="137"/>
        <v>(23 downto 16)</v>
      </c>
      <c r="AC601" s="2" t="str">
        <f t="shared" si="138"/>
        <v>(15 downto 8)</v>
      </c>
      <c r="AD601" s="2" t="str">
        <f t="shared" si="139"/>
        <v>(7 downto 0)</v>
      </c>
      <c r="AE601" s="2" t="str">
        <f t="shared" si="140"/>
        <v>(31 downto 24)</v>
      </c>
      <c r="AF601" s="2" t="str">
        <f t="shared" si="141"/>
        <v>(23 downto 16)</v>
      </c>
      <c r="AG601" s="2" t="str">
        <f t="shared" si="142"/>
        <v>(15 downto 8)</v>
      </c>
      <c r="AH601" s="2" t="str">
        <f t="shared" si="143"/>
        <v>(7 downto 0)</v>
      </c>
    </row>
    <row r="602" spans="2:34" x14ac:dyDescent="0.25">
      <c r="B602" s="2" t="s">
        <v>1016</v>
      </c>
      <c r="D602" s="2" t="s">
        <v>1</v>
      </c>
      <c r="E602" s="2" t="s">
        <v>134</v>
      </c>
      <c r="F602" s="2" t="s">
        <v>1026</v>
      </c>
      <c r="G602" s="2" t="s">
        <v>1027</v>
      </c>
      <c r="H602" s="2" t="s">
        <v>960</v>
      </c>
      <c r="I602" s="2" t="s">
        <v>42</v>
      </c>
      <c r="J602" s="2">
        <v>32</v>
      </c>
      <c r="K602" s="2" t="s">
        <v>137</v>
      </c>
      <c r="L602" s="2" t="s">
        <v>41</v>
      </c>
      <c r="M602" s="2" t="s">
        <v>135</v>
      </c>
      <c r="N602" s="2" t="s">
        <v>1019</v>
      </c>
      <c r="O602" s="2" t="s">
        <v>961</v>
      </c>
      <c r="P602" s="2" t="s">
        <v>49</v>
      </c>
      <c r="Q602" s="2">
        <f>INDEX(Tables!$C$4:$C$28,MATCH($P602,Tables!$B$4:$B$28,0))</f>
        <v>32</v>
      </c>
      <c r="R602" s="2">
        <f>INDEX(Tables!$D$4:$D$28,MATCH($P602,Tables!$B$4:$B$28,0))</f>
        <v>4</v>
      </c>
      <c r="S602" s="2">
        <f>$S601+$R601+INDEX(Tables!$N$5:$Q$8,MATCH(MOD($S601+$R601,4),Tables!$M$5:$M$8,0),MATCH($R602,Tables!$N$4:$Q$4,0))</f>
        <v>2128</v>
      </c>
      <c r="T602" s="2" t="str">
        <f t="shared" si="144"/>
        <v>0850</v>
      </c>
      <c r="U602" s="2">
        <f t="shared" si="135"/>
        <v>532</v>
      </c>
      <c r="V602" s="2" t="str">
        <f t="shared" si="145"/>
        <v>214</v>
      </c>
      <c r="W602" s="2" t="str">
        <f t="shared" si="146"/>
        <v>X</v>
      </c>
      <c r="X602" s="2" t="str">
        <f t="shared" si="147"/>
        <v>X</v>
      </c>
      <c r="Y602" s="2" t="str">
        <f t="shared" si="148"/>
        <v>X</v>
      </c>
      <c r="Z602" s="2" t="str">
        <f t="shared" si="149"/>
        <v>X</v>
      </c>
      <c r="AA602" s="2" t="str">
        <f t="shared" si="136"/>
        <v>(31 downto 24)</v>
      </c>
      <c r="AB602" s="2" t="str">
        <f t="shared" si="137"/>
        <v>(23 downto 16)</v>
      </c>
      <c r="AC602" s="2" t="str">
        <f t="shared" si="138"/>
        <v>(15 downto 8)</v>
      </c>
      <c r="AD602" s="2" t="str">
        <f t="shared" si="139"/>
        <v>(7 downto 0)</v>
      </c>
      <c r="AE602" s="2" t="str">
        <f t="shared" si="140"/>
        <v>(31 downto 24)</v>
      </c>
      <c r="AF602" s="2" t="str">
        <f t="shared" si="141"/>
        <v>(23 downto 16)</v>
      </c>
      <c r="AG602" s="2" t="str">
        <f t="shared" si="142"/>
        <v>(15 downto 8)</v>
      </c>
      <c r="AH602" s="2" t="str">
        <f t="shared" si="143"/>
        <v>(7 downto 0)</v>
      </c>
    </row>
    <row r="603" spans="2:34" x14ac:dyDescent="0.25">
      <c r="B603" s="2" t="s">
        <v>1016</v>
      </c>
      <c r="D603" s="2" t="s">
        <v>1</v>
      </c>
      <c r="E603" s="2" t="s">
        <v>134</v>
      </c>
      <c r="F603" s="2" t="s">
        <v>1026</v>
      </c>
      <c r="G603" s="2" t="s">
        <v>1027</v>
      </c>
      <c r="H603" s="2" t="s">
        <v>962</v>
      </c>
      <c r="I603" s="2" t="s">
        <v>42</v>
      </c>
      <c r="J603" s="2">
        <v>32</v>
      </c>
      <c r="K603" s="2" t="s">
        <v>137</v>
      </c>
      <c r="L603" s="2" t="s">
        <v>41</v>
      </c>
      <c r="M603" s="2" t="s">
        <v>135</v>
      </c>
      <c r="N603" s="2" t="s">
        <v>1019</v>
      </c>
      <c r="O603" s="2" t="s">
        <v>963</v>
      </c>
      <c r="P603" s="2" t="s">
        <v>49</v>
      </c>
      <c r="Q603" s="2">
        <f>INDEX(Tables!$C$4:$C$28,MATCH($P603,Tables!$B$4:$B$28,0))</f>
        <v>32</v>
      </c>
      <c r="R603" s="2">
        <f>INDEX(Tables!$D$4:$D$28,MATCH($P603,Tables!$B$4:$B$28,0))</f>
        <v>4</v>
      </c>
      <c r="S603" s="2">
        <f>$S602+$R602+INDEX(Tables!$N$5:$Q$8,MATCH(MOD($S602+$R602,4),Tables!$M$5:$M$8,0),MATCH($R603,Tables!$N$4:$Q$4,0))</f>
        <v>2132</v>
      </c>
      <c r="T603" s="2" t="str">
        <f t="shared" si="144"/>
        <v>0854</v>
      </c>
      <c r="U603" s="2">
        <f t="shared" si="135"/>
        <v>533</v>
      </c>
      <c r="V603" s="2" t="str">
        <f t="shared" si="145"/>
        <v>215</v>
      </c>
      <c r="W603" s="2" t="str">
        <f t="shared" si="146"/>
        <v>X</v>
      </c>
      <c r="X603" s="2" t="str">
        <f t="shared" si="147"/>
        <v>X</v>
      </c>
      <c r="Y603" s="2" t="str">
        <f t="shared" si="148"/>
        <v>X</v>
      </c>
      <c r="Z603" s="2" t="str">
        <f t="shared" si="149"/>
        <v>X</v>
      </c>
      <c r="AA603" s="2" t="str">
        <f t="shared" si="136"/>
        <v>(31 downto 24)</v>
      </c>
      <c r="AB603" s="2" t="str">
        <f t="shared" si="137"/>
        <v>(23 downto 16)</v>
      </c>
      <c r="AC603" s="2" t="str">
        <f t="shared" si="138"/>
        <v>(15 downto 8)</v>
      </c>
      <c r="AD603" s="2" t="str">
        <f t="shared" si="139"/>
        <v>(7 downto 0)</v>
      </c>
      <c r="AE603" s="2" t="str">
        <f t="shared" si="140"/>
        <v>(31 downto 24)</v>
      </c>
      <c r="AF603" s="2" t="str">
        <f t="shared" si="141"/>
        <v>(23 downto 16)</v>
      </c>
      <c r="AG603" s="2" t="str">
        <f t="shared" si="142"/>
        <v>(15 downto 8)</v>
      </c>
      <c r="AH603" s="2" t="str">
        <f t="shared" si="143"/>
        <v>(7 downto 0)</v>
      </c>
    </row>
    <row r="604" spans="2:34" x14ac:dyDescent="0.25">
      <c r="B604" s="2" t="s">
        <v>1016</v>
      </c>
      <c r="D604" s="2" t="s">
        <v>1</v>
      </c>
      <c r="E604" s="2" t="s">
        <v>134</v>
      </c>
      <c r="F604" s="2" t="s">
        <v>1026</v>
      </c>
      <c r="G604" s="2" t="s">
        <v>1027</v>
      </c>
      <c r="H604" s="2" t="s">
        <v>964</v>
      </c>
      <c r="I604" s="2" t="s">
        <v>42</v>
      </c>
      <c r="J604" s="2">
        <v>32</v>
      </c>
      <c r="K604" s="2" t="s">
        <v>137</v>
      </c>
      <c r="L604" s="2" t="s">
        <v>41</v>
      </c>
      <c r="M604" s="2" t="s">
        <v>135</v>
      </c>
      <c r="N604" s="2" t="s">
        <v>1019</v>
      </c>
      <c r="O604" s="2" t="s">
        <v>965</v>
      </c>
      <c r="P604" s="2" t="s">
        <v>49</v>
      </c>
      <c r="Q604" s="2">
        <f>INDEX(Tables!$C$4:$C$28,MATCH($P604,Tables!$B$4:$B$28,0))</f>
        <v>32</v>
      </c>
      <c r="R604" s="2">
        <f>INDEX(Tables!$D$4:$D$28,MATCH($P604,Tables!$B$4:$B$28,0))</f>
        <v>4</v>
      </c>
      <c r="S604" s="2">
        <f>$S603+$R603+INDEX(Tables!$N$5:$Q$8,MATCH(MOD($S603+$R603,4),Tables!$M$5:$M$8,0),MATCH($R604,Tables!$N$4:$Q$4,0))</f>
        <v>2136</v>
      </c>
      <c r="T604" s="2" t="str">
        <f t="shared" si="144"/>
        <v>0858</v>
      </c>
      <c r="U604" s="2">
        <f t="shared" si="135"/>
        <v>534</v>
      </c>
      <c r="V604" s="2" t="str">
        <f t="shared" si="145"/>
        <v>216</v>
      </c>
      <c r="W604" s="2" t="str">
        <f t="shared" si="146"/>
        <v>X</v>
      </c>
      <c r="X604" s="2" t="str">
        <f t="shared" si="147"/>
        <v>X</v>
      </c>
      <c r="Y604" s="2" t="str">
        <f t="shared" si="148"/>
        <v>X</v>
      </c>
      <c r="Z604" s="2" t="str">
        <f t="shared" si="149"/>
        <v>X</v>
      </c>
      <c r="AA604" s="2" t="str">
        <f t="shared" si="136"/>
        <v>(31 downto 24)</v>
      </c>
      <c r="AB604" s="2" t="str">
        <f t="shared" si="137"/>
        <v>(23 downto 16)</v>
      </c>
      <c r="AC604" s="2" t="str">
        <f t="shared" si="138"/>
        <v>(15 downto 8)</v>
      </c>
      <c r="AD604" s="2" t="str">
        <f t="shared" si="139"/>
        <v>(7 downto 0)</v>
      </c>
      <c r="AE604" s="2" t="str">
        <f t="shared" si="140"/>
        <v>(31 downto 24)</v>
      </c>
      <c r="AF604" s="2" t="str">
        <f t="shared" si="141"/>
        <v>(23 downto 16)</v>
      </c>
      <c r="AG604" s="2" t="str">
        <f t="shared" si="142"/>
        <v>(15 downto 8)</v>
      </c>
      <c r="AH604" s="2" t="str">
        <f t="shared" si="143"/>
        <v>(7 downto 0)</v>
      </c>
    </row>
    <row r="605" spans="2:34" x14ac:dyDescent="0.25">
      <c r="B605" s="2" t="s">
        <v>1016</v>
      </c>
      <c r="D605" s="2" t="s">
        <v>1</v>
      </c>
      <c r="E605" s="2" t="s">
        <v>134</v>
      </c>
      <c r="F605" s="2" t="s">
        <v>1026</v>
      </c>
      <c r="G605" s="2" t="s">
        <v>1027</v>
      </c>
      <c r="H605" s="2" t="s">
        <v>966</v>
      </c>
      <c r="I605" s="2" t="s">
        <v>42</v>
      </c>
      <c r="J605" s="2">
        <v>32</v>
      </c>
      <c r="K605" s="2" t="s">
        <v>137</v>
      </c>
      <c r="L605" s="2" t="s">
        <v>41</v>
      </c>
      <c r="M605" s="2" t="s">
        <v>135</v>
      </c>
      <c r="N605" s="2" t="s">
        <v>1019</v>
      </c>
      <c r="O605" s="2" t="s">
        <v>967</v>
      </c>
      <c r="P605" s="2" t="s">
        <v>49</v>
      </c>
      <c r="Q605" s="2">
        <f>INDEX(Tables!$C$4:$C$28,MATCH($P605,Tables!$B$4:$B$28,0))</f>
        <v>32</v>
      </c>
      <c r="R605" s="2">
        <f>INDEX(Tables!$D$4:$D$28,MATCH($P605,Tables!$B$4:$B$28,0))</f>
        <v>4</v>
      </c>
      <c r="S605" s="2">
        <f>$S604+$R604+INDEX(Tables!$N$5:$Q$8,MATCH(MOD($S604+$R604,4),Tables!$M$5:$M$8,0),MATCH($R605,Tables!$N$4:$Q$4,0))</f>
        <v>2140</v>
      </c>
      <c r="T605" s="2" t="str">
        <f t="shared" si="144"/>
        <v>085C</v>
      </c>
      <c r="U605" s="2">
        <f t="shared" si="135"/>
        <v>535</v>
      </c>
      <c r="V605" s="2" t="str">
        <f t="shared" si="145"/>
        <v>217</v>
      </c>
      <c r="W605" s="2" t="str">
        <f t="shared" si="146"/>
        <v>X</v>
      </c>
      <c r="X605" s="2" t="str">
        <f t="shared" si="147"/>
        <v>X</v>
      </c>
      <c r="Y605" s="2" t="str">
        <f t="shared" si="148"/>
        <v>X</v>
      </c>
      <c r="Z605" s="2" t="str">
        <f t="shared" si="149"/>
        <v>X</v>
      </c>
      <c r="AA605" s="2" t="str">
        <f t="shared" si="136"/>
        <v>(31 downto 24)</v>
      </c>
      <c r="AB605" s="2" t="str">
        <f t="shared" si="137"/>
        <v>(23 downto 16)</v>
      </c>
      <c r="AC605" s="2" t="str">
        <f t="shared" si="138"/>
        <v>(15 downto 8)</v>
      </c>
      <c r="AD605" s="2" t="str">
        <f t="shared" si="139"/>
        <v>(7 downto 0)</v>
      </c>
      <c r="AE605" s="2" t="str">
        <f t="shared" si="140"/>
        <v>(31 downto 24)</v>
      </c>
      <c r="AF605" s="2" t="str">
        <f t="shared" si="141"/>
        <v>(23 downto 16)</v>
      </c>
      <c r="AG605" s="2" t="str">
        <f t="shared" si="142"/>
        <v>(15 downto 8)</v>
      </c>
      <c r="AH605" s="2" t="str">
        <f t="shared" si="143"/>
        <v>(7 downto 0)</v>
      </c>
    </row>
    <row r="606" spans="2:34" x14ac:dyDescent="0.25">
      <c r="B606" s="2" t="s">
        <v>1016</v>
      </c>
      <c r="D606" s="2" t="s">
        <v>1</v>
      </c>
      <c r="E606" s="2" t="s">
        <v>134</v>
      </c>
      <c r="F606" s="2" t="s">
        <v>1028</v>
      </c>
      <c r="G606" s="2" t="s">
        <v>1029</v>
      </c>
      <c r="H606" s="2" t="s">
        <v>970</v>
      </c>
      <c r="I606" s="2" t="s">
        <v>42</v>
      </c>
      <c r="J606" s="2">
        <v>8</v>
      </c>
      <c r="K606" s="2" t="s">
        <v>137</v>
      </c>
      <c r="L606" s="2" t="s">
        <v>41</v>
      </c>
      <c r="M606" s="2" t="s">
        <v>135</v>
      </c>
      <c r="N606" s="2" t="s">
        <v>1019</v>
      </c>
      <c r="O606" s="2" t="s">
        <v>971</v>
      </c>
      <c r="P606" s="2" t="s">
        <v>48</v>
      </c>
      <c r="Q606" s="2">
        <f>INDEX(Tables!$C$4:$C$28,MATCH($P606,Tables!$B$4:$B$28,0))</f>
        <v>8</v>
      </c>
      <c r="R606" s="2">
        <f>INDEX(Tables!$D$4:$D$28,MATCH($P606,Tables!$B$4:$B$28,0))</f>
        <v>1</v>
      </c>
      <c r="S606" s="2">
        <f>$S605+$R605+INDEX(Tables!$N$5:$Q$8,MATCH(MOD($S605+$R605,4),Tables!$M$5:$M$8,0),MATCH($R606,Tables!$N$4:$Q$4,0))</f>
        <v>2144</v>
      </c>
      <c r="T606" s="2" t="str">
        <f t="shared" si="144"/>
        <v>0860</v>
      </c>
      <c r="U606" s="2">
        <f t="shared" si="135"/>
        <v>536</v>
      </c>
      <c r="V606" s="2" t="str">
        <f t="shared" si="145"/>
        <v>218</v>
      </c>
      <c r="W606" s="2" t="str">
        <f t="shared" si="146"/>
        <v/>
      </c>
      <c r="X606" s="2" t="str">
        <f t="shared" si="147"/>
        <v/>
      </c>
      <c r="Y606" s="2" t="str">
        <f t="shared" si="148"/>
        <v/>
      </c>
      <c r="Z606" s="2" t="str">
        <f t="shared" si="149"/>
        <v>X</v>
      </c>
      <c r="AA606" s="2" t="str">
        <f t="shared" si="136"/>
        <v/>
      </c>
      <c r="AB606" s="2" t="str">
        <f t="shared" si="137"/>
        <v/>
      </c>
      <c r="AC606" s="2" t="str">
        <f t="shared" si="138"/>
        <v/>
      </c>
      <c r="AD606" s="2" t="str">
        <f t="shared" si="139"/>
        <v>(7 downto 0)</v>
      </c>
      <c r="AE606" s="2" t="str">
        <f t="shared" si="140"/>
        <v/>
      </c>
      <c r="AF606" s="2" t="str">
        <f t="shared" si="141"/>
        <v/>
      </c>
      <c r="AG606" s="2" t="str">
        <f t="shared" si="142"/>
        <v/>
      </c>
      <c r="AH606" s="2" t="str">
        <f t="shared" si="143"/>
        <v/>
      </c>
    </row>
    <row r="607" spans="2:34" x14ac:dyDescent="0.25">
      <c r="B607" s="2" t="s">
        <v>1016</v>
      </c>
      <c r="D607" s="2" t="s">
        <v>1</v>
      </c>
      <c r="E607" s="2" t="s">
        <v>134</v>
      </c>
      <c r="F607" s="2" t="s">
        <v>1028</v>
      </c>
      <c r="G607" s="2" t="s">
        <v>1029</v>
      </c>
      <c r="H607" s="2" t="s">
        <v>972</v>
      </c>
      <c r="I607" s="2" t="s">
        <v>42</v>
      </c>
      <c r="J607" s="2">
        <v>8</v>
      </c>
      <c r="K607" s="2" t="s">
        <v>137</v>
      </c>
      <c r="L607" s="2" t="s">
        <v>41</v>
      </c>
      <c r="M607" s="2" t="s">
        <v>135</v>
      </c>
      <c r="N607" s="2" t="s">
        <v>1019</v>
      </c>
      <c r="O607" s="2" t="s">
        <v>973</v>
      </c>
      <c r="P607" s="2" t="s">
        <v>48</v>
      </c>
      <c r="Q607" s="2">
        <f>INDEX(Tables!$C$4:$C$28,MATCH($P607,Tables!$B$4:$B$28,0))</f>
        <v>8</v>
      </c>
      <c r="R607" s="2">
        <f>INDEX(Tables!$D$4:$D$28,MATCH($P607,Tables!$B$4:$B$28,0))</f>
        <v>1</v>
      </c>
      <c r="S607" s="2">
        <f>$S606+$R606+INDEX(Tables!$N$5:$Q$8,MATCH(MOD($S606+$R606,4),Tables!$M$5:$M$8,0),MATCH($R607,Tables!$N$4:$Q$4,0))</f>
        <v>2145</v>
      </c>
      <c r="T607" s="2" t="str">
        <f t="shared" si="144"/>
        <v>0861</v>
      </c>
      <c r="U607" s="2">
        <f t="shared" si="135"/>
        <v>536</v>
      </c>
      <c r="V607" s="2" t="str">
        <f t="shared" si="145"/>
        <v>218</v>
      </c>
      <c r="W607" s="2" t="str">
        <f t="shared" si="146"/>
        <v/>
      </c>
      <c r="X607" s="2" t="str">
        <f t="shared" si="147"/>
        <v/>
      </c>
      <c r="Y607" s="2" t="str">
        <f t="shared" si="148"/>
        <v>X</v>
      </c>
      <c r="Z607" s="2" t="str">
        <f t="shared" si="149"/>
        <v/>
      </c>
      <c r="AA607" s="2" t="str">
        <f t="shared" si="136"/>
        <v/>
      </c>
      <c r="AB607" s="2" t="str">
        <f t="shared" si="137"/>
        <v/>
      </c>
      <c r="AC607" s="2" t="str">
        <f t="shared" si="138"/>
        <v>(15 downto 8)</v>
      </c>
      <c r="AD607" s="2" t="str">
        <f t="shared" si="139"/>
        <v/>
      </c>
      <c r="AE607" s="2" t="str">
        <f t="shared" si="140"/>
        <v/>
      </c>
      <c r="AF607" s="2" t="str">
        <f t="shared" si="141"/>
        <v/>
      </c>
      <c r="AG607" s="2" t="str">
        <f t="shared" si="142"/>
        <v/>
      </c>
      <c r="AH607" s="2" t="str">
        <f t="shared" si="143"/>
        <v/>
      </c>
    </row>
    <row r="608" spans="2:34" x14ac:dyDescent="0.25">
      <c r="B608" s="2" t="s">
        <v>1016</v>
      </c>
      <c r="D608" s="2" t="s">
        <v>1</v>
      </c>
      <c r="E608" s="2" t="s">
        <v>134</v>
      </c>
      <c r="F608" s="2" t="s">
        <v>1030</v>
      </c>
      <c r="G608" s="2" t="s">
        <v>1031</v>
      </c>
      <c r="H608" s="2" t="s">
        <v>976</v>
      </c>
      <c r="I608" s="2" t="s">
        <v>42</v>
      </c>
      <c r="J608" s="2">
        <v>16</v>
      </c>
      <c r="K608" s="2" t="s">
        <v>137</v>
      </c>
      <c r="L608" s="2" t="s">
        <v>41</v>
      </c>
      <c r="M608" s="2" t="s">
        <v>135</v>
      </c>
      <c r="N608" s="2" t="s">
        <v>1019</v>
      </c>
      <c r="O608" s="2" t="s">
        <v>977</v>
      </c>
      <c r="P608" s="2" t="s">
        <v>50</v>
      </c>
      <c r="Q608" s="2">
        <f>INDEX(Tables!$C$4:$C$28,MATCH($P608,Tables!$B$4:$B$28,0))</f>
        <v>16</v>
      </c>
      <c r="R608" s="2">
        <f>INDEX(Tables!$D$4:$D$28,MATCH($P608,Tables!$B$4:$B$28,0))</f>
        <v>2</v>
      </c>
      <c r="S608" s="2">
        <f>$S607+$R607+INDEX(Tables!$N$5:$Q$8,MATCH(MOD($S607+$R607,4),Tables!$M$5:$M$8,0),MATCH($R608,Tables!$N$4:$Q$4,0))</f>
        <v>2146</v>
      </c>
      <c r="T608" s="2" t="str">
        <f t="shared" si="144"/>
        <v>0862</v>
      </c>
      <c r="U608" s="2">
        <f t="shared" si="135"/>
        <v>536</v>
      </c>
      <c r="V608" s="2" t="str">
        <f t="shared" si="145"/>
        <v>218</v>
      </c>
      <c r="W608" s="2" t="str">
        <f t="shared" si="146"/>
        <v>X</v>
      </c>
      <c r="X608" s="2" t="str">
        <f t="shared" si="147"/>
        <v>X</v>
      </c>
      <c r="Y608" s="2" t="str">
        <f t="shared" si="148"/>
        <v/>
      </c>
      <c r="Z608" s="2" t="str">
        <f t="shared" si="149"/>
        <v/>
      </c>
      <c r="AA608" s="2" t="str">
        <f t="shared" si="136"/>
        <v>(31 downto 24)</v>
      </c>
      <c r="AB608" s="2" t="str">
        <f t="shared" si="137"/>
        <v>(23 downto 16)</v>
      </c>
      <c r="AC608" s="2" t="str">
        <f t="shared" si="138"/>
        <v/>
      </c>
      <c r="AD608" s="2" t="str">
        <f t="shared" si="139"/>
        <v/>
      </c>
      <c r="AE608" s="2" t="str">
        <f t="shared" si="140"/>
        <v>(15 downto 8)</v>
      </c>
      <c r="AF608" s="2" t="str">
        <f t="shared" si="141"/>
        <v>(7 downto 0)</v>
      </c>
      <c r="AG608" s="2" t="str">
        <f t="shared" si="142"/>
        <v/>
      </c>
      <c r="AH608" s="2" t="str">
        <f t="shared" si="143"/>
        <v/>
      </c>
    </row>
    <row r="609" spans="2:34" x14ac:dyDescent="0.25">
      <c r="B609" s="2" t="s">
        <v>1016</v>
      </c>
      <c r="D609" s="2" t="s">
        <v>1</v>
      </c>
      <c r="E609" s="2" t="s">
        <v>134</v>
      </c>
      <c r="F609" s="2" t="s">
        <v>1030</v>
      </c>
      <c r="G609" s="2" t="s">
        <v>1031</v>
      </c>
      <c r="H609" s="2" t="s">
        <v>978</v>
      </c>
      <c r="I609" s="2" t="s">
        <v>42</v>
      </c>
      <c r="J609" s="2">
        <v>16</v>
      </c>
      <c r="K609" s="2" t="s">
        <v>137</v>
      </c>
      <c r="L609" s="2" t="s">
        <v>41</v>
      </c>
      <c r="M609" s="2" t="s">
        <v>135</v>
      </c>
      <c r="N609" s="2" t="s">
        <v>1019</v>
      </c>
      <c r="O609" s="2" t="s">
        <v>979</v>
      </c>
      <c r="P609" s="2" t="s">
        <v>50</v>
      </c>
      <c r="Q609" s="2">
        <f>INDEX(Tables!$C$4:$C$28,MATCH($P609,Tables!$B$4:$B$28,0))</f>
        <v>16</v>
      </c>
      <c r="R609" s="2">
        <f>INDEX(Tables!$D$4:$D$28,MATCH($P609,Tables!$B$4:$B$28,0))</f>
        <v>2</v>
      </c>
      <c r="S609" s="2">
        <f>$S608+$R608+INDEX(Tables!$N$5:$Q$8,MATCH(MOD($S608+$R608,4),Tables!$M$5:$M$8,0),MATCH($R609,Tables!$N$4:$Q$4,0))</f>
        <v>2148</v>
      </c>
      <c r="T609" s="2" t="str">
        <f t="shared" si="144"/>
        <v>0864</v>
      </c>
      <c r="U609" s="2">
        <f t="shared" si="135"/>
        <v>537</v>
      </c>
      <c r="V609" s="2" t="str">
        <f t="shared" si="145"/>
        <v>219</v>
      </c>
      <c r="W609" s="2" t="str">
        <f t="shared" si="146"/>
        <v/>
      </c>
      <c r="X609" s="2" t="str">
        <f t="shared" si="147"/>
        <v/>
      </c>
      <c r="Y609" s="2" t="str">
        <f t="shared" si="148"/>
        <v>X</v>
      </c>
      <c r="Z609" s="2" t="str">
        <f t="shared" si="149"/>
        <v>X</v>
      </c>
      <c r="AA609" s="2" t="str">
        <f t="shared" si="136"/>
        <v/>
      </c>
      <c r="AB609" s="2" t="str">
        <f t="shared" si="137"/>
        <v/>
      </c>
      <c r="AC609" s="2" t="str">
        <f t="shared" si="138"/>
        <v>(15 downto 8)</v>
      </c>
      <c r="AD609" s="2" t="str">
        <f t="shared" si="139"/>
        <v>(7 downto 0)</v>
      </c>
      <c r="AE609" s="2" t="str">
        <f t="shared" si="140"/>
        <v/>
      </c>
      <c r="AF609" s="2" t="str">
        <f t="shared" si="141"/>
        <v/>
      </c>
      <c r="AG609" s="2" t="str">
        <f t="shared" si="142"/>
        <v>(15 downto 8)</v>
      </c>
      <c r="AH609" s="2" t="str">
        <f t="shared" si="143"/>
        <v>(7 downto 0)</v>
      </c>
    </row>
    <row r="610" spans="2:34" x14ac:dyDescent="0.25">
      <c r="B610" s="2" t="s">
        <v>1016</v>
      </c>
      <c r="D610" s="2" t="s">
        <v>1</v>
      </c>
      <c r="E610" s="2" t="s">
        <v>134</v>
      </c>
      <c r="F610" s="2" t="s">
        <v>1030</v>
      </c>
      <c r="G610" s="2" t="s">
        <v>1031</v>
      </c>
      <c r="H610" s="2" t="s">
        <v>980</v>
      </c>
      <c r="I610" s="2" t="s">
        <v>42</v>
      </c>
      <c r="J610" s="2">
        <v>16</v>
      </c>
      <c r="K610" s="2" t="s">
        <v>137</v>
      </c>
      <c r="L610" s="2" t="s">
        <v>41</v>
      </c>
      <c r="M610" s="2" t="s">
        <v>135</v>
      </c>
      <c r="N610" s="2" t="s">
        <v>1019</v>
      </c>
      <c r="O610" s="2" t="s">
        <v>981</v>
      </c>
      <c r="P610" s="2" t="s">
        <v>50</v>
      </c>
      <c r="Q610" s="2">
        <f>INDEX(Tables!$C$4:$C$28,MATCH($P610,Tables!$B$4:$B$28,0))</f>
        <v>16</v>
      </c>
      <c r="R610" s="2">
        <f>INDEX(Tables!$D$4:$D$28,MATCH($P610,Tables!$B$4:$B$28,0))</f>
        <v>2</v>
      </c>
      <c r="S610" s="2">
        <f>$S609+$R609+INDEX(Tables!$N$5:$Q$8,MATCH(MOD($S609+$R609,4),Tables!$M$5:$M$8,0),MATCH($R610,Tables!$N$4:$Q$4,0))</f>
        <v>2150</v>
      </c>
      <c r="T610" s="2" t="str">
        <f t="shared" si="144"/>
        <v>0866</v>
      </c>
      <c r="U610" s="2">
        <f t="shared" si="135"/>
        <v>537</v>
      </c>
      <c r="V610" s="2" t="str">
        <f t="shared" si="145"/>
        <v>219</v>
      </c>
      <c r="W610" s="2" t="str">
        <f t="shared" si="146"/>
        <v>X</v>
      </c>
      <c r="X610" s="2" t="str">
        <f t="shared" si="147"/>
        <v>X</v>
      </c>
      <c r="Y610" s="2" t="str">
        <f t="shared" si="148"/>
        <v/>
      </c>
      <c r="Z610" s="2" t="str">
        <f t="shared" si="149"/>
        <v/>
      </c>
      <c r="AA610" s="2" t="str">
        <f t="shared" si="136"/>
        <v>(31 downto 24)</v>
      </c>
      <c r="AB610" s="2" t="str">
        <f t="shared" si="137"/>
        <v>(23 downto 16)</v>
      </c>
      <c r="AC610" s="2" t="str">
        <f t="shared" si="138"/>
        <v/>
      </c>
      <c r="AD610" s="2" t="str">
        <f t="shared" si="139"/>
        <v/>
      </c>
      <c r="AE610" s="2" t="str">
        <f t="shared" si="140"/>
        <v>(15 downto 8)</v>
      </c>
      <c r="AF610" s="2" t="str">
        <f t="shared" si="141"/>
        <v>(7 downto 0)</v>
      </c>
      <c r="AG610" s="2" t="str">
        <f t="shared" si="142"/>
        <v/>
      </c>
      <c r="AH610" s="2" t="str">
        <f t="shared" si="143"/>
        <v/>
      </c>
    </row>
    <row r="611" spans="2:34" x14ac:dyDescent="0.25">
      <c r="B611" s="2" t="s">
        <v>1016</v>
      </c>
      <c r="D611" s="2" t="s">
        <v>1</v>
      </c>
      <c r="E611" s="2" t="s">
        <v>134</v>
      </c>
      <c r="F611" s="2" t="s">
        <v>1030</v>
      </c>
      <c r="G611" s="2" t="s">
        <v>1031</v>
      </c>
      <c r="H611" s="2" t="s">
        <v>982</v>
      </c>
      <c r="I611" s="2" t="s">
        <v>42</v>
      </c>
      <c r="J611" s="2">
        <v>16</v>
      </c>
      <c r="K611" s="2" t="s">
        <v>137</v>
      </c>
      <c r="L611" s="2" t="s">
        <v>41</v>
      </c>
      <c r="M611" s="2" t="s">
        <v>135</v>
      </c>
      <c r="N611" s="2" t="s">
        <v>1019</v>
      </c>
      <c r="O611" s="2" t="s">
        <v>983</v>
      </c>
      <c r="P611" s="2" t="s">
        <v>50</v>
      </c>
      <c r="Q611" s="2">
        <f>INDEX(Tables!$C$4:$C$28,MATCH($P611,Tables!$B$4:$B$28,0))</f>
        <v>16</v>
      </c>
      <c r="R611" s="2">
        <f>INDEX(Tables!$D$4:$D$28,MATCH($P611,Tables!$B$4:$B$28,0))</f>
        <v>2</v>
      </c>
      <c r="S611" s="2">
        <f>$S610+$R610+INDEX(Tables!$N$5:$Q$8,MATCH(MOD($S610+$R610,4),Tables!$M$5:$M$8,0),MATCH($R611,Tables!$N$4:$Q$4,0))</f>
        <v>2152</v>
      </c>
      <c r="T611" s="2" t="str">
        <f t="shared" si="144"/>
        <v>0868</v>
      </c>
      <c r="U611" s="2">
        <f t="shared" si="135"/>
        <v>538</v>
      </c>
      <c r="V611" s="2" t="str">
        <f t="shared" si="145"/>
        <v>21A</v>
      </c>
      <c r="W611" s="2" t="str">
        <f t="shared" si="146"/>
        <v/>
      </c>
      <c r="X611" s="2" t="str">
        <f t="shared" si="147"/>
        <v/>
      </c>
      <c r="Y611" s="2" t="str">
        <f t="shared" si="148"/>
        <v>X</v>
      </c>
      <c r="Z611" s="2" t="str">
        <f t="shared" si="149"/>
        <v>X</v>
      </c>
      <c r="AA611" s="2" t="str">
        <f t="shared" si="136"/>
        <v/>
      </c>
      <c r="AB611" s="2" t="str">
        <f t="shared" si="137"/>
        <v/>
      </c>
      <c r="AC611" s="2" t="str">
        <f t="shared" si="138"/>
        <v>(15 downto 8)</v>
      </c>
      <c r="AD611" s="2" t="str">
        <f t="shared" si="139"/>
        <v>(7 downto 0)</v>
      </c>
      <c r="AE611" s="2" t="str">
        <f t="shared" si="140"/>
        <v/>
      </c>
      <c r="AF611" s="2" t="str">
        <f t="shared" si="141"/>
        <v/>
      </c>
      <c r="AG611" s="2" t="str">
        <f t="shared" si="142"/>
        <v>(15 downto 8)</v>
      </c>
      <c r="AH611" s="2" t="str">
        <f t="shared" si="143"/>
        <v>(7 downto 0)</v>
      </c>
    </row>
    <row r="612" spans="2:34" x14ac:dyDescent="0.25">
      <c r="B612" s="2" t="s">
        <v>1032</v>
      </c>
      <c r="D612" s="2" t="s">
        <v>1</v>
      </c>
      <c r="E612" s="2" t="s">
        <v>134</v>
      </c>
      <c r="F612" s="2" t="s">
        <v>1033</v>
      </c>
      <c r="G612" s="2" t="s">
        <v>1034</v>
      </c>
      <c r="H612" s="2" t="s">
        <v>419</v>
      </c>
      <c r="I612" s="2" t="s">
        <v>42</v>
      </c>
      <c r="J612" s="2">
        <v>5</v>
      </c>
      <c r="K612" s="2" t="s">
        <v>137</v>
      </c>
      <c r="L612" s="2" t="s">
        <v>41</v>
      </c>
      <c r="M612" s="2" t="s">
        <v>135</v>
      </c>
      <c r="N612" s="2" t="s">
        <v>1035</v>
      </c>
      <c r="O612" s="2" t="s">
        <v>421</v>
      </c>
      <c r="P612" s="2" t="s">
        <v>48</v>
      </c>
      <c r="Q612" s="2">
        <f>INDEX(Tables!$C$4:$C$28,MATCH($P612,Tables!$B$4:$B$28,0))</f>
        <v>8</v>
      </c>
      <c r="R612" s="2">
        <f>INDEX(Tables!$D$4:$D$28,MATCH($P612,Tables!$B$4:$B$28,0))</f>
        <v>1</v>
      </c>
      <c r="S612" s="2">
        <f>$S611+$R611+INDEX(Tables!$N$5:$Q$8,MATCH(MOD($S611+$R611,4),Tables!$M$5:$M$8,0),MATCH($R612,Tables!$N$4:$Q$4,0))</f>
        <v>2154</v>
      </c>
      <c r="T612" s="2" t="str">
        <f t="shared" si="144"/>
        <v>086A</v>
      </c>
      <c r="U612" s="2">
        <f t="shared" si="135"/>
        <v>538</v>
      </c>
      <c r="V612" s="2" t="str">
        <f t="shared" si="145"/>
        <v>21A</v>
      </c>
      <c r="W612" s="2" t="str">
        <f t="shared" si="146"/>
        <v/>
      </c>
      <c r="X612" s="2" t="str">
        <f t="shared" si="147"/>
        <v>X</v>
      </c>
      <c r="Y612" s="2" t="str">
        <f t="shared" si="148"/>
        <v/>
      </c>
      <c r="Z612" s="2" t="str">
        <f t="shared" si="149"/>
        <v/>
      </c>
      <c r="AA612" s="2" t="str">
        <f t="shared" si="136"/>
        <v/>
      </c>
      <c r="AB612" s="2" t="str">
        <f t="shared" si="137"/>
        <v>(20 downto 16)</v>
      </c>
      <c r="AC612" s="2" t="str">
        <f t="shared" si="138"/>
        <v/>
      </c>
      <c r="AD612" s="2" t="str">
        <f t="shared" si="139"/>
        <v/>
      </c>
      <c r="AE612" s="2" t="str">
        <f t="shared" si="140"/>
        <v/>
      </c>
      <c r="AF612" s="2" t="str">
        <f t="shared" si="141"/>
        <v/>
      </c>
      <c r="AG612" s="2" t="str">
        <f t="shared" si="142"/>
        <v/>
      </c>
      <c r="AH612" s="2" t="str">
        <f t="shared" si="143"/>
        <v/>
      </c>
    </row>
    <row r="613" spans="2:34" x14ac:dyDescent="0.25">
      <c r="B613" s="2" t="s">
        <v>1032</v>
      </c>
      <c r="D613" s="2" t="s">
        <v>1</v>
      </c>
      <c r="E613" s="2" t="s">
        <v>134</v>
      </c>
      <c r="F613" s="2" t="s">
        <v>1033</v>
      </c>
      <c r="G613" s="2" t="s">
        <v>1034</v>
      </c>
      <c r="H613" s="2" t="s">
        <v>422</v>
      </c>
      <c r="I613" s="2" t="s">
        <v>42</v>
      </c>
      <c r="J613" s="2">
        <v>1</v>
      </c>
      <c r="K613" s="2" t="s">
        <v>82</v>
      </c>
      <c r="L613" s="2" t="s">
        <v>41</v>
      </c>
      <c r="M613" s="2" t="s">
        <v>135</v>
      </c>
      <c r="N613" s="2" t="s">
        <v>1035</v>
      </c>
      <c r="O613" s="2" t="s">
        <v>423</v>
      </c>
      <c r="P613" s="2" t="s">
        <v>5</v>
      </c>
      <c r="Q613" s="2">
        <f>INDEX(Tables!$C$4:$C$28,MATCH($P613,Tables!$B$4:$B$28,0))</f>
        <v>32</v>
      </c>
      <c r="R613" s="2">
        <f>INDEX(Tables!$D$4:$D$28,MATCH($P613,Tables!$B$4:$B$28,0))</f>
        <v>4</v>
      </c>
      <c r="S613" s="2">
        <f>$S612+$R612+INDEX(Tables!$N$5:$Q$8,MATCH(MOD($S612+$R612,4),Tables!$M$5:$M$8,0),MATCH($R613,Tables!$N$4:$Q$4,0))</f>
        <v>2156</v>
      </c>
      <c r="T613" s="2" t="str">
        <f t="shared" si="144"/>
        <v>086C</v>
      </c>
      <c r="U613" s="2">
        <f t="shared" si="135"/>
        <v>539</v>
      </c>
      <c r="V613" s="2" t="str">
        <f t="shared" si="145"/>
        <v>21B</v>
      </c>
      <c r="W613" s="2" t="str">
        <f t="shared" si="146"/>
        <v/>
      </c>
      <c r="X613" s="2" t="str">
        <f t="shared" si="147"/>
        <v/>
      </c>
      <c r="Y613" s="2" t="str">
        <f t="shared" si="148"/>
        <v/>
      </c>
      <c r="Z613" s="2" t="str">
        <f t="shared" si="149"/>
        <v>X</v>
      </c>
      <c r="AA613" s="2" t="str">
        <f t="shared" si="136"/>
        <v/>
      </c>
      <c r="AB613" s="2" t="str">
        <f t="shared" si="137"/>
        <v/>
      </c>
      <c r="AC613" s="2" t="str">
        <f t="shared" si="138"/>
        <v/>
      </c>
      <c r="AD613" s="2" t="str">
        <f t="shared" si="139"/>
        <v>(0)</v>
      </c>
      <c r="AE613" s="2" t="str">
        <f t="shared" si="140"/>
        <v/>
      </c>
      <c r="AF613" s="2" t="str">
        <f t="shared" si="141"/>
        <v/>
      </c>
      <c r="AG613" s="2" t="str">
        <f t="shared" si="142"/>
        <v/>
      </c>
      <c r="AH613" s="2" t="str">
        <f t="shared" si="143"/>
        <v/>
      </c>
    </row>
    <row r="614" spans="2:34" x14ac:dyDescent="0.25">
      <c r="B614" s="2" t="s">
        <v>1032</v>
      </c>
      <c r="D614" s="2" t="s">
        <v>1</v>
      </c>
      <c r="E614" s="2" t="s">
        <v>134</v>
      </c>
      <c r="F614" s="2" t="s">
        <v>1033</v>
      </c>
      <c r="G614" s="2" t="s">
        <v>1034</v>
      </c>
      <c r="H614" s="2" t="s">
        <v>424</v>
      </c>
      <c r="I614" s="2" t="s">
        <v>42</v>
      </c>
      <c r="J614" s="2">
        <v>1</v>
      </c>
      <c r="K614" s="2" t="s">
        <v>82</v>
      </c>
      <c r="L614" s="2" t="s">
        <v>41</v>
      </c>
      <c r="M614" s="2" t="s">
        <v>135</v>
      </c>
      <c r="N614" s="2" t="s">
        <v>1035</v>
      </c>
      <c r="O614" s="2" t="s">
        <v>425</v>
      </c>
      <c r="P614" s="2" t="s">
        <v>5</v>
      </c>
      <c r="Q614" s="2">
        <f>INDEX(Tables!$C$4:$C$28,MATCH($P614,Tables!$B$4:$B$28,0))</f>
        <v>32</v>
      </c>
      <c r="R614" s="2">
        <f>INDEX(Tables!$D$4:$D$28,MATCH($P614,Tables!$B$4:$B$28,0))</f>
        <v>4</v>
      </c>
      <c r="S614" s="2">
        <f>$S613+$R613+INDEX(Tables!$N$5:$Q$8,MATCH(MOD($S613+$R613,4),Tables!$M$5:$M$8,0),MATCH($R614,Tables!$N$4:$Q$4,0))</f>
        <v>2160</v>
      </c>
      <c r="T614" s="2" t="str">
        <f t="shared" si="144"/>
        <v>0870</v>
      </c>
      <c r="U614" s="2">
        <f t="shared" si="135"/>
        <v>540</v>
      </c>
      <c r="V614" s="2" t="str">
        <f t="shared" si="145"/>
        <v>21C</v>
      </c>
      <c r="W614" s="2" t="str">
        <f t="shared" si="146"/>
        <v/>
      </c>
      <c r="X614" s="2" t="str">
        <f t="shared" si="147"/>
        <v/>
      </c>
      <c r="Y614" s="2" t="str">
        <f t="shared" si="148"/>
        <v/>
      </c>
      <c r="Z614" s="2" t="str">
        <f t="shared" si="149"/>
        <v>X</v>
      </c>
      <c r="AA614" s="2" t="str">
        <f t="shared" si="136"/>
        <v/>
      </c>
      <c r="AB614" s="2" t="str">
        <f t="shared" si="137"/>
        <v/>
      </c>
      <c r="AC614" s="2" t="str">
        <f t="shared" si="138"/>
        <v/>
      </c>
      <c r="AD614" s="2" t="str">
        <f t="shared" si="139"/>
        <v>(0)</v>
      </c>
      <c r="AE614" s="2" t="str">
        <f t="shared" si="140"/>
        <v/>
      </c>
      <c r="AF614" s="2" t="str">
        <f t="shared" si="141"/>
        <v/>
      </c>
      <c r="AG614" s="2" t="str">
        <f t="shared" si="142"/>
        <v/>
      </c>
      <c r="AH614" s="2" t="str">
        <f t="shared" si="143"/>
        <v/>
      </c>
    </row>
    <row r="615" spans="2:34" x14ac:dyDescent="0.25">
      <c r="B615" s="2" t="s">
        <v>1032</v>
      </c>
      <c r="D615" s="2" t="s">
        <v>1</v>
      </c>
      <c r="E615" s="2" t="s">
        <v>134</v>
      </c>
      <c r="F615" s="2" t="s">
        <v>1033</v>
      </c>
      <c r="G615" s="2" t="s">
        <v>1034</v>
      </c>
      <c r="H615" s="2" t="s">
        <v>426</v>
      </c>
      <c r="I615" s="2" t="s">
        <v>42</v>
      </c>
      <c r="J615" s="2">
        <v>1</v>
      </c>
      <c r="K615" s="2" t="s">
        <v>82</v>
      </c>
      <c r="L615" s="2" t="s">
        <v>41</v>
      </c>
      <c r="M615" s="2" t="s">
        <v>135</v>
      </c>
      <c r="N615" s="2" t="s">
        <v>1035</v>
      </c>
      <c r="O615" s="2" t="s">
        <v>427</v>
      </c>
      <c r="P615" s="2" t="s">
        <v>5</v>
      </c>
      <c r="Q615" s="2">
        <f>INDEX(Tables!$C$4:$C$28,MATCH($P615,Tables!$B$4:$B$28,0))</f>
        <v>32</v>
      </c>
      <c r="R615" s="2">
        <f>INDEX(Tables!$D$4:$D$28,MATCH($P615,Tables!$B$4:$B$28,0))</f>
        <v>4</v>
      </c>
      <c r="S615" s="2">
        <f>$S614+$R614+INDEX(Tables!$N$5:$Q$8,MATCH(MOD($S614+$R614,4),Tables!$M$5:$M$8,0),MATCH($R615,Tables!$N$4:$Q$4,0))</f>
        <v>2164</v>
      </c>
      <c r="T615" s="2" t="str">
        <f t="shared" si="144"/>
        <v>0874</v>
      </c>
      <c r="U615" s="2">
        <f t="shared" si="135"/>
        <v>541</v>
      </c>
      <c r="V615" s="2" t="str">
        <f t="shared" si="145"/>
        <v>21D</v>
      </c>
      <c r="W615" s="2" t="str">
        <f t="shared" si="146"/>
        <v/>
      </c>
      <c r="X615" s="2" t="str">
        <f t="shared" si="147"/>
        <v/>
      </c>
      <c r="Y615" s="2" t="str">
        <f t="shared" si="148"/>
        <v/>
      </c>
      <c r="Z615" s="2" t="str">
        <f t="shared" si="149"/>
        <v>X</v>
      </c>
      <c r="AA615" s="2" t="str">
        <f t="shared" si="136"/>
        <v/>
      </c>
      <c r="AB615" s="2" t="str">
        <f t="shared" si="137"/>
        <v/>
      </c>
      <c r="AC615" s="2" t="str">
        <f t="shared" si="138"/>
        <v/>
      </c>
      <c r="AD615" s="2" t="str">
        <f t="shared" si="139"/>
        <v>(0)</v>
      </c>
      <c r="AE615" s="2" t="str">
        <f t="shared" si="140"/>
        <v/>
      </c>
      <c r="AF615" s="2" t="str">
        <f t="shared" si="141"/>
        <v/>
      </c>
      <c r="AG615" s="2" t="str">
        <f t="shared" si="142"/>
        <v/>
      </c>
      <c r="AH615" s="2" t="str">
        <f t="shared" si="143"/>
        <v/>
      </c>
    </row>
    <row r="616" spans="2:34" x14ac:dyDescent="0.25">
      <c r="B616" s="2" t="s">
        <v>1032</v>
      </c>
      <c r="D616" s="2" t="s">
        <v>1</v>
      </c>
      <c r="E616" s="2" t="s">
        <v>134</v>
      </c>
      <c r="F616" s="2" t="s">
        <v>1033</v>
      </c>
      <c r="G616" s="2" t="s">
        <v>1034</v>
      </c>
      <c r="H616" s="2" t="s">
        <v>428</v>
      </c>
      <c r="I616" s="2" t="s">
        <v>42</v>
      </c>
      <c r="J616" s="2">
        <v>1</v>
      </c>
      <c r="K616" s="2" t="s">
        <v>82</v>
      </c>
      <c r="L616" s="2" t="s">
        <v>41</v>
      </c>
      <c r="M616" s="2" t="s">
        <v>135</v>
      </c>
      <c r="N616" s="2" t="s">
        <v>1035</v>
      </c>
      <c r="O616" s="2" t="s">
        <v>429</v>
      </c>
      <c r="P616" s="2" t="s">
        <v>5</v>
      </c>
      <c r="Q616" s="2">
        <f>INDEX(Tables!$C$4:$C$28,MATCH($P616,Tables!$B$4:$B$28,0))</f>
        <v>32</v>
      </c>
      <c r="R616" s="2">
        <f>INDEX(Tables!$D$4:$D$28,MATCH($P616,Tables!$B$4:$B$28,0))</f>
        <v>4</v>
      </c>
      <c r="S616" s="2">
        <f>$S615+$R615+INDEX(Tables!$N$5:$Q$8,MATCH(MOD($S615+$R615,4),Tables!$M$5:$M$8,0),MATCH($R616,Tables!$N$4:$Q$4,0))</f>
        <v>2168</v>
      </c>
      <c r="T616" s="2" t="str">
        <f t="shared" si="144"/>
        <v>0878</v>
      </c>
      <c r="U616" s="2">
        <f t="shared" si="135"/>
        <v>542</v>
      </c>
      <c r="V616" s="2" t="str">
        <f t="shared" si="145"/>
        <v>21E</v>
      </c>
      <c r="W616" s="2" t="str">
        <f t="shared" si="146"/>
        <v/>
      </c>
      <c r="X616" s="2" t="str">
        <f t="shared" si="147"/>
        <v/>
      </c>
      <c r="Y616" s="2" t="str">
        <f t="shared" si="148"/>
        <v/>
      </c>
      <c r="Z616" s="2" t="str">
        <f t="shared" si="149"/>
        <v>X</v>
      </c>
      <c r="AA616" s="2" t="str">
        <f t="shared" si="136"/>
        <v/>
      </c>
      <c r="AB616" s="2" t="str">
        <f t="shared" si="137"/>
        <v/>
      </c>
      <c r="AC616" s="2" t="str">
        <f t="shared" si="138"/>
        <v/>
      </c>
      <c r="AD616" s="2" t="str">
        <f t="shared" si="139"/>
        <v>(0)</v>
      </c>
      <c r="AE616" s="2" t="str">
        <f t="shared" si="140"/>
        <v/>
      </c>
      <c r="AF616" s="2" t="str">
        <f t="shared" si="141"/>
        <v/>
      </c>
      <c r="AG616" s="2" t="str">
        <f t="shared" si="142"/>
        <v/>
      </c>
      <c r="AH616" s="2" t="str">
        <f t="shared" si="143"/>
        <v/>
      </c>
    </row>
    <row r="617" spans="2:34" x14ac:dyDescent="0.25">
      <c r="B617" s="2" t="s">
        <v>1032</v>
      </c>
      <c r="D617" s="2" t="s">
        <v>1</v>
      </c>
      <c r="E617" s="2" t="s">
        <v>134</v>
      </c>
      <c r="F617" s="2" t="s">
        <v>1033</v>
      </c>
      <c r="G617" s="2" t="s">
        <v>1034</v>
      </c>
      <c r="H617" s="2" t="s">
        <v>430</v>
      </c>
      <c r="I617" s="2" t="s">
        <v>42</v>
      </c>
      <c r="J617" s="2">
        <v>1</v>
      </c>
      <c r="K617" s="2" t="s">
        <v>82</v>
      </c>
      <c r="L617" s="2" t="s">
        <v>41</v>
      </c>
      <c r="M617" s="2" t="s">
        <v>135</v>
      </c>
      <c r="N617" s="2" t="s">
        <v>1035</v>
      </c>
      <c r="O617" s="2" t="s">
        <v>431</v>
      </c>
      <c r="P617" s="2" t="s">
        <v>5</v>
      </c>
      <c r="Q617" s="2">
        <f>INDEX(Tables!$C$4:$C$28,MATCH($P617,Tables!$B$4:$B$28,0))</f>
        <v>32</v>
      </c>
      <c r="R617" s="2">
        <f>INDEX(Tables!$D$4:$D$28,MATCH($P617,Tables!$B$4:$B$28,0))</f>
        <v>4</v>
      </c>
      <c r="S617" s="2">
        <f>$S616+$R616+INDEX(Tables!$N$5:$Q$8,MATCH(MOD($S616+$R616,4),Tables!$M$5:$M$8,0),MATCH($R617,Tables!$N$4:$Q$4,0))</f>
        <v>2172</v>
      </c>
      <c r="T617" s="2" t="str">
        <f t="shared" si="144"/>
        <v>087C</v>
      </c>
      <c r="U617" s="2">
        <f t="shared" si="135"/>
        <v>543</v>
      </c>
      <c r="V617" s="2" t="str">
        <f t="shared" si="145"/>
        <v>21F</v>
      </c>
      <c r="W617" s="2" t="str">
        <f t="shared" si="146"/>
        <v/>
      </c>
      <c r="X617" s="2" t="str">
        <f t="shared" si="147"/>
        <v/>
      </c>
      <c r="Y617" s="2" t="str">
        <f t="shared" si="148"/>
        <v/>
      </c>
      <c r="Z617" s="2" t="str">
        <f t="shared" si="149"/>
        <v>X</v>
      </c>
      <c r="AA617" s="2" t="str">
        <f t="shared" si="136"/>
        <v/>
      </c>
      <c r="AB617" s="2" t="str">
        <f t="shared" si="137"/>
        <v/>
      </c>
      <c r="AC617" s="2" t="str">
        <f t="shared" si="138"/>
        <v/>
      </c>
      <c r="AD617" s="2" t="str">
        <f t="shared" si="139"/>
        <v>(0)</v>
      </c>
      <c r="AE617" s="2" t="str">
        <f t="shared" si="140"/>
        <v/>
      </c>
      <c r="AF617" s="2" t="str">
        <f t="shared" si="141"/>
        <v/>
      </c>
      <c r="AG617" s="2" t="str">
        <f t="shared" si="142"/>
        <v/>
      </c>
      <c r="AH617" s="2" t="str">
        <f t="shared" si="143"/>
        <v/>
      </c>
    </row>
    <row r="618" spans="2:34" x14ac:dyDescent="0.25">
      <c r="B618" s="2" t="s">
        <v>1032</v>
      </c>
      <c r="D618" s="2" t="s">
        <v>1</v>
      </c>
      <c r="E618" s="2" t="s">
        <v>134</v>
      </c>
      <c r="F618" s="2" t="s">
        <v>1033</v>
      </c>
      <c r="G618" s="2" t="s">
        <v>1034</v>
      </c>
      <c r="H618" s="2" t="s">
        <v>432</v>
      </c>
      <c r="I618" s="2" t="s">
        <v>42</v>
      </c>
      <c r="J618" s="2">
        <v>1</v>
      </c>
      <c r="K618" s="2" t="s">
        <v>82</v>
      </c>
      <c r="L618" s="2" t="s">
        <v>41</v>
      </c>
      <c r="M618" s="2" t="s">
        <v>135</v>
      </c>
      <c r="N618" s="2" t="s">
        <v>1035</v>
      </c>
      <c r="O618" s="2" t="s">
        <v>433</v>
      </c>
      <c r="P618" s="2" t="s">
        <v>5</v>
      </c>
      <c r="Q618" s="2">
        <f>INDEX(Tables!$C$4:$C$28,MATCH($P618,Tables!$B$4:$B$28,0))</f>
        <v>32</v>
      </c>
      <c r="R618" s="2">
        <f>INDEX(Tables!$D$4:$D$28,MATCH($P618,Tables!$B$4:$B$28,0))</f>
        <v>4</v>
      </c>
      <c r="S618" s="2">
        <f>$S617+$R617+INDEX(Tables!$N$5:$Q$8,MATCH(MOD($S617+$R617,4),Tables!$M$5:$M$8,0),MATCH($R618,Tables!$N$4:$Q$4,0))</f>
        <v>2176</v>
      </c>
      <c r="T618" s="2" t="str">
        <f t="shared" si="144"/>
        <v>0880</v>
      </c>
      <c r="U618" s="2">
        <f t="shared" ref="U618:U681" si="150">ROUNDDOWN(S618/4,0)</f>
        <v>544</v>
      </c>
      <c r="V618" s="2" t="str">
        <f t="shared" si="145"/>
        <v>220</v>
      </c>
      <c r="W618" s="2" t="str">
        <f t="shared" si="146"/>
        <v/>
      </c>
      <c r="X618" s="2" t="str">
        <f t="shared" si="147"/>
        <v/>
      </c>
      <c r="Y618" s="2" t="str">
        <f t="shared" si="148"/>
        <v/>
      </c>
      <c r="Z618" s="2" t="str">
        <f t="shared" si="149"/>
        <v>X</v>
      </c>
      <c r="AA618" s="2" t="str">
        <f t="shared" ref="AA618:AA681" si="151">IF(W618="","",CONCATENATE("(",IF(($J618-COUNTIF($X618:$Z618,"X")*8)=1,"24)",CONCATENATE(IF(($J618-COUNTIF($X618:$Z618,"X")*8)&gt;=8,32,($J618-COUNTIF($X618:$Z618,"X")*8)+24)-1," downto 24)"))))</f>
        <v/>
      </c>
      <c r="AB618" s="2" t="str">
        <f t="shared" ref="AB618:AB681" si="152">IF(X618="","",CONCATENATE("(",IF(($J618-COUNTIF($Y618:$Z618,"X")*8)=1,"16)",CONCATENATE(IF(($J618-COUNTIF($Y618:$Z618,"X")*8)&gt;=8,24,($J618-COUNTIF($Y618:$Z618,"X")*8)+16)-1," downto 16)"))))</f>
        <v/>
      </c>
      <c r="AC618" s="2" t="str">
        <f t="shared" ref="AC618:AC681" si="153">IF(Y618="","",CONCATENATE("(",IF(($J618-COUNTIF($Z618,"X")*8)=1,"8)",CONCATENATE(IF(($J618-COUNTIF($Z618,"X")*8)&gt;=8,16,($J618-COUNTIF($Z618,"X")*8)+8)-1," downto 8)"))))</f>
        <v/>
      </c>
      <c r="AD618" s="2" t="str">
        <f t="shared" ref="AD618:AD681" si="154">IF(Z618="","",CONCATENATE("(",IF($J618=1,"0)",CONCATENATE(IF($J618&gt;=8,8,$J618)-1," downto 0)"))))</f>
        <v>(0)</v>
      </c>
      <c r="AE618" s="2" t="str">
        <f t="shared" ref="AE618:AE681" si="155">IF(W618="","",IF($J618&lt;=8,"",IF(($J618-COUNTIF($X618:$Z618,"X")*8)=1,CONCATENATE("(",($J618-1),")"),CONCATENATE("(",IF(($J618-COUNTIF($X618:$Z618,"X")*8)&gt;=8,COUNTIF($X618:$Z618,"X")*8+7,$J618-COUNTIF($X618:$Z618,"X")*8-1+COUNTIF($X618:$Z618,"X")*8)," downto ",COUNTIF($X618:$Z618,"X")*8,")"))))</f>
        <v/>
      </c>
      <c r="AF618" s="2" t="str">
        <f t="shared" ref="AF618:AF681" si="156">IF(X618="","",IF($J618&lt;=8,"",IF(($J618-COUNTIF($Y618:$Z618,"X")*8)=1,CONCATENATE("(",($J618-1),")"),CONCATENATE("(",IF(($J618-COUNTIF($Y618:$Z618,"X")*8)&gt;=8,COUNTIF($Y618:$Z618,"X")*8+7,$J618-COUNTIF($Y618:$Z618,"X")*8-1+COUNTIF($Y618:$Z618,"X")*8)," downto ",COUNTIF($Y618:$Z618,"X")*8,")"))))</f>
        <v/>
      </c>
      <c r="AG618" s="2" t="str">
        <f t="shared" ref="AG618:AG681" si="157">IF(Y618="","",IF($J618&lt;=8,"",IF(($J618-COUNTIF($Z618,"X")*8)=1,CONCATENATE("(",($J618-1),")"),CONCATENATE("(",IF(($J618-COUNTIF($Z618,"X")*8)&gt;=8,COUNTIF($Z618,"X")*8+7,$J618-COUNTIF($Z618,"X")*8-1+COUNTIF($Z618,"X")*8)," downto ",COUNTIF($Z618,"X")*8,")"))))</f>
        <v/>
      </c>
      <c r="AH618" s="2" t="str">
        <f t="shared" ref="AH618:AH681" si="158">IF(Z618="","",IF($J618&lt;=8,"",CONCATENATE("(",IF($J618&gt;=8,7,$J618-1)," downto ",0,")")))</f>
        <v/>
      </c>
    </row>
    <row r="619" spans="2:34" x14ac:dyDescent="0.25">
      <c r="B619" s="2" t="s">
        <v>1032</v>
      </c>
      <c r="D619" s="2" t="s">
        <v>1</v>
      </c>
      <c r="E619" s="2" t="s">
        <v>134</v>
      </c>
      <c r="F619" s="2" t="s">
        <v>1036</v>
      </c>
      <c r="G619" s="2" t="s">
        <v>1037</v>
      </c>
      <c r="H619" s="2" t="s">
        <v>436</v>
      </c>
      <c r="I619" s="2" t="s">
        <v>42</v>
      </c>
      <c r="J619" s="2">
        <v>1</v>
      </c>
      <c r="K619" s="2" t="s">
        <v>82</v>
      </c>
      <c r="L619" s="2" t="s">
        <v>41</v>
      </c>
      <c r="M619" s="2" t="s">
        <v>135</v>
      </c>
      <c r="N619" s="2" t="s">
        <v>1035</v>
      </c>
      <c r="O619" s="2" t="s">
        <v>437</v>
      </c>
      <c r="P619" s="2" t="s">
        <v>5</v>
      </c>
      <c r="Q619" s="2">
        <f>INDEX(Tables!$C$4:$C$28,MATCH($P619,Tables!$B$4:$B$28,0))</f>
        <v>32</v>
      </c>
      <c r="R619" s="2">
        <f>INDEX(Tables!$D$4:$D$28,MATCH($P619,Tables!$B$4:$B$28,0))</f>
        <v>4</v>
      </c>
      <c r="S619" s="2">
        <f>$S618+$R618+INDEX(Tables!$N$5:$Q$8,MATCH(MOD($S618+$R618,4),Tables!$M$5:$M$8,0),MATCH($R619,Tables!$N$4:$Q$4,0))</f>
        <v>2180</v>
      </c>
      <c r="T619" s="2" t="str">
        <f t="shared" si="144"/>
        <v>0884</v>
      </c>
      <c r="U619" s="2">
        <f t="shared" si="150"/>
        <v>545</v>
      </c>
      <c r="V619" s="2" t="str">
        <f t="shared" si="145"/>
        <v>221</v>
      </c>
      <c r="W619" s="2" t="str">
        <f t="shared" si="146"/>
        <v/>
      </c>
      <c r="X619" s="2" t="str">
        <f t="shared" si="147"/>
        <v/>
      </c>
      <c r="Y619" s="2" t="str">
        <f t="shared" si="148"/>
        <v/>
      </c>
      <c r="Z619" s="2" t="str">
        <f t="shared" si="149"/>
        <v>X</v>
      </c>
      <c r="AA619" s="2" t="str">
        <f t="shared" si="151"/>
        <v/>
      </c>
      <c r="AB619" s="2" t="str">
        <f t="shared" si="152"/>
        <v/>
      </c>
      <c r="AC619" s="2" t="str">
        <f t="shared" si="153"/>
        <v/>
      </c>
      <c r="AD619" s="2" t="str">
        <f t="shared" si="154"/>
        <v>(0)</v>
      </c>
      <c r="AE619" s="2" t="str">
        <f t="shared" si="155"/>
        <v/>
      </c>
      <c r="AF619" s="2" t="str">
        <f t="shared" si="156"/>
        <v/>
      </c>
      <c r="AG619" s="2" t="str">
        <f t="shared" si="157"/>
        <v/>
      </c>
      <c r="AH619" s="2" t="str">
        <f t="shared" si="158"/>
        <v/>
      </c>
    </row>
    <row r="620" spans="2:34" x14ac:dyDescent="0.25">
      <c r="B620" s="2" t="s">
        <v>1032</v>
      </c>
      <c r="D620" s="2" t="s">
        <v>1</v>
      </c>
      <c r="E620" s="2" t="s">
        <v>134</v>
      </c>
      <c r="F620" s="2" t="s">
        <v>1036</v>
      </c>
      <c r="G620" s="2" t="s">
        <v>1037</v>
      </c>
      <c r="H620" s="2" t="s">
        <v>438</v>
      </c>
      <c r="I620" s="2" t="s">
        <v>42</v>
      </c>
      <c r="J620" s="2">
        <v>1</v>
      </c>
      <c r="K620" s="2" t="s">
        <v>82</v>
      </c>
      <c r="L620" s="2" t="s">
        <v>41</v>
      </c>
      <c r="M620" s="2" t="s">
        <v>135</v>
      </c>
      <c r="N620" s="2" t="s">
        <v>1035</v>
      </c>
      <c r="O620" s="2" t="s">
        <v>439</v>
      </c>
      <c r="P620" s="2" t="s">
        <v>5</v>
      </c>
      <c r="Q620" s="2">
        <f>INDEX(Tables!$C$4:$C$28,MATCH($P620,Tables!$B$4:$B$28,0))</f>
        <v>32</v>
      </c>
      <c r="R620" s="2">
        <f>INDEX(Tables!$D$4:$D$28,MATCH($P620,Tables!$B$4:$B$28,0))</f>
        <v>4</v>
      </c>
      <c r="S620" s="2">
        <f>$S619+$R619+INDEX(Tables!$N$5:$Q$8,MATCH(MOD($S619+$R619,4),Tables!$M$5:$M$8,0),MATCH($R620,Tables!$N$4:$Q$4,0))</f>
        <v>2184</v>
      </c>
      <c r="T620" s="2" t="str">
        <f t="shared" si="144"/>
        <v>0888</v>
      </c>
      <c r="U620" s="2">
        <f t="shared" si="150"/>
        <v>546</v>
      </c>
      <c r="V620" s="2" t="str">
        <f t="shared" si="145"/>
        <v>222</v>
      </c>
      <c r="W620" s="2" t="str">
        <f t="shared" si="146"/>
        <v/>
      </c>
      <c r="X620" s="2" t="str">
        <f t="shared" si="147"/>
        <v/>
      </c>
      <c r="Y620" s="2" t="str">
        <f t="shared" si="148"/>
        <v/>
      </c>
      <c r="Z620" s="2" t="str">
        <f t="shared" si="149"/>
        <v>X</v>
      </c>
      <c r="AA620" s="2" t="str">
        <f t="shared" si="151"/>
        <v/>
      </c>
      <c r="AB620" s="2" t="str">
        <f t="shared" si="152"/>
        <v/>
      </c>
      <c r="AC620" s="2" t="str">
        <f t="shared" si="153"/>
        <v/>
      </c>
      <c r="AD620" s="2" t="str">
        <f t="shared" si="154"/>
        <v>(0)</v>
      </c>
      <c r="AE620" s="2" t="str">
        <f t="shared" si="155"/>
        <v/>
      </c>
      <c r="AF620" s="2" t="str">
        <f t="shared" si="156"/>
        <v/>
      </c>
      <c r="AG620" s="2" t="str">
        <f t="shared" si="157"/>
        <v/>
      </c>
      <c r="AH620" s="2" t="str">
        <f t="shared" si="158"/>
        <v/>
      </c>
    </row>
    <row r="621" spans="2:34" x14ac:dyDescent="0.25">
      <c r="B621" s="2" t="s">
        <v>1032</v>
      </c>
      <c r="D621" s="2" t="s">
        <v>1</v>
      </c>
      <c r="E621" s="2" t="s">
        <v>134</v>
      </c>
      <c r="F621" s="2" t="s">
        <v>1036</v>
      </c>
      <c r="G621" s="2" t="s">
        <v>1037</v>
      </c>
      <c r="H621" s="2" t="s">
        <v>440</v>
      </c>
      <c r="I621" s="2" t="s">
        <v>42</v>
      </c>
      <c r="J621" s="2">
        <v>1</v>
      </c>
      <c r="K621" s="2" t="s">
        <v>82</v>
      </c>
      <c r="L621" s="2" t="s">
        <v>41</v>
      </c>
      <c r="M621" s="2" t="s">
        <v>135</v>
      </c>
      <c r="N621" s="2" t="s">
        <v>1035</v>
      </c>
      <c r="O621" s="2" t="s">
        <v>441</v>
      </c>
      <c r="P621" s="2" t="s">
        <v>5</v>
      </c>
      <c r="Q621" s="2">
        <f>INDEX(Tables!$C$4:$C$28,MATCH($P621,Tables!$B$4:$B$28,0))</f>
        <v>32</v>
      </c>
      <c r="R621" s="2">
        <f>INDEX(Tables!$D$4:$D$28,MATCH($P621,Tables!$B$4:$B$28,0))</f>
        <v>4</v>
      </c>
      <c r="S621" s="2">
        <f>$S620+$R620+INDEX(Tables!$N$5:$Q$8,MATCH(MOD($S620+$R620,4),Tables!$M$5:$M$8,0),MATCH($R621,Tables!$N$4:$Q$4,0))</f>
        <v>2188</v>
      </c>
      <c r="T621" s="2" t="str">
        <f t="shared" si="144"/>
        <v>088C</v>
      </c>
      <c r="U621" s="2">
        <f t="shared" si="150"/>
        <v>547</v>
      </c>
      <c r="V621" s="2" t="str">
        <f t="shared" si="145"/>
        <v>223</v>
      </c>
      <c r="W621" s="2" t="str">
        <f t="shared" si="146"/>
        <v/>
      </c>
      <c r="X621" s="2" t="str">
        <f t="shared" si="147"/>
        <v/>
      </c>
      <c r="Y621" s="2" t="str">
        <f t="shared" si="148"/>
        <v/>
      </c>
      <c r="Z621" s="2" t="str">
        <f t="shared" si="149"/>
        <v>X</v>
      </c>
      <c r="AA621" s="2" t="str">
        <f t="shared" si="151"/>
        <v/>
      </c>
      <c r="AB621" s="2" t="str">
        <f t="shared" si="152"/>
        <v/>
      </c>
      <c r="AC621" s="2" t="str">
        <f t="shared" si="153"/>
        <v/>
      </c>
      <c r="AD621" s="2" t="str">
        <f t="shared" si="154"/>
        <v>(0)</v>
      </c>
      <c r="AE621" s="2" t="str">
        <f t="shared" si="155"/>
        <v/>
      </c>
      <c r="AF621" s="2" t="str">
        <f t="shared" si="156"/>
        <v/>
      </c>
      <c r="AG621" s="2" t="str">
        <f t="shared" si="157"/>
        <v/>
      </c>
      <c r="AH621" s="2" t="str">
        <f t="shared" si="158"/>
        <v/>
      </c>
    </row>
    <row r="622" spans="2:34" x14ac:dyDescent="0.25">
      <c r="B622" s="2" t="s">
        <v>1032</v>
      </c>
      <c r="D622" s="2" t="s">
        <v>1</v>
      </c>
      <c r="E622" s="2" t="s">
        <v>134</v>
      </c>
      <c r="F622" s="2" t="s">
        <v>1036</v>
      </c>
      <c r="G622" s="2" t="s">
        <v>1037</v>
      </c>
      <c r="H622" s="2" t="s">
        <v>442</v>
      </c>
      <c r="I622" s="2" t="s">
        <v>42</v>
      </c>
      <c r="J622" s="2">
        <v>1</v>
      </c>
      <c r="K622" s="2" t="s">
        <v>82</v>
      </c>
      <c r="L622" s="2" t="s">
        <v>41</v>
      </c>
      <c r="M622" s="2" t="s">
        <v>135</v>
      </c>
      <c r="N622" s="2" t="s">
        <v>1035</v>
      </c>
      <c r="O622" s="2" t="s">
        <v>443</v>
      </c>
      <c r="P622" s="2" t="s">
        <v>5</v>
      </c>
      <c r="Q622" s="2">
        <f>INDEX(Tables!$C$4:$C$28,MATCH($P622,Tables!$B$4:$B$28,0))</f>
        <v>32</v>
      </c>
      <c r="R622" s="2">
        <f>INDEX(Tables!$D$4:$D$28,MATCH($P622,Tables!$B$4:$B$28,0))</f>
        <v>4</v>
      </c>
      <c r="S622" s="2">
        <f>$S621+$R621+INDEX(Tables!$N$5:$Q$8,MATCH(MOD($S621+$R621,4),Tables!$M$5:$M$8,0),MATCH($R622,Tables!$N$4:$Q$4,0))</f>
        <v>2192</v>
      </c>
      <c r="T622" s="2" t="str">
        <f t="shared" si="144"/>
        <v>0890</v>
      </c>
      <c r="U622" s="2">
        <f t="shared" si="150"/>
        <v>548</v>
      </c>
      <c r="V622" s="2" t="str">
        <f t="shared" si="145"/>
        <v>224</v>
      </c>
      <c r="W622" s="2" t="str">
        <f t="shared" si="146"/>
        <v/>
      </c>
      <c r="X622" s="2" t="str">
        <f t="shared" si="147"/>
        <v/>
      </c>
      <c r="Y622" s="2" t="str">
        <f t="shared" si="148"/>
        <v/>
      </c>
      <c r="Z622" s="2" t="str">
        <f t="shared" si="149"/>
        <v>X</v>
      </c>
      <c r="AA622" s="2" t="str">
        <f t="shared" si="151"/>
        <v/>
      </c>
      <c r="AB622" s="2" t="str">
        <f t="shared" si="152"/>
        <v/>
      </c>
      <c r="AC622" s="2" t="str">
        <f t="shared" si="153"/>
        <v/>
      </c>
      <c r="AD622" s="2" t="str">
        <f t="shared" si="154"/>
        <v>(0)</v>
      </c>
      <c r="AE622" s="2" t="str">
        <f t="shared" si="155"/>
        <v/>
      </c>
      <c r="AF622" s="2" t="str">
        <f t="shared" si="156"/>
        <v/>
      </c>
      <c r="AG622" s="2" t="str">
        <f t="shared" si="157"/>
        <v/>
      </c>
      <c r="AH622" s="2" t="str">
        <f t="shared" si="158"/>
        <v/>
      </c>
    </row>
    <row r="623" spans="2:34" x14ac:dyDescent="0.25">
      <c r="B623" s="2" t="s">
        <v>1032</v>
      </c>
      <c r="D623" s="2" t="s">
        <v>1</v>
      </c>
      <c r="E623" s="2" t="s">
        <v>134</v>
      </c>
      <c r="F623" s="2" t="s">
        <v>1036</v>
      </c>
      <c r="G623" s="2" t="s">
        <v>1037</v>
      </c>
      <c r="H623" s="2" t="s">
        <v>444</v>
      </c>
      <c r="I623" s="2" t="s">
        <v>42</v>
      </c>
      <c r="J623" s="2">
        <v>1</v>
      </c>
      <c r="K623" s="2" t="s">
        <v>82</v>
      </c>
      <c r="L623" s="2" t="s">
        <v>41</v>
      </c>
      <c r="M623" s="2" t="s">
        <v>135</v>
      </c>
      <c r="N623" s="2" t="s">
        <v>1035</v>
      </c>
      <c r="O623" s="2" t="s">
        <v>445</v>
      </c>
      <c r="P623" s="2" t="s">
        <v>5</v>
      </c>
      <c r="Q623" s="2">
        <f>INDEX(Tables!$C$4:$C$28,MATCH($P623,Tables!$B$4:$B$28,0))</f>
        <v>32</v>
      </c>
      <c r="R623" s="2">
        <f>INDEX(Tables!$D$4:$D$28,MATCH($P623,Tables!$B$4:$B$28,0))</f>
        <v>4</v>
      </c>
      <c r="S623" s="2">
        <f>$S622+$R622+INDEX(Tables!$N$5:$Q$8,MATCH(MOD($S622+$R622,4),Tables!$M$5:$M$8,0),MATCH($R623,Tables!$N$4:$Q$4,0))</f>
        <v>2196</v>
      </c>
      <c r="T623" s="2" t="str">
        <f t="shared" si="144"/>
        <v>0894</v>
      </c>
      <c r="U623" s="2">
        <f t="shared" si="150"/>
        <v>549</v>
      </c>
      <c r="V623" s="2" t="str">
        <f t="shared" si="145"/>
        <v>225</v>
      </c>
      <c r="W623" s="2" t="str">
        <f t="shared" si="146"/>
        <v/>
      </c>
      <c r="X623" s="2" t="str">
        <f t="shared" si="147"/>
        <v/>
      </c>
      <c r="Y623" s="2" t="str">
        <f t="shared" si="148"/>
        <v/>
      </c>
      <c r="Z623" s="2" t="str">
        <f t="shared" si="149"/>
        <v>X</v>
      </c>
      <c r="AA623" s="2" t="str">
        <f t="shared" si="151"/>
        <v/>
      </c>
      <c r="AB623" s="2" t="str">
        <f t="shared" si="152"/>
        <v/>
      </c>
      <c r="AC623" s="2" t="str">
        <f t="shared" si="153"/>
        <v/>
      </c>
      <c r="AD623" s="2" t="str">
        <f t="shared" si="154"/>
        <v>(0)</v>
      </c>
      <c r="AE623" s="2" t="str">
        <f t="shared" si="155"/>
        <v/>
      </c>
      <c r="AF623" s="2" t="str">
        <f t="shared" si="156"/>
        <v/>
      </c>
      <c r="AG623" s="2" t="str">
        <f t="shared" si="157"/>
        <v/>
      </c>
      <c r="AH623" s="2" t="str">
        <f t="shared" si="158"/>
        <v/>
      </c>
    </row>
    <row r="624" spans="2:34" x14ac:dyDescent="0.25">
      <c r="B624" s="2" t="s">
        <v>1032</v>
      </c>
      <c r="D624" s="2" t="s">
        <v>1</v>
      </c>
      <c r="E624" s="2" t="s">
        <v>134</v>
      </c>
      <c r="F624" s="2" t="s">
        <v>1038</v>
      </c>
      <c r="G624" s="2" t="s">
        <v>1039</v>
      </c>
      <c r="H624" s="2" t="s">
        <v>448</v>
      </c>
      <c r="I624" s="2" t="s">
        <v>42</v>
      </c>
      <c r="J624" s="2">
        <v>31</v>
      </c>
      <c r="K624" s="2" t="s">
        <v>137</v>
      </c>
      <c r="L624" s="2" t="s">
        <v>41</v>
      </c>
      <c r="M624" s="2" t="s">
        <v>135</v>
      </c>
      <c r="N624" s="2" t="s">
        <v>1035</v>
      </c>
      <c r="O624" s="2" t="s">
        <v>449</v>
      </c>
      <c r="P624" s="2" t="s">
        <v>49</v>
      </c>
      <c r="Q624" s="2">
        <f>INDEX(Tables!$C$4:$C$28,MATCH($P624,Tables!$B$4:$B$28,0))</f>
        <v>32</v>
      </c>
      <c r="R624" s="2">
        <f>INDEX(Tables!$D$4:$D$28,MATCH($P624,Tables!$B$4:$B$28,0))</f>
        <v>4</v>
      </c>
      <c r="S624" s="2">
        <f>$S623+$R623+INDEX(Tables!$N$5:$Q$8,MATCH(MOD($S623+$R623,4),Tables!$M$5:$M$8,0),MATCH($R624,Tables!$N$4:$Q$4,0))</f>
        <v>2200</v>
      </c>
      <c r="T624" s="2" t="str">
        <f t="shared" si="144"/>
        <v>0898</v>
      </c>
      <c r="U624" s="2">
        <f t="shared" si="150"/>
        <v>550</v>
      </c>
      <c r="V624" s="2" t="str">
        <f t="shared" si="145"/>
        <v>226</v>
      </c>
      <c r="W624" s="2" t="str">
        <f t="shared" si="146"/>
        <v>X</v>
      </c>
      <c r="X624" s="2" t="str">
        <f t="shared" si="147"/>
        <v>X</v>
      </c>
      <c r="Y624" s="2" t="str">
        <f t="shared" si="148"/>
        <v>X</v>
      </c>
      <c r="Z624" s="2" t="str">
        <f t="shared" si="149"/>
        <v>X</v>
      </c>
      <c r="AA624" s="2" t="str">
        <f t="shared" si="151"/>
        <v>(30 downto 24)</v>
      </c>
      <c r="AB624" s="2" t="str">
        <f t="shared" si="152"/>
        <v>(23 downto 16)</v>
      </c>
      <c r="AC624" s="2" t="str">
        <f t="shared" si="153"/>
        <v>(15 downto 8)</v>
      </c>
      <c r="AD624" s="2" t="str">
        <f t="shared" si="154"/>
        <v>(7 downto 0)</v>
      </c>
      <c r="AE624" s="2" t="str">
        <f t="shared" si="155"/>
        <v>(30 downto 24)</v>
      </c>
      <c r="AF624" s="2" t="str">
        <f t="shared" si="156"/>
        <v>(23 downto 16)</v>
      </c>
      <c r="AG624" s="2" t="str">
        <f t="shared" si="157"/>
        <v>(15 downto 8)</v>
      </c>
      <c r="AH624" s="2" t="str">
        <f t="shared" si="158"/>
        <v>(7 downto 0)</v>
      </c>
    </row>
    <row r="625" spans="2:34" x14ac:dyDescent="0.25">
      <c r="B625" s="2" t="s">
        <v>1032</v>
      </c>
      <c r="D625" s="2" t="s">
        <v>1</v>
      </c>
      <c r="E625" s="2" t="s">
        <v>134</v>
      </c>
      <c r="F625" s="2" t="s">
        <v>1040</v>
      </c>
      <c r="G625" s="2" t="s">
        <v>1041</v>
      </c>
      <c r="H625" s="2" t="s">
        <v>452</v>
      </c>
      <c r="I625" s="2" t="s">
        <v>42</v>
      </c>
      <c r="J625" s="2">
        <v>1</v>
      </c>
      <c r="K625" s="2" t="s">
        <v>82</v>
      </c>
      <c r="L625" s="2" t="s">
        <v>41</v>
      </c>
      <c r="M625" s="2" t="s">
        <v>135</v>
      </c>
      <c r="N625" s="2" t="s">
        <v>1035</v>
      </c>
      <c r="O625" s="2" t="s">
        <v>453</v>
      </c>
      <c r="P625" s="2" t="s">
        <v>5</v>
      </c>
      <c r="Q625" s="2">
        <f>INDEX(Tables!$C$4:$C$28,MATCH($P625,Tables!$B$4:$B$28,0))</f>
        <v>32</v>
      </c>
      <c r="R625" s="2">
        <f>INDEX(Tables!$D$4:$D$28,MATCH($P625,Tables!$B$4:$B$28,0))</f>
        <v>4</v>
      </c>
      <c r="S625" s="2">
        <f>$S624+$R624+INDEX(Tables!$N$5:$Q$8,MATCH(MOD($S624+$R624,4),Tables!$M$5:$M$8,0),MATCH($R625,Tables!$N$4:$Q$4,0))</f>
        <v>2204</v>
      </c>
      <c r="T625" s="2" t="str">
        <f t="shared" si="144"/>
        <v>089C</v>
      </c>
      <c r="U625" s="2">
        <f t="shared" si="150"/>
        <v>551</v>
      </c>
      <c r="V625" s="2" t="str">
        <f t="shared" si="145"/>
        <v>227</v>
      </c>
      <c r="W625" s="2" t="str">
        <f t="shared" si="146"/>
        <v/>
      </c>
      <c r="X625" s="2" t="str">
        <f t="shared" si="147"/>
        <v/>
      </c>
      <c r="Y625" s="2" t="str">
        <f t="shared" si="148"/>
        <v/>
      </c>
      <c r="Z625" s="2" t="str">
        <f t="shared" si="149"/>
        <v>X</v>
      </c>
      <c r="AA625" s="2" t="str">
        <f t="shared" si="151"/>
        <v/>
      </c>
      <c r="AB625" s="2" t="str">
        <f t="shared" si="152"/>
        <v/>
      </c>
      <c r="AC625" s="2" t="str">
        <f t="shared" si="153"/>
        <v/>
      </c>
      <c r="AD625" s="2" t="str">
        <f t="shared" si="154"/>
        <v>(0)</v>
      </c>
      <c r="AE625" s="2" t="str">
        <f t="shared" si="155"/>
        <v/>
      </c>
      <c r="AF625" s="2" t="str">
        <f t="shared" si="156"/>
        <v/>
      </c>
      <c r="AG625" s="2" t="str">
        <f t="shared" si="157"/>
        <v/>
      </c>
      <c r="AH625" s="2" t="str">
        <f t="shared" si="158"/>
        <v/>
      </c>
    </row>
    <row r="626" spans="2:34" x14ac:dyDescent="0.25">
      <c r="B626" s="2" t="s">
        <v>1032</v>
      </c>
      <c r="D626" s="2" t="s">
        <v>1</v>
      </c>
      <c r="E626" s="2" t="s">
        <v>134</v>
      </c>
      <c r="F626" s="2" t="s">
        <v>1040</v>
      </c>
      <c r="G626" s="2" t="s">
        <v>1041</v>
      </c>
      <c r="H626" s="2" t="s">
        <v>454</v>
      </c>
      <c r="I626" s="2" t="s">
        <v>42</v>
      </c>
      <c r="J626" s="2">
        <v>1</v>
      </c>
      <c r="K626" s="2" t="s">
        <v>82</v>
      </c>
      <c r="L626" s="2" t="s">
        <v>41</v>
      </c>
      <c r="M626" s="2" t="s">
        <v>135</v>
      </c>
      <c r="N626" s="2" t="s">
        <v>1035</v>
      </c>
      <c r="O626" s="2" t="s">
        <v>455</v>
      </c>
      <c r="P626" s="2" t="s">
        <v>5</v>
      </c>
      <c r="Q626" s="2">
        <f>INDEX(Tables!$C$4:$C$28,MATCH($P626,Tables!$B$4:$B$28,0))</f>
        <v>32</v>
      </c>
      <c r="R626" s="2">
        <f>INDEX(Tables!$D$4:$D$28,MATCH($P626,Tables!$B$4:$B$28,0))</f>
        <v>4</v>
      </c>
      <c r="S626" s="2">
        <f>$S625+$R625+INDEX(Tables!$N$5:$Q$8,MATCH(MOD($S625+$R625,4),Tables!$M$5:$M$8,0),MATCH($R626,Tables!$N$4:$Q$4,0))</f>
        <v>2208</v>
      </c>
      <c r="T626" s="2" t="str">
        <f t="shared" si="144"/>
        <v>08A0</v>
      </c>
      <c r="U626" s="2">
        <f t="shared" si="150"/>
        <v>552</v>
      </c>
      <c r="V626" s="2" t="str">
        <f t="shared" si="145"/>
        <v>228</v>
      </c>
      <c r="W626" s="2" t="str">
        <f t="shared" si="146"/>
        <v/>
      </c>
      <c r="X626" s="2" t="str">
        <f t="shared" si="147"/>
        <v/>
      </c>
      <c r="Y626" s="2" t="str">
        <f t="shared" si="148"/>
        <v/>
      </c>
      <c r="Z626" s="2" t="str">
        <f t="shared" si="149"/>
        <v>X</v>
      </c>
      <c r="AA626" s="2" t="str">
        <f t="shared" si="151"/>
        <v/>
      </c>
      <c r="AB626" s="2" t="str">
        <f t="shared" si="152"/>
        <v/>
      </c>
      <c r="AC626" s="2" t="str">
        <f t="shared" si="153"/>
        <v/>
      </c>
      <c r="AD626" s="2" t="str">
        <f t="shared" si="154"/>
        <v>(0)</v>
      </c>
      <c r="AE626" s="2" t="str">
        <f t="shared" si="155"/>
        <v/>
      </c>
      <c r="AF626" s="2" t="str">
        <f t="shared" si="156"/>
        <v/>
      </c>
      <c r="AG626" s="2" t="str">
        <f t="shared" si="157"/>
        <v/>
      </c>
      <c r="AH626" s="2" t="str">
        <f t="shared" si="158"/>
        <v/>
      </c>
    </row>
    <row r="627" spans="2:34" x14ac:dyDescent="0.25">
      <c r="B627" s="2" t="s">
        <v>1032</v>
      </c>
      <c r="D627" s="2" t="s">
        <v>1</v>
      </c>
      <c r="E627" s="2" t="s">
        <v>134</v>
      </c>
      <c r="F627" s="2" t="s">
        <v>1040</v>
      </c>
      <c r="G627" s="2" t="s">
        <v>1041</v>
      </c>
      <c r="H627" s="2" t="s">
        <v>456</v>
      </c>
      <c r="I627" s="2" t="s">
        <v>42</v>
      </c>
      <c r="J627" s="2">
        <v>1</v>
      </c>
      <c r="K627" s="2" t="s">
        <v>82</v>
      </c>
      <c r="L627" s="2" t="s">
        <v>41</v>
      </c>
      <c r="M627" s="2" t="s">
        <v>135</v>
      </c>
      <c r="N627" s="2" t="s">
        <v>1035</v>
      </c>
      <c r="O627" s="2" t="s">
        <v>457</v>
      </c>
      <c r="P627" s="2" t="s">
        <v>5</v>
      </c>
      <c r="Q627" s="2">
        <f>INDEX(Tables!$C$4:$C$28,MATCH($P627,Tables!$B$4:$B$28,0))</f>
        <v>32</v>
      </c>
      <c r="R627" s="2">
        <f>INDEX(Tables!$D$4:$D$28,MATCH($P627,Tables!$B$4:$B$28,0))</f>
        <v>4</v>
      </c>
      <c r="S627" s="2">
        <f>$S626+$R626+INDEX(Tables!$N$5:$Q$8,MATCH(MOD($S626+$R626,4),Tables!$M$5:$M$8,0),MATCH($R627,Tables!$N$4:$Q$4,0))</f>
        <v>2212</v>
      </c>
      <c r="T627" s="2" t="str">
        <f t="shared" si="144"/>
        <v>08A4</v>
      </c>
      <c r="U627" s="2">
        <f t="shared" si="150"/>
        <v>553</v>
      </c>
      <c r="V627" s="2" t="str">
        <f t="shared" si="145"/>
        <v>229</v>
      </c>
      <c r="W627" s="2" t="str">
        <f t="shared" si="146"/>
        <v/>
      </c>
      <c r="X627" s="2" t="str">
        <f t="shared" si="147"/>
        <v/>
      </c>
      <c r="Y627" s="2" t="str">
        <f t="shared" si="148"/>
        <v/>
      </c>
      <c r="Z627" s="2" t="str">
        <f t="shared" si="149"/>
        <v>X</v>
      </c>
      <c r="AA627" s="2" t="str">
        <f t="shared" si="151"/>
        <v/>
      </c>
      <c r="AB627" s="2" t="str">
        <f t="shared" si="152"/>
        <v/>
      </c>
      <c r="AC627" s="2" t="str">
        <f t="shared" si="153"/>
        <v/>
      </c>
      <c r="AD627" s="2" t="str">
        <f t="shared" si="154"/>
        <v>(0)</v>
      </c>
      <c r="AE627" s="2" t="str">
        <f t="shared" si="155"/>
        <v/>
      </c>
      <c r="AF627" s="2" t="str">
        <f t="shared" si="156"/>
        <v/>
      </c>
      <c r="AG627" s="2" t="str">
        <f t="shared" si="157"/>
        <v/>
      </c>
      <c r="AH627" s="2" t="str">
        <f t="shared" si="158"/>
        <v/>
      </c>
    </row>
    <row r="628" spans="2:34" x14ac:dyDescent="0.25">
      <c r="B628" s="2" t="s">
        <v>1032</v>
      </c>
      <c r="D628" s="2" t="s">
        <v>1</v>
      </c>
      <c r="E628" s="2" t="s">
        <v>134</v>
      </c>
      <c r="F628" s="2" t="s">
        <v>1040</v>
      </c>
      <c r="G628" s="2" t="s">
        <v>1041</v>
      </c>
      <c r="H628" s="2" t="s">
        <v>458</v>
      </c>
      <c r="I628" s="2" t="s">
        <v>42</v>
      </c>
      <c r="J628" s="2">
        <v>1</v>
      </c>
      <c r="K628" s="2" t="s">
        <v>82</v>
      </c>
      <c r="L628" s="2" t="s">
        <v>41</v>
      </c>
      <c r="M628" s="2" t="s">
        <v>135</v>
      </c>
      <c r="N628" s="2" t="s">
        <v>1035</v>
      </c>
      <c r="O628" s="2" t="s">
        <v>459</v>
      </c>
      <c r="P628" s="2" t="s">
        <v>5</v>
      </c>
      <c r="Q628" s="2">
        <f>INDEX(Tables!$C$4:$C$28,MATCH($P628,Tables!$B$4:$B$28,0))</f>
        <v>32</v>
      </c>
      <c r="R628" s="2">
        <f>INDEX(Tables!$D$4:$D$28,MATCH($P628,Tables!$B$4:$B$28,0))</f>
        <v>4</v>
      </c>
      <c r="S628" s="2">
        <f>$S627+$R627+INDEX(Tables!$N$5:$Q$8,MATCH(MOD($S627+$R627,4),Tables!$M$5:$M$8,0),MATCH($R628,Tables!$N$4:$Q$4,0))</f>
        <v>2216</v>
      </c>
      <c r="T628" s="2" t="str">
        <f t="shared" si="144"/>
        <v>08A8</v>
      </c>
      <c r="U628" s="2">
        <f t="shared" si="150"/>
        <v>554</v>
      </c>
      <c r="V628" s="2" t="str">
        <f t="shared" si="145"/>
        <v>22A</v>
      </c>
      <c r="W628" s="2" t="str">
        <f t="shared" si="146"/>
        <v/>
      </c>
      <c r="X628" s="2" t="str">
        <f t="shared" si="147"/>
        <v/>
      </c>
      <c r="Y628" s="2" t="str">
        <f t="shared" si="148"/>
        <v/>
      </c>
      <c r="Z628" s="2" t="str">
        <f t="shared" si="149"/>
        <v>X</v>
      </c>
      <c r="AA628" s="2" t="str">
        <f t="shared" si="151"/>
        <v/>
      </c>
      <c r="AB628" s="2" t="str">
        <f t="shared" si="152"/>
        <v/>
      </c>
      <c r="AC628" s="2" t="str">
        <f t="shared" si="153"/>
        <v/>
      </c>
      <c r="AD628" s="2" t="str">
        <f t="shared" si="154"/>
        <v>(0)</v>
      </c>
      <c r="AE628" s="2" t="str">
        <f t="shared" si="155"/>
        <v/>
      </c>
      <c r="AF628" s="2" t="str">
        <f t="shared" si="156"/>
        <v/>
      </c>
      <c r="AG628" s="2" t="str">
        <f t="shared" si="157"/>
        <v/>
      </c>
      <c r="AH628" s="2" t="str">
        <f t="shared" si="158"/>
        <v/>
      </c>
    </row>
    <row r="629" spans="2:34" x14ac:dyDescent="0.25">
      <c r="B629" s="2" t="s">
        <v>1032</v>
      </c>
      <c r="D629" s="2" t="s">
        <v>1</v>
      </c>
      <c r="E629" s="2" t="s">
        <v>134</v>
      </c>
      <c r="F629" s="2" t="s">
        <v>1040</v>
      </c>
      <c r="G629" s="2" t="s">
        <v>1041</v>
      </c>
      <c r="H629" s="2" t="s">
        <v>460</v>
      </c>
      <c r="I629" s="2" t="s">
        <v>42</v>
      </c>
      <c r="J629" s="2">
        <v>1</v>
      </c>
      <c r="K629" s="2" t="s">
        <v>82</v>
      </c>
      <c r="L629" s="2" t="s">
        <v>41</v>
      </c>
      <c r="M629" s="2" t="s">
        <v>135</v>
      </c>
      <c r="N629" s="2" t="s">
        <v>1035</v>
      </c>
      <c r="O629" s="2" t="s">
        <v>461</v>
      </c>
      <c r="P629" s="2" t="s">
        <v>5</v>
      </c>
      <c r="Q629" s="2">
        <f>INDEX(Tables!$C$4:$C$28,MATCH($P629,Tables!$B$4:$B$28,0))</f>
        <v>32</v>
      </c>
      <c r="R629" s="2">
        <f>INDEX(Tables!$D$4:$D$28,MATCH($P629,Tables!$B$4:$B$28,0))</f>
        <v>4</v>
      </c>
      <c r="S629" s="2">
        <f>$S628+$R628+INDEX(Tables!$N$5:$Q$8,MATCH(MOD($S628+$R628,4),Tables!$M$5:$M$8,0),MATCH($R629,Tables!$N$4:$Q$4,0))</f>
        <v>2220</v>
      </c>
      <c r="T629" s="2" t="str">
        <f t="shared" si="144"/>
        <v>08AC</v>
      </c>
      <c r="U629" s="2">
        <f t="shared" si="150"/>
        <v>555</v>
      </c>
      <c r="V629" s="2" t="str">
        <f t="shared" si="145"/>
        <v>22B</v>
      </c>
      <c r="W629" s="2" t="str">
        <f t="shared" si="146"/>
        <v/>
      </c>
      <c r="X629" s="2" t="str">
        <f t="shared" si="147"/>
        <v/>
      </c>
      <c r="Y629" s="2" t="str">
        <f t="shared" si="148"/>
        <v/>
      </c>
      <c r="Z629" s="2" t="str">
        <f t="shared" si="149"/>
        <v>X</v>
      </c>
      <c r="AA629" s="2" t="str">
        <f t="shared" si="151"/>
        <v/>
      </c>
      <c r="AB629" s="2" t="str">
        <f t="shared" si="152"/>
        <v/>
      </c>
      <c r="AC629" s="2" t="str">
        <f t="shared" si="153"/>
        <v/>
      </c>
      <c r="AD629" s="2" t="str">
        <f t="shared" si="154"/>
        <v>(0)</v>
      </c>
      <c r="AE629" s="2" t="str">
        <f t="shared" si="155"/>
        <v/>
      </c>
      <c r="AF629" s="2" t="str">
        <f t="shared" si="156"/>
        <v/>
      </c>
      <c r="AG629" s="2" t="str">
        <f t="shared" si="157"/>
        <v/>
      </c>
      <c r="AH629" s="2" t="str">
        <f t="shared" si="158"/>
        <v/>
      </c>
    </row>
    <row r="630" spans="2:34" x14ac:dyDescent="0.25">
      <c r="B630" s="2" t="s">
        <v>1032</v>
      </c>
      <c r="D630" s="2" t="s">
        <v>1</v>
      </c>
      <c r="E630" s="2" t="s">
        <v>134</v>
      </c>
      <c r="F630" s="2" t="s">
        <v>1040</v>
      </c>
      <c r="G630" s="2" t="s">
        <v>1041</v>
      </c>
      <c r="H630" s="2" t="s">
        <v>462</v>
      </c>
      <c r="I630" s="2" t="s">
        <v>42</v>
      </c>
      <c r="J630" s="2">
        <v>1</v>
      </c>
      <c r="K630" s="2" t="s">
        <v>82</v>
      </c>
      <c r="L630" s="2" t="s">
        <v>41</v>
      </c>
      <c r="M630" s="2" t="s">
        <v>135</v>
      </c>
      <c r="N630" s="2" t="s">
        <v>1035</v>
      </c>
      <c r="O630" s="2" t="s">
        <v>463</v>
      </c>
      <c r="P630" s="2" t="s">
        <v>5</v>
      </c>
      <c r="Q630" s="2">
        <f>INDEX(Tables!$C$4:$C$28,MATCH($P630,Tables!$B$4:$B$28,0))</f>
        <v>32</v>
      </c>
      <c r="R630" s="2">
        <f>INDEX(Tables!$D$4:$D$28,MATCH($P630,Tables!$B$4:$B$28,0))</f>
        <v>4</v>
      </c>
      <c r="S630" s="2">
        <f>$S629+$R629+INDEX(Tables!$N$5:$Q$8,MATCH(MOD($S629+$R629,4),Tables!$M$5:$M$8,0),MATCH($R630,Tables!$N$4:$Q$4,0))</f>
        <v>2224</v>
      </c>
      <c r="T630" s="2" t="str">
        <f t="shared" si="144"/>
        <v>08B0</v>
      </c>
      <c r="U630" s="2">
        <f t="shared" si="150"/>
        <v>556</v>
      </c>
      <c r="V630" s="2" t="str">
        <f t="shared" si="145"/>
        <v>22C</v>
      </c>
      <c r="W630" s="2" t="str">
        <f t="shared" si="146"/>
        <v/>
      </c>
      <c r="X630" s="2" t="str">
        <f t="shared" si="147"/>
        <v/>
      </c>
      <c r="Y630" s="2" t="str">
        <f t="shared" si="148"/>
        <v/>
      </c>
      <c r="Z630" s="2" t="str">
        <f t="shared" si="149"/>
        <v>X</v>
      </c>
      <c r="AA630" s="2" t="str">
        <f t="shared" si="151"/>
        <v/>
      </c>
      <c r="AB630" s="2" t="str">
        <f t="shared" si="152"/>
        <v/>
      </c>
      <c r="AC630" s="2" t="str">
        <f t="shared" si="153"/>
        <v/>
      </c>
      <c r="AD630" s="2" t="str">
        <f t="shared" si="154"/>
        <v>(0)</v>
      </c>
      <c r="AE630" s="2" t="str">
        <f t="shared" si="155"/>
        <v/>
      </c>
      <c r="AF630" s="2" t="str">
        <f t="shared" si="156"/>
        <v/>
      </c>
      <c r="AG630" s="2" t="str">
        <f t="shared" si="157"/>
        <v/>
      </c>
      <c r="AH630" s="2" t="str">
        <f t="shared" si="158"/>
        <v/>
      </c>
    </row>
    <row r="631" spans="2:34" x14ac:dyDescent="0.25">
      <c r="B631" s="2" t="s">
        <v>1032</v>
      </c>
      <c r="D631" s="2" t="s">
        <v>1</v>
      </c>
      <c r="E631" s="2" t="s">
        <v>134</v>
      </c>
      <c r="F631" s="2" t="s">
        <v>1040</v>
      </c>
      <c r="G631" s="2" t="s">
        <v>1041</v>
      </c>
      <c r="H631" s="2" t="s">
        <v>464</v>
      </c>
      <c r="I631" s="2" t="s">
        <v>42</v>
      </c>
      <c r="J631" s="2">
        <v>1</v>
      </c>
      <c r="K631" s="2" t="s">
        <v>82</v>
      </c>
      <c r="L631" s="2" t="s">
        <v>41</v>
      </c>
      <c r="M631" s="2" t="s">
        <v>135</v>
      </c>
      <c r="N631" s="2" t="s">
        <v>1035</v>
      </c>
      <c r="O631" s="2" t="s">
        <v>465</v>
      </c>
      <c r="P631" s="2" t="s">
        <v>5</v>
      </c>
      <c r="Q631" s="2">
        <f>INDEX(Tables!$C$4:$C$28,MATCH($P631,Tables!$B$4:$B$28,0))</f>
        <v>32</v>
      </c>
      <c r="R631" s="2">
        <f>INDEX(Tables!$D$4:$D$28,MATCH($P631,Tables!$B$4:$B$28,0))</f>
        <v>4</v>
      </c>
      <c r="S631" s="2">
        <f>$S630+$R630+INDEX(Tables!$N$5:$Q$8,MATCH(MOD($S630+$R630,4),Tables!$M$5:$M$8,0),MATCH($R631,Tables!$N$4:$Q$4,0))</f>
        <v>2228</v>
      </c>
      <c r="T631" s="2" t="str">
        <f t="shared" si="144"/>
        <v>08B4</v>
      </c>
      <c r="U631" s="2">
        <f t="shared" si="150"/>
        <v>557</v>
      </c>
      <c r="V631" s="2" t="str">
        <f t="shared" si="145"/>
        <v>22D</v>
      </c>
      <c r="W631" s="2" t="str">
        <f t="shared" si="146"/>
        <v/>
      </c>
      <c r="X631" s="2" t="str">
        <f t="shared" si="147"/>
        <v/>
      </c>
      <c r="Y631" s="2" t="str">
        <f t="shared" si="148"/>
        <v/>
      </c>
      <c r="Z631" s="2" t="str">
        <f t="shared" si="149"/>
        <v>X</v>
      </c>
      <c r="AA631" s="2" t="str">
        <f t="shared" si="151"/>
        <v/>
      </c>
      <c r="AB631" s="2" t="str">
        <f t="shared" si="152"/>
        <v/>
      </c>
      <c r="AC631" s="2" t="str">
        <f t="shared" si="153"/>
        <v/>
      </c>
      <c r="AD631" s="2" t="str">
        <f t="shared" si="154"/>
        <v>(0)</v>
      </c>
      <c r="AE631" s="2" t="str">
        <f t="shared" si="155"/>
        <v/>
      </c>
      <c r="AF631" s="2" t="str">
        <f t="shared" si="156"/>
        <v/>
      </c>
      <c r="AG631" s="2" t="str">
        <f t="shared" si="157"/>
        <v/>
      </c>
      <c r="AH631" s="2" t="str">
        <f t="shared" si="158"/>
        <v/>
      </c>
    </row>
    <row r="632" spans="2:34" x14ac:dyDescent="0.25">
      <c r="B632" s="2" t="s">
        <v>1032</v>
      </c>
      <c r="D632" s="2" t="s">
        <v>1</v>
      </c>
      <c r="E632" s="2" t="s">
        <v>134</v>
      </c>
      <c r="F632" s="2" t="s">
        <v>1040</v>
      </c>
      <c r="G632" s="2" t="s">
        <v>1041</v>
      </c>
      <c r="H632" s="2" t="s">
        <v>466</v>
      </c>
      <c r="I632" s="2" t="s">
        <v>42</v>
      </c>
      <c r="J632" s="2">
        <v>1</v>
      </c>
      <c r="K632" s="2" t="s">
        <v>82</v>
      </c>
      <c r="L632" s="2" t="s">
        <v>41</v>
      </c>
      <c r="M632" s="2" t="s">
        <v>135</v>
      </c>
      <c r="N632" s="2" t="s">
        <v>1035</v>
      </c>
      <c r="O632" s="2" t="s">
        <v>467</v>
      </c>
      <c r="P632" s="2" t="s">
        <v>5</v>
      </c>
      <c r="Q632" s="2">
        <f>INDEX(Tables!$C$4:$C$28,MATCH($P632,Tables!$B$4:$B$28,0))</f>
        <v>32</v>
      </c>
      <c r="R632" s="2">
        <f>INDEX(Tables!$D$4:$D$28,MATCH($P632,Tables!$B$4:$B$28,0))</f>
        <v>4</v>
      </c>
      <c r="S632" s="2">
        <f>$S631+$R631+INDEX(Tables!$N$5:$Q$8,MATCH(MOD($S631+$R631,4),Tables!$M$5:$M$8,0),MATCH($R632,Tables!$N$4:$Q$4,0))</f>
        <v>2232</v>
      </c>
      <c r="T632" s="2" t="str">
        <f t="shared" si="144"/>
        <v>08B8</v>
      </c>
      <c r="U632" s="2">
        <f t="shared" si="150"/>
        <v>558</v>
      </c>
      <c r="V632" s="2" t="str">
        <f t="shared" si="145"/>
        <v>22E</v>
      </c>
      <c r="W632" s="2" t="str">
        <f t="shared" si="146"/>
        <v/>
      </c>
      <c r="X632" s="2" t="str">
        <f t="shared" si="147"/>
        <v/>
      </c>
      <c r="Y632" s="2" t="str">
        <f t="shared" si="148"/>
        <v/>
      </c>
      <c r="Z632" s="2" t="str">
        <f t="shared" si="149"/>
        <v>X</v>
      </c>
      <c r="AA632" s="2" t="str">
        <f t="shared" si="151"/>
        <v/>
      </c>
      <c r="AB632" s="2" t="str">
        <f t="shared" si="152"/>
        <v/>
      </c>
      <c r="AC632" s="2" t="str">
        <f t="shared" si="153"/>
        <v/>
      </c>
      <c r="AD632" s="2" t="str">
        <f t="shared" si="154"/>
        <v>(0)</v>
      </c>
      <c r="AE632" s="2" t="str">
        <f t="shared" si="155"/>
        <v/>
      </c>
      <c r="AF632" s="2" t="str">
        <f t="shared" si="156"/>
        <v/>
      </c>
      <c r="AG632" s="2" t="str">
        <f t="shared" si="157"/>
        <v/>
      </c>
      <c r="AH632" s="2" t="str">
        <f t="shared" si="158"/>
        <v/>
      </c>
    </row>
    <row r="633" spans="2:34" x14ac:dyDescent="0.25">
      <c r="B633" s="2" t="s">
        <v>1032</v>
      </c>
      <c r="D633" s="2" t="s">
        <v>1</v>
      </c>
      <c r="E633" s="2" t="s">
        <v>134</v>
      </c>
      <c r="F633" s="2" t="s">
        <v>1040</v>
      </c>
      <c r="G633" s="2" t="s">
        <v>1041</v>
      </c>
      <c r="H633" s="2" t="s">
        <v>468</v>
      </c>
      <c r="I633" s="2" t="s">
        <v>42</v>
      </c>
      <c r="J633" s="2">
        <v>1</v>
      </c>
      <c r="K633" s="2" t="s">
        <v>82</v>
      </c>
      <c r="L633" s="2" t="s">
        <v>41</v>
      </c>
      <c r="M633" s="2" t="s">
        <v>135</v>
      </c>
      <c r="N633" s="2" t="s">
        <v>1035</v>
      </c>
      <c r="O633" s="2" t="s">
        <v>469</v>
      </c>
      <c r="P633" s="2" t="s">
        <v>5</v>
      </c>
      <c r="Q633" s="2">
        <f>INDEX(Tables!$C$4:$C$28,MATCH($P633,Tables!$B$4:$B$28,0))</f>
        <v>32</v>
      </c>
      <c r="R633" s="2">
        <f>INDEX(Tables!$D$4:$D$28,MATCH($P633,Tables!$B$4:$B$28,0))</f>
        <v>4</v>
      </c>
      <c r="S633" s="2">
        <f>$S632+$R632+INDEX(Tables!$N$5:$Q$8,MATCH(MOD($S632+$R632,4),Tables!$M$5:$M$8,0),MATCH($R633,Tables!$N$4:$Q$4,0))</f>
        <v>2236</v>
      </c>
      <c r="T633" s="2" t="str">
        <f t="shared" si="144"/>
        <v>08BC</v>
      </c>
      <c r="U633" s="2">
        <f t="shared" si="150"/>
        <v>559</v>
      </c>
      <c r="V633" s="2" t="str">
        <f t="shared" si="145"/>
        <v>22F</v>
      </c>
      <c r="W633" s="2" t="str">
        <f t="shared" si="146"/>
        <v/>
      </c>
      <c r="X633" s="2" t="str">
        <f t="shared" si="147"/>
        <v/>
      </c>
      <c r="Y633" s="2" t="str">
        <f t="shared" si="148"/>
        <v/>
      </c>
      <c r="Z633" s="2" t="str">
        <f t="shared" si="149"/>
        <v>X</v>
      </c>
      <c r="AA633" s="2" t="str">
        <f t="shared" si="151"/>
        <v/>
      </c>
      <c r="AB633" s="2" t="str">
        <f t="shared" si="152"/>
        <v/>
      </c>
      <c r="AC633" s="2" t="str">
        <f t="shared" si="153"/>
        <v/>
      </c>
      <c r="AD633" s="2" t="str">
        <f t="shared" si="154"/>
        <v>(0)</v>
      </c>
      <c r="AE633" s="2" t="str">
        <f t="shared" si="155"/>
        <v/>
      </c>
      <c r="AF633" s="2" t="str">
        <f t="shared" si="156"/>
        <v/>
      </c>
      <c r="AG633" s="2" t="str">
        <f t="shared" si="157"/>
        <v/>
      </c>
      <c r="AH633" s="2" t="str">
        <f t="shared" si="158"/>
        <v/>
      </c>
    </row>
    <row r="634" spans="2:34" x14ac:dyDescent="0.25">
      <c r="B634" s="2" t="s">
        <v>1032</v>
      </c>
      <c r="D634" s="2" t="s">
        <v>1</v>
      </c>
      <c r="E634" s="2" t="s">
        <v>134</v>
      </c>
      <c r="F634" s="2" t="s">
        <v>1040</v>
      </c>
      <c r="G634" s="2" t="s">
        <v>1041</v>
      </c>
      <c r="H634" s="2" t="s">
        <v>470</v>
      </c>
      <c r="I634" s="2" t="s">
        <v>42</v>
      </c>
      <c r="J634" s="2">
        <v>1</v>
      </c>
      <c r="K634" s="2" t="s">
        <v>82</v>
      </c>
      <c r="L634" s="2" t="s">
        <v>41</v>
      </c>
      <c r="M634" s="2" t="s">
        <v>135</v>
      </c>
      <c r="N634" s="2" t="s">
        <v>1035</v>
      </c>
      <c r="O634" s="2" t="s">
        <v>471</v>
      </c>
      <c r="P634" s="2" t="s">
        <v>5</v>
      </c>
      <c r="Q634" s="2">
        <f>INDEX(Tables!$C$4:$C$28,MATCH($P634,Tables!$B$4:$B$28,0))</f>
        <v>32</v>
      </c>
      <c r="R634" s="2">
        <f>INDEX(Tables!$D$4:$D$28,MATCH($P634,Tables!$B$4:$B$28,0))</f>
        <v>4</v>
      </c>
      <c r="S634" s="2">
        <f>$S633+$R633+INDEX(Tables!$N$5:$Q$8,MATCH(MOD($S633+$R633,4),Tables!$M$5:$M$8,0),MATCH($R634,Tables!$N$4:$Q$4,0))</f>
        <v>2240</v>
      </c>
      <c r="T634" s="2" t="str">
        <f t="shared" si="144"/>
        <v>08C0</v>
      </c>
      <c r="U634" s="2">
        <f t="shared" si="150"/>
        <v>560</v>
      </c>
      <c r="V634" s="2" t="str">
        <f t="shared" si="145"/>
        <v>230</v>
      </c>
      <c r="W634" s="2" t="str">
        <f t="shared" si="146"/>
        <v/>
      </c>
      <c r="X634" s="2" t="str">
        <f t="shared" si="147"/>
        <v/>
      </c>
      <c r="Y634" s="2" t="str">
        <f t="shared" si="148"/>
        <v/>
      </c>
      <c r="Z634" s="2" t="str">
        <f t="shared" si="149"/>
        <v>X</v>
      </c>
      <c r="AA634" s="2" t="str">
        <f t="shared" si="151"/>
        <v/>
      </c>
      <c r="AB634" s="2" t="str">
        <f t="shared" si="152"/>
        <v/>
      </c>
      <c r="AC634" s="2" t="str">
        <f t="shared" si="153"/>
        <v/>
      </c>
      <c r="AD634" s="2" t="str">
        <f t="shared" si="154"/>
        <v>(0)</v>
      </c>
      <c r="AE634" s="2" t="str">
        <f t="shared" si="155"/>
        <v/>
      </c>
      <c r="AF634" s="2" t="str">
        <f t="shared" si="156"/>
        <v/>
      </c>
      <c r="AG634" s="2" t="str">
        <f t="shared" si="157"/>
        <v/>
      </c>
      <c r="AH634" s="2" t="str">
        <f t="shared" si="158"/>
        <v/>
      </c>
    </row>
    <row r="635" spans="2:34" x14ac:dyDescent="0.25">
      <c r="B635" s="2" t="s">
        <v>1032</v>
      </c>
      <c r="D635" s="2" t="s">
        <v>1</v>
      </c>
      <c r="E635" s="2" t="s">
        <v>134</v>
      </c>
      <c r="F635" s="2" t="s">
        <v>1040</v>
      </c>
      <c r="G635" s="2" t="s">
        <v>1041</v>
      </c>
      <c r="H635" s="2" t="s">
        <v>472</v>
      </c>
      <c r="I635" s="2" t="s">
        <v>42</v>
      </c>
      <c r="J635" s="2">
        <v>1</v>
      </c>
      <c r="K635" s="2" t="s">
        <v>82</v>
      </c>
      <c r="L635" s="2" t="s">
        <v>41</v>
      </c>
      <c r="M635" s="2" t="s">
        <v>135</v>
      </c>
      <c r="N635" s="2" t="s">
        <v>1035</v>
      </c>
      <c r="O635" s="2" t="s">
        <v>473</v>
      </c>
      <c r="P635" s="2" t="s">
        <v>5</v>
      </c>
      <c r="Q635" s="2">
        <f>INDEX(Tables!$C$4:$C$28,MATCH($P635,Tables!$B$4:$B$28,0))</f>
        <v>32</v>
      </c>
      <c r="R635" s="2">
        <f>INDEX(Tables!$D$4:$D$28,MATCH($P635,Tables!$B$4:$B$28,0))</f>
        <v>4</v>
      </c>
      <c r="S635" s="2">
        <f>$S634+$R634+INDEX(Tables!$N$5:$Q$8,MATCH(MOD($S634+$R634,4),Tables!$M$5:$M$8,0),MATCH($R635,Tables!$N$4:$Q$4,0))</f>
        <v>2244</v>
      </c>
      <c r="T635" s="2" t="str">
        <f t="shared" si="144"/>
        <v>08C4</v>
      </c>
      <c r="U635" s="2">
        <f t="shared" si="150"/>
        <v>561</v>
      </c>
      <c r="V635" s="2" t="str">
        <f t="shared" si="145"/>
        <v>231</v>
      </c>
      <c r="W635" s="2" t="str">
        <f t="shared" si="146"/>
        <v/>
      </c>
      <c r="X635" s="2" t="str">
        <f t="shared" si="147"/>
        <v/>
      </c>
      <c r="Y635" s="2" t="str">
        <f t="shared" si="148"/>
        <v/>
      </c>
      <c r="Z635" s="2" t="str">
        <f t="shared" si="149"/>
        <v>X</v>
      </c>
      <c r="AA635" s="2" t="str">
        <f t="shared" si="151"/>
        <v/>
      </c>
      <c r="AB635" s="2" t="str">
        <f t="shared" si="152"/>
        <v/>
      </c>
      <c r="AC635" s="2" t="str">
        <f t="shared" si="153"/>
        <v/>
      </c>
      <c r="AD635" s="2" t="str">
        <f t="shared" si="154"/>
        <v>(0)</v>
      </c>
      <c r="AE635" s="2" t="str">
        <f t="shared" si="155"/>
        <v/>
      </c>
      <c r="AF635" s="2" t="str">
        <f t="shared" si="156"/>
        <v/>
      </c>
      <c r="AG635" s="2" t="str">
        <f t="shared" si="157"/>
        <v/>
      </c>
      <c r="AH635" s="2" t="str">
        <f t="shared" si="158"/>
        <v/>
      </c>
    </row>
    <row r="636" spans="2:34" x14ac:dyDescent="0.25">
      <c r="B636" s="2" t="s">
        <v>1032</v>
      </c>
      <c r="D636" s="2" t="s">
        <v>1</v>
      </c>
      <c r="E636" s="2" t="s">
        <v>134</v>
      </c>
      <c r="F636" s="2" t="s">
        <v>1040</v>
      </c>
      <c r="G636" s="2" t="s">
        <v>1041</v>
      </c>
      <c r="H636" s="2" t="s">
        <v>474</v>
      </c>
      <c r="I636" s="2" t="s">
        <v>42</v>
      </c>
      <c r="J636" s="2">
        <v>1</v>
      </c>
      <c r="K636" s="2" t="s">
        <v>82</v>
      </c>
      <c r="L636" s="2" t="s">
        <v>41</v>
      </c>
      <c r="M636" s="2" t="s">
        <v>135</v>
      </c>
      <c r="N636" s="2" t="s">
        <v>1035</v>
      </c>
      <c r="O636" s="2" t="s">
        <v>475</v>
      </c>
      <c r="P636" s="2" t="s">
        <v>5</v>
      </c>
      <c r="Q636" s="2">
        <f>INDEX(Tables!$C$4:$C$28,MATCH($P636,Tables!$B$4:$B$28,0))</f>
        <v>32</v>
      </c>
      <c r="R636" s="2">
        <f>INDEX(Tables!$D$4:$D$28,MATCH($P636,Tables!$B$4:$B$28,0))</f>
        <v>4</v>
      </c>
      <c r="S636" s="2">
        <f>$S635+$R635+INDEX(Tables!$N$5:$Q$8,MATCH(MOD($S635+$R635,4),Tables!$M$5:$M$8,0),MATCH($R636,Tables!$N$4:$Q$4,0))</f>
        <v>2248</v>
      </c>
      <c r="T636" s="2" t="str">
        <f t="shared" si="144"/>
        <v>08C8</v>
      </c>
      <c r="U636" s="2">
        <f t="shared" si="150"/>
        <v>562</v>
      </c>
      <c r="V636" s="2" t="str">
        <f t="shared" si="145"/>
        <v>232</v>
      </c>
      <c r="W636" s="2" t="str">
        <f t="shared" si="146"/>
        <v/>
      </c>
      <c r="X636" s="2" t="str">
        <f t="shared" si="147"/>
        <v/>
      </c>
      <c r="Y636" s="2" t="str">
        <f t="shared" si="148"/>
        <v/>
      </c>
      <c r="Z636" s="2" t="str">
        <f t="shared" si="149"/>
        <v>X</v>
      </c>
      <c r="AA636" s="2" t="str">
        <f t="shared" si="151"/>
        <v/>
      </c>
      <c r="AB636" s="2" t="str">
        <f t="shared" si="152"/>
        <v/>
      </c>
      <c r="AC636" s="2" t="str">
        <f t="shared" si="153"/>
        <v/>
      </c>
      <c r="AD636" s="2" t="str">
        <f t="shared" si="154"/>
        <v>(0)</v>
      </c>
      <c r="AE636" s="2" t="str">
        <f t="shared" si="155"/>
        <v/>
      </c>
      <c r="AF636" s="2" t="str">
        <f t="shared" si="156"/>
        <v/>
      </c>
      <c r="AG636" s="2" t="str">
        <f t="shared" si="157"/>
        <v/>
      </c>
      <c r="AH636" s="2" t="str">
        <f t="shared" si="158"/>
        <v/>
      </c>
    </row>
    <row r="637" spans="2:34" x14ac:dyDescent="0.25">
      <c r="B637" s="2" t="s">
        <v>1032</v>
      </c>
      <c r="D637" s="2" t="s">
        <v>1</v>
      </c>
      <c r="E637" s="2" t="s">
        <v>134</v>
      </c>
      <c r="F637" s="2" t="s">
        <v>1040</v>
      </c>
      <c r="G637" s="2" t="s">
        <v>1041</v>
      </c>
      <c r="H637" s="2" t="s">
        <v>476</v>
      </c>
      <c r="I637" s="2" t="s">
        <v>42</v>
      </c>
      <c r="J637" s="2">
        <v>1</v>
      </c>
      <c r="K637" s="2" t="s">
        <v>82</v>
      </c>
      <c r="L637" s="2" t="s">
        <v>41</v>
      </c>
      <c r="M637" s="2" t="s">
        <v>135</v>
      </c>
      <c r="N637" s="2" t="s">
        <v>1035</v>
      </c>
      <c r="O637" s="2" t="s">
        <v>477</v>
      </c>
      <c r="P637" s="2" t="s">
        <v>5</v>
      </c>
      <c r="Q637" s="2">
        <f>INDEX(Tables!$C$4:$C$28,MATCH($P637,Tables!$B$4:$B$28,0))</f>
        <v>32</v>
      </c>
      <c r="R637" s="2">
        <f>INDEX(Tables!$D$4:$D$28,MATCH($P637,Tables!$B$4:$B$28,0))</f>
        <v>4</v>
      </c>
      <c r="S637" s="2">
        <f>$S636+$R636+INDEX(Tables!$N$5:$Q$8,MATCH(MOD($S636+$R636,4),Tables!$M$5:$M$8,0),MATCH($R637,Tables!$N$4:$Q$4,0))</f>
        <v>2252</v>
      </c>
      <c r="T637" s="2" t="str">
        <f t="shared" si="144"/>
        <v>08CC</v>
      </c>
      <c r="U637" s="2">
        <f t="shared" si="150"/>
        <v>563</v>
      </c>
      <c r="V637" s="2" t="str">
        <f t="shared" si="145"/>
        <v>233</v>
      </c>
      <c r="W637" s="2" t="str">
        <f t="shared" si="146"/>
        <v/>
      </c>
      <c r="X637" s="2" t="str">
        <f t="shared" si="147"/>
        <v/>
      </c>
      <c r="Y637" s="2" t="str">
        <f t="shared" si="148"/>
        <v/>
      </c>
      <c r="Z637" s="2" t="str">
        <f t="shared" si="149"/>
        <v>X</v>
      </c>
      <c r="AA637" s="2" t="str">
        <f t="shared" si="151"/>
        <v/>
      </c>
      <c r="AB637" s="2" t="str">
        <f t="shared" si="152"/>
        <v/>
      </c>
      <c r="AC637" s="2" t="str">
        <f t="shared" si="153"/>
        <v/>
      </c>
      <c r="AD637" s="2" t="str">
        <f t="shared" si="154"/>
        <v>(0)</v>
      </c>
      <c r="AE637" s="2" t="str">
        <f t="shared" si="155"/>
        <v/>
      </c>
      <c r="AF637" s="2" t="str">
        <f t="shared" si="156"/>
        <v/>
      </c>
      <c r="AG637" s="2" t="str">
        <f t="shared" si="157"/>
        <v/>
      </c>
      <c r="AH637" s="2" t="str">
        <f t="shared" si="158"/>
        <v/>
      </c>
    </row>
    <row r="638" spans="2:34" x14ac:dyDescent="0.25">
      <c r="B638" s="2" t="s">
        <v>1032</v>
      </c>
      <c r="D638" s="2" t="s">
        <v>1</v>
      </c>
      <c r="E638" s="2" t="s">
        <v>134</v>
      </c>
      <c r="F638" s="2" t="s">
        <v>1040</v>
      </c>
      <c r="G638" s="2" t="s">
        <v>1041</v>
      </c>
      <c r="H638" s="2" t="s">
        <v>478</v>
      </c>
      <c r="I638" s="2" t="s">
        <v>42</v>
      </c>
      <c r="J638" s="2">
        <v>1</v>
      </c>
      <c r="K638" s="2" t="s">
        <v>82</v>
      </c>
      <c r="L638" s="2" t="s">
        <v>41</v>
      </c>
      <c r="M638" s="2" t="s">
        <v>135</v>
      </c>
      <c r="N638" s="2" t="s">
        <v>1035</v>
      </c>
      <c r="O638" s="2" t="s">
        <v>479</v>
      </c>
      <c r="P638" s="2" t="s">
        <v>5</v>
      </c>
      <c r="Q638" s="2">
        <f>INDEX(Tables!$C$4:$C$28,MATCH($P638,Tables!$B$4:$B$28,0))</f>
        <v>32</v>
      </c>
      <c r="R638" s="2">
        <f>INDEX(Tables!$D$4:$D$28,MATCH($P638,Tables!$B$4:$B$28,0))</f>
        <v>4</v>
      </c>
      <c r="S638" s="2">
        <f>$S637+$R637+INDEX(Tables!$N$5:$Q$8,MATCH(MOD($S637+$R637,4),Tables!$M$5:$M$8,0),MATCH($R638,Tables!$N$4:$Q$4,0))</f>
        <v>2256</v>
      </c>
      <c r="T638" s="2" t="str">
        <f t="shared" si="144"/>
        <v>08D0</v>
      </c>
      <c r="U638" s="2">
        <f t="shared" si="150"/>
        <v>564</v>
      </c>
      <c r="V638" s="2" t="str">
        <f t="shared" si="145"/>
        <v>234</v>
      </c>
      <c r="W638" s="2" t="str">
        <f t="shared" si="146"/>
        <v/>
      </c>
      <c r="X638" s="2" t="str">
        <f t="shared" si="147"/>
        <v/>
      </c>
      <c r="Y638" s="2" t="str">
        <f t="shared" si="148"/>
        <v/>
      </c>
      <c r="Z638" s="2" t="str">
        <f t="shared" si="149"/>
        <v>X</v>
      </c>
      <c r="AA638" s="2" t="str">
        <f t="shared" si="151"/>
        <v/>
      </c>
      <c r="AB638" s="2" t="str">
        <f t="shared" si="152"/>
        <v/>
      </c>
      <c r="AC638" s="2" t="str">
        <f t="shared" si="153"/>
        <v/>
      </c>
      <c r="AD638" s="2" t="str">
        <f t="shared" si="154"/>
        <v>(0)</v>
      </c>
      <c r="AE638" s="2" t="str">
        <f t="shared" si="155"/>
        <v/>
      </c>
      <c r="AF638" s="2" t="str">
        <f t="shared" si="156"/>
        <v/>
      </c>
      <c r="AG638" s="2" t="str">
        <f t="shared" si="157"/>
        <v/>
      </c>
      <c r="AH638" s="2" t="str">
        <f t="shared" si="158"/>
        <v/>
      </c>
    </row>
    <row r="639" spans="2:34" x14ac:dyDescent="0.25">
      <c r="B639" s="2" t="s">
        <v>1032</v>
      </c>
      <c r="D639" s="2" t="s">
        <v>1</v>
      </c>
      <c r="E639" s="2" t="s">
        <v>134</v>
      </c>
      <c r="F639" s="2" t="s">
        <v>1040</v>
      </c>
      <c r="G639" s="2" t="s">
        <v>1041</v>
      </c>
      <c r="H639" s="2" t="s">
        <v>480</v>
      </c>
      <c r="I639" s="2" t="s">
        <v>42</v>
      </c>
      <c r="J639" s="2">
        <v>1</v>
      </c>
      <c r="K639" s="2" t="s">
        <v>82</v>
      </c>
      <c r="L639" s="2" t="s">
        <v>41</v>
      </c>
      <c r="M639" s="2" t="s">
        <v>135</v>
      </c>
      <c r="N639" s="2" t="s">
        <v>1035</v>
      </c>
      <c r="O639" s="2" t="s">
        <v>481</v>
      </c>
      <c r="P639" s="2" t="s">
        <v>5</v>
      </c>
      <c r="Q639" s="2">
        <f>INDEX(Tables!$C$4:$C$28,MATCH($P639,Tables!$B$4:$B$28,0))</f>
        <v>32</v>
      </c>
      <c r="R639" s="2">
        <f>INDEX(Tables!$D$4:$D$28,MATCH($P639,Tables!$B$4:$B$28,0))</f>
        <v>4</v>
      </c>
      <c r="S639" s="2">
        <f>$S638+$R638+INDEX(Tables!$N$5:$Q$8,MATCH(MOD($S638+$R638,4),Tables!$M$5:$M$8,0),MATCH($R639,Tables!$N$4:$Q$4,0))</f>
        <v>2260</v>
      </c>
      <c r="T639" s="2" t="str">
        <f t="shared" si="144"/>
        <v>08D4</v>
      </c>
      <c r="U639" s="2">
        <f t="shared" si="150"/>
        <v>565</v>
      </c>
      <c r="V639" s="2" t="str">
        <f t="shared" si="145"/>
        <v>235</v>
      </c>
      <c r="W639" s="2" t="str">
        <f t="shared" si="146"/>
        <v/>
      </c>
      <c r="X639" s="2" t="str">
        <f t="shared" si="147"/>
        <v/>
      </c>
      <c r="Y639" s="2" t="str">
        <f t="shared" si="148"/>
        <v/>
      </c>
      <c r="Z639" s="2" t="str">
        <f t="shared" si="149"/>
        <v>X</v>
      </c>
      <c r="AA639" s="2" t="str">
        <f t="shared" si="151"/>
        <v/>
      </c>
      <c r="AB639" s="2" t="str">
        <f t="shared" si="152"/>
        <v/>
      </c>
      <c r="AC639" s="2" t="str">
        <f t="shared" si="153"/>
        <v/>
      </c>
      <c r="AD639" s="2" t="str">
        <f t="shared" si="154"/>
        <v>(0)</v>
      </c>
      <c r="AE639" s="2" t="str">
        <f t="shared" si="155"/>
        <v/>
      </c>
      <c r="AF639" s="2" t="str">
        <f t="shared" si="156"/>
        <v/>
      </c>
      <c r="AG639" s="2" t="str">
        <f t="shared" si="157"/>
        <v/>
      </c>
      <c r="AH639" s="2" t="str">
        <f t="shared" si="158"/>
        <v/>
      </c>
    </row>
    <row r="640" spans="2:34" x14ac:dyDescent="0.25">
      <c r="B640" s="2" t="s">
        <v>1032</v>
      </c>
      <c r="D640" s="2" t="s">
        <v>1</v>
      </c>
      <c r="E640" s="2" t="s">
        <v>134</v>
      </c>
      <c r="F640" s="2" t="s">
        <v>1040</v>
      </c>
      <c r="G640" s="2" t="s">
        <v>1041</v>
      </c>
      <c r="H640" s="2" t="s">
        <v>482</v>
      </c>
      <c r="I640" s="2" t="s">
        <v>42</v>
      </c>
      <c r="J640" s="2">
        <v>1</v>
      </c>
      <c r="K640" s="2" t="s">
        <v>82</v>
      </c>
      <c r="L640" s="2" t="s">
        <v>41</v>
      </c>
      <c r="M640" s="2" t="s">
        <v>135</v>
      </c>
      <c r="N640" s="2" t="s">
        <v>1035</v>
      </c>
      <c r="O640" s="2" t="s">
        <v>483</v>
      </c>
      <c r="P640" s="2" t="s">
        <v>5</v>
      </c>
      <c r="Q640" s="2">
        <f>INDEX(Tables!$C$4:$C$28,MATCH($P640,Tables!$B$4:$B$28,0))</f>
        <v>32</v>
      </c>
      <c r="R640" s="2">
        <f>INDEX(Tables!$D$4:$D$28,MATCH($P640,Tables!$B$4:$B$28,0))</f>
        <v>4</v>
      </c>
      <c r="S640" s="2">
        <f>$S639+$R639+INDEX(Tables!$N$5:$Q$8,MATCH(MOD($S639+$R639,4),Tables!$M$5:$M$8,0),MATCH($R640,Tables!$N$4:$Q$4,0))</f>
        <v>2264</v>
      </c>
      <c r="T640" s="2" t="str">
        <f t="shared" si="144"/>
        <v>08D8</v>
      </c>
      <c r="U640" s="2">
        <f t="shared" si="150"/>
        <v>566</v>
      </c>
      <c r="V640" s="2" t="str">
        <f t="shared" si="145"/>
        <v>236</v>
      </c>
      <c r="W640" s="2" t="str">
        <f t="shared" si="146"/>
        <v/>
      </c>
      <c r="X640" s="2" t="str">
        <f t="shared" si="147"/>
        <v/>
      </c>
      <c r="Y640" s="2" t="str">
        <f t="shared" si="148"/>
        <v/>
      </c>
      <c r="Z640" s="2" t="str">
        <f t="shared" si="149"/>
        <v>X</v>
      </c>
      <c r="AA640" s="2" t="str">
        <f t="shared" si="151"/>
        <v/>
      </c>
      <c r="AB640" s="2" t="str">
        <f t="shared" si="152"/>
        <v/>
      </c>
      <c r="AC640" s="2" t="str">
        <f t="shared" si="153"/>
        <v/>
      </c>
      <c r="AD640" s="2" t="str">
        <f t="shared" si="154"/>
        <v>(0)</v>
      </c>
      <c r="AE640" s="2" t="str">
        <f t="shared" si="155"/>
        <v/>
      </c>
      <c r="AF640" s="2" t="str">
        <f t="shared" si="156"/>
        <v/>
      </c>
      <c r="AG640" s="2" t="str">
        <f t="shared" si="157"/>
        <v/>
      </c>
      <c r="AH640" s="2" t="str">
        <f t="shared" si="158"/>
        <v/>
      </c>
    </row>
    <row r="641" spans="2:34" x14ac:dyDescent="0.25">
      <c r="B641" s="2" t="s">
        <v>1032</v>
      </c>
      <c r="D641" s="2" t="s">
        <v>1</v>
      </c>
      <c r="E641" s="2" t="s">
        <v>134</v>
      </c>
      <c r="F641" s="2" t="s">
        <v>1040</v>
      </c>
      <c r="G641" s="2" t="s">
        <v>1041</v>
      </c>
      <c r="H641" s="2" t="s">
        <v>484</v>
      </c>
      <c r="I641" s="2" t="s">
        <v>42</v>
      </c>
      <c r="J641" s="2">
        <v>1</v>
      </c>
      <c r="K641" s="2" t="s">
        <v>82</v>
      </c>
      <c r="L641" s="2" t="s">
        <v>41</v>
      </c>
      <c r="M641" s="2" t="s">
        <v>135</v>
      </c>
      <c r="N641" s="2" t="s">
        <v>1035</v>
      </c>
      <c r="O641" s="2" t="s">
        <v>485</v>
      </c>
      <c r="P641" s="2" t="s">
        <v>5</v>
      </c>
      <c r="Q641" s="2">
        <f>INDEX(Tables!$C$4:$C$28,MATCH($P641,Tables!$B$4:$B$28,0))</f>
        <v>32</v>
      </c>
      <c r="R641" s="2">
        <f>INDEX(Tables!$D$4:$D$28,MATCH($P641,Tables!$B$4:$B$28,0))</f>
        <v>4</v>
      </c>
      <c r="S641" s="2">
        <f>$S640+$R640+INDEX(Tables!$N$5:$Q$8,MATCH(MOD($S640+$R640,4),Tables!$M$5:$M$8,0),MATCH($R641,Tables!$N$4:$Q$4,0))</f>
        <v>2268</v>
      </c>
      <c r="T641" s="2" t="str">
        <f t="shared" si="144"/>
        <v>08DC</v>
      </c>
      <c r="U641" s="2">
        <f t="shared" si="150"/>
        <v>567</v>
      </c>
      <c r="V641" s="2" t="str">
        <f t="shared" si="145"/>
        <v>237</v>
      </c>
      <c r="W641" s="2" t="str">
        <f t="shared" si="146"/>
        <v/>
      </c>
      <c r="X641" s="2" t="str">
        <f t="shared" si="147"/>
        <v/>
      </c>
      <c r="Y641" s="2" t="str">
        <f t="shared" si="148"/>
        <v/>
      </c>
      <c r="Z641" s="2" t="str">
        <f t="shared" si="149"/>
        <v>X</v>
      </c>
      <c r="AA641" s="2" t="str">
        <f t="shared" si="151"/>
        <v/>
      </c>
      <c r="AB641" s="2" t="str">
        <f t="shared" si="152"/>
        <v/>
      </c>
      <c r="AC641" s="2" t="str">
        <f t="shared" si="153"/>
        <v/>
      </c>
      <c r="AD641" s="2" t="str">
        <f t="shared" si="154"/>
        <v>(0)</v>
      </c>
      <c r="AE641" s="2" t="str">
        <f t="shared" si="155"/>
        <v/>
      </c>
      <c r="AF641" s="2" t="str">
        <f t="shared" si="156"/>
        <v/>
      </c>
      <c r="AG641" s="2" t="str">
        <f t="shared" si="157"/>
        <v/>
      </c>
      <c r="AH641" s="2" t="str">
        <f t="shared" si="158"/>
        <v/>
      </c>
    </row>
    <row r="642" spans="2:34" x14ac:dyDescent="0.25">
      <c r="B642" s="2" t="s">
        <v>1032</v>
      </c>
      <c r="D642" s="2" t="s">
        <v>1</v>
      </c>
      <c r="E642" s="2" t="s">
        <v>134</v>
      </c>
      <c r="F642" s="2" t="s">
        <v>1040</v>
      </c>
      <c r="G642" s="2" t="s">
        <v>1041</v>
      </c>
      <c r="H642" s="2" t="s">
        <v>486</v>
      </c>
      <c r="I642" s="2" t="s">
        <v>42</v>
      </c>
      <c r="J642" s="2">
        <v>1</v>
      </c>
      <c r="K642" s="2" t="s">
        <v>82</v>
      </c>
      <c r="L642" s="2" t="s">
        <v>41</v>
      </c>
      <c r="M642" s="2" t="s">
        <v>135</v>
      </c>
      <c r="N642" s="2" t="s">
        <v>1035</v>
      </c>
      <c r="O642" s="2" t="s">
        <v>487</v>
      </c>
      <c r="P642" s="2" t="s">
        <v>5</v>
      </c>
      <c r="Q642" s="2">
        <f>INDEX(Tables!$C$4:$C$28,MATCH($P642,Tables!$B$4:$B$28,0))</f>
        <v>32</v>
      </c>
      <c r="R642" s="2">
        <f>INDEX(Tables!$D$4:$D$28,MATCH($P642,Tables!$B$4:$B$28,0))</f>
        <v>4</v>
      </c>
      <c r="S642" s="2">
        <f>$S641+$R641+INDEX(Tables!$N$5:$Q$8,MATCH(MOD($S641+$R641,4),Tables!$M$5:$M$8,0),MATCH($R642,Tables!$N$4:$Q$4,0))</f>
        <v>2272</v>
      </c>
      <c r="T642" s="2" t="str">
        <f t="shared" si="144"/>
        <v>08E0</v>
      </c>
      <c r="U642" s="2">
        <f t="shared" si="150"/>
        <v>568</v>
      </c>
      <c r="V642" s="2" t="str">
        <f t="shared" si="145"/>
        <v>238</v>
      </c>
      <c r="W642" s="2" t="str">
        <f t="shared" si="146"/>
        <v/>
      </c>
      <c r="X642" s="2" t="str">
        <f t="shared" si="147"/>
        <v/>
      </c>
      <c r="Y642" s="2" t="str">
        <f t="shared" si="148"/>
        <v/>
      </c>
      <c r="Z642" s="2" t="str">
        <f t="shared" si="149"/>
        <v>X</v>
      </c>
      <c r="AA642" s="2" t="str">
        <f t="shared" si="151"/>
        <v/>
      </c>
      <c r="AB642" s="2" t="str">
        <f t="shared" si="152"/>
        <v/>
      </c>
      <c r="AC642" s="2" t="str">
        <f t="shared" si="153"/>
        <v/>
      </c>
      <c r="AD642" s="2" t="str">
        <f t="shared" si="154"/>
        <v>(0)</v>
      </c>
      <c r="AE642" s="2" t="str">
        <f t="shared" si="155"/>
        <v/>
      </c>
      <c r="AF642" s="2" t="str">
        <f t="shared" si="156"/>
        <v/>
      </c>
      <c r="AG642" s="2" t="str">
        <f t="shared" si="157"/>
        <v/>
      </c>
      <c r="AH642" s="2" t="str">
        <f t="shared" si="158"/>
        <v/>
      </c>
    </row>
    <row r="643" spans="2:34" x14ac:dyDescent="0.25">
      <c r="B643" s="2" t="s">
        <v>1032</v>
      </c>
      <c r="D643" s="2" t="s">
        <v>1</v>
      </c>
      <c r="E643" s="2" t="s">
        <v>134</v>
      </c>
      <c r="F643" s="2" t="s">
        <v>1040</v>
      </c>
      <c r="G643" s="2" t="s">
        <v>1041</v>
      </c>
      <c r="H643" s="2" t="s">
        <v>488</v>
      </c>
      <c r="I643" s="2" t="s">
        <v>42</v>
      </c>
      <c r="J643" s="2">
        <v>1</v>
      </c>
      <c r="K643" s="2" t="s">
        <v>82</v>
      </c>
      <c r="L643" s="2" t="s">
        <v>41</v>
      </c>
      <c r="M643" s="2" t="s">
        <v>135</v>
      </c>
      <c r="N643" s="2" t="s">
        <v>1035</v>
      </c>
      <c r="O643" s="2" t="s">
        <v>489</v>
      </c>
      <c r="P643" s="2" t="s">
        <v>5</v>
      </c>
      <c r="Q643" s="2">
        <f>INDEX(Tables!$C$4:$C$28,MATCH($P643,Tables!$B$4:$B$28,0))</f>
        <v>32</v>
      </c>
      <c r="R643" s="2">
        <f>INDEX(Tables!$D$4:$D$28,MATCH($P643,Tables!$B$4:$B$28,0))</f>
        <v>4</v>
      </c>
      <c r="S643" s="2">
        <f>$S642+$R642+INDEX(Tables!$N$5:$Q$8,MATCH(MOD($S642+$R642,4),Tables!$M$5:$M$8,0),MATCH($R643,Tables!$N$4:$Q$4,0))</f>
        <v>2276</v>
      </c>
      <c r="T643" s="2" t="str">
        <f t="shared" si="144"/>
        <v>08E4</v>
      </c>
      <c r="U643" s="2">
        <f t="shared" si="150"/>
        <v>569</v>
      </c>
      <c r="V643" s="2" t="str">
        <f t="shared" si="145"/>
        <v>239</v>
      </c>
      <c r="W643" s="2" t="str">
        <f t="shared" si="146"/>
        <v/>
      </c>
      <c r="X643" s="2" t="str">
        <f t="shared" si="147"/>
        <v/>
      </c>
      <c r="Y643" s="2" t="str">
        <f t="shared" si="148"/>
        <v/>
      </c>
      <c r="Z643" s="2" t="str">
        <f t="shared" si="149"/>
        <v>X</v>
      </c>
      <c r="AA643" s="2" t="str">
        <f t="shared" si="151"/>
        <v/>
      </c>
      <c r="AB643" s="2" t="str">
        <f t="shared" si="152"/>
        <v/>
      </c>
      <c r="AC643" s="2" t="str">
        <f t="shared" si="153"/>
        <v/>
      </c>
      <c r="AD643" s="2" t="str">
        <f t="shared" si="154"/>
        <v>(0)</v>
      </c>
      <c r="AE643" s="2" t="str">
        <f t="shared" si="155"/>
        <v/>
      </c>
      <c r="AF643" s="2" t="str">
        <f t="shared" si="156"/>
        <v/>
      </c>
      <c r="AG643" s="2" t="str">
        <f t="shared" si="157"/>
        <v/>
      </c>
      <c r="AH643" s="2" t="str">
        <f t="shared" si="158"/>
        <v/>
      </c>
    </row>
    <row r="644" spans="2:34" x14ac:dyDescent="0.25">
      <c r="B644" s="2" t="s">
        <v>1032</v>
      </c>
      <c r="D644" s="2" t="s">
        <v>1</v>
      </c>
      <c r="E644" s="2" t="s">
        <v>134</v>
      </c>
      <c r="F644" s="2" t="s">
        <v>1040</v>
      </c>
      <c r="G644" s="2" t="s">
        <v>1041</v>
      </c>
      <c r="H644" s="2" t="s">
        <v>490</v>
      </c>
      <c r="I644" s="2" t="s">
        <v>42</v>
      </c>
      <c r="J644" s="2">
        <v>1</v>
      </c>
      <c r="K644" s="2" t="s">
        <v>82</v>
      </c>
      <c r="L644" s="2" t="s">
        <v>41</v>
      </c>
      <c r="M644" s="2" t="s">
        <v>135</v>
      </c>
      <c r="N644" s="2" t="s">
        <v>1035</v>
      </c>
      <c r="O644" s="2" t="s">
        <v>491</v>
      </c>
      <c r="P644" s="2" t="s">
        <v>5</v>
      </c>
      <c r="Q644" s="2">
        <f>INDEX(Tables!$C$4:$C$28,MATCH($P644,Tables!$B$4:$B$28,0))</f>
        <v>32</v>
      </c>
      <c r="R644" s="2">
        <f>INDEX(Tables!$D$4:$D$28,MATCH($P644,Tables!$B$4:$B$28,0))</f>
        <v>4</v>
      </c>
      <c r="S644" s="2">
        <f>$S643+$R643+INDEX(Tables!$N$5:$Q$8,MATCH(MOD($S643+$R643,4),Tables!$M$5:$M$8,0),MATCH($R644,Tables!$N$4:$Q$4,0))</f>
        <v>2280</v>
      </c>
      <c r="T644" s="2" t="str">
        <f t="shared" si="144"/>
        <v>08E8</v>
      </c>
      <c r="U644" s="2">
        <f t="shared" si="150"/>
        <v>570</v>
      </c>
      <c r="V644" s="2" t="str">
        <f t="shared" si="145"/>
        <v>23A</v>
      </c>
      <c r="W644" s="2" t="str">
        <f t="shared" si="146"/>
        <v/>
      </c>
      <c r="X644" s="2" t="str">
        <f t="shared" si="147"/>
        <v/>
      </c>
      <c r="Y644" s="2" t="str">
        <f t="shared" si="148"/>
        <v/>
      </c>
      <c r="Z644" s="2" t="str">
        <f t="shared" si="149"/>
        <v>X</v>
      </c>
      <c r="AA644" s="2" t="str">
        <f t="shared" si="151"/>
        <v/>
      </c>
      <c r="AB644" s="2" t="str">
        <f t="shared" si="152"/>
        <v/>
      </c>
      <c r="AC644" s="2" t="str">
        <f t="shared" si="153"/>
        <v/>
      </c>
      <c r="AD644" s="2" t="str">
        <f t="shared" si="154"/>
        <v>(0)</v>
      </c>
      <c r="AE644" s="2" t="str">
        <f t="shared" si="155"/>
        <v/>
      </c>
      <c r="AF644" s="2" t="str">
        <f t="shared" si="156"/>
        <v/>
      </c>
      <c r="AG644" s="2" t="str">
        <f t="shared" si="157"/>
        <v/>
      </c>
      <c r="AH644" s="2" t="str">
        <f t="shared" si="158"/>
        <v/>
      </c>
    </row>
    <row r="645" spans="2:34" x14ac:dyDescent="0.25">
      <c r="B645" s="2" t="s">
        <v>1032</v>
      </c>
      <c r="D645" s="2" t="s">
        <v>1</v>
      </c>
      <c r="E645" s="2" t="s">
        <v>134</v>
      </c>
      <c r="F645" s="2" t="s">
        <v>1040</v>
      </c>
      <c r="G645" s="2" t="s">
        <v>1041</v>
      </c>
      <c r="H645" s="2" t="s">
        <v>492</v>
      </c>
      <c r="I645" s="2" t="s">
        <v>42</v>
      </c>
      <c r="J645" s="2">
        <v>1</v>
      </c>
      <c r="K645" s="2" t="s">
        <v>82</v>
      </c>
      <c r="L645" s="2" t="s">
        <v>41</v>
      </c>
      <c r="M645" s="2" t="s">
        <v>135</v>
      </c>
      <c r="N645" s="2" t="s">
        <v>1035</v>
      </c>
      <c r="O645" s="2" t="s">
        <v>493</v>
      </c>
      <c r="P645" s="2" t="s">
        <v>5</v>
      </c>
      <c r="Q645" s="2">
        <f>INDEX(Tables!$C$4:$C$28,MATCH($P645,Tables!$B$4:$B$28,0))</f>
        <v>32</v>
      </c>
      <c r="R645" s="2">
        <f>INDEX(Tables!$D$4:$D$28,MATCH($P645,Tables!$B$4:$B$28,0))</f>
        <v>4</v>
      </c>
      <c r="S645" s="2">
        <f>$S644+$R644+INDEX(Tables!$N$5:$Q$8,MATCH(MOD($S644+$R644,4),Tables!$M$5:$M$8,0),MATCH($R645,Tables!$N$4:$Q$4,0))</f>
        <v>2284</v>
      </c>
      <c r="T645" s="2" t="str">
        <f t="shared" ref="T645:T708" si="159">DEC2HEX($S645,4)</f>
        <v>08EC</v>
      </c>
      <c r="U645" s="2">
        <f t="shared" si="150"/>
        <v>571</v>
      </c>
      <c r="V645" s="2" t="str">
        <f t="shared" ref="V645:V708" si="160">DEC2HEX($U645,3)</f>
        <v>23B</v>
      </c>
      <c r="W645" s="2" t="str">
        <f t="shared" ref="W645:W708" si="161">IF(MOD($S645,4)=3,"X",IF(AND(MOD($S645,4)=2,$J645&gt;8),"X",IF(AND(MOD($S645,4)=1,$J645&gt;16),"X",IF(AND(MOD($S645,4)=0,$J645&gt;24),"X",""))))</f>
        <v/>
      </c>
      <c r="X645" s="2" t="str">
        <f t="shared" si="147"/>
        <v/>
      </c>
      <c r="Y645" s="2" t="str">
        <f t="shared" si="148"/>
        <v/>
      </c>
      <c r="Z645" s="2" t="str">
        <f t="shared" si="149"/>
        <v>X</v>
      </c>
      <c r="AA645" s="2" t="str">
        <f t="shared" si="151"/>
        <v/>
      </c>
      <c r="AB645" s="2" t="str">
        <f t="shared" si="152"/>
        <v/>
      </c>
      <c r="AC645" s="2" t="str">
        <f t="shared" si="153"/>
        <v/>
      </c>
      <c r="AD645" s="2" t="str">
        <f t="shared" si="154"/>
        <v>(0)</v>
      </c>
      <c r="AE645" s="2" t="str">
        <f t="shared" si="155"/>
        <v/>
      </c>
      <c r="AF645" s="2" t="str">
        <f t="shared" si="156"/>
        <v/>
      </c>
      <c r="AG645" s="2" t="str">
        <f t="shared" si="157"/>
        <v/>
      </c>
      <c r="AH645" s="2" t="str">
        <f t="shared" si="158"/>
        <v/>
      </c>
    </row>
    <row r="646" spans="2:34" x14ac:dyDescent="0.25">
      <c r="B646" s="2" t="s">
        <v>1032</v>
      </c>
      <c r="D646" s="2" t="s">
        <v>1</v>
      </c>
      <c r="E646" s="2" t="s">
        <v>134</v>
      </c>
      <c r="F646" s="2" t="s">
        <v>1042</v>
      </c>
      <c r="G646" s="2" t="s">
        <v>1043</v>
      </c>
      <c r="H646" s="2" t="s">
        <v>496</v>
      </c>
      <c r="I646" s="2" t="s">
        <v>42</v>
      </c>
      <c r="J646" s="2">
        <v>2</v>
      </c>
      <c r="K646" s="2" t="s">
        <v>137</v>
      </c>
      <c r="L646" s="2" t="s">
        <v>41</v>
      </c>
      <c r="M646" s="2" t="s">
        <v>135</v>
      </c>
      <c r="N646" s="2" t="s">
        <v>1035</v>
      </c>
      <c r="O646" s="2" t="s">
        <v>497</v>
      </c>
      <c r="P646" s="2" t="s">
        <v>48</v>
      </c>
      <c r="Q646" s="2">
        <f>INDEX(Tables!$C$4:$C$28,MATCH($P646,Tables!$B$4:$B$28,0))</f>
        <v>8</v>
      </c>
      <c r="R646" s="2">
        <f>INDEX(Tables!$D$4:$D$28,MATCH($P646,Tables!$B$4:$B$28,0))</f>
        <v>1</v>
      </c>
      <c r="S646" s="2">
        <f>$S645+$R645+INDEX(Tables!$N$5:$Q$8,MATCH(MOD($S645+$R645,4),Tables!$M$5:$M$8,0),MATCH($R646,Tables!$N$4:$Q$4,0))</f>
        <v>2288</v>
      </c>
      <c r="T646" s="2" t="str">
        <f t="shared" si="159"/>
        <v>08F0</v>
      </c>
      <c r="U646" s="2">
        <f t="shared" si="150"/>
        <v>572</v>
      </c>
      <c r="V646" s="2" t="str">
        <f t="shared" si="160"/>
        <v>23C</v>
      </c>
      <c r="W646" s="2" t="str">
        <f t="shared" si="161"/>
        <v/>
      </c>
      <c r="X646" s="2" t="str">
        <f t="shared" si="147"/>
        <v/>
      </c>
      <c r="Y646" s="2" t="str">
        <f t="shared" si="148"/>
        <v/>
      </c>
      <c r="Z646" s="2" t="str">
        <f t="shared" si="149"/>
        <v>X</v>
      </c>
      <c r="AA646" s="2" t="str">
        <f t="shared" si="151"/>
        <v/>
      </c>
      <c r="AB646" s="2" t="str">
        <f t="shared" si="152"/>
        <v/>
      </c>
      <c r="AC646" s="2" t="str">
        <f t="shared" si="153"/>
        <v/>
      </c>
      <c r="AD646" s="2" t="str">
        <f t="shared" si="154"/>
        <v>(1 downto 0)</v>
      </c>
      <c r="AE646" s="2" t="str">
        <f t="shared" si="155"/>
        <v/>
      </c>
      <c r="AF646" s="2" t="str">
        <f t="shared" si="156"/>
        <v/>
      </c>
      <c r="AG646" s="2" t="str">
        <f t="shared" si="157"/>
        <v/>
      </c>
      <c r="AH646" s="2" t="str">
        <f t="shared" si="158"/>
        <v/>
      </c>
    </row>
    <row r="647" spans="2:34" x14ac:dyDescent="0.25">
      <c r="B647" s="2" t="s">
        <v>1032</v>
      </c>
      <c r="D647" s="2" t="s">
        <v>1</v>
      </c>
      <c r="E647" s="2" t="s">
        <v>134</v>
      </c>
      <c r="F647" s="2" t="s">
        <v>1042</v>
      </c>
      <c r="G647" s="2" t="s">
        <v>1043</v>
      </c>
      <c r="H647" s="2" t="s">
        <v>498</v>
      </c>
      <c r="I647" s="2" t="s">
        <v>42</v>
      </c>
      <c r="J647" s="2">
        <v>14</v>
      </c>
      <c r="K647" s="2" t="s">
        <v>137</v>
      </c>
      <c r="L647" s="2" t="s">
        <v>41</v>
      </c>
      <c r="M647" s="2" t="s">
        <v>135</v>
      </c>
      <c r="N647" s="2" t="s">
        <v>1035</v>
      </c>
      <c r="O647" s="2" t="s">
        <v>499</v>
      </c>
      <c r="P647" s="2" t="s">
        <v>50</v>
      </c>
      <c r="Q647" s="2">
        <f>INDEX(Tables!$C$4:$C$28,MATCH($P647,Tables!$B$4:$B$28,0))</f>
        <v>16</v>
      </c>
      <c r="R647" s="2">
        <f>INDEX(Tables!$D$4:$D$28,MATCH($P647,Tables!$B$4:$B$28,0))</f>
        <v>2</v>
      </c>
      <c r="S647" s="2">
        <f>$S646+$R646+INDEX(Tables!$N$5:$Q$8,MATCH(MOD($S646+$R646,4),Tables!$M$5:$M$8,0),MATCH($R647,Tables!$N$4:$Q$4,0))</f>
        <v>2290</v>
      </c>
      <c r="T647" s="2" t="str">
        <f t="shared" si="159"/>
        <v>08F2</v>
      </c>
      <c r="U647" s="2">
        <f t="shared" si="150"/>
        <v>572</v>
      </c>
      <c r="V647" s="2" t="str">
        <f t="shared" si="160"/>
        <v>23C</v>
      </c>
      <c r="W647" s="2" t="str">
        <f t="shared" si="161"/>
        <v>X</v>
      </c>
      <c r="X647" s="2" t="str">
        <f t="shared" si="147"/>
        <v>X</v>
      </c>
      <c r="Y647" s="2" t="str">
        <f t="shared" si="148"/>
        <v/>
      </c>
      <c r="Z647" s="2" t="str">
        <f t="shared" si="149"/>
        <v/>
      </c>
      <c r="AA647" s="2" t="str">
        <f t="shared" si="151"/>
        <v>(29 downto 24)</v>
      </c>
      <c r="AB647" s="2" t="str">
        <f t="shared" si="152"/>
        <v>(23 downto 16)</v>
      </c>
      <c r="AC647" s="2" t="str">
        <f t="shared" si="153"/>
        <v/>
      </c>
      <c r="AD647" s="2" t="str">
        <f t="shared" si="154"/>
        <v/>
      </c>
      <c r="AE647" s="2" t="str">
        <f t="shared" si="155"/>
        <v>(13 downto 8)</v>
      </c>
      <c r="AF647" s="2" t="str">
        <f t="shared" si="156"/>
        <v>(7 downto 0)</v>
      </c>
      <c r="AG647" s="2" t="str">
        <f t="shared" si="157"/>
        <v/>
      </c>
      <c r="AH647" s="2" t="str">
        <f t="shared" si="158"/>
        <v/>
      </c>
    </row>
    <row r="648" spans="2:34" x14ac:dyDescent="0.25">
      <c r="B648" s="2" t="s">
        <v>1032</v>
      </c>
      <c r="D648" s="2" t="s">
        <v>1</v>
      </c>
      <c r="E648" s="2" t="s">
        <v>134</v>
      </c>
      <c r="F648" s="2" t="s">
        <v>1042</v>
      </c>
      <c r="G648" s="2" t="s">
        <v>1043</v>
      </c>
      <c r="H648" s="2" t="s">
        <v>500</v>
      </c>
      <c r="I648" s="2" t="s">
        <v>42</v>
      </c>
      <c r="J648" s="2">
        <v>14</v>
      </c>
      <c r="K648" s="2" t="s">
        <v>137</v>
      </c>
      <c r="L648" s="2" t="s">
        <v>41</v>
      </c>
      <c r="M648" s="2" t="s">
        <v>135</v>
      </c>
      <c r="N648" s="2" t="s">
        <v>1035</v>
      </c>
      <c r="O648" s="2" t="s">
        <v>501</v>
      </c>
      <c r="P648" s="2" t="s">
        <v>50</v>
      </c>
      <c r="Q648" s="2">
        <f>INDEX(Tables!$C$4:$C$28,MATCH($P648,Tables!$B$4:$B$28,0))</f>
        <v>16</v>
      </c>
      <c r="R648" s="2">
        <f>INDEX(Tables!$D$4:$D$28,MATCH($P648,Tables!$B$4:$B$28,0))</f>
        <v>2</v>
      </c>
      <c r="S648" s="2">
        <f>$S647+$R647+INDEX(Tables!$N$5:$Q$8,MATCH(MOD($S647+$R647,4),Tables!$M$5:$M$8,0),MATCH($R648,Tables!$N$4:$Q$4,0))</f>
        <v>2292</v>
      </c>
      <c r="T648" s="2" t="str">
        <f t="shared" si="159"/>
        <v>08F4</v>
      </c>
      <c r="U648" s="2">
        <f t="shared" si="150"/>
        <v>573</v>
      </c>
      <c r="V648" s="2" t="str">
        <f t="shared" si="160"/>
        <v>23D</v>
      </c>
      <c r="W648" s="2" t="str">
        <f t="shared" si="161"/>
        <v/>
      </c>
      <c r="X648" s="2" t="str">
        <f t="shared" si="147"/>
        <v/>
      </c>
      <c r="Y648" s="2" t="str">
        <f t="shared" si="148"/>
        <v>X</v>
      </c>
      <c r="Z648" s="2" t="str">
        <f t="shared" si="149"/>
        <v>X</v>
      </c>
      <c r="AA648" s="2" t="str">
        <f t="shared" si="151"/>
        <v/>
      </c>
      <c r="AB648" s="2" t="str">
        <f t="shared" si="152"/>
        <v/>
      </c>
      <c r="AC648" s="2" t="str">
        <f t="shared" si="153"/>
        <v>(13 downto 8)</v>
      </c>
      <c r="AD648" s="2" t="str">
        <f t="shared" si="154"/>
        <v>(7 downto 0)</v>
      </c>
      <c r="AE648" s="2" t="str">
        <f t="shared" si="155"/>
        <v/>
      </c>
      <c r="AF648" s="2" t="str">
        <f t="shared" si="156"/>
        <v/>
      </c>
      <c r="AG648" s="2" t="str">
        <f t="shared" si="157"/>
        <v>(13 downto 8)</v>
      </c>
      <c r="AH648" s="2" t="str">
        <f t="shared" si="158"/>
        <v>(7 downto 0)</v>
      </c>
    </row>
    <row r="649" spans="2:34" x14ac:dyDescent="0.25">
      <c r="B649" s="2" t="s">
        <v>1032</v>
      </c>
      <c r="D649" s="2" t="s">
        <v>1</v>
      </c>
      <c r="E649" s="2" t="s">
        <v>134</v>
      </c>
      <c r="F649" s="2" t="s">
        <v>1044</v>
      </c>
      <c r="G649" s="2" t="s">
        <v>1045</v>
      </c>
      <c r="H649" s="2" t="s">
        <v>504</v>
      </c>
      <c r="I649" s="2" t="s">
        <v>42</v>
      </c>
      <c r="J649" s="2">
        <v>8</v>
      </c>
      <c r="K649" s="2" t="s">
        <v>137</v>
      </c>
      <c r="L649" s="2" t="s">
        <v>41</v>
      </c>
      <c r="M649" s="2" t="s">
        <v>135</v>
      </c>
      <c r="N649" s="2" t="s">
        <v>1035</v>
      </c>
      <c r="O649" s="2" t="s">
        <v>505</v>
      </c>
      <c r="P649" s="2" t="s">
        <v>48</v>
      </c>
      <c r="Q649" s="2">
        <f>INDEX(Tables!$C$4:$C$28,MATCH($P649,Tables!$B$4:$B$28,0))</f>
        <v>8</v>
      </c>
      <c r="R649" s="2">
        <f>INDEX(Tables!$D$4:$D$28,MATCH($P649,Tables!$B$4:$B$28,0))</f>
        <v>1</v>
      </c>
      <c r="S649" s="2">
        <f>$S648+$R648+INDEX(Tables!$N$5:$Q$8,MATCH(MOD($S648+$R648,4),Tables!$M$5:$M$8,0),MATCH($R649,Tables!$N$4:$Q$4,0))</f>
        <v>2294</v>
      </c>
      <c r="T649" s="2" t="str">
        <f t="shared" si="159"/>
        <v>08F6</v>
      </c>
      <c r="U649" s="2">
        <f t="shared" si="150"/>
        <v>573</v>
      </c>
      <c r="V649" s="2" t="str">
        <f t="shared" si="160"/>
        <v>23D</v>
      </c>
      <c r="W649" s="2" t="str">
        <f t="shared" si="161"/>
        <v/>
      </c>
      <c r="X649" s="2" t="str">
        <f t="shared" si="147"/>
        <v>X</v>
      </c>
      <c r="Y649" s="2" t="str">
        <f t="shared" si="148"/>
        <v/>
      </c>
      <c r="Z649" s="2" t="str">
        <f t="shared" si="149"/>
        <v/>
      </c>
      <c r="AA649" s="2" t="str">
        <f t="shared" si="151"/>
        <v/>
      </c>
      <c r="AB649" s="2" t="str">
        <f t="shared" si="152"/>
        <v>(23 downto 16)</v>
      </c>
      <c r="AC649" s="2" t="str">
        <f t="shared" si="153"/>
        <v/>
      </c>
      <c r="AD649" s="2" t="str">
        <f t="shared" si="154"/>
        <v/>
      </c>
      <c r="AE649" s="2" t="str">
        <f t="shared" si="155"/>
        <v/>
      </c>
      <c r="AF649" s="2" t="str">
        <f t="shared" si="156"/>
        <v/>
      </c>
      <c r="AG649" s="2" t="str">
        <f t="shared" si="157"/>
        <v/>
      </c>
      <c r="AH649" s="2" t="str">
        <f t="shared" si="158"/>
        <v/>
      </c>
    </row>
    <row r="650" spans="2:34" x14ac:dyDescent="0.25">
      <c r="B650" s="2" t="s">
        <v>1032</v>
      </c>
      <c r="D650" s="2" t="s">
        <v>1</v>
      </c>
      <c r="E650" s="2" t="s">
        <v>134</v>
      </c>
      <c r="F650" s="2" t="s">
        <v>1044</v>
      </c>
      <c r="G650" s="2" t="s">
        <v>1045</v>
      </c>
      <c r="H650" s="2" t="s">
        <v>506</v>
      </c>
      <c r="I650" s="2" t="s">
        <v>42</v>
      </c>
      <c r="J650" s="2">
        <v>8</v>
      </c>
      <c r="K650" s="2" t="s">
        <v>137</v>
      </c>
      <c r="L650" s="2" t="s">
        <v>41</v>
      </c>
      <c r="M650" s="2" t="s">
        <v>135</v>
      </c>
      <c r="N650" s="2" t="s">
        <v>1035</v>
      </c>
      <c r="O650" s="2" t="s">
        <v>507</v>
      </c>
      <c r="P650" s="2" t="s">
        <v>48</v>
      </c>
      <c r="Q650" s="2">
        <f>INDEX(Tables!$C$4:$C$28,MATCH($P650,Tables!$B$4:$B$28,0))</f>
        <v>8</v>
      </c>
      <c r="R650" s="2">
        <f>INDEX(Tables!$D$4:$D$28,MATCH($P650,Tables!$B$4:$B$28,0))</f>
        <v>1</v>
      </c>
      <c r="S650" s="2">
        <f>$S649+$R649+INDEX(Tables!$N$5:$Q$8,MATCH(MOD($S649+$R649,4),Tables!$M$5:$M$8,0),MATCH($R650,Tables!$N$4:$Q$4,0))</f>
        <v>2295</v>
      </c>
      <c r="T650" s="2" t="str">
        <f t="shared" si="159"/>
        <v>08F7</v>
      </c>
      <c r="U650" s="2">
        <f t="shared" si="150"/>
        <v>573</v>
      </c>
      <c r="V650" s="2" t="str">
        <f t="shared" si="160"/>
        <v>23D</v>
      </c>
      <c r="W650" s="2" t="str">
        <f t="shared" si="161"/>
        <v>X</v>
      </c>
      <c r="X650" s="2" t="str">
        <f t="shared" si="147"/>
        <v/>
      </c>
      <c r="Y650" s="2" t="str">
        <f t="shared" si="148"/>
        <v/>
      </c>
      <c r="Z650" s="2" t="str">
        <f t="shared" si="149"/>
        <v/>
      </c>
      <c r="AA650" s="2" t="str">
        <f t="shared" si="151"/>
        <v>(31 downto 24)</v>
      </c>
      <c r="AB650" s="2" t="str">
        <f t="shared" si="152"/>
        <v/>
      </c>
      <c r="AC650" s="2" t="str">
        <f t="shared" si="153"/>
        <v/>
      </c>
      <c r="AD650" s="2" t="str">
        <f t="shared" si="154"/>
        <v/>
      </c>
      <c r="AE650" s="2" t="str">
        <f t="shared" si="155"/>
        <v/>
      </c>
      <c r="AF650" s="2" t="str">
        <f t="shared" si="156"/>
        <v/>
      </c>
      <c r="AG650" s="2" t="str">
        <f t="shared" si="157"/>
        <v/>
      </c>
      <c r="AH650" s="2" t="str">
        <f t="shared" si="158"/>
        <v/>
      </c>
    </row>
    <row r="651" spans="2:34" x14ac:dyDescent="0.25">
      <c r="B651" s="2" t="s">
        <v>1032</v>
      </c>
      <c r="D651" s="2" t="s">
        <v>1</v>
      </c>
      <c r="E651" s="2" t="s">
        <v>134</v>
      </c>
      <c r="F651" s="2" t="s">
        <v>1044</v>
      </c>
      <c r="G651" s="2" t="s">
        <v>1045</v>
      </c>
      <c r="H651" s="2" t="s">
        <v>508</v>
      </c>
      <c r="I651" s="2" t="s">
        <v>42</v>
      </c>
      <c r="J651" s="2">
        <v>8</v>
      </c>
      <c r="K651" s="2" t="s">
        <v>137</v>
      </c>
      <c r="L651" s="2" t="s">
        <v>41</v>
      </c>
      <c r="M651" s="2" t="s">
        <v>135</v>
      </c>
      <c r="N651" s="2" t="s">
        <v>1035</v>
      </c>
      <c r="O651" s="2" t="s">
        <v>509</v>
      </c>
      <c r="P651" s="2" t="s">
        <v>48</v>
      </c>
      <c r="Q651" s="2">
        <f>INDEX(Tables!$C$4:$C$28,MATCH($P651,Tables!$B$4:$B$28,0))</f>
        <v>8</v>
      </c>
      <c r="R651" s="2">
        <f>INDEX(Tables!$D$4:$D$28,MATCH($P651,Tables!$B$4:$B$28,0))</f>
        <v>1</v>
      </c>
      <c r="S651" s="2">
        <f>$S650+$R650+INDEX(Tables!$N$5:$Q$8,MATCH(MOD($S650+$R650,4),Tables!$M$5:$M$8,0),MATCH($R651,Tables!$N$4:$Q$4,0))</f>
        <v>2296</v>
      </c>
      <c r="T651" s="2" t="str">
        <f t="shared" si="159"/>
        <v>08F8</v>
      </c>
      <c r="U651" s="2">
        <f t="shared" si="150"/>
        <v>574</v>
      </c>
      <c r="V651" s="2" t="str">
        <f t="shared" si="160"/>
        <v>23E</v>
      </c>
      <c r="W651" s="2" t="str">
        <f t="shared" si="161"/>
        <v/>
      </c>
      <c r="X651" s="2" t="str">
        <f t="shared" si="147"/>
        <v/>
      </c>
      <c r="Y651" s="2" t="str">
        <f t="shared" si="148"/>
        <v/>
      </c>
      <c r="Z651" s="2" t="str">
        <f t="shared" si="149"/>
        <v>X</v>
      </c>
      <c r="AA651" s="2" t="str">
        <f t="shared" si="151"/>
        <v/>
      </c>
      <c r="AB651" s="2" t="str">
        <f t="shared" si="152"/>
        <v/>
      </c>
      <c r="AC651" s="2" t="str">
        <f t="shared" si="153"/>
        <v/>
      </c>
      <c r="AD651" s="2" t="str">
        <f t="shared" si="154"/>
        <v>(7 downto 0)</v>
      </c>
      <c r="AE651" s="2" t="str">
        <f t="shared" si="155"/>
        <v/>
      </c>
      <c r="AF651" s="2" t="str">
        <f t="shared" si="156"/>
        <v/>
      </c>
      <c r="AG651" s="2" t="str">
        <f t="shared" si="157"/>
        <v/>
      </c>
      <c r="AH651" s="2" t="str">
        <f t="shared" si="158"/>
        <v/>
      </c>
    </row>
    <row r="652" spans="2:34" x14ac:dyDescent="0.25">
      <c r="B652" s="2" t="s">
        <v>1032</v>
      </c>
      <c r="D652" s="2" t="s">
        <v>1</v>
      </c>
      <c r="E652" s="2" t="s">
        <v>134</v>
      </c>
      <c r="F652" s="2" t="s">
        <v>1044</v>
      </c>
      <c r="G652" s="2" t="s">
        <v>1045</v>
      </c>
      <c r="H652" s="2" t="s">
        <v>510</v>
      </c>
      <c r="I652" s="2" t="s">
        <v>42</v>
      </c>
      <c r="J652" s="2">
        <v>1</v>
      </c>
      <c r="K652" s="2" t="s">
        <v>82</v>
      </c>
      <c r="L652" s="2" t="s">
        <v>41</v>
      </c>
      <c r="M652" s="2" t="s">
        <v>135</v>
      </c>
      <c r="N652" s="2" t="s">
        <v>1035</v>
      </c>
      <c r="O652" s="2" t="s">
        <v>511</v>
      </c>
      <c r="P652" s="2" t="s">
        <v>5</v>
      </c>
      <c r="Q652" s="2">
        <f>INDEX(Tables!$C$4:$C$28,MATCH($P652,Tables!$B$4:$B$28,0))</f>
        <v>32</v>
      </c>
      <c r="R652" s="2">
        <f>INDEX(Tables!$D$4:$D$28,MATCH($P652,Tables!$B$4:$B$28,0))</f>
        <v>4</v>
      </c>
      <c r="S652" s="2">
        <f>$S651+$R651+INDEX(Tables!$N$5:$Q$8,MATCH(MOD($S651+$R651,4),Tables!$M$5:$M$8,0),MATCH($R652,Tables!$N$4:$Q$4,0))</f>
        <v>2300</v>
      </c>
      <c r="T652" s="2" t="str">
        <f t="shared" si="159"/>
        <v>08FC</v>
      </c>
      <c r="U652" s="2">
        <f t="shared" si="150"/>
        <v>575</v>
      </c>
      <c r="V652" s="2" t="str">
        <f t="shared" si="160"/>
        <v>23F</v>
      </c>
      <c r="W652" s="2" t="str">
        <f t="shared" si="161"/>
        <v/>
      </c>
      <c r="X652" s="2" t="str">
        <f t="shared" si="147"/>
        <v/>
      </c>
      <c r="Y652" s="2" t="str">
        <f t="shared" si="148"/>
        <v/>
      </c>
      <c r="Z652" s="2" t="str">
        <f t="shared" si="149"/>
        <v>X</v>
      </c>
      <c r="AA652" s="2" t="str">
        <f t="shared" si="151"/>
        <v/>
      </c>
      <c r="AB652" s="2" t="str">
        <f t="shared" si="152"/>
        <v/>
      </c>
      <c r="AC652" s="2" t="str">
        <f t="shared" si="153"/>
        <v/>
      </c>
      <c r="AD652" s="2" t="str">
        <f t="shared" si="154"/>
        <v>(0)</v>
      </c>
      <c r="AE652" s="2" t="str">
        <f t="shared" si="155"/>
        <v/>
      </c>
      <c r="AF652" s="2" t="str">
        <f t="shared" si="156"/>
        <v/>
      </c>
      <c r="AG652" s="2" t="str">
        <f t="shared" si="157"/>
        <v/>
      </c>
      <c r="AH652" s="2" t="str">
        <f t="shared" si="158"/>
        <v/>
      </c>
    </row>
    <row r="653" spans="2:34" x14ac:dyDescent="0.25">
      <c r="B653" s="2" t="s">
        <v>1032</v>
      </c>
      <c r="D653" s="2" t="s">
        <v>1</v>
      </c>
      <c r="E653" s="2" t="s">
        <v>134</v>
      </c>
      <c r="F653" s="2" t="s">
        <v>1044</v>
      </c>
      <c r="G653" s="2" t="s">
        <v>1045</v>
      </c>
      <c r="H653" s="2" t="s">
        <v>512</v>
      </c>
      <c r="I653" s="2" t="s">
        <v>42</v>
      </c>
      <c r="J653" s="2">
        <v>1</v>
      </c>
      <c r="K653" s="2" t="s">
        <v>82</v>
      </c>
      <c r="L653" s="2" t="s">
        <v>41</v>
      </c>
      <c r="M653" s="2" t="s">
        <v>135</v>
      </c>
      <c r="N653" s="2" t="s">
        <v>1035</v>
      </c>
      <c r="O653" s="2" t="s">
        <v>513</v>
      </c>
      <c r="P653" s="2" t="s">
        <v>5</v>
      </c>
      <c r="Q653" s="2">
        <f>INDEX(Tables!$C$4:$C$28,MATCH($P653,Tables!$B$4:$B$28,0))</f>
        <v>32</v>
      </c>
      <c r="R653" s="2">
        <f>INDEX(Tables!$D$4:$D$28,MATCH($P653,Tables!$B$4:$B$28,0))</f>
        <v>4</v>
      </c>
      <c r="S653" s="2">
        <f>$S652+$R652+INDEX(Tables!$N$5:$Q$8,MATCH(MOD($S652+$R652,4),Tables!$M$5:$M$8,0),MATCH($R653,Tables!$N$4:$Q$4,0))</f>
        <v>2304</v>
      </c>
      <c r="T653" s="2" t="str">
        <f t="shared" si="159"/>
        <v>0900</v>
      </c>
      <c r="U653" s="2">
        <f t="shared" si="150"/>
        <v>576</v>
      </c>
      <c r="V653" s="2" t="str">
        <f t="shared" si="160"/>
        <v>240</v>
      </c>
      <c r="W653" s="2" t="str">
        <f t="shared" si="161"/>
        <v/>
      </c>
      <c r="X653" s="2" t="str">
        <f t="shared" si="147"/>
        <v/>
      </c>
      <c r="Y653" s="2" t="str">
        <f t="shared" si="148"/>
        <v/>
      </c>
      <c r="Z653" s="2" t="str">
        <f t="shared" si="149"/>
        <v>X</v>
      </c>
      <c r="AA653" s="2" t="str">
        <f t="shared" si="151"/>
        <v/>
      </c>
      <c r="AB653" s="2" t="str">
        <f t="shared" si="152"/>
        <v/>
      </c>
      <c r="AC653" s="2" t="str">
        <f t="shared" si="153"/>
        <v/>
      </c>
      <c r="AD653" s="2" t="str">
        <f t="shared" si="154"/>
        <v>(0)</v>
      </c>
      <c r="AE653" s="2" t="str">
        <f t="shared" si="155"/>
        <v/>
      </c>
      <c r="AF653" s="2" t="str">
        <f t="shared" si="156"/>
        <v/>
      </c>
      <c r="AG653" s="2" t="str">
        <f t="shared" si="157"/>
        <v/>
      </c>
      <c r="AH653" s="2" t="str">
        <f t="shared" si="158"/>
        <v/>
      </c>
    </row>
    <row r="654" spans="2:34" x14ac:dyDescent="0.25">
      <c r="B654" s="2" t="s">
        <v>1032</v>
      </c>
      <c r="D654" s="2" t="s">
        <v>1</v>
      </c>
      <c r="E654" s="2" t="s">
        <v>134</v>
      </c>
      <c r="F654" s="2" t="s">
        <v>1044</v>
      </c>
      <c r="G654" s="2" t="s">
        <v>1045</v>
      </c>
      <c r="H654" s="2" t="s">
        <v>514</v>
      </c>
      <c r="I654" s="2" t="s">
        <v>42</v>
      </c>
      <c r="J654" s="2">
        <v>1</v>
      </c>
      <c r="K654" s="2" t="s">
        <v>82</v>
      </c>
      <c r="L654" s="2" t="s">
        <v>41</v>
      </c>
      <c r="M654" s="2" t="s">
        <v>135</v>
      </c>
      <c r="N654" s="2" t="s">
        <v>1035</v>
      </c>
      <c r="O654" s="2" t="s">
        <v>515</v>
      </c>
      <c r="P654" s="2" t="s">
        <v>5</v>
      </c>
      <c r="Q654" s="2">
        <f>INDEX(Tables!$C$4:$C$28,MATCH($P654,Tables!$B$4:$B$28,0))</f>
        <v>32</v>
      </c>
      <c r="R654" s="2">
        <f>INDEX(Tables!$D$4:$D$28,MATCH($P654,Tables!$B$4:$B$28,0))</f>
        <v>4</v>
      </c>
      <c r="S654" s="2">
        <f>$S653+$R653+INDEX(Tables!$N$5:$Q$8,MATCH(MOD($S653+$R653,4),Tables!$M$5:$M$8,0),MATCH($R654,Tables!$N$4:$Q$4,0))</f>
        <v>2308</v>
      </c>
      <c r="T654" s="2" t="str">
        <f t="shared" si="159"/>
        <v>0904</v>
      </c>
      <c r="U654" s="2">
        <f t="shared" si="150"/>
        <v>577</v>
      </c>
      <c r="V654" s="2" t="str">
        <f t="shared" si="160"/>
        <v>241</v>
      </c>
      <c r="W654" s="2" t="str">
        <f t="shared" si="161"/>
        <v/>
      </c>
      <c r="X654" s="2" t="str">
        <f t="shared" si="147"/>
        <v/>
      </c>
      <c r="Y654" s="2" t="str">
        <f t="shared" si="148"/>
        <v/>
      </c>
      <c r="Z654" s="2" t="str">
        <f t="shared" si="149"/>
        <v>X</v>
      </c>
      <c r="AA654" s="2" t="str">
        <f t="shared" si="151"/>
        <v/>
      </c>
      <c r="AB654" s="2" t="str">
        <f t="shared" si="152"/>
        <v/>
      </c>
      <c r="AC654" s="2" t="str">
        <f t="shared" si="153"/>
        <v/>
      </c>
      <c r="AD654" s="2" t="str">
        <f t="shared" si="154"/>
        <v>(0)</v>
      </c>
      <c r="AE654" s="2" t="str">
        <f t="shared" si="155"/>
        <v/>
      </c>
      <c r="AF654" s="2" t="str">
        <f t="shared" si="156"/>
        <v/>
      </c>
      <c r="AG654" s="2" t="str">
        <f t="shared" si="157"/>
        <v/>
      </c>
      <c r="AH654" s="2" t="str">
        <f t="shared" si="158"/>
        <v/>
      </c>
    </row>
    <row r="655" spans="2:34" x14ac:dyDescent="0.25">
      <c r="B655" s="2" t="s">
        <v>1032</v>
      </c>
      <c r="D655" s="2" t="s">
        <v>1</v>
      </c>
      <c r="E655" s="2" t="s">
        <v>134</v>
      </c>
      <c r="F655" s="2" t="s">
        <v>1044</v>
      </c>
      <c r="G655" s="2" t="s">
        <v>1045</v>
      </c>
      <c r="H655" s="2" t="s">
        <v>516</v>
      </c>
      <c r="I655" s="2" t="s">
        <v>42</v>
      </c>
      <c r="J655" s="2">
        <v>1</v>
      </c>
      <c r="K655" s="2" t="s">
        <v>82</v>
      </c>
      <c r="L655" s="2" t="s">
        <v>41</v>
      </c>
      <c r="M655" s="2" t="s">
        <v>135</v>
      </c>
      <c r="N655" s="2" t="s">
        <v>1035</v>
      </c>
      <c r="O655" s="2" t="s">
        <v>517</v>
      </c>
      <c r="P655" s="2" t="s">
        <v>5</v>
      </c>
      <c r="Q655" s="2">
        <f>INDEX(Tables!$C$4:$C$28,MATCH($P655,Tables!$B$4:$B$28,0))</f>
        <v>32</v>
      </c>
      <c r="R655" s="2">
        <f>INDEX(Tables!$D$4:$D$28,MATCH($P655,Tables!$B$4:$B$28,0))</f>
        <v>4</v>
      </c>
      <c r="S655" s="2">
        <f>$S654+$R654+INDEX(Tables!$N$5:$Q$8,MATCH(MOD($S654+$R654,4),Tables!$M$5:$M$8,0),MATCH($R655,Tables!$N$4:$Q$4,0))</f>
        <v>2312</v>
      </c>
      <c r="T655" s="2" t="str">
        <f t="shared" si="159"/>
        <v>0908</v>
      </c>
      <c r="U655" s="2">
        <f t="shared" si="150"/>
        <v>578</v>
      </c>
      <c r="V655" s="2" t="str">
        <f t="shared" si="160"/>
        <v>242</v>
      </c>
      <c r="W655" s="2" t="str">
        <f t="shared" si="161"/>
        <v/>
      </c>
      <c r="X655" s="2" t="str">
        <f t="shared" si="147"/>
        <v/>
      </c>
      <c r="Y655" s="2" t="str">
        <f t="shared" si="148"/>
        <v/>
      </c>
      <c r="Z655" s="2" t="str">
        <f t="shared" si="149"/>
        <v>X</v>
      </c>
      <c r="AA655" s="2" t="str">
        <f t="shared" si="151"/>
        <v/>
      </c>
      <c r="AB655" s="2" t="str">
        <f t="shared" si="152"/>
        <v/>
      </c>
      <c r="AC655" s="2" t="str">
        <f t="shared" si="153"/>
        <v/>
      </c>
      <c r="AD655" s="2" t="str">
        <f t="shared" si="154"/>
        <v>(0)</v>
      </c>
      <c r="AE655" s="2" t="str">
        <f t="shared" si="155"/>
        <v/>
      </c>
      <c r="AF655" s="2" t="str">
        <f t="shared" si="156"/>
        <v/>
      </c>
      <c r="AG655" s="2" t="str">
        <f t="shared" si="157"/>
        <v/>
      </c>
      <c r="AH655" s="2" t="str">
        <f t="shared" si="158"/>
        <v/>
      </c>
    </row>
    <row r="656" spans="2:34" x14ac:dyDescent="0.25">
      <c r="B656" s="2" t="s">
        <v>1032</v>
      </c>
      <c r="D656" s="2" t="s">
        <v>1</v>
      </c>
      <c r="E656" s="2" t="s">
        <v>134</v>
      </c>
      <c r="F656" s="2" t="s">
        <v>1044</v>
      </c>
      <c r="G656" s="2" t="s">
        <v>1045</v>
      </c>
      <c r="H656" s="2" t="s">
        <v>518</v>
      </c>
      <c r="I656" s="2" t="s">
        <v>42</v>
      </c>
      <c r="J656" s="2">
        <v>1</v>
      </c>
      <c r="K656" s="2" t="s">
        <v>82</v>
      </c>
      <c r="L656" s="2" t="s">
        <v>41</v>
      </c>
      <c r="M656" s="2" t="s">
        <v>135</v>
      </c>
      <c r="N656" s="2" t="s">
        <v>1035</v>
      </c>
      <c r="O656" s="2" t="s">
        <v>519</v>
      </c>
      <c r="P656" s="2" t="s">
        <v>5</v>
      </c>
      <c r="Q656" s="2">
        <f>INDEX(Tables!$C$4:$C$28,MATCH($P656,Tables!$B$4:$B$28,0))</f>
        <v>32</v>
      </c>
      <c r="R656" s="2">
        <f>INDEX(Tables!$D$4:$D$28,MATCH($P656,Tables!$B$4:$B$28,0))</f>
        <v>4</v>
      </c>
      <c r="S656" s="2">
        <f>$S655+$R655+INDEX(Tables!$N$5:$Q$8,MATCH(MOD($S655+$R655,4),Tables!$M$5:$M$8,0),MATCH($R656,Tables!$N$4:$Q$4,0))</f>
        <v>2316</v>
      </c>
      <c r="T656" s="2" t="str">
        <f t="shared" si="159"/>
        <v>090C</v>
      </c>
      <c r="U656" s="2">
        <f t="shared" si="150"/>
        <v>579</v>
      </c>
      <c r="V656" s="2" t="str">
        <f t="shared" si="160"/>
        <v>243</v>
      </c>
      <c r="W656" s="2" t="str">
        <f t="shared" si="161"/>
        <v/>
      </c>
      <c r="X656" s="2" t="str">
        <f t="shared" si="147"/>
        <v/>
      </c>
      <c r="Y656" s="2" t="str">
        <f t="shared" si="148"/>
        <v/>
      </c>
      <c r="Z656" s="2" t="str">
        <f t="shared" si="149"/>
        <v>X</v>
      </c>
      <c r="AA656" s="2" t="str">
        <f t="shared" si="151"/>
        <v/>
      </c>
      <c r="AB656" s="2" t="str">
        <f t="shared" si="152"/>
        <v/>
      </c>
      <c r="AC656" s="2" t="str">
        <f t="shared" si="153"/>
        <v/>
      </c>
      <c r="AD656" s="2" t="str">
        <f t="shared" si="154"/>
        <v>(0)</v>
      </c>
      <c r="AE656" s="2" t="str">
        <f t="shared" si="155"/>
        <v/>
      </c>
      <c r="AF656" s="2" t="str">
        <f t="shared" si="156"/>
        <v/>
      </c>
      <c r="AG656" s="2" t="str">
        <f t="shared" si="157"/>
        <v/>
      </c>
      <c r="AH656" s="2" t="str">
        <f t="shared" si="158"/>
        <v/>
      </c>
    </row>
    <row r="657" spans="2:34" x14ac:dyDescent="0.25">
      <c r="B657" s="2" t="s">
        <v>1032</v>
      </c>
      <c r="D657" s="2" t="s">
        <v>1</v>
      </c>
      <c r="E657" s="2" t="s">
        <v>134</v>
      </c>
      <c r="F657" s="2" t="s">
        <v>1046</v>
      </c>
      <c r="G657" s="2" t="s">
        <v>1047</v>
      </c>
      <c r="H657" s="2" t="s">
        <v>522</v>
      </c>
      <c r="I657" s="2" t="s">
        <v>42</v>
      </c>
      <c r="J657" s="2">
        <v>12</v>
      </c>
      <c r="K657" s="2" t="s">
        <v>137</v>
      </c>
      <c r="L657" s="2" t="s">
        <v>41</v>
      </c>
      <c r="M657" s="2" t="s">
        <v>135</v>
      </c>
      <c r="N657" s="2" t="s">
        <v>1035</v>
      </c>
      <c r="O657" s="2" t="s">
        <v>523</v>
      </c>
      <c r="P657" s="2" t="s">
        <v>50</v>
      </c>
      <c r="Q657" s="2">
        <f>INDEX(Tables!$C$4:$C$28,MATCH($P657,Tables!$B$4:$B$28,0))</f>
        <v>16</v>
      </c>
      <c r="R657" s="2">
        <f>INDEX(Tables!$D$4:$D$28,MATCH($P657,Tables!$B$4:$B$28,0))</f>
        <v>2</v>
      </c>
      <c r="S657" s="2">
        <f>$S656+$R656+INDEX(Tables!$N$5:$Q$8,MATCH(MOD($S656+$R656,4),Tables!$M$5:$M$8,0),MATCH($R657,Tables!$N$4:$Q$4,0))</f>
        <v>2320</v>
      </c>
      <c r="T657" s="2" t="str">
        <f t="shared" si="159"/>
        <v>0910</v>
      </c>
      <c r="U657" s="2">
        <f t="shared" si="150"/>
        <v>580</v>
      </c>
      <c r="V657" s="2" t="str">
        <f t="shared" si="160"/>
        <v>244</v>
      </c>
      <c r="W657" s="2" t="str">
        <f t="shared" si="161"/>
        <v/>
      </c>
      <c r="X657" s="2" t="str">
        <f t="shared" si="147"/>
        <v/>
      </c>
      <c r="Y657" s="2" t="str">
        <f t="shared" si="148"/>
        <v>X</v>
      </c>
      <c r="Z657" s="2" t="str">
        <f t="shared" si="149"/>
        <v>X</v>
      </c>
      <c r="AA657" s="2" t="str">
        <f t="shared" si="151"/>
        <v/>
      </c>
      <c r="AB657" s="2" t="str">
        <f t="shared" si="152"/>
        <v/>
      </c>
      <c r="AC657" s="2" t="str">
        <f t="shared" si="153"/>
        <v>(11 downto 8)</v>
      </c>
      <c r="AD657" s="2" t="str">
        <f t="shared" si="154"/>
        <v>(7 downto 0)</v>
      </c>
      <c r="AE657" s="2" t="str">
        <f t="shared" si="155"/>
        <v/>
      </c>
      <c r="AF657" s="2" t="str">
        <f t="shared" si="156"/>
        <v/>
      </c>
      <c r="AG657" s="2" t="str">
        <f t="shared" si="157"/>
        <v>(11 downto 8)</v>
      </c>
      <c r="AH657" s="2" t="str">
        <f t="shared" si="158"/>
        <v>(7 downto 0)</v>
      </c>
    </row>
    <row r="658" spans="2:34" x14ac:dyDescent="0.25">
      <c r="B658" s="2" t="s">
        <v>1032</v>
      </c>
      <c r="D658" s="2" t="s">
        <v>1</v>
      </c>
      <c r="E658" s="2" t="s">
        <v>134</v>
      </c>
      <c r="F658" s="2" t="s">
        <v>1046</v>
      </c>
      <c r="G658" s="2" t="s">
        <v>1047</v>
      </c>
      <c r="H658" s="2" t="s">
        <v>524</v>
      </c>
      <c r="I658" s="2" t="s">
        <v>42</v>
      </c>
      <c r="J658" s="2">
        <v>12</v>
      </c>
      <c r="K658" s="2" t="s">
        <v>137</v>
      </c>
      <c r="L658" s="2" t="s">
        <v>41</v>
      </c>
      <c r="M658" s="2" t="s">
        <v>135</v>
      </c>
      <c r="N658" s="2" t="s">
        <v>1035</v>
      </c>
      <c r="O658" s="2" t="s">
        <v>525</v>
      </c>
      <c r="P658" s="2" t="s">
        <v>50</v>
      </c>
      <c r="Q658" s="2">
        <f>INDEX(Tables!$C$4:$C$28,MATCH($P658,Tables!$B$4:$B$28,0))</f>
        <v>16</v>
      </c>
      <c r="R658" s="2">
        <f>INDEX(Tables!$D$4:$D$28,MATCH($P658,Tables!$B$4:$B$28,0))</f>
        <v>2</v>
      </c>
      <c r="S658" s="2">
        <f>$S657+$R657+INDEX(Tables!$N$5:$Q$8,MATCH(MOD($S657+$R657,4),Tables!$M$5:$M$8,0),MATCH($R658,Tables!$N$4:$Q$4,0))</f>
        <v>2322</v>
      </c>
      <c r="T658" s="2" t="str">
        <f t="shared" si="159"/>
        <v>0912</v>
      </c>
      <c r="U658" s="2">
        <f t="shared" si="150"/>
        <v>580</v>
      </c>
      <c r="V658" s="2" t="str">
        <f t="shared" si="160"/>
        <v>244</v>
      </c>
      <c r="W658" s="2" t="str">
        <f t="shared" si="161"/>
        <v>X</v>
      </c>
      <c r="X658" s="2" t="str">
        <f t="shared" si="147"/>
        <v>X</v>
      </c>
      <c r="Y658" s="2" t="str">
        <f t="shared" si="148"/>
        <v/>
      </c>
      <c r="Z658" s="2" t="str">
        <f t="shared" si="149"/>
        <v/>
      </c>
      <c r="AA658" s="2" t="str">
        <f t="shared" si="151"/>
        <v>(27 downto 24)</v>
      </c>
      <c r="AB658" s="2" t="str">
        <f t="shared" si="152"/>
        <v>(23 downto 16)</v>
      </c>
      <c r="AC658" s="2" t="str">
        <f t="shared" si="153"/>
        <v/>
      </c>
      <c r="AD658" s="2" t="str">
        <f t="shared" si="154"/>
        <v/>
      </c>
      <c r="AE658" s="2" t="str">
        <f t="shared" si="155"/>
        <v>(11 downto 8)</v>
      </c>
      <c r="AF658" s="2" t="str">
        <f t="shared" si="156"/>
        <v>(7 downto 0)</v>
      </c>
      <c r="AG658" s="2" t="str">
        <f t="shared" si="157"/>
        <v/>
      </c>
      <c r="AH658" s="2" t="str">
        <f t="shared" si="158"/>
        <v/>
      </c>
    </row>
    <row r="659" spans="2:34" x14ac:dyDescent="0.25">
      <c r="B659" s="2" t="s">
        <v>1032</v>
      </c>
      <c r="D659" s="2" t="s">
        <v>1</v>
      </c>
      <c r="E659" s="2" t="s">
        <v>134</v>
      </c>
      <c r="F659" s="2" t="s">
        <v>1048</v>
      </c>
      <c r="G659" s="2" t="s">
        <v>1049</v>
      </c>
      <c r="H659" s="2" t="s">
        <v>528</v>
      </c>
      <c r="I659" s="2" t="s">
        <v>42</v>
      </c>
      <c r="J659" s="2">
        <v>12</v>
      </c>
      <c r="K659" s="2" t="s">
        <v>137</v>
      </c>
      <c r="L659" s="2" t="s">
        <v>41</v>
      </c>
      <c r="M659" s="2" t="s">
        <v>135</v>
      </c>
      <c r="N659" s="2" t="s">
        <v>1035</v>
      </c>
      <c r="O659" s="2" t="s">
        <v>529</v>
      </c>
      <c r="P659" s="2" t="s">
        <v>50</v>
      </c>
      <c r="Q659" s="2">
        <f>INDEX(Tables!$C$4:$C$28,MATCH($P659,Tables!$B$4:$B$28,0))</f>
        <v>16</v>
      </c>
      <c r="R659" s="2">
        <f>INDEX(Tables!$D$4:$D$28,MATCH($P659,Tables!$B$4:$B$28,0))</f>
        <v>2</v>
      </c>
      <c r="S659" s="2">
        <f>$S658+$R658+INDEX(Tables!$N$5:$Q$8,MATCH(MOD($S658+$R658,4),Tables!$M$5:$M$8,0),MATCH($R659,Tables!$N$4:$Q$4,0))</f>
        <v>2324</v>
      </c>
      <c r="T659" s="2" t="str">
        <f t="shared" si="159"/>
        <v>0914</v>
      </c>
      <c r="U659" s="2">
        <f t="shared" si="150"/>
        <v>581</v>
      </c>
      <c r="V659" s="2" t="str">
        <f t="shared" si="160"/>
        <v>245</v>
      </c>
      <c r="W659" s="2" t="str">
        <f t="shared" si="161"/>
        <v/>
      </c>
      <c r="X659" s="2" t="str">
        <f t="shared" ref="X659:X722" si="162">IF(MOD($S659,4)=2,"X",IF(AND(MOD($S659,4)=1,$J659&gt;8),"X",IF(AND(MOD($S659,4)=0,$J659&gt;16),"X","")))</f>
        <v/>
      </c>
      <c r="Y659" s="2" t="str">
        <f t="shared" ref="Y659:Y722" si="163">IF(MOD($S659,4)=1,"X",IF(AND(MOD($S659,4)=0,$J659&gt;8),"X",""))</f>
        <v>X</v>
      </c>
      <c r="Z659" s="2" t="str">
        <f t="shared" ref="Z659:Z722" si="164">IF(MOD($S659,4)=0,"X","")</f>
        <v>X</v>
      </c>
      <c r="AA659" s="2" t="str">
        <f t="shared" si="151"/>
        <v/>
      </c>
      <c r="AB659" s="2" t="str">
        <f t="shared" si="152"/>
        <v/>
      </c>
      <c r="AC659" s="2" t="str">
        <f t="shared" si="153"/>
        <v>(11 downto 8)</v>
      </c>
      <c r="AD659" s="2" t="str">
        <f t="shared" si="154"/>
        <v>(7 downto 0)</v>
      </c>
      <c r="AE659" s="2" t="str">
        <f t="shared" si="155"/>
        <v/>
      </c>
      <c r="AF659" s="2" t="str">
        <f t="shared" si="156"/>
        <v/>
      </c>
      <c r="AG659" s="2" t="str">
        <f t="shared" si="157"/>
        <v>(11 downto 8)</v>
      </c>
      <c r="AH659" s="2" t="str">
        <f t="shared" si="158"/>
        <v>(7 downto 0)</v>
      </c>
    </row>
    <row r="660" spans="2:34" x14ac:dyDescent="0.25">
      <c r="B660" s="2" t="s">
        <v>1032</v>
      </c>
      <c r="D660" s="2" t="s">
        <v>1</v>
      </c>
      <c r="E660" s="2" t="s">
        <v>134</v>
      </c>
      <c r="F660" s="2" t="s">
        <v>1050</v>
      </c>
      <c r="G660" s="2" t="s">
        <v>1051</v>
      </c>
      <c r="H660" s="2" t="s">
        <v>532</v>
      </c>
      <c r="I660" s="2" t="s">
        <v>42</v>
      </c>
      <c r="J660" s="2">
        <v>8</v>
      </c>
      <c r="K660" s="2" t="s">
        <v>137</v>
      </c>
      <c r="L660" s="2" t="s">
        <v>41</v>
      </c>
      <c r="M660" s="2" t="s">
        <v>135</v>
      </c>
      <c r="N660" s="2" t="s">
        <v>1035</v>
      </c>
      <c r="O660" s="2" t="s">
        <v>533</v>
      </c>
      <c r="P660" s="2" t="s">
        <v>48</v>
      </c>
      <c r="Q660" s="2">
        <f>INDEX(Tables!$C$4:$C$28,MATCH($P660,Tables!$B$4:$B$28,0))</f>
        <v>8</v>
      </c>
      <c r="R660" s="2">
        <f>INDEX(Tables!$D$4:$D$28,MATCH($P660,Tables!$B$4:$B$28,0))</f>
        <v>1</v>
      </c>
      <c r="S660" s="2">
        <f>$S659+$R659+INDEX(Tables!$N$5:$Q$8,MATCH(MOD($S659+$R659,4),Tables!$M$5:$M$8,0),MATCH($R660,Tables!$N$4:$Q$4,0))</f>
        <v>2326</v>
      </c>
      <c r="T660" s="2" t="str">
        <f t="shared" si="159"/>
        <v>0916</v>
      </c>
      <c r="U660" s="2">
        <f t="shared" si="150"/>
        <v>581</v>
      </c>
      <c r="V660" s="2" t="str">
        <f t="shared" si="160"/>
        <v>245</v>
      </c>
      <c r="W660" s="2" t="str">
        <f t="shared" si="161"/>
        <v/>
      </c>
      <c r="X660" s="2" t="str">
        <f t="shared" si="162"/>
        <v>X</v>
      </c>
      <c r="Y660" s="2" t="str">
        <f t="shared" si="163"/>
        <v/>
      </c>
      <c r="Z660" s="2" t="str">
        <f t="shared" si="164"/>
        <v/>
      </c>
      <c r="AA660" s="2" t="str">
        <f t="shared" si="151"/>
        <v/>
      </c>
      <c r="AB660" s="2" t="str">
        <f t="shared" si="152"/>
        <v>(23 downto 16)</v>
      </c>
      <c r="AC660" s="2" t="str">
        <f t="shared" si="153"/>
        <v/>
      </c>
      <c r="AD660" s="2" t="str">
        <f t="shared" si="154"/>
        <v/>
      </c>
      <c r="AE660" s="2" t="str">
        <f t="shared" si="155"/>
        <v/>
      </c>
      <c r="AF660" s="2" t="str">
        <f t="shared" si="156"/>
        <v/>
      </c>
      <c r="AG660" s="2" t="str">
        <f t="shared" si="157"/>
        <v/>
      </c>
      <c r="AH660" s="2" t="str">
        <f t="shared" si="158"/>
        <v/>
      </c>
    </row>
    <row r="661" spans="2:34" x14ac:dyDescent="0.25">
      <c r="B661" s="2" t="s">
        <v>1032</v>
      </c>
      <c r="D661" s="2" t="s">
        <v>1</v>
      </c>
      <c r="E661" s="2" t="s">
        <v>134</v>
      </c>
      <c r="F661" s="2" t="s">
        <v>1050</v>
      </c>
      <c r="G661" s="2" t="s">
        <v>1051</v>
      </c>
      <c r="H661" s="2" t="s">
        <v>534</v>
      </c>
      <c r="I661" s="2" t="s">
        <v>42</v>
      </c>
      <c r="J661" s="2">
        <v>8</v>
      </c>
      <c r="K661" s="2" t="s">
        <v>137</v>
      </c>
      <c r="L661" s="2" t="s">
        <v>41</v>
      </c>
      <c r="M661" s="2" t="s">
        <v>135</v>
      </c>
      <c r="N661" s="2" t="s">
        <v>1035</v>
      </c>
      <c r="O661" s="2" t="s">
        <v>535</v>
      </c>
      <c r="P661" s="2" t="s">
        <v>48</v>
      </c>
      <c r="Q661" s="2">
        <f>INDEX(Tables!$C$4:$C$28,MATCH($P661,Tables!$B$4:$B$28,0))</f>
        <v>8</v>
      </c>
      <c r="R661" s="2">
        <f>INDEX(Tables!$D$4:$D$28,MATCH($P661,Tables!$B$4:$B$28,0))</f>
        <v>1</v>
      </c>
      <c r="S661" s="2">
        <f>$S660+$R660+INDEX(Tables!$N$5:$Q$8,MATCH(MOD($S660+$R660,4),Tables!$M$5:$M$8,0),MATCH($R661,Tables!$N$4:$Q$4,0))</f>
        <v>2327</v>
      </c>
      <c r="T661" s="2" t="str">
        <f t="shared" si="159"/>
        <v>0917</v>
      </c>
      <c r="U661" s="2">
        <f t="shared" si="150"/>
        <v>581</v>
      </c>
      <c r="V661" s="2" t="str">
        <f t="shared" si="160"/>
        <v>245</v>
      </c>
      <c r="W661" s="2" t="str">
        <f t="shared" si="161"/>
        <v>X</v>
      </c>
      <c r="X661" s="2" t="str">
        <f t="shared" si="162"/>
        <v/>
      </c>
      <c r="Y661" s="2" t="str">
        <f t="shared" si="163"/>
        <v/>
      </c>
      <c r="Z661" s="2" t="str">
        <f t="shared" si="164"/>
        <v/>
      </c>
      <c r="AA661" s="2" t="str">
        <f t="shared" si="151"/>
        <v>(31 downto 24)</v>
      </c>
      <c r="AB661" s="2" t="str">
        <f t="shared" si="152"/>
        <v/>
      </c>
      <c r="AC661" s="2" t="str">
        <f t="shared" si="153"/>
        <v/>
      </c>
      <c r="AD661" s="2" t="str">
        <f t="shared" si="154"/>
        <v/>
      </c>
      <c r="AE661" s="2" t="str">
        <f t="shared" si="155"/>
        <v/>
      </c>
      <c r="AF661" s="2" t="str">
        <f t="shared" si="156"/>
        <v/>
      </c>
      <c r="AG661" s="2" t="str">
        <f t="shared" si="157"/>
        <v/>
      </c>
      <c r="AH661" s="2" t="str">
        <f t="shared" si="158"/>
        <v/>
      </c>
    </row>
    <row r="662" spans="2:34" x14ac:dyDescent="0.25">
      <c r="B662" s="2" t="s">
        <v>1032</v>
      </c>
      <c r="D662" s="2" t="s">
        <v>1</v>
      </c>
      <c r="E662" s="2" t="s">
        <v>134</v>
      </c>
      <c r="F662" s="2" t="s">
        <v>1050</v>
      </c>
      <c r="G662" s="2" t="s">
        <v>1051</v>
      </c>
      <c r="H662" s="2" t="s">
        <v>536</v>
      </c>
      <c r="I662" s="2" t="s">
        <v>42</v>
      </c>
      <c r="J662" s="2">
        <v>8</v>
      </c>
      <c r="K662" s="2" t="s">
        <v>137</v>
      </c>
      <c r="L662" s="2" t="s">
        <v>41</v>
      </c>
      <c r="M662" s="2" t="s">
        <v>135</v>
      </c>
      <c r="N662" s="2" t="s">
        <v>1035</v>
      </c>
      <c r="O662" s="2" t="s">
        <v>537</v>
      </c>
      <c r="P662" s="2" t="s">
        <v>48</v>
      </c>
      <c r="Q662" s="2">
        <f>INDEX(Tables!$C$4:$C$28,MATCH($P662,Tables!$B$4:$B$28,0))</f>
        <v>8</v>
      </c>
      <c r="R662" s="2">
        <f>INDEX(Tables!$D$4:$D$28,MATCH($P662,Tables!$B$4:$B$28,0))</f>
        <v>1</v>
      </c>
      <c r="S662" s="2">
        <f>$S661+$R661+INDEX(Tables!$N$5:$Q$8,MATCH(MOD($S661+$R661,4),Tables!$M$5:$M$8,0),MATCH($R662,Tables!$N$4:$Q$4,0))</f>
        <v>2328</v>
      </c>
      <c r="T662" s="2" t="str">
        <f t="shared" si="159"/>
        <v>0918</v>
      </c>
      <c r="U662" s="2">
        <f t="shared" si="150"/>
        <v>582</v>
      </c>
      <c r="V662" s="2" t="str">
        <f t="shared" si="160"/>
        <v>246</v>
      </c>
      <c r="W662" s="2" t="str">
        <f t="shared" si="161"/>
        <v/>
      </c>
      <c r="X662" s="2" t="str">
        <f t="shared" si="162"/>
        <v/>
      </c>
      <c r="Y662" s="2" t="str">
        <f t="shared" si="163"/>
        <v/>
      </c>
      <c r="Z662" s="2" t="str">
        <f t="shared" si="164"/>
        <v>X</v>
      </c>
      <c r="AA662" s="2" t="str">
        <f t="shared" si="151"/>
        <v/>
      </c>
      <c r="AB662" s="2" t="str">
        <f t="shared" si="152"/>
        <v/>
      </c>
      <c r="AC662" s="2" t="str">
        <f t="shared" si="153"/>
        <v/>
      </c>
      <c r="AD662" s="2" t="str">
        <f t="shared" si="154"/>
        <v>(7 downto 0)</v>
      </c>
      <c r="AE662" s="2" t="str">
        <f t="shared" si="155"/>
        <v/>
      </c>
      <c r="AF662" s="2" t="str">
        <f t="shared" si="156"/>
        <v/>
      </c>
      <c r="AG662" s="2" t="str">
        <f t="shared" si="157"/>
        <v/>
      </c>
      <c r="AH662" s="2" t="str">
        <f t="shared" si="158"/>
        <v/>
      </c>
    </row>
    <row r="663" spans="2:34" x14ac:dyDescent="0.25">
      <c r="B663" s="2" t="s">
        <v>1032</v>
      </c>
      <c r="D663" s="2" t="s">
        <v>1</v>
      </c>
      <c r="E663" s="2" t="s">
        <v>134</v>
      </c>
      <c r="F663" s="2" t="s">
        <v>1050</v>
      </c>
      <c r="G663" s="2" t="s">
        <v>1051</v>
      </c>
      <c r="H663" s="2" t="s">
        <v>538</v>
      </c>
      <c r="I663" s="2" t="s">
        <v>42</v>
      </c>
      <c r="J663" s="2">
        <v>8</v>
      </c>
      <c r="K663" s="2" t="s">
        <v>137</v>
      </c>
      <c r="L663" s="2" t="s">
        <v>41</v>
      </c>
      <c r="M663" s="2" t="s">
        <v>135</v>
      </c>
      <c r="N663" s="2" t="s">
        <v>1035</v>
      </c>
      <c r="O663" s="2" t="s">
        <v>539</v>
      </c>
      <c r="P663" s="2" t="s">
        <v>48</v>
      </c>
      <c r="Q663" s="2">
        <f>INDEX(Tables!$C$4:$C$28,MATCH($P663,Tables!$B$4:$B$28,0))</f>
        <v>8</v>
      </c>
      <c r="R663" s="2">
        <f>INDEX(Tables!$D$4:$D$28,MATCH($P663,Tables!$B$4:$B$28,0))</f>
        <v>1</v>
      </c>
      <c r="S663" s="2">
        <f>$S662+$R662+INDEX(Tables!$N$5:$Q$8,MATCH(MOD($S662+$R662,4),Tables!$M$5:$M$8,0),MATCH($R663,Tables!$N$4:$Q$4,0))</f>
        <v>2329</v>
      </c>
      <c r="T663" s="2" t="str">
        <f t="shared" si="159"/>
        <v>0919</v>
      </c>
      <c r="U663" s="2">
        <f t="shared" si="150"/>
        <v>582</v>
      </c>
      <c r="V663" s="2" t="str">
        <f t="shared" si="160"/>
        <v>246</v>
      </c>
      <c r="W663" s="2" t="str">
        <f t="shared" si="161"/>
        <v/>
      </c>
      <c r="X663" s="2" t="str">
        <f t="shared" si="162"/>
        <v/>
      </c>
      <c r="Y663" s="2" t="str">
        <f t="shared" si="163"/>
        <v>X</v>
      </c>
      <c r="Z663" s="2" t="str">
        <f t="shared" si="164"/>
        <v/>
      </c>
      <c r="AA663" s="2" t="str">
        <f t="shared" si="151"/>
        <v/>
      </c>
      <c r="AB663" s="2" t="str">
        <f t="shared" si="152"/>
        <v/>
      </c>
      <c r="AC663" s="2" t="str">
        <f t="shared" si="153"/>
        <v>(15 downto 8)</v>
      </c>
      <c r="AD663" s="2" t="str">
        <f t="shared" si="154"/>
        <v/>
      </c>
      <c r="AE663" s="2" t="str">
        <f t="shared" si="155"/>
        <v/>
      </c>
      <c r="AF663" s="2" t="str">
        <f t="shared" si="156"/>
        <v/>
      </c>
      <c r="AG663" s="2" t="str">
        <f t="shared" si="157"/>
        <v/>
      </c>
      <c r="AH663" s="2" t="str">
        <f t="shared" si="158"/>
        <v/>
      </c>
    </row>
    <row r="664" spans="2:34" x14ac:dyDescent="0.25">
      <c r="B664" s="2" t="s">
        <v>1032</v>
      </c>
      <c r="D664" s="2" t="s">
        <v>1</v>
      </c>
      <c r="E664" s="2" t="s">
        <v>134</v>
      </c>
      <c r="F664" s="2" t="s">
        <v>1052</v>
      </c>
      <c r="G664" s="2" t="s">
        <v>1053</v>
      </c>
      <c r="H664" s="2" t="s">
        <v>542</v>
      </c>
      <c r="I664" s="2" t="s">
        <v>42</v>
      </c>
      <c r="J664" s="2">
        <v>8</v>
      </c>
      <c r="K664" s="2" t="s">
        <v>137</v>
      </c>
      <c r="L664" s="2" t="s">
        <v>41</v>
      </c>
      <c r="M664" s="2" t="s">
        <v>135</v>
      </c>
      <c r="N664" s="2" t="s">
        <v>1035</v>
      </c>
      <c r="O664" s="2" t="s">
        <v>543</v>
      </c>
      <c r="P664" s="2" t="s">
        <v>48</v>
      </c>
      <c r="Q664" s="2">
        <f>INDEX(Tables!$C$4:$C$28,MATCH($P664,Tables!$B$4:$B$28,0))</f>
        <v>8</v>
      </c>
      <c r="R664" s="2">
        <f>INDEX(Tables!$D$4:$D$28,MATCH($P664,Tables!$B$4:$B$28,0))</f>
        <v>1</v>
      </c>
      <c r="S664" s="2">
        <f>$S663+$R663+INDEX(Tables!$N$5:$Q$8,MATCH(MOD($S663+$R663,4),Tables!$M$5:$M$8,0),MATCH($R664,Tables!$N$4:$Q$4,0))</f>
        <v>2330</v>
      </c>
      <c r="T664" s="2" t="str">
        <f t="shared" si="159"/>
        <v>091A</v>
      </c>
      <c r="U664" s="2">
        <f t="shared" si="150"/>
        <v>582</v>
      </c>
      <c r="V664" s="2" t="str">
        <f t="shared" si="160"/>
        <v>246</v>
      </c>
      <c r="W664" s="2" t="str">
        <f t="shared" si="161"/>
        <v/>
      </c>
      <c r="X664" s="2" t="str">
        <f t="shared" si="162"/>
        <v>X</v>
      </c>
      <c r="Y664" s="2" t="str">
        <f t="shared" si="163"/>
        <v/>
      </c>
      <c r="Z664" s="2" t="str">
        <f t="shared" si="164"/>
        <v/>
      </c>
      <c r="AA664" s="2" t="str">
        <f t="shared" si="151"/>
        <v/>
      </c>
      <c r="AB664" s="2" t="str">
        <f t="shared" si="152"/>
        <v>(23 downto 16)</v>
      </c>
      <c r="AC664" s="2" t="str">
        <f t="shared" si="153"/>
        <v/>
      </c>
      <c r="AD664" s="2" t="str">
        <f t="shared" si="154"/>
        <v/>
      </c>
      <c r="AE664" s="2" t="str">
        <f t="shared" si="155"/>
        <v/>
      </c>
      <c r="AF664" s="2" t="str">
        <f t="shared" si="156"/>
        <v/>
      </c>
      <c r="AG664" s="2" t="str">
        <f t="shared" si="157"/>
        <v/>
      </c>
      <c r="AH664" s="2" t="str">
        <f t="shared" si="158"/>
        <v/>
      </c>
    </row>
    <row r="665" spans="2:34" x14ac:dyDescent="0.25">
      <c r="B665" s="2" t="s">
        <v>1032</v>
      </c>
      <c r="D665" s="2" t="s">
        <v>1</v>
      </c>
      <c r="E665" s="2" t="s">
        <v>134</v>
      </c>
      <c r="F665" s="2" t="s">
        <v>1052</v>
      </c>
      <c r="G665" s="2" t="s">
        <v>1053</v>
      </c>
      <c r="H665" s="2" t="s">
        <v>544</v>
      </c>
      <c r="I665" s="2" t="s">
        <v>42</v>
      </c>
      <c r="J665" s="2">
        <v>8</v>
      </c>
      <c r="K665" s="2" t="s">
        <v>137</v>
      </c>
      <c r="L665" s="2" t="s">
        <v>41</v>
      </c>
      <c r="M665" s="2" t="s">
        <v>135</v>
      </c>
      <c r="N665" s="2" t="s">
        <v>1035</v>
      </c>
      <c r="O665" s="2" t="s">
        <v>545</v>
      </c>
      <c r="P665" s="2" t="s">
        <v>48</v>
      </c>
      <c r="Q665" s="2">
        <f>INDEX(Tables!$C$4:$C$28,MATCH($P665,Tables!$B$4:$B$28,0))</f>
        <v>8</v>
      </c>
      <c r="R665" s="2">
        <f>INDEX(Tables!$D$4:$D$28,MATCH($P665,Tables!$B$4:$B$28,0))</f>
        <v>1</v>
      </c>
      <c r="S665" s="2">
        <f>$S664+$R664+INDEX(Tables!$N$5:$Q$8,MATCH(MOD($S664+$R664,4),Tables!$M$5:$M$8,0),MATCH($R665,Tables!$N$4:$Q$4,0))</f>
        <v>2331</v>
      </c>
      <c r="T665" s="2" t="str">
        <f t="shared" si="159"/>
        <v>091B</v>
      </c>
      <c r="U665" s="2">
        <f t="shared" si="150"/>
        <v>582</v>
      </c>
      <c r="V665" s="2" t="str">
        <f t="shared" si="160"/>
        <v>246</v>
      </c>
      <c r="W665" s="2" t="str">
        <f t="shared" si="161"/>
        <v>X</v>
      </c>
      <c r="X665" s="2" t="str">
        <f t="shared" si="162"/>
        <v/>
      </c>
      <c r="Y665" s="2" t="str">
        <f t="shared" si="163"/>
        <v/>
      </c>
      <c r="Z665" s="2" t="str">
        <f t="shared" si="164"/>
        <v/>
      </c>
      <c r="AA665" s="2" t="str">
        <f t="shared" si="151"/>
        <v>(31 downto 24)</v>
      </c>
      <c r="AB665" s="2" t="str">
        <f t="shared" si="152"/>
        <v/>
      </c>
      <c r="AC665" s="2" t="str">
        <f t="shared" si="153"/>
        <v/>
      </c>
      <c r="AD665" s="2" t="str">
        <f t="shared" si="154"/>
        <v/>
      </c>
      <c r="AE665" s="2" t="str">
        <f t="shared" si="155"/>
        <v/>
      </c>
      <c r="AF665" s="2" t="str">
        <f t="shared" si="156"/>
        <v/>
      </c>
      <c r="AG665" s="2" t="str">
        <f t="shared" si="157"/>
        <v/>
      </c>
      <c r="AH665" s="2" t="str">
        <f t="shared" si="158"/>
        <v/>
      </c>
    </row>
    <row r="666" spans="2:34" x14ac:dyDescent="0.25">
      <c r="B666" s="2" t="s">
        <v>1032</v>
      </c>
      <c r="D666" s="2" t="s">
        <v>1</v>
      </c>
      <c r="E666" s="2" t="s">
        <v>134</v>
      </c>
      <c r="F666" s="2" t="s">
        <v>1052</v>
      </c>
      <c r="G666" s="2" t="s">
        <v>1053</v>
      </c>
      <c r="H666" s="2" t="s">
        <v>546</v>
      </c>
      <c r="I666" s="2" t="s">
        <v>42</v>
      </c>
      <c r="J666" s="2">
        <v>8</v>
      </c>
      <c r="K666" s="2" t="s">
        <v>137</v>
      </c>
      <c r="L666" s="2" t="s">
        <v>41</v>
      </c>
      <c r="M666" s="2" t="s">
        <v>135</v>
      </c>
      <c r="N666" s="2" t="s">
        <v>1035</v>
      </c>
      <c r="O666" s="2" t="s">
        <v>547</v>
      </c>
      <c r="P666" s="2" t="s">
        <v>48</v>
      </c>
      <c r="Q666" s="2">
        <f>INDEX(Tables!$C$4:$C$28,MATCH($P666,Tables!$B$4:$B$28,0))</f>
        <v>8</v>
      </c>
      <c r="R666" s="2">
        <f>INDEX(Tables!$D$4:$D$28,MATCH($P666,Tables!$B$4:$B$28,0))</f>
        <v>1</v>
      </c>
      <c r="S666" s="2">
        <f>$S665+$R665+INDEX(Tables!$N$5:$Q$8,MATCH(MOD($S665+$R665,4),Tables!$M$5:$M$8,0),MATCH($R666,Tables!$N$4:$Q$4,0))</f>
        <v>2332</v>
      </c>
      <c r="T666" s="2" t="str">
        <f t="shared" si="159"/>
        <v>091C</v>
      </c>
      <c r="U666" s="2">
        <f t="shared" si="150"/>
        <v>583</v>
      </c>
      <c r="V666" s="2" t="str">
        <f t="shared" si="160"/>
        <v>247</v>
      </c>
      <c r="W666" s="2" t="str">
        <f t="shared" si="161"/>
        <v/>
      </c>
      <c r="X666" s="2" t="str">
        <f t="shared" si="162"/>
        <v/>
      </c>
      <c r="Y666" s="2" t="str">
        <f t="shared" si="163"/>
        <v/>
      </c>
      <c r="Z666" s="2" t="str">
        <f t="shared" si="164"/>
        <v>X</v>
      </c>
      <c r="AA666" s="2" t="str">
        <f t="shared" si="151"/>
        <v/>
      </c>
      <c r="AB666" s="2" t="str">
        <f t="shared" si="152"/>
        <v/>
      </c>
      <c r="AC666" s="2" t="str">
        <f t="shared" si="153"/>
        <v/>
      </c>
      <c r="AD666" s="2" t="str">
        <f t="shared" si="154"/>
        <v>(7 downto 0)</v>
      </c>
      <c r="AE666" s="2" t="str">
        <f t="shared" si="155"/>
        <v/>
      </c>
      <c r="AF666" s="2" t="str">
        <f t="shared" si="156"/>
        <v/>
      </c>
      <c r="AG666" s="2" t="str">
        <f t="shared" si="157"/>
        <v/>
      </c>
      <c r="AH666" s="2" t="str">
        <f t="shared" si="158"/>
        <v/>
      </c>
    </row>
    <row r="667" spans="2:34" x14ac:dyDescent="0.25">
      <c r="B667" s="2" t="s">
        <v>1032</v>
      </c>
      <c r="D667" s="2" t="s">
        <v>1</v>
      </c>
      <c r="E667" s="2" t="s">
        <v>134</v>
      </c>
      <c r="F667" s="2" t="s">
        <v>1052</v>
      </c>
      <c r="G667" s="2" t="s">
        <v>1053</v>
      </c>
      <c r="H667" s="2" t="s">
        <v>548</v>
      </c>
      <c r="I667" s="2" t="s">
        <v>42</v>
      </c>
      <c r="J667" s="2">
        <v>8</v>
      </c>
      <c r="K667" s="2" t="s">
        <v>137</v>
      </c>
      <c r="L667" s="2" t="s">
        <v>41</v>
      </c>
      <c r="M667" s="2" t="s">
        <v>135</v>
      </c>
      <c r="N667" s="2" t="s">
        <v>1035</v>
      </c>
      <c r="O667" s="2" t="s">
        <v>549</v>
      </c>
      <c r="P667" s="2" t="s">
        <v>48</v>
      </c>
      <c r="Q667" s="2">
        <f>INDEX(Tables!$C$4:$C$28,MATCH($P667,Tables!$B$4:$B$28,0))</f>
        <v>8</v>
      </c>
      <c r="R667" s="2">
        <f>INDEX(Tables!$D$4:$D$28,MATCH($P667,Tables!$B$4:$B$28,0))</f>
        <v>1</v>
      </c>
      <c r="S667" s="2">
        <f>$S666+$R666+INDEX(Tables!$N$5:$Q$8,MATCH(MOD($S666+$R666,4),Tables!$M$5:$M$8,0),MATCH($R667,Tables!$N$4:$Q$4,0))</f>
        <v>2333</v>
      </c>
      <c r="T667" s="2" t="str">
        <f t="shared" si="159"/>
        <v>091D</v>
      </c>
      <c r="U667" s="2">
        <f t="shared" si="150"/>
        <v>583</v>
      </c>
      <c r="V667" s="2" t="str">
        <f t="shared" si="160"/>
        <v>247</v>
      </c>
      <c r="W667" s="2" t="str">
        <f t="shared" si="161"/>
        <v/>
      </c>
      <c r="X667" s="2" t="str">
        <f t="shared" si="162"/>
        <v/>
      </c>
      <c r="Y667" s="2" t="str">
        <f t="shared" si="163"/>
        <v>X</v>
      </c>
      <c r="Z667" s="2" t="str">
        <f t="shared" si="164"/>
        <v/>
      </c>
      <c r="AA667" s="2" t="str">
        <f t="shared" si="151"/>
        <v/>
      </c>
      <c r="AB667" s="2" t="str">
        <f t="shared" si="152"/>
        <v/>
      </c>
      <c r="AC667" s="2" t="str">
        <f t="shared" si="153"/>
        <v>(15 downto 8)</v>
      </c>
      <c r="AD667" s="2" t="str">
        <f t="shared" si="154"/>
        <v/>
      </c>
      <c r="AE667" s="2" t="str">
        <f t="shared" si="155"/>
        <v/>
      </c>
      <c r="AF667" s="2" t="str">
        <f t="shared" si="156"/>
        <v/>
      </c>
      <c r="AG667" s="2" t="str">
        <f t="shared" si="157"/>
        <v/>
      </c>
      <c r="AH667" s="2" t="str">
        <f t="shared" si="158"/>
        <v/>
      </c>
    </row>
    <row r="668" spans="2:34" x14ac:dyDescent="0.25">
      <c r="B668" s="2" t="s">
        <v>1032</v>
      </c>
      <c r="D668" s="2" t="s">
        <v>1</v>
      </c>
      <c r="E668" s="2" t="s">
        <v>134</v>
      </c>
      <c r="F668" s="2" t="s">
        <v>1054</v>
      </c>
      <c r="G668" s="2" t="s">
        <v>1055</v>
      </c>
      <c r="H668" s="2" t="s">
        <v>552</v>
      </c>
      <c r="I668" s="2" t="s">
        <v>42</v>
      </c>
      <c r="J668" s="2">
        <v>8</v>
      </c>
      <c r="K668" s="2" t="s">
        <v>137</v>
      </c>
      <c r="L668" s="2" t="s">
        <v>41</v>
      </c>
      <c r="M668" s="2" t="s">
        <v>135</v>
      </c>
      <c r="N668" s="2" t="s">
        <v>1035</v>
      </c>
      <c r="O668" s="2" t="s">
        <v>553</v>
      </c>
      <c r="P668" s="2" t="s">
        <v>48</v>
      </c>
      <c r="Q668" s="2">
        <f>INDEX(Tables!$C$4:$C$28,MATCH($P668,Tables!$B$4:$B$28,0))</f>
        <v>8</v>
      </c>
      <c r="R668" s="2">
        <f>INDEX(Tables!$D$4:$D$28,MATCH($P668,Tables!$B$4:$B$28,0))</f>
        <v>1</v>
      </c>
      <c r="S668" s="2">
        <f>$S667+$R667+INDEX(Tables!$N$5:$Q$8,MATCH(MOD($S667+$R667,4),Tables!$M$5:$M$8,0),MATCH($R668,Tables!$N$4:$Q$4,0))</f>
        <v>2334</v>
      </c>
      <c r="T668" s="2" t="str">
        <f t="shared" si="159"/>
        <v>091E</v>
      </c>
      <c r="U668" s="2">
        <f t="shared" si="150"/>
        <v>583</v>
      </c>
      <c r="V668" s="2" t="str">
        <f t="shared" si="160"/>
        <v>247</v>
      </c>
      <c r="W668" s="2" t="str">
        <f t="shared" si="161"/>
        <v/>
      </c>
      <c r="X668" s="2" t="str">
        <f t="shared" si="162"/>
        <v>X</v>
      </c>
      <c r="Y668" s="2" t="str">
        <f t="shared" si="163"/>
        <v/>
      </c>
      <c r="Z668" s="2" t="str">
        <f t="shared" si="164"/>
        <v/>
      </c>
      <c r="AA668" s="2" t="str">
        <f t="shared" si="151"/>
        <v/>
      </c>
      <c r="AB668" s="2" t="str">
        <f t="shared" si="152"/>
        <v>(23 downto 16)</v>
      </c>
      <c r="AC668" s="2" t="str">
        <f t="shared" si="153"/>
        <v/>
      </c>
      <c r="AD668" s="2" t="str">
        <f t="shared" si="154"/>
        <v/>
      </c>
      <c r="AE668" s="2" t="str">
        <f t="shared" si="155"/>
        <v/>
      </c>
      <c r="AF668" s="2" t="str">
        <f t="shared" si="156"/>
        <v/>
      </c>
      <c r="AG668" s="2" t="str">
        <f t="shared" si="157"/>
        <v/>
      </c>
      <c r="AH668" s="2" t="str">
        <f t="shared" si="158"/>
        <v/>
      </c>
    </row>
    <row r="669" spans="2:34" x14ac:dyDescent="0.25">
      <c r="B669" s="2" t="s">
        <v>1032</v>
      </c>
      <c r="D669" s="2" t="s">
        <v>1</v>
      </c>
      <c r="E669" s="2" t="s">
        <v>134</v>
      </c>
      <c r="F669" s="2" t="s">
        <v>1054</v>
      </c>
      <c r="G669" s="2" t="s">
        <v>1055</v>
      </c>
      <c r="H669" s="2" t="s">
        <v>554</v>
      </c>
      <c r="I669" s="2" t="s">
        <v>42</v>
      </c>
      <c r="J669" s="2">
        <v>8</v>
      </c>
      <c r="K669" s="2" t="s">
        <v>137</v>
      </c>
      <c r="L669" s="2" t="s">
        <v>41</v>
      </c>
      <c r="M669" s="2" t="s">
        <v>135</v>
      </c>
      <c r="N669" s="2" t="s">
        <v>1035</v>
      </c>
      <c r="O669" s="2" t="s">
        <v>555</v>
      </c>
      <c r="P669" s="2" t="s">
        <v>48</v>
      </c>
      <c r="Q669" s="2">
        <f>INDEX(Tables!$C$4:$C$28,MATCH($P669,Tables!$B$4:$B$28,0))</f>
        <v>8</v>
      </c>
      <c r="R669" s="2">
        <f>INDEX(Tables!$D$4:$D$28,MATCH($P669,Tables!$B$4:$B$28,0))</f>
        <v>1</v>
      </c>
      <c r="S669" s="2">
        <f>$S668+$R668+INDEX(Tables!$N$5:$Q$8,MATCH(MOD($S668+$R668,4),Tables!$M$5:$M$8,0),MATCH($R669,Tables!$N$4:$Q$4,0))</f>
        <v>2335</v>
      </c>
      <c r="T669" s="2" t="str">
        <f t="shared" si="159"/>
        <v>091F</v>
      </c>
      <c r="U669" s="2">
        <f t="shared" si="150"/>
        <v>583</v>
      </c>
      <c r="V669" s="2" t="str">
        <f t="shared" si="160"/>
        <v>247</v>
      </c>
      <c r="W669" s="2" t="str">
        <f t="shared" si="161"/>
        <v>X</v>
      </c>
      <c r="X669" s="2" t="str">
        <f t="shared" si="162"/>
        <v/>
      </c>
      <c r="Y669" s="2" t="str">
        <f t="shared" si="163"/>
        <v/>
      </c>
      <c r="Z669" s="2" t="str">
        <f t="shared" si="164"/>
        <v/>
      </c>
      <c r="AA669" s="2" t="str">
        <f t="shared" si="151"/>
        <v>(31 downto 24)</v>
      </c>
      <c r="AB669" s="2" t="str">
        <f t="shared" si="152"/>
        <v/>
      </c>
      <c r="AC669" s="2" t="str">
        <f t="shared" si="153"/>
        <v/>
      </c>
      <c r="AD669" s="2" t="str">
        <f t="shared" si="154"/>
        <v/>
      </c>
      <c r="AE669" s="2" t="str">
        <f t="shared" si="155"/>
        <v/>
      </c>
      <c r="AF669" s="2" t="str">
        <f t="shared" si="156"/>
        <v/>
      </c>
      <c r="AG669" s="2" t="str">
        <f t="shared" si="157"/>
        <v/>
      </c>
      <c r="AH669" s="2" t="str">
        <f t="shared" si="158"/>
        <v/>
      </c>
    </row>
    <row r="670" spans="2:34" x14ac:dyDescent="0.25">
      <c r="B670" s="2" t="s">
        <v>1056</v>
      </c>
      <c r="D670" s="2" t="s">
        <v>1</v>
      </c>
      <c r="E670" s="2" t="s">
        <v>134</v>
      </c>
      <c r="F670" s="2" t="s">
        <v>1057</v>
      </c>
      <c r="G670" s="2" t="s">
        <v>1058</v>
      </c>
      <c r="H670" s="2" t="s">
        <v>559</v>
      </c>
      <c r="I670" s="2" t="s">
        <v>42</v>
      </c>
      <c r="J670" s="2">
        <v>1</v>
      </c>
      <c r="K670" s="2" t="s">
        <v>82</v>
      </c>
      <c r="L670" s="2" t="s">
        <v>41</v>
      </c>
      <c r="M670" s="2" t="s">
        <v>135</v>
      </c>
      <c r="N670" s="2" t="s">
        <v>1059</v>
      </c>
      <c r="O670" s="2" t="s">
        <v>561</v>
      </c>
      <c r="P670" s="2" t="s">
        <v>5</v>
      </c>
      <c r="Q670" s="2">
        <f>INDEX(Tables!$C$4:$C$28,MATCH($P670,Tables!$B$4:$B$28,0))</f>
        <v>32</v>
      </c>
      <c r="R670" s="2">
        <f>INDEX(Tables!$D$4:$D$28,MATCH($P670,Tables!$B$4:$B$28,0))</f>
        <v>4</v>
      </c>
      <c r="S670" s="2">
        <f>$S669+$R669+INDEX(Tables!$N$5:$Q$8,MATCH(MOD($S669+$R669,4),Tables!$M$5:$M$8,0),MATCH($R670,Tables!$N$4:$Q$4,0))</f>
        <v>2336</v>
      </c>
      <c r="T670" s="2" t="str">
        <f t="shared" si="159"/>
        <v>0920</v>
      </c>
      <c r="U670" s="2">
        <f t="shared" si="150"/>
        <v>584</v>
      </c>
      <c r="V670" s="2" t="str">
        <f t="shared" si="160"/>
        <v>248</v>
      </c>
      <c r="W670" s="2" t="str">
        <f t="shared" si="161"/>
        <v/>
      </c>
      <c r="X670" s="2" t="str">
        <f t="shared" si="162"/>
        <v/>
      </c>
      <c r="Y670" s="2" t="str">
        <f t="shared" si="163"/>
        <v/>
      </c>
      <c r="Z670" s="2" t="str">
        <f t="shared" si="164"/>
        <v>X</v>
      </c>
      <c r="AA670" s="2" t="str">
        <f t="shared" si="151"/>
        <v/>
      </c>
      <c r="AB670" s="2" t="str">
        <f t="shared" si="152"/>
        <v/>
      </c>
      <c r="AC670" s="2" t="str">
        <f t="shared" si="153"/>
        <v/>
      </c>
      <c r="AD670" s="2" t="str">
        <f t="shared" si="154"/>
        <v>(0)</v>
      </c>
      <c r="AE670" s="2" t="str">
        <f t="shared" si="155"/>
        <v/>
      </c>
      <c r="AF670" s="2" t="str">
        <f t="shared" si="156"/>
        <v/>
      </c>
      <c r="AG670" s="2" t="str">
        <f t="shared" si="157"/>
        <v/>
      </c>
      <c r="AH670" s="2" t="str">
        <f t="shared" si="158"/>
        <v/>
      </c>
    </row>
    <row r="671" spans="2:34" x14ac:dyDescent="0.25">
      <c r="B671" s="2" t="s">
        <v>1056</v>
      </c>
      <c r="D671" s="2" t="s">
        <v>1</v>
      </c>
      <c r="E671" s="2" t="s">
        <v>134</v>
      </c>
      <c r="F671" s="2" t="s">
        <v>1057</v>
      </c>
      <c r="G671" s="2" t="s">
        <v>1058</v>
      </c>
      <c r="H671" s="2" t="s">
        <v>562</v>
      </c>
      <c r="I671" s="2" t="s">
        <v>42</v>
      </c>
      <c r="J671" s="2">
        <v>1</v>
      </c>
      <c r="K671" s="2" t="s">
        <v>136</v>
      </c>
      <c r="L671" s="2" t="s">
        <v>41</v>
      </c>
      <c r="M671" s="2" t="s">
        <v>135</v>
      </c>
      <c r="N671" s="2" t="s">
        <v>1059</v>
      </c>
      <c r="O671" s="2" t="s">
        <v>563</v>
      </c>
      <c r="P671" s="2" t="s">
        <v>5</v>
      </c>
      <c r="Q671" s="2">
        <f>INDEX(Tables!$C$4:$C$28,MATCH($P671,Tables!$B$4:$B$28,0))</f>
        <v>32</v>
      </c>
      <c r="R671" s="2">
        <f>INDEX(Tables!$D$4:$D$28,MATCH($P671,Tables!$B$4:$B$28,0))</f>
        <v>4</v>
      </c>
      <c r="S671" s="2">
        <f>$S670+$R670+INDEX(Tables!$N$5:$Q$8,MATCH(MOD($S670+$R670,4),Tables!$M$5:$M$8,0),MATCH($R671,Tables!$N$4:$Q$4,0))</f>
        <v>2340</v>
      </c>
      <c r="T671" s="2" t="str">
        <f t="shared" si="159"/>
        <v>0924</v>
      </c>
      <c r="U671" s="2">
        <f t="shared" si="150"/>
        <v>585</v>
      </c>
      <c r="V671" s="2" t="str">
        <f t="shared" si="160"/>
        <v>249</v>
      </c>
      <c r="W671" s="2" t="str">
        <f t="shared" si="161"/>
        <v/>
      </c>
      <c r="X671" s="2" t="str">
        <f t="shared" si="162"/>
        <v/>
      </c>
      <c r="Y671" s="2" t="str">
        <f t="shared" si="163"/>
        <v/>
      </c>
      <c r="Z671" s="2" t="str">
        <f t="shared" si="164"/>
        <v>X</v>
      </c>
      <c r="AA671" s="2" t="str">
        <f t="shared" si="151"/>
        <v/>
      </c>
      <c r="AB671" s="2" t="str">
        <f t="shared" si="152"/>
        <v/>
      </c>
      <c r="AC671" s="2" t="str">
        <f t="shared" si="153"/>
        <v/>
      </c>
      <c r="AD671" s="2" t="str">
        <f t="shared" si="154"/>
        <v>(0)</v>
      </c>
      <c r="AE671" s="2" t="str">
        <f t="shared" si="155"/>
        <v/>
      </c>
      <c r="AF671" s="2" t="str">
        <f t="shared" si="156"/>
        <v/>
      </c>
      <c r="AG671" s="2" t="str">
        <f t="shared" si="157"/>
        <v/>
      </c>
      <c r="AH671" s="2" t="str">
        <f t="shared" si="158"/>
        <v/>
      </c>
    </row>
    <row r="672" spans="2:34" x14ac:dyDescent="0.25">
      <c r="B672" s="2" t="s">
        <v>1056</v>
      </c>
      <c r="D672" s="2" t="s">
        <v>1</v>
      </c>
      <c r="E672" s="2" t="s">
        <v>134</v>
      </c>
      <c r="F672" s="2" t="s">
        <v>1057</v>
      </c>
      <c r="G672" s="2" t="s">
        <v>1058</v>
      </c>
      <c r="H672" s="2" t="s">
        <v>564</v>
      </c>
      <c r="I672" s="2" t="s">
        <v>42</v>
      </c>
      <c r="J672" s="2">
        <v>1</v>
      </c>
      <c r="K672" s="2" t="s">
        <v>82</v>
      </c>
      <c r="L672" s="2" t="s">
        <v>41</v>
      </c>
      <c r="M672" s="2" t="s">
        <v>135</v>
      </c>
      <c r="N672" s="2" t="s">
        <v>1059</v>
      </c>
      <c r="O672" s="2" t="s">
        <v>565</v>
      </c>
      <c r="P672" s="2" t="s">
        <v>5</v>
      </c>
      <c r="Q672" s="2">
        <f>INDEX(Tables!$C$4:$C$28,MATCH($P672,Tables!$B$4:$B$28,0))</f>
        <v>32</v>
      </c>
      <c r="R672" s="2">
        <f>INDEX(Tables!$D$4:$D$28,MATCH($P672,Tables!$B$4:$B$28,0))</f>
        <v>4</v>
      </c>
      <c r="S672" s="2">
        <f>$S671+$R671+INDEX(Tables!$N$5:$Q$8,MATCH(MOD($S671+$R671,4),Tables!$M$5:$M$8,0),MATCH($R672,Tables!$N$4:$Q$4,0))</f>
        <v>2344</v>
      </c>
      <c r="T672" s="2" t="str">
        <f t="shared" si="159"/>
        <v>0928</v>
      </c>
      <c r="U672" s="2">
        <f t="shared" si="150"/>
        <v>586</v>
      </c>
      <c r="V672" s="2" t="str">
        <f t="shared" si="160"/>
        <v>24A</v>
      </c>
      <c r="W672" s="2" t="str">
        <f t="shared" si="161"/>
        <v/>
      </c>
      <c r="X672" s="2" t="str">
        <f t="shared" si="162"/>
        <v/>
      </c>
      <c r="Y672" s="2" t="str">
        <f t="shared" si="163"/>
        <v/>
      </c>
      <c r="Z672" s="2" t="str">
        <f t="shared" si="164"/>
        <v>X</v>
      </c>
      <c r="AA672" s="2" t="str">
        <f t="shared" si="151"/>
        <v/>
      </c>
      <c r="AB672" s="2" t="str">
        <f t="shared" si="152"/>
        <v/>
      </c>
      <c r="AC672" s="2" t="str">
        <f t="shared" si="153"/>
        <v/>
      </c>
      <c r="AD672" s="2" t="str">
        <f t="shared" si="154"/>
        <v>(0)</v>
      </c>
      <c r="AE672" s="2" t="str">
        <f t="shared" si="155"/>
        <v/>
      </c>
      <c r="AF672" s="2" t="str">
        <f t="shared" si="156"/>
        <v/>
      </c>
      <c r="AG672" s="2" t="str">
        <f t="shared" si="157"/>
        <v/>
      </c>
      <c r="AH672" s="2" t="str">
        <f t="shared" si="158"/>
        <v/>
      </c>
    </row>
    <row r="673" spans="2:34" x14ac:dyDescent="0.25">
      <c r="B673" s="2" t="s">
        <v>1056</v>
      </c>
      <c r="D673" s="2" t="s">
        <v>1</v>
      </c>
      <c r="E673" s="2" t="s">
        <v>134</v>
      </c>
      <c r="F673" s="2" t="s">
        <v>1057</v>
      </c>
      <c r="G673" s="2" t="s">
        <v>1058</v>
      </c>
      <c r="H673" s="2" t="s">
        <v>566</v>
      </c>
      <c r="I673" s="2" t="s">
        <v>42</v>
      </c>
      <c r="J673" s="2">
        <v>1</v>
      </c>
      <c r="K673" s="2" t="s">
        <v>136</v>
      </c>
      <c r="L673" s="2" t="s">
        <v>41</v>
      </c>
      <c r="M673" s="2" t="s">
        <v>135</v>
      </c>
      <c r="N673" s="2" t="s">
        <v>1059</v>
      </c>
      <c r="O673" s="2" t="s">
        <v>567</v>
      </c>
      <c r="P673" s="2" t="s">
        <v>5</v>
      </c>
      <c r="Q673" s="2">
        <f>INDEX(Tables!$C$4:$C$28,MATCH($P673,Tables!$B$4:$B$28,0))</f>
        <v>32</v>
      </c>
      <c r="R673" s="2">
        <f>INDEX(Tables!$D$4:$D$28,MATCH($P673,Tables!$B$4:$B$28,0))</f>
        <v>4</v>
      </c>
      <c r="S673" s="2">
        <f>$S672+$R672+INDEX(Tables!$N$5:$Q$8,MATCH(MOD($S672+$R672,4),Tables!$M$5:$M$8,0),MATCH($R673,Tables!$N$4:$Q$4,0))</f>
        <v>2348</v>
      </c>
      <c r="T673" s="2" t="str">
        <f t="shared" si="159"/>
        <v>092C</v>
      </c>
      <c r="U673" s="2">
        <f t="shared" si="150"/>
        <v>587</v>
      </c>
      <c r="V673" s="2" t="str">
        <f t="shared" si="160"/>
        <v>24B</v>
      </c>
      <c r="W673" s="2" t="str">
        <f t="shared" si="161"/>
        <v/>
      </c>
      <c r="X673" s="2" t="str">
        <f t="shared" si="162"/>
        <v/>
      </c>
      <c r="Y673" s="2" t="str">
        <f t="shared" si="163"/>
        <v/>
      </c>
      <c r="Z673" s="2" t="str">
        <f t="shared" si="164"/>
        <v>X</v>
      </c>
      <c r="AA673" s="2" t="str">
        <f t="shared" si="151"/>
        <v/>
      </c>
      <c r="AB673" s="2" t="str">
        <f t="shared" si="152"/>
        <v/>
      </c>
      <c r="AC673" s="2" t="str">
        <f t="shared" si="153"/>
        <v/>
      </c>
      <c r="AD673" s="2" t="str">
        <f t="shared" si="154"/>
        <v>(0)</v>
      </c>
      <c r="AE673" s="2" t="str">
        <f t="shared" si="155"/>
        <v/>
      </c>
      <c r="AF673" s="2" t="str">
        <f t="shared" si="156"/>
        <v/>
      </c>
      <c r="AG673" s="2" t="str">
        <f t="shared" si="157"/>
        <v/>
      </c>
      <c r="AH673" s="2" t="str">
        <f t="shared" si="158"/>
        <v/>
      </c>
    </row>
    <row r="674" spans="2:34" x14ac:dyDescent="0.25">
      <c r="B674" s="2" t="s">
        <v>1056</v>
      </c>
      <c r="D674" s="2" t="s">
        <v>1</v>
      </c>
      <c r="E674" s="2" t="s">
        <v>134</v>
      </c>
      <c r="F674" s="2" t="s">
        <v>1057</v>
      </c>
      <c r="G674" s="2" t="s">
        <v>1058</v>
      </c>
      <c r="H674" s="2" t="s">
        <v>568</v>
      </c>
      <c r="I674" s="2" t="s">
        <v>42</v>
      </c>
      <c r="J674" s="2">
        <v>1</v>
      </c>
      <c r="K674" s="2" t="s">
        <v>82</v>
      </c>
      <c r="L674" s="2" t="s">
        <v>41</v>
      </c>
      <c r="M674" s="2" t="s">
        <v>135</v>
      </c>
      <c r="N674" s="2" t="s">
        <v>1059</v>
      </c>
      <c r="O674" s="2" t="s">
        <v>569</v>
      </c>
      <c r="P674" s="2" t="s">
        <v>5</v>
      </c>
      <c r="Q674" s="2">
        <f>INDEX(Tables!$C$4:$C$28,MATCH($P674,Tables!$B$4:$B$28,0))</f>
        <v>32</v>
      </c>
      <c r="R674" s="2">
        <f>INDEX(Tables!$D$4:$D$28,MATCH($P674,Tables!$B$4:$B$28,0))</f>
        <v>4</v>
      </c>
      <c r="S674" s="2">
        <f>$S673+$R673+INDEX(Tables!$N$5:$Q$8,MATCH(MOD($S673+$R673,4),Tables!$M$5:$M$8,0),MATCH($R674,Tables!$N$4:$Q$4,0))</f>
        <v>2352</v>
      </c>
      <c r="T674" s="2" t="str">
        <f t="shared" si="159"/>
        <v>0930</v>
      </c>
      <c r="U674" s="2">
        <f t="shared" si="150"/>
        <v>588</v>
      </c>
      <c r="V674" s="2" t="str">
        <f t="shared" si="160"/>
        <v>24C</v>
      </c>
      <c r="W674" s="2" t="str">
        <f t="shared" si="161"/>
        <v/>
      </c>
      <c r="X674" s="2" t="str">
        <f t="shared" si="162"/>
        <v/>
      </c>
      <c r="Y674" s="2" t="str">
        <f t="shared" si="163"/>
        <v/>
      </c>
      <c r="Z674" s="2" t="str">
        <f t="shared" si="164"/>
        <v>X</v>
      </c>
      <c r="AA674" s="2" t="str">
        <f t="shared" si="151"/>
        <v/>
      </c>
      <c r="AB674" s="2" t="str">
        <f t="shared" si="152"/>
        <v/>
      </c>
      <c r="AC674" s="2" t="str">
        <f t="shared" si="153"/>
        <v/>
      </c>
      <c r="AD674" s="2" t="str">
        <f t="shared" si="154"/>
        <v>(0)</v>
      </c>
      <c r="AE674" s="2" t="str">
        <f t="shared" si="155"/>
        <v/>
      </c>
      <c r="AF674" s="2" t="str">
        <f t="shared" si="156"/>
        <v/>
      </c>
      <c r="AG674" s="2" t="str">
        <f t="shared" si="157"/>
        <v/>
      </c>
      <c r="AH674" s="2" t="str">
        <f t="shared" si="158"/>
        <v/>
      </c>
    </row>
    <row r="675" spans="2:34" x14ac:dyDescent="0.25">
      <c r="B675" s="2" t="s">
        <v>1056</v>
      </c>
      <c r="D675" s="2" t="s">
        <v>1</v>
      </c>
      <c r="E675" s="2" t="s">
        <v>134</v>
      </c>
      <c r="F675" s="2" t="s">
        <v>1057</v>
      </c>
      <c r="G675" s="2" t="s">
        <v>1058</v>
      </c>
      <c r="H675" s="2" t="s">
        <v>570</v>
      </c>
      <c r="I675" s="2" t="s">
        <v>42</v>
      </c>
      <c r="J675" s="2">
        <v>1</v>
      </c>
      <c r="K675" s="2" t="s">
        <v>136</v>
      </c>
      <c r="L675" s="2" t="s">
        <v>41</v>
      </c>
      <c r="M675" s="2" t="s">
        <v>135</v>
      </c>
      <c r="N675" s="2" t="s">
        <v>1059</v>
      </c>
      <c r="O675" s="2" t="s">
        <v>571</v>
      </c>
      <c r="P675" s="2" t="s">
        <v>5</v>
      </c>
      <c r="Q675" s="2">
        <f>INDEX(Tables!$C$4:$C$28,MATCH($P675,Tables!$B$4:$B$28,0))</f>
        <v>32</v>
      </c>
      <c r="R675" s="2">
        <f>INDEX(Tables!$D$4:$D$28,MATCH($P675,Tables!$B$4:$B$28,0))</f>
        <v>4</v>
      </c>
      <c r="S675" s="2">
        <f>$S674+$R674+INDEX(Tables!$N$5:$Q$8,MATCH(MOD($S674+$R674,4),Tables!$M$5:$M$8,0),MATCH($R675,Tables!$N$4:$Q$4,0))</f>
        <v>2356</v>
      </c>
      <c r="T675" s="2" t="str">
        <f t="shared" si="159"/>
        <v>0934</v>
      </c>
      <c r="U675" s="2">
        <f t="shared" si="150"/>
        <v>589</v>
      </c>
      <c r="V675" s="2" t="str">
        <f t="shared" si="160"/>
        <v>24D</v>
      </c>
      <c r="W675" s="2" t="str">
        <f t="shared" si="161"/>
        <v/>
      </c>
      <c r="X675" s="2" t="str">
        <f t="shared" si="162"/>
        <v/>
      </c>
      <c r="Y675" s="2" t="str">
        <f t="shared" si="163"/>
        <v/>
      </c>
      <c r="Z675" s="2" t="str">
        <f t="shared" si="164"/>
        <v>X</v>
      </c>
      <c r="AA675" s="2" t="str">
        <f t="shared" si="151"/>
        <v/>
      </c>
      <c r="AB675" s="2" t="str">
        <f t="shared" si="152"/>
        <v/>
      </c>
      <c r="AC675" s="2" t="str">
        <f t="shared" si="153"/>
        <v/>
      </c>
      <c r="AD675" s="2" t="str">
        <f t="shared" si="154"/>
        <v>(0)</v>
      </c>
      <c r="AE675" s="2" t="str">
        <f t="shared" si="155"/>
        <v/>
      </c>
      <c r="AF675" s="2" t="str">
        <f t="shared" si="156"/>
        <v/>
      </c>
      <c r="AG675" s="2" t="str">
        <f t="shared" si="157"/>
        <v/>
      </c>
      <c r="AH675" s="2" t="str">
        <f t="shared" si="158"/>
        <v/>
      </c>
    </row>
    <row r="676" spans="2:34" x14ac:dyDescent="0.25">
      <c r="B676" s="2" t="s">
        <v>1056</v>
      </c>
      <c r="D676" s="2" t="s">
        <v>1</v>
      </c>
      <c r="E676" s="2" t="s">
        <v>134</v>
      </c>
      <c r="F676" s="2" t="s">
        <v>1057</v>
      </c>
      <c r="G676" s="2" t="s">
        <v>1058</v>
      </c>
      <c r="H676" s="2" t="s">
        <v>572</v>
      </c>
      <c r="I676" s="2" t="s">
        <v>42</v>
      </c>
      <c r="J676" s="2">
        <v>1</v>
      </c>
      <c r="K676" s="2" t="s">
        <v>136</v>
      </c>
      <c r="L676" s="2" t="s">
        <v>41</v>
      </c>
      <c r="M676" s="2" t="s">
        <v>135</v>
      </c>
      <c r="N676" s="2" t="s">
        <v>1059</v>
      </c>
      <c r="O676" s="2" t="s">
        <v>573</v>
      </c>
      <c r="P676" s="2" t="s">
        <v>5</v>
      </c>
      <c r="Q676" s="2">
        <f>INDEX(Tables!$C$4:$C$28,MATCH($P676,Tables!$B$4:$B$28,0))</f>
        <v>32</v>
      </c>
      <c r="R676" s="2">
        <f>INDEX(Tables!$D$4:$D$28,MATCH($P676,Tables!$B$4:$B$28,0))</f>
        <v>4</v>
      </c>
      <c r="S676" s="2">
        <f>$S675+$R675+INDEX(Tables!$N$5:$Q$8,MATCH(MOD($S675+$R675,4),Tables!$M$5:$M$8,0),MATCH($R676,Tables!$N$4:$Q$4,0))</f>
        <v>2360</v>
      </c>
      <c r="T676" s="2" t="str">
        <f t="shared" si="159"/>
        <v>0938</v>
      </c>
      <c r="U676" s="2">
        <f t="shared" si="150"/>
        <v>590</v>
      </c>
      <c r="V676" s="2" t="str">
        <f t="shared" si="160"/>
        <v>24E</v>
      </c>
      <c r="W676" s="2" t="str">
        <f t="shared" si="161"/>
        <v/>
      </c>
      <c r="X676" s="2" t="str">
        <f t="shared" si="162"/>
        <v/>
      </c>
      <c r="Y676" s="2" t="str">
        <f t="shared" si="163"/>
        <v/>
      </c>
      <c r="Z676" s="2" t="str">
        <f t="shared" si="164"/>
        <v>X</v>
      </c>
      <c r="AA676" s="2" t="str">
        <f t="shared" si="151"/>
        <v/>
      </c>
      <c r="AB676" s="2" t="str">
        <f t="shared" si="152"/>
        <v/>
      </c>
      <c r="AC676" s="2" t="str">
        <f t="shared" si="153"/>
        <v/>
      </c>
      <c r="AD676" s="2" t="str">
        <f t="shared" si="154"/>
        <v>(0)</v>
      </c>
      <c r="AE676" s="2" t="str">
        <f t="shared" si="155"/>
        <v/>
      </c>
      <c r="AF676" s="2" t="str">
        <f t="shared" si="156"/>
        <v/>
      </c>
      <c r="AG676" s="2" t="str">
        <f t="shared" si="157"/>
        <v/>
      </c>
      <c r="AH676" s="2" t="str">
        <f t="shared" si="158"/>
        <v/>
      </c>
    </row>
    <row r="677" spans="2:34" x14ac:dyDescent="0.25">
      <c r="B677" s="2" t="s">
        <v>1056</v>
      </c>
      <c r="D677" s="2" t="s">
        <v>1</v>
      </c>
      <c r="E677" s="2" t="s">
        <v>134</v>
      </c>
      <c r="F677" s="2" t="s">
        <v>1057</v>
      </c>
      <c r="G677" s="2" t="s">
        <v>1058</v>
      </c>
      <c r="H677" s="2" t="s">
        <v>574</v>
      </c>
      <c r="I677" s="2" t="s">
        <v>42</v>
      </c>
      <c r="J677" s="2">
        <v>1</v>
      </c>
      <c r="K677" s="2" t="s">
        <v>136</v>
      </c>
      <c r="L677" s="2" t="s">
        <v>41</v>
      </c>
      <c r="M677" s="2" t="s">
        <v>135</v>
      </c>
      <c r="N677" s="2" t="s">
        <v>1059</v>
      </c>
      <c r="O677" s="2" t="s">
        <v>575</v>
      </c>
      <c r="P677" s="2" t="s">
        <v>5</v>
      </c>
      <c r="Q677" s="2">
        <f>INDEX(Tables!$C$4:$C$28,MATCH($P677,Tables!$B$4:$B$28,0))</f>
        <v>32</v>
      </c>
      <c r="R677" s="2">
        <f>INDEX(Tables!$D$4:$D$28,MATCH($P677,Tables!$B$4:$B$28,0))</f>
        <v>4</v>
      </c>
      <c r="S677" s="2">
        <f>$S676+$R676+INDEX(Tables!$N$5:$Q$8,MATCH(MOD($S676+$R676,4),Tables!$M$5:$M$8,0),MATCH($R677,Tables!$N$4:$Q$4,0))</f>
        <v>2364</v>
      </c>
      <c r="T677" s="2" t="str">
        <f t="shared" si="159"/>
        <v>093C</v>
      </c>
      <c r="U677" s="2">
        <f t="shared" si="150"/>
        <v>591</v>
      </c>
      <c r="V677" s="2" t="str">
        <f t="shared" si="160"/>
        <v>24F</v>
      </c>
      <c r="W677" s="2" t="str">
        <f t="shared" si="161"/>
        <v/>
      </c>
      <c r="X677" s="2" t="str">
        <f t="shared" si="162"/>
        <v/>
      </c>
      <c r="Y677" s="2" t="str">
        <f t="shared" si="163"/>
        <v/>
      </c>
      <c r="Z677" s="2" t="str">
        <f t="shared" si="164"/>
        <v>X</v>
      </c>
      <c r="AA677" s="2" t="str">
        <f t="shared" si="151"/>
        <v/>
      </c>
      <c r="AB677" s="2" t="str">
        <f t="shared" si="152"/>
        <v/>
      </c>
      <c r="AC677" s="2" t="str">
        <f t="shared" si="153"/>
        <v/>
      </c>
      <c r="AD677" s="2" t="str">
        <f t="shared" si="154"/>
        <v>(0)</v>
      </c>
      <c r="AE677" s="2" t="str">
        <f t="shared" si="155"/>
        <v/>
      </c>
      <c r="AF677" s="2" t="str">
        <f t="shared" si="156"/>
        <v/>
      </c>
      <c r="AG677" s="2" t="str">
        <f t="shared" si="157"/>
        <v/>
      </c>
      <c r="AH677" s="2" t="str">
        <f t="shared" si="158"/>
        <v/>
      </c>
    </row>
    <row r="678" spans="2:34" x14ac:dyDescent="0.25">
      <c r="B678" s="2" t="s">
        <v>1056</v>
      </c>
      <c r="D678" s="2" t="s">
        <v>1</v>
      </c>
      <c r="E678" s="2" t="s">
        <v>134</v>
      </c>
      <c r="F678" s="2" t="s">
        <v>1057</v>
      </c>
      <c r="G678" s="2" t="s">
        <v>1058</v>
      </c>
      <c r="H678" s="2" t="s">
        <v>576</v>
      </c>
      <c r="I678" s="2" t="s">
        <v>42</v>
      </c>
      <c r="J678" s="2">
        <v>1</v>
      </c>
      <c r="K678" s="2" t="s">
        <v>82</v>
      </c>
      <c r="L678" s="2" t="s">
        <v>41</v>
      </c>
      <c r="M678" s="2" t="s">
        <v>135</v>
      </c>
      <c r="N678" s="2" t="s">
        <v>1059</v>
      </c>
      <c r="O678" s="2" t="s">
        <v>577</v>
      </c>
      <c r="P678" s="2" t="s">
        <v>5</v>
      </c>
      <c r="Q678" s="2">
        <f>INDEX(Tables!$C$4:$C$28,MATCH($P678,Tables!$B$4:$B$28,0))</f>
        <v>32</v>
      </c>
      <c r="R678" s="2">
        <f>INDEX(Tables!$D$4:$D$28,MATCH($P678,Tables!$B$4:$B$28,0))</f>
        <v>4</v>
      </c>
      <c r="S678" s="2">
        <f>$S677+$R677+INDEX(Tables!$N$5:$Q$8,MATCH(MOD($S677+$R677,4),Tables!$M$5:$M$8,0),MATCH($R678,Tables!$N$4:$Q$4,0))</f>
        <v>2368</v>
      </c>
      <c r="T678" s="2" t="str">
        <f t="shared" si="159"/>
        <v>0940</v>
      </c>
      <c r="U678" s="2">
        <f t="shared" si="150"/>
        <v>592</v>
      </c>
      <c r="V678" s="2" t="str">
        <f t="shared" si="160"/>
        <v>250</v>
      </c>
      <c r="W678" s="2" t="str">
        <f t="shared" si="161"/>
        <v/>
      </c>
      <c r="X678" s="2" t="str">
        <f t="shared" si="162"/>
        <v/>
      </c>
      <c r="Y678" s="2" t="str">
        <f t="shared" si="163"/>
        <v/>
      </c>
      <c r="Z678" s="2" t="str">
        <f t="shared" si="164"/>
        <v>X</v>
      </c>
      <c r="AA678" s="2" t="str">
        <f t="shared" si="151"/>
        <v/>
      </c>
      <c r="AB678" s="2" t="str">
        <f t="shared" si="152"/>
        <v/>
      </c>
      <c r="AC678" s="2" t="str">
        <f t="shared" si="153"/>
        <v/>
      </c>
      <c r="AD678" s="2" t="str">
        <f t="shared" si="154"/>
        <v>(0)</v>
      </c>
      <c r="AE678" s="2" t="str">
        <f t="shared" si="155"/>
        <v/>
      </c>
      <c r="AF678" s="2" t="str">
        <f t="shared" si="156"/>
        <v/>
      </c>
      <c r="AG678" s="2" t="str">
        <f t="shared" si="157"/>
        <v/>
      </c>
      <c r="AH678" s="2" t="str">
        <f t="shared" si="158"/>
        <v/>
      </c>
    </row>
    <row r="679" spans="2:34" x14ac:dyDescent="0.25">
      <c r="B679" s="2" t="s">
        <v>1056</v>
      </c>
      <c r="D679" s="2" t="s">
        <v>1</v>
      </c>
      <c r="E679" s="2" t="s">
        <v>134</v>
      </c>
      <c r="F679" s="2" t="s">
        <v>1057</v>
      </c>
      <c r="G679" s="2" t="s">
        <v>1058</v>
      </c>
      <c r="H679" s="2" t="s">
        <v>578</v>
      </c>
      <c r="I679" s="2" t="s">
        <v>42</v>
      </c>
      <c r="J679" s="2">
        <v>1</v>
      </c>
      <c r="K679" s="2" t="s">
        <v>82</v>
      </c>
      <c r="L679" s="2" t="s">
        <v>41</v>
      </c>
      <c r="M679" s="2" t="s">
        <v>135</v>
      </c>
      <c r="N679" s="2" t="s">
        <v>1059</v>
      </c>
      <c r="O679" s="2" t="s">
        <v>579</v>
      </c>
      <c r="P679" s="2" t="s">
        <v>5</v>
      </c>
      <c r="Q679" s="2">
        <f>INDEX(Tables!$C$4:$C$28,MATCH($P679,Tables!$B$4:$B$28,0))</f>
        <v>32</v>
      </c>
      <c r="R679" s="2">
        <f>INDEX(Tables!$D$4:$D$28,MATCH($P679,Tables!$B$4:$B$28,0))</f>
        <v>4</v>
      </c>
      <c r="S679" s="2">
        <f>$S678+$R678+INDEX(Tables!$N$5:$Q$8,MATCH(MOD($S678+$R678,4),Tables!$M$5:$M$8,0),MATCH($R679,Tables!$N$4:$Q$4,0))</f>
        <v>2372</v>
      </c>
      <c r="T679" s="2" t="str">
        <f t="shared" si="159"/>
        <v>0944</v>
      </c>
      <c r="U679" s="2">
        <f t="shared" si="150"/>
        <v>593</v>
      </c>
      <c r="V679" s="2" t="str">
        <f t="shared" si="160"/>
        <v>251</v>
      </c>
      <c r="W679" s="2" t="str">
        <f t="shared" si="161"/>
        <v/>
      </c>
      <c r="X679" s="2" t="str">
        <f t="shared" si="162"/>
        <v/>
      </c>
      <c r="Y679" s="2" t="str">
        <f t="shared" si="163"/>
        <v/>
      </c>
      <c r="Z679" s="2" t="str">
        <f t="shared" si="164"/>
        <v>X</v>
      </c>
      <c r="AA679" s="2" t="str">
        <f t="shared" si="151"/>
        <v/>
      </c>
      <c r="AB679" s="2" t="str">
        <f t="shared" si="152"/>
        <v/>
      </c>
      <c r="AC679" s="2" t="str">
        <f t="shared" si="153"/>
        <v/>
      </c>
      <c r="AD679" s="2" t="str">
        <f t="shared" si="154"/>
        <v>(0)</v>
      </c>
      <c r="AE679" s="2" t="str">
        <f t="shared" si="155"/>
        <v/>
      </c>
      <c r="AF679" s="2" t="str">
        <f t="shared" si="156"/>
        <v/>
      </c>
      <c r="AG679" s="2" t="str">
        <f t="shared" si="157"/>
        <v/>
      </c>
      <c r="AH679" s="2" t="str">
        <f t="shared" si="158"/>
        <v/>
      </c>
    </row>
    <row r="680" spans="2:34" x14ac:dyDescent="0.25">
      <c r="B680" s="2" t="s">
        <v>1056</v>
      </c>
      <c r="D680" s="2" t="s">
        <v>1</v>
      </c>
      <c r="E680" s="2" t="s">
        <v>134</v>
      </c>
      <c r="F680" s="2" t="s">
        <v>1057</v>
      </c>
      <c r="G680" s="2" t="s">
        <v>1058</v>
      </c>
      <c r="H680" s="2" t="s">
        <v>580</v>
      </c>
      <c r="I680" s="2" t="s">
        <v>42</v>
      </c>
      <c r="J680" s="2">
        <v>1</v>
      </c>
      <c r="K680" s="2" t="s">
        <v>82</v>
      </c>
      <c r="L680" s="2" t="s">
        <v>41</v>
      </c>
      <c r="M680" s="2" t="s">
        <v>135</v>
      </c>
      <c r="N680" s="2" t="s">
        <v>1059</v>
      </c>
      <c r="O680" s="2" t="s">
        <v>581</v>
      </c>
      <c r="P680" s="2" t="s">
        <v>5</v>
      </c>
      <c r="Q680" s="2">
        <f>INDEX(Tables!$C$4:$C$28,MATCH($P680,Tables!$B$4:$B$28,0))</f>
        <v>32</v>
      </c>
      <c r="R680" s="2">
        <f>INDEX(Tables!$D$4:$D$28,MATCH($P680,Tables!$B$4:$B$28,0))</f>
        <v>4</v>
      </c>
      <c r="S680" s="2">
        <f>$S679+$R679+INDEX(Tables!$N$5:$Q$8,MATCH(MOD($S679+$R679,4),Tables!$M$5:$M$8,0),MATCH($R680,Tables!$N$4:$Q$4,0))</f>
        <v>2376</v>
      </c>
      <c r="T680" s="2" t="str">
        <f t="shared" si="159"/>
        <v>0948</v>
      </c>
      <c r="U680" s="2">
        <f t="shared" si="150"/>
        <v>594</v>
      </c>
      <c r="V680" s="2" t="str">
        <f t="shared" si="160"/>
        <v>252</v>
      </c>
      <c r="W680" s="2" t="str">
        <f t="shared" si="161"/>
        <v/>
      </c>
      <c r="X680" s="2" t="str">
        <f t="shared" si="162"/>
        <v/>
      </c>
      <c r="Y680" s="2" t="str">
        <f t="shared" si="163"/>
        <v/>
      </c>
      <c r="Z680" s="2" t="str">
        <f t="shared" si="164"/>
        <v>X</v>
      </c>
      <c r="AA680" s="2" t="str">
        <f t="shared" si="151"/>
        <v/>
      </c>
      <c r="AB680" s="2" t="str">
        <f t="shared" si="152"/>
        <v/>
      </c>
      <c r="AC680" s="2" t="str">
        <f t="shared" si="153"/>
        <v/>
      </c>
      <c r="AD680" s="2" t="str">
        <f t="shared" si="154"/>
        <v>(0)</v>
      </c>
      <c r="AE680" s="2" t="str">
        <f t="shared" si="155"/>
        <v/>
      </c>
      <c r="AF680" s="2" t="str">
        <f t="shared" si="156"/>
        <v/>
      </c>
      <c r="AG680" s="2" t="str">
        <f t="shared" si="157"/>
        <v/>
      </c>
      <c r="AH680" s="2" t="str">
        <f t="shared" si="158"/>
        <v/>
      </c>
    </row>
    <row r="681" spans="2:34" x14ac:dyDescent="0.25">
      <c r="B681" s="2" t="s">
        <v>1056</v>
      </c>
      <c r="D681" s="2" t="s">
        <v>1</v>
      </c>
      <c r="E681" s="2" t="s">
        <v>134</v>
      </c>
      <c r="F681" s="2" t="s">
        <v>1057</v>
      </c>
      <c r="G681" s="2" t="s">
        <v>1058</v>
      </c>
      <c r="H681" s="2" t="s">
        <v>582</v>
      </c>
      <c r="I681" s="2" t="s">
        <v>42</v>
      </c>
      <c r="J681" s="2">
        <v>1</v>
      </c>
      <c r="K681" s="2" t="s">
        <v>82</v>
      </c>
      <c r="L681" s="2" t="s">
        <v>41</v>
      </c>
      <c r="M681" s="2" t="s">
        <v>135</v>
      </c>
      <c r="N681" s="2" t="s">
        <v>1059</v>
      </c>
      <c r="O681" s="2" t="s">
        <v>583</v>
      </c>
      <c r="P681" s="2" t="s">
        <v>5</v>
      </c>
      <c r="Q681" s="2">
        <f>INDEX(Tables!$C$4:$C$28,MATCH($P681,Tables!$B$4:$B$28,0))</f>
        <v>32</v>
      </c>
      <c r="R681" s="2">
        <f>INDEX(Tables!$D$4:$D$28,MATCH($P681,Tables!$B$4:$B$28,0))</f>
        <v>4</v>
      </c>
      <c r="S681" s="2">
        <f>$S680+$R680+INDEX(Tables!$N$5:$Q$8,MATCH(MOD($S680+$R680,4),Tables!$M$5:$M$8,0),MATCH($R681,Tables!$N$4:$Q$4,0))</f>
        <v>2380</v>
      </c>
      <c r="T681" s="2" t="str">
        <f t="shared" si="159"/>
        <v>094C</v>
      </c>
      <c r="U681" s="2">
        <f t="shared" si="150"/>
        <v>595</v>
      </c>
      <c r="V681" s="2" t="str">
        <f t="shared" si="160"/>
        <v>253</v>
      </c>
      <c r="W681" s="2" t="str">
        <f t="shared" si="161"/>
        <v/>
      </c>
      <c r="X681" s="2" t="str">
        <f t="shared" si="162"/>
        <v/>
      </c>
      <c r="Y681" s="2" t="str">
        <f t="shared" si="163"/>
        <v/>
      </c>
      <c r="Z681" s="2" t="str">
        <f t="shared" si="164"/>
        <v>X</v>
      </c>
      <c r="AA681" s="2" t="str">
        <f t="shared" si="151"/>
        <v/>
      </c>
      <c r="AB681" s="2" t="str">
        <f t="shared" si="152"/>
        <v/>
      </c>
      <c r="AC681" s="2" t="str">
        <f t="shared" si="153"/>
        <v/>
      </c>
      <c r="AD681" s="2" t="str">
        <f t="shared" si="154"/>
        <v>(0)</v>
      </c>
      <c r="AE681" s="2" t="str">
        <f t="shared" si="155"/>
        <v/>
      </c>
      <c r="AF681" s="2" t="str">
        <f t="shared" si="156"/>
        <v/>
      </c>
      <c r="AG681" s="2" t="str">
        <f t="shared" si="157"/>
        <v/>
      </c>
      <c r="AH681" s="2" t="str">
        <f t="shared" si="158"/>
        <v/>
      </c>
    </row>
    <row r="682" spans="2:34" x14ac:dyDescent="0.25">
      <c r="B682" s="2" t="s">
        <v>1056</v>
      </c>
      <c r="D682" s="2" t="s">
        <v>1</v>
      </c>
      <c r="E682" s="2" t="s">
        <v>134</v>
      </c>
      <c r="F682" s="2" t="s">
        <v>1057</v>
      </c>
      <c r="G682" s="2" t="s">
        <v>1058</v>
      </c>
      <c r="H682" s="2" t="s">
        <v>584</v>
      </c>
      <c r="I682" s="2" t="s">
        <v>42</v>
      </c>
      <c r="J682" s="2">
        <v>1</v>
      </c>
      <c r="K682" s="2" t="s">
        <v>82</v>
      </c>
      <c r="L682" s="2" t="s">
        <v>41</v>
      </c>
      <c r="M682" s="2" t="s">
        <v>135</v>
      </c>
      <c r="N682" s="2" t="s">
        <v>1059</v>
      </c>
      <c r="O682" s="2" t="s">
        <v>585</v>
      </c>
      <c r="P682" s="2" t="s">
        <v>5</v>
      </c>
      <c r="Q682" s="2">
        <f>INDEX(Tables!$C$4:$C$28,MATCH($P682,Tables!$B$4:$B$28,0))</f>
        <v>32</v>
      </c>
      <c r="R682" s="2">
        <f>INDEX(Tables!$D$4:$D$28,MATCH($P682,Tables!$B$4:$B$28,0))</f>
        <v>4</v>
      </c>
      <c r="S682" s="2">
        <f>$S681+$R681+INDEX(Tables!$N$5:$Q$8,MATCH(MOD($S681+$R681,4),Tables!$M$5:$M$8,0),MATCH($R682,Tables!$N$4:$Q$4,0))</f>
        <v>2384</v>
      </c>
      <c r="T682" s="2" t="str">
        <f t="shared" si="159"/>
        <v>0950</v>
      </c>
      <c r="U682" s="2">
        <f t="shared" ref="U682:U745" si="165">ROUNDDOWN(S682/4,0)</f>
        <v>596</v>
      </c>
      <c r="V682" s="2" t="str">
        <f t="shared" si="160"/>
        <v>254</v>
      </c>
      <c r="W682" s="2" t="str">
        <f t="shared" si="161"/>
        <v/>
      </c>
      <c r="X682" s="2" t="str">
        <f t="shared" si="162"/>
        <v/>
      </c>
      <c r="Y682" s="2" t="str">
        <f t="shared" si="163"/>
        <v/>
      </c>
      <c r="Z682" s="2" t="str">
        <f t="shared" si="164"/>
        <v>X</v>
      </c>
      <c r="AA682" s="2" t="str">
        <f t="shared" ref="AA682:AA745" si="166">IF(W682="","",CONCATENATE("(",IF(($J682-COUNTIF($X682:$Z682,"X")*8)=1,"24)",CONCATENATE(IF(($J682-COUNTIF($X682:$Z682,"X")*8)&gt;=8,32,($J682-COUNTIF($X682:$Z682,"X")*8)+24)-1," downto 24)"))))</f>
        <v/>
      </c>
      <c r="AB682" s="2" t="str">
        <f t="shared" ref="AB682:AB745" si="167">IF(X682="","",CONCATENATE("(",IF(($J682-COUNTIF($Y682:$Z682,"X")*8)=1,"16)",CONCATENATE(IF(($J682-COUNTIF($Y682:$Z682,"X")*8)&gt;=8,24,($J682-COUNTIF($Y682:$Z682,"X")*8)+16)-1," downto 16)"))))</f>
        <v/>
      </c>
      <c r="AC682" s="2" t="str">
        <f t="shared" ref="AC682:AC745" si="168">IF(Y682="","",CONCATENATE("(",IF(($J682-COUNTIF($Z682,"X")*8)=1,"8)",CONCATENATE(IF(($J682-COUNTIF($Z682,"X")*8)&gt;=8,16,($J682-COUNTIF($Z682,"X")*8)+8)-1," downto 8)"))))</f>
        <v/>
      </c>
      <c r="AD682" s="2" t="str">
        <f t="shared" ref="AD682:AD745" si="169">IF(Z682="","",CONCATENATE("(",IF($J682=1,"0)",CONCATENATE(IF($J682&gt;=8,8,$J682)-1," downto 0)"))))</f>
        <v>(0)</v>
      </c>
      <c r="AE682" s="2" t="str">
        <f t="shared" ref="AE682:AE745" si="170">IF(W682="","",IF($J682&lt;=8,"",IF(($J682-COUNTIF($X682:$Z682,"X")*8)=1,CONCATENATE("(",($J682-1),")"),CONCATENATE("(",IF(($J682-COUNTIF($X682:$Z682,"X")*8)&gt;=8,COUNTIF($X682:$Z682,"X")*8+7,$J682-COUNTIF($X682:$Z682,"X")*8-1+COUNTIF($X682:$Z682,"X")*8)," downto ",COUNTIF($X682:$Z682,"X")*8,")"))))</f>
        <v/>
      </c>
      <c r="AF682" s="2" t="str">
        <f t="shared" ref="AF682:AF745" si="171">IF(X682="","",IF($J682&lt;=8,"",IF(($J682-COUNTIF($Y682:$Z682,"X")*8)=1,CONCATENATE("(",($J682-1),")"),CONCATENATE("(",IF(($J682-COUNTIF($Y682:$Z682,"X")*8)&gt;=8,COUNTIF($Y682:$Z682,"X")*8+7,$J682-COUNTIF($Y682:$Z682,"X")*8-1+COUNTIF($Y682:$Z682,"X")*8)," downto ",COUNTIF($Y682:$Z682,"X")*8,")"))))</f>
        <v/>
      </c>
      <c r="AG682" s="2" t="str">
        <f t="shared" ref="AG682:AG745" si="172">IF(Y682="","",IF($J682&lt;=8,"",IF(($J682-COUNTIF($Z682,"X")*8)=1,CONCATENATE("(",($J682-1),")"),CONCATENATE("(",IF(($J682-COUNTIF($Z682,"X")*8)&gt;=8,COUNTIF($Z682,"X")*8+7,$J682-COUNTIF($Z682,"X")*8-1+COUNTIF($Z682,"X")*8)," downto ",COUNTIF($Z682,"X")*8,")"))))</f>
        <v/>
      </c>
      <c r="AH682" s="2" t="str">
        <f t="shared" ref="AH682:AH745" si="173">IF(Z682="","",IF($J682&lt;=8,"",CONCATENATE("(",IF($J682&gt;=8,7,$J682-1)," downto ",0,")")))</f>
        <v/>
      </c>
    </row>
    <row r="683" spans="2:34" x14ac:dyDescent="0.25">
      <c r="B683" s="2" t="s">
        <v>1056</v>
      </c>
      <c r="D683" s="2" t="s">
        <v>1</v>
      </c>
      <c r="E683" s="2" t="s">
        <v>134</v>
      </c>
      <c r="F683" s="2" t="s">
        <v>1057</v>
      </c>
      <c r="G683" s="2" t="s">
        <v>1058</v>
      </c>
      <c r="H683" s="2" t="s">
        <v>586</v>
      </c>
      <c r="I683" s="2" t="s">
        <v>42</v>
      </c>
      <c r="J683" s="2">
        <v>1</v>
      </c>
      <c r="K683" s="2" t="s">
        <v>82</v>
      </c>
      <c r="L683" s="2" t="s">
        <v>41</v>
      </c>
      <c r="M683" s="2" t="s">
        <v>135</v>
      </c>
      <c r="N683" s="2" t="s">
        <v>1059</v>
      </c>
      <c r="O683" s="2" t="s">
        <v>587</v>
      </c>
      <c r="P683" s="2" t="s">
        <v>5</v>
      </c>
      <c r="Q683" s="2">
        <f>INDEX(Tables!$C$4:$C$28,MATCH($P683,Tables!$B$4:$B$28,0))</f>
        <v>32</v>
      </c>
      <c r="R683" s="2">
        <f>INDEX(Tables!$D$4:$D$28,MATCH($P683,Tables!$B$4:$B$28,0))</f>
        <v>4</v>
      </c>
      <c r="S683" s="2">
        <f>$S682+$R682+INDEX(Tables!$N$5:$Q$8,MATCH(MOD($S682+$R682,4),Tables!$M$5:$M$8,0),MATCH($R683,Tables!$N$4:$Q$4,0))</f>
        <v>2388</v>
      </c>
      <c r="T683" s="2" t="str">
        <f t="shared" si="159"/>
        <v>0954</v>
      </c>
      <c r="U683" s="2">
        <f t="shared" si="165"/>
        <v>597</v>
      </c>
      <c r="V683" s="2" t="str">
        <f t="shared" si="160"/>
        <v>255</v>
      </c>
      <c r="W683" s="2" t="str">
        <f t="shared" si="161"/>
        <v/>
      </c>
      <c r="X683" s="2" t="str">
        <f t="shared" si="162"/>
        <v/>
      </c>
      <c r="Y683" s="2" t="str">
        <f t="shared" si="163"/>
        <v/>
      </c>
      <c r="Z683" s="2" t="str">
        <f t="shared" si="164"/>
        <v>X</v>
      </c>
      <c r="AA683" s="2" t="str">
        <f t="shared" si="166"/>
        <v/>
      </c>
      <c r="AB683" s="2" t="str">
        <f t="shared" si="167"/>
        <v/>
      </c>
      <c r="AC683" s="2" t="str">
        <f t="shared" si="168"/>
        <v/>
      </c>
      <c r="AD683" s="2" t="str">
        <f t="shared" si="169"/>
        <v>(0)</v>
      </c>
      <c r="AE683" s="2" t="str">
        <f t="shared" si="170"/>
        <v/>
      </c>
      <c r="AF683" s="2" t="str">
        <f t="shared" si="171"/>
        <v/>
      </c>
      <c r="AG683" s="2" t="str">
        <f t="shared" si="172"/>
        <v/>
      </c>
      <c r="AH683" s="2" t="str">
        <f t="shared" si="173"/>
        <v/>
      </c>
    </row>
    <row r="684" spans="2:34" x14ac:dyDescent="0.25">
      <c r="B684" s="2" t="s">
        <v>1056</v>
      </c>
      <c r="D684" s="2" t="s">
        <v>1</v>
      </c>
      <c r="E684" s="2" t="s">
        <v>134</v>
      </c>
      <c r="F684" s="2" t="s">
        <v>1057</v>
      </c>
      <c r="G684" s="2" t="s">
        <v>1058</v>
      </c>
      <c r="H684" s="2" t="s">
        <v>588</v>
      </c>
      <c r="I684" s="2" t="s">
        <v>42</v>
      </c>
      <c r="J684" s="2">
        <v>1</v>
      </c>
      <c r="K684" s="2" t="s">
        <v>82</v>
      </c>
      <c r="L684" s="2" t="s">
        <v>41</v>
      </c>
      <c r="M684" s="2" t="s">
        <v>135</v>
      </c>
      <c r="N684" s="2" t="s">
        <v>1059</v>
      </c>
      <c r="O684" s="2" t="s">
        <v>589</v>
      </c>
      <c r="P684" s="2" t="s">
        <v>5</v>
      </c>
      <c r="Q684" s="2">
        <f>INDEX(Tables!$C$4:$C$28,MATCH($P684,Tables!$B$4:$B$28,0))</f>
        <v>32</v>
      </c>
      <c r="R684" s="2">
        <f>INDEX(Tables!$D$4:$D$28,MATCH($P684,Tables!$B$4:$B$28,0))</f>
        <v>4</v>
      </c>
      <c r="S684" s="2">
        <f>$S683+$R683+INDEX(Tables!$N$5:$Q$8,MATCH(MOD($S683+$R683,4),Tables!$M$5:$M$8,0),MATCH($R684,Tables!$N$4:$Q$4,0))</f>
        <v>2392</v>
      </c>
      <c r="T684" s="2" t="str">
        <f t="shared" si="159"/>
        <v>0958</v>
      </c>
      <c r="U684" s="2">
        <f t="shared" si="165"/>
        <v>598</v>
      </c>
      <c r="V684" s="2" t="str">
        <f t="shared" si="160"/>
        <v>256</v>
      </c>
      <c r="W684" s="2" t="str">
        <f t="shared" si="161"/>
        <v/>
      </c>
      <c r="X684" s="2" t="str">
        <f t="shared" si="162"/>
        <v/>
      </c>
      <c r="Y684" s="2" t="str">
        <f t="shared" si="163"/>
        <v/>
      </c>
      <c r="Z684" s="2" t="str">
        <f t="shared" si="164"/>
        <v>X</v>
      </c>
      <c r="AA684" s="2" t="str">
        <f t="shared" si="166"/>
        <v/>
      </c>
      <c r="AB684" s="2" t="str">
        <f t="shared" si="167"/>
        <v/>
      </c>
      <c r="AC684" s="2" t="str">
        <f t="shared" si="168"/>
        <v/>
      </c>
      <c r="AD684" s="2" t="str">
        <f t="shared" si="169"/>
        <v>(0)</v>
      </c>
      <c r="AE684" s="2" t="str">
        <f t="shared" si="170"/>
        <v/>
      </c>
      <c r="AF684" s="2" t="str">
        <f t="shared" si="171"/>
        <v/>
      </c>
      <c r="AG684" s="2" t="str">
        <f t="shared" si="172"/>
        <v/>
      </c>
      <c r="AH684" s="2" t="str">
        <f t="shared" si="173"/>
        <v/>
      </c>
    </row>
    <row r="685" spans="2:34" x14ac:dyDescent="0.25">
      <c r="B685" s="2" t="s">
        <v>1056</v>
      </c>
      <c r="D685" s="2" t="s">
        <v>1</v>
      </c>
      <c r="E685" s="2" t="s">
        <v>134</v>
      </c>
      <c r="F685" s="2" t="s">
        <v>1057</v>
      </c>
      <c r="G685" s="2" t="s">
        <v>1058</v>
      </c>
      <c r="H685" s="2" t="s">
        <v>590</v>
      </c>
      <c r="I685" s="2" t="s">
        <v>42</v>
      </c>
      <c r="J685" s="2">
        <v>1</v>
      </c>
      <c r="K685" s="2" t="s">
        <v>82</v>
      </c>
      <c r="L685" s="2" t="s">
        <v>41</v>
      </c>
      <c r="M685" s="2" t="s">
        <v>135</v>
      </c>
      <c r="N685" s="2" t="s">
        <v>1059</v>
      </c>
      <c r="O685" s="2" t="s">
        <v>591</v>
      </c>
      <c r="P685" s="2" t="s">
        <v>5</v>
      </c>
      <c r="Q685" s="2">
        <f>INDEX(Tables!$C$4:$C$28,MATCH($P685,Tables!$B$4:$B$28,0))</f>
        <v>32</v>
      </c>
      <c r="R685" s="2">
        <f>INDEX(Tables!$D$4:$D$28,MATCH($P685,Tables!$B$4:$B$28,0))</f>
        <v>4</v>
      </c>
      <c r="S685" s="2">
        <f>$S684+$R684+INDEX(Tables!$N$5:$Q$8,MATCH(MOD($S684+$R684,4),Tables!$M$5:$M$8,0),MATCH($R685,Tables!$N$4:$Q$4,0))</f>
        <v>2396</v>
      </c>
      <c r="T685" s="2" t="str">
        <f t="shared" si="159"/>
        <v>095C</v>
      </c>
      <c r="U685" s="2">
        <f t="shared" si="165"/>
        <v>599</v>
      </c>
      <c r="V685" s="2" t="str">
        <f t="shared" si="160"/>
        <v>257</v>
      </c>
      <c r="W685" s="2" t="str">
        <f t="shared" si="161"/>
        <v/>
      </c>
      <c r="X685" s="2" t="str">
        <f t="shared" si="162"/>
        <v/>
      </c>
      <c r="Y685" s="2" t="str">
        <f t="shared" si="163"/>
        <v/>
      </c>
      <c r="Z685" s="2" t="str">
        <f t="shared" si="164"/>
        <v>X</v>
      </c>
      <c r="AA685" s="2" t="str">
        <f t="shared" si="166"/>
        <v/>
      </c>
      <c r="AB685" s="2" t="str">
        <f t="shared" si="167"/>
        <v/>
      </c>
      <c r="AC685" s="2" t="str">
        <f t="shared" si="168"/>
        <v/>
      </c>
      <c r="AD685" s="2" t="str">
        <f t="shared" si="169"/>
        <v>(0)</v>
      </c>
      <c r="AE685" s="2" t="str">
        <f t="shared" si="170"/>
        <v/>
      </c>
      <c r="AF685" s="2" t="str">
        <f t="shared" si="171"/>
        <v/>
      </c>
      <c r="AG685" s="2" t="str">
        <f t="shared" si="172"/>
        <v/>
      </c>
      <c r="AH685" s="2" t="str">
        <f t="shared" si="173"/>
        <v/>
      </c>
    </row>
    <row r="686" spans="2:34" x14ac:dyDescent="0.25">
      <c r="B686" s="2" t="s">
        <v>1056</v>
      </c>
      <c r="D686" s="2" t="s">
        <v>1</v>
      </c>
      <c r="E686" s="2" t="s">
        <v>134</v>
      </c>
      <c r="F686" s="2" t="s">
        <v>1057</v>
      </c>
      <c r="G686" s="2" t="s">
        <v>1058</v>
      </c>
      <c r="H686" s="2" t="s">
        <v>592</v>
      </c>
      <c r="I686" s="2" t="s">
        <v>42</v>
      </c>
      <c r="J686" s="2">
        <v>1</v>
      </c>
      <c r="K686" s="2" t="s">
        <v>82</v>
      </c>
      <c r="L686" s="2" t="s">
        <v>41</v>
      </c>
      <c r="M686" s="2" t="s">
        <v>135</v>
      </c>
      <c r="N686" s="2" t="s">
        <v>1059</v>
      </c>
      <c r="O686" s="2" t="s">
        <v>593</v>
      </c>
      <c r="P686" s="2" t="s">
        <v>5</v>
      </c>
      <c r="Q686" s="2">
        <f>INDEX(Tables!$C$4:$C$28,MATCH($P686,Tables!$B$4:$B$28,0))</f>
        <v>32</v>
      </c>
      <c r="R686" s="2">
        <f>INDEX(Tables!$D$4:$D$28,MATCH($P686,Tables!$B$4:$B$28,0))</f>
        <v>4</v>
      </c>
      <c r="S686" s="2">
        <f>$S685+$R685+INDEX(Tables!$N$5:$Q$8,MATCH(MOD($S685+$R685,4),Tables!$M$5:$M$8,0),MATCH($R686,Tables!$N$4:$Q$4,0))</f>
        <v>2400</v>
      </c>
      <c r="T686" s="2" t="str">
        <f t="shared" si="159"/>
        <v>0960</v>
      </c>
      <c r="U686" s="2">
        <f t="shared" si="165"/>
        <v>600</v>
      </c>
      <c r="V686" s="2" t="str">
        <f t="shared" si="160"/>
        <v>258</v>
      </c>
      <c r="W686" s="2" t="str">
        <f t="shared" si="161"/>
        <v/>
      </c>
      <c r="X686" s="2" t="str">
        <f t="shared" si="162"/>
        <v/>
      </c>
      <c r="Y686" s="2" t="str">
        <f t="shared" si="163"/>
        <v/>
      </c>
      <c r="Z686" s="2" t="str">
        <f t="shared" si="164"/>
        <v>X</v>
      </c>
      <c r="AA686" s="2" t="str">
        <f t="shared" si="166"/>
        <v/>
      </c>
      <c r="AB686" s="2" t="str">
        <f t="shared" si="167"/>
        <v/>
      </c>
      <c r="AC686" s="2" t="str">
        <f t="shared" si="168"/>
        <v/>
      </c>
      <c r="AD686" s="2" t="str">
        <f t="shared" si="169"/>
        <v>(0)</v>
      </c>
      <c r="AE686" s="2" t="str">
        <f t="shared" si="170"/>
        <v/>
      </c>
      <c r="AF686" s="2" t="str">
        <f t="shared" si="171"/>
        <v/>
      </c>
      <c r="AG686" s="2" t="str">
        <f t="shared" si="172"/>
        <v/>
      </c>
      <c r="AH686" s="2" t="str">
        <f t="shared" si="173"/>
        <v/>
      </c>
    </row>
    <row r="687" spans="2:34" x14ac:dyDescent="0.25">
      <c r="B687" s="2" t="s">
        <v>1056</v>
      </c>
      <c r="D687" s="2" t="s">
        <v>1</v>
      </c>
      <c r="E687" s="2" t="s">
        <v>134</v>
      </c>
      <c r="F687" s="2" t="s">
        <v>1057</v>
      </c>
      <c r="G687" s="2" t="s">
        <v>1058</v>
      </c>
      <c r="H687" s="2" t="s">
        <v>594</v>
      </c>
      <c r="I687" s="2" t="s">
        <v>42</v>
      </c>
      <c r="J687" s="2">
        <v>1</v>
      </c>
      <c r="K687" s="2" t="s">
        <v>82</v>
      </c>
      <c r="L687" s="2" t="s">
        <v>41</v>
      </c>
      <c r="M687" s="2" t="s">
        <v>135</v>
      </c>
      <c r="N687" s="2" t="s">
        <v>1059</v>
      </c>
      <c r="O687" s="2" t="s">
        <v>595</v>
      </c>
      <c r="P687" s="2" t="s">
        <v>5</v>
      </c>
      <c r="Q687" s="2">
        <f>INDEX(Tables!$C$4:$C$28,MATCH($P687,Tables!$B$4:$B$28,0))</f>
        <v>32</v>
      </c>
      <c r="R687" s="2">
        <f>INDEX(Tables!$D$4:$D$28,MATCH($P687,Tables!$B$4:$B$28,0))</f>
        <v>4</v>
      </c>
      <c r="S687" s="2">
        <f>$S686+$R686+INDEX(Tables!$N$5:$Q$8,MATCH(MOD($S686+$R686,4),Tables!$M$5:$M$8,0),MATCH($R687,Tables!$N$4:$Q$4,0))</f>
        <v>2404</v>
      </c>
      <c r="T687" s="2" t="str">
        <f t="shared" si="159"/>
        <v>0964</v>
      </c>
      <c r="U687" s="2">
        <f t="shared" si="165"/>
        <v>601</v>
      </c>
      <c r="V687" s="2" t="str">
        <f t="shared" si="160"/>
        <v>259</v>
      </c>
      <c r="W687" s="2" t="str">
        <f t="shared" si="161"/>
        <v/>
      </c>
      <c r="X687" s="2" t="str">
        <f t="shared" si="162"/>
        <v/>
      </c>
      <c r="Y687" s="2" t="str">
        <f t="shared" si="163"/>
        <v/>
      </c>
      <c r="Z687" s="2" t="str">
        <f t="shared" si="164"/>
        <v>X</v>
      </c>
      <c r="AA687" s="2" t="str">
        <f t="shared" si="166"/>
        <v/>
      </c>
      <c r="AB687" s="2" t="str">
        <f t="shared" si="167"/>
        <v/>
      </c>
      <c r="AC687" s="2" t="str">
        <f t="shared" si="168"/>
        <v/>
      </c>
      <c r="AD687" s="2" t="str">
        <f t="shared" si="169"/>
        <v>(0)</v>
      </c>
      <c r="AE687" s="2" t="str">
        <f t="shared" si="170"/>
        <v/>
      </c>
      <c r="AF687" s="2" t="str">
        <f t="shared" si="171"/>
        <v/>
      </c>
      <c r="AG687" s="2" t="str">
        <f t="shared" si="172"/>
        <v/>
      </c>
      <c r="AH687" s="2" t="str">
        <f t="shared" si="173"/>
        <v/>
      </c>
    </row>
    <row r="688" spans="2:34" x14ac:dyDescent="0.25">
      <c r="B688" s="2" t="s">
        <v>1056</v>
      </c>
      <c r="D688" s="2" t="s">
        <v>1</v>
      </c>
      <c r="E688" s="2" t="s">
        <v>134</v>
      </c>
      <c r="F688" s="2" t="s">
        <v>1057</v>
      </c>
      <c r="G688" s="2" t="s">
        <v>1058</v>
      </c>
      <c r="H688" s="2" t="s">
        <v>596</v>
      </c>
      <c r="I688" s="2" t="s">
        <v>42</v>
      </c>
      <c r="J688" s="2">
        <v>1</v>
      </c>
      <c r="K688" s="2" t="s">
        <v>82</v>
      </c>
      <c r="L688" s="2" t="s">
        <v>41</v>
      </c>
      <c r="M688" s="2" t="s">
        <v>135</v>
      </c>
      <c r="N688" s="2" t="s">
        <v>1059</v>
      </c>
      <c r="O688" s="2" t="s">
        <v>597</v>
      </c>
      <c r="P688" s="2" t="s">
        <v>5</v>
      </c>
      <c r="Q688" s="2">
        <f>INDEX(Tables!$C$4:$C$28,MATCH($P688,Tables!$B$4:$B$28,0))</f>
        <v>32</v>
      </c>
      <c r="R688" s="2">
        <f>INDEX(Tables!$D$4:$D$28,MATCH($P688,Tables!$B$4:$B$28,0))</f>
        <v>4</v>
      </c>
      <c r="S688" s="2">
        <f>$S687+$R687+INDEX(Tables!$N$5:$Q$8,MATCH(MOD($S687+$R687,4),Tables!$M$5:$M$8,0),MATCH($R688,Tables!$N$4:$Q$4,0))</f>
        <v>2408</v>
      </c>
      <c r="T688" s="2" t="str">
        <f t="shared" si="159"/>
        <v>0968</v>
      </c>
      <c r="U688" s="2">
        <f t="shared" si="165"/>
        <v>602</v>
      </c>
      <c r="V688" s="2" t="str">
        <f t="shared" si="160"/>
        <v>25A</v>
      </c>
      <c r="W688" s="2" t="str">
        <f t="shared" si="161"/>
        <v/>
      </c>
      <c r="X688" s="2" t="str">
        <f t="shared" si="162"/>
        <v/>
      </c>
      <c r="Y688" s="2" t="str">
        <f t="shared" si="163"/>
        <v/>
      </c>
      <c r="Z688" s="2" t="str">
        <f t="shared" si="164"/>
        <v>X</v>
      </c>
      <c r="AA688" s="2" t="str">
        <f t="shared" si="166"/>
        <v/>
      </c>
      <c r="AB688" s="2" t="str">
        <f t="shared" si="167"/>
        <v/>
      </c>
      <c r="AC688" s="2" t="str">
        <f t="shared" si="168"/>
        <v/>
      </c>
      <c r="AD688" s="2" t="str">
        <f t="shared" si="169"/>
        <v>(0)</v>
      </c>
      <c r="AE688" s="2" t="str">
        <f t="shared" si="170"/>
        <v/>
      </c>
      <c r="AF688" s="2" t="str">
        <f t="shared" si="171"/>
        <v/>
      </c>
      <c r="AG688" s="2" t="str">
        <f t="shared" si="172"/>
        <v/>
      </c>
      <c r="AH688" s="2" t="str">
        <f t="shared" si="173"/>
        <v/>
      </c>
    </row>
    <row r="689" spans="2:34" x14ac:dyDescent="0.25">
      <c r="B689" s="2" t="s">
        <v>1056</v>
      </c>
      <c r="D689" s="2" t="s">
        <v>1</v>
      </c>
      <c r="E689" s="2" t="s">
        <v>134</v>
      </c>
      <c r="F689" s="2" t="s">
        <v>1057</v>
      </c>
      <c r="G689" s="2" t="s">
        <v>1058</v>
      </c>
      <c r="H689" s="2" t="s">
        <v>598</v>
      </c>
      <c r="I689" s="2" t="s">
        <v>42</v>
      </c>
      <c r="J689" s="2">
        <v>1</v>
      </c>
      <c r="K689" s="2" t="s">
        <v>82</v>
      </c>
      <c r="L689" s="2" t="s">
        <v>41</v>
      </c>
      <c r="M689" s="2" t="s">
        <v>135</v>
      </c>
      <c r="N689" s="2" t="s">
        <v>1059</v>
      </c>
      <c r="O689" s="2" t="s">
        <v>599</v>
      </c>
      <c r="P689" s="2" t="s">
        <v>5</v>
      </c>
      <c r="Q689" s="2">
        <f>INDEX(Tables!$C$4:$C$28,MATCH($P689,Tables!$B$4:$B$28,0))</f>
        <v>32</v>
      </c>
      <c r="R689" s="2">
        <f>INDEX(Tables!$D$4:$D$28,MATCH($P689,Tables!$B$4:$B$28,0))</f>
        <v>4</v>
      </c>
      <c r="S689" s="2">
        <f>$S688+$R688+INDEX(Tables!$N$5:$Q$8,MATCH(MOD($S688+$R688,4),Tables!$M$5:$M$8,0),MATCH($R689,Tables!$N$4:$Q$4,0))</f>
        <v>2412</v>
      </c>
      <c r="T689" s="2" t="str">
        <f t="shared" si="159"/>
        <v>096C</v>
      </c>
      <c r="U689" s="2">
        <f t="shared" si="165"/>
        <v>603</v>
      </c>
      <c r="V689" s="2" t="str">
        <f t="shared" si="160"/>
        <v>25B</v>
      </c>
      <c r="W689" s="2" t="str">
        <f t="shared" si="161"/>
        <v/>
      </c>
      <c r="X689" s="2" t="str">
        <f t="shared" si="162"/>
        <v/>
      </c>
      <c r="Y689" s="2" t="str">
        <f t="shared" si="163"/>
        <v/>
      </c>
      <c r="Z689" s="2" t="str">
        <f t="shared" si="164"/>
        <v>X</v>
      </c>
      <c r="AA689" s="2" t="str">
        <f t="shared" si="166"/>
        <v/>
      </c>
      <c r="AB689" s="2" t="str">
        <f t="shared" si="167"/>
        <v/>
      </c>
      <c r="AC689" s="2" t="str">
        <f t="shared" si="168"/>
        <v/>
      </c>
      <c r="AD689" s="2" t="str">
        <f t="shared" si="169"/>
        <v>(0)</v>
      </c>
      <c r="AE689" s="2" t="str">
        <f t="shared" si="170"/>
        <v/>
      </c>
      <c r="AF689" s="2" t="str">
        <f t="shared" si="171"/>
        <v/>
      </c>
      <c r="AG689" s="2" t="str">
        <f t="shared" si="172"/>
        <v/>
      </c>
      <c r="AH689" s="2" t="str">
        <f t="shared" si="173"/>
        <v/>
      </c>
    </row>
    <row r="690" spans="2:34" x14ac:dyDescent="0.25">
      <c r="B690" s="2" t="s">
        <v>1056</v>
      </c>
      <c r="D690" s="2" t="s">
        <v>1</v>
      </c>
      <c r="E690" s="2" t="s">
        <v>134</v>
      </c>
      <c r="F690" s="2" t="s">
        <v>1057</v>
      </c>
      <c r="G690" s="2" t="s">
        <v>1058</v>
      </c>
      <c r="H690" s="2" t="s">
        <v>600</v>
      </c>
      <c r="I690" s="2" t="s">
        <v>42</v>
      </c>
      <c r="J690" s="2">
        <v>1</v>
      </c>
      <c r="K690" s="2" t="s">
        <v>136</v>
      </c>
      <c r="L690" s="2" t="s">
        <v>41</v>
      </c>
      <c r="M690" s="2" t="s">
        <v>135</v>
      </c>
      <c r="N690" s="2" t="s">
        <v>1059</v>
      </c>
      <c r="O690" s="2" t="s">
        <v>601</v>
      </c>
      <c r="P690" s="2" t="s">
        <v>5</v>
      </c>
      <c r="Q690" s="2">
        <f>INDEX(Tables!$C$4:$C$28,MATCH($P690,Tables!$B$4:$B$28,0))</f>
        <v>32</v>
      </c>
      <c r="R690" s="2">
        <f>INDEX(Tables!$D$4:$D$28,MATCH($P690,Tables!$B$4:$B$28,0))</f>
        <v>4</v>
      </c>
      <c r="S690" s="2">
        <f>$S689+$R689+INDEX(Tables!$N$5:$Q$8,MATCH(MOD($S689+$R689,4),Tables!$M$5:$M$8,0),MATCH($R690,Tables!$N$4:$Q$4,0))</f>
        <v>2416</v>
      </c>
      <c r="T690" s="2" t="str">
        <f t="shared" si="159"/>
        <v>0970</v>
      </c>
      <c r="U690" s="2">
        <f t="shared" si="165"/>
        <v>604</v>
      </c>
      <c r="V690" s="2" t="str">
        <f t="shared" si="160"/>
        <v>25C</v>
      </c>
      <c r="W690" s="2" t="str">
        <f t="shared" si="161"/>
        <v/>
      </c>
      <c r="X690" s="2" t="str">
        <f t="shared" si="162"/>
        <v/>
      </c>
      <c r="Y690" s="2" t="str">
        <f t="shared" si="163"/>
        <v/>
      </c>
      <c r="Z690" s="2" t="str">
        <f t="shared" si="164"/>
        <v>X</v>
      </c>
      <c r="AA690" s="2" t="str">
        <f t="shared" si="166"/>
        <v/>
      </c>
      <c r="AB690" s="2" t="str">
        <f t="shared" si="167"/>
        <v/>
      </c>
      <c r="AC690" s="2" t="str">
        <f t="shared" si="168"/>
        <v/>
      </c>
      <c r="AD690" s="2" t="str">
        <f t="shared" si="169"/>
        <v>(0)</v>
      </c>
      <c r="AE690" s="2" t="str">
        <f t="shared" si="170"/>
        <v/>
      </c>
      <c r="AF690" s="2" t="str">
        <f t="shared" si="171"/>
        <v/>
      </c>
      <c r="AG690" s="2" t="str">
        <f t="shared" si="172"/>
        <v/>
      </c>
      <c r="AH690" s="2" t="str">
        <f t="shared" si="173"/>
        <v/>
      </c>
    </row>
    <row r="691" spans="2:34" x14ac:dyDescent="0.25">
      <c r="B691" s="2" t="s">
        <v>1056</v>
      </c>
      <c r="D691" s="2" t="s">
        <v>1</v>
      </c>
      <c r="E691" s="2" t="s">
        <v>134</v>
      </c>
      <c r="F691" s="2" t="s">
        <v>1057</v>
      </c>
      <c r="G691" s="2" t="s">
        <v>1058</v>
      </c>
      <c r="H691" s="2" t="s">
        <v>602</v>
      </c>
      <c r="I691" s="2" t="s">
        <v>42</v>
      </c>
      <c r="J691" s="2">
        <v>1</v>
      </c>
      <c r="K691" s="2" t="s">
        <v>136</v>
      </c>
      <c r="L691" s="2" t="s">
        <v>41</v>
      </c>
      <c r="M691" s="2" t="s">
        <v>135</v>
      </c>
      <c r="N691" s="2" t="s">
        <v>1059</v>
      </c>
      <c r="O691" s="2" t="s">
        <v>603</v>
      </c>
      <c r="P691" s="2" t="s">
        <v>5</v>
      </c>
      <c r="Q691" s="2">
        <f>INDEX(Tables!$C$4:$C$28,MATCH($P691,Tables!$B$4:$B$28,0))</f>
        <v>32</v>
      </c>
      <c r="R691" s="2">
        <f>INDEX(Tables!$D$4:$D$28,MATCH($P691,Tables!$B$4:$B$28,0))</f>
        <v>4</v>
      </c>
      <c r="S691" s="2">
        <f>$S690+$R690+INDEX(Tables!$N$5:$Q$8,MATCH(MOD($S690+$R690,4),Tables!$M$5:$M$8,0),MATCH($R691,Tables!$N$4:$Q$4,0))</f>
        <v>2420</v>
      </c>
      <c r="T691" s="2" t="str">
        <f t="shared" si="159"/>
        <v>0974</v>
      </c>
      <c r="U691" s="2">
        <f t="shared" si="165"/>
        <v>605</v>
      </c>
      <c r="V691" s="2" t="str">
        <f t="shared" si="160"/>
        <v>25D</v>
      </c>
      <c r="W691" s="2" t="str">
        <f t="shared" si="161"/>
        <v/>
      </c>
      <c r="X691" s="2" t="str">
        <f t="shared" si="162"/>
        <v/>
      </c>
      <c r="Y691" s="2" t="str">
        <f t="shared" si="163"/>
        <v/>
      </c>
      <c r="Z691" s="2" t="str">
        <f t="shared" si="164"/>
        <v>X</v>
      </c>
      <c r="AA691" s="2" t="str">
        <f t="shared" si="166"/>
        <v/>
      </c>
      <c r="AB691" s="2" t="str">
        <f t="shared" si="167"/>
        <v/>
      </c>
      <c r="AC691" s="2" t="str">
        <f t="shared" si="168"/>
        <v/>
      </c>
      <c r="AD691" s="2" t="str">
        <f t="shared" si="169"/>
        <v>(0)</v>
      </c>
      <c r="AE691" s="2" t="str">
        <f t="shared" si="170"/>
        <v/>
      </c>
      <c r="AF691" s="2" t="str">
        <f t="shared" si="171"/>
        <v/>
      </c>
      <c r="AG691" s="2" t="str">
        <f t="shared" si="172"/>
        <v/>
      </c>
      <c r="AH691" s="2" t="str">
        <f t="shared" si="173"/>
        <v/>
      </c>
    </row>
    <row r="692" spans="2:34" x14ac:dyDescent="0.25">
      <c r="B692" s="2" t="s">
        <v>1056</v>
      </c>
      <c r="D692" s="2" t="s">
        <v>1</v>
      </c>
      <c r="E692" s="2" t="s">
        <v>134</v>
      </c>
      <c r="F692" s="2" t="s">
        <v>1057</v>
      </c>
      <c r="G692" s="2" t="s">
        <v>1058</v>
      </c>
      <c r="H692" s="2" t="s">
        <v>604</v>
      </c>
      <c r="I692" s="2" t="s">
        <v>42</v>
      </c>
      <c r="J692" s="2">
        <v>1</v>
      </c>
      <c r="K692" s="2" t="s">
        <v>82</v>
      </c>
      <c r="L692" s="2" t="s">
        <v>41</v>
      </c>
      <c r="M692" s="2" t="s">
        <v>135</v>
      </c>
      <c r="N692" s="2" t="s">
        <v>1059</v>
      </c>
      <c r="O692" s="2" t="s">
        <v>605</v>
      </c>
      <c r="P692" s="2" t="s">
        <v>5</v>
      </c>
      <c r="Q692" s="2">
        <f>INDEX(Tables!$C$4:$C$28,MATCH($P692,Tables!$B$4:$B$28,0))</f>
        <v>32</v>
      </c>
      <c r="R692" s="2">
        <f>INDEX(Tables!$D$4:$D$28,MATCH($P692,Tables!$B$4:$B$28,0))</f>
        <v>4</v>
      </c>
      <c r="S692" s="2">
        <f>$S691+$R691+INDEX(Tables!$N$5:$Q$8,MATCH(MOD($S691+$R691,4),Tables!$M$5:$M$8,0),MATCH($R692,Tables!$N$4:$Q$4,0))</f>
        <v>2424</v>
      </c>
      <c r="T692" s="2" t="str">
        <f t="shared" si="159"/>
        <v>0978</v>
      </c>
      <c r="U692" s="2">
        <f t="shared" si="165"/>
        <v>606</v>
      </c>
      <c r="V692" s="2" t="str">
        <f t="shared" si="160"/>
        <v>25E</v>
      </c>
      <c r="W692" s="2" t="str">
        <f t="shared" si="161"/>
        <v/>
      </c>
      <c r="X692" s="2" t="str">
        <f t="shared" si="162"/>
        <v/>
      </c>
      <c r="Y692" s="2" t="str">
        <f t="shared" si="163"/>
        <v/>
      </c>
      <c r="Z692" s="2" t="str">
        <f t="shared" si="164"/>
        <v>X</v>
      </c>
      <c r="AA692" s="2" t="str">
        <f t="shared" si="166"/>
        <v/>
      </c>
      <c r="AB692" s="2" t="str">
        <f t="shared" si="167"/>
        <v/>
      </c>
      <c r="AC692" s="2" t="str">
        <f t="shared" si="168"/>
        <v/>
      </c>
      <c r="AD692" s="2" t="str">
        <f t="shared" si="169"/>
        <v>(0)</v>
      </c>
      <c r="AE692" s="2" t="str">
        <f t="shared" si="170"/>
        <v/>
      </c>
      <c r="AF692" s="2" t="str">
        <f t="shared" si="171"/>
        <v/>
      </c>
      <c r="AG692" s="2" t="str">
        <f t="shared" si="172"/>
        <v/>
      </c>
      <c r="AH692" s="2" t="str">
        <f t="shared" si="173"/>
        <v/>
      </c>
    </row>
    <row r="693" spans="2:34" x14ac:dyDescent="0.25">
      <c r="B693" s="2" t="s">
        <v>1056</v>
      </c>
      <c r="D693" s="2" t="s">
        <v>1</v>
      </c>
      <c r="E693" s="2" t="s">
        <v>134</v>
      </c>
      <c r="F693" s="2" t="s">
        <v>1057</v>
      </c>
      <c r="G693" s="2" t="s">
        <v>1058</v>
      </c>
      <c r="H693" s="2" t="s">
        <v>606</v>
      </c>
      <c r="I693" s="2" t="s">
        <v>42</v>
      </c>
      <c r="J693" s="2">
        <v>1</v>
      </c>
      <c r="K693" s="2" t="s">
        <v>82</v>
      </c>
      <c r="L693" s="2" t="s">
        <v>41</v>
      </c>
      <c r="M693" s="2" t="s">
        <v>135</v>
      </c>
      <c r="N693" s="2" t="s">
        <v>1059</v>
      </c>
      <c r="O693" s="2" t="s">
        <v>607</v>
      </c>
      <c r="P693" s="2" t="s">
        <v>5</v>
      </c>
      <c r="Q693" s="2">
        <f>INDEX(Tables!$C$4:$C$28,MATCH($P693,Tables!$B$4:$B$28,0))</f>
        <v>32</v>
      </c>
      <c r="R693" s="2">
        <f>INDEX(Tables!$D$4:$D$28,MATCH($P693,Tables!$B$4:$B$28,0))</f>
        <v>4</v>
      </c>
      <c r="S693" s="2">
        <f>$S692+$R692+INDEX(Tables!$N$5:$Q$8,MATCH(MOD($S692+$R692,4),Tables!$M$5:$M$8,0),MATCH($R693,Tables!$N$4:$Q$4,0))</f>
        <v>2428</v>
      </c>
      <c r="T693" s="2" t="str">
        <f t="shared" si="159"/>
        <v>097C</v>
      </c>
      <c r="U693" s="2">
        <f t="shared" si="165"/>
        <v>607</v>
      </c>
      <c r="V693" s="2" t="str">
        <f t="shared" si="160"/>
        <v>25F</v>
      </c>
      <c r="W693" s="2" t="str">
        <f t="shared" si="161"/>
        <v/>
      </c>
      <c r="X693" s="2" t="str">
        <f t="shared" si="162"/>
        <v/>
      </c>
      <c r="Y693" s="2" t="str">
        <f t="shared" si="163"/>
        <v/>
      </c>
      <c r="Z693" s="2" t="str">
        <f t="shared" si="164"/>
        <v>X</v>
      </c>
      <c r="AA693" s="2" t="str">
        <f t="shared" si="166"/>
        <v/>
      </c>
      <c r="AB693" s="2" t="str">
        <f t="shared" si="167"/>
        <v/>
      </c>
      <c r="AC693" s="2" t="str">
        <f t="shared" si="168"/>
        <v/>
      </c>
      <c r="AD693" s="2" t="str">
        <f t="shared" si="169"/>
        <v>(0)</v>
      </c>
      <c r="AE693" s="2" t="str">
        <f t="shared" si="170"/>
        <v/>
      </c>
      <c r="AF693" s="2" t="str">
        <f t="shared" si="171"/>
        <v/>
      </c>
      <c r="AG693" s="2" t="str">
        <f t="shared" si="172"/>
        <v/>
      </c>
      <c r="AH693" s="2" t="str">
        <f t="shared" si="173"/>
        <v/>
      </c>
    </row>
    <row r="694" spans="2:34" x14ac:dyDescent="0.25">
      <c r="B694" s="2" t="s">
        <v>1056</v>
      </c>
      <c r="D694" s="2" t="s">
        <v>1</v>
      </c>
      <c r="E694" s="2" t="s">
        <v>134</v>
      </c>
      <c r="F694" s="2" t="s">
        <v>1057</v>
      </c>
      <c r="G694" s="2" t="s">
        <v>1058</v>
      </c>
      <c r="H694" s="2" t="s">
        <v>608</v>
      </c>
      <c r="I694" s="2" t="s">
        <v>42</v>
      </c>
      <c r="J694" s="2">
        <v>1</v>
      </c>
      <c r="K694" s="2" t="s">
        <v>136</v>
      </c>
      <c r="L694" s="2" t="s">
        <v>41</v>
      </c>
      <c r="M694" s="2" t="s">
        <v>135</v>
      </c>
      <c r="N694" s="2" t="s">
        <v>1059</v>
      </c>
      <c r="O694" s="2" t="s">
        <v>609</v>
      </c>
      <c r="P694" s="2" t="s">
        <v>5</v>
      </c>
      <c r="Q694" s="2">
        <f>INDEX(Tables!$C$4:$C$28,MATCH($P694,Tables!$B$4:$B$28,0))</f>
        <v>32</v>
      </c>
      <c r="R694" s="2">
        <f>INDEX(Tables!$D$4:$D$28,MATCH($P694,Tables!$B$4:$B$28,0))</f>
        <v>4</v>
      </c>
      <c r="S694" s="2">
        <f>$S693+$R693+INDEX(Tables!$N$5:$Q$8,MATCH(MOD($S693+$R693,4),Tables!$M$5:$M$8,0),MATCH($R694,Tables!$N$4:$Q$4,0))</f>
        <v>2432</v>
      </c>
      <c r="T694" s="2" t="str">
        <f t="shared" si="159"/>
        <v>0980</v>
      </c>
      <c r="U694" s="2">
        <f t="shared" si="165"/>
        <v>608</v>
      </c>
      <c r="V694" s="2" t="str">
        <f t="shared" si="160"/>
        <v>260</v>
      </c>
      <c r="W694" s="2" t="str">
        <f t="shared" si="161"/>
        <v/>
      </c>
      <c r="X694" s="2" t="str">
        <f t="shared" si="162"/>
        <v/>
      </c>
      <c r="Y694" s="2" t="str">
        <f t="shared" si="163"/>
        <v/>
      </c>
      <c r="Z694" s="2" t="str">
        <f t="shared" si="164"/>
        <v>X</v>
      </c>
      <c r="AA694" s="2" t="str">
        <f t="shared" si="166"/>
        <v/>
      </c>
      <c r="AB694" s="2" t="str">
        <f t="shared" si="167"/>
        <v/>
      </c>
      <c r="AC694" s="2" t="str">
        <f t="shared" si="168"/>
        <v/>
      </c>
      <c r="AD694" s="2" t="str">
        <f t="shared" si="169"/>
        <v>(0)</v>
      </c>
      <c r="AE694" s="2" t="str">
        <f t="shared" si="170"/>
        <v/>
      </c>
      <c r="AF694" s="2" t="str">
        <f t="shared" si="171"/>
        <v/>
      </c>
      <c r="AG694" s="2" t="str">
        <f t="shared" si="172"/>
        <v/>
      </c>
      <c r="AH694" s="2" t="str">
        <f t="shared" si="173"/>
        <v/>
      </c>
    </row>
    <row r="695" spans="2:34" x14ac:dyDescent="0.25">
      <c r="B695" s="2" t="s">
        <v>1056</v>
      </c>
      <c r="D695" s="2" t="s">
        <v>1</v>
      </c>
      <c r="E695" s="2" t="s">
        <v>134</v>
      </c>
      <c r="F695" s="2" t="s">
        <v>1057</v>
      </c>
      <c r="G695" s="2" t="s">
        <v>1058</v>
      </c>
      <c r="H695" s="2" t="s">
        <v>610</v>
      </c>
      <c r="I695" s="2" t="s">
        <v>42</v>
      </c>
      <c r="J695" s="2">
        <v>1</v>
      </c>
      <c r="K695" s="2" t="s">
        <v>136</v>
      </c>
      <c r="L695" s="2" t="s">
        <v>41</v>
      </c>
      <c r="M695" s="2" t="s">
        <v>135</v>
      </c>
      <c r="N695" s="2" t="s">
        <v>1059</v>
      </c>
      <c r="O695" s="2" t="s">
        <v>611</v>
      </c>
      <c r="P695" s="2" t="s">
        <v>5</v>
      </c>
      <c r="Q695" s="2">
        <f>INDEX(Tables!$C$4:$C$28,MATCH($P695,Tables!$B$4:$B$28,0))</f>
        <v>32</v>
      </c>
      <c r="R695" s="2">
        <f>INDEX(Tables!$D$4:$D$28,MATCH($P695,Tables!$B$4:$B$28,0))</f>
        <v>4</v>
      </c>
      <c r="S695" s="2">
        <f>$S694+$R694+INDEX(Tables!$N$5:$Q$8,MATCH(MOD($S694+$R694,4),Tables!$M$5:$M$8,0),MATCH($R695,Tables!$N$4:$Q$4,0))</f>
        <v>2436</v>
      </c>
      <c r="T695" s="2" t="str">
        <f t="shared" si="159"/>
        <v>0984</v>
      </c>
      <c r="U695" s="2">
        <f t="shared" si="165"/>
        <v>609</v>
      </c>
      <c r="V695" s="2" t="str">
        <f t="shared" si="160"/>
        <v>261</v>
      </c>
      <c r="W695" s="2" t="str">
        <f t="shared" si="161"/>
        <v/>
      </c>
      <c r="X695" s="2" t="str">
        <f t="shared" si="162"/>
        <v/>
      </c>
      <c r="Y695" s="2" t="str">
        <f t="shared" si="163"/>
        <v/>
      </c>
      <c r="Z695" s="2" t="str">
        <f t="shared" si="164"/>
        <v>X</v>
      </c>
      <c r="AA695" s="2" t="str">
        <f t="shared" si="166"/>
        <v/>
      </c>
      <c r="AB695" s="2" t="str">
        <f t="shared" si="167"/>
        <v/>
      </c>
      <c r="AC695" s="2" t="str">
        <f t="shared" si="168"/>
        <v/>
      </c>
      <c r="AD695" s="2" t="str">
        <f t="shared" si="169"/>
        <v>(0)</v>
      </c>
      <c r="AE695" s="2" t="str">
        <f t="shared" si="170"/>
        <v/>
      </c>
      <c r="AF695" s="2" t="str">
        <f t="shared" si="171"/>
        <v/>
      </c>
      <c r="AG695" s="2" t="str">
        <f t="shared" si="172"/>
        <v/>
      </c>
      <c r="AH695" s="2" t="str">
        <f t="shared" si="173"/>
        <v/>
      </c>
    </row>
    <row r="696" spans="2:34" x14ac:dyDescent="0.25">
      <c r="B696" s="2" t="s">
        <v>1056</v>
      </c>
      <c r="D696" s="2" t="s">
        <v>1</v>
      </c>
      <c r="E696" s="2" t="s">
        <v>134</v>
      </c>
      <c r="F696" s="2" t="s">
        <v>1057</v>
      </c>
      <c r="G696" s="2" t="s">
        <v>1058</v>
      </c>
      <c r="H696" s="2" t="s">
        <v>612</v>
      </c>
      <c r="I696" s="2" t="s">
        <v>42</v>
      </c>
      <c r="J696" s="2">
        <v>1</v>
      </c>
      <c r="K696" s="2" t="s">
        <v>136</v>
      </c>
      <c r="L696" s="2" t="s">
        <v>41</v>
      </c>
      <c r="M696" s="2" t="s">
        <v>135</v>
      </c>
      <c r="N696" s="2" t="s">
        <v>1059</v>
      </c>
      <c r="O696" s="2" t="s">
        <v>613</v>
      </c>
      <c r="P696" s="2" t="s">
        <v>5</v>
      </c>
      <c r="Q696" s="2">
        <f>INDEX(Tables!$C$4:$C$28,MATCH($P696,Tables!$B$4:$B$28,0))</f>
        <v>32</v>
      </c>
      <c r="R696" s="2">
        <f>INDEX(Tables!$D$4:$D$28,MATCH($P696,Tables!$B$4:$B$28,0))</f>
        <v>4</v>
      </c>
      <c r="S696" s="2">
        <f>$S695+$R695+INDEX(Tables!$N$5:$Q$8,MATCH(MOD($S695+$R695,4),Tables!$M$5:$M$8,0),MATCH($R696,Tables!$N$4:$Q$4,0))</f>
        <v>2440</v>
      </c>
      <c r="T696" s="2" t="str">
        <f t="shared" si="159"/>
        <v>0988</v>
      </c>
      <c r="U696" s="2">
        <f t="shared" si="165"/>
        <v>610</v>
      </c>
      <c r="V696" s="2" t="str">
        <f t="shared" si="160"/>
        <v>262</v>
      </c>
      <c r="W696" s="2" t="str">
        <f t="shared" si="161"/>
        <v/>
      </c>
      <c r="X696" s="2" t="str">
        <f t="shared" si="162"/>
        <v/>
      </c>
      <c r="Y696" s="2" t="str">
        <f t="shared" si="163"/>
        <v/>
      </c>
      <c r="Z696" s="2" t="str">
        <f t="shared" si="164"/>
        <v>X</v>
      </c>
      <c r="AA696" s="2" t="str">
        <f t="shared" si="166"/>
        <v/>
      </c>
      <c r="AB696" s="2" t="str">
        <f t="shared" si="167"/>
        <v/>
      </c>
      <c r="AC696" s="2" t="str">
        <f t="shared" si="168"/>
        <v/>
      </c>
      <c r="AD696" s="2" t="str">
        <f t="shared" si="169"/>
        <v>(0)</v>
      </c>
      <c r="AE696" s="2" t="str">
        <f t="shared" si="170"/>
        <v/>
      </c>
      <c r="AF696" s="2" t="str">
        <f t="shared" si="171"/>
        <v/>
      </c>
      <c r="AG696" s="2" t="str">
        <f t="shared" si="172"/>
        <v/>
      </c>
      <c r="AH696" s="2" t="str">
        <f t="shared" si="173"/>
        <v/>
      </c>
    </row>
    <row r="697" spans="2:34" x14ac:dyDescent="0.25">
      <c r="B697" s="2" t="s">
        <v>1056</v>
      </c>
      <c r="D697" s="2" t="s">
        <v>1</v>
      </c>
      <c r="E697" s="2" t="s">
        <v>134</v>
      </c>
      <c r="F697" s="2" t="s">
        <v>1057</v>
      </c>
      <c r="G697" s="2" t="s">
        <v>1058</v>
      </c>
      <c r="H697" s="2" t="s">
        <v>614</v>
      </c>
      <c r="I697" s="2" t="s">
        <v>42</v>
      </c>
      <c r="J697" s="2">
        <v>1</v>
      </c>
      <c r="K697" s="2" t="s">
        <v>136</v>
      </c>
      <c r="L697" s="2" t="s">
        <v>41</v>
      </c>
      <c r="M697" s="2" t="s">
        <v>135</v>
      </c>
      <c r="N697" s="2" t="s">
        <v>1059</v>
      </c>
      <c r="O697" s="2" t="s">
        <v>615</v>
      </c>
      <c r="P697" s="2" t="s">
        <v>5</v>
      </c>
      <c r="Q697" s="2">
        <f>INDEX(Tables!$C$4:$C$28,MATCH($P697,Tables!$B$4:$B$28,0))</f>
        <v>32</v>
      </c>
      <c r="R697" s="2">
        <f>INDEX(Tables!$D$4:$D$28,MATCH($P697,Tables!$B$4:$B$28,0))</f>
        <v>4</v>
      </c>
      <c r="S697" s="2">
        <f>$S696+$R696+INDEX(Tables!$N$5:$Q$8,MATCH(MOD($S696+$R696,4),Tables!$M$5:$M$8,0),MATCH($R697,Tables!$N$4:$Q$4,0))</f>
        <v>2444</v>
      </c>
      <c r="T697" s="2" t="str">
        <f t="shared" si="159"/>
        <v>098C</v>
      </c>
      <c r="U697" s="2">
        <f t="shared" si="165"/>
        <v>611</v>
      </c>
      <c r="V697" s="2" t="str">
        <f t="shared" si="160"/>
        <v>263</v>
      </c>
      <c r="W697" s="2" t="str">
        <f t="shared" si="161"/>
        <v/>
      </c>
      <c r="X697" s="2" t="str">
        <f t="shared" si="162"/>
        <v/>
      </c>
      <c r="Y697" s="2" t="str">
        <f t="shared" si="163"/>
        <v/>
      </c>
      <c r="Z697" s="2" t="str">
        <f t="shared" si="164"/>
        <v>X</v>
      </c>
      <c r="AA697" s="2" t="str">
        <f t="shared" si="166"/>
        <v/>
      </c>
      <c r="AB697" s="2" t="str">
        <f t="shared" si="167"/>
        <v/>
      </c>
      <c r="AC697" s="2" t="str">
        <f t="shared" si="168"/>
        <v/>
      </c>
      <c r="AD697" s="2" t="str">
        <f t="shared" si="169"/>
        <v>(0)</v>
      </c>
      <c r="AE697" s="2" t="str">
        <f t="shared" si="170"/>
        <v/>
      </c>
      <c r="AF697" s="2" t="str">
        <f t="shared" si="171"/>
        <v/>
      </c>
      <c r="AG697" s="2" t="str">
        <f t="shared" si="172"/>
        <v/>
      </c>
      <c r="AH697" s="2" t="str">
        <f t="shared" si="173"/>
        <v/>
      </c>
    </row>
    <row r="698" spans="2:34" x14ac:dyDescent="0.25">
      <c r="B698" s="2" t="s">
        <v>1056</v>
      </c>
      <c r="D698" s="2" t="s">
        <v>1</v>
      </c>
      <c r="E698" s="2" t="s">
        <v>134</v>
      </c>
      <c r="F698" s="2" t="s">
        <v>1057</v>
      </c>
      <c r="G698" s="2" t="s">
        <v>1058</v>
      </c>
      <c r="H698" s="2" t="s">
        <v>616</v>
      </c>
      <c r="I698" s="2" t="s">
        <v>42</v>
      </c>
      <c r="J698" s="2">
        <v>1</v>
      </c>
      <c r="K698" s="2" t="s">
        <v>82</v>
      </c>
      <c r="L698" s="2" t="s">
        <v>41</v>
      </c>
      <c r="M698" s="2" t="s">
        <v>135</v>
      </c>
      <c r="N698" s="2" t="s">
        <v>1059</v>
      </c>
      <c r="O698" s="2" t="s">
        <v>617</v>
      </c>
      <c r="P698" s="2" t="s">
        <v>5</v>
      </c>
      <c r="Q698" s="2">
        <f>INDEX(Tables!$C$4:$C$28,MATCH($P698,Tables!$B$4:$B$28,0))</f>
        <v>32</v>
      </c>
      <c r="R698" s="2">
        <f>INDEX(Tables!$D$4:$D$28,MATCH($P698,Tables!$B$4:$B$28,0))</f>
        <v>4</v>
      </c>
      <c r="S698" s="2">
        <f>$S697+$R697+INDEX(Tables!$N$5:$Q$8,MATCH(MOD($S697+$R697,4),Tables!$M$5:$M$8,0),MATCH($R698,Tables!$N$4:$Q$4,0))</f>
        <v>2448</v>
      </c>
      <c r="T698" s="2" t="str">
        <f t="shared" si="159"/>
        <v>0990</v>
      </c>
      <c r="U698" s="2">
        <f t="shared" si="165"/>
        <v>612</v>
      </c>
      <c r="V698" s="2" t="str">
        <f t="shared" si="160"/>
        <v>264</v>
      </c>
      <c r="W698" s="2" t="str">
        <f t="shared" si="161"/>
        <v/>
      </c>
      <c r="X698" s="2" t="str">
        <f t="shared" si="162"/>
        <v/>
      </c>
      <c r="Y698" s="2" t="str">
        <f t="shared" si="163"/>
        <v/>
      </c>
      <c r="Z698" s="2" t="str">
        <f t="shared" si="164"/>
        <v>X</v>
      </c>
      <c r="AA698" s="2" t="str">
        <f t="shared" si="166"/>
        <v/>
      </c>
      <c r="AB698" s="2" t="str">
        <f t="shared" si="167"/>
        <v/>
      </c>
      <c r="AC698" s="2" t="str">
        <f t="shared" si="168"/>
        <v/>
      </c>
      <c r="AD698" s="2" t="str">
        <f t="shared" si="169"/>
        <v>(0)</v>
      </c>
      <c r="AE698" s="2" t="str">
        <f t="shared" si="170"/>
        <v/>
      </c>
      <c r="AF698" s="2" t="str">
        <f t="shared" si="171"/>
        <v/>
      </c>
      <c r="AG698" s="2" t="str">
        <f t="shared" si="172"/>
        <v/>
      </c>
      <c r="AH698" s="2" t="str">
        <f t="shared" si="173"/>
        <v/>
      </c>
    </row>
    <row r="699" spans="2:34" x14ac:dyDescent="0.25">
      <c r="B699" s="2" t="s">
        <v>1056</v>
      </c>
      <c r="D699" s="2" t="s">
        <v>1</v>
      </c>
      <c r="E699" s="2" t="s">
        <v>134</v>
      </c>
      <c r="F699" s="2" t="s">
        <v>1057</v>
      </c>
      <c r="G699" s="2" t="s">
        <v>1058</v>
      </c>
      <c r="H699" s="2" t="s">
        <v>618</v>
      </c>
      <c r="I699" s="2" t="s">
        <v>42</v>
      </c>
      <c r="J699" s="2">
        <v>1</v>
      </c>
      <c r="K699" s="2" t="s">
        <v>82</v>
      </c>
      <c r="L699" s="2" t="s">
        <v>41</v>
      </c>
      <c r="M699" s="2" t="s">
        <v>135</v>
      </c>
      <c r="N699" s="2" t="s">
        <v>1059</v>
      </c>
      <c r="O699" s="2" t="s">
        <v>619</v>
      </c>
      <c r="P699" s="2" t="s">
        <v>5</v>
      </c>
      <c r="Q699" s="2">
        <f>INDEX(Tables!$C$4:$C$28,MATCH($P699,Tables!$B$4:$B$28,0))</f>
        <v>32</v>
      </c>
      <c r="R699" s="2">
        <f>INDEX(Tables!$D$4:$D$28,MATCH($P699,Tables!$B$4:$B$28,0))</f>
        <v>4</v>
      </c>
      <c r="S699" s="2">
        <f>$S698+$R698+INDEX(Tables!$N$5:$Q$8,MATCH(MOD($S698+$R698,4),Tables!$M$5:$M$8,0),MATCH($R699,Tables!$N$4:$Q$4,0))</f>
        <v>2452</v>
      </c>
      <c r="T699" s="2" t="str">
        <f t="shared" si="159"/>
        <v>0994</v>
      </c>
      <c r="U699" s="2">
        <f t="shared" si="165"/>
        <v>613</v>
      </c>
      <c r="V699" s="2" t="str">
        <f t="shared" si="160"/>
        <v>265</v>
      </c>
      <c r="W699" s="2" t="str">
        <f t="shared" si="161"/>
        <v/>
      </c>
      <c r="X699" s="2" t="str">
        <f t="shared" si="162"/>
        <v/>
      </c>
      <c r="Y699" s="2" t="str">
        <f t="shared" si="163"/>
        <v/>
      </c>
      <c r="Z699" s="2" t="str">
        <f t="shared" si="164"/>
        <v>X</v>
      </c>
      <c r="AA699" s="2" t="str">
        <f t="shared" si="166"/>
        <v/>
      </c>
      <c r="AB699" s="2" t="str">
        <f t="shared" si="167"/>
        <v/>
      </c>
      <c r="AC699" s="2" t="str">
        <f t="shared" si="168"/>
        <v/>
      </c>
      <c r="AD699" s="2" t="str">
        <f t="shared" si="169"/>
        <v>(0)</v>
      </c>
      <c r="AE699" s="2" t="str">
        <f t="shared" si="170"/>
        <v/>
      </c>
      <c r="AF699" s="2" t="str">
        <f t="shared" si="171"/>
        <v/>
      </c>
      <c r="AG699" s="2" t="str">
        <f t="shared" si="172"/>
        <v/>
      </c>
      <c r="AH699" s="2" t="str">
        <f t="shared" si="173"/>
        <v/>
      </c>
    </row>
    <row r="700" spans="2:34" x14ac:dyDescent="0.25">
      <c r="B700" s="2" t="s">
        <v>1056</v>
      </c>
      <c r="D700" s="2" t="s">
        <v>1</v>
      </c>
      <c r="E700" s="2" t="s">
        <v>134</v>
      </c>
      <c r="F700" s="2" t="s">
        <v>1057</v>
      </c>
      <c r="G700" s="2" t="s">
        <v>1058</v>
      </c>
      <c r="H700" s="2" t="s">
        <v>620</v>
      </c>
      <c r="I700" s="2" t="s">
        <v>42</v>
      </c>
      <c r="J700" s="2">
        <v>1</v>
      </c>
      <c r="K700" s="2" t="s">
        <v>82</v>
      </c>
      <c r="L700" s="2" t="s">
        <v>41</v>
      </c>
      <c r="M700" s="2" t="s">
        <v>135</v>
      </c>
      <c r="N700" s="2" t="s">
        <v>1059</v>
      </c>
      <c r="O700" s="2" t="s">
        <v>621</v>
      </c>
      <c r="P700" s="2" t="s">
        <v>5</v>
      </c>
      <c r="Q700" s="2">
        <f>INDEX(Tables!$C$4:$C$28,MATCH($P700,Tables!$B$4:$B$28,0))</f>
        <v>32</v>
      </c>
      <c r="R700" s="2">
        <f>INDEX(Tables!$D$4:$D$28,MATCH($P700,Tables!$B$4:$B$28,0))</f>
        <v>4</v>
      </c>
      <c r="S700" s="2">
        <f>$S699+$R699+INDEX(Tables!$N$5:$Q$8,MATCH(MOD($S699+$R699,4),Tables!$M$5:$M$8,0),MATCH($R700,Tables!$N$4:$Q$4,0))</f>
        <v>2456</v>
      </c>
      <c r="T700" s="2" t="str">
        <f t="shared" si="159"/>
        <v>0998</v>
      </c>
      <c r="U700" s="2">
        <f t="shared" si="165"/>
        <v>614</v>
      </c>
      <c r="V700" s="2" t="str">
        <f t="shared" si="160"/>
        <v>266</v>
      </c>
      <c r="W700" s="2" t="str">
        <f t="shared" si="161"/>
        <v/>
      </c>
      <c r="X700" s="2" t="str">
        <f t="shared" si="162"/>
        <v/>
      </c>
      <c r="Y700" s="2" t="str">
        <f t="shared" si="163"/>
        <v/>
      </c>
      <c r="Z700" s="2" t="str">
        <f t="shared" si="164"/>
        <v>X</v>
      </c>
      <c r="AA700" s="2" t="str">
        <f t="shared" si="166"/>
        <v/>
      </c>
      <c r="AB700" s="2" t="str">
        <f t="shared" si="167"/>
        <v/>
      </c>
      <c r="AC700" s="2" t="str">
        <f t="shared" si="168"/>
        <v/>
      </c>
      <c r="AD700" s="2" t="str">
        <f t="shared" si="169"/>
        <v>(0)</v>
      </c>
      <c r="AE700" s="2" t="str">
        <f t="shared" si="170"/>
        <v/>
      </c>
      <c r="AF700" s="2" t="str">
        <f t="shared" si="171"/>
        <v/>
      </c>
      <c r="AG700" s="2" t="str">
        <f t="shared" si="172"/>
        <v/>
      </c>
      <c r="AH700" s="2" t="str">
        <f t="shared" si="173"/>
        <v/>
      </c>
    </row>
    <row r="701" spans="2:34" x14ac:dyDescent="0.25">
      <c r="B701" s="2" t="s">
        <v>1056</v>
      </c>
      <c r="D701" s="2" t="s">
        <v>1</v>
      </c>
      <c r="E701" s="2" t="s">
        <v>134</v>
      </c>
      <c r="F701" s="2" t="s">
        <v>1057</v>
      </c>
      <c r="G701" s="2" t="s">
        <v>1058</v>
      </c>
      <c r="H701" s="2" t="s">
        <v>622</v>
      </c>
      <c r="I701" s="2" t="s">
        <v>42</v>
      </c>
      <c r="J701" s="2">
        <v>1</v>
      </c>
      <c r="K701" s="2" t="s">
        <v>82</v>
      </c>
      <c r="L701" s="2" t="s">
        <v>41</v>
      </c>
      <c r="M701" s="2" t="s">
        <v>135</v>
      </c>
      <c r="N701" s="2" t="s">
        <v>1059</v>
      </c>
      <c r="O701" s="2" t="s">
        <v>623</v>
      </c>
      <c r="P701" s="2" t="s">
        <v>5</v>
      </c>
      <c r="Q701" s="2">
        <f>INDEX(Tables!$C$4:$C$28,MATCH($P701,Tables!$B$4:$B$28,0))</f>
        <v>32</v>
      </c>
      <c r="R701" s="2">
        <f>INDEX(Tables!$D$4:$D$28,MATCH($P701,Tables!$B$4:$B$28,0))</f>
        <v>4</v>
      </c>
      <c r="S701" s="2">
        <f>$S700+$R700+INDEX(Tables!$N$5:$Q$8,MATCH(MOD($S700+$R700,4),Tables!$M$5:$M$8,0),MATCH($R701,Tables!$N$4:$Q$4,0))</f>
        <v>2460</v>
      </c>
      <c r="T701" s="2" t="str">
        <f t="shared" si="159"/>
        <v>099C</v>
      </c>
      <c r="U701" s="2">
        <f t="shared" si="165"/>
        <v>615</v>
      </c>
      <c r="V701" s="2" t="str">
        <f t="shared" si="160"/>
        <v>267</v>
      </c>
      <c r="W701" s="2" t="str">
        <f t="shared" si="161"/>
        <v/>
      </c>
      <c r="X701" s="2" t="str">
        <f t="shared" si="162"/>
        <v/>
      </c>
      <c r="Y701" s="2" t="str">
        <f t="shared" si="163"/>
        <v/>
      </c>
      <c r="Z701" s="2" t="str">
        <f t="shared" si="164"/>
        <v>X</v>
      </c>
      <c r="AA701" s="2" t="str">
        <f t="shared" si="166"/>
        <v/>
      </c>
      <c r="AB701" s="2" t="str">
        <f t="shared" si="167"/>
        <v/>
      </c>
      <c r="AC701" s="2" t="str">
        <f t="shared" si="168"/>
        <v/>
      </c>
      <c r="AD701" s="2" t="str">
        <f t="shared" si="169"/>
        <v>(0)</v>
      </c>
      <c r="AE701" s="2" t="str">
        <f t="shared" si="170"/>
        <v/>
      </c>
      <c r="AF701" s="2" t="str">
        <f t="shared" si="171"/>
        <v/>
      </c>
      <c r="AG701" s="2" t="str">
        <f t="shared" si="172"/>
        <v/>
      </c>
      <c r="AH701" s="2" t="str">
        <f t="shared" si="173"/>
        <v/>
      </c>
    </row>
    <row r="702" spans="2:34" x14ac:dyDescent="0.25">
      <c r="B702" s="2" t="s">
        <v>1056</v>
      </c>
      <c r="D702" s="2" t="s">
        <v>1</v>
      </c>
      <c r="E702" s="2" t="s">
        <v>134</v>
      </c>
      <c r="F702" s="2" t="s">
        <v>1057</v>
      </c>
      <c r="G702" s="2" t="s">
        <v>1058</v>
      </c>
      <c r="H702" s="2" t="s">
        <v>624</v>
      </c>
      <c r="I702" s="2" t="s">
        <v>42</v>
      </c>
      <c r="J702" s="2">
        <v>1</v>
      </c>
      <c r="K702" s="2" t="s">
        <v>82</v>
      </c>
      <c r="L702" s="2" t="s">
        <v>41</v>
      </c>
      <c r="M702" s="2" t="s">
        <v>135</v>
      </c>
      <c r="N702" s="2" t="s">
        <v>1059</v>
      </c>
      <c r="O702" s="2" t="s">
        <v>625</v>
      </c>
      <c r="P702" s="2" t="s">
        <v>5</v>
      </c>
      <c r="Q702" s="2">
        <f>INDEX(Tables!$C$4:$C$28,MATCH($P702,Tables!$B$4:$B$28,0))</f>
        <v>32</v>
      </c>
      <c r="R702" s="2">
        <f>INDEX(Tables!$D$4:$D$28,MATCH($P702,Tables!$B$4:$B$28,0))</f>
        <v>4</v>
      </c>
      <c r="S702" s="2">
        <f>$S701+$R701+INDEX(Tables!$N$5:$Q$8,MATCH(MOD($S701+$R701,4),Tables!$M$5:$M$8,0),MATCH($R702,Tables!$N$4:$Q$4,0))</f>
        <v>2464</v>
      </c>
      <c r="T702" s="2" t="str">
        <f t="shared" si="159"/>
        <v>09A0</v>
      </c>
      <c r="U702" s="2">
        <f t="shared" si="165"/>
        <v>616</v>
      </c>
      <c r="V702" s="2" t="str">
        <f t="shared" si="160"/>
        <v>268</v>
      </c>
      <c r="W702" s="2" t="str">
        <f t="shared" si="161"/>
        <v/>
      </c>
      <c r="X702" s="2" t="str">
        <f t="shared" si="162"/>
        <v/>
      </c>
      <c r="Y702" s="2" t="str">
        <f t="shared" si="163"/>
        <v/>
      </c>
      <c r="Z702" s="2" t="str">
        <f t="shared" si="164"/>
        <v>X</v>
      </c>
      <c r="AA702" s="2" t="str">
        <f t="shared" si="166"/>
        <v/>
      </c>
      <c r="AB702" s="2" t="str">
        <f t="shared" si="167"/>
        <v/>
      </c>
      <c r="AC702" s="2" t="str">
        <f t="shared" si="168"/>
        <v/>
      </c>
      <c r="AD702" s="2" t="str">
        <f t="shared" si="169"/>
        <v>(0)</v>
      </c>
      <c r="AE702" s="2" t="str">
        <f t="shared" si="170"/>
        <v/>
      </c>
      <c r="AF702" s="2" t="str">
        <f t="shared" si="171"/>
        <v/>
      </c>
      <c r="AG702" s="2" t="str">
        <f t="shared" si="172"/>
        <v/>
      </c>
      <c r="AH702" s="2" t="str">
        <f t="shared" si="173"/>
        <v/>
      </c>
    </row>
    <row r="703" spans="2:34" x14ac:dyDescent="0.25">
      <c r="B703" s="2" t="s">
        <v>1056</v>
      </c>
      <c r="D703" s="2" t="s">
        <v>1</v>
      </c>
      <c r="E703" s="2" t="s">
        <v>134</v>
      </c>
      <c r="F703" s="2" t="s">
        <v>1057</v>
      </c>
      <c r="G703" s="2" t="s">
        <v>1058</v>
      </c>
      <c r="H703" s="2" t="s">
        <v>626</v>
      </c>
      <c r="I703" s="2" t="s">
        <v>42</v>
      </c>
      <c r="J703" s="2">
        <v>1</v>
      </c>
      <c r="K703" s="2" t="s">
        <v>82</v>
      </c>
      <c r="L703" s="2" t="s">
        <v>41</v>
      </c>
      <c r="M703" s="2" t="s">
        <v>135</v>
      </c>
      <c r="N703" s="2" t="s">
        <v>1059</v>
      </c>
      <c r="O703" s="2" t="s">
        <v>627</v>
      </c>
      <c r="P703" s="2" t="s">
        <v>5</v>
      </c>
      <c r="Q703" s="2">
        <f>INDEX(Tables!$C$4:$C$28,MATCH($P703,Tables!$B$4:$B$28,0))</f>
        <v>32</v>
      </c>
      <c r="R703" s="2">
        <f>INDEX(Tables!$D$4:$D$28,MATCH($P703,Tables!$B$4:$B$28,0))</f>
        <v>4</v>
      </c>
      <c r="S703" s="2">
        <f>$S702+$R702+INDEX(Tables!$N$5:$Q$8,MATCH(MOD($S702+$R702,4),Tables!$M$5:$M$8,0),MATCH($R703,Tables!$N$4:$Q$4,0))</f>
        <v>2468</v>
      </c>
      <c r="T703" s="2" t="str">
        <f t="shared" si="159"/>
        <v>09A4</v>
      </c>
      <c r="U703" s="2">
        <f t="shared" si="165"/>
        <v>617</v>
      </c>
      <c r="V703" s="2" t="str">
        <f t="shared" si="160"/>
        <v>269</v>
      </c>
      <c r="W703" s="2" t="str">
        <f t="shared" si="161"/>
        <v/>
      </c>
      <c r="X703" s="2" t="str">
        <f t="shared" si="162"/>
        <v/>
      </c>
      <c r="Y703" s="2" t="str">
        <f t="shared" si="163"/>
        <v/>
      </c>
      <c r="Z703" s="2" t="str">
        <f t="shared" si="164"/>
        <v>X</v>
      </c>
      <c r="AA703" s="2" t="str">
        <f t="shared" si="166"/>
        <v/>
      </c>
      <c r="AB703" s="2" t="str">
        <f t="shared" si="167"/>
        <v/>
      </c>
      <c r="AC703" s="2" t="str">
        <f t="shared" si="168"/>
        <v/>
      </c>
      <c r="AD703" s="2" t="str">
        <f t="shared" si="169"/>
        <v>(0)</v>
      </c>
      <c r="AE703" s="2" t="str">
        <f t="shared" si="170"/>
        <v/>
      </c>
      <c r="AF703" s="2" t="str">
        <f t="shared" si="171"/>
        <v/>
      </c>
      <c r="AG703" s="2" t="str">
        <f t="shared" si="172"/>
        <v/>
      </c>
      <c r="AH703" s="2" t="str">
        <f t="shared" si="173"/>
        <v/>
      </c>
    </row>
    <row r="704" spans="2:34" x14ac:dyDescent="0.25">
      <c r="B704" s="2" t="s">
        <v>1056</v>
      </c>
      <c r="D704" s="2" t="s">
        <v>1</v>
      </c>
      <c r="E704" s="2" t="s">
        <v>134</v>
      </c>
      <c r="F704" s="2" t="s">
        <v>1057</v>
      </c>
      <c r="G704" s="2" t="s">
        <v>1058</v>
      </c>
      <c r="H704" s="2" t="s">
        <v>628</v>
      </c>
      <c r="I704" s="2" t="s">
        <v>42</v>
      </c>
      <c r="J704" s="2">
        <v>1</v>
      </c>
      <c r="K704" s="2" t="s">
        <v>82</v>
      </c>
      <c r="L704" s="2" t="s">
        <v>41</v>
      </c>
      <c r="M704" s="2" t="s">
        <v>135</v>
      </c>
      <c r="N704" s="2" t="s">
        <v>1059</v>
      </c>
      <c r="O704" s="2" t="s">
        <v>629</v>
      </c>
      <c r="P704" s="2" t="s">
        <v>5</v>
      </c>
      <c r="Q704" s="2">
        <f>INDEX(Tables!$C$4:$C$28,MATCH($P704,Tables!$B$4:$B$28,0))</f>
        <v>32</v>
      </c>
      <c r="R704" s="2">
        <f>INDEX(Tables!$D$4:$D$28,MATCH($P704,Tables!$B$4:$B$28,0))</f>
        <v>4</v>
      </c>
      <c r="S704" s="2">
        <f>$S703+$R703+INDEX(Tables!$N$5:$Q$8,MATCH(MOD($S703+$R703,4),Tables!$M$5:$M$8,0),MATCH($R704,Tables!$N$4:$Q$4,0))</f>
        <v>2472</v>
      </c>
      <c r="T704" s="2" t="str">
        <f t="shared" si="159"/>
        <v>09A8</v>
      </c>
      <c r="U704" s="2">
        <f t="shared" si="165"/>
        <v>618</v>
      </c>
      <c r="V704" s="2" t="str">
        <f t="shared" si="160"/>
        <v>26A</v>
      </c>
      <c r="W704" s="2" t="str">
        <f t="shared" si="161"/>
        <v/>
      </c>
      <c r="X704" s="2" t="str">
        <f t="shared" si="162"/>
        <v/>
      </c>
      <c r="Y704" s="2" t="str">
        <f t="shared" si="163"/>
        <v/>
      </c>
      <c r="Z704" s="2" t="str">
        <f t="shared" si="164"/>
        <v>X</v>
      </c>
      <c r="AA704" s="2" t="str">
        <f t="shared" si="166"/>
        <v/>
      </c>
      <c r="AB704" s="2" t="str">
        <f t="shared" si="167"/>
        <v/>
      </c>
      <c r="AC704" s="2" t="str">
        <f t="shared" si="168"/>
        <v/>
      </c>
      <c r="AD704" s="2" t="str">
        <f t="shared" si="169"/>
        <v>(0)</v>
      </c>
      <c r="AE704" s="2" t="str">
        <f t="shared" si="170"/>
        <v/>
      </c>
      <c r="AF704" s="2" t="str">
        <f t="shared" si="171"/>
        <v/>
      </c>
      <c r="AG704" s="2" t="str">
        <f t="shared" si="172"/>
        <v/>
      </c>
      <c r="AH704" s="2" t="str">
        <f t="shared" si="173"/>
        <v/>
      </c>
    </row>
    <row r="705" spans="2:34" x14ac:dyDescent="0.25">
      <c r="B705" s="2" t="s">
        <v>1056</v>
      </c>
      <c r="D705" s="2" t="s">
        <v>1</v>
      </c>
      <c r="E705" s="2" t="s">
        <v>134</v>
      </c>
      <c r="F705" s="2" t="s">
        <v>1057</v>
      </c>
      <c r="G705" s="2" t="s">
        <v>1058</v>
      </c>
      <c r="H705" s="2" t="s">
        <v>630</v>
      </c>
      <c r="I705" s="2" t="s">
        <v>42</v>
      </c>
      <c r="J705" s="2">
        <v>1</v>
      </c>
      <c r="K705" s="2" t="s">
        <v>82</v>
      </c>
      <c r="L705" s="2" t="s">
        <v>41</v>
      </c>
      <c r="M705" s="2" t="s">
        <v>135</v>
      </c>
      <c r="N705" s="2" t="s">
        <v>1059</v>
      </c>
      <c r="O705" s="2" t="s">
        <v>631</v>
      </c>
      <c r="P705" s="2" t="s">
        <v>5</v>
      </c>
      <c r="Q705" s="2">
        <f>INDEX(Tables!$C$4:$C$28,MATCH($P705,Tables!$B$4:$B$28,0))</f>
        <v>32</v>
      </c>
      <c r="R705" s="2">
        <f>INDEX(Tables!$D$4:$D$28,MATCH($P705,Tables!$B$4:$B$28,0))</f>
        <v>4</v>
      </c>
      <c r="S705" s="2">
        <f>$S704+$R704+INDEX(Tables!$N$5:$Q$8,MATCH(MOD($S704+$R704,4),Tables!$M$5:$M$8,0),MATCH($R705,Tables!$N$4:$Q$4,0))</f>
        <v>2476</v>
      </c>
      <c r="T705" s="2" t="str">
        <f t="shared" si="159"/>
        <v>09AC</v>
      </c>
      <c r="U705" s="2">
        <f t="shared" si="165"/>
        <v>619</v>
      </c>
      <c r="V705" s="2" t="str">
        <f t="shared" si="160"/>
        <v>26B</v>
      </c>
      <c r="W705" s="2" t="str">
        <f t="shared" si="161"/>
        <v/>
      </c>
      <c r="X705" s="2" t="str">
        <f t="shared" si="162"/>
        <v/>
      </c>
      <c r="Y705" s="2" t="str">
        <f t="shared" si="163"/>
        <v/>
      </c>
      <c r="Z705" s="2" t="str">
        <f t="shared" si="164"/>
        <v>X</v>
      </c>
      <c r="AA705" s="2" t="str">
        <f t="shared" si="166"/>
        <v/>
      </c>
      <c r="AB705" s="2" t="str">
        <f t="shared" si="167"/>
        <v/>
      </c>
      <c r="AC705" s="2" t="str">
        <f t="shared" si="168"/>
        <v/>
      </c>
      <c r="AD705" s="2" t="str">
        <f t="shared" si="169"/>
        <v>(0)</v>
      </c>
      <c r="AE705" s="2" t="str">
        <f t="shared" si="170"/>
        <v/>
      </c>
      <c r="AF705" s="2" t="str">
        <f t="shared" si="171"/>
        <v/>
      </c>
      <c r="AG705" s="2" t="str">
        <f t="shared" si="172"/>
        <v/>
      </c>
      <c r="AH705" s="2" t="str">
        <f t="shared" si="173"/>
        <v/>
      </c>
    </row>
    <row r="706" spans="2:34" x14ac:dyDescent="0.25">
      <c r="B706" s="2" t="s">
        <v>1056</v>
      </c>
      <c r="D706" s="2" t="s">
        <v>1</v>
      </c>
      <c r="E706" s="2" t="s">
        <v>134</v>
      </c>
      <c r="F706" s="2" t="s">
        <v>1057</v>
      </c>
      <c r="G706" s="2" t="s">
        <v>1058</v>
      </c>
      <c r="H706" s="2" t="s">
        <v>632</v>
      </c>
      <c r="I706" s="2" t="s">
        <v>42</v>
      </c>
      <c r="J706" s="2">
        <v>1</v>
      </c>
      <c r="K706" s="2" t="s">
        <v>82</v>
      </c>
      <c r="L706" s="2" t="s">
        <v>41</v>
      </c>
      <c r="M706" s="2" t="s">
        <v>135</v>
      </c>
      <c r="N706" s="2" t="s">
        <v>1059</v>
      </c>
      <c r="O706" s="2" t="s">
        <v>633</v>
      </c>
      <c r="P706" s="2" t="s">
        <v>5</v>
      </c>
      <c r="Q706" s="2">
        <f>INDEX(Tables!$C$4:$C$28,MATCH($P706,Tables!$B$4:$B$28,0))</f>
        <v>32</v>
      </c>
      <c r="R706" s="2">
        <f>INDEX(Tables!$D$4:$D$28,MATCH($P706,Tables!$B$4:$B$28,0))</f>
        <v>4</v>
      </c>
      <c r="S706" s="2">
        <f>$S705+$R705+INDEX(Tables!$N$5:$Q$8,MATCH(MOD($S705+$R705,4),Tables!$M$5:$M$8,0),MATCH($R706,Tables!$N$4:$Q$4,0))</f>
        <v>2480</v>
      </c>
      <c r="T706" s="2" t="str">
        <f t="shared" si="159"/>
        <v>09B0</v>
      </c>
      <c r="U706" s="2">
        <f t="shared" si="165"/>
        <v>620</v>
      </c>
      <c r="V706" s="2" t="str">
        <f t="shared" si="160"/>
        <v>26C</v>
      </c>
      <c r="W706" s="2" t="str">
        <f t="shared" si="161"/>
        <v/>
      </c>
      <c r="X706" s="2" t="str">
        <f t="shared" si="162"/>
        <v/>
      </c>
      <c r="Y706" s="2" t="str">
        <f t="shared" si="163"/>
        <v/>
      </c>
      <c r="Z706" s="2" t="str">
        <f t="shared" si="164"/>
        <v>X</v>
      </c>
      <c r="AA706" s="2" t="str">
        <f t="shared" si="166"/>
        <v/>
      </c>
      <c r="AB706" s="2" t="str">
        <f t="shared" si="167"/>
        <v/>
      </c>
      <c r="AC706" s="2" t="str">
        <f t="shared" si="168"/>
        <v/>
      </c>
      <c r="AD706" s="2" t="str">
        <f t="shared" si="169"/>
        <v>(0)</v>
      </c>
      <c r="AE706" s="2" t="str">
        <f t="shared" si="170"/>
        <v/>
      </c>
      <c r="AF706" s="2" t="str">
        <f t="shared" si="171"/>
        <v/>
      </c>
      <c r="AG706" s="2" t="str">
        <f t="shared" si="172"/>
        <v/>
      </c>
      <c r="AH706" s="2" t="str">
        <f t="shared" si="173"/>
        <v/>
      </c>
    </row>
    <row r="707" spans="2:34" x14ac:dyDescent="0.25">
      <c r="B707" s="2" t="s">
        <v>1056</v>
      </c>
      <c r="D707" s="2" t="s">
        <v>1</v>
      </c>
      <c r="E707" s="2" t="s">
        <v>134</v>
      </c>
      <c r="F707" s="2" t="s">
        <v>1057</v>
      </c>
      <c r="G707" s="2" t="s">
        <v>1058</v>
      </c>
      <c r="H707" s="2" t="s">
        <v>634</v>
      </c>
      <c r="I707" s="2" t="s">
        <v>42</v>
      </c>
      <c r="J707" s="2">
        <v>1</v>
      </c>
      <c r="K707" s="2" t="s">
        <v>82</v>
      </c>
      <c r="L707" s="2" t="s">
        <v>41</v>
      </c>
      <c r="M707" s="2" t="s">
        <v>135</v>
      </c>
      <c r="N707" s="2" t="s">
        <v>1059</v>
      </c>
      <c r="O707" s="2" t="s">
        <v>635</v>
      </c>
      <c r="P707" s="2" t="s">
        <v>5</v>
      </c>
      <c r="Q707" s="2">
        <f>INDEX(Tables!$C$4:$C$28,MATCH($P707,Tables!$B$4:$B$28,0))</f>
        <v>32</v>
      </c>
      <c r="R707" s="2">
        <f>INDEX(Tables!$D$4:$D$28,MATCH($P707,Tables!$B$4:$B$28,0))</f>
        <v>4</v>
      </c>
      <c r="S707" s="2">
        <f>$S706+$R706+INDEX(Tables!$N$5:$Q$8,MATCH(MOD($S706+$R706,4),Tables!$M$5:$M$8,0),MATCH($R707,Tables!$N$4:$Q$4,0))</f>
        <v>2484</v>
      </c>
      <c r="T707" s="2" t="str">
        <f t="shared" si="159"/>
        <v>09B4</v>
      </c>
      <c r="U707" s="2">
        <f t="shared" si="165"/>
        <v>621</v>
      </c>
      <c r="V707" s="2" t="str">
        <f t="shared" si="160"/>
        <v>26D</v>
      </c>
      <c r="W707" s="2" t="str">
        <f t="shared" si="161"/>
        <v/>
      </c>
      <c r="X707" s="2" t="str">
        <f t="shared" si="162"/>
        <v/>
      </c>
      <c r="Y707" s="2" t="str">
        <f t="shared" si="163"/>
        <v/>
      </c>
      <c r="Z707" s="2" t="str">
        <f t="shared" si="164"/>
        <v>X</v>
      </c>
      <c r="AA707" s="2" t="str">
        <f t="shared" si="166"/>
        <v/>
      </c>
      <c r="AB707" s="2" t="str">
        <f t="shared" si="167"/>
        <v/>
      </c>
      <c r="AC707" s="2" t="str">
        <f t="shared" si="168"/>
        <v/>
      </c>
      <c r="AD707" s="2" t="str">
        <f t="shared" si="169"/>
        <v>(0)</v>
      </c>
      <c r="AE707" s="2" t="str">
        <f t="shared" si="170"/>
        <v/>
      </c>
      <c r="AF707" s="2" t="str">
        <f t="shared" si="171"/>
        <v/>
      </c>
      <c r="AG707" s="2" t="str">
        <f t="shared" si="172"/>
        <v/>
      </c>
      <c r="AH707" s="2" t="str">
        <f t="shared" si="173"/>
        <v/>
      </c>
    </row>
    <row r="708" spans="2:34" x14ac:dyDescent="0.25">
      <c r="B708" s="2" t="s">
        <v>1056</v>
      </c>
      <c r="D708" s="2" t="s">
        <v>1</v>
      </c>
      <c r="E708" s="2" t="s">
        <v>134</v>
      </c>
      <c r="F708" s="2" t="s">
        <v>1057</v>
      </c>
      <c r="G708" s="2" t="s">
        <v>1058</v>
      </c>
      <c r="H708" s="2" t="s">
        <v>636</v>
      </c>
      <c r="I708" s="2" t="s">
        <v>42</v>
      </c>
      <c r="J708" s="2">
        <v>1</v>
      </c>
      <c r="K708" s="2" t="s">
        <v>82</v>
      </c>
      <c r="L708" s="2" t="s">
        <v>41</v>
      </c>
      <c r="M708" s="2" t="s">
        <v>135</v>
      </c>
      <c r="N708" s="2" t="s">
        <v>1059</v>
      </c>
      <c r="O708" s="2" t="s">
        <v>637</v>
      </c>
      <c r="P708" s="2" t="s">
        <v>5</v>
      </c>
      <c r="Q708" s="2">
        <f>INDEX(Tables!$C$4:$C$28,MATCH($P708,Tables!$B$4:$B$28,0))</f>
        <v>32</v>
      </c>
      <c r="R708" s="2">
        <f>INDEX(Tables!$D$4:$D$28,MATCH($P708,Tables!$B$4:$B$28,0))</f>
        <v>4</v>
      </c>
      <c r="S708" s="2">
        <f>$S707+$R707+INDEX(Tables!$N$5:$Q$8,MATCH(MOD($S707+$R707,4),Tables!$M$5:$M$8,0),MATCH($R708,Tables!$N$4:$Q$4,0))</f>
        <v>2488</v>
      </c>
      <c r="T708" s="2" t="str">
        <f t="shared" si="159"/>
        <v>09B8</v>
      </c>
      <c r="U708" s="2">
        <f t="shared" si="165"/>
        <v>622</v>
      </c>
      <c r="V708" s="2" t="str">
        <f t="shared" si="160"/>
        <v>26E</v>
      </c>
      <c r="W708" s="2" t="str">
        <f t="shared" si="161"/>
        <v/>
      </c>
      <c r="X708" s="2" t="str">
        <f t="shared" si="162"/>
        <v/>
      </c>
      <c r="Y708" s="2" t="str">
        <f t="shared" si="163"/>
        <v/>
      </c>
      <c r="Z708" s="2" t="str">
        <f t="shared" si="164"/>
        <v>X</v>
      </c>
      <c r="AA708" s="2" t="str">
        <f t="shared" si="166"/>
        <v/>
      </c>
      <c r="AB708" s="2" t="str">
        <f t="shared" si="167"/>
        <v/>
      </c>
      <c r="AC708" s="2" t="str">
        <f t="shared" si="168"/>
        <v/>
      </c>
      <c r="AD708" s="2" t="str">
        <f t="shared" si="169"/>
        <v>(0)</v>
      </c>
      <c r="AE708" s="2" t="str">
        <f t="shared" si="170"/>
        <v/>
      </c>
      <c r="AF708" s="2" t="str">
        <f t="shared" si="171"/>
        <v/>
      </c>
      <c r="AG708" s="2" t="str">
        <f t="shared" si="172"/>
        <v/>
      </c>
      <c r="AH708" s="2" t="str">
        <f t="shared" si="173"/>
        <v/>
      </c>
    </row>
    <row r="709" spans="2:34" x14ac:dyDescent="0.25">
      <c r="B709" s="2" t="s">
        <v>1056</v>
      </c>
      <c r="D709" s="2" t="s">
        <v>1</v>
      </c>
      <c r="E709" s="2" t="s">
        <v>134</v>
      </c>
      <c r="F709" s="2" t="s">
        <v>1057</v>
      </c>
      <c r="G709" s="2" t="s">
        <v>1058</v>
      </c>
      <c r="H709" s="2" t="s">
        <v>638</v>
      </c>
      <c r="I709" s="2" t="s">
        <v>42</v>
      </c>
      <c r="J709" s="2">
        <v>1</v>
      </c>
      <c r="K709" s="2" t="s">
        <v>82</v>
      </c>
      <c r="L709" s="2" t="s">
        <v>41</v>
      </c>
      <c r="M709" s="2" t="s">
        <v>135</v>
      </c>
      <c r="N709" s="2" t="s">
        <v>1059</v>
      </c>
      <c r="O709" s="2" t="s">
        <v>639</v>
      </c>
      <c r="P709" s="2" t="s">
        <v>5</v>
      </c>
      <c r="Q709" s="2">
        <f>INDEX(Tables!$C$4:$C$28,MATCH($P709,Tables!$B$4:$B$28,0))</f>
        <v>32</v>
      </c>
      <c r="R709" s="2">
        <f>INDEX(Tables!$D$4:$D$28,MATCH($P709,Tables!$B$4:$B$28,0))</f>
        <v>4</v>
      </c>
      <c r="S709" s="2">
        <f>$S708+$R708+INDEX(Tables!$N$5:$Q$8,MATCH(MOD($S708+$R708,4),Tables!$M$5:$M$8,0),MATCH($R709,Tables!$N$4:$Q$4,0))</f>
        <v>2492</v>
      </c>
      <c r="T709" s="2" t="str">
        <f t="shared" ref="T709:T772" si="174">DEC2HEX($S709,4)</f>
        <v>09BC</v>
      </c>
      <c r="U709" s="2">
        <f t="shared" si="165"/>
        <v>623</v>
      </c>
      <c r="V709" s="2" t="str">
        <f t="shared" ref="V709:V772" si="175">DEC2HEX($U709,3)</f>
        <v>26F</v>
      </c>
      <c r="W709" s="2" t="str">
        <f t="shared" ref="W709:W772" si="176">IF(MOD($S709,4)=3,"X",IF(AND(MOD($S709,4)=2,$J709&gt;8),"X",IF(AND(MOD($S709,4)=1,$J709&gt;16),"X",IF(AND(MOD($S709,4)=0,$J709&gt;24),"X",""))))</f>
        <v/>
      </c>
      <c r="X709" s="2" t="str">
        <f t="shared" si="162"/>
        <v/>
      </c>
      <c r="Y709" s="2" t="str">
        <f t="shared" si="163"/>
        <v/>
      </c>
      <c r="Z709" s="2" t="str">
        <f t="shared" si="164"/>
        <v>X</v>
      </c>
      <c r="AA709" s="2" t="str">
        <f t="shared" si="166"/>
        <v/>
      </c>
      <c r="AB709" s="2" t="str">
        <f t="shared" si="167"/>
        <v/>
      </c>
      <c r="AC709" s="2" t="str">
        <f t="shared" si="168"/>
        <v/>
      </c>
      <c r="AD709" s="2" t="str">
        <f t="shared" si="169"/>
        <v>(0)</v>
      </c>
      <c r="AE709" s="2" t="str">
        <f t="shared" si="170"/>
        <v/>
      </c>
      <c r="AF709" s="2" t="str">
        <f t="shared" si="171"/>
        <v/>
      </c>
      <c r="AG709" s="2" t="str">
        <f t="shared" si="172"/>
        <v/>
      </c>
      <c r="AH709" s="2" t="str">
        <f t="shared" si="173"/>
        <v/>
      </c>
    </row>
    <row r="710" spans="2:34" x14ac:dyDescent="0.25">
      <c r="B710" s="2" t="s">
        <v>1056</v>
      </c>
      <c r="D710" s="2" t="s">
        <v>1</v>
      </c>
      <c r="E710" s="2" t="s">
        <v>134</v>
      </c>
      <c r="F710" s="2" t="s">
        <v>1057</v>
      </c>
      <c r="G710" s="2" t="s">
        <v>1058</v>
      </c>
      <c r="H710" s="2" t="s">
        <v>640</v>
      </c>
      <c r="I710" s="2" t="s">
        <v>42</v>
      </c>
      <c r="J710" s="2">
        <v>1</v>
      </c>
      <c r="K710" s="2" t="s">
        <v>136</v>
      </c>
      <c r="L710" s="2" t="s">
        <v>41</v>
      </c>
      <c r="M710" s="2" t="s">
        <v>135</v>
      </c>
      <c r="N710" s="2" t="s">
        <v>1059</v>
      </c>
      <c r="O710" s="2" t="s">
        <v>641</v>
      </c>
      <c r="P710" s="2" t="s">
        <v>5</v>
      </c>
      <c r="Q710" s="2">
        <f>INDEX(Tables!$C$4:$C$28,MATCH($P710,Tables!$B$4:$B$28,0))</f>
        <v>32</v>
      </c>
      <c r="R710" s="2">
        <f>INDEX(Tables!$D$4:$D$28,MATCH($P710,Tables!$B$4:$B$28,0))</f>
        <v>4</v>
      </c>
      <c r="S710" s="2">
        <f>$S709+$R709+INDEX(Tables!$N$5:$Q$8,MATCH(MOD($S709+$R709,4),Tables!$M$5:$M$8,0),MATCH($R710,Tables!$N$4:$Q$4,0))</f>
        <v>2496</v>
      </c>
      <c r="T710" s="2" t="str">
        <f t="shared" si="174"/>
        <v>09C0</v>
      </c>
      <c r="U710" s="2">
        <f t="shared" si="165"/>
        <v>624</v>
      </c>
      <c r="V710" s="2" t="str">
        <f t="shared" si="175"/>
        <v>270</v>
      </c>
      <c r="W710" s="2" t="str">
        <f t="shared" si="176"/>
        <v/>
      </c>
      <c r="X710" s="2" t="str">
        <f t="shared" si="162"/>
        <v/>
      </c>
      <c r="Y710" s="2" t="str">
        <f t="shared" si="163"/>
        <v/>
      </c>
      <c r="Z710" s="2" t="str">
        <f t="shared" si="164"/>
        <v>X</v>
      </c>
      <c r="AA710" s="2" t="str">
        <f t="shared" si="166"/>
        <v/>
      </c>
      <c r="AB710" s="2" t="str">
        <f t="shared" si="167"/>
        <v/>
      </c>
      <c r="AC710" s="2" t="str">
        <f t="shared" si="168"/>
        <v/>
      </c>
      <c r="AD710" s="2" t="str">
        <f t="shared" si="169"/>
        <v>(0)</v>
      </c>
      <c r="AE710" s="2" t="str">
        <f t="shared" si="170"/>
        <v/>
      </c>
      <c r="AF710" s="2" t="str">
        <f t="shared" si="171"/>
        <v/>
      </c>
      <c r="AG710" s="2" t="str">
        <f t="shared" si="172"/>
        <v/>
      </c>
      <c r="AH710" s="2" t="str">
        <f t="shared" si="173"/>
        <v/>
      </c>
    </row>
    <row r="711" spans="2:34" x14ac:dyDescent="0.25">
      <c r="B711" s="2" t="s">
        <v>1056</v>
      </c>
      <c r="D711" s="2" t="s">
        <v>1</v>
      </c>
      <c r="E711" s="2" t="s">
        <v>134</v>
      </c>
      <c r="F711" s="2" t="s">
        <v>1057</v>
      </c>
      <c r="G711" s="2" t="s">
        <v>1058</v>
      </c>
      <c r="H711" s="2" t="s">
        <v>642</v>
      </c>
      <c r="I711" s="2" t="s">
        <v>42</v>
      </c>
      <c r="J711" s="2">
        <v>1</v>
      </c>
      <c r="K711" s="2" t="s">
        <v>136</v>
      </c>
      <c r="L711" s="2" t="s">
        <v>41</v>
      </c>
      <c r="M711" s="2" t="s">
        <v>135</v>
      </c>
      <c r="N711" s="2" t="s">
        <v>1059</v>
      </c>
      <c r="O711" s="2" t="s">
        <v>643</v>
      </c>
      <c r="P711" s="2" t="s">
        <v>5</v>
      </c>
      <c r="Q711" s="2">
        <f>INDEX(Tables!$C$4:$C$28,MATCH($P711,Tables!$B$4:$B$28,0))</f>
        <v>32</v>
      </c>
      <c r="R711" s="2">
        <f>INDEX(Tables!$D$4:$D$28,MATCH($P711,Tables!$B$4:$B$28,0))</f>
        <v>4</v>
      </c>
      <c r="S711" s="2">
        <f>$S710+$R710+INDEX(Tables!$N$5:$Q$8,MATCH(MOD($S710+$R710,4),Tables!$M$5:$M$8,0),MATCH($R711,Tables!$N$4:$Q$4,0))</f>
        <v>2500</v>
      </c>
      <c r="T711" s="2" t="str">
        <f t="shared" si="174"/>
        <v>09C4</v>
      </c>
      <c r="U711" s="2">
        <f t="shared" si="165"/>
        <v>625</v>
      </c>
      <c r="V711" s="2" t="str">
        <f t="shared" si="175"/>
        <v>271</v>
      </c>
      <c r="W711" s="2" t="str">
        <f t="shared" si="176"/>
        <v/>
      </c>
      <c r="X711" s="2" t="str">
        <f t="shared" si="162"/>
        <v/>
      </c>
      <c r="Y711" s="2" t="str">
        <f t="shared" si="163"/>
        <v/>
      </c>
      <c r="Z711" s="2" t="str">
        <f t="shared" si="164"/>
        <v>X</v>
      </c>
      <c r="AA711" s="2" t="str">
        <f t="shared" si="166"/>
        <v/>
      </c>
      <c r="AB711" s="2" t="str">
        <f t="shared" si="167"/>
        <v/>
      </c>
      <c r="AC711" s="2" t="str">
        <f t="shared" si="168"/>
        <v/>
      </c>
      <c r="AD711" s="2" t="str">
        <f t="shared" si="169"/>
        <v>(0)</v>
      </c>
      <c r="AE711" s="2" t="str">
        <f t="shared" si="170"/>
        <v/>
      </c>
      <c r="AF711" s="2" t="str">
        <f t="shared" si="171"/>
        <v/>
      </c>
      <c r="AG711" s="2" t="str">
        <f t="shared" si="172"/>
        <v/>
      </c>
      <c r="AH711" s="2" t="str">
        <f t="shared" si="173"/>
        <v/>
      </c>
    </row>
    <row r="712" spans="2:34" x14ac:dyDescent="0.25">
      <c r="B712" s="2" t="s">
        <v>1056</v>
      </c>
      <c r="D712" s="2" t="s">
        <v>1</v>
      </c>
      <c r="E712" s="2" t="s">
        <v>134</v>
      </c>
      <c r="F712" s="2" t="s">
        <v>1057</v>
      </c>
      <c r="G712" s="2" t="s">
        <v>1058</v>
      </c>
      <c r="H712" s="2" t="s">
        <v>644</v>
      </c>
      <c r="I712" s="2" t="s">
        <v>42</v>
      </c>
      <c r="J712" s="2">
        <v>1</v>
      </c>
      <c r="K712" s="2" t="s">
        <v>136</v>
      </c>
      <c r="L712" s="2" t="s">
        <v>41</v>
      </c>
      <c r="M712" s="2" t="s">
        <v>135</v>
      </c>
      <c r="N712" s="2" t="s">
        <v>1059</v>
      </c>
      <c r="O712" s="2" t="s">
        <v>645</v>
      </c>
      <c r="P712" s="2" t="s">
        <v>5</v>
      </c>
      <c r="Q712" s="2">
        <f>INDEX(Tables!$C$4:$C$28,MATCH($P712,Tables!$B$4:$B$28,0))</f>
        <v>32</v>
      </c>
      <c r="R712" s="2">
        <f>INDEX(Tables!$D$4:$D$28,MATCH($P712,Tables!$B$4:$B$28,0))</f>
        <v>4</v>
      </c>
      <c r="S712" s="2">
        <f>$S711+$R711+INDEX(Tables!$N$5:$Q$8,MATCH(MOD($S711+$R711,4),Tables!$M$5:$M$8,0),MATCH($R712,Tables!$N$4:$Q$4,0))</f>
        <v>2504</v>
      </c>
      <c r="T712" s="2" t="str">
        <f t="shared" si="174"/>
        <v>09C8</v>
      </c>
      <c r="U712" s="2">
        <f t="shared" si="165"/>
        <v>626</v>
      </c>
      <c r="V712" s="2" t="str">
        <f t="shared" si="175"/>
        <v>272</v>
      </c>
      <c r="W712" s="2" t="str">
        <f t="shared" si="176"/>
        <v/>
      </c>
      <c r="X712" s="2" t="str">
        <f t="shared" si="162"/>
        <v/>
      </c>
      <c r="Y712" s="2" t="str">
        <f t="shared" si="163"/>
        <v/>
      </c>
      <c r="Z712" s="2" t="str">
        <f t="shared" si="164"/>
        <v>X</v>
      </c>
      <c r="AA712" s="2" t="str">
        <f t="shared" si="166"/>
        <v/>
      </c>
      <c r="AB712" s="2" t="str">
        <f t="shared" si="167"/>
        <v/>
      </c>
      <c r="AC712" s="2" t="str">
        <f t="shared" si="168"/>
        <v/>
      </c>
      <c r="AD712" s="2" t="str">
        <f t="shared" si="169"/>
        <v>(0)</v>
      </c>
      <c r="AE712" s="2" t="str">
        <f t="shared" si="170"/>
        <v/>
      </c>
      <c r="AF712" s="2" t="str">
        <f t="shared" si="171"/>
        <v/>
      </c>
      <c r="AG712" s="2" t="str">
        <f t="shared" si="172"/>
        <v/>
      </c>
      <c r="AH712" s="2" t="str">
        <f t="shared" si="173"/>
        <v/>
      </c>
    </row>
    <row r="713" spans="2:34" x14ac:dyDescent="0.25">
      <c r="B713" s="2" t="s">
        <v>1056</v>
      </c>
      <c r="D713" s="2" t="s">
        <v>1</v>
      </c>
      <c r="E713" s="2" t="s">
        <v>134</v>
      </c>
      <c r="F713" s="2" t="s">
        <v>1057</v>
      </c>
      <c r="G713" s="2" t="s">
        <v>1058</v>
      </c>
      <c r="H713" s="2" t="s">
        <v>646</v>
      </c>
      <c r="I713" s="2" t="s">
        <v>42</v>
      </c>
      <c r="J713" s="2">
        <v>1</v>
      </c>
      <c r="K713" s="2" t="s">
        <v>136</v>
      </c>
      <c r="L713" s="2" t="s">
        <v>41</v>
      </c>
      <c r="M713" s="2" t="s">
        <v>135</v>
      </c>
      <c r="N713" s="2" t="s">
        <v>1059</v>
      </c>
      <c r="O713" s="2" t="s">
        <v>647</v>
      </c>
      <c r="P713" s="2" t="s">
        <v>5</v>
      </c>
      <c r="Q713" s="2">
        <f>INDEX(Tables!$C$4:$C$28,MATCH($P713,Tables!$B$4:$B$28,0))</f>
        <v>32</v>
      </c>
      <c r="R713" s="2">
        <f>INDEX(Tables!$D$4:$D$28,MATCH($P713,Tables!$B$4:$B$28,0))</f>
        <v>4</v>
      </c>
      <c r="S713" s="2">
        <f>$S712+$R712+INDEX(Tables!$N$5:$Q$8,MATCH(MOD($S712+$R712,4),Tables!$M$5:$M$8,0),MATCH($R713,Tables!$N$4:$Q$4,0))</f>
        <v>2508</v>
      </c>
      <c r="T713" s="2" t="str">
        <f t="shared" si="174"/>
        <v>09CC</v>
      </c>
      <c r="U713" s="2">
        <f t="shared" si="165"/>
        <v>627</v>
      </c>
      <c r="V713" s="2" t="str">
        <f t="shared" si="175"/>
        <v>273</v>
      </c>
      <c r="W713" s="2" t="str">
        <f t="shared" si="176"/>
        <v/>
      </c>
      <c r="X713" s="2" t="str">
        <f t="shared" si="162"/>
        <v/>
      </c>
      <c r="Y713" s="2" t="str">
        <f t="shared" si="163"/>
        <v/>
      </c>
      <c r="Z713" s="2" t="str">
        <f t="shared" si="164"/>
        <v>X</v>
      </c>
      <c r="AA713" s="2" t="str">
        <f t="shared" si="166"/>
        <v/>
      </c>
      <c r="AB713" s="2" t="str">
        <f t="shared" si="167"/>
        <v/>
      </c>
      <c r="AC713" s="2" t="str">
        <f t="shared" si="168"/>
        <v/>
      </c>
      <c r="AD713" s="2" t="str">
        <f t="shared" si="169"/>
        <v>(0)</v>
      </c>
      <c r="AE713" s="2" t="str">
        <f t="shared" si="170"/>
        <v/>
      </c>
      <c r="AF713" s="2" t="str">
        <f t="shared" si="171"/>
        <v/>
      </c>
      <c r="AG713" s="2" t="str">
        <f t="shared" si="172"/>
        <v/>
      </c>
      <c r="AH713" s="2" t="str">
        <f t="shared" si="173"/>
        <v/>
      </c>
    </row>
    <row r="714" spans="2:34" x14ac:dyDescent="0.25">
      <c r="B714" s="2" t="s">
        <v>1056</v>
      </c>
      <c r="D714" s="2" t="s">
        <v>1</v>
      </c>
      <c r="E714" s="2" t="s">
        <v>134</v>
      </c>
      <c r="F714" s="2" t="s">
        <v>1057</v>
      </c>
      <c r="G714" s="2" t="s">
        <v>1058</v>
      </c>
      <c r="H714" s="2" t="s">
        <v>648</v>
      </c>
      <c r="I714" s="2" t="s">
        <v>42</v>
      </c>
      <c r="J714" s="2">
        <v>1</v>
      </c>
      <c r="K714" s="2" t="s">
        <v>82</v>
      </c>
      <c r="L714" s="2" t="s">
        <v>41</v>
      </c>
      <c r="M714" s="2" t="s">
        <v>135</v>
      </c>
      <c r="N714" s="2" t="s">
        <v>1059</v>
      </c>
      <c r="O714" s="2" t="s">
        <v>649</v>
      </c>
      <c r="P714" s="2" t="s">
        <v>5</v>
      </c>
      <c r="Q714" s="2">
        <f>INDEX(Tables!$C$4:$C$28,MATCH($P714,Tables!$B$4:$B$28,0))</f>
        <v>32</v>
      </c>
      <c r="R714" s="2">
        <f>INDEX(Tables!$D$4:$D$28,MATCH($P714,Tables!$B$4:$B$28,0))</f>
        <v>4</v>
      </c>
      <c r="S714" s="2">
        <f>$S713+$R713+INDEX(Tables!$N$5:$Q$8,MATCH(MOD($S713+$R713,4),Tables!$M$5:$M$8,0),MATCH($R714,Tables!$N$4:$Q$4,0))</f>
        <v>2512</v>
      </c>
      <c r="T714" s="2" t="str">
        <f t="shared" si="174"/>
        <v>09D0</v>
      </c>
      <c r="U714" s="2">
        <f t="shared" si="165"/>
        <v>628</v>
      </c>
      <c r="V714" s="2" t="str">
        <f t="shared" si="175"/>
        <v>274</v>
      </c>
      <c r="W714" s="2" t="str">
        <f t="shared" si="176"/>
        <v/>
      </c>
      <c r="X714" s="2" t="str">
        <f t="shared" si="162"/>
        <v/>
      </c>
      <c r="Y714" s="2" t="str">
        <f t="shared" si="163"/>
        <v/>
      </c>
      <c r="Z714" s="2" t="str">
        <f t="shared" si="164"/>
        <v>X</v>
      </c>
      <c r="AA714" s="2" t="str">
        <f t="shared" si="166"/>
        <v/>
      </c>
      <c r="AB714" s="2" t="str">
        <f t="shared" si="167"/>
        <v/>
      </c>
      <c r="AC714" s="2" t="str">
        <f t="shared" si="168"/>
        <v/>
      </c>
      <c r="AD714" s="2" t="str">
        <f t="shared" si="169"/>
        <v>(0)</v>
      </c>
      <c r="AE714" s="2" t="str">
        <f t="shared" si="170"/>
        <v/>
      </c>
      <c r="AF714" s="2" t="str">
        <f t="shared" si="171"/>
        <v/>
      </c>
      <c r="AG714" s="2" t="str">
        <f t="shared" si="172"/>
        <v/>
      </c>
      <c r="AH714" s="2" t="str">
        <f t="shared" si="173"/>
        <v/>
      </c>
    </row>
    <row r="715" spans="2:34" x14ac:dyDescent="0.25">
      <c r="B715" s="2" t="s">
        <v>1056</v>
      </c>
      <c r="D715" s="2" t="s">
        <v>1</v>
      </c>
      <c r="E715" s="2" t="s">
        <v>134</v>
      </c>
      <c r="F715" s="2" t="s">
        <v>1057</v>
      </c>
      <c r="G715" s="2" t="s">
        <v>1058</v>
      </c>
      <c r="H715" s="2" t="s">
        <v>650</v>
      </c>
      <c r="I715" s="2" t="s">
        <v>42</v>
      </c>
      <c r="J715" s="2">
        <v>1</v>
      </c>
      <c r="K715" s="2" t="s">
        <v>82</v>
      </c>
      <c r="L715" s="2" t="s">
        <v>41</v>
      </c>
      <c r="M715" s="2" t="s">
        <v>135</v>
      </c>
      <c r="N715" s="2" t="s">
        <v>1059</v>
      </c>
      <c r="O715" s="2" t="s">
        <v>651</v>
      </c>
      <c r="P715" s="2" t="s">
        <v>5</v>
      </c>
      <c r="Q715" s="2">
        <f>INDEX(Tables!$C$4:$C$28,MATCH($P715,Tables!$B$4:$B$28,0))</f>
        <v>32</v>
      </c>
      <c r="R715" s="2">
        <f>INDEX(Tables!$D$4:$D$28,MATCH($P715,Tables!$B$4:$B$28,0))</f>
        <v>4</v>
      </c>
      <c r="S715" s="2">
        <f>$S714+$R714+INDEX(Tables!$N$5:$Q$8,MATCH(MOD($S714+$R714,4),Tables!$M$5:$M$8,0),MATCH($R715,Tables!$N$4:$Q$4,0))</f>
        <v>2516</v>
      </c>
      <c r="T715" s="2" t="str">
        <f t="shared" si="174"/>
        <v>09D4</v>
      </c>
      <c r="U715" s="2">
        <f t="shared" si="165"/>
        <v>629</v>
      </c>
      <c r="V715" s="2" t="str">
        <f t="shared" si="175"/>
        <v>275</v>
      </c>
      <c r="W715" s="2" t="str">
        <f t="shared" si="176"/>
        <v/>
      </c>
      <c r="X715" s="2" t="str">
        <f t="shared" si="162"/>
        <v/>
      </c>
      <c r="Y715" s="2" t="str">
        <f t="shared" si="163"/>
        <v/>
      </c>
      <c r="Z715" s="2" t="str">
        <f t="shared" si="164"/>
        <v>X</v>
      </c>
      <c r="AA715" s="2" t="str">
        <f t="shared" si="166"/>
        <v/>
      </c>
      <c r="AB715" s="2" t="str">
        <f t="shared" si="167"/>
        <v/>
      </c>
      <c r="AC715" s="2" t="str">
        <f t="shared" si="168"/>
        <v/>
      </c>
      <c r="AD715" s="2" t="str">
        <f t="shared" si="169"/>
        <v>(0)</v>
      </c>
      <c r="AE715" s="2" t="str">
        <f t="shared" si="170"/>
        <v/>
      </c>
      <c r="AF715" s="2" t="str">
        <f t="shared" si="171"/>
        <v/>
      </c>
      <c r="AG715" s="2" t="str">
        <f t="shared" si="172"/>
        <v/>
      </c>
      <c r="AH715" s="2" t="str">
        <f t="shared" si="173"/>
        <v/>
      </c>
    </row>
    <row r="716" spans="2:34" x14ac:dyDescent="0.25">
      <c r="B716" s="2" t="s">
        <v>1056</v>
      </c>
      <c r="D716" s="2" t="s">
        <v>1</v>
      </c>
      <c r="E716" s="2" t="s">
        <v>134</v>
      </c>
      <c r="F716" s="2" t="s">
        <v>1057</v>
      </c>
      <c r="G716" s="2" t="s">
        <v>1058</v>
      </c>
      <c r="H716" s="2" t="s">
        <v>652</v>
      </c>
      <c r="I716" s="2" t="s">
        <v>42</v>
      </c>
      <c r="J716" s="2">
        <v>1</v>
      </c>
      <c r="K716" s="2" t="s">
        <v>82</v>
      </c>
      <c r="L716" s="2" t="s">
        <v>41</v>
      </c>
      <c r="M716" s="2" t="s">
        <v>135</v>
      </c>
      <c r="N716" s="2" t="s">
        <v>1059</v>
      </c>
      <c r="O716" s="2" t="s">
        <v>653</v>
      </c>
      <c r="P716" s="2" t="s">
        <v>5</v>
      </c>
      <c r="Q716" s="2">
        <f>INDEX(Tables!$C$4:$C$28,MATCH($P716,Tables!$B$4:$B$28,0))</f>
        <v>32</v>
      </c>
      <c r="R716" s="2">
        <f>INDEX(Tables!$D$4:$D$28,MATCH($P716,Tables!$B$4:$B$28,0))</f>
        <v>4</v>
      </c>
      <c r="S716" s="2">
        <f>$S715+$R715+INDEX(Tables!$N$5:$Q$8,MATCH(MOD($S715+$R715,4),Tables!$M$5:$M$8,0),MATCH($R716,Tables!$N$4:$Q$4,0))</f>
        <v>2520</v>
      </c>
      <c r="T716" s="2" t="str">
        <f t="shared" si="174"/>
        <v>09D8</v>
      </c>
      <c r="U716" s="2">
        <f t="shared" si="165"/>
        <v>630</v>
      </c>
      <c r="V716" s="2" t="str">
        <f t="shared" si="175"/>
        <v>276</v>
      </c>
      <c r="W716" s="2" t="str">
        <f t="shared" si="176"/>
        <v/>
      </c>
      <c r="X716" s="2" t="str">
        <f t="shared" si="162"/>
        <v/>
      </c>
      <c r="Y716" s="2" t="str">
        <f t="shared" si="163"/>
        <v/>
      </c>
      <c r="Z716" s="2" t="str">
        <f t="shared" si="164"/>
        <v>X</v>
      </c>
      <c r="AA716" s="2" t="str">
        <f t="shared" si="166"/>
        <v/>
      </c>
      <c r="AB716" s="2" t="str">
        <f t="shared" si="167"/>
        <v/>
      </c>
      <c r="AC716" s="2" t="str">
        <f t="shared" si="168"/>
        <v/>
      </c>
      <c r="AD716" s="2" t="str">
        <f t="shared" si="169"/>
        <v>(0)</v>
      </c>
      <c r="AE716" s="2" t="str">
        <f t="shared" si="170"/>
        <v/>
      </c>
      <c r="AF716" s="2" t="str">
        <f t="shared" si="171"/>
        <v/>
      </c>
      <c r="AG716" s="2" t="str">
        <f t="shared" si="172"/>
        <v/>
      </c>
      <c r="AH716" s="2" t="str">
        <f t="shared" si="173"/>
        <v/>
      </c>
    </row>
    <row r="717" spans="2:34" x14ac:dyDescent="0.25">
      <c r="B717" s="2" t="s">
        <v>1056</v>
      </c>
      <c r="D717" s="2" t="s">
        <v>1</v>
      </c>
      <c r="E717" s="2" t="s">
        <v>134</v>
      </c>
      <c r="F717" s="2" t="s">
        <v>1057</v>
      </c>
      <c r="G717" s="2" t="s">
        <v>1058</v>
      </c>
      <c r="H717" s="2" t="s">
        <v>654</v>
      </c>
      <c r="I717" s="2" t="s">
        <v>42</v>
      </c>
      <c r="J717" s="2">
        <v>1</v>
      </c>
      <c r="K717" s="2" t="s">
        <v>82</v>
      </c>
      <c r="L717" s="2" t="s">
        <v>41</v>
      </c>
      <c r="M717" s="2" t="s">
        <v>135</v>
      </c>
      <c r="N717" s="2" t="s">
        <v>1059</v>
      </c>
      <c r="O717" s="2" t="s">
        <v>655</v>
      </c>
      <c r="P717" s="2" t="s">
        <v>5</v>
      </c>
      <c r="Q717" s="2">
        <f>INDEX(Tables!$C$4:$C$28,MATCH($P717,Tables!$B$4:$B$28,0))</f>
        <v>32</v>
      </c>
      <c r="R717" s="2">
        <f>INDEX(Tables!$D$4:$D$28,MATCH($P717,Tables!$B$4:$B$28,0))</f>
        <v>4</v>
      </c>
      <c r="S717" s="2">
        <f>$S716+$R716+INDEX(Tables!$N$5:$Q$8,MATCH(MOD($S716+$R716,4),Tables!$M$5:$M$8,0),MATCH($R717,Tables!$N$4:$Q$4,0))</f>
        <v>2524</v>
      </c>
      <c r="T717" s="2" t="str">
        <f t="shared" si="174"/>
        <v>09DC</v>
      </c>
      <c r="U717" s="2">
        <f t="shared" si="165"/>
        <v>631</v>
      </c>
      <c r="V717" s="2" t="str">
        <f t="shared" si="175"/>
        <v>277</v>
      </c>
      <c r="W717" s="2" t="str">
        <f t="shared" si="176"/>
        <v/>
      </c>
      <c r="X717" s="2" t="str">
        <f t="shared" si="162"/>
        <v/>
      </c>
      <c r="Y717" s="2" t="str">
        <f t="shared" si="163"/>
        <v/>
      </c>
      <c r="Z717" s="2" t="str">
        <f t="shared" si="164"/>
        <v>X</v>
      </c>
      <c r="AA717" s="2" t="str">
        <f t="shared" si="166"/>
        <v/>
      </c>
      <c r="AB717" s="2" t="str">
        <f t="shared" si="167"/>
        <v/>
      </c>
      <c r="AC717" s="2" t="str">
        <f t="shared" si="168"/>
        <v/>
      </c>
      <c r="AD717" s="2" t="str">
        <f t="shared" si="169"/>
        <v>(0)</v>
      </c>
      <c r="AE717" s="2" t="str">
        <f t="shared" si="170"/>
        <v/>
      </c>
      <c r="AF717" s="2" t="str">
        <f t="shared" si="171"/>
        <v/>
      </c>
      <c r="AG717" s="2" t="str">
        <f t="shared" si="172"/>
        <v/>
      </c>
      <c r="AH717" s="2" t="str">
        <f t="shared" si="173"/>
        <v/>
      </c>
    </row>
    <row r="718" spans="2:34" x14ac:dyDescent="0.25">
      <c r="B718" s="2" t="s">
        <v>1056</v>
      </c>
      <c r="D718" s="2" t="s">
        <v>1</v>
      </c>
      <c r="E718" s="2" t="s">
        <v>134</v>
      </c>
      <c r="F718" s="2" t="s">
        <v>1057</v>
      </c>
      <c r="G718" s="2" t="s">
        <v>1058</v>
      </c>
      <c r="H718" s="2" t="s">
        <v>656</v>
      </c>
      <c r="I718" s="2" t="s">
        <v>42</v>
      </c>
      <c r="J718" s="2">
        <v>1</v>
      </c>
      <c r="K718" s="2" t="s">
        <v>82</v>
      </c>
      <c r="L718" s="2" t="s">
        <v>41</v>
      </c>
      <c r="M718" s="2" t="s">
        <v>135</v>
      </c>
      <c r="N718" s="2" t="s">
        <v>1059</v>
      </c>
      <c r="O718" s="2" t="s">
        <v>657</v>
      </c>
      <c r="P718" s="2" t="s">
        <v>5</v>
      </c>
      <c r="Q718" s="2">
        <f>INDEX(Tables!$C$4:$C$28,MATCH($P718,Tables!$B$4:$B$28,0))</f>
        <v>32</v>
      </c>
      <c r="R718" s="2">
        <f>INDEX(Tables!$D$4:$D$28,MATCH($P718,Tables!$B$4:$B$28,0))</f>
        <v>4</v>
      </c>
      <c r="S718" s="2">
        <f>$S717+$R717+INDEX(Tables!$N$5:$Q$8,MATCH(MOD($S717+$R717,4),Tables!$M$5:$M$8,0),MATCH($R718,Tables!$N$4:$Q$4,0))</f>
        <v>2528</v>
      </c>
      <c r="T718" s="2" t="str">
        <f t="shared" si="174"/>
        <v>09E0</v>
      </c>
      <c r="U718" s="2">
        <f t="shared" si="165"/>
        <v>632</v>
      </c>
      <c r="V718" s="2" t="str">
        <f t="shared" si="175"/>
        <v>278</v>
      </c>
      <c r="W718" s="2" t="str">
        <f t="shared" si="176"/>
        <v/>
      </c>
      <c r="X718" s="2" t="str">
        <f t="shared" si="162"/>
        <v/>
      </c>
      <c r="Y718" s="2" t="str">
        <f t="shared" si="163"/>
        <v/>
      </c>
      <c r="Z718" s="2" t="str">
        <f t="shared" si="164"/>
        <v>X</v>
      </c>
      <c r="AA718" s="2" t="str">
        <f t="shared" si="166"/>
        <v/>
      </c>
      <c r="AB718" s="2" t="str">
        <f t="shared" si="167"/>
        <v/>
      </c>
      <c r="AC718" s="2" t="str">
        <f t="shared" si="168"/>
        <v/>
      </c>
      <c r="AD718" s="2" t="str">
        <f t="shared" si="169"/>
        <v>(0)</v>
      </c>
      <c r="AE718" s="2" t="str">
        <f t="shared" si="170"/>
        <v/>
      </c>
      <c r="AF718" s="2" t="str">
        <f t="shared" si="171"/>
        <v/>
      </c>
      <c r="AG718" s="2" t="str">
        <f t="shared" si="172"/>
        <v/>
      </c>
      <c r="AH718" s="2" t="str">
        <f t="shared" si="173"/>
        <v/>
      </c>
    </row>
    <row r="719" spans="2:34" x14ac:dyDescent="0.25">
      <c r="B719" s="2" t="s">
        <v>1056</v>
      </c>
      <c r="D719" s="2" t="s">
        <v>1</v>
      </c>
      <c r="E719" s="2" t="s">
        <v>134</v>
      </c>
      <c r="F719" s="2" t="s">
        <v>1057</v>
      </c>
      <c r="G719" s="2" t="s">
        <v>1058</v>
      </c>
      <c r="H719" s="2" t="s">
        <v>658</v>
      </c>
      <c r="I719" s="2" t="s">
        <v>42</v>
      </c>
      <c r="J719" s="2">
        <v>1</v>
      </c>
      <c r="K719" s="2" t="s">
        <v>82</v>
      </c>
      <c r="L719" s="2" t="s">
        <v>41</v>
      </c>
      <c r="M719" s="2" t="s">
        <v>135</v>
      </c>
      <c r="N719" s="2" t="s">
        <v>1059</v>
      </c>
      <c r="O719" s="2" t="s">
        <v>659</v>
      </c>
      <c r="P719" s="2" t="s">
        <v>5</v>
      </c>
      <c r="Q719" s="2">
        <f>INDEX(Tables!$C$4:$C$28,MATCH($P719,Tables!$B$4:$B$28,0))</f>
        <v>32</v>
      </c>
      <c r="R719" s="2">
        <f>INDEX(Tables!$D$4:$D$28,MATCH($P719,Tables!$B$4:$B$28,0))</f>
        <v>4</v>
      </c>
      <c r="S719" s="2">
        <f>$S718+$R718+INDEX(Tables!$N$5:$Q$8,MATCH(MOD($S718+$R718,4),Tables!$M$5:$M$8,0),MATCH($R719,Tables!$N$4:$Q$4,0))</f>
        <v>2532</v>
      </c>
      <c r="T719" s="2" t="str">
        <f t="shared" si="174"/>
        <v>09E4</v>
      </c>
      <c r="U719" s="2">
        <f t="shared" si="165"/>
        <v>633</v>
      </c>
      <c r="V719" s="2" t="str">
        <f t="shared" si="175"/>
        <v>279</v>
      </c>
      <c r="W719" s="2" t="str">
        <f t="shared" si="176"/>
        <v/>
      </c>
      <c r="X719" s="2" t="str">
        <f t="shared" si="162"/>
        <v/>
      </c>
      <c r="Y719" s="2" t="str">
        <f t="shared" si="163"/>
        <v/>
      </c>
      <c r="Z719" s="2" t="str">
        <f t="shared" si="164"/>
        <v>X</v>
      </c>
      <c r="AA719" s="2" t="str">
        <f t="shared" si="166"/>
        <v/>
      </c>
      <c r="AB719" s="2" t="str">
        <f t="shared" si="167"/>
        <v/>
      </c>
      <c r="AC719" s="2" t="str">
        <f t="shared" si="168"/>
        <v/>
      </c>
      <c r="AD719" s="2" t="str">
        <f t="shared" si="169"/>
        <v>(0)</v>
      </c>
      <c r="AE719" s="2" t="str">
        <f t="shared" si="170"/>
        <v/>
      </c>
      <c r="AF719" s="2" t="str">
        <f t="shared" si="171"/>
        <v/>
      </c>
      <c r="AG719" s="2" t="str">
        <f t="shared" si="172"/>
        <v/>
      </c>
      <c r="AH719" s="2" t="str">
        <f t="shared" si="173"/>
        <v/>
      </c>
    </row>
    <row r="720" spans="2:34" x14ac:dyDescent="0.25">
      <c r="B720" s="2" t="s">
        <v>1056</v>
      </c>
      <c r="D720" s="2" t="s">
        <v>1</v>
      </c>
      <c r="E720" s="2" t="s">
        <v>134</v>
      </c>
      <c r="F720" s="2" t="s">
        <v>1057</v>
      </c>
      <c r="G720" s="2" t="s">
        <v>1058</v>
      </c>
      <c r="H720" s="2" t="s">
        <v>660</v>
      </c>
      <c r="I720" s="2" t="s">
        <v>42</v>
      </c>
      <c r="J720" s="2">
        <v>1</v>
      </c>
      <c r="K720" s="2" t="s">
        <v>82</v>
      </c>
      <c r="L720" s="2" t="s">
        <v>41</v>
      </c>
      <c r="M720" s="2" t="s">
        <v>135</v>
      </c>
      <c r="N720" s="2" t="s">
        <v>1059</v>
      </c>
      <c r="O720" s="2" t="s">
        <v>661</v>
      </c>
      <c r="P720" s="2" t="s">
        <v>5</v>
      </c>
      <c r="Q720" s="2">
        <f>INDEX(Tables!$C$4:$C$28,MATCH($P720,Tables!$B$4:$B$28,0))</f>
        <v>32</v>
      </c>
      <c r="R720" s="2">
        <f>INDEX(Tables!$D$4:$D$28,MATCH($P720,Tables!$B$4:$B$28,0))</f>
        <v>4</v>
      </c>
      <c r="S720" s="2">
        <f>$S719+$R719+INDEX(Tables!$N$5:$Q$8,MATCH(MOD($S719+$R719,4),Tables!$M$5:$M$8,0),MATCH($R720,Tables!$N$4:$Q$4,0))</f>
        <v>2536</v>
      </c>
      <c r="T720" s="2" t="str">
        <f t="shared" si="174"/>
        <v>09E8</v>
      </c>
      <c r="U720" s="2">
        <f t="shared" si="165"/>
        <v>634</v>
      </c>
      <c r="V720" s="2" t="str">
        <f t="shared" si="175"/>
        <v>27A</v>
      </c>
      <c r="W720" s="2" t="str">
        <f t="shared" si="176"/>
        <v/>
      </c>
      <c r="X720" s="2" t="str">
        <f t="shared" si="162"/>
        <v/>
      </c>
      <c r="Y720" s="2" t="str">
        <f t="shared" si="163"/>
        <v/>
      </c>
      <c r="Z720" s="2" t="str">
        <f t="shared" si="164"/>
        <v>X</v>
      </c>
      <c r="AA720" s="2" t="str">
        <f t="shared" si="166"/>
        <v/>
      </c>
      <c r="AB720" s="2" t="str">
        <f t="shared" si="167"/>
        <v/>
      </c>
      <c r="AC720" s="2" t="str">
        <f t="shared" si="168"/>
        <v/>
      </c>
      <c r="AD720" s="2" t="str">
        <f t="shared" si="169"/>
        <v>(0)</v>
      </c>
      <c r="AE720" s="2" t="str">
        <f t="shared" si="170"/>
        <v/>
      </c>
      <c r="AF720" s="2" t="str">
        <f t="shared" si="171"/>
        <v/>
      </c>
      <c r="AG720" s="2" t="str">
        <f t="shared" si="172"/>
        <v/>
      </c>
      <c r="AH720" s="2" t="str">
        <f t="shared" si="173"/>
        <v/>
      </c>
    </row>
    <row r="721" spans="2:34" x14ac:dyDescent="0.25">
      <c r="B721" s="2" t="s">
        <v>1056</v>
      </c>
      <c r="D721" s="2" t="s">
        <v>1</v>
      </c>
      <c r="E721" s="2" t="s">
        <v>134</v>
      </c>
      <c r="F721" s="2" t="s">
        <v>1057</v>
      </c>
      <c r="G721" s="2" t="s">
        <v>1058</v>
      </c>
      <c r="H721" s="2" t="s">
        <v>662</v>
      </c>
      <c r="I721" s="2" t="s">
        <v>42</v>
      </c>
      <c r="J721" s="2">
        <v>1</v>
      </c>
      <c r="K721" s="2" t="s">
        <v>82</v>
      </c>
      <c r="L721" s="2" t="s">
        <v>41</v>
      </c>
      <c r="M721" s="2" t="s">
        <v>135</v>
      </c>
      <c r="N721" s="2" t="s">
        <v>1059</v>
      </c>
      <c r="O721" s="2" t="s">
        <v>663</v>
      </c>
      <c r="P721" s="2" t="s">
        <v>5</v>
      </c>
      <c r="Q721" s="2">
        <f>INDEX(Tables!$C$4:$C$28,MATCH($P721,Tables!$B$4:$B$28,0))</f>
        <v>32</v>
      </c>
      <c r="R721" s="2">
        <f>INDEX(Tables!$D$4:$D$28,MATCH($P721,Tables!$B$4:$B$28,0))</f>
        <v>4</v>
      </c>
      <c r="S721" s="2">
        <f>$S720+$R720+INDEX(Tables!$N$5:$Q$8,MATCH(MOD($S720+$R720,4),Tables!$M$5:$M$8,0),MATCH($R721,Tables!$N$4:$Q$4,0))</f>
        <v>2540</v>
      </c>
      <c r="T721" s="2" t="str">
        <f t="shared" si="174"/>
        <v>09EC</v>
      </c>
      <c r="U721" s="2">
        <f t="shared" si="165"/>
        <v>635</v>
      </c>
      <c r="V721" s="2" t="str">
        <f t="shared" si="175"/>
        <v>27B</v>
      </c>
      <c r="W721" s="2" t="str">
        <f t="shared" si="176"/>
        <v/>
      </c>
      <c r="X721" s="2" t="str">
        <f t="shared" si="162"/>
        <v/>
      </c>
      <c r="Y721" s="2" t="str">
        <f t="shared" si="163"/>
        <v/>
      </c>
      <c r="Z721" s="2" t="str">
        <f t="shared" si="164"/>
        <v>X</v>
      </c>
      <c r="AA721" s="2" t="str">
        <f t="shared" si="166"/>
        <v/>
      </c>
      <c r="AB721" s="2" t="str">
        <f t="shared" si="167"/>
        <v/>
      </c>
      <c r="AC721" s="2" t="str">
        <f t="shared" si="168"/>
        <v/>
      </c>
      <c r="AD721" s="2" t="str">
        <f t="shared" si="169"/>
        <v>(0)</v>
      </c>
      <c r="AE721" s="2" t="str">
        <f t="shared" si="170"/>
        <v/>
      </c>
      <c r="AF721" s="2" t="str">
        <f t="shared" si="171"/>
        <v/>
      </c>
      <c r="AG721" s="2" t="str">
        <f t="shared" si="172"/>
        <v/>
      </c>
      <c r="AH721" s="2" t="str">
        <f t="shared" si="173"/>
        <v/>
      </c>
    </row>
    <row r="722" spans="2:34" x14ac:dyDescent="0.25">
      <c r="B722" s="2" t="s">
        <v>1056</v>
      </c>
      <c r="D722" s="2" t="s">
        <v>1</v>
      </c>
      <c r="E722" s="2" t="s">
        <v>134</v>
      </c>
      <c r="F722" s="2" t="s">
        <v>1057</v>
      </c>
      <c r="G722" s="2" t="s">
        <v>1058</v>
      </c>
      <c r="H722" s="2" t="s">
        <v>664</v>
      </c>
      <c r="I722" s="2" t="s">
        <v>42</v>
      </c>
      <c r="J722" s="2">
        <v>1</v>
      </c>
      <c r="K722" s="2" t="s">
        <v>82</v>
      </c>
      <c r="L722" s="2" t="s">
        <v>41</v>
      </c>
      <c r="M722" s="2" t="s">
        <v>135</v>
      </c>
      <c r="N722" s="2" t="s">
        <v>1059</v>
      </c>
      <c r="O722" s="2" t="s">
        <v>665</v>
      </c>
      <c r="P722" s="2" t="s">
        <v>5</v>
      </c>
      <c r="Q722" s="2">
        <f>INDEX(Tables!$C$4:$C$28,MATCH($P722,Tables!$B$4:$B$28,0))</f>
        <v>32</v>
      </c>
      <c r="R722" s="2">
        <f>INDEX(Tables!$D$4:$D$28,MATCH($P722,Tables!$B$4:$B$28,0))</f>
        <v>4</v>
      </c>
      <c r="S722" s="2">
        <f>$S721+$R721+INDEX(Tables!$N$5:$Q$8,MATCH(MOD($S721+$R721,4),Tables!$M$5:$M$8,0),MATCH($R722,Tables!$N$4:$Q$4,0))</f>
        <v>2544</v>
      </c>
      <c r="T722" s="2" t="str">
        <f t="shared" si="174"/>
        <v>09F0</v>
      </c>
      <c r="U722" s="2">
        <f t="shared" si="165"/>
        <v>636</v>
      </c>
      <c r="V722" s="2" t="str">
        <f t="shared" si="175"/>
        <v>27C</v>
      </c>
      <c r="W722" s="2" t="str">
        <f t="shared" si="176"/>
        <v/>
      </c>
      <c r="X722" s="2" t="str">
        <f t="shared" si="162"/>
        <v/>
      </c>
      <c r="Y722" s="2" t="str">
        <f t="shared" si="163"/>
        <v/>
      </c>
      <c r="Z722" s="2" t="str">
        <f t="shared" si="164"/>
        <v>X</v>
      </c>
      <c r="AA722" s="2" t="str">
        <f t="shared" si="166"/>
        <v/>
      </c>
      <c r="AB722" s="2" t="str">
        <f t="shared" si="167"/>
        <v/>
      </c>
      <c r="AC722" s="2" t="str">
        <f t="shared" si="168"/>
        <v/>
      </c>
      <c r="AD722" s="2" t="str">
        <f t="shared" si="169"/>
        <v>(0)</v>
      </c>
      <c r="AE722" s="2" t="str">
        <f t="shared" si="170"/>
        <v/>
      </c>
      <c r="AF722" s="2" t="str">
        <f t="shared" si="171"/>
        <v/>
      </c>
      <c r="AG722" s="2" t="str">
        <f t="shared" si="172"/>
        <v/>
      </c>
      <c r="AH722" s="2" t="str">
        <f t="shared" si="173"/>
        <v/>
      </c>
    </row>
    <row r="723" spans="2:34" x14ac:dyDescent="0.25">
      <c r="B723" s="2" t="s">
        <v>1056</v>
      </c>
      <c r="D723" s="2" t="s">
        <v>1</v>
      </c>
      <c r="E723" s="2" t="s">
        <v>134</v>
      </c>
      <c r="F723" s="2" t="s">
        <v>1057</v>
      </c>
      <c r="G723" s="2" t="s">
        <v>1058</v>
      </c>
      <c r="H723" s="2" t="s">
        <v>666</v>
      </c>
      <c r="I723" s="2" t="s">
        <v>42</v>
      </c>
      <c r="J723" s="2">
        <v>1</v>
      </c>
      <c r="K723" s="2" t="s">
        <v>82</v>
      </c>
      <c r="L723" s="2" t="s">
        <v>41</v>
      </c>
      <c r="M723" s="2" t="s">
        <v>135</v>
      </c>
      <c r="N723" s="2" t="s">
        <v>1059</v>
      </c>
      <c r="O723" s="2" t="s">
        <v>667</v>
      </c>
      <c r="P723" s="2" t="s">
        <v>5</v>
      </c>
      <c r="Q723" s="2">
        <f>INDEX(Tables!$C$4:$C$28,MATCH($P723,Tables!$B$4:$B$28,0))</f>
        <v>32</v>
      </c>
      <c r="R723" s="2">
        <f>INDEX(Tables!$D$4:$D$28,MATCH($P723,Tables!$B$4:$B$28,0))</f>
        <v>4</v>
      </c>
      <c r="S723" s="2">
        <f>$S722+$R722+INDEX(Tables!$N$5:$Q$8,MATCH(MOD($S722+$R722,4),Tables!$M$5:$M$8,0),MATCH($R723,Tables!$N$4:$Q$4,0))</f>
        <v>2548</v>
      </c>
      <c r="T723" s="2" t="str">
        <f t="shared" si="174"/>
        <v>09F4</v>
      </c>
      <c r="U723" s="2">
        <f t="shared" si="165"/>
        <v>637</v>
      </c>
      <c r="V723" s="2" t="str">
        <f t="shared" si="175"/>
        <v>27D</v>
      </c>
      <c r="W723" s="2" t="str">
        <f t="shared" si="176"/>
        <v/>
      </c>
      <c r="X723" s="2" t="str">
        <f t="shared" ref="X723:X786" si="177">IF(MOD($S723,4)=2,"X",IF(AND(MOD($S723,4)=1,$J723&gt;8),"X",IF(AND(MOD($S723,4)=0,$J723&gt;16),"X","")))</f>
        <v/>
      </c>
      <c r="Y723" s="2" t="str">
        <f t="shared" ref="Y723:Y786" si="178">IF(MOD($S723,4)=1,"X",IF(AND(MOD($S723,4)=0,$J723&gt;8),"X",""))</f>
        <v/>
      </c>
      <c r="Z723" s="2" t="str">
        <f t="shared" ref="Z723:Z786" si="179">IF(MOD($S723,4)=0,"X","")</f>
        <v>X</v>
      </c>
      <c r="AA723" s="2" t="str">
        <f t="shared" si="166"/>
        <v/>
      </c>
      <c r="AB723" s="2" t="str">
        <f t="shared" si="167"/>
        <v/>
      </c>
      <c r="AC723" s="2" t="str">
        <f t="shared" si="168"/>
        <v/>
      </c>
      <c r="AD723" s="2" t="str">
        <f t="shared" si="169"/>
        <v>(0)</v>
      </c>
      <c r="AE723" s="2" t="str">
        <f t="shared" si="170"/>
        <v/>
      </c>
      <c r="AF723" s="2" t="str">
        <f t="shared" si="171"/>
        <v/>
      </c>
      <c r="AG723" s="2" t="str">
        <f t="shared" si="172"/>
        <v/>
      </c>
      <c r="AH723" s="2" t="str">
        <f t="shared" si="173"/>
        <v/>
      </c>
    </row>
    <row r="724" spans="2:34" x14ac:dyDescent="0.25">
      <c r="B724" s="2" t="s">
        <v>1056</v>
      </c>
      <c r="D724" s="2" t="s">
        <v>1</v>
      </c>
      <c r="E724" s="2" t="s">
        <v>134</v>
      </c>
      <c r="F724" s="2" t="s">
        <v>1057</v>
      </c>
      <c r="G724" s="2" t="s">
        <v>1058</v>
      </c>
      <c r="H724" s="2" t="s">
        <v>668</v>
      </c>
      <c r="I724" s="2" t="s">
        <v>42</v>
      </c>
      <c r="J724" s="2">
        <v>1</v>
      </c>
      <c r="K724" s="2" t="s">
        <v>82</v>
      </c>
      <c r="L724" s="2" t="s">
        <v>41</v>
      </c>
      <c r="M724" s="2" t="s">
        <v>135</v>
      </c>
      <c r="N724" s="2" t="s">
        <v>1059</v>
      </c>
      <c r="O724" s="2" t="s">
        <v>669</v>
      </c>
      <c r="P724" s="2" t="s">
        <v>5</v>
      </c>
      <c r="Q724" s="2">
        <f>INDEX(Tables!$C$4:$C$28,MATCH($P724,Tables!$B$4:$B$28,0))</f>
        <v>32</v>
      </c>
      <c r="R724" s="2">
        <f>INDEX(Tables!$D$4:$D$28,MATCH($P724,Tables!$B$4:$B$28,0))</f>
        <v>4</v>
      </c>
      <c r="S724" s="2">
        <f>$S723+$R723+INDEX(Tables!$N$5:$Q$8,MATCH(MOD($S723+$R723,4),Tables!$M$5:$M$8,0),MATCH($R724,Tables!$N$4:$Q$4,0))</f>
        <v>2552</v>
      </c>
      <c r="T724" s="2" t="str">
        <f t="shared" si="174"/>
        <v>09F8</v>
      </c>
      <c r="U724" s="2">
        <f t="shared" si="165"/>
        <v>638</v>
      </c>
      <c r="V724" s="2" t="str">
        <f t="shared" si="175"/>
        <v>27E</v>
      </c>
      <c r="W724" s="2" t="str">
        <f t="shared" si="176"/>
        <v/>
      </c>
      <c r="X724" s="2" t="str">
        <f t="shared" si="177"/>
        <v/>
      </c>
      <c r="Y724" s="2" t="str">
        <f t="shared" si="178"/>
        <v/>
      </c>
      <c r="Z724" s="2" t="str">
        <f t="shared" si="179"/>
        <v>X</v>
      </c>
      <c r="AA724" s="2" t="str">
        <f t="shared" si="166"/>
        <v/>
      </c>
      <c r="AB724" s="2" t="str">
        <f t="shared" si="167"/>
        <v/>
      </c>
      <c r="AC724" s="2" t="str">
        <f t="shared" si="168"/>
        <v/>
      </c>
      <c r="AD724" s="2" t="str">
        <f t="shared" si="169"/>
        <v>(0)</v>
      </c>
      <c r="AE724" s="2" t="str">
        <f t="shared" si="170"/>
        <v/>
      </c>
      <c r="AF724" s="2" t="str">
        <f t="shared" si="171"/>
        <v/>
      </c>
      <c r="AG724" s="2" t="str">
        <f t="shared" si="172"/>
        <v/>
      </c>
      <c r="AH724" s="2" t="str">
        <f t="shared" si="173"/>
        <v/>
      </c>
    </row>
    <row r="725" spans="2:34" x14ac:dyDescent="0.25">
      <c r="B725" s="2" t="s">
        <v>1056</v>
      </c>
      <c r="D725" s="2" t="s">
        <v>1</v>
      </c>
      <c r="E725" s="2" t="s">
        <v>134</v>
      </c>
      <c r="F725" s="2" t="s">
        <v>1057</v>
      </c>
      <c r="G725" s="2" t="s">
        <v>1058</v>
      </c>
      <c r="H725" s="2" t="s">
        <v>670</v>
      </c>
      <c r="I725" s="2" t="s">
        <v>42</v>
      </c>
      <c r="J725" s="2">
        <v>1</v>
      </c>
      <c r="K725" s="2" t="s">
        <v>82</v>
      </c>
      <c r="L725" s="2" t="s">
        <v>41</v>
      </c>
      <c r="M725" s="2" t="s">
        <v>135</v>
      </c>
      <c r="N725" s="2" t="s">
        <v>1059</v>
      </c>
      <c r="O725" s="2" t="s">
        <v>671</v>
      </c>
      <c r="P725" s="2" t="s">
        <v>5</v>
      </c>
      <c r="Q725" s="2">
        <f>INDEX(Tables!$C$4:$C$28,MATCH($P725,Tables!$B$4:$B$28,0))</f>
        <v>32</v>
      </c>
      <c r="R725" s="2">
        <f>INDEX(Tables!$D$4:$D$28,MATCH($P725,Tables!$B$4:$B$28,0))</f>
        <v>4</v>
      </c>
      <c r="S725" s="2">
        <f>$S724+$R724+INDEX(Tables!$N$5:$Q$8,MATCH(MOD($S724+$R724,4),Tables!$M$5:$M$8,0),MATCH($R725,Tables!$N$4:$Q$4,0))</f>
        <v>2556</v>
      </c>
      <c r="T725" s="2" t="str">
        <f t="shared" si="174"/>
        <v>09FC</v>
      </c>
      <c r="U725" s="2">
        <f t="shared" si="165"/>
        <v>639</v>
      </c>
      <c r="V725" s="2" t="str">
        <f t="shared" si="175"/>
        <v>27F</v>
      </c>
      <c r="W725" s="2" t="str">
        <f t="shared" si="176"/>
        <v/>
      </c>
      <c r="X725" s="2" t="str">
        <f t="shared" si="177"/>
        <v/>
      </c>
      <c r="Y725" s="2" t="str">
        <f t="shared" si="178"/>
        <v/>
      </c>
      <c r="Z725" s="2" t="str">
        <f t="shared" si="179"/>
        <v>X</v>
      </c>
      <c r="AA725" s="2" t="str">
        <f t="shared" si="166"/>
        <v/>
      </c>
      <c r="AB725" s="2" t="str">
        <f t="shared" si="167"/>
        <v/>
      </c>
      <c r="AC725" s="2" t="str">
        <f t="shared" si="168"/>
        <v/>
      </c>
      <c r="AD725" s="2" t="str">
        <f t="shared" si="169"/>
        <v>(0)</v>
      </c>
      <c r="AE725" s="2" t="str">
        <f t="shared" si="170"/>
        <v/>
      </c>
      <c r="AF725" s="2" t="str">
        <f t="shared" si="171"/>
        <v/>
      </c>
      <c r="AG725" s="2" t="str">
        <f t="shared" si="172"/>
        <v/>
      </c>
      <c r="AH725" s="2" t="str">
        <f t="shared" si="173"/>
        <v/>
      </c>
    </row>
    <row r="726" spans="2:34" x14ac:dyDescent="0.25">
      <c r="B726" s="2" t="s">
        <v>1056</v>
      </c>
      <c r="D726" s="2" t="s">
        <v>1</v>
      </c>
      <c r="E726" s="2" t="s">
        <v>134</v>
      </c>
      <c r="F726" s="2" t="s">
        <v>1057</v>
      </c>
      <c r="G726" s="2" t="s">
        <v>1058</v>
      </c>
      <c r="H726" s="2" t="s">
        <v>672</v>
      </c>
      <c r="I726" s="2" t="s">
        <v>42</v>
      </c>
      <c r="J726" s="2">
        <v>1</v>
      </c>
      <c r="K726" s="2" t="s">
        <v>82</v>
      </c>
      <c r="L726" s="2" t="s">
        <v>41</v>
      </c>
      <c r="M726" s="2" t="s">
        <v>135</v>
      </c>
      <c r="N726" s="2" t="s">
        <v>1059</v>
      </c>
      <c r="O726" s="2" t="s">
        <v>673</v>
      </c>
      <c r="P726" s="2" t="s">
        <v>5</v>
      </c>
      <c r="Q726" s="2">
        <f>INDEX(Tables!$C$4:$C$28,MATCH($P726,Tables!$B$4:$B$28,0))</f>
        <v>32</v>
      </c>
      <c r="R726" s="2">
        <f>INDEX(Tables!$D$4:$D$28,MATCH($P726,Tables!$B$4:$B$28,0))</f>
        <v>4</v>
      </c>
      <c r="S726" s="2">
        <f>$S725+$R725+INDEX(Tables!$N$5:$Q$8,MATCH(MOD($S725+$R725,4),Tables!$M$5:$M$8,0),MATCH($R726,Tables!$N$4:$Q$4,0))</f>
        <v>2560</v>
      </c>
      <c r="T726" s="2" t="str">
        <f t="shared" si="174"/>
        <v>0A00</v>
      </c>
      <c r="U726" s="2">
        <f t="shared" si="165"/>
        <v>640</v>
      </c>
      <c r="V726" s="2" t="str">
        <f t="shared" si="175"/>
        <v>280</v>
      </c>
      <c r="W726" s="2" t="str">
        <f t="shared" si="176"/>
        <v/>
      </c>
      <c r="X726" s="2" t="str">
        <f t="shared" si="177"/>
        <v/>
      </c>
      <c r="Y726" s="2" t="str">
        <f t="shared" si="178"/>
        <v/>
      </c>
      <c r="Z726" s="2" t="str">
        <f t="shared" si="179"/>
        <v>X</v>
      </c>
      <c r="AA726" s="2" t="str">
        <f t="shared" si="166"/>
        <v/>
      </c>
      <c r="AB726" s="2" t="str">
        <f t="shared" si="167"/>
        <v/>
      </c>
      <c r="AC726" s="2" t="str">
        <f t="shared" si="168"/>
        <v/>
      </c>
      <c r="AD726" s="2" t="str">
        <f t="shared" si="169"/>
        <v>(0)</v>
      </c>
      <c r="AE726" s="2" t="str">
        <f t="shared" si="170"/>
        <v/>
      </c>
      <c r="AF726" s="2" t="str">
        <f t="shared" si="171"/>
        <v/>
      </c>
      <c r="AG726" s="2" t="str">
        <f t="shared" si="172"/>
        <v/>
      </c>
      <c r="AH726" s="2" t="str">
        <f t="shared" si="173"/>
        <v/>
      </c>
    </row>
    <row r="727" spans="2:34" x14ac:dyDescent="0.25">
      <c r="B727" s="2" t="s">
        <v>1056</v>
      </c>
      <c r="D727" s="2" t="s">
        <v>1</v>
      </c>
      <c r="E727" s="2" t="s">
        <v>134</v>
      </c>
      <c r="F727" s="2" t="s">
        <v>1057</v>
      </c>
      <c r="G727" s="2" t="s">
        <v>1058</v>
      </c>
      <c r="H727" s="2" t="s">
        <v>674</v>
      </c>
      <c r="I727" s="2" t="s">
        <v>42</v>
      </c>
      <c r="J727" s="2">
        <v>1</v>
      </c>
      <c r="K727" s="2" t="s">
        <v>82</v>
      </c>
      <c r="L727" s="2" t="s">
        <v>41</v>
      </c>
      <c r="M727" s="2" t="s">
        <v>135</v>
      </c>
      <c r="N727" s="2" t="s">
        <v>1059</v>
      </c>
      <c r="O727" s="2" t="s">
        <v>675</v>
      </c>
      <c r="P727" s="2" t="s">
        <v>5</v>
      </c>
      <c r="Q727" s="2">
        <f>INDEX(Tables!$C$4:$C$28,MATCH($P727,Tables!$B$4:$B$28,0))</f>
        <v>32</v>
      </c>
      <c r="R727" s="2">
        <f>INDEX(Tables!$D$4:$D$28,MATCH($P727,Tables!$B$4:$B$28,0))</f>
        <v>4</v>
      </c>
      <c r="S727" s="2">
        <f>$S726+$R726+INDEX(Tables!$N$5:$Q$8,MATCH(MOD($S726+$R726,4),Tables!$M$5:$M$8,0),MATCH($R727,Tables!$N$4:$Q$4,0))</f>
        <v>2564</v>
      </c>
      <c r="T727" s="2" t="str">
        <f t="shared" si="174"/>
        <v>0A04</v>
      </c>
      <c r="U727" s="2">
        <f t="shared" si="165"/>
        <v>641</v>
      </c>
      <c r="V727" s="2" t="str">
        <f t="shared" si="175"/>
        <v>281</v>
      </c>
      <c r="W727" s="2" t="str">
        <f t="shared" si="176"/>
        <v/>
      </c>
      <c r="X727" s="2" t="str">
        <f t="shared" si="177"/>
        <v/>
      </c>
      <c r="Y727" s="2" t="str">
        <f t="shared" si="178"/>
        <v/>
      </c>
      <c r="Z727" s="2" t="str">
        <f t="shared" si="179"/>
        <v>X</v>
      </c>
      <c r="AA727" s="2" t="str">
        <f t="shared" si="166"/>
        <v/>
      </c>
      <c r="AB727" s="2" t="str">
        <f t="shared" si="167"/>
        <v/>
      </c>
      <c r="AC727" s="2" t="str">
        <f t="shared" si="168"/>
        <v/>
      </c>
      <c r="AD727" s="2" t="str">
        <f t="shared" si="169"/>
        <v>(0)</v>
      </c>
      <c r="AE727" s="2" t="str">
        <f t="shared" si="170"/>
        <v/>
      </c>
      <c r="AF727" s="2" t="str">
        <f t="shared" si="171"/>
        <v/>
      </c>
      <c r="AG727" s="2" t="str">
        <f t="shared" si="172"/>
        <v/>
      </c>
      <c r="AH727" s="2" t="str">
        <f t="shared" si="173"/>
        <v/>
      </c>
    </row>
    <row r="728" spans="2:34" x14ac:dyDescent="0.25">
      <c r="B728" s="2" t="s">
        <v>1056</v>
      </c>
      <c r="D728" s="2" t="s">
        <v>1</v>
      </c>
      <c r="E728" s="2" t="s">
        <v>134</v>
      </c>
      <c r="F728" s="2" t="s">
        <v>1057</v>
      </c>
      <c r="G728" s="2" t="s">
        <v>1058</v>
      </c>
      <c r="H728" s="2" t="s">
        <v>676</v>
      </c>
      <c r="I728" s="2" t="s">
        <v>42</v>
      </c>
      <c r="J728" s="2">
        <v>1</v>
      </c>
      <c r="K728" s="2" t="s">
        <v>82</v>
      </c>
      <c r="L728" s="2" t="s">
        <v>41</v>
      </c>
      <c r="M728" s="2" t="s">
        <v>135</v>
      </c>
      <c r="N728" s="2" t="s">
        <v>1059</v>
      </c>
      <c r="O728" s="2" t="s">
        <v>677</v>
      </c>
      <c r="P728" s="2" t="s">
        <v>5</v>
      </c>
      <c r="Q728" s="2">
        <f>INDEX(Tables!$C$4:$C$28,MATCH($P728,Tables!$B$4:$B$28,0))</f>
        <v>32</v>
      </c>
      <c r="R728" s="2">
        <f>INDEX(Tables!$D$4:$D$28,MATCH($P728,Tables!$B$4:$B$28,0))</f>
        <v>4</v>
      </c>
      <c r="S728" s="2">
        <f>$S727+$R727+INDEX(Tables!$N$5:$Q$8,MATCH(MOD($S727+$R727,4),Tables!$M$5:$M$8,0),MATCH($R728,Tables!$N$4:$Q$4,0))</f>
        <v>2568</v>
      </c>
      <c r="T728" s="2" t="str">
        <f t="shared" si="174"/>
        <v>0A08</v>
      </c>
      <c r="U728" s="2">
        <f t="shared" si="165"/>
        <v>642</v>
      </c>
      <c r="V728" s="2" t="str">
        <f t="shared" si="175"/>
        <v>282</v>
      </c>
      <c r="W728" s="2" t="str">
        <f t="shared" si="176"/>
        <v/>
      </c>
      <c r="X728" s="2" t="str">
        <f t="shared" si="177"/>
        <v/>
      </c>
      <c r="Y728" s="2" t="str">
        <f t="shared" si="178"/>
        <v/>
      </c>
      <c r="Z728" s="2" t="str">
        <f t="shared" si="179"/>
        <v>X</v>
      </c>
      <c r="AA728" s="2" t="str">
        <f t="shared" si="166"/>
        <v/>
      </c>
      <c r="AB728" s="2" t="str">
        <f t="shared" si="167"/>
        <v/>
      </c>
      <c r="AC728" s="2" t="str">
        <f t="shared" si="168"/>
        <v/>
      </c>
      <c r="AD728" s="2" t="str">
        <f t="shared" si="169"/>
        <v>(0)</v>
      </c>
      <c r="AE728" s="2" t="str">
        <f t="shared" si="170"/>
        <v/>
      </c>
      <c r="AF728" s="2" t="str">
        <f t="shared" si="171"/>
        <v/>
      </c>
      <c r="AG728" s="2" t="str">
        <f t="shared" si="172"/>
        <v/>
      </c>
      <c r="AH728" s="2" t="str">
        <f t="shared" si="173"/>
        <v/>
      </c>
    </row>
    <row r="729" spans="2:34" x14ac:dyDescent="0.25">
      <c r="B729" s="2" t="s">
        <v>1056</v>
      </c>
      <c r="D729" s="2" t="s">
        <v>1</v>
      </c>
      <c r="E729" s="2" t="s">
        <v>134</v>
      </c>
      <c r="F729" s="2" t="s">
        <v>1057</v>
      </c>
      <c r="G729" s="2" t="s">
        <v>1058</v>
      </c>
      <c r="H729" s="2" t="s">
        <v>678</v>
      </c>
      <c r="I729" s="2" t="s">
        <v>42</v>
      </c>
      <c r="J729" s="2">
        <v>1</v>
      </c>
      <c r="K729" s="2" t="s">
        <v>82</v>
      </c>
      <c r="L729" s="2" t="s">
        <v>41</v>
      </c>
      <c r="M729" s="2" t="s">
        <v>135</v>
      </c>
      <c r="N729" s="2" t="s">
        <v>1059</v>
      </c>
      <c r="O729" s="2" t="s">
        <v>679</v>
      </c>
      <c r="P729" s="2" t="s">
        <v>5</v>
      </c>
      <c r="Q729" s="2">
        <f>INDEX(Tables!$C$4:$C$28,MATCH($P729,Tables!$B$4:$B$28,0))</f>
        <v>32</v>
      </c>
      <c r="R729" s="2">
        <f>INDEX(Tables!$D$4:$D$28,MATCH($P729,Tables!$B$4:$B$28,0))</f>
        <v>4</v>
      </c>
      <c r="S729" s="2">
        <f>$S728+$R728+INDEX(Tables!$N$5:$Q$8,MATCH(MOD($S728+$R728,4),Tables!$M$5:$M$8,0),MATCH($R729,Tables!$N$4:$Q$4,0))</f>
        <v>2572</v>
      </c>
      <c r="T729" s="2" t="str">
        <f t="shared" si="174"/>
        <v>0A0C</v>
      </c>
      <c r="U729" s="2">
        <f t="shared" si="165"/>
        <v>643</v>
      </c>
      <c r="V729" s="2" t="str">
        <f t="shared" si="175"/>
        <v>283</v>
      </c>
      <c r="W729" s="2" t="str">
        <f t="shared" si="176"/>
        <v/>
      </c>
      <c r="X729" s="2" t="str">
        <f t="shared" si="177"/>
        <v/>
      </c>
      <c r="Y729" s="2" t="str">
        <f t="shared" si="178"/>
        <v/>
      </c>
      <c r="Z729" s="2" t="str">
        <f t="shared" si="179"/>
        <v>X</v>
      </c>
      <c r="AA729" s="2" t="str">
        <f t="shared" si="166"/>
        <v/>
      </c>
      <c r="AB729" s="2" t="str">
        <f t="shared" si="167"/>
        <v/>
      </c>
      <c r="AC729" s="2" t="str">
        <f t="shared" si="168"/>
        <v/>
      </c>
      <c r="AD729" s="2" t="str">
        <f t="shared" si="169"/>
        <v>(0)</v>
      </c>
      <c r="AE729" s="2" t="str">
        <f t="shared" si="170"/>
        <v/>
      </c>
      <c r="AF729" s="2" t="str">
        <f t="shared" si="171"/>
        <v/>
      </c>
      <c r="AG729" s="2" t="str">
        <f t="shared" si="172"/>
        <v/>
      </c>
      <c r="AH729" s="2" t="str">
        <f t="shared" si="173"/>
        <v/>
      </c>
    </row>
    <row r="730" spans="2:34" x14ac:dyDescent="0.25">
      <c r="B730" s="2" t="s">
        <v>1056</v>
      </c>
      <c r="D730" s="2" t="s">
        <v>1</v>
      </c>
      <c r="E730" s="2" t="s">
        <v>134</v>
      </c>
      <c r="F730" s="2" t="s">
        <v>1057</v>
      </c>
      <c r="G730" s="2" t="s">
        <v>1058</v>
      </c>
      <c r="H730" s="2" t="s">
        <v>680</v>
      </c>
      <c r="I730" s="2" t="s">
        <v>42</v>
      </c>
      <c r="J730" s="2">
        <v>1</v>
      </c>
      <c r="K730" s="2" t="s">
        <v>82</v>
      </c>
      <c r="L730" s="2" t="s">
        <v>41</v>
      </c>
      <c r="M730" s="2" t="s">
        <v>135</v>
      </c>
      <c r="N730" s="2" t="s">
        <v>1059</v>
      </c>
      <c r="O730" s="2" t="s">
        <v>681</v>
      </c>
      <c r="P730" s="2" t="s">
        <v>5</v>
      </c>
      <c r="Q730" s="2">
        <f>INDEX(Tables!$C$4:$C$28,MATCH($P730,Tables!$B$4:$B$28,0))</f>
        <v>32</v>
      </c>
      <c r="R730" s="2">
        <f>INDEX(Tables!$D$4:$D$28,MATCH($P730,Tables!$B$4:$B$28,0))</f>
        <v>4</v>
      </c>
      <c r="S730" s="2">
        <f>$S729+$R729+INDEX(Tables!$N$5:$Q$8,MATCH(MOD($S729+$R729,4),Tables!$M$5:$M$8,0),MATCH($R730,Tables!$N$4:$Q$4,0))</f>
        <v>2576</v>
      </c>
      <c r="T730" s="2" t="str">
        <f t="shared" si="174"/>
        <v>0A10</v>
      </c>
      <c r="U730" s="2">
        <f t="shared" si="165"/>
        <v>644</v>
      </c>
      <c r="V730" s="2" t="str">
        <f t="shared" si="175"/>
        <v>284</v>
      </c>
      <c r="W730" s="2" t="str">
        <f t="shared" si="176"/>
        <v/>
      </c>
      <c r="X730" s="2" t="str">
        <f t="shared" si="177"/>
        <v/>
      </c>
      <c r="Y730" s="2" t="str">
        <f t="shared" si="178"/>
        <v/>
      </c>
      <c r="Z730" s="2" t="str">
        <f t="shared" si="179"/>
        <v>X</v>
      </c>
      <c r="AA730" s="2" t="str">
        <f t="shared" si="166"/>
        <v/>
      </c>
      <c r="AB730" s="2" t="str">
        <f t="shared" si="167"/>
        <v/>
      </c>
      <c r="AC730" s="2" t="str">
        <f t="shared" si="168"/>
        <v/>
      </c>
      <c r="AD730" s="2" t="str">
        <f t="shared" si="169"/>
        <v>(0)</v>
      </c>
      <c r="AE730" s="2" t="str">
        <f t="shared" si="170"/>
        <v/>
      </c>
      <c r="AF730" s="2" t="str">
        <f t="shared" si="171"/>
        <v/>
      </c>
      <c r="AG730" s="2" t="str">
        <f t="shared" si="172"/>
        <v/>
      </c>
      <c r="AH730" s="2" t="str">
        <f t="shared" si="173"/>
        <v/>
      </c>
    </row>
    <row r="731" spans="2:34" x14ac:dyDescent="0.25">
      <c r="B731" s="2" t="s">
        <v>1056</v>
      </c>
      <c r="D731" s="2" t="s">
        <v>1</v>
      </c>
      <c r="E731" s="2" t="s">
        <v>134</v>
      </c>
      <c r="F731" s="2" t="s">
        <v>1057</v>
      </c>
      <c r="G731" s="2" t="s">
        <v>1058</v>
      </c>
      <c r="H731" s="2" t="s">
        <v>682</v>
      </c>
      <c r="I731" s="2" t="s">
        <v>42</v>
      </c>
      <c r="J731" s="2">
        <v>1</v>
      </c>
      <c r="K731" s="2" t="s">
        <v>82</v>
      </c>
      <c r="L731" s="2" t="s">
        <v>41</v>
      </c>
      <c r="M731" s="2" t="s">
        <v>135</v>
      </c>
      <c r="N731" s="2" t="s">
        <v>1059</v>
      </c>
      <c r="O731" s="2" t="s">
        <v>683</v>
      </c>
      <c r="P731" s="2" t="s">
        <v>5</v>
      </c>
      <c r="Q731" s="2">
        <f>INDEX(Tables!$C$4:$C$28,MATCH($P731,Tables!$B$4:$B$28,0))</f>
        <v>32</v>
      </c>
      <c r="R731" s="2">
        <f>INDEX(Tables!$D$4:$D$28,MATCH($P731,Tables!$B$4:$B$28,0))</f>
        <v>4</v>
      </c>
      <c r="S731" s="2">
        <f>$S730+$R730+INDEX(Tables!$N$5:$Q$8,MATCH(MOD($S730+$R730,4),Tables!$M$5:$M$8,0),MATCH($R731,Tables!$N$4:$Q$4,0))</f>
        <v>2580</v>
      </c>
      <c r="T731" s="2" t="str">
        <f t="shared" si="174"/>
        <v>0A14</v>
      </c>
      <c r="U731" s="2">
        <f t="shared" si="165"/>
        <v>645</v>
      </c>
      <c r="V731" s="2" t="str">
        <f t="shared" si="175"/>
        <v>285</v>
      </c>
      <c r="W731" s="2" t="str">
        <f t="shared" si="176"/>
        <v/>
      </c>
      <c r="X731" s="2" t="str">
        <f t="shared" si="177"/>
        <v/>
      </c>
      <c r="Y731" s="2" t="str">
        <f t="shared" si="178"/>
        <v/>
      </c>
      <c r="Z731" s="2" t="str">
        <f t="shared" si="179"/>
        <v>X</v>
      </c>
      <c r="AA731" s="2" t="str">
        <f t="shared" si="166"/>
        <v/>
      </c>
      <c r="AB731" s="2" t="str">
        <f t="shared" si="167"/>
        <v/>
      </c>
      <c r="AC731" s="2" t="str">
        <f t="shared" si="168"/>
        <v/>
      </c>
      <c r="AD731" s="2" t="str">
        <f t="shared" si="169"/>
        <v>(0)</v>
      </c>
      <c r="AE731" s="2" t="str">
        <f t="shared" si="170"/>
        <v/>
      </c>
      <c r="AF731" s="2" t="str">
        <f t="shared" si="171"/>
        <v/>
      </c>
      <c r="AG731" s="2" t="str">
        <f t="shared" si="172"/>
        <v/>
      </c>
      <c r="AH731" s="2" t="str">
        <f t="shared" si="173"/>
        <v/>
      </c>
    </row>
    <row r="732" spans="2:34" x14ac:dyDescent="0.25">
      <c r="B732" s="2" t="s">
        <v>1056</v>
      </c>
      <c r="D732" s="2" t="s">
        <v>1</v>
      </c>
      <c r="E732" s="2" t="s">
        <v>134</v>
      </c>
      <c r="F732" s="2" t="s">
        <v>1057</v>
      </c>
      <c r="G732" s="2" t="s">
        <v>1058</v>
      </c>
      <c r="H732" s="2" t="s">
        <v>684</v>
      </c>
      <c r="I732" s="2" t="s">
        <v>42</v>
      </c>
      <c r="J732" s="2">
        <v>1</v>
      </c>
      <c r="K732" s="2" t="s">
        <v>82</v>
      </c>
      <c r="L732" s="2" t="s">
        <v>41</v>
      </c>
      <c r="M732" s="2" t="s">
        <v>135</v>
      </c>
      <c r="N732" s="2" t="s">
        <v>1059</v>
      </c>
      <c r="O732" s="2" t="s">
        <v>685</v>
      </c>
      <c r="P732" s="2" t="s">
        <v>5</v>
      </c>
      <c r="Q732" s="2">
        <f>INDEX(Tables!$C$4:$C$28,MATCH($P732,Tables!$B$4:$B$28,0))</f>
        <v>32</v>
      </c>
      <c r="R732" s="2">
        <f>INDEX(Tables!$D$4:$D$28,MATCH($P732,Tables!$B$4:$B$28,0))</f>
        <v>4</v>
      </c>
      <c r="S732" s="2">
        <f>$S731+$R731+INDEX(Tables!$N$5:$Q$8,MATCH(MOD($S731+$R731,4),Tables!$M$5:$M$8,0),MATCH($R732,Tables!$N$4:$Q$4,0))</f>
        <v>2584</v>
      </c>
      <c r="T732" s="2" t="str">
        <f t="shared" si="174"/>
        <v>0A18</v>
      </c>
      <c r="U732" s="2">
        <f t="shared" si="165"/>
        <v>646</v>
      </c>
      <c r="V732" s="2" t="str">
        <f t="shared" si="175"/>
        <v>286</v>
      </c>
      <c r="W732" s="2" t="str">
        <f t="shared" si="176"/>
        <v/>
      </c>
      <c r="X732" s="2" t="str">
        <f t="shared" si="177"/>
        <v/>
      </c>
      <c r="Y732" s="2" t="str">
        <f t="shared" si="178"/>
        <v/>
      </c>
      <c r="Z732" s="2" t="str">
        <f t="shared" si="179"/>
        <v>X</v>
      </c>
      <c r="AA732" s="2" t="str">
        <f t="shared" si="166"/>
        <v/>
      </c>
      <c r="AB732" s="2" t="str">
        <f t="shared" si="167"/>
        <v/>
      </c>
      <c r="AC732" s="2" t="str">
        <f t="shared" si="168"/>
        <v/>
      </c>
      <c r="AD732" s="2" t="str">
        <f t="shared" si="169"/>
        <v>(0)</v>
      </c>
      <c r="AE732" s="2" t="str">
        <f t="shared" si="170"/>
        <v/>
      </c>
      <c r="AF732" s="2" t="str">
        <f t="shared" si="171"/>
        <v/>
      </c>
      <c r="AG732" s="2" t="str">
        <f t="shared" si="172"/>
        <v/>
      </c>
      <c r="AH732" s="2" t="str">
        <f t="shared" si="173"/>
        <v/>
      </c>
    </row>
    <row r="733" spans="2:34" x14ac:dyDescent="0.25">
      <c r="B733" s="2" t="s">
        <v>1056</v>
      </c>
      <c r="D733" s="2" t="s">
        <v>1</v>
      </c>
      <c r="E733" s="2" t="s">
        <v>134</v>
      </c>
      <c r="F733" s="2" t="s">
        <v>1057</v>
      </c>
      <c r="G733" s="2" t="s">
        <v>1058</v>
      </c>
      <c r="H733" s="2" t="s">
        <v>686</v>
      </c>
      <c r="I733" s="2" t="s">
        <v>42</v>
      </c>
      <c r="J733" s="2">
        <v>1</v>
      </c>
      <c r="K733" s="2" t="s">
        <v>82</v>
      </c>
      <c r="L733" s="2" t="s">
        <v>41</v>
      </c>
      <c r="M733" s="2" t="s">
        <v>135</v>
      </c>
      <c r="N733" s="2" t="s">
        <v>1059</v>
      </c>
      <c r="O733" s="2" t="s">
        <v>687</v>
      </c>
      <c r="P733" s="2" t="s">
        <v>5</v>
      </c>
      <c r="Q733" s="2">
        <f>INDEX(Tables!$C$4:$C$28,MATCH($P733,Tables!$B$4:$B$28,0))</f>
        <v>32</v>
      </c>
      <c r="R733" s="2">
        <f>INDEX(Tables!$D$4:$D$28,MATCH($P733,Tables!$B$4:$B$28,0))</f>
        <v>4</v>
      </c>
      <c r="S733" s="2">
        <f>$S732+$R732+INDEX(Tables!$N$5:$Q$8,MATCH(MOD($S732+$R732,4),Tables!$M$5:$M$8,0),MATCH($R733,Tables!$N$4:$Q$4,0))</f>
        <v>2588</v>
      </c>
      <c r="T733" s="2" t="str">
        <f t="shared" si="174"/>
        <v>0A1C</v>
      </c>
      <c r="U733" s="2">
        <f t="shared" si="165"/>
        <v>647</v>
      </c>
      <c r="V733" s="2" t="str">
        <f t="shared" si="175"/>
        <v>287</v>
      </c>
      <c r="W733" s="2" t="str">
        <f t="shared" si="176"/>
        <v/>
      </c>
      <c r="X733" s="2" t="str">
        <f t="shared" si="177"/>
        <v/>
      </c>
      <c r="Y733" s="2" t="str">
        <f t="shared" si="178"/>
        <v/>
      </c>
      <c r="Z733" s="2" t="str">
        <f t="shared" si="179"/>
        <v>X</v>
      </c>
      <c r="AA733" s="2" t="str">
        <f t="shared" si="166"/>
        <v/>
      </c>
      <c r="AB733" s="2" t="str">
        <f t="shared" si="167"/>
        <v/>
      </c>
      <c r="AC733" s="2" t="str">
        <f t="shared" si="168"/>
        <v/>
      </c>
      <c r="AD733" s="2" t="str">
        <f t="shared" si="169"/>
        <v>(0)</v>
      </c>
      <c r="AE733" s="2" t="str">
        <f t="shared" si="170"/>
        <v/>
      </c>
      <c r="AF733" s="2" t="str">
        <f t="shared" si="171"/>
        <v/>
      </c>
      <c r="AG733" s="2" t="str">
        <f t="shared" si="172"/>
        <v/>
      </c>
      <c r="AH733" s="2" t="str">
        <f t="shared" si="173"/>
        <v/>
      </c>
    </row>
    <row r="734" spans="2:34" x14ac:dyDescent="0.25">
      <c r="B734" s="2" t="s">
        <v>1056</v>
      </c>
      <c r="D734" s="2" t="s">
        <v>1</v>
      </c>
      <c r="E734" s="2" t="s">
        <v>134</v>
      </c>
      <c r="F734" s="2" t="s">
        <v>1057</v>
      </c>
      <c r="G734" s="2" t="s">
        <v>1058</v>
      </c>
      <c r="H734" s="2" t="s">
        <v>688</v>
      </c>
      <c r="I734" s="2" t="s">
        <v>42</v>
      </c>
      <c r="J734" s="2">
        <v>1</v>
      </c>
      <c r="K734" s="2" t="s">
        <v>82</v>
      </c>
      <c r="L734" s="2" t="s">
        <v>41</v>
      </c>
      <c r="M734" s="2" t="s">
        <v>135</v>
      </c>
      <c r="N734" s="2" t="s">
        <v>1059</v>
      </c>
      <c r="O734" s="2" t="s">
        <v>689</v>
      </c>
      <c r="P734" s="2" t="s">
        <v>5</v>
      </c>
      <c r="Q734" s="2">
        <f>INDEX(Tables!$C$4:$C$28,MATCH($P734,Tables!$B$4:$B$28,0))</f>
        <v>32</v>
      </c>
      <c r="R734" s="2">
        <f>INDEX(Tables!$D$4:$D$28,MATCH($P734,Tables!$B$4:$B$28,0))</f>
        <v>4</v>
      </c>
      <c r="S734" s="2">
        <f>$S733+$R733+INDEX(Tables!$N$5:$Q$8,MATCH(MOD($S733+$R733,4),Tables!$M$5:$M$8,0),MATCH($R734,Tables!$N$4:$Q$4,0))</f>
        <v>2592</v>
      </c>
      <c r="T734" s="2" t="str">
        <f t="shared" si="174"/>
        <v>0A20</v>
      </c>
      <c r="U734" s="2">
        <f t="shared" si="165"/>
        <v>648</v>
      </c>
      <c r="V734" s="2" t="str">
        <f t="shared" si="175"/>
        <v>288</v>
      </c>
      <c r="W734" s="2" t="str">
        <f t="shared" si="176"/>
        <v/>
      </c>
      <c r="X734" s="2" t="str">
        <f t="shared" si="177"/>
        <v/>
      </c>
      <c r="Y734" s="2" t="str">
        <f t="shared" si="178"/>
        <v/>
      </c>
      <c r="Z734" s="2" t="str">
        <f t="shared" si="179"/>
        <v>X</v>
      </c>
      <c r="AA734" s="2" t="str">
        <f t="shared" si="166"/>
        <v/>
      </c>
      <c r="AB734" s="2" t="str">
        <f t="shared" si="167"/>
        <v/>
      </c>
      <c r="AC734" s="2" t="str">
        <f t="shared" si="168"/>
        <v/>
      </c>
      <c r="AD734" s="2" t="str">
        <f t="shared" si="169"/>
        <v>(0)</v>
      </c>
      <c r="AE734" s="2" t="str">
        <f t="shared" si="170"/>
        <v/>
      </c>
      <c r="AF734" s="2" t="str">
        <f t="shared" si="171"/>
        <v/>
      </c>
      <c r="AG734" s="2" t="str">
        <f t="shared" si="172"/>
        <v/>
      </c>
      <c r="AH734" s="2" t="str">
        <f t="shared" si="173"/>
        <v/>
      </c>
    </row>
    <row r="735" spans="2:34" x14ac:dyDescent="0.25">
      <c r="B735" s="2" t="s">
        <v>1056</v>
      </c>
      <c r="D735" s="2" t="s">
        <v>1</v>
      </c>
      <c r="E735" s="2" t="s">
        <v>134</v>
      </c>
      <c r="F735" s="2" t="s">
        <v>1060</v>
      </c>
      <c r="G735" s="2" t="s">
        <v>1061</v>
      </c>
      <c r="H735" s="2" t="s">
        <v>692</v>
      </c>
      <c r="I735" s="2" t="s">
        <v>42</v>
      </c>
      <c r="J735" s="2">
        <v>1</v>
      </c>
      <c r="K735" s="2" t="s">
        <v>82</v>
      </c>
      <c r="L735" s="2" t="s">
        <v>41</v>
      </c>
      <c r="M735" s="2" t="s">
        <v>135</v>
      </c>
      <c r="N735" s="2" t="s">
        <v>1059</v>
      </c>
      <c r="O735" s="2" t="s">
        <v>693</v>
      </c>
      <c r="P735" s="2" t="s">
        <v>5</v>
      </c>
      <c r="Q735" s="2">
        <f>INDEX(Tables!$C$4:$C$28,MATCH($P735,Tables!$B$4:$B$28,0))</f>
        <v>32</v>
      </c>
      <c r="R735" s="2">
        <f>INDEX(Tables!$D$4:$D$28,MATCH($P735,Tables!$B$4:$B$28,0))</f>
        <v>4</v>
      </c>
      <c r="S735" s="2">
        <f>$S734+$R734+INDEX(Tables!$N$5:$Q$8,MATCH(MOD($S734+$R734,4),Tables!$M$5:$M$8,0),MATCH($R735,Tables!$N$4:$Q$4,0))</f>
        <v>2596</v>
      </c>
      <c r="T735" s="2" t="str">
        <f t="shared" si="174"/>
        <v>0A24</v>
      </c>
      <c r="U735" s="2">
        <f t="shared" si="165"/>
        <v>649</v>
      </c>
      <c r="V735" s="2" t="str">
        <f t="shared" si="175"/>
        <v>289</v>
      </c>
      <c r="W735" s="2" t="str">
        <f t="shared" si="176"/>
        <v/>
      </c>
      <c r="X735" s="2" t="str">
        <f t="shared" si="177"/>
        <v/>
      </c>
      <c r="Y735" s="2" t="str">
        <f t="shared" si="178"/>
        <v/>
      </c>
      <c r="Z735" s="2" t="str">
        <f t="shared" si="179"/>
        <v>X</v>
      </c>
      <c r="AA735" s="2" t="str">
        <f t="shared" si="166"/>
        <v/>
      </c>
      <c r="AB735" s="2" t="str">
        <f t="shared" si="167"/>
        <v/>
      </c>
      <c r="AC735" s="2" t="str">
        <f t="shared" si="168"/>
        <v/>
      </c>
      <c r="AD735" s="2" t="str">
        <f t="shared" si="169"/>
        <v>(0)</v>
      </c>
      <c r="AE735" s="2" t="str">
        <f t="shared" si="170"/>
        <v/>
      </c>
      <c r="AF735" s="2" t="str">
        <f t="shared" si="171"/>
        <v/>
      </c>
      <c r="AG735" s="2" t="str">
        <f t="shared" si="172"/>
        <v/>
      </c>
      <c r="AH735" s="2" t="str">
        <f t="shared" si="173"/>
        <v/>
      </c>
    </row>
    <row r="736" spans="2:34" x14ac:dyDescent="0.25">
      <c r="B736" s="2" t="s">
        <v>1056</v>
      </c>
      <c r="D736" s="2" t="s">
        <v>1</v>
      </c>
      <c r="E736" s="2" t="s">
        <v>134</v>
      </c>
      <c r="F736" s="2" t="s">
        <v>1060</v>
      </c>
      <c r="G736" s="2" t="s">
        <v>1061</v>
      </c>
      <c r="H736" s="2" t="s">
        <v>694</v>
      </c>
      <c r="I736" s="2" t="s">
        <v>42</v>
      </c>
      <c r="J736" s="2">
        <v>1</v>
      </c>
      <c r="K736" s="2" t="s">
        <v>136</v>
      </c>
      <c r="L736" s="2" t="s">
        <v>41</v>
      </c>
      <c r="M736" s="2" t="s">
        <v>135</v>
      </c>
      <c r="N736" s="2" t="s">
        <v>1059</v>
      </c>
      <c r="O736" s="2" t="s">
        <v>695</v>
      </c>
      <c r="P736" s="2" t="s">
        <v>5</v>
      </c>
      <c r="Q736" s="2">
        <f>INDEX(Tables!$C$4:$C$28,MATCH($P736,Tables!$B$4:$B$28,0))</f>
        <v>32</v>
      </c>
      <c r="R736" s="2">
        <f>INDEX(Tables!$D$4:$D$28,MATCH($P736,Tables!$B$4:$B$28,0))</f>
        <v>4</v>
      </c>
      <c r="S736" s="2">
        <f>$S735+$R735+INDEX(Tables!$N$5:$Q$8,MATCH(MOD($S735+$R735,4),Tables!$M$5:$M$8,0),MATCH($R736,Tables!$N$4:$Q$4,0))</f>
        <v>2600</v>
      </c>
      <c r="T736" s="2" t="str">
        <f t="shared" si="174"/>
        <v>0A28</v>
      </c>
      <c r="U736" s="2">
        <f t="shared" si="165"/>
        <v>650</v>
      </c>
      <c r="V736" s="2" t="str">
        <f t="shared" si="175"/>
        <v>28A</v>
      </c>
      <c r="W736" s="2" t="str">
        <f t="shared" si="176"/>
        <v/>
      </c>
      <c r="X736" s="2" t="str">
        <f t="shared" si="177"/>
        <v/>
      </c>
      <c r="Y736" s="2" t="str">
        <f t="shared" si="178"/>
        <v/>
      </c>
      <c r="Z736" s="2" t="str">
        <f t="shared" si="179"/>
        <v>X</v>
      </c>
      <c r="AA736" s="2" t="str">
        <f t="shared" si="166"/>
        <v/>
      </c>
      <c r="AB736" s="2" t="str">
        <f t="shared" si="167"/>
        <v/>
      </c>
      <c r="AC736" s="2" t="str">
        <f t="shared" si="168"/>
        <v/>
      </c>
      <c r="AD736" s="2" t="str">
        <f t="shared" si="169"/>
        <v>(0)</v>
      </c>
      <c r="AE736" s="2" t="str">
        <f t="shared" si="170"/>
        <v/>
      </c>
      <c r="AF736" s="2" t="str">
        <f t="shared" si="171"/>
        <v/>
      </c>
      <c r="AG736" s="2" t="str">
        <f t="shared" si="172"/>
        <v/>
      </c>
      <c r="AH736" s="2" t="str">
        <f t="shared" si="173"/>
        <v/>
      </c>
    </row>
    <row r="737" spans="2:34" x14ac:dyDescent="0.25">
      <c r="B737" s="2" t="s">
        <v>1056</v>
      </c>
      <c r="D737" s="2" t="s">
        <v>1</v>
      </c>
      <c r="E737" s="2" t="s">
        <v>134</v>
      </c>
      <c r="F737" s="2" t="s">
        <v>1060</v>
      </c>
      <c r="G737" s="2" t="s">
        <v>1061</v>
      </c>
      <c r="H737" s="2" t="s">
        <v>696</v>
      </c>
      <c r="I737" s="2" t="s">
        <v>42</v>
      </c>
      <c r="J737" s="2">
        <v>1</v>
      </c>
      <c r="K737" s="2" t="s">
        <v>82</v>
      </c>
      <c r="L737" s="2" t="s">
        <v>41</v>
      </c>
      <c r="M737" s="2" t="s">
        <v>135</v>
      </c>
      <c r="N737" s="2" t="s">
        <v>1059</v>
      </c>
      <c r="O737" s="2" t="s">
        <v>697</v>
      </c>
      <c r="P737" s="2" t="s">
        <v>5</v>
      </c>
      <c r="Q737" s="2">
        <f>INDEX(Tables!$C$4:$C$28,MATCH($P737,Tables!$B$4:$B$28,0))</f>
        <v>32</v>
      </c>
      <c r="R737" s="2">
        <f>INDEX(Tables!$D$4:$D$28,MATCH($P737,Tables!$B$4:$B$28,0))</f>
        <v>4</v>
      </c>
      <c r="S737" s="2">
        <f>$S736+$R736+INDEX(Tables!$N$5:$Q$8,MATCH(MOD($S736+$R736,4),Tables!$M$5:$M$8,0),MATCH($R737,Tables!$N$4:$Q$4,0))</f>
        <v>2604</v>
      </c>
      <c r="T737" s="2" t="str">
        <f t="shared" si="174"/>
        <v>0A2C</v>
      </c>
      <c r="U737" s="2">
        <f t="shared" si="165"/>
        <v>651</v>
      </c>
      <c r="V737" s="2" t="str">
        <f t="shared" si="175"/>
        <v>28B</v>
      </c>
      <c r="W737" s="2" t="str">
        <f t="shared" si="176"/>
        <v/>
      </c>
      <c r="X737" s="2" t="str">
        <f t="shared" si="177"/>
        <v/>
      </c>
      <c r="Y737" s="2" t="str">
        <f t="shared" si="178"/>
        <v/>
      </c>
      <c r="Z737" s="2" t="str">
        <f t="shared" si="179"/>
        <v>X</v>
      </c>
      <c r="AA737" s="2" t="str">
        <f t="shared" si="166"/>
        <v/>
      </c>
      <c r="AB737" s="2" t="str">
        <f t="shared" si="167"/>
        <v/>
      </c>
      <c r="AC737" s="2" t="str">
        <f t="shared" si="168"/>
        <v/>
      </c>
      <c r="AD737" s="2" t="str">
        <f t="shared" si="169"/>
        <v>(0)</v>
      </c>
      <c r="AE737" s="2" t="str">
        <f t="shared" si="170"/>
        <v/>
      </c>
      <c r="AF737" s="2" t="str">
        <f t="shared" si="171"/>
        <v/>
      </c>
      <c r="AG737" s="2" t="str">
        <f t="shared" si="172"/>
        <v/>
      </c>
      <c r="AH737" s="2" t="str">
        <f t="shared" si="173"/>
        <v/>
      </c>
    </row>
    <row r="738" spans="2:34" x14ac:dyDescent="0.25">
      <c r="B738" s="2" t="s">
        <v>1056</v>
      </c>
      <c r="D738" s="2" t="s">
        <v>1</v>
      </c>
      <c r="E738" s="2" t="s">
        <v>134</v>
      </c>
      <c r="F738" s="2" t="s">
        <v>1060</v>
      </c>
      <c r="G738" s="2" t="s">
        <v>1061</v>
      </c>
      <c r="H738" s="2" t="s">
        <v>698</v>
      </c>
      <c r="I738" s="2" t="s">
        <v>42</v>
      </c>
      <c r="J738" s="2">
        <v>1</v>
      </c>
      <c r="K738" s="2" t="s">
        <v>136</v>
      </c>
      <c r="L738" s="2" t="s">
        <v>41</v>
      </c>
      <c r="M738" s="2" t="s">
        <v>135</v>
      </c>
      <c r="N738" s="2" t="s">
        <v>1059</v>
      </c>
      <c r="O738" s="2" t="s">
        <v>699</v>
      </c>
      <c r="P738" s="2" t="s">
        <v>5</v>
      </c>
      <c r="Q738" s="2">
        <f>INDEX(Tables!$C$4:$C$28,MATCH($P738,Tables!$B$4:$B$28,0))</f>
        <v>32</v>
      </c>
      <c r="R738" s="2">
        <f>INDEX(Tables!$D$4:$D$28,MATCH($P738,Tables!$B$4:$B$28,0))</f>
        <v>4</v>
      </c>
      <c r="S738" s="2">
        <f>$S737+$R737+INDEX(Tables!$N$5:$Q$8,MATCH(MOD($S737+$R737,4),Tables!$M$5:$M$8,0),MATCH($R738,Tables!$N$4:$Q$4,0))</f>
        <v>2608</v>
      </c>
      <c r="T738" s="2" t="str">
        <f t="shared" si="174"/>
        <v>0A30</v>
      </c>
      <c r="U738" s="2">
        <f t="shared" si="165"/>
        <v>652</v>
      </c>
      <c r="V738" s="2" t="str">
        <f t="shared" si="175"/>
        <v>28C</v>
      </c>
      <c r="W738" s="2" t="str">
        <f t="shared" si="176"/>
        <v/>
      </c>
      <c r="X738" s="2" t="str">
        <f t="shared" si="177"/>
        <v/>
      </c>
      <c r="Y738" s="2" t="str">
        <f t="shared" si="178"/>
        <v/>
      </c>
      <c r="Z738" s="2" t="str">
        <f t="shared" si="179"/>
        <v>X</v>
      </c>
      <c r="AA738" s="2" t="str">
        <f t="shared" si="166"/>
        <v/>
      </c>
      <c r="AB738" s="2" t="str">
        <f t="shared" si="167"/>
        <v/>
      </c>
      <c r="AC738" s="2" t="str">
        <f t="shared" si="168"/>
        <v/>
      </c>
      <c r="AD738" s="2" t="str">
        <f t="shared" si="169"/>
        <v>(0)</v>
      </c>
      <c r="AE738" s="2" t="str">
        <f t="shared" si="170"/>
        <v/>
      </c>
      <c r="AF738" s="2" t="str">
        <f t="shared" si="171"/>
        <v/>
      </c>
      <c r="AG738" s="2" t="str">
        <f t="shared" si="172"/>
        <v/>
      </c>
      <c r="AH738" s="2" t="str">
        <f t="shared" si="173"/>
        <v/>
      </c>
    </row>
    <row r="739" spans="2:34" x14ac:dyDescent="0.25">
      <c r="B739" s="2" t="s">
        <v>1056</v>
      </c>
      <c r="D739" s="2" t="s">
        <v>1</v>
      </c>
      <c r="E739" s="2" t="s">
        <v>134</v>
      </c>
      <c r="F739" s="2" t="s">
        <v>1060</v>
      </c>
      <c r="G739" s="2" t="s">
        <v>1061</v>
      </c>
      <c r="H739" s="2" t="s">
        <v>700</v>
      </c>
      <c r="I739" s="2" t="s">
        <v>42</v>
      </c>
      <c r="J739" s="2">
        <v>1</v>
      </c>
      <c r="K739" s="2" t="s">
        <v>82</v>
      </c>
      <c r="L739" s="2" t="s">
        <v>41</v>
      </c>
      <c r="M739" s="2" t="s">
        <v>135</v>
      </c>
      <c r="N739" s="2" t="s">
        <v>1059</v>
      </c>
      <c r="O739" s="2" t="s">
        <v>701</v>
      </c>
      <c r="P739" s="2" t="s">
        <v>5</v>
      </c>
      <c r="Q739" s="2">
        <f>INDEX(Tables!$C$4:$C$28,MATCH($P739,Tables!$B$4:$B$28,0))</f>
        <v>32</v>
      </c>
      <c r="R739" s="2">
        <f>INDEX(Tables!$D$4:$D$28,MATCH($P739,Tables!$B$4:$B$28,0))</f>
        <v>4</v>
      </c>
      <c r="S739" s="2">
        <f>$S738+$R738+INDEX(Tables!$N$5:$Q$8,MATCH(MOD($S738+$R738,4),Tables!$M$5:$M$8,0),MATCH($R739,Tables!$N$4:$Q$4,0))</f>
        <v>2612</v>
      </c>
      <c r="T739" s="2" t="str">
        <f t="shared" si="174"/>
        <v>0A34</v>
      </c>
      <c r="U739" s="2">
        <f t="shared" si="165"/>
        <v>653</v>
      </c>
      <c r="V739" s="2" t="str">
        <f t="shared" si="175"/>
        <v>28D</v>
      </c>
      <c r="W739" s="2" t="str">
        <f t="shared" si="176"/>
        <v/>
      </c>
      <c r="X739" s="2" t="str">
        <f t="shared" si="177"/>
        <v/>
      </c>
      <c r="Y739" s="2" t="str">
        <f t="shared" si="178"/>
        <v/>
      </c>
      <c r="Z739" s="2" t="str">
        <f t="shared" si="179"/>
        <v>X</v>
      </c>
      <c r="AA739" s="2" t="str">
        <f t="shared" si="166"/>
        <v/>
      </c>
      <c r="AB739" s="2" t="str">
        <f t="shared" si="167"/>
        <v/>
      </c>
      <c r="AC739" s="2" t="str">
        <f t="shared" si="168"/>
        <v/>
      </c>
      <c r="AD739" s="2" t="str">
        <f t="shared" si="169"/>
        <v>(0)</v>
      </c>
      <c r="AE739" s="2" t="str">
        <f t="shared" si="170"/>
        <v/>
      </c>
      <c r="AF739" s="2" t="str">
        <f t="shared" si="171"/>
        <v/>
      </c>
      <c r="AG739" s="2" t="str">
        <f t="shared" si="172"/>
        <v/>
      </c>
      <c r="AH739" s="2" t="str">
        <f t="shared" si="173"/>
        <v/>
      </c>
    </row>
    <row r="740" spans="2:34" x14ac:dyDescent="0.25">
      <c r="B740" s="2" t="s">
        <v>1056</v>
      </c>
      <c r="D740" s="2" t="s">
        <v>1</v>
      </c>
      <c r="E740" s="2" t="s">
        <v>134</v>
      </c>
      <c r="F740" s="2" t="s">
        <v>1060</v>
      </c>
      <c r="G740" s="2" t="s">
        <v>1061</v>
      </c>
      <c r="H740" s="2" t="s">
        <v>702</v>
      </c>
      <c r="I740" s="2" t="s">
        <v>42</v>
      </c>
      <c r="J740" s="2">
        <v>1</v>
      </c>
      <c r="K740" s="2" t="s">
        <v>136</v>
      </c>
      <c r="L740" s="2" t="s">
        <v>41</v>
      </c>
      <c r="M740" s="2" t="s">
        <v>135</v>
      </c>
      <c r="N740" s="2" t="s">
        <v>1059</v>
      </c>
      <c r="O740" s="2" t="s">
        <v>703</v>
      </c>
      <c r="P740" s="2" t="s">
        <v>5</v>
      </c>
      <c r="Q740" s="2">
        <f>INDEX(Tables!$C$4:$C$28,MATCH($P740,Tables!$B$4:$B$28,0))</f>
        <v>32</v>
      </c>
      <c r="R740" s="2">
        <f>INDEX(Tables!$D$4:$D$28,MATCH($P740,Tables!$B$4:$B$28,0))</f>
        <v>4</v>
      </c>
      <c r="S740" s="2">
        <f>$S739+$R739+INDEX(Tables!$N$5:$Q$8,MATCH(MOD($S739+$R739,4),Tables!$M$5:$M$8,0),MATCH($R740,Tables!$N$4:$Q$4,0))</f>
        <v>2616</v>
      </c>
      <c r="T740" s="2" t="str">
        <f t="shared" si="174"/>
        <v>0A38</v>
      </c>
      <c r="U740" s="2">
        <f t="shared" si="165"/>
        <v>654</v>
      </c>
      <c r="V740" s="2" t="str">
        <f t="shared" si="175"/>
        <v>28E</v>
      </c>
      <c r="W740" s="2" t="str">
        <f t="shared" si="176"/>
        <v/>
      </c>
      <c r="X740" s="2" t="str">
        <f t="shared" si="177"/>
        <v/>
      </c>
      <c r="Y740" s="2" t="str">
        <f t="shared" si="178"/>
        <v/>
      </c>
      <c r="Z740" s="2" t="str">
        <f t="shared" si="179"/>
        <v>X</v>
      </c>
      <c r="AA740" s="2" t="str">
        <f t="shared" si="166"/>
        <v/>
      </c>
      <c r="AB740" s="2" t="str">
        <f t="shared" si="167"/>
        <v/>
      </c>
      <c r="AC740" s="2" t="str">
        <f t="shared" si="168"/>
        <v/>
      </c>
      <c r="AD740" s="2" t="str">
        <f t="shared" si="169"/>
        <v>(0)</v>
      </c>
      <c r="AE740" s="2" t="str">
        <f t="shared" si="170"/>
        <v/>
      </c>
      <c r="AF740" s="2" t="str">
        <f t="shared" si="171"/>
        <v/>
      </c>
      <c r="AG740" s="2" t="str">
        <f t="shared" si="172"/>
        <v/>
      </c>
      <c r="AH740" s="2" t="str">
        <f t="shared" si="173"/>
        <v/>
      </c>
    </row>
    <row r="741" spans="2:34" x14ac:dyDescent="0.25">
      <c r="B741" s="2" t="s">
        <v>1056</v>
      </c>
      <c r="D741" s="2" t="s">
        <v>1</v>
      </c>
      <c r="E741" s="2" t="s">
        <v>134</v>
      </c>
      <c r="F741" s="2" t="s">
        <v>1060</v>
      </c>
      <c r="G741" s="2" t="s">
        <v>1061</v>
      </c>
      <c r="H741" s="2" t="s">
        <v>704</v>
      </c>
      <c r="I741" s="2" t="s">
        <v>42</v>
      </c>
      <c r="J741" s="2">
        <v>1</v>
      </c>
      <c r="K741" s="2" t="s">
        <v>136</v>
      </c>
      <c r="L741" s="2" t="s">
        <v>41</v>
      </c>
      <c r="M741" s="2" t="s">
        <v>135</v>
      </c>
      <c r="N741" s="2" t="s">
        <v>1059</v>
      </c>
      <c r="O741" s="2" t="s">
        <v>705</v>
      </c>
      <c r="P741" s="2" t="s">
        <v>5</v>
      </c>
      <c r="Q741" s="2">
        <f>INDEX(Tables!$C$4:$C$28,MATCH($P741,Tables!$B$4:$B$28,0))</f>
        <v>32</v>
      </c>
      <c r="R741" s="2">
        <f>INDEX(Tables!$D$4:$D$28,MATCH($P741,Tables!$B$4:$B$28,0))</f>
        <v>4</v>
      </c>
      <c r="S741" s="2">
        <f>$S740+$R740+INDEX(Tables!$N$5:$Q$8,MATCH(MOD($S740+$R740,4),Tables!$M$5:$M$8,0),MATCH($R741,Tables!$N$4:$Q$4,0))</f>
        <v>2620</v>
      </c>
      <c r="T741" s="2" t="str">
        <f t="shared" si="174"/>
        <v>0A3C</v>
      </c>
      <c r="U741" s="2">
        <f t="shared" si="165"/>
        <v>655</v>
      </c>
      <c r="V741" s="2" t="str">
        <f t="shared" si="175"/>
        <v>28F</v>
      </c>
      <c r="W741" s="2" t="str">
        <f t="shared" si="176"/>
        <v/>
      </c>
      <c r="X741" s="2" t="str">
        <f t="shared" si="177"/>
        <v/>
      </c>
      <c r="Y741" s="2" t="str">
        <f t="shared" si="178"/>
        <v/>
      </c>
      <c r="Z741" s="2" t="str">
        <f t="shared" si="179"/>
        <v>X</v>
      </c>
      <c r="AA741" s="2" t="str">
        <f t="shared" si="166"/>
        <v/>
      </c>
      <c r="AB741" s="2" t="str">
        <f t="shared" si="167"/>
        <v/>
      </c>
      <c r="AC741" s="2" t="str">
        <f t="shared" si="168"/>
        <v/>
      </c>
      <c r="AD741" s="2" t="str">
        <f t="shared" si="169"/>
        <v>(0)</v>
      </c>
      <c r="AE741" s="2" t="str">
        <f t="shared" si="170"/>
        <v/>
      </c>
      <c r="AF741" s="2" t="str">
        <f t="shared" si="171"/>
        <v/>
      </c>
      <c r="AG741" s="2" t="str">
        <f t="shared" si="172"/>
        <v/>
      </c>
      <c r="AH741" s="2" t="str">
        <f t="shared" si="173"/>
        <v/>
      </c>
    </row>
    <row r="742" spans="2:34" x14ac:dyDescent="0.25">
      <c r="B742" s="2" t="s">
        <v>1056</v>
      </c>
      <c r="D742" s="2" t="s">
        <v>1</v>
      </c>
      <c r="E742" s="2" t="s">
        <v>134</v>
      </c>
      <c r="F742" s="2" t="s">
        <v>1060</v>
      </c>
      <c r="G742" s="2" t="s">
        <v>1061</v>
      </c>
      <c r="H742" s="2" t="s">
        <v>706</v>
      </c>
      <c r="I742" s="2" t="s">
        <v>42</v>
      </c>
      <c r="J742" s="2">
        <v>1</v>
      </c>
      <c r="K742" s="2" t="s">
        <v>136</v>
      </c>
      <c r="L742" s="2" t="s">
        <v>41</v>
      </c>
      <c r="M742" s="2" t="s">
        <v>135</v>
      </c>
      <c r="N742" s="2" t="s">
        <v>1059</v>
      </c>
      <c r="O742" s="2" t="s">
        <v>707</v>
      </c>
      <c r="P742" s="2" t="s">
        <v>5</v>
      </c>
      <c r="Q742" s="2">
        <f>INDEX(Tables!$C$4:$C$28,MATCH($P742,Tables!$B$4:$B$28,0))</f>
        <v>32</v>
      </c>
      <c r="R742" s="2">
        <f>INDEX(Tables!$D$4:$D$28,MATCH($P742,Tables!$B$4:$B$28,0))</f>
        <v>4</v>
      </c>
      <c r="S742" s="2">
        <f>$S741+$R741+INDEX(Tables!$N$5:$Q$8,MATCH(MOD($S741+$R741,4),Tables!$M$5:$M$8,0),MATCH($R742,Tables!$N$4:$Q$4,0))</f>
        <v>2624</v>
      </c>
      <c r="T742" s="2" t="str">
        <f t="shared" si="174"/>
        <v>0A40</v>
      </c>
      <c r="U742" s="2">
        <f t="shared" si="165"/>
        <v>656</v>
      </c>
      <c r="V742" s="2" t="str">
        <f t="shared" si="175"/>
        <v>290</v>
      </c>
      <c r="W742" s="2" t="str">
        <f t="shared" si="176"/>
        <v/>
      </c>
      <c r="X742" s="2" t="str">
        <f t="shared" si="177"/>
        <v/>
      </c>
      <c r="Y742" s="2" t="str">
        <f t="shared" si="178"/>
        <v/>
      </c>
      <c r="Z742" s="2" t="str">
        <f t="shared" si="179"/>
        <v>X</v>
      </c>
      <c r="AA742" s="2" t="str">
        <f t="shared" si="166"/>
        <v/>
      </c>
      <c r="AB742" s="2" t="str">
        <f t="shared" si="167"/>
        <v/>
      </c>
      <c r="AC742" s="2" t="str">
        <f t="shared" si="168"/>
        <v/>
      </c>
      <c r="AD742" s="2" t="str">
        <f t="shared" si="169"/>
        <v>(0)</v>
      </c>
      <c r="AE742" s="2" t="str">
        <f t="shared" si="170"/>
        <v/>
      </c>
      <c r="AF742" s="2" t="str">
        <f t="shared" si="171"/>
        <v/>
      </c>
      <c r="AG742" s="2" t="str">
        <f t="shared" si="172"/>
        <v/>
      </c>
      <c r="AH742" s="2" t="str">
        <f t="shared" si="173"/>
        <v/>
      </c>
    </row>
    <row r="743" spans="2:34" x14ac:dyDescent="0.25">
      <c r="B743" s="2" t="s">
        <v>1056</v>
      </c>
      <c r="D743" s="2" t="s">
        <v>1</v>
      </c>
      <c r="E743" s="2" t="s">
        <v>134</v>
      </c>
      <c r="F743" s="2" t="s">
        <v>1060</v>
      </c>
      <c r="G743" s="2" t="s">
        <v>1061</v>
      </c>
      <c r="H743" s="2" t="s">
        <v>708</v>
      </c>
      <c r="I743" s="2" t="s">
        <v>42</v>
      </c>
      <c r="J743" s="2">
        <v>1</v>
      </c>
      <c r="K743" s="2" t="s">
        <v>82</v>
      </c>
      <c r="L743" s="2" t="s">
        <v>41</v>
      </c>
      <c r="M743" s="2" t="s">
        <v>135</v>
      </c>
      <c r="N743" s="2" t="s">
        <v>1059</v>
      </c>
      <c r="O743" s="2" t="s">
        <v>709</v>
      </c>
      <c r="P743" s="2" t="s">
        <v>5</v>
      </c>
      <c r="Q743" s="2">
        <f>INDEX(Tables!$C$4:$C$28,MATCH($P743,Tables!$B$4:$B$28,0))</f>
        <v>32</v>
      </c>
      <c r="R743" s="2">
        <f>INDEX(Tables!$D$4:$D$28,MATCH($P743,Tables!$B$4:$B$28,0))</f>
        <v>4</v>
      </c>
      <c r="S743" s="2">
        <f>$S742+$R742+INDEX(Tables!$N$5:$Q$8,MATCH(MOD($S742+$R742,4),Tables!$M$5:$M$8,0),MATCH($R743,Tables!$N$4:$Q$4,0))</f>
        <v>2628</v>
      </c>
      <c r="T743" s="2" t="str">
        <f t="shared" si="174"/>
        <v>0A44</v>
      </c>
      <c r="U743" s="2">
        <f t="shared" si="165"/>
        <v>657</v>
      </c>
      <c r="V743" s="2" t="str">
        <f t="shared" si="175"/>
        <v>291</v>
      </c>
      <c r="W743" s="2" t="str">
        <f t="shared" si="176"/>
        <v/>
      </c>
      <c r="X743" s="2" t="str">
        <f t="shared" si="177"/>
        <v/>
      </c>
      <c r="Y743" s="2" t="str">
        <f t="shared" si="178"/>
        <v/>
      </c>
      <c r="Z743" s="2" t="str">
        <f t="shared" si="179"/>
        <v>X</v>
      </c>
      <c r="AA743" s="2" t="str">
        <f t="shared" si="166"/>
        <v/>
      </c>
      <c r="AB743" s="2" t="str">
        <f t="shared" si="167"/>
        <v/>
      </c>
      <c r="AC743" s="2" t="str">
        <f t="shared" si="168"/>
        <v/>
      </c>
      <c r="AD743" s="2" t="str">
        <f t="shared" si="169"/>
        <v>(0)</v>
      </c>
      <c r="AE743" s="2" t="str">
        <f t="shared" si="170"/>
        <v/>
      </c>
      <c r="AF743" s="2" t="str">
        <f t="shared" si="171"/>
        <v/>
      </c>
      <c r="AG743" s="2" t="str">
        <f t="shared" si="172"/>
        <v/>
      </c>
      <c r="AH743" s="2" t="str">
        <f t="shared" si="173"/>
        <v/>
      </c>
    </row>
    <row r="744" spans="2:34" x14ac:dyDescent="0.25">
      <c r="B744" s="2" t="s">
        <v>1056</v>
      </c>
      <c r="D744" s="2" t="s">
        <v>1</v>
      </c>
      <c r="E744" s="2" t="s">
        <v>134</v>
      </c>
      <c r="F744" s="2" t="s">
        <v>1060</v>
      </c>
      <c r="G744" s="2" t="s">
        <v>1061</v>
      </c>
      <c r="H744" s="2" t="s">
        <v>710</v>
      </c>
      <c r="I744" s="2" t="s">
        <v>42</v>
      </c>
      <c r="J744" s="2">
        <v>1</v>
      </c>
      <c r="K744" s="2" t="s">
        <v>82</v>
      </c>
      <c r="L744" s="2" t="s">
        <v>41</v>
      </c>
      <c r="M744" s="2" t="s">
        <v>135</v>
      </c>
      <c r="N744" s="2" t="s">
        <v>1059</v>
      </c>
      <c r="O744" s="2" t="s">
        <v>711</v>
      </c>
      <c r="P744" s="2" t="s">
        <v>5</v>
      </c>
      <c r="Q744" s="2">
        <f>INDEX(Tables!$C$4:$C$28,MATCH($P744,Tables!$B$4:$B$28,0))</f>
        <v>32</v>
      </c>
      <c r="R744" s="2">
        <f>INDEX(Tables!$D$4:$D$28,MATCH($P744,Tables!$B$4:$B$28,0))</f>
        <v>4</v>
      </c>
      <c r="S744" s="2">
        <f>$S743+$R743+INDEX(Tables!$N$5:$Q$8,MATCH(MOD($S743+$R743,4),Tables!$M$5:$M$8,0),MATCH($R744,Tables!$N$4:$Q$4,0))</f>
        <v>2632</v>
      </c>
      <c r="T744" s="2" t="str">
        <f t="shared" si="174"/>
        <v>0A48</v>
      </c>
      <c r="U744" s="2">
        <f t="shared" si="165"/>
        <v>658</v>
      </c>
      <c r="V744" s="2" t="str">
        <f t="shared" si="175"/>
        <v>292</v>
      </c>
      <c r="W744" s="2" t="str">
        <f t="shared" si="176"/>
        <v/>
      </c>
      <c r="X744" s="2" t="str">
        <f t="shared" si="177"/>
        <v/>
      </c>
      <c r="Y744" s="2" t="str">
        <f t="shared" si="178"/>
        <v/>
      </c>
      <c r="Z744" s="2" t="str">
        <f t="shared" si="179"/>
        <v>X</v>
      </c>
      <c r="AA744" s="2" t="str">
        <f t="shared" si="166"/>
        <v/>
      </c>
      <c r="AB744" s="2" t="str">
        <f t="shared" si="167"/>
        <v/>
      </c>
      <c r="AC744" s="2" t="str">
        <f t="shared" si="168"/>
        <v/>
      </c>
      <c r="AD744" s="2" t="str">
        <f t="shared" si="169"/>
        <v>(0)</v>
      </c>
      <c r="AE744" s="2" t="str">
        <f t="shared" si="170"/>
        <v/>
      </c>
      <c r="AF744" s="2" t="str">
        <f t="shared" si="171"/>
        <v/>
      </c>
      <c r="AG744" s="2" t="str">
        <f t="shared" si="172"/>
        <v/>
      </c>
      <c r="AH744" s="2" t="str">
        <f t="shared" si="173"/>
        <v/>
      </c>
    </row>
    <row r="745" spans="2:34" x14ac:dyDescent="0.25">
      <c r="B745" s="2" t="s">
        <v>1056</v>
      </c>
      <c r="D745" s="2" t="s">
        <v>1</v>
      </c>
      <c r="E745" s="2" t="s">
        <v>134</v>
      </c>
      <c r="F745" s="2" t="s">
        <v>1060</v>
      </c>
      <c r="G745" s="2" t="s">
        <v>1061</v>
      </c>
      <c r="H745" s="2" t="s">
        <v>712</v>
      </c>
      <c r="I745" s="2" t="s">
        <v>42</v>
      </c>
      <c r="J745" s="2">
        <v>1</v>
      </c>
      <c r="K745" s="2" t="s">
        <v>82</v>
      </c>
      <c r="L745" s="2" t="s">
        <v>41</v>
      </c>
      <c r="M745" s="2" t="s">
        <v>135</v>
      </c>
      <c r="N745" s="2" t="s">
        <v>1059</v>
      </c>
      <c r="O745" s="2" t="s">
        <v>713</v>
      </c>
      <c r="P745" s="2" t="s">
        <v>5</v>
      </c>
      <c r="Q745" s="2">
        <f>INDEX(Tables!$C$4:$C$28,MATCH($P745,Tables!$B$4:$B$28,0))</f>
        <v>32</v>
      </c>
      <c r="R745" s="2">
        <f>INDEX(Tables!$D$4:$D$28,MATCH($P745,Tables!$B$4:$B$28,0))</f>
        <v>4</v>
      </c>
      <c r="S745" s="2">
        <f>$S744+$R744+INDEX(Tables!$N$5:$Q$8,MATCH(MOD($S744+$R744,4),Tables!$M$5:$M$8,0),MATCH($R745,Tables!$N$4:$Q$4,0))</f>
        <v>2636</v>
      </c>
      <c r="T745" s="2" t="str">
        <f t="shared" si="174"/>
        <v>0A4C</v>
      </c>
      <c r="U745" s="2">
        <f t="shared" si="165"/>
        <v>659</v>
      </c>
      <c r="V745" s="2" t="str">
        <f t="shared" si="175"/>
        <v>293</v>
      </c>
      <c r="W745" s="2" t="str">
        <f t="shared" si="176"/>
        <v/>
      </c>
      <c r="X745" s="2" t="str">
        <f t="shared" si="177"/>
        <v/>
      </c>
      <c r="Y745" s="2" t="str">
        <f t="shared" si="178"/>
        <v/>
      </c>
      <c r="Z745" s="2" t="str">
        <f t="shared" si="179"/>
        <v>X</v>
      </c>
      <c r="AA745" s="2" t="str">
        <f t="shared" si="166"/>
        <v/>
      </c>
      <c r="AB745" s="2" t="str">
        <f t="shared" si="167"/>
        <v/>
      </c>
      <c r="AC745" s="2" t="str">
        <f t="shared" si="168"/>
        <v/>
      </c>
      <c r="AD745" s="2" t="str">
        <f t="shared" si="169"/>
        <v>(0)</v>
      </c>
      <c r="AE745" s="2" t="str">
        <f t="shared" si="170"/>
        <v/>
      </c>
      <c r="AF745" s="2" t="str">
        <f t="shared" si="171"/>
        <v/>
      </c>
      <c r="AG745" s="2" t="str">
        <f t="shared" si="172"/>
        <v/>
      </c>
      <c r="AH745" s="2" t="str">
        <f t="shared" si="173"/>
        <v/>
      </c>
    </row>
    <row r="746" spans="2:34" x14ac:dyDescent="0.25">
      <c r="B746" s="2" t="s">
        <v>1056</v>
      </c>
      <c r="D746" s="2" t="s">
        <v>1</v>
      </c>
      <c r="E746" s="2" t="s">
        <v>134</v>
      </c>
      <c r="F746" s="2" t="s">
        <v>1060</v>
      </c>
      <c r="G746" s="2" t="s">
        <v>1061</v>
      </c>
      <c r="H746" s="2" t="s">
        <v>714</v>
      </c>
      <c r="I746" s="2" t="s">
        <v>42</v>
      </c>
      <c r="J746" s="2">
        <v>1</v>
      </c>
      <c r="K746" s="2" t="s">
        <v>82</v>
      </c>
      <c r="L746" s="2" t="s">
        <v>41</v>
      </c>
      <c r="M746" s="2" t="s">
        <v>135</v>
      </c>
      <c r="N746" s="2" t="s">
        <v>1059</v>
      </c>
      <c r="O746" s="2" t="s">
        <v>715</v>
      </c>
      <c r="P746" s="2" t="s">
        <v>5</v>
      </c>
      <c r="Q746" s="2">
        <f>INDEX(Tables!$C$4:$C$28,MATCH($P746,Tables!$B$4:$B$28,0))</f>
        <v>32</v>
      </c>
      <c r="R746" s="2">
        <f>INDEX(Tables!$D$4:$D$28,MATCH($P746,Tables!$B$4:$B$28,0))</f>
        <v>4</v>
      </c>
      <c r="S746" s="2">
        <f>$S745+$R745+INDEX(Tables!$N$5:$Q$8,MATCH(MOD($S745+$R745,4),Tables!$M$5:$M$8,0),MATCH($R746,Tables!$N$4:$Q$4,0))</f>
        <v>2640</v>
      </c>
      <c r="T746" s="2" t="str">
        <f t="shared" si="174"/>
        <v>0A50</v>
      </c>
      <c r="U746" s="2">
        <f t="shared" ref="U746:U809" si="180">ROUNDDOWN(S746/4,0)</f>
        <v>660</v>
      </c>
      <c r="V746" s="2" t="str">
        <f t="shared" si="175"/>
        <v>294</v>
      </c>
      <c r="W746" s="2" t="str">
        <f t="shared" si="176"/>
        <v/>
      </c>
      <c r="X746" s="2" t="str">
        <f t="shared" si="177"/>
        <v/>
      </c>
      <c r="Y746" s="2" t="str">
        <f t="shared" si="178"/>
        <v/>
      </c>
      <c r="Z746" s="2" t="str">
        <f t="shared" si="179"/>
        <v>X</v>
      </c>
      <c r="AA746" s="2" t="str">
        <f t="shared" ref="AA746:AA809" si="181">IF(W746="","",CONCATENATE("(",IF(($J746-COUNTIF($X746:$Z746,"X")*8)=1,"24)",CONCATENATE(IF(($J746-COUNTIF($X746:$Z746,"X")*8)&gt;=8,32,($J746-COUNTIF($X746:$Z746,"X")*8)+24)-1," downto 24)"))))</f>
        <v/>
      </c>
      <c r="AB746" s="2" t="str">
        <f t="shared" ref="AB746:AB809" si="182">IF(X746="","",CONCATENATE("(",IF(($J746-COUNTIF($Y746:$Z746,"X")*8)=1,"16)",CONCATENATE(IF(($J746-COUNTIF($Y746:$Z746,"X")*8)&gt;=8,24,($J746-COUNTIF($Y746:$Z746,"X")*8)+16)-1," downto 16)"))))</f>
        <v/>
      </c>
      <c r="AC746" s="2" t="str">
        <f t="shared" ref="AC746:AC809" si="183">IF(Y746="","",CONCATENATE("(",IF(($J746-COUNTIF($Z746,"X")*8)=1,"8)",CONCATENATE(IF(($J746-COUNTIF($Z746,"X")*8)&gt;=8,16,($J746-COUNTIF($Z746,"X")*8)+8)-1," downto 8)"))))</f>
        <v/>
      </c>
      <c r="AD746" s="2" t="str">
        <f t="shared" ref="AD746:AD809" si="184">IF(Z746="","",CONCATENATE("(",IF($J746=1,"0)",CONCATENATE(IF($J746&gt;=8,8,$J746)-1," downto 0)"))))</f>
        <v>(0)</v>
      </c>
      <c r="AE746" s="2" t="str">
        <f t="shared" ref="AE746:AE809" si="185">IF(W746="","",IF($J746&lt;=8,"",IF(($J746-COUNTIF($X746:$Z746,"X")*8)=1,CONCATENATE("(",($J746-1),")"),CONCATENATE("(",IF(($J746-COUNTIF($X746:$Z746,"X")*8)&gt;=8,COUNTIF($X746:$Z746,"X")*8+7,$J746-COUNTIF($X746:$Z746,"X")*8-1+COUNTIF($X746:$Z746,"X")*8)," downto ",COUNTIF($X746:$Z746,"X")*8,")"))))</f>
        <v/>
      </c>
      <c r="AF746" s="2" t="str">
        <f t="shared" ref="AF746:AF809" si="186">IF(X746="","",IF($J746&lt;=8,"",IF(($J746-COUNTIF($Y746:$Z746,"X")*8)=1,CONCATENATE("(",($J746-1),")"),CONCATENATE("(",IF(($J746-COUNTIF($Y746:$Z746,"X")*8)&gt;=8,COUNTIF($Y746:$Z746,"X")*8+7,$J746-COUNTIF($Y746:$Z746,"X")*8-1+COUNTIF($Y746:$Z746,"X")*8)," downto ",COUNTIF($Y746:$Z746,"X")*8,")"))))</f>
        <v/>
      </c>
      <c r="AG746" s="2" t="str">
        <f t="shared" ref="AG746:AG809" si="187">IF(Y746="","",IF($J746&lt;=8,"",IF(($J746-COUNTIF($Z746,"X")*8)=1,CONCATENATE("(",($J746-1),")"),CONCATENATE("(",IF(($J746-COUNTIF($Z746,"X")*8)&gt;=8,COUNTIF($Z746,"X")*8+7,$J746-COUNTIF($Z746,"X")*8-1+COUNTIF($Z746,"X")*8)," downto ",COUNTIF($Z746,"X")*8,")"))))</f>
        <v/>
      </c>
      <c r="AH746" s="2" t="str">
        <f t="shared" ref="AH746:AH809" si="188">IF(Z746="","",IF($J746&lt;=8,"",CONCATENATE("(",IF($J746&gt;=8,7,$J746-1)," downto ",0,")")))</f>
        <v/>
      </c>
    </row>
    <row r="747" spans="2:34" x14ac:dyDescent="0.25">
      <c r="B747" s="2" t="s">
        <v>1056</v>
      </c>
      <c r="D747" s="2" t="s">
        <v>1</v>
      </c>
      <c r="E747" s="2" t="s">
        <v>134</v>
      </c>
      <c r="F747" s="2" t="s">
        <v>1060</v>
      </c>
      <c r="G747" s="2" t="s">
        <v>1061</v>
      </c>
      <c r="H747" s="2" t="s">
        <v>716</v>
      </c>
      <c r="I747" s="2" t="s">
        <v>42</v>
      </c>
      <c r="J747" s="2">
        <v>1</v>
      </c>
      <c r="K747" s="2" t="s">
        <v>82</v>
      </c>
      <c r="L747" s="2" t="s">
        <v>41</v>
      </c>
      <c r="M747" s="2" t="s">
        <v>135</v>
      </c>
      <c r="N747" s="2" t="s">
        <v>1059</v>
      </c>
      <c r="O747" s="2" t="s">
        <v>717</v>
      </c>
      <c r="P747" s="2" t="s">
        <v>5</v>
      </c>
      <c r="Q747" s="2">
        <f>INDEX(Tables!$C$4:$C$28,MATCH($P747,Tables!$B$4:$B$28,0))</f>
        <v>32</v>
      </c>
      <c r="R747" s="2">
        <f>INDEX(Tables!$D$4:$D$28,MATCH($P747,Tables!$B$4:$B$28,0))</f>
        <v>4</v>
      </c>
      <c r="S747" s="2">
        <f>$S746+$R746+INDEX(Tables!$N$5:$Q$8,MATCH(MOD($S746+$R746,4),Tables!$M$5:$M$8,0),MATCH($R747,Tables!$N$4:$Q$4,0))</f>
        <v>2644</v>
      </c>
      <c r="T747" s="2" t="str">
        <f t="shared" si="174"/>
        <v>0A54</v>
      </c>
      <c r="U747" s="2">
        <f t="shared" si="180"/>
        <v>661</v>
      </c>
      <c r="V747" s="2" t="str">
        <f t="shared" si="175"/>
        <v>295</v>
      </c>
      <c r="W747" s="2" t="str">
        <f t="shared" si="176"/>
        <v/>
      </c>
      <c r="X747" s="2" t="str">
        <f t="shared" si="177"/>
        <v/>
      </c>
      <c r="Y747" s="2" t="str">
        <f t="shared" si="178"/>
        <v/>
      </c>
      <c r="Z747" s="2" t="str">
        <f t="shared" si="179"/>
        <v>X</v>
      </c>
      <c r="AA747" s="2" t="str">
        <f t="shared" si="181"/>
        <v/>
      </c>
      <c r="AB747" s="2" t="str">
        <f t="shared" si="182"/>
        <v/>
      </c>
      <c r="AC747" s="2" t="str">
        <f t="shared" si="183"/>
        <v/>
      </c>
      <c r="AD747" s="2" t="str">
        <f t="shared" si="184"/>
        <v>(0)</v>
      </c>
      <c r="AE747" s="2" t="str">
        <f t="shared" si="185"/>
        <v/>
      </c>
      <c r="AF747" s="2" t="str">
        <f t="shared" si="186"/>
        <v/>
      </c>
      <c r="AG747" s="2" t="str">
        <f t="shared" si="187"/>
        <v/>
      </c>
      <c r="AH747" s="2" t="str">
        <f t="shared" si="188"/>
        <v/>
      </c>
    </row>
    <row r="748" spans="2:34" x14ac:dyDescent="0.25">
      <c r="B748" s="2" t="s">
        <v>1056</v>
      </c>
      <c r="D748" s="2" t="s">
        <v>1</v>
      </c>
      <c r="E748" s="2" t="s">
        <v>134</v>
      </c>
      <c r="F748" s="2" t="s">
        <v>1060</v>
      </c>
      <c r="G748" s="2" t="s">
        <v>1061</v>
      </c>
      <c r="H748" s="2" t="s">
        <v>718</v>
      </c>
      <c r="I748" s="2" t="s">
        <v>42</v>
      </c>
      <c r="J748" s="2">
        <v>1</v>
      </c>
      <c r="K748" s="2" t="s">
        <v>82</v>
      </c>
      <c r="L748" s="2" t="s">
        <v>41</v>
      </c>
      <c r="M748" s="2" t="s">
        <v>135</v>
      </c>
      <c r="N748" s="2" t="s">
        <v>1059</v>
      </c>
      <c r="O748" s="2" t="s">
        <v>719</v>
      </c>
      <c r="P748" s="2" t="s">
        <v>5</v>
      </c>
      <c r="Q748" s="2">
        <f>INDEX(Tables!$C$4:$C$28,MATCH($P748,Tables!$B$4:$B$28,0))</f>
        <v>32</v>
      </c>
      <c r="R748" s="2">
        <f>INDEX(Tables!$D$4:$D$28,MATCH($P748,Tables!$B$4:$B$28,0))</f>
        <v>4</v>
      </c>
      <c r="S748" s="2">
        <f>$S747+$R747+INDEX(Tables!$N$5:$Q$8,MATCH(MOD($S747+$R747,4),Tables!$M$5:$M$8,0),MATCH($R748,Tables!$N$4:$Q$4,0))</f>
        <v>2648</v>
      </c>
      <c r="T748" s="2" t="str">
        <f t="shared" si="174"/>
        <v>0A58</v>
      </c>
      <c r="U748" s="2">
        <f t="shared" si="180"/>
        <v>662</v>
      </c>
      <c r="V748" s="2" t="str">
        <f t="shared" si="175"/>
        <v>296</v>
      </c>
      <c r="W748" s="2" t="str">
        <f t="shared" si="176"/>
        <v/>
      </c>
      <c r="X748" s="2" t="str">
        <f t="shared" si="177"/>
        <v/>
      </c>
      <c r="Y748" s="2" t="str">
        <f t="shared" si="178"/>
        <v/>
      </c>
      <c r="Z748" s="2" t="str">
        <f t="shared" si="179"/>
        <v>X</v>
      </c>
      <c r="AA748" s="2" t="str">
        <f t="shared" si="181"/>
        <v/>
      </c>
      <c r="AB748" s="2" t="str">
        <f t="shared" si="182"/>
        <v/>
      </c>
      <c r="AC748" s="2" t="str">
        <f t="shared" si="183"/>
        <v/>
      </c>
      <c r="AD748" s="2" t="str">
        <f t="shared" si="184"/>
        <v>(0)</v>
      </c>
      <c r="AE748" s="2" t="str">
        <f t="shared" si="185"/>
        <v/>
      </c>
      <c r="AF748" s="2" t="str">
        <f t="shared" si="186"/>
        <v/>
      </c>
      <c r="AG748" s="2" t="str">
        <f t="shared" si="187"/>
        <v/>
      </c>
      <c r="AH748" s="2" t="str">
        <f t="shared" si="188"/>
        <v/>
      </c>
    </row>
    <row r="749" spans="2:34" x14ac:dyDescent="0.25">
      <c r="B749" s="2" t="s">
        <v>1056</v>
      </c>
      <c r="D749" s="2" t="s">
        <v>1</v>
      </c>
      <c r="E749" s="2" t="s">
        <v>134</v>
      </c>
      <c r="F749" s="2" t="s">
        <v>1060</v>
      </c>
      <c r="G749" s="2" t="s">
        <v>1061</v>
      </c>
      <c r="H749" s="2" t="s">
        <v>720</v>
      </c>
      <c r="I749" s="2" t="s">
        <v>42</v>
      </c>
      <c r="J749" s="2">
        <v>1</v>
      </c>
      <c r="K749" s="2" t="s">
        <v>82</v>
      </c>
      <c r="L749" s="2" t="s">
        <v>41</v>
      </c>
      <c r="M749" s="2" t="s">
        <v>135</v>
      </c>
      <c r="N749" s="2" t="s">
        <v>1059</v>
      </c>
      <c r="O749" s="2" t="s">
        <v>721</v>
      </c>
      <c r="P749" s="2" t="s">
        <v>5</v>
      </c>
      <c r="Q749" s="2">
        <f>INDEX(Tables!$C$4:$C$28,MATCH($P749,Tables!$B$4:$B$28,0))</f>
        <v>32</v>
      </c>
      <c r="R749" s="2">
        <f>INDEX(Tables!$D$4:$D$28,MATCH($P749,Tables!$B$4:$B$28,0))</f>
        <v>4</v>
      </c>
      <c r="S749" s="2">
        <f>$S748+$R748+INDEX(Tables!$N$5:$Q$8,MATCH(MOD($S748+$R748,4),Tables!$M$5:$M$8,0),MATCH($R749,Tables!$N$4:$Q$4,0))</f>
        <v>2652</v>
      </c>
      <c r="T749" s="2" t="str">
        <f t="shared" si="174"/>
        <v>0A5C</v>
      </c>
      <c r="U749" s="2">
        <f t="shared" si="180"/>
        <v>663</v>
      </c>
      <c r="V749" s="2" t="str">
        <f t="shared" si="175"/>
        <v>297</v>
      </c>
      <c r="W749" s="2" t="str">
        <f t="shared" si="176"/>
        <v/>
      </c>
      <c r="X749" s="2" t="str">
        <f t="shared" si="177"/>
        <v/>
      </c>
      <c r="Y749" s="2" t="str">
        <f t="shared" si="178"/>
        <v/>
      </c>
      <c r="Z749" s="2" t="str">
        <f t="shared" si="179"/>
        <v>X</v>
      </c>
      <c r="AA749" s="2" t="str">
        <f t="shared" si="181"/>
        <v/>
      </c>
      <c r="AB749" s="2" t="str">
        <f t="shared" si="182"/>
        <v/>
      </c>
      <c r="AC749" s="2" t="str">
        <f t="shared" si="183"/>
        <v/>
      </c>
      <c r="AD749" s="2" t="str">
        <f t="shared" si="184"/>
        <v>(0)</v>
      </c>
      <c r="AE749" s="2" t="str">
        <f t="shared" si="185"/>
        <v/>
      </c>
      <c r="AF749" s="2" t="str">
        <f t="shared" si="186"/>
        <v/>
      </c>
      <c r="AG749" s="2" t="str">
        <f t="shared" si="187"/>
        <v/>
      </c>
      <c r="AH749" s="2" t="str">
        <f t="shared" si="188"/>
        <v/>
      </c>
    </row>
    <row r="750" spans="2:34" x14ac:dyDescent="0.25">
      <c r="B750" s="2" t="s">
        <v>1056</v>
      </c>
      <c r="D750" s="2" t="s">
        <v>1</v>
      </c>
      <c r="E750" s="2" t="s">
        <v>134</v>
      </c>
      <c r="F750" s="2" t="s">
        <v>1060</v>
      </c>
      <c r="G750" s="2" t="s">
        <v>1061</v>
      </c>
      <c r="H750" s="2" t="s">
        <v>722</v>
      </c>
      <c r="I750" s="2" t="s">
        <v>42</v>
      </c>
      <c r="J750" s="2">
        <v>1</v>
      </c>
      <c r="K750" s="2" t="s">
        <v>82</v>
      </c>
      <c r="L750" s="2" t="s">
        <v>41</v>
      </c>
      <c r="M750" s="2" t="s">
        <v>135</v>
      </c>
      <c r="N750" s="2" t="s">
        <v>1059</v>
      </c>
      <c r="O750" s="2" t="s">
        <v>723</v>
      </c>
      <c r="P750" s="2" t="s">
        <v>5</v>
      </c>
      <c r="Q750" s="2">
        <f>INDEX(Tables!$C$4:$C$28,MATCH($P750,Tables!$B$4:$B$28,0))</f>
        <v>32</v>
      </c>
      <c r="R750" s="2">
        <f>INDEX(Tables!$D$4:$D$28,MATCH($P750,Tables!$B$4:$B$28,0))</f>
        <v>4</v>
      </c>
      <c r="S750" s="2">
        <f>$S749+$R749+INDEX(Tables!$N$5:$Q$8,MATCH(MOD($S749+$R749,4),Tables!$M$5:$M$8,0),MATCH($R750,Tables!$N$4:$Q$4,0))</f>
        <v>2656</v>
      </c>
      <c r="T750" s="2" t="str">
        <f t="shared" si="174"/>
        <v>0A60</v>
      </c>
      <c r="U750" s="2">
        <f t="shared" si="180"/>
        <v>664</v>
      </c>
      <c r="V750" s="2" t="str">
        <f t="shared" si="175"/>
        <v>298</v>
      </c>
      <c r="W750" s="2" t="str">
        <f t="shared" si="176"/>
        <v/>
      </c>
      <c r="X750" s="2" t="str">
        <f t="shared" si="177"/>
        <v/>
      </c>
      <c r="Y750" s="2" t="str">
        <f t="shared" si="178"/>
        <v/>
      </c>
      <c r="Z750" s="2" t="str">
        <f t="shared" si="179"/>
        <v>X</v>
      </c>
      <c r="AA750" s="2" t="str">
        <f t="shared" si="181"/>
        <v/>
      </c>
      <c r="AB750" s="2" t="str">
        <f t="shared" si="182"/>
        <v/>
      </c>
      <c r="AC750" s="2" t="str">
        <f t="shared" si="183"/>
        <v/>
      </c>
      <c r="AD750" s="2" t="str">
        <f t="shared" si="184"/>
        <v>(0)</v>
      </c>
      <c r="AE750" s="2" t="str">
        <f t="shared" si="185"/>
        <v/>
      </c>
      <c r="AF750" s="2" t="str">
        <f t="shared" si="186"/>
        <v/>
      </c>
      <c r="AG750" s="2" t="str">
        <f t="shared" si="187"/>
        <v/>
      </c>
      <c r="AH750" s="2" t="str">
        <f t="shared" si="188"/>
        <v/>
      </c>
    </row>
    <row r="751" spans="2:34" x14ac:dyDescent="0.25">
      <c r="B751" s="2" t="s">
        <v>1056</v>
      </c>
      <c r="D751" s="2" t="s">
        <v>1</v>
      </c>
      <c r="E751" s="2" t="s">
        <v>134</v>
      </c>
      <c r="F751" s="2" t="s">
        <v>1060</v>
      </c>
      <c r="G751" s="2" t="s">
        <v>1061</v>
      </c>
      <c r="H751" s="2" t="s">
        <v>724</v>
      </c>
      <c r="I751" s="2" t="s">
        <v>42</v>
      </c>
      <c r="J751" s="2">
        <v>1</v>
      </c>
      <c r="K751" s="2" t="s">
        <v>82</v>
      </c>
      <c r="L751" s="2" t="s">
        <v>41</v>
      </c>
      <c r="M751" s="2" t="s">
        <v>135</v>
      </c>
      <c r="N751" s="2" t="s">
        <v>1059</v>
      </c>
      <c r="O751" s="2" t="s">
        <v>725</v>
      </c>
      <c r="P751" s="2" t="s">
        <v>5</v>
      </c>
      <c r="Q751" s="2">
        <f>INDEX(Tables!$C$4:$C$28,MATCH($P751,Tables!$B$4:$B$28,0))</f>
        <v>32</v>
      </c>
      <c r="R751" s="2">
        <f>INDEX(Tables!$D$4:$D$28,MATCH($P751,Tables!$B$4:$B$28,0))</f>
        <v>4</v>
      </c>
      <c r="S751" s="2">
        <f>$S750+$R750+INDEX(Tables!$N$5:$Q$8,MATCH(MOD($S750+$R750,4),Tables!$M$5:$M$8,0),MATCH($R751,Tables!$N$4:$Q$4,0))</f>
        <v>2660</v>
      </c>
      <c r="T751" s="2" t="str">
        <f t="shared" si="174"/>
        <v>0A64</v>
      </c>
      <c r="U751" s="2">
        <f t="shared" si="180"/>
        <v>665</v>
      </c>
      <c r="V751" s="2" t="str">
        <f t="shared" si="175"/>
        <v>299</v>
      </c>
      <c r="W751" s="2" t="str">
        <f t="shared" si="176"/>
        <v/>
      </c>
      <c r="X751" s="2" t="str">
        <f t="shared" si="177"/>
        <v/>
      </c>
      <c r="Y751" s="2" t="str">
        <f t="shared" si="178"/>
        <v/>
      </c>
      <c r="Z751" s="2" t="str">
        <f t="shared" si="179"/>
        <v>X</v>
      </c>
      <c r="AA751" s="2" t="str">
        <f t="shared" si="181"/>
        <v/>
      </c>
      <c r="AB751" s="2" t="str">
        <f t="shared" si="182"/>
        <v/>
      </c>
      <c r="AC751" s="2" t="str">
        <f t="shared" si="183"/>
        <v/>
      </c>
      <c r="AD751" s="2" t="str">
        <f t="shared" si="184"/>
        <v>(0)</v>
      </c>
      <c r="AE751" s="2" t="str">
        <f t="shared" si="185"/>
        <v/>
      </c>
      <c r="AF751" s="2" t="str">
        <f t="shared" si="186"/>
        <v/>
      </c>
      <c r="AG751" s="2" t="str">
        <f t="shared" si="187"/>
        <v/>
      </c>
      <c r="AH751" s="2" t="str">
        <f t="shared" si="188"/>
        <v/>
      </c>
    </row>
    <row r="752" spans="2:34" x14ac:dyDescent="0.25">
      <c r="B752" s="2" t="s">
        <v>1056</v>
      </c>
      <c r="D752" s="2" t="s">
        <v>1</v>
      </c>
      <c r="E752" s="2" t="s">
        <v>134</v>
      </c>
      <c r="F752" s="2" t="s">
        <v>1060</v>
      </c>
      <c r="G752" s="2" t="s">
        <v>1061</v>
      </c>
      <c r="H752" s="2" t="s">
        <v>726</v>
      </c>
      <c r="I752" s="2" t="s">
        <v>42</v>
      </c>
      <c r="J752" s="2">
        <v>1</v>
      </c>
      <c r="K752" s="2" t="s">
        <v>82</v>
      </c>
      <c r="L752" s="2" t="s">
        <v>41</v>
      </c>
      <c r="M752" s="2" t="s">
        <v>135</v>
      </c>
      <c r="N752" s="2" t="s">
        <v>1059</v>
      </c>
      <c r="O752" s="2" t="s">
        <v>727</v>
      </c>
      <c r="P752" s="2" t="s">
        <v>5</v>
      </c>
      <c r="Q752" s="2">
        <f>INDEX(Tables!$C$4:$C$28,MATCH($P752,Tables!$B$4:$B$28,0))</f>
        <v>32</v>
      </c>
      <c r="R752" s="2">
        <f>INDEX(Tables!$D$4:$D$28,MATCH($P752,Tables!$B$4:$B$28,0))</f>
        <v>4</v>
      </c>
      <c r="S752" s="2">
        <f>$S751+$R751+INDEX(Tables!$N$5:$Q$8,MATCH(MOD($S751+$R751,4),Tables!$M$5:$M$8,0),MATCH($R752,Tables!$N$4:$Q$4,0))</f>
        <v>2664</v>
      </c>
      <c r="T752" s="2" t="str">
        <f t="shared" si="174"/>
        <v>0A68</v>
      </c>
      <c r="U752" s="2">
        <f t="shared" si="180"/>
        <v>666</v>
      </c>
      <c r="V752" s="2" t="str">
        <f t="shared" si="175"/>
        <v>29A</v>
      </c>
      <c r="W752" s="2" t="str">
        <f t="shared" si="176"/>
        <v/>
      </c>
      <c r="X752" s="2" t="str">
        <f t="shared" si="177"/>
        <v/>
      </c>
      <c r="Y752" s="2" t="str">
        <f t="shared" si="178"/>
        <v/>
      </c>
      <c r="Z752" s="2" t="str">
        <f t="shared" si="179"/>
        <v>X</v>
      </c>
      <c r="AA752" s="2" t="str">
        <f t="shared" si="181"/>
        <v/>
      </c>
      <c r="AB752" s="2" t="str">
        <f t="shared" si="182"/>
        <v/>
      </c>
      <c r="AC752" s="2" t="str">
        <f t="shared" si="183"/>
        <v/>
      </c>
      <c r="AD752" s="2" t="str">
        <f t="shared" si="184"/>
        <v>(0)</v>
      </c>
      <c r="AE752" s="2" t="str">
        <f t="shared" si="185"/>
        <v/>
      </c>
      <c r="AF752" s="2" t="str">
        <f t="shared" si="186"/>
        <v/>
      </c>
      <c r="AG752" s="2" t="str">
        <f t="shared" si="187"/>
        <v/>
      </c>
      <c r="AH752" s="2" t="str">
        <f t="shared" si="188"/>
        <v/>
      </c>
    </row>
    <row r="753" spans="2:34" x14ac:dyDescent="0.25">
      <c r="B753" s="2" t="s">
        <v>1056</v>
      </c>
      <c r="D753" s="2" t="s">
        <v>1</v>
      </c>
      <c r="E753" s="2" t="s">
        <v>134</v>
      </c>
      <c r="F753" s="2" t="s">
        <v>1060</v>
      </c>
      <c r="G753" s="2" t="s">
        <v>1061</v>
      </c>
      <c r="H753" s="2" t="s">
        <v>728</v>
      </c>
      <c r="I753" s="2" t="s">
        <v>42</v>
      </c>
      <c r="J753" s="2">
        <v>1</v>
      </c>
      <c r="K753" s="2" t="s">
        <v>82</v>
      </c>
      <c r="L753" s="2" t="s">
        <v>41</v>
      </c>
      <c r="M753" s="2" t="s">
        <v>135</v>
      </c>
      <c r="N753" s="2" t="s">
        <v>1059</v>
      </c>
      <c r="O753" s="2" t="s">
        <v>729</v>
      </c>
      <c r="P753" s="2" t="s">
        <v>5</v>
      </c>
      <c r="Q753" s="2">
        <f>INDEX(Tables!$C$4:$C$28,MATCH($P753,Tables!$B$4:$B$28,0))</f>
        <v>32</v>
      </c>
      <c r="R753" s="2">
        <f>INDEX(Tables!$D$4:$D$28,MATCH($P753,Tables!$B$4:$B$28,0))</f>
        <v>4</v>
      </c>
      <c r="S753" s="2">
        <f>$S752+$R752+INDEX(Tables!$N$5:$Q$8,MATCH(MOD($S752+$R752,4),Tables!$M$5:$M$8,0),MATCH($R753,Tables!$N$4:$Q$4,0))</f>
        <v>2668</v>
      </c>
      <c r="T753" s="2" t="str">
        <f t="shared" si="174"/>
        <v>0A6C</v>
      </c>
      <c r="U753" s="2">
        <f t="shared" si="180"/>
        <v>667</v>
      </c>
      <c r="V753" s="2" t="str">
        <f t="shared" si="175"/>
        <v>29B</v>
      </c>
      <c r="W753" s="2" t="str">
        <f t="shared" si="176"/>
        <v/>
      </c>
      <c r="X753" s="2" t="str">
        <f t="shared" si="177"/>
        <v/>
      </c>
      <c r="Y753" s="2" t="str">
        <f t="shared" si="178"/>
        <v/>
      </c>
      <c r="Z753" s="2" t="str">
        <f t="shared" si="179"/>
        <v>X</v>
      </c>
      <c r="AA753" s="2" t="str">
        <f t="shared" si="181"/>
        <v/>
      </c>
      <c r="AB753" s="2" t="str">
        <f t="shared" si="182"/>
        <v/>
      </c>
      <c r="AC753" s="2" t="str">
        <f t="shared" si="183"/>
        <v/>
      </c>
      <c r="AD753" s="2" t="str">
        <f t="shared" si="184"/>
        <v>(0)</v>
      </c>
      <c r="AE753" s="2" t="str">
        <f t="shared" si="185"/>
        <v/>
      </c>
      <c r="AF753" s="2" t="str">
        <f t="shared" si="186"/>
        <v/>
      </c>
      <c r="AG753" s="2" t="str">
        <f t="shared" si="187"/>
        <v/>
      </c>
      <c r="AH753" s="2" t="str">
        <f t="shared" si="188"/>
        <v/>
      </c>
    </row>
    <row r="754" spans="2:34" x14ac:dyDescent="0.25">
      <c r="B754" s="2" t="s">
        <v>1056</v>
      </c>
      <c r="D754" s="2" t="s">
        <v>1</v>
      </c>
      <c r="E754" s="2" t="s">
        <v>134</v>
      </c>
      <c r="F754" s="2" t="s">
        <v>1060</v>
      </c>
      <c r="G754" s="2" t="s">
        <v>1061</v>
      </c>
      <c r="H754" s="2" t="s">
        <v>730</v>
      </c>
      <c r="I754" s="2" t="s">
        <v>42</v>
      </c>
      <c r="J754" s="2">
        <v>1</v>
      </c>
      <c r="K754" s="2" t="s">
        <v>82</v>
      </c>
      <c r="L754" s="2" t="s">
        <v>41</v>
      </c>
      <c r="M754" s="2" t="s">
        <v>135</v>
      </c>
      <c r="N754" s="2" t="s">
        <v>1059</v>
      </c>
      <c r="O754" s="2" t="s">
        <v>731</v>
      </c>
      <c r="P754" s="2" t="s">
        <v>5</v>
      </c>
      <c r="Q754" s="2">
        <f>INDEX(Tables!$C$4:$C$28,MATCH($P754,Tables!$B$4:$B$28,0))</f>
        <v>32</v>
      </c>
      <c r="R754" s="2">
        <f>INDEX(Tables!$D$4:$D$28,MATCH($P754,Tables!$B$4:$B$28,0))</f>
        <v>4</v>
      </c>
      <c r="S754" s="2">
        <f>$S753+$R753+INDEX(Tables!$N$5:$Q$8,MATCH(MOD($S753+$R753,4),Tables!$M$5:$M$8,0),MATCH($R754,Tables!$N$4:$Q$4,0))</f>
        <v>2672</v>
      </c>
      <c r="T754" s="2" t="str">
        <f t="shared" si="174"/>
        <v>0A70</v>
      </c>
      <c r="U754" s="2">
        <f t="shared" si="180"/>
        <v>668</v>
      </c>
      <c r="V754" s="2" t="str">
        <f t="shared" si="175"/>
        <v>29C</v>
      </c>
      <c r="W754" s="2" t="str">
        <f t="shared" si="176"/>
        <v/>
      </c>
      <c r="X754" s="2" t="str">
        <f t="shared" si="177"/>
        <v/>
      </c>
      <c r="Y754" s="2" t="str">
        <f t="shared" si="178"/>
        <v/>
      </c>
      <c r="Z754" s="2" t="str">
        <f t="shared" si="179"/>
        <v>X</v>
      </c>
      <c r="AA754" s="2" t="str">
        <f t="shared" si="181"/>
        <v/>
      </c>
      <c r="AB754" s="2" t="str">
        <f t="shared" si="182"/>
        <v/>
      </c>
      <c r="AC754" s="2" t="str">
        <f t="shared" si="183"/>
        <v/>
      </c>
      <c r="AD754" s="2" t="str">
        <f t="shared" si="184"/>
        <v>(0)</v>
      </c>
      <c r="AE754" s="2" t="str">
        <f t="shared" si="185"/>
        <v/>
      </c>
      <c r="AF754" s="2" t="str">
        <f t="shared" si="186"/>
        <v/>
      </c>
      <c r="AG754" s="2" t="str">
        <f t="shared" si="187"/>
        <v/>
      </c>
      <c r="AH754" s="2" t="str">
        <f t="shared" si="188"/>
        <v/>
      </c>
    </row>
    <row r="755" spans="2:34" x14ac:dyDescent="0.25">
      <c r="B755" s="2" t="s">
        <v>1056</v>
      </c>
      <c r="D755" s="2" t="s">
        <v>1</v>
      </c>
      <c r="E755" s="2" t="s">
        <v>134</v>
      </c>
      <c r="F755" s="2" t="s">
        <v>1060</v>
      </c>
      <c r="G755" s="2" t="s">
        <v>1061</v>
      </c>
      <c r="H755" s="2" t="s">
        <v>732</v>
      </c>
      <c r="I755" s="2" t="s">
        <v>42</v>
      </c>
      <c r="J755" s="2">
        <v>1</v>
      </c>
      <c r="K755" s="2" t="s">
        <v>136</v>
      </c>
      <c r="L755" s="2" t="s">
        <v>41</v>
      </c>
      <c r="M755" s="2" t="s">
        <v>135</v>
      </c>
      <c r="N755" s="2" t="s">
        <v>1059</v>
      </c>
      <c r="O755" s="2" t="s">
        <v>733</v>
      </c>
      <c r="P755" s="2" t="s">
        <v>5</v>
      </c>
      <c r="Q755" s="2">
        <f>INDEX(Tables!$C$4:$C$28,MATCH($P755,Tables!$B$4:$B$28,0))</f>
        <v>32</v>
      </c>
      <c r="R755" s="2">
        <f>INDEX(Tables!$D$4:$D$28,MATCH($P755,Tables!$B$4:$B$28,0))</f>
        <v>4</v>
      </c>
      <c r="S755" s="2">
        <f>$S754+$R754+INDEX(Tables!$N$5:$Q$8,MATCH(MOD($S754+$R754,4),Tables!$M$5:$M$8,0),MATCH($R755,Tables!$N$4:$Q$4,0))</f>
        <v>2676</v>
      </c>
      <c r="T755" s="2" t="str">
        <f t="shared" si="174"/>
        <v>0A74</v>
      </c>
      <c r="U755" s="2">
        <f t="shared" si="180"/>
        <v>669</v>
      </c>
      <c r="V755" s="2" t="str">
        <f t="shared" si="175"/>
        <v>29D</v>
      </c>
      <c r="W755" s="2" t="str">
        <f t="shared" si="176"/>
        <v/>
      </c>
      <c r="X755" s="2" t="str">
        <f t="shared" si="177"/>
        <v/>
      </c>
      <c r="Y755" s="2" t="str">
        <f t="shared" si="178"/>
        <v/>
      </c>
      <c r="Z755" s="2" t="str">
        <f t="shared" si="179"/>
        <v>X</v>
      </c>
      <c r="AA755" s="2" t="str">
        <f t="shared" si="181"/>
        <v/>
      </c>
      <c r="AB755" s="2" t="str">
        <f t="shared" si="182"/>
        <v/>
      </c>
      <c r="AC755" s="2" t="str">
        <f t="shared" si="183"/>
        <v/>
      </c>
      <c r="AD755" s="2" t="str">
        <f t="shared" si="184"/>
        <v>(0)</v>
      </c>
      <c r="AE755" s="2" t="str">
        <f t="shared" si="185"/>
        <v/>
      </c>
      <c r="AF755" s="2" t="str">
        <f t="shared" si="186"/>
        <v/>
      </c>
      <c r="AG755" s="2" t="str">
        <f t="shared" si="187"/>
        <v/>
      </c>
      <c r="AH755" s="2" t="str">
        <f t="shared" si="188"/>
        <v/>
      </c>
    </row>
    <row r="756" spans="2:34" x14ac:dyDescent="0.25">
      <c r="B756" s="2" t="s">
        <v>1056</v>
      </c>
      <c r="D756" s="2" t="s">
        <v>1</v>
      </c>
      <c r="E756" s="2" t="s">
        <v>134</v>
      </c>
      <c r="F756" s="2" t="s">
        <v>1060</v>
      </c>
      <c r="G756" s="2" t="s">
        <v>1061</v>
      </c>
      <c r="H756" s="2" t="s">
        <v>734</v>
      </c>
      <c r="I756" s="2" t="s">
        <v>42</v>
      </c>
      <c r="J756" s="2">
        <v>1</v>
      </c>
      <c r="K756" s="2" t="s">
        <v>136</v>
      </c>
      <c r="L756" s="2" t="s">
        <v>41</v>
      </c>
      <c r="M756" s="2" t="s">
        <v>135</v>
      </c>
      <c r="N756" s="2" t="s">
        <v>1059</v>
      </c>
      <c r="O756" s="2" t="s">
        <v>735</v>
      </c>
      <c r="P756" s="2" t="s">
        <v>5</v>
      </c>
      <c r="Q756" s="2">
        <f>INDEX(Tables!$C$4:$C$28,MATCH($P756,Tables!$B$4:$B$28,0))</f>
        <v>32</v>
      </c>
      <c r="R756" s="2">
        <f>INDEX(Tables!$D$4:$D$28,MATCH($P756,Tables!$B$4:$B$28,0))</f>
        <v>4</v>
      </c>
      <c r="S756" s="2">
        <f>$S755+$R755+INDEX(Tables!$N$5:$Q$8,MATCH(MOD($S755+$R755,4),Tables!$M$5:$M$8,0),MATCH($R756,Tables!$N$4:$Q$4,0))</f>
        <v>2680</v>
      </c>
      <c r="T756" s="2" t="str">
        <f t="shared" si="174"/>
        <v>0A78</v>
      </c>
      <c r="U756" s="2">
        <f t="shared" si="180"/>
        <v>670</v>
      </c>
      <c r="V756" s="2" t="str">
        <f t="shared" si="175"/>
        <v>29E</v>
      </c>
      <c r="W756" s="2" t="str">
        <f t="shared" si="176"/>
        <v/>
      </c>
      <c r="X756" s="2" t="str">
        <f t="shared" si="177"/>
        <v/>
      </c>
      <c r="Y756" s="2" t="str">
        <f t="shared" si="178"/>
        <v/>
      </c>
      <c r="Z756" s="2" t="str">
        <f t="shared" si="179"/>
        <v>X</v>
      </c>
      <c r="AA756" s="2" t="str">
        <f t="shared" si="181"/>
        <v/>
      </c>
      <c r="AB756" s="2" t="str">
        <f t="shared" si="182"/>
        <v/>
      </c>
      <c r="AC756" s="2" t="str">
        <f t="shared" si="183"/>
        <v/>
      </c>
      <c r="AD756" s="2" t="str">
        <f t="shared" si="184"/>
        <v>(0)</v>
      </c>
      <c r="AE756" s="2" t="str">
        <f t="shared" si="185"/>
        <v/>
      </c>
      <c r="AF756" s="2" t="str">
        <f t="shared" si="186"/>
        <v/>
      </c>
      <c r="AG756" s="2" t="str">
        <f t="shared" si="187"/>
        <v/>
      </c>
      <c r="AH756" s="2" t="str">
        <f t="shared" si="188"/>
        <v/>
      </c>
    </row>
    <row r="757" spans="2:34" x14ac:dyDescent="0.25">
      <c r="B757" s="2" t="s">
        <v>1056</v>
      </c>
      <c r="D757" s="2" t="s">
        <v>1</v>
      </c>
      <c r="E757" s="2" t="s">
        <v>134</v>
      </c>
      <c r="F757" s="2" t="s">
        <v>1060</v>
      </c>
      <c r="G757" s="2" t="s">
        <v>1061</v>
      </c>
      <c r="H757" s="2" t="s">
        <v>736</v>
      </c>
      <c r="I757" s="2" t="s">
        <v>42</v>
      </c>
      <c r="J757" s="2">
        <v>1</v>
      </c>
      <c r="K757" s="2" t="s">
        <v>82</v>
      </c>
      <c r="L757" s="2" t="s">
        <v>41</v>
      </c>
      <c r="M757" s="2" t="s">
        <v>135</v>
      </c>
      <c r="N757" s="2" t="s">
        <v>1059</v>
      </c>
      <c r="O757" s="2" t="s">
        <v>737</v>
      </c>
      <c r="P757" s="2" t="s">
        <v>5</v>
      </c>
      <c r="Q757" s="2">
        <f>INDEX(Tables!$C$4:$C$28,MATCH($P757,Tables!$B$4:$B$28,0))</f>
        <v>32</v>
      </c>
      <c r="R757" s="2">
        <f>INDEX(Tables!$D$4:$D$28,MATCH($P757,Tables!$B$4:$B$28,0))</f>
        <v>4</v>
      </c>
      <c r="S757" s="2">
        <f>$S756+$R756+INDEX(Tables!$N$5:$Q$8,MATCH(MOD($S756+$R756,4),Tables!$M$5:$M$8,0),MATCH($R757,Tables!$N$4:$Q$4,0))</f>
        <v>2684</v>
      </c>
      <c r="T757" s="2" t="str">
        <f t="shared" si="174"/>
        <v>0A7C</v>
      </c>
      <c r="U757" s="2">
        <f t="shared" si="180"/>
        <v>671</v>
      </c>
      <c r="V757" s="2" t="str">
        <f t="shared" si="175"/>
        <v>29F</v>
      </c>
      <c r="W757" s="2" t="str">
        <f t="shared" si="176"/>
        <v/>
      </c>
      <c r="X757" s="2" t="str">
        <f t="shared" si="177"/>
        <v/>
      </c>
      <c r="Y757" s="2" t="str">
        <f t="shared" si="178"/>
        <v/>
      </c>
      <c r="Z757" s="2" t="str">
        <f t="shared" si="179"/>
        <v>X</v>
      </c>
      <c r="AA757" s="2" t="str">
        <f t="shared" si="181"/>
        <v/>
      </c>
      <c r="AB757" s="2" t="str">
        <f t="shared" si="182"/>
        <v/>
      </c>
      <c r="AC757" s="2" t="str">
        <f t="shared" si="183"/>
        <v/>
      </c>
      <c r="AD757" s="2" t="str">
        <f t="shared" si="184"/>
        <v>(0)</v>
      </c>
      <c r="AE757" s="2" t="str">
        <f t="shared" si="185"/>
        <v/>
      </c>
      <c r="AF757" s="2" t="str">
        <f t="shared" si="186"/>
        <v/>
      </c>
      <c r="AG757" s="2" t="str">
        <f t="shared" si="187"/>
        <v/>
      </c>
      <c r="AH757" s="2" t="str">
        <f t="shared" si="188"/>
        <v/>
      </c>
    </row>
    <row r="758" spans="2:34" x14ac:dyDescent="0.25">
      <c r="B758" s="2" t="s">
        <v>1056</v>
      </c>
      <c r="D758" s="2" t="s">
        <v>1</v>
      </c>
      <c r="E758" s="2" t="s">
        <v>134</v>
      </c>
      <c r="F758" s="2" t="s">
        <v>1060</v>
      </c>
      <c r="G758" s="2" t="s">
        <v>1061</v>
      </c>
      <c r="H758" s="2" t="s">
        <v>738</v>
      </c>
      <c r="I758" s="2" t="s">
        <v>42</v>
      </c>
      <c r="J758" s="2">
        <v>1</v>
      </c>
      <c r="K758" s="2" t="s">
        <v>82</v>
      </c>
      <c r="L758" s="2" t="s">
        <v>41</v>
      </c>
      <c r="M758" s="2" t="s">
        <v>135</v>
      </c>
      <c r="N758" s="2" t="s">
        <v>1059</v>
      </c>
      <c r="O758" s="2" t="s">
        <v>739</v>
      </c>
      <c r="P758" s="2" t="s">
        <v>5</v>
      </c>
      <c r="Q758" s="2">
        <f>INDEX(Tables!$C$4:$C$28,MATCH($P758,Tables!$B$4:$B$28,0))</f>
        <v>32</v>
      </c>
      <c r="R758" s="2">
        <f>INDEX(Tables!$D$4:$D$28,MATCH($P758,Tables!$B$4:$B$28,0))</f>
        <v>4</v>
      </c>
      <c r="S758" s="2">
        <f>$S757+$R757+INDEX(Tables!$N$5:$Q$8,MATCH(MOD($S757+$R757,4),Tables!$M$5:$M$8,0),MATCH($R758,Tables!$N$4:$Q$4,0))</f>
        <v>2688</v>
      </c>
      <c r="T758" s="2" t="str">
        <f t="shared" si="174"/>
        <v>0A80</v>
      </c>
      <c r="U758" s="2">
        <f t="shared" si="180"/>
        <v>672</v>
      </c>
      <c r="V758" s="2" t="str">
        <f t="shared" si="175"/>
        <v>2A0</v>
      </c>
      <c r="W758" s="2" t="str">
        <f t="shared" si="176"/>
        <v/>
      </c>
      <c r="X758" s="2" t="str">
        <f t="shared" si="177"/>
        <v/>
      </c>
      <c r="Y758" s="2" t="str">
        <f t="shared" si="178"/>
        <v/>
      </c>
      <c r="Z758" s="2" t="str">
        <f t="shared" si="179"/>
        <v>X</v>
      </c>
      <c r="AA758" s="2" t="str">
        <f t="shared" si="181"/>
        <v/>
      </c>
      <c r="AB758" s="2" t="str">
        <f t="shared" si="182"/>
        <v/>
      </c>
      <c r="AC758" s="2" t="str">
        <f t="shared" si="183"/>
        <v/>
      </c>
      <c r="AD758" s="2" t="str">
        <f t="shared" si="184"/>
        <v>(0)</v>
      </c>
      <c r="AE758" s="2" t="str">
        <f t="shared" si="185"/>
        <v/>
      </c>
      <c r="AF758" s="2" t="str">
        <f t="shared" si="186"/>
        <v/>
      </c>
      <c r="AG758" s="2" t="str">
        <f t="shared" si="187"/>
        <v/>
      </c>
      <c r="AH758" s="2" t="str">
        <f t="shared" si="188"/>
        <v/>
      </c>
    </row>
    <row r="759" spans="2:34" x14ac:dyDescent="0.25">
      <c r="B759" s="2" t="s">
        <v>1056</v>
      </c>
      <c r="D759" s="2" t="s">
        <v>1</v>
      </c>
      <c r="E759" s="2" t="s">
        <v>134</v>
      </c>
      <c r="F759" s="2" t="s">
        <v>1060</v>
      </c>
      <c r="G759" s="2" t="s">
        <v>1061</v>
      </c>
      <c r="H759" s="2" t="s">
        <v>740</v>
      </c>
      <c r="I759" s="2" t="s">
        <v>42</v>
      </c>
      <c r="J759" s="2">
        <v>1</v>
      </c>
      <c r="K759" s="2" t="s">
        <v>136</v>
      </c>
      <c r="L759" s="2" t="s">
        <v>41</v>
      </c>
      <c r="M759" s="2" t="s">
        <v>135</v>
      </c>
      <c r="N759" s="2" t="s">
        <v>1059</v>
      </c>
      <c r="O759" s="2" t="s">
        <v>741</v>
      </c>
      <c r="P759" s="2" t="s">
        <v>5</v>
      </c>
      <c r="Q759" s="2">
        <f>INDEX(Tables!$C$4:$C$28,MATCH($P759,Tables!$B$4:$B$28,0))</f>
        <v>32</v>
      </c>
      <c r="R759" s="2">
        <f>INDEX(Tables!$D$4:$D$28,MATCH($P759,Tables!$B$4:$B$28,0))</f>
        <v>4</v>
      </c>
      <c r="S759" s="2">
        <f>$S758+$R758+INDEX(Tables!$N$5:$Q$8,MATCH(MOD($S758+$R758,4),Tables!$M$5:$M$8,0),MATCH($R759,Tables!$N$4:$Q$4,0))</f>
        <v>2692</v>
      </c>
      <c r="T759" s="2" t="str">
        <f t="shared" si="174"/>
        <v>0A84</v>
      </c>
      <c r="U759" s="2">
        <f t="shared" si="180"/>
        <v>673</v>
      </c>
      <c r="V759" s="2" t="str">
        <f t="shared" si="175"/>
        <v>2A1</v>
      </c>
      <c r="W759" s="2" t="str">
        <f t="shared" si="176"/>
        <v/>
      </c>
      <c r="X759" s="2" t="str">
        <f t="shared" si="177"/>
        <v/>
      </c>
      <c r="Y759" s="2" t="str">
        <f t="shared" si="178"/>
        <v/>
      </c>
      <c r="Z759" s="2" t="str">
        <f t="shared" si="179"/>
        <v>X</v>
      </c>
      <c r="AA759" s="2" t="str">
        <f t="shared" si="181"/>
        <v/>
      </c>
      <c r="AB759" s="2" t="str">
        <f t="shared" si="182"/>
        <v/>
      </c>
      <c r="AC759" s="2" t="str">
        <f t="shared" si="183"/>
        <v/>
      </c>
      <c r="AD759" s="2" t="str">
        <f t="shared" si="184"/>
        <v>(0)</v>
      </c>
      <c r="AE759" s="2" t="str">
        <f t="shared" si="185"/>
        <v/>
      </c>
      <c r="AF759" s="2" t="str">
        <f t="shared" si="186"/>
        <v/>
      </c>
      <c r="AG759" s="2" t="str">
        <f t="shared" si="187"/>
        <v/>
      </c>
      <c r="AH759" s="2" t="str">
        <f t="shared" si="188"/>
        <v/>
      </c>
    </row>
    <row r="760" spans="2:34" x14ac:dyDescent="0.25">
      <c r="B760" s="2" t="s">
        <v>1056</v>
      </c>
      <c r="D760" s="2" t="s">
        <v>1</v>
      </c>
      <c r="E760" s="2" t="s">
        <v>134</v>
      </c>
      <c r="F760" s="2" t="s">
        <v>1060</v>
      </c>
      <c r="G760" s="2" t="s">
        <v>1061</v>
      </c>
      <c r="H760" s="2" t="s">
        <v>742</v>
      </c>
      <c r="I760" s="2" t="s">
        <v>42</v>
      </c>
      <c r="J760" s="2">
        <v>1</v>
      </c>
      <c r="K760" s="2" t="s">
        <v>136</v>
      </c>
      <c r="L760" s="2" t="s">
        <v>41</v>
      </c>
      <c r="M760" s="2" t="s">
        <v>135</v>
      </c>
      <c r="N760" s="2" t="s">
        <v>1059</v>
      </c>
      <c r="O760" s="2" t="s">
        <v>743</v>
      </c>
      <c r="P760" s="2" t="s">
        <v>5</v>
      </c>
      <c r="Q760" s="2">
        <f>INDEX(Tables!$C$4:$C$28,MATCH($P760,Tables!$B$4:$B$28,0))</f>
        <v>32</v>
      </c>
      <c r="R760" s="2">
        <f>INDEX(Tables!$D$4:$D$28,MATCH($P760,Tables!$B$4:$B$28,0))</f>
        <v>4</v>
      </c>
      <c r="S760" s="2">
        <f>$S759+$R759+INDEX(Tables!$N$5:$Q$8,MATCH(MOD($S759+$R759,4),Tables!$M$5:$M$8,0),MATCH($R760,Tables!$N$4:$Q$4,0))</f>
        <v>2696</v>
      </c>
      <c r="T760" s="2" t="str">
        <f t="shared" si="174"/>
        <v>0A88</v>
      </c>
      <c r="U760" s="2">
        <f t="shared" si="180"/>
        <v>674</v>
      </c>
      <c r="V760" s="2" t="str">
        <f t="shared" si="175"/>
        <v>2A2</v>
      </c>
      <c r="W760" s="2" t="str">
        <f t="shared" si="176"/>
        <v/>
      </c>
      <c r="X760" s="2" t="str">
        <f t="shared" si="177"/>
        <v/>
      </c>
      <c r="Y760" s="2" t="str">
        <f t="shared" si="178"/>
        <v/>
      </c>
      <c r="Z760" s="2" t="str">
        <f t="shared" si="179"/>
        <v>X</v>
      </c>
      <c r="AA760" s="2" t="str">
        <f t="shared" si="181"/>
        <v/>
      </c>
      <c r="AB760" s="2" t="str">
        <f t="shared" si="182"/>
        <v/>
      </c>
      <c r="AC760" s="2" t="str">
        <f t="shared" si="183"/>
        <v/>
      </c>
      <c r="AD760" s="2" t="str">
        <f t="shared" si="184"/>
        <v>(0)</v>
      </c>
      <c r="AE760" s="2" t="str">
        <f t="shared" si="185"/>
        <v/>
      </c>
      <c r="AF760" s="2" t="str">
        <f t="shared" si="186"/>
        <v/>
      </c>
      <c r="AG760" s="2" t="str">
        <f t="shared" si="187"/>
        <v/>
      </c>
      <c r="AH760" s="2" t="str">
        <f t="shared" si="188"/>
        <v/>
      </c>
    </row>
    <row r="761" spans="2:34" x14ac:dyDescent="0.25">
      <c r="B761" s="2" t="s">
        <v>1056</v>
      </c>
      <c r="D761" s="2" t="s">
        <v>1</v>
      </c>
      <c r="E761" s="2" t="s">
        <v>134</v>
      </c>
      <c r="F761" s="2" t="s">
        <v>1060</v>
      </c>
      <c r="G761" s="2" t="s">
        <v>1061</v>
      </c>
      <c r="H761" s="2" t="s">
        <v>744</v>
      </c>
      <c r="I761" s="2" t="s">
        <v>42</v>
      </c>
      <c r="J761" s="2">
        <v>1</v>
      </c>
      <c r="K761" s="2" t="s">
        <v>136</v>
      </c>
      <c r="L761" s="2" t="s">
        <v>41</v>
      </c>
      <c r="M761" s="2" t="s">
        <v>135</v>
      </c>
      <c r="N761" s="2" t="s">
        <v>1059</v>
      </c>
      <c r="O761" s="2" t="s">
        <v>745</v>
      </c>
      <c r="P761" s="2" t="s">
        <v>5</v>
      </c>
      <c r="Q761" s="2">
        <f>INDEX(Tables!$C$4:$C$28,MATCH($P761,Tables!$B$4:$B$28,0))</f>
        <v>32</v>
      </c>
      <c r="R761" s="2">
        <f>INDEX(Tables!$D$4:$D$28,MATCH($P761,Tables!$B$4:$B$28,0))</f>
        <v>4</v>
      </c>
      <c r="S761" s="2">
        <f>$S760+$R760+INDEX(Tables!$N$5:$Q$8,MATCH(MOD($S760+$R760,4),Tables!$M$5:$M$8,0),MATCH($R761,Tables!$N$4:$Q$4,0))</f>
        <v>2700</v>
      </c>
      <c r="T761" s="2" t="str">
        <f t="shared" si="174"/>
        <v>0A8C</v>
      </c>
      <c r="U761" s="2">
        <f t="shared" si="180"/>
        <v>675</v>
      </c>
      <c r="V761" s="2" t="str">
        <f t="shared" si="175"/>
        <v>2A3</v>
      </c>
      <c r="W761" s="2" t="str">
        <f t="shared" si="176"/>
        <v/>
      </c>
      <c r="X761" s="2" t="str">
        <f t="shared" si="177"/>
        <v/>
      </c>
      <c r="Y761" s="2" t="str">
        <f t="shared" si="178"/>
        <v/>
      </c>
      <c r="Z761" s="2" t="str">
        <f t="shared" si="179"/>
        <v>X</v>
      </c>
      <c r="AA761" s="2" t="str">
        <f t="shared" si="181"/>
        <v/>
      </c>
      <c r="AB761" s="2" t="str">
        <f t="shared" si="182"/>
        <v/>
      </c>
      <c r="AC761" s="2" t="str">
        <f t="shared" si="183"/>
        <v/>
      </c>
      <c r="AD761" s="2" t="str">
        <f t="shared" si="184"/>
        <v>(0)</v>
      </c>
      <c r="AE761" s="2" t="str">
        <f t="shared" si="185"/>
        <v/>
      </c>
      <c r="AF761" s="2" t="str">
        <f t="shared" si="186"/>
        <v/>
      </c>
      <c r="AG761" s="2" t="str">
        <f t="shared" si="187"/>
        <v/>
      </c>
      <c r="AH761" s="2" t="str">
        <f t="shared" si="188"/>
        <v/>
      </c>
    </row>
    <row r="762" spans="2:34" x14ac:dyDescent="0.25">
      <c r="B762" s="2" t="s">
        <v>1056</v>
      </c>
      <c r="D762" s="2" t="s">
        <v>1</v>
      </c>
      <c r="E762" s="2" t="s">
        <v>134</v>
      </c>
      <c r="F762" s="2" t="s">
        <v>1060</v>
      </c>
      <c r="G762" s="2" t="s">
        <v>1061</v>
      </c>
      <c r="H762" s="2" t="s">
        <v>746</v>
      </c>
      <c r="I762" s="2" t="s">
        <v>42</v>
      </c>
      <c r="J762" s="2">
        <v>1</v>
      </c>
      <c r="K762" s="2" t="s">
        <v>136</v>
      </c>
      <c r="L762" s="2" t="s">
        <v>41</v>
      </c>
      <c r="M762" s="2" t="s">
        <v>135</v>
      </c>
      <c r="N762" s="2" t="s">
        <v>1059</v>
      </c>
      <c r="O762" s="2" t="s">
        <v>747</v>
      </c>
      <c r="P762" s="2" t="s">
        <v>5</v>
      </c>
      <c r="Q762" s="2">
        <f>INDEX(Tables!$C$4:$C$28,MATCH($P762,Tables!$B$4:$B$28,0))</f>
        <v>32</v>
      </c>
      <c r="R762" s="2">
        <f>INDEX(Tables!$D$4:$D$28,MATCH($P762,Tables!$B$4:$B$28,0))</f>
        <v>4</v>
      </c>
      <c r="S762" s="2">
        <f>$S761+$R761+INDEX(Tables!$N$5:$Q$8,MATCH(MOD($S761+$R761,4),Tables!$M$5:$M$8,0),MATCH($R762,Tables!$N$4:$Q$4,0))</f>
        <v>2704</v>
      </c>
      <c r="T762" s="2" t="str">
        <f t="shared" si="174"/>
        <v>0A90</v>
      </c>
      <c r="U762" s="2">
        <f t="shared" si="180"/>
        <v>676</v>
      </c>
      <c r="V762" s="2" t="str">
        <f t="shared" si="175"/>
        <v>2A4</v>
      </c>
      <c r="W762" s="2" t="str">
        <f t="shared" si="176"/>
        <v/>
      </c>
      <c r="X762" s="2" t="str">
        <f t="shared" si="177"/>
        <v/>
      </c>
      <c r="Y762" s="2" t="str">
        <f t="shared" si="178"/>
        <v/>
      </c>
      <c r="Z762" s="2" t="str">
        <f t="shared" si="179"/>
        <v>X</v>
      </c>
      <c r="AA762" s="2" t="str">
        <f t="shared" si="181"/>
        <v/>
      </c>
      <c r="AB762" s="2" t="str">
        <f t="shared" si="182"/>
        <v/>
      </c>
      <c r="AC762" s="2" t="str">
        <f t="shared" si="183"/>
        <v/>
      </c>
      <c r="AD762" s="2" t="str">
        <f t="shared" si="184"/>
        <v>(0)</v>
      </c>
      <c r="AE762" s="2" t="str">
        <f t="shared" si="185"/>
        <v/>
      </c>
      <c r="AF762" s="2" t="str">
        <f t="shared" si="186"/>
        <v/>
      </c>
      <c r="AG762" s="2" t="str">
        <f t="shared" si="187"/>
        <v/>
      </c>
      <c r="AH762" s="2" t="str">
        <f t="shared" si="188"/>
        <v/>
      </c>
    </row>
    <row r="763" spans="2:34" x14ac:dyDescent="0.25">
      <c r="B763" s="2" t="s">
        <v>1056</v>
      </c>
      <c r="D763" s="2" t="s">
        <v>1</v>
      </c>
      <c r="E763" s="2" t="s">
        <v>134</v>
      </c>
      <c r="F763" s="2" t="s">
        <v>1060</v>
      </c>
      <c r="G763" s="2" t="s">
        <v>1061</v>
      </c>
      <c r="H763" s="2" t="s">
        <v>748</v>
      </c>
      <c r="I763" s="2" t="s">
        <v>42</v>
      </c>
      <c r="J763" s="2">
        <v>1</v>
      </c>
      <c r="K763" s="2" t="s">
        <v>82</v>
      </c>
      <c r="L763" s="2" t="s">
        <v>41</v>
      </c>
      <c r="M763" s="2" t="s">
        <v>135</v>
      </c>
      <c r="N763" s="2" t="s">
        <v>1059</v>
      </c>
      <c r="O763" s="2" t="s">
        <v>749</v>
      </c>
      <c r="P763" s="2" t="s">
        <v>5</v>
      </c>
      <c r="Q763" s="2">
        <f>INDEX(Tables!$C$4:$C$28,MATCH($P763,Tables!$B$4:$B$28,0))</f>
        <v>32</v>
      </c>
      <c r="R763" s="2">
        <f>INDEX(Tables!$D$4:$D$28,MATCH($P763,Tables!$B$4:$B$28,0))</f>
        <v>4</v>
      </c>
      <c r="S763" s="2">
        <f>$S762+$R762+INDEX(Tables!$N$5:$Q$8,MATCH(MOD($S762+$R762,4),Tables!$M$5:$M$8,0),MATCH($R763,Tables!$N$4:$Q$4,0))</f>
        <v>2708</v>
      </c>
      <c r="T763" s="2" t="str">
        <f t="shared" si="174"/>
        <v>0A94</v>
      </c>
      <c r="U763" s="2">
        <f t="shared" si="180"/>
        <v>677</v>
      </c>
      <c r="V763" s="2" t="str">
        <f t="shared" si="175"/>
        <v>2A5</v>
      </c>
      <c r="W763" s="2" t="str">
        <f t="shared" si="176"/>
        <v/>
      </c>
      <c r="X763" s="2" t="str">
        <f t="shared" si="177"/>
        <v/>
      </c>
      <c r="Y763" s="2" t="str">
        <f t="shared" si="178"/>
        <v/>
      </c>
      <c r="Z763" s="2" t="str">
        <f t="shared" si="179"/>
        <v>X</v>
      </c>
      <c r="AA763" s="2" t="str">
        <f t="shared" si="181"/>
        <v/>
      </c>
      <c r="AB763" s="2" t="str">
        <f t="shared" si="182"/>
        <v/>
      </c>
      <c r="AC763" s="2" t="str">
        <f t="shared" si="183"/>
        <v/>
      </c>
      <c r="AD763" s="2" t="str">
        <f t="shared" si="184"/>
        <v>(0)</v>
      </c>
      <c r="AE763" s="2" t="str">
        <f t="shared" si="185"/>
        <v/>
      </c>
      <c r="AF763" s="2" t="str">
        <f t="shared" si="186"/>
        <v/>
      </c>
      <c r="AG763" s="2" t="str">
        <f t="shared" si="187"/>
        <v/>
      </c>
      <c r="AH763" s="2" t="str">
        <f t="shared" si="188"/>
        <v/>
      </c>
    </row>
    <row r="764" spans="2:34" x14ac:dyDescent="0.25">
      <c r="B764" s="2" t="s">
        <v>1056</v>
      </c>
      <c r="D764" s="2" t="s">
        <v>1</v>
      </c>
      <c r="E764" s="2" t="s">
        <v>134</v>
      </c>
      <c r="F764" s="2" t="s">
        <v>1060</v>
      </c>
      <c r="G764" s="2" t="s">
        <v>1061</v>
      </c>
      <c r="H764" s="2" t="s">
        <v>750</v>
      </c>
      <c r="I764" s="2" t="s">
        <v>42</v>
      </c>
      <c r="J764" s="2">
        <v>1</v>
      </c>
      <c r="K764" s="2" t="s">
        <v>82</v>
      </c>
      <c r="L764" s="2" t="s">
        <v>41</v>
      </c>
      <c r="M764" s="2" t="s">
        <v>135</v>
      </c>
      <c r="N764" s="2" t="s">
        <v>1059</v>
      </c>
      <c r="O764" s="2" t="s">
        <v>751</v>
      </c>
      <c r="P764" s="2" t="s">
        <v>5</v>
      </c>
      <c r="Q764" s="2">
        <f>INDEX(Tables!$C$4:$C$28,MATCH($P764,Tables!$B$4:$B$28,0))</f>
        <v>32</v>
      </c>
      <c r="R764" s="2">
        <f>INDEX(Tables!$D$4:$D$28,MATCH($P764,Tables!$B$4:$B$28,0))</f>
        <v>4</v>
      </c>
      <c r="S764" s="2">
        <f>$S763+$R763+INDEX(Tables!$N$5:$Q$8,MATCH(MOD($S763+$R763,4),Tables!$M$5:$M$8,0),MATCH($R764,Tables!$N$4:$Q$4,0))</f>
        <v>2712</v>
      </c>
      <c r="T764" s="2" t="str">
        <f t="shared" si="174"/>
        <v>0A98</v>
      </c>
      <c r="U764" s="2">
        <f t="shared" si="180"/>
        <v>678</v>
      </c>
      <c r="V764" s="2" t="str">
        <f t="shared" si="175"/>
        <v>2A6</v>
      </c>
      <c r="W764" s="2" t="str">
        <f t="shared" si="176"/>
        <v/>
      </c>
      <c r="X764" s="2" t="str">
        <f t="shared" si="177"/>
        <v/>
      </c>
      <c r="Y764" s="2" t="str">
        <f t="shared" si="178"/>
        <v/>
      </c>
      <c r="Z764" s="2" t="str">
        <f t="shared" si="179"/>
        <v>X</v>
      </c>
      <c r="AA764" s="2" t="str">
        <f t="shared" si="181"/>
        <v/>
      </c>
      <c r="AB764" s="2" t="str">
        <f t="shared" si="182"/>
        <v/>
      </c>
      <c r="AC764" s="2" t="str">
        <f t="shared" si="183"/>
        <v/>
      </c>
      <c r="AD764" s="2" t="str">
        <f t="shared" si="184"/>
        <v>(0)</v>
      </c>
      <c r="AE764" s="2" t="str">
        <f t="shared" si="185"/>
        <v/>
      </c>
      <c r="AF764" s="2" t="str">
        <f t="shared" si="186"/>
        <v/>
      </c>
      <c r="AG764" s="2" t="str">
        <f t="shared" si="187"/>
        <v/>
      </c>
      <c r="AH764" s="2" t="str">
        <f t="shared" si="188"/>
        <v/>
      </c>
    </row>
    <row r="765" spans="2:34" x14ac:dyDescent="0.25">
      <c r="B765" s="2" t="s">
        <v>1056</v>
      </c>
      <c r="D765" s="2" t="s">
        <v>1</v>
      </c>
      <c r="E765" s="2" t="s">
        <v>134</v>
      </c>
      <c r="F765" s="2" t="s">
        <v>1060</v>
      </c>
      <c r="G765" s="2" t="s">
        <v>1061</v>
      </c>
      <c r="H765" s="2" t="s">
        <v>752</v>
      </c>
      <c r="I765" s="2" t="s">
        <v>42</v>
      </c>
      <c r="J765" s="2">
        <v>1</v>
      </c>
      <c r="K765" s="2" t="s">
        <v>82</v>
      </c>
      <c r="L765" s="2" t="s">
        <v>41</v>
      </c>
      <c r="M765" s="2" t="s">
        <v>135</v>
      </c>
      <c r="N765" s="2" t="s">
        <v>1059</v>
      </c>
      <c r="O765" s="2" t="s">
        <v>753</v>
      </c>
      <c r="P765" s="2" t="s">
        <v>5</v>
      </c>
      <c r="Q765" s="2">
        <f>INDEX(Tables!$C$4:$C$28,MATCH($P765,Tables!$B$4:$B$28,0))</f>
        <v>32</v>
      </c>
      <c r="R765" s="2">
        <f>INDEX(Tables!$D$4:$D$28,MATCH($P765,Tables!$B$4:$B$28,0))</f>
        <v>4</v>
      </c>
      <c r="S765" s="2">
        <f>$S764+$R764+INDEX(Tables!$N$5:$Q$8,MATCH(MOD($S764+$R764,4),Tables!$M$5:$M$8,0),MATCH($R765,Tables!$N$4:$Q$4,0))</f>
        <v>2716</v>
      </c>
      <c r="T765" s="2" t="str">
        <f t="shared" si="174"/>
        <v>0A9C</v>
      </c>
      <c r="U765" s="2">
        <f t="shared" si="180"/>
        <v>679</v>
      </c>
      <c r="V765" s="2" t="str">
        <f t="shared" si="175"/>
        <v>2A7</v>
      </c>
      <c r="W765" s="2" t="str">
        <f t="shared" si="176"/>
        <v/>
      </c>
      <c r="X765" s="2" t="str">
        <f t="shared" si="177"/>
        <v/>
      </c>
      <c r="Y765" s="2" t="str">
        <f t="shared" si="178"/>
        <v/>
      </c>
      <c r="Z765" s="2" t="str">
        <f t="shared" si="179"/>
        <v>X</v>
      </c>
      <c r="AA765" s="2" t="str">
        <f t="shared" si="181"/>
        <v/>
      </c>
      <c r="AB765" s="2" t="str">
        <f t="shared" si="182"/>
        <v/>
      </c>
      <c r="AC765" s="2" t="str">
        <f t="shared" si="183"/>
        <v/>
      </c>
      <c r="AD765" s="2" t="str">
        <f t="shared" si="184"/>
        <v>(0)</v>
      </c>
      <c r="AE765" s="2" t="str">
        <f t="shared" si="185"/>
        <v/>
      </c>
      <c r="AF765" s="2" t="str">
        <f t="shared" si="186"/>
        <v/>
      </c>
      <c r="AG765" s="2" t="str">
        <f t="shared" si="187"/>
        <v/>
      </c>
      <c r="AH765" s="2" t="str">
        <f t="shared" si="188"/>
        <v/>
      </c>
    </row>
    <row r="766" spans="2:34" x14ac:dyDescent="0.25">
      <c r="B766" s="2" t="s">
        <v>1056</v>
      </c>
      <c r="D766" s="2" t="s">
        <v>1</v>
      </c>
      <c r="E766" s="2" t="s">
        <v>134</v>
      </c>
      <c r="F766" s="2" t="s">
        <v>1060</v>
      </c>
      <c r="G766" s="2" t="s">
        <v>1061</v>
      </c>
      <c r="H766" s="2" t="s">
        <v>754</v>
      </c>
      <c r="I766" s="2" t="s">
        <v>42</v>
      </c>
      <c r="J766" s="2">
        <v>1</v>
      </c>
      <c r="K766" s="2" t="s">
        <v>82</v>
      </c>
      <c r="L766" s="2" t="s">
        <v>41</v>
      </c>
      <c r="M766" s="2" t="s">
        <v>135</v>
      </c>
      <c r="N766" s="2" t="s">
        <v>1059</v>
      </c>
      <c r="O766" s="2" t="s">
        <v>755</v>
      </c>
      <c r="P766" s="2" t="s">
        <v>5</v>
      </c>
      <c r="Q766" s="2">
        <f>INDEX(Tables!$C$4:$C$28,MATCH($P766,Tables!$B$4:$B$28,0))</f>
        <v>32</v>
      </c>
      <c r="R766" s="2">
        <f>INDEX(Tables!$D$4:$D$28,MATCH($P766,Tables!$B$4:$B$28,0))</f>
        <v>4</v>
      </c>
      <c r="S766" s="2">
        <f>$S765+$R765+INDEX(Tables!$N$5:$Q$8,MATCH(MOD($S765+$R765,4),Tables!$M$5:$M$8,0),MATCH($R766,Tables!$N$4:$Q$4,0))</f>
        <v>2720</v>
      </c>
      <c r="T766" s="2" t="str">
        <f t="shared" si="174"/>
        <v>0AA0</v>
      </c>
      <c r="U766" s="2">
        <f t="shared" si="180"/>
        <v>680</v>
      </c>
      <c r="V766" s="2" t="str">
        <f t="shared" si="175"/>
        <v>2A8</v>
      </c>
      <c r="W766" s="2" t="str">
        <f t="shared" si="176"/>
        <v/>
      </c>
      <c r="X766" s="2" t="str">
        <f t="shared" si="177"/>
        <v/>
      </c>
      <c r="Y766" s="2" t="str">
        <f t="shared" si="178"/>
        <v/>
      </c>
      <c r="Z766" s="2" t="str">
        <f t="shared" si="179"/>
        <v>X</v>
      </c>
      <c r="AA766" s="2" t="str">
        <f t="shared" si="181"/>
        <v/>
      </c>
      <c r="AB766" s="2" t="str">
        <f t="shared" si="182"/>
        <v/>
      </c>
      <c r="AC766" s="2" t="str">
        <f t="shared" si="183"/>
        <v/>
      </c>
      <c r="AD766" s="2" t="str">
        <f t="shared" si="184"/>
        <v>(0)</v>
      </c>
      <c r="AE766" s="2" t="str">
        <f t="shared" si="185"/>
        <v/>
      </c>
      <c r="AF766" s="2" t="str">
        <f t="shared" si="186"/>
        <v/>
      </c>
      <c r="AG766" s="2" t="str">
        <f t="shared" si="187"/>
        <v/>
      </c>
      <c r="AH766" s="2" t="str">
        <f t="shared" si="188"/>
        <v/>
      </c>
    </row>
    <row r="767" spans="2:34" x14ac:dyDescent="0.25">
      <c r="B767" s="2" t="s">
        <v>1056</v>
      </c>
      <c r="D767" s="2" t="s">
        <v>1</v>
      </c>
      <c r="E767" s="2" t="s">
        <v>134</v>
      </c>
      <c r="F767" s="2" t="s">
        <v>1060</v>
      </c>
      <c r="G767" s="2" t="s">
        <v>1061</v>
      </c>
      <c r="H767" s="2" t="s">
        <v>756</v>
      </c>
      <c r="I767" s="2" t="s">
        <v>42</v>
      </c>
      <c r="J767" s="2">
        <v>1</v>
      </c>
      <c r="K767" s="2" t="s">
        <v>82</v>
      </c>
      <c r="L767" s="2" t="s">
        <v>41</v>
      </c>
      <c r="M767" s="2" t="s">
        <v>135</v>
      </c>
      <c r="N767" s="2" t="s">
        <v>1059</v>
      </c>
      <c r="O767" s="2" t="s">
        <v>757</v>
      </c>
      <c r="P767" s="2" t="s">
        <v>5</v>
      </c>
      <c r="Q767" s="2">
        <f>INDEX(Tables!$C$4:$C$28,MATCH($P767,Tables!$B$4:$B$28,0))</f>
        <v>32</v>
      </c>
      <c r="R767" s="2">
        <f>INDEX(Tables!$D$4:$D$28,MATCH($P767,Tables!$B$4:$B$28,0))</f>
        <v>4</v>
      </c>
      <c r="S767" s="2">
        <f>$S766+$R766+INDEX(Tables!$N$5:$Q$8,MATCH(MOD($S766+$R766,4),Tables!$M$5:$M$8,0),MATCH($R767,Tables!$N$4:$Q$4,0))</f>
        <v>2724</v>
      </c>
      <c r="T767" s="2" t="str">
        <f t="shared" si="174"/>
        <v>0AA4</v>
      </c>
      <c r="U767" s="2">
        <f t="shared" si="180"/>
        <v>681</v>
      </c>
      <c r="V767" s="2" t="str">
        <f t="shared" si="175"/>
        <v>2A9</v>
      </c>
      <c r="W767" s="2" t="str">
        <f t="shared" si="176"/>
        <v/>
      </c>
      <c r="X767" s="2" t="str">
        <f t="shared" si="177"/>
        <v/>
      </c>
      <c r="Y767" s="2" t="str">
        <f t="shared" si="178"/>
        <v/>
      </c>
      <c r="Z767" s="2" t="str">
        <f t="shared" si="179"/>
        <v>X</v>
      </c>
      <c r="AA767" s="2" t="str">
        <f t="shared" si="181"/>
        <v/>
      </c>
      <c r="AB767" s="2" t="str">
        <f t="shared" si="182"/>
        <v/>
      </c>
      <c r="AC767" s="2" t="str">
        <f t="shared" si="183"/>
        <v/>
      </c>
      <c r="AD767" s="2" t="str">
        <f t="shared" si="184"/>
        <v>(0)</v>
      </c>
      <c r="AE767" s="2" t="str">
        <f t="shared" si="185"/>
        <v/>
      </c>
      <c r="AF767" s="2" t="str">
        <f t="shared" si="186"/>
        <v/>
      </c>
      <c r="AG767" s="2" t="str">
        <f t="shared" si="187"/>
        <v/>
      </c>
      <c r="AH767" s="2" t="str">
        <f t="shared" si="188"/>
        <v/>
      </c>
    </row>
    <row r="768" spans="2:34" x14ac:dyDescent="0.25">
      <c r="B768" s="2" t="s">
        <v>1056</v>
      </c>
      <c r="D768" s="2" t="s">
        <v>1</v>
      </c>
      <c r="E768" s="2" t="s">
        <v>134</v>
      </c>
      <c r="F768" s="2" t="s">
        <v>1060</v>
      </c>
      <c r="G768" s="2" t="s">
        <v>1061</v>
      </c>
      <c r="H768" s="2" t="s">
        <v>758</v>
      </c>
      <c r="I768" s="2" t="s">
        <v>42</v>
      </c>
      <c r="J768" s="2">
        <v>1</v>
      </c>
      <c r="K768" s="2" t="s">
        <v>82</v>
      </c>
      <c r="L768" s="2" t="s">
        <v>41</v>
      </c>
      <c r="M768" s="2" t="s">
        <v>135</v>
      </c>
      <c r="N768" s="2" t="s">
        <v>1059</v>
      </c>
      <c r="O768" s="2" t="s">
        <v>759</v>
      </c>
      <c r="P768" s="2" t="s">
        <v>5</v>
      </c>
      <c r="Q768" s="2">
        <f>INDEX(Tables!$C$4:$C$28,MATCH($P768,Tables!$B$4:$B$28,0))</f>
        <v>32</v>
      </c>
      <c r="R768" s="2">
        <f>INDEX(Tables!$D$4:$D$28,MATCH($P768,Tables!$B$4:$B$28,0))</f>
        <v>4</v>
      </c>
      <c r="S768" s="2">
        <f>$S767+$R767+INDEX(Tables!$N$5:$Q$8,MATCH(MOD($S767+$R767,4),Tables!$M$5:$M$8,0),MATCH($R768,Tables!$N$4:$Q$4,0))</f>
        <v>2728</v>
      </c>
      <c r="T768" s="2" t="str">
        <f t="shared" si="174"/>
        <v>0AA8</v>
      </c>
      <c r="U768" s="2">
        <f t="shared" si="180"/>
        <v>682</v>
      </c>
      <c r="V768" s="2" t="str">
        <f t="shared" si="175"/>
        <v>2AA</v>
      </c>
      <c r="W768" s="2" t="str">
        <f t="shared" si="176"/>
        <v/>
      </c>
      <c r="X768" s="2" t="str">
        <f t="shared" si="177"/>
        <v/>
      </c>
      <c r="Y768" s="2" t="str">
        <f t="shared" si="178"/>
        <v/>
      </c>
      <c r="Z768" s="2" t="str">
        <f t="shared" si="179"/>
        <v>X</v>
      </c>
      <c r="AA768" s="2" t="str">
        <f t="shared" si="181"/>
        <v/>
      </c>
      <c r="AB768" s="2" t="str">
        <f t="shared" si="182"/>
        <v/>
      </c>
      <c r="AC768" s="2" t="str">
        <f t="shared" si="183"/>
        <v/>
      </c>
      <c r="AD768" s="2" t="str">
        <f t="shared" si="184"/>
        <v>(0)</v>
      </c>
      <c r="AE768" s="2" t="str">
        <f t="shared" si="185"/>
        <v/>
      </c>
      <c r="AF768" s="2" t="str">
        <f t="shared" si="186"/>
        <v/>
      </c>
      <c r="AG768" s="2" t="str">
        <f t="shared" si="187"/>
        <v/>
      </c>
      <c r="AH768" s="2" t="str">
        <f t="shared" si="188"/>
        <v/>
      </c>
    </row>
    <row r="769" spans="2:34" x14ac:dyDescent="0.25">
      <c r="B769" s="2" t="s">
        <v>1056</v>
      </c>
      <c r="D769" s="2" t="s">
        <v>1</v>
      </c>
      <c r="E769" s="2" t="s">
        <v>134</v>
      </c>
      <c r="F769" s="2" t="s">
        <v>1060</v>
      </c>
      <c r="G769" s="2" t="s">
        <v>1061</v>
      </c>
      <c r="H769" s="2" t="s">
        <v>760</v>
      </c>
      <c r="I769" s="2" t="s">
        <v>42</v>
      </c>
      <c r="J769" s="2">
        <v>1</v>
      </c>
      <c r="K769" s="2" t="s">
        <v>82</v>
      </c>
      <c r="L769" s="2" t="s">
        <v>41</v>
      </c>
      <c r="M769" s="2" t="s">
        <v>135</v>
      </c>
      <c r="N769" s="2" t="s">
        <v>1059</v>
      </c>
      <c r="O769" s="2" t="s">
        <v>761</v>
      </c>
      <c r="P769" s="2" t="s">
        <v>5</v>
      </c>
      <c r="Q769" s="2">
        <f>INDEX(Tables!$C$4:$C$28,MATCH($P769,Tables!$B$4:$B$28,0))</f>
        <v>32</v>
      </c>
      <c r="R769" s="2">
        <f>INDEX(Tables!$D$4:$D$28,MATCH($P769,Tables!$B$4:$B$28,0))</f>
        <v>4</v>
      </c>
      <c r="S769" s="2">
        <f>$S768+$R768+INDEX(Tables!$N$5:$Q$8,MATCH(MOD($S768+$R768,4),Tables!$M$5:$M$8,0),MATCH($R769,Tables!$N$4:$Q$4,0))</f>
        <v>2732</v>
      </c>
      <c r="T769" s="2" t="str">
        <f t="shared" si="174"/>
        <v>0AAC</v>
      </c>
      <c r="U769" s="2">
        <f t="shared" si="180"/>
        <v>683</v>
      </c>
      <c r="V769" s="2" t="str">
        <f t="shared" si="175"/>
        <v>2AB</v>
      </c>
      <c r="W769" s="2" t="str">
        <f t="shared" si="176"/>
        <v/>
      </c>
      <c r="X769" s="2" t="str">
        <f t="shared" si="177"/>
        <v/>
      </c>
      <c r="Y769" s="2" t="str">
        <f t="shared" si="178"/>
        <v/>
      </c>
      <c r="Z769" s="2" t="str">
        <f t="shared" si="179"/>
        <v>X</v>
      </c>
      <c r="AA769" s="2" t="str">
        <f t="shared" si="181"/>
        <v/>
      </c>
      <c r="AB769" s="2" t="str">
        <f t="shared" si="182"/>
        <v/>
      </c>
      <c r="AC769" s="2" t="str">
        <f t="shared" si="183"/>
        <v/>
      </c>
      <c r="AD769" s="2" t="str">
        <f t="shared" si="184"/>
        <v>(0)</v>
      </c>
      <c r="AE769" s="2" t="str">
        <f t="shared" si="185"/>
        <v/>
      </c>
      <c r="AF769" s="2" t="str">
        <f t="shared" si="186"/>
        <v/>
      </c>
      <c r="AG769" s="2" t="str">
        <f t="shared" si="187"/>
        <v/>
      </c>
      <c r="AH769" s="2" t="str">
        <f t="shared" si="188"/>
        <v/>
      </c>
    </row>
    <row r="770" spans="2:34" x14ac:dyDescent="0.25">
      <c r="B770" s="2" t="s">
        <v>1056</v>
      </c>
      <c r="D770" s="2" t="s">
        <v>1</v>
      </c>
      <c r="E770" s="2" t="s">
        <v>134</v>
      </c>
      <c r="F770" s="2" t="s">
        <v>1060</v>
      </c>
      <c r="G770" s="2" t="s">
        <v>1061</v>
      </c>
      <c r="H770" s="2" t="s">
        <v>762</v>
      </c>
      <c r="I770" s="2" t="s">
        <v>42</v>
      </c>
      <c r="J770" s="2">
        <v>1</v>
      </c>
      <c r="K770" s="2" t="s">
        <v>82</v>
      </c>
      <c r="L770" s="2" t="s">
        <v>41</v>
      </c>
      <c r="M770" s="2" t="s">
        <v>135</v>
      </c>
      <c r="N770" s="2" t="s">
        <v>1059</v>
      </c>
      <c r="O770" s="2" t="s">
        <v>763</v>
      </c>
      <c r="P770" s="2" t="s">
        <v>5</v>
      </c>
      <c r="Q770" s="2">
        <f>INDEX(Tables!$C$4:$C$28,MATCH($P770,Tables!$B$4:$B$28,0))</f>
        <v>32</v>
      </c>
      <c r="R770" s="2">
        <f>INDEX(Tables!$D$4:$D$28,MATCH($P770,Tables!$B$4:$B$28,0))</f>
        <v>4</v>
      </c>
      <c r="S770" s="2">
        <f>$S769+$R769+INDEX(Tables!$N$5:$Q$8,MATCH(MOD($S769+$R769,4),Tables!$M$5:$M$8,0),MATCH($R770,Tables!$N$4:$Q$4,0))</f>
        <v>2736</v>
      </c>
      <c r="T770" s="2" t="str">
        <f t="shared" si="174"/>
        <v>0AB0</v>
      </c>
      <c r="U770" s="2">
        <f t="shared" si="180"/>
        <v>684</v>
      </c>
      <c r="V770" s="2" t="str">
        <f t="shared" si="175"/>
        <v>2AC</v>
      </c>
      <c r="W770" s="2" t="str">
        <f t="shared" si="176"/>
        <v/>
      </c>
      <c r="X770" s="2" t="str">
        <f t="shared" si="177"/>
        <v/>
      </c>
      <c r="Y770" s="2" t="str">
        <f t="shared" si="178"/>
        <v/>
      </c>
      <c r="Z770" s="2" t="str">
        <f t="shared" si="179"/>
        <v>X</v>
      </c>
      <c r="AA770" s="2" t="str">
        <f t="shared" si="181"/>
        <v/>
      </c>
      <c r="AB770" s="2" t="str">
        <f t="shared" si="182"/>
        <v/>
      </c>
      <c r="AC770" s="2" t="str">
        <f t="shared" si="183"/>
        <v/>
      </c>
      <c r="AD770" s="2" t="str">
        <f t="shared" si="184"/>
        <v>(0)</v>
      </c>
      <c r="AE770" s="2" t="str">
        <f t="shared" si="185"/>
        <v/>
      </c>
      <c r="AF770" s="2" t="str">
        <f t="shared" si="186"/>
        <v/>
      </c>
      <c r="AG770" s="2" t="str">
        <f t="shared" si="187"/>
        <v/>
      </c>
      <c r="AH770" s="2" t="str">
        <f t="shared" si="188"/>
        <v/>
      </c>
    </row>
    <row r="771" spans="2:34" x14ac:dyDescent="0.25">
      <c r="B771" s="2" t="s">
        <v>1056</v>
      </c>
      <c r="D771" s="2" t="s">
        <v>1</v>
      </c>
      <c r="E771" s="2" t="s">
        <v>134</v>
      </c>
      <c r="F771" s="2" t="s">
        <v>1060</v>
      </c>
      <c r="G771" s="2" t="s">
        <v>1061</v>
      </c>
      <c r="H771" s="2" t="s">
        <v>764</v>
      </c>
      <c r="I771" s="2" t="s">
        <v>42</v>
      </c>
      <c r="J771" s="2">
        <v>1</v>
      </c>
      <c r="K771" s="2" t="s">
        <v>82</v>
      </c>
      <c r="L771" s="2" t="s">
        <v>41</v>
      </c>
      <c r="M771" s="2" t="s">
        <v>135</v>
      </c>
      <c r="N771" s="2" t="s">
        <v>1059</v>
      </c>
      <c r="O771" s="2" t="s">
        <v>765</v>
      </c>
      <c r="P771" s="2" t="s">
        <v>5</v>
      </c>
      <c r="Q771" s="2">
        <f>INDEX(Tables!$C$4:$C$28,MATCH($P771,Tables!$B$4:$B$28,0))</f>
        <v>32</v>
      </c>
      <c r="R771" s="2">
        <f>INDEX(Tables!$D$4:$D$28,MATCH($P771,Tables!$B$4:$B$28,0))</f>
        <v>4</v>
      </c>
      <c r="S771" s="2">
        <f>$S770+$R770+INDEX(Tables!$N$5:$Q$8,MATCH(MOD($S770+$R770,4),Tables!$M$5:$M$8,0),MATCH($R771,Tables!$N$4:$Q$4,0))</f>
        <v>2740</v>
      </c>
      <c r="T771" s="2" t="str">
        <f t="shared" si="174"/>
        <v>0AB4</v>
      </c>
      <c r="U771" s="2">
        <f t="shared" si="180"/>
        <v>685</v>
      </c>
      <c r="V771" s="2" t="str">
        <f t="shared" si="175"/>
        <v>2AD</v>
      </c>
      <c r="W771" s="2" t="str">
        <f t="shared" si="176"/>
        <v/>
      </c>
      <c r="X771" s="2" t="str">
        <f t="shared" si="177"/>
        <v/>
      </c>
      <c r="Y771" s="2" t="str">
        <f t="shared" si="178"/>
        <v/>
      </c>
      <c r="Z771" s="2" t="str">
        <f t="shared" si="179"/>
        <v>X</v>
      </c>
      <c r="AA771" s="2" t="str">
        <f t="shared" si="181"/>
        <v/>
      </c>
      <c r="AB771" s="2" t="str">
        <f t="shared" si="182"/>
        <v/>
      </c>
      <c r="AC771" s="2" t="str">
        <f t="shared" si="183"/>
        <v/>
      </c>
      <c r="AD771" s="2" t="str">
        <f t="shared" si="184"/>
        <v>(0)</v>
      </c>
      <c r="AE771" s="2" t="str">
        <f t="shared" si="185"/>
        <v/>
      </c>
      <c r="AF771" s="2" t="str">
        <f t="shared" si="186"/>
        <v/>
      </c>
      <c r="AG771" s="2" t="str">
        <f t="shared" si="187"/>
        <v/>
      </c>
      <c r="AH771" s="2" t="str">
        <f t="shared" si="188"/>
        <v/>
      </c>
    </row>
    <row r="772" spans="2:34" x14ac:dyDescent="0.25">
      <c r="B772" s="2" t="s">
        <v>1056</v>
      </c>
      <c r="D772" s="2" t="s">
        <v>1</v>
      </c>
      <c r="E772" s="2" t="s">
        <v>134</v>
      </c>
      <c r="F772" s="2" t="s">
        <v>1060</v>
      </c>
      <c r="G772" s="2" t="s">
        <v>1061</v>
      </c>
      <c r="H772" s="2" t="s">
        <v>766</v>
      </c>
      <c r="I772" s="2" t="s">
        <v>42</v>
      </c>
      <c r="J772" s="2">
        <v>1</v>
      </c>
      <c r="K772" s="2" t="s">
        <v>82</v>
      </c>
      <c r="L772" s="2" t="s">
        <v>41</v>
      </c>
      <c r="M772" s="2" t="s">
        <v>135</v>
      </c>
      <c r="N772" s="2" t="s">
        <v>1059</v>
      </c>
      <c r="O772" s="2" t="s">
        <v>767</v>
      </c>
      <c r="P772" s="2" t="s">
        <v>5</v>
      </c>
      <c r="Q772" s="2">
        <f>INDEX(Tables!$C$4:$C$28,MATCH($P772,Tables!$B$4:$B$28,0))</f>
        <v>32</v>
      </c>
      <c r="R772" s="2">
        <f>INDEX(Tables!$D$4:$D$28,MATCH($P772,Tables!$B$4:$B$28,0))</f>
        <v>4</v>
      </c>
      <c r="S772" s="2">
        <f>$S771+$R771+INDEX(Tables!$N$5:$Q$8,MATCH(MOD($S771+$R771,4),Tables!$M$5:$M$8,0),MATCH($R772,Tables!$N$4:$Q$4,0))</f>
        <v>2744</v>
      </c>
      <c r="T772" s="2" t="str">
        <f t="shared" si="174"/>
        <v>0AB8</v>
      </c>
      <c r="U772" s="2">
        <f t="shared" si="180"/>
        <v>686</v>
      </c>
      <c r="V772" s="2" t="str">
        <f t="shared" si="175"/>
        <v>2AE</v>
      </c>
      <c r="W772" s="2" t="str">
        <f t="shared" si="176"/>
        <v/>
      </c>
      <c r="X772" s="2" t="str">
        <f t="shared" si="177"/>
        <v/>
      </c>
      <c r="Y772" s="2" t="str">
        <f t="shared" si="178"/>
        <v/>
      </c>
      <c r="Z772" s="2" t="str">
        <f t="shared" si="179"/>
        <v>X</v>
      </c>
      <c r="AA772" s="2" t="str">
        <f t="shared" si="181"/>
        <v/>
      </c>
      <c r="AB772" s="2" t="str">
        <f t="shared" si="182"/>
        <v/>
      </c>
      <c r="AC772" s="2" t="str">
        <f t="shared" si="183"/>
        <v/>
      </c>
      <c r="AD772" s="2" t="str">
        <f t="shared" si="184"/>
        <v>(0)</v>
      </c>
      <c r="AE772" s="2" t="str">
        <f t="shared" si="185"/>
        <v/>
      </c>
      <c r="AF772" s="2" t="str">
        <f t="shared" si="186"/>
        <v/>
      </c>
      <c r="AG772" s="2" t="str">
        <f t="shared" si="187"/>
        <v/>
      </c>
      <c r="AH772" s="2" t="str">
        <f t="shared" si="188"/>
        <v/>
      </c>
    </row>
    <row r="773" spans="2:34" x14ac:dyDescent="0.25">
      <c r="B773" s="2" t="s">
        <v>1056</v>
      </c>
      <c r="D773" s="2" t="s">
        <v>1</v>
      </c>
      <c r="E773" s="2" t="s">
        <v>134</v>
      </c>
      <c r="F773" s="2" t="s">
        <v>1060</v>
      </c>
      <c r="G773" s="2" t="s">
        <v>1061</v>
      </c>
      <c r="H773" s="2" t="s">
        <v>768</v>
      </c>
      <c r="I773" s="2" t="s">
        <v>42</v>
      </c>
      <c r="J773" s="2">
        <v>1</v>
      </c>
      <c r="K773" s="2" t="s">
        <v>82</v>
      </c>
      <c r="L773" s="2" t="s">
        <v>41</v>
      </c>
      <c r="M773" s="2" t="s">
        <v>135</v>
      </c>
      <c r="N773" s="2" t="s">
        <v>1059</v>
      </c>
      <c r="O773" s="2" t="s">
        <v>769</v>
      </c>
      <c r="P773" s="2" t="s">
        <v>5</v>
      </c>
      <c r="Q773" s="2">
        <f>INDEX(Tables!$C$4:$C$28,MATCH($P773,Tables!$B$4:$B$28,0))</f>
        <v>32</v>
      </c>
      <c r="R773" s="2">
        <f>INDEX(Tables!$D$4:$D$28,MATCH($P773,Tables!$B$4:$B$28,0))</f>
        <v>4</v>
      </c>
      <c r="S773" s="2">
        <f>$S772+$R772+INDEX(Tables!$N$5:$Q$8,MATCH(MOD($S772+$R772,4),Tables!$M$5:$M$8,0),MATCH($R773,Tables!$N$4:$Q$4,0))</f>
        <v>2748</v>
      </c>
      <c r="T773" s="2" t="str">
        <f t="shared" ref="T773:T836" si="189">DEC2HEX($S773,4)</f>
        <v>0ABC</v>
      </c>
      <c r="U773" s="2">
        <f t="shared" si="180"/>
        <v>687</v>
      </c>
      <c r="V773" s="2" t="str">
        <f t="shared" ref="V773:V836" si="190">DEC2HEX($U773,3)</f>
        <v>2AF</v>
      </c>
      <c r="W773" s="2" t="str">
        <f t="shared" ref="W773:W836" si="191">IF(MOD($S773,4)=3,"X",IF(AND(MOD($S773,4)=2,$J773&gt;8),"X",IF(AND(MOD($S773,4)=1,$J773&gt;16),"X",IF(AND(MOD($S773,4)=0,$J773&gt;24),"X",""))))</f>
        <v/>
      </c>
      <c r="X773" s="2" t="str">
        <f t="shared" si="177"/>
        <v/>
      </c>
      <c r="Y773" s="2" t="str">
        <f t="shared" si="178"/>
        <v/>
      </c>
      <c r="Z773" s="2" t="str">
        <f t="shared" si="179"/>
        <v>X</v>
      </c>
      <c r="AA773" s="2" t="str">
        <f t="shared" si="181"/>
        <v/>
      </c>
      <c r="AB773" s="2" t="str">
        <f t="shared" si="182"/>
        <v/>
      </c>
      <c r="AC773" s="2" t="str">
        <f t="shared" si="183"/>
        <v/>
      </c>
      <c r="AD773" s="2" t="str">
        <f t="shared" si="184"/>
        <v>(0)</v>
      </c>
      <c r="AE773" s="2" t="str">
        <f t="shared" si="185"/>
        <v/>
      </c>
      <c r="AF773" s="2" t="str">
        <f t="shared" si="186"/>
        <v/>
      </c>
      <c r="AG773" s="2" t="str">
        <f t="shared" si="187"/>
        <v/>
      </c>
      <c r="AH773" s="2" t="str">
        <f t="shared" si="188"/>
        <v/>
      </c>
    </row>
    <row r="774" spans="2:34" x14ac:dyDescent="0.25">
      <c r="B774" s="2" t="s">
        <v>1056</v>
      </c>
      <c r="D774" s="2" t="s">
        <v>1</v>
      </c>
      <c r="E774" s="2" t="s">
        <v>134</v>
      </c>
      <c r="F774" s="2" t="s">
        <v>1060</v>
      </c>
      <c r="G774" s="2" t="s">
        <v>1061</v>
      </c>
      <c r="H774" s="2" t="s">
        <v>770</v>
      </c>
      <c r="I774" s="2" t="s">
        <v>42</v>
      </c>
      <c r="J774" s="2">
        <v>1</v>
      </c>
      <c r="K774" s="2" t="s">
        <v>82</v>
      </c>
      <c r="L774" s="2" t="s">
        <v>41</v>
      </c>
      <c r="M774" s="2" t="s">
        <v>135</v>
      </c>
      <c r="N774" s="2" t="s">
        <v>1059</v>
      </c>
      <c r="O774" s="2" t="s">
        <v>771</v>
      </c>
      <c r="P774" s="2" t="s">
        <v>5</v>
      </c>
      <c r="Q774" s="2">
        <f>INDEX(Tables!$C$4:$C$28,MATCH($P774,Tables!$B$4:$B$28,0))</f>
        <v>32</v>
      </c>
      <c r="R774" s="2">
        <f>INDEX(Tables!$D$4:$D$28,MATCH($P774,Tables!$B$4:$B$28,0))</f>
        <v>4</v>
      </c>
      <c r="S774" s="2">
        <f>$S773+$R773+INDEX(Tables!$N$5:$Q$8,MATCH(MOD($S773+$R773,4),Tables!$M$5:$M$8,0),MATCH($R774,Tables!$N$4:$Q$4,0))</f>
        <v>2752</v>
      </c>
      <c r="T774" s="2" t="str">
        <f t="shared" si="189"/>
        <v>0AC0</v>
      </c>
      <c r="U774" s="2">
        <f t="shared" si="180"/>
        <v>688</v>
      </c>
      <c r="V774" s="2" t="str">
        <f t="shared" si="190"/>
        <v>2B0</v>
      </c>
      <c r="W774" s="2" t="str">
        <f t="shared" si="191"/>
        <v/>
      </c>
      <c r="X774" s="2" t="str">
        <f t="shared" si="177"/>
        <v/>
      </c>
      <c r="Y774" s="2" t="str">
        <f t="shared" si="178"/>
        <v/>
      </c>
      <c r="Z774" s="2" t="str">
        <f t="shared" si="179"/>
        <v>X</v>
      </c>
      <c r="AA774" s="2" t="str">
        <f t="shared" si="181"/>
        <v/>
      </c>
      <c r="AB774" s="2" t="str">
        <f t="shared" si="182"/>
        <v/>
      </c>
      <c r="AC774" s="2" t="str">
        <f t="shared" si="183"/>
        <v/>
      </c>
      <c r="AD774" s="2" t="str">
        <f t="shared" si="184"/>
        <v>(0)</v>
      </c>
      <c r="AE774" s="2" t="str">
        <f t="shared" si="185"/>
        <v/>
      </c>
      <c r="AF774" s="2" t="str">
        <f t="shared" si="186"/>
        <v/>
      </c>
      <c r="AG774" s="2" t="str">
        <f t="shared" si="187"/>
        <v/>
      </c>
      <c r="AH774" s="2" t="str">
        <f t="shared" si="188"/>
        <v/>
      </c>
    </row>
    <row r="775" spans="2:34" x14ac:dyDescent="0.25">
      <c r="B775" s="2" t="s">
        <v>1056</v>
      </c>
      <c r="D775" s="2" t="s">
        <v>1</v>
      </c>
      <c r="E775" s="2" t="s">
        <v>134</v>
      </c>
      <c r="F775" s="2" t="s">
        <v>1060</v>
      </c>
      <c r="G775" s="2" t="s">
        <v>1061</v>
      </c>
      <c r="H775" s="2" t="s">
        <v>772</v>
      </c>
      <c r="I775" s="2" t="s">
        <v>42</v>
      </c>
      <c r="J775" s="2">
        <v>1</v>
      </c>
      <c r="K775" s="2" t="s">
        <v>136</v>
      </c>
      <c r="L775" s="2" t="s">
        <v>41</v>
      </c>
      <c r="M775" s="2" t="s">
        <v>135</v>
      </c>
      <c r="N775" s="2" t="s">
        <v>1059</v>
      </c>
      <c r="O775" s="2" t="s">
        <v>773</v>
      </c>
      <c r="P775" s="2" t="s">
        <v>5</v>
      </c>
      <c r="Q775" s="2">
        <f>INDEX(Tables!$C$4:$C$28,MATCH($P775,Tables!$B$4:$B$28,0))</f>
        <v>32</v>
      </c>
      <c r="R775" s="2">
        <f>INDEX(Tables!$D$4:$D$28,MATCH($P775,Tables!$B$4:$B$28,0))</f>
        <v>4</v>
      </c>
      <c r="S775" s="2">
        <f>$S774+$R774+INDEX(Tables!$N$5:$Q$8,MATCH(MOD($S774+$R774,4),Tables!$M$5:$M$8,0),MATCH($R775,Tables!$N$4:$Q$4,0))</f>
        <v>2756</v>
      </c>
      <c r="T775" s="2" t="str">
        <f t="shared" si="189"/>
        <v>0AC4</v>
      </c>
      <c r="U775" s="2">
        <f t="shared" si="180"/>
        <v>689</v>
      </c>
      <c r="V775" s="2" t="str">
        <f t="shared" si="190"/>
        <v>2B1</v>
      </c>
      <c r="W775" s="2" t="str">
        <f t="shared" si="191"/>
        <v/>
      </c>
      <c r="X775" s="2" t="str">
        <f t="shared" si="177"/>
        <v/>
      </c>
      <c r="Y775" s="2" t="str">
        <f t="shared" si="178"/>
        <v/>
      </c>
      <c r="Z775" s="2" t="str">
        <f t="shared" si="179"/>
        <v>X</v>
      </c>
      <c r="AA775" s="2" t="str">
        <f t="shared" si="181"/>
        <v/>
      </c>
      <c r="AB775" s="2" t="str">
        <f t="shared" si="182"/>
        <v/>
      </c>
      <c r="AC775" s="2" t="str">
        <f t="shared" si="183"/>
        <v/>
      </c>
      <c r="AD775" s="2" t="str">
        <f t="shared" si="184"/>
        <v>(0)</v>
      </c>
      <c r="AE775" s="2" t="str">
        <f t="shared" si="185"/>
        <v/>
      </c>
      <c r="AF775" s="2" t="str">
        <f t="shared" si="186"/>
        <v/>
      </c>
      <c r="AG775" s="2" t="str">
        <f t="shared" si="187"/>
        <v/>
      </c>
      <c r="AH775" s="2" t="str">
        <f t="shared" si="188"/>
        <v/>
      </c>
    </row>
    <row r="776" spans="2:34" x14ac:dyDescent="0.25">
      <c r="B776" s="2" t="s">
        <v>1056</v>
      </c>
      <c r="D776" s="2" t="s">
        <v>1</v>
      </c>
      <c r="E776" s="2" t="s">
        <v>134</v>
      </c>
      <c r="F776" s="2" t="s">
        <v>1060</v>
      </c>
      <c r="G776" s="2" t="s">
        <v>1061</v>
      </c>
      <c r="H776" s="2" t="s">
        <v>774</v>
      </c>
      <c r="I776" s="2" t="s">
        <v>42</v>
      </c>
      <c r="J776" s="2">
        <v>1</v>
      </c>
      <c r="K776" s="2" t="s">
        <v>136</v>
      </c>
      <c r="L776" s="2" t="s">
        <v>41</v>
      </c>
      <c r="M776" s="2" t="s">
        <v>135</v>
      </c>
      <c r="N776" s="2" t="s">
        <v>1059</v>
      </c>
      <c r="O776" s="2" t="s">
        <v>775</v>
      </c>
      <c r="P776" s="2" t="s">
        <v>5</v>
      </c>
      <c r="Q776" s="2">
        <f>INDEX(Tables!$C$4:$C$28,MATCH($P776,Tables!$B$4:$B$28,0))</f>
        <v>32</v>
      </c>
      <c r="R776" s="2">
        <f>INDEX(Tables!$D$4:$D$28,MATCH($P776,Tables!$B$4:$B$28,0))</f>
        <v>4</v>
      </c>
      <c r="S776" s="2">
        <f>$S775+$R775+INDEX(Tables!$N$5:$Q$8,MATCH(MOD($S775+$R775,4),Tables!$M$5:$M$8,0),MATCH($R776,Tables!$N$4:$Q$4,0))</f>
        <v>2760</v>
      </c>
      <c r="T776" s="2" t="str">
        <f t="shared" si="189"/>
        <v>0AC8</v>
      </c>
      <c r="U776" s="2">
        <f t="shared" si="180"/>
        <v>690</v>
      </c>
      <c r="V776" s="2" t="str">
        <f t="shared" si="190"/>
        <v>2B2</v>
      </c>
      <c r="W776" s="2" t="str">
        <f t="shared" si="191"/>
        <v/>
      </c>
      <c r="X776" s="2" t="str">
        <f t="shared" si="177"/>
        <v/>
      </c>
      <c r="Y776" s="2" t="str">
        <f t="shared" si="178"/>
        <v/>
      </c>
      <c r="Z776" s="2" t="str">
        <f t="shared" si="179"/>
        <v>X</v>
      </c>
      <c r="AA776" s="2" t="str">
        <f t="shared" si="181"/>
        <v/>
      </c>
      <c r="AB776" s="2" t="str">
        <f t="shared" si="182"/>
        <v/>
      </c>
      <c r="AC776" s="2" t="str">
        <f t="shared" si="183"/>
        <v/>
      </c>
      <c r="AD776" s="2" t="str">
        <f t="shared" si="184"/>
        <v>(0)</v>
      </c>
      <c r="AE776" s="2" t="str">
        <f t="shared" si="185"/>
        <v/>
      </c>
      <c r="AF776" s="2" t="str">
        <f t="shared" si="186"/>
        <v/>
      </c>
      <c r="AG776" s="2" t="str">
        <f t="shared" si="187"/>
        <v/>
      </c>
      <c r="AH776" s="2" t="str">
        <f t="shared" si="188"/>
        <v/>
      </c>
    </row>
    <row r="777" spans="2:34" x14ac:dyDescent="0.25">
      <c r="B777" s="2" t="s">
        <v>1056</v>
      </c>
      <c r="D777" s="2" t="s">
        <v>1</v>
      </c>
      <c r="E777" s="2" t="s">
        <v>134</v>
      </c>
      <c r="F777" s="2" t="s">
        <v>1060</v>
      </c>
      <c r="G777" s="2" t="s">
        <v>1061</v>
      </c>
      <c r="H777" s="2" t="s">
        <v>776</v>
      </c>
      <c r="I777" s="2" t="s">
        <v>42</v>
      </c>
      <c r="J777" s="2">
        <v>1</v>
      </c>
      <c r="K777" s="2" t="s">
        <v>136</v>
      </c>
      <c r="L777" s="2" t="s">
        <v>41</v>
      </c>
      <c r="M777" s="2" t="s">
        <v>135</v>
      </c>
      <c r="N777" s="2" t="s">
        <v>1059</v>
      </c>
      <c r="O777" s="2" t="s">
        <v>777</v>
      </c>
      <c r="P777" s="2" t="s">
        <v>5</v>
      </c>
      <c r="Q777" s="2">
        <f>INDEX(Tables!$C$4:$C$28,MATCH($P777,Tables!$B$4:$B$28,0))</f>
        <v>32</v>
      </c>
      <c r="R777" s="2">
        <f>INDEX(Tables!$D$4:$D$28,MATCH($P777,Tables!$B$4:$B$28,0))</f>
        <v>4</v>
      </c>
      <c r="S777" s="2">
        <f>$S776+$R776+INDEX(Tables!$N$5:$Q$8,MATCH(MOD($S776+$R776,4),Tables!$M$5:$M$8,0),MATCH($R777,Tables!$N$4:$Q$4,0))</f>
        <v>2764</v>
      </c>
      <c r="T777" s="2" t="str">
        <f t="shared" si="189"/>
        <v>0ACC</v>
      </c>
      <c r="U777" s="2">
        <f t="shared" si="180"/>
        <v>691</v>
      </c>
      <c r="V777" s="2" t="str">
        <f t="shared" si="190"/>
        <v>2B3</v>
      </c>
      <c r="W777" s="2" t="str">
        <f t="shared" si="191"/>
        <v/>
      </c>
      <c r="X777" s="2" t="str">
        <f t="shared" si="177"/>
        <v/>
      </c>
      <c r="Y777" s="2" t="str">
        <f t="shared" si="178"/>
        <v/>
      </c>
      <c r="Z777" s="2" t="str">
        <f t="shared" si="179"/>
        <v>X</v>
      </c>
      <c r="AA777" s="2" t="str">
        <f t="shared" si="181"/>
        <v/>
      </c>
      <c r="AB777" s="2" t="str">
        <f t="shared" si="182"/>
        <v/>
      </c>
      <c r="AC777" s="2" t="str">
        <f t="shared" si="183"/>
        <v/>
      </c>
      <c r="AD777" s="2" t="str">
        <f t="shared" si="184"/>
        <v>(0)</v>
      </c>
      <c r="AE777" s="2" t="str">
        <f t="shared" si="185"/>
        <v/>
      </c>
      <c r="AF777" s="2" t="str">
        <f t="shared" si="186"/>
        <v/>
      </c>
      <c r="AG777" s="2" t="str">
        <f t="shared" si="187"/>
        <v/>
      </c>
      <c r="AH777" s="2" t="str">
        <f t="shared" si="188"/>
        <v/>
      </c>
    </row>
    <row r="778" spans="2:34" x14ac:dyDescent="0.25">
      <c r="B778" s="2" t="s">
        <v>1056</v>
      </c>
      <c r="D778" s="2" t="s">
        <v>1</v>
      </c>
      <c r="E778" s="2" t="s">
        <v>134</v>
      </c>
      <c r="F778" s="2" t="s">
        <v>1060</v>
      </c>
      <c r="G778" s="2" t="s">
        <v>1061</v>
      </c>
      <c r="H778" s="2" t="s">
        <v>778</v>
      </c>
      <c r="I778" s="2" t="s">
        <v>42</v>
      </c>
      <c r="J778" s="2">
        <v>1</v>
      </c>
      <c r="K778" s="2" t="s">
        <v>136</v>
      </c>
      <c r="L778" s="2" t="s">
        <v>41</v>
      </c>
      <c r="M778" s="2" t="s">
        <v>135</v>
      </c>
      <c r="N778" s="2" t="s">
        <v>1059</v>
      </c>
      <c r="O778" s="2" t="s">
        <v>779</v>
      </c>
      <c r="P778" s="2" t="s">
        <v>5</v>
      </c>
      <c r="Q778" s="2">
        <f>INDEX(Tables!$C$4:$C$28,MATCH($P778,Tables!$B$4:$B$28,0))</f>
        <v>32</v>
      </c>
      <c r="R778" s="2">
        <f>INDEX(Tables!$D$4:$D$28,MATCH($P778,Tables!$B$4:$B$28,0))</f>
        <v>4</v>
      </c>
      <c r="S778" s="2">
        <f>$S777+$R777+INDEX(Tables!$N$5:$Q$8,MATCH(MOD($S777+$R777,4),Tables!$M$5:$M$8,0),MATCH($R778,Tables!$N$4:$Q$4,0))</f>
        <v>2768</v>
      </c>
      <c r="T778" s="2" t="str">
        <f t="shared" si="189"/>
        <v>0AD0</v>
      </c>
      <c r="U778" s="2">
        <f t="shared" si="180"/>
        <v>692</v>
      </c>
      <c r="V778" s="2" t="str">
        <f t="shared" si="190"/>
        <v>2B4</v>
      </c>
      <c r="W778" s="2" t="str">
        <f t="shared" si="191"/>
        <v/>
      </c>
      <c r="X778" s="2" t="str">
        <f t="shared" si="177"/>
        <v/>
      </c>
      <c r="Y778" s="2" t="str">
        <f t="shared" si="178"/>
        <v/>
      </c>
      <c r="Z778" s="2" t="str">
        <f t="shared" si="179"/>
        <v>X</v>
      </c>
      <c r="AA778" s="2" t="str">
        <f t="shared" si="181"/>
        <v/>
      </c>
      <c r="AB778" s="2" t="str">
        <f t="shared" si="182"/>
        <v/>
      </c>
      <c r="AC778" s="2" t="str">
        <f t="shared" si="183"/>
        <v/>
      </c>
      <c r="AD778" s="2" t="str">
        <f t="shared" si="184"/>
        <v>(0)</v>
      </c>
      <c r="AE778" s="2" t="str">
        <f t="shared" si="185"/>
        <v/>
      </c>
      <c r="AF778" s="2" t="str">
        <f t="shared" si="186"/>
        <v/>
      </c>
      <c r="AG778" s="2" t="str">
        <f t="shared" si="187"/>
        <v/>
      </c>
      <c r="AH778" s="2" t="str">
        <f t="shared" si="188"/>
        <v/>
      </c>
    </row>
    <row r="779" spans="2:34" x14ac:dyDescent="0.25">
      <c r="B779" s="2" t="s">
        <v>1056</v>
      </c>
      <c r="D779" s="2" t="s">
        <v>1</v>
      </c>
      <c r="E779" s="2" t="s">
        <v>134</v>
      </c>
      <c r="F779" s="2" t="s">
        <v>1060</v>
      </c>
      <c r="G779" s="2" t="s">
        <v>1061</v>
      </c>
      <c r="H779" s="2" t="s">
        <v>780</v>
      </c>
      <c r="I779" s="2" t="s">
        <v>42</v>
      </c>
      <c r="J779" s="2">
        <v>1</v>
      </c>
      <c r="K779" s="2" t="s">
        <v>82</v>
      </c>
      <c r="L779" s="2" t="s">
        <v>41</v>
      </c>
      <c r="M779" s="2" t="s">
        <v>135</v>
      </c>
      <c r="N779" s="2" t="s">
        <v>1059</v>
      </c>
      <c r="O779" s="2" t="s">
        <v>781</v>
      </c>
      <c r="P779" s="2" t="s">
        <v>5</v>
      </c>
      <c r="Q779" s="2">
        <f>INDEX(Tables!$C$4:$C$28,MATCH($P779,Tables!$B$4:$B$28,0))</f>
        <v>32</v>
      </c>
      <c r="R779" s="2">
        <f>INDEX(Tables!$D$4:$D$28,MATCH($P779,Tables!$B$4:$B$28,0))</f>
        <v>4</v>
      </c>
      <c r="S779" s="2">
        <f>$S778+$R778+INDEX(Tables!$N$5:$Q$8,MATCH(MOD($S778+$R778,4),Tables!$M$5:$M$8,0),MATCH($R779,Tables!$N$4:$Q$4,0))</f>
        <v>2772</v>
      </c>
      <c r="T779" s="2" t="str">
        <f t="shared" si="189"/>
        <v>0AD4</v>
      </c>
      <c r="U779" s="2">
        <f t="shared" si="180"/>
        <v>693</v>
      </c>
      <c r="V779" s="2" t="str">
        <f t="shared" si="190"/>
        <v>2B5</v>
      </c>
      <c r="W779" s="2" t="str">
        <f t="shared" si="191"/>
        <v/>
      </c>
      <c r="X779" s="2" t="str">
        <f t="shared" si="177"/>
        <v/>
      </c>
      <c r="Y779" s="2" t="str">
        <f t="shared" si="178"/>
        <v/>
      </c>
      <c r="Z779" s="2" t="str">
        <f t="shared" si="179"/>
        <v>X</v>
      </c>
      <c r="AA779" s="2" t="str">
        <f t="shared" si="181"/>
        <v/>
      </c>
      <c r="AB779" s="2" t="str">
        <f t="shared" si="182"/>
        <v/>
      </c>
      <c r="AC779" s="2" t="str">
        <f t="shared" si="183"/>
        <v/>
      </c>
      <c r="AD779" s="2" t="str">
        <f t="shared" si="184"/>
        <v>(0)</v>
      </c>
      <c r="AE779" s="2" t="str">
        <f t="shared" si="185"/>
        <v/>
      </c>
      <c r="AF779" s="2" t="str">
        <f t="shared" si="186"/>
        <v/>
      </c>
      <c r="AG779" s="2" t="str">
        <f t="shared" si="187"/>
        <v/>
      </c>
      <c r="AH779" s="2" t="str">
        <f t="shared" si="188"/>
        <v/>
      </c>
    </row>
    <row r="780" spans="2:34" x14ac:dyDescent="0.25">
      <c r="B780" s="2" t="s">
        <v>1056</v>
      </c>
      <c r="D780" s="2" t="s">
        <v>1</v>
      </c>
      <c r="E780" s="2" t="s">
        <v>134</v>
      </c>
      <c r="F780" s="2" t="s">
        <v>1060</v>
      </c>
      <c r="G780" s="2" t="s">
        <v>1061</v>
      </c>
      <c r="H780" s="2" t="s">
        <v>782</v>
      </c>
      <c r="I780" s="2" t="s">
        <v>42</v>
      </c>
      <c r="J780" s="2">
        <v>1</v>
      </c>
      <c r="K780" s="2" t="s">
        <v>82</v>
      </c>
      <c r="L780" s="2" t="s">
        <v>41</v>
      </c>
      <c r="M780" s="2" t="s">
        <v>135</v>
      </c>
      <c r="N780" s="2" t="s">
        <v>1059</v>
      </c>
      <c r="O780" s="2" t="s">
        <v>783</v>
      </c>
      <c r="P780" s="2" t="s">
        <v>5</v>
      </c>
      <c r="Q780" s="2">
        <f>INDEX(Tables!$C$4:$C$28,MATCH($P780,Tables!$B$4:$B$28,0))</f>
        <v>32</v>
      </c>
      <c r="R780" s="2">
        <f>INDEX(Tables!$D$4:$D$28,MATCH($P780,Tables!$B$4:$B$28,0))</f>
        <v>4</v>
      </c>
      <c r="S780" s="2">
        <f>$S779+$R779+INDEX(Tables!$N$5:$Q$8,MATCH(MOD($S779+$R779,4),Tables!$M$5:$M$8,0),MATCH($R780,Tables!$N$4:$Q$4,0))</f>
        <v>2776</v>
      </c>
      <c r="T780" s="2" t="str">
        <f t="shared" si="189"/>
        <v>0AD8</v>
      </c>
      <c r="U780" s="2">
        <f t="shared" si="180"/>
        <v>694</v>
      </c>
      <c r="V780" s="2" t="str">
        <f t="shared" si="190"/>
        <v>2B6</v>
      </c>
      <c r="W780" s="2" t="str">
        <f t="shared" si="191"/>
        <v/>
      </c>
      <c r="X780" s="2" t="str">
        <f t="shared" si="177"/>
        <v/>
      </c>
      <c r="Y780" s="2" t="str">
        <f t="shared" si="178"/>
        <v/>
      </c>
      <c r="Z780" s="2" t="str">
        <f t="shared" si="179"/>
        <v>X</v>
      </c>
      <c r="AA780" s="2" t="str">
        <f t="shared" si="181"/>
        <v/>
      </c>
      <c r="AB780" s="2" t="str">
        <f t="shared" si="182"/>
        <v/>
      </c>
      <c r="AC780" s="2" t="str">
        <f t="shared" si="183"/>
        <v/>
      </c>
      <c r="AD780" s="2" t="str">
        <f t="shared" si="184"/>
        <v>(0)</v>
      </c>
      <c r="AE780" s="2" t="str">
        <f t="shared" si="185"/>
        <v/>
      </c>
      <c r="AF780" s="2" t="str">
        <f t="shared" si="186"/>
        <v/>
      </c>
      <c r="AG780" s="2" t="str">
        <f t="shared" si="187"/>
        <v/>
      </c>
      <c r="AH780" s="2" t="str">
        <f t="shared" si="188"/>
        <v/>
      </c>
    </row>
    <row r="781" spans="2:34" x14ac:dyDescent="0.25">
      <c r="B781" s="2" t="s">
        <v>1056</v>
      </c>
      <c r="D781" s="2" t="s">
        <v>1</v>
      </c>
      <c r="E781" s="2" t="s">
        <v>134</v>
      </c>
      <c r="F781" s="2" t="s">
        <v>1060</v>
      </c>
      <c r="G781" s="2" t="s">
        <v>1061</v>
      </c>
      <c r="H781" s="2" t="s">
        <v>784</v>
      </c>
      <c r="I781" s="2" t="s">
        <v>42</v>
      </c>
      <c r="J781" s="2">
        <v>1</v>
      </c>
      <c r="K781" s="2" t="s">
        <v>82</v>
      </c>
      <c r="L781" s="2" t="s">
        <v>41</v>
      </c>
      <c r="M781" s="2" t="s">
        <v>135</v>
      </c>
      <c r="N781" s="2" t="s">
        <v>1059</v>
      </c>
      <c r="O781" s="2" t="s">
        <v>785</v>
      </c>
      <c r="P781" s="2" t="s">
        <v>5</v>
      </c>
      <c r="Q781" s="2">
        <f>INDEX(Tables!$C$4:$C$28,MATCH($P781,Tables!$B$4:$B$28,0))</f>
        <v>32</v>
      </c>
      <c r="R781" s="2">
        <f>INDEX(Tables!$D$4:$D$28,MATCH($P781,Tables!$B$4:$B$28,0))</f>
        <v>4</v>
      </c>
      <c r="S781" s="2">
        <f>$S780+$R780+INDEX(Tables!$N$5:$Q$8,MATCH(MOD($S780+$R780,4),Tables!$M$5:$M$8,0),MATCH($R781,Tables!$N$4:$Q$4,0))</f>
        <v>2780</v>
      </c>
      <c r="T781" s="2" t="str">
        <f t="shared" si="189"/>
        <v>0ADC</v>
      </c>
      <c r="U781" s="2">
        <f t="shared" si="180"/>
        <v>695</v>
      </c>
      <c r="V781" s="2" t="str">
        <f t="shared" si="190"/>
        <v>2B7</v>
      </c>
      <c r="W781" s="2" t="str">
        <f t="shared" si="191"/>
        <v/>
      </c>
      <c r="X781" s="2" t="str">
        <f t="shared" si="177"/>
        <v/>
      </c>
      <c r="Y781" s="2" t="str">
        <f t="shared" si="178"/>
        <v/>
      </c>
      <c r="Z781" s="2" t="str">
        <f t="shared" si="179"/>
        <v>X</v>
      </c>
      <c r="AA781" s="2" t="str">
        <f t="shared" si="181"/>
        <v/>
      </c>
      <c r="AB781" s="2" t="str">
        <f t="shared" si="182"/>
        <v/>
      </c>
      <c r="AC781" s="2" t="str">
        <f t="shared" si="183"/>
        <v/>
      </c>
      <c r="AD781" s="2" t="str">
        <f t="shared" si="184"/>
        <v>(0)</v>
      </c>
      <c r="AE781" s="2" t="str">
        <f t="shared" si="185"/>
        <v/>
      </c>
      <c r="AF781" s="2" t="str">
        <f t="shared" si="186"/>
        <v/>
      </c>
      <c r="AG781" s="2" t="str">
        <f t="shared" si="187"/>
        <v/>
      </c>
      <c r="AH781" s="2" t="str">
        <f t="shared" si="188"/>
        <v/>
      </c>
    </row>
    <row r="782" spans="2:34" x14ac:dyDescent="0.25">
      <c r="B782" s="2" t="s">
        <v>1056</v>
      </c>
      <c r="D782" s="2" t="s">
        <v>1</v>
      </c>
      <c r="E782" s="2" t="s">
        <v>134</v>
      </c>
      <c r="F782" s="2" t="s">
        <v>1060</v>
      </c>
      <c r="G782" s="2" t="s">
        <v>1061</v>
      </c>
      <c r="H782" s="2" t="s">
        <v>786</v>
      </c>
      <c r="I782" s="2" t="s">
        <v>42</v>
      </c>
      <c r="J782" s="2">
        <v>1</v>
      </c>
      <c r="K782" s="2" t="s">
        <v>82</v>
      </c>
      <c r="L782" s="2" t="s">
        <v>41</v>
      </c>
      <c r="M782" s="2" t="s">
        <v>135</v>
      </c>
      <c r="N782" s="2" t="s">
        <v>1059</v>
      </c>
      <c r="O782" s="2" t="s">
        <v>787</v>
      </c>
      <c r="P782" s="2" t="s">
        <v>5</v>
      </c>
      <c r="Q782" s="2">
        <f>INDEX(Tables!$C$4:$C$28,MATCH($P782,Tables!$B$4:$B$28,0))</f>
        <v>32</v>
      </c>
      <c r="R782" s="2">
        <f>INDEX(Tables!$D$4:$D$28,MATCH($P782,Tables!$B$4:$B$28,0))</f>
        <v>4</v>
      </c>
      <c r="S782" s="2">
        <f>$S781+$R781+INDEX(Tables!$N$5:$Q$8,MATCH(MOD($S781+$R781,4),Tables!$M$5:$M$8,0),MATCH($R782,Tables!$N$4:$Q$4,0))</f>
        <v>2784</v>
      </c>
      <c r="T782" s="2" t="str">
        <f t="shared" si="189"/>
        <v>0AE0</v>
      </c>
      <c r="U782" s="2">
        <f t="shared" si="180"/>
        <v>696</v>
      </c>
      <c r="V782" s="2" t="str">
        <f t="shared" si="190"/>
        <v>2B8</v>
      </c>
      <c r="W782" s="2" t="str">
        <f t="shared" si="191"/>
        <v/>
      </c>
      <c r="X782" s="2" t="str">
        <f t="shared" si="177"/>
        <v/>
      </c>
      <c r="Y782" s="2" t="str">
        <f t="shared" si="178"/>
        <v/>
      </c>
      <c r="Z782" s="2" t="str">
        <f t="shared" si="179"/>
        <v>X</v>
      </c>
      <c r="AA782" s="2" t="str">
        <f t="shared" si="181"/>
        <v/>
      </c>
      <c r="AB782" s="2" t="str">
        <f t="shared" si="182"/>
        <v/>
      </c>
      <c r="AC782" s="2" t="str">
        <f t="shared" si="183"/>
        <v/>
      </c>
      <c r="AD782" s="2" t="str">
        <f t="shared" si="184"/>
        <v>(0)</v>
      </c>
      <c r="AE782" s="2" t="str">
        <f t="shared" si="185"/>
        <v/>
      </c>
      <c r="AF782" s="2" t="str">
        <f t="shared" si="186"/>
        <v/>
      </c>
      <c r="AG782" s="2" t="str">
        <f t="shared" si="187"/>
        <v/>
      </c>
      <c r="AH782" s="2" t="str">
        <f t="shared" si="188"/>
        <v/>
      </c>
    </row>
    <row r="783" spans="2:34" x14ac:dyDescent="0.25">
      <c r="B783" s="2" t="s">
        <v>1056</v>
      </c>
      <c r="D783" s="2" t="s">
        <v>1</v>
      </c>
      <c r="E783" s="2" t="s">
        <v>134</v>
      </c>
      <c r="F783" s="2" t="s">
        <v>1060</v>
      </c>
      <c r="G783" s="2" t="s">
        <v>1061</v>
      </c>
      <c r="H783" s="2" t="s">
        <v>788</v>
      </c>
      <c r="I783" s="2" t="s">
        <v>42</v>
      </c>
      <c r="J783" s="2">
        <v>1</v>
      </c>
      <c r="K783" s="2" t="s">
        <v>82</v>
      </c>
      <c r="L783" s="2" t="s">
        <v>41</v>
      </c>
      <c r="M783" s="2" t="s">
        <v>135</v>
      </c>
      <c r="N783" s="2" t="s">
        <v>1059</v>
      </c>
      <c r="O783" s="2" t="s">
        <v>789</v>
      </c>
      <c r="P783" s="2" t="s">
        <v>5</v>
      </c>
      <c r="Q783" s="2">
        <f>INDEX(Tables!$C$4:$C$28,MATCH($P783,Tables!$B$4:$B$28,0))</f>
        <v>32</v>
      </c>
      <c r="R783" s="2">
        <f>INDEX(Tables!$D$4:$D$28,MATCH($P783,Tables!$B$4:$B$28,0))</f>
        <v>4</v>
      </c>
      <c r="S783" s="2">
        <f>$S782+$R782+INDEX(Tables!$N$5:$Q$8,MATCH(MOD($S782+$R782,4),Tables!$M$5:$M$8,0),MATCH($R783,Tables!$N$4:$Q$4,0))</f>
        <v>2788</v>
      </c>
      <c r="T783" s="2" t="str">
        <f t="shared" si="189"/>
        <v>0AE4</v>
      </c>
      <c r="U783" s="2">
        <f t="shared" si="180"/>
        <v>697</v>
      </c>
      <c r="V783" s="2" t="str">
        <f t="shared" si="190"/>
        <v>2B9</v>
      </c>
      <c r="W783" s="2" t="str">
        <f t="shared" si="191"/>
        <v/>
      </c>
      <c r="X783" s="2" t="str">
        <f t="shared" si="177"/>
        <v/>
      </c>
      <c r="Y783" s="2" t="str">
        <f t="shared" si="178"/>
        <v/>
      </c>
      <c r="Z783" s="2" t="str">
        <f t="shared" si="179"/>
        <v>X</v>
      </c>
      <c r="AA783" s="2" t="str">
        <f t="shared" si="181"/>
        <v/>
      </c>
      <c r="AB783" s="2" t="str">
        <f t="shared" si="182"/>
        <v/>
      </c>
      <c r="AC783" s="2" t="str">
        <f t="shared" si="183"/>
        <v/>
      </c>
      <c r="AD783" s="2" t="str">
        <f t="shared" si="184"/>
        <v>(0)</v>
      </c>
      <c r="AE783" s="2" t="str">
        <f t="shared" si="185"/>
        <v/>
      </c>
      <c r="AF783" s="2" t="str">
        <f t="shared" si="186"/>
        <v/>
      </c>
      <c r="AG783" s="2" t="str">
        <f t="shared" si="187"/>
        <v/>
      </c>
      <c r="AH783" s="2" t="str">
        <f t="shared" si="188"/>
        <v/>
      </c>
    </row>
    <row r="784" spans="2:34" x14ac:dyDescent="0.25">
      <c r="B784" s="2" t="s">
        <v>1056</v>
      </c>
      <c r="D784" s="2" t="s">
        <v>1</v>
      </c>
      <c r="E784" s="2" t="s">
        <v>134</v>
      </c>
      <c r="F784" s="2" t="s">
        <v>1060</v>
      </c>
      <c r="G784" s="2" t="s">
        <v>1061</v>
      </c>
      <c r="H784" s="2" t="s">
        <v>790</v>
      </c>
      <c r="I784" s="2" t="s">
        <v>42</v>
      </c>
      <c r="J784" s="2">
        <v>1</v>
      </c>
      <c r="K784" s="2" t="s">
        <v>82</v>
      </c>
      <c r="L784" s="2" t="s">
        <v>41</v>
      </c>
      <c r="M784" s="2" t="s">
        <v>135</v>
      </c>
      <c r="N784" s="2" t="s">
        <v>1059</v>
      </c>
      <c r="O784" s="2" t="s">
        <v>791</v>
      </c>
      <c r="P784" s="2" t="s">
        <v>5</v>
      </c>
      <c r="Q784" s="2">
        <f>INDEX(Tables!$C$4:$C$28,MATCH($P784,Tables!$B$4:$B$28,0))</f>
        <v>32</v>
      </c>
      <c r="R784" s="2">
        <f>INDEX(Tables!$D$4:$D$28,MATCH($P784,Tables!$B$4:$B$28,0))</f>
        <v>4</v>
      </c>
      <c r="S784" s="2">
        <f>$S783+$R783+INDEX(Tables!$N$5:$Q$8,MATCH(MOD($S783+$R783,4),Tables!$M$5:$M$8,0),MATCH($R784,Tables!$N$4:$Q$4,0))</f>
        <v>2792</v>
      </c>
      <c r="T784" s="2" t="str">
        <f t="shared" si="189"/>
        <v>0AE8</v>
      </c>
      <c r="U784" s="2">
        <f t="shared" si="180"/>
        <v>698</v>
      </c>
      <c r="V784" s="2" t="str">
        <f t="shared" si="190"/>
        <v>2BA</v>
      </c>
      <c r="W784" s="2" t="str">
        <f t="shared" si="191"/>
        <v/>
      </c>
      <c r="X784" s="2" t="str">
        <f t="shared" si="177"/>
        <v/>
      </c>
      <c r="Y784" s="2" t="str">
        <f t="shared" si="178"/>
        <v/>
      </c>
      <c r="Z784" s="2" t="str">
        <f t="shared" si="179"/>
        <v>X</v>
      </c>
      <c r="AA784" s="2" t="str">
        <f t="shared" si="181"/>
        <v/>
      </c>
      <c r="AB784" s="2" t="str">
        <f t="shared" si="182"/>
        <v/>
      </c>
      <c r="AC784" s="2" t="str">
        <f t="shared" si="183"/>
        <v/>
      </c>
      <c r="AD784" s="2" t="str">
        <f t="shared" si="184"/>
        <v>(0)</v>
      </c>
      <c r="AE784" s="2" t="str">
        <f t="shared" si="185"/>
        <v/>
      </c>
      <c r="AF784" s="2" t="str">
        <f t="shared" si="186"/>
        <v/>
      </c>
      <c r="AG784" s="2" t="str">
        <f t="shared" si="187"/>
        <v/>
      </c>
      <c r="AH784" s="2" t="str">
        <f t="shared" si="188"/>
        <v/>
      </c>
    </row>
    <row r="785" spans="2:34" x14ac:dyDescent="0.25">
      <c r="B785" s="2" t="s">
        <v>1056</v>
      </c>
      <c r="D785" s="2" t="s">
        <v>1</v>
      </c>
      <c r="E785" s="2" t="s">
        <v>134</v>
      </c>
      <c r="F785" s="2" t="s">
        <v>1060</v>
      </c>
      <c r="G785" s="2" t="s">
        <v>1061</v>
      </c>
      <c r="H785" s="2" t="s">
        <v>792</v>
      </c>
      <c r="I785" s="2" t="s">
        <v>42</v>
      </c>
      <c r="J785" s="2">
        <v>1</v>
      </c>
      <c r="K785" s="2" t="s">
        <v>82</v>
      </c>
      <c r="L785" s="2" t="s">
        <v>41</v>
      </c>
      <c r="M785" s="2" t="s">
        <v>135</v>
      </c>
      <c r="N785" s="2" t="s">
        <v>1059</v>
      </c>
      <c r="O785" s="2" t="s">
        <v>793</v>
      </c>
      <c r="P785" s="2" t="s">
        <v>5</v>
      </c>
      <c r="Q785" s="2">
        <f>INDEX(Tables!$C$4:$C$28,MATCH($P785,Tables!$B$4:$B$28,0))</f>
        <v>32</v>
      </c>
      <c r="R785" s="2">
        <f>INDEX(Tables!$D$4:$D$28,MATCH($P785,Tables!$B$4:$B$28,0))</f>
        <v>4</v>
      </c>
      <c r="S785" s="2">
        <f>$S784+$R784+INDEX(Tables!$N$5:$Q$8,MATCH(MOD($S784+$R784,4),Tables!$M$5:$M$8,0),MATCH($R785,Tables!$N$4:$Q$4,0))</f>
        <v>2796</v>
      </c>
      <c r="T785" s="2" t="str">
        <f t="shared" si="189"/>
        <v>0AEC</v>
      </c>
      <c r="U785" s="2">
        <f t="shared" si="180"/>
        <v>699</v>
      </c>
      <c r="V785" s="2" t="str">
        <f t="shared" si="190"/>
        <v>2BB</v>
      </c>
      <c r="W785" s="2" t="str">
        <f t="shared" si="191"/>
        <v/>
      </c>
      <c r="X785" s="2" t="str">
        <f t="shared" si="177"/>
        <v/>
      </c>
      <c r="Y785" s="2" t="str">
        <f t="shared" si="178"/>
        <v/>
      </c>
      <c r="Z785" s="2" t="str">
        <f t="shared" si="179"/>
        <v>X</v>
      </c>
      <c r="AA785" s="2" t="str">
        <f t="shared" si="181"/>
        <v/>
      </c>
      <c r="AB785" s="2" t="str">
        <f t="shared" si="182"/>
        <v/>
      </c>
      <c r="AC785" s="2" t="str">
        <f t="shared" si="183"/>
        <v/>
      </c>
      <c r="AD785" s="2" t="str">
        <f t="shared" si="184"/>
        <v>(0)</v>
      </c>
      <c r="AE785" s="2" t="str">
        <f t="shared" si="185"/>
        <v/>
      </c>
      <c r="AF785" s="2" t="str">
        <f t="shared" si="186"/>
        <v/>
      </c>
      <c r="AG785" s="2" t="str">
        <f t="shared" si="187"/>
        <v/>
      </c>
      <c r="AH785" s="2" t="str">
        <f t="shared" si="188"/>
        <v/>
      </c>
    </row>
    <row r="786" spans="2:34" x14ac:dyDescent="0.25">
      <c r="B786" s="2" t="s">
        <v>1056</v>
      </c>
      <c r="D786" s="2" t="s">
        <v>1</v>
      </c>
      <c r="E786" s="2" t="s">
        <v>134</v>
      </c>
      <c r="F786" s="2" t="s">
        <v>1060</v>
      </c>
      <c r="G786" s="2" t="s">
        <v>1061</v>
      </c>
      <c r="H786" s="2" t="s">
        <v>794</v>
      </c>
      <c r="I786" s="2" t="s">
        <v>42</v>
      </c>
      <c r="J786" s="2">
        <v>1</v>
      </c>
      <c r="K786" s="2" t="s">
        <v>82</v>
      </c>
      <c r="L786" s="2" t="s">
        <v>41</v>
      </c>
      <c r="M786" s="2" t="s">
        <v>135</v>
      </c>
      <c r="N786" s="2" t="s">
        <v>1059</v>
      </c>
      <c r="O786" s="2" t="s">
        <v>795</v>
      </c>
      <c r="P786" s="2" t="s">
        <v>5</v>
      </c>
      <c r="Q786" s="2">
        <f>INDEX(Tables!$C$4:$C$28,MATCH($P786,Tables!$B$4:$B$28,0))</f>
        <v>32</v>
      </c>
      <c r="R786" s="2">
        <f>INDEX(Tables!$D$4:$D$28,MATCH($P786,Tables!$B$4:$B$28,0))</f>
        <v>4</v>
      </c>
      <c r="S786" s="2">
        <f>$S785+$R785+INDEX(Tables!$N$5:$Q$8,MATCH(MOD($S785+$R785,4),Tables!$M$5:$M$8,0),MATCH($R786,Tables!$N$4:$Q$4,0))</f>
        <v>2800</v>
      </c>
      <c r="T786" s="2" t="str">
        <f t="shared" si="189"/>
        <v>0AF0</v>
      </c>
      <c r="U786" s="2">
        <f t="shared" si="180"/>
        <v>700</v>
      </c>
      <c r="V786" s="2" t="str">
        <f t="shared" si="190"/>
        <v>2BC</v>
      </c>
      <c r="W786" s="2" t="str">
        <f t="shared" si="191"/>
        <v/>
      </c>
      <c r="X786" s="2" t="str">
        <f t="shared" si="177"/>
        <v/>
      </c>
      <c r="Y786" s="2" t="str">
        <f t="shared" si="178"/>
        <v/>
      </c>
      <c r="Z786" s="2" t="str">
        <f t="shared" si="179"/>
        <v>X</v>
      </c>
      <c r="AA786" s="2" t="str">
        <f t="shared" si="181"/>
        <v/>
      </c>
      <c r="AB786" s="2" t="str">
        <f t="shared" si="182"/>
        <v/>
      </c>
      <c r="AC786" s="2" t="str">
        <f t="shared" si="183"/>
        <v/>
      </c>
      <c r="AD786" s="2" t="str">
        <f t="shared" si="184"/>
        <v>(0)</v>
      </c>
      <c r="AE786" s="2" t="str">
        <f t="shared" si="185"/>
        <v/>
      </c>
      <c r="AF786" s="2" t="str">
        <f t="shared" si="186"/>
        <v/>
      </c>
      <c r="AG786" s="2" t="str">
        <f t="shared" si="187"/>
        <v/>
      </c>
      <c r="AH786" s="2" t="str">
        <f t="shared" si="188"/>
        <v/>
      </c>
    </row>
    <row r="787" spans="2:34" x14ac:dyDescent="0.25">
      <c r="B787" s="2" t="s">
        <v>1056</v>
      </c>
      <c r="D787" s="2" t="s">
        <v>1</v>
      </c>
      <c r="E787" s="2" t="s">
        <v>134</v>
      </c>
      <c r="F787" s="2" t="s">
        <v>1060</v>
      </c>
      <c r="G787" s="2" t="s">
        <v>1061</v>
      </c>
      <c r="H787" s="2" t="s">
        <v>796</v>
      </c>
      <c r="I787" s="2" t="s">
        <v>42</v>
      </c>
      <c r="J787" s="2">
        <v>1</v>
      </c>
      <c r="K787" s="2" t="s">
        <v>82</v>
      </c>
      <c r="L787" s="2" t="s">
        <v>41</v>
      </c>
      <c r="M787" s="2" t="s">
        <v>135</v>
      </c>
      <c r="N787" s="2" t="s">
        <v>1059</v>
      </c>
      <c r="O787" s="2" t="s">
        <v>797</v>
      </c>
      <c r="P787" s="2" t="s">
        <v>5</v>
      </c>
      <c r="Q787" s="2">
        <f>INDEX(Tables!$C$4:$C$28,MATCH($P787,Tables!$B$4:$B$28,0))</f>
        <v>32</v>
      </c>
      <c r="R787" s="2">
        <f>INDEX(Tables!$D$4:$D$28,MATCH($P787,Tables!$B$4:$B$28,0))</f>
        <v>4</v>
      </c>
      <c r="S787" s="2">
        <f>$S786+$R786+INDEX(Tables!$N$5:$Q$8,MATCH(MOD($S786+$R786,4),Tables!$M$5:$M$8,0),MATCH($R787,Tables!$N$4:$Q$4,0))</f>
        <v>2804</v>
      </c>
      <c r="T787" s="2" t="str">
        <f t="shared" si="189"/>
        <v>0AF4</v>
      </c>
      <c r="U787" s="2">
        <f t="shared" si="180"/>
        <v>701</v>
      </c>
      <c r="V787" s="2" t="str">
        <f t="shared" si="190"/>
        <v>2BD</v>
      </c>
      <c r="W787" s="2" t="str">
        <f t="shared" si="191"/>
        <v/>
      </c>
      <c r="X787" s="2" t="str">
        <f t="shared" ref="X787:X850" si="192">IF(MOD($S787,4)=2,"X",IF(AND(MOD($S787,4)=1,$J787&gt;8),"X",IF(AND(MOD($S787,4)=0,$J787&gt;16),"X","")))</f>
        <v/>
      </c>
      <c r="Y787" s="2" t="str">
        <f t="shared" ref="Y787:Y850" si="193">IF(MOD($S787,4)=1,"X",IF(AND(MOD($S787,4)=0,$J787&gt;8),"X",""))</f>
        <v/>
      </c>
      <c r="Z787" s="2" t="str">
        <f t="shared" ref="Z787:Z850" si="194">IF(MOD($S787,4)=0,"X","")</f>
        <v>X</v>
      </c>
      <c r="AA787" s="2" t="str">
        <f t="shared" si="181"/>
        <v/>
      </c>
      <c r="AB787" s="2" t="str">
        <f t="shared" si="182"/>
        <v/>
      </c>
      <c r="AC787" s="2" t="str">
        <f t="shared" si="183"/>
        <v/>
      </c>
      <c r="AD787" s="2" t="str">
        <f t="shared" si="184"/>
        <v>(0)</v>
      </c>
      <c r="AE787" s="2" t="str">
        <f t="shared" si="185"/>
        <v/>
      </c>
      <c r="AF787" s="2" t="str">
        <f t="shared" si="186"/>
        <v/>
      </c>
      <c r="AG787" s="2" t="str">
        <f t="shared" si="187"/>
        <v/>
      </c>
      <c r="AH787" s="2" t="str">
        <f t="shared" si="188"/>
        <v/>
      </c>
    </row>
    <row r="788" spans="2:34" x14ac:dyDescent="0.25">
      <c r="B788" s="2" t="s">
        <v>1056</v>
      </c>
      <c r="D788" s="2" t="s">
        <v>1</v>
      </c>
      <c r="E788" s="2" t="s">
        <v>134</v>
      </c>
      <c r="F788" s="2" t="s">
        <v>1060</v>
      </c>
      <c r="G788" s="2" t="s">
        <v>1061</v>
      </c>
      <c r="H788" s="2" t="s">
        <v>798</v>
      </c>
      <c r="I788" s="2" t="s">
        <v>42</v>
      </c>
      <c r="J788" s="2">
        <v>1</v>
      </c>
      <c r="K788" s="2" t="s">
        <v>82</v>
      </c>
      <c r="L788" s="2" t="s">
        <v>41</v>
      </c>
      <c r="M788" s="2" t="s">
        <v>135</v>
      </c>
      <c r="N788" s="2" t="s">
        <v>1059</v>
      </c>
      <c r="O788" s="2" t="s">
        <v>799</v>
      </c>
      <c r="P788" s="2" t="s">
        <v>5</v>
      </c>
      <c r="Q788" s="2">
        <f>INDEX(Tables!$C$4:$C$28,MATCH($P788,Tables!$B$4:$B$28,0))</f>
        <v>32</v>
      </c>
      <c r="R788" s="2">
        <f>INDEX(Tables!$D$4:$D$28,MATCH($P788,Tables!$B$4:$B$28,0))</f>
        <v>4</v>
      </c>
      <c r="S788" s="2">
        <f>$S787+$R787+INDEX(Tables!$N$5:$Q$8,MATCH(MOD($S787+$R787,4),Tables!$M$5:$M$8,0),MATCH($R788,Tables!$N$4:$Q$4,0))</f>
        <v>2808</v>
      </c>
      <c r="T788" s="2" t="str">
        <f t="shared" si="189"/>
        <v>0AF8</v>
      </c>
      <c r="U788" s="2">
        <f t="shared" si="180"/>
        <v>702</v>
      </c>
      <c r="V788" s="2" t="str">
        <f t="shared" si="190"/>
        <v>2BE</v>
      </c>
      <c r="W788" s="2" t="str">
        <f t="shared" si="191"/>
        <v/>
      </c>
      <c r="X788" s="2" t="str">
        <f t="shared" si="192"/>
        <v/>
      </c>
      <c r="Y788" s="2" t="str">
        <f t="shared" si="193"/>
        <v/>
      </c>
      <c r="Z788" s="2" t="str">
        <f t="shared" si="194"/>
        <v>X</v>
      </c>
      <c r="AA788" s="2" t="str">
        <f t="shared" si="181"/>
        <v/>
      </c>
      <c r="AB788" s="2" t="str">
        <f t="shared" si="182"/>
        <v/>
      </c>
      <c r="AC788" s="2" t="str">
        <f t="shared" si="183"/>
        <v/>
      </c>
      <c r="AD788" s="2" t="str">
        <f t="shared" si="184"/>
        <v>(0)</v>
      </c>
      <c r="AE788" s="2" t="str">
        <f t="shared" si="185"/>
        <v/>
      </c>
      <c r="AF788" s="2" t="str">
        <f t="shared" si="186"/>
        <v/>
      </c>
      <c r="AG788" s="2" t="str">
        <f t="shared" si="187"/>
        <v/>
      </c>
      <c r="AH788" s="2" t="str">
        <f t="shared" si="188"/>
        <v/>
      </c>
    </row>
    <row r="789" spans="2:34" x14ac:dyDescent="0.25">
      <c r="B789" s="2" t="s">
        <v>1056</v>
      </c>
      <c r="D789" s="2" t="s">
        <v>1</v>
      </c>
      <c r="E789" s="2" t="s">
        <v>134</v>
      </c>
      <c r="F789" s="2" t="s">
        <v>1060</v>
      </c>
      <c r="G789" s="2" t="s">
        <v>1061</v>
      </c>
      <c r="H789" s="2" t="s">
        <v>800</v>
      </c>
      <c r="I789" s="2" t="s">
        <v>42</v>
      </c>
      <c r="J789" s="2">
        <v>1</v>
      </c>
      <c r="K789" s="2" t="s">
        <v>82</v>
      </c>
      <c r="L789" s="2" t="s">
        <v>41</v>
      </c>
      <c r="M789" s="2" t="s">
        <v>135</v>
      </c>
      <c r="N789" s="2" t="s">
        <v>1059</v>
      </c>
      <c r="O789" s="2" t="s">
        <v>801</v>
      </c>
      <c r="P789" s="2" t="s">
        <v>5</v>
      </c>
      <c r="Q789" s="2">
        <f>INDEX(Tables!$C$4:$C$28,MATCH($P789,Tables!$B$4:$B$28,0))</f>
        <v>32</v>
      </c>
      <c r="R789" s="2">
        <f>INDEX(Tables!$D$4:$D$28,MATCH($P789,Tables!$B$4:$B$28,0))</f>
        <v>4</v>
      </c>
      <c r="S789" s="2">
        <f>$S788+$R788+INDEX(Tables!$N$5:$Q$8,MATCH(MOD($S788+$R788,4),Tables!$M$5:$M$8,0),MATCH($R789,Tables!$N$4:$Q$4,0))</f>
        <v>2812</v>
      </c>
      <c r="T789" s="2" t="str">
        <f t="shared" si="189"/>
        <v>0AFC</v>
      </c>
      <c r="U789" s="2">
        <f t="shared" si="180"/>
        <v>703</v>
      </c>
      <c r="V789" s="2" t="str">
        <f t="shared" si="190"/>
        <v>2BF</v>
      </c>
      <c r="W789" s="2" t="str">
        <f t="shared" si="191"/>
        <v/>
      </c>
      <c r="X789" s="2" t="str">
        <f t="shared" si="192"/>
        <v/>
      </c>
      <c r="Y789" s="2" t="str">
        <f t="shared" si="193"/>
        <v/>
      </c>
      <c r="Z789" s="2" t="str">
        <f t="shared" si="194"/>
        <v>X</v>
      </c>
      <c r="AA789" s="2" t="str">
        <f t="shared" si="181"/>
        <v/>
      </c>
      <c r="AB789" s="2" t="str">
        <f t="shared" si="182"/>
        <v/>
      </c>
      <c r="AC789" s="2" t="str">
        <f t="shared" si="183"/>
        <v/>
      </c>
      <c r="AD789" s="2" t="str">
        <f t="shared" si="184"/>
        <v>(0)</v>
      </c>
      <c r="AE789" s="2" t="str">
        <f t="shared" si="185"/>
        <v/>
      </c>
      <c r="AF789" s="2" t="str">
        <f t="shared" si="186"/>
        <v/>
      </c>
      <c r="AG789" s="2" t="str">
        <f t="shared" si="187"/>
        <v/>
      </c>
      <c r="AH789" s="2" t="str">
        <f t="shared" si="188"/>
        <v/>
      </c>
    </row>
    <row r="790" spans="2:34" x14ac:dyDescent="0.25">
      <c r="B790" s="2" t="s">
        <v>1056</v>
      </c>
      <c r="D790" s="2" t="s">
        <v>1</v>
      </c>
      <c r="E790" s="2" t="s">
        <v>134</v>
      </c>
      <c r="F790" s="2" t="s">
        <v>1060</v>
      </c>
      <c r="G790" s="2" t="s">
        <v>1061</v>
      </c>
      <c r="H790" s="2" t="s">
        <v>802</v>
      </c>
      <c r="I790" s="2" t="s">
        <v>42</v>
      </c>
      <c r="J790" s="2">
        <v>1</v>
      </c>
      <c r="K790" s="2" t="s">
        <v>82</v>
      </c>
      <c r="L790" s="2" t="s">
        <v>41</v>
      </c>
      <c r="M790" s="2" t="s">
        <v>135</v>
      </c>
      <c r="N790" s="2" t="s">
        <v>1059</v>
      </c>
      <c r="O790" s="2" t="s">
        <v>803</v>
      </c>
      <c r="P790" s="2" t="s">
        <v>5</v>
      </c>
      <c r="Q790" s="2">
        <f>INDEX(Tables!$C$4:$C$28,MATCH($P790,Tables!$B$4:$B$28,0))</f>
        <v>32</v>
      </c>
      <c r="R790" s="2">
        <f>INDEX(Tables!$D$4:$D$28,MATCH($P790,Tables!$B$4:$B$28,0))</f>
        <v>4</v>
      </c>
      <c r="S790" s="2">
        <f>$S789+$R789+INDEX(Tables!$N$5:$Q$8,MATCH(MOD($S789+$R789,4),Tables!$M$5:$M$8,0),MATCH($R790,Tables!$N$4:$Q$4,0))</f>
        <v>2816</v>
      </c>
      <c r="T790" s="2" t="str">
        <f t="shared" si="189"/>
        <v>0B00</v>
      </c>
      <c r="U790" s="2">
        <f t="shared" si="180"/>
        <v>704</v>
      </c>
      <c r="V790" s="2" t="str">
        <f t="shared" si="190"/>
        <v>2C0</v>
      </c>
      <c r="W790" s="2" t="str">
        <f t="shared" si="191"/>
        <v/>
      </c>
      <c r="X790" s="2" t="str">
        <f t="shared" si="192"/>
        <v/>
      </c>
      <c r="Y790" s="2" t="str">
        <f t="shared" si="193"/>
        <v/>
      </c>
      <c r="Z790" s="2" t="str">
        <f t="shared" si="194"/>
        <v>X</v>
      </c>
      <c r="AA790" s="2" t="str">
        <f t="shared" si="181"/>
        <v/>
      </c>
      <c r="AB790" s="2" t="str">
        <f t="shared" si="182"/>
        <v/>
      </c>
      <c r="AC790" s="2" t="str">
        <f t="shared" si="183"/>
        <v/>
      </c>
      <c r="AD790" s="2" t="str">
        <f t="shared" si="184"/>
        <v>(0)</v>
      </c>
      <c r="AE790" s="2" t="str">
        <f t="shared" si="185"/>
        <v/>
      </c>
      <c r="AF790" s="2" t="str">
        <f t="shared" si="186"/>
        <v/>
      </c>
      <c r="AG790" s="2" t="str">
        <f t="shared" si="187"/>
        <v/>
      </c>
      <c r="AH790" s="2" t="str">
        <f t="shared" si="188"/>
        <v/>
      </c>
    </row>
    <row r="791" spans="2:34" x14ac:dyDescent="0.25">
      <c r="B791" s="2" t="s">
        <v>1056</v>
      </c>
      <c r="D791" s="2" t="s">
        <v>1</v>
      </c>
      <c r="E791" s="2" t="s">
        <v>134</v>
      </c>
      <c r="F791" s="2" t="s">
        <v>1060</v>
      </c>
      <c r="G791" s="2" t="s">
        <v>1061</v>
      </c>
      <c r="H791" s="2" t="s">
        <v>804</v>
      </c>
      <c r="I791" s="2" t="s">
        <v>42</v>
      </c>
      <c r="J791" s="2">
        <v>1</v>
      </c>
      <c r="K791" s="2" t="s">
        <v>82</v>
      </c>
      <c r="L791" s="2" t="s">
        <v>41</v>
      </c>
      <c r="M791" s="2" t="s">
        <v>135</v>
      </c>
      <c r="N791" s="2" t="s">
        <v>1059</v>
      </c>
      <c r="O791" s="2" t="s">
        <v>805</v>
      </c>
      <c r="P791" s="2" t="s">
        <v>5</v>
      </c>
      <c r="Q791" s="2">
        <f>INDEX(Tables!$C$4:$C$28,MATCH($P791,Tables!$B$4:$B$28,0))</f>
        <v>32</v>
      </c>
      <c r="R791" s="2">
        <f>INDEX(Tables!$D$4:$D$28,MATCH($P791,Tables!$B$4:$B$28,0))</f>
        <v>4</v>
      </c>
      <c r="S791" s="2">
        <f>$S790+$R790+INDEX(Tables!$N$5:$Q$8,MATCH(MOD($S790+$R790,4),Tables!$M$5:$M$8,0),MATCH($R791,Tables!$N$4:$Q$4,0))</f>
        <v>2820</v>
      </c>
      <c r="T791" s="2" t="str">
        <f t="shared" si="189"/>
        <v>0B04</v>
      </c>
      <c r="U791" s="2">
        <f t="shared" si="180"/>
        <v>705</v>
      </c>
      <c r="V791" s="2" t="str">
        <f t="shared" si="190"/>
        <v>2C1</v>
      </c>
      <c r="W791" s="2" t="str">
        <f t="shared" si="191"/>
        <v/>
      </c>
      <c r="X791" s="2" t="str">
        <f t="shared" si="192"/>
        <v/>
      </c>
      <c r="Y791" s="2" t="str">
        <f t="shared" si="193"/>
        <v/>
      </c>
      <c r="Z791" s="2" t="str">
        <f t="shared" si="194"/>
        <v>X</v>
      </c>
      <c r="AA791" s="2" t="str">
        <f t="shared" si="181"/>
        <v/>
      </c>
      <c r="AB791" s="2" t="str">
        <f t="shared" si="182"/>
        <v/>
      </c>
      <c r="AC791" s="2" t="str">
        <f t="shared" si="183"/>
        <v/>
      </c>
      <c r="AD791" s="2" t="str">
        <f t="shared" si="184"/>
        <v>(0)</v>
      </c>
      <c r="AE791" s="2" t="str">
        <f t="shared" si="185"/>
        <v/>
      </c>
      <c r="AF791" s="2" t="str">
        <f t="shared" si="186"/>
        <v/>
      </c>
      <c r="AG791" s="2" t="str">
        <f t="shared" si="187"/>
        <v/>
      </c>
      <c r="AH791" s="2" t="str">
        <f t="shared" si="188"/>
        <v/>
      </c>
    </row>
    <row r="792" spans="2:34" x14ac:dyDescent="0.25">
      <c r="B792" s="2" t="s">
        <v>1056</v>
      </c>
      <c r="D792" s="2" t="s">
        <v>1</v>
      </c>
      <c r="E792" s="2" t="s">
        <v>134</v>
      </c>
      <c r="F792" s="2" t="s">
        <v>1060</v>
      </c>
      <c r="G792" s="2" t="s">
        <v>1061</v>
      </c>
      <c r="H792" s="2" t="s">
        <v>806</v>
      </c>
      <c r="I792" s="2" t="s">
        <v>42</v>
      </c>
      <c r="J792" s="2">
        <v>1</v>
      </c>
      <c r="K792" s="2" t="s">
        <v>82</v>
      </c>
      <c r="L792" s="2" t="s">
        <v>41</v>
      </c>
      <c r="M792" s="2" t="s">
        <v>135</v>
      </c>
      <c r="N792" s="2" t="s">
        <v>1059</v>
      </c>
      <c r="O792" s="2" t="s">
        <v>807</v>
      </c>
      <c r="P792" s="2" t="s">
        <v>5</v>
      </c>
      <c r="Q792" s="2">
        <f>INDEX(Tables!$C$4:$C$28,MATCH($P792,Tables!$B$4:$B$28,0))</f>
        <v>32</v>
      </c>
      <c r="R792" s="2">
        <f>INDEX(Tables!$D$4:$D$28,MATCH($P792,Tables!$B$4:$B$28,0))</f>
        <v>4</v>
      </c>
      <c r="S792" s="2">
        <f>$S791+$R791+INDEX(Tables!$N$5:$Q$8,MATCH(MOD($S791+$R791,4),Tables!$M$5:$M$8,0),MATCH($R792,Tables!$N$4:$Q$4,0))</f>
        <v>2824</v>
      </c>
      <c r="T792" s="2" t="str">
        <f t="shared" si="189"/>
        <v>0B08</v>
      </c>
      <c r="U792" s="2">
        <f t="shared" si="180"/>
        <v>706</v>
      </c>
      <c r="V792" s="2" t="str">
        <f t="shared" si="190"/>
        <v>2C2</v>
      </c>
      <c r="W792" s="2" t="str">
        <f t="shared" si="191"/>
        <v/>
      </c>
      <c r="X792" s="2" t="str">
        <f t="shared" si="192"/>
        <v/>
      </c>
      <c r="Y792" s="2" t="str">
        <f t="shared" si="193"/>
        <v/>
      </c>
      <c r="Z792" s="2" t="str">
        <f t="shared" si="194"/>
        <v>X</v>
      </c>
      <c r="AA792" s="2" t="str">
        <f t="shared" si="181"/>
        <v/>
      </c>
      <c r="AB792" s="2" t="str">
        <f t="shared" si="182"/>
        <v/>
      </c>
      <c r="AC792" s="2" t="str">
        <f t="shared" si="183"/>
        <v/>
      </c>
      <c r="AD792" s="2" t="str">
        <f t="shared" si="184"/>
        <v>(0)</v>
      </c>
      <c r="AE792" s="2" t="str">
        <f t="shared" si="185"/>
        <v/>
      </c>
      <c r="AF792" s="2" t="str">
        <f t="shared" si="186"/>
        <v/>
      </c>
      <c r="AG792" s="2" t="str">
        <f t="shared" si="187"/>
        <v/>
      </c>
      <c r="AH792" s="2" t="str">
        <f t="shared" si="188"/>
        <v/>
      </c>
    </row>
    <row r="793" spans="2:34" x14ac:dyDescent="0.25">
      <c r="B793" s="2" t="s">
        <v>1056</v>
      </c>
      <c r="D793" s="2" t="s">
        <v>1</v>
      </c>
      <c r="E793" s="2" t="s">
        <v>134</v>
      </c>
      <c r="F793" s="2" t="s">
        <v>1060</v>
      </c>
      <c r="G793" s="2" t="s">
        <v>1061</v>
      </c>
      <c r="H793" s="2" t="s">
        <v>808</v>
      </c>
      <c r="I793" s="2" t="s">
        <v>42</v>
      </c>
      <c r="J793" s="2">
        <v>1</v>
      </c>
      <c r="K793" s="2" t="s">
        <v>82</v>
      </c>
      <c r="L793" s="2" t="s">
        <v>41</v>
      </c>
      <c r="M793" s="2" t="s">
        <v>135</v>
      </c>
      <c r="N793" s="2" t="s">
        <v>1059</v>
      </c>
      <c r="O793" s="2" t="s">
        <v>809</v>
      </c>
      <c r="P793" s="2" t="s">
        <v>5</v>
      </c>
      <c r="Q793" s="2">
        <f>INDEX(Tables!$C$4:$C$28,MATCH($P793,Tables!$B$4:$B$28,0))</f>
        <v>32</v>
      </c>
      <c r="R793" s="2">
        <f>INDEX(Tables!$D$4:$D$28,MATCH($P793,Tables!$B$4:$B$28,0))</f>
        <v>4</v>
      </c>
      <c r="S793" s="2">
        <f>$S792+$R792+INDEX(Tables!$N$5:$Q$8,MATCH(MOD($S792+$R792,4),Tables!$M$5:$M$8,0),MATCH($R793,Tables!$N$4:$Q$4,0))</f>
        <v>2828</v>
      </c>
      <c r="T793" s="2" t="str">
        <f t="shared" si="189"/>
        <v>0B0C</v>
      </c>
      <c r="U793" s="2">
        <f t="shared" si="180"/>
        <v>707</v>
      </c>
      <c r="V793" s="2" t="str">
        <f t="shared" si="190"/>
        <v>2C3</v>
      </c>
      <c r="W793" s="2" t="str">
        <f t="shared" si="191"/>
        <v/>
      </c>
      <c r="X793" s="2" t="str">
        <f t="shared" si="192"/>
        <v/>
      </c>
      <c r="Y793" s="2" t="str">
        <f t="shared" si="193"/>
        <v/>
      </c>
      <c r="Z793" s="2" t="str">
        <f t="shared" si="194"/>
        <v>X</v>
      </c>
      <c r="AA793" s="2" t="str">
        <f t="shared" si="181"/>
        <v/>
      </c>
      <c r="AB793" s="2" t="str">
        <f t="shared" si="182"/>
        <v/>
      </c>
      <c r="AC793" s="2" t="str">
        <f t="shared" si="183"/>
        <v/>
      </c>
      <c r="AD793" s="2" t="str">
        <f t="shared" si="184"/>
        <v>(0)</v>
      </c>
      <c r="AE793" s="2" t="str">
        <f t="shared" si="185"/>
        <v/>
      </c>
      <c r="AF793" s="2" t="str">
        <f t="shared" si="186"/>
        <v/>
      </c>
      <c r="AG793" s="2" t="str">
        <f t="shared" si="187"/>
        <v/>
      </c>
      <c r="AH793" s="2" t="str">
        <f t="shared" si="188"/>
        <v/>
      </c>
    </row>
    <row r="794" spans="2:34" x14ac:dyDescent="0.25">
      <c r="B794" s="2" t="s">
        <v>1056</v>
      </c>
      <c r="D794" s="2" t="s">
        <v>1</v>
      </c>
      <c r="E794" s="2" t="s">
        <v>134</v>
      </c>
      <c r="F794" s="2" t="s">
        <v>1060</v>
      </c>
      <c r="G794" s="2" t="s">
        <v>1061</v>
      </c>
      <c r="H794" s="2" t="s">
        <v>810</v>
      </c>
      <c r="I794" s="2" t="s">
        <v>42</v>
      </c>
      <c r="J794" s="2">
        <v>1</v>
      </c>
      <c r="K794" s="2" t="s">
        <v>82</v>
      </c>
      <c r="L794" s="2" t="s">
        <v>41</v>
      </c>
      <c r="M794" s="2" t="s">
        <v>135</v>
      </c>
      <c r="N794" s="2" t="s">
        <v>1059</v>
      </c>
      <c r="O794" s="2" t="s">
        <v>811</v>
      </c>
      <c r="P794" s="2" t="s">
        <v>5</v>
      </c>
      <c r="Q794" s="2">
        <f>INDEX(Tables!$C$4:$C$28,MATCH($P794,Tables!$B$4:$B$28,0))</f>
        <v>32</v>
      </c>
      <c r="R794" s="2">
        <f>INDEX(Tables!$D$4:$D$28,MATCH($P794,Tables!$B$4:$B$28,0))</f>
        <v>4</v>
      </c>
      <c r="S794" s="2">
        <f>$S793+$R793+INDEX(Tables!$N$5:$Q$8,MATCH(MOD($S793+$R793,4),Tables!$M$5:$M$8,0),MATCH($R794,Tables!$N$4:$Q$4,0))</f>
        <v>2832</v>
      </c>
      <c r="T794" s="2" t="str">
        <f t="shared" si="189"/>
        <v>0B10</v>
      </c>
      <c r="U794" s="2">
        <f t="shared" si="180"/>
        <v>708</v>
      </c>
      <c r="V794" s="2" t="str">
        <f t="shared" si="190"/>
        <v>2C4</v>
      </c>
      <c r="W794" s="2" t="str">
        <f t="shared" si="191"/>
        <v/>
      </c>
      <c r="X794" s="2" t="str">
        <f t="shared" si="192"/>
        <v/>
      </c>
      <c r="Y794" s="2" t="str">
        <f t="shared" si="193"/>
        <v/>
      </c>
      <c r="Z794" s="2" t="str">
        <f t="shared" si="194"/>
        <v>X</v>
      </c>
      <c r="AA794" s="2" t="str">
        <f t="shared" si="181"/>
        <v/>
      </c>
      <c r="AB794" s="2" t="str">
        <f t="shared" si="182"/>
        <v/>
      </c>
      <c r="AC794" s="2" t="str">
        <f t="shared" si="183"/>
        <v/>
      </c>
      <c r="AD794" s="2" t="str">
        <f t="shared" si="184"/>
        <v>(0)</v>
      </c>
      <c r="AE794" s="2" t="str">
        <f t="shared" si="185"/>
        <v/>
      </c>
      <c r="AF794" s="2" t="str">
        <f t="shared" si="186"/>
        <v/>
      </c>
      <c r="AG794" s="2" t="str">
        <f t="shared" si="187"/>
        <v/>
      </c>
      <c r="AH794" s="2" t="str">
        <f t="shared" si="188"/>
        <v/>
      </c>
    </row>
    <row r="795" spans="2:34" x14ac:dyDescent="0.25">
      <c r="B795" s="2" t="s">
        <v>1056</v>
      </c>
      <c r="D795" s="2" t="s">
        <v>1</v>
      </c>
      <c r="E795" s="2" t="s">
        <v>134</v>
      </c>
      <c r="F795" s="2" t="s">
        <v>1060</v>
      </c>
      <c r="G795" s="2" t="s">
        <v>1061</v>
      </c>
      <c r="H795" s="2" t="s">
        <v>812</v>
      </c>
      <c r="I795" s="2" t="s">
        <v>42</v>
      </c>
      <c r="J795" s="2">
        <v>1</v>
      </c>
      <c r="K795" s="2" t="s">
        <v>82</v>
      </c>
      <c r="L795" s="2" t="s">
        <v>41</v>
      </c>
      <c r="M795" s="2" t="s">
        <v>135</v>
      </c>
      <c r="N795" s="2" t="s">
        <v>1059</v>
      </c>
      <c r="O795" s="2" t="s">
        <v>813</v>
      </c>
      <c r="P795" s="2" t="s">
        <v>5</v>
      </c>
      <c r="Q795" s="2">
        <f>INDEX(Tables!$C$4:$C$28,MATCH($P795,Tables!$B$4:$B$28,0))</f>
        <v>32</v>
      </c>
      <c r="R795" s="2">
        <f>INDEX(Tables!$D$4:$D$28,MATCH($P795,Tables!$B$4:$B$28,0))</f>
        <v>4</v>
      </c>
      <c r="S795" s="2">
        <f>$S794+$R794+INDEX(Tables!$N$5:$Q$8,MATCH(MOD($S794+$R794,4),Tables!$M$5:$M$8,0),MATCH($R795,Tables!$N$4:$Q$4,0))</f>
        <v>2836</v>
      </c>
      <c r="T795" s="2" t="str">
        <f t="shared" si="189"/>
        <v>0B14</v>
      </c>
      <c r="U795" s="2">
        <f t="shared" si="180"/>
        <v>709</v>
      </c>
      <c r="V795" s="2" t="str">
        <f t="shared" si="190"/>
        <v>2C5</v>
      </c>
      <c r="W795" s="2" t="str">
        <f t="shared" si="191"/>
        <v/>
      </c>
      <c r="X795" s="2" t="str">
        <f t="shared" si="192"/>
        <v/>
      </c>
      <c r="Y795" s="2" t="str">
        <f t="shared" si="193"/>
        <v/>
      </c>
      <c r="Z795" s="2" t="str">
        <f t="shared" si="194"/>
        <v>X</v>
      </c>
      <c r="AA795" s="2" t="str">
        <f t="shared" si="181"/>
        <v/>
      </c>
      <c r="AB795" s="2" t="str">
        <f t="shared" si="182"/>
        <v/>
      </c>
      <c r="AC795" s="2" t="str">
        <f t="shared" si="183"/>
        <v/>
      </c>
      <c r="AD795" s="2" t="str">
        <f t="shared" si="184"/>
        <v>(0)</v>
      </c>
      <c r="AE795" s="2" t="str">
        <f t="shared" si="185"/>
        <v/>
      </c>
      <c r="AF795" s="2" t="str">
        <f t="shared" si="186"/>
        <v/>
      </c>
      <c r="AG795" s="2" t="str">
        <f t="shared" si="187"/>
        <v/>
      </c>
      <c r="AH795" s="2" t="str">
        <f t="shared" si="188"/>
        <v/>
      </c>
    </row>
    <row r="796" spans="2:34" x14ac:dyDescent="0.25">
      <c r="B796" s="2" t="s">
        <v>1056</v>
      </c>
      <c r="D796" s="2" t="s">
        <v>1</v>
      </c>
      <c r="E796" s="2" t="s">
        <v>134</v>
      </c>
      <c r="F796" s="2" t="s">
        <v>1060</v>
      </c>
      <c r="G796" s="2" t="s">
        <v>1061</v>
      </c>
      <c r="H796" s="2" t="s">
        <v>814</v>
      </c>
      <c r="I796" s="2" t="s">
        <v>42</v>
      </c>
      <c r="J796" s="2">
        <v>1</v>
      </c>
      <c r="K796" s="2" t="s">
        <v>82</v>
      </c>
      <c r="L796" s="2" t="s">
        <v>41</v>
      </c>
      <c r="M796" s="2" t="s">
        <v>135</v>
      </c>
      <c r="N796" s="2" t="s">
        <v>1059</v>
      </c>
      <c r="O796" s="2" t="s">
        <v>815</v>
      </c>
      <c r="P796" s="2" t="s">
        <v>5</v>
      </c>
      <c r="Q796" s="2">
        <f>INDEX(Tables!$C$4:$C$28,MATCH($P796,Tables!$B$4:$B$28,0))</f>
        <v>32</v>
      </c>
      <c r="R796" s="2">
        <f>INDEX(Tables!$D$4:$D$28,MATCH($P796,Tables!$B$4:$B$28,0))</f>
        <v>4</v>
      </c>
      <c r="S796" s="2">
        <f>$S795+$R795+INDEX(Tables!$N$5:$Q$8,MATCH(MOD($S795+$R795,4),Tables!$M$5:$M$8,0),MATCH($R796,Tables!$N$4:$Q$4,0))</f>
        <v>2840</v>
      </c>
      <c r="T796" s="2" t="str">
        <f t="shared" si="189"/>
        <v>0B18</v>
      </c>
      <c r="U796" s="2">
        <f t="shared" si="180"/>
        <v>710</v>
      </c>
      <c r="V796" s="2" t="str">
        <f t="shared" si="190"/>
        <v>2C6</v>
      </c>
      <c r="W796" s="2" t="str">
        <f t="shared" si="191"/>
        <v/>
      </c>
      <c r="X796" s="2" t="str">
        <f t="shared" si="192"/>
        <v/>
      </c>
      <c r="Y796" s="2" t="str">
        <f t="shared" si="193"/>
        <v/>
      </c>
      <c r="Z796" s="2" t="str">
        <f t="shared" si="194"/>
        <v>X</v>
      </c>
      <c r="AA796" s="2" t="str">
        <f t="shared" si="181"/>
        <v/>
      </c>
      <c r="AB796" s="2" t="str">
        <f t="shared" si="182"/>
        <v/>
      </c>
      <c r="AC796" s="2" t="str">
        <f t="shared" si="183"/>
        <v/>
      </c>
      <c r="AD796" s="2" t="str">
        <f t="shared" si="184"/>
        <v>(0)</v>
      </c>
      <c r="AE796" s="2" t="str">
        <f t="shared" si="185"/>
        <v/>
      </c>
      <c r="AF796" s="2" t="str">
        <f t="shared" si="186"/>
        <v/>
      </c>
      <c r="AG796" s="2" t="str">
        <f t="shared" si="187"/>
        <v/>
      </c>
      <c r="AH796" s="2" t="str">
        <f t="shared" si="188"/>
        <v/>
      </c>
    </row>
    <row r="797" spans="2:34" x14ac:dyDescent="0.25">
      <c r="B797" s="2" t="s">
        <v>1056</v>
      </c>
      <c r="D797" s="2" t="s">
        <v>1</v>
      </c>
      <c r="E797" s="2" t="s">
        <v>134</v>
      </c>
      <c r="F797" s="2" t="s">
        <v>1060</v>
      </c>
      <c r="G797" s="2" t="s">
        <v>1061</v>
      </c>
      <c r="H797" s="2" t="s">
        <v>816</v>
      </c>
      <c r="I797" s="2" t="s">
        <v>42</v>
      </c>
      <c r="J797" s="2">
        <v>1</v>
      </c>
      <c r="K797" s="2" t="s">
        <v>82</v>
      </c>
      <c r="L797" s="2" t="s">
        <v>41</v>
      </c>
      <c r="M797" s="2" t="s">
        <v>135</v>
      </c>
      <c r="N797" s="2" t="s">
        <v>1059</v>
      </c>
      <c r="O797" s="2" t="s">
        <v>817</v>
      </c>
      <c r="P797" s="2" t="s">
        <v>5</v>
      </c>
      <c r="Q797" s="2">
        <f>INDEX(Tables!$C$4:$C$28,MATCH($P797,Tables!$B$4:$B$28,0))</f>
        <v>32</v>
      </c>
      <c r="R797" s="2">
        <f>INDEX(Tables!$D$4:$D$28,MATCH($P797,Tables!$B$4:$B$28,0))</f>
        <v>4</v>
      </c>
      <c r="S797" s="2">
        <f>$S796+$R796+INDEX(Tables!$N$5:$Q$8,MATCH(MOD($S796+$R796,4),Tables!$M$5:$M$8,0),MATCH($R797,Tables!$N$4:$Q$4,0))</f>
        <v>2844</v>
      </c>
      <c r="T797" s="2" t="str">
        <f t="shared" si="189"/>
        <v>0B1C</v>
      </c>
      <c r="U797" s="2">
        <f t="shared" si="180"/>
        <v>711</v>
      </c>
      <c r="V797" s="2" t="str">
        <f t="shared" si="190"/>
        <v>2C7</v>
      </c>
      <c r="W797" s="2" t="str">
        <f t="shared" si="191"/>
        <v/>
      </c>
      <c r="X797" s="2" t="str">
        <f t="shared" si="192"/>
        <v/>
      </c>
      <c r="Y797" s="2" t="str">
        <f t="shared" si="193"/>
        <v/>
      </c>
      <c r="Z797" s="2" t="str">
        <f t="shared" si="194"/>
        <v>X</v>
      </c>
      <c r="AA797" s="2" t="str">
        <f t="shared" si="181"/>
        <v/>
      </c>
      <c r="AB797" s="2" t="str">
        <f t="shared" si="182"/>
        <v/>
      </c>
      <c r="AC797" s="2" t="str">
        <f t="shared" si="183"/>
        <v/>
      </c>
      <c r="AD797" s="2" t="str">
        <f t="shared" si="184"/>
        <v>(0)</v>
      </c>
      <c r="AE797" s="2" t="str">
        <f t="shared" si="185"/>
        <v/>
      </c>
      <c r="AF797" s="2" t="str">
        <f t="shared" si="186"/>
        <v/>
      </c>
      <c r="AG797" s="2" t="str">
        <f t="shared" si="187"/>
        <v/>
      </c>
      <c r="AH797" s="2" t="str">
        <f t="shared" si="188"/>
        <v/>
      </c>
    </row>
    <row r="798" spans="2:34" x14ac:dyDescent="0.25">
      <c r="B798" s="2" t="s">
        <v>1056</v>
      </c>
      <c r="D798" s="2" t="s">
        <v>1</v>
      </c>
      <c r="E798" s="2" t="s">
        <v>134</v>
      </c>
      <c r="F798" s="2" t="s">
        <v>1060</v>
      </c>
      <c r="G798" s="2" t="s">
        <v>1061</v>
      </c>
      <c r="H798" s="2" t="s">
        <v>818</v>
      </c>
      <c r="I798" s="2" t="s">
        <v>42</v>
      </c>
      <c r="J798" s="2">
        <v>1</v>
      </c>
      <c r="K798" s="2" t="s">
        <v>82</v>
      </c>
      <c r="L798" s="2" t="s">
        <v>41</v>
      </c>
      <c r="M798" s="2" t="s">
        <v>135</v>
      </c>
      <c r="N798" s="2" t="s">
        <v>1059</v>
      </c>
      <c r="O798" s="2" t="s">
        <v>819</v>
      </c>
      <c r="P798" s="2" t="s">
        <v>5</v>
      </c>
      <c r="Q798" s="2">
        <f>INDEX(Tables!$C$4:$C$28,MATCH($P798,Tables!$B$4:$B$28,0))</f>
        <v>32</v>
      </c>
      <c r="R798" s="2">
        <f>INDEX(Tables!$D$4:$D$28,MATCH($P798,Tables!$B$4:$B$28,0))</f>
        <v>4</v>
      </c>
      <c r="S798" s="2">
        <f>$S797+$R797+INDEX(Tables!$N$5:$Q$8,MATCH(MOD($S797+$R797,4),Tables!$M$5:$M$8,0),MATCH($R798,Tables!$N$4:$Q$4,0))</f>
        <v>2848</v>
      </c>
      <c r="T798" s="2" t="str">
        <f t="shared" si="189"/>
        <v>0B20</v>
      </c>
      <c r="U798" s="2">
        <f t="shared" si="180"/>
        <v>712</v>
      </c>
      <c r="V798" s="2" t="str">
        <f t="shared" si="190"/>
        <v>2C8</v>
      </c>
      <c r="W798" s="2" t="str">
        <f t="shared" si="191"/>
        <v/>
      </c>
      <c r="X798" s="2" t="str">
        <f t="shared" si="192"/>
        <v/>
      </c>
      <c r="Y798" s="2" t="str">
        <f t="shared" si="193"/>
        <v/>
      </c>
      <c r="Z798" s="2" t="str">
        <f t="shared" si="194"/>
        <v>X</v>
      </c>
      <c r="AA798" s="2" t="str">
        <f t="shared" si="181"/>
        <v/>
      </c>
      <c r="AB798" s="2" t="str">
        <f t="shared" si="182"/>
        <v/>
      </c>
      <c r="AC798" s="2" t="str">
        <f t="shared" si="183"/>
        <v/>
      </c>
      <c r="AD798" s="2" t="str">
        <f t="shared" si="184"/>
        <v>(0)</v>
      </c>
      <c r="AE798" s="2" t="str">
        <f t="shared" si="185"/>
        <v/>
      </c>
      <c r="AF798" s="2" t="str">
        <f t="shared" si="186"/>
        <v/>
      </c>
      <c r="AG798" s="2" t="str">
        <f t="shared" si="187"/>
        <v/>
      </c>
      <c r="AH798" s="2" t="str">
        <f t="shared" si="188"/>
        <v/>
      </c>
    </row>
    <row r="799" spans="2:34" x14ac:dyDescent="0.25">
      <c r="B799" s="2" t="s">
        <v>1056</v>
      </c>
      <c r="D799" s="2" t="s">
        <v>1</v>
      </c>
      <c r="E799" s="2" t="s">
        <v>134</v>
      </c>
      <c r="F799" s="2" t="s">
        <v>1060</v>
      </c>
      <c r="G799" s="2" t="s">
        <v>1061</v>
      </c>
      <c r="H799" s="2" t="s">
        <v>820</v>
      </c>
      <c r="I799" s="2" t="s">
        <v>42</v>
      </c>
      <c r="J799" s="2">
        <v>1</v>
      </c>
      <c r="K799" s="2" t="s">
        <v>82</v>
      </c>
      <c r="L799" s="2" t="s">
        <v>41</v>
      </c>
      <c r="M799" s="2" t="s">
        <v>135</v>
      </c>
      <c r="N799" s="2" t="s">
        <v>1059</v>
      </c>
      <c r="O799" s="2" t="s">
        <v>821</v>
      </c>
      <c r="P799" s="2" t="s">
        <v>5</v>
      </c>
      <c r="Q799" s="2">
        <f>INDEX(Tables!$C$4:$C$28,MATCH($P799,Tables!$B$4:$B$28,0))</f>
        <v>32</v>
      </c>
      <c r="R799" s="2">
        <f>INDEX(Tables!$D$4:$D$28,MATCH($P799,Tables!$B$4:$B$28,0))</f>
        <v>4</v>
      </c>
      <c r="S799" s="2">
        <f>$S798+$R798+INDEX(Tables!$N$5:$Q$8,MATCH(MOD($S798+$R798,4),Tables!$M$5:$M$8,0),MATCH($R799,Tables!$N$4:$Q$4,0))</f>
        <v>2852</v>
      </c>
      <c r="T799" s="2" t="str">
        <f t="shared" si="189"/>
        <v>0B24</v>
      </c>
      <c r="U799" s="2">
        <f t="shared" si="180"/>
        <v>713</v>
      </c>
      <c r="V799" s="2" t="str">
        <f t="shared" si="190"/>
        <v>2C9</v>
      </c>
      <c r="W799" s="2" t="str">
        <f t="shared" si="191"/>
        <v/>
      </c>
      <c r="X799" s="2" t="str">
        <f t="shared" si="192"/>
        <v/>
      </c>
      <c r="Y799" s="2" t="str">
        <f t="shared" si="193"/>
        <v/>
      </c>
      <c r="Z799" s="2" t="str">
        <f t="shared" si="194"/>
        <v>X</v>
      </c>
      <c r="AA799" s="2" t="str">
        <f t="shared" si="181"/>
        <v/>
      </c>
      <c r="AB799" s="2" t="str">
        <f t="shared" si="182"/>
        <v/>
      </c>
      <c r="AC799" s="2" t="str">
        <f t="shared" si="183"/>
        <v/>
      </c>
      <c r="AD799" s="2" t="str">
        <f t="shared" si="184"/>
        <v>(0)</v>
      </c>
      <c r="AE799" s="2" t="str">
        <f t="shared" si="185"/>
        <v/>
      </c>
      <c r="AF799" s="2" t="str">
        <f t="shared" si="186"/>
        <v/>
      </c>
      <c r="AG799" s="2" t="str">
        <f t="shared" si="187"/>
        <v/>
      </c>
      <c r="AH799" s="2" t="str">
        <f t="shared" si="188"/>
        <v/>
      </c>
    </row>
    <row r="800" spans="2:34" x14ac:dyDescent="0.25">
      <c r="B800" s="2" t="s">
        <v>1056</v>
      </c>
      <c r="D800" s="2" t="s">
        <v>1</v>
      </c>
      <c r="E800" s="2" t="s">
        <v>134</v>
      </c>
      <c r="F800" s="2" t="s">
        <v>1062</v>
      </c>
      <c r="G800" s="2" t="s">
        <v>1063</v>
      </c>
      <c r="H800" s="2" t="s">
        <v>824</v>
      </c>
      <c r="I800" s="2" t="s">
        <v>42</v>
      </c>
      <c r="J800" s="2">
        <v>22</v>
      </c>
      <c r="K800" s="2" t="s">
        <v>137</v>
      </c>
      <c r="L800" s="2" t="s">
        <v>41</v>
      </c>
      <c r="M800" s="2" t="s">
        <v>135</v>
      </c>
      <c r="N800" s="2" t="s">
        <v>1059</v>
      </c>
      <c r="O800" s="2" t="s">
        <v>825</v>
      </c>
      <c r="P800" s="2" t="s">
        <v>49</v>
      </c>
      <c r="Q800" s="2">
        <f>INDEX(Tables!$C$4:$C$28,MATCH($P800,Tables!$B$4:$B$28,0))</f>
        <v>32</v>
      </c>
      <c r="R800" s="2">
        <f>INDEX(Tables!$D$4:$D$28,MATCH($P800,Tables!$B$4:$B$28,0))</f>
        <v>4</v>
      </c>
      <c r="S800" s="2">
        <f>$S799+$R799+INDEX(Tables!$N$5:$Q$8,MATCH(MOD($S799+$R799,4),Tables!$M$5:$M$8,0),MATCH($R800,Tables!$N$4:$Q$4,0))</f>
        <v>2856</v>
      </c>
      <c r="T800" s="2" t="str">
        <f t="shared" si="189"/>
        <v>0B28</v>
      </c>
      <c r="U800" s="2">
        <f t="shared" si="180"/>
        <v>714</v>
      </c>
      <c r="V800" s="2" t="str">
        <f t="shared" si="190"/>
        <v>2CA</v>
      </c>
      <c r="W800" s="2" t="str">
        <f t="shared" si="191"/>
        <v/>
      </c>
      <c r="X800" s="2" t="str">
        <f t="shared" si="192"/>
        <v>X</v>
      </c>
      <c r="Y800" s="2" t="str">
        <f t="shared" si="193"/>
        <v>X</v>
      </c>
      <c r="Z800" s="2" t="str">
        <f t="shared" si="194"/>
        <v>X</v>
      </c>
      <c r="AA800" s="2" t="str">
        <f t="shared" si="181"/>
        <v/>
      </c>
      <c r="AB800" s="2" t="str">
        <f t="shared" si="182"/>
        <v>(21 downto 16)</v>
      </c>
      <c r="AC800" s="2" t="str">
        <f t="shared" si="183"/>
        <v>(15 downto 8)</v>
      </c>
      <c r="AD800" s="2" t="str">
        <f t="shared" si="184"/>
        <v>(7 downto 0)</v>
      </c>
      <c r="AE800" s="2" t="str">
        <f t="shared" si="185"/>
        <v/>
      </c>
      <c r="AF800" s="2" t="str">
        <f t="shared" si="186"/>
        <v>(21 downto 16)</v>
      </c>
      <c r="AG800" s="2" t="str">
        <f t="shared" si="187"/>
        <v>(15 downto 8)</v>
      </c>
      <c r="AH800" s="2" t="str">
        <f t="shared" si="188"/>
        <v>(7 downto 0)</v>
      </c>
    </row>
    <row r="801" spans="2:34" x14ac:dyDescent="0.25">
      <c r="B801" s="2" t="s">
        <v>1056</v>
      </c>
      <c r="D801" s="2" t="s">
        <v>1</v>
      </c>
      <c r="E801" s="2" t="s">
        <v>134</v>
      </c>
      <c r="F801" s="2" t="s">
        <v>1062</v>
      </c>
      <c r="G801" s="2" t="s">
        <v>1063</v>
      </c>
      <c r="H801" s="2" t="s">
        <v>826</v>
      </c>
      <c r="I801" s="2" t="s">
        <v>42</v>
      </c>
      <c r="J801" s="2">
        <v>7</v>
      </c>
      <c r="K801" s="2" t="s">
        <v>137</v>
      </c>
      <c r="L801" s="2" t="s">
        <v>41</v>
      </c>
      <c r="M801" s="2" t="s">
        <v>135</v>
      </c>
      <c r="N801" s="2" t="s">
        <v>1059</v>
      </c>
      <c r="O801" s="2" t="s">
        <v>827</v>
      </c>
      <c r="P801" s="2" t="s">
        <v>48</v>
      </c>
      <c r="Q801" s="2">
        <f>INDEX(Tables!$C$4:$C$28,MATCH($P801,Tables!$B$4:$B$28,0))</f>
        <v>8</v>
      </c>
      <c r="R801" s="2">
        <f>INDEX(Tables!$D$4:$D$28,MATCH($P801,Tables!$B$4:$B$28,0))</f>
        <v>1</v>
      </c>
      <c r="S801" s="2">
        <f>$S800+$R800+INDEX(Tables!$N$5:$Q$8,MATCH(MOD($S800+$R800,4),Tables!$M$5:$M$8,0),MATCH($R801,Tables!$N$4:$Q$4,0))</f>
        <v>2860</v>
      </c>
      <c r="T801" s="2" t="str">
        <f t="shared" si="189"/>
        <v>0B2C</v>
      </c>
      <c r="U801" s="2">
        <f t="shared" si="180"/>
        <v>715</v>
      </c>
      <c r="V801" s="2" t="str">
        <f t="shared" si="190"/>
        <v>2CB</v>
      </c>
      <c r="W801" s="2" t="str">
        <f t="shared" si="191"/>
        <v/>
      </c>
      <c r="X801" s="2" t="str">
        <f t="shared" si="192"/>
        <v/>
      </c>
      <c r="Y801" s="2" t="str">
        <f t="shared" si="193"/>
        <v/>
      </c>
      <c r="Z801" s="2" t="str">
        <f t="shared" si="194"/>
        <v>X</v>
      </c>
      <c r="AA801" s="2" t="str">
        <f t="shared" si="181"/>
        <v/>
      </c>
      <c r="AB801" s="2" t="str">
        <f t="shared" si="182"/>
        <v/>
      </c>
      <c r="AC801" s="2" t="str">
        <f t="shared" si="183"/>
        <v/>
      </c>
      <c r="AD801" s="2" t="str">
        <f t="shared" si="184"/>
        <v>(6 downto 0)</v>
      </c>
      <c r="AE801" s="2" t="str">
        <f t="shared" si="185"/>
        <v/>
      </c>
      <c r="AF801" s="2" t="str">
        <f t="shared" si="186"/>
        <v/>
      </c>
      <c r="AG801" s="2" t="str">
        <f t="shared" si="187"/>
        <v/>
      </c>
      <c r="AH801" s="2" t="str">
        <f t="shared" si="188"/>
        <v/>
      </c>
    </row>
    <row r="802" spans="2:34" x14ac:dyDescent="0.25">
      <c r="B802" s="2" t="s">
        <v>1056</v>
      </c>
      <c r="D802" s="2" t="s">
        <v>1</v>
      </c>
      <c r="E802" s="2" t="s">
        <v>134</v>
      </c>
      <c r="F802" s="2" t="s">
        <v>1062</v>
      </c>
      <c r="G802" s="2" t="s">
        <v>1063</v>
      </c>
      <c r="H802" s="2" t="s">
        <v>828</v>
      </c>
      <c r="I802" s="2" t="s">
        <v>42</v>
      </c>
      <c r="J802" s="2">
        <v>8</v>
      </c>
      <c r="K802" s="2" t="s">
        <v>137</v>
      </c>
      <c r="L802" s="2" t="s">
        <v>41</v>
      </c>
      <c r="M802" s="2" t="s">
        <v>135</v>
      </c>
      <c r="N802" s="2" t="s">
        <v>1059</v>
      </c>
      <c r="O802" s="2" t="s">
        <v>829</v>
      </c>
      <c r="P802" s="2" t="s">
        <v>48</v>
      </c>
      <c r="Q802" s="2">
        <f>INDEX(Tables!$C$4:$C$28,MATCH($P802,Tables!$B$4:$B$28,0))</f>
        <v>8</v>
      </c>
      <c r="R802" s="2">
        <f>INDEX(Tables!$D$4:$D$28,MATCH($P802,Tables!$B$4:$B$28,0))</f>
        <v>1</v>
      </c>
      <c r="S802" s="2">
        <f>$S801+$R801+INDEX(Tables!$N$5:$Q$8,MATCH(MOD($S801+$R801,4),Tables!$M$5:$M$8,0),MATCH($R802,Tables!$N$4:$Q$4,0))</f>
        <v>2861</v>
      </c>
      <c r="T802" s="2" t="str">
        <f t="shared" si="189"/>
        <v>0B2D</v>
      </c>
      <c r="U802" s="2">
        <f t="shared" si="180"/>
        <v>715</v>
      </c>
      <c r="V802" s="2" t="str">
        <f t="shared" si="190"/>
        <v>2CB</v>
      </c>
      <c r="W802" s="2" t="str">
        <f t="shared" si="191"/>
        <v/>
      </c>
      <c r="X802" s="2" t="str">
        <f t="shared" si="192"/>
        <v/>
      </c>
      <c r="Y802" s="2" t="str">
        <f t="shared" si="193"/>
        <v>X</v>
      </c>
      <c r="Z802" s="2" t="str">
        <f t="shared" si="194"/>
        <v/>
      </c>
      <c r="AA802" s="2" t="str">
        <f t="shared" si="181"/>
        <v/>
      </c>
      <c r="AB802" s="2" t="str">
        <f t="shared" si="182"/>
        <v/>
      </c>
      <c r="AC802" s="2" t="str">
        <f t="shared" si="183"/>
        <v>(15 downto 8)</v>
      </c>
      <c r="AD802" s="2" t="str">
        <f t="shared" si="184"/>
        <v/>
      </c>
      <c r="AE802" s="2" t="str">
        <f t="shared" si="185"/>
        <v/>
      </c>
      <c r="AF802" s="2" t="str">
        <f t="shared" si="186"/>
        <v/>
      </c>
      <c r="AG802" s="2" t="str">
        <f t="shared" si="187"/>
        <v/>
      </c>
      <c r="AH802" s="2" t="str">
        <f t="shared" si="188"/>
        <v/>
      </c>
    </row>
    <row r="803" spans="2:34" x14ac:dyDescent="0.25">
      <c r="B803" s="2" t="s">
        <v>1056</v>
      </c>
      <c r="D803" s="2" t="s">
        <v>1</v>
      </c>
      <c r="E803" s="2" t="s">
        <v>134</v>
      </c>
      <c r="F803" s="2" t="s">
        <v>1062</v>
      </c>
      <c r="G803" s="2" t="s">
        <v>1063</v>
      </c>
      <c r="H803" s="2" t="s">
        <v>830</v>
      </c>
      <c r="I803" s="2" t="s">
        <v>42</v>
      </c>
      <c r="J803" s="2">
        <v>8</v>
      </c>
      <c r="K803" s="2" t="s">
        <v>137</v>
      </c>
      <c r="L803" s="2" t="s">
        <v>41</v>
      </c>
      <c r="M803" s="2" t="s">
        <v>135</v>
      </c>
      <c r="N803" s="2" t="s">
        <v>1059</v>
      </c>
      <c r="O803" s="2" t="s">
        <v>831</v>
      </c>
      <c r="P803" s="2" t="s">
        <v>48</v>
      </c>
      <c r="Q803" s="2">
        <f>INDEX(Tables!$C$4:$C$28,MATCH($P803,Tables!$B$4:$B$28,0))</f>
        <v>8</v>
      </c>
      <c r="R803" s="2">
        <f>INDEX(Tables!$D$4:$D$28,MATCH($P803,Tables!$B$4:$B$28,0))</f>
        <v>1</v>
      </c>
      <c r="S803" s="2">
        <f>$S802+$R802+INDEX(Tables!$N$5:$Q$8,MATCH(MOD($S802+$R802,4),Tables!$M$5:$M$8,0),MATCH($R803,Tables!$N$4:$Q$4,0))</f>
        <v>2862</v>
      </c>
      <c r="T803" s="2" t="str">
        <f t="shared" si="189"/>
        <v>0B2E</v>
      </c>
      <c r="U803" s="2">
        <f t="shared" si="180"/>
        <v>715</v>
      </c>
      <c r="V803" s="2" t="str">
        <f t="shared" si="190"/>
        <v>2CB</v>
      </c>
      <c r="W803" s="2" t="str">
        <f t="shared" si="191"/>
        <v/>
      </c>
      <c r="X803" s="2" t="str">
        <f t="shared" si="192"/>
        <v>X</v>
      </c>
      <c r="Y803" s="2" t="str">
        <f t="shared" si="193"/>
        <v/>
      </c>
      <c r="Z803" s="2" t="str">
        <f t="shared" si="194"/>
        <v/>
      </c>
      <c r="AA803" s="2" t="str">
        <f t="shared" si="181"/>
        <v/>
      </c>
      <c r="AB803" s="2" t="str">
        <f t="shared" si="182"/>
        <v>(23 downto 16)</v>
      </c>
      <c r="AC803" s="2" t="str">
        <f t="shared" si="183"/>
        <v/>
      </c>
      <c r="AD803" s="2" t="str">
        <f t="shared" si="184"/>
        <v/>
      </c>
      <c r="AE803" s="2" t="str">
        <f t="shared" si="185"/>
        <v/>
      </c>
      <c r="AF803" s="2" t="str">
        <f t="shared" si="186"/>
        <v/>
      </c>
      <c r="AG803" s="2" t="str">
        <f t="shared" si="187"/>
        <v/>
      </c>
      <c r="AH803" s="2" t="str">
        <f t="shared" si="188"/>
        <v/>
      </c>
    </row>
    <row r="804" spans="2:34" x14ac:dyDescent="0.25">
      <c r="B804" s="2" t="s">
        <v>1056</v>
      </c>
      <c r="D804" s="2" t="s">
        <v>1</v>
      </c>
      <c r="E804" s="2" t="s">
        <v>134</v>
      </c>
      <c r="F804" s="2" t="s">
        <v>1062</v>
      </c>
      <c r="G804" s="2" t="s">
        <v>1063</v>
      </c>
      <c r="H804" s="2" t="s">
        <v>832</v>
      </c>
      <c r="I804" s="2" t="s">
        <v>42</v>
      </c>
      <c r="J804" s="2">
        <v>8</v>
      </c>
      <c r="K804" s="2" t="s">
        <v>137</v>
      </c>
      <c r="L804" s="2" t="s">
        <v>41</v>
      </c>
      <c r="M804" s="2" t="s">
        <v>135</v>
      </c>
      <c r="N804" s="2" t="s">
        <v>1059</v>
      </c>
      <c r="O804" s="2" t="s">
        <v>833</v>
      </c>
      <c r="P804" s="2" t="s">
        <v>48</v>
      </c>
      <c r="Q804" s="2">
        <f>INDEX(Tables!$C$4:$C$28,MATCH($P804,Tables!$B$4:$B$28,0))</f>
        <v>8</v>
      </c>
      <c r="R804" s="2">
        <f>INDEX(Tables!$D$4:$D$28,MATCH($P804,Tables!$B$4:$B$28,0))</f>
        <v>1</v>
      </c>
      <c r="S804" s="2">
        <f>$S803+$R803+INDEX(Tables!$N$5:$Q$8,MATCH(MOD($S803+$R803,4),Tables!$M$5:$M$8,0),MATCH($R804,Tables!$N$4:$Q$4,0))</f>
        <v>2863</v>
      </c>
      <c r="T804" s="2" t="str">
        <f t="shared" si="189"/>
        <v>0B2F</v>
      </c>
      <c r="U804" s="2">
        <f t="shared" si="180"/>
        <v>715</v>
      </c>
      <c r="V804" s="2" t="str">
        <f t="shared" si="190"/>
        <v>2CB</v>
      </c>
      <c r="W804" s="2" t="str">
        <f t="shared" si="191"/>
        <v>X</v>
      </c>
      <c r="X804" s="2" t="str">
        <f t="shared" si="192"/>
        <v/>
      </c>
      <c r="Y804" s="2" t="str">
        <f t="shared" si="193"/>
        <v/>
      </c>
      <c r="Z804" s="2" t="str">
        <f t="shared" si="194"/>
        <v/>
      </c>
      <c r="AA804" s="2" t="str">
        <f t="shared" si="181"/>
        <v>(31 downto 24)</v>
      </c>
      <c r="AB804" s="2" t="str">
        <f t="shared" si="182"/>
        <v/>
      </c>
      <c r="AC804" s="2" t="str">
        <f t="shared" si="183"/>
        <v/>
      </c>
      <c r="AD804" s="2" t="str">
        <f t="shared" si="184"/>
        <v/>
      </c>
      <c r="AE804" s="2" t="str">
        <f t="shared" si="185"/>
        <v/>
      </c>
      <c r="AF804" s="2" t="str">
        <f t="shared" si="186"/>
        <v/>
      </c>
      <c r="AG804" s="2" t="str">
        <f t="shared" si="187"/>
        <v/>
      </c>
      <c r="AH804" s="2" t="str">
        <f t="shared" si="188"/>
        <v/>
      </c>
    </row>
    <row r="805" spans="2:34" x14ac:dyDescent="0.25">
      <c r="B805" s="2" t="s">
        <v>1056</v>
      </c>
      <c r="D805" s="2" t="s">
        <v>1</v>
      </c>
      <c r="E805" s="2" t="s">
        <v>134</v>
      </c>
      <c r="F805" s="2" t="s">
        <v>1062</v>
      </c>
      <c r="G805" s="2" t="s">
        <v>1063</v>
      </c>
      <c r="H805" s="2" t="s">
        <v>834</v>
      </c>
      <c r="I805" s="2" t="s">
        <v>42</v>
      </c>
      <c r="J805" s="2">
        <v>8</v>
      </c>
      <c r="K805" s="2" t="s">
        <v>137</v>
      </c>
      <c r="L805" s="2" t="s">
        <v>41</v>
      </c>
      <c r="M805" s="2" t="s">
        <v>135</v>
      </c>
      <c r="N805" s="2" t="s">
        <v>1059</v>
      </c>
      <c r="O805" s="2" t="s">
        <v>835</v>
      </c>
      <c r="P805" s="2" t="s">
        <v>48</v>
      </c>
      <c r="Q805" s="2">
        <f>INDEX(Tables!$C$4:$C$28,MATCH($P805,Tables!$B$4:$B$28,0))</f>
        <v>8</v>
      </c>
      <c r="R805" s="2">
        <f>INDEX(Tables!$D$4:$D$28,MATCH($P805,Tables!$B$4:$B$28,0))</f>
        <v>1</v>
      </c>
      <c r="S805" s="2">
        <f>$S804+$R804+INDEX(Tables!$N$5:$Q$8,MATCH(MOD($S804+$R804,4),Tables!$M$5:$M$8,0),MATCH($R805,Tables!$N$4:$Q$4,0))</f>
        <v>2864</v>
      </c>
      <c r="T805" s="2" t="str">
        <f t="shared" si="189"/>
        <v>0B30</v>
      </c>
      <c r="U805" s="2">
        <f t="shared" si="180"/>
        <v>716</v>
      </c>
      <c r="V805" s="2" t="str">
        <f t="shared" si="190"/>
        <v>2CC</v>
      </c>
      <c r="W805" s="2" t="str">
        <f t="shared" si="191"/>
        <v/>
      </c>
      <c r="X805" s="2" t="str">
        <f t="shared" si="192"/>
        <v/>
      </c>
      <c r="Y805" s="2" t="str">
        <f t="shared" si="193"/>
        <v/>
      </c>
      <c r="Z805" s="2" t="str">
        <f t="shared" si="194"/>
        <v>X</v>
      </c>
      <c r="AA805" s="2" t="str">
        <f t="shared" si="181"/>
        <v/>
      </c>
      <c r="AB805" s="2" t="str">
        <f t="shared" si="182"/>
        <v/>
      </c>
      <c r="AC805" s="2" t="str">
        <f t="shared" si="183"/>
        <v/>
      </c>
      <c r="AD805" s="2" t="str">
        <f t="shared" si="184"/>
        <v>(7 downto 0)</v>
      </c>
      <c r="AE805" s="2" t="str">
        <f t="shared" si="185"/>
        <v/>
      </c>
      <c r="AF805" s="2" t="str">
        <f t="shared" si="186"/>
        <v/>
      </c>
      <c r="AG805" s="2" t="str">
        <f t="shared" si="187"/>
        <v/>
      </c>
      <c r="AH805" s="2" t="str">
        <f t="shared" si="188"/>
        <v/>
      </c>
    </row>
    <row r="806" spans="2:34" x14ac:dyDescent="0.25">
      <c r="B806" s="2" t="s">
        <v>1056</v>
      </c>
      <c r="D806" s="2" t="s">
        <v>1</v>
      </c>
      <c r="E806" s="2" t="s">
        <v>134</v>
      </c>
      <c r="F806" s="2" t="s">
        <v>1062</v>
      </c>
      <c r="G806" s="2" t="s">
        <v>1063</v>
      </c>
      <c r="H806" s="2" t="s">
        <v>836</v>
      </c>
      <c r="I806" s="2" t="s">
        <v>42</v>
      </c>
      <c r="J806" s="2">
        <v>14</v>
      </c>
      <c r="K806" s="2" t="s">
        <v>137</v>
      </c>
      <c r="L806" s="2" t="s">
        <v>41</v>
      </c>
      <c r="M806" s="2" t="s">
        <v>135</v>
      </c>
      <c r="N806" s="2" t="s">
        <v>1059</v>
      </c>
      <c r="O806" s="2" t="s">
        <v>837</v>
      </c>
      <c r="P806" s="2" t="s">
        <v>50</v>
      </c>
      <c r="Q806" s="2">
        <f>INDEX(Tables!$C$4:$C$28,MATCH($P806,Tables!$B$4:$B$28,0))</f>
        <v>16</v>
      </c>
      <c r="R806" s="2">
        <f>INDEX(Tables!$D$4:$D$28,MATCH($P806,Tables!$B$4:$B$28,0))</f>
        <v>2</v>
      </c>
      <c r="S806" s="2">
        <f>$S805+$R805+INDEX(Tables!$N$5:$Q$8,MATCH(MOD($S805+$R805,4),Tables!$M$5:$M$8,0),MATCH($R806,Tables!$N$4:$Q$4,0))</f>
        <v>2866</v>
      </c>
      <c r="T806" s="2" t="str">
        <f t="shared" si="189"/>
        <v>0B32</v>
      </c>
      <c r="U806" s="2">
        <f t="shared" si="180"/>
        <v>716</v>
      </c>
      <c r="V806" s="2" t="str">
        <f t="shared" si="190"/>
        <v>2CC</v>
      </c>
      <c r="W806" s="2" t="str">
        <f t="shared" si="191"/>
        <v>X</v>
      </c>
      <c r="X806" s="2" t="str">
        <f t="shared" si="192"/>
        <v>X</v>
      </c>
      <c r="Y806" s="2" t="str">
        <f t="shared" si="193"/>
        <v/>
      </c>
      <c r="Z806" s="2" t="str">
        <f t="shared" si="194"/>
        <v/>
      </c>
      <c r="AA806" s="2" t="str">
        <f t="shared" si="181"/>
        <v>(29 downto 24)</v>
      </c>
      <c r="AB806" s="2" t="str">
        <f t="shared" si="182"/>
        <v>(23 downto 16)</v>
      </c>
      <c r="AC806" s="2" t="str">
        <f t="shared" si="183"/>
        <v/>
      </c>
      <c r="AD806" s="2" t="str">
        <f t="shared" si="184"/>
        <v/>
      </c>
      <c r="AE806" s="2" t="str">
        <f t="shared" si="185"/>
        <v>(13 downto 8)</v>
      </c>
      <c r="AF806" s="2" t="str">
        <f t="shared" si="186"/>
        <v>(7 downto 0)</v>
      </c>
      <c r="AG806" s="2" t="str">
        <f t="shared" si="187"/>
        <v/>
      </c>
      <c r="AH806" s="2" t="str">
        <f t="shared" si="188"/>
        <v/>
      </c>
    </row>
    <row r="807" spans="2:34" x14ac:dyDescent="0.25">
      <c r="B807" s="2" t="s">
        <v>1056</v>
      </c>
      <c r="D807" s="2" t="s">
        <v>1</v>
      </c>
      <c r="E807" s="2" t="s">
        <v>134</v>
      </c>
      <c r="F807" s="2" t="s">
        <v>1062</v>
      </c>
      <c r="G807" s="2" t="s">
        <v>1063</v>
      </c>
      <c r="H807" s="2" t="s">
        <v>838</v>
      </c>
      <c r="I807" s="2" t="s">
        <v>42</v>
      </c>
      <c r="J807" s="2">
        <v>1</v>
      </c>
      <c r="K807" s="2" t="s">
        <v>82</v>
      </c>
      <c r="L807" s="2" t="s">
        <v>41</v>
      </c>
      <c r="M807" s="2" t="s">
        <v>135</v>
      </c>
      <c r="N807" s="2" t="s">
        <v>1059</v>
      </c>
      <c r="O807" s="2" t="s">
        <v>839</v>
      </c>
      <c r="P807" s="2" t="s">
        <v>5</v>
      </c>
      <c r="Q807" s="2">
        <f>INDEX(Tables!$C$4:$C$28,MATCH($P807,Tables!$B$4:$B$28,0))</f>
        <v>32</v>
      </c>
      <c r="R807" s="2">
        <f>INDEX(Tables!$D$4:$D$28,MATCH($P807,Tables!$B$4:$B$28,0))</f>
        <v>4</v>
      </c>
      <c r="S807" s="2">
        <f>$S806+$R806+INDEX(Tables!$N$5:$Q$8,MATCH(MOD($S806+$R806,4),Tables!$M$5:$M$8,0),MATCH($R807,Tables!$N$4:$Q$4,0))</f>
        <v>2868</v>
      </c>
      <c r="T807" s="2" t="str">
        <f t="shared" si="189"/>
        <v>0B34</v>
      </c>
      <c r="U807" s="2">
        <f t="shared" si="180"/>
        <v>717</v>
      </c>
      <c r="V807" s="2" t="str">
        <f t="shared" si="190"/>
        <v>2CD</v>
      </c>
      <c r="W807" s="2" t="str">
        <f t="shared" si="191"/>
        <v/>
      </c>
      <c r="X807" s="2" t="str">
        <f t="shared" si="192"/>
        <v/>
      </c>
      <c r="Y807" s="2" t="str">
        <f t="shared" si="193"/>
        <v/>
      </c>
      <c r="Z807" s="2" t="str">
        <f t="shared" si="194"/>
        <v>X</v>
      </c>
      <c r="AA807" s="2" t="str">
        <f t="shared" si="181"/>
        <v/>
      </c>
      <c r="AB807" s="2" t="str">
        <f t="shared" si="182"/>
        <v/>
      </c>
      <c r="AC807" s="2" t="str">
        <f t="shared" si="183"/>
        <v/>
      </c>
      <c r="AD807" s="2" t="str">
        <f t="shared" si="184"/>
        <v>(0)</v>
      </c>
      <c r="AE807" s="2" t="str">
        <f t="shared" si="185"/>
        <v/>
      </c>
      <c r="AF807" s="2" t="str">
        <f t="shared" si="186"/>
        <v/>
      </c>
      <c r="AG807" s="2" t="str">
        <f t="shared" si="187"/>
        <v/>
      </c>
      <c r="AH807" s="2" t="str">
        <f t="shared" si="188"/>
        <v/>
      </c>
    </row>
    <row r="808" spans="2:34" x14ac:dyDescent="0.25">
      <c r="B808" s="2" t="s">
        <v>1056</v>
      </c>
      <c r="D808" s="2" t="s">
        <v>1</v>
      </c>
      <c r="E808" s="2" t="s">
        <v>134</v>
      </c>
      <c r="F808" s="2" t="s">
        <v>1062</v>
      </c>
      <c r="G808" s="2" t="s">
        <v>1063</v>
      </c>
      <c r="H808" s="2" t="s">
        <v>840</v>
      </c>
      <c r="I808" s="2" t="s">
        <v>42</v>
      </c>
      <c r="J808" s="2">
        <v>1</v>
      </c>
      <c r="K808" s="2" t="s">
        <v>82</v>
      </c>
      <c r="L808" s="2" t="s">
        <v>41</v>
      </c>
      <c r="M808" s="2" t="s">
        <v>135</v>
      </c>
      <c r="N808" s="2" t="s">
        <v>1059</v>
      </c>
      <c r="O808" s="2" t="s">
        <v>841</v>
      </c>
      <c r="P808" s="2" t="s">
        <v>5</v>
      </c>
      <c r="Q808" s="2">
        <f>INDEX(Tables!$C$4:$C$28,MATCH($P808,Tables!$B$4:$B$28,0))</f>
        <v>32</v>
      </c>
      <c r="R808" s="2">
        <f>INDEX(Tables!$D$4:$D$28,MATCH($P808,Tables!$B$4:$B$28,0))</f>
        <v>4</v>
      </c>
      <c r="S808" s="2">
        <f>$S807+$R807+INDEX(Tables!$N$5:$Q$8,MATCH(MOD($S807+$R807,4),Tables!$M$5:$M$8,0),MATCH($R808,Tables!$N$4:$Q$4,0))</f>
        <v>2872</v>
      </c>
      <c r="T808" s="2" t="str">
        <f t="shared" si="189"/>
        <v>0B38</v>
      </c>
      <c r="U808" s="2">
        <f t="shared" si="180"/>
        <v>718</v>
      </c>
      <c r="V808" s="2" t="str">
        <f t="shared" si="190"/>
        <v>2CE</v>
      </c>
      <c r="W808" s="2" t="str">
        <f t="shared" si="191"/>
        <v/>
      </c>
      <c r="X808" s="2" t="str">
        <f t="shared" si="192"/>
        <v/>
      </c>
      <c r="Y808" s="2" t="str">
        <f t="shared" si="193"/>
        <v/>
      </c>
      <c r="Z808" s="2" t="str">
        <f t="shared" si="194"/>
        <v>X</v>
      </c>
      <c r="AA808" s="2" t="str">
        <f t="shared" si="181"/>
        <v/>
      </c>
      <c r="AB808" s="2" t="str">
        <f t="shared" si="182"/>
        <v/>
      </c>
      <c r="AC808" s="2" t="str">
        <f t="shared" si="183"/>
        <v/>
      </c>
      <c r="AD808" s="2" t="str">
        <f t="shared" si="184"/>
        <v>(0)</v>
      </c>
      <c r="AE808" s="2" t="str">
        <f t="shared" si="185"/>
        <v/>
      </c>
      <c r="AF808" s="2" t="str">
        <f t="shared" si="186"/>
        <v/>
      </c>
      <c r="AG808" s="2" t="str">
        <f t="shared" si="187"/>
        <v/>
      </c>
      <c r="AH808" s="2" t="str">
        <f t="shared" si="188"/>
        <v/>
      </c>
    </row>
    <row r="809" spans="2:34" x14ac:dyDescent="0.25">
      <c r="B809" s="2" t="s">
        <v>1056</v>
      </c>
      <c r="D809" s="2" t="s">
        <v>1</v>
      </c>
      <c r="E809" s="2" t="s">
        <v>134</v>
      </c>
      <c r="F809" s="2" t="s">
        <v>1062</v>
      </c>
      <c r="G809" s="2" t="s">
        <v>1063</v>
      </c>
      <c r="H809" s="2" t="s">
        <v>842</v>
      </c>
      <c r="I809" s="2" t="s">
        <v>42</v>
      </c>
      <c r="J809" s="2">
        <v>14</v>
      </c>
      <c r="K809" s="2" t="s">
        <v>137</v>
      </c>
      <c r="L809" s="2" t="s">
        <v>41</v>
      </c>
      <c r="M809" s="2" t="s">
        <v>135</v>
      </c>
      <c r="N809" s="2" t="s">
        <v>1059</v>
      </c>
      <c r="O809" s="2" t="s">
        <v>843</v>
      </c>
      <c r="P809" s="2" t="s">
        <v>50</v>
      </c>
      <c r="Q809" s="2">
        <f>INDEX(Tables!$C$4:$C$28,MATCH($P809,Tables!$B$4:$B$28,0))</f>
        <v>16</v>
      </c>
      <c r="R809" s="2">
        <f>INDEX(Tables!$D$4:$D$28,MATCH($P809,Tables!$B$4:$B$28,0))</f>
        <v>2</v>
      </c>
      <c r="S809" s="2">
        <f>$S808+$R808+INDEX(Tables!$N$5:$Q$8,MATCH(MOD($S808+$R808,4),Tables!$M$5:$M$8,0),MATCH($R809,Tables!$N$4:$Q$4,0))</f>
        <v>2876</v>
      </c>
      <c r="T809" s="2" t="str">
        <f t="shared" si="189"/>
        <v>0B3C</v>
      </c>
      <c r="U809" s="2">
        <f t="shared" si="180"/>
        <v>719</v>
      </c>
      <c r="V809" s="2" t="str">
        <f t="shared" si="190"/>
        <v>2CF</v>
      </c>
      <c r="W809" s="2" t="str">
        <f t="shared" si="191"/>
        <v/>
      </c>
      <c r="X809" s="2" t="str">
        <f t="shared" si="192"/>
        <v/>
      </c>
      <c r="Y809" s="2" t="str">
        <f t="shared" si="193"/>
        <v>X</v>
      </c>
      <c r="Z809" s="2" t="str">
        <f t="shared" si="194"/>
        <v>X</v>
      </c>
      <c r="AA809" s="2" t="str">
        <f t="shared" si="181"/>
        <v/>
      </c>
      <c r="AB809" s="2" t="str">
        <f t="shared" si="182"/>
        <v/>
      </c>
      <c r="AC809" s="2" t="str">
        <f t="shared" si="183"/>
        <v>(13 downto 8)</v>
      </c>
      <c r="AD809" s="2" t="str">
        <f t="shared" si="184"/>
        <v>(7 downto 0)</v>
      </c>
      <c r="AE809" s="2" t="str">
        <f t="shared" si="185"/>
        <v/>
      </c>
      <c r="AF809" s="2" t="str">
        <f t="shared" si="186"/>
        <v/>
      </c>
      <c r="AG809" s="2" t="str">
        <f t="shared" si="187"/>
        <v>(13 downto 8)</v>
      </c>
      <c r="AH809" s="2" t="str">
        <f t="shared" si="188"/>
        <v>(7 downto 0)</v>
      </c>
    </row>
    <row r="810" spans="2:34" x14ac:dyDescent="0.25">
      <c r="B810" s="2" t="s">
        <v>1056</v>
      </c>
      <c r="D810" s="2" t="s">
        <v>1</v>
      </c>
      <c r="E810" s="2" t="s">
        <v>134</v>
      </c>
      <c r="F810" s="2" t="s">
        <v>1062</v>
      </c>
      <c r="G810" s="2" t="s">
        <v>1063</v>
      </c>
      <c r="H810" s="2" t="s">
        <v>844</v>
      </c>
      <c r="I810" s="2" t="s">
        <v>42</v>
      </c>
      <c r="J810" s="2">
        <v>1</v>
      </c>
      <c r="K810" s="2" t="s">
        <v>82</v>
      </c>
      <c r="L810" s="2" t="s">
        <v>41</v>
      </c>
      <c r="M810" s="2" t="s">
        <v>135</v>
      </c>
      <c r="N810" s="2" t="s">
        <v>1059</v>
      </c>
      <c r="O810" s="2" t="s">
        <v>845</v>
      </c>
      <c r="P810" s="2" t="s">
        <v>5</v>
      </c>
      <c r="Q810" s="2">
        <f>INDEX(Tables!$C$4:$C$28,MATCH($P810,Tables!$B$4:$B$28,0))</f>
        <v>32</v>
      </c>
      <c r="R810" s="2">
        <f>INDEX(Tables!$D$4:$D$28,MATCH($P810,Tables!$B$4:$B$28,0))</f>
        <v>4</v>
      </c>
      <c r="S810" s="2">
        <f>$S809+$R809+INDEX(Tables!$N$5:$Q$8,MATCH(MOD($S809+$R809,4),Tables!$M$5:$M$8,0),MATCH($R810,Tables!$N$4:$Q$4,0))</f>
        <v>2880</v>
      </c>
      <c r="T810" s="2" t="str">
        <f t="shared" si="189"/>
        <v>0B40</v>
      </c>
      <c r="U810" s="2">
        <f t="shared" ref="U810:U873" si="195">ROUNDDOWN(S810/4,0)</f>
        <v>720</v>
      </c>
      <c r="V810" s="2" t="str">
        <f t="shared" si="190"/>
        <v>2D0</v>
      </c>
      <c r="W810" s="2" t="str">
        <f t="shared" si="191"/>
        <v/>
      </c>
      <c r="X810" s="2" t="str">
        <f t="shared" si="192"/>
        <v/>
      </c>
      <c r="Y810" s="2" t="str">
        <f t="shared" si="193"/>
        <v/>
      </c>
      <c r="Z810" s="2" t="str">
        <f t="shared" si="194"/>
        <v>X</v>
      </c>
      <c r="AA810" s="2" t="str">
        <f t="shared" ref="AA810:AA873" si="196">IF(W810="","",CONCATENATE("(",IF(($J810-COUNTIF($X810:$Z810,"X")*8)=1,"24)",CONCATENATE(IF(($J810-COUNTIF($X810:$Z810,"X")*8)&gt;=8,32,($J810-COUNTIF($X810:$Z810,"X")*8)+24)-1," downto 24)"))))</f>
        <v/>
      </c>
      <c r="AB810" s="2" t="str">
        <f t="shared" ref="AB810:AB873" si="197">IF(X810="","",CONCATENATE("(",IF(($J810-COUNTIF($Y810:$Z810,"X")*8)=1,"16)",CONCATENATE(IF(($J810-COUNTIF($Y810:$Z810,"X")*8)&gt;=8,24,($J810-COUNTIF($Y810:$Z810,"X")*8)+16)-1," downto 16)"))))</f>
        <v/>
      </c>
      <c r="AC810" s="2" t="str">
        <f t="shared" ref="AC810:AC873" si="198">IF(Y810="","",CONCATENATE("(",IF(($J810-COUNTIF($Z810,"X")*8)=1,"8)",CONCATENATE(IF(($J810-COUNTIF($Z810,"X")*8)&gt;=8,16,($J810-COUNTIF($Z810,"X")*8)+8)-1," downto 8)"))))</f>
        <v/>
      </c>
      <c r="AD810" s="2" t="str">
        <f t="shared" ref="AD810:AD873" si="199">IF(Z810="","",CONCATENATE("(",IF($J810=1,"0)",CONCATENATE(IF($J810&gt;=8,8,$J810)-1," downto 0)"))))</f>
        <v>(0)</v>
      </c>
      <c r="AE810" s="2" t="str">
        <f t="shared" ref="AE810:AE873" si="200">IF(W810="","",IF($J810&lt;=8,"",IF(($J810-COUNTIF($X810:$Z810,"X")*8)=1,CONCATENATE("(",($J810-1),")"),CONCATENATE("(",IF(($J810-COUNTIF($X810:$Z810,"X")*8)&gt;=8,COUNTIF($X810:$Z810,"X")*8+7,$J810-COUNTIF($X810:$Z810,"X")*8-1+COUNTIF($X810:$Z810,"X")*8)," downto ",COUNTIF($X810:$Z810,"X")*8,")"))))</f>
        <v/>
      </c>
      <c r="AF810" s="2" t="str">
        <f t="shared" ref="AF810:AF873" si="201">IF(X810="","",IF($J810&lt;=8,"",IF(($J810-COUNTIF($Y810:$Z810,"X")*8)=1,CONCATENATE("(",($J810-1),")"),CONCATENATE("(",IF(($J810-COUNTIF($Y810:$Z810,"X")*8)&gt;=8,COUNTIF($Y810:$Z810,"X")*8+7,$J810-COUNTIF($Y810:$Z810,"X")*8-1+COUNTIF($Y810:$Z810,"X")*8)," downto ",COUNTIF($Y810:$Z810,"X")*8,")"))))</f>
        <v/>
      </c>
      <c r="AG810" s="2" t="str">
        <f t="shared" ref="AG810:AG873" si="202">IF(Y810="","",IF($J810&lt;=8,"",IF(($J810-COUNTIF($Z810,"X")*8)=1,CONCATENATE("(",($J810-1),")"),CONCATENATE("(",IF(($J810-COUNTIF($Z810,"X")*8)&gt;=8,COUNTIF($Z810,"X")*8+7,$J810-COUNTIF($Z810,"X")*8-1+COUNTIF($Z810,"X")*8)," downto ",COUNTIF($Z810,"X")*8,")"))))</f>
        <v/>
      </c>
      <c r="AH810" s="2" t="str">
        <f t="shared" ref="AH810:AH873" si="203">IF(Z810="","",IF($J810&lt;=8,"",CONCATENATE("(",IF($J810&gt;=8,7,$J810-1)," downto ",0,")")))</f>
        <v/>
      </c>
    </row>
    <row r="811" spans="2:34" x14ac:dyDescent="0.25">
      <c r="B811" s="2" t="s">
        <v>1056</v>
      </c>
      <c r="D811" s="2" t="s">
        <v>1</v>
      </c>
      <c r="E811" s="2" t="s">
        <v>134</v>
      </c>
      <c r="F811" s="2" t="s">
        <v>1062</v>
      </c>
      <c r="G811" s="2" t="s">
        <v>1063</v>
      </c>
      <c r="H811" s="2" t="s">
        <v>846</v>
      </c>
      <c r="I811" s="2" t="s">
        <v>42</v>
      </c>
      <c r="J811" s="2">
        <v>1</v>
      </c>
      <c r="K811" s="2" t="s">
        <v>82</v>
      </c>
      <c r="L811" s="2" t="s">
        <v>41</v>
      </c>
      <c r="M811" s="2" t="s">
        <v>135</v>
      </c>
      <c r="N811" s="2" t="s">
        <v>1059</v>
      </c>
      <c r="O811" s="2" t="s">
        <v>847</v>
      </c>
      <c r="P811" s="2" t="s">
        <v>5</v>
      </c>
      <c r="Q811" s="2">
        <f>INDEX(Tables!$C$4:$C$28,MATCH($P811,Tables!$B$4:$B$28,0))</f>
        <v>32</v>
      </c>
      <c r="R811" s="2">
        <f>INDEX(Tables!$D$4:$D$28,MATCH($P811,Tables!$B$4:$B$28,0))</f>
        <v>4</v>
      </c>
      <c r="S811" s="2">
        <f>$S810+$R810+INDEX(Tables!$N$5:$Q$8,MATCH(MOD($S810+$R810,4),Tables!$M$5:$M$8,0),MATCH($R811,Tables!$N$4:$Q$4,0))</f>
        <v>2884</v>
      </c>
      <c r="T811" s="2" t="str">
        <f t="shared" si="189"/>
        <v>0B44</v>
      </c>
      <c r="U811" s="2">
        <f t="shared" si="195"/>
        <v>721</v>
      </c>
      <c r="V811" s="2" t="str">
        <f t="shared" si="190"/>
        <v>2D1</v>
      </c>
      <c r="W811" s="2" t="str">
        <f t="shared" si="191"/>
        <v/>
      </c>
      <c r="X811" s="2" t="str">
        <f t="shared" si="192"/>
        <v/>
      </c>
      <c r="Y811" s="2" t="str">
        <f t="shared" si="193"/>
        <v/>
      </c>
      <c r="Z811" s="2" t="str">
        <f t="shared" si="194"/>
        <v>X</v>
      </c>
      <c r="AA811" s="2" t="str">
        <f t="shared" si="196"/>
        <v/>
      </c>
      <c r="AB811" s="2" t="str">
        <f t="shared" si="197"/>
        <v/>
      </c>
      <c r="AC811" s="2" t="str">
        <f t="shared" si="198"/>
        <v/>
      </c>
      <c r="AD811" s="2" t="str">
        <f t="shared" si="199"/>
        <v>(0)</v>
      </c>
      <c r="AE811" s="2" t="str">
        <f t="shared" si="200"/>
        <v/>
      </c>
      <c r="AF811" s="2" t="str">
        <f t="shared" si="201"/>
        <v/>
      </c>
      <c r="AG811" s="2" t="str">
        <f t="shared" si="202"/>
        <v/>
      </c>
      <c r="AH811" s="2" t="str">
        <f t="shared" si="203"/>
        <v/>
      </c>
    </row>
    <row r="812" spans="2:34" x14ac:dyDescent="0.25">
      <c r="B812" s="2" t="s">
        <v>1056</v>
      </c>
      <c r="D812" s="2" t="s">
        <v>1</v>
      </c>
      <c r="E812" s="2" t="s">
        <v>134</v>
      </c>
      <c r="F812" s="2" t="s">
        <v>1062</v>
      </c>
      <c r="G812" s="2" t="s">
        <v>1063</v>
      </c>
      <c r="H812" s="2" t="s">
        <v>848</v>
      </c>
      <c r="I812" s="2" t="s">
        <v>42</v>
      </c>
      <c r="J812" s="2">
        <v>14</v>
      </c>
      <c r="K812" s="2" t="s">
        <v>137</v>
      </c>
      <c r="L812" s="2" t="s">
        <v>41</v>
      </c>
      <c r="M812" s="2" t="s">
        <v>135</v>
      </c>
      <c r="N812" s="2" t="s">
        <v>1059</v>
      </c>
      <c r="O812" s="2" t="s">
        <v>849</v>
      </c>
      <c r="P812" s="2" t="s">
        <v>50</v>
      </c>
      <c r="Q812" s="2">
        <f>INDEX(Tables!$C$4:$C$28,MATCH($P812,Tables!$B$4:$B$28,0))</f>
        <v>16</v>
      </c>
      <c r="R812" s="2">
        <f>INDEX(Tables!$D$4:$D$28,MATCH($P812,Tables!$B$4:$B$28,0))</f>
        <v>2</v>
      </c>
      <c r="S812" s="2">
        <f>$S811+$R811+INDEX(Tables!$N$5:$Q$8,MATCH(MOD($S811+$R811,4),Tables!$M$5:$M$8,0),MATCH($R812,Tables!$N$4:$Q$4,0))</f>
        <v>2888</v>
      </c>
      <c r="T812" s="2" t="str">
        <f t="shared" si="189"/>
        <v>0B48</v>
      </c>
      <c r="U812" s="2">
        <f t="shared" si="195"/>
        <v>722</v>
      </c>
      <c r="V812" s="2" t="str">
        <f t="shared" si="190"/>
        <v>2D2</v>
      </c>
      <c r="W812" s="2" t="str">
        <f t="shared" si="191"/>
        <v/>
      </c>
      <c r="X812" s="2" t="str">
        <f t="shared" si="192"/>
        <v/>
      </c>
      <c r="Y812" s="2" t="str">
        <f t="shared" si="193"/>
        <v>X</v>
      </c>
      <c r="Z812" s="2" t="str">
        <f t="shared" si="194"/>
        <v>X</v>
      </c>
      <c r="AA812" s="2" t="str">
        <f t="shared" si="196"/>
        <v/>
      </c>
      <c r="AB812" s="2" t="str">
        <f t="shared" si="197"/>
        <v/>
      </c>
      <c r="AC812" s="2" t="str">
        <f t="shared" si="198"/>
        <v>(13 downto 8)</v>
      </c>
      <c r="AD812" s="2" t="str">
        <f t="shared" si="199"/>
        <v>(7 downto 0)</v>
      </c>
      <c r="AE812" s="2" t="str">
        <f t="shared" si="200"/>
        <v/>
      </c>
      <c r="AF812" s="2" t="str">
        <f t="shared" si="201"/>
        <v/>
      </c>
      <c r="AG812" s="2" t="str">
        <f t="shared" si="202"/>
        <v>(13 downto 8)</v>
      </c>
      <c r="AH812" s="2" t="str">
        <f t="shared" si="203"/>
        <v>(7 downto 0)</v>
      </c>
    </row>
    <row r="813" spans="2:34" x14ac:dyDescent="0.25">
      <c r="B813" s="2" t="s">
        <v>1056</v>
      </c>
      <c r="D813" s="2" t="s">
        <v>1</v>
      </c>
      <c r="E813" s="2" t="s">
        <v>134</v>
      </c>
      <c r="F813" s="2" t="s">
        <v>1062</v>
      </c>
      <c r="G813" s="2" t="s">
        <v>1063</v>
      </c>
      <c r="H813" s="2" t="s">
        <v>850</v>
      </c>
      <c r="I813" s="2" t="s">
        <v>42</v>
      </c>
      <c r="J813" s="2">
        <v>1</v>
      </c>
      <c r="K813" s="2" t="s">
        <v>82</v>
      </c>
      <c r="L813" s="2" t="s">
        <v>41</v>
      </c>
      <c r="M813" s="2" t="s">
        <v>135</v>
      </c>
      <c r="N813" s="2" t="s">
        <v>1059</v>
      </c>
      <c r="O813" s="2" t="s">
        <v>851</v>
      </c>
      <c r="P813" s="2" t="s">
        <v>5</v>
      </c>
      <c r="Q813" s="2">
        <f>INDEX(Tables!$C$4:$C$28,MATCH($P813,Tables!$B$4:$B$28,0))</f>
        <v>32</v>
      </c>
      <c r="R813" s="2">
        <f>INDEX(Tables!$D$4:$D$28,MATCH($P813,Tables!$B$4:$B$28,0))</f>
        <v>4</v>
      </c>
      <c r="S813" s="2">
        <f>$S812+$R812+INDEX(Tables!$N$5:$Q$8,MATCH(MOD($S812+$R812,4),Tables!$M$5:$M$8,0),MATCH($R813,Tables!$N$4:$Q$4,0))</f>
        <v>2892</v>
      </c>
      <c r="T813" s="2" t="str">
        <f t="shared" si="189"/>
        <v>0B4C</v>
      </c>
      <c r="U813" s="2">
        <f t="shared" si="195"/>
        <v>723</v>
      </c>
      <c r="V813" s="2" t="str">
        <f t="shared" si="190"/>
        <v>2D3</v>
      </c>
      <c r="W813" s="2" t="str">
        <f t="shared" si="191"/>
        <v/>
      </c>
      <c r="X813" s="2" t="str">
        <f t="shared" si="192"/>
        <v/>
      </c>
      <c r="Y813" s="2" t="str">
        <f t="shared" si="193"/>
        <v/>
      </c>
      <c r="Z813" s="2" t="str">
        <f t="shared" si="194"/>
        <v>X</v>
      </c>
      <c r="AA813" s="2" t="str">
        <f t="shared" si="196"/>
        <v/>
      </c>
      <c r="AB813" s="2" t="str">
        <f t="shared" si="197"/>
        <v/>
      </c>
      <c r="AC813" s="2" t="str">
        <f t="shared" si="198"/>
        <v/>
      </c>
      <c r="AD813" s="2" t="str">
        <f t="shared" si="199"/>
        <v>(0)</v>
      </c>
      <c r="AE813" s="2" t="str">
        <f t="shared" si="200"/>
        <v/>
      </c>
      <c r="AF813" s="2" t="str">
        <f t="shared" si="201"/>
        <v/>
      </c>
      <c r="AG813" s="2" t="str">
        <f t="shared" si="202"/>
        <v/>
      </c>
      <c r="AH813" s="2" t="str">
        <f t="shared" si="203"/>
        <v/>
      </c>
    </row>
    <row r="814" spans="2:34" x14ac:dyDescent="0.25">
      <c r="B814" s="2" t="s">
        <v>1056</v>
      </c>
      <c r="D814" s="2" t="s">
        <v>1</v>
      </c>
      <c r="E814" s="2" t="s">
        <v>134</v>
      </c>
      <c r="F814" s="2" t="s">
        <v>1062</v>
      </c>
      <c r="G814" s="2" t="s">
        <v>1063</v>
      </c>
      <c r="H814" s="2" t="s">
        <v>852</v>
      </c>
      <c r="I814" s="2" t="s">
        <v>42</v>
      </c>
      <c r="J814" s="2">
        <v>1</v>
      </c>
      <c r="K814" s="2" t="s">
        <v>82</v>
      </c>
      <c r="L814" s="2" t="s">
        <v>41</v>
      </c>
      <c r="M814" s="2" t="s">
        <v>135</v>
      </c>
      <c r="N814" s="2" t="s">
        <v>1059</v>
      </c>
      <c r="O814" s="2" t="s">
        <v>853</v>
      </c>
      <c r="P814" s="2" t="s">
        <v>5</v>
      </c>
      <c r="Q814" s="2">
        <f>INDEX(Tables!$C$4:$C$28,MATCH($P814,Tables!$B$4:$B$28,0))</f>
        <v>32</v>
      </c>
      <c r="R814" s="2">
        <f>INDEX(Tables!$D$4:$D$28,MATCH($P814,Tables!$B$4:$B$28,0))</f>
        <v>4</v>
      </c>
      <c r="S814" s="2">
        <f>$S813+$R813+INDEX(Tables!$N$5:$Q$8,MATCH(MOD($S813+$R813,4),Tables!$M$5:$M$8,0),MATCH($R814,Tables!$N$4:$Q$4,0))</f>
        <v>2896</v>
      </c>
      <c r="T814" s="2" t="str">
        <f t="shared" si="189"/>
        <v>0B50</v>
      </c>
      <c r="U814" s="2">
        <f t="shared" si="195"/>
        <v>724</v>
      </c>
      <c r="V814" s="2" t="str">
        <f t="shared" si="190"/>
        <v>2D4</v>
      </c>
      <c r="W814" s="2" t="str">
        <f t="shared" si="191"/>
        <v/>
      </c>
      <c r="X814" s="2" t="str">
        <f t="shared" si="192"/>
        <v/>
      </c>
      <c r="Y814" s="2" t="str">
        <f t="shared" si="193"/>
        <v/>
      </c>
      <c r="Z814" s="2" t="str">
        <f t="shared" si="194"/>
        <v>X</v>
      </c>
      <c r="AA814" s="2" t="str">
        <f t="shared" si="196"/>
        <v/>
      </c>
      <c r="AB814" s="2" t="str">
        <f t="shared" si="197"/>
        <v/>
      </c>
      <c r="AC814" s="2" t="str">
        <f t="shared" si="198"/>
        <v/>
      </c>
      <c r="AD814" s="2" t="str">
        <f t="shared" si="199"/>
        <v>(0)</v>
      </c>
      <c r="AE814" s="2" t="str">
        <f t="shared" si="200"/>
        <v/>
      </c>
      <c r="AF814" s="2" t="str">
        <f t="shared" si="201"/>
        <v/>
      </c>
      <c r="AG814" s="2" t="str">
        <f t="shared" si="202"/>
        <v/>
      </c>
      <c r="AH814" s="2" t="str">
        <f t="shared" si="203"/>
        <v/>
      </c>
    </row>
    <row r="815" spans="2:34" x14ac:dyDescent="0.25">
      <c r="B815" s="2" t="s">
        <v>1056</v>
      </c>
      <c r="D815" s="2" t="s">
        <v>1</v>
      </c>
      <c r="E815" s="2" t="s">
        <v>134</v>
      </c>
      <c r="F815" s="2" t="s">
        <v>1062</v>
      </c>
      <c r="G815" s="2" t="s">
        <v>1063</v>
      </c>
      <c r="H815" s="2" t="s">
        <v>854</v>
      </c>
      <c r="I815" s="2" t="s">
        <v>42</v>
      </c>
      <c r="J815" s="2">
        <v>14</v>
      </c>
      <c r="K815" s="2" t="s">
        <v>137</v>
      </c>
      <c r="L815" s="2" t="s">
        <v>41</v>
      </c>
      <c r="M815" s="2" t="s">
        <v>135</v>
      </c>
      <c r="N815" s="2" t="s">
        <v>1059</v>
      </c>
      <c r="O815" s="2" t="s">
        <v>855</v>
      </c>
      <c r="P815" s="2" t="s">
        <v>50</v>
      </c>
      <c r="Q815" s="2">
        <f>INDEX(Tables!$C$4:$C$28,MATCH($P815,Tables!$B$4:$B$28,0))</f>
        <v>16</v>
      </c>
      <c r="R815" s="2">
        <f>INDEX(Tables!$D$4:$D$28,MATCH($P815,Tables!$B$4:$B$28,0))</f>
        <v>2</v>
      </c>
      <c r="S815" s="2">
        <f>$S814+$R814+INDEX(Tables!$N$5:$Q$8,MATCH(MOD($S814+$R814,4),Tables!$M$5:$M$8,0),MATCH($R815,Tables!$N$4:$Q$4,0))</f>
        <v>2900</v>
      </c>
      <c r="T815" s="2" t="str">
        <f t="shared" si="189"/>
        <v>0B54</v>
      </c>
      <c r="U815" s="2">
        <f t="shared" si="195"/>
        <v>725</v>
      </c>
      <c r="V815" s="2" t="str">
        <f t="shared" si="190"/>
        <v>2D5</v>
      </c>
      <c r="W815" s="2" t="str">
        <f t="shared" si="191"/>
        <v/>
      </c>
      <c r="X815" s="2" t="str">
        <f t="shared" si="192"/>
        <v/>
      </c>
      <c r="Y815" s="2" t="str">
        <f t="shared" si="193"/>
        <v>X</v>
      </c>
      <c r="Z815" s="2" t="str">
        <f t="shared" si="194"/>
        <v>X</v>
      </c>
      <c r="AA815" s="2" t="str">
        <f t="shared" si="196"/>
        <v/>
      </c>
      <c r="AB815" s="2" t="str">
        <f t="shared" si="197"/>
        <v/>
      </c>
      <c r="AC815" s="2" t="str">
        <f t="shared" si="198"/>
        <v>(13 downto 8)</v>
      </c>
      <c r="AD815" s="2" t="str">
        <f t="shared" si="199"/>
        <v>(7 downto 0)</v>
      </c>
      <c r="AE815" s="2" t="str">
        <f t="shared" si="200"/>
        <v/>
      </c>
      <c r="AF815" s="2" t="str">
        <f t="shared" si="201"/>
        <v/>
      </c>
      <c r="AG815" s="2" t="str">
        <f t="shared" si="202"/>
        <v>(13 downto 8)</v>
      </c>
      <c r="AH815" s="2" t="str">
        <f t="shared" si="203"/>
        <v>(7 downto 0)</v>
      </c>
    </row>
    <row r="816" spans="2:34" x14ac:dyDescent="0.25">
      <c r="B816" s="2" t="s">
        <v>1056</v>
      </c>
      <c r="D816" s="2" t="s">
        <v>1</v>
      </c>
      <c r="E816" s="2" t="s">
        <v>134</v>
      </c>
      <c r="F816" s="2" t="s">
        <v>1062</v>
      </c>
      <c r="G816" s="2" t="s">
        <v>1063</v>
      </c>
      <c r="H816" s="2" t="s">
        <v>856</v>
      </c>
      <c r="I816" s="2" t="s">
        <v>42</v>
      </c>
      <c r="J816" s="2">
        <v>1</v>
      </c>
      <c r="K816" s="2" t="s">
        <v>82</v>
      </c>
      <c r="L816" s="2" t="s">
        <v>41</v>
      </c>
      <c r="M816" s="2" t="s">
        <v>135</v>
      </c>
      <c r="N816" s="2" t="s">
        <v>1059</v>
      </c>
      <c r="O816" s="2" t="s">
        <v>857</v>
      </c>
      <c r="P816" s="2" t="s">
        <v>5</v>
      </c>
      <c r="Q816" s="2">
        <f>INDEX(Tables!$C$4:$C$28,MATCH($P816,Tables!$B$4:$B$28,0))</f>
        <v>32</v>
      </c>
      <c r="R816" s="2">
        <f>INDEX(Tables!$D$4:$D$28,MATCH($P816,Tables!$B$4:$B$28,0))</f>
        <v>4</v>
      </c>
      <c r="S816" s="2">
        <f>$S815+$R815+INDEX(Tables!$N$5:$Q$8,MATCH(MOD($S815+$R815,4),Tables!$M$5:$M$8,0),MATCH($R816,Tables!$N$4:$Q$4,0))</f>
        <v>2904</v>
      </c>
      <c r="T816" s="2" t="str">
        <f t="shared" si="189"/>
        <v>0B58</v>
      </c>
      <c r="U816" s="2">
        <f t="shared" si="195"/>
        <v>726</v>
      </c>
      <c r="V816" s="2" t="str">
        <f t="shared" si="190"/>
        <v>2D6</v>
      </c>
      <c r="W816" s="2" t="str">
        <f t="shared" si="191"/>
        <v/>
      </c>
      <c r="X816" s="2" t="str">
        <f t="shared" si="192"/>
        <v/>
      </c>
      <c r="Y816" s="2" t="str">
        <f t="shared" si="193"/>
        <v/>
      </c>
      <c r="Z816" s="2" t="str">
        <f t="shared" si="194"/>
        <v>X</v>
      </c>
      <c r="AA816" s="2" t="str">
        <f t="shared" si="196"/>
        <v/>
      </c>
      <c r="AB816" s="2" t="str">
        <f t="shared" si="197"/>
        <v/>
      </c>
      <c r="AC816" s="2" t="str">
        <f t="shared" si="198"/>
        <v/>
      </c>
      <c r="AD816" s="2" t="str">
        <f t="shared" si="199"/>
        <v>(0)</v>
      </c>
      <c r="AE816" s="2" t="str">
        <f t="shared" si="200"/>
        <v/>
      </c>
      <c r="AF816" s="2" t="str">
        <f t="shared" si="201"/>
        <v/>
      </c>
      <c r="AG816" s="2" t="str">
        <f t="shared" si="202"/>
        <v/>
      </c>
      <c r="AH816" s="2" t="str">
        <f t="shared" si="203"/>
        <v/>
      </c>
    </row>
    <row r="817" spans="2:34" x14ac:dyDescent="0.25">
      <c r="B817" s="2" t="s">
        <v>1056</v>
      </c>
      <c r="D817" s="2" t="s">
        <v>1</v>
      </c>
      <c r="E817" s="2" t="s">
        <v>134</v>
      </c>
      <c r="F817" s="2" t="s">
        <v>1062</v>
      </c>
      <c r="G817" s="2" t="s">
        <v>1063</v>
      </c>
      <c r="H817" s="2" t="s">
        <v>858</v>
      </c>
      <c r="I817" s="2" t="s">
        <v>42</v>
      </c>
      <c r="J817" s="2">
        <v>1</v>
      </c>
      <c r="K817" s="2" t="s">
        <v>82</v>
      </c>
      <c r="L817" s="2" t="s">
        <v>41</v>
      </c>
      <c r="M817" s="2" t="s">
        <v>135</v>
      </c>
      <c r="N817" s="2" t="s">
        <v>1059</v>
      </c>
      <c r="O817" s="2" t="s">
        <v>859</v>
      </c>
      <c r="P817" s="2" t="s">
        <v>5</v>
      </c>
      <c r="Q817" s="2">
        <f>INDEX(Tables!$C$4:$C$28,MATCH($P817,Tables!$B$4:$B$28,0))</f>
        <v>32</v>
      </c>
      <c r="R817" s="2">
        <f>INDEX(Tables!$D$4:$D$28,MATCH($P817,Tables!$B$4:$B$28,0))</f>
        <v>4</v>
      </c>
      <c r="S817" s="2">
        <f>$S816+$R816+INDEX(Tables!$N$5:$Q$8,MATCH(MOD($S816+$R816,4),Tables!$M$5:$M$8,0),MATCH($R817,Tables!$N$4:$Q$4,0))</f>
        <v>2908</v>
      </c>
      <c r="T817" s="2" t="str">
        <f t="shared" si="189"/>
        <v>0B5C</v>
      </c>
      <c r="U817" s="2">
        <f t="shared" si="195"/>
        <v>727</v>
      </c>
      <c r="V817" s="2" t="str">
        <f t="shared" si="190"/>
        <v>2D7</v>
      </c>
      <c r="W817" s="2" t="str">
        <f t="shared" si="191"/>
        <v/>
      </c>
      <c r="X817" s="2" t="str">
        <f t="shared" si="192"/>
        <v/>
      </c>
      <c r="Y817" s="2" t="str">
        <f t="shared" si="193"/>
        <v/>
      </c>
      <c r="Z817" s="2" t="str">
        <f t="shared" si="194"/>
        <v>X</v>
      </c>
      <c r="AA817" s="2" t="str">
        <f t="shared" si="196"/>
        <v/>
      </c>
      <c r="AB817" s="2" t="str">
        <f t="shared" si="197"/>
        <v/>
      </c>
      <c r="AC817" s="2" t="str">
        <f t="shared" si="198"/>
        <v/>
      </c>
      <c r="AD817" s="2" t="str">
        <f t="shared" si="199"/>
        <v>(0)</v>
      </c>
      <c r="AE817" s="2" t="str">
        <f t="shared" si="200"/>
        <v/>
      </c>
      <c r="AF817" s="2" t="str">
        <f t="shared" si="201"/>
        <v/>
      </c>
      <c r="AG817" s="2" t="str">
        <f t="shared" si="202"/>
        <v/>
      </c>
      <c r="AH817" s="2" t="str">
        <f t="shared" si="203"/>
        <v/>
      </c>
    </row>
    <row r="818" spans="2:34" x14ac:dyDescent="0.25">
      <c r="B818" s="2" t="s">
        <v>1056</v>
      </c>
      <c r="D818" s="2" t="s">
        <v>1</v>
      </c>
      <c r="E818" s="2" t="s">
        <v>134</v>
      </c>
      <c r="F818" s="2" t="s">
        <v>1062</v>
      </c>
      <c r="G818" s="2" t="s">
        <v>1063</v>
      </c>
      <c r="H818" s="2" t="s">
        <v>860</v>
      </c>
      <c r="I818" s="2" t="s">
        <v>42</v>
      </c>
      <c r="J818" s="2">
        <v>14</v>
      </c>
      <c r="K818" s="2" t="s">
        <v>137</v>
      </c>
      <c r="L818" s="2" t="s">
        <v>41</v>
      </c>
      <c r="M818" s="2" t="s">
        <v>135</v>
      </c>
      <c r="N818" s="2" t="s">
        <v>1059</v>
      </c>
      <c r="O818" s="2" t="s">
        <v>861</v>
      </c>
      <c r="P818" s="2" t="s">
        <v>50</v>
      </c>
      <c r="Q818" s="2">
        <f>INDEX(Tables!$C$4:$C$28,MATCH($P818,Tables!$B$4:$B$28,0))</f>
        <v>16</v>
      </c>
      <c r="R818" s="2">
        <f>INDEX(Tables!$D$4:$D$28,MATCH($P818,Tables!$B$4:$B$28,0))</f>
        <v>2</v>
      </c>
      <c r="S818" s="2">
        <f>$S817+$R817+INDEX(Tables!$N$5:$Q$8,MATCH(MOD($S817+$R817,4),Tables!$M$5:$M$8,0),MATCH($R818,Tables!$N$4:$Q$4,0))</f>
        <v>2912</v>
      </c>
      <c r="T818" s="2" t="str">
        <f t="shared" si="189"/>
        <v>0B60</v>
      </c>
      <c r="U818" s="2">
        <f t="shared" si="195"/>
        <v>728</v>
      </c>
      <c r="V818" s="2" t="str">
        <f t="shared" si="190"/>
        <v>2D8</v>
      </c>
      <c r="W818" s="2" t="str">
        <f t="shared" si="191"/>
        <v/>
      </c>
      <c r="X818" s="2" t="str">
        <f t="shared" si="192"/>
        <v/>
      </c>
      <c r="Y818" s="2" t="str">
        <f t="shared" si="193"/>
        <v>X</v>
      </c>
      <c r="Z818" s="2" t="str">
        <f t="shared" si="194"/>
        <v>X</v>
      </c>
      <c r="AA818" s="2" t="str">
        <f t="shared" si="196"/>
        <v/>
      </c>
      <c r="AB818" s="2" t="str">
        <f t="shared" si="197"/>
        <v/>
      </c>
      <c r="AC818" s="2" t="str">
        <f t="shared" si="198"/>
        <v>(13 downto 8)</v>
      </c>
      <c r="AD818" s="2" t="str">
        <f t="shared" si="199"/>
        <v>(7 downto 0)</v>
      </c>
      <c r="AE818" s="2" t="str">
        <f t="shared" si="200"/>
        <v/>
      </c>
      <c r="AF818" s="2" t="str">
        <f t="shared" si="201"/>
        <v/>
      </c>
      <c r="AG818" s="2" t="str">
        <f t="shared" si="202"/>
        <v>(13 downto 8)</v>
      </c>
      <c r="AH818" s="2" t="str">
        <f t="shared" si="203"/>
        <v>(7 downto 0)</v>
      </c>
    </row>
    <row r="819" spans="2:34" x14ac:dyDescent="0.25">
      <c r="B819" s="2" t="s">
        <v>1056</v>
      </c>
      <c r="D819" s="2" t="s">
        <v>1</v>
      </c>
      <c r="E819" s="2" t="s">
        <v>134</v>
      </c>
      <c r="F819" s="2" t="s">
        <v>1062</v>
      </c>
      <c r="G819" s="2" t="s">
        <v>1063</v>
      </c>
      <c r="H819" s="2" t="s">
        <v>862</v>
      </c>
      <c r="I819" s="2" t="s">
        <v>42</v>
      </c>
      <c r="J819" s="2">
        <v>14</v>
      </c>
      <c r="K819" s="2" t="s">
        <v>137</v>
      </c>
      <c r="L819" s="2" t="s">
        <v>41</v>
      </c>
      <c r="M819" s="2" t="s">
        <v>135</v>
      </c>
      <c r="N819" s="2" t="s">
        <v>1059</v>
      </c>
      <c r="O819" s="2" t="s">
        <v>863</v>
      </c>
      <c r="P819" s="2" t="s">
        <v>50</v>
      </c>
      <c r="Q819" s="2">
        <f>INDEX(Tables!$C$4:$C$28,MATCH($P819,Tables!$B$4:$B$28,0))</f>
        <v>16</v>
      </c>
      <c r="R819" s="2">
        <f>INDEX(Tables!$D$4:$D$28,MATCH($P819,Tables!$B$4:$B$28,0))</f>
        <v>2</v>
      </c>
      <c r="S819" s="2">
        <f>$S818+$R818+INDEX(Tables!$N$5:$Q$8,MATCH(MOD($S818+$R818,4),Tables!$M$5:$M$8,0),MATCH($R819,Tables!$N$4:$Q$4,0))</f>
        <v>2914</v>
      </c>
      <c r="T819" s="2" t="str">
        <f t="shared" si="189"/>
        <v>0B62</v>
      </c>
      <c r="U819" s="2">
        <f t="shared" si="195"/>
        <v>728</v>
      </c>
      <c r="V819" s="2" t="str">
        <f t="shared" si="190"/>
        <v>2D8</v>
      </c>
      <c r="W819" s="2" t="str">
        <f t="shared" si="191"/>
        <v>X</v>
      </c>
      <c r="X819" s="2" t="str">
        <f t="shared" si="192"/>
        <v>X</v>
      </c>
      <c r="Y819" s="2" t="str">
        <f t="shared" si="193"/>
        <v/>
      </c>
      <c r="Z819" s="2" t="str">
        <f t="shared" si="194"/>
        <v/>
      </c>
      <c r="AA819" s="2" t="str">
        <f t="shared" si="196"/>
        <v>(29 downto 24)</v>
      </c>
      <c r="AB819" s="2" t="str">
        <f t="shared" si="197"/>
        <v>(23 downto 16)</v>
      </c>
      <c r="AC819" s="2" t="str">
        <f t="shared" si="198"/>
        <v/>
      </c>
      <c r="AD819" s="2" t="str">
        <f t="shared" si="199"/>
        <v/>
      </c>
      <c r="AE819" s="2" t="str">
        <f t="shared" si="200"/>
        <v>(13 downto 8)</v>
      </c>
      <c r="AF819" s="2" t="str">
        <f t="shared" si="201"/>
        <v>(7 downto 0)</v>
      </c>
      <c r="AG819" s="2" t="str">
        <f t="shared" si="202"/>
        <v/>
      </c>
      <c r="AH819" s="2" t="str">
        <f t="shared" si="203"/>
        <v/>
      </c>
    </row>
    <row r="820" spans="2:34" x14ac:dyDescent="0.25">
      <c r="B820" s="2" t="s">
        <v>1056</v>
      </c>
      <c r="D820" s="2" t="s">
        <v>1</v>
      </c>
      <c r="E820" s="2" t="s">
        <v>134</v>
      </c>
      <c r="F820" s="2" t="s">
        <v>1062</v>
      </c>
      <c r="G820" s="2" t="s">
        <v>1063</v>
      </c>
      <c r="H820" s="2" t="s">
        <v>864</v>
      </c>
      <c r="I820" s="2" t="s">
        <v>42</v>
      </c>
      <c r="J820" s="2">
        <v>1</v>
      </c>
      <c r="K820" s="2" t="s">
        <v>82</v>
      </c>
      <c r="L820" s="2" t="s">
        <v>41</v>
      </c>
      <c r="M820" s="2" t="s">
        <v>135</v>
      </c>
      <c r="N820" s="2" t="s">
        <v>1059</v>
      </c>
      <c r="O820" s="2" t="s">
        <v>865</v>
      </c>
      <c r="P820" s="2" t="s">
        <v>5</v>
      </c>
      <c r="Q820" s="2">
        <f>INDEX(Tables!$C$4:$C$28,MATCH($P820,Tables!$B$4:$B$28,0))</f>
        <v>32</v>
      </c>
      <c r="R820" s="2">
        <f>INDEX(Tables!$D$4:$D$28,MATCH($P820,Tables!$B$4:$B$28,0))</f>
        <v>4</v>
      </c>
      <c r="S820" s="2">
        <f>$S819+$R819+INDEX(Tables!$N$5:$Q$8,MATCH(MOD($S819+$R819,4),Tables!$M$5:$M$8,0),MATCH($R820,Tables!$N$4:$Q$4,0))</f>
        <v>2916</v>
      </c>
      <c r="T820" s="2" t="str">
        <f t="shared" si="189"/>
        <v>0B64</v>
      </c>
      <c r="U820" s="2">
        <f t="shared" si="195"/>
        <v>729</v>
      </c>
      <c r="V820" s="2" t="str">
        <f t="shared" si="190"/>
        <v>2D9</v>
      </c>
      <c r="W820" s="2" t="str">
        <f t="shared" si="191"/>
        <v/>
      </c>
      <c r="X820" s="2" t="str">
        <f t="shared" si="192"/>
        <v/>
      </c>
      <c r="Y820" s="2" t="str">
        <f t="shared" si="193"/>
        <v/>
      </c>
      <c r="Z820" s="2" t="str">
        <f t="shared" si="194"/>
        <v>X</v>
      </c>
      <c r="AA820" s="2" t="str">
        <f t="shared" si="196"/>
        <v/>
      </c>
      <c r="AB820" s="2" t="str">
        <f t="shared" si="197"/>
        <v/>
      </c>
      <c r="AC820" s="2" t="str">
        <f t="shared" si="198"/>
        <v/>
      </c>
      <c r="AD820" s="2" t="str">
        <f t="shared" si="199"/>
        <v>(0)</v>
      </c>
      <c r="AE820" s="2" t="str">
        <f t="shared" si="200"/>
        <v/>
      </c>
      <c r="AF820" s="2" t="str">
        <f t="shared" si="201"/>
        <v/>
      </c>
      <c r="AG820" s="2" t="str">
        <f t="shared" si="202"/>
        <v/>
      </c>
      <c r="AH820" s="2" t="str">
        <f t="shared" si="203"/>
        <v/>
      </c>
    </row>
    <row r="821" spans="2:34" x14ac:dyDescent="0.25">
      <c r="B821" s="2" t="s">
        <v>1056</v>
      </c>
      <c r="D821" s="2" t="s">
        <v>1</v>
      </c>
      <c r="E821" s="2" t="s">
        <v>134</v>
      </c>
      <c r="F821" s="2" t="s">
        <v>1062</v>
      </c>
      <c r="G821" s="2" t="s">
        <v>1063</v>
      </c>
      <c r="H821" s="2" t="s">
        <v>866</v>
      </c>
      <c r="I821" s="2" t="s">
        <v>42</v>
      </c>
      <c r="J821" s="2">
        <v>14</v>
      </c>
      <c r="K821" s="2" t="s">
        <v>137</v>
      </c>
      <c r="L821" s="2" t="s">
        <v>41</v>
      </c>
      <c r="M821" s="2" t="s">
        <v>135</v>
      </c>
      <c r="N821" s="2" t="s">
        <v>1059</v>
      </c>
      <c r="O821" s="2" t="s">
        <v>867</v>
      </c>
      <c r="P821" s="2" t="s">
        <v>50</v>
      </c>
      <c r="Q821" s="2">
        <f>INDEX(Tables!$C$4:$C$28,MATCH($P821,Tables!$B$4:$B$28,0))</f>
        <v>16</v>
      </c>
      <c r="R821" s="2">
        <f>INDEX(Tables!$D$4:$D$28,MATCH($P821,Tables!$B$4:$B$28,0))</f>
        <v>2</v>
      </c>
      <c r="S821" s="2">
        <f>$S820+$R820+INDEX(Tables!$N$5:$Q$8,MATCH(MOD($S820+$R820,4),Tables!$M$5:$M$8,0),MATCH($R821,Tables!$N$4:$Q$4,0))</f>
        <v>2920</v>
      </c>
      <c r="T821" s="2" t="str">
        <f t="shared" si="189"/>
        <v>0B68</v>
      </c>
      <c r="U821" s="2">
        <f t="shared" si="195"/>
        <v>730</v>
      </c>
      <c r="V821" s="2" t="str">
        <f t="shared" si="190"/>
        <v>2DA</v>
      </c>
      <c r="W821" s="2" t="str">
        <f t="shared" si="191"/>
        <v/>
      </c>
      <c r="X821" s="2" t="str">
        <f t="shared" si="192"/>
        <v/>
      </c>
      <c r="Y821" s="2" t="str">
        <f t="shared" si="193"/>
        <v>X</v>
      </c>
      <c r="Z821" s="2" t="str">
        <f t="shared" si="194"/>
        <v>X</v>
      </c>
      <c r="AA821" s="2" t="str">
        <f t="shared" si="196"/>
        <v/>
      </c>
      <c r="AB821" s="2" t="str">
        <f t="shared" si="197"/>
        <v/>
      </c>
      <c r="AC821" s="2" t="str">
        <f t="shared" si="198"/>
        <v>(13 downto 8)</v>
      </c>
      <c r="AD821" s="2" t="str">
        <f t="shared" si="199"/>
        <v>(7 downto 0)</v>
      </c>
      <c r="AE821" s="2" t="str">
        <f t="shared" si="200"/>
        <v/>
      </c>
      <c r="AF821" s="2" t="str">
        <f t="shared" si="201"/>
        <v/>
      </c>
      <c r="AG821" s="2" t="str">
        <f t="shared" si="202"/>
        <v>(13 downto 8)</v>
      </c>
      <c r="AH821" s="2" t="str">
        <f t="shared" si="203"/>
        <v>(7 downto 0)</v>
      </c>
    </row>
    <row r="822" spans="2:34" x14ac:dyDescent="0.25">
      <c r="B822" s="2" t="s">
        <v>1056</v>
      </c>
      <c r="D822" s="2" t="s">
        <v>1</v>
      </c>
      <c r="E822" s="2" t="s">
        <v>134</v>
      </c>
      <c r="F822" s="2" t="s">
        <v>1062</v>
      </c>
      <c r="G822" s="2" t="s">
        <v>1063</v>
      </c>
      <c r="H822" s="2" t="s">
        <v>868</v>
      </c>
      <c r="I822" s="2" t="s">
        <v>42</v>
      </c>
      <c r="J822" s="2">
        <v>14</v>
      </c>
      <c r="K822" s="2" t="s">
        <v>137</v>
      </c>
      <c r="L822" s="2" t="s">
        <v>41</v>
      </c>
      <c r="M822" s="2" t="s">
        <v>135</v>
      </c>
      <c r="N822" s="2" t="s">
        <v>1059</v>
      </c>
      <c r="O822" s="2" t="s">
        <v>869</v>
      </c>
      <c r="P822" s="2" t="s">
        <v>50</v>
      </c>
      <c r="Q822" s="2">
        <f>INDEX(Tables!$C$4:$C$28,MATCH($P822,Tables!$B$4:$B$28,0))</f>
        <v>16</v>
      </c>
      <c r="R822" s="2">
        <f>INDEX(Tables!$D$4:$D$28,MATCH($P822,Tables!$B$4:$B$28,0))</f>
        <v>2</v>
      </c>
      <c r="S822" s="2">
        <f>$S821+$R821+INDEX(Tables!$N$5:$Q$8,MATCH(MOD($S821+$R821,4),Tables!$M$5:$M$8,0),MATCH($R822,Tables!$N$4:$Q$4,0))</f>
        <v>2922</v>
      </c>
      <c r="T822" s="2" t="str">
        <f t="shared" si="189"/>
        <v>0B6A</v>
      </c>
      <c r="U822" s="2">
        <f t="shared" si="195"/>
        <v>730</v>
      </c>
      <c r="V822" s="2" t="str">
        <f t="shared" si="190"/>
        <v>2DA</v>
      </c>
      <c r="W822" s="2" t="str">
        <f t="shared" si="191"/>
        <v>X</v>
      </c>
      <c r="X822" s="2" t="str">
        <f t="shared" si="192"/>
        <v>X</v>
      </c>
      <c r="Y822" s="2" t="str">
        <f t="shared" si="193"/>
        <v/>
      </c>
      <c r="Z822" s="2" t="str">
        <f t="shared" si="194"/>
        <v/>
      </c>
      <c r="AA822" s="2" t="str">
        <f t="shared" si="196"/>
        <v>(29 downto 24)</v>
      </c>
      <c r="AB822" s="2" t="str">
        <f t="shared" si="197"/>
        <v>(23 downto 16)</v>
      </c>
      <c r="AC822" s="2" t="str">
        <f t="shared" si="198"/>
        <v/>
      </c>
      <c r="AD822" s="2" t="str">
        <f t="shared" si="199"/>
        <v/>
      </c>
      <c r="AE822" s="2" t="str">
        <f t="shared" si="200"/>
        <v>(13 downto 8)</v>
      </c>
      <c r="AF822" s="2" t="str">
        <f t="shared" si="201"/>
        <v>(7 downto 0)</v>
      </c>
      <c r="AG822" s="2" t="str">
        <f t="shared" si="202"/>
        <v/>
      </c>
      <c r="AH822" s="2" t="str">
        <f t="shared" si="203"/>
        <v/>
      </c>
    </row>
    <row r="823" spans="2:34" x14ac:dyDescent="0.25">
      <c r="B823" s="2" t="s">
        <v>1056</v>
      </c>
      <c r="D823" s="2" t="s">
        <v>1</v>
      </c>
      <c r="E823" s="2" t="s">
        <v>134</v>
      </c>
      <c r="F823" s="2" t="s">
        <v>1062</v>
      </c>
      <c r="G823" s="2" t="s">
        <v>1063</v>
      </c>
      <c r="H823" s="2" t="s">
        <v>870</v>
      </c>
      <c r="I823" s="2" t="s">
        <v>42</v>
      </c>
      <c r="J823" s="2">
        <v>14</v>
      </c>
      <c r="K823" s="2" t="s">
        <v>137</v>
      </c>
      <c r="L823" s="2" t="s">
        <v>41</v>
      </c>
      <c r="M823" s="2" t="s">
        <v>135</v>
      </c>
      <c r="N823" s="2" t="s">
        <v>1059</v>
      </c>
      <c r="O823" s="2" t="s">
        <v>871</v>
      </c>
      <c r="P823" s="2" t="s">
        <v>50</v>
      </c>
      <c r="Q823" s="2">
        <f>INDEX(Tables!$C$4:$C$28,MATCH($P823,Tables!$B$4:$B$28,0))</f>
        <v>16</v>
      </c>
      <c r="R823" s="2">
        <f>INDEX(Tables!$D$4:$D$28,MATCH($P823,Tables!$B$4:$B$28,0))</f>
        <v>2</v>
      </c>
      <c r="S823" s="2">
        <f>$S822+$R822+INDEX(Tables!$N$5:$Q$8,MATCH(MOD($S822+$R822,4),Tables!$M$5:$M$8,0),MATCH($R823,Tables!$N$4:$Q$4,0))</f>
        <v>2924</v>
      </c>
      <c r="T823" s="2" t="str">
        <f t="shared" si="189"/>
        <v>0B6C</v>
      </c>
      <c r="U823" s="2">
        <f t="shared" si="195"/>
        <v>731</v>
      </c>
      <c r="V823" s="2" t="str">
        <f t="shared" si="190"/>
        <v>2DB</v>
      </c>
      <c r="W823" s="2" t="str">
        <f t="shared" si="191"/>
        <v/>
      </c>
      <c r="X823" s="2" t="str">
        <f t="shared" si="192"/>
        <v/>
      </c>
      <c r="Y823" s="2" t="str">
        <f t="shared" si="193"/>
        <v>X</v>
      </c>
      <c r="Z823" s="2" t="str">
        <f t="shared" si="194"/>
        <v>X</v>
      </c>
      <c r="AA823" s="2" t="str">
        <f t="shared" si="196"/>
        <v/>
      </c>
      <c r="AB823" s="2" t="str">
        <f t="shared" si="197"/>
        <v/>
      </c>
      <c r="AC823" s="2" t="str">
        <f t="shared" si="198"/>
        <v>(13 downto 8)</v>
      </c>
      <c r="AD823" s="2" t="str">
        <f t="shared" si="199"/>
        <v>(7 downto 0)</v>
      </c>
      <c r="AE823" s="2" t="str">
        <f t="shared" si="200"/>
        <v/>
      </c>
      <c r="AF823" s="2" t="str">
        <f t="shared" si="201"/>
        <v/>
      </c>
      <c r="AG823" s="2" t="str">
        <f t="shared" si="202"/>
        <v>(13 downto 8)</v>
      </c>
      <c r="AH823" s="2" t="str">
        <f t="shared" si="203"/>
        <v>(7 downto 0)</v>
      </c>
    </row>
    <row r="824" spans="2:34" x14ac:dyDescent="0.25">
      <c r="B824" s="2" t="s">
        <v>1064</v>
      </c>
      <c r="D824" s="2" t="s">
        <v>1</v>
      </c>
      <c r="E824" s="2" t="s">
        <v>134</v>
      </c>
      <c r="F824" s="2" t="s">
        <v>1065</v>
      </c>
      <c r="G824" s="2" t="s">
        <v>1066</v>
      </c>
      <c r="H824" s="2" t="s">
        <v>875</v>
      </c>
      <c r="I824" s="2" t="s">
        <v>42</v>
      </c>
      <c r="J824" s="2">
        <v>3</v>
      </c>
      <c r="K824" s="2" t="s">
        <v>137</v>
      </c>
      <c r="L824" s="2" t="s">
        <v>41</v>
      </c>
      <c r="M824" s="2" t="s">
        <v>135</v>
      </c>
      <c r="N824" s="2" t="s">
        <v>1067</v>
      </c>
      <c r="O824" s="2" t="s">
        <v>877</v>
      </c>
      <c r="P824" s="2" t="s">
        <v>48</v>
      </c>
      <c r="Q824" s="2">
        <f>INDEX(Tables!$C$4:$C$28,MATCH($P824,Tables!$B$4:$B$28,0))</f>
        <v>8</v>
      </c>
      <c r="R824" s="2">
        <f>INDEX(Tables!$D$4:$D$28,MATCH($P824,Tables!$B$4:$B$28,0))</f>
        <v>1</v>
      </c>
      <c r="S824" s="2">
        <f>$S823+$R823+INDEX(Tables!$N$5:$Q$8,MATCH(MOD($S823+$R823,4),Tables!$M$5:$M$8,0),MATCH($R824,Tables!$N$4:$Q$4,0))</f>
        <v>2926</v>
      </c>
      <c r="T824" s="2" t="str">
        <f t="shared" si="189"/>
        <v>0B6E</v>
      </c>
      <c r="U824" s="2">
        <f t="shared" si="195"/>
        <v>731</v>
      </c>
      <c r="V824" s="2" t="str">
        <f t="shared" si="190"/>
        <v>2DB</v>
      </c>
      <c r="W824" s="2" t="str">
        <f t="shared" si="191"/>
        <v/>
      </c>
      <c r="X824" s="2" t="str">
        <f t="shared" si="192"/>
        <v>X</v>
      </c>
      <c r="Y824" s="2" t="str">
        <f t="shared" si="193"/>
        <v/>
      </c>
      <c r="Z824" s="2" t="str">
        <f t="shared" si="194"/>
        <v/>
      </c>
      <c r="AA824" s="2" t="str">
        <f t="shared" si="196"/>
        <v/>
      </c>
      <c r="AB824" s="2" t="str">
        <f t="shared" si="197"/>
        <v>(18 downto 16)</v>
      </c>
      <c r="AC824" s="2" t="str">
        <f t="shared" si="198"/>
        <v/>
      </c>
      <c r="AD824" s="2" t="str">
        <f t="shared" si="199"/>
        <v/>
      </c>
      <c r="AE824" s="2" t="str">
        <f t="shared" si="200"/>
        <v/>
      </c>
      <c r="AF824" s="2" t="str">
        <f t="shared" si="201"/>
        <v/>
      </c>
      <c r="AG824" s="2" t="str">
        <f t="shared" si="202"/>
        <v/>
      </c>
      <c r="AH824" s="2" t="str">
        <f t="shared" si="203"/>
        <v/>
      </c>
    </row>
    <row r="825" spans="2:34" x14ac:dyDescent="0.25">
      <c r="B825" s="2" t="s">
        <v>1064</v>
      </c>
      <c r="D825" s="2" t="s">
        <v>1</v>
      </c>
      <c r="E825" s="2" t="s">
        <v>134</v>
      </c>
      <c r="F825" s="2" t="s">
        <v>1065</v>
      </c>
      <c r="G825" s="2" t="s">
        <v>1066</v>
      </c>
      <c r="H825" s="2" t="s">
        <v>878</v>
      </c>
      <c r="I825" s="2" t="s">
        <v>42</v>
      </c>
      <c r="J825" s="2">
        <v>1</v>
      </c>
      <c r="K825" s="2" t="s">
        <v>82</v>
      </c>
      <c r="L825" s="2" t="s">
        <v>41</v>
      </c>
      <c r="M825" s="2" t="s">
        <v>135</v>
      </c>
      <c r="N825" s="2" t="s">
        <v>1067</v>
      </c>
      <c r="O825" s="2" t="s">
        <v>879</v>
      </c>
      <c r="P825" s="2" t="s">
        <v>5</v>
      </c>
      <c r="Q825" s="2">
        <f>INDEX(Tables!$C$4:$C$28,MATCH($P825,Tables!$B$4:$B$28,0))</f>
        <v>32</v>
      </c>
      <c r="R825" s="2">
        <f>INDEX(Tables!$D$4:$D$28,MATCH($P825,Tables!$B$4:$B$28,0))</f>
        <v>4</v>
      </c>
      <c r="S825" s="2">
        <f>$S824+$R824+INDEX(Tables!$N$5:$Q$8,MATCH(MOD($S824+$R824,4),Tables!$M$5:$M$8,0),MATCH($R825,Tables!$N$4:$Q$4,0))</f>
        <v>2928</v>
      </c>
      <c r="T825" s="2" t="str">
        <f t="shared" si="189"/>
        <v>0B70</v>
      </c>
      <c r="U825" s="2">
        <f t="shared" si="195"/>
        <v>732</v>
      </c>
      <c r="V825" s="2" t="str">
        <f t="shared" si="190"/>
        <v>2DC</v>
      </c>
      <c r="W825" s="2" t="str">
        <f t="shared" si="191"/>
        <v/>
      </c>
      <c r="X825" s="2" t="str">
        <f t="shared" si="192"/>
        <v/>
      </c>
      <c r="Y825" s="2" t="str">
        <f t="shared" si="193"/>
        <v/>
      </c>
      <c r="Z825" s="2" t="str">
        <f t="shared" si="194"/>
        <v>X</v>
      </c>
      <c r="AA825" s="2" t="str">
        <f t="shared" si="196"/>
        <v/>
      </c>
      <c r="AB825" s="2" t="str">
        <f t="shared" si="197"/>
        <v/>
      </c>
      <c r="AC825" s="2" t="str">
        <f t="shared" si="198"/>
        <v/>
      </c>
      <c r="AD825" s="2" t="str">
        <f t="shared" si="199"/>
        <v>(0)</v>
      </c>
      <c r="AE825" s="2" t="str">
        <f t="shared" si="200"/>
        <v/>
      </c>
      <c r="AF825" s="2" t="str">
        <f t="shared" si="201"/>
        <v/>
      </c>
      <c r="AG825" s="2" t="str">
        <f t="shared" si="202"/>
        <v/>
      </c>
      <c r="AH825" s="2" t="str">
        <f t="shared" si="203"/>
        <v/>
      </c>
    </row>
    <row r="826" spans="2:34" x14ac:dyDescent="0.25">
      <c r="B826" s="2" t="s">
        <v>1064</v>
      </c>
      <c r="D826" s="2" t="s">
        <v>1</v>
      </c>
      <c r="E826" s="2" t="s">
        <v>134</v>
      </c>
      <c r="F826" s="2" t="s">
        <v>1065</v>
      </c>
      <c r="G826" s="2" t="s">
        <v>1066</v>
      </c>
      <c r="H826" s="2" t="s">
        <v>880</v>
      </c>
      <c r="I826" s="2" t="s">
        <v>42</v>
      </c>
      <c r="J826" s="2">
        <v>1</v>
      </c>
      <c r="K826" s="2" t="s">
        <v>82</v>
      </c>
      <c r="L826" s="2" t="s">
        <v>41</v>
      </c>
      <c r="M826" s="2" t="s">
        <v>135</v>
      </c>
      <c r="N826" s="2" t="s">
        <v>1067</v>
      </c>
      <c r="O826" s="2" t="s">
        <v>881</v>
      </c>
      <c r="P826" s="2" t="s">
        <v>5</v>
      </c>
      <c r="Q826" s="2">
        <f>INDEX(Tables!$C$4:$C$28,MATCH($P826,Tables!$B$4:$B$28,0))</f>
        <v>32</v>
      </c>
      <c r="R826" s="2">
        <f>INDEX(Tables!$D$4:$D$28,MATCH($P826,Tables!$B$4:$B$28,0))</f>
        <v>4</v>
      </c>
      <c r="S826" s="2">
        <f>$S825+$R825+INDEX(Tables!$N$5:$Q$8,MATCH(MOD($S825+$R825,4),Tables!$M$5:$M$8,0),MATCH($R826,Tables!$N$4:$Q$4,0))</f>
        <v>2932</v>
      </c>
      <c r="T826" s="2" t="str">
        <f t="shared" si="189"/>
        <v>0B74</v>
      </c>
      <c r="U826" s="2">
        <f t="shared" si="195"/>
        <v>733</v>
      </c>
      <c r="V826" s="2" t="str">
        <f t="shared" si="190"/>
        <v>2DD</v>
      </c>
      <c r="W826" s="2" t="str">
        <f t="shared" si="191"/>
        <v/>
      </c>
      <c r="X826" s="2" t="str">
        <f t="shared" si="192"/>
        <v/>
      </c>
      <c r="Y826" s="2" t="str">
        <f t="shared" si="193"/>
        <v/>
      </c>
      <c r="Z826" s="2" t="str">
        <f t="shared" si="194"/>
        <v>X</v>
      </c>
      <c r="AA826" s="2" t="str">
        <f t="shared" si="196"/>
        <v/>
      </c>
      <c r="AB826" s="2" t="str">
        <f t="shared" si="197"/>
        <v/>
      </c>
      <c r="AC826" s="2" t="str">
        <f t="shared" si="198"/>
        <v/>
      </c>
      <c r="AD826" s="2" t="str">
        <f t="shared" si="199"/>
        <v>(0)</v>
      </c>
      <c r="AE826" s="2" t="str">
        <f t="shared" si="200"/>
        <v/>
      </c>
      <c r="AF826" s="2" t="str">
        <f t="shared" si="201"/>
        <v/>
      </c>
      <c r="AG826" s="2" t="str">
        <f t="shared" si="202"/>
        <v/>
      </c>
      <c r="AH826" s="2" t="str">
        <f t="shared" si="203"/>
        <v/>
      </c>
    </row>
    <row r="827" spans="2:34" x14ac:dyDescent="0.25">
      <c r="B827" s="2" t="s">
        <v>1064</v>
      </c>
      <c r="D827" s="2" t="s">
        <v>1</v>
      </c>
      <c r="E827" s="2" t="s">
        <v>134</v>
      </c>
      <c r="F827" s="2" t="s">
        <v>1065</v>
      </c>
      <c r="G827" s="2" t="s">
        <v>1066</v>
      </c>
      <c r="H827" s="2" t="s">
        <v>882</v>
      </c>
      <c r="I827" s="2" t="s">
        <v>42</v>
      </c>
      <c r="J827" s="2">
        <v>1</v>
      </c>
      <c r="K827" s="2" t="s">
        <v>82</v>
      </c>
      <c r="L827" s="2" t="s">
        <v>41</v>
      </c>
      <c r="M827" s="2" t="s">
        <v>135</v>
      </c>
      <c r="N827" s="2" t="s">
        <v>1067</v>
      </c>
      <c r="O827" s="2" t="s">
        <v>883</v>
      </c>
      <c r="P827" s="2" t="s">
        <v>5</v>
      </c>
      <c r="Q827" s="2">
        <f>INDEX(Tables!$C$4:$C$28,MATCH($P827,Tables!$B$4:$B$28,0))</f>
        <v>32</v>
      </c>
      <c r="R827" s="2">
        <f>INDEX(Tables!$D$4:$D$28,MATCH($P827,Tables!$B$4:$B$28,0))</f>
        <v>4</v>
      </c>
      <c r="S827" s="2">
        <f>$S826+$R826+INDEX(Tables!$N$5:$Q$8,MATCH(MOD($S826+$R826,4),Tables!$M$5:$M$8,0),MATCH($R827,Tables!$N$4:$Q$4,0))</f>
        <v>2936</v>
      </c>
      <c r="T827" s="2" t="str">
        <f t="shared" si="189"/>
        <v>0B78</v>
      </c>
      <c r="U827" s="2">
        <f t="shared" si="195"/>
        <v>734</v>
      </c>
      <c r="V827" s="2" t="str">
        <f t="shared" si="190"/>
        <v>2DE</v>
      </c>
      <c r="W827" s="2" t="str">
        <f t="shared" si="191"/>
        <v/>
      </c>
      <c r="X827" s="2" t="str">
        <f t="shared" si="192"/>
        <v/>
      </c>
      <c r="Y827" s="2" t="str">
        <f t="shared" si="193"/>
        <v/>
      </c>
      <c r="Z827" s="2" t="str">
        <f t="shared" si="194"/>
        <v>X</v>
      </c>
      <c r="AA827" s="2" t="str">
        <f t="shared" si="196"/>
        <v/>
      </c>
      <c r="AB827" s="2" t="str">
        <f t="shared" si="197"/>
        <v/>
      </c>
      <c r="AC827" s="2" t="str">
        <f t="shared" si="198"/>
        <v/>
      </c>
      <c r="AD827" s="2" t="str">
        <f t="shared" si="199"/>
        <v>(0)</v>
      </c>
      <c r="AE827" s="2" t="str">
        <f t="shared" si="200"/>
        <v/>
      </c>
      <c r="AF827" s="2" t="str">
        <f t="shared" si="201"/>
        <v/>
      </c>
      <c r="AG827" s="2" t="str">
        <f t="shared" si="202"/>
        <v/>
      </c>
      <c r="AH827" s="2" t="str">
        <f t="shared" si="203"/>
        <v/>
      </c>
    </row>
    <row r="828" spans="2:34" x14ac:dyDescent="0.25">
      <c r="B828" s="2" t="s">
        <v>1064</v>
      </c>
      <c r="D828" s="2" t="s">
        <v>1</v>
      </c>
      <c r="E828" s="2" t="s">
        <v>134</v>
      </c>
      <c r="F828" s="2" t="s">
        <v>1065</v>
      </c>
      <c r="G828" s="2" t="s">
        <v>1066</v>
      </c>
      <c r="H828" s="2" t="s">
        <v>884</v>
      </c>
      <c r="I828" s="2" t="s">
        <v>42</v>
      </c>
      <c r="J828" s="2">
        <v>1</v>
      </c>
      <c r="K828" s="2" t="s">
        <v>82</v>
      </c>
      <c r="L828" s="2" t="s">
        <v>41</v>
      </c>
      <c r="M828" s="2" t="s">
        <v>135</v>
      </c>
      <c r="N828" s="2" t="s">
        <v>1067</v>
      </c>
      <c r="O828" s="2" t="s">
        <v>885</v>
      </c>
      <c r="P828" s="2" t="s">
        <v>5</v>
      </c>
      <c r="Q828" s="2">
        <f>INDEX(Tables!$C$4:$C$28,MATCH($P828,Tables!$B$4:$B$28,0))</f>
        <v>32</v>
      </c>
      <c r="R828" s="2">
        <f>INDEX(Tables!$D$4:$D$28,MATCH($P828,Tables!$B$4:$B$28,0))</f>
        <v>4</v>
      </c>
      <c r="S828" s="2">
        <f>$S827+$R827+INDEX(Tables!$N$5:$Q$8,MATCH(MOD($S827+$R827,4),Tables!$M$5:$M$8,0),MATCH($R828,Tables!$N$4:$Q$4,0))</f>
        <v>2940</v>
      </c>
      <c r="T828" s="2" t="str">
        <f t="shared" si="189"/>
        <v>0B7C</v>
      </c>
      <c r="U828" s="2">
        <f t="shared" si="195"/>
        <v>735</v>
      </c>
      <c r="V828" s="2" t="str">
        <f t="shared" si="190"/>
        <v>2DF</v>
      </c>
      <c r="W828" s="2" t="str">
        <f t="shared" si="191"/>
        <v/>
      </c>
      <c r="X828" s="2" t="str">
        <f t="shared" si="192"/>
        <v/>
      </c>
      <c r="Y828" s="2" t="str">
        <f t="shared" si="193"/>
        <v/>
      </c>
      <c r="Z828" s="2" t="str">
        <f t="shared" si="194"/>
        <v>X</v>
      </c>
      <c r="AA828" s="2" t="str">
        <f t="shared" si="196"/>
        <v/>
      </c>
      <c r="AB828" s="2" t="str">
        <f t="shared" si="197"/>
        <v/>
      </c>
      <c r="AC828" s="2" t="str">
        <f t="shared" si="198"/>
        <v/>
      </c>
      <c r="AD828" s="2" t="str">
        <f t="shared" si="199"/>
        <v>(0)</v>
      </c>
      <c r="AE828" s="2" t="str">
        <f t="shared" si="200"/>
        <v/>
      </c>
      <c r="AF828" s="2" t="str">
        <f t="shared" si="201"/>
        <v/>
      </c>
      <c r="AG828" s="2" t="str">
        <f t="shared" si="202"/>
        <v/>
      </c>
      <c r="AH828" s="2" t="str">
        <f t="shared" si="203"/>
        <v/>
      </c>
    </row>
    <row r="829" spans="2:34" x14ac:dyDescent="0.25">
      <c r="B829" s="2" t="s">
        <v>1064</v>
      </c>
      <c r="D829" s="2" t="s">
        <v>1</v>
      </c>
      <c r="E829" s="2" t="s">
        <v>134</v>
      </c>
      <c r="F829" s="2" t="s">
        <v>1065</v>
      </c>
      <c r="G829" s="2" t="s">
        <v>1066</v>
      </c>
      <c r="H829" s="2" t="s">
        <v>886</v>
      </c>
      <c r="I829" s="2" t="s">
        <v>42</v>
      </c>
      <c r="J829" s="2">
        <v>1</v>
      </c>
      <c r="K829" s="2" t="s">
        <v>82</v>
      </c>
      <c r="L829" s="2" t="s">
        <v>41</v>
      </c>
      <c r="M829" s="2" t="s">
        <v>135</v>
      </c>
      <c r="N829" s="2" t="s">
        <v>1067</v>
      </c>
      <c r="O829" s="2" t="s">
        <v>887</v>
      </c>
      <c r="P829" s="2" t="s">
        <v>5</v>
      </c>
      <c r="Q829" s="2">
        <f>INDEX(Tables!$C$4:$C$28,MATCH($P829,Tables!$B$4:$B$28,0))</f>
        <v>32</v>
      </c>
      <c r="R829" s="2">
        <f>INDEX(Tables!$D$4:$D$28,MATCH($P829,Tables!$B$4:$B$28,0))</f>
        <v>4</v>
      </c>
      <c r="S829" s="2">
        <f>$S828+$R828+INDEX(Tables!$N$5:$Q$8,MATCH(MOD($S828+$R828,4),Tables!$M$5:$M$8,0),MATCH($R829,Tables!$N$4:$Q$4,0))</f>
        <v>2944</v>
      </c>
      <c r="T829" s="2" t="str">
        <f t="shared" si="189"/>
        <v>0B80</v>
      </c>
      <c r="U829" s="2">
        <f t="shared" si="195"/>
        <v>736</v>
      </c>
      <c r="V829" s="2" t="str">
        <f t="shared" si="190"/>
        <v>2E0</v>
      </c>
      <c r="W829" s="2" t="str">
        <f t="shared" si="191"/>
        <v/>
      </c>
      <c r="X829" s="2" t="str">
        <f t="shared" si="192"/>
        <v/>
      </c>
      <c r="Y829" s="2" t="str">
        <f t="shared" si="193"/>
        <v/>
      </c>
      <c r="Z829" s="2" t="str">
        <f t="shared" si="194"/>
        <v>X</v>
      </c>
      <c r="AA829" s="2" t="str">
        <f t="shared" si="196"/>
        <v/>
      </c>
      <c r="AB829" s="2" t="str">
        <f t="shared" si="197"/>
        <v/>
      </c>
      <c r="AC829" s="2" t="str">
        <f t="shared" si="198"/>
        <v/>
      </c>
      <c r="AD829" s="2" t="str">
        <f t="shared" si="199"/>
        <v>(0)</v>
      </c>
      <c r="AE829" s="2" t="str">
        <f t="shared" si="200"/>
        <v/>
      </c>
      <c r="AF829" s="2" t="str">
        <f t="shared" si="201"/>
        <v/>
      </c>
      <c r="AG829" s="2" t="str">
        <f t="shared" si="202"/>
        <v/>
      </c>
      <c r="AH829" s="2" t="str">
        <f t="shared" si="203"/>
        <v/>
      </c>
    </row>
    <row r="830" spans="2:34" x14ac:dyDescent="0.25">
      <c r="B830" s="2" t="s">
        <v>1064</v>
      </c>
      <c r="D830" s="2" t="s">
        <v>1</v>
      </c>
      <c r="E830" s="2" t="s">
        <v>134</v>
      </c>
      <c r="F830" s="2" t="s">
        <v>1065</v>
      </c>
      <c r="G830" s="2" t="s">
        <v>1066</v>
      </c>
      <c r="H830" s="2" t="s">
        <v>888</v>
      </c>
      <c r="I830" s="2" t="s">
        <v>42</v>
      </c>
      <c r="J830" s="2">
        <v>1</v>
      </c>
      <c r="K830" s="2" t="s">
        <v>82</v>
      </c>
      <c r="L830" s="2" t="s">
        <v>41</v>
      </c>
      <c r="M830" s="2" t="s">
        <v>135</v>
      </c>
      <c r="N830" s="2" t="s">
        <v>1067</v>
      </c>
      <c r="O830" s="2" t="s">
        <v>889</v>
      </c>
      <c r="P830" s="2" t="s">
        <v>5</v>
      </c>
      <c r="Q830" s="2">
        <f>INDEX(Tables!$C$4:$C$28,MATCH($P830,Tables!$B$4:$B$28,0))</f>
        <v>32</v>
      </c>
      <c r="R830" s="2">
        <f>INDEX(Tables!$D$4:$D$28,MATCH($P830,Tables!$B$4:$B$28,0))</f>
        <v>4</v>
      </c>
      <c r="S830" s="2">
        <f>$S829+$R829+INDEX(Tables!$N$5:$Q$8,MATCH(MOD($S829+$R829,4),Tables!$M$5:$M$8,0),MATCH($R830,Tables!$N$4:$Q$4,0))</f>
        <v>2948</v>
      </c>
      <c r="T830" s="2" t="str">
        <f t="shared" si="189"/>
        <v>0B84</v>
      </c>
      <c r="U830" s="2">
        <f t="shared" si="195"/>
        <v>737</v>
      </c>
      <c r="V830" s="2" t="str">
        <f t="shared" si="190"/>
        <v>2E1</v>
      </c>
      <c r="W830" s="2" t="str">
        <f t="shared" si="191"/>
        <v/>
      </c>
      <c r="X830" s="2" t="str">
        <f t="shared" si="192"/>
        <v/>
      </c>
      <c r="Y830" s="2" t="str">
        <f t="shared" si="193"/>
        <v/>
      </c>
      <c r="Z830" s="2" t="str">
        <f t="shared" si="194"/>
        <v>X</v>
      </c>
      <c r="AA830" s="2" t="str">
        <f t="shared" si="196"/>
        <v/>
      </c>
      <c r="AB830" s="2" t="str">
        <f t="shared" si="197"/>
        <v/>
      </c>
      <c r="AC830" s="2" t="str">
        <f t="shared" si="198"/>
        <v/>
      </c>
      <c r="AD830" s="2" t="str">
        <f t="shared" si="199"/>
        <v>(0)</v>
      </c>
      <c r="AE830" s="2" t="str">
        <f t="shared" si="200"/>
        <v/>
      </c>
      <c r="AF830" s="2" t="str">
        <f t="shared" si="201"/>
        <v/>
      </c>
      <c r="AG830" s="2" t="str">
        <f t="shared" si="202"/>
        <v/>
      </c>
      <c r="AH830" s="2" t="str">
        <f t="shared" si="203"/>
        <v/>
      </c>
    </row>
    <row r="831" spans="2:34" x14ac:dyDescent="0.25">
      <c r="B831" s="2" t="s">
        <v>1064</v>
      </c>
      <c r="D831" s="2" t="s">
        <v>1</v>
      </c>
      <c r="E831" s="2" t="s">
        <v>134</v>
      </c>
      <c r="F831" s="2" t="s">
        <v>1065</v>
      </c>
      <c r="G831" s="2" t="s">
        <v>1066</v>
      </c>
      <c r="H831" s="2" t="s">
        <v>890</v>
      </c>
      <c r="I831" s="2" t="s">
        <v>42</v>
      </c>
      <c r="J831" s="2">
        <v>1</v>
      </c>
      <c r="K831" s="2" t="s">
        <v>82</v>
      </c>
      <c r="L831" s="2" t="s">
        <v>41</v>
      </c>
      <c r="M831" s="2" t="s">
        <v>135</v>
      </c>
      <c r="N831" s="2" t="s">
        <v>1067</v>
      </c>
      <c r="O831" s="2" t="s">
        <v>891</v>
      </c>
      <c r="P831" s="2" t="s">
        <v>5</v>
      </c>
      <c r="Q831" s="2">
        <f>INDEX(Tables!$C$4:$C$28,MATCH($P831,Tables!$B$4:$B$28,0))</f>
        <v>32</v>
      </c>
      <c r="R831" s="2">
        <f>INDEX(Tables!$D$4:$D$28,MATCH($P831,Tables!$B$4:$B$28,0))</f>
        <v>4</v>
      </c>
      <c r="S831" s="2">
        <f>$S830+$R830+INDEX(Tables!$N$5:$Q$8,MATCH(MOD($S830+$R830,4),Tables!$M$5:$M$8,0),MATCH($R831,Tables!$N$4:$Q$4,0))</f>
        <v>2952</v>
      </c>
      <c r="T831" s="2" t="str">
        <f t="shared" si="189"/>
        <v>0B88</v>
      </c>
      <c r="U831" s="2">
        <f t="shared" si="195"/>
        <v>738</v>
      </c>
      <c r="V831" s="2" t="str">
        <f t="shared" si="190"/>
        <v>2E2</v>
      </c>
      <c r="W831" s="2" t="str">
        <f t="shared" si="191"/>
        <v/>
      </c>
      <c r="X831" s="2" t="str">
        <f t="shared" si="192"/>
        <v/>
      </c>
      <c r="Y831" s="2" t="str">
        <f t="shared" si="193"/>
        <v/>
      </c>
      <c r="Z831" s="2" t="str">
        <f t="shared" si="194"/>
        <v>X</v>
      </c>
      <c r="AA831" s="2" t="str">
        <f t="shared" si="196"/>
        <v/>
      </c>
      <c r="AB831" s="2" t="str">
        <f t="shared" si="197"/>
        <v/>
      </c>
      <c r="AC831" s="2" t="str">
        <f t="shared" si="198"/>
        <v/>
      </c>
      <c r="AD831" s="2" t="str">
        <f t="shared" si="199"/>
        <v>(0)</v>
      </c>
      <c r="AE831" s="2" t="str">
        <f t="shared" si="200"/>
        <v/>
      </c>
      <c r="AF831" s="2" t="str">
        <f t="shared" si="201"/>
        <v/>
      </c>
      <c r="AG831" s="2" t="str">
        <f t="shared" si="202"/>
        <v/>
      </c>
      <c r="AH831" s="2" t="str">
        <f t="shared" si="203"/>
        <v/>
      </c>
    </row>
    <row r="832" spans="2:34" x14ac:dyDescent="0.25">
      <c r="B832" s="2" t="s">
        <v>1064</v>
      </c>
      <c r="D832" s="2" t="s">
        <v>1</v>
      </c>
      <c r="E832" s="2" t="s">
        <v>134</v>
      </c>
      <c r="F832" s="2" t="s">
        <v>1065</v>
      </c>
      <c r="G832" s="2" t="s">
        <v>1066</v>
      </c>
      <c r="H832" s="2" t="s">
        <v>892</v>
      </c>
      <c r="I832" s="2" t="s">
        <v>42</v>
      </c>
      <c r="J832" s="2">
        <v>1</v>
      </c>
      <c r="K832" s="2" t="s">
        <v>82</v>
      </c>
      <c r="L832" s="2" t="s">
        <v>41</v>
      </c>
      <c r="M832" s="2" t="s">
        <v>135</v>
      </c>
      <c r="N832" s="2" t="s">
        <v>1067</v>
      </c>
      <c r="O832" s="2" t="s">
        <v>893</v>
      </c>
      <c r="P832" s="2" t="s">
        <v>5</v>
      </c>
      <c r="Q832" s="2">
        <f>INDEX(Tables!$C$4:$C$28,MATCH($P832,Tables!$B$4:$B$28,0))</f>
        <v>32</v>
      </c>
      <c r="R832" s="2">
        <f>INDEX(Tables!$D$4:$D$28,MATCH($P832,Tables!$B$4:$B$28,0))</f>
        <v>4</v>
      </c>
      <c r="S832" s="2">
        <f>$S831+$R831+INDEX(Tables!$N$5:$Q$8,MATCH(MOD($S831+$R831,4),Tables!$M$5:$M$8,0),MATCH($R832,Tables!$N$4:$Q$4,0))</f>
        <v>2956</v>
      </c>
      <c r="T832" s="2" t="str">
        <f t="shared" si="189"/>
        <v>0B8C</v>
      </c>
      <c r="U832" s="2">
        <f t="shared" si="195"/>
        <v>739</v>
      </c>
      <c r="V832" s="2" t="str">
        <f t="shared" si="190"/>
        <v>2E3</v>
      </c>
      <c r="W832" s="2" t="str">
        <f t="shared" si="191"/>
        <v/>
      </c>
      <c r="X832" s="2" t="str">
        <f t="shared" si="192"/>
        <v/>
      </c>
      <c r="Y832" s="2" t="str">
        <f t="shared" si="193"/>
        <v/>
      </c>
      <c r="Z832" s="2" t="str">
        <f t="shared" si="194"/>
        <v>X</v>
      </c>
      <c r="AA832" s="2" t="str">
        <f t="shared" si="196"/>
        <v/>
      </c>
      <c r="AB832" s="2" t="str">
        <f t="shared" si="197"/>
        <v/>
      </c>
      <c r="AC832" s="2" t="str">
        <f t="shared" si="198"/>
        <v/>
      </c>
      <c r="AD832" s="2" t="str">
        <f t="shared" si="199"/>
        <v>(0)</v>
      </c>
      <c r="AE832" s="2" t="str">
        <f t="shared" si="200"/>
        <v/>
      </c>
      <c r="AF832" s="2" t="str">
        <f t="shared" si="201"/>
        <v/>
      </c>
      <c r="AG832" s="2" t="str">
        <f t="shared" si="202"/>
        <v/>
      </c>
      <c r="AH832" s="2" t="str">
        <f t="shared" si="203"/>
        <v/>
      </c>
    </row>
    <row r="833" spans="2:34" x14ac:dyDescent="0.25">
      <c r="B833" s="2" t="s">
        <v>1064</v>
      </c>
      <c r="D833" s="2" t="s">
        <v>1</v>
      </c>
      <c r="E833" s="2" t="s">
        <v>134</v>
      </c>
      <c r="F833" s="2" t="s">
        <v>1065</v>
      </c>
      <c r="G833" s="2" t="s">
        <v>1066</v>
      </c>
      <c r="H833" s="2" t="s">
        <v>894</v>
      </c>
      <c r="I833" s="2" t="s">
        <v>42</v>
      </c>
      <c r="J833" s="2">
        <v>1</v>
      </c>
      <c r="K833" s="2" t="s">
        <v>82</v>
      </c>
      <c r="L833" s="2" t="s">
        <v>41</v>
      </c>
      <c r="M833" s="2" t="s">
        <v>135</v>
      </c>
      <c r="N833" s="2" t="s">
        <v>1067</v>
      </c>
      <c r="O833" s="2" t="s">
        <v>895</v>
      </c>
      <c r="P833" s="2" t="s">
        <v>5</v>
      </c>
      <c r="Q833" s="2">
        <f>INDEX(Tables!$C$4:$C$28,MATCH($P833,Tables!$B$4:$B$28,0))</f>
        <v>32</v>
      </c>
      <c r="R833" s="2">
        <f>INDEX(Tables!$D$4:$D$28,MATCH($P833,Tables!$B$4:$B$28,0))</f>
        <v>4</v>
      </c>
      <c r="S833" s="2">
        <f>$S832+$R832+INDEX(Tables!$N$5:$Q$8,MATCH(MOD($S832+$R832,4),Tables!$M$5:$M$8,0),MATCH($R833,Tables!$N$4:$Q$4,0))</f>
        <v>2960</v>
      </c>
      <c r="T833" s="2" t="str">
        <f t="shared" si="189"/>
        <v>0B90</v>
      </c>
      <c r="U833" s="2">
        <f t="shared" si="195"/>
        <v>740</v>
      </c>
      <c r="V833" s="2" t="str">
        <f t="shared" si="190"/>
        <v>2E4</v>
      </c>
      <c r="W833" s="2" t="str">
        <f t="shared" si="191"/>
        <v/>
      </c>
      <c r="X833" s="2" t="str">
        <f t="shared" si="192"/>
        <v/>
      </c>
      <c r="Y833" s="2" t="str">
        <f t="shared" si="193"/>
        <v/>
      </c>
      <c r="Z833" s="2" t="str">
        <f t="shared" si="194"/>
        <v>X</v>
      </c>
      <c r="AA833" s="2" t="str">
        <f t="shared" si="196"/>
        <v/>
      </c>
      <c r="AB833" s="2" t="str">
        <f t="shared" si="197"/>
        <v/>
      </c>
      <c r="AC833" s="2" t="str">
        <f t="shared" si="198"/>
        <v/>
      </c>
      <c r="AD833" s="2" t="str">
        <f t="shared" si="199"/>
        <v>(0)</v>
      </c>
      <c r="AE833" s="2" t="str">
        <f t="shared" si="200"/>
        <v/>
      </c>
      <c r="AF833" s="2" t="str">
        <f t="shared" si="201"/>
        <v/>
      </c>
      <c r="AG833" s="2" t="str">
        <f t="shared" si="202"/>
        <v/>
      </c>
      <c r="AH833" s="2" t="str">
        <f t="shared" si="203"/>
        <v/>
      </c>
    </row>
    <row r="834" spans="2:34" x14ac:dyDescent="0.25">
      <c r="B834" s="2" t="s">
        <v>1064</v>
      </c>
      <c r="D834" s="2" t="s">
        <v>1</v>
      </c>
      <c r="E834" s="2" t="s">
        <v>134</v>
      </c>
      <c r="F834" s="2" t="s">
        <v>1065</v>
      </c>
      <c r="G834" s="2" t="s">
        <v>1066</v>
      </c>
      <c r="H834" s="2" t="s">
        <v>896</v>
      </c>
      <c r="I834" s="2" t="s">
        <v>42</v>
      </c>
      <c r="J834" s="2">
        <v>1</v>
      </c>
      <c r="K834" s="2" t="s">
        <v>82</v>
      </c>
      <c r="L834" s="2" t="s">
        <v>41</v>
      </c>
      <c r="M834" s="2" t="s">
        <v>135</v>
      </c>
      <c r="N834" s="2" t="s">
        <v>1067</v>
      </c>
      <c r="O834" s="2" t="s">
        <v>897</v>
      </c>
      <c r="P834" s="2" t="s">
        <v>5</v>
      </c>
      <c r="Q834" s="2">
        <f>INDEX(Tables!$C$4:$C$28,MATCH($P834,Tables!$B$4:$B$28,0))</f>
        <v>32</v>
      </c>
      <c r="R834" s="2">
        <f>INDEX(Tables!$D$4:$D$28,MATCH($P834,Tables!$B$4:$B$28,0))</f>
        <v>4</v>
      </c>
      <c r="S834" s="2">
        <f>$S833+$R833+INDEX(Tables!$N$5:$Q$8,MATCH(MOD($S833+$R833,4),Tables!$M$5:$M$8,0),MATCH($R834,Tables!$N$4:$Q$4,0))</f>
        <v>2964</v>
      </c>
      <c r="T834" s="2" t="str">
        <f t="shared" si="189"/>
        <v>0B94</v>
      </c>
      <c r="U834" s="2">
        <f t="shared" si="195"/>
        <v>741</v>
      </c>
      <c r="V834" s="2" t="str">
        <f t="shared" si="190"/>
        <v>2E5</v>
      </c>
      <c r="W834" s="2" t="str">
        <f t="shared" si="191"/>
        <v/>
      </c>
      <c r="X834" s="2" t="str">
        <f t="shared" si="192"/>
        <v/>
      </c>
      <c r="Y834" s="2" t="str">
        <f t="shared" si="193"/>
        <v/>
      </c>
      <c r="Z834" s="2" t="str">
        <f t="shared" si="194"/>
        <v>X</v>
      </c>
      <c r="AA834" s="2" t="str">
        <f t="shared" si="196"/>
        <v/>
      </c>
      <c r="AB834" s="2" t="str">
        <f t="shared" si="197"/>
        <v/>
      </c>
      <c r="AC834" s="2" t="str">
        <f t="shared" si="198"/>
        <v/>
      </c>
      <c r="AD834" s="2" t="str">
        <f t="shared" si="199"/>
        <v>(0)</v>
      </c>
      <c r="AE834" s="2" t="str">
        <f t="shared" si="200"/>
        <v/>
      </c>
      <c r="AF834" s="2" t="str">
        <f t="shared" si="201"/>
        <v/>
      </c>
      <c r="AG834" s="2" t="str">
        <f t="shared" si="202"/>
        <v/>
      </c>
      <c r="AH834" s="2" t="str">
        <f t="shared" si="203"/>
        <v/>
      </c>
    </row>
    <row r="835" spans="2:34" x14ac:dyDescent="0.25">
      <c r="B835" s="2" t="s">
        <v>1064</v>
      </c>
      <c r="D835" s="2" t="s">
        <v>1</v>
      </c>
      <c r="E835" s="2" t="s">
        <v>134</v>
      </c>
      <c r="F835" s="2" t="s">
        <v>1065</v>
      </c>
      <c r="G835" s="2" t="s">
        <v>1066</v>
      </c>
      <c r="H835" s="2" t="s">
        <v>430</v>
      </c>
      <c r="I835" s="2" t="s">
        <v>42</v>
      </c>
      <c r="J835" s="2">
        <v>1</v>
      </c>
      <c r="K835" s="2" t="s">
        <v>82</v>
      </c>
      <c r="L835" s="2" t="s">
        <v>41</v>
      </c>
      <c r="M835" s="2" t="s">
        <v>135</v>
      </c>
      <c r="N835" s="2" t="s">
        <v>1067</v>
      </c>
      <c r="O835" s="2" t="s">
        <v>431</v>
      </c>
      <c r="P835" s="2" t="s">
        <v>5</v>
      </c>
      <c r="Q835" s="2">
        <f>INDEX(Tables!$C$4:$C$28,MATCH($P835,Tables!$B$4:$B$28,0))</f>
        <v>32</v>
      </c>
      <c r="R835" s="2">
        <f>INDEX(Tables!$D$4:$D$28,MATCH($P835,Tables!$B$4:$B$28,0))</f>
        <v>4</v>
      </c>
      <c r="S835" s="2">
        <f>$S834+$R834+INDEX(Tables!$N$5:$Q$8,MATCH(MOD($S834+$R834,4),Tables!$M$5:$M$8,0),MATCH($R835,Tables!$N$4:$Q$4,0))</f>
        <v>2968</v>
      </c>
      <c r="T835" s="2" t="str">
        <f t="shared" si="189"/>
        <v>0B98</v>
      </c>
      <c r="U835" s="2">
        <f t="shared" si="195"/>
        <v>742</v>
      </c>
      <c r="V835" s="2" t="str">
        <f t="shared" si="190"/>
        <v>2E6</v>
      </c>
      <c r="W835" s="2" t="str">
        <f t="shared" si="191"/>
        <v/>
      </c>
      <c r="X835" s="2" t="str">
        <f t="shared" si="192"/>
        <v/>
      </c>
      <c r="Y835" s="2" t="str">
        <f t="shared" si="193"/>
        <v/>
      </c>
      <c r="Z835" s="2" t="str">
        <f t="shared" si="194"/>
        <v>X</v>
      </c>
      <c r="AA835" s="2" t="str">
        <f t="shared" si="196"/>
        <v/>
      </c>
      <c r="AB835" s="2" t="str">
        <f t="shared" si="197"/>
        <v/>
      </c>
      <c r="AC835" s="2" t="str">
        <f t="shared" si="198"/>
        <v/>
      </c>
      <c r="AD835" s="2" t="str">
        <f t="shared" si="199"/>
        <v>(0)</v>
      </c>
      <c r="AE835" s="2" t="str">
        <f t="shared" si="200"/>
        <v/>
      </c>
      <c r="AF835" s="2" t="str">
        <f t="shared" si="201"/>
        <v/>
      </c>
      <c r="AG835" s="2" t="str">
        <f t="shared" si="202"/>
        <v/>
      </c>
      <c r="AH835" s="2" t="str">
        <f t="shared" si="203"/>
        <v/>
      </c>
    </row>
    <row r="836" spans="2:34" x14ac:dyDescent="0.25">
      <c r="B836" s="2" t="s">
        <v>1064</v>
      </c>
      <c r="D836" s="2" t="s">
        <v>1</v>
      </c>
      <c r="E836" s="2" t="s">
        <v>134</v>
      </c>
      <c r="F836" s="2" t="s">
        <v>1065</v>
      </c>
      <c r="G836" s="2" t="s">
        <v>1066</v>
      </c>
      <c r="H836" s="2" t="s">
        <v>428</v>
      </c>
      <c r="I836" s="2" t="s">
        <v>42</v>
      </c>
      <c r="J836" s="2">
        <v>1</v>
      </c>
      <c r="K836" s="2" t="s">
        <v>82</v>
      </c>
      <c r="L836" s="2" t="s">
        <v>41</v>
      </c>
      <c r="M836" s="2" t="s">
        <v>135</v>
      </c>
      <c r="N836" s="2" t="s">
        <v>1067</v>
      </c>
      <c r="O836" s="2" t="s">
        <v>429</v>
      </c>
      <c r="P836" s="2" t="s">
        <v>5</v>
      </c>
      <c r="Q836" s="2">
        <f>INDEX(Tables!$C$4:$C$28,MATCH($P836,Tables!$B$4:$B$28,0))</f>
        <v>32</v>
      </c>
      <c r="R836" s="2">
        <f>INDEX(Tables!$D$4:$D$28,MATCH($P836,Tables!$B$4:$B$28,0))</f>
        <v>4</v>
      </c>
      <c r="S836" s="2">
        <f>$S835+$R835+INDEX(Tables!$N$5:$Q$8,MATCH(MOD($S835+$R835,4),Tables!$M$5:$M$8,0),MATCH($R836,Tables!$N$4:$Q$4,0))</f>
        <v>2972</v>
      </c>
      <c r="T836" s="2" t="str">
        <f t="shared" si="189"/>
        <v>0B9C</v>
      </c>
      <c r="U836" s="2">
        <f t="shared" si="195"/>
        <v>743</v>
      </c>
      <c r="V836" s="2" t="str">
        <f t="shared" si="190"/>
        <v>2E7</v>
      </c>
      <c r="W836" s="2" t="str">
        <f t="shared" si="191"/>
        <v/>
      </c>
      <c r="X836" s="2" t="str">
        <f t="shared" si="192"/>
        <v/>
      </c>
      <c r="Y836" s="2" t="str">
        <f t="shared" si="193"/>
        <v/>
      </c>
      <c r="Z836" s="2" t="str">
        <f t="shared" si="194"/>
        <v>X</v>
      </c>
      <c r="AA836" s="2" t="str">
        <f t="shared" si="196"/>
        <v/>
      </c>
      <c r="AB836" s="2" t="str">
        <f t="shared" si="197"/>
        <v/>
      </c>
      <c r="AC836" s="2" t="str">
        <f t="shared" si="198"/>
        <v/>
      </c>
      <c r="AD836" s="2" t="str">
        <f t="shared" si="199"/>
        <v>(0)</v>
      </c>
      <c r="AE836" s="2" t="str">
        <f t="shared" si="200"/>
        <v/>
      </c>
      <c r="AF836" s="2" t="str">
        <f t="shared" si="201"/>
        <v/>
      </c>
      <c r="AG836" s="2" t="str">
        <f t="shared" si="202"/>
        <v/>
      </c>
      <c r="AH836" s="2" t="str">
        <f t="shared" si="203"/>
        <v/>
      </c>
    </row>
    <row r="837" spans="2:34" x14ac:dyDescent="0.25">
      <c r="B837" s="2" t="s">
        <v>1064</v>
      </c>
      <c r="D837" s="2" t="s">
        <v>1</v>
      </c>
      <c r="E837" s="2" t="s">
        <v>134</v>
      </c>
      <c r="F837" s="2" t="s">
        <v>1065</v>
      </c>
      <c r="G837" s="2" t="s">
        <v>1066</v>
      </c>
      <c r="H837" s="2" t="s">
        <v>898</v>
      </c>
      <c r="I837" s="2" t="s">
        <v>42</v>
      </c>
      <c r="J837" s="2">
        <v>1</v>
      </c>
      <c r="K837" s="2" t="s">
        <v>82</v>
      </c>
      <c r="L837" s="2" t="s">
        <v>41</v>
      </c>
      <c r="M837" s="2" t="s">
        <v>135</v>
      </c>
      <c r="N837" s="2" t="s">
        <v>1067</v>
      </c>
      <c r="O837" s="2" t="s">
        <v>899</v>
      </c>
      <c r="P837" s="2" t="s">
        <v>5</v>
      </c>
      <c r="Q837" s="2">
        <f>INDEX(Tables!$C$4:$C$28,MATCH($P837,Tables!$B$4:$B$28,0))</f>
        <v>32</v>
      </c>
      <c r="R837" s="2">
        <f>INDEX(Tables!$D$4:$D$28,MATCH($P837,Tables!$B$4:$B$28,0))</f>
        <v>4</v>
      </c>
      <c r="S837" s="2">
        <f>$S836+$R836+INDEX(Tables!$N$5:$Q$8,MATCH(MOD($S836+$R836,4),Tables!$M$5:$M$8,0),MATCH($R837,Tables!$N$4:$Q$4,0))</f>
        <v>2976</v>
      </c>
      <c r="T837" s="2" t="str">
        <f t="shared" ref="T837:T900" si="204">DEC2HEX($S837,4)</f>
        <v>0BA0</v>
      </c>
      <c r="U837" s="2">
        <f t="shared" si="195"/>
        <v>744</v>
      </c>
      <c r="V837" s="2" t="str">
        <f t="shared" ref="V837:V900" si="205">DEC2HEX($U837,3)</f>
        <v>2E8</v>
      </c>
      <c r="W837" s="2" t="str">
        <f t="shared" ref="W837:W900" si="206">IF(MOD($S837,4)=3,"X",IF(AND(MOD($S837,4)=2,$J837&gt;8),"X",IF(AND(MOD($S837,4)=1,$J837&gt;16),"X",IF(AND(MOD($S837,4)=0,$J837&gt;24),"X",""))))</f>
        <v/>
      </c>
      <c r="X837" s="2" t="str">
        <f t="shared" si="192"/>
        <v/>
      </c>
      <c r="Y837" s="2" t="str">
        <f t="shared" si="193"/>
        <v/>
      </c>
      <c r="Z837" s="2" t="str">
        <f t="shared" si="194"/>
        <v>X</v>
      </c>
      <c r="AA837" s="2" t="str">
        <f t="shared" si="196"/>
        <v/>
      </c>
      <c r="AB837" s="2" t="str">
        <f t="shared" si="197"/>
        <v/>
      </c>
      <c r="AC837" s="2" t="str">
        <f t="shared" si="198"/>
        <v/>
      </c>
      <c r="AD837" s="2" t="str">
        <f t="shared" si="199"/>
        <v>(0)</v>
      </c>
      <c r="AE837" s="2" t="str">
        <f t="shared" si="200"/>
        <v/>
      </c>
      <c r="AF837" s="2" t="str">
        <f t="shared" si="201"/>
        <v/>
      </c>
      <c r="AG837" s="2" t="str">
        <f t="shared" si="202"/>
        <v/>
      </c>
      <c r="AH837" s="2" t="str">
        <f t="shared" si="203"/>
        <v/>
      </c>
    </row>
    <row r="838" spans="2:34" x14ac:dyDescent="0.25">
      <c r="B838" s="2" t="s">
        <v>1064</v>
      </c>
      <c r="D838" s="2" t="s">
        <v>1</v>
      </c>
      <c r="E838" s="2" t="s">
        <v>134</v>
      </c>
      <c r="F838" s="2" t="s">
        <v>1065</v>
      </c>
      <c r="G838" s="2" t="s">
        <v>1066</v>
      </c>
      <c r="H838" s="2" t="s">
        <v>900</v>
      </c>
      <c r="I838" s="2" t="s">
        <v>42</v>
      </c>
      <c r="J838" s="2">
        <v>1</v>
      </c>
      <c r="K838" s="2" t="s">
        <v>82</v>
      </c>
      <c r="L838" s="2" t="s">
        <v>41</v>
      </c>
      <c r="M838" s="2" t="s">
        <v>135</v>
      </c>
      <c r="N838" s="2" t="s">
        <v>1067</v>
      </c>
      <c r="O838" s="2" t="s">
        <v>901</v>
      </c>
      <c r="P838" s="2" t="s">
        <v>5</v>
      </c>
      <c r="Q838" s="2">
        <f>INDEX(Tables!$C$4:$C$28,MATCH($P838,Tables!$B$4:$B$28,0))</f>
        <v>32</v>
      </c>
      <c r="R838" s="2">
        <f>INDEX(Tables!$D$4:$D$28,MATCH($P838,Tables!$B$4:$B$28,0))</f>
        <v>4</v>
      </c>
      <c r="S838" s="2">
        <f>$S837+$R837+INDEX(Tables!$N$5:$Q$8,MATCH(MOD($S837+$R837,4),Tables!$M$5:$M$8,0),MATCH($R838,Tables!$N$4:$Q$4,0))</f>
        <v>2980</v>
      </c>
      <c r="T838" s="2" t="str">
        <f t="shared" si="204"/>
        <v>0BA4</v>
      </c>
      <c r="U838" s="2">
        <f t="shared" si="195"/>
        <v>745</v>
      </c>
      <c r="V838" s="2" t="str">
        <f t="shared" si="205"/>
        <v>2E9</v>
      </c>
      <c r="W838" s="2" t="str">
        <f t="shared" si="206"/>
        <v/>
      </c>
      <c r="X838" s="2" t="str">
        <f t="shared" si="192"/>
        <v/>
      </c>
      <c r="Y838" s="2" t="str">
        <f t="shared" si="193"/>
        <v/>
      </c>
      <c r="Z838" s="2" t="str">
        <f t="shared" si="194"/>
        <v>X</v>
      </c>
      <c r="AA838" s="2" t="str">
        <f t="shared" si="196"/>
        <v/>
      </c>
      <c r="AB838" s="2" t="str">
        <f t="shared" si="197"/>
        <v/>
      </c>
      <c r="AC838" s="2" t="str">
        <f t="shared" si="198"/>
        <v/>
      </c>
      <c r="AD838" s="2" t="str">
        <f t="shared" si="199"/>
        <v>(0)</v>
      </c>
      <c r="AE838" s="2" t="str">
        <f t="shared" si="200"/>
        <v/>
      </c>
      <c r="AF838" s="2" t="str">
        <f t="shared" si="201"/>
        <v/>
      </c>
      <c r="AG838" s="2" t="str">
        <f t="shared" si="202"/>
        <v/>
      </c>
      <c r="AH838" s="2" t="str">
        <f t="shared" si="203"/>
        <v/>
      </c>
    </row>
    <row r="839" spans="2:34" x14ac:dyDescent="0.25">
      <c r="B839" s="2" t="s">
        <v>1064</v>
      </c>
      <c r="D839" s="2" t="s">
        <v>1</v>
      </c>
      <c r="E839" s="2" t="s">
        <v>134</v>
      </c>
      <c r="F839" s="2" t="s">
        <v>1065</v>
      </c>
      <c r="G839" s="2" t="s">
        <v>1066</v>
      </c>
      <c r="H839" s="2" t="s">
        <v>139</v>
      </c>
      <c r="I839" s="2" t="s">
        <v>42</v>
      </c>
      <c r="J839" s="2">
        <v>16</v>
      </c>
      <c r="K839" s="2" t="s">
        <v>137</v>
      </c>
      <c r="L839" s="2" t="s">
        <v>41</v>
      </c>
      <c r="M839" s="2" t="s">
        <v>135</v>
      </c>
      <c r="N839" s="2" t="s">
        <v>1067</v>
      </c>
      <c r="O839" s="2" t="s">
        <v>140</v>
      </c>
      <c r="P839" s="2" t="s">
        <v>50</v>
      </c>
      <c r="Q839" s="2">
        <f>INDEX(Tables!$C$4:$C$28,MATCH($P839,Tables!$B$4:$B$28,0))</f>
        <v>16</v>
      </c>
      <c r="R839" s="2">
        <f>INDEX(Tables!$D$4:$D$28,MATCH($P839,Tables!$B$4:$B$28,0))</f>
        <v>2</v>
      </c>
      <c r="S839" s="2">
        <f>$S838+$R838+INDEX(Tables!$N$5:$Q$8,MATCH(MOD($S838+$R838,4),Tables!$M$5:$M$8,0),MATCH($R839,Tables!$N$4:$Q$4,0))</f>
        <v>2984</v>
      </c>
      <c r="T839" s="2" t="str">
        <f t="shared" si="204"/>
        <v>0BA8</v>
      </c>
      <c r="U839" s="2">
        <f t="shared" si="195"/>
        <v>746</v>
      </c>
      <c r="V839" s="2" t="str">
        <f t="shared" si="205"/>
        <v>2EA</v>
      </c>
      <c r="W839" s="2" t="str">
        <f t="shared" si="206"/>
        <v/>
      </c>
      <c r="X839" s="2" t="str">
        <f t="shared" si="192"/>
        <v/>
      </c>
      <c r="Y839" s="2" t="str">
        <f t="shared" si="193"/>
        <v>X</v>
      </c>
      <c r="Z839" s="2" t="str">
        <f t="shared" si="194"/>
        <v>X</v>
      </c>
      <c r="AA839" s="2" t="str">
        <f t="shared" si="196"/>
        <v/>
      </c>
      <c r="AB839" s="2" t="str">
        <f t="shared" si="197"/>
        <v/>
      </c>
      <c r="AC839" s="2" t="str">
        <f t="shared" si="198"/>
        <v>(15 downto 8)</v>
      </c>
      <c r="AD839" s="2" t="str">
        <f t="shared" si="199"/>
        <v>(7 downto 0)</v>
      </c>
      <c r="AE839" s="2" t="str">
        <f t="shared" si="200"/>
        <v/>
      </c>
      <c r="AF839" s="2" t="str">
        <f t="shared" si="201"/>
        <v/>
      </c>
      <c r="AG839" s="2" t="str">
        <f t="shared" si="202"/>
        <v>(15 downto 8)</v>
      </c>
      <c r="AH839" s="2" t="str">
        <f t="shared" si="203"/>
        <v>(7 downto 0)</v>
      </c>
    </row>
    <row r="840" spans="2:34" x14ac:dyDescent="0.25">
      <c r="B840" s="2" t="s">
        <v>1064</v>
      </c>
      <c r="D840" s="2" t="s">
        <v>1</v>
      </c>
      <c r="E840" s="2" t="s">
        <v>134</v>
      </c>
      <c r="F840" s="2" t="s">
        <v>1068</v>
      </c>
      <c r="G840" s="2" t="s">
        <v>1069</v>
      </c>
      <c r="H840" s="2" t="s">
        <v>904</v>
      </c>
      <c r="I840" s="2" t="s">
        <v>42</v>
      </c>
      <c r="J840" s="2">
        <v>32</v>
      </c>
      <c r="K840" s="2" t="s">
        <v>137</v>
      </c>
      <c r="L840" s="2" t="s">
        <v>41</v>
      </c>
      <c r="M840" s="2" t="s">
        <v>135</v>
      </c>
      <c r="N840" s="2" t="s">
        <v>1067</v>
      </c>
      <c r="O840" s="2" t="s">
        <v>905</v>
      </c>
      <c r="P840" s="2" t="s">
        <v>49</v>
      </c>
      <c r="Q840" s="2">
        <f>INDEX(Tables!$C$4:$C$28,MATCH($P840,Tables!$B$4:$B$28,0))</f>
        <v>32</v>
      </c>
      <c r="R840" s="2">
        <f>INDEX(Tables!$D$4:$D$28,MATCH($P840,Tables!$B$4:$B$28,0))</f>
        <v>4</v>
      </c>
      <c r="S840" s="2">
        <f>$S839+$R839+INDEX(Tables!$N$5:$Q$8,MATCH(MOD($S839+$R839,4),Tables!$M$5:$M$8,0),MATCH($R840,Tables!$N$4:$Q$4,0))</f>
        <v>2988</v>
      </c>
      <c r="T840" s="2" t="str">
        <f t="shared" si="204"/>
        <v>0BAC</v>
      </c>
      <c r="U840" s="2">
        <f t="shared" si="195"/>
        <v>747</v>
      </c>
      <c r="V840" s="2" t="str">
        <f t="shared" si="205"/>
        <v>2EB</v>
      </c>
      <c r="W840" s="2" t="str">
        <f t="shared" si="206"/>
        <v>X</v>
      </c>
      <c r="X840" s="2" t="str">
        <f t="shared" si="192"/>
        <v>X</v>
      </c>
      <c r="Y840" s="2" t="str">
        <f t="shared" si="193"/>
        <v>X</v>
      </c>
      <c r="Z840" s="2" t="str">
        <f t="shared" si="194"/>
        <v>X</v>
      </c>
      <c r="AA840" s="2" t="str">
        <f t="shared" si="196"/>
        <v>(31 downto 24)</v>
      </c>
      <c r="AB840" s="2" t="str">
        <f t="shared" si="197"/>
        <v>(23 downto 16)</v>
      </c>
      <c r="AC840" s="2" t="str">
        <f t="shared" si="198"/>
        <v>(15 downto 8)</v>
      </c>
      <c r="AD840" s="2" t="str">
        <f t="shared" si="199"/>
        <v>(7 downto 0)</v>
      </c>
      <c r="AE840" s="2" t="str">
        <f t="shared" si="200"/>
        <v>(31 downto 24)</v>
      </c>
      <c r="AF840" s="2" t="str">
        <f t="shared" si="201"/>
        <v>(23 downto 16)</v>
      </c>
      <c r="AG840" s="2" t="str">
        <f t="shared" si="202"/>
        <v>(15 downto 8)</v>
      </c>
      <c r="AH840" s="2" t="str">
        <f t="shared" si="203"/>
        <v>(7 downto 0)</v>
      </c>
    </row>
    <row r="841" spans="2:34" x14ac:dyDescent="0.25">
      <c r="B841" s="2" t="s">
        <v>1064</v>
      </c>
      <c r="D841" s="2" t="s">
        <v>1</v>
      </c>
      <c r="E841" s="2" t="s">
        <v>134</v>
      </c>
      <c r="F841" s="2" t="s">
        <v>1068</v>
      </c>
      <c r="G841" s="2" t="s">
        <v>1069</v>
      </c>
      <c r="H841" s="2" t="s">
        <v>906</v>
      </c>
      <c r="I841" s="2" t="s">
        <v>42</v>
      </c>
      <c r="J841" s="2">
        <v>32</v>
      </c>
      <c r="K841" s="2" t="s">
        <v>137</v>
      </c>
      <c r="L841" s="2" t="s">
        <v>41</v>
      </c>
      <c r="M841" s="2" t="s">
        <v>135</v>
      </c>
      <c r="N841" s="2" t="s">
        <v>1067</v>
      </c>
      <c r="O841" s="2" t="s">
        <v>907</v>
      </c>
      <c r="P841" s="2" t="s">
        <v>49</v>
      </c>
      <c r="Q841" s="2">
        <f>INDEX(Tables!$C$4:$C$28,MATCH($P841,Tables!$B$4:$B$28,0))</f>
        <v>32</v>
      </c>
      <c r="R841" s="2">
        <f>INDEX(Tables!$D$4:$D$28,MATCH($P841,Tables!$B$4:$B$28,0))</f>
        <v>4</v>
      </c>
      <c r="S841" s="2">
        <f>$S840+$R840+INDEX(Tables!$N$5:$Q$8,MATCH(MOD($S840+$R840,4),Tables!$M$5:$M$8,0),MATCH($R841,Tables!$N$4:$Q$4,0))</f>
        <v>2992</v>
      </c>
      <c r="T841" s="2" t="str">
        <f t="shared" si="204"/>
        <v>0BB0</v>
      </c>
      <c r="U841" s="2">
        <f t="shared" si="195"/>
        <v>748</v>
      </c>
      <c r="V841" s="2" t="str">
        <f t="shared" si="205"/>
        <v>2EC</v>
      </c>
      <c r="W841" s="2" t="str">
        <f t="shared" si="206"/>
        <v>X</v>
      </c>
      <c r="X841" s="2" t="str">
        <f t="shared" si="192"/>
        <v>X</v>
      </c>
      <c r="Y841" s="2" t="str">
        <f t="shared" si="193"/>
        <v>X</v>
      </c>
      <c r="Z841" s="2" t="str">
        <f t="shared" si="194"/>
        <v>X</v>
      </c>
      <c r="AA841" s="2" t="str">
        <f t="shared" si="196"/>
        <v>(31 downto 24)</v>
      </c>
      <c r="AB841" s="2" t="str">
        <f t="shared" si="197"/>
        <v>(23 downto 16)</v>
      </c>
      <c r="AC841" s="2" t="str">
        <f t="shared" si="198"/>
        <v>(15 downto 8)</v>
      </c>
      <c r="AD841" s="2" t="str">
        <f t="shared" si="199"/>
        <v>(7 downto 0)</v>
      </c>
      <c r="AE841" s="2" t="str">
        <f t="shared" si="200"/>
        <v>(31 downto 24)</v>
      </c>
      <c r="AF841" s="2" t="str">
        <f t="shared" si="201"/>
        <v>(23 downto 16)</v>
      </c>
      <c r="AG841" s="2" t="str">
        <f t="shared" si="202"/>
        <v>(15 downto 8)</v>
      </c>
      <c r="AH841" s="2" t="str">
        <f t="shared" si="203"/>
        <v>(7 downto 0)</v>
      </c>
    </row>
    <row r="842" spans="2:34" x14ac:dyDescent="0.25">
      <c r="B842" s="2" t="s">
        <v>1064</v>
      </c>
      <c r="D842" s="2" t="s">
        <v>1</v>
      </c>
      <c r="E842" s="2" t="s">
        <v>134</v>
      </c>
      <c r="F842" s="2" t="s">
        <v>1070</v>
      </c>
      <c r="G842" s="2" t="s">
        <v>1071</v>
      </c>
      <c r="H842" s="2" t="s">
        <v>910</v>
      </c>
      <c r="I842" s="2" t="s">
        <v>42</v>
      </c>
      <c r="J842" s="2">
        <v>32</v>
      </c>
      <c r="K842" s="2" t="s">
        <v>137</v>
      </c>
      <c r="L842" s="2" t="s">
        <v>41</v>
      </c>
      <c r="M842" s="2" t="s">
        <v>135</v>
      </c>
      <c r="N842" s="2" t="s">
        <v>1067</v>
      </c>
      <c r="O842" s="2" t="s">
        <v>911</v>
      </c>
      <c r="P842" s="2" t="s">
        <v>49</v>
      </c>
      <c r="Q842" s="2">
        <f>INDEX(Tables!$C$4:$C$28,MATCH($P842,Tables!$B$4:$B$28,0))</f>
        <v>32</v>
      </c>
      <c r="R842" s="2">
        <f>INDEX(Tables!$D$4:$D$28,MATCH($P842,Tables!$B$4:$B$28,0))</f>
        <v>4</v>
      </c>
      <c r="S842" s="2">
        <f>$S841+$R841+INDEX(Tables!$N$5:$Q$8,MATCH(MOD($S841+$R841,4),Tables!$M$5:$M$8,0),MATCH($R842,Tables!$N$4:$Q$4,0))</f>
        <v>2996</v>
      </c>
      <c r="T842" s="2" t="str">
        <f t="shared" si="204"/>
        <v>0BB4</v>
      </c>
      <c r="U842" s="2">
        <f t="shared" si="195"/>
        <v>749</v>
      </c>
      <c r="V842" s="2" t="str">
        <f t="shared" si="205"/>
        <v>2ED</v>
      </c>
      <c r="W842" s="2" t="str">
        <f t="shared" si="206"/>
        <v>X</v>
      </c>
      <c r="X842" s="2" t="str">
        <f t="shared" si="192"/>
        <v>X</v>
      </c>
      <c r="Y842" s="2" t="str">
        <f t="shared" si="193"/>
        <v>X</v>
      </c>
      <c r="Z842" s="2" t="str">
        <f t="shared" si="194"/>
        <v>X</v>
      </c>
      <c r="AA842" s="2" t="str">
        <f t="shared" si="196"/>
        <v>(31 downto 24)</v>
      </c>
      <c r="AB842" s="2" t="str">
        <f t="shared" si="197"/>
        <v>(23 downto 16)</v>
      </c>
      <c r="AC842" s="2" t="str">
        <f t="shared" si="198"/>
        <v>(15 downto 8)</v>
      </c>
      <c r="AD842" s="2" t="str">
        <f t="shared" si="199"/>
        <v>(7 downto 0)</v>
      </c>
      <c r="AE842" s="2" t="str">
        <f t="shared" si="200"/>
        <v>(31 downto 24)</v>
      </c>
      <c r="AF842" s="2" t="str">
        <f t="shared" si="201"/>
        <v>(23 downto 16)</v>
      </c>
      <c r="AG842" s="2" t="str">
        <f t="shared" si="202"/>
        <v>(15 downto 8)</v>
      </c>
      <c r="AH842" s="2" t="str">
        <f t="shared" si="203"/>
        <v>(7 downto 0)</v>
      </c>
    </row>
    <row r="843" spans="2:34" x14ac:dyDescent="0.25">
      <c r="B843" s="2" t="s">
        <v>1064</v>
      </c>
      <c r="D843" s="2" t="s">
        <v>1</v>
      </c>
      <c r="E843" s="2" t="s">
        <v>134</v>
      </c>
      <c r="F843" s="2" t="s">
        <v>1070</v>
      </c>
      <c r="G843" s="2" t="s">
        <v>1071</v>
      </c>
      <c r="H843" s="2" t="s">
        <v>912</v>
      </c>
      <c r="I843" s="2" t="s">
        <v>42</v>
      </c>
      <c r="J843" s="2">
        <v>32</v>
      </c>
      <c r="K843" s="2" t="s">
        <v>137</v>
      </c>
      <c r="L843" s="2" t="s">
        <v>41</v>
      </c>
      <c r="M843" s="2" t="s">
        <v>135</v>
      </c>
      <c r="N843" s="2" t="s">
        <v>1067</v>
      </c>
      <c r="O843" s="2" t="s">
        <v>913</v>
      </c>
      <c r="P843" s="2" t="s">
        <v>49</v>
      </c>
      <c r="Q843" s="2">
        <f>INDEX(Tables!$C$4:$C$28,MATCH($P843,Tables!$B$4:$B$28,0))</f>
        <v>32</v>
      </c>
      <c r="R843" s="2">
        <f>INDEX(Tables!$D$4:$D$28,MATCH($P843,Tables!$B$4:$B$28,0))</f>
        <v>4</v>
      </c>
      <c r="S843" s="2">
        <f>$S842+$R842+INDEX(Tables!$N$5:$Q$8,MATCH(MOD($S842+$R842,4),Tables!$M$5:$M$8,0),MATCH($R843,Tables!$N$4:$Q$4,0))</f>
        <v>3000</v>
      </c>
      <c r="T843" s="2" t="str">
        <f t="shared" si="204"/>
        <v>0BB8</v>
      </c>
      <c r="U843" s="2">
        <f t="shared" si="195"/>
        <v>750</v>
      </c>
      <c r="V843" s="2" t="str">
        <f t="shared" si="205"/>
        <v>2EE</v>
      </c>
      <c r="W843" s="2" t="str">
        <f t="shared" si="206"/>
        <v>X</v>
      </c>
      <c r="X843" s="2" t="str">
        <f t="shared" si="192"/>
        <v>X</v>
      </c>
      <c r="Y843" s="2" t="str">
        <f t="shared" si="193"/>
        <v>X</v>
      </c>
      <c r="Z843" s="2" t="str">
        <f t="shared" si="194"/>
        <v>X</v>
      </c>
      <c r="AA843" s="2" t="str">
        <f t="shared" si="196"/>
        <v>(31 downto 24)</v>
      </c>
      <c r="AB843" s="2" t="str">
        <f t="shared" si="197"/>
        <v>(23 downto 16)</v>
      </c>
      <c r="AC843" s="2" t="str">
        <f t="shared" si="198"/>
        <v>(15 downto 8)</v>
      </c>
      <c r="AD843" s="2" t="str">
        <f t="shared" si="199"/>
        <v>(7 downto 0)</v>
      </c>
      <c r="AE843" s="2" t="str">
        <f t="shared" si="200"/>
        <v>(31 downto 24)</v>
      </c>
      <c r="AF843" s="2" t="str">
        <f t="shared" si="201"/>
        <v>(23 downto 16)</v>
      </c>
      <c r="AG843" s="2" t="str">
        <f t="shared" si="202"/>
        <v>(15 downto 8)</v>
      </c>
      <c r="AH843" s="2" t="str">
        <f t="shared" si="203"/>
        <v>(7 downto 0)</v>
      </c>
    </row>
    <row r="844" spans="2:34" x14ac:dyDescent="0.25">
      <c r="B844" s="2" t="s">
        <v>1064</v>
      </c>
      <c r="D844" s="2" t="s">
        <v>1</v>
      </c>
      <c r="E844" s="2" t="s">
        <v>134</v>
      </c>
      <c r="F844" s="2" t="s">
        <v>1070</v>
      </c>
      <c r="G844" s="2" t="s">
        <v>1071</v>
      </c>
      <c r="H844" s="2" t="s">
        <v>914</v>
      </c>
      <c r="I844" s="2" t="s">
        <v>42</v>
      </c>
      <c r="J844" s="2">
        <v>32</v>
      </c>
      <c r="K844" s="2" t="s">
        <v>137</v>
      </c>
      <c r="L844" s="2" t="s">
        <v>41</v>
      </c>
      <c r="M844" s="2" t="s">
        <v>135</v>
      </c>
      <c r="N844" s="2" t="s">
        <v>1067</v>
      </c>
      <c r="O844" s="2" t="s">
        <v>915</v>
      </c>
      <c r="P844" s="2" t="s">
        <v>49</v>
      </c>
      <c r="Q844" s="2">
        <f>INDEX(Tables!$C$4:$C$28,MATCH($P844,Tables!$B$4:$B$28,0))</f>
        <v>32</v>
      </c>
      <c r="R844" s="2">
        <f>INDEX(Tables!$D$4:$D$28,MATCH($P844,Tables!$B$4:$B$28,0))</f>
        <v>4</v>
      </c>
      <c r="S844" s="2">
        <f>$S843+$R843+INDEX(Tables!$N$5:$Q$8,MATCH(MOD($S843+$R843,4),Tables!$M$5:$M$8,0),MATCH($R844,Tables!$N$4:$Q$4,0))</f>
        <v>3004</v>
      </c>
      <c r="T844" s="2" t="str">
        <f t="shared" si="204"/>
        <v>0BBC</v>
      </c>
      <c r="U844" s="2">
        <f t="shared" si="195"/>
        <v>751</v>
      </c>
      <c r="V844" s="2" t="str">
        <f t="shared" si="205"/>
        <v>2EF</v>
      </c>
      <c r="W844" s="2" t="str">
        <f t="shared" si="206"/>
        <v>X</v>
      </c>
      <c r="X844" s="2" t="str">
        <f t="shared" si="192"/>
        <v>X</v>
      </c>
      <c r="Y844" s="2" t="str">
        <f t="shared" si="193"/>
        <v>X</v>
      </c>
      <c r="Z844" s="2" t="str">
        <f t="shared" si="194"/>
        <v>X</v>
      </c>
      <c r="AA844" s="2" t="str">
        <f t="shared" si="196"/>
        <v>(31 downto 24)</v>
      </c>
      <c r="AB844" s="2" t="str">
        <f t="shared" si="197"/>
        <v>(23 downto 16)</v>
      </c>
      <c r="AC844" s="2" t="str">
        <f t="shared" si="198"/>
        <v>(15 downto 8)</v>
      </c>
      <c r="AD844" s="2" t="str">
        <f t="shared" si="199"/>
        <v>(7 downto 0)</v>
      </c>
      <c r="AE844" s="2" t="str">
        <f t="shared" si="200"/>
        <v>(31 downto 24)</v>
      </c>
      <c r="AF844" s="2" t="str">
        <f t="shared" si="201"/>
        <v>(23 downto 16)</v>
      </c>
      <c r="AG844" s="2" t="str">
        <f t="shared" si="202"/>
        <v>(15 downto 8)</v>
      </c>
      <c r="AH844" s="2" t="str">
        <f t="shared" si="203"/>
        <v>(7 downto 0)</v>
      </c>
    </row>
    <row r="845" spans="2:34" x14ac:dyDescent="0.25">
      <c r="B845" s="2" t="s">
        <v>1064</v>
      </c>
      <c r="D845" s="2" t="s">
        <v>1</v>
      </c>
      <c r="E845" s="2" t="s">
        <v>134</v>
      </c>
      <c r="F845" s="2" t="s">
        <v>1070</v>
      </c>
      <c r="G845" s="2" t="s">
        <v>1071</v>
      </c>
      <c r="H845" s="2" t="s">
        <v>916</v>
      </c>
      <c r="I845" s="2" t="s">
        <v>42</v>
      </c>
      <c r="J845" s="2">
        <v>32</v>
      </c>
      <c r="K845" s="2" t="s">
        <v>137</v>
      </c>
      <c r="L845" s="2" t="s">
        <v>41</v>
      </c>
      <c r="M845" s="2" t="s">
        <v>135</v>
      </c>
      <c r="N845" s="2" t="s">
        <v>1067</v>
      </c>
      <c r="O845" s="2" t="s">
        <v>917</v>
      </c>
      <c r="P845" s="2" t="s">
        <v>49</v>
      </c>
      <c r="Q845" s="2">
        <f>INDEX(Tables!$C$4:$C$28,MATCH($P845,Tables!$B$4:$B$28,0))</f>
        <v>32</v>
      </c>
      <c r="R845" s="2">
        <f>INDEX(Tables!$D$4:$D$28,MATCH($P845,Tables!$B$4:$B$28,0))</f>
        <v>4</v>
      </c>
      <c r="S845" s="2">
        <f>$S844+$R844+INDEX(Tables!$N$5:$Q$8,MATCH(MOD($S844+$R844,4),Tables!$M$5:$M$8,0),MATCH($R845,Tables!$N$4:$Q$4,0))</f>
        <v>3008</v>
      </c>
      <c r="T845" s="2" t="str">
        <f t="shared" si="204"/>
        <v>0BC0</v>
      </c>
      <c r="U845" s="2">
        <f t="shared" si="195"/>
        <v>752</v>
      </c>
      <c r="V845" s="2" t="str">
        <f t="shared" si="205"/>
        <v>2F0</v>
      </c>
      <c r="W845" s="2" t="str">
        <f t="shared" si="206"/>
        <v>X</v>
      </c>
      <c r="X845" s="2" t="str">
        <f t="shared" si="192"/>
        <v>X</v>
      </c>
      <c r="Y845" s="2" t="str">
        <f t="shared" si="193"/>
        <v>X</v>
      </c>
      <c r="Z845" s="2" t="str">
        <f t="shared" si="194"/>
        <v>X</v>
      </c>
      <c r="AA845" s="2" t="str">
        <f t="shared" si="196"/>
        <v>(31 downto 24)</v>
      </c>
      <c r="AB845" s="2" t="str">
        <f t="shared" si="197"/>
        <v>(23 downto 16)</v>
      </c>
      <c r="AC845" s="2" t="str">
        <f t="shared" si="198"/>
        <v>(15 downto 8)</v>
      </c>
      <c r="AD845" s="2" t="str">
        <f t="shared" si="199"/>
        <v>(7 downto 0)</v>
      </c>
      <c r="AE845" s="2" t="str">
        <f t="shared" si="200"/>
        <v>(31 downto 24)</v>
      </c>
      <c r="AF845" s="2" t="str">
        <f t="shared" si="201"/>
        <v>(23 downto 16)</v>
      </c>
      <c r="AG845" s="2" t="str">
        <f t="shared" si="202"/>
        <v>(15 downto 8)</v>
      </c>
      <c r="AH845" s="2" t="str">
        <f t="shared" si="203"/>
        <v>(7 downto 0)</v>
      </c>
    </row>
    <row r="846" spans="2:34" x14ac:dyDescent="0.25">
      <c r="B846" s="2" t="s">
        <v>1064</v>
      </c>
      <c r="D846" s="2" t="s">
        <v>1</v>
      </c>
      <c r="E846" s="2" t="s">
        <v>134</v>
      </c>
      <c r="F846" s="2" t="s">
        <v>1070</v>
      </c>
      <c r="G846" s="2" t="s">
        <v>1071</v>
      </c>
      <c r="H846" s="2" t="s">
        <v>918</v>
      </c>
      <c r="I846" s="2" t="s">
        <v>42</v>
      </c>
      <c r="J846" s="2">
        <v>32</v>
      </c>
      <c r="K846" s="2" t="s">
        <v>137</v>
      </c>
      <c r="L846" s="2" t="s">
        <v>41</v>
      </c>
      <c r="M846" s="2" t="s">
        <v>135</v>
      </c>
      <c r="N846" s="2" t="s">
        <v>1067</v>
      </c>
      <c r="O846" s="2" t="s">
        <v>919</v>
      </c>
      <c r="P846" s="2" t="s">
        <v>49</v>
      </c>
      <c r="Q846" s="2">
        <f>INDEX(Tables!$C$4:$C$28,MATCH($P846,Tables!$B$4:$B$28,0))</f>
        <v>32</v>
      </c>
      <c r="R846" s="2">
        <f>INDEX(Tables!$D$4:$D$28,MATCH($P846,Tables!$B$4:$B$28,0))</f>
        <v>4</v>
      </c>
      <c r="S846" s="2">
        <f>$S845+$R845+INDEX(Tables!$N$5:$Q$8,MATCH(MOD($S845+$R845,4),Tables!$M$5:$M$8,0),MATCH($R846,Tables!$N$4:$Q$4,0))</f>
        <v>3012</v>
      </c>
      <c r="T846" s="2" t="str">
        <f t="shared" si="204"/>
        <v>0BC4</v>
      </c>
      <c r="U846" s="2">
        <f t="shared" si="195"/>
        <v>753</v>
      </c>
      <c r="V846" s="2" t="str">
        <f t="shared" si="205"/>
        <v>2F1</v>
      </c>
      <c r="W846" s="2" t="str">
        <f t="shared" si="206"/>
        <v>X</v>
      </c>
      <c r="X846" s="2" t="str">
        <f t="shared" si="192"/>
        <v>X</v>
      </c>
      <c r="Y846" s="2" t="str">
        <f t="shared" si="193"/>
        <v>X</v>
      </c>
      <c r="Z846" s="2" t="str">
        <f t="shared" si="194"/>
        <v>X</v>
      </c>
      <c r="AA846" s="2" t="str">
        <f t="shared" si="196"/>
        <v>(31 downto 24)</v>
      </c>
      <c r="AB846" s="2" t="str">
        <f t="shared" si="197"/>
        <v>(23 downto 16)</v>
      </c>
      <c r="AC846" s="2" t="str">
        <f t="shared" si="198"/>
        <v>(15 downto 8)</v>
      </c>
      <c r="AD846" s="2" t="str">
        <f t="shared" si="199"/>
        <v>(7 downto 0)</v>
      </c>
      <c r="AE846" s="2" t="str">
        <f t="shared" si="200"/>
        <v>(31 downto 24)</v>
      </c>
      <c r="AF846" s="2" t="str">
        <f t="shared" si="201"/>
        <v>(23 downto 16)</v>
      </c>
      <c r="AG846" s="2" t="str">
        <f t="shared" si="202"/>
        <v>(15 downto 8)</v>
      </c>
      <c r="AH846" s="2" t="str">
        <f t="shared" si="203"/>
        <v>(7 downto 0)</v>
      </c>
    </row>
    <row r="847" spans="2:34" x14ac:dyDescent="0.25">
      <c r="B847" s="2" t="s">
        <v>1064</v>
      </c>
      <c r="D847" s="2" t="s">
        <v>1</v>
      </c>
      <c r="E847" s="2" t="s">
        <v>134</v>
      </c>
      <c r="F847" s="2" t="s">
        <v>1070</v>
      </c>
      <c r="G847" s="2" t="s">
        <v>1071</v>
      </c>
      <c r="H847" s="2" t="s">
        <v>920</v>
      </c>
      <c r="I847" s="2" t="s">
        <v>42</v>
      </c>
      <c r="J847" s="2">
        <v>32</v>
      </c>
      <c r="K847" s="2" t="s">
        <v>137</v>
      </c>
      <c r="L847" s="2" t="s">
        <v>41</v>
      </c>
      <c r="M847" s="2" t="s">
        <v>135</v>
      </c>
      <c r="N847" s="2" t="s">
        <v>1067</v>
      </c>
      <c r="O847" s="2" t="s">
        <v>921</v>
      </c>
      <c r="P847" s="2" t="s">
        <v>49</v>
      </c>
      <c r="Q847" s="2">
        <f>INDEX(Tables!$C$4:$C$28,MATCH($P847,Tables!$B$4:$B$28,0))</f>
        <v>32</v>
      </c>
      <c r="R847" s="2">
        <f>INDEX(Tables!$D$4:$D$28,MATCH($P847,Tables!$B$4:$B$28,0))</f>
        <v>4</v>
      </c>
      <c r="S847" s="2">
        <f>$S846+$R846+INDEX(Tables!$N$5:$Q$8,MATCH(MOD($S846+$R846,4),Tables!$M$5:$M$8,0),MATCH($R847,Tables!$N$4:$Q$4,0))</f>
        <v>3016</v>
      </c>
      <c r="T847" s="2" t="str">
        <f t="shared" si="204"/>
        <v>0BC8</v>
      </c>
      <c r="U847" s="2">
        <f t="shared" si="195"/>
        <v>754</v>
      </c>
      <c r="V847" s="2" t="str">
        <f t="shared" si="205"/>
        <v>2F2</v>
      </c>
      <c r="W847" s="2" t="str">
        <f t="shared" si="206"/>
        <v>X</v>
      </c>
      <c r="X847" s="2" t="str">
        <f t="shared" si="192"/>
        <v>X</v>
      </c>
      <c r="Y847" s="2" t="str">
        <f t="shared" si="193"/>
        <v>X</v>
      </c>
      <c r="Z847" s="2" t="str">
        <f t="shared" si="194"/>
        <v>X</v>
      </c>
      <c r="AA847" s="2" t="str">
        <f t="shared" si="196"/>
        <v>(31 downto 24)</v>
      </c>
      <c r="AB847" s="2" t="str">
        <f t="shared" si="197"/>
        <v>(23 downto 16)</v>
      </c>
      <c r="AC847" s="2" t="str">
        <f t="shared" si="198"/>
        <v>(15 downto 8)</v>
      </c>
      <c r="AD847" s="2" t="str">
        <f t="shared" si="199"/>
        <v>(7 downto 0)</v>
      </c>
      <c r="AE847" s="2" t="str">
        <f t="shared" si="200"/>
        <v>(31 downto 24)</v>
      </c>
      <c r="AF847" s="2" t="str">
        <f t="shared" si="201"/>
        <v>(23 downto 16)</v>
      </c>
      <c r="AG847" s="2" t="str">
        <f t="shared" si="202"/>
        <v>(15 downto 8)</v>
      </c>
      <c r="AH847" s="2" t="str">
        <f t="shared" si="203"/>
        <v>(7 downto 0)</v>
      </c>
    </row>
    <row r="848" spans="2:34" x14ac:dyDescent="0.25">
      <c r="B848" s="2" t="s">
        <v>1064</v>
      </c>
      <c r="D848" s="2" t="s">
        <v>1</v>
      </c>
      <c r="E848" s="2" t="s">
        <v>134</v>
      </c>
      <c r="F848" s="2" t="s">
        <v>1070</v>
      </c>
      <c r="G848" s="2" t="s">
        <v>1071</v>
      </c>
      <c r="H848" s="2" t="s">
        <v>922</v>
      </c>
      <c r="I848" s="2" t="s">
        <v>42</v>
      </c>
      <c r="J848" s="2">
        <v>32</v>
      </c>
      <c r="K848" s="2" t="s">
        <v>137</v>
      </c>
      <c r="L848" s="2" t="s">
        <v>41</v>
      </c>
      <c r="M848" s="2" t="s">
        <v>135</v>
      </c>
      <c r="N848" s="2" t="s">
        <v>1067</v>
      </c>
      <c r="O848" s="2" t="s">
        <v>923</v>
      </c>
      <c r="P848" s="2" t="s">
        <v>49</v>
      </c>
      <c r="Q848" s="2">
        <f>INDEX(Tables!$C$4:$C$28,MATCH($P848,Tables!$B$4:$B$28,0))</f>
        <v>32</v>
      </c>
      <c r="R848" s="2">
        <f>INDEX(Tables!$D$4:$D$28,MATCH($P848,Tables!$B$4:$B$28,0))</f>
        <v>4</v>
      </c>
      <c r="S848" s="2">
        <f>$S847+$R847+INDEX(Tables!$N$5:$Q$8,MATCH(MOD($S847+$R847,4),Tables!$M$5:$M$8,0),MATCH($R848,Tables!$N$4:$Q$4,0))</f>
        <v>3020</v>
      </c>
      <c r="T848" s="2" t="str">
        <f t="shared" si="204"/>
        <v>0BCC</v>
      </c>
      <c r="U848" s="2">
        <f t="shared" si="195"/>
        <v>755</v>
      </c>
      <c r="V848" s="2" t="str">
        <f t="shared" si="205"/>
        <v>2F3</v>
      </c>
      <c r="W848" s="2" t="str">
        <f t="shared" si="206"/>
        <v>X</v>
      </c>
      <c r="X848" s="2" t="str">
        <f t="shared" si="192"/>
        <v>X</v>
      </c>
      <c r="Y848" s="2" t="str">
        <f t="shared" si="193"/>
        <v>X</v>
      </c>
      <c r="Z848" s="2" t="str">
        <f t="shared" si="194"/>
        <v>X</v>
      </c>
      <c r="AA848" s="2" t="str">
        <f t="shared" si="196"/>
        <v>(31 downto 24)</v>
      </c>
      <c r="AB848" s="2" t="str">
        <f t="shared" si="197"/>
        <v>(23 downto 16)</v>
      </c>
      <c r="AC848" s="2" t="str">
        <f t="shared" si="198"/>
        <v>(15 downto 8)</v>
      </c>
      <c r="AD848" s="2" t="str">
        <f t="shared" si="199"/>
        <v>(7 downto 0)</v>
      </c>
      <c r="AE848" s="2" t="str">
        <f t="shared" si="200"/>
        <v>(31 downto 24)</v>
      </c>
      <c r="AF848" s="2" t="str">
        <f t="shared" si="201"/>
        <v>(23 downto 16)</v>
      </c>
      <c r="AG848" s="2" t="str">
        <f t="shared" si="202"/>
        <v>(15 downto 8)</v>
      </c>
      <c r="AH848" s="2" t="str">
        <f t="shared" si="203"/>
        <v>(7 downto 0)</v>
      </c>
    </row>
    <row r="849" spans="2:34" x14ac:dyDescent="0.25">
      <c r="B849" s="2" t="s">
        <v>1064</v>
      </c>
      <c r="D849" s="2" t="s">
        <v>1</v>
      </c>
      <c r="E849" s="2" t="s">
        <v>134</v>
      </c>
      <c r="F849" s="2" t="s">
        <v>1070</v>
      </c>
      <c r="G849" s="2" t="s">
        <v>1071</v>
      </c>
      <c r="H849" s="2" t="s">
        <v>924</v>
      </c>
      <c r="I849" s="2" t="s">
        <v>42</v>
      </c>
      <c r="J849" s="2">
        <v>32</v>
      </c>
      <c r="K849" s="2" t="s">
        <v>137</v>
      </c>
      <c r="L849" s="2" t="s">
        <v>41</v>
      </c>
      <c r="M849" s="2" t="s">
        <v>135</v>
      </c>
      <c r="N849" s="2" t="s">
        <v>1067</v>
      </c>
      <c r="O849" s="2" t="s">
        <v>925</v>
      </c>
      <c r="P849" s="2" t="s">
        <v>49</v>
      </c>
      <c r="Q849" s="2">
        <f>INDEX(Tables!$C$4:$C$28,MATCH($P849,Tables!$B$4:$B$28,0))</f>
        <v>32</v>
      </c>
      <c r="R849" s="2">
        <f>INDEX(Tables!$D$4:$D$28,MATCH($P849,Tables!$B$4:$B$28,0))</f>
        <v>4</v>
      </c>
      <c r="S849" s="2">
        <f>$S848+$R848+INDEX(Tables!$N$5:$Q$8,MATCH(MOD($S848+$R848,4),Tables!$M$5:$M$8,0),MATCH($R849,Tables!$N$4:$Q$4,0))</f>
        <v>3024</v>
      </c>
      <c r="T849" s="2" t="str">
        <f t="shared" si="204"/>
        <v>0BD0</v>
      </c>
      <c r="U849" s="2">
        <f t="shared" si="195"/>
        <v>756</v>
      </c>
      <c r="V849" s="2" t="str">
        <f t="shared" si="205"/>
        <v>2F4</v>
      </c>
      <c r="W849" s="2" t="str">
        <f t="shared" si="206"/>
        <v>X</v>
      </c>
      <c r="X849" s="2" t="str">
        <f t="shared" si="192"/>
        <v>X</v>
      </c>
      <c r="Y849" s="2" t="str">
        <f t="shared" si="193"/>
        <v>X</v>
      </c>
      <c r="Z849" s="2" t="str">
        <f t="shared" si="194"/>
        <v>X</v>
      </c>
      <c r="AA849" s="2" t="str">
        <f t="shared" si="196"/>
        <v>(31 downto 24)</v>
      </c>
      <c r="AB849" s="2" t="str">
        <f t="shared" si="197"/>
        <v>(23 downto 16)</v>
      </c>
      <c r="AC849" s="2" t="str">
        <f t="shared" si="198"/>
        <v>(15 downto 8)</v>
      </c>
      <c r="AD849" s="2" t="str">
        <f t="shared" si="199"/>
        <v>(7 downto 0)</v>
      </c>
      <c r="AE849" s="2" t="str">
        <f t="shared" si="200"/>
        <v>(31 downto 24)</v>
      </c>
      <c r="AF849" s="2" t="str">
        <f t="shared" si="201"/>
        <v>(23 downto 16)</v>
      </c>
      <c r="AG849" s="2" t="str">
        <f t="shared" si="202"/>
        <v>(15 downto 8)</v>
      </c>
      <c r="AH849" s="2" t="str">
        <f t="shared" si="203"/>
        <v>(7 downto 0)</v>
      </c>
    </row>
    <row r="850" spans="2:34" x14ac:dyDescent="0.25">
      <c r="B850" s="2" t="s">
        <v>1064</v>
      </c>
      <c r="D850" s="2" t="s">
        <v>1</v>
      </c>
      <c r="E850" s="2" t="s">
        <v>134</v>
      </c>
      <c r="F850" s="2" t="s">
        <v>1070</v>
      </c>
      <c r="G850" s="2" t="s">
        <v>1071</v>
      </c>
      <c r="H850" s="2" t="s">
        <v>926</v>
      </c>
      <c r="I850" s="2" t="s">
        <v>42</v>
      </c>
      <c r="J850" s="2">
        <v>32</v>
      </c>
      <c r="K850" s="2" t="s">
        <v>137</v>
      </c>
      <c r="L850" s="2" t="s">
        <v>41</v>
      </c>
      <c r="M850" s="2" t="s">
        <v>135</v>
      </c>
      <c r="N850" s="2" t="s">
        <v>1067</v>
      </c>
      <c r="O850" s="2" t="s">
        <v>927</v>
      </c>
      <c r="P850" s="2" t="s">
        <v>49</v>
      </c>
      <c r="Q850" s="2">
        <f>INDEX(Tables!$C$4:$C$28,MATCH($P850,Tables!$B$4:$B$28,0))</f>
        <v>32</v>
      </c>
      <c r="R850" s="2">
        <f>INDEX(Tables!$D$4:$D$28,MATCH($P850,Tables!$B$4:$B$28,0))</f>
        <v>4</v>
      </c>
      <c r="S850" s="2">
        <f>$S849+$R849+INDEX(Tables!$N$5:$Q$8,MATCH(MOD($S849+$R849,4),Tables!$M$5:$M$8,0),MATCH($R850,Tables!$N$4:$Q$4,0))</f>
        <v>3028</v>
      </c>
      <c r="T850" s="2" t="str">
        <f t="shared" si="204"/>
        <v>0BD4</v>
      </c>
      <c r="U850" s="2">
        <f t="shared" si="195"/>
        <v>757</v>
      </c>
      <c r="V850" s="2" t="str">
        <f t="shared" si="205"/>
        <v>2F5</v>
      </c>
      <c r="W850" s="2" t="str">
        <f t="shared" si="206"/>
        <v>X</v>
      </c>
      <c r="X850" s="2" t="str">
        <f t="shared" si="192"/>
        <v>X</v>
      </c>
      <c r="Y850" s="2" t="str">
        <f t="shared" si="193"/>
        <v>X</v>
      </c>
      <c r="Z850" s="2" t="str">
        <f t="shared" si="194"/>
        <v>X</v>
      </c>
      <c r="AA850" s="2" t="str">
        <f t="shared" si="196"/>
        <v>(31 downto 24)</v>
      </c>
      <c r="AB850" s="2" t="str">
        <f t="shared" si="197"/>
        <v>(23 downto 16)</v>
      </c>
      <c r="AC850" s="2" t="str">
        <f t="shared" si="198"/>
        <v>(15 downto 8)</v>
      </c>
      <c r="AD850" s="2" t="str">
        <f t="shared" si="199"/>
        <v>(7 downto 0)</v>
      </c>
      <c r="AE850" s="2" t="str">
        <f t="shared" si="200"/>
        <v>(31 downto 24)</v>
      </c>
      <c r="AF850" s="2" t="str">
        <f t="shared" si="201"/>
        <v>(23 downto 16)</v>
      </c>
      <c r="AG850" s="2" t="str">
        <f t="shared" si="202"/>
        <v>(15 downto 8)</v>
      </c>
      <c r="AH850" s="2" t="str">
        <f t="shared" si="203"/>
        <v>(7 downto 0)</v>
      </c>
    </row>
    <row r="851" spans="2:34" x14ac:dyDescent="0.25">
      <c r="B851" s="2" t="s">
        <v>1064</v>
      </c>
      <c r="D851" s="2" t="s">
        <v>1</v>
      </c>
      <c r="E851" s="2" t="s">
        <v>134</v>
      </c>
      <c r="F851" s="2" t="s">
        <v>1070</v>
      </c>
      <c r="G851" s="2" t="s">
        <v>1071</v>
      </c>
      <c r="H851" s="2" t="s">
        <v>928</v>
      </c>
      <c r="I851" s="2" t="s">
        <v>42</v>
      </c>
      <c r="J851" s="2">
        <v>32</v>
      </c>
      <c r="K851" s="2" t="s">
        <v>137</v>
      </c>
      <c r="L851" s="2" t="s">
        <v>41</v>
      </c>
      <c r="M851" s="2" t="s">
        <v>135</v>
      </c>
      <c r="N851" s="2" t="s">
        <v>1067</v>
      </c>
      <c r="O851" s="2" t="s">
        <v>929</v>
      </c>
      <c r="P851" s="2" t="s">
        <v>49</v>
      </c>
      <c r="Q851" s="2">
        <f>INDEX(Tables!$C$4:$C$28,MATCH($P851,Tables!$B$4:$B$28,0))</f>
        <v>32</v>
      </c>
      <c r="R851" s="2">
        <f>INDEX(Tables!$D$4:$D$28,MATCH($P851,Tables!$B$4:$B$28,0))</f>
        <v>4</v>
      </c>
      <c r="S851" s="2">
        <f>$S850+$R850+INDEX(Tables!$N$5:$Q$8,MATCH(MOD($S850+$R850,4),Tables!$M$5:$M$8,0),MATCH($R851,Tables!$N$4:$Q$4,0))</f>
        <v>3032</v>
      </c>
      <c r="T851" s="2" t="str">
        <f t="shared" si="204"/>
        <v>0BD8</v>
      </c>
      <c r="U851" s="2">
        <f t="shared" si="195"/>
        <v>758</v>
      </c>
      <c r="V851" s="2" t="str">
        <f t="shared" si="205"/>
        <v>2F6</v>
      </c>
      <c r="W851" s="2" t="str">
        <f t="shared" si="206"/>
        <v>X</v>
      </c>
      <c r="X851" s="2" t="str">
        <f t="shared" ref="X851:X914" si="207">IF(MOD($S851,4)=2,"X",IF(AND(MOD($S851,4)=1,$J851&gt;8),"X",IF(AND(MOD($S851,4)=0,$J851&gt;16),"X","")))</f>
        <v>X</v>
      </c>
      <c r="Y851" s="2" t="str">
        <f t="shared" ref="Y851:Y914" si="208">IF(MOD($S851,4)=1,"X",IF(AND(MOD($S851,4)=0,$J851&gt;8),"X",""))</f>
        <v>X</v>
      </c>
      <c r="Z851" s="2" t="str">
        <f t="shared" ref="Z851:Z914" si="209">IF(MOD($S851,4)=0,"X","")</f>
        <v>X</v>
      </c>
      <c r="AA851" s="2" t="str">
        <f t="shared" si="196"/>
        <v>(31 downto 24)</v>
      </c>
      <c r="AB851" s="2" t="str">
        <f t="shared" si="197"/>
        <v>(23 downto 16)</v>
      </c>
      <c r="AC851" s="2" t="str">
        <f t="shared" si="198"/>
        <v>(15 downto 8)</v>
      </c>
      <c r="AD851" s="2" t="str">
        <f t="shared" si="199"/>
        <v>(7 downto 0)</v>
      </c>
      <c r="AE851" s="2" t="str">
        <f t="shared" si="200"/>
        <v>(31 downto 24)</v>
      </c>
      <c r="AF851" s="2" t="str">
        <f t="shared" si="201"/>
        <v>(23 downto 16)</v>
      </c>
      <c r="AG851" s="2" t="str">
        <f t="shared" si="202"/>
        <v>(15 downto 8)</v>
      </c>
      <c r="AH851" s="2" t="str">
        <f t="shared" si="203"/>
        <v>(7 downto 0)</v>
      </c>
    </row>
    <row r="852" spans="2:34" x14ac:dyDescent="0.25">
      <c r="B852" s="2" t="s">
        <v>1064</v>
      </c>
      <c r="D852" s="2" t="s">
        <v>1</v>
      </c>
      <c r="E852" s="2" t="s">
        <v>134</v>
      </c>
      <c r="F852" s="2" t="s">
        <v>1070</v>
      </c>
      <c r="G852" s="2" t="s">
        <v>1071</v>
      </c>
      <c r="H852" s="2" t="s">
        <v>930</v>
      </c>
      <c r="I852" s="2" t="s">
        <v>42</v>
      </c>
      <c r="J852" s="2">
        <v>32</v>
      </c>
      <c r="K852" s="2" t="s">
        <v>137</v>
      </c>
      <c r="L852" s="2" t="s">
        <v>41</v>
      </c>
      <c r="M852" s="2" t="s">
        <v>135</v>
      </c>
      <c r="N852" s="2" t="s">
        <v>1067</v>
      </c>
      <c r="O852" s="2" t="s">
        <v>931</v>
      </c>
      <c r="P852" s="2" t="s">
        <v>49</v>
      </c>
      <c r="Q852" s="2">
        <f>INDEX(Tables!$C$4:$C$28,MATCH($P852,Tables!$B$4:$B$28,0))</f>
        <v>32</v>
      </c>
      <c r="R852" s="2">
        <f>INDEX(Tables!$D$4:$D$28,MATCH($P852,Tables!$B$4:$B$28,0))</f>
        <v>4</v>
      </c>
      <c r="S852" s="2">
        <f>$S851+$R851+INDEX(Tables!$N$5:$Q$8,MATCH(MOD($S851+$R851,4),Tables!$M$5:$M$8,0),MATCH($R852,Tables!$N$4:$Q$4,0))</f>
        <v>3036</v>
      </c>
      <c r="T852" s="2" t="str">
        <f t="shared" si="204"/>
        <v>0BDC</v>
      </c>
      <c r="U852" s="2">
        <f t="shared" si="195"/>
        <v>759</v>
      </c>
      <c r="V852" s="2" t="str">
        <f t="shared" si="205"/>
        <v>2F7</v>
      </c>
      <c r="W852" s="2" t="str">
        <f t="shared" si="206"/>
        <v>X</v>
      </c>
      <c r="X852" s="2" t="str">
        <f t="shared" si="207"/>
        <v>X</v>
      </c>
      <c r="Y852" s="2" t="str">
        <f t="shared" si="208"/>
        <v>X</v>
      </c>
      <c r="Z852" s="2" t="str">
        <f t="shared" si="209"/>
        <v>X</v>
      </c>
      <c r="AA852" s="2" t="str">
        <f t="shared" si="196"/>
        <v>(31 downto 24)</v>
      </c>
      <c r="AB852" s="2" t="str">
        <f t="shared" si="197"/>
        <v>(23 downto 16)</v>
      </c>
      <c r="AC852" s="2" t="str">
        <f t="shared" si="198"/>
        <v>(15 downto 8)</v>
      </c>
      <c r="AD852" s="2" t="str">
        <f t="shared" si="199"/>
        <v>(7 downto 0)</v>
      </c>
      <c r="AE852" s="2" t="str">
        <f t="shared" si="200"/>
        <v>(31 downto 24)</v>
      </c>
      <c r="AF852" s="2" t="str">
        <f t="shared" si="201"/>
        <v>(23 downto 16)</v>
      </c>
      <c r="AG852" s="2" t="str">
        <f t="shared" si="202"/>
        <v>(15 downto 8)</v>
      </c>
      <c r="AH852" s="2" t="str">
        <f t="shared" si="203"/>
        <v>(7 downto 0)</v>
      </c>
    </row>
    <row r="853" spans="2:34" x14ac:dyDescent="0.25">
      <c r="B853" s="2" t="s">
        <v>1064</v>
      </c>
      <c r="D853" s="2" t="s">
        <v>1</v>
      </c>
      <c r="E853" s="2" t="s">
        <v>134</v>
      </c>
      <c r="F853" s="2" t="s">
        <v>1070</v>
      </c>
      <c r="G853" s="2" t="s">
        <v>1071</v>
      </c>
      <c r="H853" s="2" t="s">
        <v>932</v>
      </c>
      <c r="I853" s="2" t="s">
        <v>42</v>
      </c>
      <c r="J853" s="2">
        <v>32</v>
      </c>
      <c r="K853" s="2" t="s">
        <v>137</v>
      </c>
      <c r="L853" s="2" t="s">
        <v>41</v>
      </c>
      <c r="M853" s="2" t="s">
        <v>135</v>
      </c>
      <c r="N853" s="2" t="s">
        <v>1067</v>
      </c>
      <c r="O853" s="2" t="s">
        <v>933</v>
      </c>
      <c r="P853" s="2" t="s">
        <v>49</v>
      </c>
      <c r="Q853" s="2">
        <f>INDEX(Tables!$C$4:$C$28,MATCH($P853,Tables!$B$4:$B$28,0))</f>
        <v>32</v>
      </c>
      <c r="R853" s="2">
        <f>INDEX(Tables!$D$4:$D$28,MATCH($P853,Tables!$B$4:$B$28,0))</f>
        <v>4</v>
      </c>
      <c r="S853" s="2">
        <f>$S852+$R852+INDEX(Tables!$N$5:$Q$8,MATCH(MOD($S852+$R852,4),Tables!$M$5:$M$8,0),MATCH($R853,Tables!$N$4:$Q$4,0))</f>
        <v>3040</v>
      </c>
      <c r="T853" s="2" t="str">
        <f t="shared" si="204"/>
        <v>0BE0</v>
      </c>
      <c r="U853" s="2">
        <f t="shared" si="195"/>
        <v>760</v>
      </c>
      <c r="V853" s="2" t="str">
        <f t="shared" si="205"/>
        <v>2F8</v>
      </c>
      <c r="W853" s="2" t="str">
        <f t="shared" si="206"/>
        <v>X</v>
      </c>
      <c r="X853" s="2" t="str">
        <f t="shared" si="207"/>
        <v>X</v>
      </c>
      <c r="Y853" s="2" t="str">
        <f t="shared" si="208"/>
        <v>X</v>
      </c>
      <c r="Z853" s="2" t="str">
        <f t="shared" si="209"/>
        <v>X</v>
      </c>
      <c r="AA853" s="2" t="str">
        <f t="shared" si="196"/>
        <v>(31 downto 24)</v>
      </c>
      <c r="AB853" s="2" t="str">
        <f t="shared" si="197"/>
        <v>(23 downto 16)</v>
      </c>
      <c r="AC853" s="2" t="str">
        <f t="shared" si="198"/>
        <v>(15 downto 8)</v>
      </c>
      <c r="AD853" s="2" t="str">
        <f t="shared" si="199"/>
        <v>(7 downto 0)</v>
      </c>
      <c r="AE853" s="2" t="str">
        <f t="shared" si="200"/>
        <v>(31 downto 24)</v>
      </c>
      <c r="AF853" s="2" t="str">
        <f t="shared" si="201"/>
        <v>(23 downto 16)</v>
      </c>
      <c r="AG853" s="2" t="str">
        <f t="shared" si="202"/>
        <v>(15 downto 8)</v>
      </c>
      <c r="AH853" s="2" t="str">
        <f t="shared" si="203"/>
        <v>(7 downto 0)</v>
      </c>
    </row>
    <row r="854" spans="2:34" x14ac:dyDescent="0.25">
      <c r="B854" s="2" t="s">
        <v>1064</v>
      </c>
      <c r="D854" s="2" t="s">
        <v>1</v>
      </c>
      <c r="E854" s="2" t="s">
        <v>134</v>
      </c>
      <c r="F854" s="2" t="s">
        <v>1070</v>
      </c>
      <c r="G854" s="2" t="s">
        <v>1071</v>
      </c>
      <c r="H854" s="2" t="s">
        <v>934</v>
      </c>
      <c r="I854" s="2" t="s">
        <v>42</v>
      </c>
      <c r="J854" s="2">
        <v>32</v>
      </c>
      <c r="K854" s="2" t="s">
        <v>137</v>
      </c>
      <c r="L854" s="2" t="s">
        <v>41</v>
      </c>
      <c r="M854" s="2" t="s">
        <v>135</v>
      </c>
      <c r="N854" s="2" t="s">
        <v>1067</v>
      </c>
      <c r="O854" s="2" t="s">
        <v>935</v>
      </c>
      <c r="P854" s="2" t="s">
        <v>49</v>
      </c>
      <c r="Q854" s="2">
        <f>INDEX(Tables!$C$4:$C$28,MATCH($P854,Tables!$B$4:$B$28,0))</f>
        <v>32</v>
      </c>
      <c r="R854" s="2">
        <f>INDEX(Tables!$D$4:$D$28,MATCH($P854,Tables!$B$4:$B$28,0))</f>
        <v>4</v>
      </c>
      <c r="S854" s="2">
        <f>$S853+$R853+INDEX(Tables!$N$5:$Q$8,MATCH(MOD($S853+$R853,4),Tables!$M$5:$M$8,0),MATCH($R854,Tables!$N$4:$Q$4,0))</f>
        <v>3044</v>
      </c>
      <c r="T854" s="2" t="str">
        <f t="shared" si="204"/>
        <v>0BE4</v>
      </c>
      <c r="U854" s="2">
        <f t="shared" si="195"/>
        <v>761</v>
      </c>
      <c r="V854" s="2" t="str">
        <f t="shared" si="205"/>
        <v>2F9</v>
      </c>
      <c r="W854" s="2" t="str">
        <f t="shared" si="206"/>
        <v>X</v>
      </c>
      <c r="X854" s="2" t="str">
        <f t="shared" si="207"/>
        <v>X</v>
      </c>
      <c r="Y854" s="2" t="str">
        <f t="shared" si="208"/>
        <v>X</v>
      </c>
      <c r="Z854" s="2" t="str">
        <f t="shared" si="209"/>
        <v>X</v>
      </c>
      <c r="AA854" s="2" t="str">
        <f t="shared" si="196"/>
        <v>(31 downto 24)</v>
      </c>
      <c r="AB854" s="2" t="str">
        <f t="shared" si="197"/>
        <v>(23 downto 16)</v>
      </c>
      <c r="AC854" s="2" t="str">
        <f t="shared" si="198"/>
        <v>(15 downto 8)</v>
      </c>
      <c r="AD854" s="2" t="str">
        <f t="shared" si="199"/>
        <v>(7 downto 0)</v>
      </c>
      <c r="AE854" s="2" t="str">
        <f t="shared" si="200"/>
        <v>(31 downto 24)</v>
      </c>
      <c r="AF854" s="2" t="str">
        <f t="shared" si="201"/>
        <v>(23 downto 16)</v>
      </c>
      <c r="AG854" s="2" t="str">
        <f t="shared" si="202"/>
        <v>(15 downto 8)</v>
      </c>
      <c r="AH854" s="2" t="str">
        <f t="shared" si="203"/>
        <v>(7 downto 0)</v>
      </c>
    </row>
    <row r="855" spans="2:34" x14ac:dyDescent="0.25">
      <c r="B855" s="2" t="s">
        <v>1064</v>
      </c>
      <c r="D855" s="2" t="s">
        <v>1</v>
      </c>
      <c r="E855" s="2" t="s">
        <v>134</v>
      </c>
      <c r="F855" s="2" t="s">
        <v>1070</v>
      </c>
      <c r="G855" s="2" t="s">
        <v>1071</v>
      </c>
      <c r="H855" s="2" t="s">
        <v>936</v>
      </c>
      <c r="I855" s="2" t="s">
        <v>42</v>
      </c>
      <c r="J855" s="2">
        <v>32</v>
      </c>
      <c r="K855" s="2" t="s">
        <v>137</v>
      </c>
      <c r="L855" s="2" t="s">
        <v>41</v>
      </c>
      <c r="M855" s="2" t="s">
        <v>135</v>
      </c>
      <c r="N855" s="2" t="s">
        <v>1067</v>
      </c>
      <c r="O855" s="2" t="s">
        <v>937</v>
      </c>
      <c r="P855" s="2" t="s">
        <v>49</v>
      </c>
      <c r="Q855" s="2">
        <f>INDEX(Tables!$C$4:$C$28,MATCH($P855,Tables!$B$4:$B$28,0))</f>
        <v>32</v>
      </c>
      <c r="R855" s="2">
        <f>INDEX(Tables!$D$4:$D$28,MATCH($P855,Tables!$B$4:$B$28,0))</f>
        <v>4</v>
      </c>
      <c r="S855" s="2">
        <f>$S854+$R854+INDEX(Tables!$N$5:$Q$8,MATCH(MOD($S854+$R854,4),Tables!$M$5:$M$8,0),MATCH($R855,Tables!$N$4:$Q$4,0))</f>
        <v>3048</v>
      </c>
      <c r="T855" s="2" t="str">
        <f t="shared" si="204"/>
        <v>0BE8</v>
      </c>
      <c r="U855" s="2">
        <f t="shared" si="195"/>
        <v>762</v>
      </c>
      <c r="V855" s="2" t="str">
        <f t="shared" si="205"/>
        <v>2FA</v>
      </c>
      <c r="W855" s="2" t="str">
        <f t="shared" si="206"/>
        <v>X</v>
      </c>
      <c r="X855" s="2" t="str">
        <f t="shared" si="207"/>
        <v>X</v>
      </c>
      <c r="Y855" s="2" t="str">
        <f t="shared" si="208"/>
        <v>X</v>
      </c>
      <c r="Z855" s="2" t="str">
        <f t="shared" si="209"/>
        <v>X</v>
      </c>
      <c r="AA855" s="2" t="str">
        <f t="shared" si="196"/>
        <v>(31 downto 24)</v>
      </c>
      <c r="AB855" s="2" t="str">
        <f t="shared" si="197"/>
        <v>(23 downto 16)</v>
      </c>
      <c r="AC855" s="2" t="str">
        <f t="shared" si="198"/>
        <v>(15 downto 8)</v>
      </c>
      <c r="AD855" s="2" t="str">
        <f t="shared" si="199"/>
        <v>(7 downto 0)</v>
      </c>
      <c r="AE855" s="2" t="str">
        <f t="shared" si="200"/>
        <v>(31 downto 24)</v>
      </c>
      <c r="AF855" s="2" t="str">
        <f t="shared" si="201"/>
        <v>(23 downto 16)</v>
      </c>
      <c r="AG855" s="2" t="str">
        <f t="shared" si="202"/>
        <v>(15 downto 8)</v>
      </c>
      <c r="AH855" s="2" t="str">
        <f t="shared" si="203"/>
        <v>(7 downto 0)</v>
      </c>
    </row>
    <row r="856" spans="2:34" x14ac:dyDescent="0.25">
      <c r="B856" s="2" t="s">
        <v>1064</v>
      </c>
      <c r="D856" s="2" t="s">
        <v>1</v>
      </c>
      <c r="E856" s="2" t="s">
        <v>134</v>
      </c>
      <c r="F856" s="2" t="s">
        <v>1070</v>
      </c>
      <c r="G856" s="2" t="s">
        <v>1071</v>
      </c>
      <c r="H856" s="2" t="s">
        <v>938</v>
      </c>
      <c r="I856" s="2" t="s">
        <v>42</v>
      </c>
      <c r="J856" s="2">
        <v>32</v>
      </c>
      <c r="K856" s="2" t="s">
        <v>137</v>
      </c>
      <c r="L856" s="2" t="s">
        <v>41</v>
      </c>
      <c r="M856" s="2" t="s">
        <v>135</v>
      </c>
      <c r="N856" s="2" t="s">
        <v>1067</v>
      </c>
      <c r="O856" s="2" t="s">
        <v>939</v>
      </c>
      <c r="P856" s="2" t="s">
        <v>49</v>
      </c>
      <c r="Q856" s="2">
        <f>INDEX(Tables!$C$4:$C$28,MATCH($P856,Tables!$B$4:$B$28,0))</f>
        <v>32</v>
      </c>
      <c r="R856" s="2">
        <f>INDEX(Tables!$D$4:$D$28,MATCH($P856,Tables!$B$4:$B$28,0))</f>
        <v>4</v>
      </c>
      <c r="S856" s="2">
        <f>$S855+$R855+INDEX(Tables!$N$5:$Q$8,MATCH(MOD($S855+$R855,4),Tables!$M$5:$M$8,0),MATCH($R856,Tables!$N$4:$Q$4,0))</f>
        <v>3052</v>
      </c>
      <c r="T856" s="2" t="str">
        <f t="shared" si="204"/>
        <v>0BEC</v>
      </c>
      <c r="U856" s="2">
        <f t="shared" si="195"/>
        <v>763</v>
      </c>
      <c r="V856" s="2" t="str">
        <f t="shared" si="205"/>
        <v>2FB</v>
      </c>
      <c r="W856" s="2" t="str">
        <f t="shared" si="206"/>
        <v>X</v>
      </c>
      <c r="X856" s="2" t="str">
        <f t="shared" si="207"/>
        <v>X</v>
      </c>
      <c r="Y856" s="2" t="str">
        <f t="shared" si="208"/>
        <v>X</v>
      </c>
      <c r="Z856" s="2" t="str">
        <f t="shared" si="209"/>
        <v>X</v>
      </c>
      <c r="AA856" s="2" t="str">
        <f t="shared" si="196"/>
        <v>(31 downto 24)</v>
      </c>
      <c r="AB856" s="2" t="str">
        <f t="shared" si="197"/>
        <v>(23 downto 16)</v>
      </c>
      <c r="AC856" s="2" t="str">
        <f t="shared" si="198"/>
        <v>(15 downto 8)</v>
      </c>
      <c r="AD856" s="2" t="str">
        <f t="shared" si="199"/>
        <v>(7 downto 0)</v>
      </c>
      <c r="AE856" s="2" t="str">
        <f t="shared" si="200"/>
        <v>(31 downto 24)</v>
      </c>
      <c r="AF856" s="2" t="str">
        <f t="shared" si="201"/>
        <v>(23 downto 16)</v>
      </c>
      <c r="AG856" s="2" t="str">
        <f t="shared" si="202"/>
        <v>(15 downto 8)</v>
      </c>
      <c r="AH856" s="2" t="str">
        <f t="shared" si="203"/>
        <v>(7 downto 0)</v>
      </c>
    </row>
    <row r="857" spans="2:34" x14ac:dyDescent="0.25">
      <c r="B857" s="2" t="s">
        <v>1064</v>
      </c>
      <c r="D857" s="2" t="s">
        <v>1</v>
      </c>
      <c r="E857" s="2" t="s">
        <v>134</v>
      </c>
      <c r="F857" s="2" t="s">
        <v>1070</v>
      </c>
      <c r="G857" s="2" t="s">
        <v>1071</v>
      </c>
      <c r="H857" s="2" t="s">
        <v>940</v>
      </c>
      <c r="I857" s="2" t="s">
        <v>42</v>
      </c>
      <c r="J857" s="2">
        <v>32</v>
      </c>
      <c r="K857" s="2" t="s">
        <v>137</v>
      </c>
      <c r="L857" s="2" t="s">
        <v>41</v>
      </c>
      <c r="M857" s="2" t="s">
        <v>135</v>
      </c>
      <c r="N857" s="2" t="s">
        <v>1067</v>
      </c>
      <c r="O857" s="2" t="s">
        <v>941</v>
      </c>
      <c r="P857" s="2" t="s">
        <v>49</v>
      </c>
      <c r="Q857" s="2">
        <f>INDEX(Tables!$C$4:$C$28,MATCH($P857,Tables!$B$4:$B$28,0))</f>
        <v>32</v>
      </c>
      <c r="R857" s="2">
        <f>INDEX(Tables!$D$4:$D$28,MATCH($P857,Tables!$B$4:$B$28,0))</f>
        <v>4</v>
      </c>
      <c r="S857" s="2">
        <f>$S856+$R856+INDEX(Tables!$N$5:$Q$8,MATCH(MOD($S856+$R856,4),Tables!$M$5:$M$8,0),MATCH($R857,Tables!$N$4:$Q$4,0))</f>
        <v>3056</v>
      </c>
      <c r="T857" s="2" t="str">
        <f t="shared" si="204"/>
        <v>0BF0</v>
      </c>
      <c r="U857" s="2">
        <f t="shared" si="195"/>
        <v>764</v>
      </c>
      <c r="V857" s="2" t="str">
        <f t="shared" si="205"/>
        <v>2FC</v>
      </c>
      <c r="W857" s="2" t="str">
        <f t="shared" si="206"/>
        <v>X</v>
      </c>
      <c r="X857" s="2" t="str">
        <f t="shared" si="207"/>
        <v>X</v>
      </c>
      <c r="Y857" s="2" t="str">
        <f t="shared" si="208"/>
        <v>X</v>
      </c>
      <c r="Z857" s="2" t="str">
        <f t="shared" si="209"/>
        <v>X</v>
      </c>
      <c r="AA857" s="2" t="str">
        <f t="shared" si="196"/>
        <v>(31 downto 24)</v>
      </c>
      <c r="AB857" s="2" t="str">
        <f t="shared" si="197"/>
        <v>(23 downto 16)</v>
      </c>
      <c r="AC857" s="2" t="str">
        <f t="shared" si="198"/>
        <v>(15 downto 8)</v>
      </c>
      <c r="AD857" s="2" t="str">
        <f t="shared" si="199"/>
        <v>(7 downto 0)</v>
      </c>
      <c r="AE857" s="2" t="str">
        <f t="shared" si="200"/>
        <v>(31 downto 24)</v>
      </c>
      <c r="AF857" s="2" t="str">
        <f t="shared" si="201"/>
        <v>(23 downto 16)</v>
      </c>
      <c r="AG857" s="2" t="str">
        <f t="shared" si="202"/>
        <v>(15 downto 8)</v>
      </c>
      <c r="AH857" s="2" t="str">
        <f t="shared" si="203"/>
        <v>(7 downto 0)</v>
      </c>
    </row>
    <row r="858" spans="2:34" x14ac:dyDescent="0.25">
      <c r="B858" s="2" t="s">
        <v>1064</v>
      </c>
      <c r="D858" s="2" t="s">
        <v>1</v>
      </c>
      <c r="E858" s="2" t="s">
        <v>134</v>
      </c>
      <c r="F858" s="2" t="s">
        <v>1070</v>
      </c>
      <c r="G858" s="2" t="s">
        <v>1071</v>
      </c>
      <c r="H858" s="2" t="s">
        <v>942</v>
      </c>
      <c r="I858" s="2" t="s">
        <v>42</v>
      </c>
      <c r="J858" s="2">
        <v>32</v>
      </c>
      <c r="K858" s="2" t="s">
        <v>137</v>
      </c>
      <c r="L858" s="2" t="s">
        <v>41</v>
      </c>
      <c r="M858" s="2" t="s">
        <v>135</v>
      </c>
      <c r="N858" s="2" t="s">
        <v>1067</v>
      </c>
      <c r="O858" s="2" t="s">
        <v>943</v>
      </c>
      <c r="P858" s="2" t="s">
        <v>49</v>
      </c>
      <c r="Q858" s="2">
        <f>INDEX(Tables!$C$4:$C$28,MATCH($P858,Tables!$B$4:$B$28,0))</f>
        <v>32</v>
      </c>
      <c r="R858" s="2">
        <f>INDEX(Tables!$D$4:$D$28,MATCH($P858,Tables!$B$4:$B$28,0))</f>
        <v>4</v>
      </c>
      <c r="S858" s="2">
        <f>$S857+$R857+INDEX(Tables!$N$5:$Q$8,MATCH(MOD($S857+$R857,4),Tables!$M$5:$M$8,0),MATCH($R858,Tables!$N$4:$Q$4,0))</f>
        <v>3060</v>
      </c>
      <c r="T858" s="2" t="str">
        <f t="shared" si="204"/>
        <v>0BF4</v>
      </c>
      <c r="U858" s="2">
        <f t="shared" si="195"/>
        <v>765</v>
      </c>
      <c r="V858" s="2" t="str">
        <f t="shared" si="205"/>
        <v>2FD</v>
      </c>
      <c r="W858" s="2" t="str">
        <f t="shared" si="206"/>
        <v>X</v>
      </c>
      <c r="X858" s="2" t="str">
        <f t="shared" si="207"/>
        <v>X</v>
      </c>
      <c r="Y858" s="2" t="str">
        <f t="shared" si="208"/>
        <v>X</v>
      </c>
      <c r="Z858" s="2" t="str">
        <f t="shared" si="209"/>
        <v>X</v>
      </c>
      <c r="AA858" s="2" t="str">
        <f t="shared" si="196"/>
        <v>(31 downto 24)</v>
      </c>
      <c r="AB858" s="2" t="str">
        <f t="shared" si="197"/>
        <v>(23 downto 16)</v>
      </c>
      <c r="AC858" s="2" t="str">
        <f t="shared" si="198"/>
        <v>(15 downto 8)</v>
      </c>
      <c r="AD858" s="2" t="str">
        <f t="shared" si="199"/>
        <v>(7 downto 0)</v>
      </c>
      <c r="AE858" s="2" t="str">
        <f t="shared" si="200"/>
        <v>(31 downto 24)</v>
      </c>
      <c r="AF858" s="2" t="str">
        <f t="shared" si="201"/>
        <v>(23 downto 16)</v>
      </c>
      <c r="AG858" s="2" t="str">
        <f t="shared" si="202"/>
        <v>(15 downto 8)</v>
      </c>
      <c r="AH858" s="2" t="str">
        <f t="shared" si="203"/>
        <v>(7 downto 0)</v>
      </c>
    </row>
    <row r="859" spans="2:34" x14ac:dyDescent="0.25">
      <c r="B859" s="2" t="s">
        <v>1064</v>
      </c>
      <c r="D859" s="2" t="s">
        <v>1</v>
      </c>
      <c r="E859" s="2" t="s">
        <v>134</v>
      </c>
      <c r="F859" s="2" t="s">
        <v>1070</v>
      </c>
      <c r="G859" s="2" t="s">
        <v>1071</v>
      </c>
      <c r="H859" s="2" t="s">
        <v>944</v>
      </c>
      <c r="I859" s="2" t="s">
        <v>42</v>
      </c>
      <c r="J859" s="2">
        <v>32</v>
      </c>
      <c r="K859" s="2" t="s">
        <v>137</v>
      </c>
      <c r="L859" s="2" t="s">
        <v>41</v>
      </c>
      <c r="M859" s="2" t="s">
        <v>135</v>
      </c>
      <c r="N859" s="2" t="s">
        <v>1067</v>
      </c>
      <c r="O859" s="2" t="s">
        <v>945</v>
      </c>
      <c r="P859" s="2" t="s">
        <v>49</v>
      </c>
      <c r="Q859" s="2">
        <f>INDEX(Tables!$C$4:$C$28,MATCH($P859,Tables!$B$4:$B$28,0))</f>
        <v>32</v>
      </c>
      <c r="R859" s="2">
        <f>INDEX(Tables!$D$4:$D$28,MATCH($P859,Tables!$B$4:$B$28,0))</f>
        <v>4</v>
      </c>
      <c r="S859" s="2">
        <f>$S858+$R858+INDEX(Tables!$N$5:$Q$8,MATCH(MOD($S858+$R858,4),Tables!$M$5:$M$8,0),MATCH($R859,Tables!$N$4:$Q$4,0))</f>
        <v>3064</v>
      </c>
      <c r="T859" s="2" t="str">
        <f t="shared" si="204"/>
        <v>0BF8</v>
      </c>
      <c r="U859" s="2">
        <f t="shared" si="195"/>
        <v>766</v>
      </c>
      <c r="V859" s="2" t="str">
        <f t="shared" si="205"/>
        <v>2FE</v>
      </c>
      <c r="W859" s="2" t="str">
        <f t="shared" si="206"/>
        <v>X</v>
      </c>
      <c r="X859" s="2" t="str">
        <f t="shared" si="207"/>
        <v>X</v>
      </c>
      <c r="Y859" s="2" t="str">
        <f t="shared" si="208"/>
        <v>X</v>
      </c>
      <c r="Z859" s="2" t="str">
        <f t="shared" si="209"/>
        <v>X</v>
      </c>
      <c r="AA859" s="2" t="str">
        <f t="shared" si="196"/>
        <v>(31 downto 24)</v>
      </c>
      <c r="AB859" s="2" t="str">
        <f t="shared" si="197"/>
        <v>(23 downto 16)</v>
      </c>
      <c r="AC859" s="2" t="str">
        <f t="shared" si="198"/>
        <v>(15 downto 8)</v>
      </c>
      <c r="AD859" s="2" t="str">
        <f t="shared" si="199"/>
        <v>(7 downto 0)</v>
      </c>
      <c r="AE859" s="2" t="str">
        <f t="shared" si="200"/>
        <v>(31 downto 24)</v>
      </c>
      <c r="AF859" s="2" t="str">
        <f t="shared" si="201"/>
        <v>(23 downto 16)</v>
      </c>
      <c r="AG859" s="2" t="str">
        <f t="shared" si="202"/>
        <v>(15 downto 8)</v>
      </c>
      <c r="AH859" s="2" t="str">
        <f t="shared" si="203"/>
        <v>(7 downto 0)</v>
      </c>
    </row>
    <row r="860" spans="2:34" x14ac:dyDescent="0.25">
      <c r="B860" s="2" t="s">
        <v>1064</v>
      </c>
      <c r="D860" s="2" t="s">
        <v>1</v>
      </c>
      <c r="E860" s="2" t="s">
        <v>134</v>
      </c>
      <c r="F860" s="2" t="s">
        <v>1070</v>
      </c>
      <c r="G860" s="2" t="s">
        <v>1071</v>
      </c>
      <c r="H860" s="2" t="s">
        <v>946</v>
      </c>
      <c r="I860" s="2" t="s">
        <v>42</v>
      </c>
      <c r="J860" s="2">
        <v>32</v>
      </c>
      <c r="K860" s="2" t="s">
        <v>137</v>
      </c>
      <c r="L860" s="2" t="s">
        <v>41</v>
      </c>
      <c r="M860" s="2" t="s">
        <v>135</v>
      </c>
      <c r="N860" s="2" t="s">
        <v>1067</v>
      </c>
      <c r="O860" s="2" t="s">
        <v>947</v>
      </c>
      <c r="P860" s="2" t="s">
        <v>49</v>
      </c>
      <c r="Q860" s="2">
        <f>INDEX(Tables!$C$4:$C$28,MATCH($P860,Tables!$B$4:$B$28,0))</f>
        <v>32</v>
      </c>
      <c r="R860" s="2">
        <f>INDEX(Tables!$D$4:$D$28,MATCH($P860,Tables!$B$4:$B$28,0))</f>
        <v>4</v>
      </c>
      <c r="S860" s="2">
        <f>$S859+$R859+INDEX(Tables!$N$5:$Q$8,MATCH(MOD($S859+$R859,4),Tables!$M$5:$M$8,0),MATCH($R860,Tables!$N$4:$Q$4,0))</f>
        <v>3068</v>
      </c>
      <c r="T860" s="2" t="str">
        <f t="shared" si="204"/>
        <v>0BFC</v>
      </c>
      <c r="U860" s="2">
        <f t="shared" si="195"/>
        <v>767</v>
      </c>
      <c r="V860" s="2" t="str">
        <f t="shared" si="205"/>
        <v>2FF</v>
      </c>
      <c r="W860" s="2" t="str">
        <f t="shared" si="206"/>
        <v>X</v>
      </c>
      <c r="X860" s="2" t="str">
        <f t="shared" si="207"/>
        <v>X</v>
      </c>
      <c r="Y860" s="2" t="str">
        <f t="shared" si="208"/>
        <v>X</v>
      </c>
      <c r="Z860" s="2" t="str">
        <f t="shared" si="209"/>
        <v>X</v>
      </c>
      <c r="AA860" s="2" t="str">
        <f t="shared" si="196"/>
        <v>(31 downto 24)</v>
      </c>
      <c r="AB860" s="2" t="str">
        <f t="shared" si="197"/>
        <v>(23 downto 16)</v>
      </c>
      <c r="AC860" s="2" t="str">
        <f t="shared" si="198"/>
        <v>(15 downto 8)</v>
      </c>
      <c r="AD860" s="2" t="str">
        <f t="shared" si="199"/>
        <v>(7 downto 0)</v>
      </c>
      <c r="AE860" s="2" t="str">
        <f t="shared" si="200"/>
        <v>(31 downto 24)</v>
      </c>
      <c r="AF860" s="2" t="str">
        <f t="shared" si="201"/>
        <v>(23 downto 16)</v>
      </c>
      <c r="AG860" s="2" t="str">
        <f t="shared" si="202"/>
        <v>(15 downto 8)</v>
      </c>
      <c r="AH860" s="2" t="str">
        <f t="shared" si="203"/>
        <v>(7 downto 0)</v>
      </c>
    </row>
    <row r="861" spans="2:34" x14ac:dyDescent="0.25">
      <c r="B861" s="2" t="s">
        <v>1064</v>
      </c>
      <c r="D861" s="2" t="s">
        <v>1</v>
      </c>
      <c r="E861" s="2" t="s">
        <v>134</v>
      </c>
      <c r="F861" s="2" t="s">
        <v>1072</v>
      </c>
      <c r="G861" s="2" t="s">
        <v>1073</v>
      </c>
      <c r="H861" s="2" t="s">
        <v>950</v>
      </c>
      <c r="I861" s="2" t="s">
        <v>42</v>
      </c>
      <c r="J861" s="2">
        <v>32</v>
      </c>
      <c r="K861" s="2" t="s">
        <v>137</v>
      </c>
      <c r="L861" s="2" t="s">
        <v>41</v>
      </c>
      <c r="M861" s="2" t="s">
        <v>135</v>
      </c>
      <c r="N861" s="2" t="s">
        <v>1067</v>
      </c>
      <c r="O861" s="2" t="s">
        <v>951</v>
      </c>
      <c r="P861" s="2" t="s">
        <v>49</v>
      </c>
      <c r="Q861" s="2">
        <f>INDEX(Tables!$C$4:$C$28,MATCH($P861,Tables!$B$4:$B$28,0))</f>
        <v>32</v>
      </c>
      <c r="R861" s="2">
        <f>INDEX(Tables!$D$4:$D$28,MATCH($P861,Tables!$B$4:$B$28,0))</f>
        <v>4</v>
      </c>
      <c r="S861" s="2">
        <f>$S860+$R860+INDEX(Tables!$N$5:$Q$8,MATCH(MOD($S860+$R860,4),Tables!$M$5:$M$8,0),MATCH($R861,Tables!$N$4:$Q$4,0))</f>
        <v>3072</v>
      </c>
      <c r="T861" s="2" t="str">
        <f t="shared" si="204"/>
        <v>0C00</v>
      </c>
      <c r="U861" s="2">
        <f t="shared" si="195"/>
        <v>768</v>
      </c>
      <c r="V861" s="2" t="str">
        <f t="shared" si="205"/>
        <v>300</v>
      </c>
      <c r="W861" s="2" t="str">
        <f t="shared" si="206"/>
        <v>X</v>
      </c>
      <c r="X861" s="2" t="str">
        <f t="shared" si="207"/>
        <v>X</v>
      </c>
      <c r="Y861" s="2" t="str">
        <f t="shared" si="208"/>
        <v>X</v>
      </c>
      <c r="Z861" s="2" t="str">
        <f t="shared" si="209"/>
        <v>X</v>
      </c>
      <c r="AA861" s="2" t="str">
        <f t="shared" si="196"/>
        <v>(31 downto 24)</v>
      </c>
      <c r="AB861" s="2" t="str">
        <f t="shared" si="197"/>
        <v>(23 downto 16)</v>
      </c>
      <c r="AC861" s="2" t="str">
        <f t="shared" si="198"/>
        <v>(15 downto 8)</v>
      </c>
      <c r="AD861" s="2" t="str">
        <f t="shared" si="199"/>
        <v>(7 downto 0)</v>
      </c>
      <c r="AE861" s="2" t="str">
        <f t="shared" si="200"/>
        <v>(31 downto 24)</v>
      </c>
      <c r="AF861" s="2" t="str">
        <f t="shared" si="201"/>
        <v>(23 downto 16)</v>
      </c>
      <c r="AG861" s="2" t="str">
        <f t="shared" si="202"/>
        <v>(15 downto 8)</v>
      </c>
      <c r="AH861" s="2" t="str">
        <f t="shared" si="203"/>
        <v>(7 downto 0)</v>
      </c>
    </row>
    <row r="862" spans="2:34" x14ac:dyDescent="0.25">
      <c r="B862" s="2" t="s">
        <v>1064</v>
      </c>
      <c r="D862" s="2" t="s">
        <v>1</v>
      </c>
      <c r="E862" s="2" t="s">
        <v>134</v>
      </c>
      <c r="F862" s="2" t="s">
        <v>1072</v>
      </c>
      <c r="G862" s="2" t="s">
        <v>1073</v>
      </c>
      <c r="H862" s="2" t="s">
        <v>952</v>
      </c>
      <c r="I862" s="2" t="s">
        <v>42</v>
      </c>
      <c r="J862" s="2">
        <v>32</v>
      </c>
      <c r="K862" s="2" t="s">
        <v>137</v>
      </c>
      <c r="L862" s="2" t="s">
        <v>41</v>
      </c>
      <c r="M862" s="2" t="s">
        <v>135</v>
      </c>
      <c r="N862" s="2" t="s">
        <v>1067</v>
      </c>
      <c r="O862" s="2" t="s">
        <v>953</v>
      </c>
      <c r="P862" s="2" t="s">
        <v>49</v>
      </c>
      <c r="Q862" s="2">
        <f>INDEX(Tables!$C$4:$C$28,MATCH($P862,Tables!$B$4:$B$28,0))</f>
        <v>32</v>
      </c>
      <c r="R862" s="2">
        <f>INDEX(Tables!$D$4:$D$28,MATCH($P862,Tables!$B$4:$B$28,0))</f>
        <v>4</v>
      </c>
      <c r="S862" s="2">
        <f>$S861+$R861+INDEX(Tables!$N$5:$Q$8,MATCH(MOD($S861+$R861,4),Tables!$M$5:$M$8,0),MATCH($R862,Tables!$N$4:$Q$4,0))</f>
        <v>3076</v>
      </c>
      <c r="T862" s="2" t="str">
        <f t="shared" si="204"/>
        <v>0C04</v>
      </c>
      <c r="U862" s="2">
        <f t="shared" si="195"/>
        <v>769</v>
      </c>
      <c r="V862" s="2" t="str">
        <f t="shared" si="205"/>
        <v>301</v>
      </c>
      <c r="W862" s="2" t="str">
        <f t="shared" si="206"/>
        <v>X</v>
      </c>
      <c r="X862" s="2" t="str">
        <f t="shared" si="207"/>
        <v>X</v>
      </c>
      <c r="Y862" s="2" t="str">
        <f t="shared" si="208"/>
        <v>X</v>
      </c>
      <c r="Z862" s="2" t="str">
        <f t="shared" si="209"/>
        <v>X</v>
      </c>
      <c r="AA862" s="2" t="str">
        <f t="shared" si="196"/>
        <v>(31 downto 24)</v>
      </c>
      <c r="AB862" s="2" t="str">
        <f t="shared" si="197"/>
        <v>(23 downto 16)</v>
      </c>
      <c r="AC862" s="2" t="str">
        <f t="shared" si="198"/>
        <v>(15 downto 8)</v>
      </c>
      <c r="AD862" s="2" t="str">
        <f t="shared" si="199"/>
        <v>(7 downto 0)</v>
      </c>
      <c r="AE862" s="2" t="str">
        <f t="shared" si="200"/>
        <v>(31 downto 24)</v>
      </c>
      <c r="AF862" s="2" t="str">
        <f t="shared" si="201"/>
        <v>(23 downto 16)</v>
      </c>
      <c r="AG862" s="2" t="str">
        <f t="shared" si="202"/>
        <v>(15 downto 8)</v>
      </c>
      <c r="AH862" s="2" t="str">
        <f t="shared" si="203"/>
        <v>(7 downto 0)</v>
      </c>
    </row>
    <row r="863" spans="2:34" x14ac:dyDescent="0.25">
      <c r="B863" s="2" t="s">
        <v>1064</v>
      </c>
      <c r="D863" s="2" t="s">
        <v>1</v>
      </c>
      <c r="E863" s="2" t="s">
        <v>134</v>
      </c>
      <c r="F863" s="2" t="s">
        <v>1072</v>
      </c>
      <c r="G863" s="2" t="s">
        <v>1073</v>
      </c>
      <c r="H863" s="2" t="s">
        <v>954</v>
      </c>
      <c r="I863" s="2" t="s">
        <v>42</v>
      </c>
      <c r="J863" s="2">
        <v>32</v>
      </c>
      <c r="K863" s="2" t="s">
        <v>137</v>
      </c>
      <c r="L863" s="2" t="s">
        <v>41</v>
      </c>
      <c r="M863" s="2" t="s">
        <v>135</v>
      </c>
      <c r="N863" s="2" t="s">
        <v>1067</v>
      </c>
      <c r="O863" s="2" t="s">
        <v>955</v>
      </c>
      <c r="P863" s="2" t="s">
        <v>49</v>
      </c>
      <c r="Q863" s="2">
        <f>INDEX(Tables!$C$4:$C$28,MATCH($P863,Tables!$B$4:$B$28,0))</f>
        <v>32</v>
      </c>
      <c r="R863" s="2">
        <f>INDEX(Tables!$D$4:$D$28,MATCH($P863,Tables!$B$4:$B$28,0))</f>
        <v>4</v>
      </c>
      <c r="S863" s="2">
        <f>$S862+$R862+INDEX(Tables!$N$5:$Q$8,MATCH(MOD($S862+$R862,4),Tables!$M$5:$M$8,0),MATCH($R863,Tables!$N$4:$Q$4,0))</f>
        <v>3080</v>
      </c>
      <c r="T863" s="2" t="str">
        <f t="shared" si="204"/>
        <v>0C08</v>
      </c>
      <c r="U863" s="2">
        <f t="shared" si="195"/>
        <v>770</v>
      </c>
      <c r="V863" s="2" t="str">
        <f t="shared" si="205"/>
        <v>302</v>
      </c>
      <c r="W863" s="2" t="str">
        <f t="shared" si="206"/>
        <v>X</v>
      </c>
      <c r="X863" s="2" t="str">
        <f t="shared" si="207"/>
        <v>X</v>
      </c>
      <c r="Y863" s="2" t="str">
        <f t="shared" si="208"/>
        <v>X</v>
      </c>
      <c r="Z863" s="2" t="str">
        <f t="shared" si="209"/>
        <v>X</v>
      </c>
      <c r="AA863" s="2" t="str">
        <f t="shared" si="196"/>
        <v>(31 downto 24)</v>
      </c>
      <c r="AB863" s="2" t="str">
        <f t="shared" si="197"/>
        <v>(23 downto 16)</v>
      </c>
      <c r="AC863" s="2" t="str">
        <f t="shared" si="198"/>
        <v>(15 downto 8)</v>
      </c>
      <c r="AD863" s="2" t="str">
        <f t="shared" si="199"/>
        <v>(7 downto 0)</v>
      </c>
      <c r="AE863" s="2" t="str">
        <f t="shared" si="200"/>
        <v>(31 downto 24)</v>
      </c>
      <c r="AF863" s="2" t="str">
        <f t="shared" si="201"/>
        <v>(23 downto 16)</v>
      </c>
      <c r="AG863" s="2" t="str">
        <f t="shared" si="202"/>
        <v>(15 downto 8)</v>
      </c>
      <c r="AH863" s="2" t="str">
        <f t="shared" si="203"/>
        <v>(7 downto 0)</v>
      </c>
    </row>
    <row r="864" spans="2:34" x14ac:dyDescent="0.25">
      <c r="B864" s="2" t="s">
        <v>1064</v>
      </c>
      <c r="D864" s="2" t="s">
        <v>1</v>
      </c>
      <c r="E864" s="2" t="s">
        <v>134</v>
      </c>
      <c r="F864" s="2" t="s">
        <v>1072</v>
      </c>
      <c r="G864" s="2" t="s">
        <v>1073</v>
      </c>
      <c r="H864" s="2" t="s">
        <v>956</v>
      </c>
      <c r="I864" s="2" t="s">
        <v>42</v>
      </c>
      <c r="J864" s="2">
        <v>32</v>
      </c>
      <c r="K864" s="2" t="s">
        <v>137</v>
      </c>
      <c r="L864" s="2" t="s">
        <v>41</v>
      </c>
      <c r="M864" s="2" t="s">
        <v>135</v>
      </c>
      <c r="N864" s="2" t="s">
        <v>1067</v>
      </c>
      <c r="O864" s="2" t="s">
        <v>957</v>
      </c>
      <c r="P864" s="2" t="s">
        <v>49</v>
      </c>
      <c r="Q864" s="2">
        <f>INDEX(Tables!$C$4:$C$28,MATCH($P864,Tables!$B$4:$B$28,0))</f>
        <v>32</v>
      </c>
      <c r="R864" s="2">
        <f>INDEX(Tables!$D$4:$D$28,MATCH($P864,Tables!$B$4:$B$28,0))</f>
        <v>4</v>
      </c>
      <c r="S864" s="2">
        <f>$S863+$R863+INDEX(Tables!$N$5:$Q$8,MATCH(MOD($S863+$R863,4),Tables!$M$5:$M$8,0),MATCH($R864,Tables!$N$4:$Q$4,0))</f>
        <v>3084</v>
      </c>
      <c r="T864" s="2" t="str">
        <f t="shared" si="204"/>
        <v>0C0C</v>
      </c>
      <c r="U864" s="2">
        <f t="shared" si="195"/>
        <v>771</v>
      </c>
      <c r="V864" s="2" t="str">
        <f t="shared" si="205"/>
        <v>303</v>
      </c>
      <c r="W864" s="2" t="str">
        <f t="shared" si="206"/>
        <v>X</v>
      </c>
      <c r="X864" s="2" t="str">
        <f t="shared" si="207"/>
        <v>X</v>
      </c>
      <c r="Y864" s="2" t="str">
        <f t="shared" si="208"/>
        <v>X</v>
      </c>
      <c r="Z864" s="2" t="str">
        <f t="shared" si="209"/>
        <v>X</v>
      </c>
      <c r="AA864" s="2" t="str">
        <f t="shared" si="196"/>
        <v>(31 downto 24)</v>
      </c>
      <c r="AB864" s="2" t="str">
        <f t="shared" si="197"/>
        <v>(23 downto 16)</v>
      </c>
      <c r="AC864" s="2" t="str">
        <f t="shared" si="198"/>
        <v>(15 downto 8)</v>
      </c>
      <c r="AD864" s="2" t="str">
        <f t="shared" si="199"/>
        <v>(7 downto 0)</v>
      </c>
      <c r="AE864" s="2" t="str">
        <f t="shared" si="200"/>
        <v>(31 downto 24)</v>
      </c>
      <c r="AF864" s="2" t="str">
        <f t="shared" si="201"/>
        <v>(23 downto 16)</v>
      </c>
      <c r="AG864" s="2" t="str">
        <f t="shared" si="202"/>
        <v>(15 downto 8)</v>
      </c>
      <c r="AH864" s="2" t="str">
        <f t="shared" si="203"/>
        <v>(7 downto 0)</v>
      </c>
    </row>
    <row r="865" spans="2:34" x14ac:dyDescent="0.25">
      <c r="B865" s="2" t="s">
        <v>1064</v>
      </c>
      <c r="D865" s="2" t="s">
        <v>1</v>
      </c>
      <c r="E865" s="2" t="s">
        <v>134</v>
      </c>
      <c r="F865" s="2" t="s">
        <v>1074</v>
      </c>
      <c r="G865" s="2" t="s">
        <v>1075</v>
      </c>
      <c r="H865" s="2" t="s">
        <v>960</v>
      </c>
      <c r="I865" s="2" t="s">
        <v>42</v>
      </c>
      <c r="J865" s="2">
        <v>32</v>
      </c>
      <c r="K865" s="2" t="s">
        <v>137</v>
      </c>
      <c r="L865" s="2" t="s">
        <v>41</v>
      </c>
      <c r="M865" s="2" t="s">
        <v>135</v>
      </c>
      <c r="N865" s="2" t="s">
        <v>1067</v>
      </c>
      <c r="O865" s="2" t="s">
        <v>961</v>
      </c>
      <c r="P865" s="2" t="s">
        <v>49</v>
      </c>
      <c r="Q865" s="2">
        <f>INDEX(Tables!$C$4:$C$28,MATCH($P865,Tables!$B$4:$B$28,0))</f>
        <v>32</v>
      </c>
      <c r="R865" s="2">
        <f>INDEX(Tables!$D$4:$D$28,MATCH($P865,Tables!$B$4:$B$28,0))</f>
        <v>4</v>
      </c>
      <c r="S865" s="2">
        <f>$S864+$R864+INDEX(Tables!$N$5:$Q$8,MATCH(MOD($S864+$R864,4),Tables!$M$5:$M$8,0),MATCH($R865,Tables!$N$4:$Q$4,0))</f>
        <v>3088</v>
      </c>
      <c r="T865" s="2" t="str">
        <f t="shared" si="204"/>
        <v>0C10</v>
      </c>
      <c r="U865" s="2">
        <f t="shared" si="195"/>
        <v>772</v>
      </c>
      <c r="V865" s="2" t="str">
        <f t="shared" si="205"/>
        <v>304</v>
      </c>
      <c r="W865" s="2" t="str">
        <f t="shared" si="206"/>
        <v>X</v>
      </c>
      <c r="X865" s="2" t="str">
        <f t="shared" si="207"/>
        <v>X</v>
      </c>
      <c r="Y865" s="2" t="str">
        <f t="shared" si="208"/>
        <v>X</v>
      </c>
      <c r="Z865" s="2" t="str">
        <f t="shared" si="209"/>
        <v>X</v>
      </c>
      <c r="AA865" s="2" t="str">
        <f t="shared" si="196"/>
        <v>(31 downto 24)</v>
      </c>
      <c r="AB865" s="2" t="str">
        <f t="shared" si="197"/>
        <v>(23 downto 16)</v>
      </c>
      <c r="AC865" s="2" t="str">
        <f t="shared" si="198"/>
        <v>(15 downto 8)</v>
      </c>
      <c r="AD865" s="2" t="str">
        <f t="shared" si="199"/>
        <v>(7 downto 0)</v>
      </c>
      <c r="AE865" s="2" t="str">
        <f t="shared" si="200"/>
        <v>(31 downto 24)</v>
      </c>
      <c r="AF865" s="2" t="str">
        <f t="shared" si="201"/>
        <v>(23 downto 16)</v>
      </c>
      <c r="AG865" s="2" t="str">
        <f t="shared" si="202"/>
        <v>(15 downto 8)</v>
      </c>
      <c r="AH865" s="2" t="str">
        <f t="shared" si="203"/>
        <v>(7 downto 0)</v>
      </c>
    </row>
    <row r="866" spans="2:34" x14ac:dyDescent="0.25">
      <c r="B866" s="2" t="s">
        <v>1064</v>
      </c>
      <c r="D866" s="2" t="s">
        <v>1</v>
      </c>
      <c r="E866" s="2" t="s">
        <v>134</v>
      </c>
      <c r="F866" s="2" t="s">
        <v>1074</v>
      </c>
      <c r="G866" s="2" t="s">
        <v>1075</v>
      </c>
      <c r="H866" s="2" t="s">
        <v>962</v>
      </c>
      <c r="I866" s="2" t="s">
        <v>42</v>
      </c>
      <c r="J866" s="2">
        <v>32</v>
      </c>
      <c r="K866" s="2" t="s">
        <v>137</v>
      </c>
      <c r="L866" s="2" t="s">
        <v>41</v>
      </c>
      <c r="M866" s="2" t="s">
        <v>135</v>
      </c>
      <c r="N866" s="2" t="s">
        <v>1067</v>
      </c>
      <c r="O866" s="2" t="s">
        <v>963</v>
      </c>
      <c r="P866" s="2" t="s">
        <v>49</v>
      </c>
      <c r="Q866" s="2">
        <f>INDEX(Tables!$C$4:$C$28,MATCH($P866,Tables!$B$4:$B$28,0))</f>
        <v>32</v>
      </c>
      <c r="R866" s="2">
        <f>INDEX(Tables!$D$4:$D$28,MATCH($P866,Tables!$B$4:$B$28,0))</f>
        <v>4</v>
      </c>
      <c r="S866" s="2">
        <f>$S865+$R865+INDEX(Tables!$N$5:$Q$8,MATCH(MOD($S865+$R865,4),Tables!$M$5:$M$8,0),MATCH($R866,Tables!$N$4:$Q$4,0))</f>
        <v>3092</v>
      </c>
      <c r="T866" s="2" t="str">
        <f t="shared" si="204"/>
        <v>0C14</v>
      </c>
      <c r="U866" s="2">
        <f t="shared" si="195"/>
        <v>773</v>
      </c>
      <c r="V866" s="2" t="str">
        <f t="shared" si="205"/>
        <v>305</v>
      </c>
      <c r="W866" s="2" t="str">
        <f t="shared" si="206"/>
        <v>X</v>
      </c>
      <c r="X866" s="2" t="str">
        <f t="shared" si="207"/>
        <v>X</v>
      </c>
      <c r="Y866" s="2" t="str">
        <f t="shared" si="208"/>
        <v>X</v>
      </c>
      <c r="Z866" s="2" t="str">
        <f t="shared" si="209"/>
        <v>X</v>
      </c>
      <c r="AA866" s="2" t="str">
        <f t="shared" si="196"/>
        <v>(31 downto 24)</v>
      </c>
      <c r="AB866" s="2" t="str">
        <f t="shared" si="197"/>
        <v>(23 downto 16)</v>
      </c>
      <c r="AC866" s="2" t="str">
        <f t="shared" si="198"/>
        <v>(15 downto 8)</v>
      </c>
      <c r="AD866" s="2" t="str">
        <f t="shared" si="199"/>
        <v>(7 downto 0)</v>
      </c>
      <c r="AE866" s="2" t="str">
        <f t="shared" si="200"/>
        <v>(31 downto 24)</v>
      </c>
      <c r="AF866" s="2" t="str">
        <f t="shared" si="201"/>
        <v>(23 downto 16)</v>
      </c>
      <c r="AG866" s="2" t="str">
        <f t="shared" si="202"/>
        <v>(15 downto 8)</v>
      </c>
      <c r="AH866" s="2" t="str">
        <f t="shared" si="203"/>
        <v>(7 downto 0)</v>
      </c>
    </row>
    <row r="867" spans="2:34" x14ac:dyDescent="0.25">
      <c r="B867" s="2" t="s">
        <v>1064</v>
      </c>
      <c r="D867" s="2" t="s">
        <v>1</v>
      </c>
      <c r="E867" s="2" t="s">
        <v>134</v>
      </c>
      <c r="F867" s="2" t="s">
        <v>1074</v>
      </c>
      <c r="G867" s="2" t="s">
        <v>1075</v>
      </c>
      <c r="H867" s="2" t="s">
        <v>964</v>
      </c>
      <c r="I867" s="2" t="s">
        <v>42</v>
      </c>
      <c r="J867" s="2">
        <v>32</v>
      </c>
      <c r="K867" s="2" t="s">
        <v>137</v>
      </c>
      <c r="L867" s="2" t="s">
        <v>41</v>
      </c>
      <c r="M867" s="2" t="s">
        <v>135</v>
      </c>
      <c r="N867" s="2" t="s">
        <v>1067</v>
      </c>
      <c r="O867" s="2" t="s">
        <v>965</v>
      </c>
      <c r="P867" s="2" t="s">
        <v>49</v>
      </c>
      <c r="Q867" s="2">
        <f>INDEX(Tables!$C$4:$C$28,MATCH($P867,Tables!$B$4:$B$28,0))</f>
        <v>32</v>
      </c>
      <c r="R867" s="2">
        <f>INDEX(Tables!$D$4:$D$28,MATCH($P867,Tables!$B$4:$B$28,0))</f>
        <v>4</v>
      </c>
      <c r="S867" s="2">
        <f>$S866+$R866+INDEX(Tables!$N$5:$Q$8,MATCH(MOD($S866+$R866,4),Tables!$M$5:$M$8,0),MATCH($R867,Tables!$N$4:$Q$4,0))</f>
        <v>3096</v>
      </c>
      <c r="T867" s="2" t="str">
        <f t="shared" si="204"/>
        <v>0C18</v>
      </c>
      <c r="U867" s="2">
        <f t="shared" si="195"/>
        <v>774</v>
      </c>
      <c r="V867" s="2" t="str">
        <f t="shared" si="205"/>
        <v>306</v>
      </c>
      <c r="W867" s="2" t="str">
        <f t="shared" si="206"/>
        <v>X</v>
      </c>
      <c r="X867" s="2" t="str">
        <f t="shared" si="207"/>
        <v>X</v>
      </c>
      <c r="Y867" s="2" t="str">
        <f t="shared" si="208"/>
        <v>X</v>
      </c>
      <c r="Z867" s="2" t="str">
        <f t="shared" si="209"/>
        <v>X</v>
      </c>
      <c r="AA867" s="2" t="str">
        <f t="shared" si="196"/>
        <v>(31 downto 24)</v>
      </c>
      <c r="AB867" s="2" t="str">
        <f t="shared" si="197"/>
        <v>(23 downto 16)</v>
      </c>
      <c r="AC867" s="2" t="str">
        <f t="shared" si="198"/>
        <v>(15 downto 8)</v>
      </c>
      <c r="AD867" s="2" t="str">
        <f t="shared" si="199"/>
        <v>(7 downto 0)</v>
      </c>
      <c r="AE867" s="2" t="str">
        <f t="shared" si="200"/>
        <v>(31 downto 24)</v>
      </c>
      <c r="AF867" s="2" t="str">
        <f t="shared" si="201"/>
        <v>(23 downto 16)</v>
      </c>
      <c r="AG867" s="2" t="str">
        <f t="shared" si="202"/>
        <v>(15 downto 8)</v>
      </c>
      <c r="AH867" s="2" t="str">
        <f t="shared" si="203"/>
        <v>(7 downto 0)</v>
      </c>
    </row>
    <row r="868" spans="2:34" x14ac:dyDescent="0.25">
      <c r="B868" s="2" t="s">
        <v>1064</v>
      </c>
      <c r="D868" s="2" t="s">
        <v>1</v>
      </c>
      <c r="E868" s="2" t="s">
        <v>134</v>
      </c>
      <c r="F868" s="2" t="s">
        <v>1074</v>
      </c>
      <c r="G868" s="2" t="s">
        <v>1075</v>
      </c>
      <c r="H868" s="2" t="s">
        <v>966</v>
      </c>
      <c r="I868" s="2" t="s">
        <v>42</v>
      </c>
      <c r="J868" s="2">
        <v>32</v>
      </c>
      <c r="K868" s="2" t="s">
        <v>137</v>
      </c>
      <c r="L868" s="2" t="s">
        <v>41</v>
      </c>
      <c r="M868" s="2" t="s">
        <v>135</v>
      </c>
      <c r="N868" s="2" t="s">
        <v>1067</v>
      </c>
      <c r="O868" s="2" t="s">
        <v>967</v>
      </c>
      <c r="P868" s="2" t="s">
        <v>49</v>
      </c>
      <c r="Q868" s="2">
        <f>INDEX(Tables!$C$4:$C$28,MATCH($P868,Tables!$B$4:$B$28,0))</f>
        <v>32</v>
      </c>
      <c r="R868" s="2">
        <f>INDEX(Tables!$D$4:$D$28,MATCH($P868,Tables!$B$4:$B$28,0))</f>
        <v>4</v>
      </c>
      <c r="S868" s="2">
        <f>$S867+$R867+INDEX(Tables!$N$5:$Q$8,MATCH(MOD($S867+$R867,4),Tables!$M$5:$M$8,0),MATCH($R868,Tables!$N$4:$Q$4,0))</f>
        <v>3100</v>
      </c>
      <c r="T868" s="2" t="str">
        <f t="shared" si="204"/>
        <v>0C1C</v>
      </c>
      <c r="U868" s="2">
        <f t="shared" si="195"/>
        <v>775</v>
      </c>
      <c r="V868" s="2" t="str">
        <f t="shared" si="205"/>
        <v>307</v>
      </c>
      <c r="W868" s="2" t="str">
        <f t="shared" si="206"/>
        <v>X</v>
      </c>
      <c r="X868" s="2" t="str">
        <f t="shared" si="207"/>
        <v>X</v>
      </c>
      <c r="Y868" s="2" t="str">
        <f t="shared" si="208"/>
        <v>X</v>
      </c>
      <c r="Z868" s="2" t="str">
        <f t="shared" si="209"/>
        <v>X</v>
      </c>
      <c r="AA868" s="2" t="str">
        <f t="shared" si="196"/>
        <v>(31 downto 24)</v>
      </c>
      <c r="AB868" s="2" t="str">
        <f t="shared" si="197"/>
        <v>(23 downto 16)</v>
      </c>
      <c r="AC868" s="2" t="str">
        <f t="shared" si="198"/>
        <v>(15 downto 8)</v>
      </c>
      <c r="AD868" s="2" t="str">
        <f t="shared" si="199"/>
        <v>(7 downto 0)</v>
      </c>
      <c r="AE868" s="2" t="str">
        <f t="shared" si="200"/>
        <v>(31 downto 24)</v>
      </c>
      <c r="AF868" s="2" t="str">
        <f t="shared" si="201"/>
        <v>(23 downto 16)</v>
      </c>
      <c r="AG868" s="2" t="str">
        <f t="shared" si="202"/>
        <v>(15 downto 8)</v>
      </c>
      <c r="AH868" s="2" t="str">
        <f t="shared" si="203"/>
        <v>(7 downto 0)</v>
      </c>
    </row>
    <row r="869" spans="2:34" x14ac:dyDescent="0.25">
      <c r="B869" s="2" t="s">
        <v>1064</v>
      </c>
      <c r="D869" s="2" t="s">
        <v>1</v>
      </c>
      <c r="E869" s="2" t="s">
        <v>134</v>
      </c>
      <c r="F869" s="2" t="s">
        <v>1076</v>
      </c>
      <c r="G869" s="2" t="s">
        <v>1077</v>
      </c>
      <c r="H869" s="2" t="s">
        <v>970</v>
      </c>
      <c r="I869" s="2" t="s">
        <v>42</v>
      </c>
      <c r="J869" s="2">
        <v>8</v>
      </c>
      <c r="K869" s="2" t="s">
        <v>137</v>
      </c>
      <c r="L869" s="2" t="s">
        <v>41</v>
      </c>
      <c r="M869" s="2" t="s">
        <v>135</v>
      </c>
      <c r="N869" s="2" t="s">
        <v>1067</v>
      </c>
      <c r="O869" s="2" t="s">
        <v>971</v>
      </c>
      <c r="P869" s="2" t="s">
        <v>48</v>
      </c>
      <c r="Q869" s="2">
        <f>INDEX(Tables!$C$4:$C$28,MATCH($P869,Tables!$B$4:$B$28,0))</f>
        <v>8</v>
      </c>
      <c r="R869" s="2">
        <f>INDEX(Tables!$D$4:$D$28,MATCH($P869,Tables!$B$4:$B$28,0))</f>
        <v>1</v>
      </c>
      <c r="S869" s="2">
        <f>$S868+$R868+INDEX(Tables!$N$5:$Q$8,MATCH(MOD($S868+$R868,4),Tables!$M$5:$M$8,0),MATCH($R869,Tables!$N$4:$Q$4,0))</f>
        <v>3104</v>
      </c>
      <c r="T869" s="2" t="str">
        <f t="shared" si="204"/>
        <v>0C20</v>
      </c>
      <c r="U869" s="2">
        <f t="shared" si="195"/>
        <v>776</v>
      </c>
      <c r="V869" s="2" t="str">
        <f t="shared" si="205"/>
        <v>308</v>
      </c>
      <c r="W869" s="2" t="str">
        <f t="shared" si="206"/>
        <v/>
      </c>
      <c r="X869" s="2" t="str">
        <f t="shared" si="207"/>
        <v/>
      </c>
      <c r="Y869" s="2" t="str">
        <f t="shared" si="208"/>
        <v/>
      </c>
      <c r="Z869" s="2" t="str">
        <f t="shared" si="209"/>
        <v>X</v>
      </c>
      <c r="AA869" s="2" t="str">
        <f t="shared" si="196"/>
        <v/>
      </c>
      <c r="AB869" s="2" t="str">
        <f t="shared" si="197"/>
        <v/>
      </c>
      <c r="AC869" s="2" t="str">
        <f t="shared" si="198"/>
        <v/>
      </c>
      <c r="AD869" s="2" t="str">
        <f t="shared" si="199"/>
        <v>(7 downto 0)</v>
      </c>
      <c r="AE869" s="2" t="str">
        <f t="shared" si="200"/>
        <v/>
      </c>
      <c r="AF869" s="2" t="str">
        <f t="shared" si="201"/>
        <v/>
      </c>
      <c r="AG869" s="2" t="str">
        <f t="shared" si="202"/>
        <v/>
      </c>
      <c r="AH869" s="2" t="str">
        <f t="shared" si="203"/>
        <v/>
      </c>
    </row>
    <row r="870" spans="2:34" x14ac:dyDescent="0.25">
      <c r="B870" s="2" t="s">
        <v>1064</v>
      </c>
      <c r="D870" s="2" t="s">
        <v>1</v>
      </c>
      <c r="E870" s="2" t="s">
        <v>134</v>
      </c>
      <c r="F870" s="2" t="s">
        <v>1076</v>
      </c>
      <c r="G870" s="2" t="s">
        <v>1077</v>
      </c>
      <c r="H870" s="2" t="s">
        <v>972</v>
      </c>
      <c r="I870" s="2" t="s">
        <v>42</v>
      </c>
      <c r="J870" s="2">
        <v>8</v>
      </c>
      <c r="K870" s="2" t="s">
        <v>137</v>
      </c>
      <c r="L870" s="2" t="s">
        <v>41</v>
      </c>
      <c r="M870" s="2" t="s">
        <v>135</v>
      </c>
      <c r="N870" s="2" t="s">
        <v>1067</v>
      </c>
      <c r="O870" s="2" t="s">
        <v>973</v>
      </c>
      <c r="P870" s="2" t="s">
        <v>48</v>
      </c>
      <c r="Q870" s="2">
        <f>INDEX(Tables!$C$4:$C$28,MATCH($P870,Tables!$B$4:$B$28,0))</f>
        <v>8</v>
      </c>
      <c r="R870" s="2">
        <f>INDEX(Tables!$D$4:$D$28,MATCH($P870,Tables!$B$4:$B$28,0))</f>
        <v>1</v>
      </c>
      <c r="S870" s="2">
        <f>$S869+$R869+INDEX(Tables!$N$5:$Q$8,MATCH(MOD($S869+$R869,4),Tables!$M$5:$M$8,0),MATCH($R870,Tables!$N$4:$Q$4,0))</f>
        <v>3105</v>
      </c>
      <c r="T870" s="2" t="str">
        <f t="shared" si="204"/>
        <v>0C21</v>
      </c>
      <c r="U870" s="2">
        <f t="shared" si="195"/>
        <v>776</v>
      </c>
      <c r="V870" s="2" t="str">
        <f t="shared" si="205"/>
        <v>308</v>
      </c>
      <c r="W870" s="2" t="str">
        <f t="shared" si="206"/>
        <v/>
      </c>
      <c r="X870" s="2" t="str">
        <f t="shared" si="207"/>
        <v/>
      </c>
      <c r="Y870" s="2" t="str">
        <f t="shared" si="208"/>
        <v>X</v>
      </c>
      <c r="Z870" s="2" t="str">
        <f t="shared" si="209"/>
        <v/>
      </c>
      <c r="AA870" s="2" t="str">
        <f t="shared" si="196"/>
        <v/>
      </c>
      <c r="AB870" s="2" t="str">
        <f t="shared" si="197"/>
        <v/>
      </c>
      <c r="AC870" s="2" t="str">
        <f t="shared" si="198"/>
        <v>(15 downto 8)</v>
      </c>
      <c r="AD870" s="2" t="str">
        <f t="shared" si="199"/>
        <v/>
      </c>
      <c r="AE870" s="2" t="str">
        <f t="shared" si="200"/>
        <v/>
      </c>
      <c r="AF870" s="2" t="str">
        <f t="shared" si="201"/>
        <v/>
      </c>
      <c r="AG870" s="2" t="str">
        <f t="shared" si="202"/>
        <v/>
      </c>
      <c r="AH870" s="2" t="str">
        <f t="shared" si="203"/>
        <v/>
      </c>
    </row>
    <row r="871" spans="2:34" x14ac:dyDescent="0.25">
      <c r="B871" s="2" t="s">
        <v>1064</v>
      </c>
      <c r="D871" s="2" t="s">
        <v>1</v>
      </c>
      <c r="E871" s="2" t="s">
        <v>134</v>
      </c>
      <c r="F871" s="2" t="s">
        <v>1078</v>
      </c>
      <c r="G871" s="2" t="s">
        <v>1079</v>
      </c>
      <c r="H871" s="2" t="s">
        <v>976</v>
      </c>
      <c r="I871" s="2" t="s">
        <v>42</v>
      </c>
      <c r="J871" s="2">
        <v>16</v>
      </c>
      <c r="K871" s="2" t="s">
        <v>137</v>
      </c>
      <c r="L871" s="2" t="s">
        <v>41</v>
      </c>
      <c r="M871" s="2" t="s">
        <v>135</v>
      </c>
      <c r="N871" s="2" t="s">
        <v>1067</v>
      </c>
      <c r="O871" s="2" t="s">
        <v>977</v>
      </c>
      <c r="P871" s="2" t="s">
        <v>50</v>
      </c>
      <c r="Q871" s="2">
        <f>INDEX(Tables!$C$4:$C$28,MATCH($P871,Tables!$B$4:$B$28,0))</f>
        <v>16</v>
      </c>
      <c r="R871" s="2">
        <f>INDEX(Tables!$D$4:$D$28,MATCH($P871,Tables!$B$4:$B$28,0))</f>
        <v>2</v>
      </c>
      <c r="S871" s="2">
        <f>$S870+$R870+INDEX(Tables!$N$5:$Q$8,MATCH(MOD($S870+$R870,4),Tables!$M$5:$M$8,0),MATCH($R871,Tables!$N$4:$Q$4,0))</f>
        <v>3106</v>
      </c>
      <c r="T871" s="2" t="str">
        <f t="shared" si="204"/>
        <v>0C22</v>
      </c>
      <c r="U871" s="2">
        <f t="shared" si="195"/>
        <v>776</v>
      </c>
      <c r="V871" s="2" t="str">
        <f t="shared" si="205"/>
        <v>308</v>
      </c>
      <c r="W871" s="2" t="str">
        <f t="shared" si="206"/>
        <v>X</v>
      </c>
      <c r="X871" s="2" t="str">
        <f t="shared" si="207"/>
        <v>X</v>
      </c>
      <c r="Y871" s="2" t="str">
        <f t="shared" si="208"/>
        <v/>
      </c>
      <c r="Z871" s="2" t="str">
        <f t="shared" si="209"/>
        <v/>
      </c>
      <c r="AA871" s="2" t="str">
        <f t="shared" si="196"/>
        <v>(31 downto 24)</v>
      </c>
      <c r="AB871" s="2" t="str">
        <f t="shared" si="197"/>
        <v>(23 downto 16)</v>
      </c>
      <c r="AC871" s="2" t="str">
        <f t="shared" si="198"/>
        <v/>
      </c>
      <c r="AD871" s="2" t="str">
        <f t="shared" si="199"/>
        <v/>
      </c>
      <c r="AE871" s="2" t="str">
        <f t="shared" si="200"/>
        <v>(15 downto 8)</v>
      </c>
      <c r="AF871" s="2" t="str">
        <f t="shared" si="201"/>
        <v>(7 downto 0)</v>
      </c>
      <c r="AG871" s="2" t="str">
        <f t="shared" si="202"/>
        <v/>
      </c>
      <c r="AH871" s="2" t="str">
        <f t="shared" si="203"/>
        <v/>
      </c>
    </row>
    <row r="872" spans="2:34" x14ac:dyDescent="0.25">
      <c r="B872" s="2" t="s">
        <v>1064</v>
      </c>
      <c r="D872" s="2" t="s">
        <v>1</v>
      </c>
      <c r="E872" s="2" t="s">
        <v>134</v>
      </c>
      <c r="F872" s="2" t="s">
        <v>1078</v>
      </c>
      <c r="G872" s="2" t="s">
        <v>1079</v>
      </c>
      <c r="H872" s="2" t="s">
        <v>978</v>
      </c>
      <c r="I872" s="2" t="s">
        <v>42</v>
      </c>
      <c r="J872" s="2">
        <v>16</v>
      </c>
      <c r="K872" s="2" t="s">
        <v>137</v>
      </c>
      <c r="L872" s="2" t="s">
        <v>41</v>
      </c>
      <c r="M872" s="2" t="s">
        <v>135</v>
      </c>
      <c r="N872" s="2" t="s">
        <v>1067</v>
      </c>
      <c r="O872" s="2" t="s">
        <v>979</v>
      </c>
      <c r="P872" s="2" t="s">
        <v>50</v>
      </c>
      <c r="Q872" s="2">
        <f>INDEX(Tables!$C$4:$C$28,MATCH($P872,Tables!$B$4:$B$28,0))</f>
        <v>16</v>
      </c>
      <c r="R872" s="2">
        <f>INDEX(Tables!$D$4:$D$28,MATCH($P872,Tables!$B$4:$B$28,0))</f>
        <v>2</v>
      </c>
      <c r="S872" s="2">
        <f>$S871+$R871+INDEX(Tables!$N$5:$Q$8,MATCH(MOD($S871+$R871,4),Tables!$M$5:$M$8,0),MATCH($R872,Tables!$N$4:$Q$4,0))</f>
        <v>3108</v>
      </c>
      <c r="T872" s="2" t="str">
        <f t="shared" si="204"/>
        <v>0C24</v>
      </c>
      <c r="U872" s="2">
        <f t="shared" si="195"/>
        <v>777</v>
      </c>
      <c r="V872" s="2" t="str">
        <f t="shared" si="205"/>
        <v>309</v>
      </c>
      <c r="W872" s="2" t="str">
        <f t="shared" si="206"/>
        <v/>
      </c>
      <c r="X872" s="2" t="str">
        <f t="shared" si="207"/>
        <v/>
      </c>
      <c r="Y872" s="2" t="str">
        <f t="shared" si="208"/>
        <v>X</v>
      </c>
      <c r="Z872" s="2" t="str">
        <f t="shared" si="209"/>
        <v>X</v>
      </c>
      <c r="AA872" s="2" t="str">
        <f t="shared" si="196"/>
        <v/>
      </c>
      <c r="AB872" s="2" t="str">
        <f t="shared" si="197"/>
        <v/>
      </c>
      <c r="AC872" s="2" t="str">
        <f t="shared" si="198"/>
        <v>(15 downto 8)</v>
      </c>
      <c r="AD872" s="2" t="str">
        <f t="shared" si="199"/>
        <v>(7 downto 0)</v>
      </c>
      <c r="AE872" s="2" t="str">
        <f t="shared" si="200"/>
        <v/>
      </c>
      <c r="AF872" s="2" t="str">
        <f t="shared" si="201"/>
        <v/>
      </c>
      <c r="AG872" s="2" t="str">
        <f t="shared" si="202"/>
        <v>(15 downto 8)</v>
      </c>
      <c r="AH872" s="2" t="str">
        <f t="shared" si="203"/>
        <v>(7 downto 0)</v>
      </c>
    </row>
    <row r="873" spans="2:34" x14ac:dyDescent="0.25">
      <c r="B873" s="2" t="s">
        <v>1064</v>
      </c>
      <c r="D873" s="2" t="s">
        <v>1</v>
      </c>
      <c r="E873" s="2" t="s">
        <v>134</v>
      </c>
      <c r="F873" s="2" t="s">
        <v>1078</v>
      </c>
      <c r="G873" s="2" t="s">
        <v>1079</v>
      </c>
      <c r="H873" s="2" t="s">
        <v>980</v>
      </c>
      <c r="I873" s="2" t="s">
        <v>42</v>
      </c>
      <c r="J873" s="2">
        <v>16</v>
      </c>
      <c r="K873" s="2" t="s">
        <v>137</v>
      </c>
      <c r="L873" s="2" t="s">
        <v>41</v>
      </c>
      <c r="M873" s="2" t="s">
        <v>135</v>
      </c>
      <c r="N873" s="2" t="s">
        <v>1067</v>
      </c>
      <c r="O873" s="2" t="s">
        <v>981</v>
      </c>
      <c r="P873" s="2" t="s">
        <v>50</v>
      </c>
      <c r="Q873" s="2">
        <f>INDEX(Tables!$C$4:$C$28,MATCH($P873,Tables!$B$4:$B$28,0))</f>
        <v>16</v>
      </c>
      <c r="R873" s="2">
        <f>INDEX(Tables!$D$4:$D$28,MATCH($P873,Tables!$B$4:$B$28,0))</f>
        <v>2</v>
      </c>
      <c r="S873" s="2">
        <f>$S872+$R872+INDEX(Tables!$N$5:$Q$8,MATCH(MOD($S872+$R872,4),Tables!$M$5:$M$8,0),MATCH($R873,Tables!$N$4:$Q$4,0))</f>
        <v>3110</v>
      </c>
      <c r="T873" s="2" t="str">
        <f t="shared" si="204"/>
        <v>0C26</v>
      </c>
      <c r="U873" s="2">
        <f t="shared" si="195"/>
        <v>777</v>
      </c>
      <c r="V873" s="2" t="str">
        <f t="shared" si="205"/>
        <v>309</v>
      </c>
      <c r="W873" s="2" t="str">
        <f t="shared" si="206"/>
        <v>X</v>
      </c>
      <c r="X873" s="2" t="str">
        <f t="shared" si="207"/>
        <v>X</v>
      </c>
      <c r="Y873" s="2" t="str">
        <f t="shared" si="208"/>
        <v/>
      </c>
      <c r="Z873" s="2" t="str">
        <f t="shared" si="209"/>
        <v/>
      </c>
      <c r="AA873" s="2" t="str">
        <f t="shared" si="196"/>
        <v>(31 downto 24)</v>
      </c>
      <c r="AB873" s="2" t="str">
        <f t="shared" si="197"/>
        <v>(23 downto 16)</v>
      </c>
      <c r="AC873" s="2" t="str">
        <f t="shared" si="198"/>
        <v/>
      </c>
      <c r="AD873" s="2" t="str">
        <f t="shared" si="199"/>
        <v/>
      </c>
      <c r="AE873" s="2" t="str">
        <f t="shared" si="200"/>
        <v>(15 downto 8)</v>
      </c>
      <c r="AF873" s="2" t="str">
        <f t="shared" si="201"/>
        <v>(7 downto 0)</v>
      </c>
      <c r="AG873" s="2" t="str">
        <f t="shared" si="202"/>
        <v/>
      </c>
      <c r="AH873" s="2" t="str">
        <f t="shared" si="203"/>
        <v/>
      </c>
    </row>
    <row r="874" spans="2:34" x14ac:dyDescent="0.25">
      <c r="B874" s="2" t="s">
        <v>1064</v>
      </c>
      <c r="D874" s="2" t="s">
        <v>1</v>
      </c>
      <c r="E874" s="2" t="s">
        <v>134</v>
      </c>
      <c r="F874" s="2" t="s">
        <v>1078</v>
      </c>
      <c r="G874" s="2" t="s">
        <v>1079</v>
      </c>
      <c r="H874" s="2" t="s">
        <v>982</v>
      </c>
      <c r="I874" s="2" t="s">
        <v>42</v>
      </c>
      <c r="J874" s="2">
        <v>16</v>
      </c>
      <c r="K874" s="2" t="s">
        <v>137</v>
      </c>
      <c r="L874" s="2" t="s">
        <v>41</v>
      </c>
      <c r="M874" s="2" t="s">
        <v>135</v>
      </c>
      <c r="N874" s="2" t="s">
        <v>1067</v>
      </c>
      <c r="O874" s="2" t="s">
        <v>983</v>
      </c>
      <c r="P874" s="2" t="s">
        <v>50</v>
      </c>
      <c r="Q874" s="2">
        <f>INDEX(Tables!$C$4:$C$28,MATCH($P874,Tables!$B$4:$B$28,0))</f>
        <v>16</v>
      </c>
      <c r="R874" s="2">
        <f>INDEX(Tables!$D$4:$D$28,MATCH($P874,Tables!$B$4:$B$28,0))</f>
        <v>2</v>
      </c>
      <c r="S874" s="2">
        <f>$S873+$R873+INDEX(Tables!$N$5:$Q$8,MATCH(MOD($S873+$R873,4),Tables!$M$5:$M$8,0),MATCH($R874,Tables!$N$4:$Q$4,0))</f>
        <v>3112</v>
      </c>
      <c r="T874" s="2" t="str">
        <f t="shared" si="204"/>
        <v>0C28</v>
      </c>
      <c r="U874" s="2">
        <f t="shared" ref="U874:U937" si="210">ROUNDDOWN(S874/4,0)</f>
        <v>778</v>
      </c>
      <c r="V874" s="2" t="str">
        <f t="shared" si="205"/>
        <v>30A</v>
      </c>
      <c r="W874" s="2" t="str">
        <f t="shared" si="206"/>
        <v/>
      </c>
      <c r="X874" s="2" t="str">
        <f t="shared" si="207"/>
        <v/>
      </c>
      <c r="Y874" s="2" t="str">
        <f t="shared" si="208"/>
        <v>X</v>
      </c>
      <c r="Z874" s="2" t="str">
        <f t="shared" si="209"/>
        <v>X</v>
      </c>
      <c r="AA874" s="2" t="str">
        <f t="shared" ref="AA874:AA937" si="211">IF(W874="","",CONCATENATE("(",IF(($J874-COUNTIF($X874:$Z874,"X")*8)=1,"24)",CONCATENATE(IF(($J874-COUNTIF($X874:$Z874,"X")*8)&gt;=8,32,($J874-COUNTIF($X874:$Z874,"X")*8)+24)-1," downto 24)"))))</f>
        <v/>
      </c>
      <c r="AB874" s="2" t="str">
        <f t="shared" ref="AB874:AB937" si="212">IF(X874="","",CONCATENATE("(",IF(($J874-COUNTIF($Y874:$Z874,"X")*8)=1,"16)",CONCATENATE(IF(($J874-COUNTIF($Y874:$Z874,"X")*8)&gt;=8,24,($J874-COUNTIF($Y874:$Z874,"X")*8)+16)-1," downto 16)"))))</f>
        <v/>
      </c>
      <c r="AC874" s="2" t="str">
        <f t="shared" ref="AC874:AC937" si="213">IF(Y874="","",CONCATENATE("(",IF(($J874-COUNTIF($Z874,"X")*8)=1,"8)",CONCATENATE(IF(($J874-COUNTIF($Z874,"X")*8)&gt;=8,16,($J874-COUNTIF($Z874,"X")*8)+8)-1," downto 8)"))))</f>
        <v>(15 downto 8)</v>
      </c>
      <c r="AD874" s="2" t="str">
        <f t="shared" ref="AD874:AD937" si="214">IF(Z874="","",CONCATENATE("(",IF($J874=1,"0)",CONCATENATE(IF($J874&gt;=8,8,$J874)-1," downto 0)"))))</f>
        <v>(7 downto 0)</v>
      </c>
      <c r="AE874" s="2" t="str">
        <f t="shared" ref="AE874:AE937" si="215">IF(W874="","",IF($J874&lt;=8,"",IF(($J874-COUNTIF($X874:$Z874,"X")*8)=1,CONCATENATE("(",($J874-1),")"),CONCATENATE("(",IF(($J874-COUNTIF($X874:$Z874,"X")*8)&gt;=8,COUNTIF($X874:$Z874,"X")*8+7,$J874-COUNTIF($X874:$Z874,"X")*8-1+COUNTIF($X874:$Z874,"X")*8)," downto ",COUNTIF($X874:$Z874,"X")*8,")"))))</f>
        <v/>
      </c>
      <c r="AF874" s="2" t="str">
        <f t="shared" ref="AF874:AF937" si="216">IF(X874="","",IF($J874&lt;=8,"",IF(($J874-COUNTIF($Y874:$Z874,"X")*8)=1,CONCATENATE("(",($J874-1),")"),CONCATENATE("(",IF(($J874-COUNTIF($Y874:$Z874,"X")*8)&gt;=8,COUNTIF($Y874:$Z874,"X")*8+7,$J874-COUNTIF($Y874:$Z874,"X")*8-1+COUNTIF($Y874:$Z874,"X")*8)," downto ",COUNTIF($Y874:$Z874,"X")*8,")"))))</f>
        <v/>
      </c>
      <c r="AG874" s="2" t="str">
        <f t="shared" ref="AG874:AG937" si="217">IF(Y874="","",IF($J874&lt;=8,"",IF(($J874-COUNTIF($Z874,"X")*8)=1,CONCATENATE("(",($J874-1),")"),CONCATENATE("(",IF(($J874-COUNTIF($Z874,"X")*8)&gt;=8,COUNTIF($Z874,"X")*8+7,$J874-COUNTIF($Z874,"X")*8-1+COUNTIF($Z874,"X")*8)," downto ",COUNTIF($Z874,"X")*8,")"))))</f>
        <v>(15 downto 8)</v>
      </c>
      <c r="AH874" s="2" t="str">
        <f t="shared" ref="AH874:AH937" si="218">IF(Z874="","",IF($J874&lt;=8,"",CONCATENATE("(",IF($J874&gt;=8,7,$J874-1)," downto ",0,")")))</f>
        <v>(7 downto 0)</v>
      </c>
    </row>
    <row r="875" spans="2:34" x14ac:dyDescent="0.25">
      <c r="B875" s="2" t="s">
        <v>1080</v>
      </c>
      <c r="D875" s="2" t="s">
        <v>1</v>
      </c>
      <c r="E875" s="2" t="s">
        <v>134</v>
      </c>
      <c r="F875" s="2" t="s">
        <v>1081</v>
      </c>
      <c r="G875" s="2" t="s">
        <v>1082</v>
      </c>
      <c r="H875" s="2" t="s">
        <v>419</v>
      </c>
      <c r="I875" s="2" t="s">
        <v>42</v>
      </c>
      <c r="J875" s="2">
        <v>5</v>
      </c>
      <c r="K875" s="2" t="s">
        <v>137</v>
      </c>
      <c r="L875" s="2" t="s">
        <v>41</v>
      </c>
      <c r="M875" s="2" t="s">
        <v>135</v>
      </c>
      <c r="N875" s="2" t="s">
        <v>1083</v>
      </c>
      <c r="O875" s="2" t="s">
        <v>421</v>
      </c>
      <c r="P875" s="2" t="s">
        <v>48</v>
      </c>
      <c r="Q875" s="2">
        <f>INDEX(Tables!$C$4:$C$28,MATCH($P875,Tables!$B$4:$B$28,0))</f>
        <v>8</v>
      </c>
      <c r="R875" s="2">
        <f>INDEX(Tables!$D$4:$D$28,MATCH($P875,Tables!$B$4:$B$28,0))</f>
        <v>1</v>
      </c>
      <c r="S875" s="2">
        <f>$S874+$R874+INDEX(Tables!$N$5:$Q$8,MATCH(MOD($S874+$R874,4),Tables!$M$5:$M$8,0),MATCH($R875,Tables!$N$4:$Q$4,0))</f>
        <v>3114</v>
      </c>
      <c r="T875" s="2" t="str">
        <f t="shared" si="204"/>
        <v>0C2A</v>
      </c>
      <c r="U875" s="2">
        <f t="shared" si="210"/>
        <v>778</v>
      </c>
      <c r="V875" s="2" t="str">
        <f t="shared" si="205"/>
        <v>30A</v>
      </c>
      <c r="W875" s="2" t="str">
        <f t="shared" si="206"/>
        <v/>
      </c>
      <c r="X875" s="2" t="str">
        <f t="shared" si="207"/>
        <v>X</v>
      </c>
      <c r="Y875" s="2" t="str">
        <f t="shared" si="208"/>
        <v/>
      </c>
      <c r="Z875" s="2" t="str">
        <f t="shared" si="209"/>
        <v/>
      </c>
      <c r="AA875" s="2" t="str">
        <f t="shared" si="211"/>
        <v/>
      </c>
      <c r="AB875" s="2" t="str">
        <f t="shared" si="212"/>
        <v>(20 downto 16)</v>
      </c>
      <c r="AC875" s="2" t="str">
        <f t="shared" si="213"/>
        <v/>
      </c>
      <c r="AD875" s="2" t="str">
        <f t="shared" si="214"/>
        <v/>
      </c>
      <c r="AE875" s="2" t="str">
        <f t="shared" si="215"/>
        <v/>
      </c>
      <c r="AF875" s="2" t="str">
        <f t="shared" si="216"/>
        <v/>
      </c>
      <c r="AG875" s="2" t="str">
        <f t="shared" si="217"/>
        <v/>
      </c>
      <c r="AH875" s="2" t="str">
        <f t="shared" si="218"/>
        <v/>
      </c>
    </row>
    <row r="876" spans="2:34" x14ac:dyDescent="0.25">
      <c r="B876" s="2" t="s">
        <v>1080</v>
      </c>
      <c r="D876" s="2" t="s">
        <v>1</v>
      </c>
      <c r="E876" s="2" t="s">
        <v>134</v>
      </c>
      <c r="F876" s="2" t="s">
        <v>1081</v>
      </c>
      <c r="G876" s="2" t="s">
        <v>1082</v>
      </c>
      <c r="H876" s="2" t="s">
        <v>422</v>
      </c>
      <c r="I876" s="2" t="s">
        <v>42</v>
      </c>
      <c r="J876" s="2">
        <v>1</v>
      </c>
      <c r="K876" s="2" t="s">
        <v>82</v>
      </c>
      <c r="L876" s="2" t="s">
        <v>41</v>
      </c>
      <c r="M876" s="2" t="s">
        <v>135</v>
      </c>
      <c r="N876" s="2" t="s">
        <v>1083</v>
      </c>
      <c r="O876" s="2" t="s">
        <v>423</v>
      </c>
      <c r="P876" s="2" t="s">
        <v>5</v>
      </c>
      <c r="Q876" s="2">
        <f>INDEX(Tables!$C$4:$C$28,MATCH($P876,Tables!$B$4:$B$28,0))</f>
        <v>32</v>
      </c>
      <c r="R876" s="2">
        <f>INDEX(Tables!$D$4:$D$28,MATCH($P876,Tables!$B$4:$B$28,0))</f>
        <v>4</v>
      </c>
      <c r="S876" s="2">
        <f>$S875+$R875+INDEX(Tables!$N$5:$Q$8,MATCH(MOD($S875+$R875,4),Tables!$M$5:$M$8,0),MATCH($R876,Tables!$N$4:$Q$4,0))</f>
        <v>3116</v>
      </c>
      <c r="T876" s="2" t="str">
        <f t="shared" si="204"/>
        <v>0C2C</v>
      </c>
      <c r="U876" s="2">
        <f t="shared" si="210"/>
        <v>779</v>
      </c>
      <c r="V876" s="2" t="str">
        <f t="shared" si="205"/>
        <v>30B</v>
      </c>
      <c r="W876" s="2" t="str">
        <f t="shared" si="206"/>
        <v/>
      </c>
      <c r="X876" s="2" t="str">
        <f t="shared" si="207"/>
        <v/>
      </c>
      <c r="Y876" s="2" t="str">
        <f t="shared" si="208"/>
        <v/>
      </c>
      <c r="Z876" s="2" t="str">
        <f t="shared" si="209"/>
        <v>X</v>
      </c>
      <c r="AA876" s="2" t="str">
        <f t="shared" si="211"/>
        <v/>
      </c>
      <c r="AB876" s="2" t="str">
        <f t="shared" si="212"/>
        <v/>
      </c>
      <c r="AC876" s="2" t="str">
        <f t="shared" si="213"/>
        <v/>
      </c>
      <c r="AD876" s="2" t="str">
        <f t="shared" si="214"/>
        <v>(0)</v>
      </c>
      <c r="AE876" s="2" t="str">
        <f t="shared" si="215"/>
        <v/>
      </c>
      <c r="AF876" s="2" t="str">
        <f t="shared" si="216"/>
        <v/>
      </c>
      <c r="AG876" s="2" t="str">
        <f t="shared" si="217"/>
        <v/>
      </c>
      <c r="AH876" s="2" t="str">
        <f t="shared" si="218"/>
        <v/>
      </c>
    </row>
    <row r="877" spans="2:34" x14ac:dyDescent="0.25">
      <c r="B877" s="2" t="s">
        <v>1080</v>
      </c>
      <c r="D877" s="2" t="s">
        <v>1</v>
      </c>
      <c r="E877" s="2" t="s">
        <v>134</v>
      </c>
      <c r="F877" s="2" t="s">
        <v>1081</v>
      </c>
      <c r="G877" s="2" t="s">
        <v>1082</v>
      </c>
      <c r="H877" s="2" t="s">
        <v>424</v>
      </c>
      <c r="I877" s="2" t="s">
        <v>42</v>
      </c>
      <c r="J877" s="2">
        <v>1</v>
      </c>
      <c r="K877" s="2" t="s">
        <v>82</v>
      </c>
      <c r="L877" s="2" t="s">
        <v>41</v>
      </c>
      <c r="M877" s="2" t="s">
        <v>135</v>
      </c>
      <c r="N877" s="2" t="s">
        <v>1083</v>
      </c>
      <c r="O877" s="2" t="s">
        <v>425</v>
      </c>
      <c r="P877" s="2" t="s">
        <v>5</v>
      </c>
      <c r="Q877" s="2">
        <f>INDEX(Tables!$C$4:$C$28,MATCH($P877,Tables!$B$4:$B$28,0))</f>
        <v>32</v>
      </c>
      <c r="R877" s="2">
        <f>INDEX(Tables!$D$4:$D$28,MATCH($P877,Tables!$B$4:$B$28,0))</f>
        <v>4</v>
      </c>
      <c r="S877" s="2">
        <f>$S876+$R876+INDEX(Tables!$N$5:$Q$8,MATCH(MOD($S876+$R876,4),Tables!$M$5:$M$8,0),MATCH($R877,Tables!$N$4:$Q$4,0))</f>
        <v>3120</v>
      </c>
      <c r="T877" s="2" t="str">
        <f t="shared" si="204"/>
        <v>0C30</v>
      </c>
      <c r="U877" s="2">
        <f t="shared" si="210"/>
        <v>780</v>
      </c>
      <c r="V877" s="2" t="str">
        <f t="shared" si="205"/>
        <v>30C</v>
      </c>
      <c r="W877" s="2" t="str">
        <f t="shared" si="206"/>
        <v/>
      </c>
      <c r="X877" s="2" t="str">
        <f t="shared" si="207"/>
        <v/>
      </c>
      <c r="Y877" s="2" t="str">
        <f t="shared" si="208"/>
        <v/>
      </c>
      <c r="Z877" s="2" t="str">
        <f t="shared" si="209"/>
        <v>X</v>
      </c>
      <c r="AA877" s="2" t="str">
        <f t="shared" si="211"/>
        <v/>
      </c>
      <c r="AB877" s="2" t="str">
        <f t="shared" si="212"/>
        <v/>
      </c>
      <c r="AC877" s="2" t="str">
        <f t="shared" si="213"/>
        <v/>
      </c>
      <c r="AD877" s="2" t="str">
        <f t="shared" si="214"/>
        <v>(0)</v>
      </c>
      <c r="AE877" s="2" t="str">
        <f t="shared" si="215"/>
        <v/>
      </c>
      <c r="AF877" s="2" t="str">
        <f t="shared" si="216"/>
        <v/>
      </c>
      <c r="AG877" s="2" t="str">
        <f t="shared" si="217"/>
        <v/>
      </c>
      <c r="AH877" s="2" t="str">
        <f t="shared" si="218"/>
        <v/>
      </c>
    </row>
    <row r="878" spans="2:34" x14ac:dyDescent="0.25">
      <c r="B878" s="2" t="s">
        <v>1080</v>
      </c>
      <c r="D878" s="2" t="s">
        <v>1</v>
      </c>
      <c r="E878" s="2" t="s">
        <v>134</v>
      </c>
      <c r="F878" s="2" t="s">
        <v>1081</v>
      </c>
      <c r="G878" s="2" t="s">
        <v>1082</v>
      </c>
      <c r="H878" s="2" t="s">
        <v>426</v>
      </c>
      <c r="I878" s="2" t="s">
        <v>42</v>
      </c>
      <c r="J878" s="2">
        <v>1</v>
      </c>
      <c r="K878" s="2" t="s">
        <v>82</v>
      </c>
      <c r="L878" s="2" t="s">
        <v>41</v>
      </c>
      <c r="M878" s="2" t="s">
        <v>135</v>
      </c>
      <c r="N878" s="2" t="s">
        <v>1083</v>
      </c>
      <c r="O878" s="2" t="s">
        <v>427</v>
      </c>
      <c r="P878" s="2" t="s">
        <v>5</v>
      </c>
      <c r="Q878" s="2">
        <f>INDEX(Tables!$C$4:$C$28,MATCH($P878,Tables!$B$4:$B$28,0))</f>
        <v>32</v>
      </c>
      <c r="R878" s="2">
        <f>INDEX(Tables!$D$4:$D$28,MATCH($P878,Tables!$B$4:$B$28,0))</f>
        <v>4</v>
      </c>
      <c r="S878" s="2">
        <f>$S877+$R877+INDEX(Tables!$N$5:$Q$8,MATCH(MOD($S877+$R877,4),Tables!$M$5:$M$8,0),MATCH($R878,Tables!$N$4:$Q$4,0))</f>
        <v>3124</v>
      </c>
      <c r="T878" s="2" t="str">
        <f t="shared" si="204"/>
        <v>0C34</v>
      </c>
      <c r="U878" s="2">
        <f t="shared" si="210"/>
        <v>781</v>
      </c>
      <c r="V878" s="2" t="str">
        <f t="shared" si="205"/>
        <v>30D</v>
      </c>
      <c r="W878" s="2" t="str">
        <f t="shared" si="206"/>
        <v/>
      </c>
      <c r="X878" s="2" t="str">
        <f t="shared" si="207"/>
        <v/>
      </c>
      <c r="Y878" s="2" t="str">
        <f t="shared" si="208"/>
        <v/>
      </c>
      <c r="Z878" s="2" t="str">
        <f t="shared" si="209"/>
        <v>X</v>
      </c>
      <c r="AA878" s="2" t="str">
        <f t="shared" si="211"/>
        <v/>
      </c>
      <c r="AB878" s="2" t="str">
        <f t="shared" si="212"/>
        <v/>
      </c>
      <c r="AC878" s="2" t="str">
        <f t="shared" si="213"/>
        <v/>
      </c>
      <c r="AD878" s="2" t="str">
        <f t="shared" si="214"/>
        <v>(0)</v>
      </c>
      <c r="AE878" s="2" t="str">
        <f t="shared" si="215"/>
        <v/>
      </c>
      <c r="AF878" s="2" t="str">
        <f t="shared" si="216"/>
        <v/>
      </c>
      <c r="AG878" s="2" t="str">
        <f t="shared" si="217"/>
        <v/>
      </c>
      <c r="AH878" s="2" t="str">
        <f t="shared" si="218"/>
        <v/>
      </c>
    </row>
    <row r="879" spans="2:34" x14ac:dyDescent="0.25">
      <c r="B879" s="2" t="s">
        <v>1080</v>
      </c>
      <c r="D879" s="2" t="s">
        <v>1</v>
      </c>
      <c r="E879" s="2" t="s">
        <v>134</v>
      </c>
      <c r="F879" s="2" t="s">
        <v>1081</v>
      </c>
      <c r="G879" s="2" t="s">
        <v>1082</v>
      </c>
      <c r="H879" s="2" t="s">
        <v>428</v>
      </c>
      <c r="I879" s="2" t="s">
        <v>42</v>
      </c>
      <c r="J879" s="2">
        <v>1</v>
      </c>
      <c r="K879" s="2" t="s">
        <v>82</v>
      </c>
      <c r="L879" s="2" t="s">
        <v>41</v>
      </c>
      <c r="M879" s="2" t="s">
        <v>135</v>
      </c>
      <c r="N879" s="2" t="s">
        <v>1083</v>
      </c>
      <c r="O879" s="2" t="s">
        <v>429</v>
      </c>
      <c r="P879" s="2" t="s">
        <v>5</v>
      </c>
      <c r="Q879" s="2">
        <f>INDEX(Tables!$C$4:$C$28,MATCH($P879,Tables!$B$4:$B$28,0))</f>
        <v>32</v>
      </c>
      <c r="R879" s="2">
        <f>INDEX(Tables!$D$4:$D$28,MATCH($P879,Tables!$B$4:$B$28,0))</f>
        <v>4</v>
      </c>
      <c r="S879" s="2">
        <f>$S878+$R878+INDEX(Tables!$N$5:$Q$8,MATCH(MOD($S878+$R878,4),Tables!$M$5:$M$8,0),MATCH($R879,Tables!$N$4:$Q$4,0))</f>
        <v>3128</v>
      </c>
      <c r="T879" s="2" t="str">
        <f t="shared" si="204"/>
        <v>0C38</v>
      </c>
      <c r="U879" s="2">
        <f t="shared" si="210"/>
        <v>782</v>
      </c>
      <c r="V879" s="2" t="str">
        <f t="shared" si="205"/>
        <v>30E</v>
      </c>
      <c r="W879" s="2" t="str">
        <f t="shared" si="206"/>
        <v/>
      </c>
      <c r="X879" s="2" t="str">
        <f t="shared" si="207"/>
        <v/>
      </c>
      <c r="Y879" s="2" t="str">
        <f t="shared" si="208"/>
        <v/>
      </c>
      <c r="Z879" s="2" t="str">
        <f t="shared" si="209"/>
        <v>X</v>
      </c>
      <c r="AA879" s="2" t="str">
        <f t="shared" si="211"/>
        <v/>
      </c>
      <c r="AB879" s="2" t="str">
        <f t="shared" si="212"/>
        <v/>
      </c>
      <c r="AC879" s="2" t="str">
        <f t="shared" si="213"/>
        <v/>
      </c>
      <c r="AD879" s="2" t="str">
        <f t="shared" si="214"/>
        <v>(0)</v>
      </c>
      <c r="AE879" s="2" t="str">
        <f t="shared" si="215"/>
        <v/>
      </c>
      <c r="AF879" s="2" t="str">
        <f t="shared" si="216"/>
        <v/>
      </c>
      <c r="AG879" s="2" t="str">
        <f t="shared" si="217"/>
        <v/>
      </c>
      <c r="AH879" s="2" t="str">
        <f t="shared" si="218"/>
        <v/>
      </c>
    </row>
    <row r="880" spans="2:34" x14ac:dyDescent="0.25">
      <c r="B880" s="2" t="s">
        <v>1080</v>
      </c>
      <c r="D880" s="2" t="s">
        <v>1</v>
      </c>
      <c r="E880" s="2" t="s">
        <v>134</v>
      </c>
      <c r="F880" s="2" t="s">
        <v>1081</v>
      </c>
      <c r="G880" s="2" t="s">
        <v>1082</v>
      </c>
      <c r="H880" s="2" t="s">
        <v>430</v>
      </c>
      <c r="I880" s="2" t="s">
        <v>42</v>
      </c>
      <c r="J880" s="2">
        <v>1</v>
      </c>
      <c r="K880" s="2" t="s">
        <v>82</v>
      </c>
      <c r="L880" s="2" t="s">
        <v>41</v>
      </c>
      <c r="M880" s="2" t="s">
        <v>135</v>
      </c>
      <c r="N880" s="2" t="s">
        <v>1083</v>
      </c>
      <c r="O880" s="2" t="s">
        <v>431</v>
      </c>
      <c r="P880" s="2" t="s">
        <v>5</v>
      </c>
      <c r="Q880" s="2">
        <f>INDEX(Tables!$C$4:$C$28,MATCH($P880,Tables!$B$4:$B$28,0))</f>
        <v>32</v>
      </c>
      <c r="R880" s="2">
        <f>INDEX(Tables!$D$4:$D$28,MATCH($P880,Tables!$B$4:$B$28,0))</f>
        <v>4</v>
      </c>
      <c r="S880" s="2">
        <f>$S879+$R879+INDEX(Tables!$N$5:$Q$8,MATCH(MOD($S879+$R879,4),Tables!$M$5:$M$8,0),MATCH($R880,Tables!$N$4:$Q$4,0))</f>
        <v>3132</v>
      </c>
      <c r="T880" s="2" t="str">
        <f t="shared" si="204"/>
        <v>0C3C</v>
      </c>
      <c r="U880" s="2">
        <f t="shared" si="210"/>
        <v>783</v>
      </c>
      <c r="V880" s="2" t="str">
        <f t="shared" si="205"/>
        <v>30F</v>
      </c>
      <c r="W880" s="2" t="str">
        <f t="shared" si="206"/>
        <v/>
      </c>
      <c r="X880" s="2" t="str">
        <f t="shared" si="207"/>
        <v/>
      </c>
      <c r="Y880" s="2" t="str">
        <f t="shared" si="208"/>
        <v/>
      </c>
      <c r="Z880" s="2" t="str">
        <f t="shared" si="209"/>
        <v>X</v>
      </c>
      <c r="AA880" s="2" t="str">
        <f t="shared" si="211"/>
        <v/>
      </c>
      <c r="AB880" s="2" t="str">
        <f t="shared" si="212"/>
        <v/>
      </c>
      <c r="AC880" s="2" t="str">
        <f t="shared" si="213"/>
        <v/>
      </c>
      <c r="AD880" s="2" t="str">
        <f t="shared" si="214"/>
        <v>(0)</v>
      </c>
      <c r="AE880" s="2" t="str">
        <f t="shared" si="215"/>
        <v/>
      </c>
      <c r="AF880" s="2" t="str">
        <f t="shared" si="216"/>
        <v/>
      </c>
      <c r="AG880" s="2" t="str">
        <f t="shared" si="217"/>
        <v/>
      </c>
      <c r="AH880" s="2" t="str">
        <f t="shared" si="218"/>
        <v/>
      </c>
    </row>
    <row r="881" spans="2:34" x14ac:dyDescent="0.25">
      <c r="B881" s="2" t="s">
        <v>1080</v>
      </c>
      <c r="D881" s="2" t="s">
        <v>1</v>
      </c>
      <c r="E881" s="2" t="s">
        <v>134</v>
      </c>
      <c r="F881" s="2" t="s">
        <v>1081</v>
      </c>
      <c r="G881" s="2" t="s">
        <v>1082</v>
      </c>
      <c r="H881" s="2" t="s">
        <v>432</v>
      </c>
      <c r="I881" s="2" t="s">
        <v>42</v>
      </c>
      <c r="J881" s="2">
        <v>1</v>
      </c>
      <c r="K881" s="2" t="s">
        <v>82</v>
      </c>
      <c r="L881" s="2" t="s">
        <v>41</v>
      </c>
      <c r="M881" s="2" t="s">
        <v>135</v>
      </c>
      <c r="N881" s="2" t="s">
        <v>1083</v>
      </c>
      <c r="O881" s="2" t="s">
        <v>433</v>
      </c>
      <c r="P881" s="2" t="s">
        <v>5</v>
      </c>
      <c r="Q881" s="2">
        <f>INDEX(Tables!$C$4:$C$28,MATCH($P881,Tables!$B$4:$B$28,0))</f>
        <v>32</v>
      </c>
      <c r="R881" s="2">
        <f>INDEX(Tables!$D$4:$D$28,MATCH($P881,Tables!$B$4:$B$28,0))</f>
        <v>4</v>
      </c>
      <c r="S881" s="2">
        <f>$S880+$R880+INDEX(Tables!$N$5:$Q$8,MATCH(MOD($S880+$R880,4),Tables!$M$5:$M$8,0),MATCH($R881,Tables!$N$4:$Q$4,0))</f>
        <v>3136</v>
      </c>
      <c r="T881" s="2" t="str">
        <f t="shared" si="204"/>
        <v>0C40</v>
      </c>
      <c r="U881" s="2">
        <f t="shared" si="210"/>
        <v>784</v>
      </c>
      <c r="V881" s="2" t="str">
        <f t="shared" si="205"/>
        <v>310</v>
      </c>
      <c r="W881" s="2" t="str">
        <f t="shared" si="206"/>
        <v/>
      </c>
      <c r="X881" s="2" t="str">
        <f t="shared" si="207"/>
        <v/>
      </c>
      <c r="Y881" s="2" t="str">
        <f t="shared" si="208"/>
        <v/>
      </c>
      <c r="Z881" s="2" t="str">
        <f t="shared" si="209"/>
        <v>X</v>
      </c>
      <c r="AA881" s="2" t="str">
        <f t="shared" si="211"/>
        <v/>
      </c>
      <c r="AB881" s="2" t="str">
        <f t="shared" si="212"/>
        <v/>
      </c>
      <c r="AC881" s="2" t="str">
        <f t="shared" si="213"/>
        <v/>
      </c>
      <c r="AD881" s="2" t="str">
        <f t="shared" si="214"/>
        <v>(0)</v>
      </c>
      <c r="AE881" s="2" t="str">
        <f t="shared" si="215"/>
        <v/>
      </c>
      <c r="AF881" s="2" t="str">
        <f t="shared" si="216"/>
        <v/>
      </c>
      <c r="AG881" s="2" t="str">
        <f t="shared" si="217"/>
        <v/>
      </c>
      <c r="AH881" s="2" t="str">
        <f t="shared" si="218"/>
        <v/>
      </c>
    </row>
    <row r="882" spans="2:34" x14ac:dyDescent="0.25">
      <c r="B882" s="2" t="s">
        <v>1080</v>
      </c>
      <c r="D882" s="2" t="s">
        <v>1</v>
      </c>
      <c r="E882" s="2" t="s">
        <v>134</v>
      </c>
      <c r="F882" s="2" t="s">
        <v>1084</v>
      </c>
      <c r="G882" s="2" t="s">
        <v>1085</v>
      </c>
      <c r="H882" s="2" t="s">
        <v>436</v>
      </c>
      <c r="I882" s="2" t="s">
        <v>42</v>
      </c>
      <c r="J882" s="2">
        <v>1</v>
      </c>
      <c r="K882" s="2" t="s">
        <v>82</v>
      </c>
      <c r="L882" s="2" t="s">
        <v>41</v>
      </c>
      <c r="M882" s="2" t="s">
        <v>135</v>
      </c>
      <c r="N882" s="2" t="s">
        <v>1083</v>
      </c>
      <c r="O882" s="2" t="s">
        <v>437</v>
      </c>
      <c r="P882" s="2" t="s">
        <v>5</v>
      </c>
      <c r="Q882" s="2">
        <f>INDEX(Tables!$C$4:$C$28,MATCH($P882,Tables!$B$4:$B$28,0))</f>
        <v>32</v>
      </c>
      <c r="R882" s="2">
        <f>INDEX(Tables!$D$4:$D$28,MATCH($P882,Tables!$B$4:$B$28,0))</f>
        <v>4</v>
      </c>
      <c r="S882" s="2">
        <f>$S881+$R881+INDEX(Tables!$N$5:$Q$8,MATCH(MOD($S881+$R881,4),Tables!$M$5:$M$8,0),MATCH($R882,Tables!$N$4:$Q$4,0))</f>
        <v>3140</v>
      </c>
      <c r="T882" s="2" t="str">
        <f t="shared" si="204"/>
        <v>0C44</v>
      </c>
      <c r="U882" s="2">
        <f t="shared" si="210"/>
        <v>785</v>
      </c>
      <c r="V882" s="2" t="str">
        <f t="shared" si="205"/>
        <v>311</v>
      </c>
      <c r="W882" s="2" t="str">
        <f t="shared" si="206"/>
        <v/>
      </c>
      <c r="X882" s="2" t="str">
        <f t="shared" si="207"/>
        <v/>
      </c>
      <c r="Y882" s="2" t="str">
        <f t="shared" si="208"/>
        <v/>
      </c>
      <c r="Z882" s="2" t="str">
        <f t="shared" si="209"/>
        <v>X</v>
      </c>
      <c r="AA882" s="2" t="str">
        <f t="shared" si="211"/>
        <v/>
      </c>
      <c r="AB882" s="2" t="str">
        <f t="shared" si="212"/>
        <v/>
      </c>
      <c r="AC882" s="2" t="str">
        <f t="shared" si="213"/>
        <v/>
      </c>
      <c r="AD882" s="2" t="str">
        <f t="shared" si="214"/>
        <v>(0)</v>
      </c>
      <c r="AE882" s="2" t="str">
        <f t="shared" si="215"/>
        <v/>
      </c>
      <c r="AF882" s="2" t="str">
        <f t="shared" si="216"/>
        <v/>
      </c>
      <c r="AG882" s="2" t="str">
        <f t="shared" si="217"/>
        <v/>
      </c>
      <c r="AH882" s="2" t="str">
        <f t="shared" si="218"/>
        <v/>
      </c>
    </row>
    <row r="883" spans="2:34" x14ac:dyDescent="0.25">
      <c r="B883" s="2" t="s">
        <v>1080</v>
      </c>
      <c r="D883" s="2" t="s">
        <v>1</v>
      </c>
      <c r="E883" s="2" t="s">
        <v>134</v>
      </c>
      <c r="F883" s="2" t="s">
        <v>1084</v>
      </c>
      <c r="G883" s="2" t="s">
        <v>1085</v>
      </c>
      <c r="H883" s="2" t="s">
        <v>438</v>
      </c>
      <c r="I883" s="2" t="s">
        <v>42</v>
      </c>
      <c r="J883" s="2">
        <v>1</v>
      </c>
      <c r="K883" s="2" t="s">
        <v>82</v>
      </c>
      <c r="L883" s="2" t="s">
        <v>41</v>
      </c>
      <c r="M883" s="2" t="s">
        <v>135</v>
      </c>
      <c r="N883" s="2" t="s">
        <v>1083</v>
      </c>
      <c r="O883" s="2" t="s">
        <v>439</v>
      </c>
      <c r="P883" s="2" t="s">
        <v>5</v>
      </c>
      <c r="Q883" s="2">
        <f>INDEX(Tables!$C$4:$C$28,MATCH($P883,Tables!$B$4:$B$28,0))</f>
        <v>32</v>
      </c>
      <c r="R883" s="2">
        <f>INDEX(Tables!$D$4:$D$28,MATCH($P883,Tables!$B$4:$B$28,0))</f>
        <v>4</v>
      </c>
      <c r="S883" s="2">
        <f>$S882+$R882+INDEX(Tables!$N$5:$Q$8,MATCH(MOD($S882+$R882,4),Tables!$M$5:$M$8,0),MATCH($R883,Tables!$N$4:$Q$4,0))</f>
        <v>3144</v>
      </c>
      <c r="T883" s="2" t="str">
        <f t="shared" si="204"/>
        <v>0C48</v>
      </c>
      <c r="U883" s="2">
        <f t="shared" si="210"/>
        <v>786</v>
      </c>
      <c r="V883" s="2" t="str">
        <f t="shared" si="205"/>
        <v>312</v>
      </c>
      <c r="W883" s="2" t="str">
        <f t="shared" si="206"/>
        <v/>
      </c>
      <c r="X883" s="2" t="str">
        <f t="shared" si="207"/>
        <v/>
      </c>
      <c r="Y883" s="2" t="str">
        <f t="shared" si="208"/>
        <v/>
      </c>
      <c r="Z883" s="2" t="str">
        <f t="shared" si="209"/>
        <v>X</v>
      </c>
      <c r="AA883" s="2" t="str">
        <f t="shared" si="211"/>
        <v/>
      </c>
      <c r="AB883" s="2" t="str">
        <f t="shared" si="212"/>
        <v/>
      </c>
      <c r="AC883" s="2" t="str">
        <f t="shared" si="213"/>
        <v/>
      </c>
      <c r="AD883" s="2" t="str">
        <f t="shared" si="214"/>
        <v>(0)</v>
      </c>
      <c r="AE883" s="2" t="str">
        <f t="shared" si="215"/>
        <v/>
      </c>
      <c r="AF883" s="2" t="str">
        <f t="shared" si="216"/>
        <v/>
      </c>
      <c r="AG883" s="2" t="str">
        <f t="shared" si="217"/>
        <v/>
      </c>
      <c r="AH883" s="2" t="str">
        <f t="shared" si="218"/>
        <v/>
      </c>
    </row>
    <row r="884" spans="2:34" x14ac:dyDescent="0.25">
      <c r="B884" s="2" t="s">
        <v>1080</v>
      </c>
      <c r="D884" s="2" t="s">
        <v>1</v>
      </c>
      <c r="E884" s="2" t="s">
        <v>134</v>
      </c>
      <c r="F884" s="2" t="s">
        <v>1084</v>
      </c>
      <c r="G884" s="2" t="s">
        <v>1085</v>
      </c>
      <c r="H884" s="2" t="s">
        <v>440</v>
      </c>
      <c r="I884" s="2" t="s">
        <v>42</v>
      </c>
      <c r="J884" s="2">
        <v>1</v>
      </c>
      <c r="K884" s="2" t="s">
        <v>82</v>
      </c>
      <c r="L884" s="2" t="s">
        <v>41</v>
      </c>
      <c r="M884" s="2" t="s">
        <v>135</v>
      </c>
      <c r="N884" s="2" t="s">
        <v>1083</v>
      </c>
      <c r="O884" s="2" t="s">
        <v>441</v>
      </c>
      <c r="P884" s="2" t="s">
        <v>5</v>
      </c>
      <c r="Q884" s="2">
        <f>INDEX(Tables!$C$4:$C$28,MATCH($P884,Tables!$B$4:$B$28,0))</f>
        <v>32</v>
      </c>
      <c r="R884" s="2">
        <f>INDEX(Tables!$D$4:$D$28,MATCH($P884,Tables!$B$4:$B$28,0))</f>
        <v>4</v>
      </c>
      <c r="S884" s="2">
        <f>$S883+$R883+INDEX(Tables!$N$5:$Q$8,MATCH(MOD($S883+$R883,4),Tables!$M$5:$M$8,0),MATCH($R884,Tables!$N$4:$Q$4,0))</f>
        <v>3148</v>
      </c>
      <c r="T884" s="2" t="str">
        <f t="shared" si="204"/>
        <v>0C4C</v>
      </c>
      <c r="U884" s="2">
        <f t="shared" si="210"/>
        <v>787</v>
      </c>
      <c r="V884" s="2" t="str">
        <f t="shared" si="205"/>
        <v>313</v>
      </c>
      <c r="W884" s="2" t="str">
        <f t="shared" si="206"/>
        <v/>
      </c>
      <c r="X884" s="2" t="str">
        <f t="shared" si="207"/>
        <v/>
      </c>
      <c r="Y884" s="2" t="str">
        <f t="shared" si="208"/>
        <v/>
      </c>
      <c r="Z884" s="2" t="str">
        <f t="shared" si="209"/>
        <v>X</v>
      </c>
      <c r="AA884" s="2" t="str">
        <f t="shared" si="211"/>
        <v/>
      </c>
      <c r="AB884" s="2" t="str">
        <f t="shared" si="212"/>
        <v/>
      </c>
      <c r="AC884" s="2" t="str">
        <f t="shared" si="213"/>
        <v/>
      </c>
      <c r="AD884" s="2" t="str">
        <f t="shared" si="214"/>
        <v>(0)</v>
      </c>
      <c r="AE884" s="2" t="str">
        <f t="shared" si="215"/>
        <v/>
      </c>
      <c r="AF884" s="2" t="str">
        <f t="shared" si="216"/>
        <v/>
      </c>
      <c r="AG884" s="2" t="str">
        <f t="shared" si="217"/>
        <v/>
      </c>
      <c r="AH884" s="2" t="str">
        <f t="shared" si="218"/>
        <v/>
      </c>
    </row>
    <row r="885" spans="2:34" x14ac:dyDescent="0.25">
      <c r="B885" s="2" t="s">
        <v>1080</v>
      </c>
      <c r="D885" s="2" t="s">
        <v>1</v>
      </c>
      <c r="E885" s="2" t="s">
        <v>134</v>
      </c>
      <c r="F885" s="2" t="s">
        <v>1084</v>
      </c>
      <c r="G885" s="2" t="s">
        <v>1085</v>
      </c>
      <c r="H885" s="2" t="s">
        <v>442</v>
      </c>
      <c r="I885" s="2" t="s">
        <v>42</v>
      </c>
      <c r="J885" s="2">
        <v>1</v>
      </c>
      <c r="K885" s="2" t="s">
        <v>82</v>
      </c>
      <c r="L885" s="2" t="s">
        <v>41</v>
      </c>
      <c r="M885" s="2" t="s">
        <v>135</v>
      </c>
      <c r="N885" s="2" t="s">
        <v>1083</v>
      </c>
      <c r="O885" s="2" t="s">
        <v>443</v>
      </c>
      <c r="P885" s="2" t="s">
        <v>5</v>
      </c>
      <c r="Q885" s="2">
        <f>INDEX(Tables!$C$4:$C$28,MATCH($P885,Tables!$B$4:$B$28,0))</f>
        <v>32</v>
      </c>
      <c r="R885" s="2">
        <f>INDEX(Tables!$D$4:$D$28,MATCH($P885,Tables!$B$4:$B$28,0))</f>
        <v>4</v>
      </c>
      <c r="S885" s="2">
        <f>$S884+$R884+INDEX(Tables!$N$5:$Q$8,MATCH(MOD($S884+$R884,4),Tables!$M$5:$M$8,0),MATCH($R885,Tables!$N$4:$Q$4,0))</f>
        <v>3152</v>
      </c>
      <c r="T885" s="2" t="str">
        <f t="shared" si="204"/>
        <v>0C50</v>
      </c>
      <c r="U885" s="2">
        <f t="shared" si="210"/>
        <v>788</v>
      </c>
      <c r="V885" s="2" t="str">
        <f t="shared" si="205"/>
        <v>314</v>
      </c>
      <c r="W885" s="2" t="str">
        <f t="shared" si="206"/>
        <v/>
      </c>
      <c r="X885" s="2" t="str">
        <f t="shared" si="207"/>
        <v/>
      </c>
      <c r="Y885" s="2" t="str">
        <f t="shared" si="208"/>
        <v/>
      </c>
      <c r="Z885" s="2" t="str">
        <f t="shared" si="209"/>
        <v>X</v>
      </c>
      <c r="AA885" s="2" t="str">
        <f t="shared" si="211"/>
        <v/>
      </c>
      <c r="AB885" s="2" t="str">
        <f t="shared" si="212"/>
        <v/>
      </c>
      <c r="AC885" s="2" t="str">
        <f t="shared" si="213"/>
        <v/>
      </c>
      <c r="AD885" s="2" t="str">
        <f t="shared" si="214"/>
        <v>(0)</v>
      </c>
      <c r="AE885" s="2" t="str">
        <f t="shared" si="215"/>
        <v/>
      </c>
      <c r="AF885" s="2" t="str">
        <f t="shared" si="216"/>
        <v/>
      </c>
      <c r="AG885" s="2" t="str">
        <f t="shared" si="217"/>
        <v/>
      </c>
      <c r="AH885" s="2" t="str">
        <f t="shared" si="218"/>
        <v/>
      </c>
    </row>
    <row r="886" spans="2:34" x14ac:dyDescent="0.25">
      <c r="B886" s="2" t="s">
        <v>1080</v>
      </c>
      <c r="D886" s="2" t="s">
        <v>1</v>
      </c>
      <c r="E886" s="2" t="s">
        <v>134</v>
      </c>
      <c r="F886" s="2" t="s">
        <v>1084</v>
      </c>
      <c r="G886" s="2" t="s">
        <v>1085</v>
      </c>
      <c r="H886" s="2" t="s">
        <v>444</v>
      </c>
      <c r="I886" s="2" t="s">
        <v>42</v>
      </c>
      <c r="J886" s="2">
        <v>1</v>
      </c>
      <c r="K886" s="2" t="s">
        <v>82</v>
      </c>
      <c r="L886" s="2" t="s">
        <v>41</v>
      </c>
      <c r="M886" s="2" t="s">
        <v>135</v>
      </c>
      <c r="N886" s="2" t="s">
        <v>1083</v>
      </c>
      <c r="O886" s="2" t="s">
        <v>445</v>
      </c>
      <c r="P886" s="2" t="s">
        <v>5</v>
      </c>
      <c r="Q886" s="2">
        <f>INDEX(Tables!$C$4:$C$28,MATCH($P886,Tables!$B$4:$B$28,0))</f>
        <v>32</v>
      </c>
      <c r="R886" s="2">
        <f>INDEX(Tables!$D$4:$D$28,MATCH($P886,Tables!$B$4:$B$28,0))</f>
        <v>4</v>
      </c>
      <c r="S886" s="2">
        <f>$S885+$R885+INDEX(Tables!$N$5:$Q$8,MATCH(MOD($S885+$R885,4),Tables!$M$5:$M$8,0),MATCH($R886,Tables!$N$4:$Q$4,0))</f>
        <v>3156</v>
      </c>
      <c r="T886" s="2" t="str">
        <f t="shared" si="204"/>
        <v>0C54</v>
      </c>
      <c r="U886" s="2">
        <f t="shared" si="210"/>
        <v>789</v>
      </c>
      <c r="V886" s="2" t="str">
        <f t="shared" si="205"/>
        <v>315</v>
      </c>
      <c r="W886" s="2" t="str">
        <f t="shared" si="206"/>
        <v/>
      </c>
      <c r="X886" s="2" t="str">
        <f t="shared" si="207"/>
        <v/>
      </c>
      <c r="Y886" s="2" t="str">
        <f t="shared" si="208"/>
        <v/>
      </c>
      <c r="Z886" s="2" t="str">
        <f t="shared" si="209"/>
        <v>X</v>
      </c>
      <c r="AA886" s="2" t="str">
        <f t="shared" si="211"/>
        <v/>
      </c>
      <c r="AB886" s="2" t="str">
        <f t="shared" si="212"/>
        <v/>
      </c>
      <c r="AC886" s="2" t="str">
        <f t="shared" si="213"/>
        <v/>
      </c>
      <c r="AD886" s="2" t="str">
        <f t="shared" si="214"/>
        <v>(0)</v>
      </c>
      <c r="AE886" s="2" t="str">
        <f t="shared" si="215"/>
        <v/>
      </c>
      <c r="AF886" s="2" t="str">
        <f t="shared" si="216"/>
        <v/>
      </c>
      <c r="AG886" s="2" t="str">
        <f t="shared" si="217"/>
        <v/>
      </c>
      <c r="AH886" s="2" t="str">
        <f t="shared" si="218"/>
        <v/>
      </c>
    </row>
    <row r="887" spans="2:34" x14ac:dyDescent="0.25">
      <c r="B887" s="2" t="s">
        <v>1080</v>
      </c>
      <c r="D887" s="2" t="s">
        <v>1</v>
      </c>
      <c r="E887" s="2" t="s">
        <v>134</v>
      </c>
      <c r="F887" s="2" t="s">
        <v>1086</v>
      </c>
      <c r="G887" s="2" t="s">
        <v>1087</v>
      </c>
      <c r="H887" s="2" t="s">
        <v>448</v>
      </c>
      <c r="I887" s="2" t="s">
        <v>42</v>
      </c>
      <c r="J887" s="2">
        <v>31</v>
      </c>
      <c r="K887" s="2" t="s">
        <v>137</v>
      </c>
      <c r="L887" s="2" t="s">
        <v>41</v>
      </c>
      <c r="M887" s="2" t="s">
        <v>135</v>
      </c>
      <c r="N887" s="2" t="s">
        <v>1083</v>
      </c>
      <c r="O887" s="2" t="s">
        <v>449</v>
      </c>
      <c r="P887" s="2" t="s">
        <v>49</v>
      </c>
      <c r="Q887" s="2">
        <f>INDEX(Tables!$C$4:$C$28,MATCH($P887,Tables!$B$4:$B$28,0))</f>
        <v>32</v>
      </c>
      <c r="R887" s="2">
        <f>INDEX(Tables!$D$4:$D$28,MATCH($P887,Tables!$B$4:$B$28,0))</f>
        <v>4</v>
      </c>
      <c r="S887" s="2">
        <f>$S886+$R886+INDEX(Tables!$N$5:$Q$8,MATCH(MOD($S886+$R886,4),Tables!$M$5:$M$8,0),MATCH($R887,Tables!$N$4:$Q$4,0))</f>
        <v>3160</v>
      </c>
      <c r="T887" s="2" t="str">
        <f t="shared" si="204"/>
        <v>0C58</v>
      </c>
      <c r="U887" s="2">
        <f t="shared" si="210"/>
        <v>790</v>
      </c>
      <c r="V887" s="2" t="str">
        <f t="shared" si="205"/>
        <v>316</v>
      </c>
      <c r="W887" s="2" t="str">
        <f t="shared" si="206"/>
        <v>X</v>
      </c>
      <c r="X887" s="2" t="str">
        <f t="shared" si="207"/>
        <v>X</v>
      </c>
      <c r="Y887" s="2" t="str">
        <f t="shared" si="208"/>
        <v>X</v>
      </c>
      <c r="Z887" s="2" t="str">
        <f t="shared" si="209"/>
        <v>X</v>
      </c>
      <c r="AA887" s="2" t="str">
        <f t="shared" si="211"/>
        <v>(30 downto 24)</v>
      </c>
      <c r="AB887" s="2" t="str">
        <f t="shared" si="212"/>
        <v>(23 downto 16)</v>
      </c>
      <c r="AC887" s="2" t="str">
        <f t="shared" si="213"/>
        <v>(15 downto 8)</v>
      </c>
      <c r="AD887" s="2" t="str">
        <f t="shared" si="214"/>
        <v>(7 downto 0)</v>
      </c>
      <c r="AE887" s="2" t="str">
        <f t="shared" si="215"/>
        <v>(30 downto 24)</v>
      </c>
      <c r="AF887" s="2" t="str">
        <f t="shared" si="216"/>
        <v>(23 downto 16)</v>
      </c>
      <c r="AG887" s="2" t="str">
        <f t="shared" si="217"/>
        <v>(15 downto 8)</v>
      </c>
      <c r="AH887" s="2" t="str">
        <f t="shared" si="218"/>
        <v>(7 downto 0)</v>
      </c>
    </row>
    <row r="888" spans="2:34" x14ac:dyDescent="0.25">
      <c r="B888" s="2" t="s">
        <v>1080</v>
      </c>
      <c r="D888" s="2" t="s">
        <v>1</v>
      </c>
      <c r="E888" s="2" t="s">
        <v>134</v>
      </c>
      <c r="F888" s="2" t="s">
        <v>1088</v>
      </c>
      <c r="G888" s="2" t="s">
        <v>1089</v>
      </c>
      <c r="H888" s="2" t="s">
        <v>452</v>
      </c>
      <c r="I888" s="2" t="s">
        <v>42</v>
      </c>
      <c r="J888" s="2">
        <v>1</v>
      </c>
      <c r="K888" s="2" t="s">
        <v>82</v>
      </c>
      <c r="L888" s="2" t="s">
        <v>41</v>
      </c>
      <c r="M888" s="2" t="s">
        <v>135</v>
      </c>
      <c r="N888" s="2" t="s">
        <v>1083</v>
      </c>
      <c r="O888" s="2" t="s">
        <v>453</v>
      </c>
      <c r="P888" s="2" t="s">
        <v>5</v>
      </c>
      <c r="Q888" s="2">
        <f>INDEX(Tables!$C$4:$C$28,MATCH($P888,Tables!$B$4:$B$28,0))</f>
        <v>32</v>
      </c>
      <c r="R888" s="2">
        <f>INDEX(Tables!$D$4:$D$28,MATCH($P888,Tables!$B$4:$B$28,0))</f>
        <v>4</v>
      </c>
      <c r="S888" s="2">
        <f>$S887+$R887+INDEX(Tables!$N$5:$Q$8,MATCH(MOD($S887+$R887,4),Tables!$M$5:$M$8,0),MATCH($R888,Tables!$N$4:$Q$4,0))</f>
        <v>3164</v>
      </c>
      <c r="T888" s="2" t="str">
        <f t="shared" si="204"/>
        <v>0C5C</v>
      </c>
      <c r="U888" s="2">
        <f t="shared" si="210"/>
        <v>791</v>
      </c>
      <c r="V888" s="2" t="str">
        <f t="shared" si="205"/>
        <v>317</v>
      </c>
      <c r="W888" s="2" t="str">
        <f t="shared" si="206"/>
        <v/>
      </c>
      <c r="X888" s="2" t="str">
        <f t="shared" si="207"/>
        <v/>
      </c>
      <c r="Y888" s="2" t="str">
        <f t="shared" si="208"/>
        <v/>
      </c>
      <c r="Z888" s="2" t="str">
        <f t="shared" si="209"/>
        <v>X</v>
      </c>
      <c r="AA888" s="2" t="str">
        <f t="shared" si="211"/>
        <v/>
      </c>
      <c r="AB888" s="2" t="str">
        <f t="shared" si="212"/>
        <v/>
      </c>
      <c r="AC888" s="2" t="str">
        <f t="shared" si="213"/>
        <v/>
      </c>
      <c r="AD888" s="2" t="str">
        <f t="shared" si="214"/>
        <v>(0)</v>
      </c>
      <c r="AE888" s="2" t="str">
        <f t="shared" si="215"/>
        <v/>
      </c>
      <c r="AF888" s="2" t="str">
        <f t="shared" si="216"/>
        <v/>
      </c>
      <c r="AG888" s="2" t="str">
        <f t="shared" si="217"/>
        <v/>
      </c>
      <c r="AH888" s="2" t="str">
        <f t="shared" si="218"/>
        <v/>
      </c>
    </row>
    <row r="889" spans="2:34" x14ac:dyDescent="0.25">
      <c r="B889" s="2" t="s">
        <v>1080</v>
      </c>
      <c r="D889" s="2" t="s">
        <v>1</v>
      </c>
      <c r="E889" s="2" t="s">
        <v>134</v>
      </c>
      <c r="F889" s="2" t="s">
        <v>1088</v>
      </c>
      <c r="G889" s="2" t="s">
        <v>1089</v>
      </c>
      <c r="H889" s="2" t="s">
        <v>454</v>
      </c>
      <c r="I889" s="2" t="s">
        <v>42</v>
      </c>
      <c r="J889" s="2">
        <v>1</v>
      </c>
      <c r="K889" s="2" t="s">
        <v>82</v>
      </c>
      <c r="L889" s="2" t="s">
        <v>41</v>
      </c>
      <c r="M889" s="2" t="s">
        <v>135</v>
      </c>
      <c r="N889" s="2" t="s">
        <v>1083</v>
      </c>
      <c r="O889" s="2" t="s">
        <v>455</v>
      </c>
      <c r="P889" s="2" t="s">
        <v>5</v>
      </c>
      <c r="Q889" s="2">
        <f>INDEX(Tables!$C$4:$C$28,MATCH($P889,Tables!$B$4:$B$28,0))</f>
        <v>32</v>
      </c>
      <c r="R889" s="2">
        <f>INDEX(Tables!$D$4:$D$28,MATCH($P889,Tables!$B$4:$B$28,0))</f>
        <v>4</v>
      </c>
      <c r="S889" s="2">
        <f>$S888+$R888+INDEX(Tables!$N$5:$Q$8,MATCH(MOD($S888+$R888,4),Tables!$M$5:$M$8,0),MATCH($R889,Tables!$N$4:$Q$4,0))</f>
        <v>3168</v>
      </c>
      <c r="T889" s="2" t="str">
        <f t="shared" si="204"/>
        <v>0C60</v>
      </c>
      <c r="U889" s="2">
        <f t="shared" si="210"/>
        <v>792</v>
      </c>
      <c r="V889" s="2" t="str">
        <f t="shared" si="205"/>
        <v>318</v>
      </c>
      <c r="W889" s="2" t="str">
        <f t="shared" si="206"/>
        <v/>
      </c>
      <c r="X889" s="2" t="str">
        <f t="shared" si="207"/>
        <v/>
      </c>
      <c r="Y889" s="2" t="str">
        <f t="shared" si="208"/>
        <v/>
      </c>
      <c r="Z889" s="2" t="str">
        <f t="shared" si="209"/>
        <v>X</v>
      </c>
      <c r="AA889" s="2" t="str">
        <f t="shared" si="211"/>
        <v/>
      </c>
      <c r="AB889" s="2" t="str">
        <f t="shared" si="212"/>
        <v/>
      </c>
      <c r="AC889" s="2" t="str">
        <f t="shared" si="213"/>
        <v/>
      </c>
      <c r="AD889" s="2" t="str">
        <f t="shared" si="214"/>
        <v>(0)</v>
      </c>
      <c r="AE889" s="2" t="str">
        <f t="shared" si="215"/>
        <v/>
      </c>
      <c r="AF889" s="2" t="str">
        <f t="shared" si="216"/>
        <v/>
      </c>
      <c r="AG889" s="2" t="str">
        <f t="shared" si="217"/>
        <v/>
      </c>
      <c r="AH889" s="2" t="str">
        <f t="shared" si="218"/>
        <v/>
      </c>
    </row>
    <row r="890" spans="2:34" x14ac:dyDescent="0.25">
      <c r="B890" s="2" t="s">
        <v>1080</v>
      </c>
      <c r="D890" s="2" t="s">
        <v>1</v>
      </c>
      <c r="E890" s="2" t="s">
        <v>134</v>
      </c>
      <c r="F890" s="2" t="s">
        <v>1088</v>
      </c>
      <c r="G890" s="2" t="s">
        <v>1089</v>
      </c>
      <c r="H890" s="2" t="s">
        <v>456</v>
      </c>
      <c r="I890" s="2" t="s">
        <v>42</v>
      </c>
      <c r="J890" s="2">
        <v>1</v>
      </c>
      <c r="K890" s="2" t="s">
        <v>82</v>
      </c>
      <c r="L890" s="2" t="s">
        <v>41</v>
      </c>
      <c r="M890" s="2" t="s">
        <v>135</v>
      </c>
      <c r="N890" s="2" t="s">
        <v>1083</v>
      </c>
      <c r="O890" s="2" t="s">
        <v>457</v>
      </c>
      <c r="P890" s="2" t="s">
        <v>5</v>
      </c>
      <c r="Q890" s="2">
        <f>INDEX(Tables!$C$4:$C$28,MATCH($P890,Tables!$B$4:$B$28,0))</f>
        <v>32</v>
      </c>
      <c r="R890" s="2">
        <f>INDEX(Tables!$D$4:$D$28,MATCH($P890,Tables!$B$4:$B$28,0))</f>
        <v>4</v>
      </c>
      <c r="S890" s="2">
        <f>$S889+$R889+INDEX(Tables!$N$5:$Q$8,MATCH(MOD($S889+$R889,4),Tables!$M$5:$M$8,0),MATCH($R890,Tables!$N$4:$Q$4,0))</f>
        <v>3172</v>
      </c>
      <c r="T890" s="2" t="str">
        <f t="shared" si="204"/>
        <v>0C64</v>
      </c>
      <c r="U890" s="2">
        <f t="shared" si="210"/>
        <v>793</v>
      </c>
      <c r="V890" s="2" t="str">
        <f t="shared" si="205"/>
        <v>319</v>
      </c>
      <c r="W890" s="2" t="str">
        <f t="shared" si="206"/>
        <v/>
      </c>
      <c r="X890" s="2" t="str">
        <f t="shared" si="207"/>
        <v/>
      </c>
      <c r="Y890" s="2" t="str">
        <f t="shared" si="208"/>
        <v/>
      </c>
      <c r="Z890" s="2" t="str">
        <f t="shared" si="209"/>
        <v>X</v>
      </c>
      <c r="AA890" s="2" t="str">
        <f t="shared" si="211"/>
        <v/>
      </c>
      <c r="AB890" s="2" t="str">
        <f t="shared" si="212"/>
        <v/>
      </c>
      <c r="AC890" s="2" t="str">
        <f t="shared" si="213"/>
        <v/>
      </c>
      <c r="AD890" s="2" t="str">
        <f t="shared" si="214"/>
        <v>(0)</v>
      </c>
      <c r="AE890" s="2" t="str">
        <f t="shared" si="215"/>
        <v/>
      </c>
      <c r="AF890" s="2" t="str">
        <f t="shared" si="216"/>
        <v/>
      </c>
      <c r="AG890" s="2" t="str">
        <f t="shared" si="217"/>
        <v/>
      </c>
      <c r="AH890" s="2" t="str">
        <f t="shared" si="218"/>
        <v/>
      </c>
    </row>
    <row r="891" spans="2:34" x14ac:dyDescent="0.25">
      <c r="B891" s="2" t="s">
        <v>1080</v>
      </c>
      <c r="D891" s="2" t="s">
        <v>1</v>
      </c>
      <c r="E891" s="2" t="s">
        <v>134</v>
      </c>
      <c r="F891" s="2" t="s">
        <v>1088</v>
      </c>
      <c r="G891" s="2" t="s">
        <v>1089</v>
      </c>
      <c r="H891" s="2" t="s">
        <v>458</v>
      </c>
      <c r="I891" s="2" t="s">
        <v>42</v>
      </c>
      <c r="J891" s="2">
        <v>1</v>
      </c>
      <c r="K891" s="2" t="s">
        <v>82</v>
      </c>
      <c r="L891" s="2" t="s">
        <v>41</v>
      </c>
      <c r="M891" s="2" t="s">
        <v>135</v>
      </c>
      <c r="N891" s="2" t="s">
        <v>1083</v>
      </c>
      <c r="O891" s="2" t="s">
        <v>459</v>
      </c>
      <c r="P891" s="2" t="s">
        <v>5</v>
      </c>
      <c r="Q891" s="2">
        <f>INDEX(Tables!$C$4:$C$28,MATCH($P891,Tables!$B$4:$B$28,0))</f>
        <v>32</v>
      </c>
      <c r="R891" s="2">
        <f>INDEX(Tables!$D$4:$D$28,MATCH($P891,Tables!$B$4:$B$28,0))</f>
        <v>4</v>
      </c>
      <c r="S891" s="2">
        <f>$S890+$R890+INDEX(Tables!$N$5:$Q$8,MATCH(MOD($S890+$R890,4),Tables!$M$5:$M$8,0),MATCH($R891,Tables!$N$4:$Q$4,0))</f>
        <v>3176</v>
      </c>
      <c r="T891" s="2" t="str">
        <f t="shared" si="204"/>
        <v>0C68</v>
      </c>
      <c r="U891" s="2">
        <f t="shared" si="210"/>
        <v>794</v>
      </c>
      <c r="V891" s="2" t="str">
        <f t="shared" si="205"/>
        <v>31A</v>
      </c>
      <c r="W891" s="2" t="str">
        <f t="shared" si="206"/>
        <v/>
      </c>
      <c r="X891" s="2" t="str">
        <f t="shared" si="207"/>
        <v/>
      </c>
      <c r="Y891" s="2" t="str">
        <f t="shared" si="208"/>
        <v/>
      </c>
      <c r="Z891" s="2" t="str">
        <f t="shared" si="209"/>
        <v>X</v>
      </c>
      <c r="AA891" s="2" t="str">
        <f t="shared" si="211"/>
        <v/>
      </c>
      <c r="AB891" s="2" t="str">
        <f t="shared" si="212"/>
        <v/>
      </c>
      <c r="AC891" s="2" t="str">
        <f t="shared" si="213"/>
        <v/>
      </c>
      <c r="AD891" s="2" t="str">
        <f t="shared" si="214"/>
        <v>(0)</v>
      </c>
      <c r="AE891" s="2" t="str">
        <f t="shared" si="215"/>
        <v/>
      </c>
      <c r="AF891" s="2" t="str">
        <f t="shared" si="216"/>
        <v/>
      </c>
      <c r="AG891" s="2" t="str">
        <f t="shared" si="217"/>
        <v/>
      </c>
      <c r="AH891" s="2" t="str">
        <f t="shared" si="218"/>
        <v/>
      </c>
    </row>
    <row r="892" spans="2:34" x14ac:dyDescent="0.25">
      <c r="B892" s="2" t="s">
        <v>1080</v>
      </c>
      <c r="D892" s="2" t="s">
        <v>1</v>
      </c>
      <c r="E892" s="2" t="s">
        <v>134</v>
      </c>
      <c r="F892" s="2" t="s">
        <v>1088</v>
      </c>
      <c r="G892" s="2" t="s">
        <v>1089</v>
      </c>
      <c r="H892" s="2" t="s">
        <v>460</v>
      </c>
      <c r="I892" s="2" t="s">
        <v>42</v>
      </c>
      <c r="J892" s="2">
        <v>1</v>
      </c>
      <c r="K892" s="2" t="s">
        <v>82</v>
      </c>
      <c r="L892" s="2" t="s">
        <v>41</v>
      </c>
      <c r="M892" s="2" t="s">
        <v>135</v>
      </c>
      <c r="N892" s="2" t="s">
        <v>1083</v>
      </c>
      <c r="O892" s="2" t="s">
        <v>461</v>
      </c>
      <c r="P892" s="2" t="s">
        <v>5</v>
      </c>
      <c r="Q892" s="2">
        <f>INDEX(Tables!$C$4:$C$28,MATCH($P892,Tables!$B$4:$B$28,0))</f>
        <v>32</v>
      </c>
      <c r="R892" s="2">
        <f>INDEX(Tables!$D$4:$D$28,MATCH($P892,Tables!$B$4:$B$28,0))</f>
        <v>4</v>
      </c>
      <c r="S892" s="2">
        <f>$S891+$R891+INDEX(Tables!$N$5:$Q$8,MATCH(MOD($S891+$R891,4),Tables!$M$5:$M$8,0),MATCH($R892,Tables!$N$4:$Q$4,0))</f>
        <v>3180</v>
      </c>
      <c r="T892" s="2" t="str">
        <f t="shared" si="204"/>
        <v>0C6C</v>
      </c>
      <c r="U892" s="2">
        <f t="shared" si="210"/>
        <v>795</v>
      </c>
      <c r="V892" s="2" t="str">
        <f t="shared" si="205"/>
        <v>31B</v>
      </c>
      <c r="W892" s="2" t="str">
        <f t="shared" si="206"/>
        <v/>
      </c>
      <c r="X892" s="2" t="str">
        <f t="shared" si="207"/>
        <v/>
      </c>
      <c r="Y892" s="2" t="str">
        <f t="shared" si="208"/>
        <v/>
      </c>
      <c r="Z892" s="2" t="str">
        <f t="shared" si="209"/>
        <v>X</v>
      </c>
      <c r="AA892" s="2" t="str">
        <f t="shared" si="211"/>
        <v/>
      </c>
      <c r="AB892" s="2" t="str">
        <f t="shared" si="212"/>
        <v/>
      </c>
      <c r="AC892" s="2" t="str">
        <f t="shared" si="213"/>
        <v/>
      </c>
      <c r="AD892" s="2" t="str">
        <f t="shared" si="214"/>
        <v>(0)</v>
      </c>
      <c r="AE892" s="2" t="str">
        <f t="shared" si="215"/>
        <v/>
      </c>
      <c r="AF892" s="2" t="str">
        <f t="shared" si="216"/>
        <v/>
      </c>
      <c r="AG892" s="2" t="str">
        <f t="shared" si="217"/>
        <v/>
      </c>
      <c r="AH892" s="2" t="str">
        <f t="shared" si="218"/>
        <v/>
      </c>
    </row>
    <row r="893" spans="2:34" x14ac:dyDescent="0.25">
      <c r="B893" s="2" t="s">
        <v>1080</v>
      </c>
      <c r="D893" s="2" t="s">
        <v>1</v>
      </c>
      <c r="E893" s="2" t="s">
        <v>134</v>
      </c>
      <c r="F893" s="2" t="s">
        <v>1088</v>
      </c>
      <c r="G893" s="2" t="s">
        <v>1089</v>
      </c>
      <c r="H893" s="2" t="s">
        <v>462</v>
      </c>
      <c r="I893" s="2" t="s">
        <v>42</v>
      </c>
      <c r="J893" s="2">
        <v>1</v>
      </c>
      <c r="K893" s="2" t="s">
        <v>82</v>
      </c>
      <c r="L893" s="2" t="s">
        <v>41</v>
      </c>
      <c r="M893" s="2" t="s">
        <v>135</v>
      </c>
      <c r="N893" s="2" t="s">
        <v>1083</v>
      </c>
      <c r="O893" s="2" t="s">
        <v>463</v>
      </c>
      <c r="P893" s="2" t="s">
        <v>5</v>
      </c>
      <c r="Q893" s="2">
        <f>INDEX(Tables!$C$4:$C$28,MATCH($P893,Tables!$B$4:$B$28,0))</f>
        <v>32</v>
      </c>
      <c r="R893" s="2">
        <f>INDEX(Tables!$D$4:$D$28,MATCH($P893,Tables!$B$4:$B$28,0))</f>
        <v>4</v>
      </c>
      <c r="S893" s="2">
        <f>$S892+$R892+INDEX(Tables!$N$5:$Q$8,MATCH(MOD($S892+$R892,4),Tables!$M$5:$M$8,0),MATCH($R893,Tables!$N$4:$Q$4,0))</f>
        <v>3184</v>
      </c>
      <c r="T893" s="2" t="str">
        <f t="shared" si="204"/>
        <v>0C70</v>
      </c>
      <c r="U893" s="2">
        <f t="shared" si="210"/>
        <v>796</v>
      </c>
      <c r="V893" s="2" t="str">
        <f t="shared" si="205"/>
        <v>31C</v>
      </c>
      <c r="W893" s="2" t="str">
        <f t="shared" si="206"/>
        <v/>
      </c>
      <c r="X893" s="2" t="str">
        <f t="shared" si="207"/>
        <v/>
      </c>
      <c r="Y893" s="2" t="str">
        <f t="shared" si="208"/>
        <v/>
      </c>
      <c r="Z893" s="2" t="str">
        <f t="shared" si="209"/>
        <v>X</v>
      </c>
      <c r="AA893" s="2" t="str">
        <f t="shared" si="211"/>
        <v/>
      </c>
      <c r="AB893" s="2" t="str">
        <f t="shared" si="212"/>
        <v/>
      </c>
      <c r="AC893" s="2" t="str">
        <f t="shared" si="213"/>
        <v/>
      </c>
      <c r="AD893" s="2" t="str">
        <f t="shared" si="214"/>
        <v>(0)</v>
      </c>
      <c r="AE893" s="2" t="str">
        <f t="shared" si="215"/>
        <v/>
      </c>
      <c r="AF893" s="2" t="str">
        <f t="shared" si="216"/>
        <v/>
      </c>
      <c r="AG893" s="2" t="str">
        <f t="shared" si="217"/>
        <v/>
      </c>
      <c r="AH893" s="2" t="str">
        <f t="shared" si="218"/>
        <v/>
      </c>
    </row>
    <row r="894" spans="2:34" x14ac:dyDescent="0.25">
      <c r="B894" s="2" t="s">
        <v>1080</v>
      </c>
      <c r="D894" s="2" t="s">
        <v>1</v>
      </c>
      <c r="E894" s="2" t="s">
        <v>134</v>
      </c>
      <c r="F894" s="2" t="s">
        <v>1088</v>
      </c>
      <c r="G894" s="2" t="s">
        <v>1089</v>
      </c>
      <c r="H894" s="2" t="s">
        <v>464</v>
      </c>
      <c r="I894" s="2" t="s">
        <v>42</v>
      </c>
      <c r="J894" s="2">
        <v>1</v>
      </c>
      <c r="K894" s="2" t="s">
        <v>82</v>
      </c>
      <c r="L894" s="2" t="s">
        <v>41</v>
      </c>
      <c r="M894" s="2" t="s">
        <v>135</v>
      </c>
      <c r="N894" s="2" t="s">
        <v>1083</v>
      </c>
      <c r="O894" s="2" t="s">
        <v>465</v>
      </c>
      <c r="P894" s="2" t="s">
        <v>5</v>
      </c>
      <c r="Q894" s="2">
        <f>INDEX(Tables!$C$4:$C$28,MATCH($P894,Tables!$B$4:$B$28,0))</f>
        <v>32</v>
      </c>
      <c r="R894" s="2">
        <f>INDEX(Tables!$D$4:$D$28,MATCH($P894,Tables!$B$4:$B$28,0))</f>
        <v>4</v>
      </c>
      <c r="S894" s="2">
        <f>$S893+$R893+INDEX(Tables!$N$5:$Q$8,MATCH(MOD($S893+$R893,4),Tables!$M$5:$M$8,0),MATCH($R894,Tables!$N$4:$Q$4,0))</f>
        <v>3188</v>
      </c>
      <c r="T894" s="2" t="str">
        <f t="shared" si="204"/>
        <v>0C74</v>
      </c>
      <c r="U894" s="2">
        <f t="shared" si="210"/>
        <v>797</v>
      </c>
      <c r="V894" s="2" t="str">
        <f t="shared" si="205"/>
        <v>31D</v>
      </c>
      <c r="W894" s="2" t="str">
        <f t="shared" si="206"/>
        <v/>
      </c>
      <c r="X894" s="2" t="str">
        <f t="shared" si="207"/>
        <v/>
      </c>
      <c r="Y894" s="2" t="str">
        <f t="shared" si="208"/>
        <v/>
      </c>
      <c r="Z894" s="2" t="str">
        <f t="shared" si="209"/>
        <v>X</v>
      </c>
      <c r="AA894" s="2" t="str">
        <f t="shared" si="211"/>
        <v/>
      </c>
      <c r="AB894" s="2" t="str">
        <f t="shared" si="212"/>
        <v/>
      </c>
      <c r="AC894" s="2" t="str">
        <f t="shared" si="213"/>
        <v/>
      </c>
      <c r="AD894" s="2" t="str">
        <f t="shared" si="214"/>
        <v>(0)</v>
      </c>
      <c r="AE894" s="2" t="str">
        <f t="shared" si="215"/>
        <v/>
      </c>
      <c r="AF894" s="2" t="str">
        <f t="shared" si="216"/>
        <v/>
      </c>
      <c r="AG894" s="2" t="str">
        <f t="shared" si="217"/>
        <v/>
      </c>
      <c r="AH894" s="2" t="str">
        <f t="shared" si="218"/>
        <v/>
      </c>
    </row>
    <row r="895" spans="2:34" x14ac:dyDescent="0.25">
      <c r="B895" s="2" t="s">
        <v>1080</v>
      </c>
      <c r="D895" s="2" t="s">
        <v>1</v>
      </c>
      <c r="E895" s="2" t="s">
        <v>134</v>
      </c>
      <c r="F895" s="2" t="s">
        <v>1088</v>
      </c>
      <c r="G895" s="2" t="s">
        <v>1089</v>
      </c>
      <c r="H895" s="2" t="s">
        <v>466</v>
      </c>
      <c r="I895" s="2" t="s">
        <v>42</v>
      </c>
      <c r="J895" s="2">
        <v>1</v>
      </c>
      <c r="K895" s="2" t="s">
        <v>82</v>
      </c>
      <c r="L895" s="2" t="s">
        <v>41</v>
      </c>
      <c r="M895" s="2" t="s">
        <v>135</v>
      </c>
      <c r="N895" s="2" t="s">
        <v>1083</v>
      </c>
      <c r="O895" s="2" t="s">
        <v>467</v>
      </c>
      <c r="P895" s="2" t="s">
        <v>5</v>
      </c>
      <c r="Q895" s="2">
        <f>INDEX(Tables!$C$4:$C$28,MATCH($P895,Tables!$B$4:$B$28,0))</f>
        <v>32</v>
      </c>
      <c r="R895" s="2">
        <f>INDEX(Tables!$D$4:$D$28,MATCH($P895,Tables!$B$4:$B$28,0))</f>
        <v>4</v>
      </c>
      <c r="S895" s="2">
        <f>$S894+$R894+INDEX(Tables!$N$5:$Q$8,MATCH(MOD($S894+$R894,4),Tables!$M$5:$M$8,0),MATCH($R895,Tables!$N$4:$Q$4,0))</f>
        <v>3192</v>
      </c>
      <c r="T895" s="2" t="str">
        <f t="shared" si="204"/>
        <v>0C78</v>
      </c>
      <c r="U895" s="2">
        <f t="shared" si="210"/>
        <v>798</v>
      </c>
      <c r="V895" s="2" t="str">
        <f t="shared" si="205"/>
        <v>31E</v>
      </c>
      <c r="W895" s="2" t="str">
        <f t="shared" si="206"/>
        <v/>
      </c>
      <c r="X895" s="2" t="str">
        <f t="shared" si="207"/>
        <v/>
      </c>
      <c r="Y895" s="2" t="str">
        <f t="shared" si="208"/>
        <v/>
      </c>
      <c r="Z895" s="2" t="str">
        <f t="shared" si="209"/>
        <v>X</v>
      </c>
      <c r="AA895" s="2" t="str">
        <f t="shared" si="211"/>
        <v/>
      </c>
      <c r="AB895" s="2" t="str">
        <f t="shared" si="212"/>
        <v/>
      </c>
      <c r="AC895" s="2" t="str">
        <f t="shared" si="213"/>
        <v/>
      </c>
      <c r="AD895" s="2" t="str">
        <f t="shared" si="214"/>
        <v>(0)</v>
      </c>
      <c r="AE895" s="2" t="str">
        <f t="shared" si="215"/>
        <v/>
      </c>
      <c r="AF895" s="2" t="str">
        <f t="shared" si="216"/>
        <v/>
      </c>
      <c r="AG895" s="2" t="str">
        <f t="shared" si="217"/>
        <v/>
      </c>
      <c r="AH895" s="2" t="str">
        <f t="shared" si="218"/>
        <v/>
      </c>
    </row>
    <row r="896" spans="2:34" x14ac:dyDescent="0.25">
      <c r="B896" s="2" t="s">
        <v>1080</v>
      </c>
      <c r="D896" s="2" t="s">
        <v>1</v>
      </c>
      <c r="E896" s="2" t="s">
        <v>134</v>
      </c>
      <c r="F896" s="2" t="s">
        <v>1088</v>
      </c>
      <c r="G896" s="2" t="s">
        <v>1089</v>
      </c>
      <c r="H896" s="2" t="s">
        <v>468</v>
      </c>
      <c r="I896" s="2" t="s">
        <v>42</v>
      </c>
      <c r="J896" s="2">
        <v>1</v>
      </c>
      <c r="K896" s="2" t="s">
        <v>82</v>
      </c>
      <c r="L896" s="2" t="s">
        <v>41</v>
      </c>
      <c r="M896" s="2" t="s">
        <v>135</v>
      </c>
      <c r="N896" s="2" t="s">
        <v>1083</v>
      </c>
      <c r="O896" s="2" t="s">
        <v>469</v>
      </c>
      <c r="P896" s="2" t="s">
        <v>5</v>
      </c>
      <c r="Q896" s="2">
        <f>INDEX(Tables!$C$4:$C$28,MATCH($P896,Tables!$B$4:$B$28,0))</f>
        <v>32</v>
      </c>
      <c r="R896" s="2">
        <f>INDEX(Tables!$D$4:$D$28,MATCH($P896,Tables!$B$4:$B$28,0))</f>
        <v>4</v>
      </c>
      <c r="S896" s="2">
        <f>$S895+$R895+INDEX(Tables!$N$5:$Q$8,MATCH(MOD($S895+$R895,4),Tables!$M$5:$M$8,0),MATCH($R896,Tables!$N$4:$Q$4,0))</f>
        <v>3196</v>
      </c>
      <c r="T896" s="2" t="str">
        <f t="shared" si="204"/>
        <v>0C7C</v>
      </c>
      <c r="U896" s="2">
        <f t="shared" si="210"/>
        <v>799</v>
      </c>
      <c r="V896" s="2" t="str">
        <f t="shared" si="205"/>
        <v>31F</v>
      </c>
      <c r="W896" s="2" t="str">
        <f t="shared" si="206"/>
        <v/>
      </c>
      <c r="X896" s="2" t="str">
        <f t="shared" si="207"/>
        <v/>
      </c>
      <c r="Y896" s="2" t="str">
        <f t="shared" si="208"/>
        <v/>
      </c>
      <c r="Z896" s="2" t="str">
        <f t="shared" si="209"/>
        <v>X</v>
      </c>
      <c r="AA896" s="2" t="str">
        <f t="shared" si="211"/>
        <v/>
      </c>
      <c r="AB896" s="2" t="str">
        <f t="shared" si="212"/>
        <v/>
      </c>
      <c r="AC896" s="2" t="str">
        <f t="shared" si="213"/>
        <v/>
      </c>
      <c r="AD896" s="2" t="str">
        <f t="shared" si="214"/>
        <v>(0)</v>
      </c>
      <c r="AE896" s="2" t="str">
        <f t="shared" si="215"/>
        <v/>
      </c>
      <c r="AF896" s="2" t="str">
        <f t="shared" si="216"/>
        <v/>
      </c>
      <c r="AG896" s="2" t="str">
        <f t="shared" si="217"/>
        <v/>
      </c>
      <c r="AH896" s="2" t="str">
        <f t="shared" si="218"/>
        <v/>
      </c>
    </row>
    <row r="897" spans="2:34" x14ac:dyDescent="0.25">
      <c r="B897" s="2" t="s">
        <v>1080</v>
      </c>
      <c r="D897" s="2" t="s">
        <v>1</v>
      </c>
      <c r="E897" s="2" t="s">
        <v>134</v>
      </c>
      <c r="F897" s="2" t="s">
        <v>1088</v>
      </c>
      <c r="G897" s="2" t="s">
        <v>1089</v>
      </c>
      <c r="H897" s="2" t="s">
        <v>470</v>
      </c>
      <c r="I897" s="2" t="s">
        <v>42</v>
      </c>
      <c r="J897" s="2">
        <v>1</v>
      </c>
      <c r="K897" s="2" t="s">
        <v>82</v>
      </c>
      <c r="L897" s="2" t="s">
        <v>41</v>
      </c>
      <c r="M897" s="2" t="s">
        <v>135</v>
      </c>
      <c r="N897" s="2" t="s">
        <v>1083</v>
      </c>
      <c r="O897" s="2" t="s">
        <v>471</v>
      </c>
      <c r="P897" s="2" t="s">
        <v>5</v>
      </c>
      <c r="Q897" s="2">
        <f>INDEX(Tables!$C$4:$C$28,MATCH($P897,Tables!$B$4:$B$28,0))</f>
        <v>32</v>
      </c>
      <c r="R897" s="2">
        <f>INDEX(Tables!$D$4:$D$28,MATCH($P897,Tables!$B$4:$B$28,0))</f>
        <v>4</v>
      </c>
      <c r="S897" s="2">
        <f>$S896+$R896+INDEX(Tables!$N$5:$Q$8,MATCH(MOD($S896+$R896,4),Tables!$M$5:$M$8,0),MATCH($R897,Tables!$N$4:$Q$4,0))</f>
        <v>3200</v>
      </c>
      <c r="T897" s="2" t="str">
        <f t="shared" si="204"/>
        <v>0C80</v>
      </c>
      <c r="U897" s="2">
        <f t="shared" si="210"/>
        <v>800</v>
      </c>
      <c r="V897" s="2" t="str">
        <f t="shared" si="205"/>
        <v>320</v>
      </c>
      <c r="W897" s="2" t="str">
        <f t="shared" si="206"/>
        <v/>
      </c>
      <c r="X897" s="2" t="str">
        <f t="shared" si="207"/>
        <v/>
      </c>
      <c r="Y897" s="2" t="str">
        <f t="shared" si="208"/>
        <v/>
      </c>
      <c r="Z897" s="2" t="str">
        <f t="shared" si="209"/>
        <v>X</v>
      </c>
      <c r="AA897" s="2" t="str">
        <f t="shared" si="211"/>
        <v/>
      </c>
      <c r="AB897" s="2" t="str">
        <f t="shared" si="212"/>
        <v/>
      </c>
      <c r="AC897" s="2" t="str">
        <f t="shared" si="213"/>
        <v/>
      </c>
      <c r="AD897" s="2" t="str">
        <f t="shared" si="214"/>
        <v>(0)</v>
      </c>
      <c r="AE897" s="2" t="str">
        <f t="shared" si="215"/>
        <v/>
      </c>
      <c r="AF897" s="2" t="str">
        <f t="shared" si="216"/>
        <v/>
      </c>
      <c r="AG897" s="2" t="str">
        <f t="shared" si="217"/>
        <v/>
      </c>
      <c r="AH897" s="2" t="str">
        <f t="shared" si="218"/>
        <v/>
      </c>
    </row>
    <row r="898" spans="2:34" x14ac:dyDescent="0.25">
      <c r="B898" s="2" t="s">
        <v>1080</v>
      </c>
      <c r="D898" s="2" t="s">
        <v>1</v>
      </c>
      <c r="E898" s="2" t="s">
        <v>134</v>
      </c>
      <c r="F898" s="2" t="s">
        <v>1088</v>
      </c>
      <c r="G898" s="2" t="s">
        <v>1089</v>
      </c>
      <c r="H898" s="2" t="s">
        <v>472</v>
      </c>
      <c r="I898" s="2" t="s">
        <v>42</v>
      </c>
      <c r="J898" s="2">
        <v>1</v>
      </c>
      <c r="K898" s="2" t="s">
        <v>82</v>
      </c>
      <c r="L898" s="2" t="s">
        <v>41</v>
      </c>
      <c r="M898" s="2" t="s">
        <v>135</v>
      </c>
      <c r="N898" s="2" t="s">
        <v>1083</v>
      </c>
      <c r="O898" s="2" t="s">
        <v>473</v>
      </c>
      <c r="P898" s="2" t="s">
        <v>5</v>
      </c>
      <c r="Q898" s="2">
        <f>INDEX(Tables!$C$4:$C$28,MATCH($P898,Tables!$B$4:$B$28,0))</f>
        <v>32</v>
      </c>
      <c r="R898" s="2">
        <f>INDEX(Tables!$D$4:$D$28,MATCH($P898,Tables!$B$4:$B$28,0))</f>
        <v>4</v>
      </c>
      <c r="S898" s="2">
        <f>$S897+$R897+INDEX(Tables!$N$5:$Q$8,MATCH(MOD($S897+$R897,4),Tables!$M$5:$M$8,0),MATCH($R898,Tables!$N$4:$Q$4,0))</f>
        <v>3204</v>
      </c>
      <c r="T898" s="2" t="str">
        <f t="shared" si="204"/>
        <v>0C84</v>
      </c>
      <c r="U898" s="2">
        <f t="shared" si="210"/>
        <v>801</v>
      </c>
      <c r="V898" s="2" t="str">
        <f t="shared" si="205"/>
        <v>321</v>
      </c>
      <c r="W898" s="2" t="str">
        <f t="shared" si="206"/>
        <v/>
      </c>
      <c r="X898" s="2" t="str">
        <f t="shared" si="207"/>
        <v/>
      </c>
      <c r="Y898" s="2" t="str">
        <f t="shared" si="208"/>
        <v/>
      </c>
      <c r="Z898" s="2" t="str">
        <f t="shared" si="209"/>
        <v>X</v>
      </c>
      <c r="AA898" s="2" t="str">
        <f t="shared" si="211"/>
        <v/>
      </c>
      <c r="AB898" s="2" t="str">
        <f t="shared" si="212"/>
        <v/>
      </c>
      <c r="AC898" s="2" t="str">
        <f t="shared" si="213"/>
        <v/>
      </c>
      <c r="AD898" s="2" t="str">
        <f t="shared" si="214"/>
        <v>(0)</v>
      </c>
      <c r="AE898" s="2" t="str">
        <f t="shared" si="215"/>
        <v/>
      </c>
      <c r="AF898" s="2" t="str">
        <f t="shared" si="216"/>
        <v/>
      </c>
      <c r="AG898" s="2" t="str">
        <f t="shared" si="217"/>
        <v/>
      </c>
      <c r="AH898" s="2" t="str">
        <f t="shared" si="218"/>
        <v/>
      </c>
    </row>
    <row r="899" spans="2:34" x14ac:dyDescent="0.25">
      <c r="B899" s="2" t="s">
        <v>1080</v>
      </c>
      <c r="D899" s="2" t="s">
        <v>1</v>
      </c>
      <c r="E899" s="2" t="s">
        <v>134</v>
      </c>
      <c r="F899" s="2" t="s">
        <v>1088</v>
      </c>
      <c r="G899" s="2" t="s">
        <v>1089</v>
      </c>
      <c r="H899" s="2" t="s">
        <v>474</v>
      </c>
      <c r="I899" s="2" t="s">
        <v>42</v>
      </c>
      <c r="J899" s="2">
        <v>1</v>
      </c>
      <c r="K899" s="2" t="s">
        <v>82</v>
      </c>
      <c r="L899" s="2" t="s">
        <v>41</v>
      </c>
      <c r="M899" s="2" t="s">
        <v>135</v>
      </c>
      <c r="N899" s="2" t="s">
        <v>1083</v>
      </c>
      <c r="O899" s="2" t="s">
        <v>475</v>
      </c>
      <c r="P899" s="2" t="s">
        <v>5</v>
      </c>
      <c r="Q899" s="2">
        <f>INDEX(Tables!$C$4:$C$28,MATCH($P899,Tables!$B$4:$B$28,0))</f>
        <v>32</v>
      </c>
      <c r="R899" s="2">
        <f>INDEX(Tables!$D$4:$D$28,MATCH($P899,Tables!$B$4:$B$28,0))</f>
        <v>4</v>
      </c>
      <c r="S899" s="2">
        <f>$S898+$R898+INDEX(Tables!$N$5:$Q$8,MATCH(MOD($S898+$R898,4),Tables!$M$5:$M$8,0),MATCH($R899,Tables!$N$4:$Q$4,0))</f>
        <v>3208</v>
      </c>
      <c r="T899" s="2" t="str">
        <f t="shared" si="204"/>
        <v>0C88</v>
      </c>
      <c r="U899" s="2">
        <f t="shared" si="210"/>
        <v>802</v>
      </c>
      <c r="V899" s="2" t="str">
        <f t="shared" si="205"/>
        <v>322</v>
      </c>
      <c r="W899" s="2" t="str">
        <f t="shared" si="206"/>
        <v/>
      </c>
      <c r="X899" s="2" t="str">
        <f t="shared" si="207"/>
        <v/>
      </c>
      <c r="Y899" s="2" t="str">
        <f t="shared" si="208"/>
        <v/>
      </c>
      <c r="Z899" s="2" t="str">
        <f t="shared" si="209"/>
        <v>X</v>
      </c>
      <c r="AA899" s="2" t="str">
        <f t="shared" si="211"/>
        <v/>
      </c>
      <c r="AB899" s="2" t="str">
        <f t="shared" si="212"/>
        <v/>
      </c>
      <c r="AC899" s="2" t="str">
        <f t="shared" si="213"/>
        <v/>
      </c>
      <c r="AD899" s="2" t="str">
        <f t="shared" si="214"/>
        <v>(0)</v>
      </c>
      <c r="AE899" s="2" t="str">
        <f t="shared" si="215"/>
        <v/>
      </c>
      <c r="AF899" s="2" t="str">
        <f t="shared" si="216"/>
        <v/>
      </c>
      <c r="AG899" s="2" t="str">
        <f t="shared" si="217"/>
        <v/>
      </c>
      <c r="AH899" s="2" t="str">
        <f t="shared" si="218"/>
        <v/>
      </c>
    </row>
    <row r="900" spans="2:34" x14ac:dyDescent="0.25">
      <c r="B900" s="2" t="s">
        <v>1080</v>
      </c>
      <c r="D900" s="2" t="s">
        <v>1</v>
      </c>
      <c r="E900" s="2" t="s">
        <v>134</v>
      </c>
      <c r="F900" s="2" t="s">
        <v>1088</v>
      </c>
      <c r="G900" s="2" t="s">
        <v>1089</v>
      </c>
      <c r="H900" s="2" t="s">
        <v>476</v>
      </c>
      <c r="I900" s="2" t="s">
        <v>42</v>
      </c>
      <c r="J900" s="2">
        <v>1</v>
      </c>
      <c r="K900" s="2" t="s">
        <v>82</v>
      </c>
      <c r="L900" s="2" t="s">
        <v>41</v>
      </c>
      <c r="M900" s="2" t="s">
        <v>135</v>
      </c>
      <c r="N900" s="2" t="s">
        <v>1083</v>
      </c>
      <c r="O900" s="2" t="s">
        <v>477</v>
      </c>
      <c r="P900" s="2" t="s">
        <v>5</v>
      </c>
      <c r="Q900" s="2">
        <f>INDEX(Tables!$C$4:$C$28,MATCH($P900,Tables!$B$4:$B$28,0))</f>
        <v>32</v>
      </c>
      <c r="R900" s="2">
        <f>INDEX(Tables!$D$4:$D$28,MATCH($P900,Tables!$B$4:$B$28,0))</f>
        <v>4</v>
      </c>
      <c r="S900" s="2">
        <f>$S899+$R899+INDEX(Tables!$N$5:$Q$8,MATCH(MOD($S899+$R899,4),Tables!$M$5:$M$8,0),MATCH($R900,Tables!$N$4:$Q$4,0))</f>
        <v>3212</v>
      </c>
      <c r="T900" s="2" t="str">
        <f t="shared" si="204"/>
        <v>0C8C</v>
      </c>
      <c r="U900" s="2">
        <f t="shared" si="210"/>
        <v>803</v>
      </c>
      <c r="V900" s="2" t="str">
        <f t="shared" si="205"/>
        <v>323</v>
      </c>
      <c r="W900" s="2" t="str">
        <f t="shared" si="206"/>
        <v/>
      </c>
      <c r="X900" s="2" t="str">
        <f t="shared" si="207"/>
        <v/>
      </c>
      <c r="Y900" s="2" t="str">
        <f t="shared" si="208"/>
        <v/>
      </c>
      <c r="Z900" s="2" t="str">
        <f t="shared" si="209"/>
        <v>X</v>
      </c>
      <c r="AA900" s="2" t="str">
        <f t="shared" si="211"/>
        <v/>
      </c>
      <c r="AB900" s="2" t="str">
        <f t="shared" si="212"/>
        <v/>
      </c>
      <c r="AC900" s="2" t="str">
        <f t="shared" si="213"/>
        <v/>
      </c>
      <c r="AD900" s="2" t="str">
        <f t="shared" si="214"/>
        <v>(0)</v>
      </c>
      <c r="AE900" s="2" t="str">
        <f t="shared" si="215"/>
        <v/>
      </c>
      <c r="AF900" s="2" t="str">
        <f t="shared" si="216"/>
        <v/>
      </c>
      <c r="AG900" s="2" t="str">
        <f t="shared" si="217"/>
        <v/>
      </c>
      <c r="AH900" s="2" t="str">
        <f t="shared" si="218"/>
        <v/>
      </c>
    </row>
    <row r="901" spans="2:34" x14ac:dyDescent="0.25">
      <c r="B901" s="2" t="s">
        <v>1080</v>
      </c>
      <c r="D901" s="2" t="s">
        <v>1</v>
      </c>
      <c r="E901" s="2" t="s">
        <v>134</v>
      </c>
      <c r="F901" s="2" t="s">
        <v>1088</v>
      </c>
      <c r="G901" s="2" t="s">
        <v>1089</v>
      </c>
      <c r="H901" s="2" t="s">
        <v>478</v>
      </c>
      <c r="I901" s="2" t="s">
        <v>42</v>
      </c>
      <c r="J901" s="2">
        <v>1</v>
      </c>
      <c r="K901" s="2" t="s">
        <v>82</v>
      </c>
      <c r="L901" s="2" t="s">
        <v>41</v>
      </c>
      <c r="M901" s="2" t="s">
        <v>135</v>
      </c>
      <c r="N901" s="2" t="s">
        <v>1083</v>
      </c>
      <c r="O901" s="2" t="s">
        <v>479</v>
      </c>
      <c r="P901" s="2" t="s">
        <v>5</v>
      </c>
      <c r="Q901" s="2">
        <f>INDEX(Tables!$C$4:$C$28,MATCH($P901,Tables!$B$4:$B$28,0))</f>
        <v>32</v>
      </c>
      <c r="R901" s="2">
        <f>INDEX(Tables!$D$4:$D$28,MATCH($P901,Tables!$B$4:$B$28,0))</f>
        <v>4</v>
      </c>
      <c r="S901" s="2">
        <f>$S900+$R900+INDEX(Tables!$N$5:$Q$8,MATCH(MOD($S900+$R900,4),Tables!$M$5:$M$8,0),MATCH($R901,Tables!$N$4:$Q$4,0))</f>
        <v>3216</v>
      </c>
      <c r="T901" s="2" t="str">
        <f t="shared" ref="T901:T964" si="219">DEC2HEX($S901,4)</f>
        <v>0C90</v>
      </c>
      <c r="U901" s="2">
        <f t="shared" si="210"/>
        <v>804</v>
      </c>
      <c r="V901" s="2" t="str">
        <f t="shared" ref="V901:V964" si="220">DEC2HEX($U901,3)</f>
        <v>324</v>
      </c>
      <c r="W901" s="2" t="str">
        <f t="shared" ref="W901:W964" si="221">IF(MOD($S901,4)=3,"X",IF(AND(MOD($S901,4)=2,$J901&gt;8),"X",IF(AND(MOD($S901,4)=1,$J901&gt;16),"X",IF(AND(MOD($S901,4)=0,$J901&gt;24),"X",""))))</f>
        <v/>
      </c>
      <c r="X901" s="2" t="str">
        <f t="shared" si="207"/>
        <v/>
      </c>
      <c r="Y901" s="2" t="str">
        <f t="shared" si="208"/>
        <v/>
      </c>
      <c r="Z901" s="2" t="str">
        <f t="shared" si="209"/>
        <v>X</v>
      </c>
      <c r="AA901" s="2" t="str">
        <f t="shared" si="211"/>
        <v/>
      </c>
      <c r="AB901" s="2" t="str">
        <f t="shared" si="212"/>
        <v/>
      </c>
      <c r="AC901" s="2" t="str">
        <f t="shared" si="213"/>
        <v/>
      </c>
      <c r="AD901" s="2" t="str">
        <f t="shared" si="214"/>
        <v>(0)</v>
      </c>
      <c r="AE901" s="2" t="str">
        <f t="shared" si="215"/>
        <v/>
      </c>
      <c r="AF901" s="2" t="str">
        <f t="shared" si="216"/>
        <v/>
      </c>
      <c r="AG901" s="2" t="str">
        <f t="shared" si="217"/>
        <v/>
      </c>
      <c r="AH901" s="2" t="str">
        <f t="shared" si="218"/>
        <v/>
      </c>
    </row>
    <row r="902" spans="2:34" x14ac:dyDescent="0.25">
      <c r="B902" s="2" t="s">
        <v>1080</v>
      </c>
      <c r="D902" s="2" t="s">
        <v>1</v>
      </c>
      <c r="E902" s="2" t="s">
        <v>134</v>
      </c>
      <c r="F902" s="2" t="s">
        <v>1088</v>
      </c>
      <c r="G902" s="2" t="s">
        <v>1089</v>
      </c>
      <c r="H902" s="2" t="s">
        <v>480</v>
      </c>
      <c r="I902" s="2" t="s">
        <v>42</v>
      </c>
      <c r="J902" s="2">
        <v>1</v>
      </c>
      <c r="K902" s="2" t="s">
        <v>82</v>
      </c>
      <c r="L902" s="2" t="s">
        <v>41</v>
      </c>
      <c r="M902" s="2" t="s">
        <v>135</v>
      </c>
      <c r="N902" s="2" t="s">
        <v>1083</v>
      </c>
      <c r="O902" s="2" t="s">
        <v>481</v>
      </c>
      <c r="P902" s="2" t="s">
        <v>5</v>
      </c>
      <c r="Q902" s="2">
        <f>INDEX(Tables!$C$4:$C$28,MATCH($P902,Tables!$B$4:$B$28,0))</f>
        <v>32</v>
      </c>
      <c r="R902" s="2">
        <f>INDEX(Tables!$D$4:$D$28,MATCH($P902,Tables!$B$4:$B$28,0))</f>
        <v>4</v>
      </c>
      <c r="S902" s="2">
        <f>$S901+$R901+INDEX(Tables!$N$5:$Q$8,MATCH(MOD($S901+$R901,4),Tables!$M$5:$M$8,0),MATCH($R902,Tables!$N$4:$Q$4,0))</f>
        <v>3220</v>
      </c>
      <c r="T902" s="2" t="str">
        <f t="shared" si="219"/>
        <v>0C94</v>
      </c>
      <c r="U902" s="2">
        <f t="shared" si="210"/>
        <v>805</v>
      </c>
      <c r="V902" s="2" t="str">
        <f t="shared" si="220"/>
        <v>325</v>
      </c>
      <c r="W902" s="2" t="str">
        <f t="shared" si="221"/>
        <v/>
      </c>
      <c r="X902" s="2" t="str">
        <f t="shared" si="207"/>
        <v/>
      </c>
      <c r="Y902" s="2" t="str">
        <f t="shared" si="208"/>
        <v/>
      </c>
      <c r="Z902" s="2" t="str">
        <f t="shared" si="209"/>
        <v>X</v>
      </c>
      <c r="AA902" s="2" t="str">
        <f t="shared" si="211"/>
        <v/>
      </c>
      <c r="AB902" s="2" t="str">
        <f t="shared" si="212"/>
        <v/>
      </c>
      <c r="AC902" s="2" t="str">
        <f t="shared" si="213"/>
        <v/>
      </c>
      <c r="AD902" s="2" t="str">
        <f t="shared" si="214"/>
        <v>(0)</v>
      </c>
      <c r="AE902" s="2" t="str">
        <f t="shared" si="215"/>
        <v/>
      </c>
      <c r="AF902" s="2" t="str">
        <f t="shared" si="216"/>
        <v/>
      </c>
      <c r="AG902" s="2" t="str">
        <f t="shared" si="217"/>
        <v/>
      </c>
      <c r="AH902" s="2" t="str">
        <f t="shared" si="218"/>
        <v/>
      </c>
    </row>
    <row r="903" spans="2:34" x14ac:dyDescent="0.25">
      <c r="B903" s="2" t="s">
        <v>1080</v>
      </c>
      <c r="D903" s="2" t="s">
        <v>1</v>
      </c>
      <c r="E903" s="2" t="s">
        <v>134</v>
      </c>
      <c r="F903" s="2" t="s">
        <v>1088</v>
      </c>
      <c r="G903" s="2" t="s">
        <v>1089</v>
      </c>
      <c r="H903" s="2" t="s">
        <v>482</v>
      </c>
      <c r="I903" s="2" t="s">
        <v>42</v>
      </c>
      <c r="J903" s="2">
        <v>1</v>
      </c>
      <c r="K903" s="2" t="s">
        <v>82</v>
      </c>
      <c r="L903" s="2" t="s">
        <v>41</v>
      </c>
      <c r="M903" s="2" t="s">
        <v>135</v>
      </c>
      <c r="N903" s="2" t="s">
        <v>1083</v>
      </c>
      <c r="O903" s="2" t="s">
        <v>483</v>
      </c>
      <c r="P903" s="2" t="s">
        <v>5</v>
      </c>
      <c r="Q903" s="2">
        <f>INDEX(Tables!$C$4:$C$28,MATCH($P903,Tables!$B$4:$B$28,0))</f>
        <v>32</v>
      </c>
      <c r="R903" s="2">
        <f>INDEX(Tables!$D$4:$D$28,MATCH($P903,Tables!$B$4:$B$28,0))</f>
        <v>4</v>
      </c>
      <c r="S903" s="2">
        <f>$S902+$R902+INDEX(Tables!$N$5:$Q$8,MATCH(MOD($S902+$R902,4),Tables!$M$5:$M$8,0),MATCH($R903,Tables!$N$4:$Q$4,0))</f>
        <v>3224</v>
      </c>
      <c r="T903" s="2" t="str">
        <f t="shared" si="219"/>
        <v>0C98</v>
      </c>
      <c r="U903" s="2">
        <f t="shared" si="210"/>
        <v>806</v>
      </c>
      <c r="V903" s="2" t="str">
        <f t="shared" si="220"/>
        <v>326</v>
      </c>
      <c r="W903" s="2" t="str">
        <f t="shared" si="221"/>
        <v/>
      </c>
      <c r="X903" s="2" t="str">
        <f t="shared" si="207"/>
        <v/>
      </c>
      <c r="Y903" s="2" t="str">
        <f t="shared" si="208"/>
        <v/>
      </c>
      <c r="Z903" s="2" t="str">
        <f t="shared" si="209"/>
        <v>X</v>
      </c>
      <c r="AA903" s="2" t="str">
        <f t="shared" si="211"/>
        <v/>
      </c>
      <c r="AB903" s="2" t="str">
        <f t="shared" si="212"/>
        <v/>
      </c>
      <c r="AC903" s="2" t="str">
        <f t="shared" si="213"/>
        <v/>
      </c>
      <c r="AD903" s="2" t="str">
        <f t="shared" si="214"/>
        <v>(0)</v>
      </c>
      <c r="AE903" s="2" t="str">
        <f t="shared" si="215"/>
        <v/>
      </c>
      <c r="AF903" s="2" t="str">
        <f t="shared" si="216"/>
        <v/>
      </c>
      <c r="AG903" s="2" t="str">
        <f t="shared" si="217"/>
        <v/>
      </c>
      <c r="AH903" s="2" t="str">
        <f t="shared" si="218"/>
        <v/>
      </c>
    </row>
    <row r="904" spans="2:34" x14ac:dyDescent="0.25">
      <c r="B904" s="2" t="s">
        <v>1080</v>
      </c>
      <c r="D904" s="2" t="s">
        <v>1</v>
      </c>
      <c r="E904" s="2" t="s">
        <v>134</v>
      </c>
      <c r="F904" s="2" t="s">
        <v>1088</v>
      </c>
      <c r="G904" s="2" t="s">
        <v>1089</v>
      </c>
      <c r="H904" s="2" t="s">
        <v>484</v>
      </c>
      <c r="I904" s="2" t="s">
        <v>42</v>
      </c>
      <c r="J904" s="2">
        <v>1</v>
      </c>
      <c r="K904" s="2" t="s">
        <v>82</v>
      </c>
      <c r="L904" s="2" t="s">
        <v>41</v>
      </c>
      <c r="M904" s="2" t="s">
        <v>135</v>
      </c>
      <c r="N904" s="2" t="s">
        <v>1083</v>
      </c>
      <c r="O904" s="2" t="s">
        <v>485</v>
      </c>
      <c r="P904" s="2" t="s">
        <v>5</v>
      </c>
      <c r="Q904" s="2">
        <f>INDEX(Tables!$C$4:$C$28,MATCH($P904,Tables!$B$4:$B$28,0))</f>
        <v>32</v>
      </c>
      <c r="R904" s="2">
        <f>INDEX(Tables!$D$4:$D$28,MATCH($P904,Tables!$B$4:$B$28,0))</f>
        <v>4</v>
      </c>
      <c r="S904" s="2">
        <f>$S903+$R903+INDEX(Tables!$N$5:$Q$8,MATCH(MOD($S903+$R903,4),Tables!$M$5:$M$8,0),MATCH($R904,Tables!$N$4:$Q$4,0))</f>
        <v>3228</v>
      </c>
      <c r="T904" s="2" t="str">
        <f t="shared" si="219"/>
        <v>0C9C</v>
      </c>
      <c r="U904" s="2">
        <f t="shared" si="210"/>
        <v>807</v>
      </c>
      <c r="V904" s="2" t="str">
        <f t="shared" si="220"/>
        <v>327</v>
      </c>
      <c r="W904" s="2" t="str">
        <f t="shared" si="221"/>
        <v/>
      </c>
      <c r="X904" s="2" t="str">
        <f t="shared" si="207"/>
        <v/>
      </c>
      <c r="Y904" s="2" t="str">
        <f t="shared" si="208"/>
        <v/>
      </c>
      <c r="Z904" s="2" t="str">
        <f t="shared" si="209"/>
        <v>X</v>
      </c>
      <c r="AA904" s="2" t="str">
        <f t="shared" si="211"/>
        <v/>
      </c>
      <c r="AB904" s="2" t="str">
        <f t="shared" si="212"/>
        <v/>
      </c>
      <c r="AC904" s="2" t="str">
        <f t="shared" si="213"/>
        <v/>
      </c>
      <c r="AD904" s="2" t="str">
        <f t="shared" si="214"/>
        <v>(0)</v>
      </c>
      <c r="AE904" s="2" t="str">
        <f t="shared" si="215"/>
        <v/>
      </c>
      <c r="AF904" s="2" t="str">
        <f t="shared" si="216"/>
        <v/>
      </c>
      <c r="AG904" s="2" t="str">
        <f t="shared" si="217"/>
        <v/>
      </c>
      <c r="AH904" s="2" t="str">
        <f t="shared" si="218"/>
        <v/>
      </c>
    </row>
    <row r="905" spans="2:34" x14ac:dyDescent="0.25">
      <c r="B905" s="2" t="s">
        <v>1080</v>
      </c>
      <c r="D905" s="2" t="s">
        <v>1</v>
      </c>
      <c r="E905" s="2" t="s">
        <v>134</v>
      </c>
      <c r="F905" s="2" t="s">
        <v>1088</v>
      </c>
      <c r="G905" s="2" t="s">
        <v>1089</v>
      </c>
      <c r="H905" s="2" t="s">
        <v>486</v>
      </c>
      <c r="I905" s="2" t="s">
        <v>42</v>
      </c>
      <c r="J905" s="2">
        <v>1</v>
      </c>
      <c r="K905" s="2" t="s">
        <v>82</v>
      </c>
      <c r="L905" s="2" t="s">
        <v>41</v>
      </c>
      <c r="M905" s="2" t="s">
        <v>135</v>
      </c>
      <c r="N905" s="2" t="s">
        <v>1083</v>
      </c>
      <c r="O905" s="2" t="s">
        <v>487</v>
      </c>
      <c r="P905" s="2" t="s">
        <v>5</v>
      </c>
      <c r="Q905" s="2">
        <f>INDEX(Tables!$C$4:$C$28,MATCH($P905,Tables!$B$4:$B$28,0))</f>
        <v>32</v>
      </c>
      <c r="R905" s="2">
        <f>INDEX(Tables!$D$4:$D$28,MATCH($P905,Tables!$B$4:$B$28,0))</f>
        <v>4</v>
      </c>
      <c r="S905" s="2">
        <f>$S904+$R904+INDEX(Tables!$N$5:$Q$8,MATCH(MOD($S904+$R904,4),Tables!$M$5:$M$8,0),MATCH($R905,Tables!$N$4:$Q$4,0))</f>
        <v>3232</v>
      </c>
      <c r="T905" s="2" t="str">
        <f t="shared" si="219"/>
        <v>0CA0</v>
      </c>
      <c r="U905" s="2">
        <f t="shared" si="210"/>
        <v>808</v>
      </c>
      <c r="V905" s="2" t="str">
        <f t="shared" si="220"/>
        <v>328</v>
      </c>
      <c r="W905" s="2" t="str">
        <f t="shared" si="221"/>
        <v/>
      </c>
      <c r="X905" s="2" t="str">
        <f t="shared" si="207"/>
        <v/>
      </c>
      <c r="Y905" s="2" t="str">
        <f t="shared" si="208"/>
        <v/>
      </c>
      <c r="Z905" s="2" t="str">
        <f t="shared" si="209"/>
        <v>X</v>
      </c>
      <c r="AA905" s="2" t="str">
        <f t="shared" si="211"/>
        <v/>
      </c>
      <c r="AB905" s="2" t="str">
        <f t="shared" si="212"/>
        <v/>
      </c>
      <c r="AC905" s="2" t="str">
        <f t="shared" si="213"/>
        <v/>
      </c>
      <c r="AD905" s="2" t="str">
        <f t="shared" si="214"/>
        <v>(0)</v>
      </c>
      <c r="AE905" s="2" t="str">
        <f t="shared" si="215"/>
        <v/>
      </c>
      <c r="AF905" s="2" t="str">
        <f t="shared" si="216"/>
        <v/>
      </c>
      <c r="AG905" s="2" t="str">
        <f t="shared" si="217"/>
        <v/>
      </c>
      <c r="AH905" s="2" t="str">
        <f t="shared" si="218"/>
        <v/>
      </c>
    </row>
    <row r="906" spans="2:34" x14ac:dyDescent="0.25">
      <c r="B906" s="2" t="s">
        <v>1080</v>
      </c>
      <c r="D906" s="2" t="s">
        <v>1</v>
      </c>
      <c r="E906" s="2" t="s">
        <v>134</v>
      </c>
      <c r="F906" s="2" t="s">
        <v>1088</v>
      </c>
      <c r="G906" s="2" t="s">
        <v>1089</v>
      </c>
      <c r="H906" s="2" t="s">
        <v>488</v>
      </c>
      <c r="I906" s="2" t="s">
        <v>42</v>
      </c>
      <c r="J906" s="2">
        <v>1</v>
      </c>
      <c r="K906" s="2" t="s">
        <v>82</v>
      </c>
      <c r="L906" s="2" t="s">
        <v>41</v>
      </c>
      <c r="M906" s="2" t="s">
        <v>135</v>
      </c>
      <c r="N906" s="2" t="s">
        <v>1083</v>
      </c>
      <c r="O906" s="2" t="s">
        <v>489</v>
      </c>
      <c r="P906" s="2" t="s">
        <v>5</v>
      </c>
      <c r="Q906" s="2">
        <f>INDEX(Tables!$C$4:$C$28,MATCH($P906,Tables!$B$4:$B$28,0))</f>
        <v>32</v>
      </c>
      <c r="R906" s="2">
        <f>INDEX(Tables!$D$4:$D$28,MATCH($P906,Tables!$B$4:$B$28,0))</f>
        <v>4</v>
      </c>
      <c r="S906" s="2">
        <f>$S905+$R905+INDEX(Tables!$N$5:$Q$8,MATCH(MOD($S905+$R905,4),Tables!$M$5:$M$8,0),MATCH($R906,Tables!$N$4:$Q$4,0))</f>
        <v>3236</v>
      </c>
      <c r="T906" s="2" t="str">
        <f t="shared" si="219"/>
        <v>0CA4</v>
      </c>
      <c r="U906" s="2">
        <f t="shared" si="210"/>
        <v>809</v>
      </c>
      <c r="V906" s="2" t="str">
        <f t="shared" si="220"/>
        <v>329</v>
      </c>
      <c r="W906" s="2" t="str">
        <f t="shared" si="221"/>
        <v/>
      </c>
      <c r="X906" s="2" t="str">
        <f t="shared" si="207"/>
        <v/>
      </c>
      <c r="Y906" s="2" t="str">
        <f t="shared" si="208"/>
        <v/>
      </c>
      <c r="Z906" s="2" t="str">
        <f t="shared" si="209"/>
        <v>X</v>
      </c>
      <c r="AA906" s="2" t="str">
        <f t="shared" si="211"/>
        <v/>
      </c>
      <c r="AB906" s="2" t="str">
        <f t="shared" si="212"/>
        <v/>
      </c>
      <c r="AC906" s="2" t="str">
        <f t="shared" si="213"/>
        <v/>
      </c>
      <c r="AD906" s="2" t="str">
        <f t="shared" si="214"/>
        <v>(0)</v>
      </c>
      <c r="AE906" s="2" t="str">
        <f t="shared" si="215"/>
        <v/>
      </c>
      <c r="AF906" s="2" t="str">
        <f t="shared" si="216"/>
        <v/>
      </c>
      <c r="AG906" s="2" t="str">
        <f t="shared" si="217"/>
        <v/>
      </c>
      <c r="AH906" s="2" t="str">
        <f t="shared" si="218"/>
        <v/>
      </c>
    </row>
    <row r="907" spans="2:34" x14ac:dyDescent="0.25">
      <c r="B907" s="2" t="s">
        <v>1080</v>
      </c>
      <c r="D907" s="2" t="s">
        <v>1</v>
      </c>
      <c r="E907" s="2" t="s">
        <v>134</v>
      </c>
      <c r="F907" s="2" t="s">
        <v>1088</v>
      </c>
      <c r="G907" s="2" t="s">
        <v>1089</v>
      </c>
      <c r="H907" s="2" t="s">
        <v>490</v>
      </c>
      <c r="I907" s="2" t="s">
        <v>42</v>
      </c>
      <c r="J907" s="2">
        <v>1</v>
      </c>
      <c r="K907" s="2" t="s">
        <v>82</v>
      </c>
      <c r="L907" s="2" t="s">
        <v>41</v>
      </c>
      <c r="M907" s="2" t="s">
        <v>135</v>
      </c>
      <c r="N907" s="2" t="s">
        <v>1083</v>
      </c>
      <c r="O907" s="2" t="s">
        <v>491</v>
      </c>
      <c r="P907" s="2" t="s">
        <v>5</v>
      </c>
      <c r="Q907" s="2">
        <f>INDEX(Tables!$C$4:$C$28,MATCH($P907,Tables!$B$4:$B$28,0))</f>
        <v>32</v>
      </c>
      <c r="R907" s="2">
        <f>INDEX(Tables!$D$4:$D$28,MATCH($P907,Tables!$B$4:$B$28,0))</f>
        <v>4</v>
      </c>
      <c r="S907" s="2">
        <f>$S906+$R906+INDEX(Tables!$N$5:$Q$8,MATCH(MOD($S906+$R906,4),Tables!$M$5:$M$8,0),MATCH($R907,Tables!$N$4:$Q$4,0))</f>
        <v>3240</v>
      </c>
      <c r="T907" s="2" t="str">
        <f t="shared" si="219"/>
        <v>0CA8</v>
      </c>
      <c r="U907" s="2">
        <f t="shared" si="210"/>
        <v>810</v>
      </c>
      <c r="V907" s="2" t="str">
        <f t="shared" si="220"/>
        <v>32A</v>
      </c>
      <c r="W907" s="2" t="str">
        <f t="shared" si="221"/>
        <v/>
      </c>
      <c r="X907" s="2" t="str">
        <f t="shared" si="207"/>
        <v/>
      </c>
      <c r="Y907" s="2" t="str">
        <f t="shared" si="208"/>
        <v/>
      </c>
      <c r="Z907" s="2" t="str">
        <f t="shared" si="209"/>
        <v>X</v>
      </c>
      <c r="AA907" s="2" t="str">
        <f t="shared" si="211"/>
        <v/>
      </c>
      <c r="AB907" s="2" t="str">
        <f t="shared" si="212"/>
        <v/>
      </c>
      <c r="AC907" s="2" t="str">
        <f t="shared" si="213"/>
        <v/>
      </c>
      <c r="AD907" s="2" t="str">
        <f t="shared" si="214"/>
        <v>(0)</v>
      </c>
      <c r="AE907" s="2" t="str">
        <f t="shared" si="215"/>
        <v/>
      </c>
      <c r="AF907" s="2" t="str">
        <f t="shared" si="216"/>
        <v/>
      </c>
      <c r="AG907" s="2" t="str">
        <f t="shared" si="217"/>
        <v/>
      </c>
      <c r="AH907" s="2" t="str">
        <f t="shared" si="218"/>
        <v/>
      </c>
    </row>
    <row r="908" spans="2:34" x14ac:dyDescent="0.25">
      <c r="B908" s="2" t="s">
        <v>1080</v>
      </c>
      <c r="D908" s="2" t="s">
        <v>1</v>
      </c>
      <c r="E908" s="2" t="s">
        <v>134</v>
      </c>
      <c r="F908" s="2" t="s">
        <v>1088</v>
      </c>
      <c r="G908" s="2" t="s">
        <v>1089</v>
      </c>
      <c r="H908" s="2" t="s">
        <v>492</v>
      </c>
      <c r="I908" s="2" t="s">
        <v>42</v>
      </c>
      <c r="J908" s="2">
        <v>1</v>
      </c>
      <c r="K908" s="2" t="s">
        <v>82</v>
      </c>
      <c r="L908" s="2" t="s">
        <v>41</v>
      </c>
      <c r="M908" s="2" t="s">
        <v>135</v>
      </c>
      <c r="N908" s="2" t="s">
        <v>1083</v>
      </c>
      <c r="O908" s="2" t="s">
        <v>493</v>
      </c>
      <c r="P908" s="2" t="s">
        <v>5</v>
      </c>
      <c r="Q908" s="2">
        <f>INDEX(Tables!$C$4:$C$28,MATCH($P908,Tables!$B$4:$B$28,0))</f>
        <v>32</v>
      </c>
      <c r="R908" s="2">
        <f>INDEX(Tables!$D$4:$D$28,MATCH($P908,Tables!$B$4:$B$28,0))</f>
        <v>4</v>
      </c>
      <c r="S908" s="2">
        <f>$S907+$R907+INDEX(Tables!$N$5:$Q$8,MATCH(MOD($S907+$R907,4),Tables!$M$5:$M$8,0),MATCH($R908,Tables!$N$4:$Q$4,0))</f>
        <v>3244</v>
      </c>
      <c r="T908" s="2" t="str">
        <f t="shared" si="219"/>
        <v>0CAC</v>
      </c>
      <c r="U908" s="2">
        <f t="shared" si="210"/>
        <v>811</v>
      </c>
      <c r="V908" s="2" t="str">
        <f t="shared" si="220"/>
        <v>32B</v>
      </c>
      <c r="W908" s="2" t="str">
        <f t="shared" si="221"/>
        <v/>
      </c>
      <c r="X908" s="2" t="str">
        <f t="shared" si="207"/>
        <v/>
      </c>
      <c r="Y908" s="2" t="str">
        <f t="shared" si="208"/>
        <v/>
      </c>
      <c r="Z908" s="2" t="str">
        <f t="shared" si="209"/>
        <v>X</v>
      </c>
      <c r="AA908" s="2" t="str">
        <f t="shared" si="211"/>
        <v/>
      </c>
      <c r="AB908" s="2" t="str">
        <f t="shared" si="212"/>
        <v/>
      </c>
      <c r="AC908" s="2" t="str">
        <f t="shared" si="213"/>
        <v/>
      </c>
      <c r="AD908" s="2" t="str">
        <f t="shared" si="214"/>
        <v>(0)</v>
      </c>
      <c r="AE908" s="2" t="str">
        <f t="shared" si="215"/>
        <v/>
      </c>
      <c r="AF908" s="2" t="str">
        <f t="shared" si="216"/>
        <v/>
      </c>
      <c r="AG908" s="2" t="str">
        <f t="shared" si="217"/>
        <v/>
      </c>
      <c r="AH908" s="2" t="str">
        <f t="shared" si="218"/>
        <v/>
      </c>
    </row>
    <row r="909" spans="2:34" x14ac:dyDescent="0.25">
      <c r="B909" s="2" t="s">
        <v>1080</v>
      </c>
      <c r="D909" s="2" t="s">
        <v>1</v>
      </c>
      <c r="E909" s="2" t="s">
        <v>134</v>
      </c>
      <c r="F909" s="2" t="s">
        <v>1090</v>
      </c>
      <c r="G909" s="2" t="s">
        <v>1091</v>
      </c>
      <c r="H909" s="2" t="s">
        <v>496</v>
      </c>
      <c r="I909" s="2" t="s">
        <v>42</v>
      </c>
      <c r="J909" s="2">
        <v>2</v>
      </c>
      <c r="K909" s="2" t="s">
        <v>137</v>
      </c>
      <c r="L909" s="2" t="s">
        <v>41</v>
      </c>
      <c r="M909" s="2" t="s">
        <v>135</v>
      </c>
      <c r="N909" s="2" t="s">
        <v>1083</v>
      </c>
      <c r="O909" s="2" t="s">
        <v>497</v>
      </c>
      <c r="P909" s="2" t="s">
        <v>48</v>
      </c>
      <c r="Q909" s="2">
        <f>INDEX(Tables!$C$4:$C$28,MATCH($P909,Tables!$B$4:$B$28,0))</f>
        <v>8</v>
      </c>
      <c r="R909" s="2">
        <f>INDEX(Tables!$D$4:$D$28,MATCH($P909,Tables!$B$4:$B$28,0))</f>
        <v>1</v>
      </c>
      <c r="S909" s="2">
        <f>$S908+$R908+INDEX(Tables!$N$5:$Q$8,MATCH(MOD($S908+$R908,4),Tables!$M$5:$M$8,0),MATCH($R909,Tables!$N$4:$Q$4,0))</f>
        <v>3248</v>
      </c>
      <c r="T909" s="2" t="str">
        <f t="shared" si="219"/>
        <v>0CB0</v>
      </c>
      <c r="U909" s="2">
        <f t="shared" si="210"/>
        <v>812</v>
      </c>
      <c r="V909" s="2" t="str">
        <f t="shared" si="220"/>
        <v>32C</v>
      </c>
      <c r="W909" s="2" t="str">
        <f t="shared" si="221"/>
        <v/>
      </c>
      <c r="X909" s="2" t="str">
        <f t="shared" si="207"/>
        <v/>
      </c>
      <c r="Y909" s="2" t="str">
        <f t="shared" si="208"/>
        <v/>
      </c>
      <c r="Z909" s="2" t="str">
        <f t="shared" si="209"/>
        <v>X</v>
      </c>
      <c r="AA909" s="2" t="str">
        <f t="shared" si="211"/>
        <v/>
      </c>
      <c r="AB909" s="2" t="str">
        <f t="shared" si="212"/>
        <v/>
      </c>
      <c r="AC909" s="2" t="str">
        <f t="shared" si="213"/>
        <v/>
      </c>
      <c r="AD909" s="2" t="str">
        <f t="shared" si="214"/>
        <v>(1 downto 0)</v>
      </c>
      <c r="AE909" s="2" t="str">
        <f t="shared" si="215"/>
        <v/>
      </c>
      <c r="AF909" s="2" t="str">
        <f t="shared" si="216"/>
        <v/>
      </c>
      <c r="AG909" s="2" t="str">
        <f t="shared" si="217"/>
        <v/>
      </c>
      <c r="AH909" s="2" t="str">
        <f t="shared" si="218"/>
        <v/>
      </c>
    </row>
    <row r="910" spans="2:34" x14ac:dyDescent="0.25">
      <c r="B910" s="2" t="s">
        <v>1080</v>
      </c>
      <c r="D910" s="2" t="s">
        <v>1</v>
      </c>
      <c r="E910" s="2" t="s">
        <v>134</v>
      </c>
      <c r="F910" s="2" t="s">
        <v>1090</v>
      </c>
      <c r="G910" s="2" t="s">
        <v>1091</v>
      </c>
      <c r="H910" s="2" t="s">
        <v>498</v>
      </c>
      <c r="I910" s="2" t="s">
        <v>42</v>
      </c>
      <c r="J910" s="2">
        <v>14</v>
      </c>
      <c r="K910" s="2" t="s">
        <v>137</v>
      </c>
      <c r="L910" s="2" t="s">
        <v>41</v>
      </c>
      <c r="M910" s="2" t="s">
        <v>135</v>
      </c>
      <c r="N910" s="2" t="s">
        <v>1083</v>
      </c>
      <c r="O910" s="2" t="s">
        <v>499</v>
      </c>
      <c r="P910" s="2" t="s">
        <v>50</v>
      </c>
      <c r="Q910" s="2">
        <f>INDEX(Tables!$C$4:$C$28,MATCH($P910,Tables!$B$4:$B$28,0))</f>
        <v>16</v>
      </c>
      <c r="R910" s="2">
        <f>INDEX(Tables!$D$4:$D$28,MATCH($P910,Tables!$B$4:$B$28,0))</f>
        <v>2</v>
      </c>
      <c r="S910" s="2">
        <f>$S909+$R909+INDEX(Tables!$N$5:$Q$8,MATCH(MOD($S909+$R909,4),Tables!$M$5:$M$8,0),MATCH($R910,Tables!$N$4:$Q$4,0))</f>
        <v>3250</v>
      </c>
      <c r="T910" s="2" t="str">
        <f t="shared" si="219"/>
        <v>0CB2</v>
      </c>
      <c r="U910" s="2">
        <f t="shared" si="210"/>
        <v>812</v>
      </c>
      <c r="V910" s="2" t="str">
        <f t="shared" si="220"/>
        <v>32C</v>
      </c>
      <c r="W910" s="2" t="str">
        <f t="shared" si="221"/>
        <v>X</v>
      </c>
      <c r="X910" s="2" t="str">
        <f t="shared" si="207"/>
        <v>X</v>
      </c>
      <c r="Y910" s="2" t="str">
        <f t="shared" si="208"/>
        <v/>
      </c>
      <c r="Z910" s="2" t="str">
        <f t="shared" si="209"/>
        <v/>
      </c>
      <c r="AA910" s="2" t="str">
        <f t="shared" si="211"/>
        <v>(29 downto 24)</v>
      </c>
      <c r="AB910" s="2" t="str">
        <f t="shared" si="212"/>
        <v>(23 downto 16)</v>
      </c>
      <c r="AC910" s="2" t="str">
        <f t="shared" si="213"/>
        <v/>
      </c>
      <c r="AD910" s="2" t="str">
        <f t="shared" si="214"/>
        <v/>
      </c>
      <c r="AE910" s="2" t="str">
        <f t="shared" si="215"/>
        <v>(13 downto 8)</v>
      </c>
      <c r="AF910" s="2" t="str">
        <f t="shared" si="216"/>
        <v>(7 downto 0)</v>
      </c>
      <c r="AG910" s="2" t="str">
        <f t="shared" si="217"/>
        <v/>
      </c>
      <c r="AH910" s="2" t="str">
        <f t="shared" si="218"/>
        <v/>
      </c>
    </row>
    <row r="911" spans="2:34" x14ac:dyDescent="0.25">
      <c r="B911" s="2" t="s">
        <v>1080</v>
      </c>
      <c r="D911" s="2" t="s">
        <v>1</v>
      </c>
      <c r="E911" s="2" t="s">
        <v>134</v>
      </c>
      <c r="F911" s="2" t="s">
        <v>1090</v>
      </c>
      <c r="G911" s="2" t="s">
        <v>1091</v>
      </c>
      <c r="H911" s="2" t="s">
        <v>500</v>
      </c>
      <c r="I911" s="2" t="s">
        <v>42</v>
      </c>
      <c r="J911" s="2">
        <v>14</v>
      </c>
      <c r="K911" s="2" t="s">
        <v>137</v>
      </c>
      <c r="L911" s="2" t="s">
        <v>41</v>
      </c>
      <c r="M911" s="2" t="s">
        <v>135</v>
      </c>
      <c r="N911" s="2" t="s">
        <v>1083</v>
      </c>
      <c r="O911" s="2" t="s">
        <v>501</v>
      </c>
      <c r="P911" s="2" t="s">
        <v>50</v>
      </c>
      <c r="Q911" s="2">
        <f>INDEX(Tables!$C$4:$C$28,MATCH($P911,Tables!$B$4:$B$28,0))</f>
        <v>16</v>
      </c>
      <c r="R911" s="2">
        <f>INDEX(Tables!$D$4:$D$28,MATCH($P911,Tables!$B$4:$B$28,0))</f>
        <v>2</v>
      </c>
      <c r="S911" s="2">
        <f>$S910+$R910+INDEX(Tables!$N$5:$Q$8,MATCH(MOD($S910+$R910,4),Tables!$M$5:$M$8,0),MATCH($R911,Tables!$N$4:$Q$4,0))</f>
        <v>3252</v>
      </c>
      <c r="T911" s="2" t="str">
        <f t="shared" si="219"/>
        <v>0CB4</v>
      </c>
      <c r="U911" s="2">
        <f t="shared" si="210"/>
        <v>813</v>
      </c>
      <c r="V911" s="2" t="str">
        <f t="shared" si="220"/>
        <v>32D</v>
      </c>
      <c r="W911" s="2" t="str">
        <f t="shared" si="221"/>
        <v/>
      </c>
      <c r="X911" s="2" t="str">
        <f t="shared" si="207"/>
        <v/>
      </c>
      <c r="Y911" s="2" t="str">
        <f t="shared" si="208"/>
        <v>X</v>
      </c>
      <c r="Z911" s="2" t="str">
        <f t="shared" si="209"/>
        <v>X</v>
      </c>
      <c r="AA911" s="2" t="str">
        <f t="shared" si="211"/>
        <v/>
      </c>
      <c r="AB911" s="2" t="str">
        <f t="shared" si="212"/>
        <v/>
      </c>
      <c r="AC911" s="2" t="str">
        <f t="shared" si="213"/>
        <v>(13 downto 8)</v>
      </c>
      <c r="AD911" s="2" t="str">
        <f t="shared" si="214"/>
        <v>(7 downto 0)</v>
      </c>
      <c r="AE911" s="2" t="str">
        <f t="shared" si="215"/>
        <v/>
      </c>
      <c r="AF911" s="2" t="str">
        <f t="shared" si="216"/>
        <v/>
      </c>
      <c r="AG911" s="2" t="str">
        <f t="shared" si="217"/>
        <v>(13 downto 8)</v>
      </c>
      <c r="AH911" s="2" t="str">
        <f t="shared" si="218"/>
        <v>(7 downto 0)</v>
      </c>
    </row>
    <row r="912" spans="2:34" x14ac:dyDescent="0.25">
      <c r="B912" s="2" t="s">
        <v>1080</v>
      </c>
      <c r="D912" s="2" t="s">
        <v>1</v>
      </c>
      <c r="E912" s="2" t="s">
        <v>134</v>
      </c>
      <c r="F912" s="2" t="s">
        <v>1092</v>
      </c>
      <c r="G912" s="2" t="s">
        <v>1093</v>
      </c>
      <c r="H912" s="2" t="s">
        <v>504</v>
      </c>
      <c r="I912" s="2" t="s">
        <v>42</v>
      </c>
      <c r="J912" s="2">
        <v>8</v>
      </c>
      <c r="K912" s="2" t="s">
        <v>137</v>
      </c>
      <c r="L912" s="2" t="s">
        <v>41</v>
      </c>
      <c r="M912" s="2" t="s">
        <v>135</v>
      </c>
      <c r="N912" s="2" t="s">
        <v>1083</v>
      </c>
      <c r="O912" s="2" t="s">
        <v>505</v>
      </c>
      <c r="P912" s="2" t="s">
        <v>48</v>
      </c>
      <c r="Q912" s="2">
        <f>INDEX(Tables!$C$4:$C$28,MATCH($P912,Tables!$B$4:$B$28,0))</f>
        <v>8</v>
      </c>
      <c r="R912" s="2">
        <f>INDEX(Tables!$D$4:$D$28,MATCH($P912,Tables!$B$4:$B$28,0))</f>
        <v>1</v>
      </c>
      <c r="S912" s="2">
        <f>$S911+$R911+INDEX(Tables!$N$5:$Q$8,MATCH(MOD($S911+$R911,4),Tables!$M$5:$M$8,0),MATCH($R912,Tables!$N$4:$Q$4,0))</f>
        <v>3254</v>
      </c>
      <c r="T912" s="2" t="str">
        <f t="shared" si="219"/>
        <v>0CB6</v>
      </c>
      <c r="U912" s="2">
        <f t="shared" si="210"/>
        <v>813</v>
      </c>
      <c r="V912" s="2" t="str">
        <f t="shared" si="220"/>
        <v>32D</v>
      </c>
      <c r="W912" s="2" t="str">
        <f t="shared" si="221"/>
        <v/>
      </c>
      <c r="X912" s="2" t="str">
        <f t="shared" si="207"/>
        <v>X</v>
      </c>
      <c r="Y912" s="2" t="str">
        <f t="shared" si="208"/>
        <v/>
      </c>
      <c r="Z912" s="2" t="str">
        <f t="shared" si="209"/>
        <v/>
      </c>
      <c r="AA912" s="2" t="str">
        <f t="shared" si="211"/>
        <v/>
      </c>
      <c r="AB912" s="2" t="str">
        <f t="shared" si="212"/>
        <v>(23 downto 16)</v>
      </c>
      <c r="AC912" s="2" t="str">
        <f t="shared" si="213"/>
        <v/>
      </c>
      <c r="AD912" s="2" t="str">
        <f t="shared" si="214"/>
        <v/>
      </c>
      <c r="AE912" s="2" t="str">
        <f t="shared" si="215"/>
        <v/>
      </c>
      <c r="AF912" s="2" t="str">
        <f t="shared" si="216"/>
        <v/>
      </c>
      <c r="AG912" s="2" t="str">
        <f t="shared" si="217"/>
        <v/>
      </c>
      <c r="AH912" s="2" t="str">
        <f t="shared" si="218"/>
        <v/>
      </c>
    </row>
    <row r="913" spans="2:34" x14ac:dyDescent="0.25">
      <c r="B913" s="2" t="s">
        <v>1080</v>
      </c>
      <c r="D913" s="2" t="s">
        <v>1</v>
      </c>
      <c r="E913" s="2" t="s">
        <v>134</v>
      </c>
      <c r="F913" s="2" t="s">
        <v>1092</v>
      </c>
      <c r="G913" s="2" t="s">
        <v>1093</v>
      </c>
      <c r="H913" s="2" t="s">
        <v>506</v>
      </c>
      <c r="I913" s="2" t="s">
        <v>42</v>
      </c>
      <c r="J913" s="2">
        <v>8</v>
      </c>
      <c r="K913" s="2" t="s">
        <v>137</v>
      </c>
      <c r="L913" s="2" t="s">
        <v>41</v>
      </c>
      <c r="M913" s="2" t="s">
        <v>135</v>
      </c>
      <c r="N913" s="2" t="s">
        <v>1083</v>
      </c>
      <c r="O913" s="2" t="s">
        <v>507</v>
      </c>
      <c r="P913" s="2" t="s">
        <v>48</v>
      </c>
      <c r="Q913" s="2">
        <f>INDEX(Tables!$C$4:$C$28,MATCH($P913,Tables!$B$4:$B$28,0))</f>
        <v>8</v>
      </c>
      <c r="R913" s="2">
        <f>INDEX(Tables!$D$4:$D$28,MATCH($P913,Tables!$B$4:$B$28,0))</f>
        <v>1</v>
      </c>
      <c r="S913" s="2">
        <f>$S912+$R912+INDEX(Tables!$N$5:$Q$8,MATCH(MOD($S912+$R912,4),Tables!$M$5:$M$8,0),MATCH($R913,Tables!$N$4:$Q$4,0))</f>
        <v>3255</v>
      </c>
      <c r="T913" s="2" t="str">
        <f t="shared" si="219"/>
        <v>0CB7</v>
      </c>
      <c r="U913" s="2">
        <f t="shared" si="210"/>
        <v>813</v>
      </c>
      <c r="V913" s="2" t="str">
        <f t="shared" si="220"/>
        <v>32D</v>
      </c>
      <c r="W913" s="2" t="str">
        <f t="shared" si="221"/>
        <v>X</v>
      </c>
      <c r="X913" s="2" t="str">
        <f t="shared" si="207"/>
        <v/>
      </c>
      <c r="Y913" s="2" t="str">
        <f t="shared" si="208"/>
        <v/>
      </c>
      <c r="Z913" s="2" t="str">
        <f t="shared" si="209"/>
        <v/>
      </c>
      <c r="AA913" s="2" t="str">
        <f t="shared" si="211"/>
        <v>(31 downto 24)</v>
      </c>
      <c r="AB913" s="2" t="str">
        <f t="shared" si="212"/>
        <v/>
      </c>
      <c r="AC913" s="2" t="str">
        <f t="shared" si="213"/>
        <v/>
      </c>
      <c r="AD913" s="2" t="str">
        <f t="shared" si="214"/>
        <v/>
      </c>
      <c r="AE913" s="2" t="str">
        <f t="shared" si="215"/>
        <v/>
      </c>
      <c r="AF913" s="2" t="str">
        <f t="shared" si="216"/>
        <v/>
      </c>
      <c r="AG913" s="2" t="str">
        <f t="shared" si="217"/>
        <v/>
      </c>
      <c r="AH913" s="2" t="str">
        <f t="shared" si="218"/>
        <v/>
      </c>
    </row>
    <row r="914" spans="2:34" x14ac:dyDescent="0.25">
      <c r="B914" s="2" t="s">
        <v>1080</v>
      </c>
      <c r="D914" s="2" t="s">
        <v>1</v>
      </c>
      <c r="E914" s="2" t="s">
        <v>134</v>
      </c>
      <c r="F914" s="2" t="s">
        <v>1092</v>
      </c>
      <c r="G914" s="2" t="s">
        <v>1093</v>
      </c>
      <c r="H914" s="2" t="s">
        <v>508</v>
      </c>
      <c r="I914" s="2" t="s">
        <v>42</v>
      </c>
      <c r="J914" s="2">
        <v>8</v>
      </c>
      <c r="K914" s="2" t="s">
        <v>137</v>
      </c>
      <c r="L914" s="2" t="s">
        <v>41</v>
      </c>
      <c r="M914" s="2" t="s">
        <v>135</v>
      </c>
      <c r="N914" s="2" t="s">
        <v>1083</v>
      </c>
      <c r="O914" s="2" t="s">
        <v>509</v>
      </c>
      <c r="P914" s="2" t="s">
        <v>48</v>
      </c>
      <c r="Q914" s="2">
        <f>INDEX(Tables!$C$4:$C$28,MATCH($P914,Tables!$B$4:$B$28,0))</f>
        <v>8</v>
      </c>
      <c r="R914" s="2">
        <f>INDEX(Tables!$D$4:$D$28,MATCH($P914,Tables!$B$4:$B$28,0))</f>
        <v>1</v>
      </c>
      <c r="S914" s="2">
        <f>$S913+$R913+INDEX(Tables!$N$5:$Q$8,MATCH(MOD($S913+$R913,4),Tables!$M$5:$M$8,0),MATCH($R914,Tables!$N$4:$Q$4,0))</f>
        <v>3256</v>
      </c>
      <c r="T914" s="2" t="str">
        <f t="shared" si="219"/>
        <v>0CB8</v>
      </c>
      <c r="U914" s="2">
        <f t="shared" si="210"/>
        <v>814</v>
      </c>
      <c r="V914" s="2" t="str">
        <f t="shared" si="220"/>
        <v>32E</v>
      </c>
      <c r="W914" s="2" t="str">
        <f t="shared" si="221"/>
        <v/>
      </c>
      <c r="X914" s="2" t="str">
        <f t="shared" si="207"/>
        <v/>
      </c>
      <c r="Y914" s="2" t="str">
        <f t="shared" si="208"/>
        <v/>
      </c>
      <c r="Z914" s="2" t="str">
        <f t="shared" si="209"/>
        <v>X</v>
      </c>
      <c r="AA914" s="2" t="str">
        <f t="shared" si="211"/>
        <v/>
      </c>
      <c r="AB914" s="2" t="str">
        <f t="shared" si="212"/>
        <v/>
      </c>
      <c r="AC914" s="2" t="str">
        <f t="shared" si="213"/>
        <v/>
      </c>
      <c r="AD914" s="2" t="str">
        <f t="shared" si="214"/>
        <v>(7 downto 0)</v>
      </c>
      <c r="AE914" s="2" t="str">
        <f t="shared" si="215"/>
        <v/>
      </c>
      <c r="AF914" s="2" t="str">
        <f t="shared" si="216"/>
        <v/>
      </c>
      <c r="AG914" s="2" t="str">
        <f t="shared" si="217"/>
        <v/>
      </c>
      <c r="AH914" s="2" t="str">
        <f t="shared" si="218"/>
        <v/>
      </c>
    </row>
    <row r="915" spans="2:34" x14ac:dyDescent="0.25">
      <c r="B915" s="2" t="s">
        <v>1080</v>
      </c>
      <c r="D915" s="2" t="s">
        <v>1</v>
      </c>
      <c r="E915" s="2" t="s">
        <v>134</v>
      </c>
      <c r="F915" s="2" t="s">
        <v>1092</v>
      </c>
      <c r="G915" s="2" t="s">
        <v>1093</v>
      </c>
      <c r="H915" s="2" t="s">
        <v>510</v>
      </c>
      <c r="I915" s="2" t="s">
        <v>42</v>
      </c>
      <c r="J915" s="2">
        <v>1</v>
      </c>
      <c r="K915" s="2" t="s">
        <v>82</v>
      </c>
      <c r="L915" s="2" t="s">
        <v>41</v>
      </c>
      <c r="M915" s="2" t="s">
        <v>135</v>
      </c>
      <c r="N915" s="2" t="s">
        <v>1083</v>
      </c>
      <c r="O915" s="2" t="s">
        <v>511</v>
      </c>
      <c r="P915" s="2" t="s">
        <v>5</v>
      </c>
      <c r="Q915" s="2">
        <f>INDEX(Tables!$C$4:$C$28,MATCH($P915,Tables!$B$4:$B$28,0))</f>
        <v>32</v>
      </c>
      <c r="R915" s="2">
        <f>INDEX(Tables!$D$4:$D$28,MATCH($P915,Tables!$B$4:$B$28,0))</f>
        <v>4</v>
      </c>
      <c r="S915" s="2">
        <f>$S914+$R914+INDEX(Tables!$N$5:$Q$8,MATCH(MOD($S914+$R914,4),Tables!$M$5:$M$8,0),MATCH($R915,Tables!$N$4:$Q$4,0))</f>
        <v>3260</v>
      </c>
      <c r="T915" s="2" t="str">
        <f t="shared" si="219"/>
        <v>0CBC</v>
      </c>
      <c r="U915" s="2">
        <f t="shared" si="210"/>
        <v>815</v>
      </c>
      <c r="V915" s="2" t="str">
        <f t="shared" si="220"/>
        <v>32F</v>
      </c>
      <c r="W915" s="2" t="str">
        <f t="shared" si="221"/>
        <v/>
      </c>
      <c r="X915" s="2" t="str">
        <f t="shared" ref="X915:X978" si="222">IF(MOD($S915,4)=2,"X",IF(AND(MOD($S915,4)=1,$J915&gt;8),"X",IF(AND(MOD($S915,4)=0,$J915&gt;16),"X","")))</f>
        <v/>
      </c>
      <c r="Y915" s="2" t="str">
        <f t="shared" ref="Y915:Y978" si="223">IF(MOD($S915,4)=1,"X",IF(AND(MOD($S915,4)=0,$J915&gt;8),"X",""))</f>
        <v/>
      </c>
      <c r="Z915" s="2" t="str">
        <f t="shared" ref="Z915:Z978" si="224">IF(MOD($S915,4)=0,"X","")</f>
        <v>X</v>
      </c>
      <c r="AA915" s="2" t="str">
        <f t="shared" si="211"/>
        <v/>
      </c>
      <c r="AB915" s="2" t="str">
        <f t="shared" si="212"/>
        <v/>
      </c>
      <c r="AC915" s="2" t="str">
        <f t="shared" si="213"/>
        <v/>
      </c>
      <c r="AD915" s="2" t="str">
        <f t="shared" si="214"/>
        <v>(0)</v>
      </c>
      <c r="AE915" s="2" t="str">
        <f t="shared" si="215"/>
        <v/>
      </c>
      <c r="AF915" s="2" t="str">
        <f t="shared" si="216"/>
        <v/>
      </c>
      <c r="AG915" s="2" t="str">
        <f t="shared" si="217"/>
        <v/>
      </c>
      <c r="AH915" s="2" t="str">
        <f t="shared" si="218"/>
        <v/>
      </c>
    </row>
    <row r="916" spans="2:34" x14ac:dyDescent="0.25">
      <c r="B916" s="2" t="s">
        <v>1080</v>
      </c>
      <c r="D916" s="2" t="s">
        <v>1</v>
      </c>
      <c r="E916" s="2" t="s">
        <v>134</v>
      </c>
      <c r="F916" s="2" t="s">
        <v>1092</v>
      </c>
      <c r="G916" s="2" t="s">
        <v>1093</v>
      </c>
      <c r="H916" s="2" t="s">
        <v>512</v>
      </c>
      <c r="I916" s="2" t="s">
        <v>42</v>
      </c>
      <c r="J916" s="2">
        <v>1</v>
      </c>
      <c r="K916" s="2" t="s">
        <v>82</v>
      </c>
      <c r="L916" s="2" t="s">
        <v>41</v>
      </c>
      <c r="M916" s="2" t="s">
        <v>135</v>
      </c>
      <c r="N916" s="2" t="s">
        <v>1083</v>
      </c>
      <c r="O916" s="2" t="s">
        <v>513</v>
      </c>
      <c r="P916" s="2" t="s">
        <v>5</v>
      </c>
      <c r="Q916" s="2">
        <f>INDEX(Tables!$C$4:$C$28,MATCH($P916,Tables!$B$4:$B$28,0))</f>
        <v>32</v>
      </c>
      <c r="R916" s="2">
        <f>INDEX(Tables!$D$4:$D$28,MATCH($P916,Tables!$B$4:$B$28,0))</f>
        <v>4</v>
      </c>
      <c r="S916" s="2">
        <f>$S915+$R915+INDEX(Tables!$N$5:$Q$8,MATCH(MOD($S915+$R915,4),Tables!$M$5:$M$8,0),MATCH($R916,Tables!$N$4:$Q$4,0))</f>
        <v>3264</v>
      </c>
      <c r="T916" s="2" t="str">
        <f t="shared" si="219"/>
        <v>0CC0</v>
      </c>
      <c r="U916" s="2">
        <f t="shared" si="210"/>
        <v>816</v>
      </c>
      <c r="V916" s="2" t="str">
        <f t="shared" si="220"/>
        <v>330</v>
      </c>
      <c r="W916" s="2" t="str">
        <f t="shared" si="221"/>
        <v/>
      </c>
      <c r="X916" s="2" t="str">
        <f t="shared" si="222"/>
        <v/>
      </c>
      <c r="Y916" s="2" t="str">
        <f t="shared" si="223"/>
        <v/>
      </c>
      <c r="Z916" s="2" t="str">
        <f t="shared" si="224"/>
        <v>X</v>
      </c>
      <c r="AA916" s="2" t="str">
        <f t="shared" si="211"/>
        <v/>
      </c>
      <c r="AB916" s="2" t="str">
        <f t="shared" si="212"/>
        <v/>
      </c>
      <c r="AC916" s="2" t="str">
        <f t="shared" si="213"/>
        <v/>
      </c>
      <c r="AD916" s="2" t="str">
        <f t="shared" si="214"/>
        <v>(0)</v>
      </c>
      <c r="AE916" s="2" t="str">
        <f t="shared" si="215"/>
        <v/>
      </c>
      <c r="AF916" s="2" t="str">
        <f t="shared" si="216"/>
        <v/>
      </c>
      <c r="AG916" s="2" t="str">
        <f t="shared" si="217"/>
        <v/>
      </c>
      <c r="AH916" s="2" t="str">
        <f t="shared" si="218"/>
        <v/>
      </c>
    </row>
    <row r="917" spans="2:34" x14ac:dyDescent="0.25">
      <c r="B917" s="2" t="s">
        <v>1080</v>
      </c>
      <c r="D917" s="2" t="s">
        <v>1</v>
      </c>
      <c r="E917" s="2" t="s">
        <v>134</v>
      </c>
      <c r="F917" s="2" t="s">
        <v>1092</v>
      </c>
      <c r="G917" s="2" t="s">
        <v>1093</v>
      </c>
      <c r="H917" s="2" t="s">
        <v>514</v>
      </c>
      <c r="I917" s="2" t="s">
        <v>42</v>
      </c>
      <c r="J917" s="2">
        <v>1</v>
      </c>
      <c r="K917" s="2" t="s">
        <v>82</v>
      </c>
      <c r="L917" s="2" t="s">
        <v>41</v>
      </c>
      <c r="M917" s="2" t="s">
        <v>135</v>
      </c>
      <c r="N917" s="2" t="s">
        <v>1083</v>
      </c>
      <c r="O917" s="2" t="s">
        <v>515</v>
      </c>
      <c r="P917" s="2" t="s">
        <v>5</v>
      </c>
      <c r="Q917" s="2">
        <f>INDEX(Tables!$C$4:$C$28,MATCH($P917,Tables!$B$4:$B$28,0))</f>
        <v>32</v>
      </c>
      <c r="R917" s="2">
        <f>INDEX(Tables!$D$4:$D$28,MATCH($P917,Tables!$B$4:$B$28,0))</f>
        <v>4</v>
      </c>
      <c r="S917" s="2">
        <f>$S916+$R916+INDEX(Tables!$N$5:$Q$8,MATCH(MOD($S916+$R916,4),Tables!$M$5:$M$8,0),MATCH($R917,Tables!$N$4:$Q$4,0))</f>
        <v>3268</v>
      </c>
      <c r="T917" s="2" t="str">
        <f t="shared" si="219"/>
        <v>0CC4</v>
      </c>
      <c r="U917" s="2">
        <f t="shared" si="210"/>
        <v>817</v>
      </c>
      <c r="V917" s="2" t="str">
        <f t="shared" si="220"/>
        <v>331</v>
      </c>
      <c r="W917" s="2" t="str">
        <f t="shared" si="221"/>
        <v/>
      </c>
      <c r="X917" s="2" t="str">
        <f t="shared" si="222"/>
        <v/>
      </c>
      <c r="Y917" s="2" t="str">
        <f t="shared" si="223"/>
        <v/>
      </c>
      <c r="Z917" s="2" t="str">
        <f t="shared" si="224"/>
        <v>X</v>
      </c>
      <c r="AA917" s="2" t="str">
        <f t="shared" si="211"/>
        <v/>
      </c>
      <c r="AB917" s="2" t="str">
        <f t="shared" si="212"/>
        <v/>
      </c>
      <c r="AC917" s="2" t="str">
        <f t="shared" si="213"/>
        <v/>
      </c>
      <c r="AD917" s="2" t="str">
        <f t="shared" si="214"/>
        <v>(0)</v>
      </c>
      <c r="AE917" s="2" t="str">
        <f t="shared" si="215"/>
        <v/>
      </c>
      <c r="AF917" s="2" t="str">
        <f t="shared" si="216"/>
        <v/>
      </c>
      <c r="AG917" s="2" t="str">
        <f t="shared" si="217"/>
        <v/>
      </c>
      <c r="AH917" s="2" t="str">
        <f t="shared" si="218"/>
        <v/>
      </c>
    </row>
    <row r="918" spans="2:34" x14ac:dyDescent="0.25">
      <c r="B918" s="2" t="s">
        <v>1080</v>
      </c>
      <c r="D918" s="2" t="s">
        <v>1</v>
      </c>
      <c r="E918" s="2" t="s">
        <v>134</v>
      </c>
      <c r="F918" s="2" t="s">
        <v>1092</v>
      </c>
      <c r="G918" s="2" t="s">
        <v>1093</v>
      </c>
      <c r="H918" s="2" t="s">
        <v>516</v>
      </c>
      <c r="I918" s="2" t="s">
        <v>42</v>
      </c>
      <c r="J918" s="2">
        <v>1</v>
      </c>
      <c r="K918" s="2" t="s">
        <v>82</v>
      </c>
      <c r="L918" s="2" t="s">
        <v>41</v>
      </c>
      <c r="M918" s="2" t="s">
        <v>135</v>
      </c>
      <c r="N918" s="2" t="s">
        <v>1083</v>
      </c>
      <c r="O918" s="2" t="s">
        <v>517</v>
      </c>
      <c r="P918" s="2" t="s">
        <v>5</v>
      </c>
      <c r="Q918" s="2">
        <f>INDEX(Tables!$C$4:$C$28,MATCH($P918,Tables!$B$4:$B$28,0))</f>
        <v>32</v>
      </c>
      <c r="R918" s="2">
        <f>INDEX(Tables!$D$4:$D$28,MATCH($P918,Tables!$B$4:$B$28,0))</f>
        <v>4</v>
      </c>
      <c r="S918" s="2">
        <f>$S917+$R917+INDEX(Tables!$N$5:$Q$8,MATCH(MOD($S917+$R917,4),Tables!$M$5:$M$8,0),MATCH($R918,Tables!$N$4:$Q$4,0))</f>
        <v>3272</v>
      </c>
      <c r="T918" s="2" t="str">
        <f t="shared" si="219"/>
        <v>0CC8</v>
      </c>
      <c r="U918" s="2">
        <f t="shared" si="210"/>
        <v>818</v>
      </c>
      <c r="V918" s="2" t="str">
        <f t="shared" si="220"/>
        <v>332</v>
      </c>
      <c r="W918" s="2" t="str">
        <f t="shared" si="221"/>
        <v/>
      </c>
      <c r="X918" s="2" t="str">
        <f t="shared" si="222"/>
        <v/>
      </c>
      <c r="Y918" s="2" t="str">
        <f t="shared" si="223"/>
        <v/>
      </c>
      <c r="Z918" s="2" t="str">
        <f t="shared" si="224"/>
        <v>X</v>
      </c>
      <c r="AA918" s="2" t="str">
        <f t="shared" si="211"/>
        <v/>
      </c>
      <c r="AB918" s="2" t="str">
        <f t="shared" si="212"/>
        <v/>
      </c>
      <c r="AC918" s="2" t="str">
        <f t="shared" si="213"/>
        <v/>
      </c>
      <c r="AD918" s="2" t="str">
        <f t="shared" si="214"/>
        <v>(0)</v>
      </c>
      <c r="AE918" s="2" t="str">
        <f t="shared" si="215"/>
        <v/>
      </c>
      <c r="AF918" s="2" t="str">
        <f t="shared" si="216"/>
        <v/>
      </c>
      <c r="AG918" s="2" t="str">
        <f t="shared" si="217"/>
        <v/>
      </c>
      <c r="AH918" s="2" t="str">
        <f t="shared" si="218"/>
        <v/>
      </c>
    </row>
    <row r="919" spans="2:34" x14ac:dyDescent="0.25">
      <c r="B919" s="2" t="s">
        <v>1080</v>
      </c>
      <c r="D919" s="2" t="s">
        <v>1</v>
      </c>
      <c r="E919" s="2" t="s">
        <v>134</v>
      </c>
      <c r="F919" s="2" t="s">
        <v>1092</v>
      </c>
      <c r="G919" s="2" t="s">
        <v>1093</v>
      </c>
      <c r="H919" s="2" t="s">
        <v>518</v>
      </c>
      <c r="I919" s="2" t="s">
        <v>42</v>
      </c>
      <c r="J919" s="2">
        <v>1</v>
      </c>
      <c r="K919" s="2" t="s">
        <v>82</v>
      </c>
      <c r="L919" s="2" t="s">
        <v>41</v>
      </c>
      <c r="M919" s="2" t="s">
        <v>135</v>
      </c>
      <c r="N919" s="2" t="s">
        <v>1083</v>
      </c>
      <c r="O919" s="2" t="s">
        <v>519</v>
      </c>
      <c r="P919" s="2" t="s">
        <v>5</v>
      </c>
      <c r="Q919" s="2">
        <f>INDEX(Tables!$C$4:$C$28,MATCH($P919,Tables!$B$4:$B$28,0))</f>
        <v>32</v>
      </c>
      <c r="R919" s="2">
        <f>INDEX(Tables!$D$4:$D$28,MATCH($P919,Tables!$B$4:$B$28,0))</f>
        <v>4</v>
      </c>
      <c r="S919" s="2">
        <f>$S918+$R918+INDEX(Tables!$N$5:$Q$8,MATCH(MOD($S918+$R918,4),Tables!$M$5:$M$8,0),MATCH($R919,Tables!$N$4:$Q$4,0))</f>
        <v>3276</v>
      </c>
      <c r="T919" s="2" t="str">
        <f t="shared" si="219"/>
        <v>0CCC</v>
      </c>
      <c r="U919" s="2">
        <f t="shared" si="210"/>
        <v>819</v>
      </c>
      <c r="V919" s="2" t="str">
        <f t="shared" si="220"/>
        <v>333</v>
      </c>
      <c r="W919" s="2" t="str">
        <f t="shared" si="221"/>
        <v/>
      </c>
      <c r="X919" s="2" t="str">
        <f t="shared" si="222"/>
        <v/>
      </c>
      <c r="Y919" s="2" t="str">
        <f t="shared" si="223"/>
        <v/>
      </c>
      <c r="Z919" s="2" t="str">
        <f t="shared" si="224"/>
        <v>X</v>
      </c>
      <c r="AA919" s="2" t="str">
        <f t="shared" si="211"/>
        <v/>
      </c>
      <c r="AB919" s="2" t="str">
        <f t="shared" si="212"/>
        <v/>
      </c>
      <c r="AC919" s="2" t="str">
        <f t="shared" si="213"/>
        <v/>
      </c>
      <c r="AD919" s="2" t="str">
        <f t="shared" si="214"/>
        <v>(0)</v>
      </c>
      <c r="AE919" s="2" t="str">
        <f t="shared" si="215"/>
        <v/>
      </c>
      <c r="AF919" s="2" t="str">
        <f t="shared" si="216"/>
        <v/>
      </c>
      <c r="AG919" s="2" t="str">
        <f t="shared" si="217"/>
        <v/>
      </c>
      <c r="AH919" s="2" t="str">
        <f t="shared" si="218"/>
        <v/>
      </c>
    </row>
    <row r="920" spans="2:34" x14ac:dyDescent="0.25">
      <c r="B920" s="2" t="s">
        <v>1080</v>
      </c>
      <c r="D920" s="2" t="s">
        <v>1</v>
      </c>
      <c r="E920" s="2" t="s">
        <v>134</v>
      </c>
      <c r="F920" s="2" t="s">
        <v>1094</v>
      </c>
      <c r="G920" s="2" t="s">
        <v>1095</v>
      </c>
      <c r="H920" s="2" t="s">
        <v>522</v>
      </c>
      <c r="I920" s="2" t="s">
        <v>42</v>
      </c>
      <c r="J920" s="2">
        <v>12</v>
      </c>
      <c r="K920" s="2" t="s">
        <v>137</v>
      </c>
      <c r="L920" s="2" t="s">
        <v>41</v>
      </c>
      <c r="M920" s="2" t="s">
        <v>135</v>
      </c>
      <c r="N920" s="2" t="s">
        <v>1083</v>
      </c>
      <c r="O920" s="2" t="s">
        <v>523</v>
      </c>
      <c r="P920" s="2" t="s">
        <v>50</v>
      </c>
      <c r="Q920" s="2">
        <f>INDEX(Tables!$C$4:$C$28,MATCH($P920,Tables!$B$4:$B$28,0))</f>
        <v>16</v>
      </c>
      <c r="R920" s="2">
        <f>INDEX(Tables!$D$4:$D$28,MATCH($P920,Tables!$B$4:$B$28,0))</f>
        <v>2</v>
      </c>
      <c r="S920" s="2">
        <f>$S919+$R919+INDEX(Tables!$N$5:$Q$8,MATCH(MOD($S919+$R919,4),Tables!$M$5:$M$8,0),MATCH($R920,Tables!$N$4:$Q$4,0))</f>
        <v>3280</v>
      </c>
      <c r="T920" s="2" t="str">
        <f t="shared" si="219"/>
        <v>0CD0</v>
      </c>
      <c r="U920" s="2">
        <f t="shared" si="210"/>
        <v>820</v>
      </c>
      <c r="V920" s="2" t="str">
        <f t="shared" si="220"/>
        <v>334</v>
      </c>
      <c r="W920" s="2" t="str">
        <f t="shared" si="221"/>
        <v/>
      </c>
      <c r="X920" s="2" t="str">
        <f t="shared" si="222"/>
        <v/>
      </c>
      <c r="Y920" s="2" t="str">
        <f t="shared" si="223"/>
        <v>X</v>
      </c>
      <c r="Z920" s="2" t="str">
        <f t="shared" si="224"/>
        <v>X</v>
      </c>
      <c r="AA920" s="2" t="str">
        <f t="shared" si="211"/>
        <v/>
      </c>
      <c r="AB920" s="2" t="str">
        <f t="shared" si="212"/>
        <v/>
      </c>
      <c r="AC920" s="2" t="str">
        <f t="shared" si="213"/>
        <v>(11 downto 8)</v>
      </c>
      <c r="AD920" s="2" t="str">
        <f t="shared" si="214"/>
        <v>(7 downto 0)</v>
      </c>
      <c r="AE920" s="2" t="str">
        <f t="shared" si="215"/>
        <v/>
      </c>
      <c r="AF920" s="2" t="str">
        <f t="shared" si="216"/>
        <v/>
      </c>
      <c r="AG920" s="2" t="str">
        <f t="shared" si="217"/>
        <v>(11 downto 8)</v>
      </c>
      <c r="AH920" s="2" t="str">
        <f t="shared" si="218"/>
        <v>(7 downto 0)</v>
      </c>
    </row>
    <row r="921" spans="2:34" x14ac:dyDescent="0.25">
      <c r="B921" s="2" t="s">
        <v>1080</v>
      </c>
      <c r="D921" s="2" t="s">
        <v>1</v>
      </c>
      <c r="E921" s="2" t="s">
        <v>134</v>
      </c>
      <c r="F921" s="2" t="s">
        <v>1094</v>
      </c>
      <c r="G921" s="2" t="s">
        <v>1095</v>
      </c>
      <c r="H921" s="2" t="s">
        <v>524</v>
      </c>
      <c r="I921" s="2" t="s">
        <v>42</v>
      </c>
      <c r="J921" s="2">
        <v>12</v>
      </c>
      <c r="K921" s="2" t="s">
        <v>137</v>
      </c>
      <c r="L921" s="2" t="s">
        <v>41</v>
      </c>
      <c r="M921" s="2" t="s">
        <v>135</v>
      </c>
      <c r="N921" s="2" t="s">
        <v>1083</v>
      </c>
      <c r="O921" s="2" t="s">
        <v>525</v>
      </c>
      <c r="P921" s="2" t="s">
        <v>50</v>
      </c>
      <c r="Q921" s="2">
        <f>INDEX(Tables!$C$4:$C$28,MATCH($P921,Tables!$B$4:$B$28,0))</f>
        <v>16</v>
      </c>
      <c r="R921" s="2">
        <f>INDEX(Tables!$D$4:$D$28,MATCH($P921,Tables!$B$4:$B$28,0))</f>
        <v>2</v>
      </c>
      <c r="S921" s="2">
        <f>$S920+$R920+INDEX(Tables!$N$5:$Q$8,MATCH(MOD($S920+$R920,4),Tables!$M$5:$M$8,0),MATCH($R921,Tables!$N$4:$Q$4,0))</f>
        <v>3282</v>
      </c>
      <c r="T921" s="2" t="str">
        <f t="shared" si="219"/>
        <v>0CD2</v>
      </c>
      <c r="U921" s="2">
        <f t="shared" si="210"/>
        <v>820</v>
      </c>
      <c r="V921" s="2" t="str">
        <f t="shared" si="220"/>
        <v>334</v>
      </c>
      <c r="W921" s="2" t="str">
        <f t="shared" si="221"/>
        <v>X</v>
      </c>
      <c r="X921" s="2" t="str">
        <f t="shared" si="222"/>
        <v>X</v>
      </c>
      <c r="Y921" s="2" t="str">
        <f t="shared" si="223"/>
        <v/>
      </c>
      <c r="Z921" s="2" t="str">
        <f t="shared" si="224"/>
        <v/>
      </c>
      <c r="AA921" s="2" t="str">
        <f t="shared" si="211"/>
        <v>(27 downto 24)</v>
      </c>
      <c r="AB921" s="2" t="str">
        <f t="shared" si="212"/>
        <v>(23 downto 16)</v>
      </c>
      <c r="AC921" s="2" t="str">
        <f t="shared" si="213"/>
        <v/>
      </c>
      <c r="AD921" s="2" t="str">
        <f t="shared" si="214"/>
        <v/>
      </c>
      <c r="AE921" s="2" t="str">
        <f t="shared" si="215"/>
        <v>(11 downto 8)</v>
      </c>
      <c r="AF921" s="2" t="str">
        <f t="shared" si="216"/>
        <v>(7 downto 0)</v>
      </c>
      <c r="AG921" s="2" t="str">
        <f t="shared" si="217"/>
        <v/>
      </c>
      <c r="AH921" s="2" t="str">
        <f t="shared" si="218"/>
        <v/>
      </c>
    </row>
    <row r="922" spans="2:34" x14ac:dyDescent="0.25">
      <c r="B922" s="2" t="s">
        <v>1080</v>
      </c>
      <c r="D922" s="2" t="s">
        <v>1</v>
      </c>
      <c r="E922" s="2" t="s">
        <v>134</v>
      </c>
      <c r="F922" s="2" t="s">
        <v>1096</v>
      </c>
      <c r="G922" s="2" t="s">
        <v>1097</v>
      </c>
      <c r="H922" s="2" t="s">
        <v>528</v>
      </c>
      <c r="I922" s="2" t="s">
        <v>42</v>
      </c>
      <c r="J922" s="2">
        <v>12</v>
      </c>
      <c r="K922" s="2" t="s">
        <v>137</v>
      </c>
      <c r="L922" s="2" t="s">
        <v>41</v>
      </c>
      <c r="M922" s="2" t="s">
        <v>135</v>
      </c>
      <c r="N922" s="2" t="s">
        <v>1083</v>
      </c>
      <c r="O922" s="2" t="s">
        <v>529</v>
      </c>
      <c r="P922" s="2" t="s">
        <v>50</v>
      </c>
      <c r="Q922" s="2">
        <f>INDEX(Tables!$C$4:$C$28,MATCH($P922,Tables!$B$4:$B$28,0))</f>
        <v>16</v>
      </c>
      <c r="R922" s="2">
        <f>INDEX(Tables!$D$4:$D$28,MATCH($P922,Tables!$B$4:$B$28,0))</f>
        <v>2</v>
      </c>
      <c r="S922" s="2">
        <f>$S921+$R921+INDEX(Tables!$N$5:$Q$8,MATCH(MOD($S921+$R921,4),Tables!$M$5:$M$8,0),MATCH($R922,Tables!$N$4:$Q$4,0))</f>
        <v>3284</v>
      </c>
      <c r="T922" s="2" t="str">
        <f t="shared" si="219"/>
        <v>0CD4</v>
      </c>
      <c r="U922" s="2">
        <f t="shared" si="210"/>
        <v>821</v>
      </c>
      <c r="V922" s="2" t="str">
        <f t="shared" si="220"/>
        <v>335</v>
      </c>
      <c r="W922" s="2" t="str">
        <f t="shared" si="221"/>
        <v/>
      </c>
      <c r="X922" s="2" t="str">
        <f t="shared" si="222"/>
        <v/>
      </c>
      <c r="Y922" s="2" t="str">
        <f t="shared" si="223"/>
        <v>X</v>
      </c>
      <c r="Z922" s="2" t="str">
        <f t="shared" si="224"/>
        <v>X</v>
      </c>
      <c r="AA922" s="2" t="str">
        <f t="shared" si="211"/>
        <v/>
      </c>
      <c r="AB922" s="2" t="str">
        <f t="shared" si="212"/>
        <v/>
      </c>
      <c r="AC922" s="2" t="str">
        <f t="shared" si="213"/>
        <v>(11 downto 8)</v>
      </c>
      <c r="AD922" s="2" t="str">
        <f t="shared" si="214"/>
        <v>(7 downto 0)</v>
      </c>
      <c r="AE922" s="2" t="str">
        <f t="shared" si="215"/>
        <v/>
      </c>
      <c r="AF922" s="2" t="str">
        <f t="shared" si="216"/>
        <v/>
      </c>
      <c r="AG922" s="2" t="str">
        <f t="shared" si="217"/>
        <v>(11 downto 8)</v>
      </c>
      <c r="AH922" s="2" t="str">
        <f t="shared" si="218"/>
        <v>(7 downto 0)</v>
      </c>
    </row>
    <row r="923" spans="2:34" x14ac:dyDescent="0.25">
      <c r="B923" s="2" t="s">
        <v>1080</v>
      </c>
      <c r="D923" s="2" t="s">
        <v>1</v>
      </c>
      <c r="E923" s="2" t="s">
        <v>134</v>
      </c>
      <c r="F923" s="2" t="s">
        <v>1098</v>
      </c>
      <c r="G923" s="2" t="s">
        <v>1099</v>
      </c>
      <c r="H923" s="2" t="s">
        <v>532</v>
      </c>
      <c r="I923" s="2" t="s">
        <v>42</v>
      </c>
      <c r="J923" s="2">
        <v>8</v>
      </c>
      <c r="K923" s="2" t="s">
        <v>137</v>
      </c>
      <c r="L923" s="2" t="s">
        <v>41</v>
      </c>
      <c r="M923" s="2" t="s">
        <v>135</v>
      </c>
      <c r="N923" s="2" t="s">
        <v>1083</v>
      </c>
      <c r="O923" s="2" t="s">
        <v>533</v>
      </c>
      <c r="P923" s="2" t="s">
        <v>48</v>
      </c>
      <c r="Q923" s="2">
        <f>INDEX(Tables!$C$4:$C$28,MATCH($P923,Tables!$B$4:$B$28,0))</f>
        <v>8</v>
      </c>
      <c r="R923" s="2">
        <f>INDEX(Tables!$D$4:$D$28,MATCH($P923,Tables!$B$4:$B$28,0))</f>
        <v>1</v>
      </c>
      <c r="S923" s="2">
        <f>$S922+$R922+INDEX(Tables!$N$5:$Q$8,MATCH(MOD($S922+$R922,4),Tables!$M$5:$M$8,0),MATCH($R923,Tables!$N$4:$Q$4,0))</f>
        <v>3286</v>
      </c>
      <c r="T923" s="2" t="str">
        <f t="shared" si="219"/>
        <v>0CD6</v>
      </c>
      <c r="U923" s="2">
        <f t="shared" si="210"/>
        <v>821</v>
      </c>
      <c r="V923" s="2" t="str">
        <f t="shared" si="220"/>
        <v>335</v>
      </c>
      <c r="W923" s="2" t="str">
        <f t="shared" si="221"/>
        <v/>
      </c>
      <c r="X923" s="2" t="str">
        <f t="shared" si="222"/>
        <v>X</v>
      </c>
      <c r="Y923" s="2" t="str">
        <f t="shared" si="223"/>
        <v/>
      </c>
      <c r="Z923" s="2" t="str">
        <f t="shared" si="224"/>
        <v/>
      </c>
      <c r="AA923" s="2" t="str">
        <f t="shared" si="211"/>
        <v/>
      </c>
      <c r="AB923" s="2" t="str">
        <f t="shared" si="212"/>
        <v>(23 downto 16)</v>
      </c>
      <c r="AC923" s="2" t="str">
        <f t="shared" si="213"/>
        <v/>
      </c>
      <c r="AD923" s="2" t="str">
        <f t="shared" si="214"/>
        <v/>
      </c>
      <c r="AE923" s="2" t="str">
        <f t="shared" si="215"/>
        <v/>
      </c>
      <c r="AF923" s="2" t="str">
        <f t="shared" si="216"/>
        <v/>
      </c>
      <c r="AG923" s="2" t="str">
        <f t="shared" si="217"/>
        <v/>
      </c>
      <c r="AH923" s="2" t="str">
        <f t="shared" si="218"/>
        <v/>
      </c>
    </row>
    <row r="924" spans="2:34" x14ac:dyDescent="0.25">
      <c r="B924" s="2" t="s">
        <v>1080</v>
      </c>
      <c r="D924" s="2" t="s">
        <v>1</v>
      </c>
      <c r="E924" s="2" t="s">
        <v>134</v>
      </c>
      <c r="F924" s="2" t="s">
        <v>1098</v>
      </c>
      <c r="G924" s="2" t="s">
        <v>1099</v>
      </c>
      <c r="H924" s="2" t="s">
        <v>534</v>
      </c>
      <c r="I924" s="2" t="s">
        <v>42</v>
      </c>
      <c r="J924" s="2">
        <v>8</v>
      </c>
      <c r="K924" s="2" t="s">
        <v>137</v>
      </c>
      <c r="L924" s="2" t="s">
        <v>41</v>
      </c>
      <c r="M924" s="2" t="s">
        <v>135</v>
      </c>
      <c r="N924" s="2" t="s">
        <v>1083</v>
      </c>
      <c r="O924" s="2" t="s">
        <v>535</v>
      </c>
      <c r="P924" s="2" t="s">
        <v>48</v>
      </c>
      <c r="Q924" s="2">
        <f>INDEX(Tables!$C$4:$C$28,MATCH($P924,Tables!$B$4:$B$28,0))</f>
        <v>8</v>
      </c>
      <c r="R924" s="2">
        <f>INDEX(Tables!$D$4:$D$28,MATCH($P924,Tables!$B$4:$B$28,0))</f>
        <v>1</v>
      </c>
      <c r="S924" s="2">
        <f>$S923+$R923+INDEX(Tables!$N$5:$Q$8,MATCH(MOD($S923+$R923,4),Tables!$M$5:$M$8,0),MATCH($R924,Tables!$N$4:$Q$4,0))</f>
        <v>3287</v>
      </c>
      <c r="T924" s="2" t="str">
        <f t="shared" si="219"/>
        <v>0CD7</v>
      </c>
      <c r="U924" s="2">
        <f t="shared" si="210"/>
        <v>821</v>
      </c>
      <c r="V924" s="2" t="str">
        <f t="shared" si="220"/>
        <v>335</v>
      </c>
      <c r="W924" s="2" t="str">
        <f t="shared" si="221"/>
        <v>X</v>
      </c>
      <c r="X924" s="2" t="str">
        <f t="shared" si="222"/>
        <v/>
      </c>
      <c r="Y924" s="2" t="str">
        <f t="shared" si="223"/>
        <v/>
      </c>
      <c r="Z924" s="2" t="str">
        <f t="shared" si="224"/>
        <v/>
      </c>
      <c r="AA924" s="2" t="str">
        <f t="shared" si="211"/>
        <v>(31 downto 24)</v>
      </c>
      <c r="AB924" s="2" t="str">
        <f t="shared" si="212"/>
        <v/>
      </c>
      <c r="AC924" s="2" t="str">
        <f t="shared" si="213"/>
        <v/>
      </c>
      <c r="AD924" s="2" t="str">
        <f t="shared" si="214"/>
        <v/>
      </c>
      <c r="AE924" s="2" t="str">
        <f t="shared" si="215"/>
        <v/>
      </c>
      <c r="AF924" s="2" t="str">
        <f t="shared" si="216"/>
        <v/>
      </c>
      <c r="AG924" s="2" t="str">
        <f t="shared" si="217"/>
        <v/>
      </c>
      <c r="AH924" s="2" t="str">
        <f t="shared" si="218"/>
        <v/>
      </c>
    </row>
    <row r="925" spans="2:34" x14ac:dyDescent="0.25">
      <c r="B925" s="2" t="s">
        <v>1080</v>
      </c>
      <c r="D925" s="2" t="s">
        <v>1</v>
      </c>
      <c r="E925" s="2" t="s">
        <v>134</v>
      </c>
      <c r="F925" s="2" t="s">
        <v>1098</v>
      </c>
      <c r="G925" s="2" t="s">
        <v>1099</v>
      </c>
      <c r="H925" s="2" t="s">
        <v>536</v>
      </c>
      <c r="I925" s="2" t="s">
        <v>42</v>
      </c>
      <c r="J925" s="2">
        <v>8</v>
      </c>
      <c r="K925" s="2" t="s">
        <v>137</v>
      </c>
      <c r="L925" s="2" t="s">
        <v>41</v>
      </c>
      <c r="M925" s="2" t="s">
        <v>135</v>
      </c>
      <c r="N925" s="2" t="s">
        <v>1083</v>
      </c>
      <c r="O925" s="2" t="s">
        <v>537</v>
      </c>
      <c r="P925" s="2" t="s">
        <v>48</v>
      </c>
      <c r="Q925" s="2">
        <f>INDEX(Tables!$C$4:$C$28,MATCH($P925,Tables!$B$4:$B$28,0))</f>
        <v>8</v>
      </c>
      <c r="R925" s="2">
        <f>INDEX(Tables!$D$4:$D$28,MATCH($P925,Tables!$B$4:$B$28,0))</f>
        <v>1</v>
      </c>
      <c r="S925" s="2">
        <f>$S924+$R924+INDEX(Tables!$N$5:$Q$8,MATCH(MOD($S924+$R924,4),Tables!$M$5:$M$8,0),MATCH($R925,Tables!$N$4:$Q$4,0))</f>
        <v>3288</v>
      </c>
      <c r="T925" s="2" t="str">
        <f t="shared" si="219"/>
        <v>0CD8</v>
      </c>
      <c r="U925" s="2">
        <f t="shared" si="210"/>
        <v>822</v>
      </c>
      <c r="V925" s="2" t="str">
        <f t="shared" si="220"/>
        <v>336</v>
      </c>
      <c r="W925" s="2" t="str">
        <f t="shared" si="221"/>
        <v/>
      </c>
      <c r="X925" s="2" t="str">
        <f t="shared" si="222"/>
        <v/>
      </c>
      <c r="Y925" s="2" t="str">
        <f t="shared" si="223"/>
        <v/>
      </c>
      <c r="Z925" s="2" t="str">
        <f t="shared" si="224"/>
        <v>X</v>
      </c>
      <c r="AA925" s="2" t="str">
        <f t="shared" si="211"/>
        <v/>
      </c>
      <c r="AB925" s="2" t="str">
        <f t="shared" si="212"/>
        <v/>
      </c>
      <c r="AC925" s="2" t="str">
        <f t="shared" si="213"/>
        <v/>
      </c>
      <c r="AD925" s="2" t="str">
        <f t="shared" si="214"/>
        <v>(7 downto 0)</v>
      </c>
      <c r="AE925" s="2" t="str">
        <f t="shared" si="215"/>
        <v/>
      </c>
      <c r="AF925" s="2" t="str">
        <f t="shared" si="216"/>
        <v/>
      </c>
      <c r="AG925" s="2" t="str">
        <f t="shared" si="217"/>
        <v/>
      </c>
      <c r="AH925" s="2" t="str">
        <f t="shared" si="218"/>
        <v/>
      </c>
    </row>
    <row r="926" spans="2:34" x14ac:dyDescent="0.25">
      <c r="B926" s="2" t="s">
        <v>1080</v>
      </c>
      <c r="D926" s="2" t="s">
        <v>1</v>
      </c>
      <c r="E926" s="2" t="s">
        <v>134</v>
      </c>
      <c r="F926" s="2" t="s">
        <v>1098</v>
      </c>
      <c r="G926" s="2" t="s">
        <v>1099</v>
      </c>
      <c r="H926" s="2" t="s">
        <v>538</v>
      </c>
      <c r="I926" s="2" t="s">
        <v>42</v>
      </c>
      <c r="J926" s="2">
        <v>8</v>
      </c>
      <c r="K926" s="2" t="s">
        <v>137</v>
      </c>
      <c r="L926" s="2" t="s">
        <v>41</v>
      </c>
      <c r="M926" s="2" t="s">
        <v>135</v>
      </c>
      <c r="N926" s="2" t="s">
        <v>1083</v>
      </c>
      <c r="O926" s="2" t="s">
        <v>539</v>
      </c>
      <c r="P926" s="2" t="s">
        <v>48</v>
      </c>
      <c r="Q926" s="2">
        <f>INDEX(Tables!$C$4:$C$28,MATCH($P926,Tables!$B$4:$B$28,0))</f>
        <v>8</v>
      </c>
      <c r="R926" s="2">
        <f>INDEX(Tables!$D$4:$D$28,MATCH($P926,Tables!$B$4:$B$28,0))</f>
        <v>1</v>
      </c>
      <c r="S926" s="2">
        <f>$S925+$R925+INDEX(Tables!$N$5:$Q$8,MATCH(MOD($S925+$R925,4),Tables!$M$5:$M$8,0),MATCH($R926,Tables!$N$4:$Q$4,0))</f>
        <v>3289</v>
      </c>
      <c r="T926" s="2" t="str">
        <f t="shared" si="219"/>
        <v>0CD9</v>
      </c>
      <c r="U926" s="2">
        <f t="shared" si="210"/>
        <v>822</v>
      </c>
      <c r="V926" s="2" t="str">
        <f t="shared" si="220"/>
        <v>336</v>
      </c>
      <c r="W926" s="2" t="str">
        <f t="shared" si="221"/>
        <v/>
      </c>
      <c r="X926" s="2" t="str">
        <f t="shared" si="222"/>
        <v/>
      </c>
      <c r="Y926" s="2" t="str">
        <f t="shared" si="223"/>
        <v>X</v>
      </c>
      <c r="Z926" s="2" t="str">
        <f t="shared" si="224"/>
        <v/>
      </c>
      <c r="AA926" s="2" t="str">
        <f t="shared" si="211"/>
        <v/>
      </c>
      <c r="AB926" s="2" t="str">
        <f t="shared" si="212"/>
        <v/>
      </c>
      <c r="AC926" s="2" t="str">
        <f t="shared" si="213"/>
        <v>(15 downto 8)</v>
      </c>
      <c r="AD926" s="2" t="str">
        <f t="shared" si="214"/>
        <v/>
      </c>
      <c r="AE926" s="2" t="str">
        <f t="shared" si="215"/>
        <v/>
      </c>
      <c r="AF926" s="2" t="str">
        <f t="shared" si="216"/>
        <v/>
      </c>
      <c r="AG926" s="2" t="str">
        <f t="shared" si="217"/>
        <v/>
      </c>
      <c r="AH926" s="2" t="str">
        <f t="shared" si="218"/>
        <v/>
      </c>
    </row>
    <row r="927" spans="2:34" x14ac:dyDescent="0.25">
      <c r="B927" s="2" t="s">
        <v>1080</v>
      </c>
      <c r="D927" s="2" t="s">
        <v>1</v>
      </c>
      <c r="E927" s="2" t="s">
        <v>134</v>
      </c>
      <c r="F927" s="2" t="s">
        <v>1100</v>
      </c>
      <c r="G927" s="2" t="s">
        <v>1101</v>
      </c>
      <c r="H927" s="2" t="s">
        <v>542</v>
      </c>
      <c r="I927" s="2" t="s">
        <v>42</v>
      </c>
      <c r="J927" s="2">
        <v>8</v>
      </c>
      <c r="K927" s="2" t="s">
        <v>137</v>
      </c>
      <c r="L927" s="2" t="s">
        <v>41</v>
      </c>
      <c r="M927" s="2" t="s">
        <v>135</v>
      </c>
      <c r="N927" s="2" t="s">
        <v>1083</v>
      </c>
      <c r="O927" s="2" t="s">
        <v>543</v>
      </c>
      <c r="P927" s="2" t="s">
        <v>48</v>
      </c>
      <c r="Q927" s="2">
        <f>INDEX(Tables!$C$4:$C$28,MATCH($P927,Tables!$B$4:$B$28,0))</f>
        <v>8</v>
      </c>
      <c r="R927" s="2">
        <f>INDEX(Tables!$D$4:$D$28,MATCH($P927,Tables!$B$4:$B$28,0))</f>
        <v>1</v>
      </c>
      <c r="S927" s="2">
        <f>$S926+$R926+INDEX(Tables!$N$5:$Q$8,MATCH(MOD($S926+$R926,4),Tables!$M$5:$M$8,0),MATCH($R927,Tables!$N$4:$Q$4,0))</f>
        <v>3290</v>
      </c>
      <c r="T927" s="2" t="str">
        <f t="shared" si="219"/>
        <v>0CDA</v>
      </c>
      <c r="U927" s="2">
        <f t="shared" si="210"/>
        <v>822</v>
      </c>
      <c r="V927" s="2" t="str">
        <f t="shared" si="220"/>
        <v>336</v>
      </c>
      <c r="W927" s="2" t="str">
        <f t="shared" si="221"/>
        <v/>
      </c>
      <c r="X927" s="2" t="str">
        <f t="shared" si="222"/>
        <v>X</v>
      </c>
      <c r="Y927" s="2" t="str">
        <f t="shared" si="223"/>
        <v/>
      </c>
      <c r="Z927" s="2" t="str">
        <f t="shared" si="224"/>
        <v/>
      </c>
      <c r="AA927" s="2" t="str">
        <f t="shared" si="211"/>
        <v/>
      </c>
      <c r="AB927" s="2" t="str">
        <f t="shared" si="212"/>
        <v>(23 downto 16)</v>
      </c>
      <c r="AC927" s="2" t="str">
        <f t="shared" si="213"/>
        <v/>
      </c>
      <c r="AD927" s="2" t="str">
        <f t="shared" si="214"/>
        <v/>
      </c>
      <c r="AE927" s="2" t="str">
        <f t="shared" si="215"/>
        <v/>
      </c>
      <c r="AF927" s="2" t="str">
        <f t="shared" si="216"/>
        <v/>
      </c>
      <c r="AG927" s="2" t="str">
        <f t="shared" si="217"/>
        <v/>
      </c>
      <c r="AH927" s="2" t="str">
        <f t="shared" si="218"/>
        <v/>
      </c>
    </row>
    <row r="928" spans="2:34" x14ac:dyDescent="0.25">
      <c r="B928" s="2" t="s">
        <v>1080</v>
      </c>
      <c r="D928" s="2" t="s">
        <v>1</v>
      </c>
      <c r="E928" s="2" t="s">
        <v>134</v>
      </c>
      <c r="F928" s="2" t="s">
        <v>1100</v>
      </c>
      <c r="G928" s="2" t="s">
        <v>1101</v>
      </c>
      <c r="H928" s="2" t="s">
        <v>544</v>
      </c>
      <c r="I928" s="2" t="s">
        <v>42</v>
      </c>
      <c r="J928" s="2">
        <v>8</v>
      </c>
      <c r="K928" s="2" t="s">
        <v>137</v>
      </c>
      <c r="L928" s="2" t="s">
        <v>41</v>
      </c>
      <c r="M928" s="2" t="s">
        <v>135</v>
      </c>
      <c r="N928" s="2" t="s">
        <v>1083</v>
      </c>
      <c r="O928" s="2" t="s">
        <v>545</v>
      </c>
      <c r="P928" s="2" t="s">
        <v>48</v>
      </c>
      <c r="Q928" s="2">
        <f>INDEX(Tables!$C$4:$C$28,MATCH($P928,Tables!$B$4:$B$28,0))</f>
        <v>8</v>
      </c>
      <c r="R928" s="2">
        <f>INDEX(Tables!$D$4:$D$28,MATCH($P928,Tables!$B$4:$B$28,0))</f>
        <v>1</v>
      </c>
      <c r="S928" s="2">
        <f>$S927+$R927+INDEX(Tables!$N$5:$Q$8,MATCH(MOD($S927+$R927,4),Tables!$M$5:$M$8,0),MATCH($R928,Tables!$N$4:$Q$4,0))</f>
        <v>3291</v>
      </c>
      <c r="T928" s="2" t="str">
        <f t="shared" si="219"/>
        <v>0CDB</v>
      </c>
      <c r="U928" s="2">
        <f t="shared" si="210"/>
        <v>822</v>
      </c>
      <c r="V928" s="2" t="str">
        <f t="shared" si="220"/>
        <v>336</v>
      </c>
      <c r="W928" s="2" t="str">
        <f t="shared" si="221"/>
        <v>X</v>
      </c>
      <c r="X928" s="2" t="str">
        <f t="shared" si="222"/>
        <v/>
      </c>
      <c r="Y928" s="2" t="str">
        <f t="shared" si="223"/>
        <v/>
      </c>
      <c r="Z928" s="2" t="str">
        <f t="shared" si="224"/>
        <v/>
      </c>
      <c r="AA928" s="2" t="str">
        <f t="shared" si="211"/>
        <v>(31 downto 24)</v>
      </c>
      <c r="AB928" s="2" t="str">
        <f t="shared" si="212"/>
        <v/>
      </c>
      <c r="AC928" s="2" t="str">
        <f t="shared" si="213"/>
        <v/>
      </c>
      <c r="AD928" s="2" t="str">
        <f t="shared" si="214"/>
        <v/>
      </c>
      <c r="AE928" s="2" t="str">
        <f t="shared" si="215"/>
        <v/>
      </c>
      <c r="AF928" s="2" t="str">
        <f t="shared" si="216"/>
        <v/>
      </c>
      <c r="AG928" s="2" t="str">
        <f t="shared" si="217"/>
        <v/>
      </c>
      <c r="AH928" s="2" t="str">
        <f t="shared" si="218"/>
        <v/>
      </c>
    </row>
    <row r="929" spans="2:34" x14ac:dyDescent="0.25">
      <c r="B929" s="2" t="s">
        <v>1080</v>
      </c>
      <c r="D929" s="2" t="s">
        <v>1</v>
      </c>
      <c r="E929" s="2" t="s">
        <v>134</v>
      </c>
      <c r="F929" s="2" t="s">
        <v>1100</v>
      </c>
      <c r="G929" s="2" t="s">
        <v>1101</v>
      </c>
      <c r="H929" s="2" t="s">
        <v>546</v>
      </c>
      <c r="I929" s="2" t="s">
        <v>42</v>
      </c>
      <c r="J929" s="2">
        <v>8</v>
      </c>
      <c r="K929" s="2" t="s">
        <v>137</v>
      </c>
      <c r="L929" s="2" t="s">
        <v>41</v>
      </c>
      <c r="M929" s="2" t="s">
        <v>135</v>
      </c>
      <c r="N929" s="2" t="s">
        <v>1083</v>
      </c>
      <c r="O929" s="2" t="s">
        <v>547</v>
      </c>
      <c r="P929" s="2" t="s">
        <v>48</v>
      </c>
      <c r="Q929" s="2">
        <f>INDEX(Tables!$C$4:$C$28,MATCH($P929,Tables!$B$4:$B$28,0))</f>
        <v>8</v>
      </c>
      <c r="R929" s="2">
        <f>INDEX(Tables!$D$4:$D$28,MATCH($P929,Tables!$B$4:$B$28,0))</f>
        <v>1</v>
      </c>
      <c r="S929" s="2">
        <f>$S928+$R928+INDEX(Tables!$N$5:$Q$8,MATCH(MOD($S928+$R928,4),Tables!$M$5:$M$8,0),MATCH($R929,Tables!$N$4:$Q$4,0))</f>
        <v>3292</v>
      </c>
      <c r="T929" s="2" t="str">
        <f t="shared" si="219"/>
        <v>0CDC</v>
      </c>
      <c r="U929" s="2">
        <f t="shared" si="210"/>
        <v>823</v>
      </c>
      <c r="V929" s="2" t="str">
        <f t="shared" si="220"/>
        <v>337</v>
      </c>
      <c r="W929" s="2" t="str">
        <f t="shared" si="221"/>
        <v/>
      </c>
      <c r="X929" s="2" t="str">
        <f t="shared" si="222"/>
        <v/>
      </c>
      <c r="Y929" s="2" t="str">
        <f t="shared" si="223"/>
        <v/>
      </c>
      <c r="Z929" s="2" t="str">
        <f t="shared" si="224"/>
        <v>X</v>
      </c>
      <c r="AA929" s="2" t="str">
        <f t="shared" si="211"/>
        <v/>
      </c>
      <c r="AB929" s="2" t="str">
        <f t="shared" si="212"/>
        <v/>
      </c>
      <c r="AC929" s="2" t="str">
        <f t="shared" si="213"/>
        <v/>
      </c>
      <c r="AD929" s="2" t="str">
        <f t="shared" si="214"/>
        <v>(7 downto 0)</v>
      </c>
      <c r="AE929" s="2" t="str">
        <f t="shared" si="215"/>
        <v/>
      </c>
      <c r="AF929" s="2" t="str">
        <f t="shared" si="216"/>
        <v/>
      </c>
      <c r="AG929" s="2" t="str">
        <f t="shared" si="217"/>
        <v/>
      </c>
      <c r="AH929" s="2" t="str">
        <f t="shared" si="218"/>
        <v/>
      </c>
    </row>
    <row r="930" spans="2:34" x14ac:dyDescent="0.25">
      <c r="B930" s="2" t="s">
        <v>1080</v>
      </c>
      <c r="D930" s="2" t="s">
        <v>1</v>
      </c>
      <c r="E930" s="2" t="s">
        <v>134</v>
      </c>
      <c r="F930" s="2" t="s">
        <v>1100</v>
      </c>
      <c r="G930" s="2" t="s">
        <v>1101</v>
      </c>
      <c r="H930" s="2" t="s">
        <v>548</v>
      </c>
      <c r="I930" s="2" t="s">
        <v>42</v>
      </c>
      <c r="J930" s="2">
        <v>8</v>
      </c>
      <c r="K930" s="2" t="s">
        <v>137</v>
      </c>
      <c r="L930" s="2" t="s">
        <v>41</v>
      </c>
      <c r="M930" s="2" t="s">
        <v>135</v>
      </c>
      <c r="N930" s="2" t="s">
        <v>1083</v>
      </c>
      <c r="O930" s="2" t="s">
        <v>549</v>
      </c>
      <c r="P930" s="2" t="s">
        <v>48</v>
      </c>
      <c r="Q930" s="2">
        <f>INDEX(Tables!$C$4:$C$28,MATCH($P930,Tables!$B$4:$B$28,0))</f>
        <v>8</v>
      </c>
      <c r="R930" s="2">
        <f>INDEX(Tables!$D$4:$D$28,MATCH($P930,Tables!$B$4:$B$28,0))</f>
        <v>1</v>
      </c>
      <c r="S930" s="2">
        <f>$S929+$R929+INDEX(Tables!$N$5:$Q$8,MATCH(MOD($S929+$R929,4),Tables!$M$5:$M$8,0),MATCH($R930,Tables!$N$4:$Q$4,0))</f>
        <v>3293</v>
      </c>
      <c r="T930" s="2" t="str">
        <f t="shared" si="219"/>
        <v>0CDD</v>
      </c>
      <c r="U930" s="2">
        <f t="shared" si="210"/>
        <v>823</v>
      </c>
      <c r="V930" s="2" t="str">
        <f t="shared" si="220"/>
        <v>337</v>
      </c>
      <c r="W930" s="2" t="str">
        <f t="shared" si="221"/>
        <v/>
      </c>
      <c r="X930" s="2" t="str">
        <f t="shared" si="222"/>
        <v/>
      </c>
      <c r="Y930" s="2" t="str">
        <f t="shared" si="223"/>
        <v>X</v>
      </c>
      <c r="Z930" s="2" t="str">
        <f t="shared" si="224"/>
        <v/>
      </c>
      <c r="AA930" s="2" t="str">
        <f t="shared" si="211"/>
        <v/>
      </c>
      <c r="AB930" s="2" t="str">
        <f t="shared" si="212"/>
        <v/>
      </c>
      <c r="AC930" s="2" t="str">
        <f t="shared" si="213"/>
        <v>(15 downto 8)</v>
      </c>
      <c r="AD930" s="2" t="str">
        <f t="shared" si="214"/>
        <v/>
      </c>
      <c r="AE930" s="2" t="str">
        <f t="shared" si="215"/>
        <v/>
      </c>
      <c r="AF930" s="2" t="str">
        <f t="shared" si="216"/>
        <v/>
      </c>
      <c r="AG930" s="2" t="str">
        <f t="shared" si="217"/>
        <v/>
      </c>
      <c r="AH930" s="2" t="str">
        <f t="shared" si="218"/>
        <v/>
      </c>
    </row>
    <row r="931" spans="2:34" x14ac:dyDescent="0.25">
      <c r="B931" s="2" t="s">
        <v>1080</v>
      </c>
      <c r="D931" s="2" t="s">
        <v>1</v>
      </c>
      <c r="E931" s="2" t="s">
        <v>134</v>
      </c>
      <c r="F931" s="2" t="s">
        <v>1102</v>
      </c>
      <c r="G931" s="2" t="s">
        <v>1103</v>
      </c>
      <c r="H931" s="2" t="s">
        <v>552</v>
      </c>
      <c r="I931" s="2" t="s">
        <v>42</v>
      </c>
      <c r="J931" s="2">
        <v>8</v>
      </c>
      <c r="K931" s="2" t="s">
        <v>137</v>
      </c>
      <c r="L931" s="2" t="s">
        <v>41</v>
      </c>
      <c r="M931" s="2" t="s">
        <v>135</v>
      </c>
      <c r="N931" s="2" t="s">
        <v>1083</v>
      </c>
      <c r="O931" s="2" t="s">
        <v>553</v>
      </c>
      <c r="P931" s="2" t="s">
        <v>48</v>
      </c>
      <c r="Q931" s="2">
        <f>INDEX(Tables!$C$4:$C$28,MATCH($P931,Tables!$B$4:$B$28,0))</f>
        <v>8</v>
      </c>
      <c r="R931" s="2">
        <f>INDEX(Tables!$D$4:$D$28,MATCH($P931,Tables!$B$4:$B$28,0))</f>
        <v>1</v>
      </c>
      <c r="S931" s="2">
        <f>$S930+$R930+INDEX(Tables!$N$5:$Q$8,MATCH(MOD($S930+$R930,4),Tables!$M$5:$M$8,0),MATCH($R931,Tables!$N$4:$Q$4,0))</f>
        <v>3294</v>
      </c>
      <c r="T931" s="2" t="str">
        <f t="shared" si="219"/>
        <v>0CDE</v>
      </c>
      <c r="U931" s="2">
        <f t="shared" si="210"/>
        <v>823</v>
      </c>
      <c r="V931" s="2" t="str">
        <f t="shared" si="220"/>
        <v>337</v>
      </c>
      <c r="W931" s="2" t="str">
        <f t="shared" si="221"/>
        <v/>
      </c>
      <c r="X931" s="2" t="str">
        <f t="shared" si="222"/>
        <v>X</v>
      </c>
      <c r="Y931" s="2" t="str">
        <f t="shared" si="223"/>
        <v/>
      </c>
      <c r="Z931" s="2" t="str">
        <f t="shared" si="224"/>
        <v/>
      </c>
      <c r="AA931" s="2" t="str">
        <f t="shared" si="211"/>
        <v/>
      </c>
      <c r="AB931" s="2" t="str">
        <f t="shared" si="212"/>
        <v>(23 downto 16)</v>
      </c>
      <c r="AC931" s="2" t="str">
        <f t="shared" si="213"/>
        <v/>
      </c>
      <c r="AD931" s="2" t="str">
        <f t="shared" si="214"/>
        <v/>
      </c>
      <c r="AE931" s="2" t="str">
        <f t="shared" si="215"/>
        <v/>
      </c>
      <c r="AF931" s="2" t="str">
        <f t="shared" si="216"/>
        <v/>
      </c>
      <c r="AG931" s="2" t="str">
        <f t="shared" si="217"/>
        <v/>
      </c>
      <c r="AH931" s="2" t="str">
        <f t="shared" si="218"/>
        <v/>
      </c>
    </row>
    <row r="932" spans="2:34" x14ac:dyDescent="0.25">
      <c r="B932" s="2" t="s">
        <v>1080</v>
      </c>
      <c r="D932" s="2" t="s">
        <v>1</v>
      </c>
      <c r="E932" s="2" t="s">
        <v>134</v>
      </c>
      <c r="F932" s="2" t="s">
        <v>1102</v>
      </c>
      <c r="G932" s="2" t="s">
        <v>1103</v>
      </c>
      <c r="H932" s="2" t="s">
        <v>554</v>
      </c>
      <c r="I932" s="2" t="s">
        <v>42</v>
      </c>
      <c r="J932" s="2">
        <v>8</v>
      </c>
      <c r="K932" s="2" t="s">
        <v>137</v>
      </c>
      <c r="L932" s="2" t="s">
        <v>41</v>
      </c>
      <c r="M932" s="2" t="s">
        <v>135</v>
      </c>
      <c r="N932" s="2" t="s">
        <v>1083</v>
      </c>
      <c r="O932" s="2" t="s">
        <v>555</v>
      </c>
      <c r="P932" s="2" t="s">
        <v>48</v>
      </c>
      <c r="Q932" s="2">
        <f>INDEX(Tables!$C$4:$C$28,MATCH($P932,Tables!$B$4:$B$28,0))</f>
        <v>8</v>
      </c>
      <c r="R932" s="2">
        <f>INDEX(Tables!$D$4:$D$28,MATCH($P932,Tables!$B$4:$B$28,0))</f>
        <v>1</v>
      </c>
      <c r="S932" s="2">
        <f>$S931+$R931+INDEX(Tables!$N$5:$Q$8,MATCH(MOD($S931+$R931,4),Tables!$M$5:$M$8,0),MATCH($R932,Tables!$N$4:$Q$4,0))</f>
        <v>3295</v>
      </c>
      <c r="T932" s="2" t="str">
        <f t="shared" si="219"/>
        <v>0CDF</v>
      </c>
      <c r="U932" s="2">
        <f t="shared" si="210"/>
        <v>823</v>
      </c>
      <c r="V932" s="2" t="str">
        <f t="shared" si="220"/>
        <v>337</v>
      </c>
      <c r="W932" s="2" t="str">
        <f t="shared" si="221"/>
        <v>X</v>
      </c>
      <c r="X932" s="2" t="str">
        <f t="shared" si="222"/>
        <v/>
      </c>
      <c r="Y932" s="2" t="str">
        <f t="shared" si="223"/>
        <v/>
      </c>
      <c r="Z932" s="2" t="str">
        <f t="shared" si="224"/>
        <v/>
      </c>
      <c r="AA932" s="2" t="str">
        <f t="shared" si="211"/>
        <v>(31 downto 24)</v>
      </c>
      <c r="AB932" s="2" t="str">
        <f t="shared" si="212"/>
        <v/>
      </c>
      <c r="AC932" s="2" t="str">
        <f t="shared" si="213"/>
        <v/>
      </c>
      <c r="AD932" s="2" t="str">
        <f t="shared" si="214"/>
        <v/>
      </c>
      <c r="AE932" s="2" t="str">
        <f t="shared" si="215"/>
        <v/>
      </c>
      <c r="AF932" s="2" t="str">
        <f t="shared" si="216"/>
        <v/>
      </c>
      <c r="AG932" s="2" t="str">
        <f t="shared" si="217"/>
        <v/>
      </c>
      <c r="AH932" s="2" t="str">
        <f t="shared" si="218"/>
        <v/>
      </c>
    </row>
    <row r="933" spans="2:34" x14ac:dyDescent="0.25">
      <c r="B933" s="2" t="s">
        <v>1104</v>
      </c>
      <c r="D933" s="2" t="s">
        <v>1</v>
      </c>
      <c r="E933" s="2" t="s">
        <v>134</v>
      </c>
      <c r="F933" s="2" t="s">
        <v>1105</v>
      </c>
      <c r="G933" s="2" t="s">
        <v>1106</v>
      </c>
      <c r="H933" s="2" t="s">
        <v>559</v>
      </c>
      <c r="I933" s="2" t="s">
        <v>42</v>
      </c>
      <c r="J933" s="2">
        <v>1</v>
      </c>
      <c r="K933" s="2" t="s">
        <v>82</v>
      </c>
      <c r="L933" s="2" t="s">
        <v>41</v>
      </c>
      <c r="M933" s="2" t="s">
        <v>135</v>
      </c>
      <c r="N933" s="2" t="s">
        <v>1107</v>
      </c>
      <c r="O933" s="2" t="s">
        <v>561</v>
      </c>
      <c r="P933" s="2" t="s">
        <v>5</v>
      </c>
      <c r="Q933" s="2">
        <f>INDEX(Tables!$C$4:$C$28,MATCH($P933,Tables!$B$4:$B$28,0))</f>
        <v>32</v>
      </c>
      <c r="R933" s="2">
        <f>INDEX(Tables!$D$4:$D$28,MATCH($P933,Tables!$B$4:$B$28,0))</f>
        <v>4</v>
      </c>
      <c r="S933" s="2">
        <f>$S932+$R932+INDEX(Tables!$N$5:$Q$8,MATCH(MOD($S932+$R932,4),Tables!$M$5:$M$8,0),MATCH($R933,Tables!$N$4:$Q$4,0))</f>
        <v>3296</v>
      </c>
      <c r="T933" s="2" t="str">
        <f t="shared" si="219"/>
        <v>0CE0</v>
      </c>
      <c r="U933" s="2">
        <f t="shared" si="210"/>
        <v>824</v>
      </c>
      <c r="V933" s="2" t="str">
        <f t="shared" si="220"/>
        <v>338</v>
      </c>
      <c r="W933" s="2" t="str">
        <f t="shared" si="221"/>
        <v/>
      </c>
      <c r="X933" s="2" t="str">
        <f t="shared" si="222"/>
        <v/>
      </c>
      <c r="Y933" s="2" t="str">
        <f t="shared" si="223"/>
        <v/>
      </c>
      <c r="Z933" s="2" t="str">
        <f t="shared" si="224"/>
        <v>X</v>
      </c>
      <c r="AA933" s="2" t="str">
        <f t="shared" si="211"/>
        <v/>
      </c>
      <c r="AB933" s="2" t="str">
        <f t="shared" si="212"/>
        <v/>
      </c>
      <c r="AC933" s="2" t="str">
        <f t="shared" si="213"/>
        <v/>
      </c>
      <c r="AD933" s="2" t="str">
        <f t="shared" si="214"/>
        <v>(0)</v>
      </c>
      <c r="AE933" s="2" t="str">
        <f t="shared" si="215"/>
        <v/>
      </c>
      <c r="AF933" s="2" t="str">
        <f t="shared" si="216"/>
        <v/>
      </c>
      <c r="AG933" s="2" t="str">
        <f t="shared" si="217"/>
        <v/>
      </c>
      <c r="AH933" s="2" t="str">
        <f t="shared" si="218"/>
        <v/>
      </c>
    </row>
    <row r="934" spans="2:34" x14ac:dyDescent="0.25">
      <c r="B934" s="2" t="s">
        <v>1104</v>
      </c>
      <c r="D934" s="2" t="s">
        <v>1</v>
      </c>
      <c r="E934" s="2" t="s">
        <v>134</v>
      </c>
      <c r="F934" s="2" t="s">
        <v>1105</v>
      </c>
      <c r="G934" s="2" t="s">
        <v>1106</v>
      </c>
      <c r="H934" s="2" t="s">
        <v>562</v>
      </c>
      <c r="I934" s="2" t="s">
        <v>42</v>
      </c>
      <c r="J934" s="2">
        <v>1</v>
      </c>
      <c r="K934" s="2" t="s">
        <v>136</v>
      </c>
      <c r="L934" s="2" t="s">
        <v>41</v>
      </c>
      <c r="M934" s="2" t="s">
        <v>135</v>
      </c>
      <c r="N934" s="2" t="s">
        <v>1107</v>
      </c>
      <c r="O934" s="2" t="s">
        <v>563</v>
      </c>
      <c r="P934" s="2" t="s">
        <v>5</v>
      </c>
      <c r="Q934" s="2">
        <f>INDEX(Tables!$C$4:$C$28,MATCH($P934,Tables!$B$4:$B$28,0))</f>
        <v>32</v>
      </c>
      <c r="R934" s="2">
        <f>INDEX(Tables!$D$4:$D$28,MATCH($P934,Tables!$B$4:$B$28,0))</f>
        <v>4</v>
      </c>
      <c r="S934" s="2">
        <f>$S933+$R933+INDEX(Tables!$N$5:$Q$8,MATCH(MOD($S933+$R933,4),Tables!$M$5:$M$8,0),MATCH($R934,Tables!$N$4:$Q$4,0))</f>
        <v>3300</v>
      </c>
      <c r="T934" s="2" t="str">
        <f t="shared" si="219"/>
        <v>0CE4</v>
      </c>
      <c r="U934" s="2">
        <f t="shared" si="210"/>
        <v>825</v>
      </c>
      <c r="V934" s="2" t="str">
        <f t="shared" si="220"/>
        <v>339</v>
      </c>
      <c r="W934" s="2" t="str">
        <f t="shared" si="221"/>
        <v/>
      </c>
      <c r="X934" s="2" t="str">
        <f t="shared" si="222"/>
        <v/>
      </c>
      <c r="Y934" s="2" t="str">
        <f t="shared" si="223"/>
        <v/>
      </c>
      <c r="Z934" s="2" t="str">
        <f t="shared" si="224"/>
        <v>X</v>
      </c>
      <c r="AA934" s="2" t="str">
        <f t="shared" si="211"/>
        <v/>
      </c>
      <c r="AB934" s="2" t="str">
        <f t="shared" si="212"/>
        <v/>
      </c>
      <c r="AC934" s="2" t="str">
        <f t="shared" si="213"/>
        <v/>
      </c>
      <c r="AD934" s="2" t="str">
        <f t="shared" si="214"/>
        <v>(0)</v>
      </c>
      <c r="AE934" s="2" t="str">
        <f t="shared" si="215"/>
        <v/>
      </c>
      <c r="AF934" s="2" t="str">
        <f t="shared" si="216"/>
        <v/>
      </c>
      <c r="AG934" s="2" t="str">
        <f t="shared" si="217"/>
        <v/>
      </c>
      <c r="AH934" s="2" t="str">
        <f t="shared" si="218"/>
        <v/>
      </c>
    </row>
    <row r="935" spans="2:34" x14ac:dyDescent="0.25">
      <c r="B935" s="2" t="s">
        <v>1104</v>
      </c>
      <c r="D935" s="2" t="s">
        <v>1</v>
      </c>
      <c r="E935" s="2" t="s">
        <v>134</v>
      </c>
      <c r="F935" s="2" t="s">
        <v>1105</v>
      </c>
      <c r="G935" s="2" t="s">
        <v>1106</v>
      </c>
      <c r="H935" s="2" t="s">
        <v>564</v>
      </c>
      <c r="I935" s="2" t="s">
        <v>42</v>
      </c>
      <c r="J935" s="2">
        <v>1</v>
      </c>
      <c r="K935" s="2" t="s">
        <v>82</v>
      </c>
      <c r="L935" s="2" t="s">
        <v>41</v>
      </c>
      <c r="M935" s="2" t="s">
        <v>135</v>
      </c>
      <c r="N935" s="2" t="s">
        <v>1107</v>
      </c>
      <c r="O935" s="2" t="s">
        <v>565</v>
      </c>
      <c r="P935" s="2" t="s">
        <v>5</v>
      </c>
      <c r="Q935" s="2">
        <f>INDEX(Tables!$C$4:$C$28,MATCH($P935,Tables!$B$4:$B$28,0))</f>
        <v>32</v>
      </c>
      <c r="R935" s="2">
        <f>INDEX(Tables!$D$4:$D$28,MATCH($P935,Tables!$B$4:$B$28,0))</f>
        <v>4</v>
      </c>
      <c r="S935" s="2">
        <f>$S934+$R934+INDEX(Tables!$N$5:$Q$8,MATCH(MOD($S934+$R934,4),Tables!$M$5:$M$8,0),MATCH($R935,Tables!$N$4:$Q$4,0))</f>
        <v>3304</v>
      </c>
      <c r="T935" s="2" t="str">
        <f t="shared" si="219"/>
        <v>0CE8</v>
      </c>
      <c r="U935" s="2">
        <f t="shared" si="210"/>
        <v>826</v>
      </c>
      <c r="V935" s="2" t="str">
        <f t="shared" si="220"/>
        <v>33A</v>
      </c>
      <c r="W935" s="2" t="str">
        <f t="shared" si="221"/>
        <v/>
      </c>
      <c r="X935" s="2" t="str">
        <f t="shared" si="222"/>
        <v/>
      </c>
      <c r="Y935" s="2" t="str">
        <f t="shared" si="223"/>
        <v/>
      </c>
      <c r="Z935" s="2" t="str">
        <f t="shared" si="224"/>
        <v>X</v>
      </c>
      <c r="AA935" s="2" t="str">
        <f t="shared" si="211"/>
        <v/>
      </c>
      <c r="AB935" s="2" t="str">
        <f t="shared" si="212"/>
        <v/>
      </c>
      <c r="AC935" s="2" t="str">
        <f t="shared" si="213"/>
        <v/>
      </c>
      <c r="AD935" s="2" t="str">
        <f t="shared" si="214"/>
        <v>(0)</v>
      </c>
      <c r="AE935" s="2" t="str">
        <f t="shared" si="215"/>
        <v/>
      </c>
      <c r="AF935" s="2" t="str">
        <f t="shared" si="216"/>
        <v/>
      </c>
      <c r="AG935" s="2" t="str">
        <f t="shared" si="217"/>
        <v/>
      </c>
      <c r="AH935" s="2" t="str">
        <f t="shared" si="218"/>
        <v/>
      </c>
    </row>
    <row r="936" spans="2:34" x14ac:dyDescent="0.25">
      <c r="B936" s="2" t="s">
        <v>1104</v>
      </c>
      <c r="D936" s="2" t="s">
        <v>1</v>
      </c>
      <c r="E936" s="2" t="s">
        <v>134</v>
      </c>
      <c r="F936" s="2" t="s">
        <v>1105</v>
      </c>
      <c r="G936" s="2" t="s">
        <v>1106</v>
      </c>
      <c r="H936" s="2" t="s">
        <v>566</v>
      </c>
      <c r="I936" s="2" t="s">
        <v>42</v>
      </c>
      <c r="J936" s="2">
        <v>1</v>
      </c>
      <c r="K936" s="2" t="s">
        <v>136</v>
      </c>
      <c r="L936" s="2" t="s">
        <v>41</v>
      </c>
      <c r="M936" s="2" t="s">
        <v>135</v>
      </c>
      <c r="N936" s="2" t="s">
        <v>1107</v>
      </c>
      <c r="O936" s="2" t="s">
        <v>567</v>
      </c>
      <c r="P936" s="2" t="s">
        <v>5</v>
      </c>
      <c r="Q936" s="2">
        <f>INDEX(Tables!$C$4:$C$28,MATCH($P936,Tables!$B$4:$B$28,0))</f>
        <v>32</v>
      </c>
      <c r="R936" s="2">
        <f>INDEX(Tables!$D$4:$D$28,MATCH($P936,Tables!$B$4:$B$28,0))</f>
        <v>4</v>
      </c>
      <c r="S936" s="2">
        <f>$S935+$R935+INDEX(Tables!$N$5:$Q$8,MATCH(MOD($S935+$R935,4),Tables!$M$5:$M$8,0),MATCH($R936,Tables!$N$4:$Q$4,0))</f>
        <v>3308</v>
      </c>
      <c r="T936" s="2" t="str">
        <f t="shared" si="219"/>
        <v>0CEC</v>
      </c>
      <c r="U936" s="2">
        <f t="shared" si="210"/>
        <v>827</v>
      </c>
      <c r="V936" s="2" t="str">
        <f t="shared" si="220"/>
        <v>33B</v>
      </c>
      <c r="W936" s="2" t="str">
        <f t="shared" si="221"/>
        <v/>
      </c>
      <c r="X936" s="2" t="str">
        <f t="shared" si="222"/>
        <v/>
      </c>
      <c r="Y936" s="2" t="str">
        <f t="shared" si="223"/>
        <v/>
      </c>
      <c r="Z936" s="2" t="str">
        <f t="shared" si="224"/>
        <v>X</v>
      </c>
      <c r="AA936" s="2" t="str">
        <f t="shared" si="211"/>
        <v/>
      </c>
      <c r="AB936" s="2" t="str">
        <f t="shared" si="212"/>
        <v/>
      </c>
      <c r="AC936" s="2" t="str">
        <f t="shared" si="213"/>
        <v/>
      </c>
      <c r="AD936" s="2" t="str">
        <f t="shared" si="214"/>
        <v>(0)</v>
      </c>
      <c r="AE936" s="2" t="str">
        <f t="shared" si="215"/>
        <v/>
      </c>
      <c r="AF936" s="2" t="str">
        <f t="shared" si="216"/>
        <v/>
      </c>
      <c r="AG936" s="2" t="str">
        <f t="shared" si="217"/>
        <v/>
      </c>
      <c r="AH936" s="2" t="str">
        <f t="shared" si="218"/>
        <v/>
      </c>
    </row>
    <row r="937" spans="2:34" x14ac:dyDescent="0.25">
      <c r="B937" s="2" t="s">
        <v>1104</v>
      </c>
      <c r="D937" s="2" t="s">
        <v>1</v>
      </c>
      <c r="E937" s="2" t="s">
        <v>134</v>
      </c>
      <c r="F937" s="2" t="s">
        <v>1105</v>
      </c>
      <c r="G937" s="2" t="s">
        <v>1106</v>
      </c>
      <c r="H937" s="2" t="s">
        <v>568</v>
      </c>
      <c r="I937" s="2" t="s">
        <v>42</v>
      </c>
      <c r="J937" s="2">
        <v>1</v>
      </c>
      <c r="K937" s="2" t="s">
        <v>82</v>
      </c>
      <c r="L937" s="2" t="s">
        <v>41</v>
      </c>
      <c r="M937" s="2" t="s">
        <v>135</v>
      </c>
      <c r="N937" s="2" t="s">
        <v>1107</v>
      </c>
      <c r="O937" s="2" t="s">
        <v>569</v>
      </c>
      <c r="P937" s="2" t="s">
        <v>5</v>
      </c>
      <c r="Q937" s="2">
        <f>INDEX(Tables!$C$4:$C$28,MATCH($P937,Tables!$B$4:$B$28,0))</f>
        <v>32</v>
      </c>
      <c r="R937" s="2">
        <f>INDEX(Tables!$D$4:$D$28,MATCH($P937,Tables!$B$4:$B$28,0))</f>
        <v>4</v>
      </c>
      <c r="S937" s="2">
        <f>$S936+$R936+INDEX(Tables!$N$5:$Q$8,MATCH(MOD($S936+$R936,4),Tables!$M$5:$M$8,0),MATCH($R937,Tables!$N$4:$Q$4,0))</f>
        <v>3312</v>
      </c>
      <c r="T937" s="2" t="str">
        <f t="shared" si="219"/>
        <v>0CF0</v>
      </c>
      <c r="U937" s="2">
        <f t="shared" si="210"/>
        <v>828</v>
      </c>
      <c r="V937" s="2" t="str">
        <f t="shared" si="220"/>
        <v>33C</v>
      </c>
      <c r="W937" s="2" t="str">
        <f t="shared" si="221"/>
        <v/>
      </c>
      <c r="X937" s="2" t="str">
        <f t="shared" si="222"/>
        <v/>
      </c>
      <c r="Y937" s="2" t="str">
        <f t="shared" si="223"/>
        <v/>
      </c>
      <c r="Z937" s="2" t="str">
        <f t="shared" si="224"/>
        <v>X</v>
      </c>
      <c r="AA937" s="2" t="str">
        <f t="shared" si="211"/>
        <v/>
      </c>
      <c r="AB937" s="2" t="str">
        <f t="shared" si="212"/>
        <v/>
      </c>
      <c r="AC937" s="2" t="str">
        <f t="shared" si="213"/>
        <v/>
      </c>
      <c r="AD937" s="2" t="str">
        <f t="shared" si="214"/>
        <v>(0)</v>
      </c>
      <c r="AE937" s="2" t="str">
        <f t="shared" si="215"/>
        <v/>
      </c>
      <c r="AF937" s="2" t="str">
        <f t="shared" si="216"/>
        <v/>
      </c>
      <c r="AG937" s="2" t="str">
        <f t="shared" si="217"/>
        <v/>
      </c>
      <c r="AH937" s="2" t="str">
        <f t="shared" si="218"/>
        <v/>
      </c>
    </row>
    <row r="938" spans="2:34" x14ac:dyDescent="0.25">
      <c r="B938" s="2" t="s">
        <v>1104</v>
      </c>
      <c r="D938" s="2" t="s">
        <v>1</v>
      </c>
      <c r="E938" s="2" t="s">
        <v>134</v>
      </c>
      <c r="F938" s="2" t="s">
        <v>1105</v>
      </c>
      <c r="G938" s="2" t="s">
        <v>1106</v>
      </c>
      <c r="H938" s="2" t="s">
        <v>570</v>
      </c>
      <c r="I938" s="2" t="s">
        <v>42</v>
      </c>
      <c r="J938" s="2">
        <v>1</v>
      </c>
      <c r="K938" s="2" t="s">
        <v>136</v>
      </c>
      <c r="L938" s="2" t="s">
        <v>41</v>
      </c>
      <c r="M938" s="2" t="s">
        <v>135</v>
      </c>
      <c r="N938" s="2" t="s">
        <v>1107</v>
      </c>
      <c r="O938" s="2" t="s">
        <v>571</v>
      </c>
      <c r="P938" s="2" t="s">
        <v>5</v>
      </c>
      <c r="Q938" s="2">
        <f>INDEX(Tables!$C$4:$C$28,MATCH($P938,Tables!$B$4:$B$28,0))</f>
        <v>32</v>
      </c>
      <c r="R938" s="2">
        <f>INDEX(Tables!$D$4:$D$28,MATCH($P938,Tables!$B$4:$B$28,0))</f>
        <v>4</v>
      </c>
      <c r="S938" s="2">
        <f>$S937+$R937+INDEX(Tables!$N$5:$Q$8,MATCH(MOD($S937+$R937,4),Tables!$M$5:$M$8,0),MATCH($R938,Tables!$N$4:$Q$4,0))</f>
        <v>3316</v>
      </c>
      <c r="T938" s="2" t="str">
        <f t="shared" si="219"/>
        <v>0CF4</v>
      </c>
      <c r="U938" s="2">
        <f t="shared" ref="U938:U1001" si="225">ROUNDDOWN(S938/4,0)</f>
        <v>829</v>
      </c>
      <c r="V938" s="2" t="str">
        <f t="shared" si="220"/>
        <v>33D</v>
      </c>
      <c r="W938" s="2" t="str">
        <f t="shared" si="221"/>
        <v/>
      </c>
      <c r="X938" s="2" t="str">
        <f t="shared" si="222"/>
        <v/>
      </c>
      <c r="Y938" s="2" t="str">
        <f t="shared" si="223"/>
        <v/>
      </c>
      <c r="Z938" s="2" t="str">
        <f t="shared" si="224"/>
        <v>X</v>
      </c>
      <c r="AA938" s="2" t="str">
        <f t="shared" ref="AA938:AA1001" si="226">IF(W938="","",CONCATENATE("(",IF(($J938-COUNTIF($X938:$Z938,"X")*8)=1,"24)",CONCATENATE(IF(($J938-COUNTIF($X938:$Z938,"X")*8)&gt;=8,32,($J938-COUNTIF($X938:$Z938,"X")*8)+24)-1," downto 24)"))))</f>
        <v/>
      </c>
      <c r="AB938" s="2" t="str">
        <f t="shared" ref="AB938:AB1001" si="227">IF(X938="","",CONCATENATE("(",IF(($J938-COUNTIF($Y938:$Z938,"X")*8)=1,"16)",CONCATENATE(IF(($J938-COUNTIF($Y938:$Z938,"X")*8)&gt;=8,24,($J938-COUNTIF($Y938:$Z938,"X")*8)+16)-1," downto 16)"))))</f>
        <v/>
      </c>
      <c r="AC938" s="2" t="str">
        <f t="shared" ref="AC938:AC1001" si="228">IF(Y938="","",CONCATENATE("(",IF(($J938-COUNTIF($Z938,"X")*8)=1,"8)",CONCATENATE(IF(($J938-COUNTIF($Z938,"X")*8)&gt;=8,16,($J938-COUNTIF($Z938,"X")*8)+8)-1," downto 8)"))))</f>
        <v/>
      </c>
      <c r="AD938" s="2" t="str">
        <f t="shared" ref="AD938:AD1001" si="229">IF(Z938="","",CONCATENATE("(",IF($J938=1,"0)",CONCATENATE(IF($J938&gt;=8,8,$J938)-1," downto 0)"))))</f>
        <v>(0)</v>
      </c>
      <c r="AE938" s="2" t="str">
        <f t="shared" ref="AE938:AE1001" si="230">IF(W938="","",IF($J938&lt;=8,"",IF(($J938-COUNTIF($X938:$Z938,"X")*8)=1,CONCATENATE("(",($J938-1),")"),CONCATENATE("(",IF(($J938-COUNTIF($X938:$Z938,"X")*8)&gt;=8,COUNTIF($X938:$Z938,"X")*8+7,$J938-COUNTIF($X938:$Z938,"X")*8-1+COUNTIF($X938:$Z938,"X")*8)," downto ",COUNTIF($X938:$Z938,"X")*8,")"))))</f>
        <v/>
      </c>
      <c r="AF938" s="2" t="str">
        <f t="shared" ref="AF938:AF1001" si="231">IF(X938="","",IF($J938&lt;=8,"",IF(($J938-COUNTIF($Y938:$Z938,"X")*8)=1,CONCATENATE("(",($J938-1),")"),CONCATENATE("(",IF(($J938-COUNTIF($Y938:$Z938,"X")*8)&gt;=8,COUNTIF($Y938:$Z938,"X")*8+7,$J938-COUNTIF($Y938:$Z938,"X")*8-1+COUNTIF($Y938:$Z938,"X")*8)," downto ",COUNTIF($Y938:$Z938,"X")*8,")"))))</f>
        <v/>
      </c>
      <c r="AG938" s="2" t="str">
        <f t="shared" ref="AG938:AG1001" si="232">IF(Y938="","",IF($J938&lt;=8,"",IF(($J938-COUNTIF($Z938,"X")*8)=1,CONCATENATE("(",($J938-1),")"),CONCATENATE("(",IF(($J938-COUNTIF($Z938,"X")*8)&gt;=8,COUNTIF($Z938,"X")*8+7,$J938-COUNTIF($Z938,"X")*8-1+COUNTIF($Z938,"X")*8)," downto ",COUNTIF($Z938,"X")*8,")"))))</f>
        <v/>
      </c>
      <c r="AH938" s="2" t="str">
        <f t="shared" ref="AH938:AH1001" si="233">IF(Z938="","",IF($J938&lt;=8,"",CONCATENATE("(",IF($J938&gt;=8,7,$J938-1)," downto ",0,")")))</f>
        <v/>
      </c>
    </row>
    <row r="939" spans="2:34" x14ac:dyDescent="0.25">
      <c r="B939" s="2" t="s">
        <v>1104</v>
      </c>
      <c r="D939" s="2" t="s">
        <v>1</v>
      </c>
      <c r="E939" s="2" t="s">
        <v>134</v>
      </c>
      <c r="F939" s="2" t="s">
        <v>1105</v>
      </c>
      <c r="G939" s="2" t="s">
        <v>1106</v>
      </c>
      <c r="H939" s="2" t="s">
        <v>572</v>
      </c>
      <c r="I939" s="2" t="s">
        <v>42</v>
      </c>
      <c r="J939" s="2">
        <v>1</v>
      </c>
      <c r="K939" s="2" t="s">
        <v>136</v>
      </c>
      <c r="L939" s="2" t="s">
        <v>41</v>
      </c>
      <c r="M939" s="2" t="s">
        <v>135</v>
      </c>
      <c r="N939" s="2" t="s">
        <v>1107</v>
      </c>
      <c r="O939" s="2" t="s">
        <v>573</v>
      </c>
      <c r="P939" s="2" t="s">
        <v>5</v>
      </c>
      <c r="Q939" s="2">
        <f>INDEX(Tables!$C$4:$C$28,MATCH($P939,Tables!$B$4:$B$28,0))</f>
        <v>32</v>
      </c>
      <c r="R939" s="2">
        <f>INDEX(Tables!$D$4:$D$28,MATCH($P939,Tables!$B$4:$B$28,0))</f>
        <v>4</v>
      </c>
      <c r="S939" s="2">
        <f>$S938+$R938+INDEX(Tables!$N$5:$Q$8,MATCH(MOD($S938+$R938,4),Tables!$M$5:$M$8,0),MATCH($R939,Tables!$N$4:$Q$4,0))</f>
        <v>3320</v>
      </c>
      <c r="T939" s="2" t="str">
        <f t="shared" si="219"/>
        <v>0CF8</v>
      </c>
      <c r="U939" s="2">
        <f t="shared" si="225"/>
        <v>830</v>
      </c>
      <c r="V939" s="2" t="str">
        <f t="shared" si="220"/>
        <v>33E</v>
      </c>
      <c r="W939" s="2" t="str">
        <f t="shared" si="221"/>
        <v/>
      </c>
      <c r="X939" s="2" t="str">
        <f t="shared" si="222"/>
        <v/>
      </c>
      <c r="Y939" s="2" t="str">
        <f t="shared" si="223"/>
        <v/>
      </c>
      <c r="Z939" s="2" t="str">
        <f t="shared" si="224"/>
        <v>X</v>
      </c>
      <c r="AA939" s="2" t="str">
        <f t="shared" si="226"/>
        <v/>
      </c>
      <c r="AB939" s="2" t="str">
        <f t="shared" si="227"/>
        <v/>
      </c>
      <c r="AC939" s="2" t="str">
        <f t="shared" si="228"/>
        <v/>
      </c>
      <c r="AD939" s="2" t="str">
        <f t="shared" si="229"/>
        <v>(0)</v>
      </c>
      <c r="AE939" s="2" t="str">
        <f t="shared" si="230"/>
        <v/>
      </c>
      <c r="AF939" s="2" t="str">
        <f t="shared" si="231"/>
        <v/>
      </c>
      <c r="AG939" s="2" t="str">
        <f t="shared" si="232"/>
        <v/>
      </c>
      <c r="AH939" s="2" t="str">
        <f t="shared" si="233"/>
        <v/>
      </c>
    </row>
    <row r="940" spans="2:34" x14ac:dyDescent="0.25">
      <c r="B940" s="2" t="s">
        <v>1104</v>
      </c>
      <c r="D940" s="2" t="s">
        <v>1</v>
      </c>
      <c r="E940" s="2" t="s">
        <v>134</v>
      </c>
      <c r="F940" s="2" t="s">
        <v>1105</v>
      </c>
      <c r="G940" s="2" t="s">
        <v>1106</v>
      </c>
      <c r="H940" s="2" t="s">
        <v>574</v>
      </c>
      <c r="I940" s="2" t="s">
        <v>42</v>
      </c>
      <c r="J940" s="2">
        <v>1</v>
      </c>
      <c r="K940" s="2" t="s">
        <v>136</v>
      </c>
      <c r="L940" s="2" t="s">
        <v>41</v>
      </c>
      <c r="M940" s="2" t="s">
        <v>135</v>
      </c>
      <c r="N940" s="2" t="s">
        <v>1107</v>
      </c>
      <c r="O940" s="2" t="s">
        <v>575</v>
      </c>
      <c r="P940" s="2" t="s">
        <v>5</v>
      </c>
      <c r="Q940" s="2">
        <f>INDEX(Tables!$C$4:$C$28,MATCH($P940,Tables!$B$4:$B$28,0))</f>
        <v>32</v>
      </c>
      <c r="R940" s="2">
        <f>INDEX(Tables!$D$4:$D$28,MATCH($P940,Tables!$B$4:$B$28,0))</f>
        <v>4</v>
      </c>
      <c r="S940" s="2">
        <f>$S939+$R939+INDEX(Tables!$N$5:$Q$8,MATCH(MOD($S939+$R939,4),Tables!$M$5:$M$8,0),MATCH($R940,Tables!$N$4:$Q$4,0))</f>
        <v>3324</v>
      </c>
      <c r="T940" s="2" t="str">
        <f t="shared" si="219"/>
        <v>0CFC</v>
      </c>
      <c r="U940" s="2">
        <f t="shared" si="225"/>
        <v>831</v>
      </c>
      <c r="V940" s="2" t="str">
        <f t="shared" si="220"/>
        <v>33F</v>
      </c>
      <c r="W940" s="2" t="str">
        <f t="shared" si="221"/>
        <v/>
      </c>
      <c r="X940" s="2" t="str">
        <f t="shared" si="222"/>
        <v/>
      </c>
      <c r="Y940" s="2" t="str">
        <f t="shared" si="223"/>
        <v/>
      </c>
      <c r="Z940" s="2" t="str">
        <f t="shared" si="224"/>
        <v>X</v>
      </c>
      <c r="AA940" s="2" t="str">
        <f t="shared" si="226"/>
        <v/>
      </c>
      <c r="AB940" s="2" t="str">
        <f t="shared" si="227"/>
        <v/>
      </c>
      <c r="AC940" s="2" t="str">
        <f t="shared" si="228"/>
        <v/>
      </c>
      <c r="AD940" s="2" t="str">
        <f t="shared" si="229"/>
        <v>(0)</v>
      </c>
      <c r="AE940" s="2" t="str">
        <f t="shared" si="230"/>
        <v/>
      </c>
      <c r="AF940" s="2" t="str">
        <f t="shared" si="231"/>
        <v/>
      </c>
      <c r="AG940" s="2" t="str">
        <f t="shared" si="232"/>
        <v/>
      </c>
      <c r="AH940" s="2" t="str">
        <f t="shared" si="233"/>
        <v/>
      </c>
    </row>
    <row r="941" spans="2:34" x14ac:dyDescent="0.25">
      <c r="B941" s="2" t="s">
        <v>1104</v>
      </c>
      <c r="D941" s="2" t="s">
        <v>1</v>
      </c>
      <c r="E941" s="2" t="s">
        <v>134</v>
      </c>
      <c r="F941" s="2" t="s">
        <v>1105</v>
      </c>
      <c r="G941" s="2" t="s">
        <v>1106</v>
      </c>
      <c r="H941" s="2" t="s">
        <v>576</v>
      </c>
      <c r="I941" s="2" t="s">
        <v>42</v>
      </c>
      <c r="J941" s="2">
        <v>1</v>
      </c>
      <c r="K941" s="2" t="s">
        <v>82</v>
      </c>
      <c r="L941" s="2" t="s">
        <v>41</v>
      </c>
      <c r="M941" s="2" t="s">
        <v>135</v>
      </c>
      <c r="N941" s="2" t="s">
        <v>1107</v>
      </c>
      <c r="O941" s="2" t="s">
        <v>577</v>
      </c>
      <c r="P941" s="2" t="s">
        <v>5</v>
      </c>
      <c r="Q941" s="2">
        <f>INDEX(Tables!$C$4:$C$28,MATCH($P941,Tables!$B$4:$B$28,0))</f>
        <v>32</v>
      </c>
      <c r="R941" s="2">
        <f>INDEX(Tables!$D$4:$D$28,MATCH($P941,Tables!$B$4:$B$28,0))</f>
        <v>4</v>
      </c>
      <c r="S941" s="2">
        <f>$S940+$R940+INDEX(Tables!$N$5:$Q$8,MATCH(MOD($S940+$R940,4),Tables!$M$5:$M$8,0),MATCH($R941,Tables!$N$4:$Q$4,0))</f>
        <v>3328</v>
      </c>
      <c r="T941" s="2" t="str">
        <f t="shared" si="219"/>
        <v>0D00</v>
      </c>
      <c r="U941" s="2">
        <f t="shared" si="225"/>
        <v>832</v>
      </c>
      <c r="V941" s="2" t="str">
        <f t="shared" si="220"/>
        <v>340</v>
      </c>
      <c r="W941" s="2" t="str">
        <f t="shared" si="221"/>
        <v/>
      </c>
      <c r="X941" s="2" t="str">
        <f t="shared" si="222"/>
        <v/>
      </c>
      <c r="Y941" s="2" t="str">
        <f t="shared" si="223"/>
        <v/>
      </c>
      <c r="Z941" s="2" t="str">
        <f t="shared" si="224"/>
        <v>X</v>
      </c>
      <c r="AA941" s="2" t="str">
        <f t="shared" si="226"/>
        <v/>
      </c>
      <c r="AB941" s="2" t="str">
        <f t="shared" si="227"/>
        <v/>
      </c>
      <c r="AC941" s="2" t="str">
        <f t="shared" si="228"/>
        <v/>
      </c>
      <c r="AD941" s="2" t="str">
        <f t="shared" si="229"/>
        <v>(0)</v>
      </c>
      <c r="AE941" s="2" t="str">
        <f t="shared" si="230"/>
        <v/>
      </c>
      <c r="AF941" s="2" t="str">
        <f t="shared" si="231"/>
        <v/>
      </c>
      <c r="AG941" s="2" t="str">
        <f t="shared" si="232"/>
        <v/>
      </c>
      <c r="AH941" s="2" t="str">
        <f t="shared" si="233"/>
        <v/>
      </c>
    </row>
    <row r="942" spans="2:34" x14ac:dyDescent="0.25">
      <c r="B942" s="2" t="s">
        <v>1104</v>
      </c>
      <c r="D942" s="2" t="s">
        <v>1</v>
      </c>
      <c r="E942" s="2" t="s">
        <v>134</v>
      </c>
      <c r="F942" s="2" t="s">
        <v>1105</v>
      </c>
      <c r="G942" s="2" t="s">
        <v>1106</v>
      </c>
      <c r="H942" s="2" t="s">
        <v>578</v>
      </c>
      <c r="I942" s="2" t="s">
        <v>42</v>
      </c>
      <c r="J942" s="2">
        <v>1</v>
      </c>
      <c r="K942" s="2" t="s">
        <v>82</v>
      </c>
      <c r="L942" s="2" t="s">
        <v>41</v>
      </c>
      <c r="M942" s="2" t="s">
        <v>135</v>
      </c>
      <c r="N942" s="2" t="s">
        <v>1107</v>
      </c>
      <c r="O942" s="2" t="s">
        <v>579</v>
      </c>
      <c r="P942" s="2" t="s">
        <v>5</v>
      </c>
      <c r="Q942" s="2">
        <f>INDEX(Tables!$C$4:$C$28,MATCH($P942,Tables!$B$4:$B$28,0))</f>
        <v>32</v>
      </c>
      <c r="R942" s="2">
        <f>INDEX(Tables!$D$4:$D$28,MATCH($P942,Tables!$B$4:$B$28,0))</f>
        <v>4</v>
      </c>
      <c r="S942" s="2">
        <f>$S941+$R941+INDEX(Tables!$N$5:$Q$8,MATCH(MOD($S941+$R941,4),Tables!$M$5:$M$8,0),MATCH($R942,Tables!$N$4:$Q$4,0))</f>
        <v>3332</v>
      </c>
      <c r="T942" s="2" t="str">
        <f t="shared" si="219"/>
        <v>0D04</v>
      </c>
      <c r="U942" s="2">
        <f t="shared" si="225"/>
        <v>833</v>
      </c>
      <c r="V942" s="2" t="str">
        <f t="shared" si="220"/>
        <v>341</v>
      </c>
      <c r="W942" s="2" t="str">
        <f t="shared" si="221"/>
        <v/>
      </c>
      <c r="X942" s="2" t="str">
        <f t="shared" si="222"/>
        <v/>
      </c>
      <c r="Y942" s="2" t="str">
        <f t="shared" si="223"/>
        <v/>
      </c>
      <c r="Z942" s="2" t="str">
        <f t="shared" si="224"/>
        <v>X</v>
      </c>
      <c r="AA942" s="2" t="str">
        <f t="shared" si="226"/>
        <v/>
      </c>
      <c r="AB942" s="2" t="str">
        <f t="shared" si="227"/>
        <v/>
      </c>
      <c r="AC942" s="2" t="str">
        <f t="shared" si="228"/>
        <v/>
      </c>
      <c r="AD942" s="2" t="str">
        <f t="shared" si="229"/>
        <v>(0)</v>
      </c>
      <c r="AE942" s="2" t="str">
        <f t="shared" si="230"/>
        <v/>
      </c>
      <c r="AF942" s="2" t="str">
        <f t="shared" si="231"/>
        <v/>
      </c>
      <c r="AG942" s="2" t="str">
        <f t="shared" si="232"/>
        <v/>
      </c>
      <c r="AH942" s="2" t="str">
        <f t="shared" si="233"/>
        <v/>
      </c>
    </row>
    <row r="943" spans="2:34" x14ac:dyDescent="0.25">
      <c r="B943" s="2" t="s">
        <v>1104</v>
      </c>
      <c r="D943" s="2" t="s">
        <v>1</v>
      </c>
      <c r="E943" s="2" t="s">
        <v>134</v>
      </c>
      <c r="F943" s="2" t="s">
        <v>1105</v>
      </c>
      <c r="G943" s="2" t="s">
        <v>1106</v>
      </c>
      <c r="H943" s="2" t="s">
        <v>580</v>
      </c>
      <c r="I943" s="2" t="s">
        <v>42</v>
      </c>
      <c r="J943" s="2">
        <v>1</v>
      </c>
      <c r="K943" s="2" t="s">
        <v>82</v>
      </c>
      <c r="L943" s="2" t="s">
        <v>41</v>
      </c>
      <c r="M943" s="2" t="s">
        <v>135</v>
      </c>
      <c r="N943" s="2" t="s">
        <v>1107</v>
      </c>
      <c r="O943" s="2" t="s">
        <v>581</v>
      </c>
      <c r="P943" s="2" t="s">
        <v>5</v>
      </c>
      <c r="Q943" s="2">
        <f>INDEX(Tables!$C$4:$C$28,MATCH($P943,Tables!$B$4:$B$28,0))</f>
        <v>32</v>
      </c>
      <c r="R943" s="2">
        <f>INDEX(Tables!$D$4:$D$28,MATCH($P943,Tables!$B$4:$B$28,0))</f>
        <v>4</v>
      </c>
      <c r="S943" s="2">
        <f>$S942+$R942+INDEX(Tables!$N$5:$Q$8,MATCH(MOD($S942+$R942,4),Tables!$M$5:$M$8,0),MATCH($R943,Tables!$N$4:$Q$4,0))</f>
        <v>3336</v>
      </c>
      <c r="T943" s="2" t="str">
        <f t="shared" si="219"/>
        <v>0D08</v>
      </c>
      <c r="U943" s="2">
        <f t="shared" si="225"/>
        <v>834</v>
      </c>
      <c r="V943" s="2" t="str">
        <f t="shared" si="220"/>
        <v>342</v>
      </c>
      <c r="W943" s="2" t="str">
        <f t="shared" si="221"/>
        <v/>
      </c>
      <c r="X943" s="2" t="str">
        <f t="shared" si="222"/>
        <v/>
      </c>
      <c r="Y943" s="2" t="str">
        <f t="shared" si="223"/>
        <v/>
      </c>
      <c r="Z943" s="2" t="str">
        <f t="shared" si="224"/>
        <v>X</v>
      </c>
      <c r="AA943" s="2" t="str">
        <f t="shared" si="226"/>
        <v/>
      </c>
      <c r="AB943" s="2" t="str">
        <f t="shared" si="227"/>
        <v/>
      </c>
      <c r="AC943" s="2" t="str">
        <f t="shared" si="228"/>
        <v/>
      </c>
      <c r="AD943" s="2" t="str">
        <f t="shared" si="229"/>
        <v>(0)</v>
      </c>
      <c r="AE943" s="2" t="str">
        <f t="shared" si="230"/>
        <v/>
      </c>
      <c r="AF943" s="2" t="str">
        <f t="shared" si="231"/>
        <v/>
      </c>
      <c r="AG943" s="2" t="str">
        <f t="shared" si="232"/>
        <v/>
      </c>
      <c r="AH943" s="2" t="str">
        <f t="shared" si="233"/>
        <v/>
      </c>
    </row>
    <row r="944" spans="2:34" x14ac:dyDescent="0.25">
      <c r="B944" s="2" t="s">
        <v>1104</v>
      </c>
      <c r="D944" s="2" t="s">
        <v>1</v>
      </c>
      <c r="E944" s="2" t="s">
        <v>134</v>
      </c>
      <c r="F944" s="2" t="s">
        <v>1105</v>
      </c>
      <c r="G944" s="2" t="s">
        <v>1106</v>
      </c>
      <c r="H944" s="2" t="s">
        <v>582</v>
      </c>
      <c r="I944" s="2" t="s">
        <v>42</v>
      </c>
      <c r="J944" s="2">
        <v>1</v>
      </c>
      <c r="K944" s="2" t="s">
        <v>82</v>
      </c>
      <c r="L944" s="2" t="s">
        <v>41</v>
      </c>
      <c r="M944" s="2" t="s">
        <v>135</v>
      </c>
      <c r="N944" s="2" t="s">
        <v>1107</v>
      </c>
      <c r="O944" s="2" t="s">
        <v>583</v>
      </c>
      <c r="P944" s="2" t="s">
        <v>5</v>
      </c>
      <c r="Q944" s="2">
        <f>INDEX(Tables!$C$4:$C$28,MATCH($P944,Tables!$B$4:$B$28,0))</f>
        <v>32</v>
      </c>
      <c r="R944" s="2">
        <f>INDEX(Tables!$D$4:$D$28,MATCH($P944,Tables!$B$4:$B$28,0))</f>
        <v>4</v>
      </c>
      <c r="S944" s="2">
        <f>$S943+$R943+INDEX(Tables!$N$5:$Q$8,MATCH(MOD($S943+$R943,4),Tables!$M$5:$M$8,0),MATCH($R944,Tables!$N$4:$Q$4,0))</f>
        <v>3340</v>
      </c>
      <c r="T944" s="2" t="str">
        <f t="shared" si="219"/>
        <v>0D0C</v>
      </c>
      <c r="U944" s="2">
        <f t="shared" si="225"/>
        <v>835</v>
      </c>
      <c r="V944" s="2" t="str">
        <f t="shared" si="220"/>
        <v>343</v>
      </c>
      <c r="W944" s="2" t="str">
        <f t="shared" si="221"/>
        <v/>
      </c>
      <c r="X944" s="2" t="str">
        <f t="shared" si="222"/>
        <v/>
      </c>
      <c r="Y944" s="2" t="str">
        <f t="shared" si="223"/>
        <v/>
      </c>
      <c r="Z944" s="2" t="str">
        <f t="shared" si="224"/>
        <v>X</v>
      </c>
      <c r="AA944" s="2" t="str">
        <f t="shared" si="226"/>
        <v/>
      </c>
      <c r="AB944" s="2" t="str">
        <f t="shared" si="227"/>
        <v/>
      </c>
      <c r="AC944" s="2" t="str">
        <f t="shared" si="228"/>
        <v/>
      </c>
      <c r="AD944" s="2" t="str">
        <f t="shared" si="229"/>
        <v>(0)</v>
      </c>
      <c r="AE944" s="2" t="str">
        <f t="shared" si="230"/>
        <v/>
      </c>
      <c r="AF944" s="2" t="str">
        <f t="shared" si="231"/>
        <v/>
      </c>
      <c r="AG944" s="2" t="str">
        <f t="shared" si="232"/>
        <v/>
      </c>
      <c r="AH944" s="2" t="str">
        <f t="shared" si="233"/>
        <v/>
      </c>
    </row>
    <row r="945" spans="2:34" x14ac:dyDescent="0.25">
      <c r="B945" s="2" t="s">
        <v>1104</v>
      </c>
      <c r="D945" s="2" t="s">
        <v>1</v>
      </c>
      <c r="E945" s="2" t="s">
        <v>134</v>
      </c>
      <c r="F945" s="2" t="s">
        <v>1105</v>
      </c>
      <c r="G945" s="2" t="s">
        <v>1106</v>
      </c>
      <c r="H945" s="2" t="s">
        <v>584</v>
      </c>
      <c r="I945" s="2" t="s">
        <v>42</v>
      </c>
      <c r="J945" s="2">
        <v>1</v>
      </c>
      <c r="K945" s="2" t="s">
        <v>82</v>
      </c>
      <c r="L945" s="2" t="s">
        <v>41</v>
      </c>
      <c r="M945" s="2" t="s">
        <v>135</v>
      </c>
      <c r="N945" s="2" t="s">
        <v>1107</v>
      </c>
      <c r="O945" s="2" t="s">
        <v>585</v>
      </c>
      <c r="P945" s="2" t="s">
        <v>5</v>
      </c>
      <c r="Q945" s="2">
        <f>INDEX(Tables!$C$4:$C$28,MATCH($P945,Tables!$B$4:$B$28,0))</f>
        <v>32</v>
      </c>
      <c r="R945" s="2">
        <f>INDEX(Tables!$D$4:$D$28,MATCH($P945,Tables!$B$4:$B$28,0))</f>
        <v>4</v>
      </c>
      <c r="S945" s="2">
        <f>$S944+$R944+INDEX(Tables!$N$5:$Q$8,MATCH(MOD($S944+$R944,4),Tables!$M$5:$M$8,0),MATCH($R945,Tables!$N$4:$Q$4,0))</f>
        <v>3344</v>
      </c>
      <c r="T945" s="2" t="str">
        <f t="shared" si="219"/>
        <v>0D10</v>
      </c>
      <c r="U945" s="2">
        <f t="shared" si="225"/>
        <v>836</v>
      </c>
      <c r="V945" s="2" t="str">
        <f t="shared" si="220"/>
        <v>344</v>
      </c>
      <c r="W945" s="2" t="str">
        <f t="shared" si="221"/>
        <v/>
      </c>
      <c r="X945" s="2" t="str">
        <f t="shared" si="222"/>
        <v/>
      </c>
      <c r="Y945" s="2" t="str">
        <f t="shared" si="223"/>
        <v/>
      </c>
      <c r="Z945" s="2" t="str">
        <f t="shared" si="224"/>
        <v>X</v>
      </c>
      <c r="AA945" s="2" t="str">
        <f t="shared" si="226"/>
        <v/>
      </c>
      <c r="AB945" s="2" t="str">
        <f t="shared" si="227"/>
        <v/>
      </c>
      <c r="AC945" s="2" t="str">
        <f t="shared" si="228"/>
        <v/>
      </c>
      <c r="AD945" s="2" t="str">
        <f t="shared" si="229"/>
        <v>(0)</v>
      </c>
      <c r="AE945" s="2" t="str">
        <f t="shared" si="230"/>
        <v/>
      </c>
      <c r="AF945" s="2" t="str">
        <f t="shared" si="231"/>
        <v/>
      </c>
      <c r="AG945" s="2" t="str">
        <f t="shared" si="232"/>
        <v/>
      </c>
      <c r="AH945" s="2" t="str">
        <f t="shared" si="233"/>
        <v/>
      </c>
    </row>
    <row r="946" spans="2:34" x14ac:dyDescent="0.25">
      <c r="B946" s="2" t="s">
        <v>1104</v>
      </c>
      <c r="D946" s="2" t="s">
        <v>1</v>
      </c>
      <c r="E946" s="2" t="s">
        <v>134</v>
      </c>
      <c r="F946" s="2" t="s">
        <v>1105</v>
      </c>
      <c r="G946" s="2" t="s">
        <v>1106</v>
      </c>
      <c r="H946" s="2" t="s">
        <v>586</v>
      </c>
      <c r="I946" s="2" t="s">
        <v>42</v>
      </c>
      <c r="J946" s="2">
        <v>1</v>
      </c>
      <c r="K946" s="2" t="s">
        <v>82</v>
      </c>
      <c r="L946" s="2" t="s">
        <v>41</v>
      </c>
      <c r="M946" s="2" t="s">
        <v>135</v>
      </c>
      <c r="N946" s="2" t="s">
        <v>1107</v>
      </c>
      <c r="O946" s="2" t="s">
        <v>587</v>
      </c>
      <c r="P946" s="2" t="s">
        <v>5</v>
      </c>
      <c r="Q946" s="2">
        <f>INDEX(Tables!$C$4:$C$28,MATCH($P946,Tables!$B$4:$B$28,0))</f>
        <v>32</v>
      </c>
      <c r="R946" s="2">
        <f>INDEX(Tables!$D$4:$D$28,MATCH($P946,Tables!$B$4:$B$28,0))</f>
        <v>4</v>
      </c>
      <c r="S946" s="2">
        <f>$S945+$R945+INDEX(Tables!$N$5:$Q$8,MATCH(MOD($S945+$R945,4),Tables!$M$5:$M$8,0),MATCH($R946,Tables!$N$4:$Q$4,0))</f>
        <v>3348</v>
      </c>
      <c r="T946" s="2" t="str">
        <f t="shared" si="219"/>
        <v>0D14</v>
      </c>
      <c r="U946" s="2">
        <f t="shared" si="225"/>
        <v>837</v>
      </c>
      <c r="V946" s="2" t="str">
        <f t="shared" si="220"/>
        <v>345</v>
      </c>
      <c r="W946" s="2" t="str">
        <f t="shared" si="221"/>
        <v/>
      </c>
      <c r="X946" s="2" t="str">
        <f t="shared" si="222"/>
        <v/>
      </c>
      <c r="Y946" s="2" t="str">
        <f t="shared" si="223"/>
        <v/>
      </c>
      <c r="Z946" s="2" t="str">
        <f t="shared" si="224"/>
        <v>X</v>
      </c>
      <c r="AA946" s="2" t="str">
        <f t="shared" si="226"/>
        <v/>
      </c>
      <c r="AB946" s="2" t="str">
        <f t="shared" si="227"/>
        <v/>
      </c>
      <c r="AC946" s="2" t="str">
        <f t="shared" si="228"/>
        <v/>
      </c>
      <c r="AD946" s="2" t="str">
        <f t="shared" si="229"/>
        <v>(0)</v>
      </c>
      <c r="AE946" s="2" t="str">
        <f t="shared" si="230"/>
        <v/>
      </c>
      <c r="AF946" s="2" t="str">
        <f t="shared" si="231"/>
        <v/>
      </c>
      <c r="AG946" s="2" t="str">
        <f t="shared" si="232"/>
        <v/>
      </c>
      <c r="AH946" s="2" t="str">
        <f t="shared" si="233"/>
        <v/>
      </c>
    </row>
    <row r="947" spans="2:34" x14ac:dyDescent="0.25">
      <c r="B947" s="2" t="s">
        <v>1104</v>
      </c>
      <c r="D947" s="2" t="s">
        <v>1</v>
      </c>
      <c r="E947" s="2" t="s">
        <v>134</v>
      </c>
      <c r="F947" s="2" t="s">
        <v>1105</v>
      </c>
      <c r="G947" s="2" t="s">
        <v>1106</v>
      </c>
      <c r="H947" s="2" t="s">
        <v>588</v>
      </c>
      <c r="I947" s="2" t="s">
        <v>42</v>
      </c>
      <c r="J947" s="2">
        <v>1</v>
      </c>
      <c r="K947" s="2" t="s">
        <v>82</v>
      </c>
      <c r="L947" s="2" t="s">
        <v>41</v>
      </c>
      <c r="M947" s="2" t="s">
        <v>135</v>
      </c>
      <c r="N947" s="2" t="s">
        <v>1107</v>
      </c>
      <c r="O947" s="2" t="s">
        <v>589</v>
      </c>
      <c r="P947" s="2" t="s">
        <v>5</v>
      </c>
      <c r="Q947" s="2">
        <f>INDEX(Tables!$C$4:$C$28,MATCH($P947,Tables!$B$4:$B$28,0))</f>
        <v>32</v>
      </c>
      <c r="R947" s="2">
        <f>INDEX(Tables!$D$4:$D$28,MATCH($P947,Tables!$B$4:$B$28,0))</f>
        <v>4</v>
      </c>
      <c r="S947" s="2">
        <f>$S946+$R946+INDEX(Tables!$N$5:$Q$8,MATCH(MOD($S946+$R946,4),Tables!$M$5:$M$8,0),MATCH($R947,Tables!$N$4:$Q$4,0))</f>
        <v>3352</v>
      </c>
      <c r="T947" s="2" t="str">
        <f t="shared" si="219"/>
        <v>0D18</v>
      </c>
      <c r="U947" s="2">
        <f t="shared" si="225"/>
        <v>838</v>
      </c>
      <c r="V947" s="2" t="str">
        <f t="shared" si="220"/>
        <v>346</v>
      </c>
      <c r="W947" s="2" t="str">
        <f t="shared" si="221"/>
        <v/>
      </c>
      <c r="X947" s="2" t="str">
        <f t="shared" si="222"/>
        <v/>
      </c>
      <c r="Y947" s="2" t="str">
        <f t="shared" si="223"/>
        <v/>
      </c>
      <c r="Z947" s="2" t="str">
        <f t="shared" si="224"/>
        <v>X</v>
      </c>
      <c r="AA947" s="2" t="str">
        <f t="shared" si="226"/>
        <v/>
      </c>
      <c r="AB947" s="2" t="str">
        <f t="shared" si="227"/>
        <v/>
      </c>
      <c r="AC947" s="2" t="str">
        <f t="shared" si="228"/>
        <v/>
      </c>
      <c r="AD947" s="2" t="str">
        <f t="shared" si="229"/>
        <v>(0)</v>
      </c>
      <c r="AE947" s="2" t="str">
        <f t="shared" si="230"/>
        <v/>
      </c>
      <c r="AF947" s="2" t="str">
        <f t="shared" si="231"/>
        <v/>
      </c>
      <c r="AG947" s="2" t="str">
        <f t="shared" si="232"/>
        <v/>
      </c>
      <c r="AH947" s="2" t="str">
        <f t="shared" si="233"/>
        <v/>
      </c>
    </row>
    <row r="948" spans="2:34" x14ac:dyDescent="0.25">
      <c r="B948" s="2" t="s">
        <v>1104</v>
      </c>
      <c r="D948" s="2" t="s">
        <v>1</v>
      </c>
      <c r="E948" s="2" t="s">
        <v>134</v>
      </c>
      <c r="F948" s="2" t="s">
        <v>1105</v>
      </c>
      <c r="G948" s="2" t="s">
        <v>1106</v>
      </c>
      <c r="H948" s="2" t="s">
        <v>590</v>
      </c>
      <c r="I948" s="2" t="s">
        <v>42</v>
      </c>
      <c r="J948" s="2">
        <v>1</v>
      </c>
      <c r="K948" s="2" t="s">
        <v>82</v>
      </c>
      <c r="L948" s="2" t="s">
        <v>41</v>
      </c>
      <c r="M948" s="2" t="s">
        <v>135</v>
      </c>
      <c r="N948" s="2" t="s">
        <v>1107</v>
      </c>
      <c r="O948" s="2" t="s">
        <v>591</v>
      </c>
      <c r="P948" s="2" t="s">
        <v>5</v>
      </c>
      <c r="Q948" s="2">
        <f>INDEX(Tables!$C$4:$C$28,MATCH($P948,Tables!$B$4:$B$28,0))</f>
        <v>32</v>
      </c>
      <c r="R948" s="2">
        <f>INDEX(Tables!$D$4:$D$28,MATCH($P948,Tables!$B$4:$B$28,0))</f>
        <v>4</v>
      </c>
      <c r="S948" s="2">
        <f>$S947+$R947+INDEX(Tables!$N$5:$Q$8,MATCH(MOD($S947+$R947,4),Tables!$M$5:$M$8,0),MATCH($R948,Tables!$N$4:$Q$4,0))</f>
        <v>3356</v>
      </c>
      <c r="T948" s="2" t="str">
        <f t="shared" si="219"/>
        <v>0D1C</v>
      </c>
      <c r="U948" s="2">
        <f t="shared" si="225"/>
        <v>839</v>
      </c>
      <c r="V948" s="2" t="str">
        <f t="shared" si="220"/>
        <v>347</v>
      </c>
      <c r="W948" s="2" t="str">
        <f t="shared" si="221"/>
        <v/>
      </c>
      <c r="X948" s="2" t="str">
        <f t="shared" si="222"/>
        <v/>
      </c>
      <c r="Y948" s="2" t="str">
        <f t="shared" si="223"/>
        <v/>
      </c>
      <c r="Z948" s="2" t="str">
        <f t="shared" si="224"/>
        <v>X</v>
      </c>
      <c r="AA948" s="2" t="str">
        <f t="shared" si="226"/>
        <v/>
      </c>
      <c r="AB948" s="2" t="str">
        <f t="shared" si="227"/>
        <v/>
      </c>
      <c r="AC948" s="2" t="str">
        <f t="shared" si="228"/>
        <v/>
      </c>
      <c r="AD948" s="2" t="str">
        <f t="shared" si="229"/>
        <v>(0)</v>
      </c>
      <c r="AE948" s="2" t="str">
        <f t="shared" si="230"/>
        <v/>
      </c>
      <c r="AF948" s="2" t="str">
        <f t="shared" si="231"/>
        <v/>
      </c>
      <c r="AG948" s="2" t="str">
        <f t="shared" si="232"/>
        <v/>
      </c>
      <c r="AH948" s="2" t="str">
        <f t="shared" si="233"/>
        <v/>
      </c>
    </row>
    <row r="949" spans="2:34" x14ac:dyDescent="0.25">
      <c r="B949" s="2" t="s">
        <v>1104</v>
      </c>
      <c r="D949" s="2" t="s">
        <v>1</v>
      </c>
      <c r="E949" s="2" t="s">
        <v>134</v>
      </c>
      <c r="F949" s="2" t="s">
        <v>1105</v>
      </c>
      <c r="G949" s="2" t="s">
        <v>1106</v>
      </c>
      <c r="H949" s="2" t="s">
        <v>592</v>
      </c>
      <c r="I949" s="2" t="s">
        <v>42</v>
      </c>
      <c r="J949" s="2">
        <v>1</v>
      </c>
      <c r="K949" s="2" t="s">
        <v>82</v>
      </c>
      <c r="L949" s="2" t="s">
        <v>41</v>
      </c>
      <c r="M949" s="2" t="s">
        <v>135</v>
      </c>
      <c r="N949" s="2" t="s">
        <v>1107</v>
      </c>
      <c r="O949" s="2" t="s">
        <v>593</v>
      </c>
      <c r="P949" s="2" t="s">
        <v>5</v>
      </c>
      <c r="Q949" s="2">
        <f>INDEX(Tables!$C$4:$C$28,MATCH($P949,Tables!$B$4:$B$28,0))</f>
        <v>32</v>
      </c>
      <c r="R949" s="2">
        <f>INDEX(Tables!$D$4:$D$28,MATCH($P949,Tables!$B$4:$B$28,0))</f>
        <v>4</v>
      </c>
      <c r="S949" s="2">
        <f>$S948+$R948+INDEX(Tables!$N$5:$Q$8,MATCH(MOD($S948+$R948,4),Tables!$M$5:$M$8,0),MATCH($R949,Tables!$N$4:$Q$4,0))</f>
        <v>3360</v>
      </c>
      <c r="T949" s="2" t="str">
        <f t="shared" si="219"/>
        <v>0D20</v>
      </c>
      <c r="U949" s="2">
        <f t="shared" si="225"/>
        <v>840</v>
      </c>
      <c r="V949" s="2" t="str">
        <f t="shared" si="220"/>
        <v>348</v>
      </c>
      <c r="W949" s="2" t="str">
        <f t="shared" si="221"/>
        <v/>
      </c>
      <c r="X949" s="2" t="str">
        <f t="shared" si="222"/>
        <v/>
      </c>
      <c r="Y949" s="2" t="str">
        <f t="shared" si="223"/>
        <v/>
      </c>
      <c r="Z949" s="2" t="str">
        <f t="shared" si="224"/>
        <v>X</v>
      </c>
      <c r="AA949" s="2" t="str">
        <f t="shared" si="226"/>
        <v/>
      </c>
      <c r="AB949" s="2" t="str">
        <f t="shared" si="227"/>
        <v/>
      </c>
      <c r="AC949" s="2" t="str">
        <f t="shared" si="228"/>
        <v/>
      </c>
      <c r="AD949" s="2" t="str">
        <f t="shared" si="229"/>
        <v>(0)</v>
      </c>
      <c r="AE949" s="2" t="str">
        <f t="shared" si="230"/>
        <v/>
      </c>
      <c r="AF949" s="2" t="str">
        <f t="shared" si="231"/>
        <v/>
      </c>
      <c r="AG949" s="2" t="str">
        <f t="shared" si="232"/>
        <v/>
      </c>
      <c r="AH949" s="2" t="str">
        <f t="shared" si="233"/>
        <v/>
      </c>
    </row>
    <row r="950" spans="2:34" x14ac:dyDescent="0.25">
      <c r="B950" s="2" t="s">
        <v>1104</v>
      </c>
      <c r="D950" s="2" t="s">
        <v>1</v>
      </c>
      <c r="E950" s="2" t="s">
        <v>134</v>
      </c>
      <c r="F950" s="2" t="s">
        <v>1105</v>
      </c>
      <c r="G950" s="2" t="s">
        <v>1106</v>
      </c>
      <c r="H950" s="2" t="s">
        <v>594</v>
      </c>
      <c r="I950" s="2" t="s">
        <v>42</v>
      </c>
      <c r="J950" s="2">
        <v>1</v>
      </c>
      <c r="K950" s="2" t="s">
        <v>82</v>
      </c>
      <c r="L950" s="2" t="s">
        <v>41</v>
      </c>
      <c r="M950" s="2" t="s">
        <v>135</v>
      </c>
      <c r="N950" s="2" t="s">
        <v>1107</v>
      </c>
      <c r="O950" s="2" t="s">
        <v>595</v>
      </c>
      <c r="P950" s="2" t="s">
        <v>5</v>
      </c>
      <c r="Q950" s="2">
        <f>INDEX(Tables!$C$4:$C$28,MATCH($P950,Tables!$B$4:$B$28,0))</f>
        <v>32</v>
      </c>
      <c r="R950" s="2">
        <f>INDEX(Tables!$D$4:$D$28,MATCH($P950,Tables!$B$4:$B$28,0))</f>
        <v>4</v>
      </c>
      <c r="S950" s="2">
        <f>$S949+$R949+INDEX(Tables!$N$5:$Q$8,MATCH(MOD($S949+$R949,4),Tables!$M$5:$M$8,0),MATCH($R950,Tables!$N$4:$Q$4,0))</f>
        <v>3364</v>
      </c>
      <c r="T950" s="2" t="str">
        <f t="shared" si="219"/>
        <v>0D24</v>
      </c>
      <c r="U950" s="2">
        <f t="shared" si="225"/>
        <v>841</v>
      </c>
      <c r="V950" s="2" t="str">
        <f t="shared" si="220"/>
        <v>349</v>
      </c>
      <c r="W950" s="2" t="str">
        <f t="shared" si="221"/>
        <v/>
      </c>
      <c r="X950" s="2" t="str">
        <f t="shared" si="222"/>
        <v/>
      </c>
      <c r="Y950" s="2" t="str">
        <f t="shared" si="223"/>
        <v/>
      </c>
      <c r="Z950" s="2" t="str">
        <f t="shared" si="224"/>
        <v>X</v>
      </c>
      <c r="AA950" s="2" t="str">
        <f t="shared" si="226"/>
        <v/>
      </c>
      <c r="AB950" s="2" t="str">
        <f t="shared" si="227"/>
        <v/>
      </c>
      <c r="AC950" s="2" t="str">
        <f t="shared" si="228"/>
        <v/>
      </c>
      <c r="AD950" s="2" t="str">
        <f t="shared" si="229"/>
        <v>(0)</v>
      </c>
      <c r="AE950" s="2" t="str">
        <f t="shared" si="230"/>
        <v/>
      </c>
      <c r="AF950" s="2" t="str">
        <f t="shared" si="231"/>
        <v/>
      </c>
      <c r="AG950" s="2" t="str">
        <f t="shared" si="232"/>
        <v/>
      </c>
      <c r="AH950" s="2" t="str">
        <f t="shared" si="233"/>
        <v/>
      </c>
    </row>
    <row r="951" spans="2:34" x14ac:dyDescent="0.25">
      <c r="B951" s="2" t="s">
        <v>1104</v>
      </c>
      <c r="D951" s="2" t="s">
        <v>1</v>
      </c>
      <c r="E951" s="2" t="s">
        <v>134</v>
      </c>
      <c r="F951" s="2" t="s">
        <v>1105</v>
      </c>
      <c r="G951" s="2" t="s">
        <v>1106</v>
      </c>
      <c r="H951" s="2" t="s">
        <v>596</v>
      </c>
      <c r="I951" s="2" t="s">
        <v>42</v>
      </c>
      <c r="J951" s="2">
        <v>1</v>
      </c>
      <c r="K951" s="2" t="s">
        <v>82</v>
      </c>
      <c r="L951" s="2" t="s">
        <v>41</v>
      </c>
      <c r="M951" s="2" t="s">
        <v>135</v>
      </c>
      <c r="N951" s="2" t="s">
        <v>1107</v>
      </c>
      <c r="O951" s="2" t="s">
        <v>597</v>
      </c>
      <c r="P951" s="2" t="s">
        <v>5</v>
      </c>
      <c r="Q951" s="2">
        <f>INDEX(Tables!$C$4:$C$28,MATCH($P951,Tables!$B$4:$B$28,0))</f>
        <v>32</v>
      </c>
      <c r="R951" s="2">
        <f>INDEX(Tables!$D$4:$D$28,MATCH($P951,Tables!$B$4:$B$28,0))</f>
        <v>4</v>
      </c>
      <c r="S951" s="2">
        <f>$S950+$R950+INDEX(Tables!$N$5:$Q$8,MATCH(MOD($S950+$R950,4),Tables!$M$5:$M$8,0),MATCH($R951,Tables!$N$4:$Q$4,0))</f>
        <v>3368</v>
      </c>
      <c r="T951" s="2" t="str">
        <f t="shared" si="219"/>
        <v>0D28</v>
      </c>
      <c r="U951" s="2">
        <f t="shared" si="225"/>
        <v>842</v>
      </c>
      <c r="V951" s="2" t="str">
        <f t="shared" si="220"/>
        <v>34A</v>
      </c>
      <c r="W951" s="2" t="str">
        <f t="shared" si="221"/>
        <v/>
      </c>
      <c r="X951" s="2" t="str">
        <f t="shared" si="222"/>
        <v/>
      </c>
      <c r="Y951" s="2" t="str">
        <f t="shared" si="223"/>
        <v/>
      </c>
      <c r="Z951" s="2" t="str">
        <f t="shared" si="224"/>
        <v>X</v>
      </c>
      <c r="AA951" s="2" t="str">
        <f t="shared" si="226"/>
        <v/>
      </c>
      <c r="AB951" s="2" t="str">
        <f t="shared" si="227"/>
        <v/>
      </c>
      <c r="AC951" s="2" t="str">
        <f t="shared" si="228"/>
        <v/>
      </c>
      <c r="AD951" s="2" t="str">
        <f t="shared" si="229"/>
        <v>(0)</v>
      </c>
      <c r="AE951" s="2" t="str">
        <f t="shared" si="230"/>
        <v/>
      </c>
      <c r="AF951" s="2" t="str">
        <f t="shared" si="231"/>
        <v/>
      </c>
      <c r="AG951" s="2" t="str">
        <f t="shared" si="232"/>
        <v/>
      </c>
      <c r="AH951" s="2" t="str">
        <f t="shared" si="233"/>
        <v/>
      </c>
    </row>
    <row r="952" spans="2:34" x14ac:dyDescent="0.25">
      <c r="B952" s="2" t="s">
        <v>1104</v>
      </c>
      <c r="D952" s="2" t="s">
        <v>1</v>
      </c>
      <c r="E952" s="2" t="s">
        <v>134</v>
      </c>
      <c r="F952" s="2" t="s">
        <v>1105</v>
      </c>
      <c r="G952" s="2" t="s">
        <v>1106</v>
      </c>
      <c r="H952" s="2" t="s">
        <v>598</v>
      </c>
      <c r="I952" s="2" t="s">
        <v>42</v>
      </c>
      <c r="J952" s="2">
        <v>1</v>
      </c>
      <c r="K952" s="2" t="s">
        <v>82</v>
      </c>
      <c r="L952" s="2" t="s">
        <v>41</v>
      </c>
      <c r="M952" s="2" t="s">
        <v>135</v>
      </c>
      <c r="N952" s="2" t="s">
        <v>1107</v>
      </c>
      <c r="O952" s="2" t="s">
        <v>599</v>
      </c>
      <c r="P952" s="2" t="s">
        <v>5</v>
      </c>
      <c r="Q952" s="2">
        <f>INDEX(Tables!$C$4:$C$28,MATCH($P952,Tables!$B$4:$B$28,0))</f>
        <v>32</v>
      </c>
      <c r="R952" s="2">
        <f>INDEX(Tables!$D$4:$D$28,MATCH($P952,Tables!$B$4:$B$28,0))</f>
        <v>4</v>
      </c>
      <c r="S952" s="2">
        <f>$S951+$R951+INDEX(Tables!$N$5:$Q$8,MATCH(MOD($S951+$R951,4),Tables!$M$5:$M$8,0),MATCH($R952,Tables!$N$4:$Q$4,0))</f>
        <v>3372</v>
      </c>
      <c r="T952" s="2" t="str">
        <f t="shared" si="219"/>
        <v>0D2C</v>
      </c>
      <c r="U952" s="2">
        <f t="shared" si="225"/>
        <v>843</v>
      </c>
      <c r="V952" s="2" t="str">
        <f t="shared" si="220"/>
        <v>34B</v>
      </c>
      <c r="W952" s="2" t="str">
        <f t="shared" si="221"/>
        <v/>
      </c>
      <c r="X952" s="2" t="str">
        <f t="shared" si="222"/>
        <v/>
      </c>
      <c r="Y952" s="2" t="str">
        <f t="shared" si="223"/>
        <v/>
      </c>
      <c r="Z952" s="2" t="str">
        <f t="shared" si="224"/>
        <v>X</v>
      </c>
      <c r="AA952" s="2" t="str">
        <f t="shared" si="226"/>
        <v/>
      </c>
      <c r="AB952" s="2" t="str">
        <f t="shared" si="227"/>
        <v/>
      </c>
      <c r="AC952" s="2" t="str">
        <f t="shared" si="228"/>
        <v/>
      </c>
      <c r="AD952" s="2" t="str">
        <f t="shared" si="229"/>
        <v>(0)</v>
      </c>
      <c r="AE952" s="2" t="str">
        <f t="shared" si="230"/>
        <v/>
      </c>
      <c r="AF952" s="2" t="str">
        <f t="shared" si="231"/>
        <v/>
      </c>
      <c r="AG952" s="2" t="str">
        <f t="shared" si="232"/>
        <v/>
      </c>
      <c r="AH952" s="2" t="str">
        <f t="shared" si="233"/>
        <v/>
      </c>
    </row>
    <row r="953" spans="2:34" x14ac:dyDescent="0.25">
      <c r="B953" s="2" t="s">
        <v>1104</v>
      </c>
      <c r="D953" s="2" t="s">
        <v>1</v>
      </c>
      <c r="E953" s="2" t="s">
        <v>134</v>
      </c>
      <c r="F953" s="2" t="s">
        <v>1105</v>
      </c>
      <c r="G953" s="2" t="s">
        <v>1106</v>
      </c>
      <c r="H953" s="2" t="s">
        <v>600</v>
      </c>
      <c r="I953" s="2" t="s">
        <v>42</v>
      </c>
      <c r="J953" s="2">
        <v>1</v>
      </c>
      <c r="K953" s="2" t="s">
        <v>136</v>
      </c>
      <c r="L953" s="2" t="s">
        <v>41</v>
      </c>
      <c r="M953" s="2" t="s">
        <v>135</v>
      </c>
      <c r="N953" s="2" t="s">
        <v>1107</v>
      </c>
      <c r="O953" s="2" t="s">
        <v>601</v>
      </c>
      <c r="P953" s="2" t="s">
        <v>5</v>
      </c>
      <c r="Q953" s="2">
        <f>INDEX(Tables!$C$4:$C$28,MATCH($P953,Tables!$B$4:$B$28,0))</f>
        <v>32</v>
      </c>
      <c r="R953" s="2">
        <f>INDEX(Tables!$D$4:$D$28,MATCH($P953,Tables!$B$4:$B$28,0))</f>
        <v>4</v>
      </c>
      <c r="S953" s="2">
        <f>$S952+$R952+INDEX(Tables!$N$5:$Q$8,MATCH(MOD($S952+$R952,4),Tables!$M$5:$M$8,0),MATCH($R953,Tables!$N$4:$Q$4,0))</f>
        <v>3376</v>
      </c>
      <c r="T953" s="2" t="str">
        <f t="shared" si="219"/>
        <v>0D30</v>
      </c>
      <c r="U953" s="2">
        <f t="shared" si="225"/>
        <v>844</v>
      </c>
      <c r="V953" s="2" t="str">
        <f t="shared" si="220"/>
        <v>34C</v>
      </c>
      <c r="W953" s="2" t="str">
        <f t="shared" si="221"/>
        <v/>
      </c>
      <c r="X953" s="2" t="str">
        <f t="shared" si="222"/>
        <v/>
      </c>
      <c r="Y953" s="2" t="str">
        <f t="shared" si="223"/>
        <v/>
      </c>
      <c r="Z953" s="2" t="str">
        <f t="shared" si="224"/>
        <v>X</v>
      </c>
      <c r="AA953" s="2" t="str">
        <f t="shared" si="226"/>
        <v/>
      </c>
      <c r="AB953" s="2" t="str">
        <f t="shared" si="227"/>
        <v/>
      </c>
      <c r="AC953" s="2" t="str">
        <f t="shared" si="228"/>
        <v/>
      </c>
      <c r="AD953" s="2" t="str">
        <f t="shared" si="229"/>
        <v>(0)</v>
      </c>
      <c r="AE953" s="2" t="str">
        <f t="shared" si="230"/>
        <v/>
      </c>
      <c r="AF953" s="2" t="str">
        <f t="shared" si="231"/>
        <v/>
      </c>
      <c r="AG953" s="2" t="str">
        <f t="shared" si="232"/>
        <v/>
      </c>
      <c r="AH953" s="2" t="str">
        <f t="shared" si="233"/>
        <v/>
      </c>
    </row>
    <row r="954" spans="2:34" x14ac:dyDescent="0.25">
      <c r="B954" s="2" t="s">
        <v>1104</v>
      </c>
      <c r="D954" s="2" t="s">
        <v>1</v>
      </c>
      <c r="E954" s="2" t="s">
        <v>134</v>
      </c>
      <c r="F954" s="2" t="s">
        <v>1105</v>
      </c>
      <c r="G954" s="2" t="s">
        <v>1106</v>
      </c>
      <c r="H954" s="2" t="s">
        <v>602</v>
      </c>
      <c r="I954" s="2" t="s">
        <v>42</v>
      </c>
      <c r="J954" s="2">
        <v>1</v>
      </c>
      <c r="K954" s="2" t="s">
        <v>136</v>
      </c>
      <c r="L954" s="2" t="s">
        <v>41</v>
      </c>
      <c r="M954" s="2" t="s">
        <v>135</v>
      </c>
      <c r="N954" s="2" t="s">
        <v>1107</v>
      </c>
      <c r="O954" s="2" t="s">
        <v>603</v>
      </c>
      <c r="P954" s="2" t="s">
        <v>5</v>
      </c>
      <c r="Q954" s="2">
        <f>INDEX(Tables!$C$4:$C$28,MATCH($P954,Tables!$B$4:$B$28,0))</f>
        <v>32</v>
      </c>
      <c r="R954" s="2">
        <f>INDEX(Tables!$D$4:$D$28,MATCH($P954,Tables!$B$4:$B$28,0))</f>
        <v>4</v>
      </c>
      <c r="S954" s="2">
        <f>$S953+$R953+INDEX(Tables!$N$5:$Q$8,MATCH(MOD($S953+$R953,4),Tables!$M$5:$M$8,0),MATCH($R954,Tables!$N$4:$Q$4,0))</f>
        <v>3380</v>
      </c>
      <c r="T954" s="2" t="str">
        <f t="shared" si="219"/>
        <v>0D34</v>
      </c>
      <c r="U954" s="2">
        <f t="shared" si="225"/>
        <v>845</v>
      </c>
      <c r="V954" s="2" t="str">
        <f t="shared" si="220"/>
        <v>34D</v>
      </c>
      <c r="W954" s="2" t="str">
        <f t="shared" si="221"/>
        <v/>
      </c>
      <c r="X954" s="2" t="str">
        <f t="shared" si="222"/>
        <v/>
      </c>
      <c r="Y954" s="2" t="str">
        <f t="shared" si="223"/>
        <v/>
      </c>
      <c r="Z954" s="2" t="str">
        <f t="shared" si="224"/>
        <v>X</v>
      </c>
      <c r="AA954" s="2" t="str">
        <f t="shared" si="226"/>
        <v/>
      </c>
      <c r="AB954" s="2" t="str">
        <f t="shared" si="227"/>
        <v/>
      </c>
      <c r="AC954" s="2" t="str">
        <f t="shared" si="228"/>
        <v/>
      </c>
      <c r="AD954" s="2" t="str">
        <f t="shared" si="229"/>
        <v>(0)</v>
      </c>
      <c r="AE954" s="2" t="str">
        <f t="shared" si="230"/>
        <v/>
      </c>
      <c r="AF954" s="2" t="str">
        <f t="shared" si="231"/>
        <v/>
      </c>
      <c r="AG954" s="2" t="str">
        <f t="shared" si="232"/>
        <v/>
      </c>
      <c r="AH954" s="2" t="str">
        <f t="shared" si="233"/>
        <v/>
      </c>
    </row>
    <row r="955" spans="2:34" x14ac:dyDescent="0.25">
      <c r="B955" s="2" t="s">
        <v>1104</v>
      </c>
      <c r="D955" s="2" t="s">
        <v>1</v>
      </c>
      <c r="E955" s="2" t="s">
        <v>134</v>
      </c>
      <c r="F955" s="2" t="s">
        <v>1105</v>
      </c>
      <c r="G955" s="2" t="s">
        <v>1106</v>
      </c>
      <c r="H955" s="2" t="s">
        <v>604</v>
      </c>
      <c r="I955" s="2" t="s">
        <v>42</v>
      </c>
      <c r="J955" s="2">
        <v>1</v>
      </c>
      <c r="K955" s="2" t="s">
        <v>82</v>
      </c>
      <c r="L955" s="2" t="s">
        <v>41</v>
      </c>
      <c r="M955" s="2" t="s">
        <v>135</v>
      </c>
      <c r="N955" s="2" t="s">
        <v>1107</v>
      </c>
      <c r="O955" s="2" t="s">
        <v>605</v>
      </c>
      <c r="P955" s="2" t="s">
        <v>5</v>
      </c>
      <c r="Q955" s="2">
        <f>INDEX(Tables!$C$4:$C$28,MATCH($P955,Tables!$B$4:$B$28,0))</f>
        <v>32</v>
      </c>
      <c r="R955" s="2">
        <f>INDEX(Tables!$D$4:$D$28,MATCH($P955,Tables!$B$4:$B$28,0))</f>
        <v>4</v>
      </c>
      <c r="S955" s="2">
        <f>$S954+$R954+INDEX(Tables!$N$5:$Q$8,MATCH(MOD($S954+$R954,4),Tables!$M$5:$M$8,0),MATCH($R955,Tables!$N$4:$Q$4,0))</f>
        <v>3384</v>
      </c>
      <c r="T955" s="2" t="str">
        <f t="shared" si="219"/>
        <v>0D38</v>
      </c>
      <c r="U955" s="2">
        <f t="shared" si="225"/>
        <v>846</v>
      </c>
      <c r="V955" s="2" t="str">
        <f t="shared" si="220"/>
        <v>34E</v>
      </c>
      <c r="W955" s="2" t="str">
        <f t="shared" si="221"/>
        <v/>
      </c>
      <c r="X955" s="2" t="str">
        <f t="shared" si="222"/>
        <v/>
      </c>
      <c r="Y955" s="2" t="str">
        <f t="shared" si="223"/>
        <v/>
      </c>
      <c r="Z955" s="2" t="str">
        <f t="shared" si="224"/>
        <v>X</v>
      </c>
      <c r="AA955" s="2" t="str">
        <f t="shared" si="226"/>
        <v/>
      </c>
      <c r="AB955" s="2" t="str">
        <f t="shared" si="227"/>
        <v/>
      </c>
      <c r="AC955" s="2" t="str">
        <f t="shared" si="228"/>
        <v/>
      </c>
      <c r="AD955" s="2" t="str">
        <f t="shared" si="229"/>
        <v>(0)</v>
      </c>
      <c r="AE955" s="2" t="str">
        <f t="shared" si="230"/>
        <v/>
      </c>
      <c r="AF955" s="2" t="str">
        <f t="shared" si="231"/>
        <v/>
      </c>
      <c r="AG955" s="2" t="str">
        <f t="shared" si="232"/>
        <v/>
      </c>
      <c r="AH955" s="2" t="str">
        <f t="shared" si="233"/>
        <v/>
      </c>
    </row>
    <row r="956" spans="2:34" x14ac:dyDescent="0.25">
      <c r="B956" s="2" t="s">
        <v>1104</v>
      </c>
      <c r="D956" s="2" t="s">
        <v>1</v>
      </c>
      <c r="E956" s="2" t="s">
        <v>134</v>
      </c>
      <c r="F956" s="2" t="s">
        <v>1105</v>
      </c>
      <c r="G956" s="2" t="s">
        <v>1106</v>
      </c>
      <c r="H956" s="2" t="s">
        <v>606</v>
      </c>
      <c r="I956" s="2" t="s">
        <v>42</v>
      </c>
      <c r="J956" s="2">
        <v>1</v>
      </c>
      <c r="K956" s="2" t="s">
        <v>82</v>
      </c>
      <c r="L956" s="2" t="s">
        <v>41</v>
      </c>
      <c r="M956" s="2" t="s">
        <v>135</v>
      </c>
      <c r="N956" s="2" t="s">
        <v>1107</v>
      </c>
      <c r="O956" s="2" t="s">
        <v>607</v>
      </c>
      <c r="P956" s="2" t="s">
        <v>5</v>
      </c>
      <c r="Q956" s="2">
        <f>INDEX(Tables!$C$4:$C$28,MATCH($P956,Tables!$B$4:$B$28,0))</f>
        <v>32</v>
      </c>
      <c r="R956" s="2">
        <f>INDEX(Tables!$D$4:$D$28,MATCH($P956,Tables!$B$4:$B$28,0))</f>
        <v>4</v>
      </c>
      <c r="S956" s="2">
        <f>$S955+$R955+INDEX(Tables!$N$5:$Q$8,MATCH(MOD($S955+$R955,4),Tables!$M$5:$M$8,0),MATCH($R956,Tables!$N$4:$Q$4,0))</f>
        <v>3388</v>
      </c>
      <c r="T956" s="2" t="str">
        <f t="shared" si="219"/>
        <v>0D3C</v>
      </c>
      <c r="U956" s="2">
        <f t="shared" si="225"/>
        <v>847</v>
      </c>
      <c r="V956" s="2" t="str">
        <f t="shared" si="220"/>
        <v>34F</v>
      </c>
      <c r="W956" s="2" t="str">
        <f t="shared" si="221"/>
        <v/>
      </c>
      <c r="X956" s="2" t="str">
        <f t="shared" si="222"/>
        <v/>
      </c>
      <c r="Y956" s="2" t="str">
        <f t="shared" si="223"/>
        <v/>
      </c>
      <c r="Z956" s="2" t="str">
        <f t="shared" si="224"/>
        <v>X</v>
      </c>
      <c r="AA956" s="2" t="str">
        <f t="shared" si="226"/>
        <v/>
      </c>
      <c r="AB956" s="2" t="str">
        <f t="shared" si="227"/>
        <v/>
      </c>
      <c r="AC956" s="2" t="str">
        <f t="shared" si="228"/>
        <v/>
      </c>
      <c r="AD956" s="2" t="str">
        <f t="shared" si="229"/>
        <v>(0)</v>
      </c>
      <c r="AE956" s="2" t="str">
        <f t="shared" si="230"/>
        <v/>
      </c>
      <c r="AF956" s="2" t="str">
        <f t="shared" si="231"/>
        <v/>
      </c>
      <c r="AG956" s="2" t="str">
        <f t="shared" si="232"/>
        <v/>
      </c>
      <c r="AH956" s="2" t="str">
        <f t="shared" si="233"/>
        <v/>
      </c>
    </row>
    <row r="957" spans="2:34" x14ac:dyDescent="0.25">
      <c r="B957" s="2" t="s">
        <v>1104</v>
      </c>
      <c r="D957" s="2" t="s">
        <v>1</v>
      </c>
      <c r="E957" s="2" t="s">
        <v>134</v>
      </c>
      <c r="F957" s="2" t="s">
        <v>1105</v>
      </c>
      <c r="G957" s="2" t="s">
        <v>1106</v>
      </c>
      <c r="H957" s="2" t="s">
        <v>608</v>
      </c>
      <c r="I957" s="2" t="s">
        <v>42</v>
      </c>
      <c r="J957" s="2">
        <v>1</v>
      </c>
      <c r="K957" s="2" t="s">
        <v>136</v>
      </c>
      <c r="L957" s="2" t="s">
        <v>41</v>
      </c>
      <c r="M957" s="2" t="s">
        <v>135</v>
      </c>
      <c r="N957" s="2" t="s">
        <v>1107</v>
      </c>
      <c r="O957" s="2" t="s">
        <v>609</v>
      </c>
      <c r="P957" s="2" t="s">
        <v>5</v>
      </c>
      <c r="Q957" s="2">
        <f>INDEX(Tables!$C$4:$C$28,MATCH($P957,Tables!$B$4:$B$28,0))</f>
        <v>32</v>
      </c>
      <c r="R957" s="2">
        <f>INDEX(Tables!$D$4:$D$28,MATCH($P957,Tables!$B$4:$B$28,0))</f>
        <v>4</v>
      </c>
      <c r="S957" s="2">
        <f>$S956+$R956+INDEX(Tables!$N$5:$Q$8,MATCH(MOD($S956+$R956,4),Tables!$M$5:$M$8,0),MATCH($R957,Tables!$N$4:$Q$4,0))</f>
        <v>3392</v>
      </c>
      <c r="T957" s="2" t="str">
        <f t="shared" si="219"/>
        <v>0D40</v>
      </c>
      <c r="U957" s="2">
        <f t="shared" si="225"/>
        <v>848</v>
      </c>
      <c r="V957" s="2" t="str">
        <f t="shared" si="220"/>
        <v>350</v>
      </c>
      <c r="W957" s="2" t="str">
        <f t="shared" si="221"/>
        <v/>
      </c>
      <c r="X957" s="2" t="str">
        <f t="shared" si="222"/>
        <v/>
      </c>
      <c r="Y957" s="2" t="str">
        <f t="shared" si="223"/>
        <v/>
      </c>
      <c r="Z957" s="2" t="str">
        <f t="shared" si="224"/>
        <v>X</v>
      </c>
      <c r="AA957" s="2" t="str">
        <f t="shared" si="226"/>
        <v/>
      </c>
      <c r="AB957" s="2" t="str">
        <f t="shared" si="227"/>
        <v/>
      </c>
      <c r="AC957" s="2" t="str">
        <f t="shared" si="228"/>
        <v/>
      </c>
      <c r="AD957" s="2" t="str">
        <f t="shared" si="229"/>
        <v>(0)</v>
      </c>
      <c r="AE957" s="2" t="str">
        <f t="shared" si="230"/>
        <v/>
      </c>
      <c r="AF957" s="2" t="str">
        <f t="shared" si="231"/>
        <v/>
      </c>
      <c r="AG957" s="2" t="str">
        <f t="shared" si="232"/>
        <v/>
      </c>
      <c r="AH957" s="2" t="str">
        <f t="shared" si="233"/>
        <v/>
      </c>
    </row>
    <row r="958" spans="2:34" x14ac:dyDescent="0.25">
      <c r="B958" s="2" t="s">
        <v>1104</v>
      </c>
      <c r="D958" s="2" t="s">
        <v>1</v>
      </c>
      <c r="E958" s="2" t="s">
        <v>134</v>
      </c>
      <c r="F958" s="2" t="s">
        <v>1105</v>
      </c>
      <c r="G958" s="2" t="s">
        <v>1106</v>
      </c>
      <c r="H958" s="2" t="s">
        <v>610</v>
      </c>
      <c r="I958" s="2" t="s">
        <v>42</v>
      </c>
      <c r="J958" s="2">
        <v>1</v>
      </c>
      <c r="K958" s="2" t="s">
        <v>136</v>
      </c>
      <c r="L958" s="2" t="s">
        <v>41</v>
      </c>
      <c r="M958" s="2" t="s">
        <v>135</v>
      </c>
      <c r="N958" s="2" t="s">
        <v>1107</v>
      </c>
      <c r="O958" s="2" t="s">
        <v>611</v>
      </c>
      <c r="P958" s="2" t="s">
        <v>5</v>
      </c>
      <c r="Q958" s="2">
        <f>INDEX(Tables!$C$4:$C$28,MATCH($P958,Tables!$B$4:$B$28,0))</f>
        <v>32</v>
      </c>
      <c r="R958" s="2">
        <f>INDEX(Tables!$D$4:$D$28,MATCH($P958,Tables!$B$4:$B$28,0))</f>
        <v>4</v>
      </c>
      <c r="S958" s="2">
        <f>$S957+$R957+INDEX(Tables!$N$5:$Q$8,MATCH(MOD($S957+$R957,4),Tables!$M$5:$M$8,0),MATCH($R958,Tables!$N$4:$Q$4,0))</f>
        <v>3396</v>
      </c>
      <c r="T958" s="2" t="str">
        <f t="shared" si="219"/>
        <v>0D44</v>
      </c>
      <c r="U958" s="2">
        <f t="shared" si="225"/>
        <v>849</v>
      </c>
      <c r="V958" s="2" t="str">
        <f t="shared" si="220"/>
        <v>351</v>
      </c>
      <c r="W958" s="2" t="str">
        <f t="shared" si="221"/>
        <v/>
      </c>
      <c r="X958" s="2" t="str">
        <f t="shared" si="222"/>
        <v/>
      </c>
      <c r="Y958" s="2" t="str">
        <f t="shared" si="223"/>
        <v/>
      </c>
      <c r="Z958" s="2" t="str">
        <f t="shared" si="224"/>
        <v>X</v>
      </c>
      <c r="AA958" s="2" t="str">
        <f t="shared" si="226"/>
        <v/>
      </c>
      <c r="AB958" s="2" t="str">
        <f t="shared" si="227"/>
        <v/>
      </c>
      <c r="AC958" s="2" t="str">
        <f t="shared" si="228"/>
        <v/>
      </c>
      <c r="AD958" s="2" t="str">
        <f t="shared" si="229"/>
        <v>(0)</v>
      </c>
      <c r="AE958" s="2" t="str">
        <f t="shared" si="230"/>
        <v/>
      </c>
      <c r="AF958" s="2" t="str">
        <f t="shared" si="231"/>
        <v/>
      </c>
      <c r="AG958" s="2" t="str">
        <f t="shared" si="232"/>
        <v/>
      </c>
      <c r="AH958" s="2" t="str">
        <f t="shared" si="233"/>
        <v/>
      </c>
    </row>
    <row r="959" spans="2:34" x14ac:dyDescent="0.25">
      <c r="B959" s="2" t="s">
        <v>1104</v>
      </c>
      <c r="D959" s="2" t="s">
        <v>1</v>
      </c>
      <c r="E959" s="2" t="s">
        <v>134</v>
      </c>
      <c r="F959" s="2" t="s">
        <v>1105</v>
      </c>
      <c r="G959" s="2" t="s">
        <v>1106</v>
      </c>
      <c r="H959" s="2" t="s">
        <v>612</v>
      </c>
      <c r="I959" s="2" t="s">
        <v>42</v>
      </c>
      <c r="J959" s="2">
        <v>1</v>
      </c>
      <c r="K959" s="2" t="s">
        <v>136</v>
      </c>
      <c r="L959" s="2" t="s">
        <v>41</v>
      </c>
      <c r="M959" s="2" t="s">
        <v>135</v>
      </c>
      <c r="N959" s="2" t="s">
        <v>1107</v>
      </c>
      <c r="O959" s="2" t="s">
        <v>613</v>
      </c>
      <c r="P959" s="2" t="s">
        <v>5</v>
      </c>
      <c r="Q959" s="2">
        <f>INDEX(Tables!$C$4:$C$28,MATCH($P959,Tables!$B$4:$B$28,0))</f>
        <v>32</v>
      </c>
      <c r="R959" s="2">
        <f>INDEX(Tables!$D$4:$D$28,MATCH($P959,Tables!$B$4:$B$28,0))</f>
        <v>4</v>
      </c>
      <c r="S959" s="2">
        <f>$S958+$R958+INDEX(Tables!$N$5:$Q$8,MATCH(MOD($S958+$R958,4),Tables!$M$5:$M$8,0),MATCH($R959,Tables!$N$4:$Q$4,0))</f>
        <v>3400</v>
      </c>
      <c r="T959" s="2" t="str">
        <f t="shared" si="219"/>
        <v>0D48</v>
      </c>
      <c r="U959" s="2">
        <f t="shared" si="225"/>
        <v>850</v>
      </c>
      <c r="V959" s="2" t="str">
        <f t="shared" si="220"/>
        <v>352</v>
      </c>
      <c r="W959" s="2" t="str">
        <f t="shared" si="221"/>
        <v/>
      </c>
      <c r="X959" s="2" t="str">
        <f t="shared" si="222"/>
        <v/>
      </c>
      <c r="Y959" s="2" t="str">
        <f t="shared" si="223"/>
        <v/>
      </c>
      <c r="Z959" s="2" t="str">
        <f t="shared" si="224"/>
        <v>X</v>
      </c>
      <c r="AA959" s="2" t="str">
        <f t="shared" si="226"/>
        <v/>
      </c>
      <c r="AB959" s="2" t="str">
        <f t="shared" si="227"/>
        <v/>
      </c>
      <c r="AC959" s="2" t="str">
        <f t="shared" si="228"/>
        <v/>
      </c>
      <c r="AD959" s="2" t="str">
        <f t="shared" si="229"/>
        <v>(0)</v>
      </c>
      <c r="AE959" s="2" t="str">
        <f t="shared" si="230"/>
        <v/>
      </c>
      <c r="AF959" s="2" t="str">
        <f t="shared" si="231"/>
        <v/>
      </c>
      <c r="AG959" s="2" t="str">
        <f t="shared" si="232"/>
        <v/>
      </c>
      <c r="AH959" s="2" t="str">
        <f t="shared" si="233"/>
        <v/>
      </c>
    </row>
    <row r="960" spans="2:34" x14ac:dyDescent="0.25">
      <c r="B960" s="2" t="s">
        <v>1104</v>
      </c>
      <c r="D960" s="2" t="s">
        <v>1</v>
      </c>
      <c r="E960" s="2" t="s">
        <v>134</v>
      </c>
      <c r="F960" s="2" t="s">
        <v>1105</v>
      </c>
      <c r="G960" s="2" t="s">
        <v>1106</v>
      </c>
      <c r="H960" s="2" t="s">
        <v>614</v>
      </c>
      <c r="I960" s="2" t="s">
        <v>42</v>
      </c>
      <c r="J960" s="2">
        <v>1</v>
      </c>
      <c r="K960" s="2" t="s">
        <v>136</v>
      </c>
      <c r="L960" s="2" t="s">
        <v>41</v>
      </c>
      <c r="M960" s="2" t="s">
        <v>135</v>
      </c>
      <c r="N960" s="2" t="s">
        <v>1107</v>
      </c>
      <c r="O960" s="2" t="s">
        <v>615</v>
      </c>
      <c r="P960" s="2" t="s">
        <v>5</v>
      </c>
      <c r="Q960" s="2">
        <f>INDEX(Tables!$C$4:$C$28,MATCH($P960,Tables!$B$4:$B$28,0))</f>
        <v>32</v>
      </c>
      <c r="R960" s="2">
        <f>INDEX(Tables!$D$4:$D$28,MATCH($P960,Tables!$B$4:$B$28,0))</f>
        <v>4</v>
      </c>
      <c r="S960" s="2">
        <f>$S959+$R959+INDEX(Tables!$N$5:$Q$8,MATCH(MOD($S959+$R959,4),Tables!$M$5:$M$8,0),MATCH($R960,Tables!$N$4:$Q$4,0))</f>
        <v>3404</v>
      </c>
      <c r="T960" s="2" t="str">
        <f t="shared" si="219"/>
        <v>0D4C</v>
      </c>
      <c r="U960" s="2">
        <f t="shared" si="225"/>
        <v>851</v>
      </c>
      <c r="V960" s="2" t="str">
        <f t="shared" si="220"/>
        <v>353</v>
      </c>
      <c r="W960" s="2" t="str">
        <f t="shared" si="221"/>
        <v/>
      </c>
      <c r="X960" s="2" t="str">
        <f t="shared" si="222"/>
        <v/>
      </c>
      <c r="Y960" s="2" t="str">
        <f t="shared" si="223"/>
        <v/>
      </c>
      <c r="Z960" s="2" t="str">
        <f t="shared" si="224"/>
        <v>X</v>
      </c>
      <c r="AA960" s="2" t="str">
        <f t="shared" si="226"/>
        <v/>
      </c>
      <c r="AB960" s="2" t="str">
        <f t="shared" si="227"/>
        <v/>
      </c>
      <c r="AC960" s="2" t="str">
        <f t="shared" si="228"/>
        <v/>
      </c>
      <c r="AD960" s="2" t="str">
        <f t="shared" si="229"/>
        <v>(0)</v>
      </c>
      <c r="AE960" s="2" t="str">
        <f t="shared" si="230"/>
        <v/>
      </c>
      <c r="AF960" s="2" t="str">
        <f t="shared" si="231"/>
        <v/>
      </c>
      <c r="AG960" s="2" t="str">
        <f t="shared" si="232"/>
        <v/>
      </c>
      <c r="AH960" s="2" t="str">
        <f t="shared" si="233"/>
        <v/>
      </c>
    </row>
    <row r="961" spans="2:34" x14ac:dyDescent="0.25">
      <c r="B961" s="2" t="s">
        <v>1104</v>
      </c>
      <c r="D961" s="2" t="s">
        <v>1</v>
      </c>
      <c r="E961" s="2" t="s">
        <v>134</v>
      </c>
      <c r="F961" s="2" t="s">
        <v>1105</v>
      </c>
      <c r="G961" s="2" t="s">
        <v>1106</v>
      </c>
      <c r="H961" s="2" t="s">
        <v>616</v>
      </c>
      <c r="I961" s="2" t="s">
        <v>42</v>
      </c>
      <c r="J961" s="2">
        <v>1</v>
      </c>
      <c r="K961" s="2" t="s">
        <v>82</v>
      </c>
      <c r="L961" s="2" t="s">
        <v>41</v>
      </c>
      <c r="M961" s="2" t="s">
        <v>135</v>
      </c>
      <c r="N961" s="2" t="s">
        <v>1107</v>
      </c>
      <c r="O961" s="2" t="s">
        <v>617</v>
      </c>
      <c r="P961" s="2" t="s">
        <v>5</v>
      </c>
      <c r="Q961" s="2">
        <f>INDEX(Tables!$C$4:$C$28,MATCH($P961,Tables!$B$4:$B$28,0))</f>
        <v>32</v>
      </c>
      <c r="R961" s="2">
        <f>INDEX(Tables!$D$4:$D$28,MATCH($P961,Tables!$B$4:$B$28,0))</f>
        <v>4</v>
      </c>
      <c r="S961" s="2">
        <f>$S960+$R960+INDEX(Tables!$N$5:$Q$8,MATCH(MOD($S960+$R960,4),Tables!$M$5:$M$8,0),MATCH($R961,Tables!$N$4:$Q$4,0))</f>
        <v>3408</v>
      </c>
      <c r="T961" s="2" t="str">
        <f t="shared" si="219"/>
        <v>0D50</v>
      </c>
      <c r="U961" s="2">
        <f t="shared" si="225"/>
        <v>852</v>
      </c>
      <c r="V961" s="2" t="str">
        <f t="shared" si="220"/>
        <v>354</v>
      </c>
      <c r="W961" s="2" t="str">
        <f t="shared" si="221"/>
        <v/>
      </c>
      <c r="X961" s="2" t="str">
        <f t="shared" si="222"/>
        <v/>
      </c>
      <c r="Y961" s="2" t="str">
        <f t="shared" si="223"/>
        <v/>
      </c>
      <c r="Z961" s="2" t="str">
        <f t="shared" si="224"/>
        <v>X</v>
      </c>
      <c r="AA961" s="2" t="str">
        <f t="shared" si="226"/>
        <v/>
      </c>
      <c r="AB961" s="2" t="str">
        <f t="shared" si="227"/>
        <v/>
      </c>
      <c r="AC961" s="2" t="str">
        <f t="shared" si="228"/>
        <v/>
      </c>
      <c r="AD961" s="2" t="str">
        <f t="shared" si="229"/>
        <v>(0)</v>
      </c>
      <c r="AE961" s="2" t="str">
        <f t="shared" si="230"/>
        <v/>
      </c>
      <c r="AF961" s="2" t="str">
        <f t="shared" si="231"/>
        <v/>
      </c>
      <c r="AG961" s="2" t="str">
        <f t="shared" si="232"/>
        <v/>
      </c>
      <c r="AH961" s="2" t="str">
        <f t="shared" si="233"/>
        <v/>
      </c>
    </row>
    <row r="962" spans="2:34" x14ac:dyDescent="0.25">
      <c r="B962" s="2" t="s">
        <v>1104</v>
      </c>
      <c r="D962" s="2" t="s">
        <v>1</v>
      </c>
      <c r="E962" s="2" t="s">
        <v>134</v>
      </c>
      <c r="F962" s="2" t="s">
        <v>1105</v>
      </c>
      <c r="G962" s="2" t="s">
        <v>1106</v>
      </c>
      <c r="H962" s="2" t="s">
        <v>618</v>
      </c>
      <c r="I962" s="2" t="s">
        <v>42</v>
      </c>
      <c r="J962" s="2">
        <v>1</v>
      </c>
      <c r="K962" s="2" t="s">
        <v>82</v>
      </c>
      <c r="L962" s="2" t="s">
        <v>41</v>
      </c>
      <c r="M962" s="2" t="s">
        <v>135</v>
      </c>
      <c r="N962" s="2" t="s">
        <v>1107</v>
      </c>
      <c r="O962" s="2" t="s">
        <v>619</v>
      </c>
      <c r="P962" s="2" t="s">
        <v>5</v>
      </c>
      <c r="Q962" s="2">
        <f>INDEX(Tables!$C$4:$C$28,MATCH($P962,Tables!$B$4:$B$28,0))</f>
        <v>32</v>
      </c>
      <c r="R962" s="2">
        <f>INDEX(Tables!$D$4:$D$28,MATCH($P962,Tables!$B$4:$B$28,0))</f>
        <v>4</v>
      </c>
      <c r="S962" s="2">
        <f>$S961+$R961+INDEX(Tables!$N$5:$Q$8,MATCH(MOD($S961+$R961,4),Tables!$M$5:$M$8,0),MATCH($R962,Tables!$N$4:$Q$4,0))</f>
        <v>3412</v>
      </c>
      <c r="T962" s="2" t="str">
        <f t="shared" si="219"/>
        <v>0D54</v>
      </c>
      <c r="U962" s="2">
        <f t="shared" si="225"/>
        <v>853</v>
      </c>
      <c r="V962" s="2" t="str">
        <f t="shared" si="220"/>
        <v>355</v>
      </c>
      <c r="W962" s="2" t="str">
        <f t="shared" si="221"/>
        <v/>
      </c>
      <c r="X962" s="2" t="str">
        <f t="shared" si="222"/>
        <v/>
      </c>
      <c r="Y962" s="2" t="str">
        <f t="shared" si="223"/>
        <v/>
      </c>
      <c r="Z962" s="2" t="str">
        <f t="shared" si="224"/>
        <v>X</v>
      </c>
      <c r="AA962" s="2" t="str">
        <f t="shared" si="226"/>
        <v/>
      </c>
      <c r="AB962" s="2" t="str">
        <f t="shared" si="227"/>
        <v/>
      </c>
      <c r="AC962" s="2" t="str">
        <f t="shared" si="228"/>
        <v/>
      </c>
      <c r="AD962" s="2" t="str">
        <f t="shared" si="229"/>
        <v>(0)</v>
      </c>
      <c r="AE962" s="2" t="str">
        <f t="shared" si="230"/>
        <v/>
      </c>
      <c r="AF962" s="2" t="str">
        <f t="shared" si="231"/>
        <v/>
      </c>
      <c r="AG962" s="2" t="str">
        <f t="shared" si="232"/>
        <v/>
      </c>
      <c r="AH962" s="2" t="str">
        <f t="shared" si="233"/>
        <v/>
      </c>
    </row>
    <row r="963" spans="2:34" x14ac:dyDescent="0.25">
      <c r="B963" s="2" t="s">
        <v>1104</v>
      </c>
      <c r="D963" s="2" t="s">
        <v>1</v>
      </c>
      <c r="E963" s="2" t="s">
        <v>134</v>
      </c>
      <c r="F963" s="2" t="s">
        <v>1105</v>
      </c>
      <c r="G963" s="2" t="s">
        <v>1106</v>
      </c>
      <c r="H963" s="2" t="s">
        <v>620</v>
      </c>
      <c r="I963" s="2" t="s">
        <v>42</v>
      </c>
      <c r="J963" s="2">
        <v>1</v>
      </c>
      <c r="K963" s="2" t="s">
        <v>82</v>
      </c>
      <c r="L963" s="2" t="s">
        <v>41</v>
      </c>
      <c r="M963" s="2" t="s">
        <v>135</v>
      </c>
      <c r="N963" s="2" t="s">
        <v>1107</v>
      </c>
      <c r="O963" s="2" t="s">
        <v>621</v>
      </c>
      <c r="P963" s="2" t="s">
        <v>5</v>
      </c>
      <c r="Q963" s="2">
        <f>INDEX(Tables!$C$4:$C$28,MATCH($P963,Tables!$B$4:$B$28,0))</f>
        <v>32</v>
      </c>
      <c r="R963" s="2">
        <f>INDEX(Tables!$D$4:$D$28,MATCH($P963,Tables!$B$4:$B$28,0))</f>
        <v>4</v>
      </c>
      <c r="S963" s="2">
        <f>$S962+$R962+INDEX(Tables!$N$5:$Q$8,MATCH(MOD($S962+$R962,4),Tables!$M$5:$M$8,0),MATCH($R963,Tables!$N$4:$Q$4,0))</f>
        <v>3416</v>
      </c>
      <c r="T963" s="2" t="str">
        <f t="shared" si="219"/>
        <v>0D58</v>
      </c>
      <c r="U963" s="2">
        <f t="shared" si="225"/>
        <v>854</v>
      </c>
      <c r="V963" s="2" t="str">
        <f t="shared" si="220"/>
        <v>356</v>
      </c>
      <c r="W963" s="2" t="str">
        <f t="shared" si="221"/>
        <v/>
      </c>
      <c r="X963" s="2" t="str">
        <f t="shared" si="222"/>
        <v/>
      </c>
      <c r="Y963" s="2" t="str">
        <f t="shared" si="223"/>
        <v/>
      </c>
      <c r="Z963" s="2" t="str">
        <f t="shared" si="224"/>
        <v>X</v>
      </c>
      <c r="AA963" s="2" t="str">
        <f t="shared" si="226"/>
        <v/>
      </c>
      <c r="AB963" s="2" t="str">
        <f t="shared" si="227"/>
        <v/>
      </c>
      <c r="AC963" s="2" t="str">
        <f t="shared" si="228"/>
        <v/>
      </c>
      <c r="AD963" s="2" t="str">
        <f t="shared" si="229"/>
        <v>(0)</v>
      </c>
      <c r="AE963" s="2" t="str">
        <f t="shared" si="230"/>
        <v/>
      </c>
      <c r="AF963" s="2" t="str">
        <f t="shared" si="231"/>
        <v/>
      </c>
      <c r="AG963" s="2" t="str">
        <f t="shared" si="232"/>
        <v/>
      </c>
      <c r="AH963" s="2" t="str">
        <f t="shared" si="233"/>
        <v/>
      </c>
    </row>
    <row r="964" spans="2:34" x14ac:dyDescent="0.25">
      <c r="B964" s="2" t="s">
        <v>1104</v>
      </c>
      <c r="D964" s="2" t="s">
        <v>1</v>
      </c>
      <c r="E964" s="2" t="s">
        <v>134</v>
      </c>
      <c r="F964" s="2" t="s">
        <v>1105</v>
      </c>
      <c r="G964" s="2" t="s">
        <v>1106</v>
      </c>
      <c r="H964" s="2" t="s">
        <v>622</v>
      </c>
      <c r="I964" s="2" t="s">
        <v>42</v>
      </c>
      <c r="J964" s="2">
        <v>1</v>
      </c>
      <c r="K964" s="2" t="s">
        <v>82</v>
      </c>
      <c r="L964" s="2" t="s">
        <v>41</v>
      </c>
      <c r="M964" s="2" t="s">
        <v>135</v>
      </c>
      <c r="N964" s="2" t="s">
        <v>1107</v>
      </c>
      <c r="O964" s="2" t="s">
        <v>623</v>
      </c>
      <c r="P964" s="2" t="s">
        <v>5</v>
      </c>
      <c r="Q964" s="2">
        <f>INDEX(Tables!$C$4:$C$28,MATCH($P964,Tables!$B$4:$B$28,0))</f>
        <v>32</v>
      </c>
      <c r="R964" s="2">
        <f>INDEX(Tables!$D$4:$D$28,MATCH($P964,Tables!$B$4:$B$28,0))</f>
        <v>4</v>
      </c>
      <c r="S964" s="2">
        <f>$S963+$R963+INDEX(Tables!$N$5:$Q$8,MATCH(MOD($S963+$R963,4),Tables!$M$5:$M$8,0),MATCH($R964,Tables!$N$4:$Q$4,0))</f>
        <v>3420</v>
      </c>
      <c r="T964" s="2" t="str">
        <f t="shared" si="219"/>
        <v>0D5C</v>
      </c>
      <c r="U964" s="2">
        <f t="shared" si="225"/>
        <v>855</v>
      </c>
      <c r="V964" s="2" t="str">
        <f t="shared" si="220"/>
        <v>357</v>
      </c>
      <c r="W964" s="2" t="str">
        <f t="shared" si="221"/>
        <v/>
      </c>
      <c r="X964" s="2" t="str">
        <f t="shared" si="222"/>
        <v/>
      </c>
      <c r="Y964" s="2" t="str">
        <f t="shared" si="223"/>
        <v/>
      </c>
      <c r="Z964" s="2" t="str">
        <f t="shared" si="224"/>
        <v>X</v>
      </c>
      <c r="AA964" s="2" t="str">
        <f t="shared" si="226"/>
        <v/>
      </c>
      <c r="AB964" s="2" t="str">
        <f t="shared" si="227"/>
        <v/>
      </c>
      <c r="AC964" s="2" t="str">
        <f t="shared" si="228"/>
        <v/>
      </c>
      <c r="AD964" s="2" t="str">
        <f t="shared" si="229"/>
        <v>(0)</v>
      </c>
      <c r="AE964" s="2" t="str">
        <f t="shared" si="230"/>
        <v/>
      </c>
      <c r="AF964" s="2" t="str">
        <f t="shared" si="231"/>
        <v/>
      </c>
      <c r="AG964" s="2" t="str">
        <f t="shared" si="232"/>
        <v/>
      </c>
      <c r="AH964" s="2" t="str">
        <f t="shared" si="233"/>
        <v/>
      </c>
    </row>
    <row r="965" spans="2:34" x14ac:dyDescent="0.25">
      <c r="B965" s="2" t="s">
        <v>1104</v>
      </c>
      <c r="D965" s="2" t="s">
        <v>1</v>
      </c>
      <c r="E965" s="2" t="s">
        <v>134</v>
      </c>
      <c r="F965" s="2" t="s">
        <v>1105</v>
      </c>
      <c r="G965" s="2" t="s">
        <v>1106</v>
      </c>
      <c r="H965" s="2" t="s">
        <v>624</v>
      </c>
      <c r="I965" s="2" t="s">
        <v>42</v>
      </c>
      <c r="J965" s="2">
        <v>1</v>
      </c>
      <c r="K965" s="2" t="s">
        <v>82</v>
      </c>
      <c r="L965" s="2" t="s">
        <v>41</v>
      </c>
      <c r="M965" s="2" t="s">
        <v>135</v>
      </c>
      <c r="N965" s="2" t="s">
        <v>1107</v>
      </c>
      <c r="O965" s="2" t="s">
        <v>625</v>
      </c>
      <c r="P965" s="2" t="s">
        <v>5</v>
      </c>
      <c r="Q965" s="2">
        <f>INDEX(Tables!$C$4:$C$28,MATCH($P965,Tables!$B$4:$B$28,0))</f>
        <v>32</v>
      </c>
      <c r="R965" s="2">
        <f>INDEX(Tables!$D$4:$D$28,MATCH($P965,Tables!$B$4:$B$28,0))</f>
        <v>4</v>
      </c>
      <c r="S965" s="2">
        <f>$S964+$R964+INDEX(Tables!$N$5:$Q$8,MATCH(MOD($S964+$R964,4),Tables!$M$5:$M$8,0),MATCH($R965,Tables!$N$4:$Q$4,0))</f>
        <v>3424</v>
      </c>
      <c r="T965" s="2" t="str">
        <f t="shared" ref="T965:T1028" si="234">DEC2HEX($S965,4)</f>
        <v>0D60</v>
      </c>
      <c r="U965" s="2">
        <f t="shared" si="225"/>
        <v>856</v>
      </c>
      <c r="V965" s="2" t="str">
        <f t="shared" ref="V965:V1028" si="235">DEC2HEX($U965,3)</f>
        <v>358</v>
      </c>
      <c r="W965" s="2" t="str">
        <f t="shared" ref="W965:W1028" si="236">IF(MOD($S965,4)=3,"X",IF(AND(MOD($S965,4)=2,$J965&gt;8),"X",IF(AND(MOD($S965,4)=1,$J965&gt;16),"X",IF(AND(MOD($S965,4)=0,$J965&gt;24),"X",""))))</f>
        <v/>
      </c>
      <c r="X965" s="2" t="str">
        <f t="shared" si="222"/>
        <v/>
      </c>
      <c r="Y965" s="2" t="str">
        <f t="shared" si="223"/>
        <v/>
      </c>
      <c r="Z965" s="2" t="str">
        <f t="shared" si="224"/>
        <v>X</v>
      </c>
      <c r="AA965" s="2" t="str">
        <f t="shared" si="226"/>
        <v/>
      </c>
      <c r="AB965" s="2" t="str">
        <f t="shared" si="227"/>
        <v/>
      </c>
      <c r="AC965" s="2" t="str">
        <f t="shared" si="228"/>
        <v/>
      </c>
      <c r="AD965" s="2" t="str">
        <f t="shared" si="229"/>
        <v>(0)</v>
      </c>
      <c r="AE965" s="2" t="str">
        <f t="shared" si="230"/>
        <v/>
      </c>
      <c r="AF965" s="2" t="str">
        <f t="shared" si="231"/>
        <v/>
      </c>
      <c r="AG965" s="2" t="str">
        <f t="shared" si="232"/>
        <v/>
      </c>
      <c r="AH965" s="2" t="str">
        <f t="shared" si="233"/>
        <v/>
      </c>
    </row>
    <row r="966" spans="2:34" x14ac:dyDescent="0.25">
      <c r="B966" s="2" t="s">
        <v>1104</v>
      </c>
      <c r="D966" s="2" t="s">
        <v>1</v>
      </c>
      <c r="E966" s="2" t="s">
        <v>134</v>
      </c>
      <c r="F966" s="2" t="s">
        <v>1105</v>
      </c>
      <c r="G966" s="2" t="s">
        <v>1106</v>
      </c>
      <c r="H966" s="2" t="s">
        <v>626</v>
      </c>
      <c r="I966" s="2" t="s">
        <v>42</v>
      </c>
      <c r="J966" s="2">
        <v>1</v>
      </c>
      <c r="K966" s="2" t="s">
        <v>82</v>
      </c>
      <c r="L966" s="2" t="s">
        <v>41</v>
      </c>
      <c r="M966" s="2" t="s">
        <v>135</v>
      </c>
      <c r="N966" s="2" t="s">
        <v>1107</v>
      </c>
      <c r="O966" s="2" t="s">
        <v>627</v>
      </c>
      <c r="P966" s="2" t="s">
        <v>5</v>
      </c>
      <c r="Q966" s="2">
        <f>INDEX(Tables!$C$4:$C$28,MATCH($P966,Tables!$B$4:$B$28,0))</f>
        <v>32</v>
      </c>
      <c r="R966" s="2">
        <f>INDEX(Tables!$D$4:$D$28,MATCH($P966,Tables!$B$4:$B$28,0))</f>
        <v>4</v>
      </c>
      <c r="S966" s="2">
        <f>$S965+$R965+INDEX(Tables!$N$5:$Q$8,MATCH(MOD($S965+$R965,4),Tables!$M$5:$M$8,0),MATCH($R966,Tables!$N$4:$Q$4,0))</f>
        <v>3428</v>
      </c>
      <c r="T966" s="2" t="str">
        <f t="shared" si="234"/>
        <v>0D64</v>
      </c>
      <c r="U966" s="2">
        <f t="shared" si="225"/>
        <v>857</v>
      </c>
      <c r="V966" s="2" t="str">
        <f t="shared" si="235"/>
        <v>359</v>
      </c>
      <c r="W966" s="2" t="str">
        <f t="shared" si="236"/>
        <v/>
      </c>
      <c r="X966" s="2" t="str">
        <f t="shared" si="222"/>
        <v/>
      </c>
      <c r="Y966" s="2" t="str">
        <f t="shared" si="223"/>
        <v/>
      </c>
      <c r="Z966" s="2" t="str">
        <f t="shared" si="224"/>
        <v>X</v>
      </c>
      <c r="AA966" s="2" t="str">
        <f t="shared" si="226"/>
        <v/>
      </c>
      <c r="AB966" s="2" t="str">
        <f t="shared" si="227"/>
        <v/>
      </c>
      <c r="AC966" s="2" t="str">
        <f t="shared" si="228"/>
        <v/>
      </c>
      <c r="AD966" s="2" t="str">
        <f t="shared" si="229"/>
        <v>(0)</v>
      </c>
      <c r="AE966" s="2" t="str">
        <f t="shared" si="230"/>
        <v/>
      </c>
      <c r="AF966" s="2" t="str">
        <f t="shared" si="231"/>
        <v/>
      </c>
      <c r="AG966" s="2" t="str">
        <f t="shared" si="232"/>
        <v/>
      </c>
      <c r="AH966" s="2" t="str">
        <f t="shared" si="233"/>
        <v/>
      </c>
    </row>
    <row r="967" spans="2:34" x14ac:dyDescent="0.25">
      <c r="B967" s="2" t="s">
        <v>1104</v>
      </c>
      <c r="D967" s="2" t="s">
        <v>1</v>
      </c>
      <c r="E967" s="2" t="s">
        <v>134</v>
      </c>
      <c r="F967" s="2" t="s">
        <v>1105</v>
      </c>
      <c r="G967" s="2" t="s">
        <v>1106</v>
      </c>
      <c r="H967" s="2" t="s">
        <v>628</v>
      </c>
      <c r="I967" s="2" t="s">
        <v>42</v>
      </c>
      <c r="J967" s="2">
        <v>1</v>
      </c>
      <c r="K967" s="2" t="s">
        <v>82</v>
      </c>
      <c r="L967" s="2" t="s">
        <v>41</v>
      </c>
      <c r="M967" s="2" t="s">
        <v>135</v>
      </c>
      <c r="N967" s="2" t="s">
        <v>1107</v>
      </c>
      <c r="O967" s="2" t="s">
        <v>629</v>
      </c>
      <c r="P967" s="2" t="s">
        <v>5</v>
      </c>
      <c r="Q967" s="2">
        <f>INDEX(Tables!$C$4:$C$28,MATCH($P967,Tables!$B$4:$B$28,0))</f>
        <v>32</v>
      </c>
      <c r="R967" s="2">
        <f>INDEX(Tables!$D$4:$D$28,MATCH($P967,Tables!$B$4:$B$28,0))</f>
        <v>4</v>
      </c>
      <c r="S967" s="2">
        <f>$S966+$R966+INDEX(Tables!$N$5:$Q$8,MATCH(MOD($S966+$R966,4),Tables!$M$5:$M$8,0),MATCH($R967,Tables!$N$4:$Q$4,0))</f>
        <v>3432</v>
      </c>
      <c r="T967" s="2" t="str">
        <f t="shared" si="234"/>
        <v>0D68</v>
      </c>
      <c r="U967" s="2">
        <f t="shared" si="225"/>
        <v>858</v>
      </c>
      <c r="V967" s="2" t="str">
        <f t="shared" si="235"/>
        <v>35A</v>
      </c>
      <c r="W967" s="2" t="str">
        <f t="shared" si="236"/>
        <v/>
      </c>
      <c r="X967" s="2" t="str">
        <f t="shared" si="222"/>
        <v/>
      </c>
      <c r="Y967" s="2" t="str">
        <f t="shared" si="223"/>
        <v/>
      </c>
      <c r="Z967" s="2" t="str">
        <f t="shared" si="224"/>
        <v>X</v>
      </c>
      <c r="AA967" s="2" t="str">
        <f t="shared" si="226"/>
        <v/>
      </c>
      <c r="AB967" s="2" t="str">
        <f t="shared" si="227"/>
        <v/>
      </c>
      <c r="AC967" s="2" t="str">
        <f t="shared" si="228"/>
        <v/>
      </c>
      <c r="AD967" s="2" t="str">
        <f t="shared" si="229"/>
        <v>(0)</v>
      </c>
      <c r="AE967" s="2" t="str">
        <f t="shared" si="230"/>
        <v/>
      </c>
      <c r="AF967" s="2" t="str">
        <f t="shared" si="231"/>
        <v/>
      </c>
      <c r="AG967" s="2" t="str">
        <f t="shared" si="232"/>
        <v/>
      </c>
      <c r="AH967" s="2" t="str">
        <f t="shared" si="233"/>
        <v/>
      </c>
    </row>
    <row r="968" spans="2:34" x14ac:dyDescent="0.25">
      <c r="B968" s="2" t="s">
        <v>1104</v>
      </c>
      <c r="D968" s="2" t="s">
        <v>1</v>
      </c>
      <c r="E968" s="2" t="s">
        <v>134</v>
      </c>
      <c r="F968" s="2" t="s">
        <v>1105</v>
      </c>
      <c r="G968" s="2" t="s">
        <v>1106</v>
      </c>
      <c r="H968" s="2" t="s">
        <v>630</v>
      </c>
      <c r="I968" s="2" t="s">
        <v>42</v>
      </c>
      <c r="J968" s="2">
        <v>1</v>
      </c>
      <c r="K968" s="2" t="s">
        <v>82</v>
      </c>
      <c r="L968" s="2" t="s">
        <v>41</v>
      </c>
      <c r="M968" s="2" t="s">
        <v>135</v>
      </c>
      <c r="N968" s="2" t="s">
        <v>1107</v>
      </c>
      <c r="O968" s="2" t="s">
        <v>631</v>
      </c>
      <c r="P968" s="2" t="s">
        <v>5</v>
      </c>
      <c r="Q968" s="2">
        <f>INDEX(Tables!$C$4:$C$28,MATCH($P968,Tables!$B$4:$B$28,0))</f>
        <v>32</v>
      </c>
      <c r="R968" s="2">
        <f>INDEX(Tables!$D$4:$D$28,MATCH($P968,Tables!$B$4:$B$28,0))</f>
        <v>4</v>
      </c>
      <c r="S968" s="2">
        <f>$S967+$R967+INDEX(Tables!$N$5:$Q$8,MATCH(MOD($S967+$R967,4),Tables!$M$5:$M$8,0),MATCH($R968,Tables!$N$4:$Q$4,0))</f>
        <v>3436</v>
      </c>
      <c r="T968" s="2" t="str">
        <f t="shared" si="234"/>
        <v>0D6C</v>
      </c>
      <c r="U968" s="2">
        <f t="shared" si="225"/>
        <v>859</v>
      </c>
      <c r="V968" s="2" t="str">
        <f t="shared" si="235"/>
        <v>35B</v>
      </c>
      <c r="W968" s="2" t="str">
        <f t="shared" si="236"/>
        <v/>
      </c>
      <c r="X968" s="2" t="str">
        <f t="shared" si="222"/>
        <v/>
      </c>
      <c r="Y968" s="2" t="str">
        <f t="shared" si="223"/>
        <v/>
      </c>
      <c r="Z968" s="2" t="str">
        <f t="shared" si="224"/>
        <v>X</v>
      </c>
      <c r="AA968" s="2" t="str">
        <f t="shared" si="226"/>
        <v/>
      </c>
      <c r="AB968" s="2" t="str">
        <f t="shared" si="227"/>
        <v/>
      </c>
      <c r="AC968" s="2" t="str">
        <f t="shared" si="228"/>
        <v/>
      </c>
      <c r="AD968" s="2" t="str">
        <f t="shared" si="229"/>
        <v>(0)</v>
      </c>
      <c r="AE968" s="2" t="str">
        <f t="shared" si="230"/>
        <v/>
      </c>
      <c r="AF968" s="2" t="str">
        <f t="shared" si="231"/>
        <v/>
      </c>
      <c r="AG968" s="2" t="str">
        <f t="shared" si="232"/>
        <v/>
      </c>
      <c r="AH968" s="2" t="str">
        <f t="shared" si="233"/>
        <v/>
      </c>
    </row>
    <row r="969" spans="2:34" x14ac:dyDescent="0.25">
      <c r="B969" s="2" t="s">
        <v>1104</v>
      </c>
      <c r="D969" s="2" t="s">
        <v>1</v>
      </c>
      <c r="E969" s="2" t="s">
        <v>134</v>
      </c>
      <c r="F969" s="2" t="s">
        <v>1105</v>
      </c>
      <c r="G969" s="2" t="s">
        <v>1106</v>
      </c>
      <c r="H969" s="2" t="s">
        <v>632</v>
      </c>
      <c r="I969" s="2" t="s">
        <v>42</v>
      </c>
      <c r="J969" s="2">
        <v>1</v>
      </c>
      <c r="K969" s="2" t="s">
        <v>82</v>
      </c>
      <c r="L969" s="2" t="s">
        <v>41</v>
      </c>
      <c r="M969" s="2" t="s">
        <v>135</v>
      </c>
      <c r="N969" s="2" t="s">
        <v>1107</v>
      </c>
      <c r="O969" s="2" t="s">
        <v>633</v>
      </c>
      <c r="P969" s="2" t="s">
        <v>5</v>
      </c>
      <c r="Q969" s="2">
        <f>INDEX(Tables!$C$4:$C$28,MATCH($P969,Tables!$B$4:$B$28,0))</f>
        <v>32</v>
      </c>
      <c r="R969" s="2">
        <f>INDEX(Tables!$D$4:$D$28,MATCH($P969,Tables!$B$4:$B$28,0))</f>
        <v>4</v>
      </c>
      <c r="S969" s="2">
        <f>$S968+$R968+INDEX(Tables!$N$5:$Q$8,MATCH(MOD($S968+$R968,4),Tables!$M$5:$M$8,0),MATCH($R969,Tables!$N$4:$Q$4,0))</f>
        <v>3440</v>
      </c>
      <c r="T969" s="2" t="str">
        <f t="shared" si="234"/>
        <v>0D70</v>
      </c>
      <c r="U969" s="2">
        <f t="shared" si="225"/>
        <v>860</v>
      </c>
      <c r="V969" s="2" t="str">
        <f t="shared" si="235"/>
        <v>35C</v>
      </c>
      <c r="W969" s="2" t="str">
        <f t="shared" si="236"/>
        <v/>
      </c>
      <c r="X969" s="2" t="str">
        <f t="shared" si="222"/>
        <v/>
      </c>
      <c r="Y969" s="2" t="str">
        <f t="shared" si="223"/>
        <v/>
      </c>
      <c r="Z969" s="2" t="str">
        <f t="shared" si="224"/>
        <v>X</v>
      </c>
      <c r="AA969" s="2" t="str">
        <f t="shared" si="226"/>
        <v/>
      </c>
      <c r="AB969" s="2" t="str">
        <f t="shared" si="227"/>
        <v/>
      </c>
      <c r="AC969" s="2" t="str">
        <f t="shared" si="228"/>
        <v/>
      </c>
      <c r="AD969" s="2" t="str">
        <f t="shared" si="229"/>
        <v>(0)</v>
      </c>
      <c r="AE969" s="2" t="str">
        <f t="shared" si="230"/>
        <v/>
      </c>
      <c r="AF969" s="2" t="str">
        <f t="shared" si="231"/>
        <v/>
      </c>
      <c r="AG969" s="2" t="str">
        <f t="shared" si="232"/>
        <v/>
      </c>
      <c r="AH969" s="2" t="str">
        <f t="shared" si="233"/>
        <v/>
      </c>
    </row>
    <row r="970" spans="2:34" x14ac:dyDescent="0.25">
      <c r="B970" s="2" t="s">
        <v>1104</v>
      </c>
      <c r="D970" s="2" t="s">
        <v>1</v>
      </c>
      <c r="E970" s="2" t="s">
        <v>134</v>
      </c>
      <c r="F970" s="2" t="s">
        <v>1105</v>
      </c>
      <c r="G970" s="2" t="s">
        <v>1106</v>
      </c>
      <c r="H970" s="2" t="s">
        <v>634</v>
      </c>
      <c r="I970" s="2" t="s">
        <v>42</v>
      </c>
      <c r="J970" s="2">
        <v>1</v>
      </c>
      <c r="K970" s="2" t="s">
        <v>82</v>
      </c>
      <c r="L970" s="2" t="s">
        <v>41</v>
      </c>
      <c r="M970" s="2" t="s">
        <v>135</v>
      </c>
      <c r="N970" s="2" t="s">
        <v>1107</v>
      </c>
      <c r="O970" s="2" t="s">
        <v>635</v>
      </c>
      <c r="P970" s="2" t="s">
        <v>5</v>
      </c>
      <c r="Q970" s="2">
        <f>INDEX(Tables!$C$4:$C$28,MATCH($P970,Tables!$B$4:$B$28,0))</f>
        <v>32</v>
      </c>
      <c r="R970" s="2">
        <f>INDEX(Tables!$D$4:$D$28,MATCH($P970,Tables!$B$4:$B$28,0))</f>
        <v>4</v>
      </c>
      <c r="S970" s="2">
        <f>$S969+$R969+INDEX(Tables!$N$5:$Q$8,MATCH(MOD($S969+$R969,4),Tables!$M$5:$M$8,0),MATCH($R970,Tables!$N$4:$Q$4,0))</f>
        <v>3444</v>
      </c>
      <c r="T970" s="2" t="str">
        <f t="shared" si="234"/>
        <v>0D74</v>
      </c>
      <c r="U970" s="2">
        <f t="shared" si="225"/>
        <v>861</v>
      </c>
      <c r="V970" s="2" t="str">
        <f t="shared" si="235"/>
        <v>35D</v>
      </c>
      <c r="W970" s="2" t="str">
        <f t="shared" si="236"/>
        <v/>
      </c>
      <c r="X970" s="2" t="str">
        <f t="shared" si="222"/>
        <v/>
      </c>
      <c r="Y970" s="2" t="str">
        <f t="shared" si="223"/>
        <v/>
      </c>
      <c r="Z970" s="2" t="str">
        <f t="shared" si="224"/>
        <v>X</v>
      </c>
      <c r="AA970" s="2" t="str">
        <f t="shared" si="226"/>
        <v/>
      </c>
      <c r="AB970" s="2" t="str">
        <f t="shared" si="227"/>
        <v/>
      </c>
      <c r="AC970" s="2" t="str">
        <f t="shared" si="228"/>
        <v/>
      </c>
      <c r="AD970" s="2" t="str">
        <f t="shared" si="229"/>
        <v>(0)</v>
      </c>
      <c r="AE970" s="2" t="str">
        <f t="shared" si="230"/>
        <v/>
      </c>
      <c r="AF970" s="2" t="str">
        <f t="shared" si="231"/>
        <v/>
      </c>
      <c r="AG970" s="2" t="str">
        <f t="shared" si="232"/>
        <v/>
      </c>
      <c r="AH970" s="2" t="str">
        <f t="shared" si="233"/>
        <v/>
      </c>
    </row>
    <row r="971" spans="2:34" x14ac:dyDescent="0.25">
      <c r="B971" s="2" t="s">
        <v>1104</v>
      </c>
      <c r="D971" s="2" t="s">
        <v>1</v>
      </c>
      <c r="E971" s="2" t="s">
        <v>134</v>
      </c>
      <c r="F971" s="2" t="s">
        <v>1105</v>
      </c>
      <c r="G971" s="2" t="s">
        <v>1106</v>
      </c>
      <c r="H971" s="2" t="s">
        <v>636</v>
      </c>
      <c r="I971" s="2" t="s">
        <v>42</v>
      </c>
      <c r="J971" s="2">
        <v>1</v>
      </c>
      <c r="K971" s="2" t="s">
        <v>82</v>
      </c>
      <c r="L971" s="2" t="s">
        <v>41</v>
      </c>
      <c r="M971" s="2" t="s">
        <v>135</v>
      </c>
      <c r="N971" s="2" t="s">
        <v>1107</v>
      </c>
      <c r="O971" s="2" t="s">
        <v>637</v>
      </c>
      <c r="P971" s="2" t="s">
        <v>5</v>
      </c>
      <c r="Q971" s="2">
        <f>INDEX(Tables!$C$4:$C$28,MATCH($P971,Tables!$B$4:$B$28,0))</f>
        <v>32</v>
      </c>
      <c r="R971" s="2">
        <f>INDEX(Tables!$D$4:$D$28,MATCH($P971,Tables!$B$4:$B$28,0))</f>
        <v>4</v>
      </c>
      <c r="S971" s="2">
        <f>$S970+$R970+INDEX(Tables!$N$5:$Q$8,MATCH(MOD($S970+$R970,4),Tables!$M$5:$M$8,0),MATCH($R971,Tables!$N$4:$Q$4,0))</f>
        <v>3448</v>
      </c>
      <c r="T971" s="2" t="str">
        <f t="shared" si="234"/>
        <v>0D78</v>
      </c>
      <c r="U971" s="2">
        <f t="shared" si="225"/>
        <v>862</v>
      </c>
      <c r="V971" s="2" t="str">
        <f t="shared" si="235"/>
        <v>35E</v>
      </c>
      <c r="W971" s="2" t="str">
        <f t="shared" si="236"/>
        <v/>
      </c>
      <c r="X971" s="2" t="str">
        <f t="shared" si="222"/>
        <v/>
      </c>
      <c r="Y971" s="2" t="str">
        <f t="shared" si="223"/>
        <v/>
      </c>
      <c r="Z971" s="2" t="str">
        <f t="shared" si="224"/>
        <v>X</v>
      </c>
      <c r="AA971" s="2" t="str">
        <f t="shared" si="226"/>
        <v/>
      </c>
      <c r="AB971" s="2" t="str">
        <f t="shared" si="227"/>
        <v/>
      </c>
      <c r="AC971" s="2" t="str">
        <f t="shared" si="228"/>
        <v/>
      </c>
      <c r="AD971" s="2" t="str">
        <f t="shared" si="229"/>
        <v>(0)</v>
      </c>
      <c r="AE971" s="2" t="str">
        <f t="shared" si="230"/>
        <v/>
      </c>
      <c r="AF971" s="2" t="str">
        <f t="shared" si="231"/>
        <v/>
      </c>
      <c r="AG971" s="2" t="str">
        <f t="shared" si="232"/>
        <v/>
      </c>
      <c r="AH971" s="2" t="str">
        <f t="shared" si="233"/>
        <v/>
      </c>
    </row>
    <row r="972" spans="2:34" x14ac:dyDescent="0.25">
      <c r="B972" s="2" t="s">
        <v>1104</v>
      </c>
      <c r="D972" s="2" t="s">
        <v>1</v>
      </c>
      <c r="E972" s="2" t="s">
        <v>134</v>
      </c>
      <c r="F972" s="2" t="s">
        <v>1105</v>
      </c>
      <c r="G972" s="2" t="s">
        <v>1106</v>
      </c>
      <c r="H972" s="2" t="s">
        <v>638</v>
      </c>
      <c r="I972" s="2" t="s">
        <v>42</v>
      </c>
      <c r="J972" s="2">
        <v>1</v>
      </c>
      <c r="K972" s="2" t="s">
        <v>82</v>
      </c>
      <c r="L972" s="2" t="s">
        <v>41</v>
      </c>
      <c r="M972" s="2" t="s">
        <v>135</v>
      </c>
      <c r="N972" s="2" t="s">
        <v>1107</v>
      </c>
      <c r="O972" s="2" t="s">
        <v>639</v>
      </c>
      <c r="P972" s="2" t="s">
        <v>5</v>
      </c>
      <c r="Q972" s="2">
        <f>INDEX(Tables!$C$4:$C$28,MATCH($P972,Tables!$B$4:$B$28,0))</f>
        <v>32</v>
      </c>
      <c r="R972" s="2">
        <f>INDEX(Tables!$D$4:$D$28,MATCH($P972,Tables!$B$4:$B$28,0))</f>
        <v>4</v>
      </c>
      <c r="S972" s="2">
        <f>$S971+$R971+INDEX(Tables!$N$5:$Q$8,MATCH(MOD($S971+$R971,4),Tables!$M$5:$M$8,0),MATCH($R972,Tables!$N$4:$Q$4,0))</f>
        <v>3452</v>
      </c>
      <c r="T972" s="2" t="str">
        <f t="shared" si="234"/>
        <v>0D7C</v>
      </c>
      <c r="U972" s="2">
        <f t="shared" si="225"/>
        <v>863</v>
      </c>
      <c r="V972" s="2" t="str">
        <f t="shared" si="235"/>
        <v>35F</v>
      </c>
      <c r="W972" s="2" t="str">
        <f t="shared" si="236"/>
        <v/>
      </c>
      <c r="X972" s="2" t="str">
        <f t="shared" si="222"/>
        <v/>
      </c>
      <c r="Y972" s="2" t="str">
        <f t="shared" si="223"/>
        <v/>
      </c>
      <c r="Z972" s="2" t="str">
        <f t="shared" si="224"/>
        <v>X</v>
      </c>
      <c r="AA972" s="2" t="str">
        <f t="shared" si="226"/>
        <v/>
      </c>
      <c r="AB972" s="2" t="str">
        <f t="shared" si="227"/>
        <v/>
      </c>
      <c r="AC972" s="2" t="str">
        <f t="shared" si="228"/>
        <v/>
      </c>
      <c r="AD972" s="2" t="str">
        <f t="shared" si="229"/>
        <v>(0)</v>
      </c>
      <c r="AE972" s="2" t="str">
        <f t="shared" si="230"/>
        <v/>
      </c>
      <c r="AF972" s="2" t="str">
        <f t="shared" si="231"/>
        <v/>
      </c>
      <c r="AG972" s="2" t="str">
        <f t="shared" si="232"/>
        <v/>
      </c>
      <c r="AH972" s="2" t="str">
        <f t="shared" si="233"/>
        <v/>
      </c>
    </row>
    <row r="973" spans="2:34" x14ac:dyDescent="0.25">
      <c r="B973" s="2" t="s">
        <v>1104</v>
      </c>
      <c r="D973" s="2" t="s">
        <v>1</v>
      </c>
      <c r="E973" s="2" t="s">
        <v>134</v>
      </c>
      <c r="F973" s="2" t="s">
        <v>1105</v>
      </c>
      <c r="G973" s="2" t="s">
        <v>1106</v>
      </c>
      <c r="H973" s="2" t="s">
        <v>640</v>
      </c>
      <c r="I973" s="2" t="s">
        <v>42</v>
      </c>
      <c r="J973" s="2">
        <v>1</v>
      </c>
      <c r="K973" s="2" t="s">
        <v>136</v>
      </c>
      <c r="L973" s="2" t="s">
        <v>41</v>
      </c>
      <c r="M973" s="2" t="s">
        <v>135</v>
      </c>
      <c r="N973" s="2" t="s">
        <v>1107</v>
      </c>
      <c r="O973" s="2" t="s">
        <v>641</v>
      </c>
      <c r="P973" s="2" t="s">
        <v>5</v>
      </c>
      <c r="Q973" s="2">
        <f>INDEX(Tables!$C$4:$C$28,MATCH($P973,Tables!$B$4:$B$28,0))</f>
        <v>32</v>
      </c>
      <c r="R973" s="2">
        <f>INDEX(Tables!$D$4:$D$28,MATCH($P973,Tables!$B$4:$B$28,0))</f>
        <v>4</v>
      </c>
      <c r="S973" s="2">
        <f>$S972+$R972+INDEX(Tables!$N$5:$Q$8,MATCH(MOD($S972+$R972,4),Tables!$M$5:$M$8,0),MATCH($R973,Tables!$N$4:$Q$4,0))</f>
        <v>3456</v>
      </c>
      <c r="T973" s="2" t="str">
        <f t="shared" si="234"/>
        <v>0D80</v>
      </c>
      <c r="U973" s="2">
        <f t="shared" si="225"/>
        <v>864</v>
      </c>
      <c r="V973" s="2" t="str">
        <f t="shared" si="235"/>
        <v>360</v>
      </c>
      <c r="W973" s="2" t="str">
        <f t="shared" si="236"/>
        <v/>
      </c>
      <c r="X973" s="2" t="str">
        <f t="shared" si="222"/>
        <v/>
      </c>
      <c r="Y973" s="2" t="str">
        <f t="shared" si="223"/>
        <v/>
      </c>
      <c r="Z973" s="2" t="str">
        <f t="shared" si="224"/>
        <v>X</v>
      </c>
      <c r="AA973" s="2" t="str">
        <f t="shared" si="226"/>
        <v/>
      </c>
      <c r="AB973" s="2" t="str">
        <f t="shared" si="227"/>
        <v/>
      </c>
      <c r="AC973" s="2" t="str">
        <f t="shared" si="228"/>
        <v/>
      </c>
      <c r="AD973" s="2" t="str">
        <f t="shared" si="229"/>
        <v>(0)</v>
      </c>
      <c r="AE973" s="2" t="str">
        <f t="shared" si="230"/>
        <v/>
      </c>
      <c r="AF973" s="2" t="str">
        <f t="shared" si="231"/>
        <v/>
      </c>
      <c r="AG973" s="2" t="str">
        <f t="shared" si="232"/>
        <v/>
      </c>
      <c r="AH973" s="2" t="str">
        <f t="shared" si="233"/>
        <v/>
      </c>
    </row>
    <row r="974" spans="2:34" x14ac:dyDescent="0.25">
      <c r="B974" s="2" t="s">
        <v>1104</v>
      </c>
      <c r="D974" s="2" t="s">
        <v>1</v>
      </c>
      <c r="E974" s="2" t="s">
        <v>134</v>
      </c>
      <c r="F974" s="2" t="s">
        <v>1105</v>
      </c>
      <c r="G974" s="2" t="s">
        <v>1106</v>
      </c>
      <c r="H974" s="2" t="s">
        <v>642</v>
      </c>
      <c r="I974" s="2" t="s">
        <v>42</v>
      </c>
      <c r="J974" s="2">
        <v>1</v>
      </c>
      <c r="K974" s="2" t="s">
        <v>136</v>
      </c>
      <c r="L974" s="2" t="s">
        <v>41</v>
      </c>
      <c r="M974" s="2" t="s">
        <v>135</v>
      </c>
      <c r="N974" s="2" t="s">
        <v>1107</v>
      </c>
      <c r="O974" s="2" t="s">
        <v>643</v>
      </c>
      <c r="P974" s="2" t="s">
        <v>5</v>
      </c>
      <c r="Q974" s="2">
        <f>INDEX(Tables!$C$4:$C$28,MATCH($P974,Tables!$B$4:$B$28,0))</f>
        <v>32</v>
      </c>
      <c r="R974" s="2">
        <f>INDEX(Tables!$D$4:$D$28,MATCH($P974,Tables!$B$4:$B$28,0))</f>
        <v>4</v>
      </c>
      <c r="S974" s="2">
        <f>$S973+$R973+INDEX(Tables!$N$5:$Q$8,MATCH(MOD($S973+$R973,4),Tables!$M$5:$M$8,0),MATCH($R974,Tables!$N$4:$Q$4,0))</f>
        <v>3460</v>
      </c>
      <c r="T974" s="2" t="str">
        <f t="shared" si="234"/>
        <v>0D84</v>
      </c>
      <c r="U974" s="2">
        <f t="shared" si="225"/>
        <v>865</v>
      </c>
      <c r="V974" s="2" t="str">
        <f t="shared" si="235"/>
        <v>361</v>
      </c>
      <c r="W974" s="2" t="str">
        <f t="shared" si="236"/>
        <v/>
      </c>
      <c r="X974" s="2" t="str">
        <f t="shared" si="222"/>
        <v/>
      </c>
      <c r="Y974" s="2" t="str">
        <f t="shared" si="223"/>
        <v/>
      </c>
      <c r="Z974" s="2" t="str">
        <f t="shared" si="224"/>
        <v>X</v>
      </c>
      <c r="AA974" s="2" t="str">
        <f t="shared" si="226"/>
        <v/>
      </c>
      <c r="AB974" s="2" t="str">
        <f t="shared" si="227"/>
        <v/>
      </c>
      <c r="AC974" s="2" t="str">
        <f t="shared" si="228"/>
        <v/>
      </c>
      <c r="AD974" s="2" t="str">
        <f t="shared" si="229"/>
        <v>(0)</v>
      </c>
      <c r="AE974" s="2" t="str">
        <f t="shared" si="230"/>
        <v/>
      </c>
      <c r="AF974" s="2" t="str">
        <f t="shared" si="231"/>
        <v/>
      </c>
      <c r="AG974" s="2" t="str">
        <f t="shared" si="232"/>
        <v/>
      </c>
      <c r="AH974" s="2" t="str">
        <f t="shared" si="233"/>
        <v/>
      </c>
    </row>
    <row r="975" spans="2:34" x14ac:dyDescent="0.25">
      <c r="B975" s="2" t="s">
        <v>1104</v>
      </c>
      <c r="D975" s="2" t="s">
        <v>1</v>
      </c>
      <c r="E975" s="2" t="s">
        <v>134</v>
      </c>
      <c r="F975" s="2" t="s">
        <v>1105</v>
      </c>
      <c r="G975" s="2" t="s">
        <v>1106</v>
      </c>
      <c r="H975" s="2" t="s">
        <v>644</v>
      </c>
      <c r="I975" s="2" t="s">
        <v>42</v>
      </c>
      <c r="J975" s="2">
        <v>1</v>
      </c>
      <c r="K975" s="2" t="s">
        <v>136</v>
      </c>
      <c r="L975" s="2" t="s">
        <v>41</v>
      </c>
      <c r="M975" s="2" t="s">
        <v>135</v>
      </c>
      <c r="N975" s="2" t="s">
        <v>1107</v>
      </c>
      <c r="O975" s="2" t="s">
        <v>645</v>
      </c>
      <c r="P975" s="2" t="s">
        <v>5</v>
      </c>
      <c r="Q975" s="2">
        <f>INDEX(Tables!$C$4:$C$28,MATCH($P975,Tables!$B$4:$B$28,0))</f>
        <v>32</v>
      </c>
      <c r="R975" s="2">
        <f>INDEX(Tables!$D$4:$D$28,MATCH($P975,Tables!$B$4:$B$28,0))</f>
        <v>4</v>
      </c>
      <c r="S975" s="2">
        <f>$S974+$R974+INDEX(Tables!$N$5:$Q$8,MATCH(MOD($S974+$R974,4),Tables!$M$5:$M$8,0),MATCH($R975,Tables!$N$4:$Q$4,0))</f>
        <v>3464</v>
      </c>
      <c r="T975" s="2" t="str">
        <f t="shared" si="234"/>
        <v>0D88</v>
      </c>
      <c r="U975" s="2">
        <f t="shared" si="225"/>
        <v>866</v>
      </c>
      <c r="V975" s="2" t="str">
        <f t="shared" si="235"/>
        <v>362</v>
      </c>
      <c r="W975" s="2" t="str">
        <f t="shared" si="236"/>
        <v/>
      </c>
      <c r="X975" s="2" t="str">
        <f t="shared" si="222"/>
        <v/>
      </c>
      <c r="Y975" s="2" t="str">
        <f t="shared" si="223"/>
        <v/>
      </c>
      <c r="Z975" s="2" t="str">
        <f t="shared" si="224"/>
        <v>X</v>
      </c>
      <c r="AA975" s="2" t="str">
        <f t="shared" si="226"/>
        <v/>
      </c>
      <c r="AB975" s="2" t="str">
        <f t="shared" si="227"/>
        <v/>
      </c>
      <c r="AC975" s="2" t="str">
        <f t="shared" si="228"/>
        <v/>
      </c>
      <c r="AD975" s="2" t="str">
        <f t="shared" si="229"/>
        <v>(0)</v>
      </c>
      <c r="AE975" s="2" t="str">
        <f t="shared" si="230"/>
        <v/>
      </c>
      <c r="AF975" s="2" t="str">
        <f t="shared" si="231"/>
        <v/>
      </c>
      <c r="AG975" s="2" t="str">
        <f t="shared" si="232"/>
        <v/>
      </c>
      <c r="AH975" s="2" t="str">
        <f t="shared" si="233"/>
        <v/>
      </c>
    </row>
    <row r="976" spans="2:34" x14ac:dyDescent="0.25">
      <c r="B976" s="2" t="s">
        <v>1104</v>
      </c>
      <c r="D976" s="2" t="s">
        <v>1</v>
      </c>
      <c r="E976" s="2" t="s">
        <v>134</v>
      </c>
      <c r="F976" s="2" t="s">
        <v>1105</v>
      </c>
      <c r="G976" s="2" t="s">
        <v>1106</v>
      </c>
      <c r="H976" s="2" t="s">
        <v>646</v>
      </c>
      <c r="I976" s="2" t="s">
        <v>42</v>
      </c>
      <c r="J976" s="2">
        <v>1</v>
      </c>
      <c r="K976" s="2" t="s">
        <v>136</v>
      </c>
      <c r="L976" s="2" t="s">
        <v>41</v>
      </c>
      <c r="M976" s="2" t="s">
        <v>135</v>
      </c>
      <c r="N976" s="2" t="s">
        <v>1107</v>
      </c>
      <c r="O976" s="2" t="s">
        <v>647</v>
      </c>
      <c r="P976" s="2" t="s">
        <v>5</v>
      </c>
      <c r="Q976" s="2">
        <f>INDEX(Tables!$C$4:$C$28,MATCH($P976,Tables!$B$4:$B$28,0))</f>
        <v>32</v>
      </c>
      <c r="R976" s="2">
        <f>INDEX(Tables!$D$4:$D$28,MATCH($P976,Tables!$B$4:$B$28,0))</f>
        <v>4</v>
      </c>
      <c r="S976" s="2">
        <f>$S975+$R975+INDEX(Tables!$N$5:$Q$8,MATCH(MOD($S975+$R975,4),Tables!$M$5:$M$8,0),MATCH($R976,Tables!$N$4:$Q$4,0))</f>
        <v>3468</v>
      </c>
      <c r="T976" s="2" t="str">
        <f t="shared" si="234"/>
        <v>0D8C</v>
      </c>
      <c r="U976" s="2">
        <f t="shared" si="225"/>
        <v>867</v>
      </c>
      <c r="V976" s="2" t="str">
        <f t="shared" si="235"/>
        <v>363</v>
      </c>
      <c r="W976" s="2" t="str">
        <f t="shared" si="236"/>
        <v/>
      </c>
      <c r="X976" s="2" t="str">
        <f t="shared" si="222"/>
        <v/>
      </c>
      <c r="Y976" s="2" t="str">
        <f t="shared" si="223"/>
        <v/>
      </c>
      <c r="Z976" s="2" t="str">
        <f t="shared" si="224"/>
        <v>X</v>
      </c>
      <c r="AA976" s="2" t="str">
        <f t="shared" si="226"/>
        <v/>
      </c>
      <c r="AB976" s="2" t="str">
        <f t="shared" si="227"/>
        <v/>
      </c>
      <c r="AC976" s="2" t="str">
        <f t="shared" si="228"/>
        <v/>
      </c>
      <c r="AD976" s="2" t="str">
        <f t="shared" si="229"/>
        <v>(0)</v>
      </c>
      <c r="AE976" s="2" t="str">
        <f t="shared" si="230"/>
        <v/>
      </c>
      <c r="AF976" s="2" t="str">
        <f t="shared" si="231"/>
        <v/>
      </c>
      <c r="AG976" s="2" t="str">
        <f t="shared" si="232"/>
        <v/>
      </c>
      <c r="AH976" s="2" t="str">
        <f t="shared" si="233"/>
        <v/>
      </c>
    </row>
    <row r="977" spans="2:34" x14ac:dyDescent="0.25">
      <c r="B977" s="2" t="s">
        <v>1104</v>
      </c>
      <c r="D977" s="2" t="s">
        <v>1</v>
      </c>
      <c r="E977" s="2" t="s">
        <v>134</v>
      </c>
      <c r="F977" s="2" t="s">
        <v>1105</v>
      </c>
      <c r="G977" s="2" t="s">
        <v>1106</v>
      </c>
      <c r="H977" s="2" t="s">
        <v>648</v>
      </c>
      <c r="I977" s="2" t="s">
        <v>42</v>
      </c>
      <c r="J977" s="2">
        <v>1</v>
      </c>
      <c r="K977" s="2" t="s">
        <v>82</v>
      </c>
      <c r="L977" s="2" t="s">
        <v>41</v>
      </c>
      <c r="M977" s="2" t="s">
        <v>135</v>
      </c>
      <c r="N977" s="2" t="s">
        <v>1107</v>
      </c>
      <c r="O977" s="2" t="s">
        <v>649</v>
      </c>
      <c r="P977" s="2" t="s">
        <v>5</v>
      </c>
      <c r="Q977" s="2">
        <f>INDEX(Tables!$C$4:$C$28,MATCH($P977,Tables!$B$4:$B$28,0))</f>
        <v>32</v>
      </c>
      <c r="R977" s="2">
        <f>INDEX(Tables!$D$4:$D$28,MATCH($P977,Tables!$B$4:$B$28,0))</f>
        <v>4</v>
      </c>
      <c r="S977" s="2">
        <f>$S976+$R976+INDEX(Tables!$N$5:$Q$8,MATCH(MOD($S976+$R976,4),Tables!$M$5:$M$8,0),MATCH($R977,Tables!$N$4:$Q$4,0))</f>
        <v>3472</v>
      </c>
      <c r="T977" s="2" t="str">
        <f t="shared" si="234"/>
        <v>0D90</v>
      </c>
      <c r="U977" s="2">
        <f t="shared" si="225"/>
        <v>868</v>
      </c>
      <c r="V977" s="2" t="str">
        <f t="shared" si="235"/>
        <v>364</v>
      </c>
      <c r="W977" s="2" t="str">
        <f t="shared" si="236"/>
        <v/>
      </c>
      <c r="X977" s="2" t="str">
        <f t="shared" si="222"/>
        <v/>
      </c>
      <c r="Y977" s="2" t="str">
        <f t="shared" si="223"/>
        <v/>
      </c>
      <c r="Z977" s="2" t="str">
        <f t="shared" si="224"/>
        <v>X</v>
      </c>
      <c r="AA977" s="2" t="str">
        <f t="shared" si="226"/>
        <v/>
      </c>
      <c r="AB977" s="2" t="str">
        <f t="shared" si="227"/>
        <v/>
      </c>
      <c r="AC977" s="2" t="str">
        <f t="shared" si="228"/>
        <v/>
      </c>
      <c r="AD977" s="2" t="str">
        <f t="shared" si="229"/>
        <v>(0)</v>
      </c>
      <c r="AE977" s="2" t="str">
        <f t="shared" si="230"/>
        <v/>
      </c>
      <c r="AF977" s="2" t="str">
        <f t="shared" si="231"/>
        <v/>
      </c>
      <c r="AG977" s="2" t="str">
        <f t="shared" si="232"/>
        <v/>
      </c>
      <c r="AH977" s="2" t="str">
        <f t="shared" si="233"/>
        <v/>
      </c>
    </row>
    <row r="978" spans="2:34" x14ac:dyDescent="0.25">
      <c r="B978" s="2" t="s">
        <v>1104</v>
      </c>
      <c r="D978" s="2" t="s">
        <v>1</v>
      </c>
      <c r="E978" s="2" t="s">
        <v>134</v>
      </c>
      <c r="F978" s="2" t="s">
        <v>1105</v>
      </c>
      <c r="G978" s="2" t="s">
        <v>1106</v>
      </c>
      <c r="H978" s="2" t="s">
        <v>650</v>
      </c>
      <c r="I978" s="2" t="s">
        <v>42</v>
      </c>
      <c r="J978" s="2">
        <v>1</v>
      </c>
      <c r="K978" s="2" t="s">
        <v>82</v>
      </c>
      <c r="L978" s="2" t="s">
        <v>41</v>
      </c>
      <c r="M978" s="2" t="s">
        <v>135</v>
      </c>
      <c r="N978" s="2" t="s">
        <v>1107</v>
      </c>
      <c r="O978" s="2" t="s">
        <v>651</v>
      </c>
      <c r="P978" s="2" t="s">
        <v>5</v>
      </c>
      <c r="Q978" s="2">
        <f>INDEX(Tables!$C$4:$C$28,MATCH($P978,Tables!$B$4:$B$28,0))</f>
        <v>32</v>
      </c>
      <c r="R978" s="2">
        <f>INDEX(Tables!$D$4:$D$28,MATCH($P978,Tables!$B$4:$B$28,0))</f>
        <v>4</v>
      </c>
      <c r="S978" s="2">
        <f>$S977+$R977+INDEX(Tables!$N$5:$Q$8,MATCH(MOD($S977+$R977,4),Tables!$M$5:$M$8,0),MATCH($R978,Tables!$N$4:$Q$4,0))</f>
        <v>3476</v>
      </c>
      <c r="T978" s="2" t="str">
        <f t="shared" si="234"/>
        <v>0D94</v>
      </c>
      <c r="U978" s="2">
        <f t="shared" si="225"/>
        <v>869</v>
      </c>
      <c r="V978" s="2" t="str">
        <f t="shared" si="235"/>
        <v>365</v>
      </c>
      <c r="W978" s="2" t="str">
        <f t="shared" si="236"/>
        <v/>
      </c>
      <c r="X978" s="2" t="str">
        <f t="shared" si="222"/>
        <v/>
      </c>
      <c r="Y978" s="2" t="str">
        <f t="shared" si="223"/>
        <v/>
      </c>
      <c r="Z978" s="2" t="str">
        <f t="shared" si="224"/>
        <v>X</v>
      </c>
      <c r="AA978" s="2" t="str">
        <f t="shared" si="226"/>
        <v/>
      </c>
      <c r="AB978" s="2" t="str">
        <f t="shared" si="227"/>
        <v/>
      </c>
      <c r="AC978" s="2" t="str">
        <f t="shared" si="228"/>
        <v/>
      </c>
      <c r="AD978" s="2" t="str">
        <f t="shared" si="229"/>
        <v>(0)</v>
      </c>
      <c r="AE978" s="2" t="str">
        <f t="shared" si="230"/>
        <v/>
      </c>
      <c r="AF978" s="2" t="str">
        <f t="shared" si="231"/>
        <v/>
      </c>
      <c r="AG978" s="2" t="str">
        <f t="shared" si="232"/>
        <v/>
      </c>
      <c r="AH978" s="2" t="str">
        <f t="shared" si="233"/>
        <v/>
      </c>
    </row>
    <row r="979" spans="2:34" x14ac:dyDescent="0.25">
      <c r="B979" s="2" t="s">
        <v>1104</v>
      </c>
      <c r="D979" s="2" t="s">
        <v>1</v>
      </c>
      <c r="E979" s="2" t="s">
        <v>134</v>
      </c>
      <c r="F979" s="2" t="s">
        <v>1105</v>
      </c>
      <c r="G979" s="2" t="s">
        <v>1106</v>
      </c>
      <c r="H979" s="2" t="s">
        <v>652</v>
      </c>
      <c r="I979" s="2" t="s">
        <v>42</v>
      </c>
      <c r="J979" s="2">
        <v>1</v>
      </c>
      <c r="K979" s="2" t="s">
        <v>82</v>
      </c>
      <c r="L979" s="2" t="s">
        <v>41</v>
      </c>
      <c r="M979" s="2" t="s">
        <v>135</v>
      </c>
      <c r="N979" s="2" t="s">
        <v>1107</v>
      </c>
      <c r="O979" s="2" t="s">
        <v>653</v>
      </c>
      <c r="P979" s="2" t="s">
        <v>5</v>
      </c>
      <c r="Q979" s="2">
        <f>INDEX(Tables!$C$4:$C$28,MATCH($P979,Tables!$B$4:$B$28,0))</f>
        <v>32</v>
      </c>
      <c r="R979" s="2">
        <f>INDEX(Tables!$D$4:$D$28,MATCH($P979,Tables!$B$4:$B$28,0))</f>
        <v>4</v>
      </c>
      <c r="S979" s="2">
        <f>$S978+$R978+INDEX(Tables!$N$5:$Q$8,MATCH(MOD($S978+$R978,4),Tables!$M$5:$M$8,0),MATCH($R979,Tables!$N$4:$Q$4,0))</f>
        <v>3480</v>
      </c>
      <c r="T979" s="2" t="str">
        <f t="shared" si="234"/>
        <v>0D98</v>
      </c>
      <c r="U979" s="2">
        <f t="shared" si="225"/>
        <v>870</v>
      </c>
      <c r="V979" s="2" t="str">
        <f t="shared" si="235"/>
        <v>366</v>
      </c>
      <c r="W979" s="2" t="str">
        <f t="shared" si="236"/>
        <v/>
      </c>
      <c r="X979" s="2" t="str">
        <f t="shared" ref="X979:X1042" si="237">IF(MOD($S979,4)=2,"X",IF(AND(MOD($S979,4)=1,$J979&gt;8),"X",IF(AND(MOD($S979,4)=0,$J979&gt;16),"X","")))</f>
        <v/>
      </c>
      <c r="Y979" s="2" t="str">
        <f t="shared" ref="Y979:Y1042" si="238">IF(MOD($S979,4)=1,"X",IF(AND(MOD($S979,4)=0,$J979&gt;8),"X",""))</f>
        <v/>
      </c>
      <c r="Z979" s="2" t="str">
        <f t="shared" ref="Z979:Z1042" si="239">IF(MOD($S979,4)=0,"X","")</f>
        <v>X</v>
      </c>
      <c r="AA979" s="2" t="str">
        <f t="shared" si="226"/>
        <v/>
      </c>
      <c r="AB979" s="2" t="str">
        <f t="shared" si="227"/>
        <v/>
      </c>
      <c r="AC979" s="2" t="str">
        <f t="shared" si="228"/>
        <v/>
      </c>
      <c r="AD979" s="2" t="str">
        <f t="shared" si="229"/>
        <v>(0)</v>
      </c>
      <c r="AE979" s="2" t="str">
        <f t="shared" si="230"/>
        <v/>
      </c>
      <c r="AF979" s="2" t="str">
        <f t="shared" si="231"/>
        <v/>
      </c>
      <c r="AG979" s="2" t="str">
        <f t="shared" si="232"/>
        <v/>
      </c>
      <c r="AH979" s="2" t="str">
        <f t="shared" si="233"/>
        <v/>
      </c>
    </row>
    <row r="980" spans="2:34" x14ac:dyDescent="0.25">
      <c r="B980" s="2" t="s">
        <v>1104</v>
      </c>
      <c r="D980" s="2" t="s">
        <v>1</v>
      </c>
      <c r="E980" s="2" t="s">
        <v>134</v>
      </c>
      <c r="F980" s="2" t="s">
        <v>1105</v>
      </c>
      <c r="G980" s="2" t="s">
        <v>1106</v>
      </c>
      <c r="H980" s="2" t="s">
        <v>654</v>
      </c>
      <c r="I980" s="2" t="s">
        <v>42</v>
      </c>
      <c r="J980" s="2">
        <v>1</v>
      </c>
      <c r="K980" s="2" t="s">
        <v>82</v>
      </c>
      <c r="L980" s="2" t="s">
        <v>41</v>
      </c>
      <c r="M980" s="2" t="s">
        <v>135</v>
      </c>
      <c r="N980" s="2" t="s">
        <v>1107</v>
      </c>
      <c r="O980" s="2" t="s">
        <v>655</v>
      </c>
      <c r="P980" s="2" t="s">
        <v>5</v>
      </c>
      <c r="Q980" s="2">
        <f>INDEX(Tables!$C$4:$C$28,MATCH($P980,Tables!$B$4:$B$28,0))</f>
        <v>32</v>
      </c>
      <c r="R980" s="2">
        <f>INDEX(Tables!$D$4:$D$28,MATCH($P980,Tables!$B$4:$B$28,0))</f>
        <v>4</v>
      </c>
      <c r="S980" s="2">
        <f>$S979+$R979+INDEX(Tables!$N$5:$Q$8,MATCH(MOD($S979+$R979,4),Tables!$M$5:$M$8,0),MATCH($R980,Tables!$N$4:$Q$4,0))</f>
        <v>3484</v>
      </c>
      <c r="T980" s="2" t="str">
        <f t="shared" si="234"/>
        <v>0D9C</v>
      </c>
      <c r="U980" s="2">
        <f t="shared" si="225"/>
        <v>871</v>
      </c>
      <c r="V980" s="2" t="str">
        <f t="shared" si="235"/>
        <v>367</v>
      </c>
      <c r="W980" s="2" t="str">
        <f t="shared" si="236"/>
        <v/>
      </c>
      <c r="X980" s="2" t="str">
        <f t="shared" si="237"/>
        <v/>
      </c>
      <c r="Y980" s="2" t="str">
        <f t="shared" si="238"/>
        <v/>
      </c>
      <c r="Z980" s="2" t="str">
        <f t="shared" si="239"/>
        <v>X</v>
      </c>
      <c r="AA980" s="2" t="str">
        <f t="shared" si="226"/>
        <v/>
      </c>
      <c r="AB980" s="2" t="str">
        <f t="shared" si="227"/>
        <v/>
      </c>
      <c r="AC980" s="2" t="str">
        <f t="shared" si="228"/>
        <v/>
      </c>
      <c r="AD980" s="2" t="str">
        <f t="shared" si="229"/>
        <v>(0)</v>
      </c>
      <c r="AE980" s="2" t="str">
        <f t="shared" si="230"/>
        <v/>
      </c>
      <c r="AF980" s="2" t="str">
        <f t="shared" si="231"/>
        <v/>
      </c>
      <c r="AG980" s="2" t="str">
        <f t="shared" si="232"/>
        <v/>
      </c>
      <c r="AH980" s="2" t="str">
        <f t="shared" si="233"/>
        <v/>
      </c>
    </row>
    <row r="981" spans="2:34" x14ac:dyDescent="0.25">
      <c r="B981" s="2" t="s">
        <v>1104</v>
      </c>
      <c r="D981" s="2" t="s">
        <v>1</v>
      </c>
      <c r="E981" s="2" t="s">
        <v>134</v>
      </c>
      <c r="F981" s="2" t="s">
        <v>1105</v>
      </c>
      <c r="G981" s="2" t="s">
        <v>1106</v>
      </c>
      <c r="H981" s="2" t="s">
        <v>656</v>
      </c>
      <c r="I981" s="2" t="s">
        <v>42</v>
      </c>
      <c r="J981" s="2">
        <v>1</v>
      </c>
      <c r="K981" s="2" t="s">
        <v>82</v>
      </c>
      <c r="L981" s="2" t="s">
        <v>41</v>
      </c>
      <c r="M981" s="2" t="s">
        <v>135</v>
      </c>
      <c r="N981" s="2" t="s">
        <v>1107</v>
      </c>
      <c r="O981" s="2" t="s">
        <v>657</v>
      </c>
      <c r="P981" s="2" t="s">
        <v>5</v>
      </c>
      <c r="Q981" s="2">
        <f>INDEX(Tables!$C$4:$C$28,MATCH($P981,Tables!$B$4:$B$28,0))</f>
        <v>32</v>
      </c>
      <c r="R981" s="2">
        <f>INDEX(Tables!$D$4:$D$28,MATCH($P981,Tables!$B$4:$B$28,0))</f>
        <v>4</v>
      </c>
      <c r="S981" s="2">
        <f>$S980+$R980+INDEX(Tables!$N$5:$Q$8,MATCH(MOD($S980+$R980,4),Tables!$M$5:$M$8,0),MATCH($R981,Tables!$N$4:$Q$4,0))</f>
        <v>3488</v>
      </c>
      <c r="T981" s="2" t="str">
        <f t="shared" si="234"/>
        <v>0DA0</v>
      </c>
      <c r="U981" s="2">
        <f t="shared" si="225"/>
        <v>872</v>
      </c>
      <c r="V981" s="2" t="str">
        <f t="shared" si="235"/>
        <v>368</v>
      </c>
      <c r="W981" s="2" t="str">
        <f t="shared" si="236"/>
        <v/>
      </c>
      <c r="X981" s="2" t="str">
        <f t="shared" si="237"/>
        <v/>
      </c>
      <c r="Y981" s="2" t="str">
        <f t="shared" si="238"/>
        <v/>
      </c>
      <c r="Z981" s="2" t="str">
        <f t="shared" si="239"/>
        <v>X</v>
      </c>
      <c r="AA981" s="2" t="str">
        <f t="shared" si="226"/>
        <v/>
      </c>
      <c r="AB981" s="2" t="str">
        <f t="shared" si="227"/>
        <v/>
      </c>
      <c r="AC981" s="2" t="str">
        <f t="shared" si="228"/>
        <v/>
      </c>
      <c r="AD981" s="2" t="str">
        <f t="shared" si="229"/>
        <v>(0)</v>
      </c>
      <c r="AE981" s="2" t="str">
        <f t="shared" si="230"/>
        <v/>
      </c>
      <c r="AF981" s="2" t="str">
        <f t="shared" si="231"/>
        <v/>
      </c>
      <c r="AG981" s="2" t="str">
        <f t="shared" si="232"/>
        <v/>
      </c>
      <c r="AH981" s="2" t="str">
        <f t="shared" si="233"/>
        <v/>
      </c>
    </row>
    <row r="982" spans="2:34" x14ac:dyDescent="0.25">
      <c r="B982" s="2" t="s">
        <v>1104</v>
      </c>
      <c r="D982" s="2" t="s">
        <v>1</v>
      </c>
      <c r="E982" s="2" t="s">
        <v>134</v>
      </c>
      <c r="F982" s="2" t="s">
        <v>1105</v>
      </c>
      <c r="G982" s="2" t="s">
        <v>1106</v>
      </c>
      <c r="H982" s="2" t="s">
        <v>658</v>
      </c>
      <c r="I982" s="2" t="s">
        <v>42</v>
      </c>
      <c r="J982" s="2">
        <v>1</v>
      </c>
      <c r="K982" s="2" t="s">
        <v>82</v>
      </c>
      <c r="L982" s="2" t="s">
        <v>41</v>
      </c>
      <c r="M982" s="2" t="s">
        <v>135</v>
      </c>
      <c r="N982" s="2" t="s">
        <v>1107</v>
      </c>
      <c r="O982" s="2" t="s">
        <v>659</v>
      </c>
      <c r="P982" s="2" t="s">
        <v>5</v>
      </c>
      <c r="Q982" s="2">
        <f>INDEX(Tables!$C$4:$C$28,MATCH($P982,Tables!$B$4:$B$28,0))</f>
        <v>32</v>
      </c>
      <c r="R982" s="2">
        <f>INDEX(Tables!$D$4:$D$28,MATCH($P982,Tables!$B$4:$B$28,0))</f>
        <v>4</v>
      </c>
      <c r="S982" s="2">
        <f>$S981+$R981+INDEX(Tables!$N$5:$Q$8,MATCH(MOD($S981+$R981,4),Tables!$M$5:$M$8,0),MATCH($R982,Tables!$N$4:$Q$4,0))</f>
        <v>3492</v>
      </c>
      <c r="T982" s="2" t="str">
        <f t="shared" si="234"/>
        <v>0DA4</v>
      </c>
      <c r="U982" s="2">
        <f t="shared" si="225"/>
        <v>873</v>
      </c>
      <c r="V982" s="2" t="str">
        <f t="shared" si="235"/>
        <v>369</v>
      </c>
      <c r="W982" s="2" t="str">
        <f t="shared" si="236"/>
        <v/>
      </c>
      <c r="X982" s="2" t="str">
        <f t="shared" si="237"/>
        <v/>
      </c>
      <c r="Y982" s="2" t="str">
        <f t="shared" si="238"/>
        <v/>
      </c>
      <c r="Z982" s="2" t="str">
        <f t="shared" si="239"/>
        <v>X</v>
      </c>
      <c r="AA982" s="2" t="str">
        <f t="shared" si="226"/>
        <v/>
      </c>
      <c r="AB982" s="2" t="str">
        <f t="shared" si="227"/>
        <v/>
      </c>
      <c r="AC982" s="2" t="str">
        <f t="shared" si="228"/>
        <v/>
      </c>
      <c r="AD982" s="2" t="str">
        <f t="shared" si="229"/>
        <v>(0)</v>
      </c>
      <c r="AE982" s="2" t="str">
        <f t="shared" si="230"/>
        <v/>
      </c>
      <c r="AF982" s="2" t="str">
        <f t="shared" si="231"/>
        <v/>
      </c>
      <c r="AG982" s="2" t="str">
        <f t="shared" si="232"/>
        <v/>
      </c>
      <c r="AH982" s="2" t="str">
        <f t="shared" si="233"/>
        <v/>
      </c>
    </row>
    <row r="983" spans="2:34" x14ac:dyDescent="0.25">
      <c r="B983" s="2" t="s">
        <v>1104</v>
      </c>
      <c r="D983" s="2" t="s">
        <v>1</v>
      </c>
      <c r="E983" s="2" t="s">
        <v>134</v>
      </c>
      <c r="F983" s="2" t="s">
        <v>1105</v>
      </c>
      <c r="G983" s="2" t="s">
        <v>1106</v>
      </c>
      <c r="H983" s="2" t="s">
        <v>660</v>
      </c>
      <c r="I983" s="2" t="s">
        <v>42</v>
      </c>
      <c r="J983" s="2">
        <v>1</v>
      </c>
      <c r="K983" s="2" t="s">
        <v>82</v>
      </c>
      <c r="L983" s="2" t="s">
        <v>41</v>
      </c>
      <c r="M983" s="2" t="s">
        <v>135</v>
      </c>
      <c r="N983" s="2" t="s">
        <v>1107</v>
      </c>
      <c r="O983" s="2" t="s">
        <v>661</v>
      </c>
      <c r="P983" s="2" t="s">
        <v>5</v>
      </c>
      <c r="Q983" s="2">
        <f>INDEX(Tables!$C$4:$C$28,MATCH($P983,Tables!$B$4:$B$28,0))</f>
        <v>32</v>
      </c>
      <c r="R983" s="2">
        <f>INDEX(Tables!$D$4:$D$28,MATCH($P983,Tables!$B$4:$B$28,0))</f>
        <v>4</v>
      </c>
      <c r="S983" s="2">
        <f>$S982+$R982+INDEX(Tables!$N$5:$Q$8,MATCH(MOD($S982+$R982,4),Tables!$M$5:$M$8,0),MATCH($R983,Tables!$N$4:$Q$4,0))</f>
        <v>3496</v>
      </c>
      <c r="T983" s="2" t="str">
        <f t="shared" si="234"/>
        <v>0DA8</v>
      </c>
      <c r="U983" s="2">
        <f t="shared" si="225"/>
        <v>874</v>
      </c>
      <c r="V983" s="2" t="str">
        <f t="shared" si="235"/>
        <v>36A</v>
      </c>
      <c r="W983" s="2" t="str">
        <f t="shared" si="236"/>
        <v/>
      </c>
      <c r="X983" s="2" t="str">
        <f t="shared" si="237"/>
        <v/>
      </c>
      <c r="Y983" s="2" t="str">
        <f t="shared" si="238"/>
        <v/>
      </c>
      <c r="Z983" s="2" t="str">
        <f t="shared" si="239"/>
        <v>X</v>
      </c>
      <c r="AA983" s="2" t="str">
        <f t="shared" si="226"/>
        <v/>
      </c>
      <c r="AB983" s="2" t="str">
        <f t="shared" si="227"/>
        <v/>
      </c>
      <c r="AC983" s="2" t="str">
        <f t="shared" si="228"/>
        <v/>
      </c>
      <c r="AD983" s="2" t="str">
        <f t="shared" si="229"/>
        <v>(0)</v>
      </c>
      <c r="AE983" s="2" t="str">
        <f t="shared" si="230"/>
        <v/>
      </c>
      <c r="AF983" s="2" t="str">
        <f t="shared" si="231"/>
        <v/>
      </c>
      <c r="AG983" s="2" t="str">
        <f t="shared" si="232"/>
        <v/>
      </c>
      <c r="AH983" s="2" t="str">
        <f t="shared" si="233"/>
        <v/>
      </c>
    </row>
    <row r="984" spans="2:34" x14ac:dyDescent="0.25">
      <c r="B984" s="2" t="s">
        <v>1104</v>
      </c>
      <c r="D984" s="2" t="s">
        <v>1</v>
      </c>
      <c r="E984" s="2" t="s">
        <v>134</v>
      </c>
      <c r="F984" s="2" t="s">
        <v>1105</v>
      </c>
      <c r="G984" s="2" t="s">
        <v>1106</v>
      </c>
      <c r="H984" s="2" t="s">
        <v>662</v>
      </c>
      <c r="I984" s="2" t="s">
        <v>42</v>
      </c>
      <c r="J984" s="2">
        <v>1</v>
      </c>
      <c r="K984" s="2" t="s">
        <v>82</v>
      </c>
      <c r="L984" s="2" t="s">
        <v>41</v>
      </c>
      <c r="M984" s="2" t="s">
        <v>135</v>
      </c>
      <c r="N984" s="2" t="s">
        <v>1107</v>
      </c>
      <c r="O984" s="2" t="s">
        <v>663</v>
      </c>
      <c r="P984" s="2" t="s">
        <v>5</v>
      </c>
      <c r="Q984" s="2">
        <f>INDEX(Tables!$C$4:$C$28,MATCH($P984,Tables!$B$4:$B$28,0))</f>
        <v>32</v>
      </c>
      <c r="R984" s="2">
        <f>INDEX(Tables!$D$4:$D$28,MATCH($P984,Tables!$B$4:$B$28,0))</f>
        <v>4</v>
      </c>
      <c r="S984" s="2">
        <f>$S983+$R983+INDEX(Tables!$N$5:$Q$8,MATCH(MOD($S983+$R983,4),Tables!$M$5:$M$8,0),MATCH($R984,Tables!$N$4:$Q$4,0))</f>
        <v>3500</v>
      </c>
      <c r="T984" s="2" t="str">
        <f t="shared" si="234"/>
        <v>0DAC</v>
      </c>
      <c r="U984" s="2">
        <f t="shared" si="225"/>
        <v>875</v>
      </c>
      <c r="V984" s="2" t="str">
        <f t="shared" si="235"/>
        <v>36B</v>
      </c>
      <c r="W984" s="2" t="str">
        <f t="shared" si="236"/>
        <v/>
      </c>
      <c r="X984" s="2" t="str">
        <f t="shared" si="237"/>
        <v/>
      </c>
      <c r="Y984" s="2" t="str">
        <f t="shared" si="238"/>
        <v/>
      </c>
      <c r="Z984" s="2" t="str">
        <f t="shared" si="239"/>
        <v>X</v>
      </c>
      <c r="AA984" s="2" t="str">
        <f t="shared" si="226"/>
        <v/>
      </c>
      <c r="AB984" s="2" t="str">
        <f t="shared" si="227"/>
        <v/>
      </c>
      <c r="AC984" s="2" t="str">
        <f t="shared" si="228"/>
        <v/>
      </c>
      <c r="AD984" s="2" t="str">
        <f t="shared" si="229"/>
        <v>(0)</v>
      </c>
      <c r="AE984" s="2" t="str">
        <f t="shared" si="230"/>
        <v/>
      </c>
      <c r="AF984" s="2" t="str">
        <f t="shared" si="231"/>
        <v/>
      </c>
      <c r="AG984" s="2" t="str">
        <f t="shared" si="232"/>
        <v/>
      </c>
      <c r="AH984" s="2" t="str">
        <f t="shared" si="233"/>
        <v/>
      </c>
    </row>
    <row r="985" spans="2:34" x14ac:dyDescent="0.25">
      <c r="B985" s="2" t="s">
        <v>1104</v>
      </c>
      <c r="D985" s="2" t="s">
        <v>1</v>
      </c>
      <c r="E985" s="2" t="s">
        <v>134</v>
      </c>
      <c r="F985" s="2" t="s">
        <v>1105</v>
      </c>
      <c r="G985" s="2" t="s">
        <v>1106</v>
      </c>
      <c r="H985" s="2" t="s">
        <v>664</v>
      </c>
      <c r="I985" s="2" t="s">
        <v>42</v>
      </c>
      <c r="J985" s="2">
        <v>1</v>
      </c>
      <c r="K985" s="2" t="s">
        <v>82</v>
      </c>
      <c r="L985" s="2" t="s">
        <v>41</v>
      </c>
      <c r="M985" s="2" t="s">
        <v>135</v>
      </c>
      <c r="N985" s="2" t="s">
        <v>1107</v>
      </c>
      <c r="O985" s="2" t="s">
        <v>665</v>
      </c>
      <c r="P985" s="2" t="s">
        <v>5</v>
      </c>
      <c r="Q985" s="2">
        <f>INDEX(Tables!$C$4:$C$28,MATCH($P985,Tables!$B$4:$B$28,0))</f>
        <v>32</v>
      </c>
      <c r="R985" s="2">
        <f>INDEX(Tables!$D$4:$D$28,MATCH($P985,Tables!$B$4:$B$28,0))</f>
        <v>4</v>
      </c>
      <c r="S985" s="2">
        <f>$S984+$R984+INDEX(Tables!$N$5:$Q$8,MATCH(MOD($S984+$R984,4),Tables!$M$5:$M$8,0),MATCH($R985,Tables!$N$4:$Q$4,0))</f>
        <v>3504</v>
      </c>
      <c r="T985" s="2" t="str">
        <f t="shared" si="234"/>
        <v>0DB0</v>
      </c>
      <c r="U985" s="2">
        <f t="shared" si="225"/>
        <v>876</v>
      </c>
      <c r="V985" s="2" t="str">
        <f t="shared" si="235"/>
        <v>36C</v>
      </c>
      <c r="W985" s="2" t="str">
        <f t="shared" si="236"/>
        <v/>
      </c>
      <c r="X985" s="2" t="str">
        <f t="shared" si="237"/>
        <v/>
      </c>
      <c r="Y985" s="2" t="str">
        <f t="shared" si="238"/>
        <v/>
      </c>
      <c r="Z985" s="2" t="str">
        <f t="shared" si="239"/>
        <v>X</v>
      </c>
      <c r="AA985" s="2" t="str">
        <f t="shared" si="226"/>
        <v/>
      </c>
      <c r="AB985" s="2" t="str">
        <f t="shared" si="227"/>
        <v/>
      </c>
      <c r="AC985" s="2" t="str">
        <f t="shared" si="228"/>
        <v/>
      </c>
      <c r="AD985" s="2" t="str">
        <f t="shared" si="229"/>
        <v>(0)</v>
      </c>
      <c r="AE985" s="2" t="str">
        <f t="shared" si="230"/>
        <v/>
      </c>
      <c r="AF985" s="2" t="str">
        <f t="shared" si="231"/>
        <v/>
      </c>
      <c r="AG985" s="2" t="str">
        <f t="shared" si="232"/>
        <v/>
      </c>
      <c r="AH985" s="2" t="str">
        <f t="shared" si="233"/>
        <v/>
      </c>
    </row>
    <row r="986" spans="2:34" x14ac:dyDescent="0.25">
      <c r="B986" s="2" t="s">
        <v>1104</v>
      </c>
      <c r="D986" s="2" t="s">
        <v>1</v>
      </c>
      <c r="E986" s="2" t="s">
        <v>134</v>
      </c>
      <c r="F986" s="2" t="s">
        <v>1105</v>
      </c>
      <c r="G986" s="2" t="s">
        <v>1106</v>
      </c>
      <c r="H986" s="2" t="s">
        <v>666</v>
      </c>
      <c r="I986" s="2" t="s">
        <v>42</v>
      </c>
      <c r="J986" s="2">
        <v>1</v>
      </c>
      <c r="K986" s="2" t="s">
        <v>82</v>
      </c>
      <c r="L986" s="2" t="s">
        <v>41</v>
      </c>
      <c r="M986" s="2" t="s">
        <v>135</v>
      </c>
      <c r="N986" s="2" t="s">
        <v>1107</v>
      </c>
      <c r="O986" s="2" t="s">
        <v>667</v>
      </c>
      <c r="P986" s="2" t="s">
        <v>5</v>
      </c>
      <c r="Q986" s="2">
        <f>INDEX(Tables!$C$4:$C$28,MATCH($P986,Tables!$B$4:$B$28,0))</f>
        <v>32</v>
      </c>
      <c r="R986" s="2">
        <f>INDEX(Tables!$D$4:$D$28,MATCH($P986,Tables!$B$4:$B$28,0))</f>
        <v>4</v>
      </c>
      <c r="S986" s="2">
        <f>$S985+$R985+INDEX(Tables!$N$5:$Q$8,MATCH(MOD($S985+$R985,4),Tables!$M$5:$M$8,0),MATCH($R986,Tables!$N$4:$Q$4,0))</f>
        <v>3508</v>
      </c>
      <c r="T986" s="2" t="str">
        <f t="shared" si="234"/>
        <v>0DB4</v>
      </c>
      <c r="U986" s="2">
        <f t="shared" si="225"/>
        <v>877</v>
      </c>
      <c r="V986" s="2" t="str">
        <f t="shared" si="235"/>
        <v>36D</v>
      </c>
      <c r="W986" s="2" t="str">
        <f t="shared" si="236"/>
        <v/>
      </c>
      <c r="X986" s="2" t="str">
        <f t="shared" si="237"/>
        <v/>
      </c>
      <c r="Y986" s="2" t="str">
        <f t="shared" si="238"/>
        <v/>
      </c>
      <c r="Z986" s="2" t="str">
        <f t="shared" si="239"/>
        <v>X</v>
      </c>
      <c r="AA986" s="2" t="str">
        <f t="shared" si="226"/>
        <v/>
      </c>
      <c r="AB986" s="2" t="str">
        <f t="shared" si="227"/>
        <v/>
      </c>
      <c r="AC986" s="2" t="str">
        <f t="shared" si="228"/>
        <v/>
      </c>
      <c r="AD986" s="2" t="str">
        <f t="shared" si="229"/>
        <v>(0)</v>
      </c>
      <c r="AE986" s="2" t="str">
        <f t="shared" si="230"/>
        <v/>
      </c>
      <c r="AF986" s="2" t="str">
        <f t="shared" si="231"/>
        <v/>
      </c>
      <c r="AG986" s="2" t="str">
        <f t="shared" si="232"/>
        <v/>
      </c>
      <c r="AH986" s="2" t="str">
        <f t="shared" si="233"/>
        <v/>
      </c>
    </row>
    <row r="987" spans="2:34" x14ac:dyDescent="0.25">
      <c r="B987" s="2" t="s">
        <v>1104</v>
      </c>
      <c r="D987" s="2" t="s">
        <v>1</v>
      </c>
      <c r="E987" s="2" t="s">
        <v>134</v>
      </c>
      <c r="F987" s="2" t="s">
        <v>1105</v>
      </c>
      <c r="G987" s="2" t="s">
        <v>1106</v>
      </c>
      <c r="H987" s="2" t="s">
        <v>668</v>
      </c>
      <c r="I987" s="2" t="s">
        <v>42</v>
      </c>
      <c r="J987" s="2">
        <v>1</v>
      </c>
      <c r="K987" s="2" t="s">
        <v>82</v>
      </c>
      <c r="L987" s="2" t="s">
        <v>41</v>
      </c>
      <c r="M987" s="2" t="s">
        <v>135</v>
      </c>
      <c r="N987" s="2" t="s">
        <v>1107</v>
      </c>
      <c r="O987" s="2" t="s">
        <v>669</v>
      </c>
      <c r="P987" s="2" t="s">
        <v>5</v>
      </c>
      <c r="Q987" s="2">
        <f>INDEX(Tables!$C$4:$C$28,MATCH($P987,Tables!$B$4:$B$28,0))</f>
        <v>32</v>
      </c>
      <c r="R987" s="2">
        <f>INDEX(Tables!$D$4:$D$28,MATCH($P987,Tables!$B$4:$B$28,0))</f>
        <v>4</v>
      </c>
      <c r="S987" s="2">
        <f>$S986+$R986+INDEX(Tables!$N$5:$Q$8,MATCH(MOD($S986+$R986,4),Tables!$M$5:$M$8,0),MATCH($R987,Tables!$N$4:$Q$4,0))</f>
        <v>3512</v>
      </c>
      <c r="T987" s="2" t="str">
        <f t="shared" si="234"/>
        <v>0DB8</v>
      </c>
      <c r="U987" s="2">
        <f t="shared" si="225"/>
        <v>878</v>
      </c>
      <c r="V987" s="2" t="str">
        <f t="shared" si="235"/>
        <v>36E</v>
      </c>
      <c r="W987" s="2" t="str">
        <f t="shared" si="236"/>
        <v/>
      </c>
      <c r="X987" s="2" t="str">
        <f t="shared" si="237"/>
        <v/>
      </c>
      <c r="Y987" s="2" t="str">
        <f t="shared" si="238"/>
        <v/>
      </c>
      <c r="Z987" s="2" t="str">
        <f t="shared" si="239"/>
        <v>X</v>
      </c>
      <c r="AA987" s="2" t="str">
        <f t="shared" si="226"/>
        <v/>
      </c>
      <c r="AB987" s="2" t="str">
        <f t="shared" si="227"/>
        <v/>
      </c>
      <c r="AC987" s="2" t="str">
        <f t="shared" si="228"/>
        <v/>
      </c>
      <c r="AD987" s="2" t="str">
        <f t="shared" si="229"/>
        <v>(0)</v>
      </c>
      <c r="AE987" s="2" t="str">
        <f t="shared" si="230"/>
        <v/>
      </c>
      <c r="AF987" s="2" t="str">
        <f t="shared" si="231"/>
        <v/>
      </c>
      <c r="AG987" s="2" t="str">
        <f t="shared" si="232"/>
        <v/>
      </c>
      <c r="AH987" s="2" t="str">
        <f t="shared" si="233"/>
        <v/>
      </c>
    </row>
    <row r="988" spans="2:34" x14ac:dyDescent="0.25">
      <c r="B988" s="2" t="s">
        <v>1104</v>
      </c>
      <c r="D988" s="2" t="s">
        <v>1</v>
      </c>
      <c r="E988" s="2" t="s">
        <v>134</v>
      </c>
      <c r="F988" s="2" t="s">
        <v>1105</v>
      </c>
      <c r="G988" s="2" t="s">
        <v>1106</v>
      </c>
      <c r="H988" s="2" t="s">
        <v>670</v>
      </c>
      <c r="I988" s="2" t="s">
        <v>42</v>
      </c>
      <c r="J988" s="2">
        <v>1</v>
      </c>
      <c r="K988" s="2" t="s">
        <v>82</v>
      </c>
      <c r="L988" s="2" t="s">
        <v>41</v>
      </c>
      <c r="M988" s="2" t="s">
        <v>135</v>
      </c>
      <c r="N988" s="2" t="s">
        <v>1107</v>
      </c>
      <c r="O988" s="2" t="s">
        <v>671</v>
      </c>
      <c r="P988" s="2" t="s">
        <v>5</v>
      </c>
      <c r="Q988" s="2">
        <f>INDEX(Tables!$C$4:$C$28,MATCH($P988,Tables!$B$4:$B$28,0))</f>
        <v>32</v>
      </c>
      <c r="R988" s="2">
        <f>INDEX(Tables!$D$4:$D$28,MATCH($P988,Tables!$B$4:$B$28,0))</f>
        <v>4</v>
      </c>
      <c r="S988" s="2">
        <f>$S987+$R987+INDEX(Tables!$N$5:$Q$8,MATCH(MOD($S987+$R987,4),Tables!$M$5:$M$8,0),MATCH($R988,Tables!$N$4:$Q$4,0))</f>
        <v>3516</v>
      </c>
      <c r="T988" s="2" t="str">
        <f t="shared" si="234"/>
        <v>0DBC</v>
      </c>
      <c r="U988" s="2">
        <f t="shared" si="225"/>
        <v>879</v>
      </c>
      <c r="V988" s="2" t="str">
        <f t="shared" si="235"/>
        <v>36F</v>
      </c>
      <c r="W988" s="2" t="str">
        <f t="shared" si="236"/>
        <v/>
      </c>
      <c r="X988" s="2" t="str">
        <f t="shared" si="237"/>
        <v/>
      </c>
      <c r="Y988" s="2" t="str">
        <f t="shared" si="238"/>
        <v/>
      </c>
      <c r="Z988" s="2" t="str">
        <f t="shared" si="239"/>
        <v>X</v>
      </c>
      <c r="AA988" s="2" t="str">
        <f t="shared" si="226"/>
        <v/>
      </c>
      <c r="AB988" s="2" t="str">
        <f t="shared" si="227"/>
        <v/>
      </c>
      <c r="AC988" s="2" t="str">
        <f t="shared" si="228"/>
        <v/>
      </c>
      <c r="AD988" s="2" t="str">
        <f t="shared" si="229"/>
        <v>(0)</v>
      </c>
      <c r="AE988" s="2" t="str">
        <f t="shared" si="230"/>
        <v/>
      </c>
      <c r="AF988" s="2" t="str">
        <f t="shared" si="231"/>
        <v/>
      </c>
      <c r="AG988" s="2" t="str">
        <f t="shared" si="232"/>
        <v/>
      </c>
      <c r="AH988" s="2" t="str">
        <f t="shared" si="233"/>
        <v/>
      </c>
    </row>
    <row r="989" spans="2:34" x14ac:dyDescent="0.25">
      <c r="B989" s="2" t="s">
        <v>1104</v>
      </c>
      <c r="D989" s="2" t="s">
        <v>1</v>
      </c>
      <c r="E989" s="2" t="s">
        <v>134</v>
      </c>
      <c r="F989" s="2" t="s">
        <v>1105</v>
      </c>
      <c r="G989" s="2" t="s">
        <v>1106</v>
      </c>
      <c r="H989" s="2" t="s">
        <v>672</v>
      </c>
      <c r="I989" s="2" t="s">
        <v>42</v>
      </c>
      <c r="J989" s="2">
        <v>1</v>
      </c>
      <c r="K989" s="2" t="s">
        <v>82</v>
      </c>
      <c r="L989" s="2" t="s">
        <v>41</v>
      </c>
      <c r="M989" s="2" t="s">
        <v>135</v>
      </c>
      <c r="N989" s="2" t="s">
        <v>1107</v>
      </c>
      <c r="O989" s="2" t="s">
        <v>673</v>
      </c>
      <c r="P989" s="2" t="s">
        <v>5</v>
      </c>
      <c r="Q989" s="2">
        <f>INDEX(Tables!$C$4:$C$28,MATCH($P989,Tables!$B$4:$B$28,0))</f>
        <v>32</v>
      </c>
      <c r="R989" s="2">
        <f>INDEX(Tables!$D$4:$D$28,MATCH($P989,Tables!$B$4:$B$28,0))</f>
        <v>4</v>
      </c>
      <c r="S989" s="2">
        <f>$S988+$R988+INDEX(Tables!$N$5:$Q$8,MATCH(MOD($S988+$R988,4),Tables!$M$5:$M$8,0),MATCH($R989,Tables!$N$4:$Q$4,0))</f>
        <v>3520</v>
      </c>
      <c r="T989" s="2" t="str">
        <f t="shared" si="234"/>
        <v>0DC0</v>
      </c>
      <c r="U989" s="2">
        <f t="shared" si="225"/>
        <v>880</v>
      </c>
      <c r="V989" s="2" t="str">
        <f t="shared" si="235"/>
        <v>370</v>
      </c>
      <c r="W989" s="2" t="str">
        <f t="shared" si="236"/>
        <v/>
      </c>
      <c r="X989" s="2" t="str">
        <f t="shared" si="237"/>
        <v/>
      </c>
      <c r="Y989" s="2" t="str">
        <f t="shared" si="238"/>
        <v/>
      </c>
      <c r="Z989" s="2" t="str">
        <f t="shared" si="239"/>
        <v>X</v>
      </c>
      <c r="AA989" s="2" t="str">
        <f t="shared" si="226"/>
        <v/>
      </c>
      <c r="AB989" s="2" t="str">
        <f t="shared" si="227"/>
        <v/>
      </c>
      <c r="AC989" s="2" t="str">
        <f t="shared" si="228"/>
        <v/>
      </c>
      <c r="AD989" s="2" t="str">
        <f t="shared" si="229"/>
        <v>(0)</v>
      </c>
      <c r="AE989" s="2" t="str">
        <f t="shared" si="230"/>
        <v/>
      </c>
      <c r="AF989" s="2" t="str">
        <f t="shared" si="231"/>
        <v/>
      </c>
      <c r="AG989" s="2" t="str">
        <f t="shared" si="232"/>
        <v/>
      </c>
      <c r="AH989" s="2" t="str">
        <f t="shared" si="233"/>
        <v/>
      </c>
    </row>
    <row r="990" spans="2:34" x14ac:dyDescent="0.25">
      <c r="B990" s="2" t="s">
        <v>1104</v>
      </c>
      <c r="D990" s="2" t="s">
        <v>1</v>
      </c>
      <c r="E990" s="2" t="s">
        <v>134</v>
      </c>
      <c r="F990" s="2" t="s">
        <v>1105</v>
      </c>
      <c r="G990" s="2" t="s">
        <v>1106</v>
      </c>
      <c r="H990" s="2" t="s">
        <v>674</v>
      </c>
      <c r="I990" s="2" t="s">
        <v>42</v>
      </c>
      <c r="J990" s="2">
        <v>1</v>
      </c>
      <c r="K990" s="2" t="s">
        <v>82</v>
      </c>
      <c r="L990" s="2" t="s">
        <v>41</v>
      </c>
      <c r="M990" s="2" t="s">
        <v>135</v>
      </c>
      <c r="N990" s="2" t="s">
        <v>1107</v>
      </c>
      <c r="O990" s="2" t="s">
        <v>675</v>
      </c>
      <c r="P990" s="2" t="s">
        <v>5</v>
      </c>
      <c r="Q990" s="2">
        <f>INDEX(Tables!$C$4:$C$28,MATCH($P990,Tables!$B$4:$B$28,0))</f>
        <v>32</v>
      </c>
      <c r="R990" s="2">
        <f>INDEX(Tables!$D$4:$D$28,MATCH($P990,Tables!$B$4:$B$28,0))</f>
        <v>4</v>
      </c>
      <c r="S990" s="2">
        <f>$S989+$R989+INDEX(Tables!$N$5:$Q$8,MATCH(MOD($S989+$R989,4),Tables!$M$5:$M$8,0),MATCH($R990,Tables!$N$4:$Q$4,0))</f>
        <v>3524</v>
      </c>
      <c r="T990" s="2" t="str">
        <f t="shared" si="234"/>
        <v>0DC4</v>
      </c>
      <c r="U990" s="2">
        <f t="shared" si="225"/>
        <v>881</v>
      </c>
      <c r="V990" s="2" t="str">
        <f t="shared" si="235"/>
        <v>371</v>
      </c>
      <c r="W990" s="2" t="str">
        <f t="shared" si="236"/>
        <v/>
      </c>
      <c r="X990" s="2" t="str">
        <f t="shared" si="237"/>
        <v/>
      </c>
      <c r="Y990" s="2" t="str">
        <f t="shared" si="238"/>
        <v/>
      </c>
      <c r="Z990" s="2" t="str">
        <f t="shared" si="239"/>
        <v>X</v>
      </c>
      <c r="AA990" s="2" t="str">
        <f t="shared" si="226"/>
        <v/>
      </c>
      <c r="AB990" s="2" t="str">
        <f t="shared" si="227"/>
        <v/>
      </c>
      <c r="AC990" s="2" t="str">
        <f t="shared" si="228"/>
        <v/>
      </c>
      <c r="AD990" s="2" t="str">
        <f t="shared" si="229"/>
        <v>(0)</v>
      </c>
      <c r="AE990" s="2" t="str">
        <f t="shared" si="230"/>
        <v/>
      </c>
      <c r="AF990" s="2" t="str">
        <f t="shared" si="231"/>
        <v/>
      </c>
      <c r="AG990" s="2" t="str">
        <f t="shared" si="232"/>
        <v/>
      </c>
      <c r="AH990" s="2" t="str">
        <f t="shared" si="233"/>
        <v/>
      </c>
    </row>
    <row r="991" spans="2:34" x14ac:dyDescent="0.25">
      <c r="B991" s="2" t="s">
        <v>1104</v>
      </c>
      <c r="D991" s="2" t="s">
        <v>1</v>
      </c>
      <c r="E991" s="2" t="s">
        <v>134</v>
      </c>
      <c r="F991" s="2" t="s">
        <v>1105</v>
      </c>
      <c r="G991" s="2" t="s">
        <v>1106</v>
      </c>
      <c r="H991" s="2" t="s">
        <v>676</v>
      </c>
      <c r="I991" s="2" t="s">
        <v>42</v>
      </c>
      <c r="J991" s="2">
        <v>1</v>
      </c>
      <c r="K991" s="2" t="s">
        <v>82</v>
      </c>
      <c r="L991" s="2" t="s">
        <v>41</v>
      </c>
      <c r="M991" s="2" t="s">
        <v>135</v>
      </c>
      <c r="N991" s="2" t="s">
        <v>1107</v>
      </c>
      <c r="O991" s="2" t="s">
        <v>677</v>
      </c>
      <c r="P991" s="2" t="s">
        <v>5</v>
      </c>
      <c r="Q991" s="2">
        <f>INDEX(Tables!$C$4:$C$28,MATCH($P991,Tables!$B$4:$B$28,0))</f>
        <v>32</v>
      </c>
      <c r="R991" s="2">
        <f>INDEX(Tables!$D$4:$D$28,MATCH($P991,Tables!$B$4:$B$28,0))</f>
        <v>4</v>
      </c>
      <c r="S991" s="2">
        <f>$S990+$R990+INDEX(Tables!$N$5:$Q$8,MATCH(MOD($S990+$R990,4),Tables!$M$5:$M$8,0),MATCH($R991,Tables!$N$4:$Q$4,0))</f>
        <v>3528</v>
      </c>
      <c r="T991" s="2" t="str">
        <f t="shared" si="234"/>
        <v>0DC8</v>
      </c>
      <c r="U991" s="2">
        <f t="shared" si="225"/>
        <v>882</v>
      </c>
      <c r="V991" s="2" t="str">
        <f t="shared" si="235"/>
        <v>372</v>
      </c>
      <c r="W991" s="2" t="str">
        <f t="shared" si="236"/>
        <v/>
      </c>
      <c r="X991" s="2" t="str">
        <f t="shared" si="237"/>
        <v/>
      </c>
      <c r="Y991" s="2" t="str">
        <f t="shared" si="238"/>
        <v/>
      </c>
      <c r="Z991" s="2" t="str">
        <f t="shared" si="239"/>
        <v>X</v>
      </c>
      <c r="AA991" s="2" t="str">
        <f t="shared" si="226"/>
        <v/>
      </c>
      <c r="AB991" s="2" t="str">
        <f t="shared" si="227"/>
        <v/>
      </c>
      <c r="AC991" s="2" t="str">
        <f t="shared" si="228"/>
        <v/>
      </c>
      <c r="AD991" s="2" t="str">
        <f t="shared" si="229"/>
        <v>(0)</v>
      </c>
      <c r="AE991" s="2" t="str">
        <f t="shared" si="230"/>
        <v/>
      </c>
      <c r="AF991" s="2" t="str">
        <f t="shared" si="231"/>
        <v/>
      </c>
      <c r="AG991" s="2" t="str">
        <f t="shared" si="232"/>
        <v/>
      </c>
      <c r="AH991" s="2" t="str">
        <f t="shared" si="233"/>
        <v/>
      </c>
    </row>
    <row r="992" spans="2:34" x14ac:dyDescent="0.25">
      <c r="B992" s="2" t="s">
        <v>1104</v>
      </c>
      <c r="D992" s="2" t="s">
        <v>1</v>
      </c>
      <c r="E992" s="2" t="s">
        <v>134</v>
      </c>
      <c r="F992" s="2" t="s">
        <v>1105</v>
      </c>
      <c r="G992" s="2" t="s">
        <v>1106</v>
      </c>
      <c r="H992" s="2" t="s">
        <v>678</v>
      </c>
      <c r="I992" s="2" t="s">
        <v>42</v>
      </c>
      <c r="J992" s="2">
        <v>1</v>
      </c>
      <c r="K992" s="2" t="s">
        <v>82</v>
      </c>
      <c r="L992" s="2" t="s">
        <v>41</v>
      </c>
      <c r="M992" s="2" t="s">
        <v>135</v>
      </c>
      <c r="N992" s="2" t="s">
        <v>1107</v>
      </c>
      <c r="O992" s="2" t="s">
        <v>679</v>
      </c>
      <c r="P992" s="2" t="s">
        <v>5</v>
      </c>
      <c r="Q992" s="2">
        <f>INDEX(Tables!$C$4:$C$28,MATCH($P992,Tables!$B$4:$B$28,0))</f>
        <v>32</v>
      </c>
      <c r="R992" s="2">
        <f>INDEX(Tables!$D$4:$D$28,MATCH($P992,Tables!$B$4:$B$28,0))</f>
        <v>4</v>
      </c>
      <c r="S992" s="2">
        <f>$S991+$R991+INDEX(Tables!$N$5:$Q$8,MATCH(MOD($S991+$R991,4),Tables!$M$5:$M$8,0),MATCH($R992,Tables!$N$4:$Q$4,0))</f>
        <v>3532</v>
      </c>
      <c r="T992" s="2" t="str">
        <f t="shared" si="234"/>
        <v>0DCC</v>
      </c>
      <c r="U992" s="2">
        <f t="shared" si="225"/>
        <v>883</v>
      </c>
      <c r="V992" s="2" t="str">
        <f t="shared" si="235"/>
        <v>373</v>
      </c>
      <c r="W992" s="2" t="str">
        <f t="shared" si="236"/>
        <v/>
      </c>
      <c r="X992" s="2" t="str">
        <f t="shared" si="237"/>
        <v/>
      </c>
      <c r="Y992" s="2" t="str">
        <f t="shared" si="238"/>
        <v/>
      </c>
      <c r="Z992" s="2" t="str">
        <f t="shared" si="239"/>
        <v>X</v>
      </c>
      <c r="AA992" s="2" t="str">
        <f t="shared" si="226"/>
        <v/>
      </c>
      <c r="AB992" s="2" t="str">
        <f t="shared" si="227"/>
        <v/>
      </c>
      <c r="AC992" s="2" t="str">
        <f t="shared" si="228"/>
        <v/>
      </c>
      <c r="AD992" s="2" t="str">
        <f t="shared" si="229"/>
        <v>(0)</v>
      </c>
      <c r="AE992" s="2" t="str">
        <f t="shared" si="230"/>
        <v/>
      </c>
      <c r="AF992" s="2" t="str">
        <f t="shared" si="231"/>
        <v/>
      </c>
      <c r="AG992" s="2" t="str">
        <f t="shared" si="232"/>
        <v/>
      </c>
      <c r="AH992" s="2" t="str">
        <f t="shared" si="233"/>
        <v/>
      </c>
    </row>
    <row r="993" spans="2:34" x14ac:dyDescent="0.25">
      <c r="B993" s="2" t="s">
        <v>1104</v>
      </c>
      <c r="D993" s="2" t="s">
        <v>1</v>
      </c>
      <c r="E993" s="2" t="s">
        <v>134</v>
      </c>
      <c r="F993" s="2" t="s">
        <v>1105</v>
      </c>
      <c r="G993" s="2" t="s">
        <v>1106</v>
      </c>
      <c r="H993" s="2" t="s">
        <v>680</v>
      </c>
      <c r="I993" s="2" t="s">
        <v>42</v>
      </c>
      <c r="J993" s="2">
        <v>1</v>
      </c>
      <c r="K993" s="2" t="s">
        <v>82</v>
      </c>
      <c r="L993" s="2" t="s">
        <v>41</v>
      </c>
      <c r="M993" s="2" t="s">
        <v>135</v>
      </c>
      <c r="N993" s="2" t="s">
        <v>1107</v>
      </c>
      <c r="O993" s="2" t="s">
        <v>681</v>
      </c>
      <c r="P993" s="2" t="s">
        <v>5</v>
      </c>
      <c r="Q993" s="2">
        <f>INDEX(Tables!$C$4:$C$28,MATCH($P993,Tables!$B$4:$B$28,0))</f>
        <v>32</v>
      </c>
      <c r="R993" s="2">
        <f>INDEX(Tables!$D$4:$D$28,MATCH($P993,Tables!$B$4:$B$28,0))</f>
        <v>4</v>
      </c>
      <c r="S993" s="2">
        <f>$S992+$R992+INDEX(Tables!$N$5:$Q$8,MATCH(MOD($S992+$R992,4),Tables!$M$5:$M$8,0),MATCH($R993,Tables!$N$4:$Q$4,0))</f>
        <v>3536</v>
      </c>
      <c r="T993" s="2" t="str">
        <f t="shared" si="234"/>
        <v>0DD0</v>
      </c>
      <c r="U993" s="2">
        <f t="shared" si="225"/>
        <v>884</v>
      </c>
      <c r="V993" s="2" t="str">
        <f t="shared" si="235"/>
        <v>374</v>
      </c>
      <c r="W993" s="2" t="str">
        <f t="shared" si="236"/>
        <v/>
      </c>
      <c r="X993" s="2" t="str">
        <f t="shared" si="237"/>
        <v/>
      </c>
      <c r="Y993" s="2" t="str">
        <f t="shared" si="238"/>
        <v/>
      </c>
      <c r="Z993" s="2" t="str">
        <f t="shared" si="239"/>
        <v>X</v>
      </c>
      <c r="AA993" s="2" t="str">
        <f t="shared" si="226"/>
        <v/>
      </c>
      <c r="AB993" s="2" t="str">
        <f t="shared" si="227"/>
        <v/>
      </c>
      <c r="AC993" s="2" t="str">
        <f t="shared" si="228"/>
        <v/>
      </c>
      <c r="AD993" s="2" t="str">
        <f t="shared" si="229"/>
        <v>(0)</v>
      </c>
      <c r="AE993" s="2" t="str">
        <f t="shared" si="230"/>
        <v/>
      </c>
      <c r="AF993" s="2" t="str">
        <f t="shared" si="231"/>
        <v/>
      </c>
      <c r="AG993" s="2" t="str">
        <f t="shared" si="232"/>
        <v/>
      </c>
      <c r="AH993" s="2" t="str">
        <f t="shared" si="233"/>
        <v/>
      </c>
    </row>
    <row r="994" spans="2:34" x14ac:dyDescent="0.25">
      <c r="B994" s="2" t="s">
        <v>1104</v>
      </c>
      <c r="D994" s="2" t="s">
        <v>1</v>
      </c>
      <c r="E994" s="2" t="s">
        <v>134</v>
      </c>
      <c r="F994" s="2" t="s">
        <v>1105</v>
      </c>
      <c r="G994" s="2" t="s">
        <v>1106</v>
      </c>
      <c r="H994" s="2" t="s">
        <v>682</v>
      </c>
      <c r="I994" s="2" t="s">
        <v>42</v>
      </c>
      <c r="J994" s="2">
        <v>1</v>
      </c>
      <c r="K994" s="2" t="s">
        <v>82</v>
      </c>
      <c r="L994" s="2" t="s">
        <v>41</v>
      </c>
      <c r="M994" s="2" t="s">
        <v>135</v>
      </c>
      <c r="N994" s="2" t="s">
        <v>1107</v>
      </c>
      <c r="O994" s="2" t="s">
        <v>683</v>
      </c>
      <c r="P994" s="2" t="s">
        <v>5</v>
      </c>
      <c r="Q994" s="2">
        <f>INDEX(Tables!$C$4:$C$28,MATCH($P994,Tables!$B$4:$B$28,0))</f>
        <v>32</v>
      </c>
      <c r="R994" s="2">
        <f>INDEX(Tables!$D$4:$D$28,MATCH($P994,Tables!$B$4:$B$28,0))</f>
        <v>4</v>
      </c>
      <c r="S994" s="2">
        <f>$S993+$R993+INDEX(Tables!$N$5:$Q$8,MATCH(MOD($S993+$R993,4),Tables!$M$5:$M$8,0),MATCH($R994,Tables!$N$4:$Q$4,0))</f>
        <v>3540</v>
      </c>
      <c r="T994" s="2" t="str">
        <f t="shared" si="234"/>
        <v>0DD4</v>
      </c>
      <c r="U994" s="2">
        <f t="shared" si="225"/>
        <v>885</v>
      </c>
      <c r="V994" s="2" t="str">
        <f t="shared" si="235"/>
        <v>375</v>
      </c>
      <c r="W994" s="2" t="str">
        <f t="shared" si="236"/>
        <v/>
      </c>
      <c r="X994" s="2" t="str">
        <f t="shared" si="237"/>
        <v/>
      </c>
      <c r="Y994" s="2" t="str">
        <f t="shared" si="238"/>
        <v/>
      </c>
      <c r="Z994" s="2" t="str">
        <f t="shared" si="239"/>
        <v>X</v>
      </c>
      <c r="AA994" s="2" t="str">
        <f t="shared" si="226"/>
        <v/>
      </c>
      <c r="AB994" s="2" t="str">
        <f t="shared" si="227"/>
        <v/>
      </c>
      <c r="AC994" s="2" t="str">
        <f t="shared" si="228"/>
        <v/>
      </c>
      <c r="AD994" s="2" t="str">
        <f t="shared" si="229"/>
        <v>(0)</v>
      </c>
      <c r="AE994" s="2" t="str">
        <f t="shared" si="230"/>
        <v/>
      </c>
      <c r="AF994" s="2" t="str">
        <f t="shared" si="231"/>
        <v/>
      </c>
      <c r="AG994" s="2" t="str">
        <f t="shared" si="232"/>
        <v/>
      </c>
      <c r="AH994" s="2" t="str">
        <f t="shared" si="233"/>
        <v/>
      </c>
    </row>
    <row r="995" spans="2:34" x14ac:dyDescent="0.25">
      <c r="B995" s="2" t="s">
        <v>1104</v>
      </c>
      <c r="D995" s="2" t="s">
        <v>1</v>
      </c>
      <c r="E995" s="2" t="s">
        <v>134</v>
      </c>
      <c r="F995" s="2" t="s">
        <v>1105</v>
      </c>
      <c r="G995" s="2" t="s">
        <v>1106</v>
      </c>
      <c r="H995" s="2" t="s">
        <v>684</v>
      </c>
      <c r="I995" s="2" t="s">
        <v>42</v>
      </c>
      <c r="J995" s="2">
        <v>1</v>
      </c>
      <c r="K995" s="2" t="s">
        <v>82</v>
      </c>
      <c r="L995" s="2" t="s">
        <v>41</v>
      </c>
      <c r="M995" s="2" t="s">
        <v>135</v>
      </c>
      <c r="N995" s="2" t="s">
        <v>1107</v>
      </c>
      <c r="O995" s="2" t="s">
        <v>685</v>
      </c>
      <c r="P995" s="2" t="s">
        <v>5</v>
      </c>
      <c r="Q995" s="2">
        <f>INDEX(Tables!$C$4:$C$28,MATCH($P995,Tables!$B$4:$B$28,0))</f>
        <v>32</v>
      </c>
      <c r="R995" s="2">
        <f>INDEX(Tables!$D$4:$D$28,MATCH($P995,Tables!$B$4:$B$28,0))</f>
        <v>4</v>
      </c>
      <c r="S995" s="2">
        <f>$S994+$R994+INDEX(Tables!$N$5:$Q$8,MATCH(MOD($S994+$R994,4),Tables!$M$5:$M$8,0),MATCH($R995,Tables!$N$4:$Q$4,0))</f>
        <v>3544</v>
      </c>
      <c r="T995" s="2" t="str">
        <f t="shared" si="234"/>
        <v>0DD8</v>
      </c>
      <c r="U995" s="2">
        <f t="shared" si="225"/>
        <v>886</v>
      </c>
      <c r="V995" s="2" t="str">
        <f t="shared" si="235"/>
        <v>376</v>
      </c>
      <c r="W995" s="2" t="str">
        <f t="shared" si="236"/>
        <v/>
      </c>
      <c r="X995" s="2" t="str">
        <f t="shared" si="237"/>
        <v/>
      </c>
      <c r="Y995" s="2" t="str">
        <f t="shared" si="238"/>
        <v/>
      </c>
      <c r="Z995" s="2" t="str">
        <f t="shared" si="239"/>
        <v>X</v>
      </c>
      <c r="AA995" s="2" t="str">
        <f t="shared" si="226"/>
        <v/>
      </c>
      <c r="AB995" s="2" t="str">
        <f t="shared" si="227"/>
        <v/>
      </c>
      <c r="AC995" s="2" t="str">
        <f t="shared" si="228"/>
        <v/>
      </c>
      <c r="AD995" s="2" t="str">
        <f t="shared" si="229"/>
        <v>(0)</v>
      </c>
      <c r="AE995" s="2" t="str">
        <f t="shared" si="230"/>
        <v/>
      </c>
      <c r="AF995" s="2" t="str">
        <f t="shared" si="231"/>
        <v/>
      </c>
      <c r="AG995" s="2" t="str">
        <f t="shared" si="232"/>
        <v/>
      </c>
      <c r="AH995" s="2" t="str">
        <f t="shared" si="233"/>
        <v/>
      </c>
    </row>
    <row r="996" spans="2:34" x14ac:dyDescent="0.25">
      <c r="B996" s="2" t="s">
        <v>1104</v>
      </c>
      <c r="D996" s="2" t="s">
        <v>1</v>
      </c>
      <c r="E996" s="2" t="s">
        <v>134</v>
      </c>
      <c r="F996" s="2" t="s">
        <v>1105</v>
      </c>
      <c r="G996" s="2" t="s">
        <v>1106</v>
      </c>
      <c r="H996" s="2" t="s">
        <v>686</v>
      </c>
      <c r="I996" s="2" t="s">
        <v>42</v>
      </c>
      <c r="J996" s="2">
        <v>1</v>
      </c>
      <c r="K996" s="2" t="s">
        <v>82</v>
      </c>
      <c r="L996" s="2" t="s">
        <v>41</v>
      </c>
      <c r="M996" s="2" t="s">
        <v>135</v>
      </c>
      <c r="N996" s="2" t="s">
        <v>1107</v>
      </c>
      <c r="O996" s="2" t="s">
        <v>687</v>
      </c>
      <c r="P996" s="2" t="s">
        <v>5</v>
      </c>
      <c r="Q996" s="2">
        <f>INDEX(Tables!$C$4:$C$28,MATCH($P996,Tables!$B$4:$B$28,0))</f>
        <v>32</v>
      </c>
      <c r="R996" s="2">
        <f>INDEX(Tables!$D$4:$D$28,MATCH($P996,Tables!$B$4:$B$28,0))</f>
        <v>4</v>
      </c>
      <c r="S996" s="2">
        <f>$S995+$R995+INDEX(Tables!$N$5:$Q$8,MATCH(MOD($S995+$R995,4),Tables!$M$5:$M$8,0),MATCH($R996,Tables!$N$4:$Q$4,0))</f>
        <v>3548</v>
      </c>
      <c r="T996" s="2" t="str">
        <f t="shared" si="234"/>
        <v>0DDC</v>
      </c>
      <c r="U996" s="2">
        <f t="shared" si="225"/>
        <v>887</v>
      </c>
      <c r="V996" s="2" t="str">
        <f t="shared" si="235"/>
        <v>377</v>
      </c>
      <c r="W996" s="2" t="str">
        <f t="shared" si="236"/>
        <v/>
      </c>
      <c r="X996" s="2" t="str">
        <f t="shared" si="237"/>
        <v/>
      </c>
      <c r="Y996" s="2" t="str">
        <f t="shared" si="238"/>
        <v/>
      </c>
      <c r="Z996" s="2" t="str">
        <f t="shared" si="239"/>
        <v>X</v>
      </c>
      <c r="AA996" s="2" t="str">
        <f t="shared" si="226"/>
        <v/>
      </c>
      <c r="AB996" s="2" t="str">
        <f t="shared" si="227"/>
        <v/>
      </c>
      <c r="AC996" s="2" t="str">
        <f t="shared" si="228"/>
        <v/>
      </c>
      <c r="AD996" s="2" t="str">
        <f t="shared" si="229"/>
        <v>(0)</v>
      </c>
      <c r="AE996" s="2" t="str">
        <f t="shared" si="230"/>
        <v/>
      </c>
      <c r="AF996" s="2" t="str">
        <f t="shared" si="231"/>
        <v/>
      </c>
      <c r="AG996" s="2" t="str">
        <f t="shared" si="232"/>
        <v/>
      </c>
      <c r="AH996" s="2" t="str">
        <f t="shared" si="233"/>
        <v/>
      </c>
    </row>
    <row r="997" spans="2:34" x14ac:dyDescent="0.25">
      <c r="B997" s="2" t="s">
        <v>1104</v>
      </c>
      <c r="D997" s="2" t="s">
        <v>1</v>
      </c>
      <c r="E997" s="2" t="s">
        <v>134</v>
      </c>
      <c r="F997" s="2" t="s">
        <v>1105</v>
      </c>
      <c r="G997" s="2" t="s">
        <v>1106</v>
      </c>
      <c r="H997" s="2" t="s">
        <v>688</v>
      </c>
      <c r="I997" s="2" t="s">
        <v>42</v>
      </c>
      <c r="J997" s="2">
        <v>1</v>
      </c>
      <c r="K997" s="2" t="s">
        <v>82</v>
      </c>
      <c r="L997" s="2" t="s">
        <v>41</v>
      </c>
      <c r="M997" s="2" t="s">
        <v>135</v>
      </c>
      <c r="N997" s="2" t="s">
        <v>1107</v>
      </c>
      <c r="O997" s="2" t="s">
        <v>689</v>
      </c>
      <c r="P997" s="2" t="s">
        <v>5</v>
      </c>
      <c r="Q997" s="2">
        <f>INDEX(Tables!$C$4:$C$28,MATCH($P997,Tables!$B$4:$B$28,0))</f>
        <v>32</v>
      </c>
      <c r="R997" s="2">
        <f>INDEX(Tables!$D$4:$D$28,MATCH($P997,Tables!$B$4:$B$28,0))</f>
        <v>4</v>
      </c>
      <c r="S997" s="2">
        <f>$S996+$R996+INDEX(Tables!$N$5:$Q$8,MATCH(MOD($S996+$R996,4),Tables!$M$5:$M$8,0),MATCH($R997,Tables!$N$4:$Q$4,0))</f>
        <v>3552</v>
      </c>
      <c r="T997" s="2" t="str">
        <f t="shared" si="234"/>
        <v>0DE0</v>
      </c>
      <c r="U997" s="2">
        <f t="shared" si="225"/>
        <v>888</v>
      </c>
      <c r="V997" s="2" t="str">
        <f t="shared" si="235"/>
        <v>378</v>
      </c>
      <c r="W997" s="2" t="str">
        <f t="shared" si="236"/>
        <v/>
      </c>
      <c r="X997" s="2" t="str">
        <f t="shared" si="237"/>
        <v/>
      </c>
      <c r="Y997" s="2" t="str">
        <f t="shared" si="238"/>
        <v/>
      </c>
      <c r="Z997" s="2" t="str">
        <f t="shared" si="239"/>
        <v>X</v>
      </c>
      <c r="AA997" s="2" t="str">
        <f t="shared" si="226"/>
        <v/>
      </c>
      <c r="AB997" s="2" t="str">
        <f t="shared" si="227"/>
        <v/>
      </c>
      <c r="AC997" s="2" t="str">
        <f t="shared" si="228"/>
        <v/>
      </c>
      <c r="AD997" s="2" t="str">
        <f t="shared" si="229"/>
        <v>(0)</v>
      </c>
      <c r="AE997" s="2" t="str">
        <f t="shared" si="230"/>
        <v/>
      </c>
      <c r="AF997" s="2" t="str">
        <f t="shared" si="231"/>
        <v/>
      </c>
      <c r="AG997" s="2" t="str">
        <f t="shared" si="232"/>
        <v/>
      </c>
      <c r="AH997" s="2" t="str">
        <f t="shared" si="233"/>
        <v/>
      </c>
    </row>
    <row r="998" spans="2:34" x14ac:dyDescent="0.25">
      <c r="B998" s="2" t="s">
        <v>1104</v>
      </c>
      <c r="D998" s="2" t="s">
        <v>1</v>
      </c>
      <c r="E998" s="2" t="s">
        <v>134</v>
      </c>
      <c r="F998" s="2" t="s">
        <v>1108</v>
      </c>
      <c r="G998" s="2" t="s">
        <v>1109</v>
      </c>
      <c r="H998" s="2" t="s">
        <v>692</v>
      </c>
      <c r="I998" s="2" t="s">
        <v>42</v>
      </c>
      <c r="J998" s="2">
        <v>1</v>
      </c>
      <c r="K998" s="2" t="s">
        <v>82</v>
      </c>
      <c r="L998" s="2" t="s">
        <v>41</v>
      </c>
      <c r="M998" s="2" t="s">
        <v>135</v>
      </c>
      <c r="N998" s="2" t="s">
        <v>1107</v>
      </c>
      <c r="O998" s="2" t="s">
        <v>693</v>
      </c>
      <c r="P998" s="2" t="s">
        <v>5</v>
      </c>
      <c r="Q998" s="2">
        <f>INDEX(Tables!$C$4:$C$28,MATCH($P998,Tables!$B$4:$B$28,0))</f>
        <v>32</v>
      </c>
      <c r="R998" s="2">
        <f>INDEX(Tables!$D$4:$D$28,MATCH($P998,Tables!$B$4:$B$28,0))</f>
        <v>4</v>
      </c>
      <c r="S998" s="2">
        <f>$S997+$R997+INDEX(Tables!$N$5:$Q$8,MATCH(MOD($S997+$R997,4),Tables!$M$5:$M$8,0),MATCH($R998,Tables!$N$4:$Q$4,0))</f>
        <v>3556</v>
      </c>
      <c r="T998" s="2" t="str">
        <f t="shared" si="234"/>
        <v>0DE4</v>
      </c>
      <c r="U998" s="2">
        <f t="shared" si="225"/>
        <v>889</v>
      </c>
      <c r="V998" s="2" t="str">
        <f t="shared" si="235"/>
        <v>379</v>
      </c>
      <c r="W998" s="2" t="str">
        <f t="shared" si="236"/>
        <v/>
      </c>
      <c r="X998" s="2" t="str">
        <f t="shared" si="237"/>
        <v/>
      </c>
      <c r="Y998" s="2" t="str">
        <f t="shared" si="238"/>
        <v/>
      </c>
      <c r="Z998" s="2" t="str">
        <f t="shared" si="239"/>
        <v>X</v>
      </c>
      <c r="AA998" s="2" t="str">
        <f t="shared" si="226"/>
        <v/>
      </c>
      <c r="AB998" s="2" t="str">
        <f t="shared" si="227"/>
        <v/>
      </c>
      <c r="AC998" s="2" t="str">
        <f t="shared" si="228"/>
        <v/>
      </c>
      <c r="AD998" s="2" t="str">
        <f t="shared" si="229"/>
        <v>(0)</v>
      </c>
      <c r="AE998" s="2" t="str">
        <f t="shared" si="230"/>
        <v/>
      </c>
      <c r="AF998" s="2" t="str">
        <f t="shared" si="231"/>
        <v/>
      </c>
      <c r="AG998" s="2" t="str">
        <f t="shared" si="232"/>
        <v/>
      </c>
      <c r="AH998" s="2" t="str">
        <f t="shared" si="233"/>
        <v/>
      </c>
    </row>
    <row r="999" spans="2:34" x14ac:dyDescent="0.25">
      <c r="B999" s="2" t="s">
        <v>1104</v>
      </c>
      <c r="D999" s="2" t="s">
        <v>1</v>
      </c>
      <c r="E999" s="2" t="s">
        <v>134</v>
      </c>
      <c r="F999" s="2" t="s">
        <v>1108</v>
      </c>
      <c r="G999" s="2" t="s">
        <v>1109</v>
      </c>
      <c r="H999" s="2" t="s">
        <v>694</v>
      </c>
      <c r="I999" s="2" t="s">
        <v>42</v>
      </c>
      <c r="J999" s="2">
        <v>1</v>
      </c>
      <c r="K999" s="2" t="s">
        <v>136</v>
      </c>
      <c r="L999" s="2" t="s">
        <v>41</v>
      </c>
      <c r="M999" s="2" t="s">
        <v>135</v>
      </c>
      <c r="N999" s="2" t="s">
        <v>1107</v>
      </c>
      <c r="O999" s="2" t="s">
        <v>695</v>
      </c>
      <c r="P999" s="2" t="s">
        <v>5</v>
      </c>
      <c r="Q999" s="2">
        <f>INDEX(Tables!$C$4:$C$28,MATCH($P999,Tables!$B$4:$B$28,0))</f>
        <v>32</v>
      </c>
      <c r="R999" s="2">
        <f>INDEX(Tables!$D$4:$D$28,MATCH($P999,Tables!$B$4:$B$28,0))</f>
        <v>4</v>
      </c>
      <c r="S999" s="2">
        <f>$S998+$R998+INDEX(Tables!$N$5:$Q$8,MATCH(MOD($S998+$R998,4),Tables!$M$5:$M$8,0),MATCH($R999,Tables!$N$4:$Q$4,0))</f>
        <v>3560</v>
      </c>
      <c r="T999" s="2" t="str">
        <f t="shared" si="234"/>
        <v>0DE8</v>
      </c>
      <c r="U999" s="2">
        <f t="shared" si="225"/>
        <v>890</v>
      </c>
      <c r="V999" s="2" t="str">
        <f t="shared" si="235"/>
        <v>37A</v>
      </c>
      <c r="W999" s="2" t="str">
        <f t="shared" si="236"/>
        <v/>
      </c>
      <c r="X999" s="2" t="str">
        <f t="shared" si="237"/>
        <v/>
      </c>
      <c r="Y999" s="2" t="str">
        <f t="shared" si="238"/>
        <v/>
      </c>
      <c r="Z999" s="2" t="str">
        <f t="shared" si="239"/>
        <v>X</v>
      </c>
      <c r="AA999" s="2" t="str">
        <f t="shared" si="226"/>
        <v/>
      </c>
      <c r="AB999" s="2" t="str">
        <f t="shared" si="227"/>
        <v/>
      </c>
      <c r="AC999" s="2" t="str">
        <f t="shared" si="228"/>
        <v/>
      </c>
      <c r="AD999" s="2" t="str">
        <f t="shared" si="229"/>
        <v>(0)</v>
      </c>
      <c r="AE999" s="2" t="str">
        <f t="shared" si="230"/>
        <v/>
      </c>
      <c r="AF999" s="2" t="str">
        <f t="shared" si="231"/>
        <v/>
      </c>
      <c r="AG999" s="2" t="str">
        <f t="shared" si="232"/>
        <v/>
      </c>
      <c r="AH999" s="2" t="str">
        <f t="shared" si="233"/>
        <v/>
      </c>
    </row>
    <row r="1000" spans="2:34" x14ac:dyDescent="0.25">
      <c r="B1000" s="2" t="s">
        <v>1104</v>
      </c>
      <c r="D1000" s="2" t="s">
        <v>1</v>
      </c>
      <c r="E1000" s="2" t="s">
        <v>134</v>
      </c>
      <c r="F1000" s="2" t="s">
        <v>1108</v>
      </c>
      <c r="G1000" s="2" t="s">
        <v>1109</v>
      </c>
      <c r="H1000" s="2" t="s">
        <v>696</v>
      </c>
      <c r="I1000" s="2" t="s">
        <v>42</v>
      </c>
      <c r="J1000" s="2">
        <v>1</v>
      </c>
      <c r="K1000" s="2" t="s">
        <v>82</v>
      </c>
      <c r="L1000" s="2" t="s">
        <v>41</v>
      </c>
      <c r="M1000" s="2" t="s">
        <v>135</v>
      </c>
      <c r="N1000" s="2" t="s">
        <v>1107</v>
      </c>
      <c r="O1000" s="2" t="s">
        <v>697</v>
      </c>
      <c r="P1000" s="2" t="s">
        <v>5</v>
      </c>
      <c r="Q1000" s="2">
        <f>INDEX(Tables!$C$4:$C$28,MATCH($P1000,Tables!$B$4:$B$28,0))</f>
        <v>32</v>
      </c>
      <c r="R1000" s="2">
        <f>INDEX(Tables!$D$4:$D$28,MATCH($P1000,Tables!$B$4:$B$28,0))</f>
        <v>4</v>
      </c>
      <c r="S1000" s="2">
        <f>$S999+$R999+INDEX(Tables!$N$5:$Q$8,MATCH(MOD($S999+$R999,4),Tables!$M$5:$M$8,0),MATCH($R1000,Tables!$N$4:$Q$4,0))</f>
        <v>3564</v>
      </c>
      <c r="T1000" s="2" t="str">
        <f t="shared" si="234"/>
        <v>0DEC</v>
      </c>
      <c r="U1000" s="2">
        <f t="shared" si="225"/>
        <v>891</v>
      </c>
      <c r="V1000" s="2" t="str">
        <f t="shared" si="235"/>
        <v>37B</v>
      </c>
      <c r="W1000" s="2" t="str">
        <f t="shared" si="236"/>
        <v/>
      </c>
      <c r="X1000" s="2" t="str">
        <f t="shared" si="237"/>
        <v/>
      </c>
      <c r="Y1000" s="2" t="str">
        <f t="shared" si="238"/>
        <v/>
      </c>
      <c r="Z1000" s="2" t="str">
        <f t="shared" si="239"/>
        <v>X</v>
      </c>
      <c r="AA1000" s="2" t="str">
        <f t="shared" si="226"/>
        <v/>
      </c>
      <c r="AB1000" s="2" t="str">
        <f t="shared" si="227"/>
        <v/>
      </c>
      <c r="AC1000" s="2" t="str">
        <f t="shared" si="228"/>
        <v/>
      </c>
      <c r="AD1000" s="2" t="str">
        <f t="shared" si="229"/>
        <v>(0)</v>
      </c>
      <c r="AE1000" s="2" t="str">
        <f t="shared" si="230"/>
        <v/>
      </c>
      <c r="AF1000" s="2" t="str">
        <f t="shared" si="231"/>
        <v/>
      </c>
      <c r="AG1000" s="2" t="str">
        <f t="shared" si="232"/>
        <v/>
      </c>
      <c r="AH1000" s="2" t="str">
        <f t="shared" si="233"/>
        <v/>
      </c>
    </row>
    <row r="1001" spans="2:34" x14ac:dyDescent="0.25">
      <c r="B1001" s="2" t="s">
        <v>1104</v>
      </c>
      <c r="D1001" s="2" t="s">
        <v>1</v>
      </c>
      <c r="E1001" s="2" t="s">
        <v>134</v>
      </c>
      <c r="F1001" s="2" t="s">
        <v>1108</v>
      </c>
      <c r="G1001" s="2" t="s">
        <v>1109</v>
      </c>
      <c r="H1001" s="2" t="s">
        <v>698</v>
      </c>
      <c r="I1001" s="2" t="s">
        <v>42</v>
      </c>
      <c r="J1001" s="2">
        <v>1</v>
      </c>
      <c r="K1001" s="2" t="s">
        <v>136</v>
      </c>
      <c r="L1001" s="2" t="s">
        <v>41</v>
      </c>
      <c r="M1001" s="2" t="s">
        <v>135</v>
      </c>
      <c r="N1001" s="2" t="s">
        <v>1107</v>
      </c>
      <c r="O1001" s="2" t="s">
        <v>699</v>
      </c>
      <c r="P1001" s="2" t="s">
        <v>5</v>
      </c>
      <c r="Q1001" s="2">
        <f>INDEX(Tables!$C$4:$C$28,MATCH($P1001,Tables!$B$4:$B$28,0))</f>
        <v>32</v>
      </c>
      <c r="R1001" s="2">
        <f>INDEX(Tables!$D$4:$D$28,MATCH($P1001,Tables!$B$4:$B$28,0))</f>
        <v>4</v>
      </c>
      <c r="S1001" s="2">
        <f>$S1000+$R1000+INDEX(Tables!$N$5:$Q$8,MATCH(MOD($S1000+$R1000,4),Tables!$M$5:$M$8,0),MATCH($R1001,Tables!$N$4:$Q$4,0))</f>
        <v>3568</v>
      </c>
      <c r="T1001" s="2" t="str">
        <f t="shared" si="234"/>
        <v>0DF0</v>
      </c>
      <c r="U1001" s="2">
        <f t="shared" si="225"/>
        <v>892</v>
      </c>
      <c r="V1001" s="2" t="str">
        <f t="shared" si="235"/>
        <v>37C</v>
      </c>
      <c r="W1001" s="2" t="str">
        <f t="shared" si="236"/>
        <v/>
      </c>
      <c r="X1001" s="2" t="str">
        <f t="shared" si="237"/>
        <v/>
      </c>
      <c r="Y1001" s="2" t="str">
        <f t="shared" si="238"/>
        <v/>
      </c>
      <c r="Z1001" s="2" t="str">
        <f t="shared" si="239"/>
        <v>X</v>
      </c>
      <c r="AA1001" s="2" t="str">
        <f t="shared" si="226"/>
        <v/>
      </c>
      <c r="AB1001" s="2" t="str">
        <f t="shared" si="227"/>
        <v/>
      </c>
      <c r="AC1001" s="2" t="str">
        <f t="shared" si="228"/>
        <v/>
      </c>
      <c r="AD1001" s="2" t="str">
        <f t="shared" si="229"/>
        <v>(0)</v>
      </c>
      <c r="AE1001" s="2" t="str">
        <f t="shared" si="230"/>
        <v/>
      </c>
      <c r="AF1001" s="2" t="str">
        <f t="shared" si="231"/>
        <v/>
      </c>
      <c r="AG1001" s="2" t="str">
        <f t="shared" si="232"/>
        <v/>
      </c>
      <c r="AH1001" s="2" t="str">
        <f t="shared" si="233"/>
        <v/>
      </c>
    </row>
    <row r="1002" spans="2:34" x14ac:dyDescent="0.25">
      <c r="B1002" s="2" t="s">
        <v>1104</v>
      </c>
      <c r="D1002" s="2" t="s">
        <v>1</v>
      </c>
      <c r="E1002" s="2" t="s">
        <v>134</v>
      </c>
      <c r="F1002" s="2" t="s">
        <v>1108</v>
      </c>
      <c r="G1002" s="2" t="s">
        <v>1109</v>
      </c>
      <c r="H1002" s="2" t="s">
        <v>700</v>
      </c>
      <c r="I1002" s="2" t="s">
        <v>42</v>
      </c>
      <c r="J1002" s="2">
        <v>1</v>
      </c>
      <c r="K1002" s="2" t="s">
        <v>82</v>
      </c>
      <c r="L1002" s="2" t="s">
        <v>41</v>
      </c>
      <c r="M1002" s="2" t="s">
        <v>135</v>
      </c>
      <c r="N1002" s="2" t="s">
        <v>1107</v>
      </c>
      <c r="O1002" s="2" t="s">
        <v>701</v>
      </c>
      <c r="P1002" s="2" t="s">
        <v>5</v>
      </c>
      <c r="Q1002" s="2">
        <f>INDEX(Tables!$C$4:$C$28,MATCH($P1002,Tables!$B$4:$B$28,0))</f>
        <v>32</v>
      </c>
      <c r="R1002" s="2">
        <f>INDEX(Tables!$D$4:$D$28,MATCH($P1002,Tables!$B$4:$B$28,0))</f>
        <v>4</v>
      </c>
      <c r="S1002" s="2">
        <f>$S1001+$R1001+INDEX(Tables!$N$5:$Q$8,MATCH(MOD($S1001+$R1001,4),Tables!$M$5:$M$8,0),MATCH($R1002,Tables!$N$4:$Q$4,0))</f>
        <v>3572</v>
      </c>
      <c r="T1002" s="2" t="str">
        <f t="shared" si="234"/>
        <v>0DF4</v>
      </c>
      <c r="U1002" s="2">
        <f t="shared" ref="U1002:U1065" si="240">ROUNDDOWN(S1002/4,0)</f>
        <v>893</v>
      </c>
      <c r="V1002" s="2" t="str">
        <f t="shared" si="235"/>
        <v>37D</v>
      </c>
      <c r="W1002" s="2" t="str">
        <f t="shared" si="236"/>
        <v/>
      </c>
      <c r="X1002" s="2" t="str">
        <f t="shared" si="237"/>
        <v/>
      </c>
      <c r="Y1002" s="2" t="str">
        <f t="shared" si="238"/>
        <v/>
      </c>
      <c r="Z1002" s="2" t="str">
        <f t="shared" si="239"/>
        <v>X</v>
      </c>
      <c r="AA1002" s="2" t="str">
        <f t="shared" ref="AA1002:AA1065" si="241">IF(W1002="","",CONCATENATE("(",IF(($J1002-COUNTIF($X1002:$Z1002,"X")*8)=1,"24)",CONCATENATE(IF(($J1002-COUNTIF($X1002:$Z1002,"X")*8)&gt;=8,32,($J1002-COUNTIF($X1002:$Z1002,"X")*8)+24)-1," downto 24)"))))</f>
        <v/>
      </c>
      <c r="AB1002" s="2" t="str">
        <f t="shared" ref="AB1002:AB1065" si="242">IF(X1002="","",CONCATENATE("(",IF(($J1002-COUNTIF($Y1002:$Z1002,"X")*8)=1,"16)",CONCATENATE(IF(($J1002-COUNTIF($Y1002:$Z1002,"X")*8)&gt;=8,24,($J1002-COUNTIF($Y1002:$Z1002,"X")*8)+16)-1," downto 16)"))))</f>
        <v/>
      </c>
      <c r="AC1002" s="2" t="str">
        <f t="shared" ref="AC1002:AC1065" si="243">IF(Y1002="","",CONCATENATE("(",IF(($J1002-COUNTIF($Z1002,"X")*8)=1,"8)",CONCATENATE(IF(($J1002-COUNTIF($Z1002,"X")*8)&gt;=8,16,($J1002-COUNTIF($Z1002,"X")*8)+8)-1," downto 8)"))))</f>
        <v/>
      </c>
      <c r="AD1002" s="2" t="str">
        <f t="shared" ref="AD1002:AD1065" si="244">IF(Z1002="","",CONCATENATE("(",IF($J1002=1,"0)",CONCATENATE(IF($J1002&gt;=8,8,$J1002)-1," downto 0)"))))</f>
        <v>(0)</v>
      </c>
      <c r="AE1002" s="2" t="str">
        <f t="shared" ref="AE1002:AE1065" si="245">IF(W1002="","",IF($J1002&lt;=8,"",IF(($J1002-COUNTIF($X1002:$Z1002,"X")*8)=1,CONCATENATE("(",($J1002-1),")"),CONCATENATE("(",IF(($J1002-COUNTIF($X1002:$Z1002,"X")*8)&gt;=8,COUNTIF($X1002:$Z1002,"X")*8+7,$J1002-COUNTIF($X1002:$Z1002,"X")*8-1+COUNTIF($X1002:$Z1002,"X")*8)," downto ",COUNTIF($X1002:$Z1002,"X")*8,")"))))</f>
        <v/>
      </c>
      <c r="AF1002" s="2" t="str">
        <f t="shared" ref="AF1002:AF1065" si="246">IF(X1002="","",IF($J1002&lt;=8,"",IF(($J1002-COUNTIF($Y1002:$Z1002,"X")*8)=1,CONCATENATE("(",($J1002-1),")"),CONCATENATE("(",IF(($J1002-COUNTIF($Y1002:$Z1002,"X")*8)&gt;=8,COUNTIF($Y1002:$Z1002,"X")*8+7,$J1002-COUNTIF($Y1002:$Z1002,"X")*8-1+COUNTIF($Y1002:$Z1002,"X")*8)," downto ",COUNTIF($Y1002:$Z1002,"X")*8,")"))))</f>
        <v/>
      </c>
      <c r="AG1002" s="2" t="str">
        <f t="shared" ref="AG1002:AG1065" si="247">IF(Y1002="","",IF($J1002&lt;=8,"",IF(($J1002-COUNTIF($Z1002,"X")*8)=1,CONCATENATE("(",($J1002-1),")"),CONCATENATE("(",IF(($J1002-COUNTIF($Z1002,"X")*8)&gt;=8,COUNTIF($Z1002,"X")*8+7,$J1002-COUNTIF($Z1002,"X")*8-1+COUNTIF($Z1002,"X")*8)," downto ",COUNTIF($Z1002,"X")*8,")"))))</f>
        <v/>
      </c>
      <c r="AH1002" s="2" t="str">
        <f t="shared" ref="AH1002:AH1065" si="248">IF(Z1002="","",IF($J1002&lt;=8,"",CONCATENATE("(",IF($J1002&gt;=8,7,$J1002-1)," downto ",0,")")))</f>
        <v/>
      </c>
    </row>
    <row r="1003" spans="2:34" x14ac:dyDescent="0.25">
      <c r="B1003" s="2" t="s">
        <v>1104</v>
      </c>
      <c r="D1003" s="2" t="s">
        <v>1</v>
      </c>
      <c r="E1003" s="2" t="s">
        <v>134</v>
      </c>
      <c r="F1003" s="2" t="s">
        <v>1108</v>
      </c>
      <c r="G1003" s="2" t="s">
        <v>1109</v>
      </c>
      <c r="H1003" s="2" t="s">
        <v>702</v>
      </c>
      <c r="I1003" s="2" t="s">
        <v>42</v>
      </c>
      <c r="J1003" s="2">
        <v>1</v>
      </c>
      <c r="K1003" s="2" t="s">
        <v>136</v>
      </c>
      <c r="L1003" s="2" t="s">
        <v>41</v>
      </c>
      <c r="M1003" s="2" t="s">
        <v>135</v>
      </c>
      <c r="N1003" s="2" t="s">
        <v>1107</v>
      </c>
      <c r="O1003" s="2" t="s">
        <v>703</v>
      </c>
      <c r="P1003" s="2" t="s">
        <v>5</v>
      </c>
      <c r="Q1003" s="2">
        <f>INDEX(Tables!$C$4:$C$28,MATCH($P1003,Tables!$B$4:$B$28,0))</f>
        <v>32</v>
      </c>
      <c r="R1003" s="2">
        <f>INDEX(Tables!$D$4:$D$28,MATCH($P1003,Tables!$B$4:$B$28,0))</f>
        <v>4</v>
      </c>
      <c r="S1003" s="2">
        <f>$S1002+$R1002+INDEX(Tables!$N$5:$Q$8,MATCH(MOD($S1002+$R1002,4),Tables!$M$5:$M$8,0),MATCH($R1003,Tables!$N$4:$Q$4,0))</f>
        <v>3576</v>
      </c>
      <c r="T1003" s="2" t="str">
        <f t="shared" si="234"/>
        <v>0DF8</v>
      </c>
      <c r="U1003" s="2">
        <f t="shared" si="240"/>
        <v>894</v>
      </c>
      <c r="V1003" s="2" t="str">
        <f t="shared" si="235"/>
        <v>37E</v>
      </c>
      <c r="W1003" s="2" t="str">
        <f t="shared" si="236"/>
        <v/>
      </c>
      <c r="X1003" s="2" t="str">
        <f t="shared" si="237"/>
        <v/>
      </c>
      <c r="Y1003" s="2" t="str">
        <f t="shared" si="238"/>
        <v/>
      </c>
      <c r="Z1003" s="2" t="str">
        <f t="shared" si="239"/>
        <v>X</v>
      </c>
      <c r="AA1003" s="2" t="str">
        <f t="shared" si="241"/>
        <v/>
      </c>
      <c r="AB1003" s="2" t="str">
        <f t="shared" si="242"/>
        <v/>
      </c>
      <c r="AC1003" s="2" t="str">
        <f t="shared" si="243"/>
        <v/>
      </c>
      <c r="AD1003" s="2" t="str">
        <f t="shared" si="244"/>
        <v>(0)</v>
      </c>
      <c r="AE1003" s="2" t="str">
        <f t="shared" si="245"/>
        <v/>
      </c>
      <c r="AF1003" s="2" t="str">
        <f t="shared" si="246"/>
        <v/>
      </c>
      <c r="AG1003" s="2" t="str">
        <f t="shared" si="247"/>
        <v/>
      </c>
      <c r="AH1003" s="2" t="str">
        <f t="shared" si="248"/>
        <v/>
      </c>
    </row>
    <row r="1004" spans="2:34" x14ac:dyDescent="0.25">
      <c r="B1004" s="2" t="s">
        <v>1104</v>
      </c>
      <c r="D1004" s="2" t="s">
        <v>1</v>
      </c>
      <c r="E1004" s="2" t="s">
        <v>134</v>
      </c>
      <c r="F1004" s="2" t="s">
        <v>1108</v>
      </c>
      <c r="G1004" s="2" t="s">
        <v>1109</v>
      </c>
      <c r="H1004" s="2" t="s">
        <v>704</v>
      </c>
      <c r="I1004" s="2" t="s">
        <v>42</v>
      </c>
      <c r="J1004" s="2">
        <v>1</v>
      </c>
      <c r="K1004" s="2" t="s">
        <v>136</v>
      </c>
      <c r="L1004" s="2" t="s">
        <v>41</v>
      </c>
      <c r="M1004" s="2" t="s">
        <v>135</v>
      </c>
      <c r="N1004" s="2" t="s">
        <v>1107</v>
      </c>
      <c r="O1004" s="2" t="s">
        <v>705</v>
      </c>
      <c r="P1004" s="2" t="s">
        <v>5</v>
      </c>
      <c r="Q1004" s="2">
        <f>INDEX(Tables!$C$4:$C$28,MATCH($P1004,Tables!$B$4:$B$28,0))</f>
        <v>32</v>
      </c>
      <c r="R1004" s="2">
        <f>INDEX(Tables!$D$4:$D$28,MATCH($P1004,Tables!$B$4:$B$28,0))</f>
        <v>4</v>
      </c>
      <c r="S1004" s="2">
        <f>$S1003+$R1003+INDEX(Tables!$N$5:$Q$8,MATCH(MOD($S1003+$R1003,4),Tables!$M$5:$M$8,0),MATCH($R1004,Tables!$N$4:$Q$4,0))</f>
        <v>3580</v>
      </c>
      <c r="T1004" s="2" t="str">
        <f t="shared" si="234"/>
        <v>0DFC</v>
      </c>
      <c r="U1004" s="2">
        <f t="shared" si="240"/>
        <v>895</v>
      </c>
      <c r="V1004" s="2" t="str">
        <f t="shared" si="235"/>
        <v>37F</v>
      </c>
      <c r="W1004" s="2" t="str">
        <f t="shared" si="236"/>
        <v/>
      </c>
      <c r="X1004" s="2" t="str">
        <f t="shared" si="237"/>
        <v/>
      </c>
      <c r="Y1004" s="2" t="str">
        <f t="shared" si="238"/>
        <v/>
      </c>
      <c r="Z1004" s="2" t="str">
        <f t="shared" si="239"/>
        <v>X</v>
      </c>
      <c r="AA1004" s="2" t="str">
        <f t="shared" si="241"/>
        <v/>
      </c>
      <c r="AB1004" s="2" t="str">
        <f t="shared" si="242"/>
        <v/>
      </c>
      <c r="AC1004" s="2" t="str">
        <f t="shared" si="243"/>
        <v/>
      </c>
      <c r="AD1004" s="2" t="str">
        <f t="shared" si="244"/>
        <v>(0)</v>
      </c>
      <c r="AE1004" s="2" t="str">
        <f t="shared" si="245"/>
        <v/>
      </c>
      <c r="AF1004" s="2" t="str">
        <f t="shared" si="246"/>
        <v/>
      </c>
      <c r="AG1004" s="2" t="str">
        <f t="shared" si="247"/>
        <v/>
      </c>
      <c r="AH1004" s="2" t="str">
        <f t="shared" si="248"/>
        <v/>
      </c>
    </row>
    <row r="1005" spans="2:34" x14ac:dyDescent="0.25">
      <c r="B1005" s="2" t="s">
        <v>1104</v>
      </c>
      <c r="D1005" s="2" t="s">
        <v>1</v>
      </c>
      <c r="E1005" s="2" t="s">
        <v>134</v>
      </c>
      <c r="F1005" s="2" t="s">
        <v>1108</v>
      </c>
      <c r="G1005" s="2" t="s">
        <v>1109</v>
      </c>
      <c r="H1005" s="2" t="s">
        <v>706</v>
      </c>
      <c r="I1005" s="2" t="s">
        <v>42</v>
      </c>
      <c r="J1005" s="2">
        <v>1</v>
      </c>
      <c r="K1005" s="2" t="s">
        <v>136</v>
      </c>
      <c r="L1005" s="2" t="s">
        <v>41</v>
      </c>
      <c r="M1005" s="2" t="s">
        <v>135</v>
      </c>
      <c r="N1005" s="2" t="s">
        <v>1107</v>
      </c>
      <c r="O1005" s="2" t="s">
        <v>707</v>
      </c>
      <c r="P1005" s="2" t="s">
        <v>5</v>
      </c>
      <c r="Q1005" s="2">
        <f>INDEX(Tables!$C$4:$C$28,MATCH($P1005,Tables!$B$4:$B$28,0))</f>
        <v>32</v>
      </c>
      <c r="R1005" s="2">
        <f>INDEX(Tables!$D$4:$D$28,MATCH($P1005,Tables!$B$4:$B$28,0))</f>
        <v>4</v>
      </c>
      <c r="S1005" s="2">
        <f>$S1004+$R1004+INDEX(Tables!$N$5:$Q$8,MATCH(MOD($S1004+$R1004,4),Tables!$M$5:$M$8,0),MATCH($R1005,Tables!$N$4:$Q$4,0))</f>
        <v>3584</v>
      </c>
      <c r="T1005" s="2" t="str">
        <f t="shared" si="234"/>
        <v>0E00</v>
      </c>
      <c r="U1005" s="2">
        <f t="shared" si="240"/>
        <v>896</v>
      </c>
      <c r="V1005" s="2" t="str">
        <f t="shared" si="235"/>
        <v>380</v>
      </c>
      <c r="W1005" s="2" t="str">
        <f t="shared" si="236"/>
        <v/>
      </c>
      <c r="X1005" s="2" t="str">
        <f t="shared" si="237"/>
        <v/>
      </c>
      <c r="Y1005" s="2" t="str">
        <f t="shared" si="238"/>
        <v/>
      </c>
      <c r="Z1005" s="2" t="str">
        <f t="shared" si="239"/>
        <v>X</v>
      </c>
      <c r="AA1005" s="2" t="str">
        <f t="shared" si="241"/>
        <v/>
      </c>
      <c r="AB1005" s="2" t="str">
        <f t="shared" si="242"/>
        <v/>
      </c>
      <c r="AC1005" s="2" t="str">
        <f t="shared" si="243"/>
        <v/>
      </c>
      <c r="AD1005" s="2" t="str">
        <f t="shared" si="244"/>
        <v>(0)</v>
      </c>
      <c r="AE1005" s="2" t="str">
        <f t="shared" si="245"/>
        <v/>
      </c>
      <c r="AF1005" s="2" t="str">
        <f t="shared" si="246"/>
        <v/>
      </c>
      <c r="AG1005" s="2" t="str">
        <f t="shared" si="247"/>
        <v/>
      </c>
      <c r="AH1005" s="2" t="str">
        <f t="shared" si="248"/>
        <v/>
      </c>
    </row>
    <row r="1006" spans="2:34" x14ac:dyDescent="0.25">
      <c r="B1006" s="2" t="s">
        <v>1104</v>
      </c>
      <c r="D1006" s="2" t="s">
        <v>1</v>
      </c>
      <c r="E1006" s="2" t="s">
        <v>134</v>
      </c>
      <c r="F1006" s="2" t="s">
        <v>1108</v>
      </c>
      <c r="G1006" s="2" t="s">
        <v>1109</v>
      </c>
      <c r="H1006" s="2" t="s">
        <v>708</v>
      </c>
      <c r="I1006" s="2" t="s">
        <v>42</v>
      </c>
      <c r="J1006" s="2">
        <v>1</v>
      </c>
      <c r="K1006" s="2" t="s">
        <v>82</v>
      </c>
      <c r="L1006" s="2" t="s">
        <v>41</v>
      </c>
      <c r="M1006" s="2" t="s">
        <v>135</v>
      </c>
      <c r="N1006" s="2" t="s">
        <v>1107</v>
      </c>
      <c r="O1006" s="2" t="s">
        <v>709</v>
      </c>
      <c r="P1006" s="2" t="s">
        <v>5</v>
      </c>
      <c r="Q1006" s="2">
        <f>INDEX(Tables!$C$4:$C$28,MATCH($P1006,Tables!$B$4:$B$28,0))</f>
        <v>32</v>
      </c>
      <c r="R1006" s="2">
        <f>INDEX(Tables!$D$4:$D$28,MATCH($P1006,Tables!$B$4:$B$28,0))</f>
        <v>4</v>
      </c>
      <c r="S1006" s="2">
        <f>$S1005+$R1005+INDEX(Tables!$N$5:$Q$8,MATCH(MOD($S1005+$R1005,4),Tables!$M$5:$M$8,0),MATCH($R1006,Tables!$N$4:$Q$4,0))</f>
        <v>3588</v>
      </c>
      <c r="T1006" s="2" t="str">
        <f t="shared" si="234"/>
        <v>0E04</v>
      </c>
      <c r="U1006" s="2">
        <f t="shared" si="240"/>
        <v>897</v>
      </c>
      <c r="V1006" s="2" t="str">
        <f t="shared" si="235"/>
        <v>381</v>
      </c>
      <c r="W1006" s="2" t="str">
        <f t="shared" si="236"/>
        <v/>
      </c>
      <c r="X1006" s="2" t="str">
        <f t="shared" si="237"/>
        <v/>
      </c>
      <c r="Y1006" s="2" t="str">
        <f t="shared" si="238"/>
        <v/>
      </c>
      <c r="Z1006" s="2" t="str">
        <f t="shared" si="239"/>
        <v>X</v>
      </c>
      <c r="AA1006" s="2" t="str">
        <f t="shared" si="241"/>
        <v/>
      </c>
      <c r="AB1006" s="2" t="str">
        <f t="shared" si="242"/>
        <v/>
      </c>
      <c r="AC1006" s="2" t="str">
        <f t="shared" si="243"/>
        <v/>
      </c>
      <c r="AD1006" s="2" t="str">
        <f t="shared" si="244"/>
        <v>(0)</v>
      </c>
      <c r="AE1006" s="2" t="str">
        <f t="shared" si="245"/>
        <v/>
      </c>
      <c r="AF1006" s="2" t="str">
        <f t="shared" si="246"/>
        <v/>
      </c>
      <c r="AG1006" s="2" t="str">
        <f t="shared" si="247"/>
        <v/>
      </c>
      <c r="AH1006" s="2" t="str">
        <f t="shared" si="248"/>
        <v/>
      </c>
    </row>
    <row r="1007" spans="2:34" x14ac:dyDescent="0.25">
      <c r="B1007" s="2" t="s">
        <v>1104</v>
      </c>
      <c r="D1007" s="2" t="s">
        <v>1</v>
      </c>
      <c r="E1007" s="2" t="s">
        <v>134</v>
      </c>
      <c r="F1007" s="2" t="s">
        <v>1108</v>
      </c>
      <c r="G1007" s="2" t="s">
        <v>1109</v>
      </c>
      <c r="H1007" s="2" t="s">
        <v>710</v>
      </c>
      <c r="I1007" s="2" t="s">
        <v>42</v>
      </c>
      <c r="J1007" s="2">
        <v>1</v>
      </c>
      <c r="K1007" s="2" t="s">
        <v>82</v>
      </c>
      <c r="L1007" s="2" t="s">
        <v>41</v>
      </c>
      <c r="M1007" s="2" t="s">
        <v>135</v>
      </c>
      <c r="N1007" s="2" t="s">
        <v>1107</v>
      </c>
      <c r="O1007" s="2" t="s">
        <v>711</v>
      </c>
      <c r="P1007" s="2" t="s">
        <v>5</v>
      </c>
      <c r="Q1007" s="2">
        <f>INDEX(Tables!$C$4:$C$28,MATCH($P1007,Tables!$B$4:$B$28,0))</f>
        <v>32</v>
      </c>
      <c r="R1007" s="2">
        <f>INDEX(Tables!$D$4:$D$28,MATCH($P1007,Tables!$B$4:$B$28,0))</f>
        <v>4</v>
      </c>
      <c r="S1007" s="2">
        <f>$S1006+$R1006+INDEX(Tables!$N$5:$Q$8,MATCH(MOD($S1006+$R1006,4),Tables!$M$5:$M$8,0),MATCH($R1007,Tables!$N$4:$Q$4,0))</f>
        <v>3592</v>
      </c>
      <c r="T1007" s="2" t="str">
        <f t="shared" si="234"/>
        <v>0E08</v>
      </c>
      <c r="U1007" s="2">
        <f t="shared" si="240"/>
        <v>898</v>
      </c>
      <c r="V1007" s="2" t="str">
        <f t="shared" si="235"/>
        <v>382</v>
      </c>
      <c r="W1007" s="2" t="str">
        <f t="shared" si="236"/>
        <v/>
      </c>
      <c r="X1007" s="2" t="str">
        <f t="shared" si="237"/>
        <v/>
      </c>
      <c r="Y1007" s="2" t="str">
        <f t="shared" si="238"/>
        <v/>
      </c>
      <c r="Z1007" s="2" t="str">
        <f t="shared" si="239"/>
        <v>X</v>
      </c>
      <c r="AA1007" s="2" t="str">
        <f t="shared" si="241"/>
        <v/>
      </c>
      <c r="AB1007" s="2" t="str">
        <f t="shared" si="242"/>
        <v/>
      </c>
      <c r="AC1007" s="2" t="str">
        <f t="shared" si="243"/>
        <v/>
      </c>
      <c r="AD1007" s="2" t="str">
        <f t="shared" si="244"/>
        <v>(0)</v>
      </c>
      <c r="AE1007" s="2" t="str">
        <f t="shared" si="245"/>
        <v/>
      </c>
      <c r="AF1007" s="2" t="str">
        <f t="shared" si="246"/>
        <v/>
      </c>
      <c r="AG1007" s="2" t="str">
        <f t="shared" si="247"/>
        <v/>
      </c>
      <c r="AH1007" s="2" t="str">
        <f t="shared" si="248"/>
        <v/>
      </c>
    </row>
    <row r="1008" spans="2:34" x14ac:dyDescent="0.25">
      <c r="B1008" s="2" t="s">
        <v>1104</v>
      </c>
      <c r="D1008" s="2" t="s">
        <v>1</v>
      </c>
      <c r="E1008" s="2" t="s">
        <v>134</v>
      </c>
      <c r="F1008" s="2" t="s">
        <v>1108</v>
      </c>
      <c r="G1008" s="2" t="s">
        <v>1109</v>
      </c>
      <c r="H1008" s="2" t="s">
        <v>712</v>
      </c>
      <c r="I1008" s="2" t="s">
        <v>42</v>
      </c>
      <c r="J1008" s="2">
        <v>1</v>
      </c>
      <c r="K1008" s="2" t="s">
        <v>82</v>
      </c>
      <c r="L1008" s="2" t="s">
        <v>41</v>
      </c>
      <c r="M1008" s="2" t="s">
        <v>135</v>
      </c>
      <c r="N1008" s="2" t="s">
        <v>1107</v>
      </c>
      <c r="O1008" s="2" t="s">
        <v>713</v>
      </c>
      <c r="P1008" s="2" t="s">
        <v>5</v>
      </c>
      <c r="Q1008" s="2">
        <f>INDEX(Tables!$C$4:$C$28,MATCH($P1008,Tables!$B$4:$B$28,0))</f>
        <v>32</v>
      </c>
      <c r="R1008" s="2">
        <f>INDEX(Tables!$D$4:$D$28,MATCH($P1008,Tables!$B$4:$B$28,0))</f>
        <v>4</v>
      </c>
      <c r="S1008" s="2">
        <f>$S1007+$R1007+INDEX(Tables!$N$5:$Q$8,MATCH(MOD($S1007+$R1007,4),Tables!$M$5:$M$8,0),MATCH($R1008,Tables!$N$4:$Q$4,0))</f>
        <v>3596</v>
      </c>
      <c r="T1008" s="2" t="str">
        <f t="shared" si="234"/>
        <v>0E0C</v>
      </c>
      <c r="U1008" s="2">
        <f t="shared" si="240"/>
        <v>899</v>
      </c>
      <c r="V1008" s="2" t="str">
        <f t="shared" si="235"/>
        <v>383</v>
      </c>
      <c r="W1008" s="2" t="str">
        <f t="shared" si="236"/>
        <v/>
      </c>
      <c r="X1008" s="2" t="str">
        <f t="shared" si="237"/>
        <v/>
      </c>
      <c r="Y1008" s="2" t="str">
        <f t="shared" si="238"/>
        <v/>
      </c>
      <c r="Z1008" s="2" t="str">
        <f t="shared" si="239"/>
        <v>X</v>
      </c>
      <c r="AA1008" s="2" t="str">
        <f t="shared" si="241"/>
        <v/>
      </c>
      <c r="AB1008" s="2" t="str">
        <f t="shared" si="242"/>
        <v/>
      </c>
      <c r="AC1008" s="2" t="str">
        <f t="shared" si="243"/>
        <v/>
      </c>
      <c r="AD1008" s="2" t="str">
        <f t="shared" si="244"/>
        <v>(0)</v>
      </c>
      <c r="AE1008" s="2" t="str">
        <f t="shared" si="245"/>
        <v/>
      </c>
      <c r="AF1008" s="2" t="str">
        <f t="shared" si="246"/>
        <v/>
      </c>
      <c r="AG1008" s="2" t="str">
        <f t="shared" si="247"/>
        <v/>
      </c>
      <c r="AH1008" s="2" t="str">
        <f t="shared" si="248"/>
        <v/>
      </c>
    </row>
    <row r="1009" spans="2:34" x14ac:dyDescent="0.25">
      <c r="B1009" s="2" t="s">
        <v>1104</v>
      </c>
      <c r="D1009" s="2" t="s">
        <v>1</v>
      </c>
      <c r="E1009" s="2" t="s">
        <v>134</v>
      </c>
      <c r="F1009" s="2" t="s">
        <v>1108</v>
      </c>
      <c r="G1009" s="2" t="s">
        <v>1109</v>
      </c>
      <c r="H1009" s="2" t="s">
        <v>714</v>
      </c>
      <c r="I1009" s="2" t="s">
        <v>42</v>
      </c>
      <c r="J1009" s="2">
        <v>1</v>
      </c>
      <c r="K1009" s="2" t="s">
        <v>82</v>
      </c>
      <c r="L1009" s="2" t="s">
        <v>41</v>
      </c>
      <c r="M1009" s="2" t="s">
        <v>135</v>
      </c>
      <c r="N1009" s="2" t="s">
        <v>1107</v>
      </c>
      <c r="O1009" s="2" t="s">
        <v>715</v>
      </c>
      <c r="P1009" s="2" t="s">
        <v>5</v>
      </c>
      <c r="Q1009" s="2">
        <f>INDEX(Tables!$C$4:$C$28,MATCH($P1009,Tables!$B$4:$B$28,0))</f>
        <v>32</v>
      </c>
      <c r="R1009" s="2">
        <f>INDEX(Tables!$D$4:$D$28,MATCH($P1009,Tables!$B$4:$B$28,0))</f>
        <v>4</v>
      </c>
      <c r="S1009" s="2">
        <f>$S1008+$R1008+INDEX(Tables!$N$5:$Q$8,MATCH(MOD($S1008+$R1008,4),Tables!$M$5:$M$8,0),MATCH($R1009,Tables!$N$4:$Q$4,0))</f>
        <v>3600</v>
      </c>
      <c r="T1009" s="2" t="str">
        <f t="shared" si="234"/>
        <v>0E10</v>
      </c>
      <c r="U1009" s="2">
        <f t="shared" si="240"/>
        <v>900</v>
      </c>
      <c r="V1009" s="2" t="str">
        <f t="shared" si="235"/>
        <v>384</v>
      </c>
      <c r="W1009" s="2" t="str">
        <f t="shared" si="236"/>
        <v/>
      </c>
      <c r="X1009" s="2" t="str">
        <f t="shared" si="237"/>
        <v/>
      </c>
      <c r="Y1009" s="2" t="str">
        <f t="shared" si="238"/>
        <v/>
      </c>
      <c r="Z1009" s="2" t="str">
        <f t="shared" si="239"/>
        <v>X</v>
      </c>
      <c r="AA1009" s="2" t="str">
        <f t="shared" si="241"/>
        <v/>
      </c>
      <c r="AB1009" s="2" t="str">
        <f t="shared" si="242"/>
        <v/>
      </c>
      <c r="AC1009" s="2" t="str">
        <f t="shared" si="243"/>
        <v/>
      </c>
      <c r="AD1009" s="2" t="str">
        <f t="shared" si="244"/>
        <v>(0)</v>
      </c>
      <c r="AE1009" s="2" t="str">
        <f t="shared" si="245"/>
        <v/>
      </c>
      <c r="AF1009" s="2" t="str">
        <f t="shared" si="246"/>
        <v/>
      </c>
      <c r="AG1009" s="2" t="str">
        <f t="shared" si="247"/>
        <v/>
      </c>
      <c r="AH1009" s="2" t="str">
        <f t="shared" si="248"/>
        <v/>
      </c>
    </row>
    <row r="1010" spans="2:34" x14ac:dyDescent="0.25">
      <c r="B1010" s="2" t="s">
        <v>1104</v>
      </c>
      <c r="D1010" s="2" t="s">
        <v>1</v>
      </c>
      <c r="E1010" s="2" t="s">
        <v>134</v>
      </c>
      <c r="F1010" s="2" t="s">
        <v>1108</v>
      </c>
      <c r="G1010" s="2" t="s">
        <v>1109</v>
      </c>
      <c r="H1010" s="2" t="s">
        <v>716</v>
      </c>
      <c r="I1010" s="2" t="s">
        <v>42</v>
      </c>
      <c r="J1010" s="2">
        <v>1</v>
      </c>
      <c r="K1010" s="2" t="s">
        <v>82</v>
      </c>
      <c r="L1010" s="2" t="s">
        <v>41</v>
      </c>
      <c r="M1010" s="2" t="s">
        <v>135</v>
      </c>
      <c r="N1010" s="2" t="s">
        <v>1107</v>
      </c>
      <c r="O1010" s="2" t="s">
        <v>717</v>
      </c>
      <c r="P1010" s="2" t="s">
        <v>5</v>
      </c>
      <c r="Q1010" s="2">
        <f>INDEX(Tables!$C$4:$C$28,MATCH($P1010,Tables!$B$4:$B$28,0))</f>
        <v>32</v>
      </c>
      <c r="R1010" s="2">
        <f>INDEX(Tables!$D$4:$D$28,MATCH($P1010,Tables!$B$4:$B$28,0))</f>
        <v>4</v>
      </c>
      <c r="S1010" s="2">
        <f>$S1009+$R1009+INDEX(Tables!$N$5:$Q$8,MATCH(MOD($S1009+$R1009,4),Tables!$M$5:$M$8,0),MATCH($R1010,Tables!$N$4:$Q$4,0))</f>
        <v>3604</v>
      </c>
      <c r="T1010" s="2" t="str">
        <f t="shared" si="234"/>
        <v>0E14</v>
      </c>
      <c r="U1010" s="2">
        <f t="shared" si="240"/>
        <v>901</v>
      </c>
      <c r="V1010" s="2" t="str">
        <f t="shared" si="235"/>
        <v>385</v>
      </c>
      <c r="W1010" s="2" t="str">
        <f t="shared" si="236"/>
        <v/>
      </c>
      <c r="X1010" s="2" t="str">
        <f t="shared" si="237"/>
        <v/>
      </c>
      <c r="Y1010" s="2" t="str">
        <f t="shared" si="238"/>
        <v/>
      </c>
      <c r="Z1010" s="2" t="str">
        <f t="shared" si="239"/>
        <v>X</v>
      </c>
      <c r="AA1010" s="2" t="str">
        <f t="shared" si="241"/>
        <v/>
      </c>
      <c r="AB1010" s="2" t="str">
        <f t="shared" si="242"/>
        <v/>
      </c>
      <c r="AC1010" s="2" t="str">
        <f t="shared" si="243"/>
        <v/>
      </c>
      <c r="AD1010" s="2" t="str">
        <f t="shared" si="244"/>
        <v>(0)</v>
      </c>
      <c r="AE1010" s="2" t="str">
        <f t="shared" si="245"/>
        <v/>
      </c>
      <c r="AF1010" s="2" t="str">
        <f t="shared" si="246"/>
        <v/>
      </c>
      <c r="AG1010" s="2" t="str">
        <f t="shared" si="247"/>
        <v/>
      </c>
      <c r="AH1010" s="2" t="str">
        <f t="shared" si="248"/>
        <v/>
      </c>
    </row>
    <row r="1011" spans="2:34" x14ac:dyDescent="0.25">
      <c r="B1011" s="2" t="s">
        <v>1104</v>
      </c>
      <c r="D1011" s="2" t="s">
        <v>1</v>
      </c>
      <c r="E1011" s="2" t="s">
        <v>134</v>
      </c>
      <c r="F1011" s="2" t="s">
        <v>1108</v>
      </c>
      <c r="G1011" s="2" t="s">
        <v>1109</v>
      </c>
      <c r="H1011" s="2" t="s">
        <v>718</v>
      </c>
      <c r="I1011" s="2" t="s">
        <v>42</v>
      </c>
      <c r="J1011" s="2">
        <v>1</v>
      </c>
      <c r="K1011" s="2" t="s">
        <v>82</v>
      </c>
      <c r="L1011" s="2" t="s">
        <v>41</v>
      </c>
      <c r="M1011" s="2" t="s">
        <v>135</v>
      </c>
      <c r="N1011" s="2" t="s">
        <v>1107</v>
      </c>
      <c r="O1011" s="2" t="s">
        <v>719</v>
      </c>
      <c r="P1011" s="2" t="s">
        <v>5</v>
      </c>
      <c r="Q1011" s="2">
        <f>INDEX(Tables!$C$4:$C$28,MATCH($P1011,Tables!$B$4:$B$28,0))</f>
        <v>32</v>
      </c>
      <c r="R1011" s="2">
        <f>INDEX(Tables!$D$4:$D$28,MATCH($P1011,Tables!$B$4:$B$28,0))</f>
        <v>4</v>
      </c>
      <c r="S1011" s="2">
        <f>$S1010+$R1010+INDEX(Tables!$N$5:$Q$8,MATCH(MOD($S1010+$R1010,4),Tables!$M$5:$M$8,0),MATCH($R1011,Tables!$N$4:$Q$4,0))</f>
        <v>3608</v>
      </c>
      <c r="T1011" s="2" t="str">
        <f t="shared" si="234"/>
        <v>0E18</v>
      </c>
      <c r="U1011" s="2">
        <f t="shared" si="240"/>
        <v>902</v>
      </c>
      <c r="V1011" s="2" t="str">
        <f t="shared" si="235"/>
        <v>386</v>
      </c>
      <c r="W1011" s="2" t="str">
        <f t="shared" si="236"/>
        <v/>
      </c>
      <c r="X1011" s="2" t="str">
        <f t="shared" si="237"/>
        <v/>
      </c>
      <c r="Y1011" s="2" t="str">
        <f t="shared" si="238"/>
        <v/>
      </c>
      <c r="Z1011" s="2" t="str">
        <f t="shared" si="239"/>
        <v>X</v>
      </c>
      <c r="AA1011" s="2" t="str">
        <f t="shared" si="241"/>
        <v/>
      </c>
      <c r="AB1011" s="2" t="str">
        <f t="shared" si="242"/>
        <v/>
      </c>
      <c r="AC1011" s="2" t="str">
        <f t="shared" si="243"/>
        <v/>
      </c>
      <c r="AD1011" s="2" t="str">
        <f t="shared" si="244"/>
        <v>(0)</v>
      </c>
      <c r="AE1011" s="2" t="str">
        <f t="shared" si="245"/>
        <v/>
      </c>
      <c r="AF1011" s="2" t="str">
        <f t="shared" si="246"/>
        <v/>
      </c>
      <c r="AG1011" s="2" t="str">
        <f t="shared" si="247"/>
        <v/>
      </c>
      <c r="AH1011" s="2" t="str">
        <f t="shared" si="248"/>
        <v/>
      </c>
    </row>
    <row r="1012" spans="2:34" x14ac:dyDescent="0.25">
      <c r="B1012" s="2" t="s">
        <v>1104</v>
      </c>
      <c r="D1012" s="2" t="s">
        <v>1</v>
      </c>
      <c r="E1012" s="2" t="s">
        <v>134</v>
      </c>
      <c r="F1012" s="2" t="s">
        <v>1108</v>
      </c>
      <c r="G1012" s="2" t="s">
        <v>1109</v>
      </c>
      <c r="H1012" s="2" t="s">
        <v>720</v>
      </c>
      <c r="I1012" s="2" t="s">
        <v>42</v>
      </c>
      <c r="J1012" s="2">
        <v>1</v>
      </c>
      <c r="K1012" s="2" t="s">
        <v>82</v>
      </c>
      <c r="L1012" s="2" t="s">
        <v>41</v>
      </c>
      <c r="M1012" s="2" t="s">
        <v>135</v>
      </c>
      <c r="N1012" s="2" t="s">
        <v>1107</v>
      </c>
      <c r="O1012" s="2" t="s">
        <v>721</v>
      </c>
      <c r="P1012" s="2" t="s">
        <v>5</v>
      </c>
      <c r="Q1012" s="2">
        <f>INDEX(Tables!$C$4:$C$28,MATCH($P1012,Tables!$B$4:$B$28,0))</f>
        <v>32</v>
      </c>
      <c r="R1012" s="2">
        <f>INDEX(Tables!$D$4:$D$28,MATCH($P1012,Tables!$B$4:$B$28,0))</f>
        <v>4</v>
      </c>
      <c r="S1012" s="2">
        <f>$S1011+$R1011+INDEX(Tables!$N$5:$Q$8,MATCH(MOD($S1011+$R1011,4),Tables!$M$5:$M$8,0),MATCH($R1012,Tables!$N$4:$Q$4,0))</f>
        <v>3612</v>
      </c>
      <c r="T1012" s="2" t="str">
        <f t="shared" si="234"/>
        <v>0E1C</v>
      </c>
      <c r="U1012" s="2">
        <f t="shared" si="240"/>
        <v>903</v>
      </c>
      <c r="V1012" s="2" t="str">
        <f t="shared" si="235"/>
        <v>387</v>
      </c>
      <c r="W1012" s="2" t="str">
        <f t="shared" si="236"/>
        <v/>
      </c>
      <c r="X1012" s="2" t="str">
        <f t="shared" si="237"/>
        <v/>
      </c>
      <c r="Y1012" s="2" t="str">
        <f t="shared" si="238"/>
        <v/>
      </c>
      <c r="Z1012" s="2" t="str">
        <f t="shared" si="239"/>
        <v>X</v>
      </c>
      <c r="AA1012" s="2" t="str">
        <f t="shared" si="241"/>
        <v/>
      </c>
      <c r="AB1012" s="2" t="str">
        <f t="shared" si="242"/>
        <v/>
      </c>
      <c r="AC1012" s="2" t="str">
        <f t="shared" si="243"/>
        <v/>
      </c>
      <c r="AD1012" s="2" t="str">
        <f t="shared" si="244"/>
        <v>(0)</v>
      </c>
      <c r="AE1012" s="2" t="str">
        <f t="shared" si="245"/>
        <v/>
      </c>
      <c r="AF1012" s="2" t="str">
        <f t="shared" si="246"/>
        <v/>
      </c>
      <c r="AG1012" s="2" t="str">
        <f t="shared" si="247"/>
        <v/>
      </c>
      <c r="AH1012" s="2" t="str">
        <f t="shared" si="248"/>
        <v/>
      </c>
    </row>
    <row r="1013" spans="2:34" x14ac:dyDescent="0.25">
      <c r="B1013" s="2" t="s">
        <v>1104</v>
      </c>
      <c r="D1013" s="2" t="s">
        <v>1</v>
      </c>
      <c r="E1013" s="2" t="s">
        <v>134</v>
      </c>
      <c r="F1013" s="2" t="s">
        <v>1108</v>
      </c>
      <c r="G1013" s="2" t="s">
        <v>1109</v>
      </c>
      <c r="H1013" s="2" t="s">
        <v>722</v>
      </c>
      <c r="I1013" s="2" t="s">
        <v>42</v>
      </c>
      <c r="J1013" s="2">
        <v>1</v>
      </c>
      <c r="K1013" s="2" t="s">
        <v>82</v>
      </c>
      <c r="L1013" s="2" t="s">
        <v>41</v>
      </c>
      <c r="M1013" s="2" t="s">
        <v>135</v>
      </c>
      <c r="N1013" s="2" t="s">
        <v>1107</v>
      </c>
      <c r="O1013" s="2" t="s">
        <v>723</v>
      </c>
      <c r="P1013" s="2" t="s">
        <v>5</v>
      </c>
      <c r="Q1013" s="2">
        <f>INDEX(Tables!$C$4:$C$28,MATCH($P1013,Tables!$B$4:$B$28,0))</f>
        <v>32</v>
      </c>
      <c r="R1013" s="2">
        <f>INDEX(Tables!$D$4:$D$28,MATCH($P1013,Tables!$B$4:$B$28,0))</f>
        <v>4</v>
      </c>
      <c r="S1013" s="2">
        <f>$S1012+$R1012+INDEX(Tables!$N$5:$Q$8,MATCH(MOD($S1012+$R1012,4),Tables!$M$5:$M$8,0),MATCH($R1013,Tables!$N$4:$Q$4,0))</f>
        <v>3616</v>
      </c>
      <c r="T1013" s="2" t="str">
        <f t="shared" si="234"/>
        <v>0E20</v>
      </c>
      <c r="U1013" s="2">
        <f t="shared" si="240"/>
        <v>904</v>
      </c>
      <c r="V1013" s="2" t="str">
        <f t="shared" si="235"/>
        <v>388</v>
      </c>
      <c r="W1013" s="2" t="str">
        <f t="shared" si="236"/>
        <v/>
      </c>
      <c r="X1013" s="2" t="str">
        <f t="shared" si="237"/>
        <v/>
      </c>
      <c r="Y1013" s="2" t="str">
        <f t="shared" si="238"/>
        <v/>
      </c>
      <c r="Z1013" s="2" t="str">
        <f t="shared" si="239"/>
        <v>X</v>
      </c>
      <c r="AA1013" s="2" t="str">
        <f t="shared" si="241"/>
        <v/>
      </c>
      <c r="AB1013" s="2" t="str">
        <f t="shared" si="242"/>
        <v/>
      </c>
      <c r="AC1013" s="2" t="str">
        <f t="shared" si="243"/>
        <v/>
      </c>
      <c r="AD1013" s="2" t="str">
        <f t="shared" si="244"/>
        <v>(0)</v>
      </c>
      <c r="AE1013" s="2" t="str">
        <f t="shared" si="245"/>
        <v/>
      </c>
      <c r="AF1013" s="2" t="str">
        <f t="shared" si="246"/>
        <v/>
      </c>
      <c r="AG1013" s="2" t="str">
        <f t="shared" si="247"/>
        <v/>
      </c>
      <c r="AH1013" s="2" t="str">
        <f t="shared" si="248"/>
        <v/>
      </c>
    </row>
    <row r="1014" spans="2:34" x14ac:dyDescent="0.25">
      <c r="B1014" s="2" t="s">
        <v>1104</v>
      </c>
      <c r="D1014" s="2" t="s">
        <v>1</v>
      </c>
      <c r="E1014" s="2" t="s">
        <v>134</v>
      </c>
      <c r="F1014" s="2" t="s">
        <v>1108</v>
      </c>
      <c r="G1014" s="2" t="s">
        <v>1109</v>
      </c>
      <c r="H1014" s="2" t="s">
        <v>724</v>
      </c>
      <c r="I1014" s="2" t="s">
        <v>42</v>
      </c>
      <c r="J1014" s="2">
        <v>1</v>
      </c>
      <c r="K1014" s="2" t="s">
        <v>82</v>
      </c>
      <c r="L1014" s="2" t="s">
        <v>41</v>
      </c>
      <c r="M1014" s="2" t="s">
        <v>135</v>
      </c>
      <c r="N1014" s="2" t="s">
        <v>1107</v>
      </c>
      <c r="O1014" s="2" t="s">
        <v>725</v>
      </c>
      <c r="P1014" s="2" t="s">
        <v>5</v>
      </c>
      <c r="Q1014" s="2">
        <f>INDEX(Tables!$C$4:$C$28,MATCH($P1014,Tables!$B$4:$B$28,0))</f>
        <v>32</v>
      </c>
      <c r="R1014" s="2">
        <f>INDEX(Tables!$D$4:$D$28,MATCH($P1014,Tables!$B$4:$B$28,0))</f>
        <v>4</v>
      </c>
      <c r="S1014" s="2">
        <f>$S1013+$R1013+INDEX(Tables!$N$5:$Q$8,MATCH(MOD($S1013+$R1013,4),Tables!$M$5:$M$8,0),MATCH($R1014,Tables!$N$4:$Q$4,0))</f>
        <v>3620</v>
      </c>
      <c r="T1014" s="2" t="str">
        <f t="shared" si="234"/>
        <v>0E24</v>
      </c>
      <c r="U1014" s="2">
        <f t="shared" si="240"/>
        <v>905</v>
      </c>
      <c r="V1014" s="2" t="str">
        <f t="shared" si="235"/>
        <v>389</v>
      </c>
      <c r="W1014" s="2" t="str">
        <f t="shared" si="236"/>
        <v/>
      </c>
      <c r="X1014" s="2" t="str">
        <f t="shared" si="237"/>
        <v/>
      </c>
      <c r="Y1014" s="2" t="str">
        <f t="shared" si="238"/>
        <v/>
      </c>
      <c r="Z1014" s="2" t="str">
        <f t="shared" si="239"/>
        <v>X</v>
      </c>
      <c r="AA1014" s="2" t="str">
        <f t="shared" si="241"/>
        <v/>
      </c>
      <c r="AB1014" s="2" t="str">
        <f t="shared" si="242"/>
        <v/>
      </c>
      <c r="AC1014" s="2" t="str">
        <f t="shared" si="243"/>
        <v/>
      </c>
      <c r="AD1014" s="2" t="str">
        <f t="shared" si="244"/>
        <v>(0)</v>
      </c>
      <c r="AE1014" s="2" t="str">
        <f t="shared" si="245"/>
        <v/>
      </c>
      <c r="AF1014" s="2" t="str">
        <f t="shared" si="246"/>
        <v/>
      </c>
      <c r="AG1014" s="2" t="str">
        <f t="shared" si="247"/>
        <v/>
      </c>
      <c r="AH1014" s="2" t="str">
        <f t="shared" si="248"/>
        <v/>
      </c>
    </row>
    <row r="1015" spans="2:34" x14ac:dyDescent="0.25">
      <c r="B1015" s="2" t="s">
        <v>1104</v>
      </c>
      <c r="D1015" s="2" t="s">
        <v>1</v>
      </c>
      <c r="E1015" s="2" t="s">
        <v>134</v>
      </c>
      <c r="F1015" s="2" t="s">
        <v>1108</v>
      </c>
      <c r="G1015" s="2" t="s">
        <v>1109</v>
      </c>
      <c r="H1015" s="2" t="s">
        <v>726</v>
      </c>
      <c r="I1015" s="2" t="s">
        <v>42</v>
      </c>
      <c r="J1015" s="2">
        <v>1</v>
      </c>
      <c r="K1015" s="2" t="s">
        <v>82</v>
      </c>
      <c r="L1015" s="2" t="s">
        <v>41</v>
      </c>
      <c r="M1015" s="2" t="s">
        <v>135</v>
      </c>
      <c r="N1015" s="2" t="s">
        <v>1107</v>
      </c>
      <c r="O1015" s="2" t="s">
        <v>727</v>
      </c>
      <c r="P1015" s="2" t="s">
        <v>5</v>
      </c>
      <c r="Q1015" s="2">
        <f>INDEX(Tables!$C$4:$C$28,MATCH($P1015,Tables!$B$4:$B$28,0))</f>
        <v>32</v>
      </c>
      <c r="R1015" s="2">
        <f>INDEX(Tables!$D$4:$D$28,MATCH($P1015,Tables!$B$4:$B$28,0))</f>
        <v>4</v>
      </c>
      <c r="S1015" s="2">
        <f>$S1014+$R1014+INDEX(Tables!$N$5:$Q$8,MATCH(MOD($S1014+$R1014,4),Tables!$M$5:$M$8,0),MATCH($R1015,Tables!$N$4:$Q$4,0))</f>
        <v>3624</v>
      </c>
      <c r="T1015" s="2" t="str">
        <f t="shared" si="234"/>
        <v>0E28</v>
      </c>
      <c r="U1015" s="2">
        <f t="shared" si="240"/>
        <v>906</v>
      </c>
      <c r="V1015" s="2" t="str">
        <f t="shared" si="235"/>
        <v>38A</v>
      </c>
      <c r="W1015" s="2" t="str">
        <f t="shared" si="236"/>
        <v/>
      </c>
      <c r="X1015" s="2" t="str">
        <f t="shared" si="237"/>
        <v/>
      </c>
      <c r="Y1015" s="2" t="str">
        <f t="shared" si="238"/>
        <v/>
      </c>
      <c r="Z1015" s="2" t="str">
        <f t="shared" si="239"/>
        <v>X</v>
      </c>
      <c r="AA1015" s="2" t="str">
        <f t="shared" si="241"/>
        <v/>
      </c>
      <c r="AB1015" s="2" t="str">
        <f t="shared" si="242"/>
        <v/>
      </c>
      <c r="AC1015" s="2" t="str">
        <f t="shared" si="243"/>
        <v/>
      </c>
      <c r="AD1015" s="2" t="str">
        <f t="shared" si="244"/>
        <v>(0)</v>
      </c>
      <c r="AE1015" s="2" t="str">
        <f t="shared" si="245"/>
        <v/>
      </c>
      <c r="AF1015" s="2" t="str">
        <f t="shared" si="246"/>
        <v/>
      </c>
      <c r="AG1015" s="2" t="str">
        <f t="shared" si="247"/>
        <v/>
      </c>
      <c r="AH1015" s="2" t="str">
        <f t="shared" si="248"/>
        <v/>
      </c>
    </row>
    <row r="1016" spans="2:34" x14ac:dyDescent="0.25">
      <c r="B1016" s="2" t="s">
        <v>1104</v>
      </c>
      <c r="D1016" s="2" t="s">
        <v>1</v>
      </c>
      <c r="E1016" s="2" t="s">
        <v>134</v>
      </c>
      <c r="F1016" s="2" t="s">
        <v>1108</v>
      </c>
      <c r="G1016" s="2" t="s">
        <v>1109</v>
      </c>
      <c r="H1016" s="2" t="s">
        <v>728</v>
      </c>
      <c r="I1016" s="2" t="s">
        <v>42</v>
      </c>
      <c r="J1016" s="2">
        <v>1</v>
      </c>
      <c r="K1016" s="2" t="s">
        <v>82</v>
      </c>
      <c r="L1016" s="2" t="s">
        <v>41</v>
      </c>
      <c r="M1016" s="2" t="s">
        <v>135</v>
      </c>
      <c r="N1016" s="2" t="s">
        <v>1107</v>
      </c>
      <c r="O1016" s="2" t="s">
        <v>729</v>
      </c>
      <c r="P1016" s="2" t="s">
        <v>5</v>
      </c>
      <c r="Q1016" s="2">
        <f>INDEX(Tables!$C$4:$C$28,MATCH($P1016,Tables!$B$4:$B$28,0))</f>
        <v>32</v>
      </c>
      <c r="R1016" s="2">
        <f>INDEX(Tables!$D$4:$D$28,MATCH($P1016,Tables!$B$4:$B$28,0))</f>
        <v>4</v>
      </c>
      <c r="S1016" s="2">
        <f>$S1015+$R1015+INDEX(Tables!$N$5:$Q$8,MATCH(MOD($S1015+$R1015,4),Tables!$M$5:$M$8,0),MATCH($R1016,Tables!$N$4:$Q$4,0))</f>
        <v>3628</v>
      </c>
      <c r="T1016" s="2" t="str">
        <f t="shared" si="234"/>
        <v>0E2C</v>
      </c>
      <c r="U1016" s="2">
        <f t="shared" si="240"/>
        <v>907</v>
      </c>
      <c r="V1016" s="2" t="str">
        <f t="shared" si="235"/>
        <v>38B</v>
      </c>
      <c r="W1016" s="2" t="str">
        <f t="shared" si="236"/>
        <v/>
      </c>
      <c r="X1016" s="2" t="str">
        <f t="shared" si="237"/>
        <v/>
      </c>
      <c r="Y1016" s="2" t="str">
        <f t="shared" si="238"/>
        <v/>
      </c>
      <c r="Z1016" s="2" t="str">
        <f t="shared" si="239"/>
        <v>X</v>
      </c>
      <c r="AA1016" s="2" t="str">
        <f t="shared" si="241"/>
        <v/>
      </c>
      <c r="AB1016" s="2" t="str">
        <f t="shared" si="242"/>
        <v/>
      </c>
      <c r="AC1016" s="2" t="str">
        <f t="shared" si="243"/>
        <v/>
      </c>
      <c r="AD1016" s="2" t="str">
        <f t="shared" si="244"/>
        <v>(0)</v>
      </c>
      <c r="AE1016" s="2" t="str">
        <f t="shared" si="245"/>
        <v/>
      </c>
      <c r="AF1016" s="2" t="str">
        <f t="shared" si="246"/>
        <v/>
      </c>
      <c r="AG1016" s="2" t="str">
        <f t="shared" si="247"/>
        <v/>
      </c>
      <c r="AH1016" s="2" t="str">
        <f t="shared" si="248"/>
        <v/>
      </c>
    </row>
    <row r="1017" spans="2:34" x14ac:dyDescent="0.25">
      <c r="B1017" s="2" t="s">
        <v>1104</v>
      </c>
      <c r="D1017" s="2" t="s">
        <v>1</v>
      </c>
      <c r="E1017" s="2" t="s">
        <v>134</v>
      </c>
      <c r="F1017" s="2" t="s">
        <v>1108</v>
      </c>
      <c r="G1017" s="2" t="s">
        <v>1109</v>
      </c>
      <c r="H1017" s="2" t="s">
        <v>730</v>
      </c>
      <c r="I1017" s="2" t="s">
        <v>42</v>
      </c>
      <c r="J1017" s="2">
        <v>1</v>
      </c>
      <c r="K1017" s="2" t="s">
        <v>82</v>
      </c>
      <c r="L1017" s="2" t="s">
        <v>41</v>
      </c>
      <c r="M1017" s="2" t="s">
        <v>135</v>
      </c>
      <c r="N1017" s="2" t="s">
        <v>1107</v>
      </c>
      <c r="O1017" s="2" t="s">
        <v>731</v>
      </c>
      <c r="P1017" s="2" t="s">
        <v>5</v>
      </c>
      <c r="Q1017" s="2">
        <f>INDEX(Tables!$C$4:$C$28,MATCH($P1017,Tables!$B$4:$B$28,0))</f>
        <v>32</v>
      </c>
      <c r="R1017" s="2">
        <f>INDEX(Tables!$D$4:$D$28,MATCH($P1017,Tables!$B$4:$B$28,0))</f>
        <v>4</v>
      </c>
      <c r="S1017" s="2">
        <f>$S1016+$R1016+INDEX(Tables!$N$5:$Q$8,MATCH(MOD($S1016+$R1016,4),Tables!$M$5:$M$8,0),MATCH($R1017,Tables!$N$4:$Q$4,0))</f>
        <v>3632</v>
      </c>
      <c r="T1017" s="2" t="str">
        <f t="shared" si="234"/>
        <v>0E30</v>
      </c>
      <c r="U1017" s="2">
        <f t="shared" si="240"/>
        <v>908</v>
      </c>
      <c r="V1017" s="2" t="str">
        <f t="shared" si="235"/>
        <v>38C</v>
      </c>
      <c r="W1017" s="2" t="str">
        <f t="shared" si="236"/>
        <v/>
      </c>
      <c r="X1017" s="2" t="str">
        <f t="shared" si="237"/>
        <v/>
      </c>
      <c r="Y1017" s="2" t="str">
        <f t="shared" si="238"/>
        <v/>
      </c>
      <c r="Z1017" s="2" t="str">
        <f t="shared" si="239"/>
        <v>X</v>
      </c>
      <c r="AA1017" s="2" t="str">
        <f t="shared" si="241"/>
        <v/>
      </c>
      <c r="AB1017" s="2" t="str">
        <f t="shared" si="242"/>
        <v/>
      </c>
      <c r="AC1017" s="2" t="str">
        <f t="shared" si="243"/>
        <v/>
      </c>
      <c r="AD1017" s="2" t="str">
        <f t="shared" si="244"/>
        <v>(0)</v>
      </c>
      <c r="AE1017" s="2" t="str">
        <f t="shared" si="245"/>
        <v/>
      </c>
      <c r="AF1017" s="2" t="str">
        <f t="shared" si="246"/>
        <v/>
      </c>
      <c r="AG1017" s="2" t="str">
        <f t="shared" si="247"/>
        <v/>
      </c>
      <c r="AH1017" s="2" t="str">
        <f t="shared" si="248"/>
        <v/>
      </c>
    </row>
    <row r="1018" spans="2:34" x14ac:dyDescent="0.25">
      <c r="B1018" s="2" t="s">
        <v>1104</v>
      </c>
      <c r="D1018" s="2" t="s">
        <v>1</v>
      </c>
      <c r="E1018" s="2" t="s">
        <v>134</v>
      </c>
      <c r="F1018" s="2" t="s">
        <v>1108</v>
      </c>
      <c r="G1018" s="2" t="s">
        <v>1109</v>
      </c>
      <c r="H1018" s="2" t="s">
        <v>732</v>
      </c>
      <c r="I1018" s="2" t="s">
        <v>42</v>
      </c>
      <c r="J1018" s="2">
        <v>1</v>
      </c>
      <c r="K1018" s="2" t="s">
        <v>136</v>
      </c>
      <c r="L1018" s="2" t="s">
        <v>41</v>
      </c>
      <c r="M1018" s="2" t="s">
        <v>135</v>
      </c>
      <c r="N1018" s="2" t="s">
        <v>1107</v>
      </c>
      <c r="O1018" s="2" t="s">
        <v>733</v>
      </c>
      <c r="P1018" s="2" t="s">
        <v>5</v>
      </c>
      <c r="Q1018" s="2">
        <f>INDEX(Tables!$C$4:$C$28,MATCH($P1018,Tables!$B$4:$B$28,0))</f>
        <v>32</v>
      </c>
      <c r="R1018" s="2">
        <f>INDEX(Tables!$D$4:$D$28,MATCH($P1018,Tables!$B$4:$B$28,0))</f>
        <v>4</v>
      </c>
      <c r="S1018" s="2">
        <f>$S1017+$R1017+INDEX(Tables!$N$5:$Q$8,MATCH(MOD($S1017+$R1017,4),Tables!$M$5:$M$8,0),MATCH($R1018,Tables!$N$4:$Q$4,0))</f>
        <v>3636</v>
      </c>
      <c r="T1018" s="2" t="str">
        <f t="shared" si="234"/>
        <v>0E34</v>
      </c>
      <c r="U1018" s="2">
        <f t="shared" si="240"/>
        <v>909</v>
      </c>
      <c r="V1018" s="2" t="str">
        <f t="shared" si="235"/>
        <v>38D</v>
      </c>
      <c r="W1018" s="2" t="str">
        <f t="shared" si="236"/>
        <v/>
      </c>
      <c r="X1018" s="2" t="str">
        <f t="shared" si="237"/>
        <v/>
      </c>
      <c r="Y1018" s="2" t="str">
        <f t="shared" si="238"/>
        <v/>
      </c>
      <c r="Z1018" s="2" t="str">
        <f t="shared" si="239"/>
        <v>X</v>
      </c>
      <c r="AA1018" s="2" t="str">
        <f t="shared" si="241"/>
        <v/>
      </c>
      <c r="AB1018" s="2" t="str">
        <f t="shared" si="242"/>
        <v/>
      </c>
      <c r="AC1018" s="2" t="str">
        <f t="shared" si="243"/>
        <v/>
      </c>
      <c r="AD1018" s="2" t="str">
        <f t="shared" si="244"/>
        <v>(0)</v>
      </c>
      <c r="AE1018" s="2" t="str">
        <f t="shared" si="245"/>
        <v/>
      </c>
      <c r="AF1018" s="2" t="str">
        <f t="shared" si="246"/>
        <v/>
      </c>
      <c r="AG1018" s="2" t="str">
        <f t="shared" si="247"/>
        <v/>
      </c>
      <c r="AH1018" s="2" t="str">
        <f t="shared" si="248"/>
        <v/>
      </c>
    </row>
    <row r="1019" spans="2:34" x14ac:dyDescent="0.25">
      <c r="B1019" s="2" t="s">
        <v>1104</v>
      </c>
      <c r="D1019" s="2" t="s">
        <v>1</v>
      </c>
      <c r="E1019" s="2" t="s">
        <v>134</v>
      </c>
      <c r="F1019" s="2" t="s">
        <v>1108</v>
      </c>
      <c r="G1019" s="2" t="s">
        <v>1109</v>
      </c>
      <c r="H1019" s="2" t="s">
        <v>734</v>
      </c>
      <c r="I1019" s="2" t="s">
        <v>42</v>
      </c>
      <c r="J1019" s="2">
        <v>1</v>
      </c>
      <c r="K1019" s="2" t="s">
        <v>136</v>
      </c>
      <c r="L1019" s="2" t="s">
        <v>41</v>
      </c>
      <c r="M1019" s="2" t="s">
        <v>135</v>
      </c>
      <c r="N1019" s="2" t="s">
        <v>1107</v>
      </c>
      <c r="O1019" s="2" t="s">
        <v>735</v>
      </c>
      <c r="P1019" s="2" t="s">
        <v>5</v>
      </c>
      <c r="Q1019" s="2">
        <f>INDEX(Tables!$C$4:$C$28,MATCH($P1019,Tables!$B$4:$B$28,0))</f>
        <v>32</v>
      </c>
      <c r="R1019" s="2">
        <f>INDEX(Tables!$D$4:$D$28,MATCH($P1019,Tables!$B$4:$B$28,0))</f>
        <v>4</v>
      </c>
      <c r="S1019" s="2">
        <f>$S1018+$R1018+INDEX(Tables!$N$5:$Q$8,MATCH(MOD($S1018+$R1018,4),Tables!$M$5:$M$8,0),MATCH($R1019,Tables!$N$4:$Q$4,0))</f>
        <v>3640</v>
      </c>
      <c r="T1019" s="2" t="str">
        <f t="shared" si="234"/>
        <v>0E38</v>
      </c>
      <c r="U1019" s="2">
        <f t="shared" si="240"/>
        <v>910</v>
      </c>
      <c r="V1019" s="2" t="str">
        <f t="shared" si="235"/>
        <v>38E</v>
      </c>
      <c r="W1019" s="2" t="str">
        <f t="shared" si="236"/>
        <v/>
      </c>
      <c r="X1019" s="2" t="str">
        <f t="shared" si="237"/>
        <v/>
      </c>
      <c r="Y1019" s="2" t="str">
        <f t="shared" si="238"/>
        <v/>
      </c>
      <c r="Z1019" s="2" t="str">
        <f t="shared" si="239"/>
        <v>X</v>
      </c>
      <c r="AA1019" s="2" t="str">
        <f t="shared" si="241"/>
        <v/>
      </c>
      <c r="AB1019" s="2" t="str">
        <f t="shared" si="242"/>
        <v/>
      </c>
      <c r="AC1019" s="2" t="str">
        <f t="shared" si="243"/>
        <v/>
      </c>
      <c r="AD1019" s="2" t="str">
        <f t="shared" si="244"/>
        <v>(0)</v>
      </c>
      <c r="AE1019" s="2" t="str">
        <f t="shared" si="245"/>
        <v/>
      </c>
      <c r="AF1019" s="2" t="str">
        <f t="shared" si="246"/>
        <v/>
      </c>
      <c r="AG1019" s="2" t="str">
        <f t="shared" si="247"/>
        <v/>
      </c>
      <c r="AH1019" s="2" t="str">
        <f t="shared" si="248"/>
        <v/>
      </c>
    </row>
    <row r="1020" spans="2:34" x14ac:dyDescent="0.25">
      <c r="B1020" s="2" t="s">
        <v>1104</v>
      </c>
      <c r="D1020" s="2" t="s">
        <v>1</v>
      </c>
      <c r="E1020" s="2" t="s">
        <v>134</v>
      </c>
      <c r="F1020" s="2" t="s">
        <v>1108</v>
      </c>
      <c r="G1020" s="2" t="s">
        <v>1109</v>
      </c>
      <c r="H1020" s="2" t="s">
        <v>736</v>
      </c>
      <c r="I1020" s="2" t="s">
        <v>42</v>
      </c>
      <c r="J1020" s="2">
        <v>1</v>
      </c>
      <c r="K1020" s="2" t="s">
        <v>82</v>
      </c>
      <c r="L1020" s="2" t="s">
        <v>41</v>
      </c>
      <c r="M1020" s="2" t="s">
        <v>135</v>
      </c>
      <c r="N1020" s="2" t="s">
        <v>1107</v>
      </c>
      <c r="O1020" s="2" t="s">
        <v>737</v>
      </c>
      <c r="P1020" s="2" t="s">
        <v>5</v>
      </c>
      <c r="Q1020" s="2">
        <f>INDEX(Tables!$C$4:$C$28,MATCH($P1020,Tables!$B$4:$B$28,0))</f>
        <v>32</v>
      </c>
      <c r="R1020" s="2">
        <f>INDEX(Tables!$D$4:$D$28,MATCH($P1020,Tables!$B$4:$B$28,0))</f>
        <v>4</v>
      </c>
      <c r="S1020" s="2">
        <f>$S1019+$R1019+INDEX(Tables!$N$5:$Q$8,MATCH(MOD($S1019+$R1019,4),Tables!$M$5:$M$8,0),MATCH($R1020,Tables!$N$4:$Q$4,0))</f>
        <v>3644</v>
      </c>
      <c r="T1020" s="2" t="str">
        <f t="shared" si="234"/>
        <v>0E3C</v>
      </c>
      <c r="U1020" s="2">
        <f t="shared" si="240"/>
        <v>911</v>
      </c>
      <c r="V1020" s="2" t="str">
        <f t="shared" si="235"/>
        <v>38F</v>
      </c>
      <c r="W1020" s="2" t="str">
        <f t="shared" si="236"/>
        <v/>
      </c>
      <c r="X1020" s="2" t="str">
        <f t="shared" si="237"/>
        <v/>
      </c>
      <c r="Y1020" s="2" t="str">
        <f t="shared" si="238"/>
        <v/>
      </c>
      <c r="Z1020" s="2" t="str">
        <f t="shared" si="239"/>
        <v>X</v>
      </c>
      <c r="AA1020" s="2" t="str">
        <f t="shared" si="241"/>
        <v/>
      </c>
      <c r="AB1020" s="2" t="str">
        <f t="shared" si="242"/>
        <v/>
      </c>
      <c r="AC1020" s="2" t="str">
        <f t="shared" si="243"/>
        <v/>
      </c>
      <c r="AD1020" s="2" t="str">
        <f t="shared" si="244"/>
        <v>(0)</v>
      </c>
      <c r="AE1020" s="2" t="str">
        <f t="shared" si="245"/>
        <v/>
      </c>
      <c r="AF1020" s="2" t="str">
        <f t="shared" si="246"/>
        <v/>
      </c>
      <c r="AG1020" s="2" t="str">
        <f t="shared" si="247"/>
        <v/>
      </c>
      <c r="AH1020" s="2" t="str">
        <f t="shared" si="248"/>
        <v/>
      </c>
    </row>
    <row r="1021" spans="2:34" x14ac:dyDescent="0.25">
      <c r="B1021" s="2" t="s">
        <v>1104</v>
      </c>
      <c r="D1021" s="2" t="s">
        <v>1</v>
      </c>
      <c r="E1021" s="2" t="s">
        <v>134</v>
      </c>
      <c r="F1021" s="2" t="s">
        <v>1108</v>
      </c>
      <c r="G1021" s="2" t="s">
        <v>1109</v>
      </c>
      <c r="H1021" s="2" t="s">
        <v>738</v>
      </c>
      <c r="I1021" s="2" t="s">
        <v>42</v>
      </c>
      <c r="J1021" s="2">
        <v>1</v>
      </c>
      <c r="K1021" s="2" t="s">
        <v>82</v>
      </c>
      <c r="L1021" s="2" t="s">
        <v>41</v>
      </c>
      <c r="M1021" s="2" t="s">
        <v>135</v>
      </c>
      <c r="N1021" s="2" t="s">
        <v>1107</v>
      </c>
      <c r="O1021" s="2" t="s">
        <v>739</v>
      </c>
      <c r="P1021" s="2" t="s">
        <v>5</v>
      </c>
      <c r="Q1021" s="2">
        <f>INDEX(Tables!$C$4:$C$28,MATCH($P1021,Tables!$B$4:$B$28,0))</f>
        <v>32</v>
      </c>
      <c r="R1021" s="2">
        <f>INDEX(Tables!$D$4:$D$28,MATCH($P1021,Tables!$B$4:$B$28,0))</f>
        <v>4</v>
      </c>
      <c r="S1021" s="2">
        <f>$S1020+$R1020+INDEX(Tables!$N$5:$Q$8,MATCH(MOD($S1020+$R1020,4),Tables!$M$5:$M$8,0),MATCH($R1021,Tables!$N$4:$Q$4,0))</f>
        <v>3648</v>
      </c>
      <c r="T1021" s="2" t="str">
        <f t="shared" si="234"/>
        <v>0E40</v>
      </c>
      <c r="U1021" s="2">
        <f t="shared" si="240"/>
        <v>912</v>
      </c>
      <c r="V1021" s="2" t="str">
        <f t="shared" si="235"/>
        <v>390</v>
      </c>
      <c r="W1021" s="2" t="str">
        <f t="shared" si="236"/>
        <v/>
      </c>
      <c r="X1021" s="2" t="str">
        <f t="shared" si="237"/>
        <v/>
      </c>
      <c r="Y1021" s="2" t="str">
        <f t="shared" si="238"/>
        <v/>
      </c>
      <c r="Z1021" s="2" t="str">
        <f t="shared" si="239"/>
        <v>X</v>
      </c>
      <c r="AA1021" s="2" t="str">
        <f t="shared" si="241"/>
        <v/>
      </c>
      <c r="AB1021" s="2" t="str">
        <f t="shared" si="242"/>
        <v/>
      </c>
      <c r="AC1021" s="2" t="str">
        <f t="shared" si="243"/>
        <v/>
      </c>
      <c r="AD1021" s="2" t="str">
        <f t="shared" si="244"/>
        <v>(0)</v>
      </c>
      <c r="AE1021" s="2" t="str">
        <f t="shared" si="245"/>
        <v/>
      </c>
      <c r="AF1021" s="2" t="str">
        <f t="shared" si="246"/>
        <v/>
      </c>
      <c r="AG1021" s="2" t="str">
        <f t="shared" si="247"/>
        <v/>
      </c>
      <c r="AH1021" s="2" t="str">
        <f t="shared" si="248"/>
        <v/>
      </c>
    </row>
    <row r="1022" spans="2:34" x14ac:dyDescent="0.25">
      <c r="B1022" s="2" t="s">
        <v>1104</v>
      </c>
      <c r="D1022" s="2" t="s">
        <v>1</v>
      </c>
      <c r="E1022" s="2" t="s">
        <v>134</v>
      </c>
      <c r="F1022" s="2" t="s">
        <v>1108</v>
      </c>
      <c r="G1022" s="2" t="s">
        <v>1109</v>
      </c>
      <c r="H1022" s="2" t="s">
        <v>740</v>
      </c>
      <c r="I1022" s="2" t="s">
        <v>42</v>
      </c>
      <c r="J1022" s="2">
        <v>1</v>
      </c>
      <c r="K1022" s="2" t="s">
        <v>136</v>
      </c>
      <c r="L1022" s="2" t="s">
        <v>41</v>
      </c>
      <c r="M1022" s="2" t="s">
        <v>135</v>
      </c>
      <c r="N1022" s="2" t="s">
        <v>1107</v>
      </c>
      <c r="O1022" s="2" t="s">
        <v>741</v>
      </c>
      <c r="P1022" s="2" t="s">
        <v>5</v>
      </c>
      <c r="Q1022" s="2">
        <f>INDEX(Tables!$C$4:$C$28,MATCH($P1022,Tables!$B$4:$B$28,0))</f>
        <v>32</v>
      </c>
      <c r="R1022" s="2">
        <f>INDEX(Tables!$D$4:$D$28,MATCH($P1022,Tables!$B$4:$B$28,0))</f>
        <v>4</v>
      </c>
      <c r="S1022" s="2">
        <f>$S1021+$R1021+INDEX(Tables!$N$5:$Q$8,MATCH(MOD($S1021+$R1021,4),Tables!$M$5:$M$8,0),MATCH($R1022,Tables!$N$4:$Q$4,0))</f>
        <v>3652</v>
      </c>
      <c r="T1022" s="2" t="str">
        <f t="shared" si="234"/>
        <v>0E44</v>
      </c>
      <c r="U1022" s="2">
        <f t="shared" si="240"/>
        <v>913</v>
      </c>
      <c r="V1022" s="2" t="str">
        <f t="shared" si="235"/>
        <v>391</v>
      </c>
      <c r="W1022" s="2" t="str">
        <f t="shared" si="236"/>
        <v/>
      </c>
      <c r="X1022" s="2" t="str">
        <f t="shared" si="237"/>
        <v/>
      </c>
      <c r="Y1022" s="2" t="str">
        <f t="shared" si="238"/>
        <v/>
      </c>
      <c r="Z1022" s="2" t="str">
        <f t="shared" si="239"/>
        <v>X</v>
      </c>
      <c r="AA1022" s="2" t="str">
        <f t="shared" si="241"/>
        <v/>
      </c>
      <c r="AB1022" s="2" t="str">
        <f t="shared" si="242"/>
        <v/>
      </c>
      <c r="AC1022" s="2" t="str">
        <f t="shared" si="243"/>
        <v/>
      </c>
      <c r="AD1022" s="2" t="str">
        <f t="shared" si="244"/>
        <v>(0)</v>
      </c>
      <c r="AE1022" s="2" t="str">
        <f t="shared" si="245"/>
        <v/>
      </c>
      <c r="AF1022" s="2" t="str">
        <f t="shared" si="246"/>
        <v/>
      </c>
      <c r="AG1022" s="2" t="str">
        <f t="shared" si="247"/>
        <v/>
      </c>
      <c r="AH1022" s="2" t="str">
        <f t="shared" si="248"/>
        <v/>
      </c>
    </row>
    <row r="1023" spans="2:34" x14ac:dyDescent="0.25">
      <c r="B1023" s="2" t="s">
        <v>1104</v>
      </c>
      <c r="D1023" s="2" t="s">
        <v>1</v>
      </c>
      <c r="E1023" s="2" t="s">
        <v>134</v>
      </c>
      <c r="F1023" s="2" t="s">
        <v>1108</v>
      </c>
      <c r="G1023" s="2" t="s">
        <v>1109</v>
      </c>
      <c r="H1023" s="2" t="s">
        <v>742</v>
      </c>
      <c r="I1023" s="2" t="s">
        <v>42</v>
      </c>
      <c r="J1023" s="2">
        <v>1</v>
      </c>
      <c r="K1023" s="2" t="s">
        <v>136</v>
      </c>
      <c r="L1023" s="2" t="s">
        <v>41</v>
      </c>
      <c r="M1023" s="2" t="s">
        <v>135</v>
      </c>
      <c r="N1023" s="2" t="s">
        <v>1107</v>
      </c>
      <c r="O1023" s="2" t="s">
        <v>743</v>
      </c>
      <c r="P1023" s="2" t="s">
        <v>5</v>
      </c>
      <c r="Q1023" s="2">
        <f>INDEX(Tables!$C$4:$C$28,MATCH($P1023,Tables!$B$4:$B$28,0))</f>
        <v>32</v>
      </c>
      <c r="R1023" s="2">
        <f>INDEX(Tables!$D$4:$D$28,MATCH($P1023,Tables!$B$4:$B$28,0))</f>
        <v>4</v>
      </c>
      <c r="S1023" s="2">
        <f>$S1022+$R1022+INDEX(Tables!$N$5:$Q$8,MATCH(MOD($S1022+$R1022,4),Tables!$M$5:$M$8,0),MATCH($R1023,Tables!$N$4:$Q$4,0))</f>
        <v>3656</v>
      </c>
      <c r="T1023" s="2" t="str">
        <f t="shared" si="234"/>
        <v>0E48</v>
      </c>
      <c r="U1023" s="2">
        <f t="shared" si="240"/>
        <v>914</v>
      </c>
      <c r="V1023" s="2" t="str">
        <f t="shared" si="235"/>
        <v>392</v>
      </c>
      <c r="W1023" s="2" t="str">
        <f t="shared" si="236"/>
        <v/>
      </c>
      <c r="X1023" s="2" t="str">
        <f t="shared" si="237"/>
        <v/>
      </c>
      <c r="Y1023" s="2" t="str">
        <f t="shared" si="238"/>
        <v/>
      </c>
      <c r="Z1023" s="2" t="str">
        <f t="shared" si="239"/>
        <v>X</v>
      </c>
      <c r="AA1023" s="2" t="str">
        <f t="shared" si="241"/>
        <v/>
      </c>
      <c r="AB1023" s="2" t="str">
        <f t="shared" si="242"/>
        <v/>
      </c>
      <c r="AC1023" s="2" t="str">
        <f t="shared" si="243"/>
        <v/>
      </c>
      <c r="AD1023" s="2" t="str">
        <f t="shared" si="244"/>
        <v>(0)</v>
      </c>
      <c r="AE1023" s="2" t="str">
        <f t="shared" si="245"/>
        <v/>
      </c>
      <c r="AF1023" s="2" t="str">
        <f t="shared" si="246"/>
        <v/>
      </c>
      <c r="AG1023" s="2" t="str">
        <f t="shared" si="247"/>
        <v/>
      </c>
      <c r="AH1023" s="2" t="str">
        <f t="shared" si="248"/>
        <v/>
      </c>
    </row>
    <row r="1024" spans="2:34" x14ac:dyDescent="0.25">
      <c r="B1024" s="2" t="s">
        <v>1104</v>
      </c>
      <c r="D1024" s="2" t="s">
        <v>1</v>
      </c>
      <c r="E1024" s="2" t="s">
        <v>134</v>
      </c>
      <c r="F1024" s="2" t="s">
        <v>1108</v>
      </c>
      <c r="G1024" s="2" t="s">
        <v>1109</v>
      </c>
      <c r="H1024" s="2" t="s">
        <v>744</v>
      </c>
      <c r="I1024" s="2" t="s">
        <v>42</v>
      </c>
      <c r="J1024" s="2">
        <v>1</v>
      </c>
      <c r="K1024" s="2" t="s">
        <v>136</v>
      </c>
      <c r="L1024" s="2" t="s">
        <v>41</v>
      </c>
      <c r="M1024" s="2" t="s">
        <v>135</v>
      </c>
      <c r="N1024" s="2" t="s">
        <v>1107</v>
      </c>
      <c r="O1024" s="2" t="s">
        <v>745</v>
      </c>
      <c r="P1024" s="2" t="s">
        <v>5</v>
      </c>
      <c r="Q1024" s="2">
        <f>INDEX(Tables!$C$4:$C$28,MATCH($P1024,Tables!$B$4:$B$28,0))</f>
        <v>32</v>
      </c>
      <c r="R1024" s="2">
        <f>INDEX(Tables!$D$4:$D$28,MATCH($P1024,Tables!$B$4:$B$28,0))</f>
        <v>4</v>
      </c>
      <c r="S1024" s="2">
        <f>$S1023+$R1023+INDEX(Tables!$N$5:$Q$8,MATCH(MOD($S1023+$R1023,4),Tables!$M$5:$M$8,0),MATCH($R1024,Tables!$N$4:$Q$4,0))</f>
        <v>3660</v>
      </c>
      <c r="T1024" s="2" t="str">
        <f t="shared" si="234"/>
        <v>0E4C</v>
      </c>
      <c r="U1024" s="2">
        <f t="shared" si="240"/>
        <v>915</v>
      </c>
      <c r="V1024" s="2" t="str">
        <f t="shared" si="235"/>
        <v>393</v>
      </c>
      <c r="W1024" s="2" t="str">
        <f t="shared" si="236"/>
        <v/>
      </c>
      <c r="X1024" s="2" t="str">
        <f t="shared" si="237"/>
        <v/>
      </c>
      <c r="Y1024" s="2" t="str">
        <f t="shared" si="238"/>
        <v/>
      </c>
      <c r="Z1024" s="2" t="str">
        <f t="shared" si="239"/>
        <v>X</v>
      </c>
      <c r="AA1024" s="2" t="str">
        <f t="shared" si="241"/>
        <v/>
      </c>
      <c r="AB1024" s="2" t="str">
        <f t="shared" si="242"/>
        <v/>
      </c>
      <c r="AC1024" s="2" t="str">
        <f t="shared" si="243"/>
        <v/>
      </c>
      <c r="AD1024" s="2" t="str">
        <f t="shared" si="244"/>
        <v>(0)</v>
      </c>
      <c r="AE1024" s="2" t="str">
        <f t="shared" si="245"/>
        <v/>
      </c>
      <c r="AF1024" s="2" t="str">
        <f t="shared" si="246"/>
        <v/>
      </c>
      <c r="AG1024" s="2" t="str">
        <f t="shared" si="247"/>
        <v/>
      </c>
      <c r="AH1024" s="2" t="str">
        <f t="shared" si="248"/>
        <v/>
      </c>
    </row>
    <row r="1025" spans="2:34" x14ac:dyDescent="0.25">
      <c r="B1025" s="2" t="s">
        <v>1104</v>
      </c>
      <c r="D1025" s="2" t="s">
        <v>1</v>
      </c>
      <c r="E1025" s="2" t="s">
        <v>134</v>
      </c>
      <c r="F1025" s="2" t="s">
        <v>1108</v>
      </c>
      <c r="G1025" s="2" t="s">
        <v>1109</v>
      </c>
      <c r="H1025" s="2" t="s">
        <v>746</v>
      </c>
      <c r="I1025" s="2" t="s">
        <v>42</v>
      </c>
      <c r="J1025" s="2">
        <v>1</v>
      </c>
      <c r="K1025" s="2" t="s">
        <v>136</v>
      </c>
      <c r="L1025" s="2" t="s">
        <v>41</v>
      </c>
      <c r="M1025" s="2" t="s">
        <v>135</v>
      </c>
      <c r="N1025" s="2" t="s">
        <v>1107</v>
      </c>
      <c r="O1025" s="2" t="s">
        <v>747</v>
      </c>
      <c r="P1025" s="2" t="s">
        <v>5</v>
      </c>
      <c r="Q1025" s="2">
        <f>INDEX(Tables!$C$4:$C$28,MATCH($P1025,Tables!$B$4:$B$28,0))</f>
        <v>32</v>
      </c>
      <c r="R1025" s="2">
        <f>INDEX(Tables!$D$4:$D$28,MATCH($P1025,Tables!$B$4:$B$28,0))</f>
        <v>4</v>
      </c>
      <c r="S1025" s="2">
        <f>$S1024+$R1024+INDEX(Tables!$N$5:$Q$8,MATCH(MOD($S1024+$R1024,4),Tables!$M$5:$M$8,0),MATCH($R1025,Tables!$N$4:$Q$4,0))</f>
        <v>3664</v>
      </c>
      <c r="T1025" s="2" t="str">
        <f t="shared" si="234"/>
        <v>0E50</v>
      </c>
      <c r="U1025" s="2">
        <f t="shared" si="240"/>
        <v>916</v>
      </c>
      <c r="V1025" s="2" t="str">
        <f t="shared" si="235"/>
        <v>394</v>
      </c>
      <c r="W1025" s="2" t="str">
        <f t="shared" si="236"/>
        <v/>
      </c>
      <c r="X1025" s="2" t="str">
        <f t="shared" si="237"/>
        <v/>
      </c>
      <c r="Y1025" s="2" t="str">
        <f t="shared" si="238"/>
        <v/>
      </c>
      <c r="Z1025" s="2" t="str">
        <f t="shared" si="239"/>
        <v>X</v>
      </c>
      <c r="AA1025" s="2" t="str">
        <f t="shared" si="241"/>
        <v/>
      </c>
      <c r="AB1025" s="2" t="str">
        <f t="shared" si="242"/>
        <v/>
      </c>
      <c r="AC1025" s="2" t="str">
        <f t="shared" si="243"/>
        <v/>
      </c>
      <c r="AD1025" s="2" t="str">
        <f t="shared" si="244"/>
        <v>(0)</v>
      </c>
      <c r="AE1025" s="2" t="str">
        <f t="shared" si="245"/>
        <v/>
      </c>
      <c r="AF1025" s="2" t="str">
        <f t="shared" si="246"/>
        <v/>
      </c>
      <c r="AG1025" s="2" t="str">
        <f t="shared" si="247"/>
        <v/>
      </c>
      <c r="AH1025" s="2" t="str">
        <f t="shared" si="248"/>
        <v/>
      </c>
    </row>
    <row r="1026" spans="2:34" x14ac:dyDescent="0.25">
      <c r="B1026" s="2" t="s">
        <v>1104</v>
      </c>
      <c r="D1026" s="2" t="s">
        <v>1</v>
      </c>
      <c r="E1026" s="2" t="s">
        <v>134</v>
      </c>
      <c r="F1026" s="2" t="s">
        <v>1108</v>
      </c>
      <c r="G1026" s="2" t="s">
        <v>1109</v>
      </c>
      <c r="H1026" s="2" t="s">
        <v>748</v>
      </c>
      <c r="I1026" s="2" t="s">
        <v>42</v>
      </c>
      <c r="J1026" s="2">
        <v>1</v>
      </c>
      <c r="K1026" s="2" t="s">
        <v>82</v>
      </c>
      <c r="L1026" s="2" t="s">
        <v>41</v>
      </c>
      <c r="M1026" s="2" t="s">
        <v>135</v>
      </c>
      <c r="N1026" s="2" t="s">
        <v>1107</v>
      </c>
      <c r="O1026" s="2" t="s">
        <v>749</v>
      </c>
      <c r="P1026" s="2" t="s">
        <v>5</v>
      </c>
      <c r="Q1026" s="2">
        <f>INDEX(Tables!$C$4:$C$28,MATCH($P1026,Tables!$B$4:$B$28,0))</f>
        <v>32</v>
      </c>
      <c r="R1026" s="2">
        <f>INDEX(Tables!$D$4:$D$28,MATCH($P1026,Tables!$B$4:$B$28,0))</f>
        <v>4</v>
      </c>
      <c r="S1026" s="2">
        <f>$S1025+$R1025+INDEX(Tables!$N$5:$Q$8,MATCH(MOD($S1025+$R1025,4),Tables!$M$5:$M$8,0),MATCH($R1026,Tables!$N$4:$Q$4,0))</f>
        <v>3668</v>
      </c>
      <c r="T1026" s="2" t="str">
        <f t="shared" si="234"/>
        <v>0E54</v>
      </c>
      <c r="U1026" s="2">
        <f t="shared" si="240"/>
        <v>917</v>
      </c>
      <c r="V1026" s="2" t="str">
        <f t="shared" si="235"/>
        <v>395</v>
      </c>
      <c r="W1026" s="2" t="str">
        <f t="shared" si="236"/>
        <v/>
      </c>
      <c r="X1026" s="2" t="str">
        <f t="shared" si="237"/>
        <v/>
      </c>
      <c r="Y1026" s="2" t="str">
        <f t="shared" si="238"/>
        <v/>
      </c>
      <c r="Z1026" s="2" t="str">
        <f t="shared" si="239"/>
        <v>X</v>
      </c>
      <c r="AA1026" s="2" t="str">
        <f t="shared" si="241"/>
        <v/>
      </c>
      <c r="AB1026" s="2" t="str">
        <f t="shared" si="242"/>
        <v/>
      </c>
      <c r="AC1026" s="2" t="str">
        <f t="shared" si="243"/>
        <v/>
      </c>
      <c r="AD1026" s="2" t="str">
        <f t="shared" si="244"/>
        <v>(0)</v>
      </c>
      <c r="AE1026" s="2" t="str">
        <f t="shared" si="245"/>
        <v/>
      </c>
      <c r="AF1026" s="2" t="str">
        <f t="shared" si="246"/>
        <v/>
      </c>
      <c r="AG1026" s="2" t="str">
        <f t="shared" si="247"/>
        <v/>
      </c>
      <c r="AH1026" s="2" t="str">
        <f t="shared" si="248"/>
        <v/>
      </c>
    </row>
    <row r="1027" spans="2:34" x14ac:dyDescent="0.25">
      <c r="B1027" s="2" t="s">
        <v>1104</v>
      </c>
      <c r="D1027" s="2" t="s">
        <v>1</v>
      </c>
      <c r="E1027" s="2" t="s">
        <v>134</v>
      </c>
      <c r="F1027" s="2" t="s">
        <v>1108</v>
      </c>
      <c r="G1027" s="2" t="s">
        <v>1109</v>
      </c>
      <c r="H1027" s="2" t="s">
        <v>750</v>
      </c>
      <c r="I1027" s="2" t="s">
        <v>42</v>
      </c>
      <c r="J1027" s="2">
        <v>1</v>
      </c>
      <c r="K1027" s="2" t="s">
        <v>82</v>
      </c>
      <c r="L1027" s="2" t="s">
        <v>41</v>
      </c>
      <c r="M1027" s="2" t="s">
        <v>135</v>
      </c>
      <c r="N1027" s="2" t="s">
        <v>1107</v>
      </c>
      <c r="O1027" s="2" t="s">
        <v>751</v>
      </c>
      <c r="P1027" s="2" t="s">
        <v>5</v>
      </c>
      <c r="Q1027" s="2">
        <f>INDEX(Tables!$C$4:$C$28,MATCH($P1027,Tables!$B$4:$B$28,0))</f>
        <v>32</v>
      </c>
      <c r="R1027" s="2">
        <f>INDEX(Tables!$D$4:$D$28,MATCH($P1027,Tables!$B$4:$B$28,0))</f>
        <v>4</v>
      </c>
      <c r="S1027" s="2">
        <f>$S1026+$R1026+INDEX(Tables!$N$5:$Q$8,MATCH(MOD($S1026+$R1026,4),Tables!$M$5:$M$8,0),MATCH($R1027,Tables!$N$4:$Q$4,0))</f>
        <v>3672</v>
      </c>
      <c r="T1027" s="2" t="str">
        <f t="shared" si="234"/>
        <v>0E58</v>
      </c>
      <c r="U1027" s="2">
        <f t="shared" si="240"/>
        <v>918</v>
      </c>
      <c r="V1027" s="2" t="str">
        <f t="shared" si="235"/>
        <v>396</v>
      </c>
      <c r="W1027" s="2" t="str">
        <f t="shared" si="236"/>
        <v/>
      </c>
      <c r="X1027" s="2" t="str">
        <f t="shared" si="237"/>
        <v/>
      </c>
      <c r="Y1027" s="2" t="str">
        <f t="shared" si="238"/>
        <v/>
      </c>
      <c r="Z1027" s="2" t="str">
        <f t="shared" si="239"/>
        <v>X</v>
      </c>
      <c r="AA1027" s="2" t="str">
        <f t="shared" si="241"/>
        <v/>
      </c>
      <c r="AB1027" s="2" t="str">
        <f t="shared" si="242"/>
        <v/>
      </c>
      <c r="AC1027" s="2" t="str">
        <f t="shared" si="243"/>
        <v/>
      </c>
      <c r="AD1027" s="2" t="str">
        <f t="shared" si="244"/>
        <v>(0)</v>
      </c>
      <c r="AE1027" s="2" t="str">
        <f t="shared" si="245"/>
        <v/>
      </c>
      <c r="AF1027" s="2" t="str">
        <f t="shared" si="246"/>
        <v/>
      </c>
      <c r="AG1027" s="2" t="str">
        <f t="shared" si="247"/>
        <v/>
      </c>
      <c r="AH1027" s="2" t="str">
        <f t="shared" si="248"/>
        <v/>
      </c>
    </row>
    <row r="1028" spans="2:34" x14ac:dyDescent="0.25">
      <c r="B1028" s="2" t="s">
        <v>1104</v>
      </c>
      <c r="D1028" s="2" t="s">
        <v>1</v>
      </c>
      <c r="E1028" s="2" t="s">
        <v>134</v>
      </c>
      <c r="F1028" s="2" t="s">
        <v>1108</v>
      </c>
      <c r="G1028" s="2" t="s">
        <v>1109</v>
      </c>
      <c r="H1028" s="2" t="s">
        <v>752</v>
      </c>
      <c r="I1028" s="2" t="s">
        <v>42</v>
      </c>
      <c r="J1028" s="2">
        <v>1</v>
      </c>
      <c r="K1028" s="2" t="s">
        <v>82</v>
      </c>
      <c r="L1028" s="2" t="s">
        <v>41</v>
      </c>
      <c r="M1028" s="2" t="s">
        <v>135</v>
      </c>
      <c r="N1028" s="2" t="s">
        <v>1107</v>
      </c>
      <c r="O1028" s="2" t="s">
        <v>753</v>
      </c>
      <c r="P1028" s="2" t="s">
        <v>5</v>
      </c>
      <c r="Q1028" s="2">
        <f>INDEX(Tables!$C$4:$C$28,MATCH($P1028,Tables!$B$4:$B$28,0))</f>
        <v>32</v>
      </c>
      <c r="R1028" s="2">
        <f>INDEX(Tables!$D$4:$D$28,MATCH($P1028,Tables!$B$4:$B$28,0))</f>
        <v>4</v>
      </c>
      <c r="S1028" s="2">
        <f>$S1027+$R1027+INDEX(Tables!$N$5:$Q$8,MATCH(MOD($S1027+$R1027,4),Tables!$M$5:$M$8,0),MATCH($R1028,Tables!$N$4:$Q$4,0))</f>
        <v>3676</v>
      </c>
      <c r="T1028" s="2" t="str">
        <f t="shared" si="234"/>
        <v>0E5C</v>
      </c>
      <c r="U1028" s="2">
        <f t="shared" si="240"/>
        <v>919</v>
      </c>
      <c r="V1028" s="2" t="str">
        <f t="shared" si="235"/>
        <v>397</v>
      </c>
      <c r="W1028" s="2" t="str">
        <f t="shared" si="236"/>
        <v/>
      </c>
      <c r="X1028" s="2" t="str">
        <f t="shared" si="237"/>
        <v/>
      </c>
      <c r="Y1028" s="2" t="str">
        <f t="shared" si="238"/>
        <v/>
      </c>
      <c r="Z1028" s="2" t="str">
        <f t="shared" si="239"/>
        <v>X</v>
      </c>
      <c r="AA1028" s="2" t="str">
        <f t="shared" si="241"/>
        <v/>
      </c>
      <c r="AB1028" s="2" t="str">
        <f t="shared" si="242"/>
        <v/>
      </c>
      <c r="AC1028" s="2" t="str">
        <f t="shared" si="243"/>
        <v/>
      </c>
      <c r="AD1028" s="2" t="str">
        <f t="shared" si="244"/>
        <v>(0)</v>
      </c>
      <c r="AE1028" s="2" t="str">
        <f t="shared" si="245"/>
        <v/>
      </c>
      <c r="AF1028" s="2" t="str">
        <f t="shared" si="246"/>
        <v/>
      </c>
      <c r="AG1028" s="2" t="str">
        <f t="shared" si="247"/>
        <v/>
      </c>
      <c r="AH1028" s="2" t="str">
        <f t="shared" si="248"/>
        <v/>
      </c>
    </row>
    <row r="1029" spans="2:34" x14ac:dyDescent="0.25">
      <c r="B1029" s="2" t="s">
        <v>1104</v>
      </c>
      <c r="D1029" s="2" t="s">
        <v>1</v>
      </c>
      <c r="E1029" s="2" t="s">
        <v>134</v>
      </c>
      <c r="F1029" s="2" t="s">
        <v>1108</v>
      </c>
      <c r="G1029" s="2" t="s">
        <v>1109</v>
      </c>
      <c r="H1029" s="2" t="s">
        <v>754</v>
      </c>
      <c r="I1029" s="2" t="s">
        <v>42</v>
      </c>
      <c r="J1029" s="2">
        <v>1</v>
      </c>
      <c r="K1029" s="2" t="s">
        <v>82</v>
      </c>
      <c r="L1029" s="2" t="s">
        <v>41</v>
      </c>
      <c r="M1029" s="2" t="s">
        <v>135</v>
      </c>
      <c r="N1029" s="2" t="s">
        <v>1107</v>
      </c>
      <c r="O1029" s="2" t="s">
        <v>755</v>
      </c>
      <c r="P1029" s="2" t="s">
        <v>5</v>
      </c>
      <c r="Q1029" s="2">
        <f>INDEX(Tables!$C$4:$C$28,MATCH($P1029,Tables!$B$4:$B$28,0))</f>
        <v>32</v>
      </c>
      <c r="R1029" s="2">
        <f>INDEX(Tables!$D$4:$D$28,MATCH($P1029,Tables!$B$4:$B$28,0))</f>
        <v>4</v>
      </c>
      <c r="S1029" s="2">
        <f>$S1028+$R1028+INDEX(Tables!$N$5:$Q$8,MATCH(MOD($S1028+$R1028,4),Tables!$M$5:$M$8,0),MATCH($R1029,Tables!$N$4:$Q$4,0))</f>
        <v>3680</v>
      </c>
      <c r="T1029" s="2" t="str">
        <f t="shared" ref="T1029:T1092" si="249">DEC2HEX($S1029,4)</f>
        <v>0E60</v>
      </c>
      <c r="U1029" s="2">
        <f t="shared" si="240"/>
        <v>920</v>
      </c>
      <c r="V1029" s="2" t="str">
        <f t="shared" ref="V1029:V1092" si="250">DEC2HEX($U1029,3)</f>
        <v>398</v>
      </c>
      <c r="W1029" s="2" t="str">
        <f t="shared" ref="W1029:W1092" si="251">IF(MOD($S1029,4)=3,"X",IF(AND(MOD($S1029,4)=2,$J1029&gt;8),"X",IF(AND(MOD($S1029,4)=1,$J1029&gt;16),"X",IF(AND(MOD($S1029,4)=0,$J1029&gt;24),"X",""))))</f>
        <v/>
      </c>
      <c r="X1029" s="2" t="str">
        <f t="shared" si="237"/>
        <v/>
      </c>
      <c r="Y1029" s="2" t="str">
        <f t="shared" si="238"/>
        <v/>
      </c>
      <c r="Z1029" s="2" t="str">
        <f t="shared" si="239"/>
        <v>X</v>
      </c>
      <c r="AA1029" s="2" t="str">
        <f t="shared" si="241"/>
        <v/>
      </c>
      <c r="AB1029" s="2" t="str">
        <f t="shared" si="242"/>
        <v/>
      </c>
      <c r="AC1029" s="2" t="str">
        <f t="shared" si="243"/>
        <v/>
      </c>
      <c r="AD1029" s="2" t="str">
        <f t="shared" si="244"/>
        <v>(0)</v>
      </c>
      <c r="AE1029" s="2" t="str">
        <f t="shared" si="245"/>
        <v/>
      </c>
      <c r="AF1029" s="2" t="str">
        <f t="shared" si="246"/>
        <v/>
      </c>
      <c r="AG1029" s="2" t="str">
        <f t="shared" si="247"/>
        <v/>
      </c>
      <c r="AH1029" s="2" t="str">
        <f t="shared" si="248"/>
        <v/>
      </c>
    </row>
    <row r="1030" spans="2:34" x14ac:dyDescent="0.25">
      <c r="B1030" s="2" t="s">
        <v>1104</v>
      </c>
      <c r="D1030" s="2" t="s">
        <v>1</v>
      </c>
      <c r="E1030" s="2" t="s">
        <v>134</v>
      </c>
      <c r="F1030" s="2" t="s">
        <v>1108</v>
      </c>
      <c r="G1030" s="2" t="s">
        <v>1109</v>
      </c>
      <c r="H1030" s="2" t="s">
        <v>756</v>
      </c>
      <c r="I1030" s="2" t="s">
        <v>42</v>
      </c>
      <c r="J1030" s="2">
        <v>1</v>
      </c>
      <c r="K1030" s="2" t="s">
        <v>82</v>
      </c>
      <c r="L1030" s="2" t="s">
        <v>41</v>
      </c>
      <c r="M1030" s="2" t="s">
        <v>135</v>
      </c>
      <c r="N1030" s="2" t="s">
        <v>1107</v>
      </c>
      <c r="O1030" s="2" t="s">
        <v>757</v>
      </c>
      <c r="P1030" s="2" t="s">
        <v>5</v>
      </c>
      <c r="Q1030" s="2">
        <f>INDEX(Tables!$C$4:$C$28,MATCH($P1030,Tables!$B$4:$B$28,0))</f>
        <v>32</v>
      </c>
      <c r="R1030" s="2">
        <f>INDEX(Tables!$D$4:$D$28,MATCH($P1030,Tables!$B$4:$B$28,0))</f>
        <v>4</v>
      </c>
      <c r="S1030" s="2">
        <f>$S1029+$R1029+INDEX(Tables!$N$5:$Q$8,MATCH(MOD($S1029+$R1029,4),Tables!$M$5:$M$8,0),MATCH($R1030,Tables!$N$4:$Q$4,0))</f>
        <v>3684</v>
      </c>
      <c r="T1030" s="2" t="str">
        <f t="shared" si="249"/>
        <v>0E64</v>
      </c>
      <c r="U1030" s="2">
        <f t="shared" si="240"/>
        <v>921</v>
      </c>
      <c r="V1030" s="2" t="str">
        <f t="shared" si="250"/>
        <v>399</v>
      </c>
      <c r="W1030" s="2" t="str">
        <f t="shared" si="251"/>
        <v/>
      </c>
      <c r="X1030" s="2" t="str">
        <f t="shared" si="237"/>
        <v/>
      </c>
      <c r="Y1030" s="2" t="str">
        <f t="shared" si="238"/>
        <v/>
      </c>
      <c r="Z1030" s="2" t="str">
        <f t="shared" si="239"/>
        <v>X</v>
      </c>
      <c r="AA1030" s="2" t="str">
        <f t="shared" si="241"/>
        <v/>
      </c>
      <c r="AB1030" s="2" t="str">
        <f t="shared" si="242"/>
        <v/>
      </c>
      <c r="AC1030" s="2" t="str">
        <f t="shared" si="243"/>
        <v/>
      </c>
      <c r="AD1030" s="2" t="str">
        <f t="shared" si="244"/>
        <v>(0)</v>
      </c>
      <c r="AE1030" s="2" t="str">
        <f t="shared" si="245"/>
        <v/>
      </c>
      <c r="AF1030" s="2" t="str">
        <f t="shared" si="246"/>
        <v/>
      </c>
      <c r="AG1030" s="2" t="str">
        <f t="shared" si="247"/>
        <v/>
      </c>
      <c r="AH1030" s="2" t="str">
        <f t="shared" si="248"/>
        <v/>
      </c>
    </row>
    <row r="1031" spans="2:34" x14ac:dyDescent="0.25">
      <c r="B1031" s="2" t="s">
        <v>1104</v>
      </c>
      <c r="D1031" s="2" t="s">
        <v>1</v>
      </c>
      <c r="E1031" s="2" t="s">
        <v>134</v>
      </c>
      <c r="F1031" s="2" t="s">
        <v>1108</v>
      </c>
      <c r="G1031" s="2" t="s">
        <v>1109</v>
      </c>
      <c r="H1031" s="2" t="s">
        <v>758</v>
      </c>
      <c r="I1031" s="2" t="s">
        <v>42</v>
      </c>
      <c r="J1031" s="2">
        <v>1</v>
      </c>
      <c r="K1031" s="2" t="s">
        <v>82</v>
      </c>
      <c r="L1031" s="2" t="s">
        <v>41</v>
      </c>
      <c r="M1031" s="2" t="s">
        <v>135</v>
      </c>
      <c r="N1031" s="2" t="s">
        <v>1107</v>
      </c>
      <c r="O1031" s="2" t="s">
        <v>759</v>
      </c>
      <c r="P1031" s="2" t="s">
        <v>5</v>
      </c>
      <c r="Q1031" s="2">
        <f>INDEX(Tables!$C$4:$C$28,MATCH($P1031,Tables!$B$4:$B$28,0))</f>
        <v>32</v>
      </c>
      <c r="R1031" s="2">
        <f>INDEX(Tables!$D$4:$D$28,MATCH($P1031,Tables!$B$4:$B$28,0))</f>
        <v>4</v>
      </c>
      <c r="S1031" s="2">
        <f>$S1030+$R1030+INDEX(Tables!$N$5:$Q$8,MATCH(MOD($S1030+$R1030,4),Tables!$M$5:$M$8,0),MATCH($R1031,Tables!$N$4:$Q$4,0))</f>
        <v>3688</v>
      </c>
      <c r="T1031" s="2" t="str">
        <f t="shared" si="249"/>
        <v>0E68</v>
      </c>
      <c r="U1031" s="2">
        <f t="shared" si="240"/>
        <v>922</v>
      </c>
      <c r="V1031" s="2" t="str">
        <f t="shared" si="250"/>
        <v>39A</v>
      </c>
      <c r="W1031" s="2" t="str">
        <f t="shared" si="251"/>
        <v/>
      </c>
      <c r="X1031" s="2" t="str">
        <f t="shared" si="237"/>
        <v/>
      </c>
      <c r="Y1031" s="2" t="str">
        <f t="shared" si="238"/>
        <v/>
      </c>
      <c r="Z1031" s="2" t="str">
        <f t="shared" si="239"/>
        <v>X</v>
      </c>
      <c r="AA1031" s="2" t="str">
        <f t="shared" si="241"/>
        <v/>
      </c>
      <c r="AB1031" s="2" t="str">
        <f t="shared" si="242"/>
        <v/>
      </c>
      <c r="AC1031" s="2" t="str">
        <f t="shared" si="243"/>
        <v/>
      </c>
      <c r="AD1031" s="2" t="str">
        <f t="shared" si="244"/>
        <v>(0)</v>
      </c>
      <c r="AE1031" s="2" t="str">
        <f t="shared" si="245"/>
        <v/>
      </c>
      <c r="AF1031" s="2" t="str">
        <f t="shared" si="246"/>
        <v/>
      </c>
      <c r="AG1031" s="2" t="str">
        <f t="shared" si="247"/>
        <v/>
      </c>
      <c r="AH1031" s="2" t="str">
        <f t="shared" si="248"/>
        <v/>
      </c>
    </row>
    <row r="1032" spans="2:34" x14ac:dyDescent="0.25">
      <c r="B1032" s="2" t="s">
        <v>1104</v>
      </c>
      <c r="D1032" s="2" t="s">
        <v>1</v>
      </c>
      <c r="E1032" s="2" t="s">
        <v>134</v>
      </c>
      <c r="F1032" s="2" t="s">
        <v>1108</v>
      </c>
      <c r="G1032" s="2" t="s">
        <v>1109</v>
      </c>
      <c r="H1032" s="2" t="s">
        <v>760</v>
      </c>
      <c r="I1032" s="2" t="s">
        <v>42</v>
      </c>
      <c r="J1032" s="2">
        <v>1</v>
      </c>
      <c r="K1032" s="2" t="s">
        <v>82</v>
      </c>
      <c r="L1032" s="2" t="s">
        <v>41</v>
      </c>
      <c r="M1032" s="2" t="s">
        <v>135</v>
      </c>
      <c r="N1032" s="2" t="s">
        <v>1107</v>
      </c>
      <c r="O1032" s="2" t="s">
        <v>761</v>
      </c>
      <c r="P1032" s="2" t="s">
        <v>5</v>
      </c>
      <c r="Q1032" s="2">
        <f>INDEX(Tables!$C$4:$C$28,MATCH($P1032,Tables!$B$4:$B$28,0))</f>
        <v>32</v>
      </c>
      <c r="R1032" s="2">
        <f>INDEX(Tables!$D$4:$D$28,MATCH($P1032,Tables!$B$4:$B$28,0))</f>
        <v>4</v>
      </c>
      <c r="S1032" s="2">
        <f>$S1031+$R1031+INDEX(Tables!$N$5:$Q$8,MATCH(MOD($S1031+$R1031,4),Tables!$M$5:$M$8,0),MATCH($R1032,Tables!$N$4:$Q$4,0))</f>
        <v>3692</v>
      </c>
      <c r="T1032" s="2" t="str">
        <f t="shared" si="249"/>
        <v>0E6C</v>
      </c>
      <c r="U1032" s="2">
        <f t="shared" si="240"/>
        <v>923</v>
      </c>
      <c r="V1032" s="2" t="str">
        <f t="shared" si="250"/>
        <v>39B</v>
      </c>
      <c r="W1032" s="2" t="str">
        <f t="shared" si="251"/>
        <v/>
      </c>
      <c r="X1032" s="2" t="str">
        <f t="shared" si="237"/>
        <v/>
      </c>
      <c r="Y1032" s="2" t="str">
        <f t="shared" si="238"/>
        <v/>
      </c>
      <c r="Z1032" s="2" t="str">
        <f t="shared" si="239"/>
        <v>X</v>
      </c>
      <c r="AA1032" s="2" t="str">
        <f t="shared" si="241"/>
        <v/>
      </c>
      <c r="AB1032" s="2" t="str">
        <f t="shared" si="242"/>
        <v/>
      </c>
      <c r="AC1032" s="2" t="str">
        <f t="shared" si="243"/>
        <v/>
      </c>
      <c r="AD1032" s="2" t="str">
        <f t="shared" si="244"/>
        <v>(0)</v>
      </c>
      <c r="AE1032" s="2" t="str">
        <f t="shared" si="245"/>
        <v/>
      </c>
      <c r="AF1032" s="2" t="str">
        <f t="shared" si="246"/>
        <v/>
      </c>
      <c r="AG1032" s="2" t="str">
        <f t="shared" si="247"/>
        <v/>
      </c>
      <c r="AH1032" s="2" t="str">
        <f t="shared" si="248"/>
        <v/>
      </c>
    </row>
    <row r="1033" spans="2:34" x14ac:dyDescent="0.25">
      <c r="B1033" s="2" t="s">
        <v>1104</v>
      </c>
      <c r="D1033" s="2" t="s">
        <v>1</v>
      </c>
      <c r="E1033" s="2" t="s">
        <v>134</v>
      </c>
      <c r="F1033" s="2" t="s">
        <v>1108</v>
      </c>
      <c r="G1033" s="2" t="s">
        <v>1109</v>
      </c>
      <c r="H1033" s="2" t="s">
        <v>762</v>
      </c>
      <c r="I1033" s="2" t="s">
        <v>42</v>
      </c>
      <c r="J1033" s="2">
        <v>1</v>
      </c>
      <c r="K1033" s="2" t="s">
        <v>82</v>
      </c>
      <c r="L1033" s="2" t="s">
        <v>41</v>
      </c>
      <c r="M1033" s="2" t="s">
        <v>135</v>
      </c>
      <c r="N1033" s="2" t="s">
        <v>1107</v>
      </c>
      <c r="O1033" s="2" t="s">
        <v>763</v>
      </c>
      <c r="P1033" s="2" t="s">
        <v>5</v>
      </c>
      <c r="Q1033" s="2">
        <f>INDEX(Tables!$C$4:$C$28,MATCH($P1033,Tables!$B$4:$B$28,0))</f>
        <v>32</v>
      </c>
      <c r="R1033" s="2">
        <f>INDEX(Tables!$D$4:$D$28,MATCH($P1033,Tables!$B$4:$B$28,0))</f>
        <v>4</v>
      </c>
      <c r="S1033" s="2">
        <f>$S1032+$R1032+INDEX(Tables!$N$5:$Q$8,MATCH(MOD($S1032+$R1032,4),Tables!$M$5:$M$8,0),MATCH($R1033,Tables!$N$4:$Q$4,0))</f>
        <v>3696</v>
      </c>
      <c r="T1033" s="2" t="str">
        <f t="shared" si="249"/>
        <v>0E70</v>
      </c>
      <c r="U1033" s="2">
        <f t="shared" si="240"/>
        <v>924</v>
      </c>
      <c r="V1033" s="2" t="str">
        <f t="shared" si="250"/>
        <v>39C</v>
      </c>
      <c r="W1033" s="2" t="str">
        <f t="shared" si="251"/>
        <v/>
      </c>
      <c r="X1033" s="2" t="str">
        <f t="shared" si="237"/>
        <v/>
      </c>
      <c r="Y1033" s="2" t="str">
        <f t="shared" si="238"/>
        <v/>
      </c>
      <c r="Z1033" s="2" t="str">
        <f t="shared" si="239"/>
        <v>X</v>
      </c>
      <c r="AA1033" s="2" t="str">
        <f t="shared" si="241"/>
        <v/>
      </c>
      <c r="AB1033" s="2" t="str">
        <f t="shared" si="242"/>
        <v/>
      </c>
      <c r="AC1033" s="2" t="str">
        <f t="shared" si="243"/>
        <v/>
      </c>
      <c r="AD1033" s="2" t="str">
        <f t="shared" si="244"/>
        <v>(0)</v>
      </c>
      <c r="AE1033" s="2" t="str">
        <f t="shared" si="245"/>
        <v/>
      </c>
      <c r="AF1033" s="2" t="str">
        <f t="shared" si="246"/>
        <v/>
      </c>
      <c r="AG1033" s="2" t="str">
        <f t="shared" si="247"/>
        <v/>
      </c>
      <c r="AH1033" s="2" t="str">
        <f t="shared" si="248"/>
        <v/>
      </c>
    </row>
    <row r="1034" spans="2:34" x14ac:dyDescent="0.25">
      <c r="B1034" s="2" t="s">
        <v>1104</v>
      </c>
      <c r="D1034" s="2" t="s">
        <v>1</v>
      </c>
      <c r="E1034" s="2" t="s">
        <v>134</v>
      </c>
      <c r="F1034" s="2" t="s">
        <v>1108</v>
      </c>
      <c r="G1034" s="2" t="s">
        <v>1109</v>
      </c>
      <c r="H1034" s="2" t="s">
        <v>764</v>
      </c>
      <c r="I1034" s="2" t="s">
        <v>42</v>
      </c>
      <c r="J1034" s="2">
        <v>1</v>
      </c>
      <c r="K1034" s="2" t="s">
        <v>82</v>
      </c>
      <c r="L1034" s="2" t="s">
        <v>41</v>
      </c>
      <c r="M1034" s="2" t="s">
        <v>135</v>
      </c>
      <c r="N1034" s="2" t="s">
        <v>1107</v>
      </c>
      <c r="O1034" s="2" t="s">
        <v>765</v>
      </c>
      <c r="P1034" s="2" t="s">
        <v>5</v>
      </c>
      <c r="Q1034" s="2">
        <f>INDEX(Tables!$C$4:$C$28,MATCH($P1034,Tables!$B$4:$B$28,0))</f>
        <v>32</v>
      </c>
      <c r="R1034" s="2">
        <f>INDEX(Tables!$D$4:$D$28,MATCH($P1034,Tables!$B$4:$B$28,0))</f>
        <v>4</v>
      </c>
      <c r="S1034" s="2">
        <f>$S1033+$R1033+INDEX(Tables!$N$5:$Q$8,MATCH(MOD($S1033+$R1033,4),Tables!$M$5:$M$8,0),MATCH($R1034,Tables!$N$4:$Q$4,0))</f>
        <v>3700</v>
      </c>
      <c r="T1034" s="2" t="str">
        <f t="shared" si="249"/>
        <v>0E74</v>
      </c>
      <c r="U1034" s="2">
        <f t="shared" si="240"/>
        <v>925</v>
      </c>
      <c r="V1034" s="2" t="str">
        <f t="shared" si="250"/>
        <v>39D</v>
      </c>
      <c r="W1034" s="2" t="str">
        <f t="shared" si="251"/>
        <v/>
      </c>
      <c r="X1034" s="2" t="str">
        <f t="shared" si="237"/>
        <v/>
      </c>
      <c r="Y1034" s="2" t="str">
        <f t="shared" si="238"/>
        <v/>
      </c>
      <c r="Z1034" s="2" t="str">
        <f t="shared" si="239"/>
        <v>X</v>
      </c>
      <c r="AA1034" s="2" t="str">
        <f t="shared" si="241"/>
        <v/>
      </c>
      <c r="AB1034" s="2" t="str">
        <f t="shared" si="242"/>
        <v/>
      </c>
      <c r="AC1034" s="2" t="str">
        <f t="shared" si="243"/>
        <v/>
      </c>
      <c r="AD1034" s="2" t="str">
        <f t="shared" si="244"/>
        <v>(0)</v>
      </c>
      <c r="AE1034" s="2" t="str">
        <f t="shared" si="245"/>
        <v/>
      </c>
      <c r="AF1034" s="2" t="str">
        <f t="shared" si="246"/>
        <v/>
      </c>
      <c r="AG1034" s="2" t="str">
        <f t="shared" si="247"/>
        <v/>
      </c>
      <c r="AH1034" s="2" t="str">
        <f t="shared" si="248"/>
        <v/>
      </c>
    </row>
    <row r="1035" spans="2:34" x14ac:dyDescent="0.25">
      <c r="B1035" s="2" t="s">
        <v>1104</v>
      </c>
      <c r="D1035" s="2" t="s">
        <v>1</v>
      </c>
      <c r="E1035" s="2" t="s">
        <v>134</v>
      </c>
      <c r="F1035" s="2" t="s">
        <v>1108</v>
      </c>
      <c r="G1035" s="2" t="s">
        <v>1109</v>
      </c>
      <c r="H1035" s="2" t="s">
        <v>766</v>
      </c>
      <c r="I1035" s="2" t="s">
        <v>42</v>
      </c>
      <c r="J1035" s="2">
        <v>1</v>
      </c>
      <c r="K1035" s="2" t="s">
        <v>82</v>
      </c>
      <c r="L1035" s="2" t="s">
        <v>41</v>
      </c>
      <c r="M1035" s="2" t="s">
        <v>135</v>
      </c>
      <c r="N1035" s="2" t="s">
        <v>1107</v>
      </c>
      <c r="O1035" s="2" t="s">
        <v>767</v>
      </c>
      <c r="P1035" s="2" t="s">
        <v>5</v>
      </c>
      <c r="Q1035" s="2">
        <f>INDEX(Tables!$C$4:$C$28,MATCH($P1035,Tables!$B$4:$B$28,0))</f>
        <v>32</v>
      </c>
      <c r="R1035" s="2">
        <f>INDEX(Tables!$D$4:$D$28,MATCH($P1035,Tables!$B$4:$B$28,0))</f>
        <v>4</v>
      </c>
      <c r="S1035" s="2">
        <f>$S1034+$R1034+INDEX(Tables!$N$5:$Q$8,MATCH(MOD($S1034+$R1034,4),Tables!$M$5:$M$8,0),MATCH($R1035,Tables!$N$4:$Q$4,0))</f>
        <v>3704</v>
      </c>
      <c r="T1035" s="2" t="str">
        <f t="shared" si="249"/>
        <v>0E78</v>
      </c>
      <c r="U1035" s="2">
        <f t="shared" si="240"/>
        <v>926</v>
      </c>
      <c r="V1035" s="2" t="str">
        <f t="shared" si="250"/>
        <v>39E</v>
      </c>
      <c r="W1035" s="2" t="str">
        <f t="shared" si="251"/>
        <v/>
      </c>
      <c r="X1035" s="2" t="str">
        <f t="shared" si="237"/>
        <v/>
      </c>
      <c r="Y1035" s="2" t="str">
        <f t="shared" si="238"/>
        <v/>
      </c>
      <c r="Z1035" s="2" t="str">
        <f t="shared" si="239"/>
        <v>X</v>
      </c>
      <c r="AA1035" s="2" t="str">
        <f t="shared" si="241"/>
        <v/>
      </c>
      <c r="AB1035" s="2" t="str">
        <f t="shared" si="242"/>
        <v/>
      </c>
      <c r="AC1035" s="2" t="str">
        <f t="shared" si="243"/>
        <v/>
      </c>
      <c r="AD1035" s="2" t="str">
        <f t="shared" si="244"/>
        <v>(0)</v>
      </c>
      <c r="AE1035" s="2" t="str">
        <f t="shared" si="245"/>
        <v/>
      </c>
      <c r="AF1035" s="2" t="str">
        <f t="shared" si="246"/>
        <v/>
      </c>
      <c r="AG1035" s="2" t="str">
        <f t="shared" si="247"/>
        <v/>
      </c>
      <c r="AH1035" s="2" t="str">
        <f t="shared" si="248"/>
        <v/>
      </c>
    </row>
    <row r="1036" spans="2:34" x14ac:dyDescent="0.25">
      <c r="B1036" s="2" t="s">
        <v>1104</v>
      </c>
      <c r="D1036" s="2" t="s">
        <v>1</v>
      </c>
      <c r="E1036" s="2" t="s">
        <v>134</v>
      </c>
      <c r="F1036" s="2" t="s">
        <v>1108</v>
      </c>
      <c r="G1036" s="2" t="s">
        <v>1109</v>
      </c>
      <c r="H1036" s="2" t="s">
        <v>768</v>
      </c>
      <c r="I1036" s="2" t="s">
        <v>42</v>
      </c>
      <c r="J1036" s="2">
        <v>1</v>
      </c>
      <c r="K1036" s="2" t="s">
        <v>82</v>
      </c>
      <c r="L1036" s="2" t="s">
        <v>41</v>
      </c>
      <c r="M1036" s="2" t="s">
        <v>135</v>
      </c>
      <c r="N1036" s="2" t="s">
        <v>1107</v>
      </c>
      <c r="O1036" s="2" t="s">
        <v>769</v>
      </c>
      <c r="P1036" s="2" t="s">
        <v>5</v>
      </c>
      <c r="Q1036" s="2">
        <f>INDEX(Tables!$C$4:$C$28,MATCH($P1036,Tables!$B$4:$B$28,0))</f>
        <v>32</v>
      </c>
      <c r="R1036" s="2">
        <f>INDEX(Tables!$D$4:$D$28,MATCH($P1036,Tables!$B$4:$B$28,0))</f>
        <v>4</v>
      </c>
      <c r="S1036" s="2">
        <f>$S1035+$R1035+INDEX(Tables!$N$5:$Q$8,MATCH(MOD($S1035+$R1035,4),Tables!$M$5:$M$8,0),MATCH($R1036,Tables!$N$4:$Q$4,0))</f>
        <v>3708</v>
      </c>
      <c r="T1036" s="2" t="str">
        <f t="shared" si="249"/>
        <v>0E7C</v>
      </c>
      <c r="U1036" s="2">
        <f t="shared" si="240"/>
        <v>927</v>
      </c>
      <c r="V1036" s="2" t="str">
        <f t="shared" si="250"/>
        <v>39F</v>
      </c>
      <c r="W1036" s="2" t="str">
        <f t="shared" si="251"/>
        <v/>
      </c>
      <c r="X1036" s="2" t="str">
        <f t="shared" si="237"/>
        <v/>
      </c>
      <c r="Y1036" s="2" t="str">
        <f t="shared" si="238"/>
        <v/>
      </c>
      <c r="Z1036" s="2" t="str">
        <f t="shared" si="239"/>
        <v>X</v>
      </c>
      <c r="AA1036" s="2" t="str">
        <f t="shared" si="241"/>
        <v/>
      </c>
      <c r="AB1036" s="2" t="str">
        <f t="shared" si="242"/>
        <v/>
      </c>
      <c r="AC1036" s="2" t="str">
        <f t="shared" si="243"/>
        <v/>
      </c>
      <c r="AD1036" s="2" t="str">
        <f t="shared" si="244"/>
        <v>(0)</v>
      </c>
      <c r="AE1036" s="2" t="str">
        <f t="shared" si="245"/>
        <v/>
      </c>
      <c r="AF1036" s="2" t="str">
        <f t="shared" si="246"/>
        <v/>
      </c>
      <c r="AG1036" s="2" t="str">
        <f t="shared" si="247"/>
        <v/>
      </c>
      <c r="AH1036" s="2" t="str">
        <f t="shared" si="248"/>
        <v/>
      </c>
    </row>
    <row r="1037" spans="2:34" x14ac:dyDescent="0.25">
      <c r="B1037" s="2" t="s">
        <v>1104</v>
      </c>
      <c r="D1037" s="2" t="s">
        <v>1</v>
      </c>
      <c r="E1037" s="2" t="s">
        <v>134</v>
      </c>
      <c r="F1037" s="2" t="s">
        <v>1108</v>
      </c>
      <c r="G1037" s="2" t="s">
        <v>1109</v>
      </c>
      <c r="H1037" s="2" t="s">
        <v>770</v>
      </c>
      <c r="I1037" s="2" t="s">
        <v>42</v>
      </c>
      <c r="J1037" s="2">
        <v>1</v>
      </c>
      <c r="K1037" s="2" t="s">
        <v>82</v>
      </c>
      <c r="L1037" s="2" t="s">
        <v>41</v>
      </c>
      <c r="M1037" s="2" t="s">
        <v>135</v>
      </c>
      <c r="N1037" s="2" t="s">
        <v>1107</v>
      </c>
      <c r="O1037" s="2" t="s">
        <v>771</v>
      </c>
      <c r="P1037" s="2" t="s">
        <v>5</v>
      </c>
      <c r="Q1037" s="2">
        <f>INDEX(Tables!$C$4:$C$28,MATCH($P1037,Tables!$B$4:$B$28,0))</f>
        <v>32</v>
      </c>
      <c r="R1037" s="2">
        <f>INDEX(Tables!$D$4:$D$28,MATCH($P1037,Tables!$B$4:$B$28,0))</f>
        <v>4</v>
      </c>
      <c r="S1037" s="2">
        <f>$S1036+$R1036+INDEX(Tables!$N$5:$Q$8,MATCH(MOD($S1036+$R1036,4),Tables!$M$5:$M$8,0),MATCH($R1037,Tables!$N$4:$Q$4,0))</f>
        <v>3712</v>
      </c>
      <c r="T1037" s="2" t="str">
        <f t="shared" si="249"/>
        <v>0E80</v>
      </c>
      <c r="U1037" s="2">
        <f t="shared" si="240"/>
        <v>928</v>
      </c>
      <c r="V1037" s="2" t="str">
        <f t="shared" si="250"/>
        <v>3A0</v>
      </c>
      <c r="W1037" s="2" t="str">
        <f t="shared" si="251"/>
        <v/>
      </c>
      <c r="X1037" s="2" t="str">
        <f t="shared" si="237"/>
        <v/>
      </c>
      <c r="Y1037" s="2" t="str">
        <f t="shared" si="238"/>
        <v/>
      </c>
      <c r="Z1037" s="2" t="str">
        <f t="shared" si="239"/>
        <v>X</v>
      </c>
      <c r="AA1037" s="2" t="str">
        <f t="shared" si="241"/>
        <v/>
      </c>
      <c r="AB1037" s="2" t="str">
        <f t="shared" si="242"/>
        <v/>
      </c>
      <c r="AC1037" s="2" t="str">
        <f t="shared" si="243"/>
        <v/>
      </c>
      <c r="AD1037" s="2" t="str">
        <f t="shared" si="244"/>
        <v>(0)</v>
      </c>
      <c r="AE1037" s="2" t="str">
        <f t="shared" si="245"/>
        <v/>
      </c>
      <c r="AF1037" s="2" t="str">
        <f t="shared" si="246"/>
        <v/>
      </c>
      <c r="AG1037" s="2" t="str">
        <f t="shared" si="247"/>
        <v/>
      </c>
      <c r="AH1037" s="2" t="str">
        <f t="shared" si="248"/>
        <v/>
      </c>
    </row>
    <row r="1038" spans="2:34" x14ac:dyDescent="0.25">
      <c r="B1038" s="2" t="s">
        <v>1104</v>
      </c>
      <c r="D1038" s="2" t="s">
        <v>1</v>
      </c>
      <c r="E1038" s="2" t="s">
        <v>134</v>
      </c>
      <c r="F1038" s="2" t="s">
        <v>1108</v>
      </c>
      <c r="G1038" s="2" t="s">
        <v>1109</v>
      </c>
      <c r="H1038" s="2" t="s">
        <v>772</v>
      </c>
      <c r="I1038" s="2" t="s">
        <v>42</v>
      </c>
      <c r="J1038" s="2">
        <v>1</v>
      </c>
      <c r="K1038" s="2" t="s">
        <v>136</v>
      </c>
      <c r="L1038" s="2" t="s">
        <v>41</v>
      </c>
      <c r="M1038" s="2" t="s">
        <v>135</v>
      </c>
      <c r="N1038" s="2" t="s">
        <v>1107</v>
      </c>
      <c r="O1038" s="2" t="s">
        <v>773</v>
      </c>
      <c r="P1038" s="2" t="s">
        <v>5</v>
      </c>
      <c r="Q1038" s="2">
        <f>INDEX(Tables!$C$4:$C$28,MATCH($P1038,Tables!$B$4:$B$28,0))</f>
        <v>32</v>
      </c>
      <c r="R1038" s="2">
        <f>INDEX(Tables!$D$4:$D$28,MATCH($P1038,Tables!$B$4:$B$28,0))</f>
        <v>4</v>
      </c>
      <c r="S1038" s="2">
        <f>$S1037+$R1037+INDEX(Tables!$N$5:$Q$8,MATCH(MOD($S1037+$R1037,4),Tables!$M$5:$M$8,0),MATCH($R1038,Tables!$N$4:$Q$4,0))</f>
        <v>3716</v>
      </c>
      <c r="T1038" s="2" t="str">
        <f t="shared" si="249"/>
        <v>0E84</v>
      </c>
      <c r="U1038" s="2">
        <f t="shared" si="240"/>
        <v>929</v>
      </c>
      <c r="V1038" s="2" t="str">
        <f t="shared" si="250"/>
        <v>3A1</v>
      </c>
      <c r="W1038" s="2" t="str">
        <f t="shared" si="251"/>
        <v/>
      </c>
      <c r="X1038" s="2" t="str">
        <f t="shared" si="237"/>
        <v/>
      </c>
      <c r="Y1038" s="2" t="str">
        <f t="shared" si="238"/>
        <v/>
      </c>
      <c r="Z1038" s="2" t="str">
        <f t="shared" si="239"/>
        <v>X</v>
      </c>
      <c r="AA1038" s="2" t="str">
        <f t="shared" si="241"/>
        <v/>
      </c>
      <c r="AB1038" s="2" t="str">
        <f t="shared" si="242"/>
        <v/>
      </c>
      <c r="AC1038" s="2" t="str">
        <f t="shared" si="243"/>
        <v/>
      </c>
      <c r="AD1038" s="2" t="str">
        <f t="shared" si="244"/>
        <v>(0)</v>
      </c>
      <c r="AE1038" s="2" t="str">
        <f t="shared" si="245"/>
        <v/>
      </c>
      <c r="AF1038" s="2" t="str">
        <f t="shared" si="246"/>
        <v/>
      </c>
      <c r="AG1038" s="2" t="str">
        <f t="shared" si="247"/>
        <v/>
      </c>
      <c r="AH1038" s="2" t="str">
        <f t="shared" si="248"/>
        <v/>
      </c>
    </row>
    <row r="1039" spans="2:34" x14ac:dyDescent="0.25">
      <c r="B1039" s="2" t="s">
        <v>1104</v>
      </c>
      <c r="D1039" s="2" t="s">
        <v>1</v>
      </c>
      <c r="E1039" s="2" t="s">
        <v>134</v>
      </c>
      <c r="F1039" s="2" t="s">
        <v>1108</v>
      </c>
      <c r="G1039" s="2" t="s">
        <v>1109</v>
      </c>
      <c r="H1039" s="2" t="s">
        <v>774</v>
      </c>
      <c r="I1039" s="2" t="s">
        <v>42</v>
      </c>
      <c r="J1039" s="2">
        <v>1</v>
      </c>
      <c r="K1039" s="2" t="s">
        <v>136</v>
      </c>
      <c r="L1039" s="2" t="s">
        <v>41</v>
      </c>
      <c r="M1039" s="2" t="s">
        <v>135</v>
      </c>
      <c r="N1039" s="2" t="s">
        <v>1107</v>
      </c>
      <c r="O1039" s="2" t="s">
        <v>775</v>
      </c>
      <c r="P1039" s="2" t="s">
        <v>5</v>
      </c>
      <c r="Q1039" s="2">
        <f>INDEX(Tables!$C$4:$C$28,MATCH($P1039,Tables!$B$4:$B$28,0))</f>
        <v>32</v>
      </c>
      <c r="R1039" s="2">
        <f>INDEX(Tables!$D$4:$D$28,MATCH($P1039,Tables!$B$4:$B$28,0))</f>
        <v>4</v>
      </c>
      <c r="S1039" s="2">
        <f>$S1038+$R1038+INDEX(Tables!$N$5:$Q$8,MATCH(MOD($S1038+$R1038,4),Tables!$M$5:$M$8,0),MATCH($R1039,Tables!$N$4:$Q$4,0))</f>
        <v>3720</v>
      </c>
      <c r="T1039" s="2" t="str">
        <f t="shared" si="249"/>
        <v>0E88</v>
      </c>
      <c r="U1039" s="2">
        <f t="shared" si="240"/>
        <v>930</v>
      </c>
      <c r="V1039" s="2" t="str">
        <f t="shared" si="250"/>
        <v>3A2</v>
      </c>
      <c r="W1039" s="2" t="str">
        <f t="shared" si="251"/>
        <v/>
      </c>
      <c r="X1039" s="2" t="str">
        <f t="shared" si="237"/>
        <v/>
      </c>
      <c r="Y1039" s="2" t="str">
        <f t="shared" si="238"/>
        <v/>
      </c>
      <c r="Z1039" s="2" t="str">
        <f t="shared" si="239"/>
        <v>X</v>
      </c>
      <c r="AA1039" s="2" t="str">
        <f t="shared" si="241"/>
        <v/>
      </c>
      <c r="AB1039" s="2" t="str">
        <f t="shared" si="242"/>
        <v/>
      </c>
      <c r="AC1039" s="2" t="str">
        <f t="shared" si="243"/>
        <v/>
      </c>
      <c r="AD1039" s="2" t="str">
        <f t="shared" si="244"/>
        <v>(0)</v>
      </c>
      <c r="AE1039" s="2" t="str">
        <f t="shared" si="245"/>
        <v/>
      </c>
      <c r="AF1039" s="2" t="str">
        <f t="shared" si="246"/>
        <v/>
      </c>
      <c r="AG1039" s="2" t="str">
        <f t="shared" si="247"/>
        <v/>
      </c>
      <c r="AH1039" s="2" t="str">
        <f t="shared" si="248"/>
        <v/>
      </c>
    </row>
    <row r="1040" spans="2:34" x14ac:dyDescent="0.25">
      <c r="B1040" s="2" t="s">
        <v>1104</v>
      </c>
      <c r="D1040" s="2" t="s">
        <v>1</v>
      </c>
      <c r="E1040" s="2" t="s">
        <v>134</v>
      </c>
      <c r="F1040" s="2" t="s">
        <v>1108</v>
      </c>
      <c r="G1040" s="2" t="s">
        <v>1109</v>
      </c>
      <c r="H1040" s="2" t="s">
        <v>776</v>
      </c>
      <c r="I1040" s="2" t="s">
        <v>42</v>
      </c>
      <c r="J1040" s="2">
        <v>1</v>
      </c>
      <c r="K1040" s="2" t="s">
        <v>136</v>
      </c>
      <c r="L1040" s="2" t="s">
        <v>41</v>
      </c>
      <c r="M1040" s="2" t="s">
        <v>135</v>
      </c>
      <c r="N1040" s="2" t="s">
        <v>1107</v>
      </c>
      <c r="O1040" s="2" t="s">
        <v>777</v>
      </c>
      <c r="P1040" s="2" t="s">
        <v>5</v>
      </c>
      <c r="Q1040" s="2">
        <f>INDEX(Tables!$C$4:$C$28,MATCH($P1040,Tables!$B$4:$B$28,0))</f>
        <v>32</v>
      </c>
      <c r="R1040" s="2">
        <f>INDEX(Tables!$D$4:$D$28,MATCH($P1040,Tables!$B$4:$B$28,0))</f>
        <v>4</v>
      </c>
      <c r="S1040" s="2">
        <f>$S1039+$R1039+INDEX(Tables!$N$5:$Q$8,MATCH(MOD($S1039+$R1039,4),Tables!$M$5:$M$8,0),MATCH($R1040,Tables!$N$4:$Q$4,0))</f>
        <v>3724</v>
      </c>
      <c r="T1040" s="2" t="str">
        <f t="shared" si="249"/>
        <v>0E8C</v>
      </c>
      <c r="U1040" s="2">
        <f t="shared" si="240"/>
        <v>931</v>
      </c>
      <c r="V1040" s="2" t="str">
        <f t="shared" si="250"/>
        <v>3A3</v>
      </c>
      <c r="W1040" s="2" t="str">
        <f t="shared" si="251"/>
        <v/>
      </c>
      <c r="X1040" s="2" t="str">
        <f t="shared" si="237"/>
        <v/>
      </c>
      <c r="Y1040" s="2" t="str">
        <f t="shared" si="238"/>
        <v/>
      </c>
      <c r="Z1040" s="2" t="str">
        <f t="shared" si="239"/>
        <v>X</v>
      </c>
      <c r="AA1040" s="2" t="str">
        <f t="shared" si="241"/>
        <v/>
      </c>
      <c r="AB1040" s="2" t="str">
        <f t="shared" si="242"/>
        <v/>
      </c>
      <c r="AC1040" s="2" t="str">
        <f t="shared" si="243"/>
        <v/>
      </c>
      <c r="AD1040" s="2" t="str">
        <f t="shared" si="244"/>
        <v>(0)</v>
      </c>
      <c r="AE1040" s="2" t="str">
        <f t="shared" si="245"/>
        <v/>
      </c>
      <c r="AF1040" s="2" t="str">
        <f t="shared" si="246"/>
        <v/>
      </c>
      <c r="AG1040" s="2" t="str">
        <f t="shared" si="247"/>
        <v/>
      </c>
      <c r="AH1040" s="2" t="str">
        <f t="shared" si="248"/>
        <v/>
      </c>
    </row>
    <row r="1041" spans="2:34" x14ac:dyDescent="0.25">
      <c r="B1041" s="2" t="s">
        <v>1104</v>
      </c>
      <c r="D1041" s="2" t="s">
        <v>1</v>
      </c>
      <c r="E1041" s="2" t="s">
        <v>134</v>
      </c>
      <c r="F1041" s="2" t="s">
        <v>1108</v>
      </c>
      <c r="G1041" s="2" t="s">
        <v>1109</v>
      </c>
      <c r="H1041" s="2" t="s">
        <v>778</v>
      </c>
      <c r="I1041" s="2" t="s">
        <v>42</v>
      </c>
      <c r="J1041" s="2">
        <v>1</v>
      </c>
      <c r="K1041" s="2" t="s">
        <v>136</v>
      </c>
      <c r="L1041" s="2" t="s">
        <v>41</v>
      </c>
      <c r="M1041" s="2" t="s">
        <v>135</v>
      </c>
      <c r="N1041" s="2" t="s">
        <v>1107</v>
      </c>
      <c r="O1041" s="2" t="s">
        <v>779</v>
      </c>
      <c r="P1041" s="2" t="s">
        <v>5</v>
      </c>
      <c r="Q1041" s="2">
        <f>INDEX(Tables!$C$4:$C$28,MATCH($P1041,Tables!$B$4:$B$28,0))</f>
        <v>32</v>
      </c>
      <c r="R1041" s="2">
        <f>INDEX(Tables!$D$4:$D$28,MATCH($P1041,Tables!$B$4:$B$28,0))</f>
        <v>4</v>
      </c>
      <c r="S1041" s="2">
        <f>$S1040+$R1040+INDEX(Tables!$N$5:$Q$8,MATCH(MOD($S1040+$R1040,4),Tables!$M$5:$M$8,0),MATCH($R1041,Tables!$N$4:$Q$4,0))</f>
        <v>3728</v>
      </c>
      <c r="T1041" s="2" t="str">
        <f t="shared" si="249"/>
        <v>0E90</v>
      </c>
      <c r="U1041" s="2">
        <f t="shared" si="240"/>
        <v>932</v>
      </c>
      <c r="V1041" s="2" t="str">
        <f t="shared" si="250"/>
        <v>3A4</v>
      </c>
      <c r="W1041" s="2" t="str">
        <f t="shared" si="251"/>
        <v/>
      </c>
      <c r="X1041" s="2" t="str">
        <f t="shared" si="237"/>
        <v/>
      </c>
      <c r="Y1041" s="2" t="str">
        <f t="shared" si="238"/>
        <v/>
      </c>
      <c r="Z1041" s="2" t="str">
        <f t="shared" si="239"/>
        <v>X</v>
      </c>
      <c r="AA1041" s="2" t="str">
        <f t="shared" si="241"/>
        <v/>
      </c>
      <c r="AB1041" s="2" t="str">
        <f t="shared" si="242"/>
        <v/>
      </c>
      <c r="AC1041" s="2" t="str">
        <f t="shared" si="243"/>
        <v/>
      </c>
      <c r="AD1041" s="2" t="str">
        <f t="shared" si="244"/>
        <v>(0)</v>
      </c>
      <c r="AE1041" s="2" t="str">
        <f t="shared" si="245"/>
        <v/>
      </c>
      <c r="AF1041" s="2" t="str">
        <f t="shared" si="246"/>
        <v/>
      </c>
      <c r="AG1041" s="2" t="str">
        <f t="shared" si="247"/>
        <v/>
      </c>
      <c r="AH1041" s="2" t="str">
        <f t="shared" si="248"/>
        <v/>
      </c>
    </row>
    <row r="1042" spans="2:34" x14ac:dyDescent="0.25">
      <c r="B1042" s="2" t="s">
        <v>1104</v>
      </c>
      <c r="D1042" s="2" t="s">
        <v>1</v>
      </c>
      <c r="E1042" s="2" t="s">
        <v>134</v>
      </c>
      <c r="F1042" s="2" t="s">
        <v>1108</v>
      </c>
      <c r="G1042" s="2" t="s">
        <v>1109</v>
      </c>
      <c r="H1042" s="2" t="s">
        <v>780</v>
      </c>
      <c r="I1042" s="2" t="s">
        <v>42</v>
      </c>
      <c r="J1042" s="2">
        <v>1</v>
      </c>
      <c r="K1042" s="2" t="s">
        <v>82</v>
      </c>
      <c r="L1042" s="2" t="s">
        <v>41</v>
      </c>
      <c r="M1042" s="2" t="s">
        <v>135</v>
      </c>
      <c r="N1042" s="2" t="s">
        <v>1107</v>
      </c>
      <c r="O1042" s="2" t="s">
        <v>781</v>
      </c>
      <c r="P1042" s="2" t="s">
        <v>5</v>
      </c>
      <c r="Q1042" s="2">
        <f>INDEX(Tables!$C$4:$C$28,MATCH($P1042,Tables!$B$4:$B$28,0))</f>
        <v>32</v>
      </c>
      <c r="R1042" s="2">
        <f>INDEX(Tables!$D$4:$D$28,MATCH($P1042,Tables!$B$4:$B$28,0))</f>
        <v>4</v>
      </c>
      <c r="S1042" s="2">
        <f>$S1041+$R1041+INDEX(Tables!$N$5:$Q$8,MATCH(MOD($S1041+$R1041,4),Tables!$M$5:$M$8,0),MATCH($R1042,Tables!$N$4:$Q$4,0))</f>
        <v>3732</v>
      </c>
      <c r="T1042" s="2" t="str">
        <f t="shared" si="249"/>
        <v>0E94</v>
      </c>
      <c r="U1042" s="2">
        <f t="shared" si="240"/>
        <v>933</v>
      </c>
      <c r="V1042" s="2" t="str">
        <f t="shared" si="250"/>
        <v>3A5</v>
      </c>
      <c r="W1042" s="2" t="str">
        <f t="shared" si="251"/>
        <v/>
      </c>
      <c r="X1042" s="2" t="str">
        <f t="shared" si="237"/>
        <v/>
      </c>
      <c r="Y1042" s="2" t="str">
        <f t="shared" si="238"/>
        <v/>
      </c>
      <c r="Z1042" s="2" t="str">
        <f t="shared" si="239"/>
        <v>X</v>
      </c>
      <c r="AA1042" s="2" t="str">
        <f t="shared" si="241"/>
        <v/>
      </c>
      <c r="AB1042" s="2" t="str">
        <f t="shared" si="242"/>
        <v/>
      </c>
      <c r="AC1042" s="2" t="str">
        <f t="shared" si="243"/>
        <v/>
      </c>
      <c r="AD1042" s="2" t="str">
        <f t="shared" si="244"/>
        <v>(0)</v>
      </c>
      <c r="AE1042" s="2" t="str">
        <f t="shared" si="245"/>
        <v/>
      </c>
      <c r="AF1042" s="2" t="str">
        <f t="shared" si="246"/>
        <v/>
      </c>
      <c r="AG1042" s="2" t="str">
        <f t="shared" si="247"/>
        <v/>
      </c>
      <c r="AH1042" s="2" t="str">
        <f t="shared" si="248"/>
        <v/>
      </c>
    </row>
    <row r="1043" spans="2:34" x14ac:dyDescent="0.25">
      <c r="B1043" s="2" t="s">
        <v>1104</v>
      </c>
      <c r="D1043" s="2" t="s">
        <v>1</v>
      </c>
      <c r="E1043" s="2" t="s">
        <v>134</v>
      </c>
      <c r="F1043" s="2" t="s">
        <v>1108</v>
      </c>
      <c r="G1043" s="2" t="s">
        <v>1109</v>
      </c>
      <c r="H1043" s="2" t="s">
        <v>782</v>
      </c>
      <c r="I1043" s="2" t="s">
        <v>42</v>
      </c>
      <c r="J1043" s="2">
        <v>1</v>
      </c>
      <c r="K1043" s="2" t="s">
        <v>82</v>
      </c>
      <c r="L1043" s="2" t="s">
        <v>41</v>
      </c>
      <c r="M1043" s="2" t="s">
        <v>135</v>
      </c>
      <c r="N1043" s="2" t="s">
        <v>1107</v>
      </c>
      <c r="O1043" s="2" t="s">
        <v>783</v>
      </c>
      <c r="P1043" s="2" t="s">
        <v>5</v>
      </c>
      <c r="Q1043" s="2">
        <f>INDEX(Tables!$C$4:$C$28,MATCH($P1043,Tables!$B$4:$B$28,0))</f>
        <v>32</v>
      </c>
      <c r="R1043" s="2">
        <f>INDEX(Tables!$D$4:$D$28,MATCH($P1043,Tables!$B$4:$B$28,0))</f>
        <v>4</v>
      </c>
      <c r="S1043" s="2">
        <f>$S1042+$R1042+INDEX(Tables!$N$5:$Q$8,MATCH(MOD($S1042+$R1042,4),Tables!$M$5:$M$8,0),MATCH($R1043,Tables!$N$4:$Q$4,0))</f>
        <v>3736</v>
      </c>
      <c r="T1043" s="2" t="str">
        <f t="shared" si="249"/>
        <v>0E98</v>
      </c>
      <c r="U1043" s="2">
        <f t="shared" si="240"/>
        <v>934</v>
      </c>
      <c r="V1043" s="2" t="str">
        <f t="shared" si="250"/>
        <v>3A6</v>
      </c>
      <c r="W1043" s="2" t="str">
        <f t="shared" si="251"/>
        <v/>
      </c>
      <c r="X1043" s="2" t="str">
        <f t="shared" ref="X1043:X1106" si="252">IF(MOD($S1043,4)=2,"X",IF(AND(MOD($S1043,4)=1,$J1043&gt;8),"X",IF(AND(MOD($S1043,4)=0,$J1043&gt;16),"X","")))</f>
        <v/>
      </c>
      <c r="Y1043" s="2" t="str">
        <f t="shared" ref="Y1043:Y1106" si="253">IF(MOD($S1043,4)=1,"X",IF(AND(MOD($S1043,4)=0,$J1043&gt;8),"X",""))</f>
        <v/>
      </c>
      <c r="Z1043" s="2" t="str">
        <f t="shared" ref="Z1043:Z1106" si="254">IF(MOD($S1043,4)=0,"X","")</f>
        <v>X</v>
      </c>
      <c r="AA1043" s="2" t="str">
        <f t="shared" si="241"/>
        <v/>
      </c>
      <c r="AB1043" s="2" t="str">
        <f t="shared" si="242"/>
        <v/>
      </c>
      <c r="AC1043" s="2" t="str">
        <f t="shared" si="243"/>
        <v/>
      </c>
      <c r="AD1043" s="2" t="str">
        <f t="shared" si="244"/>
        <v>(0)</v>
      </c>
      <c r="AE1043" s="2" t="str">
        <f t="shared" si="245"/>
        <v/>
      </c>
      <c r="AF1043" s="2" t="str">
        <f t="shared" si="246"/>
        <v/>
      </c>
      <c r="AG1043" s="2" t="str">
        <f t="shared" si="247"/>
        <v/>
      </c>
      <c r="AH1043" s="2" t="str">
        <f t="shared" si="248"/>
        <v/>
      </c>
    </row>
    <row r="1044" spans="2:34" x14ac:dyDescent="0.25">
      <c r="B1044" s="2" t="s">
        <v>1104</v>
      </c>
      <c r="D1044" s="2" t="s">
        <v>1</v>
      </c>
      <c r="E1044" s="2" t="s">
        <v>134</v>
      </c>
      <c r="F1044" s="2" t="s">
        <v>1108</v>
      </c>
      <c r="G1044" s="2" t="s">
        <v>1109</v>
      </c>
      <c r="H1044" s="2" t="s">
        <v>784</v>
      </c>
      <c r="I1044" s="2" t="s">
        <v>42</v>
      </c>
      <c r="J1044" s="2">
        <v>1</v>
      </c>
      <c r="K1044" s="2" t="s">
        <v>82</v>
      </c>
      <c r="L1044" s="2" t="s">
        <v>41</v>
      </c>
      <c r="M1044" s="2" t="s">
        <v>135</v>
      </c>
      <c r="N1044" s="2" t="s">
        <v>1107</v>
      </c>
      <c r="O1044" s="2" t="s">
        <v>785</v>
      </c>
      <c r="P1044" s="2" t="s">
        <v>5</v>
      </c>
      <c r="Q1044" s="2">
        <f>INDEX(Tables!$C$4:$C$28,MATCH($P1044,Tables!$B$4:$B$28,0))</f>
        <v>32</v>
      </c>
      <c r="R1044" s="2">
        <f>INDEX(Tables!$D$4:$D$28,MATCH($P1044,Tables!$B$4:$B$28,0))</f>
        <v>4</v>
      </c>
      <c r="S1044" s="2">
        <f>$S1043+$R1043+INDEX(Tables!$N$5:$Q$8,MATCH(MOD($S1043+$R1043,4),Tables!$M$5:$M$8,0),MATCH($R1044,Tables!$N$4:$Q$4,0))</f>
        <v>3740</v>
      </c>
      <c r="T1044" s="2" t="str">
        <f t="shared" si="249"/>
        <v>0E9C</v>
      </c>
      <c r="U1044" s="2">
        <f t="shared" si="240"/>
        <v>935</v>
      </c>
      <c r="V1044" s="2" t="str">
        <f t="shared" si="250"/>
        <v>3A7</v>
      </c>
      <c r="W1044" s="2" t="str">
        <f t="shared" si="251"/>
        <v/>
      </c>
      <c r="X1044" s="2" t="str">
        <f t="shared" si="252"/>
        <v/>
      </c>
      <c r="Y1044" s="2" t="str">
        <f t="shared" si="253"/>
        <v/>
      </c>
      <c r="Z1044" s="2" t="str">
        <f t="shared" si="254"/>
        <v>X</v>
      </c>
      <c r="AA1044" s="2" t="str">
        <f t="shared" si="241"/>
        <v/>
      </c>
      <c r="AB1044" s="2" t="str">
        <f t="shared" si="242"/>
        <v/>
      </c>
      <c r="AC1044" s="2" t="str">
        <f t="shared" si="243"/>
        <v/>
      </c>
      <c r="AD1044" s="2" t="str">
        <f t="shared" si="244"/>
        <v>(0)</v>
      </c>
      <c r="AE1044" s="2" t="str">
        <f t="shared" si="245"/>
        <v/>
      </c>
      <c r="AF1044" s="2" t="str">
        <f t="shared" si="246"/>
        <v/>
      </c>
      <c r="AG1044" s="2" t="str">
        <f t="shared" si="247"/>
        <v/>
      </c>
      <c r="AH1044" s="2" t="str">
        <f t="shared" si="248"/>
        <v/>
      </c>
    </row>
    <row r="1045" spans="2:34" x14ac:dyDescent="0.25">
      <c r="B1045" s="2" t="s">
        <v>1104</v>
      </c>
      <c r="D1045" s="2" t="s">
        <v>1</v>
      </c>
      <c r="E1045" s="2" t="s">
        <v>134</v>
      </c>
      <c r="F1045" s="2" t="s">
        <v>1108</v>
      </c>
      <c r="G1045" s="2" t="s">
        <v>1109</v>
      </c>
      <c r="H1045" s="2" t="s">
        <v>786</v>
      </c>
      <c r="I1045" s="2" t="s">
        <v>42</v>
      </c>
      <c r="J1045" s="2">
        <v>1</v>
      </c>
      <c r="K1045" s="2" t="s">
        <v>82</v>
      </c>
      <c r="L1045" s="2" t="s">
        <v>41</v>
      </c>
      <c r="M1045" s="2" t="s">
        <v>135</v>
      </c>
      <c r="N1045" s="2" t="s">
        <v>1107</v>
      </c>
      <c r="O1045" s="2" t="s">
        <v>787</v>
      </c>
      <c r="P1045" s="2" t="s">
        <v>5</v>
      </c>
      <c r="Q1045" s="2">
        <f>INDEX(Tables!$C$4:$C$28,MATCH($P1045,Tables!$B$4:$B$28,0))</f>
        <v>32</v>
      </c>
      <c r="R1045" s="2">
        <f>INDEX(Tables!$D$4:$D$28,MATCH($P1045,Tables!$B$4:$B$28,0))</f>
        <v>4</v>
      </c>
      <c r="S1045" s="2">
        <f>$S1044+$R1044+INDEX(Tables!$N$5:$Q$8,MATCH(MOD($S1044+$R1044,4),Tables!$M$5:$M$8,0),MATCH($R1045,Tables!$N$4:$Q$4,0))</f>
        <v>3744</v>
      </c>
      <c r="T1045" s="2" t="str">
        <f t="shared" si="249"/>
        <v>0EA0</v>
      </c>
      <c r="U1045" s="2">
        <f t="shared" si="240"/>
        <v>936</v>
      </c>
      <c r="V1045" s="2" t="str">
        <f t="shared" si="250"/>
        <v>3A8</v>
      </c>
      <c r="W1045" s="2" t="str">
        <f t="shared" si="251"/>
        <v/>
      </c>
      <c r="X1045" s="2" t="str">
        <f t="shared" si="252"/>
        <v/>
      </c>
      <c r="Y1045" s="2" t="str">
        <f t="shared" si="253"/>
        <v/>
      </c>
      <c r="Z1045" s="2" t="str">
        <f t="shared" si="254"/>
        <v>X</v>
      </c>
      <c r="AA1045" s="2" t="str">
        <f t="shared" si="241"/>
        <v/>
      </c>
      <c r="AB1045" s="2" t="str">
        <f t="shared" si="242"/>
        <v/>
      </c>
      <c r="AC1045" s="2" t="str">
        <f t="shared" si="243"/>
        <v/>
      </c>
      <c r="AD1045" s="2" t="str">
        <f t="shared" si="244"/>
        <v>(0)</v>
      </c>
      <c r="AE1045" s="2" t="str">
        <f t="shared" si="245"/>
        <v/>
      </c>
      <c r="AF1045" s="2" t="str">
        <f t="shared" si="246"/>
        <v/>
      </c>
      <c r="AG1045" s="2" t="str">
        <f t="shared" si="247"/>
        <v/>
      </c>
      <c r="AH1045" s="2" t="str">
        <f t="shared" si="248"/>
        <v/>
      </c>
    </row>
    <row r="1046" spans="2:34" x14ac:dyDescent="0.25">
      <c r="B1046" s="2" t="s">
        <v>1104</v>
      </c>
      <c r="D1046" s="2" t="s">
        <v>1</v>
      </c>
      <c r="E1046" s="2" t="s">
        <v>134</v>
      </c>
      <c r="F1046" s="2" t="s">
        <v>1108</v>
      </c>
      <c r="G1046" s="2" t="s">
        <v>1109</v>
      </c>
      <c r="H1046" s="2" t="s">
        <v>788</v>
      </c>
      <c r="I1046" s="2" t="s">
        <v>42</v>
      </c>
      <c r="J1046" s="2">
        <v>1</v>
      </c>
      <c r="K1046" s="2" t="s">
        <v>82</v>
      </c>
      <c r="L1046" s="2" t="s">
        <v>41</v>
      </c>
      <c r="M1046" s="2" t="s">
        <v>135</v>
      </c>
      <c r="N1046" s="2" t="s">
        <v>1107</v>
      </c>
      <c r="O1046" s="2" t="s">
        <v>789</v>
      </c>
      <c r="P1046" s="2" t="s">
        <v>5</v>
      </c>
      <c r="Q1046" s="2">
        <f>INDEX(Tables!$C$4:$C$28,MATCH($P1046,Tables!$B$4:$B$28,0))</f>
        <v>32</v>
      </c>
      <c r="R1046" s="2">
        <f>INDEX(Tables!$D$4:$D$28,MATCH($P1046,Tables!$B$4:$B$28,0))</f>
        <v>4</v>
      </c>
      <c r="S1046" s="2">
        <f>$S1045+$R1045+INDEX(Tables!$N$5:$Q$8,MATCH(MOD($S1045+$R1045,4),Tables!$M$5:$M$8,0),MATCH($R1046,Tables!$N$4:$Q$4,0))</f>
        <v>3748</v>
      </c>
      <c r="T1046" s="2" t="str">
        <f t="shared" si="249"/>
        <v>0EA4</v>
      </c>
      <c r="U1046" s="2">
        <f t="shared" si="240"/>
        <v>937</v>
      </c>
      <c r="V1046" s="2" t="str">
        <f t="shared" si="250"/>
        <v>3A9</v>
      </c>
      <c r="W1046" s="2" t="str">
        <f t="shared" si="251"/>
        <v/>
      </c>
      <c r="X1046" s="2" t="str">
        <f t="shared" si="252"/>
        <v/>
      </c>
      <c r="Y1046" s="2" t="str">
        <f t="shared" si="253"/>
        <v/>
      </c>
      <c r="Z1046" s="2" t="str">
        <f t="shared" si="254"/>
        <v>X</v>
      </c>
      <c r="AA1046" s="2" t="str">
        <f t="shared" si="241"/>
        <v/>
      </c>
      <c r="AB1046" s="2" t="str">
        <f t="shared" si="242"/>
        <v/>
      </c>
      <c r="AC1046" s="2" t="str">
        <f t="shared" si="243"/>
        <v/>
      </c>
      <c r="AD1046" s="2" t="str">
        <f t="shared" si="244"/>
        <v>(0)</v>
      </c>
      <c r="AE1046" s="2" t="str">
        <f t="shared" si="245"/>
        <v/>
      </c>
      <c r="AF1046" s="2" t="str">
        <f t="shared" si="246"/>
        <v/>
      </c>
      <c r="AG1046" s="2" t="str">
        <f t="shared" si="247"/>
        <v/>
      </c>
      <c r="AH1046" s="2" t="str">
        <f t="shared" si="248"/>
        <v/>
      </c>
    </row>
    <row r="1047" spans="2:34" x14ac:dyDescent="0.25">
      <c r="B1047" s="2" t="s">
        <v>1104</v>
      </c>
      <c r="D1047" s="2" t="s">
        <v>1</v>
      </c>
      <c r="E1047" s="2" t="s">
        <v>134</v>
      </c>
      <c r="F1047" s="2" t="s">
        <v>1108</v>
      </c>
      <c r="G1047" s="2" t="s">
        <v>1109</v>
      </c>
      <c r="H1047" s="2" t="s">
        <v>790</v>
      </c>
      <c r="I1047" s="2" t="s">
        <v>42</v>
      </c>
      <c r="J1047" s="2">
        <v>1</v>
      </c>
      <c r="K1047" s="2" t="s">
        <v>82</v>
      </c>
      <c r="L1047" s="2" t="s">
        <v>41</v>
      </c>
      <c r="M1047" s="2" t="s">
        <v>135</v>
      </c>
      <c r="N1047" s="2" t="s">
        <v>1107</v>
      </c>
      <c r="O1047" s="2" t="s">
        <v>791</v>
      </c>
      <c r="P1047" s="2" t="s">
        <v>5</v>
      </c>
      <c r="Q1047" s="2">
        <f>INDEX(Tables!$C$4:$C$28,MATCH($P1047,Tables!$B$4:$B$28,0))</f>
        <v>32</v>
      </c>
      <c r="R1047" s="2">
        <f>INDEX(Tables!$D$4:$D$28,MATCH($P1047,Tables!$B$4:$B$28,0))</f>
        <v>4</v>
      </c>
      <c r="S1047" s="2">
        <f>$S1046+$R1046+INDEX(Tables!$N$5:$Q$8,MATCH(MOD($S1046+$R1046,4),Tables!$M$5:$M$8,0),MATCH($R1047,Tables!$N$4:$Q$4,0))</f>
        <v>3752</v>
      </c>
      <c r="T1047" s="2" t="str">
        <f t="shared" si="249"/>
        <v>0EA8</v>
      </c>
      <c r="U1047" s="2">
        <f t="shared" si="240"/>
        <v>938</v>
      </c>
      <c r="V1047" s="2" t="str">
        <f t="shared" si="250"/>
        <v>3AA</v>
      </c>
      <c r="W1047" s="2" t="str">
        <f t="shared" si="251"/>
        <v/>
      </c>
      <c r="X1047" s="2" t="str">
        <f t="shared" si="252"/>
        <v/>
      </c>
      <c r="Y1047" s="2" t="str">
        <f t="shared" si="253"/>
        <v/>
      </c>
      <c r="Z1047" s="2" t="str">
        <f t="shared" si="254"/>
        <v>X</v>
      </c>
      <c r="AA1047" s="2" t="str">
        <f t="shared" si="241"/>
        <v/>
      </c>
      <c r="AB1047" s="2" t="str">
        <f t="shared" si="242"/>
        <v/>
      </c>
      <c r="AC1047" s="2" t="str">
        <f t="shared" si="243"/>
        <v/>
      </c>
      <c r="AD1047" s="2" t="str">
        <f t="shared" si="244"/>
        <v>(0)</v>
      </c>
      <c r="AE1047" s="2" t="str">
        <f t="shared" si="245"/>
        <v/>
      </c>
      <c r="AF1047" s="2" t="str">
        <f t="shared" si="246"/>
        <v/>
      </c>
      <c r="AG1047" s="2" t="str">
        <f t="shared" si="247"/>
        <v/>
      </c>
      <c r="AH1047" s="2" t="str">
        <f t="shared" si="248"/>
        <v/>
      </c>
    </row>
    <row r="1048" spans="2:34" x14ac:dyDescent="0.25">
      <c r="B1048" s="2" t="s">
        <v>1104</v>
      </c>
      <c r="D1048" s="2" t="s">
        <v>1</v>
      </c>
      <c r="E1048" s="2" t="s">
        <v>134</v>
      </c>
      <c r="F1048" s="2" t="s">
        <v>1108</v>
      </c>
      <c r="G1048" s="2" t="s">
        <v>1109</v>
      </c>
      <c r="H1048" s="2" t="s">
        <v>792</v>
      </c>
      <c r="I1048" s="2" t="s">
        <v>42</v>
      </c>
      <c r="J1048" s="2">
        <v>1</v>
      </c>
      <c r="K1048" s="2" t="s">
        <v>82</v>
      </c>
      <c r="L1048" s="2" t="s">
        <v>41</v>
      </c>
      <c r="M1048" s="2" t="s">
        <v>135</v>
      </c>
      <c r="N1048" s="2" t="s">
        <v>1107</v>
      </c>
      <c r="O1048" s="2" t="s">
        <v>793</v>
      </c>
      <c r="P1048" s="2" t="s">
        <v>5</v>
      </c>
      <c r="Q1048" s="2">
        <f>INDEX(Tables!$C$4:$C$28,MATCH($P1048,Tables!$B$4:$B$28,0))</f>
        <v>32</v>
      </c>
      <c r="R1048" s="2">
        <f>INDEX(Tables!$D$4:$D$28,MATCH($P1048,Tables!$B$4:$B$28,0))</f>
        <v>4</v>
      </c>
      <c r="S1048" s="2">
        <f>$S1047+$R1047+INDEX(Tables!$N$5:$Q$8,MATCH(MOD($S1047+$R1047,4),Tables!$M$5:$M$8,0),MATCH($R1048,Tables!$N$4:$Q$4,0))</f>
        <v>3756</v>
      </c>
      <c r="T1048" s="2" t="str">
        <f t="shared" si="249"/>
        <v>0EAC</v>
      </c>
      <c r="U1048" s="2">
        <f t="shared" si="240"/>
        <v>939</v>
      </c>
      <c r="V1048" s="2" t="str">
        <f t="shared" si="250"/>
        <v>3AB</v>
      </c>
      <c r="W1048" s="2" t="str">
        <f t="shared" si="251"/>
        <v/>
      </c>
      <c r="X1048" s="2" t="str">
        <f t="shared" si="252"/>
        <v/>
      </c>
      <c r="Y1048" s="2" t="str">
        <f t="shared" si="253"/>
        <v/>
      </c>
      <c r="Z1048" s="2" t="str">
        <f t="shared" si="254"/>
        <v>X</v>
      </c>
      <c r="AA1048" s="2" t="str">
        <f t="shared" si="241"/>
        <v/>
      </c>
      <c r="AB1048" s="2" t="str">
        <f t="shared" si="242"/>
        <v/>
      </c>
      <c r="AC1048" s="2" t="str">
        <f t="shared" si="243"/>
        <v/>
      </c>
      <c r="AD1048" s="2" t="str">
        <f t="shared" si="244"/>
        <v>(0)</v>
      </c>
      <c r="AE1048" s="2" t="str">
        <f t="shared" si="245"/>
        <v/>
      </c>
      <c r="AF1048" s="2" t="str">
        <f t="shared" si="246"/>
        <v/>
      </c>
      <c r="AG1048" s="2" t="str">
        <f t="shared" si="247"/>
        <v/>
      </c>
      <c r="AH1048" s="2" t="str">
        <f t="shared" si="248"/>
        <v/>
      </c>
    </row>
    <row r="1049" spans="2:34" x14ac:dyDescent="0.25">
      <c r="B1049" s="2" t="s">
        <v>1104</v>
      </c>
      <c r="D1049" s="2" t="s">
        <v>1</v>
      </c>
      <c r="E1049" s="2" t="s">
        <v>134</v>
      </c>
      <c r="F1049" s="2" t="s">
        <v>1108</v>
      </c>
      <c r="G1049" s="2" t="s">
        <v>1109</v>
      </c>
      <c r="H1049" s="2" t="s">
        <v>794</v>
      </c>
      <c r="I1049" s="2" t="s">
        <v>42</v>
      </c>
      <c r="J1049" s="2">
        <v>1</v>
      </c>
      <c r="K1049" s="2" t="s">
        <v>82</v>
      </c>
      <c r="L1049" s="2" t="s">
        <v>41</v>
      </c>
      <c r="M1049" s="2" t="s">
        <v>135</v>
      </c>
      <c r="N1049" s="2" t="s">
        <v>1107</v>
      </c>
      <c r="O1049" s="2" t="s">
        <v>795</v>
      </c>
      <c r="P1049" s="2" t="s">
        <v>5</v>
      </c>
      <c r="Q1049" s="2">
        <f>INDEX(Tables!$C$4:$C$28,MATCH($P1049,Tables!$B$4:$B$28,0))</f>
        <v>32</v>
      </c>
      <c r="R1049" s="2">
        <f>INDEX(Tables!$D$4:$D$28,MATCH($P1049,Tables!$B$4:$B$28,0))</f>
        <v>4</v>
      </c>
      <c r="S1049" s="2">
        <f>$S1048+$R1048+INDEX(Tables!$N$5:$Q$8,MATCH(MOD($S1048+$R1048,4),Tables!$M$5:$M$8,0),MATCH($R1049,Tables!$N$4:$Q$4,0))</f>
        <v>3760</v>
      </c>
      <c r="T1049" s="2" t="str">
        <f t="shared" si="249"/>
        <v>0EB0</v>
      </c>
      <c r="U1049" s="2">
        <f t="shared" si="240"/>
        <v>940</v>
      </c>
      <c r="V1049" s="2" t="str">
        <f t="shared" si="250"/>
        <v>3AC</v>
      </c>
      <c r="W1049" s="2" t="str">
        <f t="shared" si="251"/>
        <v/>
      </c>
      <c r="X1049" s="2" t="str">
        <f t="shared" si="252"/>
        <v/>
      </c>
      <c r="Y1049" s="2" t="str">
        <f t="shared" si="253"/>
        <v/>
      </c>
      <c r="Z1049" s="2" t="str">
        <f t="shared" si="254"/>
        <v>X</v>
      </c>
      <c r="AA1049" s="2" t="str">
        <f t="shared" si="241"/>
        <v/>
      </c>
      <c r="AB1049" s="2" t="str">
        <f t="shared" si="242"/>
        <v/>
      </c>
      <c r="AC1049" s="2" t="str">
        <f t="shared" si="243"/>
        <v/>
      </c>
      <c r="AD1049" s="2" t="str">
        <f t="shared" si="244"/>
        <v>(0)</v>
      </c>
      <c r="AE1049" s="2" t="str">
        <f t="shared" si="245"/>
        <v/>
      </c>
      <c r="AF1049" s="2" t="str">
        <f t="shared" si="246"/>
        <v/>
      </c>
      <c r="AG1049" s="2" t="str">
        <f t="shared" si="247"/>
        <v/>
      </c>
      <c r="AH1049" s="2" t="str">
        <f t="shared" si="248"/>
        <v/>
      </c>
    </row>
    <row r="1050" spans="2:34" x14ac:dyDescent="0.25">
      <c r="B1050" s="2" t="s">
        <v>1104</v>
      </c>
      <c r="D1050" s="2" t="s">
        <v>1</v>
      </c>
      <c r="E1050" s="2" t="s">
        <v>134</v>
      </c>
      <c r="F1050" s="2" t="s">
        <v>1108</v>
      </c>
      <c r="G1050" s="2" t="s">
        <v>1109</v>
      </c>
      <c r="H1050" s="2" t="s">
        <v>796</v>
      </c>
      <c r="I1050" s="2" t="s">
        <v>42</v>
      </c>
      <c r="J1050" s="2">
        <v>1</v>
      </c>
      <c r="K1050" s="2" t="s">
        <v>82</v>
      </c>
      <c r="L1050" s="2" t="s">
        <v>41</v>
      </c>
      <c r="M1050" s="2" t="s">
        <v>135</v>
      </c>
      <c r="N1050" s="2" t="s">
        <v>1107</v>
      </c>
      <c r="O1050" s="2" t="s">
        <v>797</v>
      </c>
      <c r="P1050" s="2" t="s">
        <v>5</v>
      </c>
      <c r="Q1050" s="2">
        <f>INDEX(Tables!$C$4:$C$28,MATCH($P1050,Tables!$B$4:$B$28,0))</f>
        <v>32</v>
      </c>
      <c r="R1050" s="2">
        <f>INDEX(Tables!$D$4:$D$28,MATCH($P1050,Tables!$B$4:$B$28,0))</f>
        <v>4</v>
      </c>
      <c r="S1050" s="2">
        <f>$S1049+$R1049+INDEX(Tables!$N$5:$Q$8,MATCH(MOD($S1049+$R1049,4),Tables!$M$5:$M$8,0),MATCH($R1050,Tables!$N$4:$Q$4,0))</f>
        <v>3764</v>
      </c>
      <c r="T1050" s="2" t="str">
        <f t="shared" si="249"/>
        <v>0EB4</v>
      </c>
      <c r="U1050" s="2">
        <f t="shared" si="240"/>
        <v>941</v>
      </c>
      <c r="V1050" s="2" t="str">
        <f t="shared" si="250"/>
        <v>3AD</v>
      </c>
      <c r="W1050" s="2" t="str">
        <f t="shared" si="251"/>
        <v/>
      </c>
      <c r="X1050" s="2" t="str">
        <f t="shared" si="252"/>
        <v/>
      </c>
      <c r="Y1050" s="2" t="str">
        <f t="shared" si="253"/>
        <v/>
      </c>
      <c r="Z1050" s="2" t="str">
        <f t="shared" si="254"/>
        <v>X</v>
      </c>
      <c r="AA1050" s="2" t="str">
        <f t="shared" si="241"/>
        <v/>
      </c>
      <c r="AB1050" s="2" t="str">
        <f t="shared" si="242"/>
        <v/>
      </c>
      <c r="AC1050" s="2" t="str">
        <f t="shared" si="243"/>
        <v/>
      </c>
      <c r="AD1050" s="2" t="str">
        <f t="shared" si="244"/>
        <v>(0)</v>
      </c>
      <c r="AE1050" s="2" t="str">
        <f t="shared" si="245"/>
        <v/>
      </c>
      <c r="AF1050" s="2" t="str">
        <f t="shared" si="246"/>
        <v/>
      </c>
      <c r="AG1050" s="2" t="str">
        <f t="shared" si="247"/>
        <v/>
      </c>
      <c r="AH1050" s="2" t="str">
        <f t="shared" si="248"/>
        <v/>
      </c>
    </row>
    <row r="1051" spans="2:34" x14ac:dyDescent="0.25">
      <c r="B1051" s="2" t="s">
        <v>1104</v>
      </c>
      <c r="D1051" s="2" t="s">
        <v>1</v>
      </c>
      <c r="E1051" s="2" t="s">
        <v>134</v>
      </c>
      <c r="F1051" s="2" t="s">
        <v>1108</v>
      </c>
      <c r="G1051" s="2" t="s">
        <v>1109</v>
      </c>
      <c r="H1051" s="2" t="s">
        <v>798</v>
      </c>
      <c r="I1051" s="2" t="s">
        <v>42</v>
      </c>
      <c r="J1051" s="2">
        <v>1</v>
      </c>
      <c r="K1051" s="2" t="s">
        <v>82</v>
      </c>
      <c r="L1051" s="2" t="s">
        <v>41</v>
      </c>
      <c r="M1051" s="2" t="s">
        <v>135</v>
      </c>
      <c r="N1051" s="2" t="s">
        <v>1107</v>
      </c>
      <c r="O1051" s="2" t="s">
        <v>799</v>
      </c>
      <c r="P1051" s="2" t="s">
        <v>5</v>
      </c>
      <c r="Q1051" s="2">
        <f>INDEX(Tables!$C$4:$C$28,MATCH($P1051,Tables!$B$4:$B$28,0))</f>
        <v>32</v>
      </c>
      <c r="R1051" s="2">
        <f>INDEX(Tables!$D$4:$D$28,MATCH($P1051,Tables!$B$4:$B$28,0))</f>
        <v>4</v>
      </c>
      <c r="S1051" s="2">
        <f>$S1050+$R1050+INDEX(Tables!$N$5:$Q$8,MATCH(MOD($S1050+$R1050,4),Tables!$M$5:$M$8,0),MATCH($R1051,Tables!$N$4:$Q$4,0))</f>
        <v>3768</v>
      </c>
      <c r="T1051" s="2" t="str">
        <f t="shared" si="249"/>
        <v>0EB8</v>
      </c>
      <c r="U1051" s="2">
        <f t="shared" si="240"/>
        <v>942</v>
      </c>
      <c r="V1051" s="2" t="str">
        <f t="shared" si="250"/>
        <v>3AE</v>
      </c>
      <c r="W1051" s="2" t="str">
        <f t="shared" si="251"/>
        <v/>
      </c>
      <c r="X1051" s="2" t="str">
        <f t="shared" si="252"/>
        <v/>
      </c>
      <c r="Y1051" s="2" t="str">
        <f t="shared" si="253"/>
        <v/>
      </c>
      <c r="Z1051" s="2" t="str">
        <f t="shared" si="254"/>
        <v>X</v>
      </c>
      <c r="AA1051" s="2" t="str">
        <f t="shared" si="241"/>
        <v/>
      </c>
      <c r="AB1051" s="2" t="str">
        <f t="shared" si="242"/>
        <v/>
      </c>
      <c r="AC1051" s="2" t="str">
        <f t="shared" si="243"/>
        <v/>
      </c>
      <c r="AD1051" s="2" t="str">
        <f t="shared" si="244"/>
        <v>(0)</v>
      </c>
      <c r="AE1051" s="2" t="str">
        <f t="shared" si="245"/>
        <v/>
      </c>
      <c r="AF1051" s="2" t="str">
        <f t="shared" si="246"/>
        <v/>
      </c>
      <c r="AG1051" s="2" t="str">
        <f t="shared" si="247"/>
        <v/>
      </c>
      <c r="AH1051" s="2" t="str">
        <f t="shared" si="248"/>
        <v/>
      </c>
    </row>
    <row r="1052" spans="2:34" x14ac:dyDescent="0.25">
      <c r="B1052" s="2" t="s">
        <v>1104</v>
      </c>
      <c r="D1052" s="2" t="s">
        <v>1</v>
      </c>
      <c r="E1052" s="2" t="s">
        <v>134</v>
      </c>
      <c r="F1052" s="2" t="s">
        <v>1108</v>
      </c>
      <c r="G1052" s="2" t="s">
        <v>1109</v>
      </c>
      <c r="H1052" s="2" t="s">
        <v>800</v>
      </c>
      <c r="I1052" s="2" t="s">
        <v>42</v>
      </c>
      <c r="J1052" s="2">
        <v>1</v>
      </c>
      <c r="K1052" s="2" t="s">
        <v>82</v>
      </c>
      <c r="L1052" s="2" t="s">
        <v>41</v>
      </c>
      <c r="M1052" s="2" t="s">
        <v>135</v>
      </c>
      <c r="N1052" s="2" t="s">
        <v>1107</v>
      </c>
      <c r="O1052" s="2" t="s">
        <v>801</v>
      </c>
      <c r="P1052" s="2" t="s">
        <v>5</v>
      </c>
      <c r="Q1052" s="2">
        <f>INDEX(Tables!$C$4:$C$28,MATCH($P1052,Tables!$B$4:$B$28,0))</f>
        <v>32</v>
      </c>
      <c r="R1052" s="2">
        <f>INDEX(Tables!$D$4:$D$28,MATCH($P1052,Tables!$B$4:$B$28,0))</f>
        <v>4</v>
      </c>
      <c r="S1052" s="2">
        <f>$S1051+$R1051+INDEX(Tables!$N$5:$Q$8,MATCH(MOD($S1051+$R1051,4),Tables!$M$5:$M$8,0),MATCH($R1052,Tables!$N$4:$Q$4,0))</f>
        <v>3772</v>
      </c>
      <c r="T1052" s="2" t="str">
        <f t="shared" si="249"/>
        <v>0EBC</v>
      </c>
      <c r="U1052" s="2">
        <f t="shared" si="240"/>
        <v>943</v>
      </c>
      <c r="V1052" s="2" t="str">
        <f t="shared" si="250"/>
        <v>3AF</v>
      </c>
      <c r="W1052" s="2" t="str">
        <f t="shared" si="251"/>
        <v/>
      </c>
      <c r="X1052" s="2" t="str">
        <f t="shared" si="252"/>
        <v/>
      </c>
      <c r="Y1052" s="2" t="str">
        <f t="shared" si="253"/>
        <v/>
      </c>
      <c r="Z1052" s="2" t="str">
        <f t="shared" si="254"/>
        <v>X</v>
      </c>
      <c r="AA1052" s="2" t="str">
        <f t="shared" si="241"/>
        <v/>
      </c>
      <c r="AB1052" s="2" t="str">
        <f t="shared" si="242"/>
        <v/>
      </c>
      <c r="AC1052" s="2" t="str">
        <f t="shared" si="243"/>
        <v/>
      </c>
      <c r="AD1052" s="2" t="str">
        <f t="shared" si="244"/>
        <v>(0)</v>
      </c>
      <c r="AE1052" s="2" t="str">
        <f t="shared" si="245"/>
        <v/>
      </c>
      <c r="AF1052" s="2" t="str">
        <f t="shared" si="246"/>
        <v/>
      </c>
      <c r="AG1052" s="2" t="str">
        <f t="shared" si="247"/>
        <v/>
      </c>
      <c r="AH1052" s="2" t="str">
        <f t="shared" si="248"/>
        <v/>
      </c>
    </row>
    <row r="1053" spans="2:34" x14ac:dyDescent="0.25">
      <c r="B1053" s="2" t="s">
        <v>1104</v>
      </c>
      <c r="D1053" s="2" t="s">
        <v>1</v>
      </c>
      <c r="E1053" s="2" t="s">
        <v>134</v>
      </c>
      <c r="F1053" s="2" t="s">
        <v>1108</v>
      </c>
      <c r="G1053" s="2" t="s">
        <v>1109</v>
      </c>
      <c r="H1053" s="2" t="s">
        <v>802</v>
      </c>
      <c r="I1053" s="2" t="s">
        <v>42</v>
      </c>
      <c r="J1053" s="2">
        <v>1</v>
      </c>
      <c r="K1053" s="2" t="s">
        <v>82</v>
      </c>
      <c r="L1053" s="2" t="s">
        <v>41</v>
      </c>
      <c r="M1053" s="2" t="s">
        <v>135</v>
      </c>
      <c r="N1053" s="2" t="s">
        <v>1107</v>
      </c>
      <c r="O1053" s="2" t="s">
        <v>803</v>
      </c>
      <c r="P1053" s="2" t="s">
        <v>5</v>
      </c>
      <c r="Q1053" s="2">
        <f>INDEX(Tables!$C$4:$C$28,MATCH($P1053,Tables!$B$4:$B$28,0))</f>
        <v>32</v>
      </c>
      <c r="R1053" s="2">
        <f>INDEX(Tables!$D$4:$D$28,MATCH($P1053,Tables!$B$4:$B$28,0))</f>
        <v>4</v>
      </c>
      <c r="S1053" s="2">
        <f>$S1052+$R1052+INDEX(Tables!$N$5:$Q$8,MATCH(MOD($S1052+$R1052,4),Tables!$M$5:$M$8,0),MATCH($R1053,Tables!$N$4:$Q$4,0))</f>
        <v>3776</v>
      </c>
      <c r="T1053" s="2" t="str">
        <f t="shared" si="249"/>
        <v>0EC0</v>
      </c>
      <c r="U1053" s="2">
        <f t="shared" si="240"/>
        <v>944</v>
      </c>
      <c r="V1053" s="2" t="str">
        <f t="shared" si="250"/>
        <v>3B0</v>
      </c>
      <c r="W1053" s="2" t="str">
        <f t="shared" si="251"/>
        <v/>
      </c>
      <c r="X1053" s="2" t="str">
        <f t="shared" si="252"/>
        <v/>
      </c>
      <c r="Y1053" s="2" t="str">
        <f t="shared" si="253"/>
        <v/>
      </c>
      <c r="Z1053" s="2" t="str">
        <f t="shared" si="254"/>
        <v>X</v>
      </c>
      <c r="AA1053" s="2" t="str">
        <f t="shared" si="241"/>
        <v/>
      </c>
      <c r="AB1053" s="2" t="str">
        <f t="shared" si="242"/>
        <v/>
      </c>
      <c r="AC1053" s="2" t="str">
        <f t="shared" si="243"/>
        <v/>
      </c>
      <c r="AD1053" s="2" t="str">
        <f t="shared" si="244"/>
        <v>(0)</v>
      </c>
      <c r="AE1053" s="2" t="str">
        <f t="shared" si="245"/>
        <v/>
      </c>
      <c r="AF1053" s="2" t="str">
        <f t="shared" si="246"/>
        <v/>
      </c>
      <c r="AG1053" s="2" t="str">
        <f t="shared" si="247"/>
        <v/>
      </c>
      <c r="AH1053" s="2" t="str">
        <f t="shared" si="248"/>
        <v/>
      </c>
    </row>
    <row r="1054" spans="2:34" x14ac:dyDescent="0.25">
      <c r="B1054" s="2" t="s">
        <v>1104</v>
      </c>
      <c r="D1054" s="2" t="s">
        <v>1</v>
      </c>
      <c r="E1054" s="2" t="s">
        <v>134</v>
      </c>
      <c r="F1054" s="2" t="s">
        <v>1108</v>
      </c>
      <c r="G1054" s="2" t="s">
        <v>1109</v>
      </c>
      <c r="H1054" s="2" t="s">
        <v>804</v>
      </c>
      <c r="I1054" s="2" t="s">
        <v>42</v>
      </c>
      <c r="J1054" s="2">
        <v>1</v>
      </c>
      <c r="K1054" s="2" t="s">
        <v>82</v>
      </c>
      <c r="L1054" s="2" t="s">
        <v>41</v>
      </c>
      <c r="M1054" s="2" t="s">
        <v>135</v>
      </c>
      <c r="N1054" s="2" t="s">
        <v>1107</v>
      </c>
      <c r="O1054" s="2" t="s">
        <v>805</v>
      </c>
      <c r="P1054" s="2" t="s">
        <v>5</v>
      </c>
      <c r="Q1054" s="2">
        <f>INDEX(Tables!$C$4:$C$28,MATCH($P1054,Tables!$B$4:$B$28,0))</f>
        <v>32</v>
      </c>
      <c r="R1054" s="2">
        <f>INDEX(Tables!$D$4:$D$28,MATCH($P1054,Tables!$B$4:$B$28,0))</f>
        <v>4</v>
      </c>
      <c r="S1054" s="2">
        <f>$S1053+$R1053+INDEX(Tables!$N$5:$Q$8,MATCH(MOD($S1053+$R1053,4),Tables!$M$5:$M$8,0),MATCH($R1054,Tables!$N$4:$Q$4,0))</f>
        <v>3780</v>
      </c>
      <c r="T1054" s="2" t="str">
        <f t="shared" si="249"/>
        <v>0EC4</v>
      </c>
      <c r="U1054" s="2">
        <f t="shared" si="240"/>
        <v>945</v>
      </c>
      <c r="V1054" s="2" t="str">
        <f t="shared" si="250"/>
        <v>3B1</v>
      </c>
      <c r="W1054" s="2" t="str">
        <f t="shared" si="251"/>
        <v/>
      </c>
      <c r="X1054" s="2" t="str">
        <f t="shared" si="252"/>
        <v/>
      </c>
      <c r="Y1054" s="2" t="str">
        <f t="shared" si="253"/>
        <v/>
      </c>
      <c r="Z1054" s="2" t="str">
        <f t="shared" si="254"/>
        <v>X</v>
      </c>
      <c r="AA1054" s="2" t="str">
        <f t="shared" si="241"/>
        <v/>
      </c>
      <c r="AB1054" s="2" t="str">
        <f t="shared" si="242"/>
        <v/>
      </c>
      <c r="AC1054" s="2" t="str">
        <f t="shared" si="243"/>
        <v/>
      </c>
      <c r="AD1054" s="2" t="str">
        <f t="shared" si="244"/>
        <v>(0)</v>
      </c>
      <c r="AE1054" s="2" t="str">
        <f t="shared" si="245"/>
        <v/>
      </c>
      <c r="AF1054" s="2" t="str">
        <f t="shared" si="246"/>
        <v/>
      </c>
      <c r="AG1054" s="2" t="str">
        <f t="shared" si="247"/>
        <v/>
      </c>
      <c r="AH1054" s="2" t="str">
        <f t="shared" si="248"/>
        <v/>
      </c>
    </row>
    <row r="1055" spans="2:34" x14ac:dyDescent="0.25">
      <c r="B1055" s="2" t="s">
        <v>1104</v>
      </c>
      <c r="D1055" s="2" t="s">
        <v>1</v>
      </c>
      <c r="E1055" s="2" t="s">
        <v>134</v>
      </c>
      <c r="F1055" s="2" t="s">
        <v>1108</v>
      </c>
      <c r="G1055" s="2" t="s">
        <v>1109</v>
      </c>
      <c r="H1055" s="2" t="s">
        <v>806</v>
      </c>
      <c r="I1055" s="2" t="s">
        <v>42</v>
      </c>
      <c r="J1055" s="2">
        <v>1</v>
      </c>
      <c r="K1055" s="2" t="s">
        <v>82</v>
      </c>
      <c r="L1055" s="2" t="s">
        <v>41</v>
      </c>
      <c r="M1055" s="2" t="s">
        <v>135</v>
      </c>
      <c r="N1055" s="2" t="s">
        <v>1107</v>
      </c>
      <c r="O1055" s="2" t="s">
        <v>807</v>
      </c>
      <c r="P1055" s="2" t="s">
        <v>5</v>
      </c>
      <c r="Q1055" s="2">
        <f>INDEX(Tables!$C$4:$C$28,MATCH($P1055,Tables!$B$4:$B$28,0))</f>
        <v>32</v>
      </c>
      <c r="R1055" s="2">
        <f>INDEX(Tables!$D$4:$D$28,MATCH($P1055,Tables!$B$4:$B$28,0))</f>
        <v>4</v>
      </c>
      <c r="S1055" s="2">
        <f>$S1054+$R1054+INDEX(Tables!$N$5:$Q$8,MATCH(MOD($S1054+$R1054,4),Tables!$M$5:$M$8,0),MATCH($R1055,Tables!$N$4:$Q$4,0))</f>
        <v>3784</v>
      </c>
      <c r="T1055" s="2" t="str">
        <f t="shared" si="249"/>
        <v>0EC8</v>
      </c>
      <c r="U1055" s="2">
        <f t="shared" si="240"/>
        <v>946</v>
      </c>
      <c r="V1055" s="2" t="str">
        <f t="shared" si="250"/>
        <v>3B2</v>
      </c>
      <c r="W1055" s="2" t="str">
        <f t="shared" si="251"/>
        <v/>
      </c>
      <c r="X1055" s="2" t="str">
        <f t="shared" si="252"/>
        <v/>
      </c>
      <c r="Y1055" s="2" t="str">
        <f t="shared" si="253"/>
        <v/>
      </c>
      <c r="Z1055" s="2" t="str">
        <f t="shared" si="254"/>
        <v>X</v>
      </c>
      <c r="AA1055" s="2" t="str">
        <f t="shared" si="241"/>
        <v/>
      </c>
      <c r="AB1055" s="2" t="str">
        <f t="shared" si="242"/>
        <v/>
      </c>
      <c r="AC1055" s="2" t="str">
        <f t="shared" si="243"/>
        <v/>
      </c>
      <c r="AD1055" s="2" t="str">
        <f t="shared" si="244"/>
        <v>(0)</v>
      </c>
      <c r="AE1055" s="2" t="str">
        <f t="shared" si="245"/>
        <v/>
      </c>
      <c r="AF1055" s="2" t="str">
        <f t="shared" si="246"/>
        <v/>
      </c>
      <c r="AG1055" s="2" t="str">
        <f t="shared" si="247"/>
        <v/>
      </c>
      <c r="AH1055" s="2" t="str">
        <f t="shared" si="248"/>
        <v/>
      </c>
    </row>
    <row r="1056" spans="2:34" x14ac:dyDescent="0.25">
      <c r="B1056" s="2" t="s">
        <v>1104</v>
      </c>
      <c r="D1056" s="2" t="s">
        <v>1</v>
      </c>
      <c r="E1056" s="2" t="s">
        <v>134</v>
      </c>
      <c r="F1056" s="2" t="s">
        <v>1108</v>
      </c>
      <c r="G1056" s="2" t="s">
        <v>1109</v>
      </c>
      <c r="H1056" s="2" t="s">
        <v>808</v>
      </c>
      <c r="I1056" s="2" t="s">
        <v>42</v>
      </c>
      <c r="J1056" s="2">
        <v>1</v>
      </c>
      <c r="K1056" s="2" t="s">
        <v>82</v>
      </c>
      <c r="L1056" s="2" t="s">
        <v>41</v>
      </c>
      <c r="M1056" s="2" t="s">
        <v>135</v>
      </c>
      <c r="N1056" s="2" t="s">
        <v>1107</v>
      </c>
      <c r="O1056" s="2" t="s">
        <v>809</v>
      </c>
      <c r="P1056" s="2" t="s">
        <v>5</v>
      </c>
      <c r="Q1056" s="2">
        <f>INDEX(Tables!$C$4:$C$28,MATCH($P1056,Tables!$B$4:$B$28,0))</f>
        <v>32</v>
      </c>
      <c r="R1056" s="2">
        <f>INDEX(Tables!$D$4:$D$28,MATCH($P1056,Tables!$B$4:$B$28,0))</f>
        <v>4</v>
      </c>
      <c r="S1056" s="2">
        <f>$S1055+$R1055+INDEX(Tables!$N$5:$Q$8,MATCH(MOD($S1055+$R1055,4),Tables!$M$5:$M$8,0),MATCH($R1056,Tables!$N$4:$Q$4,0))</f>
        <v>3788</v>
      </c>
      <c r="T1056" s="2" t="str">
        <f t="shared" si="249"/>
        <v>0ECC</v>
      </c>
      <c r="U1056" s="2">
        <f t="shared" si="240"/>
        <v>947</v>
      </c>
      <c r="V1056" s="2" t="str">
        <f t="shared" si="250"/>
        <v>3B3</v>
      </c>
      <c r="W1056" s="2" t="str">
        <f t="shared" si="251"/>
        <v/>
      </c>
      <c r="X1056" s="2" t="str">
        <f t="shared" si="252"/>
        <v/>
      </c>
      <c r="Y1056" s="2" t="str">
        <f t="shared" si="253"/>
        <v/>
      </c>
      <c r="Z1056" s="2" t="str">
        <f t="shared" si="254"/>
        <v>X</v>
      </c>
      <c r="AA1056" s="2" t="str">
        <f t="shared" si="241"/>
        <v/>
      </c>
      <c r="AB1056" s="2" t="str">
        <f t="shared" si="242"/>
        <v/>
      </c>
      <c r="AC1056" s="2" t="str">
        <f t="shared" si="243"/>
        <v/>
      </c>
      <c r="AD1056" s="2" t="str">
        <f t="shared" si="244"/>
        <v>(0)</v>
      </c>
      <c r="AE1056" s="2" t="str">
        <f t="shared" si="245"/>
        <v/>
      </c>
      <c r="AF1056" s="2" t="str">
        <f t="shared" si="246"/>
        <v/>
      </c>
      <c r="AG1056" s="2" t="str">
        <f t="shared" si="247"/>
        <v/>
      </c>
      <c r="AH1056" s="2" t="str">
        <f t="shared" si="248"/>
        <v/>
      </c>
    </row>
    <row r="1057" spans="2:34" x14ac:dyDescent="0.25">
      <c r="B1057" s="2" t="s">
        <v>1104</v>
      </c>
      <c r="D1057" s="2" t="s">
        <v>1</v>
      </c>
      <c r="E1057" s="2" t="s">
        <v>134</v>
      </c>
      <c r="F1057" s="2" t="s">
        <v>1108</v>
      </c>
      <c r="G1057" s="2" t="s">
        <v>1109</v>
      </c>
      <c r="H1057" s="2" t="s">
        <v>810</v>
      </c>
      <c r="I1057" s="2" t="s">
        <v>42</v>
      </c>
      <c r="J1057" s="2">
        <v>1</v>
      </c>
      <c r="K1057" s="2" t="s">
        <v>82</v>
      </c>
      <c r="L1057" s="2" t="s">
        <v>41</v>
      </c>
      <c r="M1057" s="2" t="s">
        <v>135</v>
      </c>
      <c r="N1057" s="2" t="s">
        <v>1107</v>
      </c>
      <c r="O1057" s="2" t="s">
        <v>811</v>
      </c>
      <c r="P1057" s="2" t="s">
        <v>5</v>
      </c>
      <c r="Q1057" s="2">
        <f>INDEX(Tables!$C$4:$C$28,MATCH($P1057,Tables!$B$4:$B$28,0))</f>
        <v>32</v>
      </c>
      <c r="R1057" s="2">
        <f>INDEX(Tables!$D$4:$D$28,MATCH($P1057,Tables!$B$4:$B$28,0))</f>
        <v>4</v>
      </c>
      <c r="S1057" s="2">
        <f>$S1056+$R1056+INDEX(Tables!$N$5:$Q$8,MATCH(MOD($S1056+$R1056,4),Tables!$M$5:$M$8,0),MATCH($R1057,Tables!$N$4:$Q$4,0))</f>
        <v>3792</v>
      </c>
      <c r="T1057" s="2" t="str">
        <f t="shared" si="249"/>
        <v>0ED0</v>
      </c>
      <c r="U1057" s="2">
        <f t="shared" si="240"/>
        <v>948</v>
      </c>
      <c r="V1057" s="2" t="str">
        <f t="shared" si="250"/>
        <v>3B4</v>
      </c>
      <c r="W1057" s="2" t="str">
        <f t="shared" si="251"/>
        <v/>
      </c>
      <c r="X1057" s="2" t="str">
        <f t="shared" si="252"/>
        <v/>
      </c>
      <c r="Y1057" s="2" t="str">
        <f t="shared" si="253"/>
        <v/>
      </c>
      <c r="Z1057" s="2" t="str">
        <f t="shared" si="254"/>
        <v>X</v>
      </c>
      <c r="AA1057" s="2" t="str">
        <f t="shared" si="241"/>
        <v/>
      </c>
      <c r="AB1057" s="2" t="str">
        <f t="shared" si="242"/>
        <v/>
      </c>
      <c r="AC1057" s="2" t="str">
        <f t="shared" si="243"/>
        <v/>
      </c>
      <c r="AD1057" s="2" t="str">
        <f t="shared" si="244"/>
        <v>(0)</v>
      </c>
      <c r="AE1057" s="2" t="str">
        <f t="shared" si="245"/>
        <v/>
      </c>
      <c r="AF1057" s="2" t="str">
        <f t="shared" si="246"/>
        <v/>
      </c>
      <c r="AG1057" s="2" t="str">
        <f t="shared" si="247"/>
        <v/>
      </c>
      <c r="AH1057" s="2" t="str">
        <f t="shared" si="248"/>
        <v/>
      </c>
    </row>
    <row r="1058" spans="2:34" x14ac:dyDescent="0.25">
      <c r="B1058" s="2" t="s">
        <v>1104</v>
      </c>
      <c r="D1058" s="2" t="s">
        <v>1</v>
      </c>
      <c r="E1058" s="2" t="s">
        <v>134</v>
      </c>
      <c r="F1058" s="2" t="s">
        <v>1108</v>
      </c>
      <c r="G1058" s="2" t="s">
        <v>1109</v>
      </c>
      <c r="H1058" s="2" t="s">
        <v>812</v>
      </c>
      <c r="I1058" s="2" t="s">
        <v>42</v>
      </c>
      <c r="J1058" s="2">
        <v>1</v>
      </c>
      <c r="K1058" s="2" t="s">
        <v>82</v>
      </c>
      <c r="L1058" s="2" t="s">
        <v>41</v>
      </c>
      <c r="M1058" s="2" t="s">
        <v>135</v>
      </c>
      <c r="N1058" s="2" t="s">
        <v>1107</v>
      </c>
      <c r="O1058" s="2" t="s">
        <v>813</v>
      </c>
      <c r="P1058" s="2" t="s">
        <v>5</v>
      </c>
      <c r="Q1058" s="2">
        <f>INDEX(Tables!$C$4:$C$28,MATCH($P1058,Tables!$B$4:$B$28,0))</f>
        <v>32</v>
      </c>
      <c r="R1058" s="2">
        <f>INDEX(Tables!$D$4:$D$28,MATCH($P1058,Tables!$B$4:$B$28,0))</f>
        <v>4</v>
      </c>
      <c r="S1058" s="2">
        <f>$S1057+$R1057+INDEX(Tables!$N$5:$Q$8,MATCH(MOD($S1057+$R1057,4),Tables!$M$5:$M$8,0),MATCH($R1058,Tables!$N$4:$Q$4,0))</f>
        <v>3796</v>
      </c>
      <c r="T1058" s="2" t="str">
        <f t="shared" si="249"/>
        <v>0ED4</v>
      </c>
      <c r="U1058" s="2">
        <f t="shared" si="240"/>
        <v>949</v>
      </c>
      <c r="V1058" s="2" t="str">
        <f t="shared" si="250"/>
        <v>3B5</v>
      </c>
      <c r="W1058" s="2" t="str">
        <f t="shared" si="251"/>
        <v/>
      </c>
      <c r="X1058" s="2" t="str">
        <f t="shared" si="252"/>
        <v/>
      </c>
      <c r="Y1058" s="2" t="str">
        <f t="shared" si="253"/>
        <v/>
      </c>
      <c r="Z1058" s="2" t="str">
        <f t="shared" si="254"/>
        <v>X</v>
      </c>
      <c r="AA1058" s="2" t="str">
        <f t="shared" si="241"/>
        <v/>
      </c>
      <c r="AB1058" s="2" t="str">
        <f t="shared" si="242"/>
        <v/>
      </c>
      <c r="AC1058" s="2" t="str">
        <f t="shared" si="243"/>
        <v/>
      </c>
      <c r="AD1058" s="2" t="str">
        <f t="shared" si="244"/>
        <v>(0)</v>
      </c>
      <c r="AE1058" s="2" t="str">
        <f t="shared" si="245"/>
        <v/>
      </c>
      <c r="AF1058" s="2" t="str">
        <f t="shared" si="246"/>
        <v/>
      </c>
      <c r="AG1058" s="2" t="str">
        <f t="shared" si="247"/>
        <v/>
      </c>
      <c r="AH1058" s="2" t="str">
        <f t="shared" si="248"/>
        <v/>
      </c>
    </row>
    <row r="1059" spans="2:34" x14ac:dyDescent="0.25">
      <c r="B1059" s="2" t="s">
        <v>1104</v>
      </c>
      <c r="D1059" s="2" t="s">
        <v>1</v>
      </c>
      <c r="E1059" s="2" t="s">
        <v>134</v>
      </c>
      <c r="F1059" s="2" t="s">
        <v>1108</v>
      </c>
      <c r="G1059" s="2" t="s">
        <v>1109</v>
      </c>
      <c r="H1059" s="2" t="s">
        <v>814</v>
      </c>
      <c r="I1059" s="2" t="s">
        <v>42</v>
      </c>
      <c r="J1059" s="2">
        <v>1</v>
      </c>
      <c r="K1059" s="2" t="s">
        <v>82</v>
      </c>
      <c r="L1059" s="2" t="s">
        <v>41</v>
      </c>
      <c r="M1059" s="2" t="s">
        <v>135</v>
      </c>
      <c r="N1059" s="2" t="s">
        <v>1107</v>
      </c>
      <c r="O1059" s="2" t="s">
        <v>815</v>
      </c>
      <c r="P1059" s="2" t="s">
        <v>5</v>
      </c>
      <c r="Q1059" s="2">
        <f>INDEX(Tables!$C$4:$C$28,MATCH($P1059,Tables!$B$4:$B$28,0))</f>
        <v>32</v>
      </c>
      <c r="R1059" s="2">
        <f>INDEX(Tables!$D$4:$D$28,MATCH($P1059,Tables!$B$4:$B$28,0))</f>
        <v>4</v>
      </c>
      <c r="S1059" s="2">
        <f>$S1058+$R1058+INDEX(Tables!$N$5:$Q$8,MATCH(MOD($S1058+$R1058,4),Tables!$M$5:$M$8,0),MATCH($R1059,Tables!$N$4:$Q$4,0))</f>
        <v>3800</v>
      </c>
      <c r="T1059" s="2" t="str">
        <f t="shared" si="249"/>
        <v>0ED8</v>
      </c>
      <c r="U1059" s="2">
        <f t="shared" si="240"/>
        <v>950</v>
      </c>
      <c r="V1059" s="2" t="str">
        <f t="shared" si="250"/>
        <v>3B6</v>
      </c>
      <c r="W1059" s="2" t="str">
        <f t="shared" si="251"/>
        <v/>
      </c>
      <c r="X1059" s="2" t="str">
        <f t="shared" si="252"/>
        <v/>
      </c>
      <c r="Y1059" s="2" t="str">
        <f t="shared" si="253"/>
        <v/>
      </c>
      <c r="Z1059" s="2" t="str">
        <f t="shared" si="254"/>
        <v>X</v>
      </c>
      <c r="AA1059" s="2" t="str">
        <f t="shared" si="241"/>
        <v/>
      </c>
      <c r="AB1059" s="2" t="str">
        <f t="shared" si="242"/>
        <v/>
      </c>
      <c r="AC1059" s="2" t="str">
        <f t="shared" si="243"/>
        <v/>
      </c>
      <c r="AD1059" s="2" t="str">
        <f t="shared" si="244"/>
        <v>(0)</v>
      </c>
      <c r="AE1059" s="2" t="str">
        <f t="shared" si="245"/>
        <v/>
      </c>
      <c r="AF1059" s="2" t="str">
        <f t="shared" si="246"/>
        <v/>
      </c>
      <c r="AG1059" s="2" t="str">
        <f t="shared" si="247"/>
        <v/>
      </c>
      <c r="AH1059" s="2" t="str">
        <f t="shared" si="248"/>
        <v/>
      </c>
    </row>
    <row r="1060" spans="2:34" x14ac:dyDescent="0.25">
      <c r="B1060" s="2" t="s">
        <v>1104</v>
      </c>
      <c r="D1060" s="2" t="s">
        <v>1</v>
      </c>
      <c r="E1060" s="2" t="s">
        <v>134</v>
      </c>
      <c r="F1060" s="2" t="s">
        <v>1108</v>
      </c>
      <c r="G1060" s="2" t="s">
        <v>1109</v>
      </c>
      <c r="H1060" s="2" t="s">
        <v>816</v>
      </c>
      <c r="I1060" s="2" t="s">
        <v>42</v>
      </c>
      <c r="J1060" s="2">
        <v>1</v>
      </c>
      <c r="K1060" s="2" t="s">
        <v>82</v>
      </c>
      <c r="L1060" s="2" t="s">
        <v>41</v>
      </c>
      <c r="M1060" s="2" t="s">
        <v>135</v>
      </c>
      <c r="N1060" s="2" t="s">
        <v>1107</v>
      </c>
      <c r="O1060" s="2" t="s">
        <v>817</v>
      </c>
      <c r="P1060" s="2" t="s">
        <v>5</v>
      </c>
      <c r="Q1060" s="2">
        <f>INDEX(Tables!$C$4:$C$28,MATCH($P1060,Tables!$B$4:$B$28,0))</f>
        <v>32</v>
      </c>
      <c r="R1060" s="2">
        <f>INDEX(Tables!$D$4:$D$28,MATCH($P1060,Tables!$B$4:$B$28,0))</f>
        <v>4</v>
      </c>
      <c r="S1060" s="2">
        <f>$S1059+$R1059+INDEX(Tables!$N$5:$Q$8,MATCH(MOD($S1059+$R1059,4),Tables!$M$5:$M$8,0),MATCH($R1060,Tables!$N$4:$Q$4,0))</f>
        <v>3804</v>
      </c>
      <c r="T1060" s="2" t="str">
        <f t="shared" si="249"/>
        <v>0EDC</v>
      </c>
      <c r="U1060" s="2">
        <f t="shared" si="240"/>
        <v>951</v>
      </c>
      <c r="V1060" s="2" t="str">
        <f t="shared" si="250"/>
        <v>3B7</v>
      </c>
      <c r="W1060" s="2" t="str">
        <f t="shared" si="251"/>
        <v/>
      </c>
      <c r="X1060" s="2" t="str">
        <f t="shared" si="252"/>
        <v/>
      </c>
      <c r="Y1060" s="2" t="str">
        <f t="shared" si="253"/>
        <v/>
      </c>
      <c r="Z1060" s="2" t="str">
        <f t="shared" si="254"/>
        <v>X</v>
      </c>
      <c r="AA1060" s="2" t="str">
        <f t="shared" si="241"/>
        <v/>
      </c>
      <c r="AB1060" s="2" t="str">
        <f t="shared" si="242"/>
        <v/>
      </c>
      <c r="AC1060" s="2" t="str">
        <f t="shared" si="243"/>
        <v/>
      </c>
      <c r="AD1060" s="2" t="str">
        <f t="shared" si="244"/>
        <v>(0)</v>
      </c>
      <c r="AE1060" s="2" t="str">
        <f t="shared" si="245"/>
        <v/>
      </c>
      <c r="AF1060" s="2" t="str">
        <f t="shared" si="246"/>
        <v/>
      </c>
      <c r="AG1060" s="2" t="str">
        <f t="shared" si="247"/>
        <v/>
      </c>
      <c r="AH1060" s="2" t="str">
        <f t="shared" si="248"/>
        <v/>
      </c>
    </row>
    <row r="1061" spans="2:34" x14ac:dyDescent="0.25">
      <c r="B1061" s="2" t="s">
        <v>1104</v>
      </c>
      <c r="D1061" s="2" t="s">
        <v>1</v>
      </c>
      <c r="E1061" s="2" t="s">
        <v>134</v>
      </c>
      <c r="F1061" s="2" t="s">
        <v>1108</v>
      </c>
      <c r="G1061" s="2" t="s">
        <v>1109</v>
      </c>
      <c r="H1061" s="2" t="s">
        <v>818</v>
      </c>
      <c r="I1061" s="2" t="s">
        <v>42</v>
      </c>
      <c r="J1061" s="2">
        <v>1</v>
      </c>
      <c r="K1061" s="2" t="s">
        <v>82</v>
      </c>
      <c r="L1061" s="2" t="s">
        <v>41</v>
      </c>
      <c r="M1061" s="2" t="s">
        <v>135</v>
      </c>
      <c r="N1061" s="2" t="s">
        <v>1107</v>
      </c>
      <c r="O1061" s="2" t="s">
        <v>819</v>
      </c>
      <c r="P1061" s="2" t="s">
        <v>5</v>
      </c>
      <c r="Q1061" s="2">
        <f>INDEX(Tables!$C$4:$C$28,MATCH($P1061,Tables!$B$4:$B$28,0))</f>
        <v>32</v>
      </c>
      <c r="R1061" s="2">
        <f>INDEX(Tables!$D$4:$D$28,MATCH($P1061,Tables!$B$4:$B$28,0))</f>
        <v>4</v>
      </c>
      <c r="S1061" s="2">
        <f>$S1060+$R1060+INDEX(Tables!$N$5:$Q$8,MATCH(MOD($S1060+$R1060,4),Tables!$M$5:$M$8,0),MATCH($R1061,Tables!$N$4:$Q$4,0))</f>
        <v>3808</v>
      </c>
      <c r="T1061" s="2" t="str">
        <f t="shared" si="249"/>
        <v>0EE0</v>
      </c>
      <c r="U1061" s="2">
        <f t="shared" si="240"/>
        <v>952</v>
      </c>
      <c r="V1061" s="2" t="str">
        <f t="shared" si="250"/>
        <v>3B8</v>
      </c>
      <c r="W1061" s="2" t="str">
        <f t="shared" si="251"/>
        <v/>
      </c>
      <c r="X1061" s="2" t="str">
        <f t="shared" si="252"/>
        <v/>
      </c>
      <c r="Y1061" s="2" t="str">
        <f t="shared" si="253"/>
        <v/>
      </c>
      <c r="Z1061" s="2" t="str">
        <f t="shared" si="254"/>
        <v>X</v>
      </c>
      <c r="AA1061" s="2" t="str">
        <f t="shared" si="241"/>
        <v/>
      </c>
      <c r="AB1061" s="2" t="str">
        <f t="shared" si="242"/>
        <v/>
      </c>
      <c r="AC1061" s="2" t="str">
        <f t="shared" si="243"/>
        <v/>
      </c>
      <c r="AD1061" s="2" t="str">
        <f t="shared" si="244"/>
        <v>(0)</v>
      </c>
      <c r="AE1061" s="2" t="str">
        <f t="shared" si="245"/>
        <v/>
      </c>
      <c r="AF1061" s="2" t="str">
        <f t="shared" si="246"/>
        <v/>
      </c>
      <c r="AG1061" s="2" t="str">
        <f t="shared" si="247"/>
        <v/>
      </c>
      <c r="AH1061" s="2" t="str">
        <f t="shared" si="248"/>
        <v/>
      </c>
    </row>
    <row r="1062" spans="2:34" x14ac:dyDescent="0.25">
      <c r="B1062" s="2" t="s">
        <v>1104</v>
      </c>
      <c r="D1062" s="2" t="s">
        <v>1</v>
      </c>
      <c r="E1062" s="2" t="s">
        <v>134</v>
      </c>
      <c r="F1062" s="2" t="s">
        <v>1108</v>
      </c>
      <c r="G1062" s="2" t="s">
        <v>1109</v>
      </c>
      <c r="H1062" s="2" t="s">
        <v>820</v>
      </c>
      <c r="I1062" s="2" t="s">
        <v>42</v>
      </c>
      <c r="J1062" s="2">
        <v>1</v>
      </c>
      <c r="K1062" s="2" t="s">
        <v>82</v>
      </c>
      <c r="L1062" s="2" t="s">
        <v>41</v>
      </c>
      <c r="M1062" s="2" t="s">
        <v>135</v>
      </c>
      <c r="N1062" s="2" t="s">
        <v>1107</v>
      </c>
      <c r="O1062" s="2" t="s">
        <v>821</v>
      </c>
      <c r="P1062" s="2" t="s">
        <v>5</v>
      </c>
      <c r="Q1062" s="2">
        <f>INDEX(Tables!$C$4:$C$28,MATCH($P1062,Tables!$B$4:$B$28,0))</f>
        <v>32</v>
      </c>
      <c r="R1062" s="2">
        <f>INDEX(Tables!$D$4:$D$28,MATCH($P1062,Tables!$B$4:$B$28,0))</f>
        <v>4</v>
      </c>
      <c r="S1062" s="2">
        <f>$S1061+$R1061+INDEX(Tables!$N$5:$Q$8,MATCH(MOD($S1061+$R1061,4),Tables!$M$5:$M$8,0),MATCH($R1062,Tables!$N$4:$Q$4,0))</f>
        <v>3812</v>
      </c>
      <c r="T1062" s="2" t="str">
        <f t="shared" si="249"/>
        <v>0EE4</v>
      </c>
      <c r="U1062" s="2">
        <f t="shared" si="240"/>
        <v>953</v>
      </c>
      <c r="V1062" s="2" t="str">
        <f t="shared" si="250"/>
        <v>3B9</v>
      </c>
      <c r="W1062" s="2" t="str">
        <f t="shared" si="251"/>
        <v/>
      </c>
      <c r="X1062" s="2" t="str">
        <f t="shared" si="252"/>
        <v/>
      </c>
      <c r="Y1062" s="2" t="str">
        <f t="shared" si="253"/>
        <v/>
      </c>
      <c r="Z1062" s="2" t="str">
        <f t="shared" si="254"/>
        <v>X</v>
      </c>
      <c r="AA1062" s="2" t="str">
        <f t="shared" si="241"/>
        <v/>
      </c>
      <c r="AB1062" s="2" t="str">
        <f t="shared" si="242"/>
        <v/>
      </c>
      <c r="AC1062" s="2" t="str">
        <f t="shared" si="243"/>
        <v/>
      </c>
      <c r="AD1062" s="2" t="str">
        <f t="shared" si="244"/>
        <v>(0)</v>
      </c>
      <c r="AE1062" s="2" t="str">
        <f t="shared" si="245"/>
        <v/>
      </c>
      <c r="AF1062" s="2" t="str">
        <f t="shared" si="246"/>
        <v/>
      </c>
      <c r="AG1062" s="2" t="str">
        <f t="shared" si="247"/>
        <v/>
      </c>
      <c r="AH1062" s="2" t="str">
        <f t="shared" si="248"/>
        <v/>
      </c>
    </row>
    <row r="1063" spans="2:34" x14ac:dyDescent="0.25">
      <c r="B1063" s="2" t="s">
        <v>1104</v>
      </c>
      <c r="D1063" s="2" t="s">
        <v>1</v>
      </c>
      <c r="E1063" s="2" t="s">
        <v>134</v>
      </c>
      <c r="F1063" s="2" t="s">
        <v>1110</v>
      </c>
      <c r="G1063" s="2" t="s">
        <v>1111</v>
      </c>
      <c r="H1063" s="2" t="s">
        <v>824</v>
      </c>
      <c r="I1063" s="2" t="s">
        <v>42</v>
      </c>
      <c r="J1063" s="2">
        <v>22</v>
      </c>
      <c r="K1063" s="2" t="s">
        <v>137</v>
      </c>
      <c r="L1063" s="2" t="s">
        <v>41</v>
      </c>
      <c r="M1063" s="2" t="s">
        <v>135</v>
      </c>
      <c r="N1063" s="2" t="s">
        <v>1107</v>
      </c>
      <c r="O1063" s="2" t="s">
        <v>825</v>
      </c>
      <c r="P1063" s="2" t="s">
        <v>49</v>
      </c>
      <c r="Q1063" s="2">
        <f>INDEX(Tables!$C$4:$C$28,MATCH($P1063,Tables!$B$4:$B$28,0))</f>
        <v>32</v>
      </c>
      <c r="R1063" s="2">
        <f>INDEX(Tables!$D$4:$D$28,MATCH($P1063,Tables!$B$4:$B$28,0))</f>
        <v>4</v>
      </c>
      <c r="S1063" s="2">
        <f>$S1062+$R1062+INDEX(Tables!$N$5:$Q$8,MATCH(MOD($S1062+$R1062,4),Tables!$M$5:$M$8,0),MATCH($R1063,Tables!$N$4:$Q$4,0))</f>
        <v>3816</v>
      </c>
      <c r="T1063" s="2" t="str">
        <f t="shared" si="249"/>
        <v>0EE8</v>
      </c>
      <c r="U1063" s="2">
        <f t="shared" si="240"/>
        <v>954</v>
      </c>
      <c r="V1063" s="2" t="str">
        <f t="shared" si="250"/>
        <v>3BA</v>
      </c>
      <c r="W1063" s="2" t="str">
        <f t="shared" si="251"/>
        <v/>
      </c>
      <c r="X1063" s="2" t="str">
        <f t="shared" si="252"/>
        <v>X</v>
      </c>
      <c r="Y1063" s="2" t="str">
        <f t="shared" si="253"/>
        <v>X</v>
      </c>
      <c r="Z1063" s="2" t="str">
        <f t="shared" si="254"/>
        <v>X</v>
      </c>
      <c r="AA1063" s="2" t="str">
        <f t="shared" si="241"/>
        <v/>
      </c>
      <c r="AB1063" s="2" t="str">
        <f t="shared" si="242"/>
        <v>(21 downto 16)</v>
      </c>
      <c r="AC1063" s="2" t="str">
        <f t="shared" si="243"/>
        <v>(15 downto 8)</v>
      </c>
      <c r="AD1063" s="2" t="str">
        <f t="shared" si="244"/>
        <v>(7 downto 0)</v>
      </c>
      <c r="AE1063" s="2" t="str">
        <f t="shared" si="245"/>
        <v/>
      </c>
      <c r="AF1063" s="2" t="str">
        <f t="shared" si="246"/>
        <v>(21 downto 16)</v>
      </c>
      <c r="AG1063" s="2" t="str">
        <f t="shared" si="247"/>
        <v>(15 downto 8)</v>
      </c>
      <c r="AH1063" s="2" t="str">
        <f t="shared" si="248"/>
        <v>(7 downto 0)</v>
      </c>
    </row>
    <row r="1064" spans="2:34" x14ac:dyDescent="0.25">
      <c r="B1064" s="2" t="s">
        <v>1104</v>
      </c>
      <c r="D1064" s="2" t="s">
        <v>1</v>
      </c>
      <c r="E1064" s="2" t="s">
        <v>134</v>
      </c>
      <c r="F1064" s="2" t="s">
        <v>1110</v>
      </c>
      <c r="G1064" s="2" t="s">
        <v>1111</v>
      </c>
      <c r="H1064" s="2" t="s">
        <v>826</v>
      </c>
      <c r="I1064" s="2" t="s">
        <v>42</v>
      </c>
      <c r="J1064" s="2">
        <v>7</v>
      </c>
      <c r="K1064" s="2" t="s">
        <v>137</v>
      </c>
      <c r="L1064" s="2" t="s">
        <v>41</v>
      </c>
      <c r="M1064" s="2" t="s">
        <v>135</v>
      </c>
      <c r="N1064" s="2" t="s">
        <v>1107</v>
      </c>
      <c r="O1064" s="2" t="s">
        <v>827</v>
      </c>
      <c r="P1064" s="2" t="s">
        <v>48</v>
      </c>
      <c r="Q1064" s="2">
        <f>INDEX(Tables!$C$4:$C$28,MATCH($P1064,Tables!$B$4:$B$28,0))</f>
        <v>8</v>
      </c>
      <c r="R1064" s="2">
        <f>INDEX(Tables!$D$4:$D$28,MATCH($P1064,Tables!$B$4:$B$28,0))</f>
        <v>1</v>
      </c>
      <c r="S1064" s="2">
        <f>$S1063+$R1063+INDEX(Tables!$N$5:$Q$8,MATCH(MOD($S1063+$R1063,4),Tables!$M$5:$M$8,0),MATCH($R1064,Tables!$N$4:$Q$4,0))</f>
        <v>3820</v>
      </c>
      <c r="T1064" s="2" t="str">
        <f t="shared" si="249"/>
        <v>0EEC</v>
      </c>
      <c r="U1064" s="2">
        <f t="shared" si="240"/>
        <v>955</v>
      </c>
      <c r="V1064" s="2" t="str">
        <f t="shared" si="250"/>
        <v>3BB</v>
      </c>
      <c r="W1064" s="2" t="str">
        <f t="shared" si="251"/>
        <v/>
      </c>
      <c r="X1064" s="2" t="str">
        <f t="shared" si="252"/>
        <v/>
      </c>
      <c r="Y1064" s="2" t="str">
        <f t="shared" si="253"/>
        <v/>
      </c>
      <c r="Z1064" s="2" t="str">
        <f t="shared" si="254"/>
        <v>X</v>
      </c>
      <c r="AA1064" s="2" t="str">
        <f t="shared" si="241"/>
        <v/>
      </c>
      <c r="AB1064" s="2" t="str">
        <f t="shared" si="242"/>
        <v/>
      </c>
      <c r="AC1064" s="2" t="str">
        <f t="shared" si="243"/>
        <v/>
      </c>
      <c r="AD1064" s="2" t="str">
        <f t="shared" si="244"/>
        <v>(6 downto 0)</v>
      </c>
      <c r="AE1064" s="2" t="str">
        <f t="shared" si="245"/>
        <v/>
      </c>
      <c r="AF1064" s="2" t="str">
        <f t="shared" si="246"/>
        <v/>
      </c>
      <c r="AG1064" s="2" t="str">
        <f t="shared" si="247"/>
        <v/>
      </c>
      <c r="AH1064" s="2" t="str">
        <f t="shared" si="248"/>
        <v/>
      </c>
    </row>
    <row r="1065" spans="2:34" x14ac:dyDescent="0.25">
      <c r="B1065" s="2" t="s">
        <v>1104</v>
      </c>
      <c r="D1065" s="2" t="s">
        <v>1</v>
      </c>
      <c r="E1065" s="2" t="s">
        <v>134</v>
      </c>
      <c r="F1065" s="2" t="s">
        <v>1110</v>
      </c>
      <c r="G1065" s="2" t="s">
        <v>1111</v>
      </c>
      <c r="H1065" s="2" t="s">
        <v>828</v>
      </c>
      <c r="I1065" s="2" t="s">
        <v>42</v>
      </c>
      <c r="J1065" s="2">
        <v>8</v>
      </c>
      <c r="K1065" s="2" t="s">
        <v>137</v>
      </c>
      <c r="L1065" s="2" t="s">
        <v>41</v>
      </c>
      <c r="M1065" s="2" t="s">
        <v>135</v>
      </c>
      <c r="N1065" s="2" t="s">
        <v>1107</v>
      </c>
      <c r="O1065" s="2" t="s">
        <v>829</v>
      </c>
      <c r="P1065" s="2" t="s">
        <v>48</v>
      </c>
      <c r="Q1065" s="2">
        <f>INDEX(Tables!$C$4:$C$28,MATCH($P1065,Tables!$B$4:$B$28,0))</f>
        <v>8</v>
      </c>
      <c r="R1065" s="2">
        <f>INDEX(Tables!$D$4:$D$28,MATCH($P1065,Tables!$B$4:$B$28,0))</f>
        <v>1</v>
      </c>
      <c r="S1065" s="2">
        <f>$S1064+$R1064+INDEX(Tables!$N$5:$Q$8,MATCH(MOD($S1064+$R1064,4),Tables!$M$5:$M$8,0),MATCH($R1065,Tables!$N$4:$Q$4,0))</f>
        <v>3821</v>
      </c>
      <c r="T1065" s="2" t="str">
        <f t="shared" si="249"/>
        <v>0EED</v>
      </c>
      <c r="U1065" s="2">
        <f t="shared" si="240"/>
        <v>955</v>
      </c>
      <c r="V1065" s="2" t="str">
        <f t="shared" si="250"/>
        <v>3BB</v>
      </c>
      <c r="W1065" s="2" t="str">
        <f t="shared" si="251"/>
        <v/>
      </c>
      <c r="X1065" s="2" t="str">
        <f t="shared" si="252"/>
        <v/>
      </c>
      <c r="Y1065" s="2" t="str">
        <f t="shared" si="253"/>
        <v>X</v>
      </c>
      <c r="Z1065" s="2" t="str">
        <f t="shared" si="254"/>
        <v/>
      </c>
      <c r="AA1065" s="2" t="str">
        <f t="shared" si="241"/>
        <v/>
      </c>
      <c r="AB1065" s="2" t="str">
        <f t="shared" si="242"/>
        <v/>
      </c>
      <c r="AC1065" s="2" t="str">
        <f t="shared" si="243"/>
        <v>(15 downto 8)</v>
      </c>
      <c r="AD1065" s="2" t="str">
        <f t="shared" si="244"/>
        <v/>
      </c>
      <c r="AE1065" s="2" t="str">
        <f t="shared" si="245"/>
        <v/>
      </c>
      <c r="AF1065" s="2" t="str">
        <f t="shared" si="246"/>
        <v/>
      </c>
      <c r="AG1065" s="2" t="str">
        <f t="shared" si="247"/>
        <v/>
      </c>
      <c r="AH1065" s="2" t="str">
        <f t="shared" si="248"/>
        <v/>
      </c>
    </row>
    <row r="1066" spans="2:34" x14ac:dyDescent="0.25">
      <c r="B1066" s="2" t="s">
        <v>1104</v>
      </c>
      <c r="D1066" s="2" t="s">
        <v>1</v>
      </c>
      <c r="E1066" s="2" t="s">
        <v>134</v>
      </c>
      <c r="F1066" s="2" t="s">
        <v>1110</v>
      </c>
      <c r="G1066" s="2" t="s">
        <v>1111</v>
      </c>
      <c r="H1066" s="2" t="s">
        <v>830</v>
      </c>
      <c r="I1066" s="2" t="s">
        <v>42</v>
      </c>
      <c r="J1066" s="2">
        <v>8</v>
      </c>
      <c r="K1066" s="2" t="s">
        <v>137</v>
      </c>
      <c r="L1066" s="2" t="s">
        <v>41</v>
      </c>
      <c r="M1066" s="2" t="s">
        <v>135</v>
      </c>
      <c r="N1066" s="2" t="s">
        <v>1107</v>
      </c>
      <c r="O1066" s="2" t="s">
        <v>831</v>
      </c>
      <c r="P1066" s="2" t="s">
        <v>48</v>
      </c>
      <c r="Q1066" s="2">
        <f>INDEX(Tables!$C$4:$C$28,MATCH($P1066,Tables!$B$4:$B$28,0))</f>
        <v>8</v>
      </c>
      <c r="R1066" s="2">
        <f>INDEX(Tables!$D$4:$D$28,MATCH($P1066,Tables!$B$4:$B$28,0))</f>
        <v>1</v>
      </c>
      <c r="S1066" s="2">
        <f>$S1065+$R1065+INDEX(Tables!$N$5:$Q$8,MATCH(MOD($S1065+$R1065,4),Tables!$M$5:$M$8,0),MATCH($R1066,Tables!$N$4:$Q$4,0))</f>
        <v>3822</v>
      </c>
      <c r="T1066" s="2" t="str">
        <f t="shared" si="249"/>
        <v>0EEE</v>
      </c>
      <c r="U1066" s="2">
        <f t="shared" ref="U1066:U1129" si="255">ROUNDDOWN(S1066/4,0)</f>
        <v>955</v>
      </c>
      <c r="V1066" s="2" t="str">
        <f t="shared" si="250"/>
        <v>3BB</v>
      </c>
      <c r="W1066" s="2" t="str">
        <f t="shared" si="251"/>
        <v/>
      </c>
      <c r="X1066" s="2" t="str">
        <f t="shared" si="252"/>
        <v>X</v>
      </c>
      <c r="Y1066" s="2" t="str">
        <f t="shared" si="253"/>
        <v/>
      </c>
      <c r="Z1066" s="2" t="str">
        <f t="shared" si="254"/>
        <v/>
      </c>
      <c r="AA1066" s="2" t="str">
        <f t="shared" ref="AA1066:AA1129" si="256">IF(W1066="","",CONCATENATE("(",IF(($J1066-COUNTIF($X1066:$Z1066,"X")*8)=1,"24)",CONCATENATE(IF(($J1066-COUNTIF($X1066:$Z1066,"X")*8)&gt;=8,32,($J1066-COUNTIF($X1066:$Z1066,"X")*8)+24)-1," downto 24)"))))</f>
        <v/>
      </c>
      <c r="AB1066" s="2" t="str">
        <f t="shared" ref="AB1066:AB1129" si="257">IF(X1066="","",CONCATENATE("(",IF(($J1066-COUNTIF($Y1066:$Z1066,"X")*8)=1,"16)",CONCATENATE(IF(($J1066-COUNTIF($Y1066:$Z1066,"X")*8)&gt;=8,24,($J1066-COUNTIF($Y1066:$Z1066,"X")*8)+16)-1," downto 16)"))))</f>
        <v>(23 downto 16)</v>
      </c>
      <c r="AC1066" s="2" t="str">
        <f t="shared" ref="AC1066:AC1129" si="258">IF(Y1066="","",CONCATENATE("(",IF(($J1066-COUNTIF($Z1066,"X")*8)=1,"8)",CONCATENATE(IF(($J1066-COUNTIF($Z1066,"X")*8)&gt;=8,16,($J1066-COUNTIF($Z1066,"X")*8)+8)-1," downto 8)"))))</f>
        <v/>
      </c>
      <c r="AD1066" s="2" t="str">
        <f t="shared" ref="AD1066:AD1129" si="259">IF(Z1066="","",CONCATENATE("(",IF($J1066=1,"0)",CONCATENATE(IF($J1066&gt;=8,8,$J1066)-1," downto 0)"))))</f>
        <v/>
      </c>
      <c r="AE1066" s="2" t="str">
        <f t="shared" ref="AE1066:AE1129" si="260">IF(W1066="","",IF($J1066&lt;=8,"",IF(($J1066-COUNTIF($X1066:$Z1066,"X")*8)=1,CONCATENATE("(",($J1066-1),")"),CONCATENATE("(",IF(($J1066-COUNTIF($X1066:$Z1066,"X")*8)&gt;=8,COUNTIF($X1066:$Z1066,"X")*8+7,$J1066-COUNTIF($X1066:$Z1066,"X")*8-1+COUNTIF($X1066:$Z1066,"X")*8)," downto ",COUNTIF($X1066:$Z1066,"X")*8,")"))))</f>
        <v/>
      </c>
      <c r="AF1066" s="2" t="str">
        <f t="shared" ref="AF1066:AF1129" si="261">IF(X1066="","",IF($J1066&lt;=8,"",IF(($J1066-COUNTIF($Y1066:$Z1066,"X")*8)=1,CONCATENATE("(",($J1066-1),")"),CONCATENATE("(",IF(($J1066-COUNTIF($Y1066:$Z1066,"X")*8)&gt;=8,COUNTIF($Y1066:$Z1066,"X")*8+7,$J1066-COUNTIF($Y1066:$Z1066,"X")*8-1+COUNTIF($Y1066:$Z1066,"X")*8)," downto ",COUNTIF($Y1066:$Z1066,"X")*8,")"))))</f>
        <v/>
      </c>
      <c r="AG1066" s="2" t="str">
        <f t="shared" ref="AG1066:AG1129" si="262">IF(Y1066="","",IF($J1066&lt;=8,"",IF(($J1066-COUNTIF($Z1066,"X")*8)=1,CONCATENATE("(",($J1066-1),")"),CONCATENATE("(",IF(($J1066-COUNTIF($Z1066,"X")*8)&gt;=8,COUNTIF($Z1066,"X")*8+7,$J1066-COUNTIF($Z1066,"X")*8-1+COUNTIF($Z1066,"X")*8)," downto ",COUNTIF($Z1066,"X")*8,")"))))</f>
        <v/>
      </c>
      <c r="AH1066" s="2" t="str">
        <f t="shared" ref="AH1066:AH1129" si="263">IF(Z1066="","",IF($J1066&lt;=8,"",CONCATENATE("(",IF($J1066&gt;=8,7,$J1066-1)," downto ",0,")")))</f>
        <v/>
      </c>
    </row>
    <row r="1067" spans="2:34" x14ac:dyDescent="0.25">
      <c r="B1067" s="2" t="s">
        <v>1104</v>
      </c>
      <c r="D1067" s="2" t="s">
        <v>1</v>
      </c>
      <c r="E1067" s="2" t="s">
        <v>134</v>
      </c>
      <c r="F1067" s="2" t="s">
        <v>1110</v>
      </c>
      <c r="G1067" s="2" t="s">
        <v>1111</v>
      </c>
      <c r="H1067" s="2" t="s">
        <v>832</v>
      </c>
      <c r="I1067" s="2" t="s">
        <v>42</v>
      </c>
      <c r="J1067" s="2">
        <v>8</v>
      </c>
      <c r="K1067" s="2" t="s">
        <v>137</v>
      </c>
      <c r="L1067" s="2" t="s">
        <v>41</v>
      </c>
      <c r="M1067" s="2" t="s">
        <v>135</v>
      </c>
      <c r="N1067" s="2" t="s">
        <v>1107</v>
      </c>
      <c r="O1067" s="2" t="s">
        <v>833</v>
      </c>
      <c r="P1067" s="2" t="s">
        <v>48</v>
      </c>
      <c r="Q1067" s="2">
        <f>INDEX(Tables!$C$4:$C$28,MATCH($P1067,Tables!$B$4:$B$28,0))</f>
        <v>8</v>
      </c>
      <c r="R1067" s="2">
        <f>INDEX(Tables!$D$4:$D$28,MATCH($P1067,Tables!$B$4:$B$28,0))</f>
        <v>1</v>
      </c>
      <c r="S1067" s="2">
        <f>$S1066+$R1066+INDEX(Tables!$N$5:$Q$8,MATCH(MOD($S1066+$R1066,4),Tables!$M$5:$M$8,0),MATCH($R1067,Tables!$N$4:$Q$4,0))</f>
        <v>3823</v>
      </c>
      <c r="T1067" s="2" t="str">
        <f t="shared" si="249"/>
        <v>0EEF</v>
      </c>
      <c r="U1067" s="2">
        <f t="shared" si="255"/>
        <v>955</v>
      </c>
      <c r="V1067" s="2" t="str">
        <f t="shared" si="250"/>
        <v>3BB</v>
      </c>
      <c r="W1067" s="2" t="str">
        <f t="shared" si="251"/>
        <v>X</v>
      </c>
      <c r="X1067" s="2" t="str">
        <f t="shared" si="252"/>
        <v/>
      </c>
      <c r="Y1067" s="2" t="str">
        <f t="shared" si="253"/>
        <v/>
      </c>
      <c r="Z1067" s="2" t="str">
        <f t="shared" si="254"/>
        <v/>
      </c>
      <c r="AA1067" s="2" t="str">
        <f t="shared" si="256"/>
        <v>(31 downto 24)</v>
      </c>
      <c r="AB1067" s="2" t="str">
        <f t="shared" si="257"/>
        <v/>
      </c>
      <c r="AC1067" s="2" t="str">
        <f t="shared" si="258"/>
        <v/>
      </c>
      <c r="AD1067" s="2" t="str">
        <f t="shared" si="259"/>
        <v/>
      </c>
      <c r="AE1067" s="2" t="str">
        <f t="shared" si="260"/>
        <v/>
      </c>
      <c r="AF1067" s="2" t="str">
        <f t="shared" si="261"/>
        <v/>
      </c>
      <c r="AG1067" s="2" t="str">
        <f t="shared" si="262"/>
        <v/>
      </c>
      <c r="AH1067" s="2" t="str">
        <f t="shared" si="263"/>
        <v/>
      </c>
    </row>
    <row r="1068" spans="2:34" x14ac:dyDescent="0.25">
      <c r="B1068" s="2" t="s">
        <v>1104</v>
      </c>
      <c r="D1068" s="2" t="s">
        <v>1</v>
      </c>
      <c r="E1068" s="2" t="s">
        <v>134</v>
      </c>
      <c r="F1068" s="2" t="s">
        <v>1110</v>
      </c>
      <c r="G1068" s="2" t="s">
        <v>1111</v>
      </c>
      <c r="H1068" s="2" t="s">
        <v>834</v>
      </c>
      <c r="I1068" s="2" t="s">
        <v>42</v>
      </c>
      <c r="J1068" s="2">
        <v>8</v>
      </c>
      <c r="K1068" s="2" t="s">
        <v>137</v>
      </c>
      <c r="L1068" s="2" t="s">
        <v>41</v>
      </c>
      <c r="M1068" s="2" t="s">
        <v>135</v>
      </c>
      <c r="N1068" s="2" t="s">
        <v>1107</v>
      </c>
      <c r="O1068" s="2" t="s">
        <v>835</v>
      </c>
      <c r="P1068" s="2" t="s">
        <v>48</v>
      </c>
      <c r="Q1068" s="2">
        <f>INDEX(Tables!$C$4:$C$28,MATCH($P1068,Tables!$B$4:$B$28,0))</f>
        <v>8</v>
      </c>
      <c r="R1068" s="2">
        <f>INDEX(Tables!$D$4:$D$28,MATCH($P1068,Tables!$B$4:$B$28,0))</f>
        <v>1</v>
      </c>
      <c r="S1068" s="2">
        <f>$S1067+$R1067+INDEX(Tables!$N$5:$Q$8,MATCH(MOD($S1067+$R1067,4),Tables!$M$5:$M$8,0),MATCH($R1068,Tables!$N$4:$Q$4,0))</f>
        <v>3824</v>
      </c>
      <c r="T1068" s="2" t="str">
        <f t="shared" si="249"/>
        <v>0EF0</v>
      </c>
      <c r="U1068" s="2">
        <f t="shared" si="255"/>
        <v>956</v>
      </c>
      <c r="V1068" s="2" t="str">
        <f t="shared" si="250"/>
        <v>3BC</v>
      </c>
      <c r="W1068" s="2" t="str">
        <f t="shared" si="251"/>
        <v/>
      </c>
      <c r="X1068" s="2" t="str">
        <f t="shared" si="252"/>
        <v/>
      </c>
      <c r="Y1068" s="2" t="str">
        <f t="shared" si="253"/>
        <v/>
      </c>
      <c r="Z1068" s="2" t="str">
        <f t="shared" si="254"/>
        <v>X</v>
      </c>
      <c r="AA1068" s="2" t="str">
        <f t="shared" si="256"/>
        <v/>
      </c>
      <c r="AB1068" s="2" t="str">
        <f t="shared" si="257"/>
        <v/>
      </c>
      <c r="AC1068" s="2" t="str">
        <f t="shared" si="258"/>
        <v/>
      </c>
      <c r="AD1068" s="2" t="str">
        <f t="shared" si="259"/>
        <v>(7 downto 0)</v>
      </c>
      <c r="AE1068" s="2" t="str">
        <f t="shared" si="260"/>
        <v/>
      </c>
      <c r="AF1068" s="2" t="str">
        <f t="shared" si="261"/>
        <v/>
      </c>
      <c r="AG1068" s="2" t="str">
        <f t="shared" si="262"/>
        <v/>
      </c>
      <c r="AH1068" s="2" t="str">
        <f t="shared" si="263"/>
        <v/>
      </c>
    </row>
    <row r="1069" spans="2:34" x14ac:dyDescent="0.25">
      <c r="B1069" s="2" t="s">
        <v>1104</v>
      </c>
      <c r="D1069" s="2" t="s">
        <v>1</v>
      </c>
      <c r="E1069" s="2" t="s">
        <v>134</v>
      </c>
      <c r="F1069" s="2" t="s">
        <v>1110</v>
      </c>
      <c r="G1069" s="2" t="s">
        <v>1111</v>
      </c>
      <c r="H1069" s="2" t="s">
        <v>836</v>
      </c>
      <c r="I1069" s="2" t="s">
        <v>42</v>
      </c>
      <c r="J1069" s="2">
        <v>14</v>
      </c>
      <c r="K1069" s="2" t="s">
        <v>137</v>
      </c>
      <c r="L1069" s="2" t="s">
        <v>41</v>
      </c>
      <c r="M1069" s="2" t="s">
        <v>135</v>
      </c>
      <c r="N1069" s="2" t="s">
        <v>1107</v>
      </c>
      <c r="O1069" s="2" t="s">
        <v>837</v>
      </c>
      <c r="P1069" s="2" t="s">
        <v>50</v>
      </c>
      <c r="Q1069" s="2">
        <f>INDEX(Tables!$C$4:$C$28,MATCH($P1069,Tables!$B$4:$B$28,0))</f>
        <v>16</v>
      </c>
      <c r="R1069" s="2">
        <f>INDEX(Tables!$D$4:$D$28,MATCH($P1069,Tables!$B$4:$B$28,0))</f>
        <v>2</v>
      </c>
      <c r="S1069" s="2">
        <f>$S1068+$R1068+INDEX(Tables!$N$5:$Q$8,MATCH(MOD($S1068+$R1068,4),Tables!$M$5:$M$8,0),MATCH($R1069,Tables!$N$4:$Q$4,0))</f>
        <v>3826</v>
      </c>
      <c r="T1069" s="2" t="str">
        <f t="shared" si="249"/>
        <v>0EF2</v>
      </c>
      <c r="U1069" s="2">
        <f t="shared" si="255"/>
        <v>956</v>
      </c>
      <c r="V1069" s="2" t="str">
        <f t="shared" si="250"/>
        <v>3BC</v>
      </c>
      <c r="W1069" s="2" t="str">
        <f t="shared" si="251"/>
        <v>X</v>
      </c>
      <c r="X1069" s="2" t="str">
        <f t="shared" si="252"/>
        <v>X</v>
      </c>
      <c r="Y1069" s="2" t="str">
        <f t="shared" si="253"/>
        <v/>
      </c>
      <c r="Z1069" s="2" t="str">
        <f t="shared" si="254"/>
        <v/>
      </c>
      <c r="AA1069" s="2" t="str">
        <f t="shared" si="256"/>
        <v>(29 downto 24)</v>
      </c>
      <c r="AB1069" s="2" t="str">
        <f t="shared" si="257"/>
        <v>(23 downto 16)</v>
      </c>
      <c r="AC1069" s="2" t="str">
        <f t="shared" si="258"/>
        <v/>
      </c>
      <c r="AD1069" s="2" t="str">
        <f t="shared" si="259"/>
        <v/>
      </c>
      <c r="AE1069" s="2" t="str">
        <f t="shared" si="260"/>
        <v>(13 downto 8)</v>
      </c>
      <c r="AF1069" s="2" t="str">
        <f t="shared" si="261"/>
        <v>(7 downto 0)</v>
      </c>
      <c r="AG1069" s="2" t="str">
        <f t="shared" si="262"/>
        <v/>
      </c>
      <c r="AH1069" s="2" t="str">
        <f t="shared" si="263"/>
        <v/>
      </c>
    </row>
    <row r="1070" spans="2:34" x14ac:dyDescent="0.25">
      <c r="B1070" s="2" t="s">
        <v>1104</v>
      </c>
      <c r="D1070" s="2" t="s">
        <v>1</v>
      </c>
      <c r="E1070" s="2" t="s">
        <v>134</v>
      </c>
      <c r="F1070" s="2" t="s">
        <v>1110</v>
      </c>
      <c r="G1070" s="2" t="s">
        <v>1111</v>
      </c>
      <c r="H1070" s="2" t="s">
        <v>838</v>
      </c>
      <c r="I1070" s="2" t="s">
        <v>42</v>
      </c>
      <c r="J1070" s="2">
        <v>1</v>
      </c>
      <c r="K1070" s="2" t="s">
        <v>82</v>
      </c>
      <c r="L1070" s="2" t="s">
        <v>41</v>
      </c>
      <c r="M1070" s="2" t="s">
        <v>135</v>
      </c>
      <c r="N1070" s="2" t="s">
        <v>1107</v>
      </c>
      <c r="O1070" s="2" t="s">
        <v>839</v>
      </c>
      <c r="P1070" s="2" t="s">
        <v>5</v>
      </c>
      <c r="Q1070" s="2">
        <f>INDEX(Tables!$C$4:$C$28,MATCH($P1070,Tables!$B$4:$B$28,0))</f>
        <v>32</v>
      </c>
      <c r="R1070" s="2">
        <f>INDEX(Tables!$D$4:$D$28,MATCH($P1070,Tables!$B$4:$B$28,0))</f>
        <v>4</v>
      </c>
      <c r="S1070" s="2">
        <f>$S1069+$R1069+INDEX(Tables!$N$5:$Q$8,MATCH(MOD($S1069+$R1069,4),Tables!$M$5:$M$8,0),MATCH($R1070,Tables!$N$4:$Q$4,0))</f>
        <v>3828</v>
      </c>
      <c r="T1070" s="2" t="str">
        <f t="shared" si="249"/>
        <v>0EF4</v>
      </c>
      <c r="U1070" s="2">
        <f t="shared" si="255"/>
        <v>957</v>
      </c>
      <c r="V1070" s="2" t="str">
        <f t="shared" si="250"/>
        <v>3BD</v>
      </c>
      <c r="W1070" s="2" t="str">
        <f t="shared" si="251"/>
        <v/>
      </c>
      <c r="X1070" s="2" t="str">
        <f t="shared" si="252"/>
        <v/>
      </c>
      <c r="Y1070" s="2" t="str">
        <f t="shared" si="253"/>
        <v/>
      </c>
      <c r="Z1070" s="2" t="str">
        <f t="shared" si="254"/>
        <v>X</v>
      </c>
      <c r="AA1070" s="2" t="str">
        <f t="shared" si="256"/>
        <v/>
      </c>
      <c r="AB1070" s="2" t="str">
        <f t="shared" si="257"/>
        <v/>
      </c>
      <c r="AC1070" s="2" t="str">
        <f t="shared" si="258"/>
        <v/>
      </c>
      <c r="AD1070" s="2" t="str">
        <f t="shared" si="259"/>
        <v>(0)</v>
      </c>
      <c r="AE1070" s="2" t="str">
        <f t="shared" si="260"/>
        <v/>
      </c>
      <c r="AF1070" s="2" t="str">
        <f t="shared" si="261"/>
        <v/>
      </c>
      <c r="AG1070" s="2" t="str">
        <f t="shared" si="262"/>
        <v/>
      </c>
      <c r="AH1070" s="2" t="str">
        <f t="shared" si="263"/>
        <v/>
      </c>
    </row>
    <row r="1071" spans="2:34" x14ac:dyDescent="0.25">
      <c r="B1071" s="2" t="s">
        <v>1104</v>
      </c>
      <c r="D1071" s="2" t="s">
        <v>1</v>
      </c>
      <c r="E1071" s="2" t="s">
        <v>134</v>
      </c>
      <c r="F1071" s="2" t="s">
        <v>1110</v>
      </c>
      <c r="G1071" s="2" t="s">
        <v>1111</v>
      </c>
      <c r="H1071" s="2" t="s">
        <v>840</v>
      </c>
      <c r="I1071" s="2" t="s">
        <v>42</v>
      </c>
      <c r="J1071" s="2">
        <v>1</v>
      </c>
      <c r="K1071" s="2" t="s">
        <v>82</v>
      </c>
      <c r="L1071" s="2" t="s">
        <v>41</v>
      </c>
      <c r="M1071" s="2" t="s">
        <v>135</v>
      </c>
      <c r="N1071" s="2" t="s">
        <v>1107</v>
      </c>
      <c r="O1071" s="2" t="s">
        <v>841</v>
      </c>
      <c r="P1071" s="2" t="s">
        <v>5</v>
      </c>
      <c r="Q1071" s="2">
        <f>INDEX(Tables!$C$4:$C$28,MATCH($P1071,Tables!$B$4:$B$28,0))</f>
        <v>32</v>
      </c>
      <c r="R1071" s="2">
        <f>INDEX(Tables!$D$4:$D$28,MATCH($P1071,Tables!$B$4:$B$28,0))</f>
        <v>4</v>
      </c>
      <c r="S1071" s="2">
        <f>$S1070+$R1070+INDEX(Tables!$N$5:$Q$8,MATCH(MOD($S1070+$R1070,4),Tables!$M$5:$M$8,0),MATCH($R1071,Tables!$N$4:$Q$4,0))</f>
        <v>3832</v>
      </c>
      <c r="T1071" s="2" t="str">
        <f t="shared" si="249"/>
        <v>0EF8</v>
      </c>
      <c r="U1071" s="2">
        <f t="shared" si="255"/>
        <v>958</v>
      </c>
      <c r="V1071" s="2" t="str">
        <f t="shared" si="250"/>
        <v>3BE</v>
      </c>
      <c r="W1071" s="2" t="str">
        <f t="shared" si="251"/>
        <v/>
      </c>
      <c r="X1071" s="2" t="str">
        <f t="shared" si="252"/>
        <v/>
      </c>
      <c r="Y1071" s="2" t="str">
        <f t="shared" si="253"/>
        <v/>
      </c>
      <c r="Z1071" s="2" t="str">
        <f t="shared" si="254"/>
        <v>X</v>
      </c>
      <c r="AA1071" s="2" t="str">
        <f t="shared" si="256"/>
        <v/>
      </c>
      <c r="AB1071" s="2" t="str">
        <f t="shared" si="257"/>
        <v/>
      </c>
      <c r="AC1071" s="2" t="str">
        <f t="shared" si="258"/>
        <v/>
      </c>
      <c r="AD1071" s="2" t="str">
        <f t="shared" si="259"/>
        <v>(0)</v>
      </c>
      <c r="AE1071" s="2" t="str">
        <f t="shared" si="260"/>
        <v/>
      </c>
      <c r="AF1071" s="2" t="str">
        <f t="shared" si="261"/>
        <v/>
      </c>
      <c r="AG1071" s="2" t="str">
        <f t="shared" si="262"/>
        <v/>
      </c>
      <c r="AH1071" s="2" t="str">
        <f t="shared" si="263"/>
        <v/>
      </c>
    </row>
    <row r="1072" spans="2:34" x14ac:dyDescent="0.25">
      <c r="B1072" s="2" t="s">
        <v>1104</v>
      </c>
      <c r="D1072" s="2" t="s">
        <v>1</v>
      </c>
      <c r="E1072" s="2" t="s">
        <v>134</v>
      </c>
      <c r="F1072" s="2" t="s">
        <v>1110</v>
      </c>
      <c r="G1072" s="2" t="s">
        <v>1111</v>
      </c>
      <c r="H1072" s="2" t="s">
        <v>842</v>
      </c>
      <c r="I1072" s="2" t="s">
        <v>42</v>
      </c>
      <c r="J1072" s="2">
        <v>14</v>
      </c>
      <c r="K1072" s="2" t="s">
        <v>137</v>
      </c>
      <c r="L1072" s="2" t="s">
        <v>41</v>
      </c>
      <c r="M1072" s="2" t="s">
        <v>135</v>
      </c>
      <c r="N1072" s="2" t="s">
        <v>1107</v>
      </c>
      <c r="O1072" s="2" t="s">
        <v>843</v>
      </c>
      <c r="P1072" s="2" t="s">
        <v>50</v>
      </c>
      <c r="Q1072" s="2">
        <f>INDEX(Tables!$C$4:$C$28,MATCH($P1072,Tables!$B$4:$B$28,0))</f>
        <v>16</v>
      </c>
      <c r="R1072" s="2">
        <f>INDEX(Tables!$D$4:$D$28,MATCH($P1072,Tables!$B$4:$B$28,0))</f>
        <v>2</v>
      </c>
      <c r="S1072" s="2">
        <f>$S1071+$R1071+INDEX(Tables!$N$5:$Q$8,MATCH(MOD($S1071+$R1071,4),Tables!$M$5:$M$8,0),MATCH($R1072,Tables!$N$4:$Q$4,0))</f>
        <v>3836</v>
      </c>
      <c r="T1072" s="2" t="str">
        <f t="shared" si="249"/>
        <v>0EFC</v>
      </c>
      <c r="U1072" s="2">
        <f t="shared" si="255"/>
        <v>959</v>
      </c>
      <c r="V1072" s="2" t="str">
        <f t="shared" si="250"/>
        <v>3BF</v>
      </c>
      <c r="W1072" s="2" t="str">
        <f t="shared" si="251"/>
        <v/>
      </c>
      <c r="X1072" s="2" t="str">
        <f t="shared" si="252"/>
        <v/>
      </c>
      <c r="Y1072" s="2" t="str">
        <f t="shared" si="253"/>
        <v>X</v>
      </c>
      <c r="Z1072" s="2" t="str">
        <f t="shared" si="254"/>
        <v>X</v>
      </c>
      <c r="AA1072" s="2" t="str">
        <f t="shared" si="256"/>
        <v/>
      </c>
      <c r="AB1072" s="2" t="str">
        <f t="shared" si="257"/>
        <v/>
      </c>
      <c r="AC1072" s="2" t="str">
        <f t="shared" si="258"/>
        <v>(13 downto 8)</v>
      </c>
      <c r="AD1072" s="2" t="str">
        <f t="shared" si="259"/>
        <v>(7 downto 0)</v>
      </c>
      <c r="AE1072" s="2" t="str">
        <f t="shared" si="260"/>
        <v/>
      </c>
      <c r="AF1072" s="2" t="str">
        <f t="shared" si="261"/>
        <v/>
      </c>
      <c r="AG1072" s="2" t="str">
        <f t="shared" si="262"/>
        <v>(13 downto 8)</v>
      </c>
      <c r="AH1072" s="2" t="str">
        <f t="shared" si="263"/>
        <v>(7 downto 0)</v>
      </c>
    </row>
    <row r="1073" spans="2:34" x14ac:dyDescent="0.25">
      <c r="B1073" s="2" t="s">
        <v>1104</v>
      </c>
      <c r="D1073" s="2" t="s">
        <v>1</v>
      </c>
      <c r="E1073" s="2" t="s">
        <v>134</v>
      </c>
      <c r="F1073" s="2" t="s">
        <v>1110</v>
      </c>
      <c r="G1073" s="2" t="s">
        <v>1111</v>
      </c>
      <c r="H1073" s="2" t="s">
        <v>844</v>
      </c>
      <c r="I1073" s="2" t="s">
        <v>42</v>
      </c>
      <c r="J1073" s="2">
        <v>1</v>
      </c>
      <c r="K1073" s="2" t="s">
        <v>82</v>
      </c>
      <c r="L1073" s="2" t="s">
        <v>41</v>
      </c>
      <c r="M1073" s="2" t="s">
        <v>135</v>
      </c>
      <c r="N1073" s="2" t="s">
        <v>1107</v>
      </c>
      <c r="O1073" s="2" t="s">
        <v>845</v>
      </c>
      <c r="P1073" s="2" t="s">
        <v>5</v>
      </c>
      <c r="Q1073" s="2">
        <f>INDEX(Tables!$C$4:$C$28,MATCH($P1073,Tables!$B$4:$B$28,0))</f>
        <v>32</v>
      </c>
      <c r="R1073" s="2">
        <f>INDEX(Tables!$D$4:$D$28,MATCH($P1073,Tables!$B$4:$B$28,0))</f>
        <v>4</v>
      </c>
      <c r="S1073" s="2">
        <f>$S1072+$R1072+INDEX(Tables!$N$5:$Q$8,MATCH(MOD($S1072+$R1072,4),Tables!$M$5:$M$8,0),MATCH($R1073,Tables!$N$4:$Q$4,0))</f>
        <v>3840</v>
      </c>
      <c r="T1073" s="2" t="str">
        <f t="shared" si="249"/>
        <v>0F00</v>
      </c>
      <c r="U1073" s="2">
        <f t="shared" si="255"/>
        <v>960</v>
      </c>
      <c r="V1073" s="2" t="str">
        <f t="shared" si="250"/>
        <v>3C0</v>
      </c>
      <c r="W1073" s="2" t="str">
        <f t="shared" si="251"/>
        <v/>
      </c>
      <c r="X1073" s="2" t="str">
        <f t="shared" si="252"/>
        <v/>
      </c>
      <c r="Y1073" s="2" t="str">
        <f t="shared" si="253"/>
        <v/>
      </c>
      <c r="Z1073" s="2" t="str">
        <f t="shared" si="254"/>
        <v>X</v>
      </c>
      <c r="AA1073" s="2" t="str">
        <f t="shared" si="256"/>
        <v/>
      </c>
      <c r="AB1073" s="2" t="str">
        <f t="shared" si="257"/>
        <v/>
      </c>
      <c r="AC1073" s="2" t="str">
        <f t="shared" si="258"/>
        <v/>
      </c>
      <c r="AD1073" s="2" t="str">
        <f t="shared" si="259"/>
        <v>(0)</v>
      </c>
      <c r="AE1073" s="2" t="str">
        <f t="shared" si="260"/>
        <v/>
      </c>
      <c r="AF1073" s="2" t="str">
        <f t="shared" si="261"/>
        <v/>
      </c>
      <c r="AG1073" s="2" t="str">
        <f t="shared" si="262"/>
        <v/>
      </c>
      <c r="AH1073" s="2" t="str">
        <f t="shared" si="263"/>
        <v/>
      </c>
    </row>
    <row r="1074" spans="2:34" x14ac:dyDescent="0.25">
      <c r="B1074" s="2" t="s">
        <v>1104</v>
      </c>
      <c r="D1074" s="2" t="s">
        <v>1</v>
      </c>
      <c r="E1074" s="2" t="s">
        <v>134</v>
      </c>
      <c r="F1074" s="2" t="s">
        <v>1110</v>
      </c>
      <c r="G1074" s="2" t="s">
        <v>1111</v>
      </c>
      <c r="H1074" s="2" t="s">
        <v>846</v>
      </c>
      <c r="I1074" s="2" t="s">
        <v>42</v>
      </c>
      <c r="J1074" s="2">
        <v>1</v>
      </c>
      <c r="K1074" s="2" t="s">
        <v>82</v>
      </c>
      <c r="L1074" s="2" t="s">
        <v>41</v>
      </c>
      <c r="M1074" s="2" t="s">
        <v>135</v>
      </c>
      <c r="N1074" s="2" t="s">
        <v>1107</v>
      </c>
      <c r="O1074" s="2" t="s">
        <v>847</v>
      </c>
      <c r="P1074" s="2" t="s">
        <v>5</v>
      </c>
      <c r="Q1074" s="2">
        <f>INDEX(Tables!$C$4:$C$28,MATCH($P1074,Tables!$B$4:$B$28,0))</f>
        <v>32</v>
      </c>
      <c r="R1074" s="2">
        <f>INDEX(Tables!$D$4:$D$28,MATCH($P1074,Tables!$B$4:$B$28,0))</f>
        <v>4</v>
      </c>
      <c r="S1074" s="2">
        <f>$S1073+$R1073+INDEX(Tables!$N$5:$Q$8,MATCH(MOD($S1073+$R1073,4),Tables!$M$5:$M$8,0),MATCH($R1074,Tables!$N$4:$Q$4,0))</f>
        <v>3844</v>
      </c>
      <c r="T1074" s="2" t="str">
        <f t="shared" si="249"/>
        <v>0F04</v>
      </c>
      <c r="U1074" s="2">
        <f t="shared" si="255"/>
        <v>961</v>
      </c>
      <c r="V1074" s="2" t="str">
        <f t="shared" si="250"/>
        <v>3C1</v>
      </c>
      <c r="W1074" s="2" t="str">
        <f t="shared" si="251"/>
        <v/>
      </c>
      <c r="X1074" s="2" t="str">
        <f t="shared" si="252"/>
        <v/>
      </c>
      <c r="Y1074" s="2" t="str">
        <f t="shared" si="253"/>
        <v/>
      </c>
      <c r="Z1074" s="2" t="str">
        <f t="shared" si="254"/>
        <v>X</v>
      </c>
      <c r="AA1074" s="2" t="str">
        <f t="shared" si="256"/>
        <v/>
      </c>
      <c r="AB1074" s="2" t="str">
        <f t="shared" si="257"/>
        <v/>
      </c>
      <c r="AC1074" s="2" t="str">
        <f t="shared" si="258"/>
        <v/>
      </c>
      <c r="AD1074" s="2" t="str">
        <f t="shared" si="259"/>
        <v>(0)</v>
      </c>
      <c r="AE1074" s="2" t="str">
        <f t="shared" si="260"/>
        <v/>
      </c>
      <c r="AF1074" s="2" t="str">
        <f t="shared" si="261"/>
        <v/>
      </c>
      <c r="AG1074" s="2" t="str">
        <f t="shared" si="262"/>
        <v/>
      </c>
      <c r="AH1074" s="2" t="str">
        <f t="shared" si="263"/>
        <v/>
      </c>
    </row>
    <row r="1075" spans="2:34" x14ac:dyDescent="0.25">
      <c r="B1075" s="2" t="s">
        <v>1104</v>
      </c>
      <c r="D1075" s="2" t="s">
        <v>1</v>
      </c>
      <c r="E1075" s="2" t="s">
        <v>134</v>
      </c>
      <c r="F1075" s="2" t="s">
        <v>1110</v>
      </c>
      <c r="G1075" s="2" t="s">
        <v>1111</v>
      </c>
      <c r="H1075" s="2" t="s">
        <v>848</v>
      </c>
      <c r="I1075" s="2" t="s">
        <v>42</v>
      </c>
      <c r="J1075" s="2">
        <v>14</v>
      </c>
      <c r="K1075" s="2" t="s">
        <v>137</v>
      </c>
      <c r="L1075" s="2" t="s">
        <v>41</v>
      </c>
      <c r="M1075" s="2" t="s">
        <v>135</v>
      </c>
      <c r="N1075" s="2" t="s">
        <v>1107</v>
      </c>
      <c r="O1075" s="2" t="s">
        <v>849</v>
      </c>
      <c r="P1075" s="2" t="s">
        <v>50</v>
      </c>
      <c r="Q1075" s="2">
        <f>INDEX(Tables!$C$4:$C$28,MATCH($P1075,Tables!$B$4:$B$28,0))</f>
        <v>16</v>
      </c>
      <c r="R1075" s="2">
        <f>INDEX(Tables!$D$4:$D$28,MATCH($P1075,Tables!$B$4:$B$28,0))</f>
        <v>2</v>
      </c>
      <c r="S1075" s="2">
        <f>$S1074+$R1074+INDEX(Tables!$N$5:$Q$8,MATCH(MOD($S1074+$R1074,4),Tables!$M$5:$M$8,0),MATCH($R1075,Tables!$N$4:$Q$4,0))</f>
        <v>3848</v>
      </c>
      <c r="T1075" s="2" t="str">
        <f t="shared" si="249"/>
        <v>0F08</v>
      </c>
      <c r="U1075" s="2">
        <f t="shared" si="255"/>
        <v>962</v>
      </c>
      <c r="V1075" s="2" t="str">
        <f t="shared" si="250"/>
        <v>3C2</v>
      </c>
      <c r="W1075" s="2" t="str">
        <f t="shared" si="251"/>
        <v/>
      </c>
      <c r="X1075" s="2" t="str">
        <f t="shared" si="252"/>
        <v/>
      </c>
      <c r="Y1075" s="2" t="str">
        <f t="shared" si="253"/>
        <v>X</v>
      </c>
      <c r="Z1075" s="2" t="str">
        <f t="shared" si="254"/>
        <v>X</v>
      </c>
      <c r="AA1075" s="2" t="str">
        <f t="shared" si="256"/>
        <v/>
      </c>
      <c r="AB1075" s="2" t="str">
        <f t="shared" si="257"/>
        <v/>
      </c>
      <c r="AC1075" s="2" t="str">
        <f t="shared" si="258"/>
        <v>(13 downto 8)</v>
      </c>
      <c r="AD1075" s="2" t="str">
        <f t="shared" si="259"/>
        <v>(7 downto 0)</v>
      </c>
      <c r="AE1075" s="2" t="str">
        <f t="shared" si="260"/>
        <v/>
      </c>
      <c r="AF1075" s="2" t="str">
        <f t="shared" si="261"/>
        <v/>
      </c>
      <c r="AG1075" s="2" t="str">
        <f t="shared" si="262"/>
        <v>(13 downto 8)</v>
      </c>
      <c r="AH1075" s="2" t="str">
        <f t="shared" si="263"/>
        <v>(7 downto 0)</v>
      </c>
    </row>
    <row r="1076" spans="2:34" x14ac:dyDescent="0.25">
      <c r="B1076" s="2" t="s">
        <v>1104</v>
      </c>
      <c r="D1076" s="2" t="s">
        <v>1</v>
      </c>
      <c r="E1076" s="2" t="s">
        <v>134</v>
      </c>
      <c r="F1076" s="2" t="s">
        <v>1110</v>
      </c>
      <c r="G1076" s="2" t="s">
        <v>1111</v>
      </c>
      <c r="H1076" s="2" t="s">
        <v>850</v>
      </c>
      <c r="I1076" s="2" t="s">
        <v>42</v>
      </c>
      <c r="J1076" s="2">
        <v>1</v>
      </c>
      <c r="K1076" s="2" t="s">
        <v>82</v>
      </c>
      <c r="L1076" s="2" t="s">
        <v>41</v>
      </c>
      <c r="M1076" s="2" t="s">
        <v>135</v>
      </c>
      <c r="N1076" s="2" t="s">
        <v>1107</v>
      </c>
      <c r="O1076" s="2" t="s">
        <v>851</v>
      </c>
      <c r="P1076" s="2" t="s">
        <v>5</v>
      </c>
      <c r="Q1076" s="2">
        <f>INDEX(Tables!$C$4:$C$28,MATCH($P1076,Tables!$B$4:$B$28,0))</f>
        <v>32</v>
      </c>
      <c r="R1076" s="2">
        <f>INDEX(Tables!$D$4:$D$28,MATCH($P1076,Tables!$B$4:$B$28,0))</f>
        <v>4</v>
      </c>
      <c r="S1076" s="2">
        <f>$S1075+$R1075+INDEX(Tables!$N$5:$Q$8,MATCH(MOD($S1075+$R1075,4),Tables!$M$5:$M$8,0),MATCH($R1076,Tables!$N$4:$Q$4,0))</f>
        <v>3852</v>
      </c>
      <c r="T1076" s="2" t="str">
        <f t="shared" si="249"/>
        <v>0F0C</v>
      </c>
      <c r="U1076" s="2">
        <f t="shared" si="255"/>
        <v>963</v>
      </c>
      <c r="V1076" s="2" t="str">
        <f t="shared" si="250"/>
        <v>3C3</v>
      </c>
      <c r="W1076" s="2" t="str">
        <f t="shared" si="251"/>
        <v/>
      </c>
      <c r="X1076" s="2" t="str">
        <f t="shared" si="252"/>
        <v/>
      </c>
      <c r="Y1076" s="2" t="str">
        <f t="shared" si="253"/>
        <v/>
      </c>
      <c r="Z1076" s="2" t="str">
        <f t="shared" si="254"/>
        <v>X</v>
      </c>
      <c r="AA1076" s="2" t="str">
        <f t="shared" si="256"/>
        <v/>
      </c>
      <c r="AB1076" s="2" t="str">
        <f t="shared" si="257"/>
        <v/>
      </c>
      <c r="AC1076" s="2" t="str">
        <f t="shared" si="258"/>
        <v/>
      </c>
      <c r="AD1076" s="2" t="str">
        <f t="shared" si="259"/>
        <v>(0)</v>
      </c>
      <c r="AE1076" s="2" t="str">
        <f t="shared" si="260"/>
        <v/>
      </c>
      <c r="AF1076" s="2" t="str">
        <f t="shared" si="261"/>
        <v/>
      </c>
      <c r="AG1076" s="2" t="str">
        <f t="shared" si="262"/>
        <v/>
      </c>
      <c r="AH1076" s="2" t="str">
        <f t="shared" si="263"/>
        <v/>
      </c>
    </row>
    <row r="1077" spans="2:34" x14ac:dyDescent="0.25">
      <c r="B1077" s="2" t="s">
        <v>1104</v>
      </c>
      <c r="D1077" s="2" t="s">
        <v>1</v>
      </c>
      <c r="E1077" s="2" t="s">
        <v>134</v>
      </c>
      <c r="F1077" s="2" t="s">
        <v>1110</v>
      </c>
      <c r="G1077" s="2" t="s">
        <v>1111</v>
      </c>
      <c r="H1077" s="2" t="s">
        <v>852</v>
      </c>
      <c r="I1077" s="2" t="s">
        <v>42</v>
      </c>
      <c r="J1077" s="2">
        <v>1</v>
      </c>
      <c r="K1077" s="2" t="s">
        <v>82</v>
      </c>
      <c r="L1077" s="2" t="s">
        <v>41</v>
      </c>
      <c r="M1077" s="2" t="s">
        <v>135</v>
      </c>
      <c r="N1077" s="2" t="s">
        <v>1107</v>
      </c>
      <c r="O1077" s="2" t="s">
        <v>853</v>
      </c>
      <c r="P1077" s="2" t="s">
        <v>5</v>
      </c>
      <c r="Q1077" s="2">
        <f>INDEX(Tables!$C$4:$C$28,MATCH($P1077,Tables!$B$4:$B$28,0))</f>
        <v>32</v>
      </c>
      <c r="R1077" s="2">
        <f>INDEX(Tables!$D$4:$D$28,MATCH($P1077,Tables!$B$4:$B$28,0))</f>
        <v>4</v>
      </c>
      <c r="S1077" s="2">
        <f>$S1076+$R1076+INDEX(Tables!$N$5:$Q$8,MATCH(MOD($S1076+$R1076,4),Tables!$M$5:$M$8,0),MATCH($R1077,Tables!$N$4:$Q$4,0))</f>
        <v>3856</v>
      </c>
      <c r="T1077" s="2" t="str">
        <f t="shared" si="249"/>
        <v>0F10</v>
      </c>
      <c r="U1077" s="2">
        <f t="shared" si="255"/>
        <v>964</v>
      </c>
      <c r="V1077" s="2" t="str">
        <f t="shared" si="250"/>
        <v>3C4</v>
      </c>
      <c r="W1077" s="2" t="str">
        <f t="shared" si="251"/>
        <v/>
      </c>
      <c r="X1077" s="2" t="str">
        <f t="shared" si="252"/>
        <v/>
      </c>
      <c r="Y1077" s="2" t="str">
        <f t="shared" si="253"/>
        <v/>
      </c>
      <c r="Z1077" s="2" t="str">
        <f t="shared" si="254"/>
        <v>X</v>
      </c>
      <c r="AA1077" s="2" t="str">
        <f t="shared" si="256"/>
        <v/>
      </c>
      <c r="AB1077" s="2" t="str">
        <f t="shared" si="257"/>
        <v/>
      </c>
      <c r="AC1077" s="2" t="str">
        <f t="shared" si="258"/>
        <v/>
      </c>
      <c r="AD1077" s="2" t="str">
        <f t="shared" si="259"/>
        <v>(0)</v>
      </c>
      <c r="AE1077" s="2" t="str">
        <f t="shared" si="260"/>
        <v/>
      </c>
      <c r="AF1077" s="2" t="str">
        <f t="shared" si="261"/>
        <v/>
      </c>
      <c r="AG1077" s="2" t="str">
        <f t="shared" si="262"/>
        <v/>
      </c>
      <c r="AH1077" s="2" t="str">
        <f t="shared" si="263"/>
        <v/>
      </c>
    </row>
    <row r="1078" spans="2:34" x14ac:dyDescent="0.25">
      <c r="B1078" s="2" t="s">
        <v>1104</v>
      </c>
      <c r="D1078" s="2" t="s">
        <v>1</v>
      </c>
      <c r="E1078" s="2" t="s">
        <v>134</v>
      </c>
      <c r="F1078" s="2" t="s">
        <v>1110</v>
      </c>
      <c r="G1078" s="2" t="s">
        <v>1111</v>
      </c>
      <c r="H1078" s="2" t="s">
        <v>854</v>
      </c>
      <c r="I1078" s="2" t="s">
        <v>42</v>
      </c>
      <c r="J1078" s="2">
        <v>14</v>
      </c>
      <c r="K1078" s="2" t="s">
        <v>137</v>
      </c>
      <c r="L1078" s="2" t="s">
        <v>41</v>
      </c>
      <c r="M1078" s="2" t="s">
        <v>135</v>
      </c>
      <c r="N1078" s="2" t="s">
        <v>1107</v>
      </c>
      <c r="O1078" s="2" t="s">
        <v>855</v>
      </c>
      <c r="P1078" s="2" t="s">
        <v>50</v>
      </c>
      <c r="Q1078" s="2">
        <f>INDEX(Tables!$C$4:$C$28,MATCH($P1078,Tables!$B$4:$B$28,0))</f>
        <v>16</v>
      </c>
      <c r="R1078" s="2">
        <f>INDEX(Tables!$D$4:$D$28,MATCH($P1078,Tables!$B$4:$B$28,0))</f>
        <v>2</v>
      </c>
      <c r="S1078" s="2">
        <f>$S1077+$R1077+INDEX(Tables!$N$5:$Q$8,MATCH(MOD($S1077+$R1077,4),Tables!$M$5:$M$8,0),MATCH($R1078,Tables!$N$4:$Q$4,0))</f>
        <v>3860</v>
      </c>
      <c r="T1078" s="2" t="str">
        <f t="shared" si="249"/>
        <v>0F14</v>
      </c>
      <c r="U1078" s="2">
        <f t="shared" si="255"/>
        <v>965</v>
      </c>
      <c r="V1078" s="2" t="str">
        <f t="shared" si="250"/>
        <v>3C5</v>
      </c>
      <c r="W1078" s="2" t="str">
        <f t="shared" si="251"/>
        <v/>
      </c>
      <c r="X1078" s="2" t="str">
        <f t="shared" si="252"/>
        <v/>
      </c>
      <c r="Y1078" s="2" t="str">
        <f t="shared" si="253"/>
        <v>X</v>
      </c>
      <c r="Z1078" s="2" t="str">
        <f t="shared" si="254"/>
        <v>X</v>
      </c>
      <c r="AA1078" s="2" t="str">
        <f t="shared" si="256"/>
        <v/>
      </c>
      <c r="AB1078" s="2" t="str">
        <f t="shared" si="257"/>
        <v/>
      </c>
      <c r="AC1078" s="2" t="str">
        <f t="shared" si="258"/>
        <v>(13 downto 8)</v>
      </c>
      <c r="AD1078" s="2" t="str">
        <f t="shared" si="259"/>
        <v>(7 downto 0)</v>
      </c>
      <c r="AE1078" s="2" t="str">
        <f t="shared" si="260"/>
        <v/>
      </c>
      <c r="AF1078" s="2" t="str">
        <f t="shared" si="261"/>
        <v/>
      </c>
      <c r="AG1078" s="2" t="str">
        <f t="shared" si="262"/>
        <v>(13 downto 8)</v>
      </c>
      <c r="AH1078" s="2" t="str">
        <f t="shared" si="263"/>
        <v>(7 downto 0)</v>
      </c>
    </row>
    <row r="1079" spans="2:34" x14ac:dyDescent="0.25">
      <c r="B1079" s="2" t="s">
        <v>1104</v>
      </c>
      <c r="D1079" s="2" t="s">
        <v>1</v>
      </c>
      <c r="E1079" s="2" t="s">
        <v>134</v>
      </c>
      <c r="F1079" s="2" t="s">
        <v>1110</v>
      </c>
      <c r="G1079" s="2" t="s">
        <v>1111</v>
      </c>
      <c r="H1079" s="2" t="s">
        <v>856</v>
      </c>
      <c r="I1079" s="2" t="s">
        <v>42</v>
      </c>
      <c r="J1079" s="2">
        <v>1</v>
      </c>
      <c r="K1079" s="2" t="s">
        <v>82</v>
      </c>
      <c r="L1079" s="2" t="s">
        <v>41</v>
      </c>
      <c r="M1079" s="2" t="s">
        <v>135</v>
      </c>
      <c r="N1079" s="2" t="s">
        <v>1107</v>
      </c>
      <c r="O1079" s="2" t="s">
        <v>857</v>
      </c>
      <c r="P1079" s="2" t="s">
        <v>5</v>
      </c>
      <c r="Q1079" s="2">
        <f>INDEX(Tables!$C$4:$C$28,MATCH($P1079,Tables!$B$4:$B$28,0))</f>
        <v>32</v>
      </c>
      <c r="R1079" s="2">
        <f>INDEX(Tables!$D$4:$D$28,MATCH($P1079,Tables!$B$4:$B$28,0))</f>
        <v>4</v>
      </c>
      <c r="S1079" s="2">
        <f>$S1078+$R1078+INDEX(Tables!$N$5:$Q$8,MATCH(MOD($S1078+$R1078,4),Tables!$M$5:$M$8,0),MATCH($R1079,Tables!$N$4:$Q$4,0))</f>
        <v>3864</v>
      </c>
      <c r="T1079" s="2" t="str">
        <f t="shared" si="249"/>
        <v>0F18</v>
      </c>
      <c r="U1079" s="2">
        <f t="shared" si="255"/>
        <v>966</v>
      </c>
      <c r="V1079" s="2" t="str">
        <f t="shared" si="250"/>
        <v>3C6</v>
      </c>
      <c r="W1079" s="2" t="str">
        <f t="shared" si="251"/>
        <v/>
      </c>
      <c r="X1079" s="2" t="str">
        <f t="shared" si="252"/>
        <v/>
      </c>
      <c r="Y1079" s="2" t="str">
        <f t="shared" si="253"/>
        <v/>
      </c>
      <c r="Z1079" s="2" t="str">
        <f t="shared" si="254"/>
        <v>X</v>
      </c>
      <c r="AA1079" s="2" t="str">
        <f t="shared" si="256"/>
        <v/>
      </c>
      <c r="AB1079" s="2" t="str">
        <f t="shared" si="257"/>
        <v/>
      </c>
      <c r="AC1079" s="2" t="str">
        <f t="shared" si="258"/>
        <v/>
      </c>
      <c r="AD1079" s="2" t="str">
        <f t="shared" si="259"/>
        <v>(0)</v>
      </c>
      <c r="AE1079" s="2" t="str">
        <f t="shared" si="260"/>
        <v/>
      </c>
      <c r="AF1079" s="2" t="str">
        <f t="shared" si="261"/>
        <v/>
      </c>
      <c r="AG1079" s="2" t="str">
        <f t="shared" si="262"/>
        <v/>
      </c>
      <c r="AH1079" s="2" t="str">
        <f t="shared" si="263"/>
        <v/>
      </c>
    </row>
    <row r="1080" spans="2:34" x14ac:dyDescent="0.25">
      <c r="B1080" s="2" t="s">
        <v>1104</v>
      </c>
      <c r="D1080" s="2" t="s">
        <v>1</v>
      </c>
      <c r="E1080" s="2" t="s">
        <v>134</v>
      </c>
      <c r="F1080" s="2" t="s">
        <v>1110</v>
      </c>
      <c r="G1080" s="2" t="s">
        <v>1111</v>
      </c>
      <c r="H1080" s="2" t="s">
        <v>858</v>
      </c>
      <c r="I1080" s="2" t="s">
        <v>42</v>
      </c>
      <c r="J1080" s="2">
        <v>1</v>
      </c>
      <c r="K1080" s="2" t="s">
        <v>82</v>
      </c>
      <c r="L1080" s="2" t="s">
        <v>41</v>
      </c>
      <c r="M1080" s="2" t="s">
        <v>135</v>
      </c>
      <c r="N1080" s="2" t="s">
        <v>1107</v>
      </c>
      <c r="O1080" s="2" t="s">
        <v>859</v>
      </c>
      <c r="P1080" s="2" t="s">
        <v>5</v>
      </c>
      <c r="Q1080" s="2">
        <f>INDEX(Tables!$C$4:$C$28,MATCH($P1080,Tables!$B$4:$B$28,0))</f>
        <v>32</v>
      </c>
      <c r="R1080" s="2">
        <f>INDEX(Tables!$D$4:$D$28,MATCH($P1080,Tables!$B$4:$B$28,0))</f>
        <v>4</v>
      </c>
      <c r="S1080" s="2">
        <f>$S1079+$R1079+INDEX(Tables!$N$5:$Q$8,MATCH(MOD($S1079+$R1079,4),Tables!$M$5:$M$8,0),MATCH($R1080,Tables!$N$4:$Q$4,0))</f>
        <v>3868</v>
      </c>
      <c r="T1080" s="2" t="str">
        <f t="shared" si="249"/>
        <v>0F1C</v>
      </c>
      <c r="U1080" s="2">
        <f t="shared" si="255"/>
        <v>967</v>
      </c>
      <c r="V1080" s="2" t="str">
        <f t="shared" si="250"/>
        <v>3C7</v>
      </c>
      <c r="W1080" s="2" t="str">
        <f t="shared" si="251"/>
        <v/>
      </c>
      <c r="X1080" s="2" t="str">
        <f t="shared" si="252"/>
        <v/>
      </c>
      <c r="Y1080" s="2" t="str">
        <f t="shared" si="253"/>
        <v/>
      </c>
      <c r="Z1080" s="2" t="str">
        <f t="shared" si="254"/>
        <v>X</v>
      </c>
      <c r="AA1080" s="2" t="str">
        <f t="shared" si="256"/>
        <v/>
      </c>
      <c r="AB1080" s="2" t="str">
        <f t="shared" si="257"/>
        <v/>
      </c>
      <c r="AC1080" s="2" t="str">
        <f t="shared" si="258"/>
        <v/>
      </c>
      <c r="AD1080" s="2" t="str">
        <f t="shared" si="259"/>
        <v>(0)</v>
      </c>
      <c r="AE1080" s="2" t="str">
        <f t="shared" si="260"/>
        <v/>
      </c>
      <c r="AF1080" s="2" t="str">
        <f t="shared" si="261"/>
        <v/>
      </c>
      <c r="AG1080" s="2" t="str">
        <f t="shared" si="262"/>
        <v/>
      </c>
      <c r="AH1080" s="2" t="str">
        <f t="shared" si="263"/>
        <v/>
      </c>
    </row>
    <row r="1081" spans="2:34" x14ac:dyDescent="0.25">
      <c r="B1081" s="2" t="s">
        <v>1104</v>
      </c>
      <c r="D1081" s="2" t="s">
        <v>1</v>
      </c>
      <c r="E1081" s="2" t="s">
        <v>134</v>
      </c>
      <c r="F1081" s="2" t="s">
        <v>1110</v>
      </c>
      <c r="G1081" s="2" t="s">
        <v>1111</v>
      </c>
      <c r="H1081" s="2" t="s">
        <v>860</v>
      </c>
      <c r="I1081" s="2" t="s">
        <v>42</v>
      </c>
      <c r="J1081" s="2">
        <v>14</v>
      </c>
      <c r="K1081" s="2" t="s">
        <v>137</v>
      </c>
      <c r="L1081" s="2" t="s">
        <v>41</v>
      </c>
      <c r="M1081" s="2" t="s">
        <v>135</v>
      </c>
      <c r="N1081" s="2" t="s">
        <v>1107</v>
      </c>
      <c r="O1081" s="2" t="s">
        <v>861</v>
      </c>
      <c r="P1081" s="2" t="s">
        <v>50</v>
      </c>
      <c r="Q1081" s="2">
        <f>INDEX(Tables!$C$4:$C$28,MATCH($P1081,Tables!$B$4:$B$28,0))</f>
        <v>16</v>
      </c>
      <c r="R1081" s="2">
        <f>INDEX(Tables!$D$4:$D$28,MATCH($P1081,Tables!$B$4:$B$28,0))</f>
        <v>2</v>
      </c>
      <c r="S1081" s="2">
        <f>$S1080+$R1080+INDEX(Tables!$N$5:$Q$8,MATCH(MOD($S1080+$R1080,4),Tables!$M$5:$M$8,0),MATCH($R1081,Tables!$N$4:$Q$4,0))</f>
        <v>3872</v>
      </c>
      <c r="T1081" s="2" t="str">
        <f t="shared" si="249"/>
        <v>0F20</v>
      </c>
      <c r="U1081" s="2">
        <f t="shared" si="255"/>
        <v>968</v>
      </c>
      <c r="V1081" s="2" t="str">
        <f t="shared" si="250"/>
        <v>3C8</v>
      </c>
      <c r="W1081" s="2" t="str">
        <f t="shared" si="251"/>
        <v/>
      </c>
      <c r="X1081" s="2" t="str">
        <f t="shared" si="252"/>
        <v/>
      </c>
      <c r="Y1081" s="2" t="str">
        <f t="shared" si="253"/>
        <v>X</v>
      </c>
      <c r="Z1081" s="2" t="str">
        <f t="shared" si="254"/>
        <v>X</v>
      </c>
      <c r="AA1081" s="2" t="str">
        <f t="shared" si="256"/>
        <v/>
      </c>
      <c r="AB1081" s="2" t="str">
        <f t="shared" si="257"/>
        <v/>
      </c>
      <c r="AC1081" s="2" t="str">
        <f t="shared" si="258"/>
        <v>(13 downto 8)</v>
      </c>
      <c r="AD1081" s="2" t="str">
        <f t="shared" si="259"/>
        <v>(7 downto 0)</v>
      </c>
      <c r="AE1081" s="2" t="str">
        <f t="shared" si="260"/>
        <v/>
      </c>
      <c r="AF1081" s="2" t="str">
        <f t="shared" si="261"/>
        <v/>
      </c>
      <c r="AG1081" s="2" t="str">
        <f t="shared" si="262"/>
        <v>(13 downto 8)</v>
      </c>
      <c r="AH1081" s="2" t="str">
        <f t="shared" si="263"/>
        <v>(7 downto 0)</v>
      </c>
    </row>
    <row r="1082" spans="2:34" x14ac:dyDescent="0.25">
      <c r="B1082" s="2" t="s">
        <v>1104</v>
      </c>
      <c r="D1082" s="2" t="s">
        <v>1</v>
      </c>
      <c r="E1082" s="2" t="s">
        <v>134</v>
      </c>
      <c r="F1082" s="2" t="s">
        <v>1110</v>
      </c>
      <c r="G1082" s="2" t="s">
        <v>1111</v>
      </c>
      <c r="H1082" s="2" t="s">
        <v>862</v>
      </c>
      <c r="I1082" s="2" t="s">
        <v>42</v>
      </c>
      <c r="J1082" s="2">
        <v>14</v>
      </c>
      <c r="K1082" s="2" t="s">
        <v>137</v>
      </c>
      <c r="L1082" s="2" t="s">
        <v>41</v>
      </c>
      <c r="M1082" s="2" t="s">
        <v>135</v>
      </c>
      <c r="N1082" s="2" t="s">
        <v>1107</v>
      </c>
      <c r="O1082" s="2" t="s">
        <v>863</v>
      </c>
      <c r="P1082" s="2" t="s">
        <v>50</v>
      </c>
      <c r="Q1082" s="2">
        <f>INDEX(Tables!$C$4:$C$28,MATCH($P1082,Tables!$B$4:$B$28,0))</f>
        <v>16</v>
      </c>
      <c r="R1082" s="2">
        <f>INDEX(Tables!$D$4:$D$28,MATCH($P1082,Tables!$B$4:$B$28,0))</f>
        <v>2</v>
      </c>
      <c r="S1082" s="2">
        <f>$S1081+$R1081+INDEX(Tables!$N$5:$Q$8,MATCH(MOD($S1081+$R1081,4),Tables!$M$5:$M$8,0),MATCH($R1082,Tables!$N$4:$Q$4,0))</f>
        <v>3874</v>
      </c>
      <c r="T1082" s="2" t="str">
        <f t="shared" si="249"/>
        <v>0F22</v>
      </c>
      <c r="U1082" s="2">
        <f t="shared" si="255"/>
        <v>968</v>
      </c>
      <c r="V1082" s="2" t="str">
        <f t="shared" si="250"/>
        <v>3C8</v>
      </c>
      <c r="W1082" s="2" t="str">
        <f t="shared" si="251"/>
        <v>X</v>
      </c>
      <c r="X1082" s="2" t="str">
        <f t="shared" si="252"/>
        <v>X</v>
      </c>
      <c r="Y1082" s="2" t="str">
        <f t="shared" si="253"/>
        <v/>
      </c>
      <c r="Z1082" s="2" t="str">
        <f t="shared" si="254"/>
        <v/>
      </c>
      <c r="AA1082" s="2" t="str">
        <f t="shared" si="256"/>
        <v>(29 downto 24)</v>
      </c>
      <c r="AB1082" s="2" t="str">
        <f t="shared" si="257"/>
        <v>(23 downto 16)</v>
      </c>
      <c r="AC1082" s="2" t="str">
        <f t="shared" si="258"/>
        <v/>
      </c>
      <c r="AD1082" s="2" t="str">
        <f t="shared" si="259"/>
        <v/>
      </c>
      <c r="AE1082" s="2" t="str">
        <f t="shared" si="260"/>
        <v>(13 downto 8)</v>
      </c>
      <c r="AF1082" s="2" t="str">
        <f t="shared" si="261"/>
        <v>(7 downto 0)</v>
      </c>
      <c r="AG1082" s="2" t="str">
        <f t="shared" si="262"/>
        <v/>
      </c>
      <c r="AH1082" s="2" t="str">
        <f t="shared" si="263"/>
        <v/>
      </c>
    </row>
    <row r="1083" spans="2:34" x14ac:dyDescent="0.25">
      <c r="B1083" s="2" t="s">
        <v>1104</v>
      </c>
      <c r="D1083" s="2" t="s">
        <v>1</v>
      </c>
      <c r="E1083" s="2" t="s">
        <v>134</v>
      </c>
      <c r="F1083" s="2" t="s">
        <v>1110</v>
      </c>
      <c r="G1083" s="2" t="s">
        <v>1111</v>
      </c>
      <c r="H1083" s="2" t="s">
        <v>864</v>
      </c>
      <c r="I1083" s="2" t="s">
        <v>42</v>
      </c>
      <c r="J1083" s="2">
        <v>1</v>
      </c>
      <c r="K1083" s="2" t="s">
        <v>82</v>
      </c>
      <c r="L1083" s="2" t="s">
        <v>41</v>
      </c>
      <c r="M1083" s="2" t="s">
        <v>135</v>
      </c>
      <c r="N1083" s="2" t="s">
        <v>1107</v>
      </c>
      <c r="O1083" s="2" t="s">
        <v>865</v>
      </c>
      <c r="P1083" s="2" t="s">
        <v>5</v>
      </c>
      <c r="Q1083" s="2">
        <f>INDEX(Tables!$C$4:$C$28,MATCH($P1083,Tables!$B$4:$B$28,0))</f>
        <v>32</v>
      </c>
      <c r="R1083" s="2">
        <f>INDEX(Tables!$D$4:$D$28,MATCH($P1083,Tables!$B$4:$B$28,0))</f>
        <v>4</v>
      </c>
      <c r="S1083" s="2">
        <f>$S1082+$R1082+INDEX(Tables!$N$5:$Q$8,MATCH(MOD($S1082+$R1082,4),Tables!$M$5:$M$8,0),MATCH($R1083,Tables!$N$4:$Q$4,0))</f>
        <v>3876</v>
      </c>
      <c r="T1083" s="2" t="str">
        <f t="shared" si="249"/>
        <v>0F24</v>
      </c>
      <c r="U1083" s="2">
        <f t="shared" si="255"/>
        <v>969</v>
      </c>
      <c r="V1083" s="2" t="str">
        <f t="shared" si="250"/>
        <v>3C9</v>
      </c>
      <c r="W1083" s="2" t="str">
        <f t="shared" si="251"/>
        <v/>
      </c>
      <c r="X1083" s="2" t="str">
        <f t="shared" si="252"/>
        <v/>
      </c>
      <c r="Y1083" s="2" t="str">
        <f t="shared" si="253"/>
        <v/>
      </c>
      <c r="Z1083" s="2" t="str">
        <f t="shared" si="254"/>
        <v>X</v>
      </c>
      <c r="AA1083" s="2" t="str">
        <f t="shared" si="256"/>
        <v/>
      </c>
      <c r="AB1083" s="2" t="str">
        <f t="shared" si="257"/>
        <v/>
      </c>
      <c r="AC1083" s="2" t="str">
        <f t="shared" si="258"/>
        <v/>
      </c>
      <c r="AD1083" s="2" t="str">
        <f t="shared" si="259"/>
        <v>(0)</v>
      </c>
      <c r="AE1083" s="2" t="str">
        <f t="shared" si="260"/>
        <v/>
      </c>
      <c r="AF1083" s="2" t="str">
        <f t="shared" si="261"/>
        <v/>
      </c>
      <c r="AG1083" s="2" t="str">
        <f t="shared" si="262"/>
        <v/>
      </c>
      <c r="AH1083" s="2" t="str">
        <f t="shared" si="263"/>
        <v/>
      </c>
    </row>
    <row r="1084" spans="2:34" x14ac:dyDescent="0.25">
      <c r="B1084" s="2" t="s">
        <v>1104</v>
      </c>
      <c r="D1084" s="2" t="s">
        <v>1</v>
      </c>
      <c r="E1084" s="2" t="s">
        <v>134</v>
      </c>
      <c r="F1084" s="2" t="s">
        <v>1110</v>
      </c>
      <c r="G1084" s="2" t="s">
        <v>1111</v>
      </c>
      <c r="H1084" s="2" t="s">
        <v>866</v>
      </c>
      <c r="I1084" s="2" t="s">
        <v>42</v>
      </c>
      <c r="J1084" s="2">
        <v>14</v>
      </c>
      <c r="K1084" s="2" t="s">
        <v>137</v>
      </c>
      <c r="L1084" s="2" t="s">
        <v>41</v>
      </c>
      <c r="M1084" s="2" t="s">
        <v>135</v>
      </c>
      <c r="N1084" s="2" t="s">
        <v>1107</v>
      </c>
      <c r="O1084" s="2" t="s">
        <v>867</v>
      </c>
      <c r="P1084" s="2" t="s">
        <v>50</v>
      </c>
      <c r="Q1084" s="2">
        <f>INDEX(Tables!$C$4:$C$28,MATCH($P1084,Tables!$B$4:$B$28,0))</f>
        <v>16</v>
      </c>
      <c r="R1084" s="2">
        <f>INDEX(Tables!$D$4:$D$28,MATCH($P1084,Tables!$B$4:$B$28,0))</f>
        <v>2</v>
      </c>
      <c r="S1084" s="2">
        <f>$S1083+$R1083+INDEX(Tables!$N$5:$Q$8,MATCH(MOD($S1083+$R1083,4),Tables!$M$5:$M$8,0),MATCH($R1084,Tables!$N$4:$Q$4,0))</f>
        <v>3880</v>
      </c>
      <c r="T1084" s="2" t="str">
        <f t="shared" si="249"/>
        <v>0F28</v>
      </c>
      <c r="U1084" s="2">
        <f t="shared" si="255"/>
        <v>970</v>
      </c>
      <c r="V1084" s="2" t="str">
        <f t="shared" si="250"/>
        <v>3CA</v>
      </c>
      <c r="W1084" s="2" t="str">
        <f t="shared" si="251"/>
        <v/>
      </c>
      <c r="X1084" s="2" t="str">
        <f t="shared" si="252"/>
        <v/>
      </c>
      <c r="Y1084" s="2" t="str">
        <f t="shared" si="253"/>
        <v>X</v>
      </c>
      <c r="Z1084" s="2" t="str">
        <f t="shared" si="254"/>
        <v>X</v>
      </c>
      <c r="AA1084" s="2" t="str">
        <f t="shared" si="256"/>
        <v/>
      </c>
      <c r="AB1084" s="2" t="str">
        <f t="shared" si="257"/>
        <v/>
      </c>
      <c r="AC1084" s="2" t="str">
        <f t="shared" si="258"/>
        <v>(13 downto 8)</v>
      </c>
      <c r="AD1084" s="2" t="str">
        <f t="shared" si="259"/>
        <v>(7 downto 0)</v>
      </c>
      <c r="AE1084" s="2" t="str">
        <f t="shared" si="260"/>
        <v/>
      </c>
      <c r="AF1084" s="2" t="str">
        <f t="shared" si="261"/>
        <v/>
      </c>
      <c r="AG1084" s="2" t="str">
        <f t="shared" si="262"/>
        <v>(13 downto 8)</v>
      </c>
      <c r="AH1084" s="2" t="str">
        <f t="shared" si="263"/>
        <v>(7 downto 0)</v>
      </c>
    </row>
    <row r="1085" spans="2:34" x14ac:dyDescent="0.25">
      <c r="B1085" s="2" t="s">
        <v>1104</v>
      </c>
      <c r="D1085" s="2" t="s">
        <v>1</v>
      </c>
      <c r="E1085" s="2" t="s">
        <v>134</v>
      </c>
      <c r="F1085" s="2" t="s">
        <v>1110</v>
      </c>
      <c r="G1085" s="2" t="s">
        <v>1111</v>
      </c>
      <c r="H1085" s="2" t="s">
        <v>868</v>
      </c>
      <c r="I1085" s="2" t="s">
        <v>42</v>
      </c>
      <c r="J1085" s="2">
        <v>14</v>
      </c>
      <c r="K1085" s="2" t="s">
        <v>137</v>
      </c>
      <c r="L1085" s="2" t="s">
        <v>41</v>
      </c>
      <c r="M1085" s="2" t="s">
        <v>135</v>
      </c>
      <c r="N1085" s="2" t="s">
        <v>1107</v>
      </c>
      <c r="O1085" s="2" t="s">
        <v>869</v>
      </c>
      <c r="P1085" s="2" t="s">
        <v>50</v>
      </c>
      <c r="Q1085" s="2">
        <f>INDEX(Tables!$C$4:$C$28,MATCH($P1085,Tables!$B$4:$B$28,0))</f>
        <v>16</v>
      </c>
      <c r="R1085" s="2">
        <f>INDEX(Tables!$D$4:$D$28,MATCH($P1085,Tables!$B$4:$B$28,0))</f>
        <v>2</v>
      </c>
      <c r="S1085" s="2">
        <f>$S1084+$R1084+INDEX(Tables!$N$5:$Q$8,MATCH(MOD($S1084+$R1084,4),Tables!$M$5:$M$8,0),MATCH($R1085,Tables!$N$4:$Q$4,0))</f>
        <v>3882</v>
      </c>
      <c r="T1085" s="2" t="str">
        <f t="shared" si="249"/>
        <v>0F2A</v>
      </c>
      <c r="U1085" s="2">
        <f t="shared" si="255"/>
        <v>970</v>
      </c>
      <c r="V1085" s="2" t="str">
        <f t="shared" si="250"/>
        <v>3CA</v>
      </c>
      <c r="W1085" s="2" t="str">
        <f t="shared" si="251"/>
        <v>X</v>
      </c>
      <c r="X1085" s="2" t="str">
        <f t="shared" si="252"/>
        <v>X</v>
      </c>
      <c r="Y1085" s="2" t="str">
        <f t="shared" si="253"/>
        <v/>
      </c>
      <c r="Z1085" s="2" t="str">
        <f t="shared" si="254"/>
        <v/>
      </c>
      <c r="AA1085" s="2" t="str">
        <f t="shared" si="256"/>
        <v>(29 downto 24)</v>
      </c>
      <c r="AB1085" s="2" t="str">
        <f t="shared" si="257"/>
        <v>(23 downto 16)</v>
      </c>
      <c r="AC1085" s="2" t="str">
        <f t="shared" si="258"/>
        <v/>
      </c>
      <c r="AD1085" s="2" t="str">
        <f t="shared" si="259"/>
        <v/>
      </c>
      <c r="AE1085" s="2" t="str">
        <f t="shared" si="260"/>
        <v>(13 downto 8)</v>
      </c>
      <c r="AF1085" s="2" t="str">
        <f t="shared" si="261"/>
        <v>(7 downto 0)</v>
      </c>
      <c r="AG1085" s="2" t="str">
        <f t="shared" si="262"/>
        <v/>
      </c>
      <c r="AH1085" s="2" t="str">
        <f t="shared" si="263"/>
        <v/>
      </c>
    </row>
    <row r="1086" spans="2:34" x14ac:dyDescent="0.25">
      <c r="B1086" s="2" t="s">
        <v>1104</v>
      </c>
      <c r="D1086" s="2" t="s">
        <v>1</v>
      </c>
      <c r="E1086" s="2" t="s">
        <v>134</v>
      </c>
      <c r="F1086" s="2" t="s">
        <v>1110</v>
      </c>
      <c r="G1086" s="2" t="s">
        <v>1111</v>
      </c>
      <c r="H1086" s="2" t="s">
        <v>870</v>
      </c>
      <c r="I1086" s="2" t="s">
        <v>42</v>
      </c>
      <c r="J1086" s="2">
        <v>14</v>
      </c>
      <c r="K1086" s="2" t="s">
        <v>137</v>
      </c>
      <c r="L1086" s="2" t="s">
        <v>41</v>
      </c>
      <c r="M1086" s="2" t="s">
        <v>135</v>
      </c>
      <c r="N1086" s="2" t="s">
        <v>1107</v>
      </c>
      <c r="O1086" s="2" t="s">
        <v>871</v>
      </c>
      <c r="P1086" s="2" t="s">
        <v>50</v>
      </c>
      <c r="Q1086" s="2">
        <f>INDEX(Tables!$C$4:$C$28,MATCH($P1086,Tables!$B$4:$B$28,0))</f>
        <v>16</v>
      </c>
      <c r="R1086" s="2">
        <f>INDEX(Tables!$D$4:$D$28,MATCH($P1086,Tables!$B$4:$B$28,0))</f>
        <v>2</v>
      </c>
      <c r="S1086" s="2">
        <f>$S1085+$R1085+INDEX(Tables!$N$5:$Q$8,MATCH(MOD($S1085+$R1085,4),Tables!$M$5:$M$8,0),MATCH($R1086,Tables!$N$4:$Q$4,0))</f>
        <v>3884</v>
      </c>
      <c r="T1086" s="2" t="str">
        <f t="shared" si="249"/>
        <v>0F2C</v>
      </c>
      <c r="U1086" s="2">
        <f t="shared" si="255"/>
        <v>971</v>
      </c>
      <c r="V1086" s="2" t="str">
        <f t="shared" si="250"/>
        <v>3CB</v>
      </c>
      <c r="W1086" s="2" t="str">
        <f t="shared" si="251"/>
        <v/>
      </c>
      <c r="X1086" s="2" t="str">
        <f t="shared" si="252"/>
        <v/>
      </c>
      <c r="Y1086" s="2" t="str">
        <f t="shared" si="253"/>
        <v>X</v>
      </c>
      <c r="Z1086" s="2" t="str">
        <f t="shared" si="254"/>
        <v>X</v>
      </c>
      <c r="AA1086" s="2" t="str">
        <f t="shared" si="256"/>
        <v/>
      </c>
      <c r="AB1086" s="2" t="str">
        <f t="shared" si="257"/>
        <v/>
      </c>
      <c r="AC1086" s="2" t="str">
        <f t="shared" si="258"/>
        <v>(13 downto 8)</v>
      </c>
      <c r="AD1086" s="2" t="str">
        <f t="shared" si="259"/>
        <v>(7 downto 0)</v>
      </c>
      <c r="AE1086" s="2" t="str">
        <f t="shared" si="260"/>
        <v/>
      </c>
      <c r="AF1086" s="2" t="str">
        <f t="shared" si="261"/>
        <v/>
      </c>
      <c r="AG1086" s="2" t="str">
        <f t="shared" si="262"/>
        <v>(13 downto 8)</v>
      </c>
      <c r="AH1086" s="2" t="str">
        <f t="shared" si="263"/>
        <v>(7 downto 0)</v>
      </c>
    </row>
    <row r="1087" spans="2:34" x14ac:dyDescent="0.25">
      <c r="B1087" s="2" t="s">
        <v>1112</v>
      </c>
      <c r="D1087" s="2" t="s">
        <v>1</v>
      </c>
      <c r="E1087" s="2" t="s">
        <v>134</v>
      </c>
      <c r="F1087" s="2" t="s">
        <v>1113</v>
      </c>
      <c r="G1087" s="2" t="s">
        <v>1114</v>
      </c>
      <c r="H1087" s="2" t="s">
        <v>875</v>
      </c>
      <c r="I1087" s="2" t="s">
        <v>42</v>
      </c>
      <c r="J1087" s="2">
        <v>3</v>
      </c>
      <c r="K1087" s="2" t="s">
        <v>137</v>
      </c>
      <c r="L1087" s="2" t="s">
        <v>41</v>
      </c>
      <c r="M1087" s="2" t="s">
        <v>135</v>
      </c>
      <c r="N1087" s="2" t="s">
        <v>1115</v>
      </c>
      <c r="O1087" s="2" t="s">
        <v>877</v>
      </c>
      <c r="P1087" s="2" t="s">
        <v>48</v>
      </c>
      <c r="Q1087" s="2">
        <f>INDEX(Tables!$C$4:$C$28,MATCH($P1087,Tables!$B$4:$B$28,0))</f>
        <v>8</v>
      </c>
      <c r="R1087" s="2">
        <f>INDEX(Tables!$D$4:$D$28,MATCH($P1087,Tables!$B$4:$B$28,0))</f>
        <v>1</v>
      </c>
      <c r="S1087" s="2">
        <f>$S1086+$R1086+INDEX(Tables!$N$5:$Q$8,MATCH(MOD($S1086+$R1086,4),Tables!$M$5:$M$8,0),MATCH($R1087,Tables!$N$4:$Q$4,0))</f>
        <v>3886</v>
      </c>
      <c r="T1087" s="2" t="str">
        <f t="shared" si="249"/>
        <v>0F2E</v>
      </c>
      <c r="U1087" s="2">
        <f t="shared" si="255"/>
        <v>971</v>
      </c>
      <c r="V1087" s="2" t="str">
        <f t="shared" si="250"/>
        <v>3CB</v>
      </c>
      <c r="W1087" s="2" t="str">
        <f t="shared" si="251"/>
        <v/>
      </c>
      <c r="X1087" s="2" t="str">
        <f t="shared" si="252"/>
        <v>X</v>
      </c>
      <c r="Y1087" s="2" t="str">
        <f t="shared" si="253"/>
        <v/>
      </c>
      <c r="Z1087" s="2" t="str">
        <f t="shared" si="254"/>
        <v/>
      </c>
      <c r="AA1087" s="2" t="str">
        <f t="shared" si="256"/>
        <v/>
      </c>
      <c r="AB1087" s="2" t="str">
        <f t="shared" si="257"/>
        <v>(18 downto 16)</v>
      </c>
      <c r="AC1087" s="2" t="str">
        <f t="shared" si="258"/>
        <v/>
      </c>
      <c r="AD1087" s="2" t="str">
        <f t="shared" si="259"/>
        <v/>
      </c>
      <c r="AE1087" s="2" t="str">
        <f t="shared" si="260"/>
        <v/>
      </c>
      <c r="AF1087" s="2" t="str">
        <f t="shared" si="261"/>
        <v/>
      </c>
      <c r="AG1087" s="2" t="str">
        <f t="shared" si="262"/>
        <v/>
      </c>
      <c r="AH1087" s="2" t="str">
        <f t="shared" si="263"/>
        <v/>
      </c>
    </row>
    <row r="1088" spans="2:34" x14ac:dyDescent="0.25">
      <c r="B1088" s="2" t="s">
        <v>1112</v>
      </c>
      <c r="D1088" s="2" t="s">
        <v>1</v>
      </c>
      <c r="E1088" s="2" t="s">
        <v>134</v>
      </c>
      <c r="F1088" s="2" t="s">
        <v>1113</v>
      </c>
      <c r="G1088" s="2" t="s">
        <v>1114</v>
      </c>
      <c r="H1088" s="2" t="s">
        <v>878</v>
      </c>
      <c r="I1088" s="2" t="s">
        <v>42</v>
      </c>
      <c r="J1088" s="2">
        <v>1</v>
      </c>
      <c r="K1088" s="2" t="s">
        <v>82</v>
      </c>
      <c r="L1088" s="2" t="s">
        <v>41</v>
      </c>
      <c r="M1088" s="2" t="s">
        <v>135</v>
      </c>
      <c r="N1088" s="2" t="s">
        <v>1115</v>
      </c>
      <c r="O1088" s="2" t="s">
        <v>879</v>
      </c>
      <c r="P1088" s="2" t="s">
        <v>5</v>
      </c>
      <c r="Q1088" s="2">
        <f>INDEX(Tables!$C$4:$C$28,MATCH($P1088,Tables!$B$4:$B$28,0))</f>
        <v>32</v>
      </c>
      <c r="R1088" s="2">
        <f>INDEX(Tables!$D$4:$D$28,MATCH($P1088,Tables!$B$4:$B$28,0))</f>
        <v>4</v>
      </c>
      <c r="S1088" s="2">
        <f>$S1087+$R1087+INDEX(Tables!$N$5:$Q$8,MATCH(MOD($S1087+$R1087,4),Tables!$M$5:$M$8,0),MATCH($R1088,Tables!$N$4:$Q$4,0))</f>
        <v>3888</v>
      </c>
      <c r="T1088" s="2" t="str">
        <f t="shared" si="249"/>
        <v>0F30</v>
      </c>
      <c r="U1088" s="2">
        <f t="shared" si="255"/>
        <v>972</v>
      </c>
      <c r="V1088" s="2" t="str">
        <f t="shared" si="250"/>
        <v>3CC</v>
      </c>
      <c r="W1088" s="2" t="str">
        <f t="shared" si="251"/>
        <v/>
      </c>
      <c r="X1088" s="2" t="str">
        <f t="shared" si="252"/>
        <v/>
      </c>
      <c r="Y1088" s="2" t="str">
        <f t="shared" si="253"/>
        <v/>
      </c>
      <c r="Z1088" s="2" t="str">
        <f t="shared" si="254"/>
        <v>X</v>
      </c>
      <c r="AA1088" s="2" t="str">
        <f t="shared" si="256"/>
        <v/>
      </c>
      <c r="AB1088" s="2" t="str">
        <f t="shared" si="257"/>
        <v/>
      </c>
      <c r="AC1088" s="2" t="str">
        <f t="shared" si="258"/>
        <v/>
      </c>
      <c r="AD1088" s="2" t="str">
        <f t="shared" si="259"/>
        <v>(0)</v>
      </c>
      <c r="AE1088" s="2" t="str">
        <f t="shared" si="260"/>
        <v/>
      </c>
      <c r="AF1088" s="2" t="str">
        <f t="shared" si="261"/>
        <v/>
      </c>
      <c r="AG1088" s="2" t="str">
        <f t="shared" si="262"/>
        <v/>
      </c>
      <c r="AH1088" s="2" t="str">
        <f t="shared" si="263"/>
        <v/>
      </c>
    </row>
    <row r="1089" spans="2:34" x14ac:dyDescent="0.25">
      <c r="B1089" s="2" t="s">
        <v>1112</v>
      </c>
      <c r="D1089" s="2" t="s">
        <v>1</v>
      </c>
      <c r="E1089" s="2" t="s">
        <v>134</v>
      </c>
      <c r="F1089" s="2" t="s">
        <v>1113</v>
      </c>
      <c r="G1089" s="2" t="s">
        <v>1114</v>
      </c>
      <c r="H1089" s="2" t="s">
        <v>880</v>
      </c>
      <c r="I1089" s="2" t="s">
        <v>42</v>
      </c>
      <c r="J1089" s="2">
        <v>1</v>
      </c>
      <c r="K1089" s="2" t="s">
        <v>82</v>
      </c>
      <c r="L1089" s="2" t="s">
        <v>41</v>
      </c>
      <c r="M1089" s="2" t="s">
        <v>135</v>
      </c>
      <c r="N1089" s="2" t="s">
        <v>1115</v>
      </c>
      <c r="O1089" s="2" t="s">
        <v>881</v>
      </c>
      <c r="P1089" s="2" t="s">
        <v>5</v>
      </c>
      <c r="Q1089" s="2">
        <f>INDEX(Tables!$C$4:$C$28,MATCH($P1089,Tables!$B$4:$B$28,0))</f>
        <v>32</v>
      </c>
      <c r="R1089" s="2">
        <f>INDEX(Tables!$D$4:$D$28,MATCH($P1089,Tables!$B$4:$B$28,0))</f>
        <v>4</v>
      </c>
      <c r="S1089" s="2">
        <f>$S1088+$R1088+INDEX(Tables!$N$5:$Q$8,MATCH(MOD($S1088+$R1088,4),Tables!$M$5:$M$8,0),MATCH($R1089,Tables!$N$4:$Q$4,0))</f>
        <v>3892</v>
      </c>
      <c r="T1089" s="2" t="str">
        <f t="shared" si="249"/>
        <v>0F34</v>
      </c>
      <c r="U1089" s="2">
        <f t="shared" si="255"/>
        <v>973</v>
      </c>
      <c r="V1089" s="2" t="str">
        <f t="shared" si="250"/>
        <v>3CD</v>
      </c>
      <c r="W1089" s="2" t="str">
        <f t="shared" si="251"/>
        <v/>
      </c>
      <c r="X1089" s="2" t="str">
        <f t="shared" si="252"/>
        <v/>
      </c>
      <c r="Y1089" s="2" t="str">
        <f t="shared" si="253"/>
        <v/>
      </c>
      <c r="Z1089" s="2" t="str">
        <f t="shared" si="254"/>
        <v>X</v>
      </c>
      <c r="AA1089" s="2" t="str">
        <f t="shared" si="256"/>
        <v/>
      </c>
      <c r="AB1089" s="2" t="str">
        <f t="shared" si="257"/>
        <v/>
      </c>
      <c r="AC1089" s="2" t="str">
        <f t="shared" si="258"/>
        <v/>
      </c>
      <c r="AD1089" s="2" t="str">
        <f t="shared" si="259"/>
        <v>(0)</v>
      </c>
      <c r="AE1089" s="2" t="str">
        <f t="shared" si="260"/>
        <v/>
      </c>
      <c r="AF1089" s="2" t="str">
        <f t="shared" si="261"/>
        <v/>
      </c>
      <c r="AG1089" s="2" t="str">
        <f t="shared" si="262"/>
        <v/>
      </c>
      <c r="AH1089" s="2" t="str">
        <f t="shared" si="263"/>
        <v/>
      </c>
    </row>
    <row r="1090" spans="2:34" x14ac:dyDescent="0.25">
      <c r="B1090" s="2" t="s">
        <v>1112</v>
      </c>
      <c r="D1090" s="2" t="s">
        <v>1</v>
      </c>
      <c r="E1090" s="2" t="s">
        <v>134</v>
      </c>
      <c r="F1090" s="2" t="s">
        <v>1113</v>
      </c>
      <c r="G1090" s="2" t="s">
        <v>1114</v>
      </c>
      <c r="H1090" s="2" t="s">
        <v>882</v>
      </c>
      <c r="I1090" s="2" t="s">
        <v>42</v>
      </c>
      <c r="J1090" s="2">
        <v>1</v>
      </c>
      <c r="K1090" s="2" t="s">
        <v>82</v>
      </c>
      <c r="L1090" s="2" t="s">
        <v>41</v>
      </c>
      <c r="M1090" s="2" t="s">
        <v>135</v>
      </c>
      <c r="N1090" s="2" t="s">
        <v>1115</v>
      </c>
      <c r="O1090" s="2" t="s">
        <v>883</v>
      </c>
      <c r="P1090" s="2" t="s">
        <v>5</v>
      </c>
      <c r="Q1090" s="2">
        <f>INDEX(Tables!$C$4:$C$28,MATCH($P1090,Tables!$B$4:$B$28,0))</f>
        <v>32</v>
      </c>
      <c r="R1090" s="2">
        <f>INDEX(Tables!$D$4:$D$28,MATCH($P1090,Tables!$B$4:$B$28,0))</f>
        <v>4</v>
      </c>
      <c r="S1090" s="2">
        <f>$S1089+$R1089+INDEX(Tables!$N$5:$Q$8,MATCH(MOD($S1089+$R1089,4),Tables!$M$5:$M$8,0),MATCH($R1090,Tables!$N$4:$Q$4,0))</f>
        <v>3896</v>
      </c>
      <c r="T1090" s="2" t="str">
        <f t="shared" si="249"/>
        <v>0F38</v>
      </c>
      <c r="U1090" s="2">
        <f t="shared" si="255"/>
        <v>974</v>
      </c>
      <c r="V1090" s="2" t="str">
        <f t="shared" si="250"/>
        <v>3CE</v>
      </c>
      <c r="W1090" s="2" t="str">
        <f t="shared" si="251"/>
        <v/>
      </c>
      <c r="X1090" s="2" t="str">
        <f t="shared" si="252"/>
        <v/>
      </c>
      <c r="Y1090" s="2" t="str">
        <f t="shared" si="253"/>
        <v/>
      </c>
      <c r="Z1090" s="2" t="str">
        <f t="shared" si="254"/>
        <v>X</v>
      </c>
      <c r="AA1090" s="2" t="str">
        <f t="shared" si="256"/>
        <v/>
      </c>
      <c r="AB1090" s="2" t="str">
        <f t="shared" si="257"/>
        <v/>
      </c>
      <c r="AC1090" s="2" t="str">
        <f t="shared" si="258"/>
        <v/>
      </c>
      <c r="AD1090" s="2" t="str">
        <f t="shared" si="259"/>
        <v>(0)</v>
      </c>
      <c r="AE1090" s="2" t="str">
        <f t="shared" si="260"/>
        <v/>
      </c>
      <c r="AF1090" s="2" t="str">
        <f t="shared" si="261"/>
        <v/>
      </c>
      <c r="AG1090" s="2" t="str">
        <f t="shared" si="262"/>
        <v/>
      </c>
      <c r="AH1090" s="2" t="str">
        <f t="shared" si="263"/>
        <v/>
      </c>
    </row>
    <row r="1091" spans="2:34" x14ac:dyDescent="0.25">
      <c r="B1091" s="2" t="s">
        <v>1112</v>
      </c>
      <c r="D1091" s="2" t="s">
        <v>1</v>
      </c>
      <c r="E1091" s="2" t="s">
        <v>134</v>
      </c>
      <c r="F1091" s="2" t="s">
        <v>1113</v>
      </c>
      <c r="G1091" s="2" t="s">
        <v>1114</v>
      </c>
      <c r="H1091" s="2" t="s">
        <v>884</v>
      </c>
      <c r="I1091" s="2" t="s">
        <v>42</v>
      </c>
      <c r="J1091" s="2">
        <v>1</v>
      </c>
      <c r="K1091" s="2" t="s">
        <v>82</v>
      </c>
      <c r="L1091" s="2" t="s">
        <v>41</v>
      </c>
      <c r="M1091" s="2" t="s">
        <v>135</v>
      </c>
      <c r="N1091" s="2" t="s">
        <v>1115</v>
      </c>
      <c r="O1091" s="2" t="s">
        <v>885</v>
      </c>
      <c r="P1091" s="2" t="s">
        <v>5</v>
      </c>
      <c r="Q1091" s="2">
        <f>INDEX(Tables!$C$4:$C$28,MATCH($P1091,Tables!$B$4:$B$28,0))</f>
        <v>32</v>
      </c>
      <c r="R1091" s="2">
        <f>INDEX(Tables!$D$4:$D$28,MATCH($P1091,Tables!$B$4:$B$28,0))</f>
        <v>4</v>
      </c>
      <c r="S1091" s="2">
        <f>$S1090+$R1090+INDEX(Tables!$N$5:$Q$8,MATCH(MOD($S1090+$R1090,4),Tables!$M$5:$M$8,0),MATCH($R1091,Tables!$N$4:$Q$4,0))</f>
        <v>3900</v>
      </c>
      <c r="T1091" s="2" t="str">
        <f t="shared" si="249"/>
        <v>0F3C</v>
      </c>
      <c r="U1091" s="2">
        <f t="shared" si="255"/>
        <v>975</v>
      </c>
      <c r="V1091" s="2" t="str">
        <f t="shared" si="250"/>
        <v>3CF</v>
      </c>
      <c r="W1091" s="2" t="str">
        <f t="shared" si="251"/>
        <v/>
      </c>
      <c r="X1091" s="2" t="str">
        <f t="shared" si="252"/>
        <v/>
      </c>
      <c r="Y1091" s="2" t="str">
        <f t="shared" si="253"/>
        <v/>
      </c>
      <c r="Z1091" s="2" t="str">
        <f t="shared" si="254"/>
        <v>X</v>
      </c>
      <c r="AA1091" s="2" t="str">
        <f t="shared" si="256"/>
        <v/>
      </c>
      <c r="AB1091" s="2" t="str">
        <f t="shared" si="257"/>
        <v/>
      </c>
      <c r="AC1091" s="2" t="str">
        <f t="shared" si="258"/>
        <v/>
      </c>
      <c r="AD1091" s="2" t="str">
        <f t="shared" si="259"/>
        <v>(0)</v>
      </c>
      <c r="AE1091" s="2" t="str">
        <f t="shared" si="260"/>
        <v/>
      </c>
      <c r="AF1091" s="2" t="str">
        <f t="shared" si="261"/>
        <v/>
      </c>
      <c r="AG1091" s="2" t="str">
        <f t="shared" si="262"/>
        <v/>
      </c>
      <c r="AH1091" s="2" t="str">
        <f t="shared" si="263"/>
        <v/>
      </c>
    </row>
    <row r="1092" spans="2:34" x14ac:dyDescent="0.25">
      <c r="B1092" s="2" t="s">
        <v>1112</v>
      </c>
      <c r="D1092" s="2" t="s">
        <v>1</v>
      </c>
      <c r="E1092" s="2" t="s">
        <v>134</v>
      </c>
      <c r="F1092" s="2" t="s">
        <v>1113</v>
      </c>
      <c r="G1092" s="2" t="s">
        <v>1114</v>
      </c>
      <c r="H1092" s="2" t="s">
        <v>886</v>
      </c>
      <c r="I1092" s="2" t="s">
        <v>42</v>
      </c>
      <c r="J1092" s="2">
        <v>1</v>
      </c>
      <c r="K1092" s="2" t="s">
        <v>82</v>
      </c>
      <c r="L1092" s="2" t="s">
        <v>41</v>
      </c>
      <c r="M1092" s="2" t="s">
        <v>135</v>
      </c>
      <c r="N1092" s="2" t="s">
        <v>1115</v>
      </c>
      <c r="O1092" s="2" t="s">
        <v>887</v>
      </c>
      <c r="P1092" s="2" t="s">
        <v>5</v>
      </c>
      <c r="Q1092" s="2">
        <f>INDEX(Tables!$C$4:$C$28,MATCH($P1092,Tables!$B$4:$B$28,0))</f>
        <v>32</v>
      </c>
      <c r="R1092" s="2">
        <f>INDEX(Tables!$D$4:$D$28,MATCH($P1092,Tables!$B$4:$B$28,0))</f>
        <v>4</v>
      </c>
      <c r="S1092" s="2">
        <f>$S1091+$R1091+INDEX(Tables!$N$5:$Q$8,MATCH(MOD($S1091+$R1091,4),Tables!$M$5:$M$8,0),MATCH($R1092,Tables!$N$4:$Q$4,0))</f>
        <v>3904</v>
      </c>
      <c r="T1092" s="2" t="str">
        <f t="shared" si="249"/>
        <v>0F40</v>
      </c>
      <c r="U1092" s="2">
        <f t="shared" si="255"/>
        <v>976</v>
      </c>
      <c r="V1092" s="2" t="str">
        <f t="shared" si="250"/>
        <v>3D0</v>
      </c>
      <c r="W1092" s="2" t="str">
        <f t="shared" si="251"/>
        <v/>
      </c>
      <c r="X1092" s="2" t="str">
        <f t="shared" si="252"/>
        <v/>
      </c>
      <c r="Y1092" s="2" t="str">
        <f t="shared" si="253"/>
        <v/>
      </c>
      <c r="Z1092" s="2" t="str">
        <f t="shared" si="254"/>
        <v>X</v>
      </c>
      <c r="AA1092" s="2" t="str">
        <f t="shared" si="256"/>
        <v/>
      </c>
      <c r="AB1092" s="2" t="str">
        <f t="shared" si="257"/>
        <v/>
      </c>
      <c r="AC1092" s="2" t="str">
        <f t="shared" si="258"/>
        <v/>
      </c>
      <c r="AD1092" s="2" t="str">
        <f t="shared" si="259"/>
        <v>(0)</v>
      </c>
      <c r="AE1092" s="2" t="str">
        <f t="shared" si="260"/>
        <v/>
      </c>
      <c r="AF1092" s="2" t="str">
        <f t="shared" si="261"/>
        <v/>
      </c>
      <c r="AG1092" s="2" t="str">
        <f t="shared" si="262"/>
        <v/>
      </c>
      <c r="AH1092" s="2" t="str">
        <f t="shared" si="263"/>
        <v/>
      </c>
    </row>
    <row r="1093" spans="2:34" x14ac:dyDescent="0.25">
      <c r="B1093" s="2" t="s">
        <v>1112</v>
      </c>
      <c r="D1093" s="2" t="s">
        <v>1</v>
      </c>
      <c r="E1093" s="2" t="s">
        <v>134</v>
      </c>
      <c r="F1093" s="2" t="s">
        <v>1113</v>
      </c>
      <c r="G1093" s="2" t="s">
        <v>1114</v>
      </c>
      <c r="H1093" s="2" t="s">
        <v>888</v>
      </c>
      <c r="I1093" s="2" t="s">
        <v>42</v>
      </c>
      <c r="J1093" s="2">
        <v>1</v>
      </c>
      <c r="K1093" s="2" t="s">
        <v>82</v>
      </c>
      <c r="L1093" s="2" t="s">
        <v>41</v>
      </c>
      <c r="M1093" s="2" t="s">
        <v>135</v>
      </c>
      <c r="N1093" s="2" t="s">
        <v>1115</v>
      </c>
      <c r="O1093" s="2" t="s">
        <v>889</v>
      </c>
      <c r="P1093" s="2" t="s">
        <v>5</v>
      </c>
      <c r="Q1093" s="2">
        <f>INDEX(Tables!$C$4:$C$28,MATCH($P1093,Tables!$B$4:$B$28,0))</f>
        <v>32</v>
      </c>
      <c r="R1093" s="2">
        <f>INDEX(Tables!$D$4:$D$28,MATCH($P1093,Tables!$B$4:$B$28,0))</f>
        <v>4</v>
      </c>
      <c r="S1093" s="2">
        <f>$S1092+$R1092+INDEX(Tables!$N$5:$Q$8,MATCH(MOD($S1092+$R1092,4),Tables!$M$5:$M$8,0),MATCH($R1093,Tables!$N$4:$Q$4,0))</f>
        <v>3908</v>
      </c>
      <c r="T1093" s="2" t="str">
        <f t="shared" ref="T1093:T1138" si="264">DEC2HEX($S1093,4)</f>
        <v>0F44</v>
      </c>
      <c r="U1093" s="2">
        <f t="shared" si="255"/>
        <v>977</v>
      </c>
      <c r="V1093" s="2" t="str">
        <f t="shared" ref="V1093:V1138" si="265">DEC2HEX($U1093,3)</f>
        <v>3D1</v>
      </c>
      <c r="W1093" s="2" t="str">
        <f t="shared" ref="W1093:W1138" si="266">IF(MOD($S1093,4)=3,"X",IF(AND(MOD($S1093,4)=2,$J1093&gt;8),"X",IF(AND(MOD($S1093,4)=1,$J1093&gt;16),"X",IF(AND(MOD($S1093,4)=0,$J1093&gt;24),"X",""))))</f>
        <v/>
      </c>
      <c r="X1093" s="2" t="str">
        <f t="shared" si="252"/>
        <v/>
      </c>
      <c r="Y1093" s="2" t="str">
        <f t="shared" si="253"/>
        <v/>
      </c>
      <c r="Z1093" s="2" t="str">
        <f t="shared" si="254"/>
        <v>X</v>
      </c>
      <c r="AA1093" s="2" t="str">
        <f t="shared" si="256"/>
        <v/>
      </c>
      <c r="AB1093" s="2" t="str">
        <f t="shared" si="257"/>
        <v/>
      </c>
      <c r="AC1093" s="2" t="str">
        <f t="shared" si="258"/>
        <v/>
      </c>
      <c r="AD1093" s="2" t="str">
        <f t="shared" si="259"/>
        <v>(0)</v>
      </c>
      <c r="AE1093" s="2" t="str">
        <f t="shared" si="260"/>
        <v/>
      </c>
      <c r="AF1093" s="2" t="str">
        <f t="shared" si="261"/>
        <v/>
      </c>
      <c r="AG1093" s="2" t="str">
        <f t="shared" si="262"/>
        <v/>
      </c>
      <c r="AH1093" s="2" t="str">
        <f t="shared" si="263"/>
        <v/>
      </c>
    </row>
    <row r="1094" spans="2:34" x14ac:dyDescent="0.25">
      <c r="B1094" s="2" t="s">
        <v>1112</v>
      </c>
      <c r="D1094" s="2" t="s">
        <v>1</v>
      </c>
      <c r="E1094" s="2" t="s">
        <v>134</v>
      </c>
      <c r="F1094" s="2" t="s">
        <v>1113</v>
      </c>
      <c r="G1094" s="2" t="s">
        <v>1114</v>
      </c>
      <c r="H1094" s="2" t="s">
        <v>890</v>
      </c>
      <c r="I1094" s="2" t="s">
        <v>42</v>
      </c>
      <c r="J1094" s="2">
        <v>1</v>
      </c>
      <c r="K1094" s="2" t="s">
        <v>82</v>
      </c>
      <c r="L1094" s="2" t="s">
        <v>41</v>
      </c>
      <c r="M1094" s="2" t="s">
        <v>135</v>
      </c>
      <c r="N1094" s="2" t="s">
        <v>1115</v>
      </c>
      <c r="O1094" s="2" t="s">
        <v>891</v>
      </c>
      <c r="P1094" s="2" t="s">
        <v>5</v>
      </c>
      <c r="Q1094" s="2">
        <f>INDEX(Tables!$C$4:$C$28,MATCH($P1094,Tables!$B$4:$B$28,0))</f>
        <v>32</v>
      </c>
      <c r="R1094" s="2">
        <f>INDEX(Tables!$D$4:$D$28,MATCH($P1094,Tables!$B$4:$B$28,0))</f>
        <v>4</v>
      </c>
      <c r="S1094" s="2">
        <f>$S1093+$R1093+INDEX(Tables!$N$5:$Q$8,MATCH(MOD($S1093+$R1093,4),Tables!$M$5:$M$8,0),MATCH($R1094,Tables!$N$4:$Q$4,0))</f>
        <v>3912</v>
      </c>
      <c r="T1094" s="2" t="str">
        <f t="shared" si="264"/>
        <v>0F48</v>
      </c>
      <c r="U1094" s="2">
        <f t="shared" si="255"/>
        <v>978</v>
      </c>
      <c r="V1094" s="2" t="str">
        <f t="shared" si="265"/>
        <v>3D2</v>
      </c>
      <c r="W1094" s="2" t="str">
        <f t="shared" si="266"/>
        <v/>
      </c>
      <c r="X1094" s="2" t="str">
        <f t="shared" si="252"/>
        <v/>
      </c>
      <c r="Y1094" s="2" t="str">
        <f t="shared" si="253"/>
        <v/>
      </c>
      <c r="Z1094" s="2" t="str">
        <f t="shared" si="254"/>
        <v>X</v>
      </c>
      <c r="AA1094" s="2" t="str">
        <f t="shared" si="256"/>
        <v/>
      </c>
      <c r="AB1094" s="2" t="str">
        <f t="shared" si="257"/>
        <v/>
      </c>
      <c r="AC1094" s="2" t="str">
        <f t="shared" si="258"/>
        <v/>
      </c>
      <c r="AD1094" s="2" t="str">
        <f t="shared" si="259"/>
        <v>(0)</v>
      </c>
      <c r="AE1094" s="2" t="str">
        <f t="shared" si="260"/>
        <v/>
      </c>
      <c r="AF1094" s="2" t="str">
        <f t="shared" si="261"/>
        <v/>
      </c>
      <c r="AG1094" s="2" t="str">
        <f t="shared" si="262"/>
        <v/>
      </c>
      <c r="AH1094" s="2" t="str">
        <f t="shared" si="263"/>
        <v/>
      </c>
    </row>
    <row r="1095" spans="2:34" x14ac:dyDescent="0.25">
      <c r="B1095" s="2" t="s">
        <v>1112</v>
      </c>
      <c r="D1095" s="2" t="s">
        <v>1</v>
      </c>
      <c r="E1095" s="2" t="s">
        <v>134</v>
      </c>
      <c r="F1095" s="2" t="s">
        <v>1113</v>
      </c>
      <c r="G1095" s="2" t="s">
        <v>1114</v>
      </c>
      <c r="H1095" s="2" t="s">
        <v>892</v>
      </c>
      <c r="I1095" s="2" t="s">
        <v>42</v>
      </c>
      <c r="J1095" s="2">
        <v>1</v>
      </c>
      <c r="K1095" s="2" t="s">
        <v>82</v>
      </c>
      <c r="L1095" s="2" t="s">
        <v>41</v>
      </c>
      <c r="M1095" s="2" t="s">
        <v>135</v>
      </c>
      <c r="N1095" s="2" t="s">
        <v>1115</v>
      </c>
      <c r="O1095" s="2" t="s">
        <v>893</v>
      </c>
      <c r="P1095" s="2" t="s">
        <v>5</v>
      </c>
      <c r="Q1095" s="2">
        <f>INDEX(Tables!$C$4:$C$28,MATCH($P1095,Tables!$B$4:$B$28,0))</f>
        <v>32</v>
      </c>
      <c r="R1095" s="2">
        <f>INDEX(Tables!$D$4:$D$28,MATCH($P1095,Tables!$B$4:$B$28,0))</f>
        <v>4</v>
      </c>
      <c r="S1095" s="2">
        <f>$S1094+$R1094+INDEX(Tables!$N$5:$Q$8,MATCH(MOD($S1094+$R1094,4),Tables!$M$5:$M$8,0),MATCH($R1095,Tables!$N$4:$Q$4,0))</f>
        <v>3916</v>
      </c>
      <c r="T1095" s="2" t="str">
        <f t="shared" si="264"/>
        <v>0F4C</v>
      </c>
      <c r="U1095" s="2">
        <f t="shared" si="255"/>
        <v>979</v>
      </c>
      <c r="V1095" s="2" t="str">
        <f t="shared" si="265"/>
        <v>3D3</v>
      </c>
      <c r="W1095" s="2" t="str">
        <f t="shared" si="266"/>
        <v/>
      </c>
      <c r="X1095" s="2" t="str">
        <f t="shared" si="252"/>
        <v/>
      </c>
      <c r="Y1095" s="2" t="str">
        <f t="shared" si="253"/>
        <v/>
      </c>
      <c r="Z1095" s="2" t="str">
        <f t="shared" si="254"/>
        <v>X</v>
      </c>
      <c r="AA1095" s="2" t="str">
        <f t="shared" si="256"/>
        <v/>
      </c>
      <c r="AB1095" s="2" t="str">
        <f t="shared" si="257"/>
        <v/>
      </c>
      <c r="AC1095" s="2" t="str">
        <f t="shared" si="258"/>
        <v/>
      </c>
      <c r="AD1095" s="2" t="str">
        <f t="shared" si="259"/>
        <v>(0)</v>
      </c>
      <c r="AE1095" s="2" t="str">
        <f t="shared" si="260"/>
        <v/>
      </c>
      <c r="AF1095" s="2" t="str">
        <f t="shared" si="261"/>
        <v/>
      </c>
      <c r="AG1095" s="2" t="str">
        <f t="shared" si="262"/>
        <v/>
      </c>
      <c r="AH1095" s="2" t="str">
        <f t="shared" si="263"/>
        <v/>
      </c>
    </row>
    <row r="1096" spans="2:34" x14ac:dyDescent="0.25">
      <c r="B1096" s="2" t="s">
        <v>1112</v>
      </c>
      <c r="D1096" s="2" t="s">
        <v>1</v>
      </c>
      <c r="E1096" s="2" t="s">
        <v>134</v>
      </c>
      <c r="F1096" s="2" t="s">
        <v>1113</v>
      </c>
      <c r="G1096" s="2" t="s">
        <v>1114</v>
      </c>
      <c r="H1096" s="2" t="s">
        <v>894</v>
      </c>
      <c r="I1096" s="2" t="s">
        <v>42</v>
      </c>
      <c r="J1096" s="2">
        <v>1</v>
      </c>
      <c r="K1096" s="2" t="s">
        <v>82</v>
      </c>
      <c r="L1096" s="2" t="s">
        <v>41</v>
      </c>
      <c r="M1096" s="2" t="s">
        <v>135</v>
      </c>
      <c r="N1096" s="2" t="s">
        <v>1115</v>
      </c>
      <c r="O1096" s="2" t="s">
        <v>895</v>
      </c>
      <c r="P1096" s="2" t="s">
        <v>5</v>
      </c>
      <c r="Q1096" s="2">
        <f>INDEX(Tables!$C$4:$C$28,MATCH($P1096,Tables!$B$4:$B$28,0))</f>
        <v>32</v>
      </c>
      <c r="R1096" s="2">
        <f>INDEX(Tables!$D$4:$D$28,MATCH($P1096,Tables!$B$4:$B$28,0))</f>
        <v>4</v>
      </c>
      <c r="S1096" s="2">
        <f>$S1095+$R1095+INDEX(Tables!$N$5:$Q$8,MATCH(MOD($S1095+$R1095,4),Tables!$M$5:$M$8,0),MATCH($R1096,Tables!$N$4:$Q$4,0))</f>
        <v>3920</v>
      </c>
      <c r="T1096" s="2" t="str">
        <f t="shared" si="264"/>
        <v>0F50</v>
      </c>
      <c r="U1096" s="2">
        <f t="shared" si="255"/>
        <v>980</v>
      </c>
      <c r="V1096" s="2" t="str">
        <f t="shared" si="265"/>
        <v>3D4</v>
      </c>
      <c r="W1096" s="2" t="str">
        <f t="shared" si="266"/>
        <v/>
      </c>
      <c r="X1096" s="2" t="str">
        <f t="shared" si="252"/>
        <v/>
      </c>
      <c r="Y1096" s="2" t="str">
        <f t="shared" si="253"/>
        <v/>
      </c>
      <c r="Z1096" s="2" t="str">
        <f t="shared" si="254"/>
        <v>X</v>
      </c>
      <c r="AA1096" s="2" t="str">
        <f t="shared" si="256"/>
        <v/>
      </c>
      <c r="AB1096" s="2" t="str">
        <f t="shared" si="257"/>
        <v/>
      </c>
      <c r="AC1096" s="2" t="str">
        <f t="shared" si="258"/>
        <v/>
      </c>
      <c r="AD1096" s="2" t="str">
        <f t="shared" si="259"/>
        <v>(0)</v>
      </c>
      <c r="AE1096" s="2" t="str">
        <f t="shared" si="260"/>
        <v/>
      </c>
      <c r="AF1096" s="2" t="str">
        <f t="shared" si="261"/>
        <v/>
      </c>
      <c r="AG1096" s="2" t="str">
        <f t="shared" si="262"/>
        <v/>
      </c>
      <c r="AH1096" s="2" t="str">
        <f t="shared" si="263"/>
        <v/>
      </c>
    </row>
    <row r="1097" spans="2:34" x14ac:dyDescent="0.25">
      <c r="B1097" s="2" t="s">
        <v>1112</v>
      </c>
      <c r="D1097" s="2" t="s">
        <v>1</v>
      </c>
      <c r="E1097" s="2" t="s">
        <v>134</v>
      </c>
      <c r="F1097" s="2" t="s">
        <v>1113</v>
      </c>
      <c r="G1097" s="2" t="s">
        <v>1114</v>
      </c>
      <c r="H1097" s="2" t="s">
        <v>896</v>
      </c>
      <c r="I1097" s="2" t="s">
        <v>42</v>
      </c>
      <c r="J1097" s="2">
        <v>1</v>
      </c>
      <c r="K1097" s="2" t="s">
        <v>82</v>
      </c>
      <c r="L1097" s="2" t="s">
        <v>41</v>
      </c>
      <c r="M1097" s="2" t="s">
        <v>135</v>
      </c>
      <c r="N1097" s="2" t="s">
        <v>1115</v>
      </c>
      <c r="O1097" s="2" t="s">
        <v>897</v>
      </c>
      <c r="P1097" s="2" t="s">
        <v>5</v>
      </c>
      <c r="Q1097" s="2">
        <f>INDEX(Tables!$C$4:$C$28,MATCH($P1097,Tables!$B$4:$B$28,0))</f>
        <v>32</v>
      </c>
      <c r="R1097" s="2">
        <f>INDEX(Tables!$D$4:$D$28,MATCH($P1097,Tables!$B$4:$B$28,0))</f>
        <v>4</v>
      </c>
      <c r="S1097" s="2">
        <f>$S1096+$R1096+INDEX(Tables!$N$5:$Q$8,MATCH(MOD($S1096+$R1096,4),Tables!$M$5:$M$8,0),MATCH($R1097,Tables!$N$4:$Q$4,0))</f>
        <v>3924</v>
      </c>
      <c r="T1097" s="2" t="str">
        <f t="shared" si="264"/>
        <v>0F54</v>
      </c>
      <c r="U1097" s="2">
        <f t="shared" si="255"/>
        <v>981</v>
      </c>
      <c r="V1097" s="2" t="str">
        <f t="shared" si="265"/>
        <v>3D5</v>
      </c>
      <c r="W1097" s="2" t="str">
        <f t="shared" si="266"/>
        <v/>
      </c>
      <c r="X1097" s="2" t="str">
        <f t="shared" si="252"/>
        <v/>
      </c>
      <c r="Y1097" s="2" t="str">
        <f t="shared" si="253"/>
        <v/>
      </c>
      <c r="Z1097" s="2" t="str">
        <f t="shared" si="254"/>
        <v>X</v>
      </c>
      <c r="AA1097" s="2" t="str">
        <f t="shared" si="256"/>
        <v/>
      </c>
      <c r="AB1097" s="2" t="str">
        <f t="shared" si="257"/>
        <v/>
      </c>
      <c r="AC1097" s="2" t="str">
        <f t="shared" si="258"/>
        <v/>
      </c>
      <c r="AD1097" s="2" t="str">
        <f t="shared" si="259"/>
        <v>(0)</v>
      </c>
      <c r="AE1097" s="2" t="str">
        <f t="shared" si="260"/>
        <v/>
      </c>
      <c r="AF1097" s="2" t="str">
        <f t="shared" si="261"/>
        <v/>
      </c>
      <c r="AG1097" s="2" t="str">
        <f t="shared" si="262"/>
        <v/>
      </c>
      <c r="AH1097" s="2" t="str">
        <f t="shared" si="263"/>
        <v/>
      </c>
    </row>
    <row r="1098" spans="2:34" x14ac:dyDescent="0.25">
      <c r="B1098" s="2" t="s">
        <v>1112</v>
      </c>
      <c r="D1098" s="2" t="s">
        <v>1</v>
      </c>
      <c r="E1098" s="2" t="s">
        <v>134</v>
      </c>
      <c r="F1098" s="2" t="s">
        <v>1113</v>
      </c>
      <c r="G1098" s="2" t="s">
        <v>1114</v>
      </c>
      <c r="H1098" s="2" t="s">
        <v>430</v>
      </c>
      <c r="I1098" s="2" t="s">
        <v>42</v>
      </c>
      <c r="J1098" s="2">
        <v>1</v>
      </c>
      <c r="K1098" s="2" t="s">
        <v>82</v>
      </c>
      <c r="L1098" s="2" t="s">
        <v>41</v>
      </c>
      <c r="M1098" s="2" t="s">
        <v>135</v>
      </c>
      <c r="N1098" s="2" t="s">
        <v>1115</v>
      </c>
      <c r="O1098" s="2" t="s">
        <v>431</v>
      </c>
      <c r="P1098" s="2" t="s">
        <v>5</v>
      </c>
      <c r="Q1098" s="2">
        <f>INDEX(Tables!$C$4:$C$28,MATCH($P1098,Tables!$B$4:$B$28,0))</f>
        <v>32</v>
      </c>
      <c r="R1098" s="2">
        <f>INDEX(Tables!$D$4:$D$28,MATCH($P1098,Tables!$B$4:$B$28,0))</f>
        <v>4</v>
      </c>
      <c r="S1098" s="2">
        <f>$S1097+$R1097+INDEX(Tables!$N$5:$Q$8,MATCH(MOD($S1097+$R1097,4),Tables!$M$5:$M$8,0),MATCH($R1098,Tables!$N$4:$Q$4,0))</f>
        <v>3928</v>
      </c>
      <c r="T1098" s="2" t="str">
        <f t="shared" si="264"/>
        <v>0F58</v>
      </c>
      <c r="U1098" s="2">
        <f t="shared" si="255"/>
        <v>982</v>
      </c>
      <c r="V1098" s="2" t="str">
        <f t="shared" si="265"/>
        <v>3D6</v>
      </c>
      <c r="W1098" s="2" t="str">
        <f t="shared" si="266"/>
        <v/>
      </c>
      <c r="X1098" s="2" t="str">
        <f t="shared" si="252"/>
        <v/>
      </c>
      <c r="Y1098" s="2" t="str">
        <f t="shared" si="253"/>
        <v/>
      </c>
      <c r="Z1098" s="2" t="str">
        <f t="shared" si="254"/>
        <v>X</v>
      </c>
      <c r="AA1098" s="2" t="str">
        <f t="shared" si="256"/>
        <v/>
      </c>
      <c r="AB1098" s="2" t="str">
        <f t="shared" si="257"/>
        <v/>
      </c>
      <c r="AC1098" s="2" t="str">
        <f t="shared" si="258"/>
        <v/>
      </c>
      <c r="AD1098" s="2" t="str">
        <f t="shared" si="259"/>
        <v>(0)</v>
      </c>
      <c r="AE1098" s="2" t="str">
        <f t="shared" si="260"/>
        <v/>
      </c>
      <c r="AF1098" s="2" t="str">
        <f t="shared" si="261"/>
        <v/>
      </c>
      <c r="AG1098" s="2" t="str">
        <f t="shared" si="262"/>
        <v/>
      </c>
      <c r="AH1098" s="2" t="str">
        <f t="shared" si="263"/>
        <v/>
      </c>
    </row>
    <row r="1099" spans="2:34" x14ac:dyDescent="0.25">
      <c r="B1099" s="2" t="s">
        <v>1112</v>
      </c>
      <c r="D1099" s="2" t="s">
        <v>1</v>
      </c>
      <c r="E1099" s="2" t="s">
        <v>134</v>
      </c>
      <c r="F1099" s="2" t="s">
        <v>1113</v>
      </c>
      <c r="G1099" s="2" t="s">
        <v>1114</v>
      </c>
      <c r="H1099" s="2" t="s">
        <v>428</v>
      </c>
      <c r="I1099" s="2" t="s">
        <v>42</v>
      </c>
      <c r="J1099" s="2">
        <v>1</v>
      </c>
      <c r="K1099" s="2" t="s">
        <v>82</v>
      </c>
      <c r="L1099" s="2" t="s">
        <v>41</v>
      </c>
      <c r="M1099" s="2" t="s">
        <v>135</v>
      </c>
      <c r="N1099" s="2" t="s">
        <v>1115</v>
      </c>
      <c r="O1099" s="2" t="s">
        <v>429</v>
      </c>
      <c r="P1099" s="2" t="s">
        <v>5</v>
      </c>
      <c r="Q1099" s="2">
        <f>INDEX(Tables!$C$4:$C$28,MATCH($P1099,Tables!$B$4:$B$28,0))</f>
        <v>32</v>
      </c>
      <c r="R1099" s="2">
        <f>INDEX(Tables!$D$4:$D$28,MATCH($P1099,Tables!$B$4:$B$28,0))</f>
        <v>4</v>
      </c>
      <c r="S1099" s="2">
        <f>$S1098+$R1098+INDEX(Tables!$N$5:$Q$8,MATCH(MOD($S1098+$R1098,4),Tables!$M$5:$M$8,0),MATCH($R1099,Tables!$N$4:$Q$4,0))</f>
        <v>3932</v>
      </c>
      <c r="T1099" s="2" t="str">
        <f t="shared" si="264"/>
        <v>0F5C</v>
      </c>
      <c r="U1099" s="2">
        <f t="shared" si="255"/>
        <v>983</v>
      </c>
      <c r="V1099" s="2" t="str">
        <f t="shared" si="265"/>
        <v>3D7</v>
      </c>
      <c r="W1099" s="2" t="str">
        <f t="shared" si="266"/>
        <v/>
      </c>
      <c r="X1099" s="2" t="str">
        <f t="shared" si="252"/>
        <v/>
      </c>
      <c r="Y1099" s="2" t="str">
        <f t="shared" si="253"/>
        <v/>
      </c>
      <c r="Z1099" s="2" t="str">
        <f t="shared" si="254"/>
        <v>X</v>
      </c>
      <c r="AA1099" s="2" t="str">
        <f t="shared" si="256"/>
        <v/>
      </c>
      <c r="AB1099" s="2" t="str">
        <f t="shared" si="257"/>
        <v/>
      </c>
      <c r="AC1099" s="2" t="str">
        <f t="shared" si="258"/>
        <v/>
      </c>
      <c r="AD1099" s="2" t="str">
        <f t="shared" si="259"/>
        <v>(0)</v>
      </c>
      <c r="AE1099" s="2" t="str">
        <f t="shared" si="260"/>
        <v/>
      </c>
      <c r="AF1099" s="2" t="str">
        <f t="shared" si="261"/>
        <v/>
      </c>
      <c r="AG1099" s="2" t="str">
        <f t="shared" si="262"/>
        <v/>
      </c>
      <c r="AH1099" s="2" t="str">
        <f t="shared" si="263"/>
        <v/>
      </c>
    </row>
    <row r="1100" spans="2:34" x14ac:dyDescent="0.25">
      <c r="B1100" s="2" t="s">
        <v>1112</v>
      </c>
      <c r="D1100" s="2" t="s">
        <v>1</v>
      </c>
      <c r="E1100" s="2" t="s">
        <v>134</v>
      </c>
      <c r="F1100" s="2" t="s">
        <v>1113</v>
      </c>
      <c r="G1100" s="2" t="s">
        <v>1114</v>
      </c>
      <c r="H1100" s="2" t="s">
        <v>898</v>
      </c>
      <c r="I1100" s="2" t="s">
        <v>42</v>
      </c>
      <c r="J1100" s="2">
        <v>1</v>
      </c>
      <c r="K1100" s="2" t="s">
        <v>82</v>
      </c>
      <c r="L1100" s="2" t="s">
        <v>41</v>
      </c>
      <c r="M1100" s="2" t="s">
        <v>135</v>
      </c>
      <c r="N1100" s="2" t="s">
        <v>1115</v>
      </c>
      <c r="O1100" s="2" t="s">
        <v>899</v>
      </c>
      <c r="P1100" s="2" t="s">
        <v>5</v>
      </c>
      <c r="Q1100" s="2">
        <f>INDEX(Tables!$C$4:$C$28,MATCH($P1100,Tables!$B$4:$B$28,0))</f>
        <v>32</v>
      </c>
      <c r="R1100" s="2">
        <f>INDEX(Tables!$D$4:$D$28,MATCH($P1100,Tables!$B$4:$B$28,0))</f>
        <v>4</v>
      </c>
      <c r="S1100" s="2">
        <f>$S1099+$R1099+INDEX(Tables!$N$5:$Q$8,MATCH(MOD($S1099+$R1099,4),Tables!$M$5:$M$8,0),MATCH($R1100,Tables!$N$4:$Q$4,0))</f>
        <v>3936</v>
      </c>
      <c r="T1100" s="2" t="str">
        <f t="shared" si="264"/>
        <v>0F60</v>
      </c>
      <c r="U1100" s="2">
        <f t="shared" si="255"/>
        <v>984</v>
      </c>
      <c r="V1100" s="2" t="str">
        <f t="shared" si="265"/>
        <v>3D8</v>
      </c>
      <c r="W1100" s="2" t="str">
        <f t="shared" si="266"/>
        <v/>
      </c>
      <c r="X1100" s="2" t="str">
        <f t="shared" si="252"/>
        <v/>
      </c>
      <c r="Y1100" s="2" t="str">
        <f t="shared" si="253"/>
        <v/>
      </c>
      <c r="Z1100" s="2" t="str">
        <f t="shared" si="254"/>
        <v>X</v>
      </c>
      <c r="AA1100" s="2" t="str">
        <f t="shared" si="256"/>
        <v/>
      </c>
      <c r="AB1100" s="2" t="str">
        <f t="shared" si="257"/>
        <v/>
      </c>
      <c r="AC1100" s="2" t="str">
        <f t="shared" si="258"/>
        <v/>
      </c>
      <c r="AD1100" s="2" t="str">
        <f t="shared" si="259"/>
        <v>(0)</v>
      </c>
      <c r="AE1100" s="2" t="str">
        <f t="shared" si="260"/>
        <v/>
      </c>
      <c r="AF1100" s="2" t="str">
        <f t="shared" si="261"/>
        <v/>
      </c>
      <c r="AG1100" s="2" t="str">
        <f t="shared" si="262"/>
        <v/>
      </c>
      <c r="AH1100" s="2" t="str">
        <f t="shared" si="263"/>
        <v/>
      </c>
    </row>
    <row r="1101" spans="2:34" x14ac:dyDescent="0.25">
      <c r="B1101" s="2" t="s">
        <v>1112</v>
      </c>
      <c r="D1101" s="2" t="s">
        <v>1</v>
      </c>
      <c r="E1101" s="2" t="s">
        <v>134</v>
      </c>
      <c r="F1101" s="2" t="s">
        <v>1113</v>
      </c>
      <c r="G1101" s="2" t="s">
        <v>1114</v>
      </c>
      <c r="H1101" s="2" t="s">
        <v>900</v>
      </c>
      <c r="I1101" s="2" t="s">
        <v>42</v>
      </c>
      <c r="J1101" s="2">
        <v>1</v>
      </c>
      <c r="K1101" s="2" t="s">
        <v>82</v>
      </c>
      <c r="L1101" s="2" t="s">
        <v>41</v>
      </c>
      <c r="M1101" s="2" t="s">
        <v>135</v>
      </c>
      <c r="N1101" s="2" t="s">
        <v>1115</v>
      </c>
      <c r="O1101" s="2" t="s">
        <v>901</v>
      </c>
      <c r="P1101" s="2" t="s">
        <v>5</v>
      </c>
      <c r="Q1101" s="2">
        <f>INDEX(Tables!$C$4:$C$28,MATCH($P1101,Tables!$B$4:$B$28,0))</f>
        <v>32</v>
      </c>
      <c r="R1101" s="2">
        <f>INDEX(Tables!$D$4:$D$28,MATCH($P1101,Tables!$B$4:$B$28,0))</f>
        <v>4</v>
      </c>
      <c r="S1101" s="2">
        <f>$S1100+$R1100+INDEX(Tables!$N$5:$Q$8,MATCH(MOD($S1100+$R1100,4),Tables!$M$5:$M$8,0),MATCH($R1101,Tables!$N$4:$Q$4,0))</f>
        <v>3940</v>
      </c>
      <c r="T1101" s="2" t="str">
        <f t="shared" si="264"/>
        <v>0F64</v>
      </c>
      <c r="U1101" s="2">
        <f t="shared" si="255"/>
        <v>985</v>
      </c>
      <c r="V1101" s="2" t="str">
        <f t="shared" si="265"/>
        <v>3D9</v>
      </c>
      <c r="W1101" s="2" t="str">
        <f t="shared" si="266"/>
        <v/>
      </c>
      <c r="X1101" s="2" t="str">
        <f t="shared" si="252"/>
        <v/>
      </c>
      <c r="Y1101" s="2" t="str">
        <f t="shared" si="253"/>
        <v/>
      </c>
      <c r="Z1101" s="2" t="str">
        <f t="shared" si="254"/>
        <v>X</v>
      </c>
      <c r="AA1101" s="2" t="str">
        <f t="shared" si="256"/>
        <v/>
      </c>
      <c r="AB1101" s="2" t="str">
        <f t="shared" si="257"/>
        <v/>
      </c>
      <c r="AC1101" s="2" t="str">
        <f t="shared" si="258"/>
        <v/>
      </c>
      <c r="AD1101" s="2" t="str">
        <f t="shared" si="259"/>
        <v>(0)</v>
      </c>
      <c r="AE1101" s="2" t="str">
        <f t="shared" si="260"/>
        <v/>
      </c>
      <c r="AF1101" s="2" t="str">
        <f t="shared" si="261"/>
        <v/>
      </c>
      <c r="AG1101" s="2" t="str">
        <f t="shared" si="262"/>
        <v/>
      </c>
      <c r="AH1101" s="2" t="str">
        <f t="shared" si="263"/>
        <v/>
      </c>
    </row>
    <row r="1102" spans="2:34" x14ac:dyDescent="0.25">
      <c r="B1102" s="2" t="s">
        <v>1112</v>
      </c>
      <c r="D1102" s="2" t="s">
        <v>1</v>
      </c>
      <c r="E1102" s="2" t="s">
        <v>134</v>
      </c>
      <c r="F1102" s="2" t="s">
        <v>1113</v>
      </c>
      <c r="G1102" s="2" t="s">
        <v>1114</v>
      </c>
      <c r="H1102" s="2" t="s">
        <v>139</v>
      </c>
      <c r="I1102" s="2" t="s">
        <v>42</v>
      </c>
      <c r="J1102" s="2">
        <v>16</v>
      </c>
      <c r="K1102" s="2" t="s">
        <v>137</v>
      </c>
      <c r="L1102" s="2" t="s">
        <v>41</v>
      </c>
      <c r="M1102" s="2" t="s">
        <v>135</v>
      </c>
      <c r="N1102" s="2" t="s">
        <v>1115</v>
      </c>
      <c r="O1102" s="2" t="s">
        <v>140</v>
      </c>
      <c r="P1102" s="2" t="s">
        <v>50</v>
      </c>
      <c r="Q1102" s="2">
        <f>INDEX(Tables!$C$4:$C$28,MATCH($P1102,Tables!$B$4:$B$28,0))</f>
        <v>16</v>
      </c>
      <c r="R1102" s="2">
        <f>INDEX(Tables!$D$4:$D$28,MATCH($P1102,Tables!$B$4:$B$28,0))</f>
        <v>2</v>
      </c>
      <c r="S1102" s="2">
        <f>$S1101+$R1101+INDEX(Tables!$N$5:$Q$8,MATCH(MOD($S1101+$R1101,4),Tables!$M$5:$M$8,0),MATCH($R1102,Tables!$N$4:$Q$4,0))</f>
        <v>3944</v>
      </c>
      <c r="T1102" s="2" t="str">
        <f t="shared" si="264"/>
        <v>0F68</v>
      </c>
      <c r="U1102" s="2">
        <f t="shared" si="255"/>
        <v>986</v>
      </c>
      <c r="V1102" s="2" t="str">
        <f t="shared" si="265"/>
        <v>3DA</v>
      </c>
      <c r="W1102" s="2" t="str">
        <f t="shared" si="266"/>
        <v/>
      </c>
      <c r="X1102" s="2" t="str">
        <f t="shared" si="252"/>
        <v/>
      </c>
      <c r="Y1102" s="2" t="str">
        <f t="shared" si="253"/>
        <v>X</v>
      </c>
      <c r="Z1102" s="2" t="str">
        <f t="shared" si="254"/>
        <v>X</v>
      </c>
      <c r="AA1102" s="2" t="str">
        <f t="shared" si="256"/>
        <v/>
      </c>
      <c r="AB1102" s="2" t="str">
        <f t="shared" si="257"/>
        <v/>
      </c>
      <c r="AC1102" s="2" t="str">
        <f t="shared" si="258"/>
        <v>(15 downto 8)</v>
      </c>
      <c r="AD1102" s="2" t="str">
        <f t="shared" si="259"/>
        <v>(7 downto 0)</v>
      </c>
      <c r="AE1102" s="2" t="str">
        <f t="shared" si="260"/>
        <v/>
      </c>
      <c r="AF1102" s="2" t="str">
        <f t="shared" si="261"/>
        <v/>
      </c>
      <c r="AG1102" s="2" t="str">
        <f t="shared" si="262"/>
        <v>(15 downto 8)</v>
      </c>
      <c r="AH1102" s="2" t="str">
        <f t="shared" si="263"/>
        <v>(7 downto 0)</v>
      </c>
    </row>
    <row r="1103" spans="2:34" x14ac:dyDescent="0.25">
      <c r="B1103" s="2" t="s">
        <v>1112</v>
      </c>
      <c r="D1103" s="2" t="s">
        <v>1</v>
      </c>
      <c r="E1103" s="2" t="s">
        <v>134</v>
      </c>
      <c r="F1103" s="2" t="s">
        <v>1116</v>
      </c>
      <c r="G1103" s="2" t="s">
        <v>1117</v>
      </c>
      <c r="H1103" s="2" t="s">
        <v>904</v>
      </c>
      <c r="I1103" s="2" t="s">
        <v>42</v>
      </c>
      <c r="J1103" s="2">
        <v>32</v>
      </c>
      <c r="K1103" s="2" t="s">
        <v>137</v>
      </c>
      <c r="L1103" s="2" t="s">
        <v>41</v>
      </c>
      <c r="M1103" s="2" t="s">
        <v>135</v>
      </c>
      <c r="N1103" s="2" t="s">
        <v>1115</v>
      </c>
      <c r="O1103" s="2" t="s">
        <v>905</v>
      </c>
      <c r="P1103" s="2" t="s">
        <v>49</v>
      </c>
      <c r="Q1103" s="2">
        <f>INDEX(Tables!$C$4:$C$28,MATCH($P1103,Tables!$B$4:$B$28,0))</f>
        <v>32</v>
      </c>
      <c r="R1103" s="2">
        <f>INDEX(Tables!$D$4:$D$28,MATCH($P1103,Tables!$B$4:$B$28,0))</f>
        <v>4</v>
      </c>
      <c r="S1103" s="2">
        <f>$S1102+$R1102+INDEX(Tables!$N$5:$Q$8,MATCH(MOD($S1102+$R1102,4),Tables!$M$5:$M$8,0),MATCH($R1103,Tables!$N$4:$Q$4,0))</f>
        <v>3948</v>
      </c>
      <c r="T1103" s="2" t="str">
        <f t="shared" si="264"/>
        <v>0F6C</v>
      </c>
      <c r="U1103" s="2">
        <f t="shared" si="255"/>
        <v>987</v>
      </c>
      <c r="V1103" s="2" t="str">
        <f t="shared" si="265"/>
        <v>3DB</v>
      </c>
      <c r="W1103" s="2" t="str">
        <f t="shared" si="266"/>
        <v>X</v>
      </c>
      <c r="X1103" s="2" t="str">
        <f t="shared" si="252"/>
        <v>X</v>
      </c>
      <c r="Y1103" s="2" t="str">
        <f t="shared" si="253"/>
        <v>X</v>
      </c>
      <c r="Z1103" s="2" t="str">
        <f t="shared" si="254"/>
        <v>X</v>
      </c>
      <c r="AA1103" s="2" t="str">
        <f t="shared" si="256"/>
        <v>(31 downto 24)</v>
      </c>
      <c r="AB1103" s="2" t="str">
        <f t="shared" si="257"/>
        <v>(23 downto 16)</v>
      </c>
      <c r="AC1103" s="2" t="str">
        <f t="shared" si="258"/>
        <v>(15 downto 8)</v>
      </c>
      <c r="AD1103" s="2" t="str">
        <f t="shared" si="259"/>
        <v>(7 downto 0)</v>
      </c>
      <c r="AE1103" s="2" t="str">
        <f t="shared" si="260"/>
        <v>(31 downto 24)</v>
      </c>
      <c r="AF1103" s="2" t="str">
        <f t="shared" si="261"/>
        <v>(23 downto 16)</v>
      </c>
      <c r="AG1103" s="2" t="str">
        <f t="shared" si="262"/>
        <v>(15 downto 8)</v>
      </c>
      <c r="AH1103" s="2" t="str">
        <f t="shared" si="263"/>
        <v>(7 downto 0)</v>
      </c>
    </row>
    <row r="1104" spans="2:34" x14ac:dyDescent="0.25">
      <c r="B1104" s="2" t="s">
        <v>1112</v>
      </c>
      <c r="D1104" s="2" t="s">
        <v>1</v>
      </c>
      <c r="E1104" s="2" t="s">
        <v>134</v>
      </c>
      <c r="F1104" s="2" t="s">
        <v>1116</v>
      </c>
      <c r="G1104" s="2" t="s">
        <v>1117</v>
      </c>
      <c r="H1104" s="2" t="s">
        <v>906</v>
      </c>
      <c r="I1104" s="2" t="s">
        <v>42</v>
      </c>
      <c r="J1104" s="2">
        <v>32</v>
      </c>
      <c r="K1104" s="2" t="s">
        <v>137</v>
      </c>
      <c r="L1104" s="2" t="s">
        <v>41</v>
      </c>
      <c r="M1104" s="2" t="s">
        <v>135</v>
      </c>
      <c r="N1104" s="2" t="s">
        <v>1115</v>
      </c>
      <c r="O1104" s="2" t="s">
        <v>907</v>
      </c>
      <c r="P1104" s="2" t="s">
        <v>49</v>
      </c>
      <c r="Q1104" s="2">
        <f>INDEX(Tables!$C$4:$C$28,MATCH($P1104,Tables!$B$4:$B$28,0))</f>
        <v>32</v>
      </c>
      <c r="R1104" s="2">
        <f>INDEX(Tables!$D$4:$D$28,MATCH($P1104,Tables!$B$4:$B$28,0))</f>
        <v>4</v>
      </c>
      <c r="S1104" s="2">
        <f>$S1103+$R1103+INDEX(Tables!$N$5:$Q$8,MATCH(MOD($S1103+$R1103,4),Tables!$M$5:$M$8,0),MATCH($R1104,Tables!$N$4:$Q$4,0))</f>
        <v>3952</v>
      </c>
      <c r="T1104" s="2" t="str">
        <f t="shared" si="264"/>
        <v>0F70</v>
      </c>
      <c r="U1104" s="2">
        <f t="shared" si="255"/>
        <v>988</v>
      </c>
      <c r="V1104" s="2" t="str">
        <f t="shared" si="265"/>
        <v>3DC</v>
      </c>
      <c r="W1104" s="2" t="str">
        <f t="shared" si="266"/>
        <v>X</v>
      </c>
      <c r="X1104" s="2" t="str">
        <f t="shared" si="252"/>
        <v>X</v>
      </c>
      <c r="Y1104" s="2" t="str">
        <f t="shared" si="253"/>
        <v>X</v>
      </c>
      <c r="Z1104" s="2" t="str">
        <f t="shared" si="254"/>
        <v>X</v>
      </c>
      <c r="AA1104" s="2" t="str">
        <f t="shared" si="256"/>
        <v>(31 downto 24)</v>
      </c>
      <c r="AB1104" s="2" t="str">
        <f t="shared" si="257"/>
        <v>(23 downto 16)</v>
      </c>
      <c r="AC1104" s="2" t="str">
        <f t="shared" si="258"/>
        <v>(15 downto 8)</v>
      </c>
      <c r="AD1104" s="2" t="str">
        <f t="shared" si="259"/>
        <v>(7 downto 0)</v>
      </c>
      <c r="AE1104" s="2" t="str">
        <f t="shared" si="260"/>
        <v>(31 downto 24)</v>
      </c>
      <c r="AF1104" s="2" t="str">
        <f t="shared" si="261"/>
        <v>(23 downto 16)</v>
      </c>
      <c r="AG1104" s="2" t="str">
        <f t="shared" si="262"/>
        <v>(15 downto 8)</v>
      </c>
      <c r="AH1104" s="2" t="str">
        <f t="shared" si="263"/>
        <v>(7 downto 0)</v>
      </c>
    </row>
    <row r="1105" spans="2:34" x14ac:dyDescent="0.25">
      <c r="B1105" s="2" t="s">
        <v>1112</v>
      </c>
      <c r="D1105" s="2" t="s">
        <v>1</v>
      </c>
      <c r="E1105" s="2" t="s">
        <v>134</v>
      </c>
      <c r="F1105" s="2" t="s">
        <v>1118</v>
      </c>
      <c r="G1105" s="2" t="s">
        <v>1119</v>
      </c>
      <c r="H1105" s="2" t="s">
        <v>910</v>
      </c>
      <c r="I1105" s="2" t="s">
        <v>42</v>
      </c>
      <c r="J1105" s="2">
        <v>32</v>
      </c>
      <c r="K1105" s="2" t="s">
        <v>137</v>
      </c>
      <c r="L1105" s="2" t="s">
        <v>41</v>
      </c>
      <c r="M1105" s="2" t="s">
        <v>135</v>
      </c>
      <c r="N1105" s="2" t="s">
        <v>1115</v>
      </c>
      <c r="O1105" s="2" t="s">
        <v>911</v>
      </c>
      <c r="P1105" s="2" t="s">
        <v>49</v>
      </c>
      <c r="Q1105" s="2">
        <f>INDEX(Tables!$C$4:$C$28,MATCH($P1105,Tables!$B$4:$B$28,0))</f>
        <v>32</v>
      </c>
      <c r="R1105" s="2">
        <f>INDEX(Tables!$D$4:$D$28,MATCH($P1105,Tables!$B$4:$B$28,0))</f>
        <v>4</v>
      </c>
      <c r="S1105" s="2">
        <f>$S1104+$R1104+INDEX(Tables!$N$5:$Q$8,MATCH(MOD($S1104+$R1104,4),Tables!$M$5:$M$8,0),MATCH($R1105,Tables!$N$4:$Q$4,0))</f>
        <v>3956</v>
      </c>
      <c r="T1105" s="2" t="str">
        <f t="shared" si="264"/>
        <v>0F74</v>
      </c>
      <c r="U1105" s="2">
        <f t="shared" si="255"/>
        <v>989</v>
      </c>
      <c r="V1105" s="2" t="str">
        <f t="shared" si="265"/>
        <v>3DD</v>
      </c>
      <c r="W1105" s="2" t="str">
        <f t="shared" si="266"/>
        <v>X</v>
      </c>
      <c r="X1105" s="2" t="str">
        <f t="shared" si="252"/>
        <v>X</v>
      </c>
      <c r="Y1105" s="2" t="str">
        <f t="shared" si="253"/>
        <v>X</v>
      </c>
      <c r="Z1105" s="2" t="str">
        <f t="shared" si="254"/>
        <v>X</v>
      </c>
      <c r="AA1105" s="2" t="str">
        <f t="shared" si="256"/>
        <v>(31 downto 24)</v>
      </c>
      <c r="AB1105" s="2" t="str">
        <f t="shared" si="257"/>
        <v>(23 downto 16)</v>
      </c>
      <c r="AC1105" s="2" t="str">
        <f t="shared" si="258"/>
        <v>(15 downto 8)</v>
      </c>
      <c r="AD1105" s="2" t="str">
        <f t="shared" si="259"/>
        <v>(7 downto 0)</v>
      </c>
      <c r="AE1105" s="2" t="str">
        <f t="shared" si="260"/>
        <v>(31 downto 24)</v>
      </c>
      <c r="AF1105" s="2" t="str">
        <f t="shared" si="261"/>
        <v>(23 downto 16)</v>
      </c>
      <c r="AG1105" s="2" t="str">
        <f t="shared" si="262"/>
        <v>(15 downto 8)</v>
      </c>
      <c r="AH1105" s="2" t="str">
        <f t="shared" si="263"/>
        <v>(7 downto 0)</v>
      </c>
    </row>
    <row r="1106" spans="2:34" x14ac:dyDescent="0.25">
      <c r="B1106" s="2" t="s">
        <v>1112</v>
      </c>
      <c r="D1106" s="2" t="s">
        <v>1</v>
      </c>
      <c r="E1106" s="2" t="s">
        <v>134</v>
      </c>
      <c r="F1106" s="2" t="s">
        <v>1118</v>
      </c>
      <c r="G1106" s="2" t="s">
        <v>1119</v>
      </c>
      <c r="H1106" s="2" t="s">
        <v>912</v>
      </c>
      <c r="I1106" s="2" t="s">
        <v>42</v>
      </c>
      <c r="J1106" s="2">
        <v>32</v>
      </c>
      <c r="K1106" s="2" t="s">
        <v>137</v>
      </c>
      <c r="L1106" s="2" t="s">
        <v>41</v>
      </c>
      <c r="M1106" s="2" t="s">
        <v>135</v>
      </c>
      <c r="N1106" s="2" t="s">
        <v>1115</v>
      </c>
      <c r="O1106" s="2" t="s">
        <v>913</v>
      </c>
      <c r="P1106" s="2" t="s">
        <v>49</v>
      </c>
      <c r="Q1106" s="2">
        <f>INDEX(Tables!$C$4:$C$28,MATCH($P1106,Tables!$B$4:$B$28,0))</f>
        <v>32</v>
      </c>
      <c r="R1106" s="2">
        <f>INDEX(Tables!$D$4:$D$28,MATCH($P1106,Tables!$B$4:$B$28,0))</f>
        <v>4</v>
      </c>
      <c r="S1106" s="2">
        <f>$S1105+$R1105+INDEX(Tables!$N$5:$Q$8,MATCH(MOD($S1105+$R1105,4),Tables!$M$5:$M$8,0),MATCH($R1106,Tables!$N$4:$Q$4,0))</f>
        <v>3960</v>
      </c>
      <c r="T1106" s="2" t="str">
        <f t="shared" si="264"/>
        <v>0F78</v>
      </c>
      <c r="U1106" s="2">
        <f t="shared" si="255"/>
        <v>990</v>
      </c>
      <c r="V1106" s="2" t="str">
        <f t="shared" si="265"/>
        <v>3DE</v>
      </c>
      <c r="W1106" s="2" t="str">
        <f t="shared" si="266"/>
        <v>X</v>
      </c>
      <c r="X1106" s="2" t="str">
        <f t="shared" si="252"/>
        <v>X</v>
      </c>
      <c r="Y1106" s="2" t="str">
        <f t="shared" si="253"/>
        <v>X</v>
      </c>
      <c r="Z1106" s="2" t="str">
        <f t="shared" si="254"/>
        <v>X</v>
      </c>
      <c r="AA1106" s="2" t="str">
        <f t="shared" si="256"/>
        <v>(31 downto 24)</v>
      </c>
      <c r="AB1106" s="2" t="str">
        <f t="shared" si="257"/>
        <v>(23 downto 16)</v>
      </c>
      <c r="AC1106" s="2" t="str">
        <f t="shared" si="258"/>
        <v>(15 downto 8)</v>
      </c>
      <c r="AD1106" s="2" t="str">
        <f t="shared" si="259"/>
        <v>(7 downto 0)</v>
      </c>
      <c r="AE1106" s="2" t="str">
        <f t="shared" si="260"/>
        <v>(31 downto 24)</v>
      </c>
      <c r="AF1106" s="2" t="str">
        <f t="shared" si="261"/>
        <v>(23 downto 16)</v>
      </c>
      <c r="AG1106" s="2" t="str">
        <f t="shared" si="262"/>
        <v>(15 downto 8)</v>
      </c>
      <c r="AH1106" s="2" t="str">
        <f t="shared" si="263"/>
        <v>(7 downto 0)</v>
      </c>
    </row>
    <row r="1107" spans="2:34" x14ac:dyDescent="0.25">
      <c r="B1107" s="2" t="s">
        <v>1112</v>
      </c>
      <c r="D1107" s="2" t="s">
        <v>1</v>
      </c>
      <c r="E1107" s="2" t="s">
        <v>134</v>
      </c>
      <c r="F1107" s="2" t="s">
        <v>1118</v>
      </c>
      <c r="G1107" s="2" t="s">
        <v>1119</v>
      </c>
      <c r="H1107" s="2" t="s">
        <v>914</v>
      </c>
      <c r="I1107" s="2" t="s">
        <v>42</v>
      </c>
      <c r="J1107" s="2">
        <v>32</v>
      </c>
      <c r="K1107" s="2" t="s">
        <v>137</v>
      </c>
      <c r="L1107" s="2" t="s">
        <v>41</v>
      </c>
      <c r="M1107" s="2" t="s">
        <v>135</v>
      </c>
      <c r="N1107" s="2" t="s">
        <v>1115</v>
      </c>
      <c r="O1107" s="2" t="s">
        <v>915</v>
      </c>
      <c r="P1107" s="2" t="s">
        <v>49</v>
      </c>
      <c r="Q1107" s="2">
        <f>INDEX(Tables!$C$4:$C$28,MATCH($P1107,Tables!$B$4:$B$28,0))</f>
        <v>32</v>
      </c>
      <c r="R1107" s="2">
        <f>INDEX(Tables!$D$4:$D$28,MATCH($P1107,Tables!$B$4:$B$28,0))</f>
        <v>4</v>
      </c>
      <c r="S1107" s="2">
        <f>$S1106+$R1106+INDEX(Tables!$N$5:$Q$8,MATCH(MOD($S1106+$R1106,4),Tables!$M$5:$M$8,0),MATCH($R1107,Tables!$N$4:$Q$4,0))</f>
        <v>3964</v>
      </c>
      <c r="T1107" s="2" t="str">
        <f t="shared" si="264"/>
        <v>0F7C</v>
      </c>
      <c r="U1107" s="2">
        <f t="shared" si="255"/>
        <v>991</v>
      </c>
      <c r="V1107" s="2" t="str">
        <f t="shared" si="265"/>
        <v>3DF</v>
      </c>
      <c r="W1107" s="2" t="str">
        <f t="shared" si="266"/>
        <v>X</v>
      </c>
      <c r="X1107" s="2" t="str">
        <f t="shared" ref="X1107:X1138" si="267">IF(MOD($S1107,4)=2,"X",IF(AND(MOD($S1107,4)=1,$J1107&gt;8),"X",IF(AND(MOD($S1107,4)=0,$J1107&gt;16),"X","")))</f>
        <v>X</v>
      </c>
      <c r="Y1107" s="2" t="str">
        <f t="shared" ref="Y1107:Y1138" si="268">IF(MOD($S1107,4)=1,"X",IF(AND(MOD($S1107,4)=0,$J1107&gt;8),"X",""))</f>
        <v>X</v>
      </c>
      <c r="Z1107" s="2" t="str">
        <f t="shared" ref="Z1107:Z1138" si="269">IF(MOD($S1107,4)=0,"X","")</f>
        <v>X</v>
      </c>
      <c r="AA1107" s="2" t="str">
        <f t="shared" si="256"/>
        <v>(31 downto 24)</v>
      </c>
      <c r="AB1107" s="2" t="str">
        <f t="shared" si="257"/>
        <v>(23 downto 16)</v>
      </c>
      <c r="AC1107" s="2" t="str">
        <f t="shared" si="258"/>
        <v>(15 downto 8)</v>
      </c>
      <c r="AD1107" s="2" t="str">
        <f t="shared" si="259"/>
        <v>(7 downto 0)</v>
      </c>
      <c r="AE1107" s="2" t="str">
        <f t="shared" si="260"/>
        <v>(31 downto 24)</v>
      </c>
      <c r="AF1107" s="2" t="str">
        <f t="shared" si="261"/>
        <v>(23 downto 16)</v>
      </c>
      <c r="AG1107" s="2" t="str">
        <f t="shared" si="262"/>
        <v>(15 downto 8)</v>
      </c>
      <c r="AH1107" s="2" t="str">
        <f t="shared" si="263"/>
        <v>(7 downto 0)</v>
      </c>
    </row>
    <row r="1108" spans="2:34" x14ac:dyDescent="0.25">
      <c r="B1108" s="2" t="s">
        <v>1112</v>
      </c>
      <c r="D1108" s="2" t="s">
        <v>1</v>
      </c>
      <c r="E1108" s="2" t="s">
        <v>134</v>
      </c>
      <c r="F1108" s="2" t="s">
        <v>1118</v>
      </c>
      <c r="G1108" s="2" t="s">
        <v>1119</v>
      </c>
      <c r="H1108" s="2" t="s">
        <v>916</v>
      </c>
      <c r="I1108" s="2" t="s">
        <v>42</v>
      </c>
      <c r="J1108" s="2">
        <v>32</v>
      </c>
      <c r="K1108" s="2" t="s">
        <v>137</v>
      </c>
      <c r="L1108" s="2" t="s">
        <v>41</v>
      </c>
      <c r="M1108" s="2" t="s">
        <v>135</v>
      </c>
      <c r="N1108" s="2" t="s">
        <v>1115</v>
      </c>
      <c r="O1108" s="2" t="s">
        <v>917</v>
      </c>
      <c r="P1108" s="2" t="s">
        <v>49</v>
      </c>
      <c r="Q1108" s="2">
        <f>INDEX(Tables!$C$4:$C$28,MATCH($P1108,Tables!$B$4:$B$28,0))</f>
        <v>32</v>
      </c>
      <c r="R1108" s="2">
        <f>INDEX(Tables!$D$4:$D$28,MATCH($P1108,Tables!$B$4:$B$28,0))</f>
        <v>4</v>
      </c>
      <c r="S1108" s="2">
        <f>$S1107+$R1107+INDEX(Tables!$N$5:$Q$8,MATCH(MOD($S1107+$R1107,4),Tables!$M$5:$M$8,0),MATCH($R1108,Tables!$N$4:$Q$4,0))</f>
        <v>3968</v>
      </c>
      <c r="T1108" s="2" t="str">
        <f t="shared" si="264"/>
        <v>0F80</v>
      </c>
      <c r="U1108" s="2">
        <f t="shared" si="255"/>
        <v>992</v>
      </c>
      <c r="V1108" s="2" t="str">
        <f t="shared" si="265"/>
        <v>3E0</v>
      </c>
      <c r="W1108" s="2" t="str">
        <f t="shared" si="266"/>
        <v>X</v>
      </c>
      <c r="X1108" s="2" t="str">
        <f t="shared" si="267"/>
        <v>X</v>
      </c>
      <c r="Y1108" s="2" t="str">
        <f t="shared" si="268"/>
        <v>X</v>
      </c>
      <c r="Z1108" s="2" t="str">
        <f t="shared" si="269"/>
        <v>X</v>
      </c>
      <c r="AA1108" s="2" t="str">
        <f t="shared" si="256"/>
        <v>(31 downto 24)</v>
      </c>
      <c r="AB1108" s="2" t="str">
        <f t="shared" si="257"/>
        <v>(23 downto 16)</v>
      </c>
      <c r="AC1108" s="2" t="str">
        <f t="shared" si="258"/>
        <v>(15 downto 8)</v>
      </c>
      <c r="AD1108" s="2" t="str">
        <f t="shared" si="259"/>
        <v>(7 downto 0)</v>
      </c>
      <c r="AE1108" s="2" t="str">
        <f t="shared" si="260"/>
        <v>(31 downto 24)</v>
      </c>
      <c r="AF1108" s="2" t="str">
        <f t="shared" si="261"/>
        <v>(23 downto 16)</v>
      </c>
      <c r="AG1108" s="2" t="str">
        <f t="shared" si="262"/>
        <v>(15 downto 8)</v>
      </c>
      <c r="AH1108" s="2" t="str">
        <f t="shared" si="263"/>
        <v>(7 downto 0)</v>
      </c>
    </row>
    <row r="1109" spans="2:34" x14ac:dyDescent="0.25">
      <c r="B1109" s="2" t="s">
        <v>1112</v>
      </c>
      <c r="D1109" s="2" t="s">
        <v>1</v>
      </c>
      <c r="E1109" s="2" t="s">
        <v>134</v>
      </c>
      <c r="F1109" s="2" t="s">
        <v>1118</v>
      </c>
      <c r="G1109" s="2" t="s">
        <v>1119</v>
      </c>
      <c r="H1109" s="2" t="s">
        <v>918</v>
      </c>
      <c r="I1109" s="2" t="s">
        <v>42</v>
      </c>
      <c r="J1109" s="2">
        <v>32</v>
      </c>
      <c r="K1109" s="2" t="s">
        <v>137</v>
      </c>
      <c r="L1109" s="2" t="s">
        <v>41</v>
      </c>
      <c r="M1109" s="2" t="s">
        <v>135</v>
      </c>
      <c r="N1109" s="2" t="s">
        <v>1115</v>
      </c>
      <c r="O1109" s="2" t="s">
        <v>919</v>
      </c>
      <c r="P1109" s="2" t="s">
        <v>49</v>
      </c>
      <c r="Q1109" s="2">
        <f>INDEX(Tables!$C$4:$C$28,MATCH($P1109,Tables!$B$4:$B$28,0))</f>
        <v>32</v>
      </c>
      <c r="R1109" s="2">
        <f>INDEX(Tables!$D$4:$D$28,MATCH($P1109,Tables!$B$4:$B$28,0))</f>
        <v>4</v>
      </c>
      <c r="S1109" s="2">
        <f>$S1108+$R1108+INDEX(Tables!$N$5:$Q$8,MATCH(MOD($S1108+$R1108,4),Tables!$M$5:$M$8,0),MATCH($R1109,Tables!$N$4:$Q$4,0))</f>
        <v>3972</v>
      </c>
      <c r="T1109" s="2" t="str">
        <f t="shared" si="264"/>
        <v>0F84</v>
      </c>
      <c r="U1109" s="2">
        <f t="shared" si="255"/>
        <v>993</v>
      </c>
      <c r="V1109" s="2" t="str">
        <f t="shared" si="265"/>
        <v>3E1</v>
      </c>
      <c r="W1109" s="2" t="str">
        <f t="shared" si="266"/>
        <v>X</v>
      </c>
      <c r="X1109" s="2" t="str">
        <f t="shared" si="267"/>
        <v>X</v>
      </c>
      <c r="Y1109" s="2" t="str">
        <f t="shared" si="268"/>
        <v>X</v>
      </c>
      <c r="Z1109" s="2" t="str">
        <f t="shared" si="269"/>
        <v>X</v>
      </c>
      <c r="AA1109" s="2" t="str">
        <f t="shared" si="256"/>
        <v>(31 downto 24)</v>
      </c>
      <c r="AB1109" s="2" t="str">
        <f t="shared" si="257"/>
        <v>(23 downto 16)</v>
      </c>
      <c r="AC1109" s="2" t="str">
        <f t="shared" si="258"/>
        <v>(15 downto 8)</v>
      </c>
      <c r="AD1109" s="2" t="str">
        <f t="shared" si="259"/>
        <v>(7 downto 0)</v>
      </c>
      <c r="AE1109" s="2" t="str">
        <f t="shared" si="260"/>
        <v>(31 downto 24)</v>
      </c>
      <c r="AF1109" s="2" t="str">
        <f t="shared" si="261"/>
        <v>(23 downto 16)</v>
      </c>
      <c r="AG1109" s="2" t="str">
        <f t="shared" si="262"/>
        <v>(15 downto 8)</v>
      </c>
      <c r="AH1109" s="2" t="str">
        <f t="shared" si="263"/>
        <v>(7 downto 0)</v>
      </c>
    </row>
    <row r="1110" spans="2:34" x14ac:dyDescent="0.25">
      <c r="B1110" s="2" t="s">
        <v>1112</v>
      </c>
      <c r="D1110" s="2" t="s">
        <v>1</v>
      </c>
      <c r="E1110" s="2" t="s">
        <v>134</v>
      </c>
      <c r="F1110" s="2" t="s">
        <v>1118</v>
      </c>
      <c r="G1110" s="2" t="s">
        <v>1119</v>
      </c>
      <c r="H1110" s="2" t="s">
        <v>920</v>
      </c>
      <c r="I1110" s="2" t="s">
        <v>42</v>
      </c>
      <c r="J1110" s="2">
        <v>32</v>
      </c>
      <c r="K1110" s="2" t="s">
        <v>137</v>
      </c>
      <c r="L1110" s="2" t="s">
        <v>41</v>
      </c>
      <c r="M1110" s="2" t="s">
        <v>135</v>
      </c>
      <c r="N1110" s="2" t="s">
        <v>1115</v>
      </c>
      <c r="O1110" s="2" t="s">
        <v>921</v>
      </c>
      <c r="P1110" s="2" t="s">
        <v>49</v>
      </c>
      <c r="Q1110" s="2">
        <f>INDEX(Tables!$C$4:$C$28,MATCH($P1110,Tables!$B$4:$B$28,0))</f>
        <v>32</v>
      </c>
      <c r="R1110" s="2">
        <f>INDEX(Tables!$D$4:$D$28,MATCH($P1110,Tables!$B$4:$B$28,0))</f>
        <v>4</v>
      </c>
      <c r="S1110" s="2">
        <f>$S1109+$R1109+INDEX(Tables!$N$5:$Q$8,MATCH(MOD($S1109+$R1109,4),Tables!$M$5:$M$8,0),MATCH($R1110,Tables!$N$4:$Q$4,0))</f>
        <v>3976</v>
      </c>
      <c r="T1110" s="2" t="str">
        <f t="shared" si="264"/>
        <v>0F88</v>
      </c>
      <c r="U1110" s="2">
        <f t="shared" si="255"/>
        <v>994</v>
      </c>
      <c r="V1110" s="2" t="str">
        <f t="shared" si="265"/>
        <v>3E2</v>
      </c>
      <c r="W1110" s="2" t="str">
        <f t="shared" si="266"/>
        <v>X</v>
      </c>
      <c r="X1110" s="2" t="str">
        <f t="shared" si="267"/>
        <v>X</v>
      </c>
      <c r="Y1110" s="2" t="str">
        <f t="shared" si="268"/>
        <v>X</v>
      </c>
      <c r="Z1110" s="2" t="str">
        <f t="shared" si="269"/>
        <v>X</v>
      </c>
      <c r="AA1110" s="2" t="str">
        <f t="shared" si="256"/>
        <v>(31 downto 24)</v>
      </c>
      <c r="AB1110" s="2" t="str">
        <f t="shared" si="257"/>
        <v>(23 downto 16)</v>
      </c>
      <c r="AC1110" s="2" t="str">
        <f t="shared" si="258"/>
        <v>(15 downto 8)</v>
      </c>
      <c r="AD1110" s="2" t="str">
        <f t="shared" si="259"/>
        <v>(7 downto 0)</v>
      </c>
      <c r="AE1110" s="2" t="str">
        <f t="shared" si="260"/>
        <v>(31 downto 24)</v>
      </c>
      <c r="AF1110" s="2" t="str">
        <f t="shared" si="261"/>
        <v>(23 downto 16)</v>
      </c>
      <c r="AG1110" s="2" t="str">
        <f t="shared" si="262"/>
        <v>(15 downto 8)</v>
      </c>
      <c r="AH1110" s="2" t="str">
        <f t="shared" si="263"/>
        <v>(7 downto 0)</v>
      </c>
    </row>
    <row r="1111" spans="2:34" x14ac:dyDescent="0.25">
      <c r="B1111" s="2" t="s">
        <v>1112</v>
      </c>
      <c r="D1111" s="2" t="s">
        <v>1</v>
      </c>
      <c r="E1111" s="2" t="s">
        <v>134</v>
      </c>
      <c r="F1111" s="2" t="s">
        <v>1118</v>
      </c>
      <c r="G1111" s="2" t="s">
        <v>1119</v>
      </c>
      <c r="H1111" s="2" t="s">
        <v>922</v>
      </c>
      <c r="I1111" s="2" t="s">
        <v>42</v>
      </c>
      <c r="J1111" s="2">
        <v>32</v>
      </c>
      <c r="K1111" s="2" t="s">
        <v>137</v>
      </c>
      <c r="L1111" s="2" t="s">
        <v>41</v>
      </c>
      <c r="M1111" s="2" t="s">
        <v>135</v>
      </c>
      <c r="N1111" s="2" t="s">
        <v>1115</v>
      </c>
      <c r="O1111" s="2" t="s">
        <v>923</v>
      </c>
      <c r="P1111" s="2" t="s">
        <v>49</v>
      </c>
      <c r="Q1111" s="2">
        <f>INDEX(Tables!$C$4:$C$28,MATCH($P1111,Tables!$B$4:$B$28,0))</f>
        <v>32</v>
      </c>
      <c r="R1111" s="2">
        <f>INDEX(Tables!$D$4:$D$28,MATCH($P1111,Tables!$B$4:$B$28,0))</f>
        <v>4</v>
      </c>
      <c r="S1111" s="2">
        <f>$S1110+$R1110+INDEX(Tables!$N$5:$Q$8,MATCH(MOD($S1110+$R1110,4),Tables!$M$5:$M$8,0),MATCH($R1111,Tables!$N$4:$Q$4,0))</f>
        <v>3980</v>
      </c>
      <c r="T1111" s="2" t="str">
        <f t="shared" si="264"/>
        <v>0F8C</v>
      </c>
      <c r="U1111" s="2">
        <f t="shared" si="255"/>
        <v>995</v>
      </c>
      <c r="V1111" s="2" t="str">
        <f t="shared" si="265"/>
        <v>3E3</v>
      </c>
      <c r="W1111" s="2" t="str">
        <f t="shared" si="266"/>
        <v>X</v>
      </c>
      <c r="X1111" s="2" t="str">
        <f t="shared" si="267"/>
        <v>X</v>
      </c>
      <c r="Y1111" s="2" t="str">
        <f t="shared" si="268"/>
        <v>X</v>
      </c>
      <c r="Z1111" s="2" t="str">
        <f t="shared" si="269"/>
        <v>X</v>
      </c>
      <c r="AA1111" s="2" t="str">
        <f t="shared" si="256"/>
        <v>(31 downto 24)</v>
      </c>
      <c r="AB1111" s="2" t="str">
        <f t="shared" si="257"/>
        <v>(23 downto 16)</v>
      </c>
      <c r="AC1111" s="2" t="str">
        <f t="shared" si="258"/>
        <v>(15 downto 8)</v>
      </c>
      <c r="AD1111" s="2" t="str">
        <f t="shared" si="259"/>
        <v>(7 downto 0)</v>
      </c>
      <c r="AE1111" s="2" t="str">
        <f t="shared" si="260"/>
        <v>(31 downto 24)</v>
      </c>
      <c r="AF1111" s="2" t="str">
        <f t="shared" si="261"/>
        <v>(23 downto 16)</v>
      </c>
      <c r="AG1111" s="2" t="str">
        <f t="shared" si="262"/>
        <v>(15 downto 8)</v>
      </c>
      <c r="AH1111" s="2" t="str">
        <f t="shared" si="263"/>
        <v>(7 downto 0)</v>
      </c>
    </row>
    <row r="1112" spans="2:34" x14ac:dyDescent="0.25">
      <c r="B1112" s="2" t="s">
        <v>1112</v>
      </c>
      <c r="D1112" s="2" t="s">
        <v>1</v>
      </c>
      <c r="E1112" s="2" t="s">
        <v>134</v>
      </c>
      <c r="F1112" s="2" t="s">
        <v>1118</v>
      </c>
      <c r="G1112" s="2" t="s">
        <v>1119</v>
      </c>
      <c r="H1112" s="2" t="s">
        <v>924</v>
      </c>
      <c r="I1112" s="2" t="s">
        <v>42</v>
      </c>
      <c r="J1112" s="2">
        <v>32</v>
      </c>
      <c r="K1112" s="2" t="s">
        <v>137</v>
      </c>
      <c r="L1112" s="2" t="s">
        <v>41</v>
      </c>
      <c r="M1112" s="2" t="s">
        <v>135</v>
      </c>
      <c r="N1112" s="2" t="s">
        <v>1115</v>
      </c>
      <c r="O1112" s="2" t="s">
        <v>925</v>
      </c>
      <c r="P1112" s="2" t="s">
        <v>49</v>
      </c>
      <c r="Q1112" s="2">
        <f>INDEX(Tables!$C$4:$C$28,MATCH($P1112,Tables!$B$4:$B$28,0))</f>
        <v>32</v>
      </c>
      <c r="R1112" s="2">
        <f>INDEX(Tables!$D$4:$D$28,MATCH($P1112,Tables!$B$4:$B$28,0))</f>
        <v>4</v>
      </c>
      <c r="S1112" s="2">
        <f>$S1111+$R1111+INDEX(Tables!$N$5:$Q$8,MATCH(MOD($S1111+$R1111,4),Tables!$M$5:$M$8,0),MATCH($R1112,Tables!$N$4:$Q$4,0))</f>
        <v>3984</v>
      </c>
      <c r="T1112" s="2" t="str">
        <f t="shared" si="264"/>
        <v>0F90</v>
      </c>
      <c r="U1112" s="2">
        <f t="shared" si="255"/>
        <v>996</v>
      </c>
      <c r="V1112" s="2" t="str">
        <f t="shared" si="265"/>
        <v>3E4</v>
      </c>
      <c r="W1112" s="2" t="str">
        <f t="shared" si="266"/>
        <v>X</v>
      </c>
      <c r="X1112" s="2" t="str">
        <f t="shared" si="267"/>
        <v>X</v>
      </c>
      <c r="Y1112" s="2" t="str">
        <f t="shared" si="268"/>
        <v>X</v>
      </c>
      <c r="Z1112" s="2" t="str">
        <f t="shared" si="269"/>
        <v>X</v>
      </c>
      <c r="AA1112" s="2" t="str">
        <f t="shared" si="256"/>
        <v>(31 downto 24)</v>
      </c>
      <c r="AB1112" s="2" t="str">
        <f t="shared" si="257"/>
        <v>(23 downto 16)</v>
      </c>
      <c r="AC1112" s="2" t="str">
        <f t="shared" si="258"/>
        <v>(15 downto 8)</v>
      </c>
      <c r="AD1112" s="2" t="str">
        <f t="shared" si="259"/>
        <v>(7 downto 0)</v>
      </c>
      <c r="AE1112" s="2" t="str">
        <f t="shared" si="260"/>
        <v>(31 downto 24)</v>
      </c>
      <c r="AF1112" s="2" t="str">
        <f t="shared" si="261"/>
        <v>(23 downto 16)</v>
      </c>
      <c r="AG1112" s="2" t="str">
        <f t="shared" si="262"/>
        <v>(15 downto 8)</v>
      </c>
      <c r="AH1112" s="2" t="str">
        <f t="shared" si="263"/>
        <v>(7 downto 0)</v>
      </c>
    </row>
    <row r="1113" spans="2:34" x14ac:dyDescent="0.25">
      <c r="B1113" s="2" t="s">
        <v>1112</v>
      </c>
      <c r="D1113" s="2" t="s">
        <v>1</v>
      </c>
      <c r="E1113" s="2" t="s">
        <v>134</v>
      </c>
      <c r="F1113" s="2" t="s">
        <v>1118</v>
      </c>
      <c r="G1113" s="2" t="s">
        <v>1119</v>
      </c>
      <c r="H1113" s="2" t="s">
        <v>926</v>
      </c>
      <c r="I1113" s="2" t="s">
        <v>42</v>
      </c>
      <c r="J1113" s="2">
        <v>32</v>
      </c>
      <c r="K1113" s="2" t="s">
        <v>137</v>
      </c>
      <c r="L1113" s="2" t="s">
        <v>41</v>
      </c>
      <c r="M1113" s="2" t="s">
        <v>135</v>
      </c>
      <c r="N1113" s="2" t="s">
        <v>1115</v>
      </c>
      <c r="O1113" s="2" t="s">
        <v>927</v>
      </c>
      <c r="P1113" s="2" t="s">
        <v>49</v>
      </c>
      <c r="Q1113" s="2">
        <f>INDEX(Tables!$C$4:$C$28,MATCH($P1113,Tables!$B$4:$B$28,0))</f>
        <v>32</v>
      </c>
      <c r="R1113" s="2">
        <f>INDEX(Tables!$D$4:$D$28,MATCH($P1113,Tables!$B$4:$B$28,0))</f>
        <v>4</v>
      </c>
      <c r="S1113" s="2">
        <f>$S1112+$R1112+INDEX(Tables!$N$5:$Q$8,MATCH(MOD($S1112+$R1112,4),Tables!$M$5:$M$8,0),MATCH($R1113,Tables!$N$4:$Q$4,0))</f>
        <v>3988</v>
      </c>
      <c r="T1113" s="2" t="str">
        <f t="shared" si="264"/>
        <v>0F94</v>
      </c>
      <c r="U1113" s="2">
        <f t="shared" si="255"/>
        <v>997</v>
      </c>
      <c r="V1113" s="2" t="str">
        <f t="shared" si="265"/>
        <v>3E5</v>
      </c>
      <c r="W1113" s="2" t="str">
        <f t="shared" si="266"/>
        <v>X</v>
      </c>
      <c r="X1113" s="2" t="str">
        <f t="shared" si="267"/>
        <v>X</v>
      </c>
      <c r="Y1113" s="2" t="str">
        <f t="shared" si="268"/>
        <v>X</v>
      </c>
      <c r="Z1113" s="2" t="str">
        <f t="shared" si="269"/>
        <v>X</v>
      </c>
      <c r="AA1113" s="2" t="str">
        <f t="shared" si="256"/>
        <v>(31 downto 24)</v>
      </c>
      <c r="AB1113" s="2" t="str">
        <f t="shared" si="257"/>
        <v>(23 downto 16)</v>
      </c>
      <c r="AC1113" s="2" t="str">
        <f t="shared" si="258"/>
        <v>(15 downto 8)</v>
      </c>
      <c r="AD1113" s="2" t="str">
        <f t="shared" si="259"/>
        <v>(7 downto 0)</v>
      </c>
      <c r="AE1113" s="2" t="str">
        <f t="shared" si="260"/>
        <v>(31 downto 24)</v>
      </c>
      <c r="AF1113" s="2" t="str">
        <f t="shared" si="261"/>
        <v>(23 downto 16)</v>
      </c>
      <c r="AG1113" s="2" t="str">
        <f t="shared" si="262"/>
        <v>(15 downto 8)</v>
      </c>
      <c r="AH1113" s="2" t="str">
        <f t="shared" si="263"/>
        <v>(7 downto 0)</v>
      </c>
    </row>
    <row r="1114" spans="2:34" x14ac:dyDescent="0.25">
      <c r="B1114" s="2" t="s">
        <v>1112</v>
      </c>
      <c r="D1114" s="2" t="s">
        <v>1</v>
      </c>
      <c r="E1114" s="2" t="s">
        <v>134</v>
      </c>
      <c r="F1114" s="2" t="s">
        <v>1118</v>
      </c>
      <c r="G1114" s="2" t="s">
        <v>1119</v>
      </c>
      <c r="H1114" s="2" t="s">
        <v>928</v>
      </c>
      <c r="I1114" s="2" t="s">
        <v>42</v>
      </c>
      <c r="J1114" s="2">
        <v>32</v>
      </c>
      <c r="K1114" s="2" t="s">
        <v>137</v>
      </c>
      <c r="L1114" s="2" t="s">
        <v>41</v>
      </c>
      <c r="M1114" s="2" t="s">
        <v>135</v>
      </c>
      <c r="N1114" s="2" t="s">
        <v>1115</v>
      </c>
      <c r="O1114" s="2" t="s">
        <v>929</v>
      </c>
      <c r="P1114" s="2" t="s">
        <v>49</v>
      </c>
      <c r="Q1114" s="2">
        <f>INDEX(Tables!$C$4:$C$28,MATCH($P1114,Tables!$B$4:$B$28,0))</f>
        <v>32</v>
      </c>
      <c r="R1114" s="2">
        <f>INDEX(Tables!$D$4:$D$28,MATCH($P1114,Tables!$B$4:$B$28,0))</f>
        <v>4</v>
      </c>
      <c r="S1114" s="2">
        <f>$S1113+$R1113+INDEX(Tables!$N$5:$Q$8,MATCH(MOD($S1113+$R1113,4),Tables!$M$5:$M$8,0),MATCH($R1114,Tables!$N$4:$Q$4,0))</f>
        <v>3992</v>
      </c>
      <c r="T1114" s="2" t="str">
        <f t="shared" si="264"/>
        <v>0F98</v>
      </c>
      <c r="U1114" s="2">
        <f t="shared" si="255"/>
        <v>998</v>
      </c>
      <c r="V1114" s="2" t="str">
        <f t="shared" si="265"/>
        <v>3E6</v>
      </c>
      <c r="W1114" s="2" t="str">
        <f t="shared" si="266"/>
        <v>X</v>
      </c>
      <c r="X1114" s="2" t="str">
        <f t="shared" si="267"/>
        <v>X</v>
      </c>
      <c r="Y1114" s="2" t="str">
        <f t="shared" si="268"/>
        <v>X</v>
      </c>
      <c r="Z1114" s="2" t="str">
        <f t="shared" si="269"/>
        <v>X</v>
      </c>
      <c r="AA1114" s="2" t="str">
        <f t="shared" si="256"/>
        <v>(31 downto 24)</v>
      </c>
      <c r="AB1114" s="2" t="str">
        <f t="shared" si="257"/>
        <v>(23 downto 16)</v>
      </c>
      <c r="AC1114" s="2" t="str">
        <f t="shared" si="258"/>
        <v>(15 downto 8)</v>
      </c>
      <c r="AD1114" s="2" t="str">
        <f t="shared" si="259"/>
        <v>(7 downto 0)</v>
      </c>
      <c r="AE1114" s="2" t="str">
        <f t="shared" si="260"/>
        <v>(31 downto 24)</v>
      </c>
      <c r="AF1114" s="2" t="str">
        <f t="shared" si="261"/>
        <v>(23 downto 16)</v>
      </c>
      <c r="AG1114" s="2" t="str">
        <f t="shared" si="262"/>
        <v>(15 downto 8)</v>
      </c>
      <c r="AH1114" s="2" t="str">
        <f t="shared" si="263"/>
        <v>(7 downto 0)</v>
      </c>
    </row>
    <row r="1115" spans="2:34" x14ac:dyDescent="0.25">
      <c r="B1115" s="2" t="s">
        <v>1112</v>
      </c>
      <c r="D1115" s="2" t="s">
        <v>1</v>
      </c>
      <c r="E1115" s="2" t="s">
        <v>134</v>
      </c>
      <c r="F1115" s="2" t="s">
        <v>1118</v>
      </c>
      <c r="G1115" s="2" t="s">
        <v>1119</v>
      </c>
      <c r="H1115" s="2" t="s">
        <v>930</v>
      </c>
      <c r="I1115" s="2" t="s">
        <v>42</v>
      </c>
      <c r="J1115" s="2">
        <v>32</v>
      </c>
      <c r="K1115" s="2" t="s">
        <v>137</v>
      </c>
      <c r="L1115" s="2" t="s">
        <v>41</v>
      </c>
      <c r="M1115" s="2" t="s">
        <v>135</v>
      </c>
      <c r="N1115" s="2" t="s">
        <v>1115</v>
      </c>
      <c r="O1115" s="2" t="s">
        <v>931</v>
      </c>
      <c r="P1115" s="2" t="s">
        <v>49</v>
      </c>
      <c r="Q1115" s="2">
        <f>INDEX(Tables!$C$4:$C$28,MATCH($P1115,Tables!$B$4:$B$28,0))</f>
        <v>32</v>
      </c>
      <c r="R1115" s="2">
        <f>INDEX(Tables!$D$4:$D$28,MATCH($P1115,Tables!$B$4:$B$28,0))</f>
        <v>4</v>
      </c>
      <c r="S1115" s="2">
        <f>$S1114+$R1114+INDEX(Tables!$N$5:$Q$8,MATCH(MOD($S1114+$R1114,4),Tables!$M$5:$M$8,0),MATCH($R1115,Tables!$N$4:$Q$4,0))</f>
        <v>3996</v>
      </c>
      <c r="T1115" s="2" t="str">
        <f t="shared" si="264"/>
        <v>0F9C</v>
      </c>
      <c r="U1115" s="2">
        <f t="shared" si="255"/>
        <v>999</v>
      </c>
      <c r="V1115" s="2" t="str">
        <f t="shared" si="265"/>
        <v>3E7</v>
      </c>
      <c r="W1115" s="2" t="str">
        <f t="shared" si="266"/>
        <v>X</v>
      </c>
      <c r="X1115" s="2" t="str">
        <f t="shared" si="267"/>
        <v>X</v>
      </c>
      <c r="Y1115" s="2" t="str">
        <f t="shared" si="268"/>
        <v>X</v>
      </c>
      <c r="Z1115" s="2" t="str">
        <f t="shared" si="269"/>
        <v>X</v>
      </c>
      <c r="AA1115" s="2" t="str">
        <f t="shared" si="256"/>
        <v>(31 downto 24)</v>
      </c>
      <c r="AB1115" s="2" t="str">
        <f t="shared" si="257"/>
        <v>(23 downto 16)</v>
      </c>
      <c r="AC1115" s="2" t="str">
        <f t="shared" si="258"/>
        <v>(15 downto 8)</v>
      </c>
      <c r="AD1115" s="2" t="str">
        <f t="shared" si="259"/>
        <v>(7 downto 0)</v>
      </c>
      <c r="AE1115" s="2" t="str">
        <f t="shared" si="260"/>
        <v>(31 downto 24)</v>
      </c>
      <c r="AF1115" s="2" t="str">
        <f t="shared" si="261"/>
        <v>(23 downto 16)</v>
      </c>
      <c r="AG1115" s="2" t="str">
        <f t="shared" si="262"/>
        <v>(15 downto 8)</v>
      </c>
      <c r="AH1115" s="2" t="str">
        <f t="shared" si="263"/>
        <v>(7 downto 0)</v>
      </c>
    </row>
    <row r="1116" spans="2:34" x14ac:dyDescent="0.25">
      <c r="B1116" s="2" t="s">
        <v>1112</v>
      </c>
      <c r="D1116" s="2" t="s">
        <v>1</v>
      </c>
      <c r="E1116" s="2" t="s">
        <v>134</v>
      </c>
      <c r="F1116" s="2" t="s">
        <v>1118</v>
      </c>
      <c r="G1116" s="2" t="s">
        <v>1119</v>
      </c>
      <c r="H1116" s="2" t="s">
        <v>932</v>
      </c>
      <c r="I1116" s="2" t="s">
        <v>42</v>
      </c>
      <c r="J1116" s="2">
        <v>32</v>
      </c>
      <c r="K1116" s="2" t="s">
        <v>137</v>
      </c>
      <c r="L1116" s="2" t="s">
        <v>41</v>
      </c>
      <c r="M1116" s="2" t="s">
        <v>135</v>
      </c>
      <c r="N1116" s="2" t="s">
        <v>1115</v>
      </c>
      <c r="O1116" s="2" t="s">
        <v>933</v>
      </c>
      <c r="P1116" s="2" t="s">
        <v>49</v>
      </c>
      <c r="Q1116" s="2">
        <f>INDEX(Tables!$C$4:$C$28,MATCH($P1116,Tables!$B$4:$B$28,0))</f>
        <v>32</v>
      </c>
      <c r="R1116" s="2">
        <f>INDEX(Tables!$D$4:$D$28,MATCH($P1116,Tables!$B$4:$B$28,0))</f>
        <v>4</v>
      </c>
      <c r="S1116" s="2">
        <f>$S1115+$R1115+INDEX(Tables!$N$5:$Q$8,MATCH(MOD($S1115+$R1115,4),Tables!$M$5:$M$8,0),MATCH($R1116,Tables!$N$4:$Q$4,0))</f>
        <v>4000</v>
      </c>
      <c r="T1116" s="2" t="str">
        <f t="shared" si="264"/>
        <v>0FA0</v>
      </c>
      <c r="U1116" s="2">
        <f t="shared" si="255"/>
        <v>1000</v>
      </c>
      <c r="V1116" s="2" t="str">
        <f t="shared" si="265"/>
        <v>3E8</v>
      </c>
      <c r="W1116" s="2" t="str">
        <f t="shared" si="266"/>
        <v>X</v>
      </c>
      <c r="X1116" s="2" t="str">
        <f t="shared" si="267"/>
        <v>X</v>
      </c>
      <c r="Y1116" s="2" t="str">
        <f t="shared" si="268"/>
        <v>X</v>
      </c>
      <c r="Z1116" s="2" t="str">
        <f t="shared" si="269"/>
        <v>X</v>
      </c>
      <c r="AA1116" s="2" t="str">
        <f t="shared" si="256"/>
        <v>(31 downto 24)</v>
      </c>
      <c r="AB1116" s="2" t="str">
        <f t="shared" si="257"/>
        <v>(23 downto 16)</v>
      </c>
      <c r="AC1116" s="2" t="str">
        <f t="shared" si="258"/>
        <v>(15 downto 8)</v>
      </c>
      <c r="AD1116" s="2" t="str">
        <f t="shared" si="259"/>
        <v>(7 downto 0)</v>
      </c>
      <c r="AE1116" s="2" t="str">
        <f t="shared" si="260"/>
        <v>(31 downto 24)</v>
      </c>
      <c r="AF1116" s="2" t="str">
        <f t="shared" si="261"/>
        <v>(23 downto 16)</v>
      </c>
      <c r="AG1116" s="2" t="str">
        <f t="shared" si="262"/>
        <v>(15 downto 8)</v>
      </c>
      <c r="AH1116" s="2" t="str">
        <f t="shared" si="263"/>
        <v>(7 downto 0)</v>
      </c>
    </row>
    <row r="1117" spans="2:34" x14ac:dyDescent="0.25">
      <c r="B1117" s="2" t="s">
        <v>1112</v>
      </c>
      <c r="D1117" s="2" t="s">
        <v>1</v>
      </c>
      <c r="E1117" s="2" t="s">
        <v>134</v>
      </c>
      <c r="F1117" s="2" t="s">
        <v>1118</v>
      </c>
      <c r="G1117" s="2" t="s">
        <v>1119</v>
      </c>
      <c r="H1117" s="2" t="s">
        <v>934</v>
      </c>
      <c r="I1117" s="2" t="s">
        <v>42</v>
      </c>
      <c r="J1117" s="2">
        <v>32</v>
      </c>
      <c r="K1117" s="2" t="s">
        <v>137</v>
      </c>
      <c r="L1117" s="2" t="s">
        <v>41</v>
      </c>
      <c r="M1117" s="2" t="s">
        <v>135</v>
      </c>
      <c r="N1117" s="2" t="s">
        <v>1115</v>
      </c>
      <c r="O1117" s="2" t="s">
        <v>935</v>
      </c>
      <c r="P1117" s="2" t="s">
        <v>49</v>
      </c>
      <c r="Q1117" s="2">
        <f>INDEX(Tables!$C$4:$C$28,MATCH($P1117,Tables!$B$4:$B$28,0))</f>
        <v>32</v>
      </c>
      <c r="R1117" s="2">
        <f>INDEX(Tables!$D$4:$D$28,MATCH($P1117,Tables!$B$4:$B$28,0))</f>
        <v>4</v>
      </c>
      <c r="S1117" s="2">
        <f>$S1116+$R1116+INDEX(Tables!$N$5:$Q$8,MATCH(MOD($S1116+$R1116,4),Tables!$M$5:$M$8,0),MATCH($R1117,Tables!$N$4:$Q$4,0))</f>
        <v>4004</v>
      </c>
      <c r="T1117" s="2" t="str">
        <f t="shared" si="264"/>
        <v>0FA4</v>
      </c>
      <c r="U1117" s="2">
        <f t="shared" si="255"/>
        <v>1001</v>
      </c>
      <c r="V1117" s="2" t="str">
        <f t="shared" si="265"/>
        <v>3E9</v>
      </c>
      <c r="W1117" s="2" t="str">
        <f t="shared" si="266"/>
        <v>X</v>
      </c>
      <c r="X1117" s="2" t="str">
        <f t="shared" si="267"/>
        <v>X</v>
      </c>
      <c r="Y1117" s="2" t="str">
        <f t="shared" si="268"/>
        <v>X</v>
      </c>
      <c r="Z1117" s="2" t="str">
        <f t="shared" si="269"/>
        <v>X</v>
      </c>
      <c r="AA1117" s="2" t="str">
        <f t="shared" si="256"/>
        <v>(31 downto 24)</v>
      </c>
      <c r="AB1117" s="2" t="str">
        <f t="shared" si="257"/>
        <v>(23 downto 16)</v>
      </c>
      <c r="AC1117" s="2" t="str">
        <f t="shared" si="258"/>
        <v>(15 downto 8)</v>
      </c>
      <c r="AD1117" s="2" t="str">
        <f t="shared" si="259"/>
        <v>(7 downto 0)</v>
      </c>
      <c r="AE1117" s="2" t="str">
        <f t="shared" si="260"/>
        <v>(31 downto 24)</v>
      </c>
      <c r="AF1117" s="2" t="str">
        <f t="shared" si="261"/>
        <v>(23 downto 16)</v>
      </c>
      <c r="AG1117" s="2" t="str">
        <f t="shared" si="262"/>
        <v>(15 downto 8)</v>
      </c>
      <c r="AH1117" s="2" t="str">
        <f t="shared" si="263"/>
        <v>(7 downto 0)</v>
      </c>
    </row>
    <row r="1118" spans="2:34" x14ac:dyDescent="0.25">
      <c r="B1118" s="2" t="s">
        <v>1112</v>
      </c>
      <c r="D1118" s="2" t="s">
        <v>1</v>
      </c>
      <c r="E1118" s="2" t="s">
        <v>134</v>
      </c>
      <c r="F1118" s="2" t="s">
        <v>1118</v>
      </c>
      <c r="G1118" s="2" t="s">
        <v>1119</v>
      </c>
      <c r="H1118" s="2" t="s">
        <v>936</v>
      </c>
      <c r="I1118" s="2" t="s">
        <v>42</v>
      </c>
      <c r="J1118" s="2">
        <v>32</v>
      </c>
      <c r="K1118" s="2" t="s">
        <v>137</v>
      </c>
      <c r="L1118" s="2" t="s">
        <v>41</v>
      </c>
      <c r="M1118" s="2" t="s">
        <v>135</v>
      </c>
      <c r="N1118" s="2" t="s">
        <v>1115</v>
      </c>
      <c r="O1118" s="2" t="s">
        <v>937</v>
      </c>
      <c r="P1118" s="2" t="s">
        <v>49</v>
      </c>
      <c r="Q1118" s="2">
        <f>INDEX(Tables!$C$4:$C$28,MATCH($P1118,Tables!$B$4:$B$28,0))</f>
        <v>32</v>
      </c>
      <c r="R1118" s="2">
        <f>INDEX(Tables!$D$4:$D$28,MATCH($P1118,Tables!$B$4:$B$28,0))</f>
        <v>4</v>
      </c>
      <c r="S1118" s="2">
        <f>$S1117+$R1117+INDEX(Tables!$N$5:$Q$8,MATCH(MOD($S1117+$R1117,4),Tables!$M$5:$M$8,0),MATCH($R1118,Tables!$N$4:$Q$4,0))</f>
        <v>4008</v>
      </c>
      <c r="T1118" s="2" t="str">
        <f t="shared" si="264"/>
        <v>0FA8</v>
      </c>
      <c r="U1118" s="2">
        <f t="shared" si="255"/>
        <v>1002</v>
      </c>
      <c r="V1118" s="2" t="str">
        <f t="shared" si="265"/>
        <v>3EA</v>
      </c>
      <c r="W1118" s="2" t="str">
        <f t="shared" si="266"/>
        <v>X</v>
      </c>
      <c r="X1118" s="2" t="str">
        <f t="shared" si="267"/>
        <v>X</v>
      </c>
      <c r="Y1118" s="2" t="str">
        <f t="shared" si="268"/>
        <v>X</v>
      </c>
      <c r="Z1118" s="2" t="str">
        <f t="shared" si="269"/>
        <v>X</v>
      </c>
      <c r="AA1118" s="2" t="str">
        <f t="shared" si="256"/>
        <v>(31 downto 24)</v>
      </c>
      <c r="AB1118" s="2" t="str">
        <f t="shared" si="257"/>
        <v>(23 downto 16)</v>
      </c>
      <c r="AC1118" s="2" t="str">
        <f t="shared" si="258"/>
        <v>(15 downto 8)</v>
      </c>
      <c r="AD1118" s="2" t="str">
        <f t="shared" si="259"/>
        <v>(7 downto 0)</v>
      </c>
      <c r="AE1118" s="2" t="str">
        <f t="shared" si="260"/>
        <v>(31 downto 24)</v>
      </c>
      <c r="AF1118" s="2" t="str">
        <f t="shared" si="261"/>
        <v>(23 downto 16)</v>
      </c>
      <c r="AG1118" s="2" t="str">
        <f t="shared" si="262"/>
        <v>(15 downto 8)</v>
      </c>
      <c r="AH1118" s="2" t="str">
        <f t="shared" si="263"/>
        <v>(7 downto 0)</v>
      </c>
    </row>
    <row r="1119" spans="2:34" x14ac:dyDescent="0.25">
      <c r="B1119" s="2" t="s">
        <v>1112</v>
      </c>
      <c r="D1119" s="2" t="s">
        <v>1</v>
      </c>
      <c r="E1119" s="2" t="s">
        <v>134</v>
      </c>
      <c r="F1119" s="2" t="s">
        <v>1118</v>
      </c>
      <c r="G1119" s="2" t="s">
        <v>1119</v>
      </c>
      <c r="H1119" s="2" t="s">
        <v>938</v>
      </c>
      <c r="I1119" s="2" t="s">
        <v>42</v>
      </c>
      <c r="J1119" s="2">
        <v>32</v>
      </c>
      <c r="K1119" s="2" t="s">
        <v>137</v>
      </c>
      <c r="L1119" s="2" t="s">
        <v>41</v>
      </c>
      <c r="M1119" s="2" t="s">
        <v>135</v>
      </c>
      <c r="N1119" s="2" t="s">
        <v>1115</v>
      </c>
      <c r="O1119" s="2" t="s">
        <v>939</v>
      </c>
      <c r="P1119" s="2" t="s">
        <v>49</v>
      </c>
      <c r="Q1119" s="2">
        <f>INDEX(Tables!$C$4:$C$28,MATCH($P1119,Tables!$B$4:$B$28,0))</f>
        <v>32</v>
      </c>
      <c r="R1119" s="2">
        <f>INDEX(Tables!$D$4:$D$28,MATCH($P1119,Tables!$B$4:$B$28,0))</f>
        <v>4</v>
      </c>
      <c r="S1119" s="2">
        <f>$S1118+$R1118+INDEX(Tables!$N$5:$Q$8,MATCH(MOD($S1118+$R1118,4),Tables!$M$5:$M$8,0),MATCH($R1119,Tables!$N$4:$Q$4,0))</f>
        <v>4012</v>
      </c>
      <c r="T1119" s="2" t="str">
        <f t="shared" si="264"/>
        <v>0FAC</v>
      </c>
      <c r="U1119" s="2">
        <f t="shared" si="255"/>
        <v>1003</v>
      </c>
      <c r="V1119" s="2" t="str">
        <f t="shared" si="265"/>
        <v>3EB</v>
      </c>
      <c r="W1119" s="2" t="str">
        <f t="shared" si="266"/>
        <v>X</v>
      </c>
      <c r="X1119" s="2" t="str">
        <f t="shared" si="267"/>
        <v>X</v>
      </c>
      <c r="Y1119" s="2" t="str">
        <f t="shared" si="268"/>
        <v>X</v>
      </c>
      <c r="Z1119" s="2" t="str">
        <f t="shared" si="269"/>
        <v>X</v>
      </c>
      <c r="AA1119" s="2" t="str">
        <f t="shared" si="256"/>
        <v>(31 downto 24)</v>
      </c>
      <c r="AB1119" s="2" t="str">
        <f t="shared" si="257"/>
        <v>(23 downto 16)</v>
      </c>
      <c r="AC1119" s="2" t="str">
        <f t="shared" si="258"/>
        <v>(15 downto 8)</v>
      </c>
      <c r="AD1119" s="2" t="str">
        <f t="shared" si="259"/>
        <v>(7 downto 0)</v>
      </c>
      <c r="AE1119" s="2" t="str">
        <f t="shared" si="260"/>
        <v>(31 downto 24)</v>
      </c>
      <c r="AF1119" s="2" t="str">
        <f t="shared" si="261"/>
        <v>(23 downto 16)</v>
      </c>
      <c r="AG1119" s="2" t="str">
        <f t="shared" si="262"/>
        <v>(15 downto 8)</v>
      </c>
      <c r="AH1119" s="2" t="str">
        <f t="shared" si="263"/>
        <v>(7 downto 0)</v>
      </c>
    </row>
    <row r="1120" spans="2:34" x14ac:dyDescent="0.25">
      <c r="B1120" s="2" t="s">
        <v>1112</v>
      </c>
      <c r="D1120" s="2" t="s">
        <v>1</v>
      </c>
      <c r="E1120" s="2" t="s">
        <v>134</v>
      </c>
      <c r="F1120" s="2" t="s">
        <v>1118</v>
      </c>
      <c r="G1120" s="2" t="s">
        <v>1119</v>
      </c>
      <c r="H1120" s="2" t="s">
        <v>940</v>
      </c>
      <c r="I1120" s="2" t="s">
        <v>42</v>
      </c>
      <c r="J1120" s="2">
        <v>32</v>
      </c>
      <c r="K1120" s="2" t="s">
        <v>137</v>
      </c>
      <c r="L1120" s="2" t="s">
        <v>41</v>
      </c>
      <c r="M1120" s="2" t="s">
        <v>135</v>
      </c>
      <c r="N1120" s="2" t="s">
        <v>1115</v>
      </c>
      <c r="O1120" s="2" t="s">
        <v>941</v>
      </c>
      <c r="P1120" s="2" t="s">
        <v>49</v>
      </c>
      <c r="Q1120" s="2">
        <f>INDEX(Tables!$C$4:$C$28,MATCH($P1120,Tables!$B$4:$B$28,0))</f>
        <v>32</v>
      </c>
      <c r="R1120" s="2">
        <f>INDEX(Tables!$D$4:$D$28,MATCH($P1120,Tables!$B$4:$B$28,0))</f>
        <v>4</v>
      </c>
      <c r="S1120" s="2">
        <f>$S1119+$R1119+INDEX(Tables!$N$5:$Q$8,MATCH(MOD($S1119+$R1119,4),Tables!$M$5:$M$8,0),MATCH($R1120,Tables!$N$4:$Q$4,0))</f>
        <v>4016</v>
      </c>
      <c r="T1120" s="2" t="str">
        <f t="shared" si="264"/>
        <v>0FB0</v>
      </c>
      <c r="U1120" s="2">
        <f t="shared" si="255"/>
        <v>1004</v>
      </c>
      <c r="V1120" s="2" t="str">
        <f t="shared" si="265"/>
        <v>3EC</v>
      </c>
      <c r="W1120" s="2" t="str">
        <f t="shared" si="266"/>
        <v>X</v>
      </c>
      <c r="X1120" s="2" t="str">
        <f t="shared" si="267"/>
        <v>X</v>
      </c>
      <c r="Y1120" s="2" t="str">
        <f t="shared" si="268"/>
        <v>X</v>
      </c>
      <c r="Z1120" s="2" t="str">
        <f t="shared" si="269"/>
        <v>X</v>
      </c>
      <c r="AA1120" s="2" t="str">
        <f t="shared" si="256"/>
        <v>(31 downto 24)</v>
      </c>
      <c r="AB1120" s="2" t="str">
        <f t="shared" si="257"/>
        <v>(23 downto 16)</v>
      </c>
      <c r="AC1120" s="2" t="str">
        <f t="shared" si="258"/>
        <v>(15 downto 8)</v>
      </c>
      <c r="AD1120" s="2" t="str">
        <f t="shared" si="259"/>
        <v>(7 downto 0)</v>
      </c>
      <c r="AE1120" s="2" t="str">
        <f t="shared" si="260"/>
        <v>(31 downto 24)</v>
      </c>
      <c r="AF1120" s="2" t="str">
        <f t="shared" si="261"/>
        <v>(23 downto 16)</v>
      </c>
      <c r="AG1120" s="2" t="str">
        <f t="shared" si="262"/>
        <v>(15 downto 8)</v>
      </c>
      <c r="AH1120" s="2" t="str">
        <f t="shared" si="263"/>
        <v>(7 downto 0)</v>
      </c>
    </row>
    <row r="1121" spans="2:34" x14ac:dyDescent="0.25">
      <c r="B1121" s="2" t="s">
        <v>1112</v>
      </c>
      <c r="D1121" s="2" t="s">
        <v>1</v>
      </c>
      <c r="E1121" s="2" t="s">
        <v>134</v>
      </c>
      <c r="F1121" s="2" t="s">
        <v>1118</v>
      </c>
      <c r="G1121" s="2" t="s">
        <v>1119</v>
      </c>
      <c r="H1121" s="2" t="s">
        <v>942</v>
      </c>
      <c r="I1121" s="2" t="s">
        <v>42</v>
      </c>
      <c r="J1121" s="2">
        <v>32</v>
      </c>
      <c r="K1121" s="2" t="s">
        <v>137</v>
      </c>
      <c r="L1121" s="2" t="s">
        <v>41</v>
      </c>
      <c r="M1121" s="2" t="s">
        <v>135</v>
      </c>
      <c r="N1121" s="2" t="s">
        <v>1115</v>
      </c>
      <c r="O1121" s="2" t="s">
        <v>943</v>
      </c>
      <c r="P1121" s="2" t="s">
        <v>49</v>
      </c>
      <c r="Q1121" s="2">
        <f>INDEX(Tables!$C$4:$C$28,MATCH($P1121,Tables!$B$4:$B$28,0))</f>
        <v>32</v>
      </c>
      <c r="R1121" s="2">
        <f>INDEX(Tables!$D$4:$D$28,MATCH($P1121,Tables!$B$4:$B$28,0))</f>
        <v>4</v>
      </c>
      <c r="S1121" s="2">
        <f>$S1120+$R1120+INDEX(Tables!$N$5:$Q$8,MATCH(MOD($S1120+$R1120,4),Tables!$M$5:$M$8,0),MATCH($R1121,Tables!$N$4:$Q$4,0))</f>
        <v>4020</v>
      </c>
      <c r="T1121" s="2" t="str">
        <f t="shared" si="264"/>
        <v>0FB4</v>
      </c>
      <c r="U1121" s="2">
        <f t="shared" si="255"/>
        <v>1005</v>
      </c>
      <c r="V1121" s="2" t="str">
        <f t="shared" si="265"/>
        <v>3ED</v>
      </c>
      <c r="W1121" s="2" t="str">
        <f t="shared" si="266"/>
        <v>X</v>
      </c>
      <c r="X1121" s="2" t="str">
        <f t="shared" si="267"/>
        <v>X</v>
      </c>
      <c r="Y1121" s="2" t="str">
        <f t="shared" si="268"/>
        <v>X</v>
      </c>
      <c r="Z1121" s="2" t="str">
        <f t="shared" si="269"/>
        <v>X</v>
      </c>
      <c r="AA1121" s="2" t="str">
        <f t="shared" si="256"/>
        <v>(31 downto 24)</v>
      </c>
      <c r="AB1121" s="2" t="str">
        <f t="shared" si="257"/>
        <v>(23 downto 16)</v>
      </c>
      <c r="AC1121" s="2" t="str">
        <f t="shared" si="258"/>
        <v>(15 downto 8)</v>
      </c>
      <c r="AD1121" s="2" t="str">
        <f t="shared" si="259"/>
        <v>(7 downto 0)</v>
      </c>
      <c r="AE1121" s="2" t="str">
        <f t="shared" si="260"/>
        <v>(31 downto 24)</v>
      </c>
      <c r="AF1121" s="2" t="str">
        <f t="shared" si="261"/>
        <v>(23 downto 16)</v>
      </c>
      <c r="AG1121" s="2" t="str">
        <f t="shared" si="262"/>
        <v>(15 downto 8)</v>
      </c>
      <c r="AH1121" s="2" t="str">
        <f t="shared" si="263"/>
        <v>(7 downto 0)</v>
      </c>
    </row>
    <row r="1122" spans="2:34" x14ac:dyDescent="0.25">
      <c r="B1122" s="2" t="s">
        <v>1112</v>
      </c>
      <c r="D1122" s="2" t="s">
        <v>1</v>
      </c>
      <c r="E1122" s="2" t="s">
        <v>134</v>
      </c>
      <c r="F1122" s="2" t="s">
        <v>1118</v>
      </c>
      <c r="G1122" s="2" t="s">
        <v>1119</v>
      </c>
      <c r="H1122" s="2" t="s">
        <v>944</v>
      </c>
      <c r="I1122" s="2" t="s">
        <v>42</v>
      </c>
      <c r="J1122" s="2">
        <v>32</v>
      </c>
      <c r="K1122" s="2" t="s">
        <v>137</v>
      </c>
      <c r="L1122" s="2" t="s">
        <v>41</v>
      </c>
      <c r="M1122" s="2" t="s">
        <v>135</v>
      </c>
      <c r="N1122" s="2" t="s">
        <v>1115</v>
      </c>
      <c r="O1122" s="2" t="s">
        <v>945</v>
      </c>
      <c r="P1122" s="2" t="s">
        <v>49</v>
      </c>
      <c r="Q1122" s="2">
        <f>INDEX(Tables!$C$4:$C$28,MATCH($P1122,Tables!$B$4:$B$28,0))</f>
        <v>32</v>
      </c>
      <c r="R1122" s="2">
        <f>INDEX(Tables!$D$4:$D$28,MATCH($P1122,Tables!$B$4:$B$28,0))</f>
        <v>4</v>
      </c>
      <c r="S1122" s="2">
        <f>$S1121+$R1121+INDEX(Tables!$N$5:$Q$8,MATCH(MOD($S1121+$R1121,4),Tables!$M$5:$M$8,0),MATCH($R1122,Tables!$N$4:$Q$4,0))</f>
        <v>4024</v>
      </c>
      <c r="T1122" s="2" t="str">
        <f t="shared" si="264"/>
        <v>0FB8</v>
      </c>
      <c r="U1122" s="2">
        <f t="shared" si="255"/>
        <v>1006</v>
      </c>
      <c r="V1122" s="2" t="str">
        <f t="shared" si="265"/>
        <v>3EE</v>
      </c>
      <c r="W1122" s="2" t="str">
        <f t="shared" si="266"/>
        <v>X</v>
      </c>
      <c r="X1122" s="2" t="str">
        <f t="shared" si="267"/>
        <v>X</v>
      </c>
      <c r="Y1122" s="2" t="str">
        <f t="shared" si="268"/>
        <v>X</v>
      </c>
      <c r="Z1122" s="2" t="str">
        <f t="shared" si="269"/>
        <v>X</v>
      </c>
      <c r="AA1122" s="2" t="str">
        <f t="shared" si="256"/>
        <v>(31 downto 24)</v>
      </c>
      <c r="AB1122" s="2" t="str">
        <f t="shared" si="257"/>
        <v>(23 downto 16)</v>
      </c>
      <c r="AC1122" s="2" t="str">
        <f t="shared" si="258"/>
        <v>(15 downto 8)</v>
      </c>
      <c r="AD1122" s="2" t="str">
        <f t="shared" si="259"/>
        <v>(7 downto 0)</v>
      </c>
      <c r="AE1122" s="2" t="str">
        <f t="shared" si="260"/>
        <v>(31 downto 24)</v>
      </c>
      <c r="AF1122" s="2" t="str">
        <f t="shared" si="261"/>
        <v>(23 downto 16)</v>
      </c>
      <c r="AG1122" s="2" t="str">
        <f t="shared" si="262"/>
        <v>(15 downto 8)</v>
      </c>
      <c r="AH1122" s="2" t="str">
        <f t="shared" si="263"/>
        <v>(7 downto 0)</v>
      </c>
    </row>
    <row r="1123" spans="2:34" x14ac:dyDescent="0.25">
      <c r="B1123" s="2" t="s">
        <v>1112</v>
      </c>
      <c r="D1123" s="2" t="s">
        <v>1</v>
      </c>
      <c r="E1123" s="2" t="s">
        <v>134</v>
      </c>
      <c r="F1123" s="2" t="s">
        <v>1118</v>
      </c>
      <c r="G1123" s="2" t="s">
        <v>1119</v>
      </c>
      <c r="H1123" s="2" t="s">
        <v>946</v>
      </c>
      <c r="I1123" s="2" t="s">
        <v>42</v>
      </c>
      <c r="J1123" s="2">
        <v>32</v>
      </c>
      <c r="K1123" s="2" t="s">
        <v>137</v>
      </c>
      <c r="L1123" s="2" t="s">
        <v>41</v>
      </c>
      <c r="M1123" s="2" t="s">
        <v>135</v>
      </c>
      <c r="N1123" s="2" t="s">
        <v>1115</v>
      </c>
      <c r="O1123" s="2" t="s">
        <v>947</v>
      </c>
      <c r="P1123" s="2" t="s">
        <v>49</v>
      </c>
      <c r="Q1123" s="2">
        <f>INDEX(Tables!$C$4:$C$28,MATCH($P1123,Tables!$B$4:$B$28,0))</f>
        <v>32</v>
      </c>
      <c r="R1123" s="2">
        <f>INDEX(Tables!$D$4:$D$28,MATCH($P1123,Tables!$B$4:$B$28,0))</f>
        <v>4</v>
      </c>
      <c r="S1123" s="2">
        <f>$S1122+$R1122+INDEX(Tables!$N$5:$Q$8,MATCH(MOD($S1122+$R1122,4),Tables!$M$5:$M$8,0),MATCH($R1123,Tables!$N$4:$Q$4,0))</f>
        <v>4028</v>
      </c>
      <c r="T1123" s="2" t="str">
        <f t="shared" si="264"/>
        <v>0FBC</v>
      </c>
      <c r="U1123" s="2">
        <f t="shared" si="255"/>
        <v>1007</v>
      </c>
      <c r="V1123" s="2" t="str">
        <f t="shared" si="265"/>
        <v>3EF</v>
      </c>
      <c r="W1123" s="2" t="str">
        <f t="shared" si="266"/>
        <v>X</v>
      </c>
      <c r="X1123" s="2" t="str">
        <f t="shared" si="267"/>
        <v>X</v>
      </c>
      <c r="Y1123" s="2" t="str">
        <f t="shared" si="268"/>
        <v>X</v>
      </c>
      <c r="Z1123" s="2" t="str">
        <f t="shared" si="269"/>
        <v>X</v>
      </c>
      <c r="AA1123" s="2" t="str">
        <f t="shared" si="256"/>
        <v>(31 downto 24)</v>
      </c>
      <c r="AB1123" s="2" t="str">
        <f t="shared" si="257"/>
        <v>(23 downto 16)</v>
      </c>
      <c r="AC1123" s="2" t="str">
        <f t="shared" si="258"/>
        <v>(15 downto 8)</v>
      </c>
      <c r="AD1123" s="2" t="str">
        <f t="shared" si="259"/>
        <v>(7 downto 0)</v>
      </c>
      <c r="AE1123" s="2" t="str">
        <f t="shared" si="260"/>
        <v>(31 downto 24)</v>
      </c>
      <c r="AF1123" s="2" t="str">
        <f t="shared" si="261"/>
        <v>(23 downto 16)</v>
      </c>
      <c r="AG1123" s="2" t="str">
        <f t="shared" si="262"/>
        <v>(15 downto 8)</v>
      </c>
      <c r="AH1123" s="2" t="str">
        <f t="shared" si="263"/>
        <v>(7 downto 0)</v>
      </c>
    </row>
    <row r="1124" spans="2:34" x14ac:dyDescent="0.25">
      <c r="B1124" s="2" t="s">
        <v>1112</v>
      </c>
      <c r="D1124" s="2" t="s">
        <v>1</v>
      </c>
      <c r="E1124" s="2" t="s">
        <v>134</v>
      </c>
      <c r="F1124" s="2" t="s">
        <v>1120</v>
      </c>
      <c r="G1124" s="2" t="s">
        <v>1121</v>
      </c>
      <c r="H1124" s="2" t="s">
        <v>950</v>
      </c>
      <c r="I1124" s="2" t="s">
        <v>42</v>
      </c>
      <c r="J1124" s="2">
        <v>32</v>
      </c>
      <c r="K1124" s="2" t="s">
        <v>137</v>
      </c>
      <c r="L1124" s="2" t="s">
        <v>41</v>
      </c>
      <c r="M1124" s="2" t="s">
        <v>135</v>
      </c>
      <c r="N1124" s="2" t="s">
        <v>1115</v>
      </c>
      <c r="O1124" s="2" t="s">
        <v>951</v>
      </c>
      <c r="P1124" s="2" t="s">
        <v>49</v>
      </c>
      <c r="Q1124" s="2">
        <f>INDEX(Tables!$C$4:$C$28,MATCH($P1124,Tables!$B$4:$B$28,0))</f>
        <v>32</v>
      </c>
      <c r="R1124" s="2">
        <f>INDEX(Tables!$D$4:$D$28,MATCH($P1124,Tables!$B$4:$B$28,0))</f>
        <v>4</v>
      </c>
      <c r="S1124" s="2">
        <f>$S1123+$R1123+INDEX(Tables!$N$5:$Q$8,MATCH(MOD($S1123+$R1123,4),Tables!$M$5:$M$8,0),MATCH($R1124,Tables!$N$4:$Q$4,0))</f>
        <v>4032</v>
      </c>
      <c r="T1124" s="2" t="str">
        <f t="shared" si="264"/>
        <v>0FC0</v>
      </c>
      <c r="U1124" s="2">
        <f t="shared" si="255"/>
        <v>1008</v>
      </c>
      <c r="V1124" s="2" t="str">
        <f t="shared" si="265"/>
        <v>3F0</v>
      </c>
      <c r="W1124" s="2" t="str">
        <f t="shared" si="266"/>
        <v>X</v>
      </c>
      <c r="X1124" s="2" t="str">
        <f t="shared" si="267"/>
        <v>X</v>
      </c>
      <c r="Y1124" s="2" t="str">
        <f t="shared" si="268"/>
        <v>X</v>
      </c>
      <c r="Z1124" s="2" t="str">
        <f t="shared" si="269"/>
        <v>X</v>
      </c>
      <c r="AA1124" s="2" t="str">
        <f t="shared" si="256"/>
        <v>(31 downto 24)</v>
      </c>
      <c r="AB1124" s="2" t="str">
        <f t="shared" si="257"/>
        <v>(23 downto 16)</v>
      </c>
      <c r="AC1124" s="2" t="str">
        <f t="shared" si="258"/>
        <v>(15 downto 8)</v>
      </c>
      <c r="AD1124" s="2" t="str">
        <f t="shared" si="259"/>
        <v>(7 downto 0)</v>
      </c>
      <c r="AE1124" s="2" t="str">
        <f t="shared" si="260"/>
        <v>(31 downto 24)</v>
      </c>
      <c r="AF1124" s="2" t="str">
        <f t="shared" si="261"/>
        <v>(23 downto 16)</v>
      </c>
      <c r="AG1124" s="2" t="str">
        <f t="shared" si="262"/>
        <v>(15 downto 8)</v>
      </c>
      <c r="AH1124" s="2" t="str">
        <f t="shared" si="263"/>
        <v>(7 downto 0)</v>
      </c>
    </row>
    <row r="1125" spans="2:34" x14ac:dyDescent="0.25">
      <c r="B1125" s="2" t="s">
        <v>1112</v>
      </c>
      <c r="D1125" s="2" t="s">
        <v>1</v>
      </c>
      <c r="E1125" s="2" t="s">
        <v>134</v>
      </c>
      <c r="F1125" s="2" t="s">
        <v>1120</v>
      </c>
      <c r="G1125" s="2" t="s">
        <v>1121</v>
      </c>
      <c r="H1125" s="2" t="s">
        <v>952</v>
      </c>
      <c r="I1125" s="2" t="s">
        <v>42</v>
      </c>
      <c r="J1125" s="2">
        <v>32</v>
      </c>
      <c r="K1125" s="2" t="s">
        <v>137</v>
      </c>
      <c r="L1125" s="2" t="s">
        <v>41</v>
      </c>
      <c r="M1125" s="2" t="s">
        <v>135</v>
      </c>
      <c r="N1125" s="2" t="s">
        <v>1115</v>
      </c>
      <c r="O1125" s="2" t="s">
        <v>953</v>
      </c>
      <c r="P1125" s="2" t="s">
        <v>49</v>
      </c>
      <c r="Q1125" s="2">
        <f>INDEX(Tables!$C$4:$C$28,MATCH($P1125,Tables!$B$4:$B$28,0))</f>
        <v>32</v>
      </c>
      <c r="R1125" s="2">
        <f>INDEX(Tables!$D$4:$D$28,MATCH($P1125,Tables!$B$4:$B$28,0))</f>
        <v>4</v>
      </c>
      <c r="S1125" s="2">
        <f>$S1124+$R1124+INDEX(Tables!$N$5:$Q$8,MATCH(MOD($S1124+$R1124,4),Tables!$M$5:$M$8,0),MATCH($R1125,Tables!$N$4:$Q$4,0))</f>
        <v>4036</v>
      </c>
      <c r="T1125" s="2" t="str">
        <f t="shared" si="264"/>
        <v>0FC4</v>
      </c>
      <c r="U1125" s="2">
        <f t="shared" si="255"/>
        <v>1009</v>
      </c>
      <c r="V1125" s="2" t="str">
        <f t="shared" si="265"/>
        <v>3F1</v>
      </c>
      <c r="W1125" s="2" t="str">
        <f t="shared" si="266"/>
        <v>X</v>
      </c>
      <c r="X1125" s="2" t="str">
        <f t="shared" si="267"/>
        <v>X</v>
      </c>
      <c r="Y1125" s="2" t="str">
        <f t="shared" si="268"/>
        <v>X</v>
      </c>
      <c r="Z1125" s="2" t="str">
        <f t="shared" si="269"/>
        <v>X</v>
      </c>
      <c r="AA1125" s="2" t="str">
        <f t="shared" si="256"/>
        <v>(31 downto 24)</v>
      </c>
      <c r="AB1125" s="2" t="str">
        <f t="shared" si="257"/>
        <v>(23 downto 16)</v>
      </c>
      <c r="AC1125" s="2" t="str">
        <f t="shared" si="258"/>
        <v>(15 downto 8)</v>
      </c>
      <c r="AD1125" s="2" t="str">
        <f t="shared" si="259"/>
        <v>(7 downto 0)</v>
      </c>
      <c r="AE1125" s="2" t="str">
        <f t="shared" si="260"/>
        <v>(31 downto 24)</v>
      </c>
      <c r="AF1125" s="2" t="str">
        <f t="shared" si="261"/>
        <v>(23 downto 16)</v>
      </c>
      <c r="AG1125" s="2" t="str">
        <f t="shared" si="262"/>
        <v>(15 downto 8)</v>
      </c>
      <c r="AH1125" s="2" t="str">
        <f t="shared" si="263"/>
        <v>(7 downto 0)</v>
      </c>
    </row>
    <row r="1126" spans="2:34" x14ac:dyDescent="0.25">
      <c r="B1126" s="2" t="s">
        <v>1112</v>
      </c>
      <c r="D1126" s="2" t="s">
        <v>1</v>
      </c>
      <c r="E1126" s="2" t="s">
        <v>134</v>
      </c>
      <c r="F1126" s="2" t="s">
        <v>1120</v>
      </c>
      <c r="G1126" s="2" t="s">
        <v>1121</v>
      </c>
      <c r="H1126" s="2" t="s">
        <v>954</v>
      </c>
      <c r="I1126" s="2" t="s">
        <v>42</v>
      </c>
      <c r="J1126" s="2">
        <v>32</v>
      </c>
      <c r="K1126" s="2" t="s">
        <v>137</v>
      </c>
      <c r="L1126" s="2" t="s">
        <v>41</v>
      </c>
      <c r="M1126" s="2" t="s">
        <v>135</v>
      </c>
      <c r="N1126" s="2" t="s">
        <v>1115</v>
      </c>
      <c r="O1126" s="2" t="s">
        <v>955</v>
      </c>
      <c r="P1126" s="2" t="s">
        <v>49</v>
      </c>
      <c r="Q1126" s="2">
        <f>INDEX(Tables!$C$4:$C$28,MATCH($P1126,Tables!$B$4:$B$28,0))</f>
        <v>32</v>
      </c>
      <c r="R1126" s="2">
        <f>INDEX(Tables!$D$4:$D$28,MATCH($P1126,Tables!$B$4:$B$28,0))</f>
        <v>4</v>
      </c>
      <c r="S1126" s="2">
        <f>$S1125+$R1125+INDEX(Tables!$N$5:$Q$8,MATCH(MOD($S1125+$R1125,4),Tables!$M$5:$M$8,0),MATCH($R1126,Tables!$N$4:$Q$4,0))</f>
        <v>4040</v>
      </c>
      <c r="T1126" s="2" t="str">
        <f t="shared" si="264"/>
        <v>0FC8</v>
      </c>
      <c r="U1126" s="2">
        <f t="shared" si="255"/>
        <v>1010</v>
      </c>
      <c r="V1126" s="2" t="str">
        <f t="shared" si="265"/>
        <v>3F2</v>
      </c>
      <c r="W1126" s="2" t="str">
        <f t="shared" si="266"/>
        <v>X</v>
      </c>
      <c r="X1126" s="2" t="str">
        <f t="shared" si="267"/>
        <v>X</v>
      </c>
      <c r="Y1126" s="2" t="str">
        <f t="shared" si="268"/>
        <v>X</v>
      </c>
      <c r="Z1126" s="2" t="str">
        <f t="shared" si="269"/>
        <v>X</v>
      </c>
      <c r="AA1126" s="2" t="str">
        <f t="shared" si="256"/>
        <v>(31 downto 24)</v>
      </c>
      <c r="AB1126" s="2" t="str">
        <f t="shared" si="257"/>
        <v>(23 downto 16)</v>
      </c>
      <c r="AC1126" s="2" t="str">
        <f t="shared" si="258"/>
        <v>(15 downto 8)</v>
      </c>
      <c r="AD1126" s="2" t="str">
        <f t="shared" si="259"/>
        <v>(7 downto 0)</v>
      </c>
      <c r="AE1126" s="2" t="str">
        <f t="shared" si="260"/>
        <v>(31 downto 24)</v>
      </c>
      <c r="AF1126" s="2" t="str">
        <f t="shared" si="261"/>
        <v>(23 downto 16)</v>
      </c>
      <c r="AG1126" s="2" t="str">
        <f t="shared" si="262"/>
        <v>(15 downto 8)</v>
      </c>
      <c r="AH1126" s="2" t="str">
        <f t="shared" si="263"/>
        <v>(7 downto 0)</v>
      </c>
    </row>
    <row r="1127" spans="2:34" x14ac:dyDescent="0.25">
      <c r="B1127" s="2" t="s">
        <v>1112</v>
      </c>
      <c r="D1127" s="2" t="s">
        <v>1</v>
      </c>
      <c r="E1127" s="2" t="s">
        <v>134</v>
      </c>
      <c r="F1127" s="2" t="s">
        <v>1120</v>
      </c>
      <c r="G1127" s="2" t="s">
        <v>1121</v>
      </c>
      <c r="H1127" s="2" t="s">
        <v>956</v>
      </c>
      <c r="I1127" s="2" t="s">
        <v>42</v>
      </c>
      <c r="J1127" s="2">
        <v>32</v>
      </c>
      <c r="K1127" s="2" t="s">
        <v>137</v>
      </c>
      <c r="L1127" s="2" t="s">
        <v>41</v>
      </c>
      <c r="M1127" s="2" t="s">
        <v>135</v>
      </c>
      <c r="N1127" s="2" t="s">
        <v>1115</v>
      </c>
      <c r="O1127" s="2" t="s">
        <v>957</v>
      </c>
      <c r="P1127" s="2" t="s">
        <v>49</v>
      </c>
      <c r="Q1127" s="2">
        <f>INDEX(Tables!$C$4:$C$28,MATCH($P1127,Tables!$B$4:$B$28,0))</f>
        <v>32</v>
      </c>
      <c r="R1127" s="2">
        <f>INDEX(Tables!$D$4:$D$28,MATCH($P1127,Tables!$B$4:$B$28,0))</f>
        <v>4</v>
      </c>
      <c r="S1127" s="2">
        <f>$S1126+$R1126+INDEX(Tables!$N$5:$Q$8,MATCH(MOD($S1126+$R1126,4),Tables!$M$5:$M$8,0),MATCH($R1127,Tables!$N$4:$Q$4,0))</f>
        <v>4044</v>
      </c>
      <c r="T1127" s="2" t="str">
        <f t="shared" si="264"/>
        <v>0FCC</v>
      </c>
      <c r="U1127" s="2">
        <f t="shared" si="255"/>
        <v>1011</v>
      </c>
      <c r="V1127" s="2" t="str">
        <f t="shared" si="265"/>
        <v>3F3</v>
      </c>
      <c r="W1127" s="2" t="str">
        <f t="shared" si="266"/>
        <v>X</v>
      </c>
      <c r="X1127" s="2" t="str">
        <f t="shared" si="267"/>
        <v>X</v>
      </c>
      <c r="Y1127" s="2" t="str">
        <f t="shared" si="268"/>
        <v>X</v>
      </c>
      <c r="Z1127" s="2" t="str">
        <f t="shared" si="269"/>
        <v>X</v>
      </c>
      <c r="AA1127" s="2" t="str">
        <f t="shared" si="256"/>
        <v>(31 downto 24)</v>
      </c>
      <c r="AB1127" s="2" t="str">
        <f t="shared" si="257"/>
        <v>(23 downto 16)</v>
      </c>
      <c r="AC1127" s="2" t="str">
        <f t="shared" si="258"/>
        <v>(15 downto 8)</v>
      </c>
      <c r="AD1127" s="2" t="str">
        <f t="shared" si="259"/>
        <v>(7 downto 0)</v>
      </c>
      <c r="AE1127" s="2" t="str">
        <f t="shared" si="260"/>
        <v>(31 downto 24)</v>
      </c>
      <c r="AF1127" s="2" t="str">
        <f t="shared" si="261"/>
        <v>(23 downto 16)</v>
      </c>
      <c r="AG1127" s="2" t="str">
        <f t="shared" si="262"/>
        <v>(15 downto 8)</v>
      </c>
      <c r="AH1127" s="2" t="str">
        <f t="shared" si="263"/>
        <v>(7 downto 0)</v>
      </c>
    </row>
    <row r="1128" spans="2:34" x14ac:dyDescent="0.25">
      <c r="B1128" s="2" t="s">
        <v>1112</v>
      </c>
      <c r="D1128" s="2" t="s">
        <v>1</v>
      </c>
      <c r="E1128" s="2" t="s">
        <v>134</v>
      </c>
      <c r="F1128" s="2" t="s">
        <v>1122</v>
      </c>
      <c r="G1128" s="2" t="s">
        <v>1123</v>
      </c>
      <c r="H1128" s="2" t="s">
        <v>960</v>
      </c>
      <c r="I1128" s="2" t="s">
        <v>42</v>
      </c>
      <c r="J1128" s="2">
        <v>32</v>
      </c>
      <c r="K1128" s="2" t="s">
        <v>137</v>
      </c>
      <c r="L1128" s="2" t="s">
        <v>41</v>
      </c>
      <c r="M1128" s="2" t="s">
        <v>135</v>
      </c>
      <c r="N1128" s="2" t="s">
        <v>1115</v>
      </c>
      <c r="O1128" s="2" t="s">
        <v>961</v>
      </c>
      <c r="P1128" s="2" t="s">
        <v>49</v>
      </c>
      <c r="Q1128" s="2">
        <f>INDEX(Tables!$C$4:$C$28,MATCH($P1128,Tables!$B$4:$B$28,0))</f>
        <v>32</v>
      </c>
      <c r="R1128" s="2">
        <f>INDEX(Tables!$D$4:$D$28,MATCH($P1128,Tables!$B$4:$B$28,0))</f>
        <v>4</v>
      </c>
      <c r="S1128" s="2">
        <f>$S1127+$R1127+INDEX(Tables!$N$5:$Q$8,MATCH(MOD($S1127+$R1127,4),Tables!$M$5:$M$8,0),MATCH($R1128,Tables!$N$4:$Q$4,0))</f>
        <v>4048</v>
      </c>
      <c r="T1128" s="2" t="str">
        <f t="shared" si="264"/>
        <v>0FD0</v>
      </c>
      <c r="U1128" s="2">
        <f t="shared" si="255"/>
        <v>1012</v>
      </c>
      <c r="V1128" s="2" t="str">
        <f t="shared" si="265"/>
        <v>3F4</v>
      </c>
      <c r="W1128" s="2" t="str">
        <f t="shared" si="266"/>
        <v>X</v>
      </c>
      <c r="X1128" s="2" t="str">
        <f t="shared" si="267"/>
        <v>X</v>
      </c>
      <c r="Y1128" s="2" t="str">
        <f t="shared" si="268"/>
        <v>X</v>
      </c>
      <c r="Z1128" s="2" t="str">
        <f t="shared" si="269"/>
        <v>X</v>
      </c>
      <c r="AA1128" s="2" t="str">
        <f t="shared" si="256"/>
        <v>(31 downto 24)</v>
      </c>
      <c r="AB1128" s="2" t="str">
        <f t="shared" si="257"/>
        <v>(23 downto 16)</v>
      </c>
      <c r="AC1128" s="2" t="str">
        <f t="shared" si="258"/>
        <v>(15 downto 8)</v>
      </c>
      <c r="AD1128" s="2" t="str">
        <f t="shared" si="259"/>
        <v>(7 downto 0)</v>
      </c>
      <c r="AE1128" s="2" t="str">
        <f t="shared" si="260"/>
        <v>(31 downto 24)</v>
      </c>
      <c r="AF1128" s="2" t="str">
        <f t="shared" si="261"/>
        <v>(23 downto 16)</v>
      </c>
      <c r="AG1128" s="2" t="str">
        <f t="shared" si="262"/>
        <v>(15 downto 8)</v>
      </c>
      <c r="AH1128" s="2" t="str">
        <f t="shared" si="263"/>
        <v>(7 downto 0)</v>
      </c>
    </row>
    <row r="1129" spans="2:34" x14ac:dyDescent="0.25">
      <c r="B1129" s="2" t="s">
        <v>1112</v>
      </c>
      <c r="D1129" s="2" t="s">
        <v>1</v>
      </c>
      <c r="E1129" s="2" t="s">
        <v>134</v>
      </c>
      <c r="F1129" s="2" t="s">
        <v>1122</v>
      </c>
      <c r="G1129" s="2" t="s">
        <v>1123</v>
      </c>
      <c r="H1129" s="2" t="s">
        <v>962</v>
      </c>
      <c r="I1129" s="2" t="s">
        <v>42</v>
      </c>
      <c r="J1129" s="2">
        <v>32</v>
      </c>
      <c r="K1129" s="2" t="s">
        <v>137</v>
      </c>
      <c r="L1129" s="2" t="s">
        <v>41</v>
      </c>
      <c r="M1129" s="2" t="s">
        <v>135</v>
      </c>
      <c r="N1129" s="2" t="s">
        <v>1115</v>
      </c>
      <c r="O1129" s="2" t="s">
        <v>963</v>
      </c>
      <c r="P1129" s="2" t="s">
        <v>49</v>
      </c>
      <c r="Q1129" s="2">
        <f>INDEX(Tables!$C$4:$C$28,MATCH($P1129,Tables!$B$4:$B$28,0))</f>
        <v>32</v>
      </c>
      <c r="R1129" s="2">
        <f>INDEX(Tables!$D$4:$D$28,MATCH($P1129,Tables!$B$4:$B$28,0))</f>
        <v>4</v>
      </c>
      <c r="S1129" s="2">
        <f>$S1128+$R1128+INDEX(Tables!$N$5:$Q$8,MATCH(MOD($S1128+$R1128,4),Tables!$M$5:$M$8,0),MATCH($R1129,Tables!$N$4:$Q$4,0))</f>
        <v>4052</v>
      </c>
      <c r="T1129" s="2" t="str">
        <f t="shared" si="264"/>
        <v>0FD4</v>
      </c>
      <c r="U1129" s="2">
        <f t="shared" si="255"/>
        <v>1013</v>
      </c>
      <c r="V1129" s="2" t="str">
        <f t="shared" si="265"/>
        <v>3F5</v>
      </c>
      <c r="W1129" s="2" t="str">
        <f t="shared" si="266"/>
        <v>X</v>
      </c>
      <c r="X1129" s="2" t="str">
        <f t="shared" si="267"/>
        <v>X</v>
      </c>
      <c r="Y1129" s="2" t="str">
        <f t="shared" si="268"/>
        <v>X</v>
      </c>
      <c r="Z1129" s="2" t="str">
        <f t="shared" si="269"/>
        <v>X</v>
      </c>
      <c r="AA1129" s="2" t="str">
        <f t="shared" si="256"/>
        <v>(31 downto 24)</v>
      </c>
      <c r="AB1129" s="2" t="str">
        <f t="shared" si="257"/>
        <v>(23 downto 16)</v>
      </c>
      <c r="AC1129" s="2" t="str">
        <f t="shared" si="258"/>
        <v>(15 downto 8)</v>
      </c>
      <c r="AD1129" s="2" t="str">
        <f t="shared" si="259"/>
        <v>(7 downto 0)</v>
      </c>
      <c r="AE1129" s="2" t="str">
        <f t="shared" si="260"/>
        <v>(31 downto 24)</v>
      </c>
      <c r="AF1129" s="2" t="str">
        <f t="shared" si="261"/>
        <v>(23 downto 16)</v>
      </c>
      <c r="AG1129" s="2" t="str">
        <f t="shared" si="262"/>
        <v>(15 downto 8)</v>
      </c>
      <c r="AH1129" s="2" t="str">
        <f t="shared" si="263"/>
        <v>(7 downto 0)</v>
      </c>
    </row>
    <row r="1130" spans="2:34" x14ac:dyDescent="0.25">
      <c r="B1130" s="2" t="s">
        <v>1112</v>
      </c>
      <c r="D1130" s="2" t="s">
        <v>1</v>
      </c>
      <c r="E1130" s="2" t="s">
        <v>134</v>
      </c>
      <c r="F1130" s="2" t="s">
        <v>1122</v>
      </c>
      <c r="G1130" s="2" t="s">
        <v>1123</v>
      </c>
      <c r="H1130" s="2" t="s">
        <v>964</v>
      </c>
      <c r="I1130" s="2" t="s">
        <v>42</v>
      </c>
      <c r="J1130" s="2">
        <v>32</v>
      </c>
      <c r="K1130" s="2" t="s">
        <v>137</v>
      </c>
      <c r="L1130" s="2" t="s">
        <v>41</v>
      </c>
      <c r="M1130" s="2" t="s">
        <v>135</v>
      </c>
      <c r="N1130" s="2" t="s">
        <v>1115</v>
      </c>
      <c r="O1130" s="2" t="s">
        <v>965</v>
      </c>
      <c r="P1130" s="2" t="s">
        <v>49</v>
      </c>
      <c r="Q1130" s="2">
        <f>INDEX(Tables!$C$4:$C$28,MATCH($P1130,Tables!$B$4:$B$28,0))</f>
        <v>32</v>
      </c>
      <c r="R1130" s="2">
        <f>INDEX(Tables!$D$4:$D$28,MATCH($P1130,Tables!$B$4:$B$28,0))</f>
        <v>4</v>
      </c>
      <c r="S1130" s="2">
        <f>$S1129+$R1129+INDEX(Tables!$N$5:$Q$8,MATCH(MOD($S1129+$R1129,4),Tables!$M$5:$M$8,0),MATCH($R1130,Tables!$N$4:$Q$4,0))</f>
        <v>4056</v>
      </c>
      <c r="T1130" s="2" t="str">
        <f t="shared" si="264"/>
        <v>0FD8</v>
      </c>
      <c r="U1130" s="2">
        <f t="shared" ref="U1130:U1138" si="270">ROUNDDOWN(S1130/4,0)</f>
        <v>1014</v>
      </c>
      <c r="V1130" s="2" t="str">
        <f t="shared" si="265"/>
        <v>3F6</v>
      </c>
      <c r="W1130" s="2" t="str">
        <f t="shared" si="266"/>
        <v>X</v>
      </c>
      <c r="X1130" s="2" t="str">
        <f t="shared" si="267"/>
        <v>X</v>
      </c>
      <c r="Y1130" s="2" t="str">
        <f t="shared" si="268"/>
        <v>X</v>
      </c>
      <c r="Z1130" s="2" t="str">
        <f t="shared" si="269"/>
        <v>X</v>
      </c>
      <c r="AA1130" s="2" t="str">
        <f t="shared" ref="AA1130:AA1138" si="271">IF(W1130="","",CONCATENATE("(",IF(($J1130-COUNTIF($X1130:$Z1130,"X")*8)=1,"24)",CONCATENATE(IF(($J1130-COUNTIF($X1130:$Z1130,"X")*8)&gt;=8,32,($J1130-COUNTIF($X1130:$Z1130,"X")*8)+24)-1," downto 24)"))))</f>
        <v>(31 downto 24)</v>
      </c>
      <c r="AB1130" s="2" t="str">
        <f t="shared" ref="AB1130:AB1138" si="272">IF(X1130="","",CONCATENATE("(",IF(($J1130-COUNTIF($Y1130:$Z1130,"X")*8)=1,"16)",CONCATENATE(IF(($J1130-COUNTIF($Y1130:$Z1130,"X")*8)&gt;=8,24,($J1130-COUNTIF($Y1130:$Z1130,"X")*8)+16)-1," downto 16)"))))</f>
        <v>(23 downto 16)</v>
      </c>
      <c r="AC1130" s="2" t="str">
        <f t="shared" ref="AC1130:AC1138" si="273">IF(Y1130="","",CONCATENATE("(",IF(($J1130-COUNTIF($Z1130,"X")*8)=1,"8)",CONCATENATE(IF(($J1130-COUNTIF($Z1130,"X")*8)&gt;=8,16,($J1130-COUNTIF($Z1130,"X")*8)+8)-1," downto 8)"))))</f>
        <v>(15 downto 8)</v>
      </c>
      <c r="AD1130" s="2" t="str">
        <f t="shared" ref="AD1130:AD1138" si="274">IF(Z1130="","",CONCATENATE("(",IF($J1130=1,"0)",CONCATENATE(IF($J1130&gt;=8,8,$J1130)-1," downto 0)"))))</f>
        <v>(7 downto 0)</v>
      </c>
      <c r="AE1130" s="2" t="str">
        <f t="shared" ref="AE1130:AE1138" si="275">IF(W1130="","",IF($J1130&lt;=8,"",IF(($J1130-COUNTIF($X1130:$Z1130,"X")*8)=1,CONCATENATE("(",($J1130-1),")"),CONCATENATE("(",IF(($J1130-COUNTIF($X1130:$Z1130,"X")*8)&gt;=8,COUNTIF($X1130:$Z1130,"X")*8+7,$J1130-COUNTIF($X1130:$Z1130,"X")*8-1+COUNTIF($X1130:$Z1130,"X")*8)," downto ",COUNTIF($X1130:$Z1130,"X")*8,")"))))</f>
        <v>(31 downto 24)</v>
      </c>
      <c r="AF1130" s="2" t="str">
        <f t="shared" ref="AF1130:AF1138" si="276">IF(X1130="","",IF($J1130&lt;=8,"",IF(($J1130-COUNTIF($Y1130:$Z1130,"X")*8)=1,CONCATENATE("(",($J1130-1),")"),CONCATENATE("(",IF(($J1130-COUNTIF($Y1130:$Z1130,"X")*8)&gt;=8,COUNTIF($Y1130:$Z1130,"X")*8+7,$J1130-COUNTIF($Y1130:$Z1130,"X")*8-1+COUNTIF($Y1130:$Z1130,"X")*8)," downto ",COUNTIF($Y1130:$Z1130,"X")*8,")"))))</f>
        <v>(23 downto 16)</v>
      </c>
      <c r="AG1130" s="2" t="str">
        <f t="shared" ref="AG1130:AG1138" si="277">IF(Y1130="","",IF($J1130&lt;=8,"",IF(($J1130-COUNTIF($Z1130,"X")*8)=1,CONCATENATE("(",($J1130-1),")"),CONCATENATE("(",IF(($J1130-COUNTIF($Z1130,"X")*8)&gt;=8,COUNTIF($Z1130,"X")*8+7,$J1130-COUNTIF($Z1130,"X")*8-1+COUNTIF($Z1130,"X")*8)," downto ",COUNTIF($Z1130,"X")*8,")"))))</f>
        <v>(15 downto 8)</v>
      </c>
      <c r="AH1130" s="2" t="str">
        <f t="shared" ref="AH1130:AH1138" si="278">IF(Z1130="","",IF($J1130&lt;=8,"",CONCATENATE("(",IF($J1130&gt;=8,7,$J1130-1)," downto ",0,")")))</f>
        <v>(7 downto 0)</v>
      </c>
    </row>
    <row r="1131" spans="2:34" x14ac:dyDescent="0.25">
      <c r="B1131" s="2" t="s">
        <v>1112</v>
      </c>
      <c r="D1131" s="2" t="s">
        <v>1</v>
      </c>
      <c r="E1131" s="2" t="s">
        <v>134</v>
      </c>
      <c r="F1131" s="2" t="s">
        <v>1122</v>
      </c>
      <c r="G1131" s="2" t="s">
        <v>1123</v>
      </c>
      <c r="H1131" s="2" t="s">
        <v>966</v>
      </c>
      <c r="I1131" s="2" t="s">
        <v>42</v>
      </c>
      <c r="J1131" s="2">
        <v>32</v>
      </c>
      <c r="K1131" s="2" t="s">
        <v>137</v>
      </c>
      <c r="L1131" s="2" t="s">
        <v>41</v>
      </c>
      <c r="M1131" s="2" t="s">
        <v>135</v>
      </c>
      <c r="N1131" s="2" t="s">
        <v>1115</v>
      </c>
      <c r="O1131" s="2" t="s">
        <v>967</v>
      </c>
      <c r="P1131" s="2" t="s">
        <v>49</v>
      </c>
      <c r="Q1131" s="2">
        <f>INDEX(Tables!$C$4:$C$28,MATCH($P1131,Tables!$B$4:$B$28,0))</f>
        <v>32</v>
      </c>
      <c r="R1131" s="2">
        <f>INDEX(Tables!$D$4:$D$28,MATCH($P1131,Tables!$B$4:$B$28,0))</f>
        <v>4</v>
      </c>
      <c r="S1131" s="2">
        <f>$S1130+$R1130+INDEX(Tables!$N$5:$Q$8,MATCH(MOD($S1130+$R1130,4),Tables!$M$5:$M$8,0),MATCH($R1131,Tables!$N$4:$Q$4,0))</f>
        <v>4060</v>
      </c>
      <c r="T1131" s="2" t="str">
        <f t="shared" si="264"/>
        <v>0FDC</v>
      </c>
      <c r="U1131" s="2">
        <f t="shared" si="270"/>
        <v>1015</v>
      </c>
      <c r="V1131" s="2" t="str">
        <f t="shared" si="265"/>
        <v>3F7</v>
      </c>
      <c r="W1131" s="2" t="str">
        <f t="shared" si="266"/>
        <v>X</v>
      </c>
      <c r="X1131" s="2" t="str">
        <f t="shared" si="267"/>
        <v>X</v>
      </c>
      <c r="Y1131" s="2" t="str">
        <f t="shared" si="268"/>
        <v>X</v>
      </c>
      <c r="Z1131" s="2" t="str">
        <f t="shared" si="269"/>
        <v>X</v>
      </c>
      <c r="AA1131" s="2" t="str">
        <f t="shared" si="271"/>
        <v>(31 downto 24)</v>
      </c>
      <c r="AB1131" s="2" t="str">
        <f t="shared" si="272"/>
        <v>(23 downto 16)</v>
      </c>
      <c r="AC1131" s="2" t="str">
        <f t="shared" si="273"/>
        <v>(15 downto 8)</v>
      </c>
      <c r="AD1131" s="2" t="str">
        <f t="shared" si="274"/>
        <v>(7 downto 0)</v>
      </c>
      <c r="AE1131" s="2" t="str">
        <f t="shared" si="275"/>
        <v>(31 downto 24)</v>
      </c>
      <c r="AF1131" s="2" t="str">
        <f t="shared" si="276"/>
        <v>(23 downto 16)</v>
      </c>
      <c r="AG1131" s="2" t="str">
        <f t="shared" si="277"/>
        <v>(15 downto 8)</v>
      </c>
      <c r="AH1131" s="2" t="str">
        <f t="shared" si="278"/>
        <v>(7 downto 0)</v>
      </c>
    </row>
    <row r="1132" spans="2:34" x14ac:dyDescent="0.25">
      <c r="B1132" s="2" t="s">
        <v>1112</v>
      </c>
      <c r="D1132" s="2" t="s">
        <v>1</v>
      </c>
      <c r="E1132" s="2" t="s">
        <v>134</v>
      </c>
      <c r="F1132" s="2" t="s">
        <v>1124</v>
      </c>
      <c r="G1132" s="2" t="s">
        <v>1125</v>
      </c>
      <c r="H1132" s="2" t="s">
        <v>970</v>
      </c>
      <c r="I1132" s="2" t="s">
        <v>42</v>
      </c>
      <c r="J1132" s="2">
        <v>8</v>
      </c>
      <c r="K1132" s="2" t="s">
        <v>137</v>
      </c>
      <c r="L1132" s="2" t="s">
        <v>41</v>
      </c>
      <c r="M1132" s="2" t="s">
        <v>135</v>
      </c>
      <c r="N1132" s="2" t="s">
        <v>1115</v>
      </c>
      <c r="O1132" s="2" t="s">
        <v>971</v>
      </c>
      <c r="P1132" s="2" t="s">
        <v>48</v>
      </c>
      <c r="Q1132" s="2">
        <f>INDEX(Tables!$C$4:$C$28,MATCH($P1132,Tables!$B$4:$B$28,0))</f>
        <v>8</v>
      </c>
      <c r="R1132" s="2">
        <f>INDEX(Tables!$D$4:$D$28,MATCH($P1132,Tables!$B$4:$B$28,0))</f>
        <v>1</v>
      </c>
      <c r="S1132" s="2">
        <f>$S1131+$R1131+INDEX(Tables!$N$5:$Q$8,MATCH(MOD($S1131+$R1131,4),Tables!$M$5:$M$8,0),MATCH($R1132,Tables!$N$4:$Q$4,0))</f>
        <v>4064</v>
      </c>
      <c r="T1132" s="2" t="str">
        <f t="shared" si="264"/>
        <v>0FE0</v>
      </c>
      <c r="U1132" s="2">
        <f t="shared" si="270"/>
        <v>1016</v>
      </c>
      <c r="V1132" s="2" t="str">
        <f t="shared" si="265"/>
        <v>3F8</v>
      </c>
      <c r="W1132" s="2" t="str">
        <f t="shared" si="266"/>
        <v/>
      </c>
      <c r="X1132" s="2" t="str">
        <f t="shared" si="267"/>
        <v/>
      </c>
      <c r="Y1132" s="2" t="str">
        <f t="shared" si="268"/>
        <v/>
      </c>
      <c r="Z1132" s="2" t="str">
        <f t="shared" si="269"/>
        <v>X</v>
      </c>
      <c r="AA1132" s="2" t="str">
        <f t="shared" si="271"/>
        <v/>
      </c>
      <c r="AB1132" s="2" t="str">
        <f t="shared" si="272"/>
        <v/>
      </c>
      <c r="AC1132" s="2" t="str">
        <f t="shared" si="273"/>
        <v/>
      </c>
      <c r="AD1132" s="2" t="str">
        <f t="shared" si="274"/>
        <v>(7 downto 0)</v>
      </c>
      <c r="AE1132" s="2" t="str">
        <f t="shared" si="275"/>
        <v/>
      </c>
      <c r="AF1132" s="2" t="str">
        <f t="shared" si="276"/>
        <v/>
      </c>
      <c r="AG1132" s="2" t="str">
        <f t="shared" si="277"/>
        <v/>
      </c>
      <c r="AH1132" s="2" t="str">
        <f t="shared" si="278"/>
        <v/>
      </c>
    </row>
    <row r="1133" spans="2:34" x14ac:dyDescent="0.25">
      <c r="B1133" s="2" t="s">
        <v>1112</v>
      </c>
      <c r="D1133" s="2" t="s">
        <v>1</v>
      </c>
      <c r="E1133" s="2" t="s">
        <v>134</v>
      </c>
      <c r="F1133" s="2" t="s">
        <v>1124</v>
      </c>
      <c r="G1133" s="2" t="s">
        <v>1125</v>
      </c>
      <c r="H1133" s="2" t="s">
        <v>972</v>
      </c>
      <c r="I1133" s="2" t="s">
        <v>42</v>
      </c>
      <c r="J1133" s="2">
        <v>8</v>
      </c>
      <c r="K1133" s="2" t="s">
        <v>137</v>
      </c>
      <c r="L1133" s="2" t="s">
        <v>41</v>
      </c>
      <c r="M1133" s="2" t="s">
        <v>135</v>
      </c>
      <c r="N1133" s="2" t="s">
        <v>1115</v>
      </c>
      <c r="O1133" s="2" t="s">
        <v>973</v>
      </c>
      <c r="P1133" s="2" t="s">
        <v>48</v>
      </c>
      <c r="Q1133" s="2">
        <f>INDEX(Tables!$C$4:$C$28,MATCH($P1133,Tables!$B$4:$B$28,0))</f>
        <v>8</v>
      </c>
      <c r="R1133" s="2">
        <f>INDEX(Tables!$D$4:$D$28,MATCH($P1133,Tables!$B$4:$B$28,0))</f>
        <v>1</v>
      </c>
      <c r="S1133" s="2">
        <f>$S1132+$R1132+INDEX(Tables!$N$5:$Q$8,MATCH(MOD($S1132+$R1132,4),Tables!$M$5:$M$8,0),MATCH($R1133,Tables!$N$4:$Q$4,0))</f>
        <v>4065</v>
      </c>
      <c r="T1133" s="2" t="str">
        <f t="shared" si="264"/>
        <v>0FE1</v>
      </c>
      <c r="U1133" s="2">
        <f t="shared" si="270"/>
        <v>1016</v>
      </c>
      <c r="V1133" s="2" t="str">
        <f t="shared" si="265"/>
        <v>3F8</v>
      </c>
      <c r="W1133" s="2" t="str">
        <f t="shared" si="266"/>
        <v/>
      </c>
      <c r="X1133" s="2" t="str">
        <f t="shared" si="267"/>
        <v/>
      </c>
      <c r="Y1133" s="2" t="str">
        <f t="shared" si="268"/>
        <v>X</v>
      </c>
      <c r="Z1133" s="2" t="str">
        <f t="shared" si="269"/>
        <v/>
      </c>
      <c r="AA1133" s="2" t="str">
        <f t="shared" si="271"/>
        <v/>
      </c>
      <c r="AB1133" s="2" t="str">
        <f t="shared" si="272"/>
        <v/>
      </c>
      <c r="AC1133" s="2" t="str">
        <f t="shared" si="273"/>
        <v>(15 downto 8)</v>
      </c>
      <c r="AD1133" s="2" t="str">
        <f t="shared" si="274"/>
        <v/>
      </c>
      <c r="AE1133" s="2" t="str">
        <f t="shared" si="275"/>
        <v/>
      </c>
      <c r="AF1133" s="2" t="str">
        <f t="shared" si="276"/>
        <v/>
      </c>
      <c r="AG1133" s="2" t="str">
        <f t="shared" si="277"/>
        <v/>
      </c>
      <c r="AH1133" s="2" t="str">
        <f t="shared" si="278"/>
        <v/>
      </c>
    </row>
    <row r="1134" spans="2:34" x14ac:dyDescent="0.25">
      <c r="B1134" s="2" t="s">
        <v>1112</v>
      </c>
      <c r="D1134" s="2" t="s">
        <v>1</v>
      </c>
      <c r="E1134" s="2" t="s">
        <v>134</v>
      </c>
      <c r="F1134" s="2" t="s">
        <v>1126</v>
      </c>
      <c r="G1134" s="2" t="s">
        <v>1127</v>
      </c>
      <c r="H1134" s="2" t="s">
        <v>976</v>
      </c>
      <c r="I1134" s="2" t="s">
        <v>42</v>
      </c>
      <c r="J1134" s="2">
        <v>16</v>
      </c>
      <c r="K1134" s="2" t="s">
        <v>137</v>
      </c>
      <c r="L1134" s="2" t="s">
        <v>41</v>
      </c>
      <c r="M1134" s="2" t="s">
        <v>135</v>
      </c>
      <c r="N1134" s="2" t="s">
        <v>1115</v>
      </c>
      <c r="O1134" s="2" t="s">
        <v>977</v>
      </c>
      <c r="P1134" s="2" t="s">
        <v>50</v>
      </c>
      <c r="Q1134" s="2">
        <f>INDEX(Tables!$C$4:$C$28,MATCH($P1134,Tables!$B$4:$B$28,0))</f>
        <v>16</v>
      </c>
      <c r="R1134" s="2">
        <f>INDEX(Tables!$D$4:$D$28,MATCH($P1134,Tables!$B$4:$B$28,0))</f>
        <v>2</v>
      </c>
      <c r="S1134" s="2">
        <f>$S1133+$R1133+INDEX(Tables!$N$5:$Q$8,MATCH(MOD($S1133+$R1133,4),Tables!$M$5:$M$8,0),MATCH($R1134,Tables!$N$4:$Q$4,0))</f>
        <v>4066</v>
      </c>
      <c r="T1134" s="2" t="str">
        <f t="shared" si="264"/>
        <v>0FE2</v>
      </c>
      <c r="U1134" s="2">
        <f t="shared" si="270"/>
        <v>1016</v>
      </c>
      <c r="V1134" s="2" t="str">
        <f t="shared" si="265"/>
        <v>3F8</v>
      </c>
      <c r="W1134" s="2" t="str">
        <f t="shared" si="266"/>
        <v>X</v>
      </c>
      <c r="X1134" s="2" t="str">
        <f t="shared" si="267"/>
        <v>X</v>
      </c>
      <c r="Y1134" s="2" t="str">
        <f t="shared" si="268"/>
        <v/>
      </c>
      <c r="Z1134" s="2" t="str">
        <f t="shared" si="269"/>
        <v/>
      </c>
      <c r="AA1134" s="2" t="str">
        <f t="shared" si="271"/>
        <v>(31 downto 24)</v>
      </c>
      <c r="AB1134" s="2" t="str">
        <f t="shared" si="272"/>
        <v>(23 downto 16)</v>
      </c>
      <c r="AC1134" s="2" t="str">
        <f t="shared" si="273"/>
        <v/>
      </c>
      <c r="AD1134" s="2" t="str">
        <f t="shared" si="274"/>
        <v/>
      </c>
      <c r="AE1134" s="2" t="str">
        <f t="shared" si="275"/>
        <v>(15 downto 8)</v>
      </c>
      <c r="AF1134" s="2" t="str">
        <f t="shared" si="276"/>
        <v>(7 downto 0)</v>
      </c>
      <c r="AG1134" s="2" t="str">
        <f t="shared" si="277"/>
        <v/>
      </c>
      <c r="AH1134" s="2" t="str">
        <f t="shared" si="278"/>
        <v/>
      </c>
    </row>
    <row r="1135" spans="2:34" x14ac:dyDescent="0.25">
      <c r="B1135" s="2" t="s">
        <v>1112</v>
      </c>
      <c r="D1135" s="2" t="s">
        <v>1</v>
      </c>
      <c r="E1135" s="2" t="s">
        <v>134</v>
      </c>
      <c r="F1135" s="2" t="s">
        <v>1126</v>
      </c>
      <c r="G1135" s="2" t="s">
        <v>1127</v>
      </c>
      <c r="H1135" s="2" t="s">
        <v>978</v>
      </c>
      <c r="I1135" s="2" t="s">
        <v>42</v>
      </c>
      <c r="J1135" s="2">
        <v>16</v>
      </c>
      <c r="K1135" s="2" t="s">
        <v>137</v>
      </c>
      <c r="L1135" s="2" t="s">
        <v>41</v>
      </c>
      <c r="M1135" s="2" t="s">
        <v>135</v>
      </c>
      <c r="N1135" s="2" t="s">
        <v>1115</v>
      </c>
      <c r="O1135" s="2" t="s">
        <v>979</v>
      </c>
      <c r="P1135" s="2" t="s">
        <v>50</v>
      </c>
      <c r="Q1135" s="2">
        <f>INDEX(Tables!$C$4:$C$28,MATCH($P1135,Tables!$B$4:$B$28,0))</f>
        <v>16</v>
      </c>
      <c r="R1135" s="2">
        <f>INDEX(Tables!$D$4:$D$28,MATCH($P1135,Tables!$B$4:$B$28,0))</f>
        <v>2</v>
      </c>
      <c r="S1135" s="2">
        <f>$S1134+$R1134+INDEX(Tables!$N$5:$Q$8,MATCH(MOD($S1134+$R1134,4),Tables!$M$5:$M$8,0),MATCH($R1135,Tables!$N$4:$Q$4,0))</f>
        <v>4068</v>
      </c>
      <c r="T1135" s="2" t="str">
        <f t="shared" si="264"/>
        <v>0FE4</v>
      </c>
      <c r="U1135" s="2">
        <f t="shared" si="270"/>
        <v>1017</v>
      </c>
      <c r="V1135" s="2" t="str">
        <f t="shared" si="265"/>
        <v>3F9</v>
      </c>
      <c r="W1135" s="2" t="str">
        <f t="shared" si="266"/>
        <v/>
      </c>
      <c r="X1135" s="2" t="str">
        <f t="shared" si="267"/>
        <v/>
      </c>
      <c r="Y1135" s="2" t="str">
        <f t="shared" si="268"/>
        <v>X</v>
      </c>
      <c r="Z1135" s="2" t="str">
        <f t="shared" si="269"/>
        <v>X</v>
      </c>
      <c r="AA1135" s="2" t="str">
        <f t="shared" si="271"/>
        <v/>
      </c>
      <c r="AB1135" s="2" t="str">
        <f t="shared" si="272"/>
        <v/>
      </c>
      <c r="AC1135" s="2" t="str">
        <f t="shared" si="273"/>
        <v>(15 downto 8)</v>
      </c>
      <c r="AD1135" s="2" t="str">
        <f t="shared" si="274"/>
        <v>(7 downto 0)</v>
      </c>
      <c r="AE1135" s="2" t="str">
        <f t="shared" si="275"/>
        <v/>
      </c>
      <c r="AF1135" s="2" t="str">
        <f t="shared" si="276"/>
        <v/>
      </c>
      <c r="AG1135" s="2" t="str">
        <f t="shared" si="277"/>
        <v>(15 downto 8)</v>
      </c>
      <c r="AH1135" s="2" t="str">
        <f t="shared" si="278"/>
        <v>(7 downto 0)</v>
      </c>
    </row>
    <row r="1136" spans="2:34" x14ac:dyDescent="0.25">
      <c r="B1136" s="2" t="s">
        <v>1112</v>
      </c>
      <c r="D1136" s="2" t="s">
        <v>1</v>
      </c>
      <c r="E1136" s="2" t="s">
        <v>134</v>
      </c>
      <c r="F1136" s="2" t="s">
        <v>1126</v>
      </c>
      <c r="G1136" s="2" t="s">
        <v>1127</v>
      </c>
      <c r="H1136" s="2" t="s">
        <v>980</v>
      </c>
      <c r="I1136" s="2" t="s">
        <v>42</v>
      </c>
      <c r="J1136" s="2">
        <v>16</v>
      </c>
      <c r="K1136" s="2" t="s">
        <v>137</v>
      </c>
      <c r="L1136" s="2" t="s">
        <v>41</v>
      </c>
      <c r="M1136" s="2" t="s">
        <v>135</v>
      </c>
      <c r="N1136" s="2" t="s">
        <v>1115</v>
      </c>
      <c r="O1136" s="2" t="s">
        <v>981</v>
      </c>
      <c r="P1136" s="2" t="s">
        <v>50</v>
      </c>
      <c r="Q1136" s="2">
        <f>INDEX(Tables!$C$4:$C$28,MATCH($P1136,Tables!$B$4:$B$28,0))</f>
        <v>16</v>
      </c>
      <c r="R1136" s="2">
        <f>INDEX(Tables!$D$4:$D$28,MATCH($P1136,Tables!$B$4:$B$28,0))</f>
        <v>2</v>
      </c>
      <c r="S1136" s="2">
        <f>$S1135+$R1135+INDEX(Tables!$N$5:$Q$8,MATCH(MOD($S1135+$R1135,4),Tables!$M$5:$M$8,0),MATCH($R1136,Tables!$N$4:$Q$4,0))</f>
        <v>4070</v>
      </c>
      <c r="T1136" s="2" t="str">
        <f t="shared" si="264"/>
        <v>0FE6</v>
      </c>
      <c r="U1136" s="2">
        <f t="shared" si="270"/>
        <v>1017</v>
      </c>
      <c r="V1136" s="2" t="str">
        <f t="shared" si="265"/>
        <v>3F9</v>
      </c>
      <c r="W1136" s="2" t="str">
        <f t="shared" si="266"/>
        <v>X</v>
      </c>
      <c r="X1136" s="2" t="str">
        <f t="shared" si="267"/>
        <v>X</v>
      </c>
      <c r="Y1136" s="2" t="str">
        <f t="shared" si="268"/>
        <v/>
      </c>
      <c r="Z1136" s="2" t="str">
        <f t="shared" si="269"/>
        <v/>
      </c>
      <c r="AA1136" s="2" t="str">
        <f t="shared" si="271"/>
        <v>(31 downto 24)</v>
      </c>
      <c r="AB1136" s="2" t="str">
        <f t="shared" si="272"/>
        <v>(23 downto 16)</v>
      </c>
      <c r="AC1136" s="2" t="str">
        <f t="shared" si="273"/>
        <v/>
      </c>
      <c r="AD1136" s="2" t="str">
        <f t="shared" si="274"/>
        <v/>
      </c>
      <c r="AE1136" s="2" t="str">
        <f t="shared" si="275"/>
        <v>(15 downto 8)</v>
      </c>
      <c r="AF1136" s="2" t="str">
        <f t="shared" si="276"/>
        <v>(7 downto 0)</v>
      </c>
      <c r="AG1136" s="2" t="str">
        <f t="shared" si="277"/>
        <v/>
      </c>
      <c r="AH1136" s="2" t="str">
        <f t="shared" si="278"/>
        <v/>
      </c>
    </row>
    <row r="1137" spans="2:34" x14ac:dyDescent="0.25">
      <c r="B1137" s="2" t="s">
        <v>1112</v>
      </c>
      <c r="D1137" s="2" t="s">
        <v>1</v>
      </c>
      <c r="E1137" s="2" t="s">
        <v>134</v>
      </c>
      <c r="F1137" s="2" t="s">
        <v>1126</v>
      </c>
      <c r="G1137" s="2" t="s">
        <v>1127</v>
      </c>
      <c r="H1137" s="2" t="s">
        <v>982</v>
      </c>
      <c r="I1137" s="2" t="s">
        <v>42</v>
      </c>
      <c r="J1137" s="2">
        <v>16</v>
      </c>
      <c r="K1137" s="2" t="s">
        <v>137</v>
      </c>
      <c r="L1137" s="2" t="s">
        <v>41</v>
      </c>
      <c r="M1137" s="2" t="s">
        <v>135</v>
      </c>
      <c r="N1137" s="2" t="s">
        <v>1115</v>
      </c>
      <c r="O1137" s="2" t="s">
        <v>983</v>
      </c>
      <c r="P1137" s="2" t="s">
        <v>50</v>
      </c>
      <c r="Q1137" s="2">
        <f>INDEX(Tables!$C$4:$C$28,MATCH($P1137,Tables!$B$4:$B$28,0))</f>
        <v>16</v>
      </c>
      <c r="R1137" s="2">
        <f>INDEX(Tables!$D$4:$D$28,MATCH($P1137,Tables!$B$4:$B$28,0))</f>
        <v>2</v>
      </c>
      <c r="S1137" s="2">
        <f>$S1136+$R1136+INDEX(Tables!$N$5:$Q$8,MATCH(MOD($S1136+$R1136,4),Tables!$M$5:$M$8,0),MATCH($R1137,Tables!$N$4:$Q$4,0))</f>
        <v>4072</v>
      </c>
      <c r="T1137" s="2" t="str">
        <f t="shared" si="264"/>
        <v>0FE8</v>
      </c>
      <c r="U1137" s="2">
        <f t="shared" si="270"/>
        <v>1018</v>
      </c>
      <c r="V1137" s="2" t="str">
        <f t="shared" si="265"/>
        <v>3FA</v>
      </c>
      <c r="W1137" s="2" t="str">
        <f t="shared" si="266"/>
        <v/>
      </c>
      <c r="X1137" s="2" t="str">
        <f t="shared" si="267"/>
        <v/>
      </c>
      <c r="Y1137" s="2" t="str">
        <f t="shared" si="268"/>
        <v>X</v>
      </c>
      <c r="Z1137" s="2" t="str">
        <f t="shared" si="269"/>
        <v>X</v>
      </c>
      <c r="AA1137" s="2" t="str">
        <f t="shared" si="271"/>
        <v/>
      </c>
      <c r="AB1137" s="2" t="str">
        <f t="shared" si="272"/>
        <v/>
      </c>
      <c r="AC1137" s="2" t="str">
        <f t="shared" si="273"/>
        <v>(15 downto 8)</v>
      </c>
      <c r="AD1137" s="2" t="str">
        <f t="shared" si="274"/>
        <v>(7 downto 0)</v>
      </c>
      <c r="AE1137" s="2" t="str">
        <f t="shared" si="275"/>
        <v/>
      </c>
      <c r="AF1137" s="2" t="str">
        <f t="shared" si="276"/>
        <v/>
      </c>
      <c r="AG1137" s="2" t="str">
        <f t="shared" si="277"/>
        <v>(15 downto 8)</v>
      </c>
      <c r="AH1137" s="2" t="str">
        <f t="shared" si="278"/>
        <v>(7 downto 0)</v>
      </c>
    </row>
    <row r="1138" spans="2:34" x14ac:dyDescent="0.25">
      <c r="B1138" s="2" t="s">
        <v>1128</v>
      </c>
      <c r="D1138" s="2" t="s">
        <v>0</v>
      </c>
      <c r="E1138" s="2" t="s">
        <v>138</v>
      </c>
      <c r="F1138" s="2" t="s">
        <v>1129</v>
      </c>
      <c r="G1138" s="2" t="s">
        <v>1130</v>
      </c>
      <c r="H1138" s="2" t="s">
        <v>1129</v>
      </c>
      <c r="I1138" s="2" t="s">
        <v>42</v>
      </c>
      <c r="J1138" s="2">
        <v>1</v>
      </c>
      <c r="K1138" s="2" t="s">
        <v>82</v>
      </c>
      <c r="L1138" s="2" t="s">
        <v>41</v>
      </c>
      <c r="M1138" s="2" t="s">
        <v>135</v>
      </c>
      <c r="N1138" s="2" t="s">
        <v>1128</v>
      </c>
      <c r="O1138" s="2" t="s">
        <v>1131</v>
      </c>
      <c r="P1138" s="2" t="s">
        <v>5</v>
      </c>
      <c r="Q1138" s="2">
        <f>INDEX(Tables!$C$4:$C$28,MATCH($P1138,Tables!$B$4:$B$28,0))</f>
        <v>32</v>
      </c>
      <c r="R1138" s="2">
        <f>INDEX(Tables!$D$4:$D$28,MATCH($P1138,Tables!$B$4:$B$28,0))</f>
        <v>4</v>
      </c>
      <c r="S1138" s="2">
        <f>$S1137+$R1137+INDEX(Tables!$N$5:$Q$8,MATCH(MOD($S1137+$R1137,4),Tables!$M$5:$M$8,0),MATCH($R1138,Tables!$N$4:$Q$4,0))</f>
        <v>4076</v>
      </c>
      <c r="T1138" s="2" t="str">
        <f t="shared" si="264"/>
        <v>0FEC</v>
      </c>
      <c r="U1138" s="2">
        <f t="shared" si="270"/>
        <v>1019</v>
      </c>
      <c r="V1138" s="2" t="str">
        <f t="shared" si="265"/>
        <v>3FB</v>
      </c>
      <c r="W1138" s="2" t="str">
        <f t="shared" si="266"/>
        <v/>
      </c>
      <c r="X1138" s="2" t="str">
        <f t="shared" si="267"/>
        <v/>
      </c>
      <c r="Y1138" s="2" t="str">
        <f t="shared" si="268"/>
        <v/>
      </c>
      <c r="Z1138" s="2" t="str">
        <f t="shared" si="269"/>
        <v>X</v>
      </c>
      <c r="AA1138" s="2" t="str">
        <f t="shared" si="271"/>
        <v/>
      </c>
      <c r="AB1138" s="2" t="str">
        <f t="shared" si="272"/>
        <v/>
      </c>
      <c r="AC1138" s="2" t="str">
        <f t="shared" si="273"/>
        <v/>
      </c>
      <c r="AD1138" s="2" t="str">
        <f t="shared" si="274"/>
        <v>(0)</v>
      </c>
      <c r="AE1138" s="2" t="str">
        <f t="shared" si="275"/>
        <v/>
      </c>
      <c r="AF1138" s="2" t="str">
        <f t="shared" si="276"/>
        <v/>
      </c>
      <c r="AG1138" s="2" t="str">
        <f t="shared" si="277"/>
        <v/>
      </c>
      <c r="AH1138" s="2" t="str">
        <f t="shared" si="278"/>
        <v/>
      </c>
    </row>
  </sheetData>
  <autoFilter ref="B3:AH169" xr:uid="{00000000-0009-0000-0000-000000000000}"/>
  <sortState xmlns:xlrd2="http://schemas.microsoft.com/office/spreadsheetml/2017/richdata2"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92</v>
      </c>
      <c r="G2" s="27"/>
      <c r="H2" s="10"/>
      <c r="I2" s="27" t="s">
        <v>86</v>
      </c>
      <c r="J2" s="27"/>
      <c r="K2" s="10"/>
      <c r="L2" s="27" t="s">
        <v>125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93</v>
      </c>
      <c r="H3" s="9"/>
      <c r="I3" s="8" t="s">
        <v>87</v>
      </c>
      <c r="J3" s="8" t="s">
        <v>88</v>
      </c>
      <c r="K3" s="13"/>
      <c r="L3" s="2" t="s">
        <v>41</v>
      </c>
      <c r="M3" s="2" t="s">
        <v>41</v>
      </c>
      <c r="N3" s="27" t="s">
        <v>126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94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94</v>
      </c>
      <c r="I5" s="2" t="str">
        <f>Main!$C$2</f>
        <v>Field Comment</v>
      </c>
      <c r="J5" s="2">
        <f>MATCH($I5,Main!$B$2:$AH$2,0)+1</f>
        <v>3</v>
      </c>
      <c r="L5" s="29" t="s">
        <v>124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94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95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95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95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97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97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97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96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96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96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98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98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98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99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99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99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100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101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101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101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102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102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102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181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114</v>
      </c>
      <c r="H2" s="1" t="s">
        <v>104</v>
      </c>
      <c r="I2" s="1"/>
    </row>
    <row r="3" spans="2:9" x14ac:dyDescent="0.25">
      <c r="B3" s="2" t="s">
        <v>127</v>
      </c>
      <c r="H3" t="s">
        <v>116</v>
      </c>
    </row>
    <row r="5" spans="2:9" x14ac:dyDescent="0.25">
      <c r="B5" s="14" t="s">
        <v>115</v>
      </c>
      <c r="H5" t="s">
        <v>117</v>
      </c>
    </row>
    <row r="6" spans="2:9" x14ac:dyDescent="0.25">
      <c r="B6" s="2" t="s">
        <v>128</v>
      </c>
      <c r="H6" t="s">
        <v>7442</v>
      </c>
    </row>
    <row r="7" spans="2:9" x14ac:dyDescent="0.25">
      <c r="H7" t="s">
        <v>7443</v>
      </c>
    </row>
    <row r="8" spans="2:9" x14ac:dyDescent="0.25">
      <c r="B8" s="14" t="s">
        <v>113</v>
      </c>
    </row>
    <row r="9" spans="2:9" x14ac:dyDescent="0.25">
      <c r="B9" s="2">
        <v>4096</v>
      </c>
      <c r="H9" t="s">
        <v>105</v>
      </c>
    </row>
    <row r="11" spans="2:9" x14ac:dyDescent="0.25">
      <c r="B11" s="12"/>
      <c r="H11" t="s">
        <v>1132</v>
      </c>
    </row>
    <row r="12" spans="2:9" x14ac:dyDescent="0.25">
      <c r="H12" t="s">
        <v>1133</v>
      </c>
    </row>
    <row r="13" spans="2:9" x14ac:dyDescent="0.25">
      <c r="H13" t="s">
        <v>1134</v>
      </c>
    </row>
    <row r="14" spans="2:9" x14ac:dyDescent="0.25">
      <c r="B14" s="12"/>
      <c r="H14" t="s">
        <v>1135</v>
      </c>
    </row>
    <row r="16" spans="2:9" x14ac:dyDescent="0.25">
      <c r="H16" t="s">
        <v>1136</v>
      </c>
    </row>
    <row r="17" spans="2:8" x14ac:dyDescent="0.25">
      <c r="B17" s="12"/>
      <c r="H17" t="s">
        <v>1137</v>
      </c>
    </row>
    <row r="18" spans="2:8" x14ac:dyDescent="0.25">
      <c r="H18" t="s">
        <v>1138</v>
      </c>
    </row>
    <row r="19" spans="2:8" x14ac:dyDescent="0.25">
      <c r="H19" t="s">
        <v>1139</v>
      </c>
    </row>
    <row r="20" spans="2:8" x14ac:dyDescent="0.25">
      <c r="B20" s="12"/>
      <c r="H20" t="s">
        <v>1140</v>
      </c>
    </row>
    <row r="21" spans="2:8" x14ac:dyDescent="0.25">
      <c r="H21" t="s">
        <v>1141</v>
      </c>
    </row>
    <row r="22" spans="2:8" x14ac:dyDescent="0.25">
      <c r="H22" t="s">
        <v>1142</v>
      </c>
    </row>
    <row r="24" spans="2:8" x14ac:dyDescent="0.25">
      <c r="H24" t="s">
        <v>1136</v>
      </c>
    </row>
    <row r="25" spans="2:8" x14ac:dyDescent="0.25">
      <c r="H25" t="s">
        <v>1143</v>
      </c>
    </row>
    <row r="26" spans="2:8" x14ac:dyDescent="0.25">
      <c r="H26" t="s">
        <v>1144</v>
      </c>
    </row>
    <row r="27" spans="2:8" x14ac:dyDescent="0.25">
      <c r="H27" t="s">
        <v>1145</v>
      </c>
    </row>
    <row r="29" spans="2:8" x14ac:dyDescent="0.25">
      <c r="H29" t="s">
        <v>1136</v>
      </c>
    </row>
    <row r="30" spans="2:8" x14ac:dyDescent="0.25">
      <c r="H30" t="s">
        <v>1146</v>
      </c>
    </row>
    <row r="31" spans="2:8" x14ac:dyDescent="0.25">
      <c r="H31" t="s">
        <v>1147</v>
      </c>
    </row>
    <row r="32" spans="2:8" x14ac:dyDescent="0.25">
      <c r="H32" t="s">
        <v>1148</v>
      </c>
    </row>
    <row r="34" spans="8:8" x14ac:dyDescent="0.25">
      <c r="H34" t="s">
        <v>1136</v>
      </c>
    </row>
    <row r="35" spans="8:8" x14ac:dyDescent="0.25">
      <c r="H35" t="s">
        <v>1149</v>
      </c>
    </row>
    <row r="36" spans="8:8" x14ac:dyDescent="0.25">
      <c r="H36" t="s">
        <v>1150</v>
      </c>
    </row>
    <row r="37" spans="8:8" x14ac:dyDescent="0.25">
      <c r="H37" t="s">
        <v>1151</v>
      </c>
    </row>
    <row r="39" spans="8:8" x14ac:dyDescent="0.25">
      <c r="H39" t="s">
        <v>1136</v>
      </c>
    </row>
    <row r="40" spans="8:8" x14ac:dyDescent="0.25">
      <c r="H40" t="s">
        <v>1152</v>
      </c>
    </row>
    <row r="41" spans="8:8" x14ac:dyDescent="0.25">
      <c r="H41" t="s">
        <v>1153</v>
      </c>
    </row>
    <row r="42" spans="8:8" x14ac:dyDescent="0.25">
      <c r="H42" t="s">
        <v>1154</v>
      </c>
    </row>
    <row r="44" spans="8:8" x14ac:dyDescent="0.25">
      <c r="H44" t="s">
        <v>1155</v>
      </c>
    </row>
    <row r="45" spans="8:8" x14ac:dyDescent="0.25">
      <c r="H45" t="s">
        <v>1156</v>
      </c>
    </row>
    <row r="46" spans="8:8" x14ac:dyDescent="0.25">
      <c r="H46" t="s">
        <v>1157</v>
      </c>
    </row>
    <row r="47" spans="8:8" x14ac:dyDescent="0.25">
      <c r="H47" t="s">
        <v>1158</v>
      </c>
    </row>
    <row r="48" spans="8:8" x14ac:dyDescent="0.25">
      <c r="H48" t="s">
        <v>1159</v>
      </c>
    </row>
    <row r="50" spans="8:8" x14ac:dyDescent="0.25">
      <c r="H50" t="s">
        <v>1155</v>
      </c>
    </row>
    <row r="51" spans="8:8" x14ac:dyDescent="0.25">
      <c r="H51" t="s">
        <v>1166</v>
      </c>
    </row>
    <row r="52" spans="8:8" x14ac:dyDescent="0.25">
      <c r="H52" t="s">
        <v>1167</v>
      </c>
    </row>
    <row r="53" spans="8:8" x14ac:dyDescent="0.25">
      <c r="H53" t="s">
        <v>1168</v>
      </c>
    </row>
    <row r="55" spans="8:8" x14ac:dyDescent="0.25">
      <c r="H55" t="s">
        <v>1155</v>
      </c>
    </row>
    <row r="56" spans="8:8" x14ac:dyDescent="0.25">
      <c r="H56" t="s">
        <v>1163</v>
      </c>
    </row>
    <row r="57" spans="8:8" x14ac:dyDescent="0.25">
      <c r="H57" t="s">
        <v>1164</v>
      </c>
    </row>
    <row r="58" spans="8:8" x14ac:dyDescent="0.25">
      <c r="H58" t="s">
        <v>1165</v>
      </c>
    </row>
    <row r="60" spans="8:8" x14ac:dyDescent="0.25">
      <c r="H60" t="s">
        <v>1155</v>
      </c>
    </row>
    <row r="61" spans="8:8" x14ac:dyDescent="0.25">
      <c r="H61" t="s">
        <v>1160</v>
      </c>
    </row>
    <row r="62" spans="8:8" x14ac:dyDescent="0.25">
      <c r="H62" t="s">
        <v>1161</v>
      </c>
    </row>
    <row r="63" spans="8:8" x14ac:dyDescent="0.25">
      <c r="H63" t="s">
        <v>1162</v>
      </c>
    </row>
    <row r="65" spans="8:8" x14ac:dyDescent="0.25">
      <c r="H65" t="s">
        <v>1155</v>
      </c>
    </row>
    <row r="66" spans="8:8" x14ac:dyDescent="0.25">
      <c r="H66" t="s">
        <v>1178</v>
      </c>
    </row>
    <row r="67" spans="8:8" x14ac:dyDescent="0.25">
      <c r="H67" t="s">
        <v>1179</v>
      </c>
    </row>
    <row r="68" spans="8:8" x14ac:dyDescent="0.25">
      <c r="H68" t="s">
        <v>1180</v>
      </c>
    </row>
    <row r="70" spans="8:8" x14ac:dyDescent="0.25">
      <c r="H70" t="s">
        <v>1155</v>
      </c>
    </row>
    <row r="71" spans="8:8" x14ac:dyDescent="0.25">
      <c r="H71" t="s">
        <v>1175</v>
      </c>
    </row>
    <row r="72" spans="8:8" x14ac:dyDescent="0.25">
      <c r="H72" t="s">
        <v>1176</v>
      </c>
    </row>
    <row r="73" spans="8:8" x14ac:dyDescent="0.25">
      <c r="H73" t="s">
        <v>1177</v>
      </c>
    </row>
    <row r="75" spans="8:8" x14ac:dyDescent="0.25">
      <c r="H75" t="s">
        <v>1155</v>
      </c>
    </row>
    <row r="76" spans="8:8" x14ac:dyDescent="0.25">
      <c r="H76" t="s">
        <v>1172</v>
      </c>
    </row>
    <row r="77" spans="8:8" x14ac:dyDescent="0.25">
      <c r="H77" t="s">
        <v>1173</v>
      </c>
    </row>
    <row r="78" spans="8:8" x14ac:dyDescent="0.25">
      <c r="H78" t="s">
        <v>1174</v>
      </c>
    </row>
    <row r="80" spans="8:8" x14ac:dyDescent="0.25">
      <c r="H80" t="s">
        <v>1155</v>
      </c>
    </row>
    <row r="81" spans="8:8" x14ac:dyDescent="0.25">
      <c r="H81" t="s">
        <v>1169</v>
      </c>
    </row>
    <row r="82" spans="8:8" x14ac:dyDescent="0.25">
      <c r="H82" t="s">
        <v>1170</v>
      </c>
    </row>
    <row r="83" spans="8:8" x14ac:dyDescent="0.25">
      <c r="H83" t="s">
        <v>1171</v>
      </c>
    </row>
    <row r="85" spans="8:8" x14ac:dyDescent="0.25">
      <c r="H85" t="s">
        <v>1155</v>
      </c>
    </row>
    <row r="86" spans="8:8" x14ac:dyDescent="0.25">
      <c r="H86" t="s">
        <v>1181</v>
      </c>
    </row>
    <row r="87" spans="8:8" x14ac:dyDescent="0.25">
      <c r="H87" t="s">
        <v>1182</v>
      </c>
    </row>
    <row r="88" spans="8:8" x14ac:dyDescent="0.25">
      <c r="H88" t="s">
        <v>1183</v>
      </c>
    </row>
    <row r="90" spans="8:8" x14ac:dyDescent="0.25">
      <c r="H90" t="s">
        <v>1155</v>
      </c>
    </row>
    <row r="91" spans="8:8" x14ac:dyDescent="0.25">
      <c r="H91" t="s">
        <v>1184</v>
      </c>
    </row>
    <row r="92" spans="8:8" x14ac:dyDescent="0.25">
      <c r="H92" t="s">
        <v>1185</v>
      </c>
    </row>
    <row r="93" spans="8:8" x14ac:dyDescent="0.25">
      <c r="H93" t="s">
        <v>1186</v>
      </c>
    </row>
    <row r="95" spans="8:8" x14ac:dyDescent="0.25">
      <c r="H95" t="s">
        <v>1155</v>
      </c>
    </row>
    <row r="96" spans="8:8" x14ac:dyDescent="0.25">
      <c r="H96" t="s">
        <v>1187</v>
      </c>
    </row>
    <row r="97" spans="8:8" x14ac:dyDescent="0.25">
      <c r="H97" t="s">
        <v>1188</v>
      </c>
    </row>
    <row r="98" spans="8:8" x14ac:dyDescent="0.25">
      <c r="H98" t="s">
        <v>1189</v>
      </c>
    </row>
    <row r="100" spans="8:8" x14ac:dyDescent="0.25">
      <c r="H100" t="s">
        <v>1155</v>
      </c>
    </row>
    <row r="101" spans="8:8" x14ac:dyDescent="0.25">
      <c r="H101" t="s">
        <v>1190</v>
      </c>
    </row>
    <row r="102" spans="8:8" x14ac:dyDescent="0.25">
      <c r="H102" t="s">
        <v>1191</v>
      </c>
    </row>
    <row r="103" spans="8:8" x14ac:dyDescent="0.25">
      <c r="H103" t="s">
        <v>1192</v>
      </c>
    </row>
    <row r="105" spans="8:8" x14ac:dyDescent="0.25">
      <c r="H105" t="s">
        <v>1155</v>
      </c>
    </row>
    <row r="106" spans="8:8" x14ac:dyDescent="0.25">
      <c r="H106" t="s">
        <v>1193</v>
      </c>
    </row>
    <row r="107" spans="8:8" x14ac:dyDescent="0.25">
      <c r="H107" t="s">
        <v>1194</v>
      </c>
    </row>
    <row r="108" spans="8:8" x14ac:dyDescent="0.25">
      <c r="H108" t="s">
        <v>1195</v>
      </c>
    </row>
    <row r="110" spans="8:8" x14ac:dyDescent="0.25">
      <c r="H110" t="s">
        <v>1155</v>
      </c>
    </row>
    <row r="111" spans="8:8" x14ac:dyDescent="0.25">
      <c r="H111" t="s">
        <v>1196</v>
      </c>
    </row>
    <row r="112" spans="8:8" x14ac:dyDescent="0.25">
      <c r="H112" t="s">
        <v>1197</v>
      </c>
    </row>
    <row r="113" spans="8:8" x14ac:dyDescent="0.25">
      <c r="H113" t="s">
        <v>1198</v>
      </c>
    </row>
    <row r="115" spans="8:8" x14ac:dyDescent="0.25">
      <c r="H115" t="s">
        <v>1155</v>
      </c>
    </row>
    <row r="116" spans="8:8" x14ac:dyDescent="0.25">
      <c r="H116" t="s">
        <v>1199</v>
      </c>
    </row>
    <row r="117" spans="8:8" x14ac:dyDescent="0.25">
      <c r="H117" t="s">
        <v>1200</v>
      </c>
    </row>
    <row r="118" spans="8:8" x14ac:dyDescent="0.25">
      <c r="H118" t="s">
        <v>1201</v>
      </c>
    </row>
    <row r="120" spans="8:8" x14ac:dyDescent="0.25">
      <c r="H120" t="s">
        <v>1155</v>
      </c>
    </row>
    <row r="121" spans="8:8" x14ac:dyDescent="0.25">
      <c r="H121" t="s">
        <v>1202</v>
      </c>
    </row>
    <row r="122" spans="8:8" x14ac:dyDescent="0.25">
      <c r="H122" t="s">
        <v>1203</v>
      </c>
    </row>
    <row r="123" spans="8:8" x14ac:dyDescent="0.25">
      <c r="H123" t="s">
        <v>1204</v>
      </c>
    </row>
    <row r="125" spans="8:8" x14ac:dyDescent="0.25">
      <c r="H125" t="s">
        <v>1155</v>
      </c>
    </row>
    <row r="126" spans="8:8" x14ac:dyDescent="0.25">
      <c r="H126" t="s">
        <v>1205</v>
      </c>
    </row>
    <row r="127" spans="8:8" x14ac:dyDescent="0.25">
      <c r="H127" t="s">
        <v>1206</v>
      </c>
    </row>
    <row r="128" spans="8:8" x14ac:dyDescent="0.25">
      <c r="H128" t="s">
        <v>1207</v>
      </c>
    </row>
    <row r="130" spans="8:8" x14ac:dyDescent="0.25">
      <c r="H130" t="s">
        <v>1155</v>
      </c>
    </row>
    <row r="131" spans="8:8" x14ac:dyDescent="0.25">
      <c r="H131" t="s">
        <v>1208</v>
      </c>
    </row>
    <row r="132" spans="8:8" x14ac:dyDescent="0.25">
      <c r="H132" t="s">
        <v>1209</v>
      </c>
    </row>
    <row r="133" spans="8:8" x14ac:dyDescent="0.25">
      <c r="H133" t="s">
        <v>1210</v>
      </c>
    </row>
    <row r="135" spans="8:8" x14ac:dyDescent="0.25">
      <c r="H135" t="s">
        <v>1155</v>
      </c>
    </row>
    <row r="136" spans="8:8" x14ac:dyDescent="0.25">
      <c r="H136" t="s">
        <v>1211</v>
      </c>
    </row>
    <row r="137" spans="8:8" x14ac:dyDescent="0.25">
      <c r="H137" t="s">
        <v>1212</v>
      </c>
    </row>
    <row r="138" spans="8:8" x14ac:dyDescent="0.25">
      <c r="H138" t="s">
        <v>1213</v>
      </c>
    </row>
    <row r="140" spans="8:8" x14ac:dyDescent="0.25">
      <c r="H140" t="s">
        <v>1155</v>
      </c>
    </row>
    <row r="141" spans="8:8" x14ac:dyDescent="0.25">
      <c r="H141" t="s">
        <v>1223</v>
      </c>
    </row>
    <row r="142" spans="8:8" x14ac:dyDescent="0.25">
      <c r="H142" t="s">
        <v>1224</v>
      </c>
    </row>
    <row r="143" spans="8:8" x14ac:dyDescent="0.25">
      <c r="H143" t="s">
        <v>1225</v>
      </c>
    </row>
    <row r="145" spans="8:8" x14ac:dyDescent="0.25">
      <c r="H145" t="s">
        <v>1155</v>
      </c>
    </row>
    <row r="146" spans="8:8" x14ac:dyDescent="0.25">
      <c r="H146" t="s">
        <v>1220</v>
      </c>
    </row>
    <row r="147" spans="8:8" x14ac:dyDescent="0.25">
      <c r="H147" t="s">
        <v>1221</v>
      </c>
    </row>
    <row r="148" spans="8:8" x14ac:dyDescent="0.25">
      <c r="H148" t="s">
        <v>1222</v>
      </c>
    </row>
    <row r="150" spans="8:8" x14ac:dyDescent="0.25">
      <c r="H150" t="s">
        <v>1155</v>
      </c>
    </row>
    <row r="151" spans="8:8" x14ac:dyDescent="0.25">
      <c r="H151" t="s">
        <v>1217</v>
      </c>
    </row>
    <row r="152" spans="8:8" x14ac:dyDescent="0.25">
      <c r="H152" t="s">
        <v>1218</v>
      </c>
    </row>
    <row r="153" spans="8:8" x14ac:dyDescent="0.25">
      <c r="H153" t="s">
        <v>1219</v>
      </c>
    </row>
    <row r="155" spans="8:8" x14ac:dyDescent="0.25">
      <c r="H155" t="s">
        <v>1155</v>
      </c>
    </row>
    <row r="156" spans="8:8" x14ac:dyDescent="0.25">
      <c r="H156" t="s">
        <v>1214</v>
      </c>
    </row>
    <row r="157" spans="8:8" x14ac:dyDescent="0.25">
      <c r="H157" t="s">
        <v>1215</v>
      </c>
    </row>
    <row r="158" spans="8:8" x14ac:dyDescent="0.25">
      <c r="H158" t="s">
        <v>1216</v>
      </c>
    </row>
    <row r="160" spans="8:8" x14ac:dyDescent="0.25">
      <c r="H160" t="s">
        <v>1155</v>
      </c>
    </row>
    <row r="161" spans="8:8" x14ac:dyDescent="0.25">
      <c r="H161" t="s">
        <v>1235</v>
      </c>
    </row>
    <row r="162" spans="8:8" x14ac:dyDescent="0.25">
      <c r="H162" t="s">
        <v>1236</v>
      </c>
    </row>
    <row r="163" spans="8:8" x14ac:dyDescent="0.25">
      <c r="H163" t="s">
        <v>1237</v>
      </c>
    </row>
    <row r="165" spans="8:8" x14ac:dyDescent="0.25">
      <c r="H165" t="s">
        <v>1155</v>
      </c>
    </row>
    <row r="166" spans="8:8" x14ac:dyDescent="0.25">
      <c r="H166" t="s">
        <v>1232</v>
      </c>
    </row>
    <row r="167" spans="8:8" x14ac:dyDescent="0.25">
      <c r="H167" t="s">
        <v>1233</v>
      </c>
    </row>
    <row r="168" spans="8:8" x14ac:dyDescent="0.25">
      <c r="H168" t="s">
        <v>1234</v>
      </c>
    </row>
    <row r="170" spans="8:8" x14ac:dyDescent="0.25">
      <c r="H170" t="s">
        <v>1155</v>
      </c>
    </row>
    <row r="171" spans="8:8" x14ac:dyDescent="0.25">
      <c r="H171" t="s">
        <v>1229</v>
      </c>
    </row>
    <row r="172" spans="8:8" x14ac:dyDescent="0.25">
      <c r="H172" t="s">
        <v>1230</v>
      </c>
    </row>
    <row r="173" spans="8:8" x14ac:dyDescent="0.25">
      <c r="H173" t="s">
        <v>1231</v>
      </c>
    </row>
    <row r="175" spans="8:8" x14ac:dyDescent="0.25">
      <c r="H175" t="s">
        <v>1155</v>
      </c>
    </row>
    <row r="176" spans="8:8" x14ac:dyDescent="0.25">
      <c r="H176" t="s">
        <v>1226</v>
      </c>
    </row>
    <row r="177" spans="8:8" x14ac:dyDescent="0.25">
      <c r="H177" t="s">
        <v>1227</v>
      </c>
    </row>
    <row r="178" spans="8:8" x14ac:dyDescent="0.25">
      <c r="H178" t="s">
        <v>1228</v>
      </c>
    </row>
    <row r="180" spans="8:8" x14ac:dyDescent="0.25">
      <c r="H180" t="s">
        <v>1155</v>
      </c>
    </row>
    <row r="181" spans="8:8" x14ac:dyDescent="0.25">
      <c r="H181" t="s">
        <v>1238</v>
      </c>
    </row>
    <row r="182" spans="8:8" x14ac:dyDescent="0.25">
      <c r="H182" t="s">
        <v>1239</v>
      </c>
    </row>
    <row r="183" spans="8:8" x14ac:dyDescent="0.25">
      <c r="H183" t="s">
        <v>1240</v>
      </c>
    </row>
    <row r="185" spans="8:8" x14ac:dyDescent="0.25">
      <c r="H185" t="s">
        <v>1155</v>
      </c>
    </row>
    <row r="186" spans="8:8" x14ac:dyDescent="0.25">
      <c r="H186" t="s">
        <v>1241</v>
      </c>
    </row>
    <row r="187" spans="8:8" x14ac:dyDescent="0.25">
      <c r="H187" t="s">
        <v>1242</v>
      </c>
    </row>
    <row r="188" spans="8:8" x14ac:dyDescent="0.25">
      <c r="H188" t="s">
        <v>1243</v>
      </c>
    </row>
    <row r="190" spans="8:8" x14ac:dyDescent="0.25">
      <c r="H190" t="s">
        <v>1155</v>
      </c>
    </row>
    <row r="191" spans="8:8" x14ac:dyDescent="0.25">
      <c r="H191" t="s">
        <v>1244</v>
      </c>
    </row>
    <row r="192" spans="8:8" x14ac:dyDescent="0.25">
      <c r="H192" t="s">
        <v>1245</v>
      </c>
    </row>
    <row r="193" spans="8:8" x14ac:dyDescent="0.25">
      <c r="H193" t="s">
        <v>1246</v>
      </c>
    </row>
    <row r="195" spans="8:8" x14ac:dyDescent="0.25">
      <c r="H195" t="s">
        <v>1155</v>
      </c>
    </row>
    <row r="196" spans="8:8" x14ac:dyDescent="0.25">
      <c r="H196" t="s">
        <v>1247</v>
      </c>
    </row>
    <row r="197" spans="8:8" x14ac:dyDescent="0.25">
      <c r="H197" t="s">
        <v>1248</v>
      </c>
    </row>
    <row r="198" spans="8:8" x14ac:dyDescent="0.25">
      <c r="H198" t="s">
        <v>1249</v>
      </c>
    </row>
    <row r="200" spans="8:8" x14ac:dyDescent="0.25">
      <c r="H200" t="s">
        <v>1155</v>
      </c>
    </row>
    <row r="201" spans="8:8" x14ac:dyDescent="0.25">
      <c r="H201" t="s">
        <v>1250</v>
      </c>
    </row>
    <row r="202" spans="8:8" x14ac:dyDescent="0.25">
      <c r="H202" t="s">
        <v>1251</v>
      </c>
    </row>
    <row r="203" spans="8:8" x14ac:dyDescent="0.25">
      <c r="H203" t="s">
        <v>1252</v>
      </c>
    </row>
    <row r="205" spans="8:8" x14ac:dyDescent="0.25">
      <c r="H205" t="s">
        <v>1155</v>
      </c>
    </row>
    <row r="206" spans="8:8" x14ac:dyDescent="0.25">
      <c r="H206" t="s">
        <v>1253</v>
      </c>
    </row>
    <row r="207" spans="8:8" x14ac:dyDescent="0.25">
      <c r="H207" t="s">
        <v>1254</v>
      </c>
    </row>
    <row r="208" spans="8:8" x14ac:dyDescent="0.25">
      <c r="H208" t="s">
        <v>1255</v>
      </c>
    </row>
    <row r="210" spans="8:8" x14ac:dyDescent="0.25">
      <c r="H210" t="s">
        <v>1155</v>
      </c>
    </row>
    <row r="211" spans="8:8" x14ac:dyDescent="0.25">
      <c r="H211" t="s">
        <v>1256</v>
      </c>
    </row>
    <row r="212" spans="8:8" x14ac:dyDescent="0.25">
      <c r="H212" t="s">
        <v>1257</v>
      </c>
    </row>
    <row r="213" spans="8:8" x14ac:dyDescent="0.25">
      <c r="H213" t="s">
        <v>1258</v>
      </c>
    </row>
    <row r="215" spans="8:8" x14ac:dyDescent="0.25">
      <c r="H215" t="s">
        <v>1155</v>
      </c>
    </row>
    <row r="216" spans="8:8" x14ac:dyDescent="0.25">
      <c r="H216" t="s">
        <v>1259</v>
      </c>
    </row>
    <row r="217" spans="8:8" x14ac:dyDescent="0.25">
      <c r="H217" t="s">
        <v>1260</v>
      </c>
    </row>
    <row r="218" spans="8:8" x14ac:dyDescent="0.25">
      <c r="H218" t="s">
        <v>1261</v>
      </c>
    </row>
    <row r="220" spans="8:8" x14ac:dyDescent="0.25">
      <c r="H220" t="s">
        <v>1262</v>
      </c>
    </row>
    <row r="221" spans="8:8" x14ac:dyDescent="0.25">
      <c r="H221" t="s">
        <v>1263</v>
      </c>
    </row>
    <row r="222" spans="8:8" x14ac:dyDescent="0.25">
      <c r="H222" t="s">
        <v>1158</v>
      </c>
    </row>
    <row r="223" spans="8:8" x14ac:dyDescent="0.25">
      <c r="H223" t="s">
        <v>1264</v>
      </c>
    </row>
    <row r="224" spans="8:8" x14ac:dyDescent="0.25">
      <c r="H224" t="s">
        <v>1265</v>
      </c>
    </row>
    <row r="225" spans="8:8" x14ac:dyDescent="0.25">
      <c r="H225" t="s">
        <v>1266</v>
      </c>
    </row>
    <row r="226" spans="8:8" x14ac:dyDescent="0.25">
      <c r="H226" t="s">
        <v>1267</v>
      </c>
    </row>
    <row r="227" spans="8:8" x14ac:dyDescent="0.25">
      <c r="H227" t="s">
        <v>1268</v>
      </c>
    </row>
    <row r="228" spans="8:8" x14ac:dyDescent="0.25">
      <c r="H228" t="s">
        <v>1269</v>
      </c>
    </row>
    <row r="229" spans="8:8" x14ac:dyDescent="0.25">
      <c r="H229" t="s">
        <v>1270</v>
      </c>
    </row>
    <row r="230" spans="8:8" x14ac:dyDescent="0.25">
      <c r="H230" t="s">
        <v>1271</v>
      </c>
    </row>
    <row r="231" spans="8:8" x14ac:dyDescent="0.25">
      <c r="H231" t="s">
        <v>1272</v>
      </c>
    </row>
    <row r="232" spans="8:8" x14ac:dyDescent="0.25">
      <c r="H232" t="s">
        <v>1273</v>
      </c>
    </row>
    <row r="233" spans="8:8" x14ac:dyDescent="0.25">
      <c r="H233" t="s">
        <v>1274</v>
      </c>
    </row>
    <row r="235" spans="8:8" x14ac:dyDescent="0.25">
      <c r="H235" t="s">
        <v>1262</v>
      </c>
    </row>
    <row r="236" spans="8:8" x14ac:dyDescent="0.25">
      <c r="H236" t="s">
        <v>1275</v>
      </c>
    </row>
    <row r="237" spans="8:8" x14ac:dyDescent="0.25">
      <c r="H237" t="s">
        <v>1276</v>
      </c>
    </row>
    <row r="238" spans="8:8" x14ac:dyDescent="0.25">
      <c r="H238" t="s">
        <v>1277</v>
      </c>
    </row>
    <row r="239" spans="8:8" x14ac:dyDescent="0.25">
      <c r="H239" t="s">
        <v>1278</v>
      </c>
    </row>
    <row r="240" spans="8:8" x14ac:dyDescent="0.25">
      <c r="H240" t="s">
        <v>1279</v>
      </c>
    </row>
    <row r="241" spans="8:8" x14ac:dyDescent="0.25">
      <c r="H241" t="s">
        <v>1280</v>
      </c>
    </row>
    <row r="242" spans="8:8" x14ac:dyDescent="0.25">
      <c r="H242" t="s">
        <v>1281</v>
      </c>
    </row>
    <row r="243" spans="8:8" x14ac:dyDescent="0.25">
      <c r="H243" t="s">
        <v>1282</v>
      </c>
    </row>
    <row r="244" spans="8:8" x14ac:dyDescent="0.25">
      <c r="H244" t="s">
        <v>1283</v>
      </c>
    </row>
    <row r="245" spans="8:8" x14ac:dyDescent="0.25">
      <c r="H245" t="s">
        <v>1284</v>
      </c>
    </row>
    <row r="246" spans="8:8" x14ac:dyDescent="0.25">
      <c r="H246" t="s">
        <v>1285</v>
      </c>
    </row>
    <row r="247" spans="8:8" x14ac:dyDescent="0.25">
      <c r="H247" t="s">
        <v>1286</v>
      </c>
    </row>
    <row r="248" spans="8:8" x14ac:dyDescent="0.25">
      <c r="H248" t="s">
        <v>1287</v>
      </c>
    </row>
    <row r="249" spans="8:8" x14ac:dyDescent="0.25">
      <c r="H249" t="s">
        <v>1288</v>
      </c>
    </row>
    <row r="250" spans="8:8" x14ac:dyDescent="0.25">
      <c r="H250" t="s">
        <v>1289</v>
      </c>
    </row>
    <row r="251" spans="8:8" x14ac:dyDescent="0.25">
      <c r="H251" t="s">
        <v>1290</v>
      </c>
    </row>
    <row r="252" spans="8:8" x14ac:dyDescent="0.25">
      <c r="H252" t="s">
        <v>1291</v>
      </c>
    </row>
    <row r="253" spans="8:8" x14ac:dyDescent="0.25">
      <c r="H253" t="s">
        <v>1292</v>
      </c>
    </row>
    <row r="254" spans="8:8" x14ac:dyDescent="0.25">
      <c r="H254" t="s">
        <v>1293</v>
      </c>
    </row>
    <row r="255" spans="8:8" x14ac:dyDescent="0.25">
      <c r="H255" t="s">
        <v>1294</v>
      </c>
    </row>
    <row r="256" spans="8:8" x14ac:dyDescent="0.25">
      <c r="H256" t="s">
        <v>1295</v>
      </c>
    </row>
    <row r="257" spans="8:8" x14ac:dyDescent="0.25">
      <c r="H257" t="s">
        <v>1296</v>
      </c>
    </row>
    <row r="258" spans="8:8" x14ac:dyDescent="0.25">
      <c r="H258" t="s">
        <v>1297</v>
      </c>
    </row>
    <row r="260" spans="8:8" x14ac:dyDescent="0.25">
      <c r="H260" t="s">
        <v>1262</v>
      </c>
    </row>
    <row r="261" spans="8:8" x14ac:dyDescent="0.25">
      <c r="H261" t="s">
        <v>1298</v>
      </c>
    </row>
    <row r="262" spans="8:8" x14ac:dyDescent="0.25">
      <c r="H262" t="s">
        <v>1299</v>
      </c>
    </row>
    <row r="263" spans="8:8" x14ac:dyDescent="0.25">
      <c r="H263" t="s">
        <v>1300</v>
      </c>
    </row>
    <row r="265" spans="8:8" x14ac:dyDescent="0.25">
      <c r="H265" t="s">
        <v>1262</v>
      </c>
    </row>
    <row r="266" spans="8:8" x14ac:dyDescent="0.25">
      <c r="H266" t="s">
        <v>1301</v>
      </c>
    </row>
    <row r="267" spans="8:8" x14ac:dyDescent="0.25">
      <c r="H267" t="s">
        <v>1302</v>
      </c>
    </row>
    <row r="268" spans="8:8" x14ac:dyDescent="0.25">
      <c r="H268" t="s">
        <v>1303</v>
      </c>
    </row>
    <row r="269" spans="8:8" x14ac:dyDescent="0.25">
      <c r="H269" t="s">
        <v>1304</v>
      </c>
    </row>
    <row r="271" spans="8:8" x14ac:dyDescent="0.25">
      <c r="H271" t="s">
        <v>1262</v>
      </c>
    </row>
    <row r="272" spans="8:8" x14ac:dyDescent="0.25">
      <c r="H272" t="s">
        <v>1305</v>
      </c>
    </row>
    <row r="273" spans="8:8" x14ac:dyDescent="0.25">
      <c r="H273" t="s">
        <v>1306</v>
      </c>
    </row>
    <row r="274" spans="8:8" x14ac:dyDescent="0.25">
      <c r="H274" t="s">
        <v>1307</v>
      </c>
    </row>
    <row r="275" spans="8:8" x14ac:dyDescent="0.25">
      <c r="H275" t="s">
        <v>1308</v>
      </c>
    </row>
    <row r="277" spans="8:8" x14ac:dyDescent="0.25">
      <c r="H277" t="s">
        <v>1262</v>
      </c>
    </row>
    <row r="278" spans="8:8" x14ac:dyDescent="0.25">
      <c r="H278" t="s">
        <v>1313</v>
      </c>
    </row>
    <row r="279" spans="8:8" x14ac:dyDescent="0.25">
      <c r="H279" t="s">
        <v>1314</v>
      </c>
    </row>
    <row r="280" spans="8:8" x14ac:dyDescent="0.25">
      <c r="H280" t="s">
        <v>1315</v>
      </c>
    </row>
    <row r="282" spans="8:8" x14ac:dyDescent="0.25">
      <c r="H282" t="s">
        <v>1309</v>
      </c>
    </row>
    <row r="283" spans="8:8" x14ac:dyDescent="0.25">
      <c r="H283" t="s">
        <v>1310</v>
      </c>
    </row>
    <row r="284" spans="8:8" x14ac:dyDescent="0.25">
      <c r="H284" t="s">
        <v>1311</v>
      </c>
    </row>
    <row r="285" spans="8:8" x14ac:dyDescent="0.25">
      <c r="H285" t="s">
        <v>1316</v>
      </c>
    </row>
    <row r="286" spans="8:8" x14ac:dyDescent="0.25">
      <c r="H286" t="s">
        <v>1317</v>
      </c>
    </row>
    <row r="287" spans="8:8" x14ac:dyDescent="0.25">
      <c r="H287" t="s">
        <v>1318</v>
      </c>
    </row>
    <row r="288" spans="8:8" x14ac:dyDescent="0.25">
      <c r="H288" t="s">
        <v>1319</v>
      </c>
    </row>
    <row r="289" spans="8:8" x14ac:dyDescent="0.25">
      <c r="H289" t="s">
        <v>1320</v>
      </c>
    </row>
    <row r="290" spans="8:8" x14ac:dyDescent="0.25">
      <c r="H290" t="s">
        <v>1321</v>
      </c>
    </row>
    <row r="291" spans="8:8" x14ac:dyDescent="0.25">
      <c r="H291" t="s">
        <v>1312</v>
      </c>
    </row>
    <row r="293" spans="8:8" x14ac:dyDescent="0.25">
      <c r="H293" t="s">
        <v>1309</v>
      </c>
    </row>
    <row r="294" spans="8:8" x14ac:dyDescent="0.25">
      <c r="H294" t="s">
        <v>1322</v>
      </c>
    </row>
    <row r="295" spans="8:8" x14ac:dyDescent="0.25">
      <c r="H295" t="s">
        <v>1323</v>
      </c>
    </row>
    <row r="296" spans="8:8" x14ac:dyDescent="0.25">
      <c r="H296" t="s">
        <v>1324</v>
      </c>
    </row>
    <row r="297" spans="8:8" x14ac:dyDescent="0.25">
      <c r="H297" t="s">
        <v>1325</v>
      </c>
    </row>
    <row r="298" spans="8:8" x14ac:dyDescent="0.25">
      <c r="H298" t="s">
        <v>1326</v>
      </c>
    </row>
    <row r="299" spans="8:8" x14ac:dyDescent="0.25">
      <c r="H299" t="s">
        <v>1327</v>
      </c>
    </row>
    <row r="300" spans="8:8" x14ac:dyDescent="0.25">
      <c r="H300" t="s">
        <v>1328</v>
      </c>
    </row>
    <row r="302" spans="8:8" x14ac:dyDescent="0.25">
      <c r="H302" t="s">
        <v>1309</v>
      </c>
    </row>
    <row r="303" spans="8:8" x14ac:dyDescent="0.25">
      <c r="H303" t="s">
        <v>1329</v>
      </c>
    </row>
    <row r="304" spans="8:8" x14ac:dyDescent="0.25">
      <c r="H304" t="s">
        <v>1330</v>
      </c>
    </row>
    <row r="305" spans="8:8" x14ac:dyDescent="0.25">
      <c r="H305" t="s">
        <v>1331</v>
      </c>
    </row>
    <row r="307" spans="8:8" x14ac:dyDescent="0.25">
      <c r="H307" t="s">
        <v>1309</v>
      </c>
    </row>
    <row r="308" spans="8:8" x14ac:dyDescent="0.25">
      <c r="H308" t="s">
        <v>1332</v>
      </c>
    </row>
    <row r="309" spans="8:8" x14ac:dyDescent="0.25">
      <c r="H309" t="s">
        <v>1333</v>
      </c>
    </row>
    <row r="310" spans="8:8" x14ac:dyDescent="0.25">
      <c r="H310" t="s">
        <v>1334</v>
      </c>
    </row>
    <row r="311" spans="8:8" x14ac:dyDescent="0.25">
      <c r="H311" t="s">
        <v>1335</v>
      </c>
    </row>
    <row r="312" spans="8:8" x14ac:dyDescent="0.25">
      <c r="H312" t="s">
        <v>1336</v>
      </c>
    </row>
    <row r="313" spans="8:8" x14ac:dyDescent="0.25">
      <c r="H313" t="s">
        <v>1337</v>
      </c>
    </row>
    <row r="314" spans="8:8" x14ac:dyDescent="0.25">
      <c r="H314" t="s">
        <v>1338</v>
      </c>
    </row>
    <row r="315" spans="8:8" x14ac:dyDescent="0.25">
      <c r="H315" t="s">
        <v>1339</v>
      </c>
    </row>
    <row r="316" spans="8:8" x14ac:dyDescent="0.25">
      <c r="H316" t="s">
        <v>1340</v>
      </c>
    </row>
    <row r="317" spans="8:8" x14ac:dyDescent="0.25">
      <c r="H317" t="s">
        <v>1341</v>
      </c>
    </row>
    <row r="318" spans="8:8" x14ac:dyDescent="0.25">
      <c r="H318" t="s">
        <v>1342</v>
      </c>
    </row>
    <row r="319" spans="8:8" x14ac:dyDescent="0.25">
      <c r="H319" t="s">
        <v>1343</v>
      </c>
    </row>
    <row r="320" spans="8:8" x14ac:dyDescent="0.25">
      <c r="H320" t="s">
        <v>1344</v>
      </c>
    </row>
    <row r="321" spans="8:8" x14ac:dyDescent="0.25">
      <c r="H321" t="s">
        <v>1345</v>
      </c>
    </row>
    <row r="322" spans="8:8" x14ac:dyDescent="0.25">
      <c r="H322" t="s">
        <v>1346</v>
      </c>
    </row>
    <row r="323" spans="8:8" x14ac:dyDescent="0.25">
      <c r="H323" t="s">
        <v>1347</v>
      </c>
    </row>
    <row r="324" spans="8:8" x14ac:dyDescent="0.25">
      <c r="H324" t="s">
        <v>1348</v>
      </c>
    </row>
    <row r="325" spans="8:8" x14ac:dyDescent="0.25">
      <c r="H325" t="s">
        <v>1349</v>
      </c>
    </row>
    <row r="326" spans="8:8" x14ac:dyDescent="0.25">
      <c r="H326" t="s">
        <v>1350</v>
      </c>
    </row>
    <row r="327" spans="8:8" x14ac:dyDescent="0.25">
      <c r="H327" t="s">
        <v>1351</v>
      </c>
    </row>
    <row r="328" spans="8:8" x14ac:dyDescent="0.25">
      <c r="H328" t="s">
        <v>1352</v>
      </c>
    </row>
    <row r="329" spans="8:8" x14ac:dyDescent="0.25">
      <c r="H329" t="s">
        <v>1353</v>
      </c>
    </row>
    <row r="330" spans="8:8" x14ac:dyDescent="0.25">
      <c r="H330" t="s">
        <v>1354</v>
      </c>
    </row>
    <row r="332" spans="8:8" x14ac:dyDescent="0.25">
      <c r="H332" t="s">
        <v>1309</v>
      </c>
    </row>
    <row r="333" spans="8:8" x14ac:dyDescent="0.25">
      <c r="H333" t="s">
        <v>1355</v>
      </c>
    </row>
    <row r="334" spans="8:8" x14ac:dyDescent="0.25">
      <c r="H334" t="s">
        <v>1356</v>
      </c>
    </row>
    <row r="335" spans="8:8" x14ac:dyDescent="0.25">
      <c r="H335" t="s">
        <v>1357</v>
      </c>
    </row>
    <row r="336" spans="8:8" x14ac:dyDescent="0.25">
      <c r="H336" t="s">
        <v>1358</v>
      </c>
    </row>
    <row r="337" spans="8:8" x14ac:dyDescent="0.25">
      <c r="H337" t="s">
        <v>1359</v>
      </c>
    </row>
    <row r="339" spans="8:8" x14ac:dyDescent="0.25">
      <c r="H339" t="s">
        <v>1309</v>
      </c>
    </row>
    <row r="340" spans="8:8" x14ac:dyDescent="0.25">
      <c r="H340" t="s">
        <v>1360</v>
      </c>
    </row>
    <row r="341" spans="8:8" x14ac:dyDescent="0.25">
      <c r="H341" t="s">
        <v>1361</v>
      </c>
    </row>
    <row r="342" spans="8:8" x14ac:dyDescent="0.25">
      <c r="H342" t="s">
        <v>1362</v>
      </c>
    </row>
    <row r="343" spans="8:8" x14ac:dyDescent="0.25">
      <c r="H343" t="s">
        <v>1363</v>
      </c>
    </row>
    <row r="344" spans="8:8" x14ac:dyDescent="0.25">
      <c r="H344" t="s">
        <v>1364</v>
      </c>
    </row>
    <row r="345" spans="8:8" x14ac:dyDescent="0.25">
      <c r="H345" t="s">
        <v>1365</v>
      </c>
    </row>
    <row r="346" spans="8:8" x14ac:dyDescent="0.25">
      <c r="H346" t="s">
        <v>1366</v>
      </c>
    </row>
    <row r="347" spans="8:8" x14ac:dyDescent="0.25">
      <c r="H347" t="s">
        <v>1367</v>
      </c>
    </row>
    <row r="348" spans="8:8" x14ac:dyDescent="0.25">
      <c r="H348" t="s">
        <v>1368</v>
      </c>
    </row>
    <row r="349" spans="8:8" x14ac:dyDescent="0.25">
      <c r="H349" t="s">
        <v>1369</v>
      </c>
    </row>
    <row r="351" spans="8:8" x14ac:dyDescent="0.25">
      <c r="H351" t="s">
        <v>1309</v>
      </c>
    </row>
    <row r="352" spans="8:8" x14ac:dyDescent="0.25">
      <c r="H352" t="s">
        <v>1370</v>
      </c>
    </row>
    <row r="353" spans="8:8" x14ac:dyDescent="0.25">
      <c r="H353" t="s">
        <v>1371</v>
      </c>
    </row>
    <row r="354" spans="8:8" x14ac:dyDescent="0.25">
      <c r="H354" t="s">
        <v>1372</v>
      </c>
    </row>
    <row r="355" spans="8:8" x14ac:dyDescent="0.25">
      <c r="H355" t="s">
        <v>1373</v>
      </c>
    </row>
    <row r="357" spans="8:8" x14ac:dyDescent="0.25">
      <c r="H357" t="s">
        <v>1309</v>
      </c>
    </row>
    <row r="358" spans="8:8" x14ac:dyDescent="0.25">
      <c r="H358" t="s">
        <v>1374</v>
      </c>
    </row>
    <row r="359" spans="8:8" x14ac:dyDescent="0.25">
      <c r="H359" t="s">
        <v>1375</v>
      </c>
    </row>
    <row r="360" spans="8:8" x14ac:dyDescent="0.25">
      <c r="H360" t="s">
        <v>1376</v>
      </c>
    </row>
    <row r="362" spans="8:8" x14ac:dyDescent="0.25">
      <c r="H362" t="s">
        <v>1309</v>
      </c>
    </row>
    <row r="363" spans="8:8" x14ac:dyDescent="0.25">
      <c r="H363" t="s">
        <v>1377</v>
      </c>
    </row>
    <row r="364" spans="8:8" x14ac:dyDescent="0.25">
      <c r="H364" t="s">
        <v>1378</v>
      </c>
    </row>
    <row r="365" spans="8:8" x14ac:dyDescent="0.25">
      <c r="H365" t="s">
        <v>1379</v>
      </c>
    </row>
    <row r="366" spans="8:8" x14ac:dyDescent="0.25">
      <c r="H366" t="s">
        <v>1380</v>
      </c>
    </row>
    <row r="367" spans="8:8" x14ac:dyDescent="0.25">
      <c r="H367" t="s">
        <v>1381</v>
      </c>
    </row>
    <row r="368" spans="8:8" x14ac:dyDescent="0.25">
      <c r="H368" t="s">
        <v>1382</v>
      </c>
    </row>
    <row r="370" spans="8:8" x14ac:dyDescent="0.25">
      <c r="H370" t="s">
        <v>1309</v>
      </c>
    </row>
    <row r="371" spans="8:8" x14ac:dyDescent="0.25">
      <c r="H371" t="s">
        <v>1383</v>
      </c>
    </row>
    <row r="372" spans="8:8" x14ac:dyDescent="0.25">
      <c r="H372" t="s">
        <v>1384</v>
      </c>
    </row>
    <row r="373" spans="8:8" x14ac:dyDescent="0.25">
      <c r="H373" t="s">
        <v>1385</v>
      </c>
    </row>
    <row r="374" spans="8:8" x14ac:dyDescent="0.25">
      <c r="H374" t="s">
        <v>1386</v>
      </c>
    </row>
    <row r="375" spans="8:8" x14ac:dyDescent="0.25">
      <c r="H375" t="s">
        <v>1387</v>
      </c>
    </row>
    <row r="376" spans="8:8" x14ac:dyDescent="0.25">
      <c r="H376" t="s">
        <v>1388</v>
      </c>
    </row>
    <row r="378" spans="8:8" x14ac:dyDescent="0.25">
      <c r="H378" t="s">
        <v>1309</v>
      </c>
    </row>
    <row r="379" spans="8:8" x14ac:dyDescent="0.25">
      <c r="H379" t="s">
        <v>1389</v>
      </c>
    </row>
    <row r="380" spans="8:8" x14ac:dyDescent="0.25">
      <c r="H380" t="s">
        <v>1390</v>
      </c>
    </row>
    <row r="381" spans="8:8" x14ac:dyDescent="0.25">
      <c r="H381" t="s">
        <v>1391</v>
      </c>
    </row>
    <row r="382" spans="8:8" x14ac:dyDescent="0.25">
      <c r="H382" t="s">
        <v>1392</v>
      </c>
    </row>
    <row r="384" spans="8:8" x14ac:dyDescent="0.25">
      <c r="H384" t="s">
        <v>1393</v>
      </c>
    </row>
    <row r="385" spans="8:8" x14ac:dyDescent="0.25">
      <c r="H385" t="s">
        <v>1394</v>
      </c>
    </row>
    <row r="386" spans="8:8" x14ac:dyDescent="0.25">
      <c r="H386" t="s">
        <v>1395</v>
      </c>
    </row>
    <row r="387" spans="8:8" x14ac:dyDescent="0.25">
      <c r="H387" t="s">
        <v>1396</v>
      </c>
    </row>
    <row r="388" spans="8:8" x14ac:dyDescent="0.25">
      <c r="H388" t="s">
        <v>1397</v>
      </c>
    </row>
    <row r="389" spans="8:8" x14ac:dyDescent="0.25">
      <c r="H389" t="s">
        <v>1398</v>
      </c>
    </row>
    <row r="390" spans="8:8" x14ac:dyDescent="0.25">
      <c r="H390" t="s">
        <v>1399</v>
      </c>
    </row>
    <row r="391" spans="8:8" x14ac:dyDescent="0.25">
      <c r="H391" t="s">
        <v>1400</v>
      </c>
    </row>
    <row r="392" spans="8:8" x14ac:dyDescent="0.25">
      <c r="H392" t="s">
        <v>1401</v>
      </c>
    </row>
    <row r="393" spans="8:8" x14ac:dyDescent="0.25">
      <c r="H393" t="s">
        <v>1402</v>
      </c>
    </row>
    <row r="394" spans="8:8" x14ac:dyDescent="0.25">
      <c r="H394" t="s">
        <v>1403</v>
      </c>
    </row>
    <row r="395" spans="8:8" x14ac:dyDescent="0.25">
      <c r="H395" t="s">
        <v>1404</v>
      </c>
    </row>
    <row r="396" spans="8:8" x14ac:dyDescent="0.25">
      <c r="H396" t="s">
        <v>1405</v>
      </c>
    </row>
    <row r="397" spans="8:8" x14ac:dyDescent="0.25">
      <c r="H397" t="s">
        <v>1406</v>
      </c>
    </row>
    <row r="398" spans="8:8" x14ac:dyDescent="0.25">
      <c r="H398" t="s">
        <v>1407</v>
      </c>
    </row>
    <row r="399" spans="8:8" x14ac:dyDescent="0.25">
      <c r="H399" t="s">
        <v>1408</v>
      </c>
    </row>
    <row r="400" spans="8:8" x14ac:dyDescent="0.25">
      <c r="H400" t="s">
        <v>1409</v>
      </c>
    </row>
    <row r="401" spans="8:8" x14ac:dyDescent="0.25">
      <c r="H401" t="s">
        <v>1410</v>
      </c>
    </row>
    <row r="402" spans="8:8" x14ac:dyDescent="0.25">
      <c r="H402" t="s">
        <v>1411</v>
      </c>
    </row>
    <row r="403" spans="8:8" x14ac:dyDescent="0.25">
      <c r="H403" t="s">
        <v>1412</v>
      </c>
    </row>
    <row r="404" spans="8:8" x14ac:dyDescent="0.25">
      <c r="H404" t="s">
        <v>1413</v>
      </c>
    </row>
    <row r="405" spans="8:8" x14ac:dyDescent="0.25">
      <c r="H405" t="s">
        <v>1414</v>
      </c>
    </row>
    <row r="406" spans="8:8" x14ac:dyDescent="0.25">
      <c r="H406" t="s">
        <v>1415</v>
      </c>
    </row>
    <row r="407" spans="8:8" x14ac:dyDescent="0.25">
      <c r="H407" t="s">
        <v>1416</v>
      </c>
    </row>
    <row r="408" spans="8:8" x14ac:dyDescent="0.25">
      <c r="H408" t="s">
        <v>1417</v>
      </c>
    </row>
    <row r="409" spans="8:8" x14ac:dyDescent="0.25">
      <c r="H409" t="s">
        <v>1418</v>
      </c>
    </row>
    <row r="410" spans="8:8" x14ac:dyDescent="0.25">
      <c r="H410" t="s">
        <v>1419</v>
      </c>
    </row>
    <row r="411" spans="8:8" x14ac:dyDescent="0.25">
      <c r="H411" t="s">
        <v>1420</v>
      </c>
    </row>
    <row r="412" spans="8:8" x14ac:dyDescent="0.25">
      <c r="H412" t="s">
        <v>1421</v>
      </c>
    </row>
    <row r="413" spans="8:8" x14ac:dyDescent="0.25">
      <c r="H413" t="s">
        <v>1422</v>
      </c>
    </row>
    <row r="414" spans="8:8" x14ac:dyDescent="0.25">
      <c r="H414" t="s">
        <v>1423</v>
      </c>
    </row>
    <row r="415" spans="8:8" x14ac:dyDescent="0.25">
      <c r="H415" t="s">
        <v>1424</v>
      </c>
    </row>
    <row r="416" spans="8:8" x14ac:dyDescent="0.25">
      <c r="H416" t="s">
        <v>1425</v>
      </c>
    </row>
    <row r="417" spans="8:8" x14ac:dyDescent="0.25">
      <c r="H417" t="s">
        <v>1426</v>
      </c>
    </row>
    <row r="418" spans="8:8" x14ac:dyDescent="0.25">
      <c r="H418" t="s">
        <v>1427</v>
      </c>
    </row>
    <row r="419" spans="8:8" x14ac:dyDescent="0.25">
      <c r="H419" t="s">
        <v>1428</v>
      </c>
    </row>
    <row r="420" spans="8:8" x14ac:dyDescent="0.25">
      <c r="H420" t="s">
        <v>1429</v>
      </c>
    </row>
    <row r="421" spans="8:8" x14ac:dyDescent="0.25">
      <c r="H421" t="s">
        <v>1430</v>
      </c>
    </row>
    <row r="422" spans="8:8" x14ac:dyDescent="0.25">
      <c r="H422" t="s">
        <v>1431</v>
      </c>
    </row>
    <row r="423" spans="8:8" x14ac:dyDescent="0.25">
      <c r="H423" t="s">
        <v>1432</v>
      </c>
    </row>
    <row r="424" spans="8:8" x14ac:dyDescent="0.25">
      <c r="H424" t="s">
        <v>1433</v>
      </c>
    </row>
    <row r="425" spans="8:8" x14ac:dyDescent="0.25">
      <c r="H425" t="s">
        <v>1434</v>
      </c>
    </row>
    <row r="426" spans="8:8" x14ac:dyDescent="0.25">
      <c r="H426" t="s">
        <v>1435</v>
      </c>
    </row>
    <row r="427" spans="8:8" x14ac:dyDescent="0.25">
      <c r="H427" t="s">
        <v>1436</v>
      </c>
    </row>
    <row r="428" spans="8:8" x14ac:dyDescent="0.25">
      <c r="H428" t="s">
        <v>1437</v>
      </c>
    </row>
    <row r="429" spans="8:8" x14ac:dyDescent="0.25">
      <c r="H429" t="s">
        <v>1438</v>
      </c>
    </row>
    <row r="430" spans="8:8" x14ac:dyDescent="0.25">
      <c r="H430" t="s">
        <v>1439</v>
      </c>
    </row>
    <row r="431" spans="8:8" x14ac:dyDescent="0.25">
      <c r="H431" t="s">
        <v>1440</v>
      </c>
    </row>
    <row r="432" spans="8:8" x14ac:dyDescent="0.25">
      <c r="H432" t="s">
        <v>1441</v>
      </c>
    </row>
    <row r="433" spans="8:8" x14ac:dyDescent="0.25">
      <c r="H433" t="s">
        <v>1442</v>
      </c>
    </row>
    <row r="434" spans="8:8" x14ac:dyDescent="0.25">
      <c r="H434" t="s">
        <v>1443</v>
      </c>
    </row>
    <row r="435" spans="8:8" x14ac:dyDescent="0.25">
      <c r="H435" t="s">
        <v>1444</v>
      </c>
    </row>
    <row r="436" spans="8:8" x14ac:dyDescent="0.25">
      <c r="H436" t="s">
        <v>1445</v>
      </c>
    </row>
    <row r="437" spans="8:8" x14ac:dyDescent="0.25">
      <c r="H437" t="s">
        <v>1446</v>
      </c>
    </row>
    <row r="438" spans="8:8" x14ac:dyDescent="0.25">
      <c r="H438" t="s">
        <v>1447</v>
      </c>
    </row>
    <row r="439" spans="8:8" x14ac:dyDescent="0.25">
      <c r="H439" t="s">
        <v>1448</v>
      </c>
    </row>
    <row r="440" spans="8:8" x14ac:dyDescent="0.25">
      <c r="H440" t="s">
        <v>1449</v>
      </c>
    </row>
    <row r="441" spans="8:8" x14ac:dyDescent="0.25">
      <c r="H441" t="s">
        <v>1450</v>
      </c>
    </row>
    <row r="442" spans="8:8" x14ac:dyDescent="0.25">
      <c r="H442" t="s">
        <v>1451</v>
      </c>
    </row>
    <row r="443" spans="8:8" x14ac:dyDescent="0.25">
      <c r="H443" t="s">
        <v>1452</v>
      </c>
    </row>
    <row r="444" spans="8:8" x14ac:dyDescent="0.25">
      <c r="H444" t="s">
        <v>1453</v>
      </c>
    </row>
    <row r="445" spans="8:8" x14ac:dyDescent="0.25">
      <c r="H445" t="s">
        <v>1454</v>
      </c>
    </row>
    <row r="446" spans="8:8" x14ac:dyDescent="0.25">
      <c r="H446" t="s">
        <v>1455</v>
      </c>
    </row>
    <row r="447" spans="8:8" x14ac:dyDescent="0.25">
      <c r="H447" t="s">
        <v>1456</v>
      </c>
    </row>
    <row r="448" spans="8:8" x14ac:dyDescent="0.25">
      <c r="H448" t="s">
        <v>1457</v>
      </c>
    </row>
    <row r="449" spans="8:8" x14ac:dyDescent="0.25">
      <c r="H449" t="s">
        <v>1458</v>
      </c>
    </row>
    <row r="450" spans="8:8" x14ac:dyDescent="0.25">
      <c r="H450" t="s">
        <v>1459</v>
      </c>
    </row>
    <row r="451" spans="8:8" x14ac:dyDescent="0.25">
      <c r="H451" t="s">
        <v>1460</v>
      </c>
    </row>
    <row r="453" spans="8:8" x14ac:dyDescent="0.25">
      <c r="H453" t="s">
        <v>1393</v>
      </c>
    </row>
    <row r="454" spans="8:8" x14ac:dyDescent="0.25">
      <c r="H454" t="s">
        <v>1461</v>
      </c>
    </row>
    <row r="455" spans="8:8" x14ac:dyDescent="0.25">
      <c r="H455" t="s">
        <v>1462</v>
      </c>
    </row>
    <row r="456" spans="8:8" x14ac:dyDescent="0.25">
      <c r="H456" t="s">
        <v>1463</v>
      </c>
    </row>
    <row r="457" spans="8:8" x14ac:dyDescent="0.25">
      <c r="H457" t="s">
        <v>1464</v>
      </c>
    </row>
    <row r="458" spans="8:8" x14ac:dyDescent="0.25">
      <c r="H458" t="s">
        <v>1465</v>
      </c>
    </row>
    <row r="459" spans="8:8" x14ac:dyDescent="0.25">
      <c r="H459" t="s">
        <v>1466</v>
      </c>
    </row>
    <row r="460" spans="8:8" x14ac:dyDescent="0.25">
      <c r="H460" t="s">
        <v>1467</v>
      </c>
    </row>
    <row r="461" spans="8:8" x14ac:dyDescent="0.25">
      <c r="H461" t="s">
        <v>1468</v>
      </c>
    </row>
    <row r="462" spans="8:8" x14ac:dyDescent="0.25">
      <c r="H462" t="s">
        <v>1469</v>
      </c>
    </row>
    <row r="463" spans="8:8" x14ac:dyDescent="0.25">
      <c r="H463" t="s">
        <v>1470</v>
      </c>
    </row>
    <row r="464" spans="8:8" x14ac:dyDescent="0.25">
      <c r="H464" t="s">
        <v>1471</v>
      </c>
    </row>
    <row r="465" spans="8:8" x14ac:dyDescent="0.25">
      <c r="H465" t="s">
        <v>1472</v>
      </c>
    </row>
    <row r="466" spans="8:8" x14ac:dyDescent="0.25">
      <c r="H466" t="s">
        <v>1473</v>
      </c>
    </row>
    <row r="467" spans="8:8" x14ac:dyDescent="0.25">
      <c r="H467" t="s">
        <v>1474</v>
      </c>
    </row>
    <row r="468" spans="8:8" x14ac:dyDescent="0.25">
      <c r="H468" t="s">
        <v>1475</v>
      </c>
    </row>
    <row r="469" spans="8:8" x14ac:dyDescent="0.25">
      <c r="H469" t="s">
        <v>1476</v>
      </c>
    </row>
    <row r="470" spans="8:8" x14ac:dyDescent="0.25">
      <c r="H470" t="s">
        <v>1477</v>
      </c>
    </row>
    <row r="471" spans="8:8" x14ac:dyDescent="0.25">
      <c r="H471" t="s">
        <v>1478</v>
      </c>
    </row>
    <row r="472" spans="8:8" x14ac:dyDescent="0.25">
      <c r="H472" t="s">
        <v>1479</v>
      </c>
    </row>
    <row r="473" spans="8:8" x14ac:dyDescent="0.25">
      <c r="H473" t="s">
        <v>1480</v>
      </c>
    </row>
    <row r="474" spans="8:8" x14ac:dyDescent="0.25">
      <c r="H474" t="s">
        <v>1481</v>
      </c>
    </row>
    <row r="475" spans="8:8" x14ac:dyDescent="0.25">
      <c r="H475" t="s">
        <v>1482</v>
      </c>
    </row>
    <row r="476" spans="8:8" x14ac:dyDescent="0.25">
      <c r="H476" t="s">
        <v>1483</v>
      </c>
    </row>
    <row r="477" spans="8:8" x14ac:dyDescent="0.25">
      <c r="H477" t="s">
        <v>1484</v>
      </c>
    </row>
    <row r="478" spans="8:8" x14ac:dyDescent="0.25">
      <c r="H478" t="s">
        <v>1485</v>
      </c>
    </row>
    <row r="479" spans="8:8" x14ac:dyDescent="0.25">
      <c r="H479" t="s">
        <v>1486</v>
      </c>
    </row>
    <row r="480" spans="8:8" x14ac:dyDescent="0.25">
      <c r="H480" t="s">
        <v>1487</v>
      </c>
    </row>
    <row r="481" spans="8:8" x14ac:dyDescent="0.25">
      <c r="H481" t="s">
        <v>1488</v>
      </c>
    </row>
    <row r="482" spans="8:8" x14ac:dyDescent="0.25">
      <c r="H482" t="s">
        <v>1489</v>
      </c>
    </row>
    <row r="483" spans="8:8" x14ac:dyDescent="0.25">
      <c r="H483" t="s">
        <v>1490</v>
      </c>
    </row>
    <row r="484" spans="8:8" x14ac:dyDescent="0.25">
      <c r="H484" t="s">
        <v>1491</v>
      </c>
    </row>
    <row r="485" spans="8:8" x14ac:dyDescent="0.25">
      <c r="H485" t="s">
        <v>1492</v>
      </c>
    </row>
    <row r="486" spans="8:8" x14ac:dyDescent="0.25">
      <c r="H486" t="s">
        <v>1493</v>
      </c>
    </row>
    <row r="487" spans="8:8" x14ac:dyDescent="0.25">
      <c r="H487" t="s">
        <v>1494</v>
      </c>
    </row>
    <row r="488" spans="8:8" x14ac:dyDescent="0.25">
      <c r="H488" t="s">
        <v>1495</v>
      </c>
    </row>
    <row r="489" spans="8:8" x14ac:dyDescent="0.25">
      <c r="H489" t="s">
        <v>1496</v>
      </c>
    </row>
    <row r="490" spans="8:8" x14ac:dyDescent="0.25">
      <c r="H490" t="s">
        <v>1497</v>
      </c>
    </row>
    <row r="491" spans="8:8" x14ac:dyDescent="0.25">
      <c r="H491" t="s">
        <v>1498</v>
      </c>
    </row>
    <row r="492" spans="8:8" x14ac:dyDescent="0.25">
      <c r="H492" t="s">
        <v>1499</v>
      </c>
    </row>
    <row r="493" spans="8:8" x14ac:dyDescent="0.25">
      <c r="H493" t="s">
        <v>1500</v>
      </c>
    </row>
    <row r="494" spans="8:8" x14ac:dyDescent="0.25">
      <c r="H494" t="s">
        <v>1501</v>
      </c>
    </row>
    <row r="495" spans="8:8" x14ac:dyDescent="0.25">
      <c r="H495" t="s">
        <v>1502</v>
      </c>
    </row>
    <row r="496" spans="8:8" x14ac:dyDescent="0.25">
      <c r="H496" t="s">
        <v>1503</v>
      </c>
    </row>
    <row r="497" spans="8:8" x14ac:dyDescent="0.25">
      <c r="H497" t="s">
        <v>1504</v>
      </c>
    </row>
    <row r="498" spans="8:8" x14ac:dyDescent="0.25">
      <c r="H498" t="s">
        <v>1505</v>
      </c>
    </row>
    <row r="499" spans="8:8" x14ac:dyDescent="0.25">
      <c r="H499" t="s">
        <v>1506</v>
      </c>
    </row>
    <row r="500" spans="8:8" x14ac:dyDescent="0.25">
      <c r="H500" t="s">
        <v>1507</v>
      </c>
    </row>
    <row r="501" spans="8:8" x14ac:dyDescent="0.25">
      <c r="H501" t="s">
        <v>1508</v>
      </c>
    </row>
    <row r="502" spans="8:8" x14ac:dyDescent="0.25">
      <c r="H502" t="s">
        <v>1509</v>
      </c>
    </row>
    <row r="503" spans="8:8" x14ac:dyDescent="0.25">
      <c r="H503" t="s">
        <v>1510</v>
      </c>
    </row>
    <row r="504" spans="8:8" x14ac:dyDescent="0.25">
      <c r="H504" t="s">
        <v>1511</v>
      </c>
    </row>
    <row r="505" spans="8:8" x14ac:dyDescent="0.25">
      <c r="H505" t="s">
        <v>1512</v>
      </c>
    </row>
    <row r="506" spans="8:8" x14ac:dyDescent="0.25">
      <c r="H506" t="s">
        <v>1513</v>
      </c>
    </row>
    <row r="507" spans="8:8" x14ac:dyDescent="0.25">
      <c r="H507" t="s">
        <v>1514</v>
      </c>
    </row>
    <row r="508" spans="8:8" x14ac:dyDescent="0.25">
      <c r="H508" t="s">
        <v>1515</v>
      </c>
    </row>
    <row r="509" spans="8:8" x14ac:dyDescent="0.25">
      <c r="H509" t="s">
        <v>1516</v>
      </c>
    </row>
    <row r="510" spans="8:8" x14ac:dyDescent="0.25">
      <c r="H510" t="s">
        <v>1517</v>
      </c>
    </row>
    <row r="511" spans="8:8" x14ac:dyDescent="0.25">
      <c r="H511" t="s">
        <v>1518</v>
      </c>
    </row>
    <row r="512" spans="8:8" x14ac:dyDescent="0.25">
      <c r="H512" t="s">
        <v>1519</v>
      </c>
    </row>
    <row r="513" spans="8:9" x14ac:dyDescent="0.25">
      <c r="H513" t="s">
        <v>1520</v>
      </c>
    </row>
    <row r="514" spans="8:9" x14ac:dyDescent="0.25">
      <c r="H514" t="s">
        <v>1521</v>
      </c>
    </row>
    <row r="515" spans="8:9" x14ac:dyDescent="0.25">
      <c r="H515" t="s">
        <v>1522</v>
      </c>
    </row>
    <row r="516" spans="8:9" x14ac:dyDescent="0.25">
      <c r="H516" t="s">
        <v>1523</v>
      </c>
      <c r="I516" s="7"/>
    </row>
    <row r="517" spans="8:9" x14ac:dyDescent="0.25">
      <c r="H517" t="s">
        <v>1524</v>
      </c>
    </row>
    <row r="518" spans="8:9" x14ac:dyDescent="0.25">
      <c r="H518" t="s">
        <v>1525</v>
      </c>
    </row>
    <row r="519" spans="8:9" x14ac:dyDescent="0.25">
      <c r="H519" t="s">
        <v>1526</v>
      </c>
    </row>
    <row r="520" spans="8:9" x14ac:dyDescent="0.25">
      <c r="H520" t="s">
        <v>1527</v>
      </c>
    </row>
    <row r="522" spans="8:9" x14ac:dyDescent="0.25">
      <c r="H522" t="s">
        <v>1393</v>
      </c>
    </row>
    <row r="523" spans="8:9" x14ac:dyDescent="0.25">
      <c r="H523" t="s">
        <v>1528</v>
      </c>
    </row>
    <row r="524" spans="8:9" x14ac:dyDescent="0.25">
      <c r="H524" t="s">
        <v>1529</v>
      </c>
    </row>
    <row r="525" spans="8:9" x14ac:dyDescent="0.25">
      <c r="H525" t="s">
        <v>1530</v>
      </c>
    </row>
    <row r="526" spans="8:9" x14ac:dyDescent="0.25">
      <c r="H526" t="s">
        <v>1531</v>
      </c>
    </row>
    <row r="527" spans="8:9" x14ac:dyDescent="0.25">
      <c r="H527" t="s">
        <v>1532</v>
      </c>
    </row>
    <row r="528" spans="8:9" x14ac:dyDescent="0.25">
      <c r="H528" t="s">
        <v>1533</v>
      </c>
    </row>
    <row r="529" spans="8:8" x14ac:dyDescent="0.25">
      <c r="H529" t="s">
        <v>1534</v>
      </c>
    </row>
    <row r="530" spans="8:8" x14ac:dyDescent="0.25">
      <c r="H530" t="s">
        <v>1535</v>
      </c>
    </row>
    <row r="531" spans="8:8" x14ac:dyDescent="0.25">
      <c r="H531" t="s">
        <v>1536</v>
      </c>
    </row>
    <row r="532" spans="8:8" x14ac:dyDescent="0.25">
      <c r="H532" t="s">
        <v>1537</v>
      </c>
    </row>
    <row r="533" spans="8:8" x14ac:dyDescent="0.25">
      <c r="H533" t="s">
        <v>1538</v>
      </c>
    </row>
    <row r="534" spans="8:8" x14ac:dyDescent="0.25">
      <c r="H534" t="s">
        <v>1539</v>
      </c>
    </row>
    <row r="535" spans="8:8" x14ac:dyDescent="0.25">
      <c r="H535" t="s">
        <v>1540</v>
      </c>
    </row>
    <row r="536" spans="8:8" x14ac:dyDescent="0.25">
      <c r="H536" t="s">
        <v>1541</v>
      </c>
    </row>
    <row r="537" spans="8:8" x14ac:dyDescent="0.25">
      <c r="H537" t="s">
        <v>1542</v>
      </c>
    </row>
    <row r="538" spans="8:8" x14ac:dyDescent="0.25">
      <c r="H538" t="s">
        <v>1543</v>
      </c>
    </row>
    <row r="539" spans="8:8" x14ac:dyDescent="0.25">
      <c r="H539" t="s">
        <v>1544</v>
      </c>
    </row>
    <row r="540" spans="8:8" x14ac:dyDescent="0.25">
      <c r="H540" t="s">
        <v>1545</v>
      </c>
    </row>
    <row r="541" spans="8:8" x14ac:dyDescent="0.25">
      <c r="H541" t="s">
        <v>1546</v>
      </c>
    </row>
    <row r="542" spans="8:8" x14ac:dyDescent="0.25">
      <c r="H542" t="s">
        <v>1547</v>
      </c>
    </row>
    <row r="543" spans="8:8" x14ac:dyDescent="0.25">
      <c r="H543" t="s">
        <v>1548</v>
      </c>
    </row>
    <row r="544" spans="8:8" x14ac:dyDescent="0.25">
      <c r="H544" t="s">
        <v>1549</v>
      </c>
    </row>
    <row r="545" spans="8:8" x14ac:dyDescent="0.25">
      <c r="H545" t="s">
        <v>1550</v>
      </c>
    </row>
    <row r="546" spans="8:8" x14ac:dyDescent="0.25">
      <c r="H546" t="s">
        <v>1551</v>
      </c>
    </row>
    <row r="547" spans="8:8" x14ac:dyDescent="0.25">
      <c r="H547" t="s">
        <v>1552</v>
      </c>
    </row>
    <row r="548" spans="8:8" x14ac:dyDescent="0.25">
      <c r="H548" t="s">
        <v>1553</v>
      </c>
    </row>
    <row r="550" spans="8:8" x14ac:dyDescent="0.25">
      <c r="H550" t="s">
        <v>1554</v>
      </c>
    </row>
    <row r="551" spans="8:8" x14ac:dyDescent="0.25">
      <c r="H551" t="s">
        <v>1555</v>
      </c>
    </row>
    <row r="552" spans="8:8" x14ac:dyDescent="0.25">
      <c r="H552" t="s">
        <v>1556</v>
      </c>
    </row>
    <row r="553" spans="8:8" x14ac:dyDescent="0.25">
      <c r="H553" t="s">
        <v>1557</v>
      </c>
    </row>
    <row r="554" spans="8:8" x14ac:dyDescent="0.25">
      <c r="H554" t="s">
        <v>1558</v>
      </c>
    </row>
    <row r="555" spans="8:8" x14ac:dyDescent="0.25">
      <c r="H555" t="s">
        <v>1559</v>
      </c>
    </row>
    <row r="556" spans="8:8" x14ac:dyDescent="0.25">
      <c r="H556" t="s">
        <v>1560</v>
      </c>
    </row>
    <row r="557" spans="8:8" x14ac:dyDescent="0.25">
      <c r="H557" t="s">
        <v>1561</v>
      </c>
    </row>
    <row r="558" spans="8:8" x14ac:dyDescent="0.25">
      <c r="H558" t="s">
        <v>1562</v>
      </c>
    </row>
    <row r="559" spans="8:8" x14ac:dyDescent="0.25">
      <c r="H559" t="s">
        <v>1563</v>
      </c>
    </row>
    <row r="560" spans="8:8" x14ac:dyDescent="0.25">
      <c r="H560" t="s">
        <v>1564</v>
      </c>
    </row>
    <row r="561" spans="8:8" x14ac:dyDescent="0.25">
      <c r="H561" t="s">
        <v>1565</v>
      </c>
    </row>
    <row r="562" spans="8:8" x14ac:dyDescent="0.25">
      <c r="H562" t="s">
        <v>1566</v>
      </c>
    </row>
    <row r="563" spans="8:8" x14ac:dyDescent="0.25">
      <c r="H563" t="s">
        <v>1320</v>
      </c>
    </row>
    <row r="564" spans="8:8" x14ac:dyDescent="0.25">
      <c r="H564" t="s">
        <v>1319</v>
      </c>
    </row>
    <row r="565" spans="8:8" x14ac:dyDescent="0.25">
      <c r="H565" t="s">
        <v>1567</v>
      </c>
    </row>
    <row r="566" spans="8:8" x14ac:dyDescent="0.25">
      <c r="H566" t="s">
        <v>1568</v>
      </c>
    </row>
    <row r="567" spans="8:8" x14ac:dyDescent="0.25">
      <c r="H567" t="s">
        <v>1569</v>
      </c>
    </row>
    <row r="568" spans="8:8" x14ac:dyDescent="0.25">
      <c r="H568" t="s">
        <v>1570</v>
      </c>
    </row>
    <row r="570" spans="8:8" x14ac:dyDescent="0.25">
      <c r="H570" t="s">
        <v>1554</v>
      </c>
    </row>
    <row r="571" spans="8:8" x14ac:dyDescent="0.25">
      <c r="H571" t="s">
        <v>1571</v>
      </c>
    </row>
    <row r="572" spans="8:8" x14ac:dyDescent="0.25">
      <c r="H572" t="s">
        <v>1572</v>
      </c>
    </row>
    <row r="573" spans="8:8" x14ac:dyDescent="0.25">
      <c r="H573" t="s">
        <v>1573</v>
      </c>
    </row>
    <row r="574" spans="8:8" x14ac:dyDescent="0.25">
      <c r="H574" t="s">
        <v>1574</v>
      </c>
    </row>
    <row r="576" spans="8:8" x14ac:dyDescent="0.25">
      <c r="H576" t="s">
        <v>1554</v>
      </c>
    </row>
    <row r="577" spans="8:8" x14ac:dyDescent="0.25">
      <c r="H577" t="s">
        <v>1575</v>
      </c>
    </row>
    <row r="578" spans="8:8" x14ac:dyDescent="0.25">
      <c r="H578" t="s">
        <v>1576</v>
      </c>
    </row>
    <row r="579" spans="8:8" x14ac:dyDescent="0.25">
      <c r="H579" t="s">
        <v>1577</v>
      </c>
    </row>
    <row r="580" spans="8:8" x14ac:dyDescent="0.25">
      <c r="H580" t="s">
        <v>1578</v>
      </c>
    </row>
    <row r="581" spans="8:8" x14ac:dyDescent="0.25">
      <c r="H581" t="s">
        <v>1579</v>
      </c>
    </row>
    <row r="582" spans="8:8" x14ac:dyDescent="0.25">
      <c r="H582" t="s">
        <v>1580</v>
      </c>
    </row>
    <row r="583" spans="8:8" x14ac:dyDescent="0.25">
      <c r="H583" t="s">
        <v>1581</v>
      </c>
    </row>
    <row r="584" spans="8:8" x14ac:dyDescent="0.25">
      <c r="H584" t="s">
        <v>1582</v>
      </c>
    </row>
    <row r="585" spans="8:8" x14ac:dyDescent="0.25">
      <c r="H585" t="s">
        <v>1583</v>
      </c>
    </row>
    <row r="586" spans="8:8" x14ac:dyDescent="0.25">
      <c r="H586" t="s">
        <v>1584</v>
      </c>
    </row>
    <row r="587" spans="8:8" x14ac:dyDescent="0.25">
      <c r="H587" t="s">
        <v>1585</v>
      </c>
    </row>
    <row r="588" spans="8:8" x14ac:dyDescent="0.25">
      <c r="H588" t="s">
        <v>1586</v>
      </c>
    </row>
    <row r="589" spans="8:8" x14ac:dyDescent="0.25">
      <c r="H589" t="s">
        <v>1587</v>
      </c>
    </row>
    <row r="590" spans="8:8" x14ac:dyDescent="0.25">
      <c r="H590" t="s">
        <v>1588</v>
      </c>
    </row>
    <row r="591" spans="8:8" x14ac:dyDescent="0.25">
      <c r="H591" t="s">
        <v>1589</v>
      </c>
    </row>
    <row r="592" spans="8:8" x14ac:dyDescent="0.25">
      <c r="H592" t="s">
        <v>1590</v>
      </c>
    </row>
    <row r="593" spans="8:8" x14ac:dyDescent="0.25">
      <c r="H593" t="s">
        <v>1591</v>
      </c>
    </row>
    <row r="594" spans="8:8" x14ac:dyDescent="0.25">
      <c r="H594" t="s">
        <v>1592</v>
      </c>
    </row>
    <row r="595" spans="8:8" x14ac:dyDescent="0.25">
      <c r="H595" t="s">
        <v>1593</v>
      </c>
    </row>
    <row r="596" spans="8:8" x14ac:dyDescent="0.25">
      <c r="H596" t="s">
        <v>1594</v>
      </c>
    </row>
    <row r="597" spans="8:8" x14ac:dyDescent="0.25">
      <c r="H597" t="s">
        <v>1595</v>
      </c>
    </row>
    <row r="599" spans="8:8" x14ac:dyDescent="0.25">
      <c r="H599" t="s">
        <v>1554</v>
      </c>
    </row>
    <row r="600" spans="8:8" x14ac:dyDescent="0.25">
      <c r="H600" t="s">
        <v>1596</v>
      </c>
    </row>
    <row r="601" spans="8:8" x14ac:dyDescent="0.25">
      <c r="H601" t="s">
        <v>1597</v>
      </c>
    </row>
    <row r="602" spans="8:8" x14ac:dyDescent="0.25">
      <c r="H602" t="s">
        <v>1598</v>
      </c>
    </row>
    <row r="603" spans="8:8" x14ac:dyDescent="0.25">
      <c r="H603" t="s">
        <v>1599</v>
      </c>
    </row>
    <row r="604" spans="8:8" x14ac:dyDescent="0.25">
      <c r="H604" t="s">
        <v>1600</v>
      </c>
    </row>
    <row r="605" spans="8:8" x14ac:dyDescent="0.25">
      <c r="H605" t="s">
        <v>1601</v>
      </c>
    </row>
    <row r="607" spans="8:8" x14ac:dyDescent="0.25">
      <c r="H607" t="s">
        <v>1554</v>
      </c>
    </row>
    <row r="608" spans="8:8" x14ac:dyDescent="0.25">
      <c r="H608" t="s">
        <v>1602</v>
      </c>
    </row>
    <row r="609" spans="8:8" x14ac:dyDescent="0.25">
      <c r="H609" t="s">
        <v>1603</v>
      </c>
    </row>
    <row r="610" spans="8:8" x14ac:dyDescent="0.25">
      <c r="H610" t="s">
        <v>1604</v>
      </c>
    </row>
    <row r="611" spans="8:8" x14ac:dyDescent="0.25">
      <c r="H611" t="s">
        <v>1605</v>
      </c>
    </row>
    <row r="612" spans="8:8" x14ac:dyDescent="0.25">
      <c r="H612" t="s">
        <v>1606</v>
      </c>
    </row>
    <row r="613" spans="8:8" x14ac:dyDescent="0.25">
      <c r="H613" t="s">
        <v>1607</v>
      </c>
    </row>
    <row r="615" spans="8:8" x14ac:dyDescent="0.25">
      <c r="H615" t="s">
        <v>1554</v>
      </c>
    </row>
    <row r="616" spans="8:8" x14ac:dyDescent="0.25">
      <c r="H616" t="s">
        <v>1611</v>
      </c>
    </row>
    <row r="617" spans="8:8" x14ac:dyDescent="0.25">
      <c r="H617" t="s">
        <v>1612</v>
      </c>
    </row>
    <row r="618" spans="8:8" x14ac:dyDescent="0.25">
      <c r="H618" t="s">
        <v>1613</v>
      </c>
    </row>
    <row r="619" spans="8:8" x14ac:dyDescent="0.25">
      <c r="H619" t="s">
        <v>1614</v>
      </c>
    </row>
    <row r="621" spans="8:8" x14ac:dyDescent="0.25">
      <c r="H621" t="s">
        <v>1554</v>
      </c>
    </row>
    <row r="622" spans="8:8" x14ac:dyDescent="0.25">
      <c r="H622" t="s">
        <v>1608</v>
      </c>
    </row>
    <row r="623" spans="8:8" x14ac:dyDescent="0.25">
      <c r="H623" t="s">
        <v>1609</v>
      </c>
    </row>
    <row r="624" spans="8:8" x14ac:dyDescent="0.25">
      <c r="H624" t="s">
        <v>1615</v>
      </c>
    </row>
    <row r="625" spans="8:8" x14ac:dyDescent="0.25">
      <c r="H625" t="s">
        <v>1616</v>
      </c>
    </row>
    <row r="626" spans="8:8" x14ac:dyDescent="0.25">
      <c r="H626" t="s">
        <v>1617</v>
      </c>
    </row>
    <row r="627" spans="8:8" x14ac:dyDescent="0.25">
      <c r="H627" t="s">
        <v>1610</v>
      </c>
    </row>
    <row r="629" spans="8:8" x14ac:dyDescent="0.25">
      <c r="H629" t="s">
        <v>1618</v>
      </c>
    </row>
    <row r="630" spans="8:8" x14ac:dyDescent="0.25">
      <c r="H630" t="s">
        <v>1619</v>
      </c>
    </row>
    <row r="631" spans="8:8" x14ac:dyDescent="0.25">
      <c r="H631" t="s">
        <v>1311</v>
      </c>
    </row>
    <row r="632" spans="8:8" x14ac:dyDescent="0.25">
      <c r="H632" t="s">
        <v>1316</v>
      </c>
    </row>
    <row r="633" spans="8:8" x14ac:dyDescent="0.25">
      <c r="H633" t="s">
        <v>1317</v>
      </c>
    </row>
    <row r="634" spans="8:8" x14ac:dyDescent="0.25">
      <c r="H634" t="s">
        <v>1318</v>
      </c>
    </row>
    <row r="635" spans="8:8" x14ac:dyDescent="0.25">
      <c r="H635" t="s">
        <v>1319</v>
      </c>
    </row>
    <row r="636" spans="8:8" x14ac:dyDescent="0.25">
      <c r="H636" t="s">
        <v>1320</v>
      </c>
    </row>
    <row r="637" spans="8:8" x14ac:dyDescent="0.25">
      <c r="H637" t="s">
        <v>1321</v>
      </c>
    </row>
    <row r="638" spans="8:8" x14ac:dyDescent="0.25">
      <c r="H638" t="s">
        <v>1620</v>
      </c>
    </row>
    <row r="640" spans="8:8" x14ac:dyDescent="0.25">
      <c r="H640" t="s">
        <v>1618</v>
      </c>
    </row>
    <row r="641" spans="8:8" x14ac:dyDescent="0.25">
      <c r="H641" t="s">
        <v>1621</v>
      </c>
    </row>
    <row r="642" spans="8:8" x14ac:dyDescent="0.25">
      <c r="H642" t="s">
        <v>1323</v>
      </c>
    </row>
    <row r="643" spans="8:8" x14ac:dyDescent="0.25">
      <c r="H643" t="s">
        <v>1324</v>
      </c>
    </row>
    <row r="644" spans="8:8" x14ac:dyDescent="0.25">
      <c r="H644" t="s">
        <v>1325</v>
      </c>
    </row>
    <row r="645" spans="8:8" x14ac:dyDescent="0.25">
      <c r="H645" t="s">
        <v>1326</v>
      </c>
    </row>
    <row r="646" spans="8:8" x14ac:dyDescent="0.25">
      <c r="H646" t="s">
        <v>1327</v>
      </c>
    </row>
    <row r="647" spans="8:8" x14ac:dyDescent="0.25">
      <c r="H647" t="s">
        <v>1622</v>
      </c>
    </row>
    <row r="649" spans="8:8" x14ac:dyDescent="0.25">
      <c r="H649" t="s">
        <v>1618</v>
      </c>
    </row>
    <row r="650" spans="8:8" x14ac:dyDescent="0.25">
      <c r="H650" t="s">
        <v>1623</v>
      </c>
    </row>
    <row r="651" spans="8:8" x14ac:dyDescent="0.25">
      <c r="H651" t="s">
        <v>1624</v>
      </c>
    </row>
    <row r="652" spans="8:8" x14ac:dyDescent="0.25">
      <c r="H652" t="s">
        <v>1625</v>
      </c>
    </row>
    <row r="654" spans="8:8" x14ac:dyDescent="0.25">
      <c r="H654" t="s">
        <v>1618</v>
      </c>
    </row>
    <row r="655" spans="8:8" x14ac:dyDescent="0.25">
      <c r="H655" t="s">
        <v>1626</v>
      </c>
    </row>
    <row r="656" spans="8:8" x14ac:dyDescent="0.25">
      <c r="H656" t="s">
        <v>1333</v>
      </c>
    </row>
    <row r="657" spans="8:8" x14ac:dyDescent="0.25">
      <c r="H657" t="s">
        <v>1334</v>
      </c>
    </row>
    <row r="658" spans="8:8" x14ac:dyDescent="0.25">
      <c r="H658" t="s">
        <v>1335</v>
      </c>
    </row>
    <row r="659" spans="8:8" x14ac:dyDescent="0.25">
      <c r="H659" t="s">
        <v>1336</v>
      </c>
    </row>
    <row r="660" spans="8:8" x14ac:dyDescent="0.25">
      <c r="H660" t="s">
        <v>1337</v>
      </c>
    </row>
    <row r="661" spans="8:8" x14ac:dyDescent="0.25">
      <c r="H661" t="s">
        <v>1338</v>
      </c>
    </row>
    <row r="662" spans="8:8" x14ac:dyDescent="0.25">
      <c r="H662" t="s">
        <v>1339</v>
      </c>
    </row>
    <row r="663" spans="8:8" x14ac:dyDescent="0.25">
      <c r="H663" t="s">
        <v>1340</v>
      </c>
    </row>
    <row r="664" spans="8:8" x14ac:dyDescent="0.25">
      <c r="H664" t="s">
        <v>1341</v>
      </c>
    </row>
    <row r="665" spans="8:8" x14ac:dyDescent="0.25">
      <c r="H665" t="s">
        <v>1342</v>
      </c>
    </row>
    <row r="666" spans="8:8" x14ac:dyDescent="0.25">
      <c r="H666" t="s">
        <v>1343</v>
      </c>
    </row>
    <row r="667" spans="8:8" x14ac:dyDescent="0.25">
      <c r="H667" t="s">
        <v>1344</v>
      </c>
    </row>
    <row r="668" spans="8:8" x14ac:dyDescent="0.25">
      <c r="H668" t="s">
        <v>1345</v>
      </c>
    </row>
    <row r="669" spans="8:8" x14ac:dyDescent="0.25">
      <c r="H669" t="s">
        <v>1346</v>
      </c>
    </row>
    <row r="670" spans="8:8" x14ac:dyDescent="0.25">
      <c r="H670" t="s">
        <v>1347</v>
      </c>
    </row>
    <row r="671" spans="8:8" x14ac:dyDescent="0.25">
      <c r="H671" t="s">
        <v>1348</v>
      </c>
    </row>
    <row r="672" spans="8:8" x14ac:dyDescent="0.25">
      <c r="H672" t="s">
        <v>1349</v>
      </c>
    </row>
    <row r="673" spans="8:8" x14ac:dyDescent="0.25">
      <c r="H673" t="s">
        <v>1350</v>
      </c>
    </row>
    <row r="674" spans="8:8" x14ac:dyDescent="0.25">
      <c r="H674" t="s">
        <v>1351</v>
      </c>
    </row>
    <row r="675" spans="8:8" x14ac:dyDescent="0.25">
      <c r="H675" t="s">
        <v>1352</v>
      </c>
    </row>
    <row r="676" spans="8:8" x14ac:dyDescent="0.25">
      <c r="H676" t="s">
        <v>1353</v>
      </c>
    </row>
    <row r="677" spans="8:8" x14ac:dyDescent="0.25">
      <c r="H677" t="s">
        <v>1627</v>
      </c>
    </row>
    <row r="679" spans="8:8" x14ac:dyDescent="0.25">
      <c r="H679" t="s">
        <v>1618</v>
      </c>
    </row>
    <row r="680" spans="8:8" x14ac:dyDescent="0.25">
      <c r="H680" t="s">
        <v>1628</v>
      </c>
    </row>
    <row r="681" spans="8:8" x14ac:dyDescent="0.25">
      <c r="H681" t="s">
        <v>1356</v>
      </c>
    </row>
    <row r="682" spans="8:8" x14ac:dyDescent="0.25">
      <c r="H682" t="s">
        <v>1357</v>
      </c>
    </row>
    <row r="683" spans="8:8" x14ac:dyDescent="0.25">
      <c r="H683" t="s">
        <v>1358</v>
      </c>
    </row>
    <row r="684" spans="8:8" x14ac:dyDescent="0.25">
      <c r="H684" t="s">
        <v>1629</v>
      </c>
    </row>
    <row r="686" spans="8:8" x14ac:dyDescent="0.25">
      <c r="H686" t="s">
        <v>1618</v>
      </c>
    </row>
    <row r="687" spans="8:8" x14ac:dyDescent="0.25">
      <c r="H687" t="s">
        <v>1630</v>
      </c>
    </row>
    <row r="688" spans="8:8" x14ac:dyDescent="0.25">
      <c r="H688" t="s">
        <v>1361</v>
      </c>
    </row>
    <row r="689" spans="8:8" x14ac:dyDescent="0.25">
      <c r="H689" t="s">
        <v>1362</v>
      </c>
    </row>
    <row r="690" spans="8:8" x14ac:dyDescent="0.25">
      <c r="H690" t="s">
        <v>1363</v>
      </c>
    </row>
    <row r="691" spans="8:8" x14ac:dyDescent="0.25">
      <c r="H691" t="s">
        <v>1364</v>
      </c>
    </row>
    <row r="692" spans="8:8" x14ac:dyDescent="0.25">
      <c r="H692" t="s">
        <v>1365</v>
      </c>
    </row>
    <row r="693" spans="8:8" x14ac:dyDescent="0.25">
      <c r="H693" t="s">
        <v>1366</v>
      </c>
    </row>
    <row r="694" spans="8:8" x14ac:dyDescent="0.25">
      <c r="H694" t="s">
        <v>1367</v>
      </c>
    </row>
    <row r="695" spans="8:8" x14ac:dyDescent="0.25">
      <c r="H695" t="s">
        <v>1368</v>
      </c>
    </row>
    <row r="696" spans="8:8" x14ac:dyDescent="0.25">
      <c r="H696" t="s">
        <v>1631</v>
      </c>
    </row>
    <row r="698" spans="8:8" x14ac:dyDescent="0.25">
      <c r="H698" t="s">
        <v>1618</v>
      </c>
    </row>
    <row r="699" spans="8:8" x14ac:dyDescent="0.25">
      <c r="H699" t="s">
        <v>1632</v>
      </c>
    </row>
    <row r="700" spans="8:8" x14ac:dyDescent="0.25">
      <c r="H700" t="s">
        <v>1371</v>
      </c>
    </row>
    <row r="701" spans="8:8" x14ac:dyDescent="0.25">
      <c r="H701" t="s">
        <v>1372</v>
      </c>
    </row>
    <row r="702" spans="8:8" x14ac:dyDescent="0.25">
      <c r="H702" t="s">
        <v>1633</v>
      </c>
    </row>
    <row r="704" spans="8:8" x14ac:dyDescent="0.25">
      <c r="H704" t="s">
        <v>1618</v>
      </c>
    </row>
    <row r="705" spans="8:8" x14ac:dyDescent="0.25">
      <c r="H705" t="s">
        <v>1634</v>
      </c>
    </row>
    <row r="706" spans="8:8" x14ac:dyDescent="0.25">
      <c r="H706" t="s">
        <v>1375</v>
      </c>
    </row>
    <row r="707" spans="8:8" x14ac:dyDescent="0.25">
      <c r="H707" t="s">
        <v>1635</v>
      </c>
    </row>
    <row r="709" spans="8:8" x14ac:dyDescent="0.25">
      <c r="H709" t="s">
        <v>1618</v>
      </c>
    </row>
    <row r="710" spans="8:8" x14ac:dyDescent="0.25">
      <c r="H710" t="s">
        <v>1636</v>
      </c>
    </row>
    <row r="711" spans="8:8" x14ac:dyDescent="0.25">
      <c r="H711" t="s">
        <v>1378</v>
      </c>
    </row>
    <row r="712" spans="8:8" x14ac:dyDescent="0.25">
      <c r="H712" t="s">
        <v>1379</v>
      </c>
    </row>
    <row r="713" spans="8:8" x14ac:dyDescent="0.25">
      <c r="H713" t="s">
        <v>1380</v>
      </c>
    </row>
    <row r="714" spans="8:8" x14ac:dyDescent="0.25">
      <c r="H714" t="s">
        <v>1381</v>
      </c>
    </row>
    <row r="715" spans="8:8" x14ac:dyDescent="0.25">
      <c r="H715" t="s">
        <v>1637</v>
      </c>
    </row>
    <row r="717" spans="8:8" x14ac:dyDescent="0.25">
      <c r="H717" t="s">
        <v>1618</v>
      </c>
    </row>
    <row r="718" spans="8:8" x14ac:dyDescent="0.25">
      <c r="H718" t="s">
        <v>1638</v>
      </c>
    </row>
    <row r="719" spans="8:8" x14ac:dyDescent="0.25">
      <c r="H719" t="s">
        <v>1384</v>
      </c>
    </row>
    <row r="720" spans="8:8" x14ac:dyDescent="0.25">
      <c r="H720" t="s">
        <v>1385</v>
      </c>
    </row>
    <row r="721" spans="8:8" x14ac:dyDescent="0.25">
      <c r="H721" t="s">
        <v>1386</v>
      </c>
    </row>
    <row r="722" spans="8:8" x14ac:dyDescent="0.25">
      <c r="H722" t="s">
        <v>1387</v>
      </c>
    </row>
    <row r="723" spans="8:8" x14ac:dyDescent="0.25">
      <c r="H723" t="s">
        <v>1639</v>
      </c>
    </row>
    <row r="725" spans="8:8" x14ac:dyDescent="0.25">
      <c r="H725" t="s">
        <v>1618</v>
      </c>
    </row>
    <row r="726" spans="8:8" x14ac:dyDescent="0.25">
      <c r="H726" t="s">
        <v>1640</v>
      </c>
    </row>
    <row r="727" spans="8:8" x14ac:dyDescent="0.25">
      <c r="H727" t="s">
        <v>1390</v>
      </c>
    </row>
    <row r="728" spans="8:8" x14ac:dyDescent="0.25">
      <c r="H728" t="s">
        <v>1391</v>
      </c>
    </row>
    <row r="729" spans="8:8" x14ac:dyDescent="0.25">
      <c r="H729" t="s">
        <v>1641</v>
      </c>
    </row>
    <row r="731" spans="8:8" x14ac:dyDescent="0.25">
      <c r="H731" t="s">
        <v>1642</v>
      </c>
    </row>
    <row r="732" spans="8:8" x14ac:dyDescent="0.25">
      <c r="H732" t="s">
        <v>1643</v>
      </c>
    </row>
    <row r="733" spans="8:8" x14ac:dyDescent="0.25">
      <c r="H733" t="s">
        <v>1395</v>
      </c>
    </row>
    <row r="734" spans="8:8" x14ac:dyDescent="0.25">
      <c r="H734" t="s">
        <v>1396</v>
      </c>
    </row>
    <row r="735" spans="8:8" x14ac:dyDescent="0.25">
      <c r="H735" t="s">
        <v>1397</v>
      </c>
    </row>
    <row r="736" spans="8:8" x14ac:dyDescent="0.25">
      <c r="H736" t="s">
        <v>1398</v>
      </c>
    </row>
    <row r="737" spans="8:8" x14ac:dyDescent="0.25">
      <c r="H737" t="s">
        <v>1399</v>
      </c>
    </row>
    <row r="738" spans="8:8" x14ac:dyDescent="0.25">
      <c r="H738" t="s">
        <v>1400</v>
      </c>
    </row>
    <row r="739" spans="8:8" x14ac:dyDescent="0.25">
      <c r="H739" t="s">
        <v>1401</v>
      </c>
    </row>
    <row r="740" spans="8:8" x14ac:dyDescent="0.25">
      <c r="H740" t="s">
        <v>1402</v>
      </c>
    </row>
    <row r="741" spans="8:8" x14ac:dyDescent="0.25">
      <c r="H741" t="s">
        <v>1403</v>
      </c>
    </row>
    <row r="742" spans="8:8" x14ac:dyDescent="0.25">
      <c r="H742" t="s">
        <v>1404</v>
      </c>
    </row>
    <row r="743" spans="8:8" x14ac:dyDescent="0.25">
      <c r="H743" t="s">
        <v>1405</v>
      </c>
    </row>
    <row r="744" spans="8:8" x14ac:dyDescent="0.25">
      <c r="H744" t="s">
        <v>1406</v>
      </c>
    </row>
    <row r="745" spans="8:8" x14ac:dyDescent="0.25">
      <c r="H745" t="s">
        <v>1407</v>
      </c>
    </row>
    <row r="746" spans="8:8" x14ac:dyDescent="0.25">
      <c r="H746" t="s">
        <v>1408</v>
      </c>
    </row>
    <row r="747" spans="8:8" x14ac:dyDescent="0.25">
      <c r="H747" t="s">
        <v>1409</v>
      </c>
    </row>
    <row r="748" spans="8:8" x14ac:dyDescent="0.25">
      <c r="H748" t="s">
        <v>1410</v>
      </c>
    </row>
    <row r="749" spans="8:8" x14ac:dyDescent="0.25">
      <c r="H749" t="s">
        <v>1411</v>
      </c>
    </row>
    <row r="750" spans="8:8" x14ac:dyDescent="0.25">
      <c r="H750" t="s">
        <v>1412</v>
      </c>
    </row>
    <row r="751" spans="8:8" x14ac:dyDescent="0.25">
      <c r="H751" t="s">
        <v>1413</v>
      </c>
    </row>
    <row r="752" spans="8:8" x14ac:dyDescent="0.25">
      <c r="H752" t="s">
        <v>1414</v>
      </c>
    </row>
    <row r="753" spans="8:8" x14ac:dyDescent="0.25">
      <c r="H753" t="s">
        <v>1415</v>
      </c>
    </row>
    <row r="754" spans="8:8" x14ac:dyDescent="0.25">
      <c r="H754" t="s">
        <v>1416</v>
      </c>
    </row>
    <row r="755" spans="8:8" x14ac:dyDescent="0.25">
      <c r="H755" t="s">
        <v>1417</v>
      </c>
    </row>
    <row r="756" spans="8:8" x14ac:dyDescent="0.25">
      <c r="H756" t="s">
        <v>1418</v>
      </c>
    </row>
    <row r="757" spans="8:8" x14ac:dyDescent="0.25">
      <c r="H757" t="s">
        <v>1419</v>
      </c>
    </row>
    <row r="758" spans="8:8" x14ac:dyDescent="0.25">
      <c r="H758" t="s">
        <v>1420</v>
      </c>
    </row>
    <row r="759" spans="8:8" x14ac:dyDescent="0.25">
      <c r="H759" t="s">
        <v>1421</v>
      </c>
    </row>
    <row r="760" spans="8:8" x14ac:dyDescent="0.25">
      <c r="H760" t="s">
        <v>1422</v>
      </c>
    </row>
    <row r="761" spans="8:8" x14ac:dyDescent="0.25">
      <c r="H761" t="s">
        <v>1423</v>
      </c>
    </row>
    <row r="762" spans="8:8" x14ac:dyDescent="0.25">
      <c r="H762" t="s">
        <v>1424</v>
      </c>
    </row>
    <row r="763" spans="8:8" x14ac:dyDescent="0.25">
      <c r="H763" t="s">
        <v>1425</v>
      </c>
    </row>
    <row r="764" spans="8:8" x14ac:dyDescent="0.25">
      <c r="H764" t="s">
        <v>1426</v>
      </c>
    </row>
    <row r="765" spans="8:8" x14ac:dyDescent="0.25">
      <c r="H765" t="s">
        <v>1427</v>
      </c>
    </row>
    <row r="766" spans="8:8" x14ac:dyDescent="0.25">
      <c r="H766" t="s">
        <v>1428</v>
      </c>
    </row>
    <row r="767" spans="8:8" x14ac:dyDescent="0.25">
      <c r="H767" t="s">
        <v>1429</v>
      </c>
    </row>
    <row r="768" spans="8:8" x14ac:dyDescent="0.25">
      <c r="H768" t="s">
        <v>1430</v>
      </c>
    </row>
    <row r="769" spans="8:8" x14ac:dyDescent="0.25">
      <c r="H769" t="s">
        <v>1431</v>
      </c>
    </row>
    <row r="770" spans="8:8" x14ac:dyDescent="0.25">
      <c r="H770" t="s">
        <v>1432</v>
      </c>
    </row>
    <row r="771" spans="8:8" x14ac:dyDescent="0.25">
      <c r="H771" t="s">
        <v>1433</v>
      </c>
    </row>
    <row r="772" spans="8:8" x14ac:dyDescent="0.25">
      <c r="H772" t="s">
        <v>1434</v>
      </c>
    </row>
    <row r="773" spans="8:8" x14ac:dyDescent="0.25">
      <c r="H773" t="s">
        <v>1435</v>
      </c>
    </row>
    <row r="774" spans="8:8" x14ac:dyDescent="0.25">
      <c r="H774" t="s">
        <v>1436</v>
      </c>
    </row>
    <row r="775" spans="8:8" x14ac:dyDescent="0.25">
      <c r="H775" t="s">
        <v>1437</v>
      </c>
    </row>
    <row r="776" spans="8:8" x14ac:dyDescent="0.25">
      <c r="H776" t="s">
        <v>1438</v>
      </c>
    </row>
    <row r="777" spans="8:8" x14ac:dyDescent="0.25">
      <c r="H777" t="s">
        <v>1439</v>
      </c>
    </row>
    <row r="778" spans="8:8" x14ac:dyDescent="0.25">
      <c r="H778" t="s">
        <v>1440</v>
      </c>
    </row>
    <row r="779" spans="8:8" x14ac:dyDescent="0.25">
      <c r="H779" t="s">
        <v>1441</v>
      </c>
    </row>
    <row r="780" spans="8:8" x14ac:dyDescent="0.25">
      <c r="H780" t="s">
        <v>1442</v>
      </c>
    </row>
    <row r="781" spans="8:8" x14ac:dyDescent="0.25">
      <c r="H781" t="s">
        <v>1443</v>
      </c>
    </row>
    <row r="782" spans="8:8" x14ac:dyDescent="0.25">
      <c r="H782" t="s">
        <v>1444</v>
      </c>
    </row>
    <row r="783" spans="8:8" x14ac:dyDescent="0.25">
      <c r="H783" t="s">
        <v>1445</v>
      </c>
    </row>
    <row r="784" spans="8:8" x14ac:dyDescent="0.25">
      <c r="H784" t="s">
        <v>1446</v>
      </c>
    </row>
    <row r="785" spans="8:8" x14ac:dyDescent="0.25">
      <c r="H785" t="s">
        <v>1447</v>
      </c>
    </row>
    <row r="786" spans="8:8" x14ac:dyDescent="0.25">
      <c r="H786" t="s">
        <v>1448</v>
      </c>
    </row>
    <row r="787" spans="8:8" x14ac:dyDescent="0.25">
      <c r="H787" t="s">
        <v>1449</v>
      </c>
    </row>
    <row r="788" spans="8:8" x14ac:dyDescent="0.25">
      <c r="H788" t="s">
        <v>1450</v>
      </c>
    </row>
    <row r="789" spans="8:8" x14ac:dyDescent="0.25">
      <c r="H789" t="s">
        <v>1451</v>
      </c>
    </row>
    <row r="790" spans="8:8" x14ac:dyDescent="0.25">
      <c r="H790" t="s">
        <v>1452</v>
      </c>
    </row>
    <row r="791" spans="8:8" x14ac:dyDescent="0.25">
      <c r="H791" t="s">
        <v>1453</v>
      </c>
    </row>
    <row r="792" spans="8:8" x14ac:dyDescent="0.25">
      <c r="H792" t="s">
        <v>1454</v>
      </c>
    </row>
    <row r="793" spans="8:8" x14ac:dyDescent="0.25">
      <c r="H793" t="s">
        <v>1455</v>
      </c>
    </row>
    <row r="794" spans="8:8" x14ac:dyDescent="0.25">
      <c r="H794" t="s">
        <v>1456</v>
      </c>
    </row>
    <row r="795" spans="8:8" x14ac:dyDescent="0.25">
      <c r="H795" t="s">
        <v>1457</v>
      </c>
    </row>
    <row r="796" spans="8:8" x14ac:dyDescent="0.25">
      <c r="H796" t="s">
        <v>1458</v>
      </c>
    </row>
    <row r="797" spans="8:8" x14ac:dyDescent="0.25">
      <c r="H797" t="s">
        <v>1459</v>
      </c>
    </row>
    <row r="798" spans="8:8" x14ac:dyDescent="0.25">
      <c r="H798" t="s">
        <v>1644</v>
      </c>
    </row>
    <row r="800" spans="8:8" x14ac:dyDescent="0.25">
      <c r="H800" t="s">
        <v>1642</v>
      </c>
    </row>
    <row r="801" spans="8:8" x14ac:dyDescent="0.25">
      <c r="H801" t="s">
        <v>1645</v>
      </c>
    </row>
    <row r="802" spans="8:8" x14ac:dyDescent="0.25">
      <c r="H802" t="s">
        <v>1462</v>
      </c>
    </row>
    <row r="803" spans="8:8" x14ac:dyDescent="0.25">
      <c r="H803" t="s">
        <v>1463</v>
      </c>
    </row>
    <row r="804" spans="8:8" x14ac:dyDescent="0.25">
      <c r="H804" t="s">
        <v>1464</v>
      </c>
    </row>
    <row r="805" spans="8:8" x14ac:dyDescent="0.25">
      <c r="H805" t="s">
        <v>1465</v>
      </c>
    </row>
    <row r="806" spans="8:8" x14ac:dyDescent="0.25">
      <c r="H806" t="s">
        <v>1466</v>
      </c>
    </row>
    <row r="807" spans="8:8" x14ac:dyDescent="0.25">
      <c r="H807" t="s">
        <v>1467</v>
      </c>
    </row>
    <row r="808" spans="8:8" x14ac:dyDescent="0.25">
      <c r="H808" t="s">
        <v>1468</v>
      </c>
    </row>
    <row r="809" spans="8:8" x14ac:dyDescent="0.25">
      <c r="H809" t="s">
        <v>1469</v>
      </c>
    </row>
    <row r="810" spans="8:8" x14ac:dyDescent="0.25">
      <c r="H810" t="s">
        <v>1470</v>
      </c>
    </row>
    <row r="811" spans="8:8" x14ac:dyDescent="0.25">
      <c r="H811" t="s">
        <v>1471</v>
      </c>
    </row>
    <row r="812" spans="8:8" x14ac:dyDescent="0.25">
      <c r="H812" t="s">
        <v>1472</v>
      </c>
    </row>
    <row r="813" spans="8:8" x14ac:dyDescent="0.25">
      <c r="H813" t="s">
        <v>1473</v>
      </c>
    </row>
    <row r="814" spans="8:8" x14ac:dyDescent="0.25">
      <c r="H814" t="s">
        <v>1474</v>
      </c>
    </row>
    <row r="815" spans="8:8" x14ac:dyDescent="0.25">
      <c r="H815" t="s">
        <v>1475</v>
      </c>
    </row>
    <row r="816" spans="8:8" x14ac:dyDescent="0.25">
      <c r="H816" t="s">
        <v>1476</v>
      </c>
    </row>
    <row r="817" spans="8:8" x14ac:dyDescent="0.25">
      <c r="H817" t="s">
        <v>1477</v>
      </c>
    </row>
    <row r="818" spans="8:8" x14ac:dyDescent="0.25">
      <c r="H818" t="s">
        <v>1478</v>
      </c>
    </row>
    <row r="819" spans="8:8" x14ac:dyDescent="0.25">
      <c r="H819" t="s">
        <v>1479</v>
      </c>
    </row>
    <row r="820" spans="8:8" x14ac:dyDescent="0.25">
      <c r="H820" t="s">
        <v>1480</v>
      </c>
    </row>
    <row r="821" spans="8:8" x14ac:dyDescent="0.25">
      <c r="H821" t="s">
        <v>1481</v>
      </c>
    </row>
    <row r="822" spans="8:8" x14ac:dyDescent="0.25">
      <c r="H822" t="s">
        <v>1482</v>
      </c>
    </row>
    <row r="823" spans="8:8" x14ac:dyDescent="0.25">
      <c r="H823" t="s">
        <v>1483</v>
      </c>
    </row>
    <row r="824" spans="8:8" x14ac:dyDescent="0.25">
      <c r="H824" t="s">
        <v>1484</v>
      </c>
    </row>
    <row r="825" spans="8:8" x14ac:dyDescent="0.25">
      <c r="H825" t="s">
        <v>1485</v>
      </c>
    </row>
    <row r="826" spans="8:8" x14ac:dyDescent="0.25">
      <c r="H826" t="s">
        <v>1486</v>
      </c>
    </row>
    <row r="827" spans="8:8" x14ac:dyDescent="0.25">
      <c r="H827" t="s">
        <v>1487</v>
      </c>
    </row>
    <row r="828" spans="8:8" x14ac:dyDescent="0.25">
      <c r="H828" t="s">
        <v>1488</v>
      </c>
    </row>
    <row r="829" spans="8:8" x14ac:dyDescent="0.25">
      <c r="H829" t="s">
        <v>1489</v>
      </c>
    </row>
    <row r="830" spans="8:8" x14ac:dyDescent="0.25">
      <c r="H830" t="s">
        <v>1490</v>
      </c>
    </row>
    <row r="831" spans="8:8" x14ac:dyDescent="0.25">
      <c r="H831" t="s">
        <v>1491</v>
      </c>
    </row>
    <row r="832" spans="8:8" x14ac:dyDescent="0.25">
      <c r="H832" t="s">
        <v>1492</v>
      </c>
    </row>
    <row r="833" spans="8:8" x14ac:dyDescent="0.25">
      <c r="H833" t="s">
        <v>1493</v>
      </c>
    </row>
    <row r="834" spans="8:8" x14ac:dyDescent="0.25">
      <c r="H834" t="s">
        <v>1494</v>
      </c>
    </row>
    <row r="835" spans="8:8" x14ac:dyDescent="0.25">
      <c r="H835" t="s">
        <v>1495</v>
      </c>
    </row>
    <row r="836" spans="8:8" x14ac:dyDescent="0.25">
      <c r="H836" t="s">
        <v>1496</v>
      </c>
    </row>
    <row r="837" spans="8:8" x14ac:dyDescent="0.25">
      <c r="H837" t="s">
        <v>1497</v>
      </c>
    </row>
    <row r="838" spans="8:8" x14ac:dyDescent="0.25">
      <c r="H838" t="s">
        <v>1498</v>
      </c>
    </row>
    <row r="839" spans="8:8" x14ac:dyDescent="0.25">
      <c r="H839" t="s">
        <v>1499</v>
      </c>
    </row>
    <row r="840" spans="8:8" x14ac:dyDescent="0.25">
      <c r="H840" t="s">
        <v>1500</v>
      </c>
    </row>
    <row r="841" spans="8:8" x14ac:dyDescent="0.25">
      <c r="H841" t="s">
        <v>1501</v>
      </c>
    </row>
    <row r="842" spans="8:8" x14ac:dyDescent="0.25">
      <c r="H842" t="s">
        <v>1502</v>
      </c>
    </row>
    <row r="843" spans="8:8" x14ac:dyDescent="0.25">
      <c r="H843" t="s">
        <v>1503</v>
      </c>
    </row>
    <row r="844" spans="8:8" x14ac:dyDescent="0.25">
      <c r="H844" t="s">
        <v>1504</v>
      </c>
    </row>
    <row r="845" spans="8:8" x14ac:dyDescent="0.25">
      <c r="H845" t="s">
        <v>1505</v>
      </c>
    </row>
    <row r="846" spans="8:8" x14ac:dyDescent="0.25">
      <c r="H846" t="s">
        <v>1506</v>
      </c>
    </row>
    <row r="847" spans="8:8" x14ac:dyDescent="0.25">
      <c r="H847" t="s">
        <v>1507</v>
      </c>
    </row>
    <row r="848" spans="8:8" x14ac:dyDescent="0.25">
      <c r="H848" t="s">
        <v>1508</v>
      </c>
    </row>
    <row r="849" spans="8:8" x14ac:dyDescent="0.25">
      <c r="H849" t="s">
        <v>1509</v>
      </c>
    </row>
    <row r="850" spans="8:8" x14ac:dyDescent="0.25">
      <c r="H850" t="s">
        <v>1510</v>
      </c>
    </row>
    <row r="851" spans="8:8" x14ac:dyDescent="0.25">
      <c r="H851" t="s">
        <v>1511</v>
      </c>
    </row>
    <row r="852" spans="8:8" x14ac:dyDescent="0.25">
      <c r="H852" t="s">
        <v>1512</v>
      </c>
    </row>
    <row r="853" spans="8:8" x14ac:dyDescent="0.25">
      <c r="H853" t="s">
        <v>1513</v>
      </c>
    </row>
    <row r="854" spans="8:8" x14ac:dyDescent="0.25">
      <c r="H854" t="s">
        <v>1514</v>
      </c>
    </row>
    <row r="855" spans="8:8" x14ac:dyDescent="0.25">
      <c r="H855" t="s">
        <v>1515</v>
      </c>
    </row>
    <row r="856" spans="8:8" x14ac:dyDescent="0.25">
      <c r="H856" t="s">
        <v>1516</v>
      </c>
    </row>
    <row r="857" spans="8:8" x14ac:dyDescent="0.25">
      <c r="H857" t="s">
        <v>1517</v>
      </c>
    </row>
    <row r="858" spans="8:8" x14ac:dyDescent="0.25">
      <c r="H858" t="s">
        <v>1518</v>
      </c>
    </row>
    <row r="859" spans="8:8" x14ac:dyDescent="0.25">
      <c r="H859" t="s">
        <v>1519</v>
      </c>
    </row>
    <row r="860" spans="8:8" x14ac:dyDescent="0.25">
      <c r="H860" t="s">
        <v>1520</v>
      </c>
    </row>
    <row r="861" spans="8:8" x14ac:dyDescent="0.25">
      <c r="H861" t="s">
        <v>1521</v>
      </c>
    </row>
    <row r="862" spans="8:8" x14ac:dyDescent="0.25">
      <c r="H862" t="s">
        <v>1522</v>
      </c>
    </row>
    <row r="863" spans="8:8" x14ac:dyDescent="0.25">
      <c r="H863" t="s">
        <v>1523</v>
      </c>
    </row>
    <row r="864" spans="8:8" x14ac:dyDescent="0.25">
      <c r="H864" t="s">
        <v>1524</v>
      </c>
    </row>
    <row r="865" spans="8:8" x14ac:dyDescent="0.25">
      <c r="H865" t="s">
        <v>1525</v>
      </c>
    </row>
    <row r="866" spans="8:8" x14ac:dyDescent="0.25">
      <c r="H866" t="s">
        <v>1526</v>
      </c>
    </row>
    <row r="867" spans="8:8" x14ac:dyDescent="0.25">
      <c r="H867" t="s">
        <v>1646</v>
      </c>
    </row>
    <row r="869" spans="8:8" x14ac:dyDescent="0.25">
      <c r="H869" t="s">
        <v>1642</v>
      </c>
    </row>
    <row r="870" spans="8:8" x14ac:dyDescent="0.25">
      <c r="H870" t="s">
        <v>1647</v>
      </c>
    </row>
    <row r="871" spans="8:8" x14ac:dyDescent="0.25">
      <c r="H871" t="s">
        <v>1529</v>
      </c>
    </row>
    <row r="872" spans="8:8" x14ac:dyDescent="0.25">
      <c r="H872" t="s">
        <v>1530</v>
      </c>
    </row>
    <row r="873" spans="8:8" x14ac:dyDescent="0.25">
      <c r="H873" t="s">
        <v>1531</v>
      </c>
    </row>
    <row r="874" spans="8:8" x14ac:dyDescent="0.25">
      <c r="H874" t="s">
        <v>1532</v>
      </c>
    </row>
    <row r="875" spans="8:8" x14ac:dyDescent="0.25">
      <c r="H875" t="s">
        <v>1533</v>
      </c>
    </row>
    <row r="876" spans="8:8" x14ac:dyDescent="0.25">
      <c r="H876" t="s">
        <v>1534</v>
      </c>
    </row>
    <row r="877" spans="8:8" x14ac:dyDescent="0.25">
      <c r="H877" t="s">
        <v>1535</v>
      </c>
    </row>
    <row r="878" spans="8:8" x14ac:dyDescent="0.25">
      <c r="H878" t="s">
        <v>1536</v>
      </c>
    </row>
    <row r="879" spans="8:8" x14ac:dyDescent="0.25">
      <c r="H879" t="s">
        <v>1537</v>
      </c>
    </row>
    <row r="880" spans="8:8" x14ac:dyDescent="0.25">
      <c r="H880" t="s">
        <v>1538</v>
      </c>
    </row>
    <row r="881" spans="8:8" x14ac:dyDescent="0.25">
      <c r="H881" t="s">
        <v>1539</v>
      </c>
    </row>
    <row r="882" spans="8:8" x14ac:dyDescent="0.25">
      <c r="H882" t="s">
        <v>1540</v>
      </c>
    </row>
    <row r="883" spans="8:8" x14ac:dyDescent="0.25">
      <c r="H883" t="s">
        <v>1541</v>
      </c>
    </row>
    <row r="884" spans="8:8" x14ac:dyDescent="0.25">
      <c r="H884" t="s">
        <v>1542</v>
      </c>
    </row>
    <row r="885" spans="8:8" x14ac:dyDescent="0.25">
      <c r="H885" t="s">
        <v>1543</v>
      </c>
    </row>
    <row r="886" spans="8:8" x14ac:dyDescent="0.25">
      <c r="H886" t="s">
        <v>1544</v>
      </c>
    </row>
    <row r="887" spans="8:8" x14ac:dyDescent="0.25">
      <c r="H887" t="s">
        <v>1545</v>
      </c>
    </row>
    <row r="888" spans="8:8" x14ac:dyDescent="0.25">
      <c r="H888" t="s">
        <v>1546</v>
      </c>
    </row>
    <row r="889" spans="8:8" x14ac:dyDescent="0.25">
      <c r="H889" t="s">
        <v>1547</v>
      </c>
    </row>
    <row r="890" spans="8:8" x14ac:dyDescent="0.25">
      <c r="H890" t="s">
        <v>1548</v>
      </c>
    </row>
    <row r="891" spans="8:8" x14ac:dyDescent="0.25">
      <c r="H891" t="s">
        <v>1549</v>
      </c>
    </row>
    <row r="892" spans="8:8" x14ac:dyDescent="0.25">
      <c r="H892" t="s">
        <v>1550</v>
      </c>
    </row>
    <row r="893" spans="8:8" x14ac:dyDescent="0.25">
      <c r="H893" t="s">
        <v>1551</v>
      </c>
    </row>
    <row r="894" spans="8:8" x14ac:dyDescent="0.25">
      <c r="H894" t="s">
        <v>1552</v>
      </c>
    </row>
    <row r="895" spans="8:8" x14ac:dyDescent="0.25">
      <c r="H895" t="s">
        <v>1648</v>
      </c>
    </row>
    <row r="897" spans="8:8" x14ac:dyDescent="0.25">
      <c r="H897" t="s">
        <v>1649</v>
      </c>
    </row>
    <row r="898" spans="8:8" x14ac:dyDescent="0.25">
      <c r="H898" t="s">
        <v>1650</v>
      </c>
    </row>
    <row r="899" spans="8:8" x14ac:dyDescent="0.25">
      <c r="H899" t="s">
        <v>1556</v>
      </c>
    </row>
    <row r="900" spans="8:8" x14ac:dyDescent="0.25">
      <c r="H900" t="s">
        <v>1557</v>
      </c>
    </row>
    <row r="901" spans="8:8" x14ac:dyDescent="0.25">
      <c r="H901" t="s">
        <v>1558</v>
      </c>
    </row>
    <row r="902" spans="8:8" x14ac:dyDescent="0.25">
      <c r="H902" t="s">
        <v>1559</v>
      </c>
    </row>
    <row r="903" spans="8:8" x14ac:dyDescent="0.25">
      <c r="H903" t="s">
        <v>1560</v>
      </c>
    </row>
    <row r="904" spans="8:8" x14ac:dyDescent="0.25">
      <c r="H904" t="s">
        <v>1561</v>
      </c>
    </row>
    <row r="905" spans="8:8" x14ac:dyDescent="0.25">
      <c r="H905" t="s">
        <v>1562</v>
      </c>
    </row>
    <row r="906" spans="8:8" x14ac:dyDescent="0.25">
      <c r="H906" t="s">
        <v>1563</v>
      </c>
    </row>
    <row r="907" spans="8:8" x14ac:dyDescent="0.25">
      <c r="H907" t="s">
        <v>1564</v>
      </c>
    </row>
    <row r="908" spans="8:8" x14ac:dyDescent="0.25">
      <c r="H908" t="s">
        <v>1565</v>
      </c>
    </row>
    <row r="909" spans="8:8" x14ac:dyDescent="0.25">
      <c r="H909" t="s">
        <v>1566</v>
      </c>
    </row>
    <row r="910" spans="8:8" x14ac:dyDescent="0.25">
      <c r="H910" t="s">
        <v>1320</v>
      </c>
    </row>
    <row r="911" spans="8:8" x14ac:dyDescent="0.25">
      <c r="H911" t="s">
        <v>1319</v>
      </c>
    </row>
    <row r="912" spans="8:8" x14ac:dyDescent="0.25">
      <c r="H912" t="s">
        <v>1567</v>
      </c>
    </row>
    <row r="913" spans="8:8" x14ac:dyDescent="0.25">
      <c r="H913" t="s">
        <v>1568</v>
      </c>
    </row>
    <row r="914" spans="8:8" x14ac:dyDescent="0.25">
      <c r="H914" t="s">
        <v>1569</v>
      </c>
    </row>
    <row r="915" spans="8:8" x14ac:dyDescent="0.25">
      <c r="H915" t="s">
        <v>1651</v>
      </c>
    </row>
    <row r="917" spans="8:8" x14ac:dyDescent="0.25">
      <c r="H917" t="s">
        <v>1649</v>
      </c>
    </row>
    <row r="918" spans="8:8" x14ac:dyDescent="0.25">
      <c r="H918" t="s">
        <v>1652</v>
      </c>
    </row>
    <row r="919" spans="8:8" x14ac:dyDescent="0.25">
      <c r="H919" t="s">
        <v>1572</v>
      </c>
    </row>
    <row r="920" spans="8:8" x14ac:dyDescent="0.25">
      <c r="H920" t="s">
        <v>1573</v>
      </c>
    </row>
    <row r="921" spans="8:8" x14ac:dyDescent="0.25">
      <c r="H921" t="s">
        <v>1653</v>
      </c>
    </row>
    <row r="923" spans="8:8" x14ac:dyDescent="0.25">
      <c r="H923" t="s">
        <v>1649</v>
      </c>
    </row>
    <row r="924" spans="8:8" x14ac:dyDescent="0.25">
      <c r="H924" t="s">
        <v>1654</v>
      </c>
    </row>
    <row r="925" spans="8:8" x14ac:dyDescent="0.25">
      <c r="H925" t="s">
        <v>1576</v>
      </c>
    </row>
    <row r="926" spans="8:8" x14ac:dyDescent="0.25">
      <c r="H926" t="s">
        <v>1577</v>
      </c>
    </row>
    <row r="927" spans="8:8" x14ac:dyDescent="0.25">
      <c r="H927" t="s">
        <v>1578</v>
      </c>
    </row>
    <row r="928" spans="8:8" x14ac:dyDescent="0.25">
      <c r="H928" t="s">
        <v>1579</v>
      </c>
    </row>
    <row r="929" spans="8:8" x14ac:dyDescent="0.25">
      <c r="H929" t="s">
        <v>1580</v>
      </c>
    </row>
    <row r="930" spans="8:8" x14ac:dyDescent="0.25">
      <c r="H930" t="s">
        <v>1581</v>
      </c>
    </row>
    <row r="931" spans="8:8" x14ac:dyDescent="0.25">
      <c r="H931" t="s">
        <v>1582</v>
      </c>
    </row>
    <row r="932" spans="8:8" x14ac:dyDescent="0.25">
      <c r="H932" t="s">
        <v>1583</v>
      </c>
    </row>
    <row r="933" spans="8:8" x14ac:dyDescent="0.25">
      <c r="H933" t="s">
        <v>1584</v>
      </c>
    </row>
    <row r="934" spans="8:8" x14ac:dyDescent="0.25">
      <c r="H934" t="s">
        <v>1585</v>
      </c>
    </row>
    <row r="935" spans="8:8" x14ac:dyDescent="0.25">
      <c r="H935" t="s">
        <v>1586</v>
      </c>
    </row>
    <row r="936" spans="8:8" x14ac:dyDescent="0.25">
      <c r="H936" t="s">
        <v>1587</v>
      </c>
    </row>
    <row r="937" spans="8:8" x14ac:dyDescent="0.25">
      <c r="H937" t="s">
        <v>1588</v>
      </c>
    </row>
    <row r="938" spans="8:8" x14ac:dyDescent="0.25">
      <c r="H938" t="s">
        <v>1589</v>
      </c>
    </row>
    <row r="939" spans="8:8" x14ac:dyDescent="0.25">
      <c r="H939" t="s">
        <v>1590</v>
      </c>
    </row>
    <row r="940" spans="8:8" x14ac:dyDescent="0.25">
      <c r="H940" t="s">
        <v>1591</v>
      </c>
    </row>
    <row r="941" spans="8:8" x14ac:dyDescent="0.25">
      <c r="H941" t="s">
        <v>1592</v>
      </c>
    </row>
    <row r="942" spans="8:8" x14ac:dyDescent="0.25">
      <c r="H942" t="s">
        <v>1593</v>
      </c>
    </row>
    <row r="943" spans="8:8" x14ac:dyDescent="0.25">
      <c r="H943" t="s">
        <v>1594</v>
      </c>
    </row>
    <row r="944" spans="8:8" x14ac:dyDescent="0.25">
      <c r="H944" t="s">
        <v>1655</v>
      </c>
    </row>
    <row r="946" spans="8:8" x14ac:dyDescent="0.25">
      <c r="H946" t="s">
        <v>1649</v>
      </c>
    </row>
    <row r="947" spans="8:8" x14ac:dyDescent="0.25">
      <c r="H947" t="s">
        <v>1656</v>
      </c>
    </row>
    <row r="948" spans="8:8" x14ac:dyDescent="0.25">
      <c r="H948" t="s">
        <v>1597</v>
      </c>
    </row>
    <row r="949" spans="8:8" x14ac:dyDescent="0.25">
      <c r="H949" t="s">
        <v>1598</v>
      </c>
    </row>
    <row r="950" spans="8:8" x14ac:dyDescent="0.25">
      <c r="H950" t="s">
        <v>1599</v>
      </c>
    </row>
    <row r="951" spans="8:8" x14ac:dyDescent="0.25">
      <c r="H951" t="s">
        <v>1600</v>
      </c>
    </row>
    <row r="952" spans="8:8" x14ac:dyDescent="0.25">
      <c r="H952" t="s">
        <v>1657</v>
      </c>
    </row>
    <row r="954" spans="8:8" x14ac:dyDescent="0.25">
      <c r="H954" t="s">
        <v>1649</v>
      </c>
    </row>
    <row r="955" spans="8:8" x14ac:dyDescent="0.25">
      <c r="H955" t="s">
        <v>1658</v>
      </c>
    </row>
    <row r="956" spans="8:8" x14ac:dyDescent="0.25">
      <c r="H956" t="s">
        <v>1603</v>
      </c>
    </row>
    <row r="957" spans="8:8" x14ac:dyDescent="0.25">
      <c r="H957" t="s">
        <v>1604</v>
      </c>
    </row>
    <row r="958" spans="8:8" x14ac:dyDescent="0.25">
      <c r="H958" t="s">
        <v>1605</v>
      </c>
    </row>
    <row r="959" spans="8:8" x14ac:dyDescent="0.25">
      <c r="H959" t="s">
        <v>1606</v>
      </c>
    </row>
    <row r="960" spans="8:8" x14ac:dyDescent="0.25">
      <c r="H960" t="s">
        <v>1659</v>
      </c>
    </row>
    <row r="962" spans="8:8" x14ac:dyDescent="0.25">
      <c r="H962" t="s">
        <v>1649</v>
      </c>
    </row>
    <row r="963" spans="8:8" x14ac:dyDescent="0.25">
      <c r="H963" t="s">
        <v>1662</v>
      </c>
    </row>
    <row r="964" spans="8:8" x14ac:dyDescent="0.25">
      <c r="H964" t="s">
        <v>1612</v>
      </c>
    </row>
    <row r="965" spans="8:8" x14ac:dyDescent="0.25">
      <c r="H965" t="s">
        <v>1613</v>
      </c>
    </row>
    <row r="966" spans="8:8" x14ac:dyDescent="0.25">
      <c r="H966" t="s">
        <v>1663</v>
      </c>
    </row>
    <row r="968" spans="8:8" x14ac:dyDescent="0.25">
      <c r="H968" t="s">
        <v>1649</v>
      </c>
    </row>
    <row r="969" spans="8:8" x14ac:dyDescent="0.25">
      <c r="H969" t="s">
        <v>1660</v>
      </c>
    </row>
    <row r="970" spans="8:8" x14ac:dyDescent="0.25">
      <c r="H970" t="s">
        <v>1609</v>
      </c>
    </row>
    <row r="971" spans="8:8" x14ac:dyDescent="0.25">
      <c r="H971" t="s">
        <v>1615</v>
      </c>
    </row>
    <row r="972" spans="8:8" x14ac:dyDescent="0.25">
      <c r="H972" t="s">
        <v>1616</v>
      </c>
    </row>
    <row r="973" spans="8:8" x14ac:dyDescent="0.25">
      <c r="H973" t="s">
        <v>1617</v>
      </c>
    </row>
    <row r="974" spans="8:8" x14ac:dyDescent="0.25">
      <c r="H974" t="s">
        <v>1661</v>
      </c>
    </row>
    <row r="976" spans="8:8" x14ac:dyDescent="0.25">
      <c r="H976" t="s">
        <v>1664</v>
      </c>
    </row>
    <row r="977" spans="8:8" x14ac:dyDescent="0.25">
      <c r="H977" t="s">
        <v>1665</v>
      </c>
    </row>
    <row r="978" spans="8:8" x14ac:dyDescent="0.25">
      <c r="H978" t="s">
        <v>1311</v>
      </c>
    </row>
    <row r="979" spans="8:8" x14ac:dyDescent="0.25">
      <c r="H979" t="s">
        <v>1316</v>
      </c>
    </row>
    <row r="980" spans="8:8" x14ac:dyDescent="0.25">
      <c r="H980" t="s">
        <v>1317</v>
      </c>
    </row>
    <row r="981" spans="8:8" x14ac:dyDescent="0.25">
      <c r="H981" t="s">
        <v>1318</v>
      </c>
    </row>
    <row r="982" spans="8:8" x14ac:dyDescent="0.25">
      <c r="H982" t="s">
        <v>1319</v>
      </c>
    </row>
    <row r="983" spans="8:8" x14ac:dyDescent="0.25">
      <c r="H983" t="s">
        <v>1320</v>
      </c>
    </row>
    <row r="984" spans="8:8" x14ac:dyDescent="0.25">
      <c r="H984" t="s">
        <v>1321</v>
      </c>
    </row>
    <row r="985" spans="8:8" x14ac:dyDescent="0.25">
      <c r="H985" t="s">
        <v>1666</v>
      </c>
    </row>
    <row r="987" spans="8:8" x14ac:dyDescent="0.25">
      <c r="H987" t="s">
        <v>1664</v>
      </c>
    </row>
    <row r="988" spans="8:8" x14ac:dyDescent="0.25">
      <c r="H988" t="s">
        <v>1667</v>
      </c>
    </row>
    <row r="989" spans="8:8" x14ac:dyDescent="0.25">
      <c r="H989" t="s">
        <v>1323</v>
      </c>
    </row>
    <row r="990" spans="8:8" x14ac:dyDescent="0.25">
      <c r="H990" t="s">
        <v>1324</v>
      </c>
    </row>
    <row r="991" spans="8:8" x14ac:dyDescent="0.25">
      <c r="H991" t="s">
        <v>1325</v>
      </c>
    </row>
    <row r="992" spans="8:8" x14ac:dyDescent="0.25">
      <c r="H992" t="s">
        <v>1326</v>
      </c>
    </row>
    <row r="993" spans="8:8" x14ac:dyDescent="0.25">
      <c r="H993" t="s">
        <v>1327</v>
      </c>
    </row>
    <row r="994" spans="8:8" x14ac:dyDescent="0.25">
      <c r="H994" t="s">
        <v>1668</v>
      </c>
    </row>
    <row r="996" spans="8:8" x14ac:dyDescent="0.25">
      <c r="H996" t="s">
        <v>1664</v>
      </c>
    </row>
    <row r="997" spans="8:8" x14ac:dyDescent="0.25">
      <c r="H997" t="s">
        <v>1669</v>
      </c>
    </row>
    <row r="998" spans="8:8" x14ac:dyDescent="0.25">
      <c r="H998" t="s">
        <v>1624</v>
      </c>
    </row>
    <row r="999" spans="8:8" x14ac:dyDescent="0.25">
      <c r="H999" t="s">
        <v>1670</v>
      </c>
    </row>
    <row r="1001" spans="8:8" x14ac:dyDescent="0.25">
      <c r="H1001" t="s">
        <v>1664</v>
      </c>
    </row>
    <row r="1002" spans="8:8" x14ac:dyDescent="0.25">
      <c r="H1002" t="s">
        <v>1671</v>
      </c>
    </row>
    <row r="1003" spans="8:8" x14ac:dyDescent="0.25">
      <c r="H1003" t="s">
        <v>1333</v>
      </c>
    </row>
    <row r="1004" spans="8:8" x14ac:dyDescent="0.25">
      <c r="H1004" t="s">
        <v>1334</v>
      </c>
    </row>
    <row r="1005" spans="8:8" x14ac:dyDescent="0.25">
      <c r="H1005" t="s">
        <v>1335</v>
      </c>
    </row>
    <row r="1006" spans="8:8" x14ac:dyDescent="0.25">
      <c r="H1006" t="s">
        <v>1336</v>
      </c>
    </row>
    <row r="1007" spans="8:8" x14ac:dyDescent="0.25">
      <c r="H1007" t="s">
        <v>1337</v>
      </c>
    </row>
    <row r="1008" spans="8:8" x14ac:dyDescent="0.25">
      <c r="H1008" t="s">
        <v>1338</v>
      </c>
    </row>
    <row r="1009" spans="8:8" x14ac:dyDescent="0.25">
      <c r="H1009" t="s">
        <v>1339</v>
      </c>
    </row>
    <row r="1010" spans="8:8" x14ac:dyDescent="0.25">
      <c r="H1010" t="s">
        <v>1340</v>
      </c>
    </row>
    <row r="1011" spans="8:8" x14ac:dyDescent="0.25">
      <c r="H1011" t="s">
        <v>1341</v>
      </c>
    </row>
    <row r="1012" spans="8:8" x14ac:dyDescent="0.25">
      <c r="H1012" t="s">
        <v>1342</v>
      </c>
    </row>
    <row r="1013" spans="8:8" x14ac:dyDescent="0.25">
      <c r="H1013" t="s">
        <v>1343</v>
      </c>
    </row>
    <row r="1014" spans="8:8" x14ac:dyDescent="0.25">
      <c r="H1014" t="s">
        <v>1344</v>
      </c>
    </row>
    <row r="1015" spans="8:8" x14ac:dyDescent="0.25">
      <c r="H1015" t="s">
        <v>1345</v>
      </c>
    </row>
    <row r="1016" spans="8:8" x14ac:dyDescent="0.25">
      <c r="H1016" t="s">
        <v>1346</v>
      </c>
    </row>
    <row r="1017" spans="8:8" x14ac:dyDescent="0.25">
      <c r="H1017" t="s">
        <v>1347</v>
      </c>
    </row>
    <row r="1018" spans="8:8" x14ac:dyDescent="0.25">
      <c r="H1018" t="s">
        <v>1348</v>
      </c>
    </row>
    <row r="1019" spans="8:8" x14ac:dyDescent="0.25">
      <c r="H1019" t="s">
        <v>1349</v>
      </c>
    </row>
    <row r="1020" spans="8:8" x14ac:dyDescent="0.25">
      <c r="H1020" t="s">
        <v>1350</v>
      </c>
    </row>
    <row r="1021" spans="8:8" x14ac:dyDescent="0.25">
      <c r="H1021" t="s">
        <v>1351</v>
      </c>
    </row>
    <row r="1022" spans="8:8" x14ac:dyDescent="0.25">
      <c r="H1022" t="s">
        <v>1352</v>
      </c>
    </row>
    <row r="1023" spans="8:8" x14ac:dyDescent="0.25">
      <c r="H1023" t="s">
        <v>1353</v>
      </c>
    </row>
    <row r="1024" spans="8:8" x14ac:dyDescent="0.25">
      <c r="H1024" t="s">
        <v>1672</v>
      </c>
    </row>
    <row r="1026" spans="8:8" x14ac:dyDescent="0.25">
      <c r="H1026" t="s">
        <v>1664</v>
      </c>
    </row>
    <row r="1027" spans="8:8" x14ac:dyDescent="0.25">
      <c r="H1027" t="s">
        <v>1673</v>
      </c>
    </row>
    <row r="1028" spans="8:8" x14ac:dyDescent="0.25">
      <c r="H1028" t="s">
        <v>1356</v>
      </c>
    </row>
    <row r="1029" spans="8:8" x14ac:dyDescent="0.25">
      <c r="H1029" t="s">
        <v>1357</v>
      </c>
    </row>
    <row r="1030" spans="8:8" x14ac:dyDescent="0.25">
      <c r="H1030" t="s">
        <v>1358</v>
      </c>
    </row>
    <row r="1031" spans="8:8" x14ac:dyDescent="0.25">
      <c r="H1031" t="s">
        <v>1674</v>
      </c>
    </row>
    <row r="1033" spans="8:8" x14ac:dyDescent="0.25">
      <c r="H1033" t="s">
        <v>1664</v>
      </c>
    </row>
    <row r="1034" spans="8:8" x14ac:dyDescent="0.25">
      <c r="H1034" t="s">
        <v>1675</v>
      </c>
    </row>
    <row r="1035" spans="8:8" x14ac:dyDescent="0.25">
      <c r="H1035" t="s">
        <v>1361</v>
      </c>
    </row>
    <row r="1036" spans="8:8" x14ac:dyDescent="0.25">
      <c r="H1036" t="s">
        <v>1362</v>
      </c>
    </row>
    <row r="1037" spans="8:8" x14ac:dyDescent="0.25">
      <c r="H1037" t="s">
        <v>1363</v>
      </c>
    </row>
    <row r="1038" spans="8:8" x14ac:dyDescent="0.25">
      <c r="H1038" t="s">
        <v>1364</v>
      </c>
    </row>
    <row r="1039" spans="8:8" x14ac:dyDescent="0.25">
      <c r="H1039" t="s">
        <v>1365</v>
      </c>
    </row>
    <row r="1040" spans="8:8" x14ac:dyDescent="0.25">
      <c r="H1040" t="s">
        <v>1366</v>
      </c>
    </row>
    <row r="1041" spans="8:8" x14ac:dyDescent="0.25">
      <c r="H1041" t="s">
        <v>1367</v>
      </c>
    </row>
    <row r="1042" spans="8:8" x14ac:dyDescent="0.25">
      <c r="H1042" t="s">
        <v>1368</v>
      </c>
    </row>
    <row r="1043" spans="8:8" x14ac:dyDescent="0.25">
      <c r="H1043" t="s">
        <v>1676</v>
      </c>
    </row>
    <row r="1045" spans="8:8" x14ac:dyDescent="0.25">
      <c r="H1045" t="s">
        <v>1664</v>
      </c>
    </row>
    <row r="1046" spans="8:8" x14ac:dyDescent="0.25">
      <c r="H1046" t="s">
        <v>1677</v>
      </c>
    </row>
    <row r="1047" spans="8:8" x14ac:dyDescent="0.25">
      <c r="H1047" t="s">
        <v>1371</v>
      </c>
    </row>
    <row r="1048" spans="8:8" x14ac:dyDescent="0.25">
      <c r="H1048" t="s">
        <v>1372</v>
      </c>
    </row>
    <row r="1049" spans="8:8" x14ac:dyDescent="0.25">
      <c r="H1049" t="s">
        <v>1678</v>
      </c>
    </row>
    <row r="1051" spans="8:8" x14ac:dyDescent="0.25">
      <c r="H1051" t="s">
        <v>1664</v>
      </c>
    </row>
    <row r="1052" spans="8:8" x14ac:dyDescent="0.25">
      <c r="H1052" t="s">
        <v>1679</v>
      </c>
    </row>
    <row r="1053" spans="8:8" x14ac:dyDescent="0.25">
      <c r="H1053" t="s">
        <v>1375</v>
      </c>
    </row>
    <row r="1054" spans="8:8" x14ac:dyDescent="0.25">
      <c r="H1054" t="s">
        <v>1680</v>
      </c>
    </row>
    <row r="1056" spans="8:8" x14ac:dyDescent="0.25">
      <c r="H1056" t="s">
        <v>1664</v>
      </c>
    </row>
    <row r="1057" spans="8:8" x14ac:dyDescent="0.25">
      <c r="H1057" t="s">
        <v>1681</v>
      </c>
    </row>
    <row r="1058" spans="8:8" x14ac:dyDescent="0.25">
      <c r="H1058" t="s">
        <v>1378</v>
      </c>
    </row>
    <row r="1059" spans="8:8" x14ac:dyDescent="0.25">
      <c r="H1059" t="s">
        <v>1379</v>
      </c>
    </row>
    <row r="1060" spans="8:8" x14ac:dyDescent="0.25">
      <c r="H1060" t="s">
        <v>1380</v>
      </c>
    </row>
    <row r="1061" spans="8:8" x14ac:dyDescent="0.25">
      <c r="H1061" t="s">
        <v>1381</v>
      </c>
    </row>
    <row r="1062" spans="8:8" x14ac:dyDescent="0.25">
      <c r="H1062" t="s">
        <v>1682</v>
      </c>
    </row>
    <row r="1064" spans="8:8" x14ac:dyDescent="0.25">
      <c r="H1064" t="s">
        <v>1664</v>
      </c>
    </row>
    <row r="1065" spans="8:8" x14ac:dyDescent="0.25">
      <c r="H1065" t="s">
        <v>1683</v>
      </c>
    </row>
    <row r="1066" spans="8:8" x14ac:dyDescent="0.25">
      <c r="H1066" t="s">
        <v>1384</v>
      </c>
    </row>
    <row r="1067" spans="8:8" x14ac:dyDescent="0.25">
      <c r="H1067" t="s">
        <v>1385</v>
      </c>
    </row>
    <row r="1068" spans="8:8" x14ac:dyDescent="0.25">
      <c r="H1068" t="s">
        <v>1386</v>
      </c>
    </row>
    <row r="1069" spans="8:8" x14ac:dyDescent="0.25">
      <c r="H1069" t="s">
        <v>1387</v>
      </c>
    </row>
    <row r="1070" spans="8:8" x14ac:dyDescent="0.25">
      <c r="H1070" t="s">
        <v>1684</v>
      </c>
    </row>
    <row r="1072" spans="8:8" x14ac:dyDescent="0.25">
      <c r="H1072" t="s">
        <v>1664</v>
      </c>
    </row>
    <row r="1073" spans="8:8" x14ac:dyDescent="0.25">
      <c r="H1073" t="s">
        <v>1685</v>
      </c>
    </row>
    <row r="1074" spans="8:8" x14ac:dyDescent="0.25">
      <c r="H1074" t="s">
        <v>1390</v>
      </c>
    </row>
    <row r="1075" spans="8:8" x14ac:dyDescent="0.25">
      <c r="H1075" t="s">
        <v>1391</v>
      </c>
    </row>
    <row r="1076" spans="8:8" x14ac:dyDescent="0.25">
      <c r="H1076" t="s">
        <v>1686</v>
      </c>
    </row>
    <row r="1078" spans="8:8" x14ac:dyDescent="0.25">
      <c r="H1078" t="s">
        <v>1687</v>
      </c>
    </row>
    <row r="1079" spans="8:8" x14ac:dyDescent="0.25">
      <c r="H1079" t="s">
        <v>1688</v>
      </c>
    </row>
    <row r="1080" spans="8:8" x14ac:dyDescent="0.25">
      <c r="H1080" t="s">
        <v>1395</v>
      </c>
    </row>
    <row r="1081" spans="8:8" x14ac:dyDescent="0.25">
      <c r="H1081" t="s">
        <v>1396</v>
      </c>
    </row>
    <row r="1082" spans="8:8" x14ac:dyDescent="0.25">
      <c r="H1082" t="s">
        <v>1397</v>
      </c>
    </row>
    <row r="1083" spans="8:8" x14ac:dyDescent="0.25">
      <c r="H1083" t="s">
        <v>1398</v>
      </c>
    </row>
    <row r="1084" spans="8:8" x14ac:dyDescent="0.25">
      <c r="H1084" t="s">
        <v>1399</v>
      </c>
    </row>
    <row r="1085" spans="8:8" x14ac:dyDescent="0.25">
      <c r="H1085" t="s">
        <v>1400</v>
      </c>
    </row>
    <row r="1086" spans="8:8" x14ac:dyDescent="0.25">
      <c r="H1086" t="s">
        <v>1401</v>
      </c>
    </row>
    <row r="1087" spans="8:8" x14ac:dyDescent="0.25">
      <c r="H1087" t="s">
        <v>1402</v>
      </c>
    </row>
    <row r="1088" spans="8:8" x14ac:dyDescent="0.25">
      <c r="H1088" t="s">
        <v>1403</v>
      </c>
    </row>
    <row r="1089" spans="8:8" x14ac:dyDescent="0.25">
      <c r="H1089" t="s">
        <v>1404</v>
      </c>
    </row>
    <row r="1090" spans="8:8" x14ac:dyDescent="0.25">
      <c r="H1090" t="s">
        <v>1405</v>
      </c>
    </row>
    <row r="1091" spans="8:8" x14ac:dyDescent="0.25">
      <c r="H1091" t="s">
        <v>1406</v>
      </c>
    </row>
    <row r="1092" spans="8:8" x14ac:dyDescent="0.25">
      <c r="H1092" t="s">
        <v>1407</v>
      </c>
    </row>
    <row r="1093" spans="8:8" x14ac:dyDescent="0.25">
      <c r="H1093" t="s">
        <v>1408</v>
      </c>
    </row>
    <row r="1094" spans="8:8" x14ac:dyDescent="0.25">
      <c r="H1094" t="s">
        <v>1409</v>
      </c>
    </row>
    <row r="1095" spans="8:8" x14ac:dyDescent="0.25">
      <c r="H1095" t="s">
        <v>1410</v>
      </c>
    </row>
    <row r="1096" spans="8:8" x14ac:dyDescent="0.25">
      <c r="H1096" t="s">
        <v>1411</v>
      </c>
    </row>
    <row r="1097" spans="8:8" x14ac:dyDescent="0.25">
      <c r="H1097" t="s">
        <v>1412</v>
      </c>
    </row>
    <row r="1098" spans="8:8" x14ac:dyDescent="0.25">
      <c r="H1098" t="s">
        <v>1413</v>
      </c>
    </row>
    <row r="1099" spans="8:8" x14ac:dyDescent="0.25">
      <c r="H1099" t="s">
        <v>1414</v>
      </c>
    </row>
    <row r="1100" spans="8:8" x14ac:dyDescent="0.25">
      <c r="H1100" t="s">
        <v>1415</v>
      </c>
    </row>
    <row r="1101" spans="8:8" x14ac:dyDescent="0.25">
      <c r="H1101" t="s">
        <v>1416</v>
      </c>
    </row>
    <row r="1102" spans="8:8" x14ac:dyDescent="0.25">
      <c r="H1102" t="s">
        <v>1417</v>
      </c>
    </row>
    <row r="1103" spans="8:8" x14ac:dyDescent="0.25">
      <c r="H1103" t="s">
        <v>1418</v>
      </c>
    </row>
    <row r="1104" spans="8:8" x14ac:dyDescent="0.25">
      <c r="H1104" t="s">
        <v>1419</v>
      </c>
    </row>
    <row r="1105" spans="8:8" x14ac:dyDescent="0.25">
      <c r="H1105" t="s">
        <v>1420</v>
      </c>
    </row>
    <row r="1106" spans="8:8" x14ac:dyDescent="0.25">
      <c r="H1106" t="s">
        <v>1421</v>
      </c>
    </row>
    <row r="1107" spans="8:8" x14ac:dyDescent="0.25">
      <c r="H1107" t="s">
        <v>1422</v>
      </c>
    </row>
    <row r="1108" spans="8:8" x14ac:dyDescent="0.25">
      <c r="H1108" t="s">
        <v>1423</v>
      </c>
    </row>
    <row r="1109" spans="8:8" x14ac:dyDescent="0.25">
      <c r="H1109" t="s">
        <v>1424</v>
      </c>
    </row>
    <row r="1110" spans="8:8" x14ac:dyDescent="0.25">
      <c r="H1110" t="s">
        <v>1425</v>
      </c>
    </row>
    <row r="1111" spans="8:8" x14ac:dyDescent="0.25">
      <c r="H1111" t="s">
        <v>1426</v>
      </c>
    </row>
    <row r="1112" spans="8:8" x14ac:dyDescent="0.25">
      <c r="H1112" t="s">
        <v>1427</v>
      </c>
    </row>
    <row r="1113" spans="8:8" x14ac:dyDescent="0.25">
      <c r="H1113" t="s">
        <v>1428</v>
      </c>
    </row>
    <row r="1114" spans="8:8" x14ac:dyDescent="0.25">
      <c r="H1114" t="s">
        <v>1429</v>
      </c>
    </row>
    <row r="1115" spans="8:8" x14ac:dyDescent="0.25">
      <c r="H1115" t="s">
        <v>1430</v>
      </c>
    </row>
    <row r="1116" spans="8:8" x14ac:dyDescent="0.25">
      <c r="H1116" t="s">
        <v>1431</v>
      </c>
    </row>
    <row r="1117" spans="8:8" x14ac:dyDescent="0.25">
      <c r="H1117" t="s">
        <v>1432</v>
      </c>
    </row>
    <row r="1118" spans="8:8" x14ac:dyDescent="0.25">
      <c r="H1118" t="s">
        <v>1433</v>
      </c>
    </row>
    <row r="1119" spans="8:8" x14ac:dyDescent="0.25">
      <c r="H1119" t="s">
        <v>1434</v>
      </c>
    </row>
    <row r="1120" spans="8:8" x14ac:dyDescent="0.25">
      <c r="H1120" t="s">
        <v>1435</v>
      </c>
    </row>
    <row r="1121" spans="8:8" x14ac:dyDescent="0.25">
      <c r="H1121" t="s">
        <v>1436</v>
      </c>
    </row>
    <row r="1122" spans="8:8" x14ac:dyDescent="0.25">
      <c r="H1122" t="s">
        <v>1437</v>
      </c>
    </row>
    <row r="1123" spans="8:8" x14ac:dyDescent="0.25">
      <c r="H1123" t="s">
        <v>1438</v>
      </c>
    </row>
    <row r="1124" spans="8:8" x14ac:dyDescent="0.25">
      <c r="H1124" t="s">
        <v>1439</v>
      </c>
    </row>
    <row r="1125" spans="8:8" x14ac:dyDescent="0.25">
      <c r="H1125" t="s">
        <v>1440</v>
      </c>
    </row>
    <row r="1126" spans="8:8" x14ac:dyDescent="0.25">
      <c r="H1126" t="s">
        <v>1441</v>
      </c>
    </row>
    <row r="1127" spans="8:8" x14ac:dyDescent="0.25">
      <c r="H1127" t="s">
        <v>1442</v>
      </c>
    </row>
    <row r="1128" spans="8:8" x14ac:dyDescent="0.25">
      <c r="H1128" t="s">
        <v>1443</v>
      </c>
    </row>
    <row r="1129" spans="8:8" x14ac:dyDescent="0.25">
      <c r="H1129" t="s">
        <v>1444</v>
      </c>
    </row>
    <row r="1130" spans="8:8" x14ac:dyDescent="0.25">
      <c r="H1130" t="s">
        <v>1445</v>
      </c>
    </row>
    <row r="1131" spans="8:8" x14ac:dyDescent="0.25">
      <c r="H1131" t="s">
        <v>1446</v>
      </c>
    </row>
    <row r="1132" spans="8:8" x14ac:dyDescent="0.25">
      <c r="H1132" t="s">
        <v>1447</v>
      </c>
    </row>
    <row r="1133" spans="8:8" x14ac:dyDescent="0.25">
      <c r="H1133" t="s">
        <v>1448</v>
      </c>
    </row>
    <row r="1134" spans="8:8" x14ac:dyDescent="0.25">
      <c r="H1134" t="s">
        <v>1449</v>
      </c>
    </row>
    <row r="1135" spans="8:8" x14ac:dyDescent="0.25">
      <c r="H1135" t="s">
        <v>1450</v>
      </c>
    </row>
    <row r="1136" spans="8:8" x14ac:dyDescent="0.25">
      <c r="H1136" t="s">
        <v>1451</v>
      </c>
    </row>
    <row r="1137" spans="8:8" x14ac:dyDescent="0.25">
      <c r="H1137" t="s">
        <v>1452</v>
      </c>
    </row>
    <row r="1138" spans="8:8" x14ac:dyDescent="0.25">
      <c r="H1138" t="s">
        <v>1453</v>
      </c>
    </row>
    <row r="1139" spans="8:8" x14ac:dyDescent="0.25">
      <c r="H1139" t="s">
        <v>1454</v>
      </c>
    </row>
    <row r="1140" spans="8:8" x14ac:dyDescent="0.25">
      <c r="H1140" t="s">
        <v>1455</v>
      </c>
    </row>
    <row r="1141" spans="8:8" x14ac:dyDescent="0.25">
      <c r="H1141" t="s">
        <v>1456</v>
      </c>
    </row>
    <row r="1142" spans="8:8" x14ac:dyDescent="0.25">
      <c r="H1142" t="s">
        <v>1457</v>
      </c>
    </row>
    <row r="1143" spans="8:8" x14ac:dyDescent="0.25">
      <c r="H1143" t="s">
        <v>1458</v>
      </c>
    </row>
    <row r="1144" spans="8:8" x14ac:dyDescent="0.25">
      <c r="H1144" t="s">
        <v>1459</v>
      </c>
    </row>
    <row r="1145" spans="8:8" x14ac:dyDescent="0.25">
      <c r="H1145" t="s">
        <v>1689</v>
      </c>
    </row>
    <row r="1147" spans="8:8" x14ac:dyDescent="0.25">
      <c r="H1147" t="s">
        <v>1687</v>
      </c>
    </row>
    <row r="1148" spans="8:8" x14ac:dyDescent="0.25">
      <c r="H1148" t="s">
        <v>1690</v>
      </c>
    </row>
    <row r="1149" spans="8:8" x14ac:dyDescent="0.25">
      <c r="H1149" t="s">
        <v>1462</v>
      </c>
    </row>
    <row r="1150" spans="8:8" x14ac:dyDescent="0.25">
      <c r="H1150" t="s">
        <v>1463</v>
      </c>
    </row>
    <row r="1151" spans="8:8" x14ac:dyDescent="0.25">
      <c r="H1151" t="s">
        <v>1464</v>
      </c>
    </row>
    <row r="1152" spans="8:8" x14ac:dyDescent="0.25">
      <c r="H1152" t="s">
        <v>1465</v>
      </c>
    </row>
    <row r="1153" spans="8:8" x14ac:dyDescent="0.25">
      <c r="H1153" t="s">
        <v>1466</v>
      </c>
    </row>
    <row r="1154" spans="8:8" x14ac:dyDescent="0.25">
      <c r="H1154" t="s">
        <v>1467</v>
      </c>
    </row>
    <row r="1155" spans="8:8" x14ac:dyDescent="0.25">
      <c r="H1155" t="s">
        <v>1468</v>
      </c>
    </row>
    <row r="1156" spans="8:8" x14ac:dyDescent="0.25">
      <c r="H1156" t="s">
        <v>1469</v>
      </c>
    </row>
    <row r="1157" spans="8:8" x14ac:dyDescent="0.25">
      <c r="H1157" t="s">
        <v>1470</v>
      </c>
    </row>
    <row r="1158" spans="8:8" x14ac:dyDescent="0.25">
      <c r="H1158" t="s">
        <v>1471</v>
      </c>
    </row>
    <row r="1159" spans="8:8" x14ac:dyDescent="0.25">
      <c r="H1159" t="s">
        <v>1472</v>
      </c>
    </row>
    <row r="1160" spans="8:8" x14ac:dyDescent="0.25">
      <c r="H1160" t="s">
        <v>1473</v>
      </c>
    </row>
    <row r="1161" spans="8:8" x14ac:dyDescent="0.25">
      <c r="H1161" t="s">
        <v>1474</v>
      </c>
    </row>
    <row r="1162" spans="8:8" x14ac:dyDescent="0.25">
      <c r="H1162" t="s">
        <v>1475</v>
      </c>
    </row>
    <row r="1163" spans="8:8" x14ac:dyDescent="0.25">
      <c r="H1163" t="s">
        <v>1476</v>
      </c>
    </row>
    <row r="1164" spans="8:8" x14ac:dyDescent="0.25">
      <c r="H1164" t="s">
        <v>1477</v>
      </c>
    </row>
    <row r="1165" spans="8:8" x14ac:dyDescent="0.25">
      <c r="H1165" t="s">
        <v>1478</v>
      </c>
    </row>
    <row r="1166" spans="8:8" x14ac:dyDescent="0.25">
      <c r="H1166" t="s">
        <v>1479</v>
      </c>
    </row>
    <row r="1167" spans="8:8" x14ac:dyDescent="0.25">
      <c r="H1167" t="s">
        <v>1480</v>
      </c>
    </row>
    <row r="1168" spans="8:8" x14ac:dyDescent="0.25">
      <c r="H1168" t="s">
        <v>1481</v>
      </c>
    </row>
    <row r="1169" spans="8:8" x14ac:dyDescent="0.25">
      <c r="H1169" t="s">
        <v>1482</v>
      </c>
    </row>
    <row r="1170" spans="8:8" x14ac:dyDescent="0.25">
      <c r="H1170" t="s">
        <v>1483</v>
      </c>
    </row>
    <row r="1171" spans="8:8" x14ac:dyDescent="0.25">
      <c r="H1171" t="s">
        <v>1484</v>
      </c>
    </row>
    <row r="1172" spans="8:8" x14ac:dyDescent="0.25">
      <c r="H1172" t="s">
        <v>1485</v>
      </c>
    </row>
    <row r="1173" spans="8:8" x14ac:dyDescent="0.25">
      <c r="H1173" t="s">
        <v>1486</v>
      </c>
    </row>
    <row r="1174" spans="8:8" x14ac:dyDescent="0.25">
      <c r="H1174" t="s">
        <v>1487</v>
      </c>
    </row>
    <row r="1175" spans="8:8" x14ac:dyDescent="0.25">
      <c r="H1175" t="s">
        <v>1488</v>
      </c>
    </row>
    <row r="1176" spans="8:8" x14ac:dyDescent="0.25">
      <c r="H1176" t="s">
        <v>1489</v>
      </c>
    </row>
    <row r="1177" spans="8:8" x14ac:dyDescent="0.25">
      <c r="H1177" t="s">
        <v>1490</v>
      </c>
    </row>
    <row r="1178" spans="8:8" x14ac:dyDescent="0.25">
      <c r="H1178" t="s">
        <v>1491</v>
      </c>
    </row>
    <row r="1179" spans="8:8" x14ac:dyDescent="0.25">
      <c r="H1179" t="s">
        <v>1492</v>
      </c>
    </row>
    <row r="1180" spans="8:8" x14ac:dyDescent="0.25">
      <c r="H1180" t="s">
        <v>1493</v>
      </c>
    </row>
    <row r="1181" spans="8:8" x14ac:dyDescent="0.25">
      <c r="H1181" t="s">
        <v>1494</v>
      </c>
    </row>
    <row r="1182" spans="8:8" x14ac:dyDescent="0.25">
      <c r="H1182" t="s">
        <v>1495</v>
      </c>
    </row>
    <row r="1183" spans="8:8" x14ac:dyDescent="0.25">
      <c r="H1183" t="s">
        <v>1496</v>
      </c>
    </row>
    <row r="1184" spans="8:8" x14ac:dyDescent="0.25">
      <c r="H1184" t="s">
        <v>1497</v>
      </c>
    </row>
    <row r="1185" spans="8:8" x14ac:dyDescent="0.25">
      <c r="H1185" t="s">
        <v>1498</v>
      </c>
    </row>
    <row r="1186" spans="8:8" x14ac:dyDescent="0.25">
      <c r="H1186" t="s">
        <v>1499</v>
      </c>
    </row>
    <row r="1187" spans="8:8" x14ac:dyDescent="0.25">
      <c r="H1187" t="s">
        <v>1500</v>
      </c>
    </row>
    <row r="1188" spans="8:8" x14ac:dyDescent="0.25">
      <c r="H1188" t="s">
        <v>1501</v>
      </c>
    </row>
    <row r="1189" spans="8:8" x14ac:dyDescent="0.25">
      <c r="H1189" t="s">
        <v>1502</v>
      </c>
    </row>
    <row r="1190" spans="8:8" x14ac:dyDescent="0.25">
      <c r="H1190" t="s">
        <v>1503</v>
      </c>
    </row>
    <row r="1191" spans="8:8" x14ac:dyDescent="0.25">
      <c r="H1191" t="s">
        <v>1504</v>
      </c>
    </row>
    <row r="1192" spans="8:8" x14ac:dyDescent="0.25">
      <c r="H1192" t="s">
        <v>1505</v>
      </c>
    </row>
    <row r="1193" spans="8:8" x14ac:dyDescent="0.25">
      <c r="H1193" t="s">
        <v>1506</v>
      </c>
    </row>
    <row r="1194" spans="8:8" x14ac:dyDescent="0.25">
      <c r="H1194" t="s">
        <v>1507</v>
      </c>
    </row>
    <row r="1195" spans="8:8" x14ac:dyDescent="0.25">
      <c r="H1195" t="s">
        <v>1508</v>
      </c>
    </row>
    <row r="1196" spans="8:8" x14ac:dyDescent="0.25">
      <c r="H1196" t="s">
        <v>1509</v>
      </c>
    </row>
    <row r="1197" spans="8:8" x14ac:dyDescent="0.25">
      <c r="H1197" t="s">
        <v>1510</v>
      </c>
    </row>
    <row r="1198" spans="8:8" x14ac:dyDescent="0.25">
      <c r="H1198" t="s">
        <v>1511</v>
      </c>
    </row>
    <row r="1199" spans="8:8" x14ac:dyDescent="0.25">
      <c r="H1199" t="s">
        <v>1512</v>
      </c>
    </row>
    <row r="1200" spans="8:8" x14ac:dyDescent="0.25">
      <c r="H1200" t="s">
        <v>1513</v>
      </c>
    </row>
    <row r="1201" spans="8:8" x14ac:dyDescent="0.25">
      <c r="H1201" t="s">
        <v>1514</v>
      </c>
    </row>
    <row r="1202" spans="8:8" x14ac:dyDescent="0.25">
      <c r="H1202" t="s">
        <v>1515</v>
      </c>
    </row>
    <row r="1203" spans="8:8" x14ac:dyDescent="0.25">
      <c r="H1203" t="s">
        <v>1516</v>
      </c>
    </row>
    <row r="1204" spans="8:8" x14ac:dyDescent="0.25">
      <c r="H1204" t="s">
        <v>1517</v>
      </c>
    </row>
    <row r="1205" spans="8:8" x14ac:dyDescent="0.25">
      <c r="H1205" t="s">
        <v>1518</v>
      </c>
    </row>
    <row r="1206" spans="8:8" x14ac:dyDescent="0.25">
      <c r="H1206" t="s">
        <v>1519</v>
      </c>
    </row>
    <row r="1207" spans="8:8" x14ac:dyDescent="0.25">
      <c r="H1207" t="s">
        <v>1520</v>
      </c>
    </row>
    <row r="1208" spans="8:8" x14ac:dyDescent="0.25">
      <c r="H1208" t="s">
        <v>1521</v>
      </c>
    </row>
    <row r="1209" spans="8:8" x14ac:dyDescent="0.25">
      <c r="H1209" t="s">
        <v>1522</v>
      </c>
    </row>
    <row r="1210" spans="8:8" x14ac:dyDescent="0.25">
      <c r="H1210" t="s">
        <v>1523</v>
      </c>
    </row>
    <row r="1211" spans="8:8" x14ac:dyDescent="0.25">
      <c r="H1211" t="s">
        <v>1524</v>
      </c>
    </row>
    <row r="1212" spans="8:8" x14ac:dyDescent="0.25">
      <c r="H1212" t="s">
        <v>1525</v>
      </c>
    </row>
    <row r="1213" spans="8:8" x14ac:dyDescent="0.25">
      <c r="H1213" t="s">
        <v>1526</v>
      </c>
    </row>
    <row r="1214" spans="8:8" x14ac:dyDescent="0.25">
      <c r="H1214" t="s">
        <v>1691</v>
      </c>
    </row>
    <row r="1216" spans="8:8" x14ac:dyDescent="0.25">
      <c r="H1216" t="s">
        <v>1687</v>
      </c>
    </row>
    <row r="1217" spans="8:8" x14ac:dyDescent="0.25">
      <c r="H1217" t="s">
        <v>1692</v>
      </c>
    </row>
    <row r="1218" spans="8:8" x14ac:dyDescent="0.25">
      <c r="H1218" t="s">
        <v>1529</v>
      </c>
    </row>
    <row r="1219" spans="8:8" x14ac:dyDescent="0.25">
      <c r="H1219" t="s">
        <v>1530</v>
      </c>
    </row>
    <row r="1220" spans="8:8" x14ac:dyDescent="0.25">
      <c r="H1220" t="s">
        <v>1531</v>
      </c>
    </row>
    <row r="1221" spans="8:8" x14ac:dyDescent="0.25">
      <c r="H1221" t="s">
        <v>1532</v>
      </c>
    </row>
    <row r="1222" spans="8:8" x14ac:dyDescent="0.25">
      <c r="H1222" t="s">
        <v>1533</v>
      </c>
    </row>
    <row r="1223" spans="8:8" x14ac:dyDescent="0.25">
      <c r="H1223" t="s">
        <v>1534</v>
      </c>
    </row>
    <row r="1224" spans="8:8" x14ac:dyDescent="0.25">
      <c r="H1224" t="s">
        <v>1535</v>
      </c>
    </row>
    <row r="1225" spans="8:8" x14ac:dyDescent="0.25">
      <c r="H1225" t="s">
        <v>1536</v>
      </c>
    </row>
    <row r="1226" spans="8:8" x14ac:dyDescent="0.25">
      <c r="H1226" t="s">
        <v>1537</v>
      </c>
    </row>
    <row r="1227" spans="8:8" x14ac:dyDescent="0.25">
      <c r="H1227" t="s">
        <v>1538</v>
      </c>
    </row>
    <row r="1228" spans="8:8" x14ac:dyDescent="0.25">
      <c r="H1228" t="s">
        <v>1539</v>
      </c>
    </row>
    <row r="1229" spans="8:8" x14ac:dyDescent="0.25">
      <c r="H1229" t="s">
        <v>1540</v>
      </c>
    </row>
    <row r="1230" spans="8:8" x14ac:dyDescent="0.25">
      <c r="H1230" t="s">
        <v>1541</v>
      </c>
    </row>
    <row r="1231" spans="8:8" x14ac:dyDescent="0.25">
      <c r="H1231" t="s">
        <v>1542</v>
      </c>
    </row>
    <row r="1232" spans="8:8" x14ac:dyDescent="0.25">
      <c r="H1232" t="s">
        <v>1543</v>
      </c>
    </row>
    <row r="1233" spans="8:8" x14ac:dyDescent="0.25">
      <c r="H1233" t="s">
        <v>1544</v>
      </c>
    </row>
    <row r="1234" spans="8:8" x14ac:dyDescent="0.25">
      <c r="H1234" t="s">
        <v>1545</v>
      </c>
    </row>
    <row r="1235" spans="8:8" x14ac:dyDescent="0.25">
      <c r="H1235" t="s">
        <v>1546</v>
      </c>
    </row>
    <row r="1236" spans="8:8" x14ac:dyDescent="0.25">
      <c r="H1236" t="s">
        <v>1547</v>
      </c>
    </row>
    <row r="1237" spans="8:8" x14ac:dyDescent="0.25">
      <c r="H1237" t="s">
        <v>1548</v>
      </c>
    </row>
    <row r="1238" spans="8:8" x14ac:dyDescent="0.25">
      <c r="H1238" t="s">
        <v>1549</v>
      </c>
    </row>
    <row r="1239" spans="8:8" x14ac:dyDescent="0.25">
      <c r="H1239" t="s">
        <v>1550</v>
      </c>
    </row>
    <row r="1240" spans="8:8" x14ac:dyDescent="0.25">
      <c r="H1240" t="s">
        <v>1551</v>
      </c>
    </row>
    <row r="1241" spans="8:8" x14ac:dyDescent="0.25">
      <c r="H1241" t="s">
        <v>1552</v>
      </c>
    </row>
    <row r="1242" spans="8:8" x14ac:dyDescent="0.25">
      <c r="H1242" t="s">
        <v>1693</v>
      </c>
    </row>
    <row r="1244" spans="8:8" x14ac:dyDescent="0.25">
      <c r="H1244" t="s">
        <v>1694</v>
      </c>
    </row>
    <row r="1245" spans="8:8" x14ac:dyDescent="0.25">
      <c r="H1245" t="s">
        <v>1695</v>
      </c>
    </row>
    <row r="1246" spans="8:8" x14ac:dyDescent="0.25">
      <c r="H1246" t="s">
        <v>1556</v>
      </c>
    </row>
    <row r="1247" spans="8:8" x14ac:dyDescent="0.25">
      <c r="H1247" t="s">
        <v>1557</v>
      </c>
    </row>
    <row r="1248" spans="8:8" x14ac:dyDescent="0.25">
      <c r="H1248" t="s">
        <v>1558</v>
      </c>
    </row>
    <row r="1249" spans="8:8" x14ac:dyDescent="0.25">
      <c r="H1249" t="s">
        <v>1559</v>
      </c>
    </row>
    <row r="1250" spans="8:8" x14ac:dyDescent="0.25">
      <c r="H1250" t="s">
        <v>1560</v>
      </c>
    </row>
    <row r="1251" spans="8:8" x14ac:dyDescent="0.25">
      <c r="H1251" t="s">
        <v>1561</v>
      </c>
    </row>
    <row r="1252" spans="8:8" x14ac:dyDescent="0.25">
      <c r="H1252" t="s">
        <v>1562</v>
      </c>
    </row>
    <row r="1253" spans="8:8" x14ac:dyDescent="0.25">
      <c r="H1253" t="s">
        <v>1563</v>
      </c>
    </row>
    <row r="1254" spans="8:8" x14ac:dyDescent="0.25">
      <c r="H1254" t="s">
        <v>1564</v>
      </c>
    </row>
    <row r="1255" spans="8:8" x14ac:dyDescent="0.25">
      <c r="H1255" t="s">
        <v>1565</v>
      </c>
    </row>
    <row r="1256" spans="8:8" x14ac:dyDescent="0.25">
      <c r="H1256" t="s">
        <v>1566</v>
      </c>
    </row>
    <row r="1257" spans="8:8" x14ac:dyDescent="0.25">
      <c r="H1257" t="s">
        <v>1320</v>
      </c>
    </row>
    <row r="1258" spans="8:8" x14ac:dyDescent="0.25">
      <c r="H1258" t="s">
        <v>1319</v>
      </c>
    </row>
    <row r="1259" spans="8:8" x14ac:dyDescent="0.25">
      <c r="H1259" t="s">
        <v>1567</v>
      </c>
    </row>
    <row r="1260" spans="8:8" x14ac:dyDescent="0.25">
      <c r="H1260" t="s">
        <v>1568</v>
      </c>
    </row>
    <row r="1261" spans="8:8" x14ac:dyDescent="0.25">
      <c r="H1261" t="s">
        <v>1569</v>
      </c>
    </row>
    <row r="1262" spans="8:8" x14ac:dyDescent="0.25">
      <c r="H1262" t="s">
        <v>1696</v>
      </c>
    </row>
    <row r="1264" spans="8:8" x14ac:dyDescent="0.25">
      <c r="H1264" t="s">
        <v>1694</v>
      </c>
    </row>
    <row r="1265" spans="8:8" x14ac:dyDescent="0.25">
      <c r="H1265" t="s">
        <v>1697</v>
      </c>
    </row>
    <row r="1266" spans="8:8" x14ac:dyDescent="0.25">
      <c r="H1266" t="s">
        <v>1572</v>
      </c>
    </row>
    <row r="1267" spans="8:8" x14ac:dyDescent="0.25">
      <c r="H1267" t="s">
        <v>1573</v>
      </c>
    </row>
    <row r="1268" spans="8:8" x14ac:dyDescent="0.25">
      <c r="H1268" t="s">
        <v>1698</v>
      </c>
    </row>
    <row r="1270" spans="8:8" x14ac:dyDescent="0.25">
      <c r="H1270" t="s">
        <v>1694</v>
      </c>
    </row>
    <row r="1271" spans="8:8" x14ac:dyDescent="0.25">
      <c r="H1271" t="s">
        <v>1699</v>
      </c>
    </row>
    <row r="1272" spans="8:8" x14ac:dyDescent="0.25">
      <c r="H1272" t="s">
        <v>1576</v>
      </c>
    </row>
    <row r="1273" spans="8:8" x14ac:dyDescent="0.25">
      <c r="H1273" t="s">
        <v>1577</v>
      </c>
    </row>
    <row r="1274" spans="8:8" x14ac:dyDescent="0.25">
      <c r="H1274" t="s">
        <v>1578</v>
      </c>
    </row>
    <row r="1275" spans="8:8" x14ac:dyDescent="0.25">
      <c r="H1275" t="s">
        <v>1579</v>
      </c>
    </row>
    <row r="1276" spans="8:8" x14ac:dyDescent="0.25">
      <c r="H1276" t="s">
        <v>1580</v>
      </c>
    </row>
    <row r="1277" spans="8:8" x14ac:dyDescent="0.25">
      <c r="H1277" t="s">
        <v>1581</v>
      </c>
    </row>
    <row r="1278" spans="8:8" x14ac:dyDescent="0.25">
      <c r="H1278" t="s">
        <v>1582</v>
      </c>
    </row>
    <row r="1279" spans="8:8" x14ac:dyDescent="0.25">
      <c r="H1279" t="s">
        <v>1583</v>
      </c>
    </row>
    <row r="1280" spans="8:8" x14ac:dyDescent="0.25">
      <c r="H1280" t="s">
        <v>1584</v>
      </c>
    </row>
    <row r="1281" spans="8:8" x14ac:dyDescent="0.25">
      <c r="H1281" t="s">
        <v>1585</v>
      </c>
    </row>
    <row r="1282" spans="8:8" x14ac:dyDescent="0.25">
      <c r="H1282" t="s">
        <v>1586</v>
      </c>
    </row>
    <row r="1283" spans="8:8" x14ac:dyDescent="0.25">
      <c r="H1283" t="s">
        <v>1587</v>
      </c>
    </row>
    <row r="1284" spans="8:8" x14ac:dyDescent="0.25">
      <c r="H1284" t="s">
        <v>1588</v>
      </c>
    </row>
    <row r="1285" spans="8:8" x14ac:dyDescent="0.25">
      <c r="H1285" t="s">
        <v>1589</v>
      </c>
    </row>
    <row r="1286" spans="8:8" x14ac:dyDescent="0.25">
      <c r="H1286" t="s">
        <v>1590</v>
      </c>
    </row>
    <row r="1287" spans="8:8" x14ac:dyDescent="0.25">
      <c r="H1287" t="s">
        <v>1591</v>
      </c>
    </row>
    <row r="1288" spans="8:8" x14ac:dyDescent="0.25">
      <c r="H1288" t="s">
        <v>1592</v>
      </c>
    </row>
    <row r="1289" spans="8:8" x14ac:dyDescent="0.25">
      <c r="H1289" t="s">
        <v>1593</v>
      </c>
    </row>
    <row r="1290" spans="8:8" x14ac:dyDescent="0.25">
      <c r="H1290" t="s">
        <v>1594</v>
      </c>
    </row>
    <row r="1291" spans="8:8" x14ac:dyDescent="0.25">
      <c r="H1291" t="s">
        <v>1700</v>
      </c>
    </row>
    <row r="1293" spans="8:8" x14ac:dyDescent="0.25">
      <c r="H1293" t="s">
        <v>1694</v>
      </c>
    </row>
    <row r="1294" spans="8:8" x14ac:dyDescent="0.25">
      <c r="H1294" t="s">
        <v>1701</v>
      </c>
    </row>
    <row r="1295" spans="8:8" x14ac:dyDescent="0.25">
      <c r="H1295" t="s">
        <v>1597</v>
      </c>
    </row>
    <row r="1296" spans="8:8" x14ac:dyDescent="0.25">
      <c r="H1296" t="s">
        <v>1598</v>
      </c>
    </row>
    <row r="1297" spans="8:8" x14ac:dyDescent="0.25">
      <c r="H1297" t="s">
        <v>1599</v>
      </c>
    </row>
    <row r="1298" spans="8:8" x14ac:dyDescent="0.25">
      <c r="H1298" t="s">
        <v>1600</v>
      </c>
    </row>
    <row r="1299" spans="8:8" x14ac:dyDescent="0.25">
      <c r="H1299" t="s">
        <v>1702</v>
      </c>
    </row>
    <row r="1301" spans="8:8" x14ac:dyDescent="0.25">
      <c r="H1301" t="s">
        <v>1694</v>
      </c>
    </row>
    <row r="1302" spans="8:8" x14ac:dyDescent="0.25">
      <c r="H1302" t="s">
        <v>1703</v>
      </c>
    </row>
    <row r="1303" spans="8:8" x14ac:dyDescent="0.25">
      <c r="H1303" t="s">
        <v>1603</v>
      </c>
    </row>
    <row r="1304" spans="8:8" x14ac:dyDescent="0.25">
      <c r="H1304" t="s">
        <v>1604</v>
      </c>
    </row>
    <row r="1305" spans="8:8" x14ac:dyDescent="0.25">
      <c r="H1305" t="s">
        <v>1605</v>
      </c>
    </row>
    <row r="1306" spans="8:8" x14ac:dyDescent="0.25">
      <c r="H1306" t="s">
        <v>1606</v>
      </c>
    </row>
    <row r="1307" spans="8:8" x14ac:dyDescent="0.25">
      <c r="H1307" t="s">
        <v>1704</v>
      </c>
    </row>
    <row r="1309" spans="8:8" x14ac:dyDescent="0.25">
      <c r="H1309" t="s">
        <v>1694</v>
      </c>
    </row>
    <row r="1310" spans="8:8" x14ac:dyDescent="0.25">
      <c r="H1310" t="s">
        <v>1707</v>
      </c>
    </row>
    <row r="1311" spans="8:8" x14ac:dyDescent="0.25">
      <c r="H1311" t="s">
        <v>1612</v>
      </c>
    </row>
    <row r="1312" spans="8:8" x14ac:dyDescent="0.25">
      <c r="H1312" t="s">
        <v>1613</v>
      </c>
    </row>
    <row r="1313" spans="8:8" x14ac:dyDescent="0.25">
      <c r="H1313" t="s">
        <v>1708</v>
      </c>
    </row>
    <row r="1315" spans="8:8" x14ac:dyDescent="0.25">
      <c r="H1315" t="s">
        <v>1694</v>
      </c>
    </row>
    <row r="1316" spans="8:8" x14ac:dyDescent="0.25">
      <c r="H1316" t="s">
        <v>1705</v>
      </c>
    </row>
    <row r="1317" spans="8:8" x14ac:dyDescent="0.25">
      <c r="H1317" t="s">
        <v>1609</v>
      </c>
    </row>
    <row r="1318" spans="8:8" x14ac:dyDescent="0.25">
      <c r="H1318" t="s">
        <v>1615</v>
      </c>
    </row>
    <row r="1319" spans="8:8" x14ac:dyDescent="0.25">
      <c r="H1319" t="s">
        <v>1616</v>
      </c>
    </row>
    <row r="1320" spans="8:8" x14ac:dyDescent="0.25">
      <c r="H1320" t="s">
        <v>1617</v>
      </c>
    </row>
    <row r="1321" spans="8:8" x14ac:dyDescent="0.25">
      <c r="H1321" t="s">
        <v>1706</v>
      </c>
    </row>
    <row r="1323" spans="8:8" x14ac:dyDescent="0.25">
      <c r="H1323" t="s">
        <v>1709</v>
      </c>
    </row>
    <row r="1324" spans="8:8" x14ac:dyDescent="0.25">
      <c r="H1324" t="s">
        <v>1710</v>
      </c>
    </row>
    <row r="1325" spans="8:8" x14ac:dyDescent="0.25">
      <c r="H1325" t="s">
        <v>1311</v>
      </c>
    </row>
    <row r="1326" spans="8:8" x14ac:dyDescent="0.25">
      <c r="H1326" t="s">
        <v>1316</v>
      </c>
    </row>
    <row r="1327" spans="8:8" x14ac:dyDescent="0.25">
      <c r="H1327" t="s">
        <v>1317</v>
      </c>
    </row>
    <row r="1328" spans="8:8" x14ac:dyDescent="0.25">
      <c r="H1328" t="s">
        <v>1318</v>
      </c>
    </row>
    <row r="1329" spans="8:8" x14ac:dyDescent="0.25">
      <c r="H1329" t="s">
        <v>1319</v>
      </c>
    </row>
    <row r="1330" spans="8:8" x14ac:dyDescent="0.25">
      <c r="H1330" t="s">
        <v>1320</v>
      </c>
    </row>
    <row r="1331" spans="8:8" x14ac:dyDescent="0.25">
      <c r="H1331" t="s">
        <v>1321</v>
      </c>
    </row>
    <row r="1332" spans="8:8" x14ac:dyDescent="0.25">
      <c r="H1332" t="s">
        <v>1711</v>
      </c>
    </row>
    <row r="1334" spans="8:8" x14ac:dyDescent="0.25">
      <c r="H1334" t="s">
        <v>1709</v>
      </c>
    </row>
    <row r="1335" spans="8:8" x14ac:dyDescent="0.25">
      <c r="H1335" t="s">
        <v>1712</v>
      </c>
    </row>
    <row r="1336" spans="8:8" x14ac:dyDescent="0.25">
      <c r="H1336" t="s">
        <v>1323</v>
      </c>
    </row>
    <row r="1337" spans="8:8" x14ac:dyDescent="0.25">
      <c r="H1337" t="s">
        <v>1324</v>
      </c>
    </row>
    <row r="1338" spans="8:8" x14ac:dyDescent="0.25">
      <c r="H1338" t="s">
        <v>1325</v>
      </c>
    </row>
    <row r="1339" spans="8:8" x14ac:dyDescent="0.25">
      <c r="H1339" t="s">
        <v>1326</v>
      </c>
    </row>
    <row r="1340" spans="8:8" x14ac:dyDescent="0.25">
      <c r="H1340" t="s">
        <v>1327</v>
      </c>
    </row>
    <row r="1341" spans="8:8" x14ac:dyDescent="0.25">
      <c r="H1341" t="s">
        <v>1713</v>
      </c>
    </row>
    <row r="1343" spans="8:8" x14ac:dyDescent="0.25">
      <c r="H1343" t="s">
        <v>1709</v>
      </c>
    </row>
    <row r="1344" spans="8:8" x14ac:dyDescent="0.25">
      <c r="H1344" t="s">
        <v>1714</v>
      </c>
    </row>
    <row r="1345" spans="8:8" x14ac:dyDescent="0.25">
      <c r="H1345" t="s">
        <v>1624</v>
      </c>
    </row>
    <row r="1346" spans="8:8" x14ac:dyDescent="0.25">
      <c r="H1346" t="s">
        <v>1715</v>
      </c>
    </row>
    <row r="1348" spans="8:8" x14ac:dyDescent="0.25">
      <c r="H1348" t="s">
        <v>1709</v>
      </c>
    </row>
    <row r="1349" spans="8:8" x14ac:dyDescent="0.25">
      <c r="H1349" t="s">
        <v>1716</v>
      </c>
    </row>
    <row r="1350" spans="8:8" x14ac:dyDescent="0.25">
      <c r="H1350" t="s">
        <v>1333</v>
      </c>
    </row>
    <row r="1351" spans="8:8" x14ac:dyDescent="0.25">
      <c r="H1351" t="s">
        <v>1334</v>
      </c>
    </row>
    <row r="1352" spans="8:8" x14ac:dyDescent="0.25">
      <c r="H1352" t="s">
        <v>1335</v>
      </c>
    </row>
    <row r="1353" spans="8:8" x14ac:dyDescent="0.25">
      <c r="H1353" t="s">
        <v>1336</v>
      </c>
    </row>
    <row r="1354" spans="8:8" x14ac:dyDescent="0.25">
      <c r="H1354" t="s">
        <v>1337</v>
      </c>
    </row>
    <row r="1355" spans="8:8" x14ac:dyDescent="0.25">
      <c r="H1355" t="s">
        <v>1338</v>
      </c>
    </row>
    <row r="1356" spans="8:8" x14ac:dyDescent="0.25">
      <c r="H1356" t="s">
        <v>1339</v>
      </c>
    </row>
    <row r="1357" spans="8:8" x14ac:dyDescent="0.25">
      <c r="H1357" t="s">
        <v>1340</v>
      </c>
    </row>
    <row r="1358" spans="8:8" x14ac:dyDescent="0.25">
      <c r="H1358" t="s">
        <v>1341</v>
      </c>
    </row>
    <row r="1359" spans="8:8" x14ac:dyDescent="0.25">
      <c r="H1359" t="s">
        <v>1342</v>
      </c>
    </row>
    <row r="1360" spans="8:8" x14ac:dyDescent="0.25">
      <c r="H1360" t="s">
        <v>1343</v>
      </c>
    </row>
    <row r="1361" spans="8:8" x14ac:dyDescent="0.25">
      <c r="H1361" t="s">
        <v>1344</v>
      </c>
    </row>
    <row r="1362" spans="8:8" x14ac:dyDescent="0.25">
      <c r="H1362" t="s">
        <v>1345</v>
      </c>
    </row>
    <row r="1363" spans="8:8" x14ac:dyDescent="0.25">
      <c r="H1363" t="s">
        <v>1346</v>
      </c>
    </row>
    <row r="1364" spans="8:8" x14ac:dyDescent="0.25">
      <c r="H1364" t="s">
        <v>1347</v>
      </c>
    </row>
    <row r="1365" spans="8:8" x14ac:dyDescent="0.25">
      <c r="H1365" t="s">
        <v>1348</v>
      </c>
    </row>
    <row r="1366" spans="8:8" x14ac:dyDescent="0.25">
      <c r="H1366" t="s">
        <v>1349</v>
      </c>
    </row>
    <row r="1367" spans="8:8" x14ac:dyDescent="0.25">
      <c r="H1367" t="s">
        <v>1350</v>
      </c>
    </row>
    <row r="1368" spans="8:8" x14ac:dyDescent="0.25">
      <c r="H1368" t="s">
        <v>1351</v>
      </c>
    </row>
    <row r="1369" spans="8:8" x14ac:dyDescent="0.25">
      <c r="H1369" t="s">
        <v>1352</v>
      </c>
    </row>
    <row r="1370" spans="8:8" x14ac:dyDescent="0.25">
      <c r="H1370" t="s">
        <v>1353</v>
      </c>
    </row>
    <row r="1371" spans="8:8" x14ac:dyDescent="0.25">
      <c r="H1371" t="s">
        <v>1717</v>
      </c>
    </row>
    <row r="1373" spans="8:8" x14ac:dyDescent="0.25">
      <c r="H1373" t="s">
        <v>1709</v>
      </c>
    </row>
    <row r="1374" spans="8:8" x14ac:dyDescent="0.25">
      <c r="H1374" t="s">
        <v>1718</v>
      </c>
    </row>
    <row r="1375" spans="8:8" x14ac:dyDescent="0.25">
      <c r="H1375" t="s">
        <v>1356</v>
      </c>
    </row>
    <row r="1376" spans="8:8" x14ac:dyDescent="0.25">
      <c r="H1376" t="s">
        <v>1357</v>
      </c>
    </row>
    <row r="1377" spans="8:8" x14ac:dyDescent="0.25">
      <c r="H1377" t="s">
        <v>1358</v>
      </c>
    </row>
    <row r="1378" spans="8:8" x14ac:dyDescent="0.25">
      <c r="H1378" t="s">
        <v>1719</v>
      </c>
    </row>
    <row r="1380" spans="8:8" x14ac:dyDescent="0.25">
      <c r="H1380" t="s">
        <v>1709</v>
      </c>
    </row>
    <row r="1381" spans="8:8" x14ac:dyDescent="0.25">
      <c r="H1381" t="s">
        <v>1720</v>
      </c>
    </row>
    <row r="1382" spans="8:8" x14ac:dyDescent="0.25">
      <c r="H1382" t="s">
        <v>1361</v>
      </c>
    </row>
    <row r="1383" spans="8:8" x14ac:dyDescent="0.25">
      <c r="H1383" t="s">
        <v>1362</v>
      </c>
    </row>
    <row r="1384" spans="8:8" x14ac:dyDescent="0.25">
      <c r="H1384" t="s">
        <v>1363</v>
      </c>
    </row>
    <row r="1385" spans="8:8" x14ac:dyDescent="0.25">
      <c r="H1385" t="s">
        <v>1364</v>
      </c>
    </row>
    <row r="1386" spans="8:8" x14ac:dyDescent="0.25">
      <c r="H1386" t="s">
        <v>1365</v>
      </c>
    </row>
    <row r="1387" spans="8:8" x14ac:dyDescent="0.25">
      <c r="H1387" t="s">
        <v>1366</v>
      </c>
    </row>
    <row r="1388" spans="8:8" x14ac:dyDescent="0.25">
      <c r="H1388" t="s">
        <v>1367</v>
      </c>
    </row>
    <row r="1389" spans="8:8" x14ac:dyDescent="0.25">
      <c r="H1389" t="s">
        <v>1368</v>
      </c>
    </row>
    <row r="1390" spans="8:8" x14ac:dyDescent="0.25">
      <c r="H1390" t="s">
        <v>1721</v>
      </c>
    </row>
    <row r="1392" spans="8:8" x14ac:dyDescent="0.25">
      <c r="H1392" t="s">
        <v>1709</v>
      </c>
    </row>
    <row r="1393" spans="8:8" x14ac:dyDescent="0.25">
      <c r="H1393" t="s">
        <v>1722</v>
      </c>
    </row>
    <row r="1394" spans="8:8" x14ac:dyDescent="0.25">
      <c r="H1394" t="s">
        <v>1371</v>
      </c>
    </row>
    <row r="1395" spans="8:8" x14ac:dyDescent="0.25">
      <c r="H1395" t="s">
        <v>1372</v>
      </c>
    </row>
    <row r="1396" spans="8:8" x14ac:dyDescent="0.25">
      <c r="H1396" t="s">
        <v>1723</v>
      </c>
    </row>
    <row r="1398" spans="8:8" x14ac:dyDescent="0.25">
      <c r="H1398" t="s">
        <v>1709</v>
      </c>
    </row>
    <row r="1399" spans="8:8" x14ac:dyDescent="0.25">
      <c r="H1399" t="s">
        <v>1724</v>
      </c>
    </row>
    <row r="1400" spans="8:8" x14ac:dyDescent="0.25">
      <c r="H1400" t="s">
        <v>1375</v>
      </c>
    </row>
    <row r="1401" spans="8:8" x14ac:dyDescent="0.25">
      <c r="H1401" t="s">
        <v>1725</v>
      </c>
    </row>
    <row r="1403" spans="8:8" x14ac:dyDescent="0.25">
      <c r="H1403" t="s">
        <v>1709</v>
      </c>
    </row>
    <row r="1404" spans="8:8" x14ac:dyDescent="0.25">
      <c r="H1404" t="s">
        <v>1726</v>
      </c>
    </row>
    <row r="1405" spans="8:8" x14ac:dyDescent="0.25">
      <c r="H1405" t="s">
        <v>1378</v>
      </c>
    </row>
    <row r="1406" spans="8:8" x14ac:dyDescent="0.25">
      <c r="H1406" t="s">
        <v>1379</v>
      </c>
    </row>
    <row r="1407" spans="8:8" x14ac:dyDescent="0.25">
      <c r="H1407" t="s">
        <v>1380</v>
      </c>
    </row>
    <row r="1408" spans="8:8" x14ac:dyDescent="0.25">
      <c r="H1408" t="s">
        <v>1381</v>
      </c>
    </row>
    <row r="1409" spans="8:8" x14ac:dyDescent="0.25">
      <c r="H1409" t="s">
        <v>1727</v>
      </c>
    </row>
    <row r="1411" spans="8:8" x14ac:dyDescent="0.25">
      <c r="H1411" t="s">
        <v>1709</v>
      </c>
    </row>
    <row r="1412" spans="8:8" x14ac:dyDescent="0.25">
      <c r="H1412" t="s">
        <v>1728</v>
      </c>
    </row>
    <row r="1413" spans="8:8" x14ac:dyDescent="0.25">
      <c r="H1413" t="s">
        <v>1384</v>
      </c>
    </row>
    <row r="1414" spans="8:8" x14ac:dyDescent="0.25">
      <c r="H1414" t="s">
        <v>1385</v>
      </c>
    </row>
    <row r="1415" spans="8:8" x14ac:dyDescent="0.25">
      <c r="H1415" t="s">
        <v>1386</v>
      </c>
    </row>
    <row r="1416" spans="8:8" x14ac:dyDescent="0.25">
      <c r="H1416" t="s">
        <v>1387</v>
      </c>
    </row>
    <row r="1417" spans="8:8" x14ac:dyDescent="0.25">
      <c r="H1417" t="s">
        <v>1729</v>
      </c>
    </row>
    <row r="1419" spans="8:8" x14ac:dyDescent="0.25">
      <c r="H1419" t="s">
        <v>1709</v>
      </c>
    </row>
    <row r="1420" spans="8:8" x14ac:dyDescent="0.25">
      <c r="H1420" t="s">
        <v>1730</v>
      </c>
    </row>
    <row r="1421" spans="8:8" x14ac:dyDescent="0.25">
      <c r="H1421" t="s">
        <v>1390</v>
      </c>
    </row>
    <row r="1422" spans="8:8" x14ac:dyDescent="0.25">
      <c r="H1422" t="s">
        <v>1391</v>
      </c>
    </row>
    <row r="1423" spans="8:8" x14ac:dyDescent="0.25">
      <c r="H1423" t="s">
        <v>1731</v>
      </c>
    </row>
    <row r="1425" spans="8:8" x14ac:dyDescent="0.25">
      <c r="H1425" t="s">
        <v>1732</v>
      </c>
    </row>
    <row r="1426" spans="8:8" x14ac:dyDescent="0.25">
      <c r="H1426" t="s">
        <v>1733</v>
      </c>
    </row>
    <row r="1427" spans="8:8" x14ac:dyDescent="0.25">
      <c r="H1427" t="s">
        <v>1395</v>
      </c>
    </row>
    <row r="1428" spans="8:8" x14ac:dyDescent="0.25">
      <c r="H1428" t="s">
        <v>1396</v>
      </c>
    </row>
    <row r="1429" spans="8:8" x14ac:dyDescent="0.25">
      <c r="H1429" t="s">
        <v>1397</v>
      </c>
    </row>
    <row r="1430" spans="8:8" x14ac:dyDescent="0.25">
      <c r="H1430" t="s">
        <v>1398</v>
      </c>
    </row>
    <row r="1431" spans="8:8" x14ac:dyDescent="0.25">
      <c r="H1431" t="s">
        <v>1399</v>
      </c>
    </row>
    <row r="1432" spans="8:8" x14ac:dyDescent="0.25">
      <c r="H1432" t="s">
        <v>1400</v>
      </c>
    </row>
    <row r="1433" spans="8:8" x14ac:dyDescent="0.25">
      <c r="H1433" t="s">
        <v>1401</v>
      </c>
    </row>
    <row r="1434" spans="8:8" x14ac:dyDescent="0.25">
      <c r="H1434" t="s">
        <v>1402</v>
      </c>
    </row>
    <row r="1435" spans="8:8" x14ac:dyDescent="0.25">
      <c r="H1435" t="s">
        <v>1403</v>
      </c>
    </row>
    <row r="1436" spans="8:8" x14ac:dyDescent="0.25">
      <c r="H1436" t="s">
        <v>1404</v>
      </c>
    </row>
    <row r="1437" spans="8:8" x14ac:dyDescent="0.25">
      <c r="H1437" t="s">
        <v>1405</v>
      </c>
    </row>
    <row r="1438" spans="8:8" x14ac:dyDescent="0.25">
      <c r="H1438" t="s">
        <v>1406</v>
      </c>
    </row>
    <row r="1439" spans="8:8" x14ac:dyDescent="0.25">
      <c r="H1439" t="s">
        <v>1407</v>
      </c>
    </row>
    <row r="1440" spans="8:8" x14ac:dyDescent="0.25">
      <c r="H1440" t="s">
        <v>1408</v>
      </c>
    </row>
    <row r="1441" spans="8:8" x14ac:dyDescent="0.25">
      <c r="H1441" t="s">
        <v>1409</v>
      </c>
    </row>
    <row r="1442" spans="8:8" x14ac:dyDescent="0.25">
      <c r="H1442" t="s">
        <v>1410</v>
      </c>
    </row>
    <row r="1443" spans="8:8" x14ac:dyDescent="0.25">
      <c r="H1443" t="s">
        <v>1411</v>
      </c>
    </row>
    <row r="1444" spans="8:8" x14ac:dyDescent="0.25">
      <c r="H1444" t="s">
        <v>1412</v>
      </c>
    </row>
    <row r="1445" spans="8:8" x14ac:dyDescent="0.25">
      <c r="H1445" t="s">
        <v>1413</v>
      </c>
    </row>
    <row r="1446" spans="8:8" x14ac:dyDescent="0.25">
      <c r="H1446" t="s">
        <v>1414</v>
      </c>
    </row>
    <row r="1447" spans="8:8" x14ac:dyDescent="0.25">
      <c r="H1447" t="s">
        <v>1415</v>
      </c>
    </row>
    <row r="1448" spans="8:8" x14ac:dyDescent="0.25">
      <c r="H1448" t="s">
        <v>1416</v>
      </c>
    </row>
    <row r="1449" spans="8:8" x14ac:dyDescent="0.25">
      <c r="H1449" t="s">
        <v>1417</v>
      </c>
    </row>
    <row r="1450" spans="8:8" x14ac:dyDescent="0.25">
      <c r="H1450" t="s">
        <v>1418</v>
      </c>
    </row>
    <row r="1451" spans="8:8" x14ac:dyDescent="0.25">
      <c r="H1451" t="s">
        <v>1419</v>
      </c>
    </row>
    <row r="1452" spans="8:8" x14ac:dyDescent="0.25">
      <c r="H1452" t="s">
        <v>1420</v>
      </c>
    </row>
    <row r="1453" spans="8:8" x14ac:dyDescent="0.25">
      <c r="H1453" t="s">
        <v>1421</v>
      </c>
    </row>
    <row r="1454" spans="8:8" x14ac:dyDescent="0.25">
      <c r="H1454" t="s">
        <v>1422</v>
      </c>
    </row>
    <row r="1455" spans="8:8" x14ac:dyDescent="0.25">
      <c r="H1455" t="s">
        <v>1423</v>
      </c>
    </row>
    <row r="1456" spans="8:8" x14ac:dyDescent="0.25">
      <c r="H1456" t="s">
        <v>1424</v>
      </c>
    </row>
    <row r="1457" spans="8:8" x14ac:dyDescent="0.25">
      <c r="H1457" t="s">
        <v>1425</v>
      </c>
    </row>
    <row r="1458" spans="8:8" x14ac:dyDescent="0.25">
      <c r="H1458" t="s">
        <v>1426</v>
      </c>
    </row>
    <row r="1459" spans="8:8" x14ac:dyDescent="0.25">
      <c r="H1459" t="s">
        <v>1427</v>
      </c>
    </row>
    <row r="1460" spans="8:8" x14ac:dyDescent="0.25">
      <c r="H1460" t="s">
        <v>1428</v>
      </c>
    </row>
    <row r="1461" spans="8:8" x14ac:dyDescent="0.25">
      <c r="H1461" t="s">
        <v>1429</v>
      </c>
    </row>
    <row r="1462" spans="8:8" x14ac:dyDescent="0.25">
      <c r="H1462" t="s">
        <v>1430</v>
      </c>
    </row>
    <row r="1463" spans="8:8" x14ac:dyDescent="0.25">
      <c r="H1463" t="s">
        <v>1431</v>
      </c>
    </row>
    <row r="1464" spans="8:8" x14ac:dyDescent="0.25">
      <c r="H1464" t="s">
        <v>1432</v>
      </c>
    </row>
    <row r="1465" spans="8:8" x14ac:dyDescent="0.25">
      <c r="H1465" t="s">
        <v>1433</v>
      </c>
    </row>
    <row r="1466" spans="8:8" x14ac:dyDescent="0.25">
      <c r="H1466" t="s">
        <v>1434</v>
      </c>
    </row>
    <row r="1467" spans="8:8" x14ac:dyDescent="0.25">
      <c r="H1467" t="s">
        <v>1435</v>
      </c>
    </row>
    <row r="1468" spans="8:8" x14ac:dyDescent="0.25">
      <c r="H1468" t="s">
        <v>1436</v>
      </c>
    </row>
    <row r="1469" spans="8:8" x14ac:dyDescent="0.25">
      <c r="H1469" t="s">
        <v>1437</v>
      </c>
    </row>
    <row r="1470" spans="8:8" x14ac:dyDescent="0.25">
      <c r="H1470" t="s">
        <v>1438</v>
      </c>
    </row>
    <row r="1471" spans="8:8" x14ac:dyDescent="0.25">
      <c r="H1471" t="s">
        <v>1439</v>
      </c>
    </row>
    <row r="1472" spans="8:8" x14ac:dyDescent="0.25">
      <c r="H1472" t="s">
        <v>1440</v>
      </c>
    </row>
    <row r="1473" spans="8:8" x14ac:dyDescent="0.25">
      <c r="H1473" t="s">
        <v>1441</v>
      </c>
    </row>
    <row r="1474" spans="8:8" x14ac:dyDescent="0.25">
      <c r="H1474" t="s">
        <v>1442</v>
      </c>
    </row>
    <row r="1475" spans="8:8" x14ac:dyDescent="0.25">
      <c r="H1475" t="s">
        <v>1443</v>
      </c>
    </row>
    <row r="1476" spans="8:8" x14ac:dyDescent="0.25">
      <c r="H1476" t="s">
        <v>1444</v>
      </c>
    </row>
    <row r="1477" spans="8:8" x14ac:dyDescent="0.25">
      <c r="H1477" t="s">
        <v>1445</v>
      </c>
    </row>
    <row r="1478" spans="8:8" x14ac:dyDescent="0.25">
      <c r="H1478" t="s">
        <v>1446</v>
      </c>
    </row>
    <row r="1479" spans="8:8" x14ac:dyDescent="0.25">
      <c r="H1479" t="s">
        <v>1447</v>
      </c>
    </row>
    <row r="1480" spans="8:8" x14ac:dyDescent="0.25">
      <c r="H1480" t="s">
        <v>1448</v>
      </c>
    </row>
    <row r="1481" spans="8:8" x14ac:dyDescent="0.25">
      <c r="H1481" t="s">
        <v>1449</v>
      </c>
    </row>
    <row r="1482" spans="8:8" x14ac:dyDescent="0.25">
      <c r="H1482" t="s">
        <v>1450</v>
      </c>
    </row>
    <row r="1483" spans="8:8" x14ac:dyDescent="0.25">
      <c r="H1483" t="s">
        <v>1451</v>
      </c>
    </row>
    <row r="1484" spans="8:8" x14ac:dyDescent="0.25">
      <c r="H1484" t="s">
        <v>1452</v>
      </c>
    </row>
    <row r="1485" spans="8:8" x14ac:dyDescent="0.25">
      <c r="H1485" t="s">
        <v>1453</v>
      </c>
    </row>
    <row r="1486" spans="8:8" x14ac:dyDescent="0.25">
      <c r="H1486" t="s">
        <v>1454</v>
      </c>
    </row>
    <row r="1487" spans="8:8" x14ac:dyDescent="0.25">
      <c r="H1487" t="s">
        <v>1455</v>
      </c>
    </row>
    <row r="1488" spans="8:8" x14ac:dyDescent="0.25">
      <c r="H1488" t="s">
        <v>1456</v>
      </c>
    </row>
    <row r="1489" spans="8:8" x14ac:dyDescent="0.25">
      <c r="H1489" t="s">
        <v>1457</v>
      </c>
    </row>
    <row r="1490" spans="8:8" x14ac:dyDescent="0.25">
      <c r="H1490" t="s">
        <v>1458</v>
      </c>
    </row>
    <row r="1491" spans="8:8" x14ac:dyDescent="0.25">
      <c r="H1491" t="s">
        <v>1459</v>
      </c>
    </row>
    <row r="1492" spans="8:8" x14ac:dyDescent="0.25">
      <c r="H1492" t="s">
        <v>1734</v>
      </c>
    </row>
    <row r="1494" spans="8:8" x14ac:dyDescent="0.25">
      <c r="H1494" t="s">
        <v>1732</v>
      </c>
    </row>
    <row r="1495" spans="8:8" x14ac:dyDescent="0.25">
      <c r="H1495" t="s">
        <v>1735</v>
      </c>
    </row>
    <row r="1496" spans="8:8" x14ac:dyDescent="0.25">
      <c r="H1496" t="s">
        <v>1462</v>
      </c>
    </row>
    <row r="1497" spans="8:8" x14ac:dyDescent="0.25">
      <c r="H1497" t="s">
        <v>1463</v>
      </c>
    </row>
    <row r="1498" spans="8:8" x14ac:dyDescent="0.25">
      <c r="H1498" t="s">
        <v>1464</v>
      </c>
    </row>
    <row r="1499" spans="8:8" x14ac:dyDescent="0.25">
      <c r="H1499" t="s">
        <v>1465</v>
      </c>
    </row>
    <row r="1500" spans="8:8" x14ac:dyDescent="0.25">
      <c r="H1500" t="s">
        <v>1466</v>
      </c>
    </row>
    <row r="1501" spans="8:8" x14ac:dyDescent="0.25">
      <c r="H1501" t="s">
        <v>1467</v>
      </c>
    </row>
    <row r="1502" spans="8:8" x14ac:dyDescent="0.25">
      <c r="H1502" t="s">
        <v>1468</v>
      </c>
    </row>
    <row r="1503" spans="8:8" x14ac:dyDescent="0.25">
      <c r="H1503" t="s">
        <v>1469</v>
      </c>
    </row>
    <row r="1504" spans="8:8" x14ac:dyDescent="0.25">
      <c r="H1504" t="s">
        <v>1470</v>
      </c>
    </row>
    <row r="1505" spans="8:8" x14ac:dyDescent="0.25">
      <c r="H1505" t="s">
        <v>1471</v>
      </c>
    </row>
    <row r="1506" spans="8:8" x14ac:dyDescent="0.25">
      <c r="H1506" t="s">
        <v>1472</v>
      </c>
    </row>
    <row r="1507" spans="8:8" x14ac:dyDescent="0.25">
      <c r="H1507" t="s">
        <v>1473</v>
      </c>
    </row>
    <row r="1508" spans="8:8" x14ac:dyDescent="0.25">
      <c r="H1508" t="s">
        <v>1474</v>
      </c>
    </row>
    <row r="1509" spans="8:8" x14ac:dyDescent="0.25">
      <c r="H1509" t="s">
        <v>1475</v>
      </c>
    </row>
    <row r="1510" spans="8:8" x14ac:dyDescent="0.25">
      <c r="H1510" t="s">
        <v>1476</v>
      </c>
    </row>
    <row r="1511" spans="8:8" x14ac:dyDescent="0.25">
      <c r="H1511" t="s">
        <v>1477</v>
      </c>
    </row>
    <row r="1512" spans="8:8" x14ac:dyDescent="0.25">
      <c r="H1512" t="s">
        <v>1478</v>
      </c>
    </row>
    <row r="1513" spans="8:8" x14ac:dyDescent="0.25">
      <c r="H1513" t="s">
        <v>1479</v>
      </c>
    </row>
    <row r="1514" spans="8:8" x14ac:dyDescent="0.25">
      <c r="H1514" t="s">
        <v>1480</v>
      </c>
    </row>
    <row r="1515" spans="8:8" x14ac:dyDescent="0.25">
      <c r="H1515" t="s">
        <v>1481</v>
      </c>
    </row>
    <row r="1516" spans="8:8" x14ac:dyDescent="0.25">
      <c r="H1516" t="s">
        <v>1482</v>
      </c>
    </row>
    <row r="1517" spans="8:8" x14ac:dyDescent="0.25">
      <c r="H1517" t="s">
        <v>1483</v>
      </c>
    </row>
    <row r="1518" spans="8:8" x14ac:dyDescent="0.25">
      <c r="H1518" t="s">
        <v>1484</v>
      </c>
    </row>
    <row r="1519" spans="8:8" x14ac:dyDescent="0.25">
      <c r="H1519" t="s">
        <v>1485</v>
      </c>
    </row>
    <row r="1520" spans="8:8" x14ac:dyDescent="0.25">
      <c r="H1520" t="s">
        <v>1486</v>
      </c>
    </row>
    <row r="1521" spans="8:8" x14ac:dyDescent="0.25">
      <c r="H1521" t="s">
        <v>1487</v>
      </c>
    </row>
    <row r="1522" spans="8:8" x14ac:dyDescent="0.25">
      <c r="H1522" t="s">
        <v>1488</v>
      </c>
    </row>
    <row r="1523" spans="8:8" x14ac:dyDescent="0.25">
      <c r="H1523" t="s">
        <v>1489</v>
      </c>
    </row>
    <row r="1524" spans="8:8" x14ac:dyDescent="0.25">
      <c r="H1524" t="s">
        <v>1490</v>
      </c>
    </row>
    <row r="1525" spans="8:8" x14ac:dyDescent="0.25">
      <c r="H1525" t="s">
        <v>1491</v>
      </c>
    </row>
    <row r="1526" spans="8:8" x14ac:dyDescent="0.25">
      <c r="H1526" t="s">
        <v>1492</v>
      </c>
    </row>
    <row r="1527" spans="8:8" x14ac:dyDescent="0.25">
      <c r="H1527" t="s">
        <v>1493</v>
      </c>
    </row>
    <row r="1528" spans="8:8" x14ac:dyDescent="0.25">
      <c r="H1528" t="s">
        <v>1494</v>
      </c>
    </row>
    <row r="1529" spans="8:8" x14ac:dyDescent="0.25">
      <c r="H1529" t="s">
        <v>1495</v>
      </c>
    </row>
    <row r="1530" spans="8:8" x14ac:dyDescent="0.25">
      <c r="H1530" t="s">
        <v>1496</v>
      </c>
    </row>
    <row r="1531" spans="8:8" x14ac:dyDescent="0.25">
      <c r="H1531" t="s">
        <v>1497</v>
      </c>
    </row>
    <row r="1532" spans="8:8" x14ac:dyDescent="0.25">
      <c r="H1532" t="s">
        <v>1498</v>
      </c>
    </row>
    <row r="1533" spans="8:8" x14ac:dyDescent="0.25">
      <c r="H1533" t="s">
        <v>1499</v>
      </c>
    </row>
    <row r="1534" spans="8:8" x14ac:dyDescent="0.25">
      <c r="H1534" t="s">
        <v>1500</v>
      </c>
    </row>
    <row r="1535" spans="8:8" x14ac:dyDescent="0.25">
      <c r="H1535" t="s">
        <v>1501</v>
      </c>
    </row>
    <row r="1536" spans="8:8" x14ac:dyDescent="0.25">
      <c r="H1536" t="s">
        <v>1502</v>
      </c>
    </row>
    <row r="1537" spans="8:8" x14ac:dyDescent="0.25">
      <c r="H1537" t="s">
        <v>1503</v>
      </c>
    </row>
    <row r="1538" spans="8:8" x14ac:dyDescent="0.25">
      <c r="H1538" t="s">
        <v>1504</v>
      </c>
    </row>
    <row r="1539" spans="8:8" x14ac:dyDescent="0.25">
      <c r="H1539" t="s">
        <v>1505</v>
      </c>
    </row>
    <row r="1540" spans="8:8" x14ac:dyDescent="0.25">
      <c r="H1540" t="s">
        <v>1506</v>
      </c>
    </row>
    <row r="1541" spans="8:8" x14ac:dyDescent="0.25">
      <c r="H1541" t="s">
        <v>1507</v>
      </c>
    </row>
    <row r="1542" spans="8:8" x14ac:dyDescent="0.25">
      <c r="H1542" t="s">
        <v>1508</v>
      </c>
    </row>
    <row r="1543" spans="8:8" x14ac:dyDescent="0.25">
      <c r="H1543" t="s">
        <v>1509</v>
      </c>
    </row>
    <row r="1544" spans="8:8" x14ac:dyDescent="0.25">
      <c r="H1544" t="s">
        <v>1510</v>
      </c>
    </row>
    <row r="1545" spans="8:8" x14ac:dyDescent="0.25">
      <c r="H1545" t="s">
        <v>1511</v>
      </c>
    </row>
    <row r="1546" spans="8:8" x14ac:dyDescent="0.25">
      <c r="H1546" t="s">
        <v>1512</v>
      </c>
    </row>
    <row r="1547" spans="8:8" x14ac:dyDescent="0.25">
      <c r="H1547" t="s">
        <v>1513</v>
      </c>
    </row>
    <row r="1548" spans="8:8" x14ac:dyDescent="0.25">
      <c r="H1548" t="s">
        <v>1514</v>
      </c>
    </row>
    <row r="1549" spans="8:8" x14ac:dyDescent="0.25">
      <c r="H1549" t="s">
        <v>1515</v>
      </c>
    </row>
    <row r="1550" spans="8:8" x14ac:dyDescent="0.25">
      <c r="H1550" t="s">
        <v>1516</v>
      </c>
    </row>
    <row r="1551" spans="8:8" x14ac:dyDescent="0.25">
      <c r="H1551" t="s">
        <v>1517</v>
      </c>
    </row>
    <row r="1552" spans="8:8" x14ac:dyDescent="0.25">
      <c r="H1552" t="s">
        <v>1518</v>
      </c>
    </row>
    <row r="1553" spans="8:8" x14ac:dyDescent="0.25">
      <c r="H1553" t="s">
        <v>1519</v>
      </c>
    </row>
    <row r="1554" spans="8:8" x14ac:dyDescent="0.25">
      <c r="H1554" t="s">
        <v>1520</v>
      </c>
    </row>
    <row r="1555" spans="8:8" x14ac:dyDescent="0.25">
      <c r="H1555" t="s">
        <v>1521</v>
      </c>
    </row>
    <row r="1556" spans="8:8" x14ac:dyDescent="0.25">
      <c r="H1556" t="s">
        <v>1522</v>
      </c>
    </row>
    <row r="1557" spans="8:8" x14ac:dyDescent="0.25">
      <c r="H1557" t="s">
        <v>1523</v>
      </c>
    </row>
    <row r="1558" spans="8:8" x14ac:dyDescent="0.25">
      <c r="H1558" t="s">
        <v>1524</v>
      </c>
    </row>
    <row r="1559" spans="8:8" x14ac:dyDescent="0.25">
      <c r="H1559" t="s">
        <v>1525</v>
      </c>
    </row>
    <row r="1560" spans="8:8" x14ac:dyDescent="0.25">
      <c r="H1560" t="s">
        <v>1526</v>
      </c>
    </row>
    <row r="1561" spans="8:8" x14ac:dyDescent="0.25">
      <c r="H1561" t="s">
        <v>1736</v>
      </c>
    </row>
    <row r="1563" spans="8:8" x14ac:dyDescent="0.25">
      <c r="H1563" t="s">
        <v>1732</v>
      </c>
    </row>
    <row r="1564" spans="8:8" x14ac:dyDescent="0.25">
      <c r="H1564" t="s">
        <v>1737</v>
      </c>
    </row>
    <row r="1565" spans="8:8" x14ac:dyDescent="0.25">
      <c r="H1565" t="s">
        <v>1529</v>
      </c>
    </row>
    <row r="1566" spans="8:8" x14ac:dyDescent="0.25">
      <c r="H1566" t="s">
        <v>1530</v>
      </c>
    </row>
    <row r="1567" spans="8:8" x14ac:dyDescent="0.25">
      <c r="H1567" t="s">
        <v>1531</v>
      </c>
    </row>
    <row r="1568" spans="8:8" x14ac:dyDescent="0.25">
      <c r="H1568" t="s">
        <v>1532</v>
      </c>
    </row>
    <row r="1569" spans="8:8" x14ac:dyDescent="0.25">
      <c r="H1569" t="s">
        <v>1533</v>
      </c>
    </row>
    <row r="1570" spans="8:8" x14ac:dyDescent="0.25">
      <c r="H1570" t="s">
        <v>1534</v>
      </c>
    </row>
    <row r="1571" spans="8:8" x14ac:dyDescent="0.25">
      <c r="H1571" t="s">
        <v>1535</v>
      </c>
    </row>
    <row r="1572" spans="8:8" x14ac:dyDescent="0.25">
      <c r="H1572" t="s">
        <v>1536</v>
      </c>
    </row>
    <row r="1573" spans="8:8" x14ac:dyDescent="0.25">
      <c r="H1573" t="s">
        <v>1537</v>
      </c>
    </row>
    <row r="1574" spans="8:8" x14ac:dyDescent="0.25">
      <c r="H1574" t="s">
        <v>1538</v>
      </c>
    </row>
    <row r="1575" spans="8:8" x14ac:dyDescent="0.25">
      <c r="H1575" t="s">
        <v>1539</v>
      </c>
    </row>
    <row r="1576" spans="8:8" x14ac:dyDescent="0.25">
      <c r="H1576" t="s">
        <v>1540</v>
      </c>
    </row>
    <row r="1577" spans="8:8" x14ac:dyDescent="0.25">
      <c r="H1577" t="s">
        <v>1541</v>
      </c>
    </row>
    <row r="1578" spans="8:8" x14ac:dyDescent="0.25">
      <c r="H1578" t="s">
        <v>1542</v>
      </c>
    </row>
    <row r="1579" spans="8:8" x14ac:dyDescent="0.25">
      <c r="H1579" t="s">
        <v>1543</v>
      </c>
    </row>
    <row r="1580" spans="8:8" x14ac:dyDescent="0.25">
      <c r="H1580" t="s">
        <v>1544</v>
      </c>
    </row>
    <row r="1581" spans="8:8" x14ac:dyDescent="0.25">
      <c r="H1581" t="s">
        <v>1545</v>
      </c>
    </row>
    <row r="1582" spans="8:8" x14ac:dyDescent="0.25">
      <c r="H1582" t="s">
        <v>1546</v>
      </c>
    </row>
    <row r="1583" spans="8:8" x14ac:dyDescent="0.25">
      <c r="H1583" t="s">
        <v>1547</v>
      </c>
    </row>
    <row r="1584" spans="8:8" x14ac:dyDescent="0.25">
      <c r="H1584" t="s">
        <v>1548</v>
      </c>
    </row>
    <row r="1585" spans="8:8" x14ac:dyDescent="0.25">
      <c r="H1585" t="s">
        <v>1549</v>
      </c>
    </row>
    <row r="1586" spans="8:8" x14ac:dyDescent="0.25">
      <c r="H1586" t="s">
        <v>1550</v>
      </c>
    </row>
    <row r="1587" spans="8:8" x14ac:dyDescent="0.25">
      <c r="H1587" t="s">
        <v>1551</v>
      </c>
    </row>
    <row r="1588" spans="8:8" x14ac:dyDescent="0.25">
      <c r="H1588" t="s">
        <v>1552</v>
      </c>
    </row>
    <row r="1589" spans="8:8" x14ac:dyDescent="0.25">
      <c r="H1589" t="s">
        <v>1738</v>
      </c>
    </row>
    <row r="1591" spans="8:8" x14ac:dyDescent="0.25">
      <c r="H1591" t="s">
        <v>1739</v>
      </c>
    </row>
    <row r="1592" spans="8:8" x14ac:dyDescent="0.25">
      <c r="H1592" t="s">
        <v>1740</v>
      </c>
    </row>
    <row r="1593" spans="8:8" x14ac:dyDescent="0.25">
      <c r="H1593" t="s">
        <v>1556</v>
      </c>
    </row>
    <row r="1594" spans="8:8" x14ac:dyDescent="0.25">
      <c r="H1594" t="s">
        <v>1557</v>
      </c>
    </row>
    <row r="1595" spans="8:8" x14ac:dyDescent="0.25">
      <c r="H1595" t="s">
        <v>1558</v>
      </c>
    </row>
    <row r="1596" spans="8:8" x14ac:dyDescent="0.25">
      <c r="H1596" t="s">
        <v>1559</v>
      </c>
    </row>
    <row r="1597" spans="8:8" x14ac:dyDescent="0.25">
      <c r="H1597" t="s">
        <v>1560</v>
      </c>
    </row>
    <row r="1598" spans="8:8" x14ac:dyDescent="0.25">
      <c r="H1598" t="s">
        <v>1561</v>
      </c>
    </row>
    <row r="1599" spans="8:8" x14ac:dyDescent="0.25">
      <c r="H1599" t="s">
        <v>1562</v>
      </c>
    </row>
    <row r="1600" spans="8:8" x14ac:dyDescent="0.25">
      <c r="H1600" t="s">
        <v>1563</v>
      </c>
    </row>
    <row r="1601" spans="8:8" x14ac:dyDescent="0.25">
      <c r="H1601" t="s">
        <v>1564</v>
      </c>
    </row>
    <row r="1602" spans="8:8" x14ac:dyDescent="0.25">
      <c r="H1602" t="s">
        <v>1565</v>
      </c>
    </row>
    <row r="1603" spans="8:8" x14ac:dyDescent="0.25">
      <c r="H1603" t="s">
        <v>1566</v>
      </c>
    </row>
    <row r="1604" spans="8:8" x14ac:dyDescent="0.25">
      <c r="H1604" t="s">
        <v>1320</v>
      </c>
    </row>
    <row r="1605" spans="8:8" x14ac:dyDescent="0.25">
      <c r="H1605" t="s">
        <v>1319</v>
      </c>
    </row>
    <row r="1606" spans="8:8" x14ac:dyDescent="0.25">
      <c r="H1606" t="s">
        <v>1567</v>
      </c>
    </row>
    <row r="1607" spans="8:8" x14ac:dyDescent="0.25">
      <c r="H1607" t="s">
        <v>1568</v>
      </c>
    </row>
    <row r="1608" spans="8:8" x14ac:dyDescent="0.25">
      <c r="H1608" t="s">
        <v>1569</v>
      </c>
    </row>
    <row r="1609" spans="8:8" x14ac:dyDescent="0.25">
      <c r="H1609" t="s">
        <v>1741</v>
      </c>
    </row>
    <row r="1611" spans="8:8" x14ac:dyDescent="0.25">
      <c r="H1611" t="s">
        <v>1739</v>
      </c>
    </row>
    <row r="1612" spans="8:8" x14ac:dyDescent="0.25">
      <c r="H1612" t="s">
        <v>1742</v>
      </c>
    </row>
    <row r="1613" spans="8:8" x14ac:dyDescent="0.25">
      <c r="H1613" t="s">
        <v>1572</v>
      </c>
    </row>
    <row r="1614" spans="8:8" x14ac:dyDescent="0.25">
      <c r="H1614" t="s">
        <v>1573</v>
      </c>
    </row>
    <row r="1615" spans="8:8" x14ac:dyDescent="0.25">
      <c r="H1615" t="s">
        <v>1743</v>
      </c>
    </row>
    <row r="1617" spans="8:8" x14ac:dyDescent="0.25">
      <c r="H1617" t="s">
        <v>1739</v>
      </c>
    </row>
    <row r="1618" spans="8:8" x14ac:dyDescent="0.25">
      <c r="H1618" t="s">
        <v>1744</v>
      </c>
    </row>
    <row r="1619" spans="8:8" x14ac:dyDescent="0.25">
      <c r="H1619" t="s">
        <v>1576</v>
      </c>
    </row>
    <row r="1620" spans="8:8" x14ac:dyDescent="0.25">
      <c r="H1620" t="s">
        <v>1577</v>
      </c>
    </row>
    <row r="1621" spans="8:8" x14ac:dyDescent="0.25">
      <c r="H1621" t="s">
        <v>1578</v>
      </c>
    </row>
    <row r="1622" spans="8:8" x14ac:dyDescent="0.25">
      <c r="H1622" t="s">
        <v>1579</v>
      </c>
    </row>
    <row r="1623" spans="8:8" x14ac:dyDescent="0.25">
      <c r="H1623" t="s">
        <v>1580</v>
      </c>
    </row>
    <row r="1624" spans="8:8" x14ac:dyDescent="0.25">
      <c r="H1624" t="s">
        <v>1581</v>
      </c>
    </row>
    <row r="1625" spans="8:8" x14ac:dyDescent="0.25">
      <c r="H1625" t="s">
        <v>1582</v>
      </c>
    </row>
    <row r="1626" spans="8:8" x14ac:dyDescent="0.25">
      <c r="H1626" t="s">
        <v>1583</v>
      </c>
    </row>
    <row r="1627" spans="8:8" x14ac:dyDescent="0.25">
      <c r="H1627" t="s">
        <v>1584</v>
      </c>
    </row>
    <row r="1628" spans="8:8" x14ac:dyDescent="0.25">
      <c r="H1628" t="s">
        <v>1585</v>
      </c>
    </row>
    <row r="1629" spans="8:8" x14ac:dyDescent="0.25">
      <c r="H1629" t="s">
        <v>1586</v>
      </c>
    </row>
    <row r="1630" spans="8:8" x14ac:dyDescent="0.25">
      <c r="H1630" t="s">
        <v>1587</v>
      </c>
    </row>
    <row r="1631" spans="8:8" x14ac:dyDescent="0.25">
      <c r="H1631" t="s">
        <v>1588</v>
      </c>
    </row>
    <row r="1632" spans="8:8" x14ac:dyDescent="0.25">
      <c r="H1632" t="s">
        <v>1589</v>
      </c>
    </row>
    <row r="1633" spans="8:8" x14ac:dyDescent="0.25">
      <c r="H1633" t="s">
        <v>1590</v>
      </c>
    </row>
    <row r="1634" spans="8:8" x14ac:dyDescent="0.25">
      <c r="H1634" t="s">
        <v>1591</v>
      </c>
    </row>
    <row r="1635" spans="8:8" x14ac:dyDescent="0.25">
      <c r="H1635" t="s">
        <v>1592</v>
      </c>
    </row>
    <row r="1636" spans="8:8" x14ac:dyDescent="0.25">
      <c r="H1636" t="s">
        <v>1593</v>
      </c>
    </row>
    <row r="1637" spans="8:8" x14ac:dyDescent="0.25">
      <c r="H1637" t="s">
        <v>1594</v>
      </c>
    </row>
    <row r="1638" spans="8:8" x14ac:dyDescent="0.25">
      <c r="H1638" t="s">
        <v>1745</v>
      </c>
    </row>
    <row r="1640" spans="8:8" x14ac:dyDescent="0.25">
      <c r="H1640" t="s">
        <v>1739</v>
      </c>
    </row>
    <row r="1641" spans="8:8" x14ac:dyDescent="0.25">
      <c r="H1641" t="s">
        <v>1746</v>
      </c>
    </row>
    <row r="1642" spans="8:8" x14ac:dyDescent="0.25">
      <c r="H1642" t="s">
        <v>1597</v>
      </c>
    </row>
    <row r="1643" spans="8:8" x14ac:dyDescent="0.25">
      <c r="H1643" t="s">
        <v>1598</v>
      </c>
    </row>
    <row r="1644" spans="8:8" x14ac:dyDescent="0.25">
      <c r="H1644" t="s">
        <v>1599</v>
      </c>
    </row>
    <row r="1645" spans="8:8" x14ac:dyDescent="0.25">
      <c r="H1645" t="s">
        <v>1600</v>
      </c>
    </row>
    <row r="1646" spans="8:8" x14ac:dyDescent="0.25">
      <c r="H1646" t="s">
        <v>1747</v>
      </c>
    </row>
    <row r="1648" spans="8:8" x14ac:dyDescent="0.25">
      <c r="H1648" t="s">
        <v>1739</v>
      </c>
    </row>
    <row r="1649" spans="8:8" x14ac:dyDescent="0.25">
      <c r="H1649" t="s">
        <v>1748</v>
      </c>
    </row>
    <row r="1650" spans="8:8" x14ac:dyDescent="0.25">
      <c r="H1650" t="s">
        <v>1603</v>
      </c>
    </row>
    <row r="1651" spans="8:8" x14ac:dyDescent="0.25">
      <c r="H1651" t="s">
        <v>1604</v>
      </c>
    </row>
    <row r="1652" spans="8:8" x14ac:dyDescent="0.25">
      <c r="H1652" t="s">
        <v>1605</v>
      </c>
    </row>
    <row r="1653" spans="8:8" x14ac:dyDescent="0.25">
      <c r="H1653" t="s">
        <v>1606</v>
      </c>
    </row>
    <row r="1654" spans="8:8" x14ac:dyDescent="0.25">
      <c r="H1654" t="s">
        <v>1749</v>
      </c>
    </row>
    <row r="1656" spans="8:8" x14ac:dyDescent="0.25">
      <c r="H1656" t="s">
        <v>1739</v>
      </c>
    </row>
    <row r="1657" spans="8:8" x14ac:dyDescent="0.25">
      <c r="H1657" t="s">
        <v>1752</v>
      </c>
    </row>
    <row r="1658" spans="8:8" x14ac:dyDescent="0.25">
      <c r="H1658" t="s">
        <v>1612</v>
      </c>
    </row>
    <row r="1659" spans="8:8" x14ac:dyDescent="0.25">
      <c r="H1659" t="s">
        <v>1613</v>
      </c>
    </row>
    <row r="1660" spans="8:8" x14ac:dyDescent="0.25">
      <c r="H1660" t="s">
        <v>1753</v>
      </c>
    </row>
    <row r="1662" spans="8:8" x14ac:dyDescent="0.25">
      <c r="H1662" t="s">
        <v>1739</v>
      </c>
    </row>
    <row r="1663" spans="8:8" x14ac:dyDescent="0.25">
      <c r="H1663" t="s">
        <v>1750</v>
      </c>
    </row>
    <row r="1664" spans="8:8" x14ac:dyDescent="0.25">
      <c r="H1664" t="s">
        <v>1609</v>
      </c>
    </row>
    <row r="1665" spans="8:8" x14ac:dyDescent="0.25">
      <c r="H1665" t="s">
        <v>1615</v>
      </c>
    </row>
    <row r="1666" spans="8:8" x14ac:dyDescent="0.25">
      <c r="H1666" t="s">
        <v>1616</v>
      </c>
    </row>
    <row r="1667" spans="8:8" x14ac:dyDescent="0.25">
      <c r="H1667" t="s">
        <v>1617</v>
      </c>
    </row>
    <row r="1668" spans="8:8" x14ac:dyDescent="0.25">
      <c r="H1668" t="s">
        <v>1751</v>
      </c>
    </row>
    <row r="1670" spans="8:8" x14ac:dyDescent="0.25">
      <c r="H1670" t="s">
        <v>106</v>
      </c>
    </row>
    <row r="1672" spans="8:8" x14ac:dyDescent="0.25">
      <c r="H1672" t="s">
        <v>107</v>
      </c>
    </row>
    <row r="1673" spans="8:8" x14ac:dyDescent="0.25">
      <c r="H1673" t="s">
        <v>141</v>
      </c>
    </row>
    <row r="1674" spans="8:8" x14ac:dyDescent="0.25">
      <c r="H1674" t="s">
        <v>1754</v>
      </c>
    </row>
    <row r="1675" spans="8:8" x14ac:dyDescent="0.25">
      <c r="H1675" t="s">
        <v>1755</v>
      </c>
    </row>
    <row r="1676" spans="8:8" x14ac:dyDescent="0.25">
      <c r="H1676" t="s">
        <v>1756</v>
      </c>
    </row>
    <row r="1677" spans="8:8" x14ac:dyDescent="0.25">
      <c r="H1677" t="s">
        <v>1757</v>
      </c>
    </row>
    <row r="1678" spans="8:8" x14ac:dyDescent="0.25">
      <c r="H1678" t="s">
        <v>1758</v>
      </c>
    </row>
    <row r="1679" spans="8:8" x14ac:dyDescent="0.25">
      <c r="H1679" t="s">
        <v>1759</v>
      </c>
    </row>
    <row r="1680" spans="8:8" x14ac:dyDescent="0.25">
      <c r="H1680" t="s">
        <v>1762</v>
      </c>
    </row>
    <row r="1681" spans="8:8" x14ac:dyDescent="0.25">
      <c r="H1681" t="s">
        <v>1761</v>
      </c>
    </row>
    <row r="1682" spans="8:8" x14ac:dyDescent="0.25">
      <c r="H1682" t="s">
        <v>1760</v>
      </c>
    </row>
    <row r="1683" spans="8:8" x14ac:dyDescent="0.25">
      <c r="H1683" t="s">
        <v>1766</v>
      </c>
    </row>
    <row r="1684" spans="8:8" x14ac:dyDescent="0.25">
      <c r="H1684" t="s">
        <v>1765</v>
      </c>
    </row>
    <row r="1685" spans="8:8" x14ac:dyDescent="0.25">
      <c r="H1685" t="s">
        <v>1764</v>
      </c>
    </row>
    <row r="1686" spans="8:8" x14ac:dyDescent="0.25">
      <c r="H1686" t="s">
        <v>1763</v>
      </c>
    </row>
    <row r="1687" spans="8:8" x14ac:dyDescent="0.25">
      <c r="H1687" t="s">
        <v>1767</v>
      </c>
    </row>
    <row r="1688" spans="8:8" x14ac:dyDescent="0.25">
      <c r="H1688" t="s">
        <v>1768</v>
      </c>
    </row>
    <row r="1689" spans="8:8" x14ac:dyDescent="0.25">
      <c r="H1689" t="s">
        <v>1769</v>
      </c>
    </row>
    <row r="1690" spans="8:8" x14ac:dyDescent="0.25">
      <c r="H1690" t="s">
        <v>1770</v>
      </c>
    </row>
    <row r="1691" spans="8:8" x14ac:dyDescent="0.25">
      <c r="H1691" t="s">
        <v>1771</v>
      </c>
    </row>
    <row r="1692" spans="8:8" x14ac:dyDescent="0.25">
      <c r="H1692" t="s">
        <v>1772</v>
      </c>
    </row>
    <row r="1693" spans="8:8" x14ac:dyDescent="0.25">
      <c r="H1693" t="s">
        <v>1773</v>
      </c>
    </row>
    <row r="1694" spans="8:8" x14ac:dyDescent="0.25">
      <c r="H1694" t="s">
        <v>1774</v>
      </c>
    </row>
    <row r="1695" spans="8:8" x14ac:dyDescent="0.25">
      <c r="H1695" t="s">
        <v>1775</v>
      </c>
    </row>
    <row r="1696" spans="8:8" x14ac:dyDescent="0.25">
      <c r="H1696" t="s">
        <v>1776</v>
      </c>
    </row>
    <row r="1697" spans="8:8" x14ac:dyDescent="0.25">
      <c r="H1697" t="s">
        <v>1777</v>
      </c>
    </row>
    <row r="1698" spans="8:8" x14ac:dyDescent="0.25">
      <c r="H1698" t="s">
        <v>1781</v>
      </c>
    </row>
    <row r="1699" spans="8:8" x14ac:dyDescent="0.25">
      <c r="H1699" t="s">
        <v>1780</v>
      </c>
    </row>
    <row r="1700" spans="8:8" x14ac:dyDescent="0.25">
      <c r="H1700" t="s">
        <v>1779</v>
      </c>
    </row>
    <row r="1701" spans="8:8" x14ac:dyDescent="0.25">
      <c r="H1701" t="s">
        <v>1778</v>
      </c>
    </row>
    <row r="1702" spans="8:8" x14ac:dyDescent="0.25">
      <c r="H1702" t="s">
        <v>1785</v>
      </c>
    </row>
    <row r="1703" spans="8:8" x14ac:dyDescent="0.25">
      <c r="H1703" t="s">
        <v>1784</v>
      </c>
    </row>
    <row r="1704" spans="8:8" x14ac:dyDescent="0.25">
      <c r="H1704" t="s">
        <v>1783</v>
      </c>
    </row>
    <row r="1705" spans="8:8" x14ac:dyDescent="0.25">
      <c r="H1705" t="s">
        <v>1782</v>
      </c>
    </row>
    <row r="1706" spans="8:8" x14ac:dyDescent="0.25">
      <c r="H1706" t="s">
        <v>1786</v>
      </c>
    </row>
    <row r="1707" spans="8:8" x14ac:dyDescent="0.25">
      <c r="H1707" t="s">
        <v>1787</v>
      </c>
    </row>
    <row r="1708" spans="8:8" x14ac:dyDescent="0.25">
      <c r="H1708" t="s">
        <v>1788</v>
      </c>
    </row>
    <row r="1709" spans="8:8" x14ac:dyDescent="0.25">
      <c r="H1709" t="s">
        <v>1789</v>
      </c>
    </row>
    <row r="1710" spans="8:8" x14ac:dyDescent="0.25">
      <c r="H1710" t="s">
        <v>1790</v>
      </c>
    </row>
    <row r="1711" spans="8:8" x14ac:dyDescent="0.25">
      <c r="H1711" t="s">
        <v>1791</v>
      </c>
    </row>
    <row r="1712" spans="8:8" x14ac:dyDescent="0.25">
      <c r="H1712" t="s">
        <v>1792</v>
      </c>
    </row>
    <row r="1713" spans="8:8" x14ac:dyDescent="0.25">
      <c r="H1713" t="s">
        <v>1793</v>
      </c>
    </row>
    <row r="1714" spans="8:8" x14ac:dyDescent="0.25">
      <c r="H1714" t="s">
        <v>1794</v>
      </c>
    </row>
    <row r="1715" spans="8:8" x14ac:dyDescent="0.25">
      <c r="H1715" t="s">
        <v>1795</v>
      </c>
    </row>
    <row r="1716" spans="8:8" x14ac:dyDescent="0.25">
      <c r="H1716" t="s">
        <v>1796</v>
      </c>
    </row>
    <row r="1717" spans="8:8" x14ac:dyDescent="0.25">
      <c r="H1717" t="s">
        <v>1797</v>
      </c>
    </row>
    <row r="1718" spans="8:8" x14ac:dyDescent="0.25">
      <c r="H1718" t="s">
        <v>1798</v>
      </c>
    </row>
    <row r="1719" spans="8:8" x14ac:dyDescent="0.25">
      <c r="H1719" t="s">
        <v>1800</v>
      </c>
    </row>
    <row r="1720" spans="8:8" x14ac:dyDescent="0.25">
      <c r="H1720" t="s">
        <v>1799</v>
      </c>
    </row>
    <row r="1721" spans="8:8" x14ac:dyDescent="0.25">
      <c r="H1721" t="s">
        <v>1801</v>
      </c>
    </row>
    <row r="1722" spans="8:8" x14ac:dyDescent="0.25">
      <c r="H1722" t="s">
        <v>1802</v>
      </c>
    </row>
    <row r="1723" spans="8:8" x14ac:dyDescent="0.25">
      <c r="H1723" t="s">
        <v>1803</v>
      </c>
    </row>
    <row r="1724" spans="8:8" x14ac:dyDescent="0.25">
      <c r="H1724" t="s">
        <v>1804</v>
      </c>
    </row>
    <row r="1725" spans="8:8" x14ac:dyDescent="0.25">
      <c r="H1725" t="s">
        <v>1805</v>
      </c>
    </row>
    <row r="1726" spans="8:8" x14ac:dyDescent="0.25">
      <c r="H1726" t="s">
        <v>1806</v>
      </c>
    </row>
    <row r="1727" spans="8:8" x14ac:dyDescent="0.25">
      <c r="H1727" t="s">
        <v>1807</v>
      </c>
    </row>
    <row r="1728" spans="8:8" x14ac:dyDescent="0.25">
      <c r="H1728" t="s">
        <v>1808</v>
      </c>
    </row>
    <row r="1729" spans="8:8" x14ac:dyDescent="0.25">
      <c r="H1729" t="s">
        <v>1809</v>
      </c>
    </row>
    <row r="1730" spans="8:8" x14ac:dyDescent="0.25">
      <c r="H1730" t="s">
        <v>1810</v>
      </c>
    </row>
    <row r="1731" spans="8:8" x14ac:dyDescent="0.25">
      <c r="H1731" t="s">
        <v>1811</v>
      </c>
    </row>
    <row r="1732" spans="8:8" x14ac:dyDescent="0.25">
      <c r="H1732" t="s">
        <v>1812</v>
      </c>
    </row>
    <row r="1733" spans="8:8" x14ac:dyDescent="0.25">
      <c r="H1733" t="s">
        <v>1813</v>
      </c>
    </row>
    <row r="1734" spans="8:8" x14ac:dyDescent="0.25">
      <c r="H1734" t="s">
        <v>1814</v>
      </c>
    </row>
    <row r="1735" spans="8:8" x14ac:dyDescent="0.25">
      <c r="H1735" t="s">
        <v>1815</v>
      </c>
    </row>
    <row r="1736" spans="8:8" x14ac:dyDescent="0.25">
      <c r="H1736" t="s">
        <v>1816</v>
      </c>
    </row>
    <row r="1737" spans="8:8" x14ac:dyDescent="0.25">
      <c r="H1737" t="s">
        <v>1817</v>
      </c>
    </row>
    <row r="1738" spans="8:8" x14ac:dyDescent="0.25">
      <c r="H1738" t="s">
        <v>1818</v>
      </c>
    </row>
    <row r="1739" spans="8:8" x14ac:dyDescent="0.25">
      <c r="H1739" t="s">
        <v>1820</v>
      </c>
    </row>
    <row r="1740" spans="8:8" x14ac:dyDescent="0.25">
      <c r="H1740" t="s">
        <v>1819</v>
      </c>
    </row>
    <row r="1741" spans="8:8" x14ac:dyDescent="0.25">
      <c r="H1741" t="s">
        <v>1821</v>
      </c>
    </row>
    <row r="1742" spans="8:8" x14ac:dyDescent="0.25">
      <c r="H1742" t="s">
        <v>1822</v>
      </c>
    </row>
    <row r="1743" spans="8:8" x14ac:dyDescent="0.25">
      <c r="H1743" t="s">
        <v>1823</v>
      </c>
    </row>
    <row r="1744" spans="8:8" x14ac:dyDescent="0.25">
      <c r="H1744" t="s">
        <v>1824</v>
      </c>
    </row>
    <row r="1745" spans="8:8" x14ac:dyDescent="0.25">
      <c r="H1745" t="s">
        <v>1825</v>
      </c>
    </row>
    <row r="1746" spans="8:8" x14ac:dyDescent="0.25">
      <c r="H1746" t="s">
        <v>1826</v>
      </c>
    </row>
    <row r="1747" spans="8:8" x14ac:dyDescent="0.25">
      <c r="H1747" t="s">
        <v>1827</v>
      </c>
    </row>
    <row r="1748" spans="8:8" x14ac:dyDescent="0.25">
      <c r="H1748" t="s">
        <v>1828</v>
      </c>
    </row>
    <row r="1749" spans="8:8" x14ac:dyDescent="0.25">
      <c r="H1749" t="s">
        <v>1829</v>
      </c>
    </row>
    <row r="1750" spans="8:8" x14ac:dyDescent="0.25">
      <c r="H1750" t="s">
        <v>1830</v>
      </c>
    </row>
    <row r="1751" spans="8:8" x14ac:dyDescent="0.25">
      <c r="H1751" t="s">
        <v>1831</v>
      </c>
    </row>
    <row r="1752" spans="8:8" x14ac:dyDescent="0.25">
      <c r="H1752" t="s">
        <v>1832</v>
      </c>
    </row>
    <row r="1753" spans="8:8" x14ac:dyDescent="0.25">
      <c r="H1753" t="s">
        <v>1833</v>
      </c>
    </row>
    <row r="1754" spans="8:8" x14ac:dyDescent="0.25">
      <c r="H1754" t="s">
        <v>1834</v>
      </c>
    </row>
    <row r="1755" spans="8:8" x14ac:dyDescent="0.25">
      <c r="H1755" t="s">
        <v>1835</v>
      </c>
    </row>
    <row r="1756" spans="8:8" x14ac:dyDescent="0.25">
      <c r="H1756" t="s">
        <v>1836</v>
      </c>
    </row>
    <row r="1757" spans="8:8" x14ac:dyDescent="0.25">
      <c r="H1757" t="s">
        <v>1837</v>
      </c>
    </row>
    <row r="1758" spans="8:8" x14ac:dyDescent="0.25">
      <c r="H1758" t="s">
        <v>1838</v>
      </c>
    </row>
    <row r="1759" spans="8:8" x14ac:dyDescent="0.25">
      <c r="H1759" t="s">
        <v>1839</v>
      </c>
    </row>
    <row r="1760" spans="8:8" x14ac:dyDescent="0.25">
      <c r="H1760" t="s">
        <v>1841</v>
      </c>
    </row>
    <row r="1761" spans="8:8" x14ac:dyDescent="0.25">
      <c r="H1761" t="s">
        <v>1840</v>
      </c>
    </row>
    <row r="1762" spans="8:8" x14ac:dyDescent="0.25">
      <c r="H1762" t="s">
        <v>1842</v>
      </c>
    </row>
    <row r="1763" spans="8:8" x14ac:dyDescent="0.25">
      <c r="H1763" t="s">
        <v>1843</v>
      </c>
    </row>
    <row r="1764" spans="8:8" x14ac:dyDescent="0.25">
      <c r="H1764" t="s">
        <v>1844</v>
      </c>
    </row>
    <row r="1765" spans="8:8" x14ac:dyDescent="0.25">
      <c r="H1765" t="s">
        <v>1845</v>
      </c>
    </row>
    <row r="1766" spans="8:8" x14ac:dyDescent="0.25">
      <c r="H1766" t="s">
        <v>1846</v>
      </c>
    </row>
    <row r="1767" spans="8:8" x14ac:dyDescent="0.25">
      <c r="H1767" t="s">
        <v>1847</v>
      </c>
    </row>
    <row r="1768" spans="8:8" x14ac:dyDescent="0.25">
      <c r="H1768" t="s">
        <v>1848</v>
      </c>
    </row>
    <row r="1769" spans="8:8" x14ac:dyDescent="0.25">
      <c r="H1769" t="s">
        <v>1849</v>
      </c>
    </row>
    <row r="1770" spans="8:8" x14ac:dyDescent="0.25">
      <c r="H1770" t="s">
        <v>1850</v>
      </c>
    </row>
    <row r="1771" spans="8:8" x14ac:dyDescent="0.25">
      <c r="H1771" t="s">
        <v>1851</v>
      </c>
    </row>
    <row r="1772" spans="8:8" x14ac:dyDescent="0.25">
      <c r="H1772" t="s">
        <v>1852</v>
      </c>
    </row>
    <row r="1773" spans="8:8" x14ac:dyDescent="0.25">
      <c r="H1773" t="s">
        <v>1853</v>
      </c>
    </row>
    <row r="1774" spans="8:8" x14ac:dyDescent="0.25">
      <c r="H1774" t="s">
        <v>1854</v>
      </c>
    </row>
    <row r="1775" spans="8:8" x14ac:dyDescent="0.25">
      <c r="H1775" t="s">
        <v>1855</v>
      </c>
    </row>
    <row r="1776" spans="8:8" x14ac:dyDescent="0.25">
      <c r="H1776" t="s">
        <v>1856</v>
      </c>
    </row>
    <row r="1777" spans="8:8" x14ac:dyDescent="0.25">
      <c r="H1777" t="s">
        <v>1857</v>
      </c>
    </row>
    <row r="1778" spans="8:8" x14ac:dyDescent="0.25">
      <c r="H1778" t="s">
        <v>1858</v>
      </c>
    </row>
    <row r="1779" spans="8:8" x14ac:dyDescent="0.25">
      <c r="H1779" t="s">
        <v>1859</v>
      </c>
    </row>
    <row r="1780" spans="8:8" x14ac:dyDescent="0.25">
      <c r="H1780" t="s">
        <v>1860</v>
      </c>
    </row>
    <row r="1781" spans="8:8" x14ac:dyDescent="0.25">
      <c r="H1781" t="s">
        <v>1862</v>
      </c>
    </row>
    <row r="1782" spans="8:8" x14ac:dyDescent="0.25">
      <c r="H1782" t="s">
        <v>1861</v>
      </c>
    </row>
    <row r="1783" spans="8:8" x14ac:dyDescent="0.25">
      <c r="H1783" t="s">
        <v>1863</v>
      </c>
    </row>
    <row r="1784" spans="8:8" x14ac:dyDescent="0.25">
      <c r="H1784" t="s">
        <v>1864</v>
      </c>
    </row>
    <row r="1785" spans="8:8" x14ac:dyDescent="0.25">
      <c r="H1785" t="s">
        <v>1865</v>
      </c>
    </row>
    <row r="1786" spans="8:8" x14ac:dyDescent="0.25">
      <c r="H1786" t="s">
        <v>1866</v>
      </c>
    </row>
    <row r="1787" spans="8:8" x14ac:dyDescent="0.25">
      <c r="H1787" t="s">
        <v>1867</v>
      </c>
    </row>
    <row r="1788" spans="8:8" x14ac:dyDescent="0.25">
      <c r="H1788" t="s">
        <v>1868</v>
      </c>
    </row>
    <row r="1789" spans="8:8" x14ac:dyDescent="0.25">
      <c r="H1789" t="s">
        <v>1869</v>
      </c>
    </row>
    <row r="1790" spans="8:8" x14ac:dyDescent="0.25">
      <c r="H1790" t="s">
        <v>1870</v>
      </c>
    </row>
    <row r="1791" spans="8:8" x14ac:dyDescent="0.25">
      <c r="H1791" t="s">
        <v>1871</v>
      </c>
    </row>
    <row r="1792" spans="8:8" x14ac:dyDescent="0.25">
      <c r="H1792" t="s">
        <v>1872</v>
      </c>
    </row>
    <row r="1793" spans="8:8" x14ac:dyDescent="0.25">
      <c r="H1793" t="s">
        <v>1873</v>
      </c>
    </row>
    <row r="1794" spans="8:8" x14ac:dyDescent="0.25">
      <c r="H1794" t="s">
        <v>1874</v>
      </c>
    </row>
    <row r="1795" spans="8:8" x14ac:dyDescent="0.25">
      <c r="H1795" t="s">
        <v>1875</v>
      </c>
    </row>
    <row r="1796" spans="8:8" x14ac:dyDescent="0.25">
      <c r="H1796" t="s">
        <v>1876</v>
      </c>
    </row>
    <row r="1797" spans="8:8" x14ac:dyDescent="0.25">
      <c r="H1797" t="s">
        <v>1877</v>
      </c>
    </row>
    <row r="1798" spans="8:8" x14ac:dyDescent="0.25">
      <c r="H1798" t="s">
        <v>1878</v>
      </c>
    </row>
    <row r="1799" spans="8:8" x14ac:dyDescent="0.25">
      <c r="H1799" t="s">
        <v>1879</v>
      </c>
    </row>
    <row r="1800" spans="8:8" x14ac:dyDescent="0.25">
      <c r="H1800" t="s">
        <v>1880</v>
      </c>
    </row>
    <row r="1801" spans="8:8" x14ac:dyDescent="0.25">
      <c r="H1801" t="s">
        <v>1881</v>
      </c>
    </row>
    <row r="1802" spans="8:8" x14ac:dyDescent="0.25">
      <c r="H1802" t="s">
        <v>1883</v>
      </c>
    </row>
    <row r="1803" spans="8:8" x14ac:dyDescent="0.25">
      <c r="H1803" t="s">
        <v>1882</v>
      </c>
    </row>
    <row r="1804" spans="8:8" x14ac:dyDescent="0.25">
      <c r="H1804" t="s">
        <v>142</v>
      </c>
    </row>
    <row r="1806" spans="8:8" x14ac:dyDescent="0.25">
      <c r="H1806" t="s">
        <v>108</v>
      </c>
    </row>
    <row r="1807" spans="8:8" x14ac:dyDescent="0.25">
      <c r="H1807" t="s">
        <v>143</v>
      </c>
    </row>
    <row r="1808" spans="8:8" x14ac:dyDescent="0.25">
      <c r="H1808" t="s">
        <v>1884</v>
      </c>
    </row>
    <row r="1809" spans="8:8" x14ac:dyDescent="0.25">
      <c r="H1809" t="s">
        <v>144</v>
      </c>
    </row>
    <row r="1810" spans="8:8" x14ac:dyDescent="0.25">
      <c r="H1810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690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110</v>
      </c>
      <c r="H3" t="s">
        <v>37</v>
      </c>
    </row>
    <row r="4" spans="2:8" x14ac:dyDescent="0.25">
      <c r="H4" t="s">
        <v>111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129</v>
      </c>
    </row>
    <row r="7" spans="2:8" x14ac:dyDescent="0.25">
      <c r="H7" t="s">
        <v>7444</v>
      </c>
    </row>
    <row r="8" spans="2:8" x14ac:dyDescent="0.25">
      <c r="B8" s="1" t="s">
        <v>20</v>
      </c>
      <c r="H8" t="s">
        <v>1886</v>
      </c>
    </row>
    <row r="9" spans="2:8" x14ac:dyDescent="0.25">
      <c r="B9" t="s">
        <v>130</v>
      </c>
      <c r="H9" t="s">
        <v>145</v>
      </c>
    </row>
    <row r="10" spans="2:8" x14ac:dyDescent="0.25">
      <c r="H10" t="s">
        <v>1887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</row>
    <row r="13" spans="2:8" x14ac:dyDescent="0.25">
      <c r="H13" t="s">
        <v>7445</v>
      </c>
    </row>
    <row r="14" spans="2:8" x14ac:dyDescent="0.25">
      <c r="B14" s="1" t="s">
        <v>14</v>
      </c>
      <c r="H14" t="s">
        <v>145</v>
      </c>
    </row>
    <row r="15" spans="2:8" x14ac:dyDescent="0.25">
      <c r="B15" t="s">
        <v>16</v>
      </c>
      <c r="H15" t="s">
        <v>1889</v>
      </c>
    </row>
    <row r="16" spans="2:8" x14ac:dyDescent="0.25">
      <c r="H16" t="s">
        <v>31</v>
      </c>
    </row>
    <row r="17" spans="2:8" x14ac:dyDescent="0.25">
      <c r="B17" s="1" t="s">
        <v>21</v>
      </c>
    </row>
    <row r="18" spans="2:8" x14ac:dyDescent="0.25">
      <c r="B18" t="s">
        <v>131</v>
      </c>
      <c r="H18" t="s">
        <v>7446</v>
      </c>
    </row>
    <row r="19" spans="2:8" x14ac:dyDescent="0.25">
      <c r="H19" t="s">
        <v>145</v>
      </c>
    </row>
    <row r="20" spans="2:8" x14ac:dyDescent="0.25">
      <c r="B20" s="1" t="s">
        <v>22</v>
      </c>
      <c r="H20" t="s">
        <v>1891</v>
      </c>
    </row>
    <row r="21" spans="2:8" x14ac:dyDescent="0.25">
      <c r="B21" t="s">
        <v>132</v>
      </c>
      <c r="H21" t="s">
        <v>31</v>
      </c>
    </row>
    <row r="23" spans="2:8" x14ac:dyDescent="0.25">
      <c r="H23" t="s">
        <v>7447</v>
      </c>
    </row>
    <row r="24" spans="2:8" x14ac:dyDescent="0.25">
      <c r="H24" t="s">
        <v>145</v>
      </c>
    </row>
    <row r="25" spans="2:8" x14ac:dyDescent="0.25">
      <c r="H25" t="s">
        <v>1893</v>
      </c>
    </row>
    <row r="26" spans="2:8" x14ac:dyDescent="0.25">
      <c r="H26" t="s">
        <v>31</v>
      </c>
    </row>
    <row r="28" spans="2:8" x14ac:dyDescent="0.25">
      <c r="H28" t="s">
        <v>7448</v>
      </c>
    </row>
    <row r="29" spans="2:8" x14ac:dyDescent="0.25">
      <c r="H29" t="s">
        <v>145</v>
      </c>
    </row>
    <row r="30" spans="2:8" x14ac:dyDescent="0.25">
      <c r="H30" t="s">
        <v>1895</v>
      </c>
    </row>
    <row r="31" spans="2:8" x14ac:dyDescent="0.25">
      <c r="H31" t="s">
        <v>31</v>
      </c>
    </row>
    <row r="32" spans="2:8" x14ac:dyDescent="0.25">
      <c r="H32" t="s">
        <v>146</v>
      </c>
    </row>
    <row r="33" spans="8:8" x14ac:dyDescent="0.25">
      <c r="H33" t="s">
        <v>1896</v>
      </c>
    </row>
    <row r="34" spans="8:8" x14ac:dyDescent="0.25">
      <c r="H34" t="s">
        <v>31</v>
      </c>
    </row>
    <row r="35" spans="8:8" x14ac:dyDescent="0.25">
      <c r="H35" t="s">
        <v>147</v>
      </c>
    </row>
    <row r="36" spans="8:8" x14ac:dyDescent="0.25">
      <c r="H36" t="s">
        <v>1897</v>
      </c>
    </row>
    <row r="37" spans="8:8" x14ac:dyDescent="0.25">
      <c r="H37" t="s">
        <v>31</v>
      </c>
    </row>
    <row r="38" spans="8:8" x14ac:dyDescent="0.25">
      <c r="H38" t="s">
        <v>148</v>
      </c>
    </row>
    <row r="39" spans="8:8" x14ac:dyDescent="0.25">
      <c r="H39" t="s">
        <v>1898</v>
      </c>
    </row>
    <row r="40" spans="8:8" x14ac:dyDescent="0.25">
      <c r="H40" t="s">
        <v>31</v>
      </c>
    </row>
    <row r="42" spans="8:8" x14ac:dyDescent="0.25">
      <c r="H42" t="s">
        <v>7449</v>
      </c>
    </row>
    <row r="43" spans="8:8" x14ac:dyDescent="0.25">
      <c r="H43" t="s">
        <v>145</v>
      </c>
    </row>
    <row r="44" spans="8:8" x14ac:dyDescent="0.25">
      <c r="H44" t="s">
        <v>1900</v>
      </c>
    </row>
    <row r="45" spans="8:8" x14ac:dyDescent="0.25">
      <c r="H45" t="s">
        <v>31</v>
      </c>
    </row>
    <row r="46" spans="8:8" x14ac:dyDescent="0.25">
      <c r="H46" t="s">
        <v>146</v>
      </c>
    </row>
    <row r="47" spans="8:8" x14ac:dyDescent="0.25">
      <c r="H47" t="s">
        <v>1901</v>
      </c>
    </row>
    <row r="48" spans="8:8" x14ac:dyDescent="0.25">
      <c r="H48" t="s">
        <v>31</v>
      </c>
    </row>
    <row r="49" spans="8:8" x14ac:dyDescent="0.25">
      <c r="H49" t="s">
        <v>147</v>
      </c>
    </row>
    <row r="50" spans="8:8" x14ac:dyDescent="0.25">
      <c r="H50" t="s">
        <v>1902</v>
      </c>
    </row>
    <row r="51" spans="8:8" x14ac:dyDescent="0.25">
      <c r="H51" t="s">
        <v>31</v>
      </c>
    </row>
    <row r="52" spans="8:8" x14ac:dyDescent="0.25">
      <c r="H52" t="s">
        <v>148</v>
      </c>
    </row>
    <row r="53" spans="8:8" x14ac:dyDescent="0.25">
      <c r="H53" t="s">
        <v>1903</v>
      </c>
    </row>
    <row r="54" spans="8:8" x14ac:dyDescent="0.25">
      <c r="H54" t="s">
        <v>31</v>
      </c>
    </row>
    <row r="56" spans="8:8" x14ac:dyDescent="0.25">
      <c r="H56" t="s">
        <v>7450</v>
      </c>
    </row>
    <row r="57" spans="8:8" x14ac:dyDescent="0.25">
      <c r="H57" t="s">
        <v>145</v>
      </c>
    </row>
    <row r="58" spans="8:8" x14ac:dyDescent="0.25">
      <c r="H58" t="s">
        <v>1905</v>
      </c>
    </row>
    <row r="59" spans="8:8" x14ac:dyDescent="0.25">
      <c r="H59" t="s">
        <v>31</v>
      </c>
    </row>
    <row r="60" spans="8:8" x14ac:dyDescent="0.25">
      <c r="H60" t="s">
        <v>146</v>
      </c>
    </row>
    <row r="61" spans="8:8" x14ac:dyDescent="0.25">
      <c r="H61" t="s">
        <v>1906</v>
      </c>
    </row>
    <row r="62" spans="8:8" x14ac:dyDescent="0.25">
      <c r="H62" t="s">
        <v>31</v>
      </c>
    </row>
    <row r="63" spans="8:8" x14ac:dyDescent="0.25">
      <c r="H63" t="s">
        <v>147</v>
      </c>
    </row>
    <row r="64" spans="8:8" x14ac:dyDescent="0.25">
      <c r="H64" t="s">
        <v>1907</v>
      </c>
    </row>
    <row r="65" spans="8:8" x14ac:dyDescent="0.25">
      <c r="H65" t="s">
        <v>31</v>
      </c>
    </row>
    <row r="66" spans="8:8" x14ac:dyDescent="0.25">
      <c r="H66" t="s">
        <v>148</v>
      </c>
    </row>
    <row r="67" spans="8:8" x14ac:dyDescent="0.25">
      <c r="H67" t="s">
        <v>1908</v>
      </c>
    </row>
    <row r="68" spans="8:8" x14ac:dyDescent="0.25">
      <c r="H68" t="s">
        <v>31</v>
      </c>
    </row>
    <row r="70" spans="8:8" x14ac:dyDescent="0.25">
      <c r="H70" t="s">
        <v>7451</v>
      </c>
    </row>
    <row r="71" spans="8:8" x14ac:dyDescent="0.25">
      <c r="H71" t="s">
        <v>145</v>
      </c>
    </row>
    <row r="72" spans="8:8" x14ac:dyDescent="0.25">
      <c r="H72" t="s">
        <v>1910</v>
      </c>
    </row>
    <row r="73" spans="8:8" x14ac:dyDescent="0.25">
      <c r="H73" t="s">
        <v>31</v>
      </c>
    </row>
    <row r="74" spans="8:8" x14ac:dyDescent="0.25">
      <c r="H74" t="s">
        <v>146</v>
      </c>
    </row>
    <row r="75" spans="8:8" x14ac:dyDescent="0.25">
      <c r="H75" t="s">
        <v>1911</v>
      </c>
    </row>
    <row r="76" spans="8:8" x14ac:dyDescent="0.25">
      <c r="H76" t="s">
        <v>31</v>
      </c>
    </row>
    <row r="77" spans="8:8" x14ac:dyDescent="0.25">
      <c r="H77" t="s">
        <v>147</v>
      </c>
    </row>
    <row r="78" spans="8:8" x14ac:dyDescent="0.25">
      <c r="H78" t="s">
        <v>1912</v>
      </c>
    </row>
    <row r="79" spans="8:8" x14ac:dyDescent="0.25">
      <c r="H79" t="s">
        <v>31</v>
      </c>
    </row>
    <row r="80" spans="8:8" x14ac:dyDescent="0.25">
      <c r="H80" t="s">
        <v>148</v>
      </c>
    </row>
    <row r="81" spans="8:8" x14ac:dyDescent="0.25">
      <c r="H81" t="s">
        <v>1913</v>
      </c>
    </row>
    <row r="82" spans="8:8" x14ac:dyDescent="0.25">
      <c r="H82" t="s">
        <v>31</v>
      </c>
    </row>
    <row r="84" spans="8:8" x14ac:dyDescent="0.25">
      <c r="H84" t="s">
        <v>7452</v>
      </c>
    </row>
    <row r="85" spans="8:8" x14ac:dyDescent="0.25">
      <c r="H85" t="s">
        <v>1915</v>
      </c>
    </row>
    <row r="86" spans="8:8" x14ac:dyDescent="0.25">
      <c r="H86" t="s">
        <v>145</v>
      </c>
    </row>
    <row r="87" spans="8:8" x14ac:dyDescent="0.25">
      <c r="H87" t="s">
        <v>1916</v>
      </c>
    </row>
    <row r="88" spans="8:8" x14ac:dyDescent="0.25">
      <c r="H88" t="s">
        <v>31</v>
      </c>
    </row>
    <row r="90" spans="8:8" x14ac:dyDescent="0.25">
      <c r="H90" t="s">
        <v>7453</v>
      </c>
    </row>
    <row r="91" spans="8:8" x14ac:dyDescent="0.25">
      <c r="H91" t="s">
        <v>145</v>
      </c>
    </row>
    <row r="92" spans="8:8" x14ac:dyDescent="0.25">
      <c r="H92" t="s">
        <v>1918</v>
      </c>
    </row>
    <row r="93" spans="8:8" x14ac:dyDescent="0.25">
      <c r="H93" t="s">
        <v>31</v>
      </c>
    </row>
    <row r="94" spans="8:8" x14ac:dyDescent="0.25">
      <c r="H94" t="s">
        <v>146</v>
      </c>
    </row>
    <row r="95" spans="8:8" x14ac:dyDescent="0.25">
      <c r="H95" t="s">
        <v>1919</v>
      </c>
    </row>
    <row r="96" spans="8:8" x14ac:dyDescent="0.25">
      <c r="H96" t="s">
        <v>31</v>
      </c>
    </row>
    <row r="97" spans="8:8" x14ac:dyDescent="0.25">
      <c r="H97" t="s">
        <v>147</v>
      </c>
    </row>
    <row r="98" spans="8:8" x14ac:dyDescent="0.25">
      <c r="H98" t="s">
        <v>1920</v>
      </c>
    </row>
    <row r="99" spans="8:8" x14ac:dyDescent="0.25">
      <c r="H99" t="s">
        <v>31</v>
      </c>
    </row>
    <row r="100" spans="8:8" x14ac:dyDescent="0.25">
      <c r="H100" t="s">
        <v>148</v>
      </c>
    </row>
    <row r="101" spans="8:8" x14ac:dyDescent="0.25">
      <c r="H101" t="s">
        <v>1921</v>
      </c>
    </row>
    <row r="102" spans="8:8" x14ac:dyDescent="0.25">
      <c r="H102" t="s">
        <v>31</v>
      </c>
    </row>
    <row r="104" spans="8:8" x14ac:dyDescent="0.25">
      <c r="H104" t="s">
        <v>7454</v>
      </c>
    </row>
    <row r="105" spans="8:8" x14ac:dyDescent="0.25">
      <c r="H105" t="s">
        <v>145</v>
      </c>
    </row>
    <row r="106" spans="8:8" x14ac:dyDescent="0.25">
      <c r="H106" t="s">
        <v>1923</v>
      </c>
    </row>
    <row r="107" spans="8:8" x14ac:dyDescent="0.25">
      <c r="H107" t="s">
        <v>31</v>
      </c>
    </row>
    <row r="108" spans="8:8" x14ac:dyDescent="0.25">
      <c r="H108" t="s">
        <v>146</v>
      </c>
    </row>
    <row r="109" spans="8:8" x14ac:dyDescent="0.25">
      <c r="H109" t="s">
        <v>1924</v>
      </c>
    </row>
    <row r="110" spans="8:8" x14ac:dyDescent="0.25">
      <c r="H110" t="s">
        <v>31</v>
      </c>
    </row>
    <row r="111" spans="8:8" x14ac:dyDescent="0.25">
      <c r="H111" t="s">
        <v>147</v>
      </c>
    </row>
    <row r="112" spans="8:8" x14ac:dyDescent="0.25">
      <c r="H112" t="s">
        <v>1925</v>
      </c>
    </row>
    <row r="113" spans="8:8" x14ac:dyDescent="0.25">
      <c r="H113" t="s">
        <v>31</v>
      </c>
    </row>
    <row r="114" spans="8:8" x14ac:dyDescent="0.25">
      <c r="H114" t="s">
        <v>148</v>
      </c>
    </row>
    <row r="115" spans="8:8" x14ac:dyDescent="0.25">
      <c r="H115" t="s">
        <v>1926</v>
      </c>
    </row>
    <row r="116" spans="8:8" x14ac:dyDescent="0.25">
      <c r="H116" t="s">
        <v>31</v>
      </c>
    </row>
    <row r="118" spans="8:8" x14ac:dyDescent="0.25">
      <c r="H118" t="s">
        <v>7455</v>
      </c>
    </row>
    <row r="119" spans="8:8" x14ac:dyDescent="0.25">
      <c r="H119" t="s">
        <v>145</v>
      </c>
    </row>
    <row r="120" spans="8:8" x14ac:dyDescent="0.25">
      <c r="H120" t="s">
        <v>1928</v>
      </c>
    </row>
    <row r="121" spans="8:8" x14ac:dyDescent="0.25">
      <c r="H121" t="s">
        <v>31</v>
      </c>
    </row>
    <row r="122" spans="8:8" x14ac:dyDescent="0.25">
      <c r="H122" t="s">
        <v>146</v>
      </c>
    </row>
    <row r="123" spans="8:8" x14ac:dyDescent="0.25">
      <c r="H123" t="s">
        <v>1929</v>
      </c>
    </row>
    <row r="124" spans="8:8" x14ac:dyDescent="0.25">
      <c r="H124" t="s">
        <v>31</v>
      </c>
    </row>
    <row r="125" spans="8:8" x14ac:dyDescent="0.25">
      <c r="H125" t="s">
        <v>147</v>
      </c>
    </row>
    <row r="126" spans="8:8" x14ac:dyDescent="0.25">
      <c r="H126" t="s">
        <v>1930</v>
      </c>
    </row>
    <row r="127" spans="8:8" x14ac:dyDescent="0.25">
      <c r="H127" t="s">
        <v>31</v>
      </c>
    </row>
    <row r="129" spans="8:8" x14ac:dyDescent="0.25">
      <c r="H129" t="s">
        <v>7456</v>
      </c>
    </row>
    <row r="130" spans="8:8" x14ac:dyDescent="0.25">
      <c r="H130" t="s">
        <v>145</v>
      </c>
    </row>
    <row r="131" spans="8:8" x14ac:dyDescent="0.25">
      <c r="H131" t="s">
        <v>1932</v>
      </c>
    </row>
    <row r="132" spans="8:8" x14ac:dyDescent="0.25">
      <c r="H132" t="s">
        <v>31</v>
      </c>
    </row>
    <row r="133" spans="8:8" x14ac:dyDescent="0.25">
      <c r="H133" t="s">
        <v>146</v>
      </c>
    </row>
    <row r="134" spans="8:8" x14ac:dyDescent="0.25">
      <c r="H134" t="s">
        <v>1933</v>
      </c>
    </row>
    <row r="135" spans="8:8" x14ac:dyDescent="0.25">
      <c r="H135" t="s">
        <v>31</v>
      </c>
    </row>
    <row r="136" spans="8:8" x14ac:dyDescent="0.25">
      <c r="H136" t="s">
        <v>147</v>
      </c>
    </row>
    <row r="137" spans="8:8" x14ac:dyDescent="0.25">
      <c r="H137" t="s">
        <v>1934</v>
      </c>
    </row>
    <row r="138" spans="8:8" x14ac:dyDescent="0.25">
      <c r="H138" t="s">
        <v>31</v>
      </c>
    </row>
    <row r="139" spans="8:8" x14ac:dyDescent="0.25">
      <c r="H139" t="s">
        <v>148</v>
      </c>
    </row>
    <row r="140" spans="8:8" x14ac:dyDescent="0.25">
      <c r="H140" t="s">
        <v>1935</v>
      </c>
    </row>
    <row r="141" spans="8:8" x14ac:dyDescent="0.25">
      <c r="H141" t="s">
        <v>31</v>
      </c>
    </row>
    <row r="143" spans="8:8" x14ac:dyDescent="0.25">
      <c r="H143" t="s">
        <v>7457</v>
      </c>
    </row>
    <row r="144" spans="8:8" x14ac:dyDescent="0.25">
      <c r="H144" t="s">
        <v>145</v>
      </c>
    </row>
    <row r="145" spans="8:8" x14ac:dyDescent="0.25">
      <c r="H145" t="s">
        <v>1937</v>
      </c>
    </row>
    <row r="146" spans="8:8" x14ac:dyDescent="0.25">
      <c r="H146" t="s">
        <v>31</v>
      </c>
    </row>
    <row r="147" spans="8:8" x14ac:dyDescent="0.25">
      <c r="H147" t="s">
        <v>146</v>
      </c>
    </row>
    <row r="148" spans="8:8" x14ac:dyDescent="0.25">
      <c r="H148" t="s">
        <v>1938</v>
      </c>
    </row>
    <row r="149" spans="8:8" x14ac:dyDescent="0.25">
      <c r="H149" t="s">
        <v>31</v>
      </c>
    </row>
    <row r="150" spans="8:8" x14ac:dyDescent="0.25">
      <c r="H150" t="s">
        <v>147</v>
      </c>
    </row>
    <row r="151" spans="8:8" x14ac:dyDescent="0.25">
      <c r="H151" t="s">
        <v>1939</v>
      </c>
    </row>
    <row r="152" spans="8:8" x14ac:dyDescent="0.25">
      <c r="H152" t="s">
        <v>31</v>
      </c>
    </row>
    <row r="153" spans="8:8" x14ac:dyDescent="0.25">
      <c r="H153" t="s">
        <v>148</v>
      </c>
    </row>
    <row r="154" spans="8:8" x14ac:dyDescent="0.25">
      <c r="H154" t="s">
        <v>1940</v>
      </c>
    </row>
    <row r="155" spans="8:8" x14ac:dyDescent="0.25">
      <c r="H155" t="s">
        <v>31</v>
      </c>
    </row>
    <row r="157" spans="8:8" x14ac:dyDescent="0.25">
      <c r="H157" t="s">
        <v>7458</v>
      </c>
    </row>
    <row r="158" spans="8:8" x14ac:dyDescent="0.25">
      <c r="H158" t="s">
        <v>145</v>
      </c>
    </row>
    <row r="159" spans="8:8" x14ac:dyDescent="0.25">
      <c r="H159" t="s">
        <v>1942</v>
      </c>
    </row>
    <row r="160" spans="8:8" x14ac:dyDescent="0.25">
      <c r="H160" t="s">
        <v>31</v>
      </c>
    </row>
    <row r="161" spans="8:8" x14ac:dyDescent="0.25">
      <c r="H161" t="s">
        <v>146</v>
      </c>
    </row>
    <row r="162" spans="8:8" x14ac:dyDescent="0.25">
      <c r="H162" t="s">
        <v>1943</v>
      </c>
    </row>
    <row r="163" spans="8:8" x14ac:dyDescent="0.25">
      <c r="H163" t="s">
        <v>31</v>
      </c>
    </row>
    <row r="164" spans="8:8" x14ac:dyDescent="0.25">
      <c r="H164" t="s">
        <v>147</v>
      </c>
    </row>
    <row r="165" spans="8:8" x14ac:dyDescent="0.25">
      <c r="H165" t="s">
        <v>1944</v>
      </c>
    </row>
    <row r="166" spans="8:8" x14ac:dyDescent="0.25">
      <c r="H166" t="s">
        <v>31</v>
      </c>
    </row>
    <row r="167" spans="8:8" x14ac:dyDescent="0.25">
      <c r="H167" t="s">
        <v>148</v>
      </c>
    </row>
    <row r="168" spans="8:8" x14ac:dyDescent="0.25">
      <c r="H168" t="s">
        <v>1945</v>
      </c>
    </row>
    <row r="169" spans="8:8" x14ac:dyDescent="0.25">
      <c r="H169" t="s">
        <v>31</v>
      </c>
    </row>
    <row r="171" spans="8:8" x14ac:dyDescent="0.25">
      <c r="H171" t="s">
        <v>7459</v>
      </c>
    </row>
    <row r="172" spans="8:8" x14ac:dyDescent="0.25">
      <c r="H172" t="s">
        <v>145</v>
      </c>
    </row>
    <row r="173" spans="8:8" x14ac:dyDescent="0.25">
      <c r="H173" t="s">
        <v>1947</v>
      </c>
    </row>
    <row r="174" spans="8:8" x14ac:dyDescent="0.25">
      <c r="H174" t="s">
        <v>31</v>
      </c>
    </row>
    <row r="175" spans="8:8" x14ac:dyDescent="0.25">
      <c r="H175" t="s">
        <v>146</v>
      </c>
    </row>
    <row r="176" spans="8:8" x14ac:dyDescent="0.25">
      <c r="H176" t="s">
        <v>1948</v>
      </c>
    </row>
    <row r="177" spans="8:8" x14ac:dyDescent="0.25">
      <c r="H177" t="s">
        <v>31</v>
      </c>
    </row>
    <row r="178" spans="8:8" x14ac:dyDescent="0.25">
      <c r="H178" t="s">
        <v>147</v>
      </c>
    </row>
    <row r="179" spans="8:8" x14ac:dyDescent="0.25">
      <c r="H179" t="s">
        <v>1949</v>
      </c>
    </row>
    <row r="180" spans="8:8" x14ac:dyDescent="0.25">
      <c r="H180" t="s">
        <v>31</v>
      </c>
    </row>
    <row r="181" spans="8:8" x14ac:dyDescent="0.25">
      <c r="H181" t="s">
        <v>148</v>
      </c>
    </row>
    <row r="182" spans="8:8" x14ac:dyDescent="0.25">
      <c r="H182" t="s">
        <v>1950</v>
      </c>
    </row>
    <row r="183" spans="8:8" x14ac:dyDescent="0.25">
      <c r="H183" t="s">
        <v>31</v>
      </c>
    </row>
    <row r="185" spans="8:8" x14ac:dyDescent="0.25">
      <c r="H185" t="s">
        <v>7460</v>
      </c>
    </row>
    <row r="186" spans="8:8" x14ac:dyDescent="0.25">
      <c r="H186" t="s">
        <v>145</v>
      </c>
    </row>
    <row r="187" spans="8:8" x14ac:dyDescent="0.25">
      <c r="H187" t="s">
        <v>1952</v>
      </c>
    </row>
    <row r="188" spans="8:8" x14ac:dyDescent="0.25">
      <c r="H188" t="s">
        <v>31</v>
      </c>
    </row>
    <row r="189" spans="8:8" x14ac:dyDescent="0.25">
      <c r="H189" t="s">
        <v>146</v>
      </c>
    </row>
    <row r="190" spans="8:8" x14ac:dyDescent="0.25">
      <c r="H190" t="s">
        <v>1953</v>
      </c>
    </row>
    <row r="191" spans="8:8" x14ac:dyDescent="0.25">
      <c r="H191" t="s">
        <v>31</v>
      </c>
    </row>
    <row r="192" spans="8:8" x14ac:dyDescent="0.25">
      <c r="H192" t="s">
        <v>147</v>
      </c>
    </row>
    <row r="193" spans="8:8" x14ac:dyDescent="0.25">
      <c r="H193" t="s">
        <v>1954</v>
      </c>
    </row>
    <row r="194" spans="8:8" x14ac:dyDescent="0.25">
      <c r="H194" t="s">
        <v>31</v>
      </c>
    </row>
    <row r="195" spans="8:8" x14ac:dyDescent="0.25">
      <c r="H195" t="s">
        <v>148</v>
      </c>
    </row>
    <row r="196" spans="8:8" x14ac:dyDescent="0.25">
      <c r="H196" t="s">
        <v>1955</v>
      </c>
    </row>
    <row r="197" spans="8:8" x14ac:dyDescent="0.25">
      <c r="H197" t="s">
        <v>31</v>
      </c>
    </row>
    <row r="199" spans="8:8" x14ac:dyDescent="0.25">
      <c r="H199" t="s">
        <v>7461</v>
      </c>
    </row>
    <row r="200" spans="8:8" x14ac:dyDescent="0.25">
      <c r="H200" t="s">
        <v>145</v>
      </c>
    </row>
    <row r="201" spans="8:8" x14ac:dyDescent="0.25">
      <c r="H201" t="s">
        <v>1957</v>
      </c>
    </row>
    <row r="202" spans="8:8" x14ac:dyDescent="0.25">
      <c r="H202" t="s">
        <v>31</v>
      </c>
    </row>
    <row r="203" spans="8:8" x14ac:dyDescent="0.25">
      <c r="H203" t="s">
        <v>146</v>
      </c>
    </row>
    <row r="204" spans="8:8" x14ac:dyDescent="0.25">
      <c r="H204" t="s">
        <v>1958</v>
      </c>
    </row>
    <row r="205" spans="8:8" x14ac:dyDescent="0.25">
      <c r="H205" t="s">
        <v>31</v>
      </c>
    </row>
    <row r="206" spans="8:8" x14ac:dyDescent="0.25">
      <c r="H206" t="s">
        <v>147</v>
      </c>
    </row>
    <row r="207" spans="8:8" x14ac:dyDescent="0.25">
      <c r="H207" t="s">
        <v>1959</v>
      </c>
    </row>
    <row r="208" spans="8:8" x14ac:dyDescent="0.25">
      <c r="H208" t="s">
        <v>31</v>
      </c>
    </row>
    <row r="209" spans="8:8" x14ac:dyDescent="0.25">
      <c r="H209" t="s">
        <v>148</v>
      </c>
    </row>
    <row r="210" spans="8:8" x14ac:dyDescent="0.25">
      <c r="H210" t="s">
        <v>1960</v>
      </c>
    </row>
    <row r="211" spans="8:8" x14ac:dyDescent="0.25">
      <c r="H211" t="s">
        <v>31</v>
      </c>
    </row>
    <row r="213" spans="8:8" x14ac:dyDescent="0.25">
      <c r="H213" t="s">
        <v>7462</v>
      </c>
    </row>
    <row r="214" spans="8:8" x14ac:dyDescent="0.25">
      <c r="H214" t="s">
        <v>145</v>
      </c>
    </row>
    <row r="215" spans="8:8" x14ac:dyDescent="0.25">
      <c r="H215" t="s">
        <v>1962</v>
      </c>
    </row>
    <row r="216" spans="8:8" x14ac:dyDescent="0.25">
      <c r="H216" t="s">
        <v>31</v>
      </c>
    </row>
    <row r="218" spans="8:8" x14ac:dyDescent="0.25">
      <c r="H218" t="s">
        <v>7463</v>
      </c>
    </row>
    <row r="219" spans="8:8" x14ac:dyDescent="0.25">
      <c r="H219" t="s">
        <v>145</v>
      </c>
    </row>
    <row r="220" spans="8:8" x14ac:dyDescent="0.25">
      <c r="H220" t="s">
        <v>1964</v>
      </c>
    </row>
    <row r="221" spans="8:8" x14ac:dyDescent="0.25">
      <c r="H221" t="s">
        <v>31</v>
      </c>
    </row>
    <row r="223" spans="8:8" x14ac:dyDescent="0.25">
      <c r="H223" t="s">
        <v>7464</v>
      </c>
    </row>
    <row r="224" spans="8:8" x14ac:dyDescent="0.25">
      <c r="H224" t="s">
        <v>145</v>
      </c>
    </row>
    <row r="225" spans="8:8" x14ac:dyDescent="0.25">
      <c r="H225" t="s">
        <v>1966</v>
      </c>
    </row>
    <row r="226" spans="8:8" x14ac:dyDescent="0.25">
      <c r="H226" t="s">
        <v>31</v>
      </c>
    </row>
    <row r="227" spans="8:8" x14ac:dyDescent="0.25">
      <c r="H227" t="s">
        <v>146</v>
      </c>
    </row>
    <row r="228" spans="8:8" x14ac:dyDescent="0.25">
      <c r="H228" t="s">
        <v>1967</v>
      </c>
    </row>
    <row r="229" spans="8:8" x14ac:dyDescent="0.25">
      <c r="H229" t="s">
        <v>31</v>
      </c>
    </row>
    <row r="231" spans="8:8" x14ac:dyDescent="0.25">
      <c r="H231" t="s">
        <v>7465</v>
      </c>
    </row>
    <row r="232" spans="8:8" x14ac:dyDescent="0.25">
      <c r="H232" t="s">
        <v>145</v>
      </c>
    </row>
    <row r="233" spans="8:8" x14ac:dyDescent="0.25">
      <c r="H233" t="s">
        <v>1969</v>
      </c>
    </row>
    <row r="234" spans="8:8" x14ac:dyDescent="0.25">
      <c r="H234" t="s">
        <v>31</v>
      </c>
    </row>
    <row r="236" spans="8:8" x14ac:dyDescent="0.25">
      <c r="H236" t="s">
        <v>7466</v>
      </c>
    </row>
    <row r="237" spans="8:8" x14ac:dyDescent="0.25">
      <c r="H237" t="s">
        <v>145</v>
      </c>
    </row>
    <row r="238" spans="8:8" x14ac:dyDescent="0.25">
      <c r="H238" t="s">
        <v>1971</v>
      </c>
    </row>
    <row r="239" spans="8:8" x14ac:dyDescent="0.25">
      <c r="H239" t="s">
        <v>31</v>
      </c>
    </row>
    <row r="241" spans="8:8" x14ac:dyDescent="0.25">
      <c r="H241" t="s">
        <v>7467</v>
      </c>
    </row>
    <row r="242" spans="8:8" x14ac:dyDescent="0.25">
      <c r="H242" t="s">
        <v>145</v>
      </c>
    </row>
    <row r="243" spans="8:8" x14ac:dyDescent="0.25">
      <c r="H243" t="s">
        <v>1973</v>
      </c>
    </row>
    <row r="244" spans="8:8" x14ac:dyDescent="0.25">
      <c r="H244" t="s">
        <v>31</v>
      </c>
    </row>
    <row r="246" spans="8:8" x14ac:dyDescent="0.25">
      <c r="H246" t="s">
        <v>7468</v>
      </c>
    </row>
    <row r="247" spans="8:8" x14ac:dyDescent="0.25">
      <c r="H247" t="s">
        <v>145</v>
      </c>
    </row>
    <row r="248" spans="8:8" x14ac:dyDescent="0.25">
      <c r="H248" t="s">
        <v>1975</v>
      </c>
    </row>
    <row r="249" spans="8:8" x14ac:dyDescent="0.25">
      <c r="H249" t="s">
        <v>31</v>
      </c>
    </row>
    <row r="250" spans="8:8" x14ac:dyDescent="0.25">
      <c r="H250" t="s">
        <v>146</v>
      </c>
    </row>
    <row r="251" spans="8:8" x14ac:dyDescent="0.25">
      <c r="H251" t="s">
        <v>1976</v>
      </c>
    </row>
    <row r="252" spans="8:8" x14ac:dyDescent="0.25">
      <c r="H252" t="s">
        <v>31</v>
      </c>
    </row>
    <row r="253" spans="8:8" x14ac:dyDescent="0.25">
      <c r="H253" t="s">
        <v>147</v>
      </c>
    </row>
    <row r="254" spans="8:8" x14ac:dyDescent="0.25">
      <c r="H254" t="s">
        <v>1977</v>
      </c>
    </row>
    <row r="255" spans="8:8" x14ac:dyDescent="0.25">
      <c r="H255" t="s">
        <v>31</v>
      </c>
    </row>
    <row r="257" spans="8:8" x14ac:dyDescent="0.25">
      <c r="H257" t="s">
        <v>7469</v>
      </c>
    </row>
    <row r="258" spans="8:8" x14ac:dyDescent="0.25">
      <c r="H258" t="s">
        <v>145</v>
      </c>
    </row>
    <row r="259" spans="8:8" x14ac:dyDescent="0.25">
      <c r="H259" t="s">
        <v>1979</v>
      </c>
    </row>
    <row r="260" spans="8:8" x14ac:dyDescent="0.25">
      <c r="H260" t="s">
        <v>31</v>
      </c>
    </row>
    <row r="261" spans="8:8" x14ac:dyDescent="0.25">
      <c r="H261" t="s">
        <v>146</v>
      </c>
    </row>
    <row r="262" spans="8:8" x14ac:dyDescent="0.25">
      <c r="H262" t="s">
        <v>1980</v>
      </c>
    </row>
    <row r="263" spans="8:8" x14ac:dyDescent="0.25">
      <c r="H263" t="s">
        <v>31</v>
      </c>
    </row>
    <row r="264" spans="8:8" x14ac:dyDescent="0.25">
      <c r="H264" t="s">
        <v>1981</v>
      </c>
    </row>
    <row r="265" spans="8:8" x14ac:dyDescent="0.25">
      <c r="H265" t="s">
        <v>147</v>
      </c>
    </row>
    <row r="266" spans="8:8" x14ac:dyDescent="0.25">
      <c r="H266" t="s">
        <v>1982</v>
      </c>
    </row>
    <row r="267" spans="8:8" x14ac:dyDescent="0.25">
      <c r="H267" t="s">
        <v>31</v>
      </c>
    </row>
    <row r="268" spans="8:8" x14ac:dyDescent="0.25">
      <c r="H268" t="s">
        <v>148</v>
      </c>
    </row>
    <row r="269" spans="8:8" x14ac:dyDescent="0.25">
      <c r="H269" t="s">
        <v>1983</v>
      </c>
    </row>
    <row r="270" spans="8:8" x14ac:dyDescent="0.25">
      <c r="H270" t="s">
        <v>31</v>
      </c>
    </row>
    <row r="272" spans="8:8" x14ac:dyDescent="0.25">
      <c r="H272" t="s">
        <v>7470</v>
      </c>
    </row>
    <row r="273" spans="8:8" x14ac:dyDescent="0.25">
      <c r="H273" t="s">
        <v>145</v>
      </c>
    </row>
    <row r="274" spans="8:8" x14ac:dyDescent="0.25">
      <c r="H274" t="s">
        <v>1985</v>
      </c>
    </row>
    <row r="275" spans="8:8" x14ac:dyDescent="0.25">
      <c r="H275" t="s">
        <v>31</v>
      </c>
    </row>
    <row r="276" spans="8:8" x14ac:dyDescent="0.25">
      <c r="H276" t="s">
        <v>146</v>
      </c>
    </row>
    <row r="277" spans="8:8" x14ac:dyDescent="0.25">
      <c r="H277" t="s">
        <v>1986</v>
      </c>
    </row>
    <row r="278" spans="8:8" x14ac:dyDescent="0.25">
      <c r="H278" t="s">
        <v>31</v>
      </c>
    </row>
    <row r="280" spans="8:8" x14ac:dyDescent="0.25">
      <c r="H280" t="s">
        <v>7471</v>
      </c>
    </row>
    <row r="281" spans="8:8" x14ac:dyDescent="0.25">
      <c r="H281" t="s">
        <v>145</v>
      </c>
    </row>
    <row r="282" spans="8:8" x14ac:dyDescent="0.25">
      <c r="H282" t="s">
        <v>1988</v>
      </c>
    </row>
    <row r="283" spans="8:8" x14ac:dyDescent="0.25">
      <c r="H283" t="s">
        <v>31</v>
      </c>
    </row>
    <row r="285" spans="8:8" x14ac:dyDescent="0.25">
      <c r="H285" t="s">
        <v>7472</v>
      </c>
    </row>
    <row r="286" spans="8:8" x14ac:dyDescent="0.25">
      <c r="H286" t="s">
        <v>145</v>
      </c>
    </row>
    <row r="287" spans="8:8" x14ac:dyDescent="0.25">
      <c r="H287" t="s">
        <v>1990</v>
      </c>
    </row>
    <row r="288" spans="8:8" x14ac:dyDescent="0.25">
      <c r="H288" t="s">
        <v>31</v>
      </c>
    </row>
    <row r="290" spans="8:8" x14ac:dyDescent="0.25">
      <c r="H290" t="s">
        <v>7473</v>
      </c>
    </row>
    <row r="291" spans="8:8" x14ac:dyDescent="0.25">
      <c r="H291" t="s">
        <v>145</v>
      </c>
    </row>
    <row r="292" spans="8:8" x14ac:dyDescent="0.25">
      <c r="H292" t="s">
        <v>1992</v>
      </c>
    </row>
    <row r="293" spans="8:8" x14ac:dyDescent="0.25">
      <c r="H293" t="s">
        <v>31</v>
      </c>
    </row>
    <row r="295" spans="8:8" x14ac:dyDescent="0.25">
      <c r="H295" t="s">
        <v>7474</v>
      </c>
    </row>
    <row r="296" spans="8:8" x14ac:dyDescent="0.25">
      <c r="H296" t="s">
        <v>145</v>
      </c>
    </row>
    <row r="297" spans="8:8" x14ac:dyDescent="0.25">
      <c r="H297" t="s">
        <v>1994</v>
      </c>
    </row>
    <row r="298" spans="8:8" x14ac:dyDescent="0.25">
      <c r="H298" t="s">
        <v>31</v>
      </c>
    </row>
    <row r="300" spans="8:8" x14ac:dyDescent="0.25">
      <c r="H300" t="s">
        <v>7475</v>
      </c>
    </row>
    <row r="301" spans="8:8" x14ac:dyDescent="0.25">
      <c r="H301" t="s">
        <v>145</v>
      </c>
    </row>
    <row r="302" spans="8:8" x14ac:dyDescent="0.25">
      <c r="H302" t="s">
        <v>1996</v>
      </c>
    </row>
    <row r="303" spans="8:8" x14ac:dyDescent="0.25">
      <c r="H303" t="s">
        <v>31</v>
      </c>
    </row>
    <row r="305" spans="8:8" x14ac:dyDescent="0.25">
      <c r="H305" t="s">
        <v>7476</v>
      </c>
    </row>
    <row r="306" spans="8:8" x14ac:dyDescent="0.25">
      <c r="H306" t="s">
        <v>145</v>
      </c>
    </row>
    <row r="307" spans="8:8" x14ac:dyDescent="0.25">
      <c r="H307" t="s">
        <v>1998</v>
      </c>
    </row>
    <row r="308" spans="8:8" x14ac:dyDescent="0.25">
      <c r="H308" t="s">
        <v>31</v>
      </c>
    </row>
    <row r="310" spans="8:8" x14ac:dyDescent="0.25">
      <c r="H310" t="s">
        <v>7477</v>
      </c>
    </row>
    <row r="311" spans="8:8" x14ac:dyDescent="0.25">
      <c r="H311" t="s">
        <v>145</v>
      </c>
    </row>
    <row r="312" spans="8:8" x14ac:dyDescent="0.25">
      <c r="H312" t="s">
        <v>2000</v>
      </c>
    </row>
    <row r="313" spans="8:8" x14ac:dyDescent="0.25">
      <c r="H313" t="s">
        <v>31</v>
      </c>
    </row>
    <row r="315" spans="8:8" x14ac:dyDescent="0.25">
      <c r="H315" t="s">
        <v>7478</v>
      </c>
    </row>
    <row r="316" spans="8:8" x14ac:dyDescent="0.25">
      <c r="H316" t="s">
        <v>145</v>
      </c>
    </row>
    <row r="317" spans="8:8" x14ac:dyDescent="0.25">
      <c r="H317" t="s">
        <v>2002</v>
      </c>
    </row>
    <row r="318" spans="8:8" x14ac:dyDescent="0.25">
      <c r="H318" t="s">
        <v>31</v>
      </c>
    </row>
    <row r="320" spans="8:8" x14ac:dyDescent="0.25">
      <c r="H320" t="s">
        <v>7479</v>
      </c>
    </row>
    <row r="321" spans="8:8" x14ac:dyDescent="0.25">
      <c r="H321" t="s">
        <v>145</v>
      </c>
    </row>
    <row r="322" spans="8:8" x14ac:dyDescent="0.25">
      <c r="H322" t="s">
        <v>2004</v>
      </c>
    </row>
    <row r="323" spans="8:8" x14ac:dyDescent="0.25">
      <c r="H323" t="s">
        <v>31</v>
      </c>
    </row>
    <row r="325" spans="8:8" x14ac:dyDescent="0.25">
      <c r="H325" t="s">
        <v>7480</v>
      </c>
    </row>
    <row r="326" spans="8:8" x14ac:dyDescent="0.25">
      <c r="H326" t="s">
        <v>145</v>
      </c>
    </row>
    <row r="327" spans="8:8" x14ac:dyDescent="0.25">
      <c r="H327" t="s">
        <v>2006</v>
      </c>
    </row>
    <row r="328" spans="8:8" x14ac:dyDescent="0.25">
      <c r="H328" t="s">
        <v>31</v>
      </c>
    </row>
    <row r="330" spans="8:8" x14ac:dyDescent="0.25">
      <c r="H330" t="s">
        <v>7481</v>
      </c>
    </row>
    <row r="331" spans="8:8" x14ac:dyDescent="0.25">
      <c r="H331" t="s">
        <v>145</v>
      </c>
    </row>
    <row r="332" spans="8:8" x14ac:dyDescent="0.25">
      <c r="H332" t="s">
        <v>2008</v>
      </c>
    </row>
    <row r="333" spans="8:8" x14ac:dyDescent="0.25">
      <c r="H333" t="s">
        <v>31</v>
      </c>
    </row>
    <row r="335" spans="8:8" x14ac:dyDescent="0.25">
      <c r="H335" t="s">
        <v>7482</v>
      </c>
    </row>
    <row r="336" spans="8:8" x14ac:dyDescent="0.25">
      <c r="H336" t="s">
        <v>145</v>
      </c>
    </row>
    <row r="337" spans="8:8" x14ac:dyDescent="0.25">
      <c r="H337" t="s">
        <v>2010</v>
      </c>
    </row>
    <row r="338" spans="8:8" x14ac:dyDescent="0.25">
      <c r="H338" t="s">
        <v>31</v>
      </c>
    </row>
    <row r="340" spans="8:8" x14ac:dyDescent="0.25">
      <c r="H340" t="s">
        <v>7483</v>
      </c>
    </row>
    <row r="341" spans="8:8" x14ac:dyDescent="0.25">
      <c r="H341" t="s">
        <v>145</v>
      </c>
    </row>
    <row r="342" spans="8:8" x14ac:dyDescent="0.25">
      <c r="H342" t="s">
        <v>2012</v>
      </c>
    </row>
    <row r="343" spans="8:8" x14ac:dyDescent="0.25">
      <c r="H343" t="s">
        <v>31</v>
      </c>
    </row>
    <row r="345" spans="8:8" x14ac:dyDescent="0.25">
      <c r="H345" t="s">
        <v>7484</v>
      </c>
    </row>
    <row r="346" spans="8:8" x14ac:dyDescent="0.25">
      <c r="H346" t="s">
        <v>145</v>
      </c>
    </row>
    <row r="347" spans="8:8" x14ac:dyDescent="0.25">
      <c r="H347" t="s">
        <v>2014</v>
      </c>
    </row>
    <row r="348" spans="8:8" x14ac:dyDescent="0.25">
      <c r="H348" t="s">
        <v>31</v>
      </c>
    </row>
    <row r="350" spans="8:8" x14ac:dyDescent="0.25">
      <c r="H350" t="s">
        <v>7485</v>
      </c>
    </row>
    <row r="351" spans="8:8" x14ac:dyDescent="0.25">
      <c r="H351" t="s">
        <v>145</v>
      </c>
    </row>
    <row r="352" spans="8:8" x14ac:dyDescent="0.25">
      <c r="H352" t="s">
        <v>2016</v>
      </c>
    </row>
    <row r="353" spans="8:8" x14ac:dyDescent="0.25">
      <c r="H353" t="s">
        <v>31</v>
      </c>
    </row>
    <row r="355" spans="8:8" x14ac:dyDescent="0.25">
      <c r="H355" t="s">
        <v>7486</v>
      </c>
    </row>
    <row r="356" spans="8:8" x14ac:dyDescent="0.25">
      <c r="H356" t="s">
        <v>145</v>
      </c>
    </row>
    <row r="357" spans="8:8" x14ac:dyDescent="0.25">
      <c r="H357" t="s">
        <v>2018</v>
      </c>
    </row>
    <row r="358" spans="8:8" x14ac:dyDescent="0.25">
      <c r="H358" t="s">
        <v>31</v>
      </c>
    </row>
    <row r="360" spans="8:8" x14ac:dyDescent="0.25">
      <c r="H360" t="s">
        <v>7487</v>
      </c>
    </row>
    <row r="361" spans="8:8" x14ac:dyDescent="0.25">
      <c r="H361" t="s">
        <v>145</v>
      </c>
    </row>
    <row r="362" spans="8:8" x14ac:dyDescent="0.25">
      <c r="H362" t="s">
        <v>2020</v>
      </c>
    </row>
    <row r="363" spans="8:8" x14ac:dyDescent="0.25">
      <c r="H363" t="s">
        <v>31</v>
      </c>
    </row>
    <row r="365" spans="8:8" x14ac:dyDescent="0.25">
      <c r="H365" t="s">
        <v>7488</v>
      </c>
    </row>
    <row r="366" spans="8:8" x14ac:dyDescent="0.25">
      <c r="H366" t="s">
        <v>145</v>
      </c>
    </row>
    <row r="367" spans="8:8" x14ac:dyDescent="0.25">
      <c r="H367" t="s">
        <v>2022</v>
      </c>
    </row>
    <row r="368" spans="8:8" x14ac:dyDescent="0.25">
      <c r="H368" t="s">
        <v>31</v>
      </c>
    </row>
    <row r="370" spans="8:8" x14ac:dyDescent="0.25">
      <c r="H370" t="s">
        <v>7489</v>
      </c>
    </row>
    <row r="371" spans="8:8" x14ac:dyDescent="0.25">
      <c r="H371" t="s">
        <v>145</v>
      </c>
    </row>
    <row r="372" spans="8:8" x14ac:dyDescent="0.25">
      <c r="H372" t="s">
        <v>2024</v>
      </c>
    </row>
    <row r="373" spans="8:8" x14ac:dyDescent="0.25">
      <c r="H373" t="s">
        <v>31</v>
      </c>
    </row>
    <row r="375" spans="8:8" x14ac:dyDescent="0.25">
      <c r="H375" t="s">
        <v>7490</v>
      </c>
    </row>
    <row r="376" spans="8:8" x14ac:dyDescent="0.25">
      <c r="H376" t="s">
        <v>145</v>
      </c>
    </row>
    <row r="377" spans="8:8" x14ac:dyDescent="0.25">
      <c r="H377" t="s">
        <v>2026</v>
      </c>
    </row>
    <row r="378" spans="8:8" x14ac:dyDescent="0.25">
      <c r="H378" t="s">
        <v>31</v>
      </c>
    </row>
    <row r="380" spans="8:8" x14ac:dyDescent="0.25">
      <c r="H380" t="s">
        <v>7491</v>
      </c>
    </row>
    <row r="381" spans="8:8" x14ac:dyDescent="0.25">
      <c r="H381" t="s">
        <v>145</v>
      </c>
    </row>
    <row r="382" spans="8:8" x14ac:dyDescent="0.25">
      <c r="H382" t="s">
        <v>2028</v>
      </c>
    </row>
    <row r="383" spans="8:8" x14ac:dyDescent="0.25">
      <c r="H383" t="s">
        <v>31</v>
      </c>
    </row>
    <row r="385" spans="8:8" x14ac:dyDescent="0.25">
      <c r="H385" t="s">
        <v>7492</v>
      </c>
    </row>
    <row r="386" spans="8:8" x14ac:dyDescent="0.25">
      <c r="H386" t="s">
        <v>145</v>
      </c>
    </row>
    <row r="387" spans="8:8" x14ac:dyDescent="0.25">
      <c r="H387" t="s">
        <v>2030</v>
      </c>
    </row>
    <row r="388" spans="8:8" x14ac:dyDescent="0.25">
      <c r="H388" t="s">
        <v>31</v>
      </c>
    </row>
    <row r="390" spans="8:8" x14ac:dyDescent="0.25">
      <c r="H390" t="s">
        <v>7493</v>
      </c>
    </row>
    <row r="391" spans="8:8" x14ac:dyDescent="0.25">
      <c r="H391" t="s">
        <v>145</v>
      </c>
    </row>
    <row r="392" spans="8:8" x14ac:dyDescent="0.25">
      <c r="H392" t="s">
        <v>2032</v>
      </c>
    </row>
    <row r="393" spans="8:8" x14ac:dyDescent="0.25">
      <c r="H393" t="s">
        <v>31</v>
      </c>
    </row>
    <row r="395" spans="8:8" x14ac:dyDescent="0.25">
      <c r="H395" t="s">
        <v>7494</v>
      </c>
    </row>
    <row r="396" spans="8:8" x14ac:dyDescent="0.25">
      <c r="H396" t="s">
        <v>145</v>
      </c>
    </row>
    <row r="397" spans="8:8" x14ac:dyDescent="0.25">
      <c r="H397" t="s">
        <v>2034</v>
      </c>
    </row>
    <row r="398" spans="8:8" x14ac:dyDescent="0.25">
      <c r="H398" t="s">
        <v>31</v>
      </c>
    </row>
    <row r="400" spans="8:8" x14ac:dyDescent="0.25">
      <c r="H400" t="s">
        <v>7495</v>
      </c>
    </row>
    <row r="401" spans="8:8" x14ac:dyDescent="0.25">
      <c r="H401" t="s">
        <v>145</v>
      </c>
    </row>
    <row r="402" spans="8:8" x14ac:dyDescent="0.25">
      <c r="H402" t="s">
        <v>2036</v>
      </c>
    </row>
    <row r="403" spans="8:8" x14ac:dyDescent="0.25">
      <c r="H403" t="s">
        <v>31</v>
      </c>
    </row>
    <row r="405" spans="8:8" x14ac:dyDescent="0.25">
      <c r="H405" t="s">
        <v>7496</v>
      </c>
    </row>
    <row r="406" spans="8:8" x14ac:dyDescent="0.25">
      <c r="H406" t="s">
        <v>145</v>
      </c>
    </row>
    <row r="407" spans="8:8" x14ac:dyDescent="0.25">
      <c r="H407" t="s">
        <v>2038</v>
      </c>
    </row>
    <row r="408" spans="8:8" x14ac:dyDescent="0.25">
      <c r="H408" t="s">
        <v>31</v>
      </c>
    </row>
    <row r="410" spans="8:8" x14ac:dyDescent="0.25">
      <c r="H410" t="s">
        <v>7497</v>
      </c>
    </row>
    <row r="411" spans="8:8" x14ac:dyDescent="0.25">
      <c r="H411" t="s">
        <v>145</v>
      </c>
    </row>
    <row r="412" spans="8:8" x14ac:dyDescent="0.25">
      <c r="H412" t="s">
        <v>2040</v>
      </c>
    </row>
    <row r="413" spans="8:8" x14ac:dyDescent="0.25">
      <c r="H413" t="s">
        <v>31</v>
      </c>
    </row>
    <row r="415" spans="8:8" x14ac:dyDescent="0.25">
      <c r="H415" t="s">
        <v>7498</v>
      </c>
    </row>
    <row r="416" spans="8:8" x14ac:dyDescent="0.25">
      <c r="H416" t="s">
        <v>145</v>
      </c>
    </row>
    <row r="417" spans="8:8" x14ac:dyDescent="0.25">
      <c r="H417" t="s">
        <v>2042</v>
      </c>
    </row>
    <row r="418" spans="8:8" x14ac:dyDescent="0.25">
      <c r="H418" t="s">
        <v>31</v>
      </c>
    </row>
    <row r="420" spans="8:8" x14ac:dyDescent="0.25">
      <c r="H420" t="s">
        <v>7499</v>
      </c>
    </row>
    <row r="421" spans="8:8" x14ac:dyDescent="0.25">
      <c r="H421" t="s">
        <v>145</v>
      </c>
    </row>
    <row r="422" spans="8:8" x14ac:dyDescent="0.25">
      <c r="H422" t="s">
        <v>2044</v>
      </c>
    </row>
    <row r="423" spans="8:8" x14ac:dyDescent="0.25">
      <c r="H423" t="s">
        <v>31</v>
      </c>
    </row>
    <row r="424" spans="8:8" x14ac:dyDescent="0.25">
      <c r="H424" t="s">
        <v>146</v>
      </c>
    </row>
    <row r="425" spans="8:8" x14ac:dyDescent="0.25">
      <c r="H425" t="s">
        <v>2045</v>
      </c>
    </row>
    <row r="426" spans="8:8" x14ac:dyDescent="0.25">
      <c r="H426" t="s">
        <v>31</v>
      </c>
    </row>
    <row r="427" spans="8:8" x14ac:dyDescent="0.25">
      <c r="H427" t="s">
        <v>147</v>
      </c>
    </row>
    <row r="428" spans="8:8" x14ac:dyDescent="0.25">
      <c r="H428" t="s">
        <v>2046</v>
      </c>
    </row>
    <row r="429" spans="8:8" x14ac:dyDescent="0.25">
      <c r="H429" t="s">
        <v>31</v>
      </c>
    </row>
    <row r="430" spans="8:8" x14ac:dyDescent="0.25">
      <c r="H430" t="s">
        <v>148</v>
      </c>
    </row>
    <row r="431" spans="8:8" x14ac:dyDescent="0.25">
      <c r="H431" t="s">
        <v>2047</v>
      </c>
    </row>
    <row r="432" spans="8:8" x14ac:dyDescent="0.25">
      <c r="H432" t="s">
        <v>31</v>
      </c>
    </row>
    <row r="434" spans="8:8" x14ac:dyDescent="0.25">
      <c r="H434" t="s">
        <v>7500</v>
      </c>
    </row>
    <row r="435" spans="8:8" x14ac:dyDescent="0.25">
      <c r="H435" t="s">
        <v>145</v>
      </c>
    </row>
    <row r="436" spans="8:8" x14ac:dyDescent="0.25">
      <c r="H436" t="s">
        <v>2049</v>
      </c>
    </row>
    <row r="437" spans="8:8" x14ac:dyDescent="0.25">
      <c r="H437" t="s">
        <v>31</v>
      </c>
    </row>
    <row r="438" spans="8:8" x14ac:dyDescent="0.25">
      <c r="H438" t="s">
        <v>146</v>
      </c>
    </row>
    <row r="439" spans="8:8" x14ac:dyDescent="0.25">
      <c r="H439" t="s">
        <v>2050</v>
      </c>
    </row>
    <row r="440" spans="8:8" x14ac:dyDescent="0.25">
      <c r="H440" t="s">
        <v>31</v>
      </c>
    </row>
    <row r="441" spans="8:8" x14ac:dyDescent="0.25">
      <c r="H441" t="s">
        <v>147</v>
      </c>
    </row>
    <row r="442" spans="8:8" x14ac:dyDescent="0.25">
      <c r="H442" t="s">
        <v>2051</v>
      </c>
    </row>
    <row r="443" spans="8:8" x14ac:dyDescent="0.25">
      <c r="H443" t="s">
        <v>31</v>
      </c>
    </row>
    <row r="444" spans="8:8" x14ac:dyDescent="0.25">
      <c r="H444" t="s">
        <v>148</v>
      </c>
    </row>
    <row r="445" spans="8:8" x14ac:dyDescent="0.25">
      <c r="H445" t="s">
        <v>2052</v>
      </c>
    </row>
    <row r="446" spans="8:8" x14ac:dyDescent="0.25">
      <c r="H446" t="s">
        <v>31</v>
      </c>
    </row>
    <row r="448" spans="8:8" x14ac:dyDescent="0.25">
      <c r="H448" t="s">
        <v>7501</v>
      </c>
    </row>
    <row r="449" spans="8:8" x14ac:dyDescent="0.25">
      <c r="H449" t="s">
        <v>145</v>
      </c>
    </row>
    <row r="450" spans="8:8" x14ac:dyDescent="0.25">
      <c r="H450" t="s">
        <v>2054</v>
      </c>
    </row>
    <row r="451" spans="8:8" x14ac:dyDescent="0.25">
      <c r="H451" t="s">
        <v>31</v>
      </c>
    </row>
    <row r="452" spans="8:8" x14ac:dyDescent="0.25">
      <c r="H452" t="s">
        <v>146</v>
      </c>
    </row>
    <row r="453" spans="8:8" x14ac:dyDescent="0.25">
      <c r="H453" t="s">
        <v>2055</v>
      </c>
    </row>
    <row r="454" spans="8:8" x14ac:dyDescent="0.25">
      <c r="H454" t="s">
        <v>31</v>
      </c>
    </row>
    <row r="455" spans="8:8" x14ac:dyDescent="0.25">
      <c r="H455" t="s">
        <v>147</v>
      </c>
    </row>
    <row r="456" spans="8:8" x14ac:dyDescent="0.25">
      <c r="H456" t="s">
        <v>2056</v>
      </c>
    </row>
    <row r="457" spans="8:8" x14ac:dyDescent="0.25">
      <c r="H457" t="s">
        <v>31</v>
      </c>
    </row>
    <row r="458" spans="8:8" x14ac:dyDescent="0.25">
      <c r="H458" t="s">
        <v>148</v>
      </c>
    </row>
    <row r="459" spans="8:8" x14ac:dyDescent="0.25">
      <c r="H459" t="s">
        <v>2057</v>
      </c>
    </row>
    <row r="460" spans="8:8" x14ac:dyDescent="0.25">
      <c r="H460" t="s">
        <v>31</v>
      </c>
    </row>
    <row r="462" spans="8:8" x14ac:dyDescent="0.25">
      <c r="H462" t="s">
        <v>7502</v>
      </c>
    </row>
    <row r="463" spans="8:8" x14ac:dyDescent="0.25">
      <c r="H463" t="s">
        <v>145</v>
      </c>
    </row>
    <row r="464" spans="8:8" x14ac:dyDescent="0.25">
      <c r="H464" t="s">
        <v>2059</v>
      </c>
    </row>
    <row r="465" spans="8:8" x14ac:dyDescent="0.25">
      <c r="H465" t="s">
        <v>31</v>
      </c>
    </row>
    <row r="466" spans="8:8" x14ac:dyDescent="0.25">
      <c r="H466" t="s">
        <v>146</v>
      </c>
    </row>
    <row r="467" spans="8:8" x14ac:dyDescent="0.25">
      <c r="H467" t="s">
        <v>2060</v>
      </c>
    </row>
    <row r="468" spans="8:8" x14ac:dyDescent="0.25">
      <c r="H468" t="s">
        <v>31</v>
      </c>
    </row>
    <row r="469" spans="8:8" x14ac:dyDescent="0.25">
      <c r="H469" t="s">
        <v>2061</v>
      </c>
    </row>
    <row r="470" spans="8:8" x14ac:dyDescent="0.25">
      <c r="H470" t="s">
        <v>147</v>
      </c>
    </row>
    <row r="471" spans="8:8" x14ac:dyDescent="0.25">
      <c r="H471" t="s">
        <v>2062</v>
      </c>
    </row>
    <row r="472" spans="8:8" x14ac:dyDescent="0.25">
      <c r="H472" t="s">
        <v>31</v>
      </c>
    </row>
    <row r="474" spans="8:8" x14ac:dyDescent="0.25">
      <c r="H474" t="s">
        <v>7503</v>
      </c>
    </row>
    <row r="475" spans="8:8" x14ac:dyDescent="0.25">
      <c r="H475" t="s">
        <v>145</v>
      </c>
    </row>
    <row r="476" spans="8:8" x14ac:dyDescent="0.25">
      <c r="H476" t="s">
        <v>2064</v>
      </c>
    </row>
    <row r="477" spans="8:8" x14ac:dyDescent="0.25">
      <c r="H477" t="s">
        <v>31</v>
      </c>
    </row>
    <row r="479" spans="8:8" x14ac:dyDescent="0.25">
      <c r="H479" t="s">
        <v>7504</v>
      </c>
    </row>
    <row r="480" spans="8:8" x14ac:dyDescent="0.25">
      <c r="H480" t="s">
        <v>145</v>
      </c>
    </row>
    <row r="481" spans="8:8" x14ac:dyDescent="0.25">
      <c r="H481" t="s">
        <v>2066</v>
      </c>
    </row>
    <row r="482" spans="8:8" x14ac:dyDescent="0.25">
      <c r="H482" t="s">
        <v>31</v>
      </c>
    </row>
    <row r="484" spans="8:8" x14ac:dyDescent="0.25">
      <c r="H484" t="s">
        <v>7505</v>
      </c>
    </row>
    <row r="485" spans="8:8" x14ac:dyDescent="0.25">
      <c r="H485" t="s">
        <v>145</v>
      </c>
    </row>
    <row r="486" spans="8:8" x14ac:dyDescent="0.25">
      <c r="H486" t="s">
        <v>2068</v>
      </c>
    </row>
    <row r="487" spans="8:8" x14ac:dyDescent="0.25">
      <c r="H487" t="s">
        <v>31</v>
      </c>
    </row>
    <row r="489" spans="8:8" x14ac:dyDescent="0.25">
      <c r="H489" t="s">
        <v>7506</v>
      </c>
    </row>
    <row r="490" spans="8:8" x14ac:dyDescent="0.25">
      <c r="H490" t="s">
        <v>145</v>
      </c>
    </row>
    <row r="491" spans="8:8" x14ac:dyDescent="0.25">
      <c r="H491" t="s">
        <v>2070</v>
      </c>
    </row>
    <row r="492" spans="8:8" x14ac:dyDescent="0.25">
      <c r="H492" t="s">
        <v>31</v>
      </c>
    </row>
    <row r="494" spans="8:8" x14ac:dyDescent="0.25">
      <c r="H494" t="s">
        <v>7507</v>
      </c>
    </row>
    <row r="495" spans="8:8" x14ac:dyDescent="0.25">
      <c r="H495" t="s">
        <v>145</v>
      </c>
    </row>
    <row r="496" spans="8:8" x14ac:dyDescent="0.25">
      <c r="H496" t="s">
        <v>2072</v>
      </c>
    </row>
    <row r="497" spans="8:8" x14ac:dyDescent="0.25">
      <c r="H497" t="s">
        <v>31</v>
      </c>
    </row>
    <row r="499" spans="8:8" x14ac:dyDescent="0.25">
      <c r="H499" t="s">
        <v>7508</v>
      </c>
    </row>
    <row r="500" spans="8:8" x14ac:dyDescent="0.25">
      <c r="H500" t="s">
        <v>145</v>
      </c>
    </row>
    <row r="501" spans="8:8" x14ac:dyDescent="0.25">
      <c r="H501" t="s">
        <v>2074</v>
      </c>
    </row>
    <row r="502" spans="8:8" x14ac:dyDescent="0.25">
      <c r="H502" t="s">
        <v>31</v>
      </c>
    </row>
    <row r="504" spans="8:8" x14ac:dyDescent="0.25">
      <c r="H504" t="s">
        <v>7509</v>
      </c>
    </row>
    <row r="505" spans="8:8" x14ac:dyDescent="0.25">
      <c r="H505" t="s">
        <v>145</v>
      </c>
    </row>
    <row r="506" spans="8:8" x14ac:dyDescent="0.25">
      <c r="H506" t="s">
        <v>2076</v>
      </c>
    </row>
    <row r="507" spans="8:8" x14ac:dyDescent="0.25">
      <c r="H507" t="s">
        <v>31</v>
      </c>
    </row>
    <row r="509" spans="8:8" x14ac:dyDescent="0.25">
      <c r="H509" t="s">
        <v>7510</v>
      </c>
    </row>
    <row r="510" spans="8:8" x14ac:dyDescent="0.25">
      <c r="H510" t="s">
        <v>145</v>
      </c>
    </row>
    <row r="511" spans="8:8" x14ac:dyDescent="0.25">
      <c r="H511" t="s">
        <v>2078</v>
      </c>
    </row>
    <row r="512" spans="8:8" x14ac:dyDescent="0.25">
      <c r="H512" t="s">
        <v>31</v>
      </c>
    </row>
    <row r="514" spans="8:8" x14ac:dyDescent="0.25">
      <c r="H514" t="s">
        <v>7511</v>
      </c>
    </row>
    <row r="515" spans="8:8" x14ac:dyDescent="0.25">
      <c r="H515" t="s">
        <v>145</v>
      </c>
    </row>
    <row r="516" spans="8:8" x14ac:dyDescent="0.25">
      <c r="H516" t="s">
        <v>2080</v>
      </c>
    </row>
    <row r="517" spans="8:8" x14ac:dyDescent="0.25">
      <c r="H517" t="s">
        <v>31</v>
      </c>
    </row>
    <row r="519" spans="8:8" x14ac:dyDescent="0.25">
      <c r="H519" t="s">
        <v>7512</v>
      </c>
    </row>
    <row r="520" spans="8:8" x14ac:dyDescent="0.25">
      <c r="H520" t="s">
        <v>145</v>
      </c>
    </row>
    <row r="521" spans="8:8" x14ac:dyDescent="0.25">
      <c r="H521" t="s">
        <v>2082</v>
      </c>
    </row>
    <row r="522" spans="8:8" x14ac:dyDescent="0.25">
      <c r="H522" t="s">
        <v>31</v>
      </c>
    </row>
    <row r="524" spans="8:8" x14ac:dyDescent="0.25">
      <c r="H524" t="s">
        <v>7513</v>
      </c>
    </row>
    <row r="525" spans="8:8" x14ac:dyDescent="0.25">
      <c r="H525" t="s">
        <v>145</v>
      </c>
    </row>
    <row r="526" spans="8:8" x14ac:dyDescent="0.25">
      <c r="H526" t="s">
        <v>2084</v>
      </c>
    </row>
    <row r="527" spans="8:8" x14ac:dyDescent="0.25">
      <c r="H527" t="s">
        <v>31</v>
      </c>
    </row>
    <row r="529" spans="8:8" x14ac:dyDescent="0.25">
      <c r="H529" t="s">
        <v>7514</v>
      </c>
    </row>
    <row r="530" spans="8:8" x14ac:dyDescent="0.25">
      <c r="H530" t="s">
        <v>145</v>
      </c>
    </row>
    <row r="531" spans="8:8" x14ac:dyDescent="0.25">
      <c r="H531" t="s">
        <v>2086</v>
      </c>
    </row>
    <row r="532" spans="8:8" x14ac:dyDescent="0.25">
      <c r="H532" t="s">
        <v>31</v>
      </c>
    </row>
    <row r="533" spans="8:8" x14ac:dyDescent="0.25">
      <c r="H533" t="s">
        <v>146</v>
      </c>
    </row>
    <row r="534" spans="8:8" x14ac:dyDescent="0.25">
      <c r="H534" t="s">
        <v>2087</v>
      </c>
    </row>
    <row r="535" spans="8:8" x14ac:dyDescent="0.25">
      <c r="H535" t="s">
        <v>31</v>
      </c>
    </row>
    <row r="536" spans="8:8" x14ac:dyDescent="0.25">
      <c r="H536" t="s">
        <v>147</v>
      </c>
    </row>
    <row r="537" spans="8:8" x14ac:dyDescent="0.25">
      <c r="H537" t="s">
        <v>2088</v>
      </c>
    </row>
    <row r="538" spans="8:8" x14ac:dyDescent="0.25">
      <c r="H538" t="s">
        <v>31</v>
      </c>
    </row>
    <row r="539" spans="8:8" x14ac:dyDescent="0.25">
      <c r="H539" t="s">
        <v>148</v>
      </c>
    </row>
    <row r="540" spans="8:8" x14ac:dyDescent="0.25">
      <c r="H540" t="s">
        <v>2089</v>
      </c>
    </row>
    <row r="541" spans="8:8" x14ac:dyDescent="0.25">
      <c r="H541" t="s">
        <v>31</v>
      </c>
    </row>
    <row r="543" spans="8:8" x14ac:dyDescent="0.25">
      <c r="H543" t="s">
        <v>7515</v>
      </c>
    </row>
    <row r="544" spans="8:8" x14ac:dyDescent="0.25">
      <c r="H544" t="s">
        <v>145</v>
      </c>
    </row>
    <row r="545" spans="8:8" x14ac:dyDescent="0.25">
      <c r="H545" t="s">
        <v>2091</v>
      </c>
    </row>
    <row r="546" spans="8:8" x14ac:dyDescent="0.25">
      <c r="H546" t="s">
        <v>31</v>
      </c>
    </row>
    <row r="548" spans="8:8" x14ac:dyDescent="0.25">
      <c r="H548" t="s">
        <v>7516</v>
      </c>
    </row>
    <row r="549" spans="8:8" x14ac:dyDescent="0.25">
      <c r="H549" t="s">
        <v>145</v>
      </c>
    </row>
    <row r="550" spans="8:8" x14ac:dyDescent="0.25">
      <c r="H550" t="s">
        <v>2093</v>
      </c>
    </row>
    <row r="551" spans="8:8" x14ac:dyDescent="0.25">
      <c r="H551" t="s">
        <v>31</v>
      </c>
    </row>
    <row r="553" spans="8:8" x14ac:dyDescent="0.25">
      <c r="H553" t="s">
        <v>7517</v>
      </c>
    </row>
    <row r="554" spans="8:8" x14ac:dyDescent="0.25">
      <c r="H554" t="s">
        <v>145</v>
      </c>
    </row>
    <row r="555" spans="8:8" x14ac:dyDescent="0.25">
      <c r="H555" t="s">
        <v>2095</v>
      </c>
    </row>
    <row r="556" spans="8:8" x14ac:dyDescent="0.25">
      <c r="H556" t="s">
        <v>31</v>
      </c>
    </row>
    <row r="558" spans="8:8" x14ac:dyDescent="0.25">
      <c r="H558" t="s">
        <v>7518</v>
      </c>
    </row>
    <row r="559" spans="8:8" x14ac:dyDescent="0.25">
      <c r="H559" t="s">
        <v>145</v>
      </c>
    </row>
    <row r="560" spans="8:8" x14ac:dyDescent="0.25">
      <c r="H560" t="s">
        <v>2097</v>
      </c>
    </row>
    <row r="561" spans="8:8" x14ac:dyDescent="0.25">
      <c r="H561" t="s">
        <v>31</v>
      </c>
    </row>
    <row r="563" spans="8:8" x14ac:dyDescent="0.25">
      <c r="H563" t="s">
        <v>7519</v>
      </c>
    </row>
    <row r="564" spans="8:8" x14ac:dyDescent="0.25">
      <c r="H564" t="s">
        <v>145</v>
      </c>
    </row>
    <row r="565" spans="8:8" x14ac:dyDescent="0.25">
      <c r="H565" t="s">
        <v>2099</v>
      </c>
    </row>
    <row r="566" spans="8:8" x14ac:dyDescent="0.25">
      <c r="H566" t="s">
        <v>31</v>
      </c>
    </row>
    <row r="568" spans="8:8" x14ac:dyDescent="0.25">
      <c r="H568" t="s">
        <v>7520</v>
      </c>
    </row>
    <row r="569" spans="8:8" x14ac:dyDescent="0.25">
      <c r="H569" t="s">
        <v>145</v>
      </c>
    </row>
    <row r="570" spans="8:8" x14ac:dyDescent="0.25">
      <c r="H570" t="s">
        <v>2101</v>
      </c>
    </row>
    <row r="571" spans="8:8" x14ac:dyDescent="0.25">
      <c r="H571" t="s">
        <v>31</v>
      </c>
    </row>
    <row r="573" spans="8:8" x14ac:dyDescent="0.25">
      <c r="H573" t="s">
        <v>7521</v>
      </c>
    </row>
    <row r="574" spans="8:8" x14ac:dyDescent="0.25">
      <c r="H574" t="s">
        <v>145</v>
      </c>
    </row>
    <row r="575" spans="8:8" x14ac:dyDescent="0.25">
      <c r="H575" t="s">
        <v>2103</v>
      </c>
    </row>
    <row r="576" spans="8:8" x14ac:dyDescent="0.25">
      <c r="H576" t="s">
        <v>31</v>
      </c>
    </row>
    <row r="578" spans="8:8" x14ac:dyDescent="0.25">
      <c r="H578" t="s">
        <v>7522</v>
      </c>
    </row>
    <row r="579" spans="8:8" x14ac:dyDescent="0.25">
      <c r="H579" t="s">
        <v>145</v>
      </c>
    </row>
    <row r="580" spans="8:8" x14ac:dyDescent="0.25">
      <c r="H580" t="s">
        <v>2105</v>
      </c>
    </row>
    <row r="581" spans="8:8" x14ac:dyDescent="0.25">
      <c r="H581" t="s">
        <v>31</v>
      </c>
    </row>
    <row r="583" spans="8:8" x14ac:dyDescent="0.25">
      <c r="H583" t="s">
        <v>7523</v>
      </c>
    </row>
    <row r="584" spans="8:8" x14ac:dyDescent="0.25">
      <c r="H584" t="s">
        <v>145</v>
      </c>
    </row>
    <row r="585" spans="8:8" x14ac:dyDescent="0.25">
      <c r="H585" t="s">
        <v>2107</v>
      </c>
    </row>
    <row r="586" spans="8:8" x14ac:dyDescent="0.25">
      <c r="H586" t="s">
        <v>31</v>
      </c>
    </row>
    <row r="588" spans="8:8" x14ac:dyDescent="0.25">
      <c r="H588" t="s">
        <v>7524</v>
      </c>
    </row>
    <row r="589" spans="8:8" x14ac:dyDescent="0.25">
      <c r="H589" t="s">
        <v>145</v>
      </c>
    </row>
    <row r="590" spans="8:8" x14ac:dyDescent="0.25">
      <c r="H590" t="s">
        <v>2109</v>
      </c>
    </row>
    <row r="591" spans="8:8" x14ac:dyDescent="0.25">
      <c r="H591" t="s">
        <v>31</v>
      </c>
    </row>
    <row r="593" spans="8:8" x14ac:dyDescent="0.25">
      <c r="H593" t="s">
        <v>7525</v>
      </c>
    </row>
    <row r="594" spans="8:8" x14ac:dyDescent="0.25">
      <c r="H594" t="s">
        <v>145</v>
      </c>
    </row>
    <row r="595" spans="8:8" x14ac:dyDescent="0.25">
      <c r="H595" t="s">
        <v>2111</v>
      </c>
    </row>
    <row r="596" spans="8:8" x14ac:dyDescent="0.25">
      <c r="H596" t="s">
        <v>31</v>
      </c>
    </row>
    <row r="598" spans="8:8" x14ac:dyDescent="0.25">
      <c r="H598" t="s">
        <v>7526</v>
      </c>
    </row>
    <row r="599" spans="8:8" x14ac:dyDescent="0.25">
      <c r="H599" t="s">
        <v>145</v>
      </c>
    </row>
    <row r="600" spans="8:8" x14ac:dyDescent="0.25">
      <c r="H600" t="s">
        <v>2113</v>
      </c>
    </row>
    <row r="601" spans="8:8" x14ac:dyDescent="0.25">
      <c r="H601" t="s">
        <v>31</v>
      </c>
    </row>
    <row r="603" spans="8:8" x14ac:dyDescent="0.25">
      <c r="H603" t="s">
        <v>7527</v>
      </c>
    </row>
    <row r="604" spans="8:8" x14ac:dyDescent="0.25">
      <c r="H604" t="s">
        <v>145</v>
      </c>
    </row>
    <row r="605" spans="8:8" x14ac:dyDescent="0.25">
      <c r="H605" t="s">
        <v>2115</v>
      </c>
    </row>
    <row r="606" spans="8:8" x14ac:dyDescent="0.25">
      <c r="H606" t="s">
        <v>31</v>
      </c>
    </row>
    <row r="608" spans="8:8" x14ac:dyDescent="0.25">
      <c r="H608" t="s">
        <v>7528</v>
      </c>
    </row>
    <row r="609" spans="8:8" x14ac:dyDescent="0.25">
      <c r="H609" t="s">
        <v>145</v>
      </c>
    </row>
    <row r="610" spans="8:8" x14ac:dyDescent="0.25">
      <c r="H610" t="s">
        <v>2117</v>
      </c>
    </row>
    <row r="611" spans="8:8" x14ac:dyDescent="0.25">
      <c r="H611" t="s">
        <v>31</v>
      </c>
    </row>
    <row r="613" spans="8:8" x14ac:dyDescent="0.25">
      <c r="H613" t="s">
        <v>7529</v>
      </c>
    </row>
    <row r="614" spans="8:8" x14ac:dyDescent="0.25">
      <c r="H614" t="s">
        <v>145</v>
      </c>
    </row>
    <row r="615" spans="8:8" x14ac:dyDescent="0.25">
      <c r="H615" t="s">
        <v>2119</v>
      </c>
    </row>
    <row r="616" spans="8:8" x14ac:dyDescent="0.25">
      <c r="H616" t="s">
        <v>31</v>
      </c>
    </row>
    <row r="618" spans="8:8" x14ac:dyDescent="0.25">
      <c r="H618" t="s">
        <v>7530</v>
      </c>
    </row>
    <row r="619" spans="8:8" x14ac:dyDescent="0.25">
      <c r="H619" t="s">
        <v>145</v>
      </c>
    </row>
    <row r="620" spans="8:8" x14ac:dyDescent="0.25">
      <c r="H620" t="s">
        <v>2121</v>
      </c>
    </row>
    <row r="621" spans="8:8" x14ac:dyDescent="0.25">
      <c r="H621" t="s">
        <v>31</v>
      </c>
    </row>
    <row r="623" spans="8:8" x14ac:dyDescent="0.25">
      <c r="H623" t="s">
        <v>7531</v>
      </c>
    </row>
    <row r="624" spans="8:8" x14ac:dyDescent="0.25">
      <c r="H624" t="s">
        <v>145</v>
      </c>
    </row>
    <row r="625" spans="8:8" x14ac:dyDescent="0.25">
      <c r="H625" t="s">
        <v>2123</v>
      </c>
    </row>
    <row r="626" spans="8:8" x14ac:dyDescent="0.25">
      <c r="H626" t="s">
        <v>31</v>
      </c>
    </row>
    <row r="628" spans="8:8" x14ac:dyDescent="0.25">
      <c r="H628" t="s">
        <v>7532</v>
      </c>
    </row>
    <row r="629" spans="8:8" x14ac:dyDescent="0.25">
      <c r="H629" t="s">
        <v>145</v>
      </c>
    </row>
    <row r="630" spans="8:8" x14ac:dyDescent="0.25">
      <c r="H630" t="s">
        <v>2125</v>
      </c>
    </row>
    <row r="631" spans="8:8" x14ac:dyDescent="0.25">
      <c r="H631" t="s">
        <v>31</v>
      </c>
    </row>
    <row r="633" spans="8:8" x14ac:dyDescent="0.25">
      <c r="H633" t="s">
        <v>7533</v>
      </c>
    </row>
    <row r="634" spans="8:8" x14ac:dyDescent="0.25">
      <c r="H634" t="s">
        <v>145</v>
      </c>
    </row>
    <row r="635" spans="8:8" x14ac:dyDescent="0.25">
      <c r="H635" t="s">
        <v>2127</v>
      </c>
    </row>
    <row r="636" spans="8:8" x14ac:dyDescent="0.25">
      <c r="H636" t="s">
        <v>31</v>
      </c>
    </row>
    <row r="638" spans="8:8" x14ac:dyDescent="0.25">
      <c r="H638" t="s">
        <v>7534</v>
      </c>
    </row>
    <row r="639" spans="8:8" x14ac:dyDescent="0.25">
      <c r="H639" t="s">
        <v>145</v>
      </c>
    </row>
    <row r="640" spans="8:8" x14ac:dyDescent="0.25">
      <c r="H640" t="s">
        <v>2129</v>
      </c>
    </row>
    <row r="641" spans="8:8" x14ac:dyDescent="0.25">
      <c r="H641" t="s">
        <v>31</v>
      </c>
    </row>
    <row r="643" spans="8:8" x14ac:dyDescent="0.25">
      <c r="H643" t="s">
        <v>7535</v>
      </c>
    </row>
    <row r="644" spans="8:8" x14ac:dyDescent="0.25">
      <c r="H644" t="s">
        <v>145</v>
      </c>
    </row>
    <row r="645" spans="8:8" x14ac:dyDescent="0.25">
      <c r="H645" t="s">
        <v>2131</v>
      </c>
    </row>
    <row r="646" spans="8:8" x14ac:dyDescent="0.25">
      <c r="H646" t="s">
        <v>31</v>
      </c>
    </row>
    <row r="648" spans="8:8" x14ac:dyDescent="0.25">
      <c r="H648" t="s">
        <v>7536</v>
      </c>
    </row>
    <row r="649" spans="8:8" x14ac:dyDescent="0.25">
      <c r="H649" t="s">
        <v>145</v>
      </c>
    </row>
    <row r="650" spans="8:8" x14ac:dyDescent="0.25">
      <c r="H650" t="s">
        <v>2133</v>
      </c>
    </row>
    <row r="651" spans="8:8" x14ac:dyDescent="0.25">
      <c r="H651" t="s">
        <v>31</v>
      </c>
    </row>
    <row r="652" spans="8:8" x14ac:dyDescent="0.25">
      <c r="H652" t="s">
        <v>147</v>
      </c>
    </row>
    <row r="653" spans="8:8" x14ac:dyDescent="0.25">
      <c r="H653" t="s">
        <v>2134</v>
      </c>
    </row>
    <row r="654" spans="8:8" x14ac:dyDescent="0.25">
      <c r="H654" t="s">
        <v>31</v>
      </c>
    </row>
    <row r="655" spans="8:8" x14ac:dyDescent="0.25">
      <c r="H655" t="s">
        <v>148</v>
      </c>
    </row>
    <row r="656" spans="8:8" x14ac:dyDescent="0.25">
      <c r="H656" t="s">
        <v>2135</v>
      </c>
    </row>
    <row r="657" spans="8:8" x14ac:dyDescent="0.25">
      <c r="H657" t="s">
        <v>31</v>
      </c>
    </row>
    <row r="659" spans="8:8" x14ac:dyDescent="0.25">
      <c r="H659" t="s">
        <v>7537</v>
      </c>
    </row>
    <row r="660" spans="8:8" x14ac:dyDescent="0.25">
      <c r="H660" t="s">
        <v>145</v>
      </c>
    </row>
    <row r="661" spans="8:8" x14ac:dyDescent="0.25">
      <c r="H661" t="s">
        <v>2137</v>
      </c>
    </row>
    <row r="662" spans="8:8" x14ac:dyDescent="0.25">
      <c r="H662" t="s">
        <v>31</v>
      </c>
    </row>
    <row r="663" spans="8:8" x14ac:dyDescent="0.25">
      <c r="H663" t="s">
        <v>146</v>
      </c>
    </row>
    <row r="664" spans="8:8" x14ac:dyDescent="0.25">
      <c r="H664" t="s">
        <v>2138</v>
      </c>
    </row>
    <row r="665" spans="8:8" x14ac:dyDescent="0.25">
      <c r="H665" t="s">
        <v>31</v>
      </c>
    </row>
    <row r="666" spans="8:8" x14ac:dyDescent="0.25">
      <c r="H666" t="s">
        <v>147</v>
      </c>
    </row>
    <row r="667" spans="8:8" x14ac:dyDescent="0.25">
      <c r="H667" t="s">
        <v>2139</v>
      </c>
    </row>
    <row r="668" spans="8:8" x14ac:dyDescent="0.25">
      <c r="H668" t="s">
        <v>31</v>
      </c>
    </row>
    <row r="669" spans="8:8" x14ac:dyDescent="0.25">
      <c r="H669" t="s">
        <v>148</v>
      </c>
    </row>
    <row r="670" spans="8:8" x14ac:dyDescent="0.25">
      <c r="H670" t="s">
        <v>2140</v>
      </c>
    </row>
    <row r="671" spans="8:8" x14ac:dyDescent="0.25">
      <c r="H671" t="s">
        <v>31</v>
      </c>
    </row>
    <row r="673" spans="8:8" x14ac:dyDescent="0.25">
      <c r="H673" t="s">
        <v>7538</v>
      </c>
    </row>
    <row r="674" spans="8:8" x14ac:dyDescent="0.25">
      <c r="H674" t="s">
        <v>145</v>
      </c>
    </row>
    <row r="675" spans="8:8" x14ac:dyDescent="0.25">
      <c r="H675" t="s">
        <v>2142</v>
      </c>
    </row>
    <row r="676" spans="8:8" x14ac:dyDescent="0.25">
      <c r="H676" t="s">
        <v>31</v>
      </c>
    </row>
    <row r="678" spans="8:8" x14ac:dyDescent="0.25">
      <c r="H678" t="s">
        <v>7539</v>
      </c>
    </row>
    <row r="679" spans="8:8" x14ac:dyDescent="0.25">
      <c r="H679" t="s">
        <v>145</v>
      </c>
    </row>
    <row r="680" spans="8:8" x14ac:dyDescent="0.25">
      <c r="H680" t="s">
        <v>2144</v>
      </c>
    </row>
    <row r="681" spans="8:8" x14ac:dyDescent="0.25">
      <c r="H681" t="s">
        <v>31</v>
      </c>
    </row>
    <row r="683" spans="8:8" x14ac:dyDescent="0.25">
      <c r="H683" t="s">
        <v>7540</v>
      </c>
    </row>
    <row r="684" spans="8:8" x14ac:dyDescent="0.25">
      <c r="H684" t="s">
        <v>145</v>
      </c>
    </row>
    <row r="685" spans="8:8" x14ac:dyDescent="0.25">
      <c r="H685" t="s">
        <v>2146</v>
      </c>
    </row>
    <row r="686" spans="8:8" x14ac:dyDescent="0.25">
      <c r="H686" t="s">
        <v>31</v>
      </c>
    </row>
    <row r="688" spans="8:8" x14ac:dyDescent="0.25">
      <c r="H688" t="s">
        <v>7541</v>
      </c>
    </row>
    <row r="689" spans="8:8" x14ac:dyDescent="0.25">
      <c r="H689" t="s">
        <v>145</v>
      </c>
    </row>
    <row r="690" spans="8:8" x14ac:dyDescent="0.25">
      <c r="H690" t="s">
        <v>2148</v>
      </c>
    </row>
    <row r="691" spans="8:8" x14ac:dyDescent="0.25">
      <c r="H691" t="s">
        <v>31</v>
      </c>
    </row>
    <row r="693" spans="8:8" x14ac:dyDescent="0.25">
      <c r="H693" t="s">
        <v>7542</v>
      </c>
    </row>
    <row r="694" spans="8:8" x14ac:dyDescent="0.25">
      <c r="H694" t="s">
        <v>145</v>
      </c>
    </row>
    <row r="695" spans="8:8" x14ac:dyDescent="0.25">
      <c r="H695" t="s">
        <v>2150</v>
      </c>
    </row>
    <row r="696" spans="8:8" x14ac:dyDescent="0.25">
      <c r="H696" t="s">
        <v>31</v>
      </c>
    </row>
    <row r="698" spans="8:8" x14ac:dyDescent="0.25">
      <c r="H698" t="s">
        <v>7543</v>
      </c>
    </row>
    <row r="699" spans="8:8" x14ac:dyDescent="0.25">
      <c r="H699" t="s">
        <v>145</v>
      </c>
    </row>
    <row r="700" spans="8:8" x14ac:dyDescent="0.25">
      <c r="H700" t="s">
        <v>2152</v>
      </c>
    </row>
    <row r="701" spans="8:8" x14ac:dyDescent="0.25">
      <c r="H701" t="s">
        <v>31</v>
      </c>
    </row>
    <row r="703" spans="8:8" x14ac:dyDescent="0.25">
      <c r="H703" t="s">
        <v>7544</v>
      </c>
    </row>
    <row r="704" spans="8:8" x14ac:dyDescent="0.25">
      <c r="H704" t="s">
        <v>145</v>
      </c>
    </row>
    <row r="705" spans="8:8" x14ac:dyDescent="0.25">
      <c r="H705" t="s">
        <v>2154</v>
      </c>
    </row>
    <row r="706" spans="8:8" x14ac:dyDescent="0.25">
      <c r="H706" t="s">
        <v>31</v>
      </c>
    </row>
    <row r="707" spans="8:8" x14ac:dyDescent="0.25">
      <c r="H707" t="s">
        <v>146</v>
      </c>
    </row>
    <row r="708" spans="8:8" x14ac:dyDescent="0.25">
      <c r="H708" t="s">
        <v>2155</v>
      </c>
    </row>
    <row r="709" spans="8:8" x14ac:dyDescent="0.25">
      <c r="H709" t="s">
        <v>31</v>
      </c>
    </row>
    <row r="710" spans="8:8" x14ac:dyDescent="0.25">
      <c r="H710" t="s">
        <v>147</v>
      </c>
    </row>
    <row r="711" spans="8:8" x14ac:dyDescent="0.25">
      <c r="H711" t="s">
        <v>2156</v>
      </c>
    </row>
    <row r="712" spans="8:8" x14ac:dyDescent="0.25">
      <c r="H712" t="s">
        <v>31</v>
      </c>
    </row>
    <row r="713" spans="8:8" x14ac:dyDescent="0.25">
      <c r="H713" t="s">
        <v>148</v>
      </c>
    </row>
    <row r="714" spans="8:8" x14ac:dyDescent="0.25">
      <c r="H714" t="s">
        <v>2157</v>
      </c>
    </row>
    <row r="715" spans="8:8" x14ac:dyDescent="0.25">
      <c r="H715" t="s">
        <v>31</v>
      </c>
    </row>
    <row r="717" spans="8:8" x14ac:dyDescent="0.25">
      <c r="H717" t="s">
        <v>7545</v>
      </c>
    </row>
    <row r="718" spans="8:8" x14ac:dyDescent="0.25">
      <c r="H718" t="s">
        <v>145</v>
      </c>
    </row>
    <row r="719" spans="8:8" x14ac:dyDescent="0.25">
      <c r="H719" t="s">
        <v>2159</v>
      </c>
    </row>
    <row r="720" spans="8:8" x14ac:dyDescent="0.25">
      <c r="H720" t="s">
        <v>31</v>
      </c>
    </row>
    <row r="721" spans="8:8" x14ac:dyDescent="0.25">
      <c r="H721" t="s">
        <v>146</v>
      </c>
    </row>
    <row r="722" spans="8:8" x14ac:dyDescent="0.25">
      <c r="H722" t="s">
        <v>2160</v>
      </c>
    </row>
    <row r="723" spans="8:8" x14ac:dyDescent="0.25">
      <c r="H723" t="s">
        <v>31</v>
      </c>
    </row>
    <row r="724" spans="8:8" x14ac:dyDescent="0.25">
      <c r="H724" t="s">
        <v>147</v>
      </c>
    </row>
    <row r="725" spans="8:8" x14ac:dyDescent="0.25">
      <c r="H725" t="s">
        <v>2161</v>
      </c>
    </row>
    <row r="726" spans="8:8" x14ac:dyDescent="0.25">
      <c r="H726" t="s">
        <v>31</v>
      </c>
    </row>
    <row r="727" spans="8:8" x14ac:dyDescent="0.25">
      <c r="H727" t="s">
        <v>148</v>
      </c>
    </row>
    <row r="728" spans="8:8" x14ac:dyDescent="0.25">
      <c r="H728" t="s">
        <v>2162</v>
      </c>
    </row>
    <row r="729" spans="8:8" x14ac:dyDescent="0.25">
      <c r="H729" t="s">
        <v>31</v>
      </c>
    </row>
    <row r="731" spans="8:8" x14ac:dyDescent="0.25">
      <c r="H731" t="s">
        <v>7546</v>
      </c>
    </row>
    <row r="732" spans="8:8" x14ac:dyDescent="0.25">
      <c r="H732" t="s">
        <v>145</v>
      </c>
    </row>
    <row r="733" spans="8:8" x14ac:dyDescent="0.25">
      <c r="H733" t="s">
        <v>2164</v>
      </c>
    </row>
    <row r="734" spans="8:8" x14ac:dyDescent="0.25">
      <c r="H734" t="s">
        <v>31</v>
      </c>
    </row>
    <row r="735" spans="8:8" x14ac:dyDescent="0.25">
      <c r="H735" t="s">
        <v>146</v>
      </c>
    </row>
    <row r="736" spans="8:8" x14ac:dyDescent="0.25">
      <c r="H736" t="s">
        <v>2165</v>
      </c>
    </row>
    <row r="737" spans="8:8" x14ac:dyDescent="0.25">
      <c r="H737" t="s">
        <v>31</v>
      </c>
    </row>
    <row r="738" spans="8:8" x14ac:dyDescent="0.25">
      <c r="H738" t="s">
        <v>147</v>
      </c>
    </row>
    <row r="739" spans="8:8" x14ac:dyDescent="0.25">
      <c r="H739" t="s">
        <v>2166</v>
      </c>
    </row>
    <row r="740" spans="8:8" x14ac:dyDescent="0.25">
      <c r="H740" t="s">
        <v>31</v>
      </c>
    </row>
    <row r="741" spans="8:8" x14ac:dyDescent="0.25">
      <c r="H741" t="s">
        <v>148</v>
      </c>
    </row>
    <row r="742" spans="8:8" x14ac:dyDescent="0.25">
      <c r="H742" t="s">
        <v>2167</v>
      </c>
    </row>
    <row r="743" spans="8:8" x14ac:dyDescent="0.25">
      <c r="H743" t="s">
        <v>31</v>
      </c>
    </row>
    <row r="745" spans="8:8" x14ac:dyDescent="0.25">
      <c r="H745" t="s">
        <v>7547</v>
      </c>
    </row>
    <row r="746" spans="8:8" x14ac:dyDescent="0.25">
      <c r="H746" t="s">
        <v>145</v>
      </c>
    </row>
    <row r="747" spans="8:8" x14ac:dyDescent="0.25">
      <c r="H747" t="s">
        <v>2169</v>
      </c>
    </row>
    <row r="748" spans="8:8" x14ac:dyDescent="0.25">
      <c r="H748" t="s">
        <v>31</v>
      </c>
    </row>
    <row r="749" spans="8:8" x14ac:dyDescent="0.25">
      <c r="H749" t="s">
        <v>146</v>
      </c>
    </row>
    <row r="750" spans="8:8" x14ac:dyDescent="0.25">
      <c r="H750" t="s">
        <v>2170</v>
      </c>
    </row>
    <row r="751" spans="8:8" x14ac:dyDescent="0.25">
      <c r="H751" t="s">
        <v>31</v>
      </c>
    </row>
    <row r="752" spans="8:8" x14ac:dyDescent="0.25">
      <c r="H752" t="s">
        <v>147</v>
      </c>
    </row>
    <row r="753" spans="8:8" x14ac:dyDescent="0.25">
      <c r="H753" t="s">
        <v>2171</v>
      </c>
    </row>
    <row r="754" spans="8:8" x14ac:dyDescent="0.25">
      <c r="H754" t="s">
        <v>31</v>
      </c>
    </row>
    <row r="755" spans="8:8" x14ac:dyDescent="0.25">
      <c r="H755" t="s">
        <v>148</v>
      </c>
    </row>
    <row r="756" spans="8:8" x14ac:dyDescent="0.25">
      <c r="H756" t="s">
        <v>2172</v>
      </c>
    </row>
    <row r="757" spans="8:8" x14ac:dyDescent="0.25">
      <c r="H757" t="s">
        <v>31</v>
      </c>
    </row>
    <row r="759" spans="8:8" x14ac:dyDescent="0.25">
      <c r="H759" t="s">
        <v>7548</v>
      </c>
    </row>
    <row r="760" spans="8:8" x14ac:dyDescent="0.25">
      <c r="H760" t="s">
        <v>2174</v>
      </c>
    </row>
    <row r="761" spans="8:8" x14ac:dyDescent="0.25">
      <c r="H761" t="s">
        <v>145</v>
      </c>
    </row>
    <row r="762" spans="8:8" x14ac:dyDescent="0.25">
      <c r="H762" t="s">
        <v>2175</v>
      </c>
    </row>
    <row r="763" spans="8:8" x14ac:dyDescent="0.25">
      <c r="H763" t="s">
        <v>31</v>
      </c>
    </row>
    <row r="765" spans="8:8" x14ac:dyDescent="0.25">
      <c r="H765" t="s">
        <v>7549</v>
      </c>
    </row>
    <row r="766" spans="8:8" x14ac:dyDescent="0.25">
      <c r="H766" t="s">
        <v>145</v>
      </c>
    </row>
    <row r="767" spans="8:8" x14ac:dyDescent="0.25">
      <c r="H767" t="s">
        <v>2177</v>
      </c>
    </row>
    <row r="768" spans="8:8" x14ac:dyDescent="0.25">
      <c r="H768" t="s">
        <v>31</v>
      </c>
    </row>
    <row r="770" spans="8:8" x14ac:dyDescent="0.25">
      <c r="H770" t="s">
        <v>7550</v>
      </c>
    </row>
    <row r="771" spans="8:8" x14ac:dyDescent="0.25">
      <c r="H771" t="s">
        <v>145</v>
      </c>
    </row>
    <row r="772" spans="8:8" x14ac:dyDescent="0.25">
      <c r="H772" t="s">
        <v>2179</v>
      </c>
    </row>
    <row r="773" spans="8:8" x14ac:dyDescent="0.25">
      <c r="H773" t="s">
        <v>31</v>
      </c>
    </row>
    <row r="775" spans="8:8" x14ac:dyDescent="0.25">
      <c r="H775" t="s">
        <v>7551</v>
      </c>
    </row>
    <row r="776" spans="8:8" x14ac:dyDescent="0.25">
      <c r="H776" t="s">
        <v>145</v>
      </c>
    </row>
    <row r="777" spans="8:8" x14ac:dyDescent="0.25">
      <c r="H777" t="s">
        <v>2181</v>
      </c>
    </row>
    <row r="778" spans="8:8" x14ac:dyDescent="0.25">
      <c r="H778" t="s">
        <v>31</v>
      </c>
    </row>
    <row r="780" spans="8:8" x14ac:dyDescent="0.25">
      <c r="H780" t="s">
        <v>7552</v>
      </c>
    </row>
    <row r="781" spans="8:8" x14ac:dyDescent="0.25">
      <c r="H781" t="s">
        <v>145</v>
      </c>
    </row>
    <row r="782" spans="8:8" x14ac:dyDescent="0.25">
      <c r="H782" t="s">
        <v>2183</v>
      </c>
    </row>
    <row r="783" spans="8:8" x14ac:dyDescent="0.25">
      <c r="H783" t="s">
        <v>31</v>
      </c>
    </row>
    <row r="785" spans="8:8" x14ac:dyDescent="0.25">
      <c r="H785" t="s">
        <v>7553</v>
      </c>
    </row>
    <row r="786" spans="8:8" x14ac:dyDescent="0.25">
      <c r="H786" t="s">
        <v>145</v>
      </c>
    </row>
    <row r="787" spans="8:8" x14ac:dyDescent="0.25">
      <c r="H787" t="s">
        <v>2185</v>
      </c>
    </row>
    <row r="788" spans="8:8" x14ac:dyDescent="0.25">
      <c r="H788" t="s">
        <v>31</v>
      </c>
    </row>
    <row r="790" spans="8:8" x14ac:dyDescent="0.25">
      <c r="H790" t="s">
        <v>7554</v>
      </c>
    </row>
    <row r="791" spans="8:8" x14ac:dyDescent="0.25">
      <c r="H791" t="s">
        <v>145</v>
      </c>
    </row>
    <row r="792" spans="8:8" x14ac:dyDescent="0.25">
      <c r="H792" t="s">
        <v>2187</v>
      </c>
    </row>
    <row r="793" spans="8:8" x14ac:dyDescent="0.25">
      <c r="H793" t="s">
        <v>31</v>
      </c>
    </row>
    <row r="795" spans="8:8" x14ac:dyDescent="0.25">
      <c r="H795" t="s">
        <v>7555</v>
      </c>
    </row>
    <row r="796" spans="8:8" x14ac:dyDescent="0.25">
      <c r="H796" t="s">
        <v>145</v>
      </c>
    </row>
    <row r="797" spans="8:8" x14ac:dyDescent="0.25">
      <c r="H797" t="s">
        <v>2189</v>
      </c>
    </row>
    <row r="798" spans="8:8" x14ac:dyDescent="0.25">
      <c r="H798" t="s">
        <v>31</v>
      </c>
    </row>
    <row r="800" spans="8:8" x14ac:dyDescent="0.25">
      <c r="H800" t="s">
        <v>7556</v>
      </c>
    </row>
    <row r="801" spans="8:8" x14ac:dyDescent="0.25">
      <c r="H801" t="s">
        <v>145</v>
      </c>
    </row>
    <row r="802" spans="8:8" x14ac:dyDescent="0.25">
      <c r="H802" t="s">
        <v>2191</v>
      </c>
    </row>
    <row r="803" spans="8:8" x14ac:dyDescent="0.25">
      <c r="H803" t="s">
        <v>31</v>
      </c>
    </row>
    <row r="805" spans="8:8" x14ac:dyDescent="0.25">
      <c r="H805" t="s">
        <v>7557</v>
      </c>
    </row>
    <row r="806" spans="8:8" x14ac:dyDescent="0.25">
      <c r="H806" t="s">
        <v>145</v>
      </c>
    </row>
    <row r="807" spans="8:8" x14ac:dyDescent="0.25">
      <c r="H807" t="s">
        <v>2193</v>
      </c>
    </row>
    <row r="808" spans="8:8" x14ac:dyDescent="0.25">
      <c r="H808" t="s">
        <v>31</v>
      </c>
    </row>
    <row r="810" spans="8:8" x14ac:dyDescent="0.25">
      <c r="H810" t="s">
        <v>7558</v>
      </c>
    </row>
    <row r="811" spans="8:8" x14ac:dyDescent="0.25">
      <c r="H811" t="s">
        <v>145</v>
      </c>
    </row>
    <row r="812" spans="8:8" x14ac:dyDescent="0.25">
      <c r="H812" t="s">
        <v>2195</v>
      </c>
    </row>
    <row r="813" spans="8:8" x14ac:dyDescent="0.25">
      <c r="H813" t="s">
        <v>31</v>
      </c>
    </row>
    <row r="815" spans="8:8" x14ac:dyDescent="0.25">
      <c r="H815" t="s">
        <v>7559</v>
      </c>
    </row>
    <row r="816" spans="8:8" x14ac:dyDescent="0.25">
      <c r="H816" t="s">
        <v>145</v>
      </c>
    </row>
    <row r="817" spans="8:8" x14ac:dyDescent="0.25">
      <c r="H817" t="s">
        <v>2197</v>
      </c>
    </row>
    <row r="818" spans="8:8" x14ac:dyDescent="0.25">
      <c r="H818" t="s">
        <v>31</v>
      </c>
    </row>
    <row r="820" spans="8:8" x14ac:dyDescent="0.25">
      <c r="H820" t="s">
        <v>7560</v>
      </c>
    </row>
    <row r="821" spans="8:8" x14ac:dyDescent="0.25">
      <c r="H821" t="s">
        <v>145</v>
      </c>
    </row>
    <row r="822" spans="8:8" x14ac:dyDescent="0.25">
      <c r="H822" t="s">
        <v>2199</v>
      </c>
    </row>
    <row r="823" spans="8:8" x14ac:dyDescent="0.25">
      <c r="H823" t="s">
        <v>31</v>
      </c>
    </row>
    <row r="825" spans="8:8" x14ac:dyDescent="0.25">
      <c r="H825" t="s">
        <v>7561</v>
      </c>
    </row>
    <row r="826" spans="8:8" x14ac:dyDescent="0.25">
      <c r="H826" t="s">
        <v>145</v>
      </c>
    </row>
    <row r="827" spans="8:8" x14ac:dyDescent="0.25">
      <c r="H827" t="s">
        <v>2201</v>
      </c>
    </row>
    <row r="828" spans="8:8" x14ac:dyDescent="0.25">
      <c r="H828" t="s">
        <v>31</v>
      </c>
    </row>
    <row r="830" spans="8:8" x14ac:dyDescent="0.25">
      <c r="H830" t="s">
        <v>7562</v>
      </c>
    </row>
    <row r="831" spans="8:8" x14ac:dyDescent="0.25">
      <c r="H831" t="s">
        <v>145</v>
      </c>
    </row>
    <row r="832" spans="8:8" x14ac:dyDescent="0.25">
      <c r="H832" t="s">
        <v>2203</v>
      </c>
    </row>
    <row r="833" spans="8:8" x14ac:dyDescent="0.25">
      <c r="H833" t="s">
        <v>31</v>
      </c>
    </row>
    <row r="835" spans="8:8" x14ac:dyDescent="0.25">
      <c r="H835" t="s">
        <v>7563</v>
      </c>
    </row>
    <row r="836" spans="8:8" x14ac:dyDescent="0.25">
      <c r="H836" t="s">
        <v>145</v>
      </c>
    </row>
    <row r="837" spans="8:8" x14ac:dyDescent="0.25">
      <c r="H837" t="s">
        <v>2205</v>
      </c>
    </row>
    <row r="838" spans="8:8" x14ac:dyDescent="0.25">
      <c r="H838" t="s">
        <v>31</v>
      </c>
    </row>
    <row r="840" spans="8:8" x14ac:dyDescent="0.25">
      <c r="H840" t="s">
        <v>7564</v>
      </c>
    </row>
    <row r="841" spans="8:8" x14ac:dyDescent="0.25">
      <c r="H841" t="s">
        <v>145</v>
      </c>
    </row>
    <row r="842" spans="8:8" x14ac:dyDescent="0.25">
      <c r="H842" t="s">
        <v>2207</v>
      </c>
    </row>
    <row r="843" spans="8:8" x14ac:dyDescent="0.25">
      <c r="H843" t="s">
        <v>31</v>
      </c>
    </row>
    <row r="845" spans="8:8" x14ac:dyDescent="0.25">
      <c r="H845" t="s">
        <v>7565</v>
      </c>
    </row>
    <row r="846" spans="8:8" x14ac:dyDescent="0.25">
      <c r="H846" t="s">
        <v>145</v>
      </c>
    </row>
    <row r="847" spans="8:8" x14ac:dyDescent="0.25">
      <c r="H847" t="s">
        <v>2209</v>
      </c>
    </row>
    <row r="848" spans="8:8" x14ac:dyDescent="0.25">
      <c r="H848" t="s">
        <v>31</v>
      </c>
    </row>
    <row r="850" spans="8:8" x14ac:dyDescent="0.25">
      <c r="H850" t="s">
        <v>7566</v>
      </c>
    </row>
    <row r="851" spans="8:8" x14ac:dyDescent="0.25">
      <c r="H851" t="s">
        <v>145</v>
      </c>
    </row>
    <row r="852" spans="8:8" x14ac:dyDescent="0.25">
      <c r="H852" t="s">
        <v>2211</v>
      </c>
    </row>
    <row r="853" spans="8:8" x14ac:dyDescent="0.25">
      <c r="H853" t="s">
        <v>31</v>
      </c>
    </row>
    <row r="855" spans="8:8" x14ac:dyDescent="0.25">
      <c r="H855" t="s">
        <v>7567</v>
      </c>
    </row>
    <row r="856" spans="8:8" x14ac:dyDescent="0.25">
      <c r="H856" t="s">
        <v>145</v>
      </c>
    </row>
    <row r="857" spans="8:8" x14ac:dyDescent="0.25">
      <c r="H857" t="s">
        <v>2213</v>
      </c>
    </row>
    <row r="858" spans="8:8" x14ac:dyDescent="0.25">
      <c r="H858" t="s">
        <v>31</v>
      </c>
    </row>
    <row r="860" spans="8:8" x14ac:dyDescent="0.25">
      <c r="H860" t="s">
        <v>7568</v>
      </c>
    </row>
    <row r="861" spans="8:8" x14ac:dyDescent="0.25">
      <c r="H861" t="s">
        <v>145</v>
      </c>
    </row>
    <row r="862" spans="8:8" x14ac:dyDescent="0.25">
      <c r="H862" t="s">
        <v>2215</v>
      </c>
    </row>
    <row r="863" spans="8:8" x14ac:dyDescent="0.25">
      <c r="H863" t="s">
        <v>31</v>
      </c>
    </row>
    <row r="865" spans="8:8" x14ac:dyDescent="0.25">
      <c r="H865" t="s">
        <v>7569</v>
      </c>
    </row>
    <row r="866" spans="8:8" x14ac:dyDescent="0.25">
      <c r="H866" t="s">
        <v>145</v>
      </c>
    </row>
    <row r="867" spans="8:8" x14ac:dyDescent="0.25">
      <c r="H867" t="s">
        <v>2217</v>
      </c>
    </row>
    <row r="868" spans="8:8" x14ac:dyDescent="0.25">
      <c r="H868" t="s">
        <v>31</v>
      </c>
    </row>
    <row r="870" spans="8:8" x14ac:dyDescent="0.25">
      <c r="H870" t="s">
        <v>7570</v>
      </c>
    </row>
    <row r="871" spans="8:8" x14ac:dyDescent="0.25">
      <c r="H871" t="s">
        <v>145</v>
      </c>
    </row>
    <row r="872" spans="8:8" x14ac:dyDescent="0.25">
      <c r="H872" t="s">
        <v>2219</v>
      </c>
    </row>
    <row r="873" spans="8:8" x14ac:dyDescent="0.25">
      <c r="H873" t="s">
        <v>31</v>
      </c>
    </row>
    <row r="875" spans="8:8" x14ac:dyDescent="0.25">
      <c r="H875" t="s">
        <v>7571</v>
      </c>
    </row>
    <row r="876" spans="8:8" x14ac:dyDescent="0.25">
      <c r="H876" t="s">
        <v>145</v>
      </c>
    </row>
    <row r="877" spans="8:8" x14ac:dyDescent="0.25">
      <c r="H877" t="s">
        <v>2221</v>
      </c>
    </row>
    <row r="878" spans="8:8" x14ac:dyDescent="0.25">
      <c r="H878" t="s">
        <v>31</v>
      </c>
    </row>
    <row r="880" spans="8:8" x14ac:dyDescent="0.25">
      <c r="H880" t="s">
        <v>7572</v>
      </c>
    </row>
    <row r="881" spans="8:8" x14ac:dyDescent="0.25">
      <c r="H881" t="s">
        <v>145</v>
      </c>
    </row>
    <row r="882" spans="8:8" x14ac:dyDescent="0.25">
      <c r="H882" t="s">
        <v>2223</v>
      </c>
    </row>
    <row r="883" spans="8:8" x14ac:dyDescent="0.25">
      <c r="H883" t="s">
        <v>31</v>
      </c>
    </row>
    <row r="885" spans="8:8" x14ac:dyDescent="0.25">
      <c r="H885" t="s">
        <v>7573</v>
      </c>
    </row>
    <row r="886" spans="8:8" x14ac:dyDescent="0.25">
      <c r="H886" t="s">
        <v>145</v>
      </c>
    </row>
    <row r="887" spans="8:8" x14ac:dyDescent="0.25">
      <c r="H887" t="s">
        <v>2225</v>
      </c>
    </row>
    <row r="888" spans="8:8" x14ac:dyDescent="0.25">
      <c r="H888" t="s">
        <v>31</v>
      </c>
    </row>
    <row r="890" spans="8:8" x14ac:dyDescent="0.25">
      <c r="H890" t="s">
        <v>7574</v>
      </c>
    </row>
    <row r="891" spans="8:8" x14ac:dyDescent="0.25">
      <c r="H891" t="s">
        <v>145</v>
      </c>
    </row>
    <row r="892" spans="8:8" x14ac:dyDescent="0.25">
      <c r="H892" t="s">
        <v>2227</v>
      </c>
    </row>
    <row r="893" spans="8:8" x14ac:dyDescent="0.25">
      <c r="H893" t="s">
        <v>31</v>
      </c>
    </row>
    <row r="895" spans="8:8" x14ac:dyDescent="0.25">
      <c r="H895" t="s">
        <v>7575</v>
      </c>
    </row>
    <row r="896" spans="8:8" x14ac:dyDescent="0.25">
      <c r="H896" t="s">
        <v>145</v>
      </c>
    </row>
    <row r="897" spans="8:8" x14ac:dyDescent="0.25">
      <c r="H897" t="s">
        <v>2229</v>
      </c>
    </row>
    <row r="898" spans="8:8" x14ac:dyDescent="0.25">
      <c r="H898" t="s">
        <v>31</v>
      </c>
    </row>
    <row r="900" spans="8:8" x14ac:dyDescent="0.25">
      <c r="H900" t="s">
        <v>7576</v>
      </c>
    </row>
    <row r="901" spans="8:8" x14ac:dyDescent="0.25">
      <c r="H901" t="s">
        <v>145</v>
      </c>
    </row>
    <row r="902" spans="8:8" x14ac:dyDescent="0.25">
      <c r="H902" t="s">
        <v>2231</v>
      </c>
    </row>
    <row r="903" spans="8:8" x14ac:dyDescent="0.25">
      <c r="H903" t="s">
        <v>31</v>
      </c>
    </row>
    <row r="905" spans="8:8" x14ac:dyDescent="0.25">
      <c r="H905" t="s">
        <v>7577</v>
      </c>
    </row>
    <row r="906" spans="8:8" x14ac:dyDescent="0.25">
      <c r="H906" t="s">
        <v>145</v>
      </c>
    </row>
    <row r="907" spans="8:8" x14ac:dyDescent="0.25">
      <c r="H907" t="s">
        <v>2233</v>
      </c>
    </row>
    <row r="908" spans="8:8" x14ac:dyDescent="0.25">
      <c r="H908" t="s">
        <v>31</v>
      </c>
    </row>
    <row r="910" spans="8:8" x14ac:dyDescent="0.25">
      <c r="H910" t="s">
        <v>7578</v>
      </c>
    </row>
    <row r="911" spans="8:8" x14ac:dyDescent="0.25">
      <c r="H911" t="s">
        <v>145</v>
      </c>
    </row>
    <row r="912" spans="8:8" x14ac:dyDescent="0.25">
      <c r="H912" t="s">
        <v>2235</v>
      </c>
    </row>
    <row r="913" spans="8:8" x14ac:dyDescent="0.25">
      <c r="H913" t="s">
        <v>31</v>
      </c>
    </row>
    <row r="915" spans="8:8" x14ac:dyDescent="0.25">
      <c r="H915" t="s">
        <v>7579</v>
      </c>
    </row>
    <row r="916" spans="8:8" x14ac:dyDescent="0.25">
      <c r="H916" t="s">
        <v>145</v>
      </c>
    </row>
    <row r="917" spans="8:8" x14ac:dyDescent="0.25">
      <c r="H917" t="s">
        <v>2237</v>
      </c>
    </row>
    <row r="918" spans="8:8" x14ac:dyDescent="0.25">
      <c r="H918" t="s">
        <v>31</v>
      </c>
    </row>
    <row r="920" spans="8:8" x14ac:dyDescent="0.25">
      <c r="H920" t="s">
        <v>7580</v>
      </c>
    </row>
    <row r="921" spans="8:8" x14ac:dyDescent="0.25">
      <c r="H921" t="s">
        <v>145</v>
      </c>
    </row>
    <row r="922" spans="8:8" x14ac:dyDescent="0.25">
      <c r="H922" t="s">
        <v>2239</v>
      </c>
    </row>
    <row r="923" spans="8:8" x14ac:dyDescent="0.25">
      <c r="H923" t="s">
        <v>31</v>
      </c>
    </row>
    <row r="925" spans="8:8" x14ac:dyDescent="0.25">
      <c r="H925" t="s">
        <v>7581</v>
      </c>
    </row>
    <row r="926" spans="8:8" x14ac:dyDescent="0.25">
      <c r="H926" t="s">
        <v>145</v>
      </c>
    </row>
    <row r="927" spans="8:8" x14ac:dyDescent="0.25">
      <c r="H927" t="s">
        <v>2241</v>
      </c>
    </row>
    <row r="928" spans="8:8" x14ac:dyDescent="0.25">
      <c r="H928" t="s">
        <v>31</v>
      </c>
    </row>
    <row r="930" spans="8:8" x14ac:dyDescent="0.25">
      <c r="H930" t="s">
        <v>7582</v>
      </c>
    </row>
    <row r="931" spans="8:8" x14ac:dyDescent="0.25">
      <c r="H931" t="s">
        <v>145</v>
      </c>
    </row>
    <row r="932" spans="8:8" x14ac:dyDescent="0.25">
      <c r="H932" t="s">
        <v>2243</v>
      </c>
    </row>
    <row r="933" spans="8:8" x14ac:dyDescent="0.25">
      <c r="H933" t="s">
        <v>31</v>
      </c>
    </row>
    <row r="935" spans="8:8" x14ac:dyDescent="0.25">
      <c r="H935" t="s">
        <v>7583</v>
      </c>
    </row>
    <row r="936" spans="8:8" x14ac:dyDescent="0.25">
      <c r="H936" t="s">
        <v>145</v>
      </c>
    </row>
    <row r="937" spans="8:8" x14ac:dyDescent="0.25">
      <c r="H937" t="s">
        <v>2245</v>
      </c>
    </row>
    <row r="938" spans="8:8" x14ac:dyDescent="0.25">
      <c r="H938" t="s">
        <v>31</v>
      </c>
    </row>
    <row r="940" spans="8:8" x14ac:dyDescent="0.25">
      <c r="H940" t="s">
        <v>7584</v>
      </c>
    </row>
    <row r="941" spans="8:8" x14ac:dyDescent="0.25">
      <c r="H941" t="s">
        <v>145</v>
      </c>
    </row>
    <row r="942" spans="8:8" x14ac:dyDescent="0.25">
      <c r="H942" t="s">
        <v>2247</v>
      </c>
    </row>
    <row r="943" spans="8:8" x14ac:dyDescent="0.25">
      <c r="H943" t="s">
        <v>31</v>
      </c>
    </row>
    <row r="945" spans="8:8" x14ac:dyDescent="0.25">
      <c r="H945" t="s">
        <v>7585</v>
      </c>
    </row>
    <row r="946" spans="8:8" x14ac:dyDescent="0.25">
      <c r="H946" t="s">
        <v>145</v>
      </c>
    </row>
    <row r="947" spans="8:8" x14ac:dyDescent="0.25">
      <c r="H947" t="s">
        <v>2249</v>
      </c>
    </row>
    <row r="948" spans="8:8" x14ac:dyDescent="0.25">
      <c r="H948" t="s">
        <v>31</v>
      </c>
    </row>
    <row r="950" spans="8:8" x14ac:dyDescent="0.25">
      <c r="H950" t="s">
        <v>7586</v>
      </c>
    </row>
    <row r="951" spans="8:8" x14ac:dyDescent="0.25">
      <c r="H951" t="s">
        <v>145</v>
      </c>
    </row>
    <row r="952" spans="8:8" x14ac:dyDescent="0.25">
      <c r="H952" t="s">
        <v>2251</v>
      </c>
    </row>
    <row r="953" spans="8:8" x14ac:dyDescent="0.25">
      <c r="H953" t="s">
        <v>31</v>
      </c>
    </row>
    <row r="955" spans="8:8" x14ac:dyDescent="0.25">
      <c r="H955" t="s">
        <v>7587</v>
      </c>
    </row>
    <row r="956" spans="8:8" x14ac:dyDescent="0.25">
      <c r="H956" t="s">
        <v>145</v>
      </c>
    </row>
    <row r="957" spans="8:8" x14ac:dyDescent="0.25">
      <c r="H957" t="s">
        <v>2253</v>
      </c>
    </row>
    <row r="958" spans="8:8" x14ac:dyDescent="0.25">
      <c r="H958" t="s">
        <v>31</v>
      </c>
    </row>
    <row r="960" spans="8:8" x14ac:dyDescent="0.25">
      <c r="H960" t="s">
        <v>7588</v>
      </c>
    </row>
    <row r="961" spans="8:8" x14ac:dyDescent="0.25">
      <c r="H961" t="s">
        <v>145</v>
      </c>
    </row>
    <row r="962" spans="8:8" x14ac:dyDescent="0.25">
      <c r="H962" t="s">
        <v>2255</v>
      </c>
    </row>
    <row r="963" spans="8:8" x14ac:dyDescent="0.25">
      <c r="H963" t="s">
        <v>31</v>
      </c>
    </row>
    <row r="965" spans="8:8" x14ac:dyDescent="0.25">
      <c r="H965" t="s">
        <v>7589</v>
      </c>
    </row>
    <row r="966" spans="8:8" x14ac:dyDescent="0.25">
      <c r="H966" t="s">
        <v>145</v>
      </c>
    </row>
    <row r="967" spans="8:8" x14ac:dyDescent="0.25">
      <c r="H967" t="s">
        <v>2257</v>
      </c>
    </row>
    <row r="968" spans="8:8" x14ac:dyDescent="0.25">
      <c r="H968" t="s">
        <v>31</v>
      </c>
    </row>
    <row r="970" spans="8:8" x14ac:dyDescent="0.25">
      <c r="H970" t="s">
        <v>7590</v>
      </c>
    </row>
    <row r="971" spans="8:8" x14ac:dyDescent="0.25">
      <c r="H971" t="s">
        <v>145</v>
      </c>
    </row>
    <row r="972" spans="8:8" x14ac:dyDescent="0.25">
      <c r="H972" t="s">
        <v>2259</v>
      </c>
    </row>
    <row r="973" spans="8:8" x14ac:dyDescent="0.25">
      <c r="H973" t="s">
        <v>31</v>
      </c>
    </row>
    <row r="975" spans="8:8" x14ac:dyDescent="0.25">
      <c r="H975" t="s">
        <v>7591</v>
      </c>
    </row>
    <row r="976" spans="8:8" x14ac:dyDescent="0.25">
      <c r="H976" t="s">
        <v>145</v>
      </c>
    </row>
    <row r="977" spans="8:8" x14ac:dyDescent="0.25">
      <c r="H977" t="s">
        <v>2261</v>
      </c>
    </row>
    <row r="978" spans="8:8" x14ac:dyDescent="0.25">
      <c r="H978" t="s">
        <v>31</v>
      </c>
    </row>
    <row r="980" spans="8:8" x14ac:dyDescent="0.25">
      <c r="H980" t="s">
        <v>7592</v>
      </c>
    </row>
    <row r="981" spans="8:8" x14ac:dyDescent="0.25">
      <c r="H981" t="s">
        <v>145</v>
      </c>
    </row>
    <row r="982" spans="8:8" x14ac:dyDescent="0.25">
      <c r="H982" t="s">
        <v>2263</v>
      </c>
    </row>
    <row r="983" spans="8:8" x14ac:dyDescent="0.25">
      <c r="H983" t="s">
        <v>31</v>
      </c>
    </row>
    <row r="985" spans="8:8" x14ac:dyDescent="0.25">
      <c r="H985" t="s">
        <v>7593</v>
      </c>
    </row>
    <row r="986" spans="8:8" x14ac:dyDescent="0.25">
      <c r="H986" t="s">
        <v>145</v>
      </c>
    </row>
    <row r="987" spans="8:8" x14ac:dyDescent="0.25">
      <c r="H987" t="s">
        <v>2265</v>
      </c>
    </row>
    <row r="988" spans="8:8" x14ac:dyDescent="0.25">
      <c r="H988" t="s">
        <v>31</v>
      </c>
    </row>
    <row r="990" spans="8:8" x14ac:dyDescent="0.25">
      <c r="H990" t="s">
        <v>7594</v>
      </c>
    </row>
    <row r="991" spans="8:8" x14ac:dyDescent="0.25">
      <c r="H991" t="s">
        <v>145</v>
      </c>
    </row>
    <row r="992" spans="8:8" x14ac:dyDescent="0.25">
      <c r="H992" t="s">
        <v>2267</v>
      </c>
    </row>
    <row r="993" spans="8:8" x14ac:dyDescent="0.25">
      <c r="H993" t="s">
        <v>31</v>
      </c>
    </row>
    <row r="995" spans="8:8" x14ac:dyDescent="0.25">
      <c r="H995" t="s">
        <v>7595</v>
      </c>
    </row>
    <row r="996" spans="8:8" x14ac:dyDescent="0.25">
      <c r="H996" t="s">
        <v>145</v>
      </c>
    </row>
    <row r="997" spans="8:8" x14ac:dyDescent="0.25">
      <c r="H997" t="s">
        <v>2269</v>
      </c>
    </row>
    <row r="998" spans="8:8" x14ac:dyDescent="0.25">
      <c r="H998" t="s">
        <v>31</v>
      </c>
    </row>
    <row r="1000" spans="8:8" x14ac:dyDescent="0.25">
      <c r="H1000" t="s">
        <v>7596</v>
      </c>
    </row>
    <row r="1001" spans="8:8" x14ac:dyDescent="0.25">
      <c r="H1001" t="s">
        <v>145</v>
      </c>
    </row>
    <row r="1002" spans="8:8" x14ac:dyDescent="0.25">
      <c r="H1002" t="s">
        <v>2271</v>
      </c>
    </row>
    <row r="1003" spans="8:8" x14ac:dyDescent="0.25">
      <c r="H1003" t="s">
        <v>31</v>
      </c>
    </row>
    <row r="1005" spans="8:8" x14ac:dyDescent="0.25">
      <c r="H1005" t="s">
        <v>7597</v>
      </c>
    </row>
    <row r="1006" spans="8:8" x14ac:dyDescent="0.25">
      <c r="H1006" t="s">
        <v>145</v>
      </c>
    </row>
    <row r="1007" spans="8:8" x14ac:dyDescent="0.25">
      <c r="H1007" t="s">
        <v>2273</v>
      </c>
    </row>
    <row r="1008" spans="8:8" x14ac:dyDescent="0.25">
      <c r="H1008" t="s">
        <v>31</v>
      </c>
    </row>
    <row r="1010" spans="8:8" x14ac:dyDescent="0.25">
      <c r="H1010" t="s">
        <v>7598</v>
      </c>
    </row>
    <row r="1011" spans="8:8" x14ac:dyDescent="0.25">
      <c r="H1011" t="s">
        <v>145</v>
      </c>
    </row>
    <row r="1012" spans="8:8" x14ac:dyDescent="0.25">
      <c r="H1012" t="s">
        <v>2275</v>
      </c>
    </row>
    <row r="1013" spans="8:8" x14ac:dyDescent="0.25">
      <c r="H1013" t="s">
        <v>31</v>
      </c>
    </row>
    <row r="1015" spans="8:8" x14ac:dyDescent="0.25">
      <c r="H1015" t="s">
        <v>7599</v>
      </c>
    </row>
    <row r="1016" spans="8:8" x14ac:dyDescent="0.25">
      <c r="H1016" t="s">
        <v>145</v>
      </c>
    </row>
    <row r="1017" spans="8:8" x14ac:dyDescent="0.25">
      <c r="H1017" t="s">
        <v>2277</v>
      </c>
    </row>
    <row r="1018" spans="8:8" x14ac:dyDescent="0.25">
      <c r="H1018" t="s">
        <v>31</v>
      </c>
    </row>
    <row r="1020" spans="8:8" x14ac:dyDescent="0.25">
      <c r="H1020" t="s">
        <v>7600</v>
      </c>
    </row>
    <row r="1021" spans="8:8" x14ac:dyDescent="0.25">
      <c r="H1021" t="s">
        <v>145</v>
      </c>
    </row>
    <row r="1022" spans="8:8" x14ac:dyDescent="0.25">
      <c r="H1022" t="s">
        <v>2279</v>
      </c>
    </row>
    <row r="1023" spans="8:8" x14ac:dyDescent="0.25">
      <c r="H1023" t="s">
        <v>31</v>
      </c>
    </row>
    <row r="1025" spans="8:8" x14ac:dyDescent="0.25">
      <c r="H1025" t="s">
        <v>7601</v>
      </c>
    </row>
    <row r="1026" spans="8:8" x14ac:dyDescent="0.25">
      <c r="H1026" t="s">
        <v>145</v>
      </c>
    </row>
    <row r="1027" spans="8:8" x14ac:dyDescent="0.25">
      <c r="H1027" t="s">
        <v>2281</v>
      </c>
    </row>
    <row r="1028" spans="8:8" x14ac:dyDescent="0.25">
      <c r="H1028" t="s">
        <v>31</v>
      </c>
    </row>
    <row r="1030" spans="8:8" x14ac:dyDescent="0.25">
      <c r="H1030" t="s">
        <v>7602</v>
      </c>
    </row>
    <row r="1031" spans="8:8" x14ac:dyDescent="0.25">
      <c r="H1031" t="s">
        <v>145</v>
      </c>
    </row>
    <row r="1032" spans="8:8" x14ac:dyDescent="0.25">
      <c r="H1032" t="s">
        <v>2283</v>
      </c>
    </row>
    <row r="1033" spans="8:8" x14ac:dyDescent="0.25">
      <c r="H1033" t="s">
        <v>31</v>
      </c>
    </row>
    <row r="1035" spans="8:8" x14ac:dyDescent="0.25">
      <c r="H1035" t="s">
        <v>7603</v>
      </c>
    </row>
    <row r="1036" spans="8:8" x14ac:dyDescent="0.25">
      <c r="H1036" t="s">
        <v>145</v>
      </c>
    </row>
    <row r="1037" spans="8:8" x14ac:dyDescent="0.25">
      <c r="H1037" t="s">
        <v>2285</v>
      </c>
    </row>
    <row r="1038" spans="8:8" x14ac:dyDescent="0.25">
      <c r="H1038" t="s">
        <v>31</v>
      </c>
    </row>
    <row r="1040" spans="8:8" x14ac:dyDescent="0.25">
      <c r="H1040" t="s">
        <v>7604</v>
      </c>
    </row>
    <row r="1041" spans="8:8" x14ac:dyDescent="0.25">
      <c r="H1041" t="s">
        <v>145</v>
      </c>
    </row>
    <row r="1042" spans="8:8" x14ac:dyDescent="0.25">
      <c r="H1042" t="s">
        <v>2287</v>
      </c>
    </row>
    <row r="1043" spans="8:8" x14ac:dyDescent="0.25">
      <c r="H1043" t="s">
        <v>31</v>
      </c>
    </row>
    <row r="1045" spans="8:8" x14ac:dyDescent="0.25">
      <c r="H1045" t="s">
        <v>7605</v>
      </c>
    </row>
    <row r="1046" spans="8:8" x14ac:dyDescent="0.25">
      <c r="H1046" t="s">
        <v>145</v>
      </c>
    </row>
    <row r="1047" spans="8:8" x14ac:dyDescent="0.25">
      <c r="H1047" t="s">
        <v>2289</v>
      </c>
    </row>
    <row r="1048" spans="8:8" x14ac:dyDescent="0.25">
      <c r="H1048" t="s">
        <v>31</v>
      </c>
    </row>
    <row r="1050" spans="8:8" x14ac:dyDescent="0.25">
      <c r="H1050" t="s">
        <v>7606</v>
      </c>
    </row>
    <row r="1051" spans="8:8" x14ac:dyDescent="0.25">
      <c r="H1051" t="s">
        <v>145</v>
      </c>
    </row>
    <row r="1052" spans="8:8" x14ac:dyDescent="0.25">
      <c r="H1052" t="s">
        <v>2291</v>
      </c>
    </row>
    <row r="1053" spans="8:8" x14ac:dyDescent="0.25">
      <c r="H1053" t="s">
        <v>31</v>
      </c>
    </row>
    <row r="1055" spans="8:8" x14ac:dyDescent="0.25">
      <c r="H1055" t="s">
        <v>7607</v>
      </c>
    </row>
    <row r="1056" spans="8:8" x14ac:dyDescent="0.25">
      <c r="H1056" t="s">
        <v>145</v>
      </c>
    </row>
    <row r="1057" spans="8:8" x14ac:dyDescent="0.25">
      <c r="H1057" t="s">
        <v>2293</v>
      </c>
    </row>
    <row r="1058" spans="8:8" x14ac:dyDescent="0.25">
      <c r="H1058" t="s">
        <v>31</v>
      </c>
    </row>
    <row r="1060" spans="8:8" x14ac:dyDescent="0.25">
      <c r="H1060" t="s">
        <v>7608</v>
      </c>
    </row>
    <row r="1061" spans="8:8" x14ac:dyDescent="0.25">
      <c r="H1061" t="s">
        <v>145</v>
      </c>
    </row>
    <row r="1062" spans="8:8" x14ac:dyDescent="0.25">
      <c r="H1062" t="s">
        <v>2295</v>
      </c>
    </row>
    <row r="1063" spans="8:8" x14ac:dyDescent="0.25">
      <c r="H1063" t="s">
        <v>31</v>
      </c>
    </row>
    <row r="1065" spans="8:8" x14ac:dyDescent="0.25">
      <c r="H1065" t="s">
        <v>7609</v>
      </c>
    </row>
    <row r="1066" spans="8:8" x14ac:dyDescent="0.25">
      <c r="H1066" t="s">
        <v>145</v>
      </c>
    </row>
    <row r="1067" spans="8:8" x14ac:dyDescent="0.25">
      <c r="H1067" t="s">
        <v>2297</v>
      </c>
    </row>
    <row r="1068" spans="8:8" x14ac:dyDescent="0.25">
      <c r="H1068" t="s">
        <v>31</v>
      </c>
    </row>
    <row r="1070" spans="8:8" x14ac:dyDescent="0.25">
      <c r="H1070" t="s">
        <v>7610</v>
      </c>
    </row>
    <row r="1071" spans="8:8" x14ac:dyDescent="0.25">
      <c r="H1071" t="s">
        <v>145</v>
      </c>
    </row>
    <row r="1072" spans="8:8" x14ac:dyDescent="0.25">
      <c r="H1072" t="s">
        <v>2299</v>
      </c>
    </row>
    <row r="1073" spans="8:8" x14ac:dyDescent="0.25">
      <c r="H1073" t="s">
        <v>31</v>
      </c>
    </row>
    <row r="1075" spans="8:8" x14ac:dyDescent="0.25">
      <c r="H1075" t="s">
        <v>7611</v>
      </c>
    </row>
    <row r="1076" spans="8:8" x14ac:dyDescent="0.25">
      <c r="H1076" t="s">
        <v>145</v>
      </c>
    </row>
    <row r="1077" spans="8:8" x14ac:dyDescent="0.25">
      <c r="H1077" t="s">
        <v>2301</v>
      </c>
    </row>
    <row r="1078" spans="8:8" x14ac:dyDescent="0.25">
      <c r="H1078" t="s">
        <v>31</v>
      </c>
    </row>
    <row r="1080" spans="8:8" x14ac:dyDescent="0.25">
      <c r="H1080" t="s">
        <v>7612</v>
      </c>
    </row>
    <row r="1081" spans="8:8" x14ac:dyDescent="0.25">
      <c r="H1081" t="s">
        <v>145</v>
      </c>
    </row>
    <row r="1082" spans="8:8" x14ac:dyDescent="0.25">
      <c r="H1082" t="s">
        <v>2303</v>
      </c>
    </row>
    <row r="1083" spans="8:8" x14ac:dyDescent="0.25">
      <c r="H1083" t="s">
        <v>31</v>
      </c>
    </row>
    <row r="1085" spans="8:8" x14ac:dyDescent="0.25">
      <c r="H1085" t="s">
        <v>7613</v>
      </c>
    </row>
    <row r="1086" spans="8:8" x14ac:dyDescent="0.25">
      <c r="H1086" t="s">
        <v>145</v>
      </c>
    </row>
    <row r="1087" spans="8:8" x14ac:dyDescent="0.25">
      <c r="H1087" t="s">
        <v>2305</v>
      </c>
    </row>
    <row r="1088" spans="8:8" x14ac:dyDescent="0.25">
      <c r="H1088" t="s">
        <v>31</v>
      </c>
    </row>
    <row r="1090" spans="8:8" x14ac:dyDescent="0.25">
      <c r="H1090" t="s">
        <v>7614</v>
      </c>
    </row>
    <row r="1091" spans="8:8" x14ac:dyDescent="0.25">
      <c r="H1091" t="s">
        <v>145</v>
      </c>
    </row>
    <row r="1092" spans="8:8" x14ac:dyDescent="0.25">
      <c r="H1092" t="s">
        <v>2307</v>
      </c>
    </row>
    <row r="1093" spans="8:8" x14ac:dyDescent="0.25">
      <c r="H1093" t="s">
        <v>31</v>
      </c>
    </row>
    <row r="1095" spans="8:8" x14ac:dyDescent="0.25">
      <c r="H1095" t="s">
        <v>7615</v>
      </c>
    </row>
    <row r="1096" spans="8:8" x14ac:dyDescent="0.25">
      <c r="H1096" t="s">
        <v>145</v>
      </c>
    </row>
    <row r="1097" spans="8:8" x14ac:dyDescent="0.25">
      <c r="H1097" t="s">
        <v>2309</v>
      </c>
    </row>
    <row r="1098" spans="8:8" x14ac:dyDescent="0.25">
      <c r="H1098" t="s">
        <v>31</v>
      </c>
    </row>
    <row r="1100" spans="8:8" x14ac:dyDescent="0.25">
      <c r="H1100" t="s">
        <v>7616</v>
      </c>
    </row>
    <row r="1101" spans="8:8" x14ac:dyDescent="0.25">
      <c r="H1101" t="s">
        <v>145</v>
      </c>
    </row>
    <row r="1102" spans="8:8" x14ac:dyDescent="0.25">
      <c r="H1102" t="s">
        <v>2311</v>
      </c>
    </row>
    <row r="1103" spans="8:8" x14ac:dyDescent="0.25">
      <c r="H1103" t="s">
        <v>31</v>
      </c>
    </row>
    <row r="1105" spans="8:8" x14ac:dyDescent="0.25">
      <c r="H1105" t="s">
        <v>7617</v>
      </c>
    </row>
    <row r="1106" spans="8:8" x14ac:dyDescent="0.25">
      <c r="H1106" t="s">
        <v>145</v>
      </c>
    </row>
    <row r="1107" spans="8:8" x14ac:dyDescent="0.25">
      <c r="H1107" t="s">
        <v>2313</v>
      </c>
    </row>
    <row r="1108" spans="8:8" x14ac:dyDescent="0.25">
      <c r="H1108" t="s">
        <v>31</v>
      </c>
    </row>
    <row r="1110" spans="8:8" x14ac:dyDescent="0.25">
      <c r="H1110" t="s">
        <v>7618</v>
      </c>
    </row>
    <row r="1111" spans="8:8" x14ac:dyDescent="0.25">
      <c r="H1111" t="s">
        <v>145</v>
      </c>
    </row>
    <row r="1112" spans="8:8" x14ac:dyDescent="0.25">
      <c r="H1112" t="s">
        <v>2315</v>
      </c>
    </row>
    <row r="1113" spans="8:8" x14ac:dyDescent="0.25">
      <c r="H1113" t="s">
        <v>31</v>
      </c>
    </row>
    <row r="1115" spans="8:8" x14ac:dyDescent="0.25">
      <c r="H1115" t="s">
        <v>7619</v>
      </c>
    </row>
    <row r="1116" spans="8:8" x14ac:dyDescent="0.25">
      <c r="H1116" t="s">
        <v>145</v>
      </c>
    </row>
    <row r="1117" spans="8:8" x14ac:dyDescent="0.25">
      <c r="H1117" t="s">
        <v>2317</v>
      </c>
    </row>
    <row r="1118" spans="8:8" x14ac:dyDescent="0.25">
      <c r="H1118" t="s">
        <v>31</v>
      </c>
    </row>
    <row r="1120" spans="8:8" x14ac:dyDescent="0.25">
      <c r="H1120" t="s">
        <v>7620</v>
      </c>
    </row>
    <row r="1121" spans="8:8" x14ac:dyDescent="0.25">
      <c r="H1121" t="s">
        <v>145</v>
      </c>
    </row>
    <row r="1122" spans="8:8" x14ac:dyDescent="0.25">
      <c r="H1122" t="s">
        <v>2319</v>
      </c>
    </row>
    <row r="1123" spans="8:8" x14ac:dyDescent="0.25">
      <c r="H1123" t="s">
        <v>31</v>
      </c>
    </row>
    <row r="1125" spans="8:8" x14ac:dyDescent="0.25">
      <c r="H1125" t="s">
        <v>7621</v>
      </c>
    </row>
    <row r="1126" spans="8:8" x14ac:dyDescent="0.25">
      <c r="H1126" t="s">
        <v>145</v>
      </c>
    </row>
    <row r="1127" spans="8:8" x14ac:dyDescent="0.25">
      <c r="H1127" t="s">
        <v>2321</v>
      </c>
    </row>
    <row r="1128" spans="8:8" x14ac:dyDescent="0.25">
      <c r="H1128" t="s">
        <v>31</v>
      </c>
    </row>
    <row r="1130" spans="8:8" x14ac:dyDescent="0.25">
      <c r="H1130" t="s">
        <v>7622</v>
      </c>
    </row>
    <row r="1131" spans="8:8" x14ac:dyDescent="0.25">
      <c r="H1131" t="s">
        <v>145</v>
      </c>
    </row>
    <row r="1132" spans="8:8" x14ac:dyDescent="0.25">
      <c r="H1132" t="s">
        <v>2323</v>
      </c>
    </row>
    <row r="1133" spans="8:8" x14ac:dyDescent="0.25">
      <c r="H1133" t="s">
        <v>31</v>
      </c>
    </row>
    <row r="1135" spans="8:8" x14ac:dyDescent="0.25">
      <c r="H1135" t="s">
        <v>7623</v>
      </c>
    </row>
    <row r="1136" spans="8:8" x14ac:dyDescent="0.25">
      <c r="H1136" t="s">
        <v>145</v>
      </c>
    </row>
    <row r="1137" spans="8:8" x14ac:dyDescent="0.25">
      <c r="H1137" t="s">
        <v>2325</v>
      </c>
    </row>
    <row r="1138" spans="8:8" x14ac:dyDescent="0.25">
      <c r="H1138" t="s">
        <v>31</v>
      </c>
    </row>
    <row r="1140" spans="8:8" x14ac:dyDescent="0.25">
      <c r="H1140" t="s">
        <v>7624</v>
      </c>
    </row>
    <row r="1141" spans="8:8" x14ac:dyDescent="0.25">
      <c r="H1141" t="s">
        <v>145</v>
      </c>
    </row>
    <row r="1142" spans="8:8" x14ac:dyDescent="0.25">
      <c r="H1142" t="s">
        <v>2327</v>
      </c>
    </row>
    <row r="1143" spans="8:8" x14ac:dyDescent="0.25">
      <c r="H1143" t="s">
        <v>31</v>
      </c>
    </row>
    <row r="1145" spans="8:8" x14ac:dyDescent="0.25">
      <c r="H1145" t="s">
        <v>7625</v>
      </c>
    </row>
    <row r="1146" spans="8:8" x14ac:dyDescent="0.25">
      <c r="H1146" t="s">
        <v>145</v>
      </c>
    </row>
    <row r="1147" spans="8:8" x14ac:dyDescent="0.25">
      <c r="H1147" t="s">
        <v>2329</v>
      </c>
    </row>
    <row r="1148" spans="8:8" x14ac:dyDescent="0.25">
      <c r="H1148" t="s">
        <v>31</v>
      </c>
    </row>
    <row r="1150" spans="8:8" x14ac:dyDescent="0.25">
      <c r="H1150" t="s">
        <v>7626</v>
      </c>
    </row>
    <row r="1151" spans="8:8" x14ac:dyDescent="0.25">
      <c r="H1151" t="s">
        <v>145</v>
      </c>
    </row>
    <row r="1152" spans="8:8" x14ac:dyDescent="0.25">
      <c r="H1152" t="s">
        <v>2331</v>
      </c>
    </row>
    <row r="1153" spans="8:8" x14ac:dyDescent="0.25">
      <c r="H1153" t="s">
        <v>31</v>
      </c>
    </row>
    <row r="1155" spans="8:8" x14ac:dyDescent="0.25">
      <c r="H1155" t="s">
        <v>7627</v>
      </c>
    </row>
    <row r="1156" spans="8:8" x14ac:dyDescent="0.25">
      <c r="H1156" t="s">
        <v>145</v>
      </c>
    </row>
    <row r="1157" spans="8:8" x14ac:dyDescent="0.25">
      <c r="H1157" t="s">
        <v>2333</v>
      </c>
    </row>
    <row r="1158" spans="8:8" x14ac:dyDescent="0.25">
      <c r="H1158" t="s">
        <v>31</v>
      </c>
    </row>
    <row r="1160" spans="8:8" x14ac:dyDescent="0.25">
      <c r="H1160" t="s">
        <v>7628</v>
      </c>
    </row>
    <row r="1161" spans="8:8" x14ac:dyDescent="0.25">
      <c r="H1161" t="s">
        <v>145</v>
      </c>
    </row>
    <row r="1162" spans="8:8" x14ac:dyDescent="0.25">
      <c r="H1162" t="s">
        <v>2335</v>
      </c>
    </row>
    <row r="1163" spans="8:8" x14ac:dyDescent="0.25">
      <c r="H1163" t="s">
        <v>31</v>
      </c>
    </row>
    <row r="1165" spans="8:8" x14ac:dyDescent="0.25">
      <c r="H1165" t="s">
        <v>7629</v>
      </c>
    </row>
    <row r="1166" spans="8:8" x14ac:dyDescent="0.25">
      <c r="H1166" t="s">
        <v>145</v>
      </c>
    </row>
    <row r="1167" spans="8:8" x14ac:dyDescent="0.25">
      <c r="H1167" t="s">
        <v>2337</v>
      </c>
    </row>
    <row r="1168" spans="8:8" x14ac:dyDescent="0.25">
      <c r="H1168" t="s">
        <v>31</v>
      </c>
    </row>
    <row r="1170" spans="8:8" x14ac:dyDescent="0.25">
      <c r="H1170" t="s">
        <v>7630</v>
      </c>
    </row>
    <row r="1171" spans="8:8" x14ac:dyDescent="0.25">
      <c r="H1171" t="s">
        <v>145</v>
      </c>
    </row>
    <row r="1172" spans="8:8" x14ac:dyDescent="0.25">
      <c r="H1172" t="s">
        <v>2339</v>
      </c>
    </row>
    <row r="1173" spans="8:8" x14ac:dyDescent="0.25">
      <c r="H1173" t="s">
        <v>31</v>
      </c>
    </row>
    <row r="1175" spans="8:8" x14ac:dyDescent="0.25">
      <c r="H1175" t="s">
        <v>7631</v>
      </c>
    </row>
    <row r="1176" spans="8:8" x14ac:dyDescent="0.25">
      <c r="H1176" t="s">
        <v>145</v>
      </c>
    </row>
    <row r="1177" spans="8:8" x14ac:dyDescent="0.25">
      <c r="H1177" t="s">
        <v>2341</v>
      </c>
    </row>
    <row r="1178" spans="8:8" x14ac:dyDescent="0.25">
      <c r="H1178" t="s">
        <v>31</v>
      </c>
    </row>
    <row r="1180" spans="8:8" x14ac:dyDescent="0.25">
      <c r="H1180" t="s">
        <v>7632</v>
      </c>
    </row>
    <row r="1181" spans="8:8" x14ac:dyDescent="0.25">
      <c r="H1181" t="s">
        <v>145</v>
      </c>
    </row>
    <row r="1182" spans="8:8" x14ac:dyDescent="0.25">
      <c r="H1182" t="s">
        <v>2343</v>
      </c>
    </row>
    <row r="1183" spans="8:8" x14ac:dyDescent="0.25">
      <c r="H1183" t="s">
        <v>31</v>
      </c>
    </row>
    <row r="1185" spans="8:8" x14ac:dyDescent="0.25">
      <c r="H1185" t="s">
        <v>7633</v>
      </c>
    </row>
    <row r="1186" spans="8:8" x14ac:dyDescent="0.25">
      <c r="H1186" t="s">
        <v>145</v>
      </c>
    </row>
    <row r="1187" spans="8:8" x14ac:dyDescent="0.25">
      <c r="H1187" t="s">
        <v>2345</v>
      </c>
    </row>
    <row r="1188" spans="8:8" x14ac:dyDescent="0.25">
      <c r="H1188" t="s">
        <v>31</v>
      </c>
    </row>
    <row r="1190" spans="8:8" x14ac:dyDescent="0.25">
      <c r="H1190" t="s">
        <v>7634</v>
      </c>
    </row>
    <row r="1191" spans="8:8" x14ac:dyDescent="0.25">
      <c r="H1191" t="s">
        <v>145</v>
      </c>
    </row>
    <row r="1192" spans="8:8" x14ac:dyDescent="0.25">
      <c r="H1192" t="s">
        <v>2347</v>
      </c>
    </row>
    <row r="1193" spans="8:8" x14ac:dyDescent="0.25">
      <c r="H1193" t="s">
        <v>31</v>
      </c>
    </row>
    <row r="1195" spans="8:8" x14ac:dyDescent="0.25">
      <c r="H1195" t="s">
        <v>7635</v>
      </c>
    </row>
    <row r="1196" spans="8:8" x14ac:dyDescent="0.25">
      <c r="H1196" t="s">
        <v>145</v>
      </c>
    </row>
    <row r="1197" spans="8:8" x14ac:dyDescent="0.25">
      <c r="H1197" t="s">
        <v>2349</v>
      </c>
    </row>
    <row r="1198" spans="8:8" x14ac:dyDescent="0.25">
      <c r="H1198" t="s">
        <v>31</v>
      </c>
    </row>
    <row r="1200" spans="8:8" x14ac:dyDescent="0.25">
      <c r="H1200" t="s">
        <v>7636</v>
      </c>
    </row>
    <row r="1201" spans="8:8" x14ac:dyDescent="0.25">
      <c r="H1201" t="s">
        <v>145</v>
      </c>
    </row>
    <row r="1202" spans="8:8" x14ac:dyDescent="0.25">
      <c r="H1202" t="s">
        <v>2351</v>
      </c>
    </row>
    <row r="1203" spans="8:8" x14ac:dyDescent="0.25">
      <c r="H1203" t="s">
        <v>31</v>
      </c>
    </row>
    <row r="1205" spans="8:8" x14ac:dyDescent="0.25">
      <c r="H1205" t="s">
        <v>7637</v>
      </c>
    </row>
    <row r="1206" spans="8:8" x14ac:dyDescent="0.25">
      <c r="H1206" t="s">
        <v>145</v>
      </c>
    </row>
    <row r="1207" spans="8:8" x14ac:dyDescent="0.25">
      <c r="H1207" t="s">
        <v>2353</v>
      </c>
    </row>
    <row r="1208" spans="8:8" x14ac:dyDescent="0.25">
      <c r="H1208" t="s">
        <v>31</v>
      </c>
    </row>
    <row r="1210" spans="8:8" x14ac:dyDescent="0.25">
      <c r="H1210" t="s">
        <v>7638</v>
      </c>
    </row>
    <row r="1211" spans="8:8" x14ac:dyDescent="0.25">
      <c r="H1211" t="s">
        <v>145</v>
      </c>
    </row>
    <row r="1212" spans="8:8" x14ac:dyDescent="0.25">
      <c r="H1212" t="s">
        <v>2355</v>
      </c>
    </row>
    <row r="1213" spans="8:8" x14ac:dyDescent="0.25">
      <c r="H1213" t="s">
        <v>31</v>
      </c>
    </row>
    <row r="1215" spans="8:8" x14ac:dyDescent="0.25">
      <c r="H1215" t="s">
        <v>7639</v>
      </c>
    </row>
    <row r="1216" spans="8:8" x14ac:dyDescent="0.25">
      <c r="H1216" t="s">
        <v>145</v>
      </c>
    </row>
    <row r="1217" spans="8:8" x14ac:dyDescent="0.25">
      <c r="H1217" t="s">
        <v>2357</v>
      </c>
    </row>
    <row r="1218" spans="8:8" x14ac:dyDescent="0.25">
      <c r="H1218" t="s">
        <v>31</v>
      </c>
    </row>
    <row r="1220" spans="8:8" x14ac:dyDescent="0.25">
      <c r="H1220" t="s">
        <v>7640</v>
      </c>
    </row>
    <row r="1221" spans="8:8" x14ac:dyDescent="0.25">
      <c r="H1221" t="s">
        <v>145</v>
      </c>
    </row>
    <row r="1222" spans="8:8" x14ac:dyDescent="0.25">
      <c r="H1222" t="s">
        <v>2359</v>
      </c>
    </row>
    <row r="1223" spans="8:8" x14ac:dyDescent="0.25">
      <c r="H1223" t="s">
        <v>31</v>
      </c>
    </row>
    <row r="1225" spans="8:8" x14ac:dyDescent="0.25">
      <c r="H1225" t="s">
        <v>7641</v>
      </c>
    </row>
    <row r="1226" spans="8:8" x14ac:dyDescent="0.25">
      <c r="H1226" t="s">
        <v>145</v>
      </c>
    </row>
    <row r="1227" spans="8:8" x14ac:dyDescent="0.25">
      <c r="H1227" t="s">
        <v>2361</v>
      </c>
    </row>
    <row r="1228" spans="8:8" x14ac:dyDescent="0.25">
      <c r="H1228" t="s">
        <v>31</v>
      </c>
    </row>
    <row r="1230" spans="8:8" x14ac:dyDescent="0.25">
      <c r="H1230" t="s">
        <v>7642</v>
      </c>
    </row>
    <row r="1231" spans="8:8" x14ac:dyDescent="0.25">
      <c r="H1231" t="s">
        <v>145</v>
      </c>
    </row>
    <row r="1232" spans="8:8" x14ac:dyDescent="0.25">
      <c r="H1232" t="s">
        <v>2363</v>
      </c>
    </row>
    <row r="1233" spans="8:8" x14ac:dyDescent="0.25">
      <c r="H1233" t="s">
        <v>31</v>
      </c>
    </row>
    <row r="1235" spans="8:8" x14ac:dyDescent="0.25">
      <c r="H1235" t="s">
        <v>7643</v>
      </c>
    </row>
    <row r="1236" spans="8:8" x14ac:dyDescent="0.25">
      <c r="H1236" t="s">
        <v>145</v>
      </c>
    </row>
    <row r="1237" spans="8:8" x14ac:dyDescent="0.25">
      <c r="H1237" t="s">
        <v>2365</v>
      </c>
    </row>
    <row r="1238" spans="8:8" x14ac:dyDescent="0.25">
      <c r="H1238" t="s">
        <v>31</v>
      </c>
    </row>
    <row r="1240" spans="8:8" x14ac:dyDescent="0.25">
      <c r="H1240" t="s">
        <v>7644</v>
      </c>
    </row>
    <row r="1241" spans="8:8" x14ac:dyDescent="0.25">
      <c r="H1241" t="s">
        <v>145</v>
      </c>
    </row>
    <row r="1242" spans="8:8" x14ac:dyDescent="0.25">
      <c r="H1242" t="s">
        <v>2367</v>
      </c>
    </row>
    <row r="1243" spans="8:8" x14ac:dyDescent="0.25">
      <c r="H1243" t="s">
        <v>31</v>
      </c>
    </row>
    <row r="1245" spans="8:8" x14ac:dyDescent="0.25">
      <c r="H1245" t="s">
        <v>7645</v>
      </c>
    </row>
    <row r="1246" spans="8:8" x14ac:dyDescent="0.25">
      <c r="H1246" t="s">
        <v>145</v>
      </c>
    </row>
    <row r="1247" spans="8:8" x14ac:dyDescent="0.25">
      <c r="H1247" t="s">
        <v>2369</v>
      </c>
    </row>
    <row r="1248" spans="8:8" x14ac:dyDescent="0.25">
      <c r="H1248" t="s">
        <v>31</v>
      </c>
    </row>
    <row r="1250" spans="8:8" x14ac:dyDescent="0.25">
      <c r="H1250" t="s">
        <v>7646</v>
      </c>
    </row>
    <row r="1251" spans="8:8" x14ac:dyDescent="0.25">
      <c r="H1251" t="s">
        <v>145</v>
      </c>
    </row>
    <row r="1252" spans="8:8" x14ac:dyDescent="0.25">
      <c r="H1252" t="s">
        <v>2371</v>
      </c>
    </row>
    <row r="1253" spans="8:8" x14ac:dyDescent="0.25">
      <c r="H1253" t="s">
        <v>31</v>
      </c>
    </row>
    <row r="1255" spans="8:8" x14ac:dyDescent="0.25">
      <c r="H1255" t="s">
        <v>7647</v>
      </c>
    </row>
    <row r="1256" spans="8:8" x14ac:dyDescent="0.25">
      <c r="H1256" t="s">
        <v>145</v>
      </c>
    </row>
    <row r="1257" spans="8:8" x14ac:dyDescent="0.25">
      <c r="H1257" t="s">
        <v>2373</v>
      </c>
    </row>
    <row r="1258" spans="8:8" x14ac:dyDescent="0.25">
      <c r="H1258" t="s">
        <v>31</v>
      </c>
    </row>
    <row r="1260" spans="8:8" x14ac:dyDescent="0.25">
      <c r="H1260" t="s">
        <v>7648</v>
      </c>
    </row>
    <row r="1261" spans="8:8" x14ac:dyDescent="0.25">
      <c r="H1261" t="s">
        <v>145</v>
      </c>
    </row>
    <row r="1262" spans="8:8" x14ac:dyDescent="0.25">
      <c r="H1262" t="s">
        <v>2375</v>
      </c>
    </row>
    <row r="1263" spans="8:8" x14ac:dyDescent="0.25">
      <c r="H1263" t="s">
        <v>31</v>
      </c>
    </row>
    <row r="1265" spans="8:8" x14ac:dyDescent="0.25">
      <c r="H1265" t="s">
        <v>7649</v>
      </c>
    </row>
    <row r="1266" spans="8:8" x14ac:dyDescent="0.25">
      <c r="H1266" t="s">
        <v>145</v>
      </c>
    </row>
    <row r="1267" spans="8:8" x14ac:dyDescent="0.25">
      <c r="H1267" t="s">
        <v>2377</v>
      </c>
    </row>
    <row r="1268" spans="8:8" x14ac:dyDescent="0.25">
      <c r="H1268" t="s">
        <v>31</v>
      </c>
    </row>
    <row r="1270" spans="8:8" x14ac:dyDescent="0.25">
      <c r="H1270" t="s">
        <v>7650</v>
      </c>
    </row>
    <row r="1271" spans="8:8" x14ac:dyDescent="0.25">
      <c r="H1271" t="s">
        <v>145</v>
      </c>
    </row>
    <row r="1272" spans="8:8" x14ac:dyDescent="0.25">
      <c r="H1272" t="s">
        <v>2379</v>
      </c>
    </row>
    <row r="1273" spans="8:8" x14ac:dyDescent="0.25">
      <c r="H1273" t="s">
        <v>31</v>
      </c>
    </row>
    <row r="1275" spans="8:8" x14ac:dyDescent="0.25">
      <c r="H1275" t="s">
        <v>7651</v>
      </c>
    </row>
    <row r="1276" spans="8:8" x14ac:dyDescent="0.25">
      <c r="H1276" t="s">
        <v>145</v>
      </c>
    </row>
    <row r="1277" spans="8:8" x14ac:dyDescent="0.25">
      <c r="H1277" t="s">
        <v>2381</v>
      </c>
    </row>
    <row r="1278" spans="8:8" x14ac:dyDescent="0.25">
      <c r="H1278" t="s">
        <v>31</v>
      </c>
    </row>
    <row r="1280" spans="8:8" x14ac:dyDescent="0.25">
      <c r="H1280" t="s">
        <v>7652</v>
      </c>
    </row>
    <row r="1281" spans="8:8" x14ac:dyDescent="0.25">
      <c r="H1281" t="s">
        <v>145</v>
      </c>
    </row>
    <row r="1282" spans="8:8" x14ac:dyDescent="0.25">
      <c r="H1282" t="s">
        <v>2383</v>
      </c>
    </row>
    <row r="1283" spans="8:8" x14ac:dyDescent="0.25">
      <c r="H1283" t="s">
        <v>31</v>
      </c>
    </row>
    <row r="1285" spans="8:8" x14ac:dyDescent="0.25">
      <c r="H1285" t="s">
        <v>7653</v>
      </c>
    </row>
    <row r="1286" spans="8:8" x14ac:dyDescent="0.25">
      <c r="H1286" t="s">
        <v>145</v>
      </c>
    </row>
    <row r="1287" spans="8:8" x14ac:dyDescent="0.25">
      <c r="H1287" t="s">
        <v>2385</v>
      </c>
    </row>
    <row r="1288" spans="8:8" x14ac:dyDescent="0.25">
      <c r="H1288" t="s">
        <v>31</v>
      </c>
    </row>
    <row r="1290" spans="8:8" x14ac:dyDescent="0.25">
      <c r="H1290" t="s">
        <v>7654</v>
      </c>
    </row>
    <row r="1291" spans="8:8" x14ac:dyDescent="0.25">
      <c r="H1291" t="s">
        <v>145</v>
      </c>
    </row>
    <row r="1292" spans="8:8" x14ac:dyDescent="0.25">
      <c r="H1292" t="s">
        <v>2387</v>
      </c>
    </row>
    <row r="1293" spans="8:8" x14ac:dyDescent="0.25">
      <c r="H1293" t="s">
        <v>31</v>
      </c>
    </row>
    <row r="1295" spans="8:8" x14ac:dyDescent="0.25">
      <c r="H1295" t="s">
        <v>7655</v>
      </c>
    </row>
    <row r="1296" spans="8:8" x14ac:dyDescent="0.25">
      <c r="H1296" t="s">
        <v>145</v>
      </c>
    </row>
    <row r="1297" spans="8:8" x14ac:dyDescent="0.25">
      <c r="H1297" t="s">
        <v>2389</v>
      </c>
    </row>
    <row r="1298" spans="8:8" x14ac:dyDescent="0.25">
      <c r="H1298" t="s">
        <v>31</v>
      </c>
    </row>
    <row r="1300" spans="8:8" x14ac:dyDescent="0.25">
      <c r="H1300" t="s">
        <v>7656</v>
      </c>
    </row>
    <row r="1301" spans="8:8" x14ac:dyDescent="0.25">
      <c r="H1301" t="s">
        <v>145</v>
      </c>
    </row>
    <row r="1302" spans="8:8" x14ac:dyDescent="0.25">
      <c r="H1302" t="s">
        <v>2391</v>
      </c>
    </row>
    <row r="1303" spans="8:8" x14ac:dyDescent="0.25">
      <c r="H1303" t="s">
        <v>31</v>
      </c>
    </row>
    <row r="1305" spans="8:8" x14ac:dyDescent="0.25">
      <c r="H1305" t="s">
        <v>7657</v>
      </c>
    </row>
    <row r="1306" spans="8:8" x14ac:dyDescent="0.25">
      <c r="H1306" t="s">
        <v>145</v>
      </c>
    </row>
    <row r="1307" spans="8:8" x14ac:dyDescent="0.25">
      <c r="H1307" t="s">
        <v>2393</v>
      </c>
    </row>
    <row r="1308" spans="8:8" x14ac:dyDescent="0.25">
      <c r="H1308" t="s">
        <v>31</v>
      </c>
    </row>
    <row r="1310" spans="8:8" x14ac:dyDescent="0.25">
      <c r="H1310" t="s">
        <v>7658</v>
      </c>
    </row>
    <row r="1311" spans="8:8" x14ac:dyDescent="0.25">
      <c r="H1311" t="s">
        <v>145</v>
      </c>
    </row>
    <row r="1312" spans="8:8" x14ac:dyDescent="0.25">
      <c r="H1312" t="s">
        <v>2395</v>
      </c>
    </row>
    <row r="1313" spans="8:8" x14ac:dyDescent="0.25">
      <c r="H1313" t="s">
        <v>31</v>
      </c>
    </row>
    <row r="1315" spans="8:8" x14ac:dyDescent="0.25">
      <c r="H1315" t="s">
        <v>7659</v>
      </c>
    </row>
    <row r="1316" spans="8:8" x14ac:dyDescent="0.25">
      <c r="H1316" t="s">
        <v>145</v>
      </c>
    </row>
    <row r="1317" spans="8:8" x14ac:dyDescent="0.25">
      <c r="H1317" t="s">
        <v>2397</v>
      </c>
    </row>
    <row r="1318" spans="8:8" x14ac:dyDescent="0.25">
      <c r="H1318" t="s">
        <v>31</v>
      </c>
    </row>
    <row r="1320" spans="8:8" x14ac:dyDescent="0.25">
      <c r="H1320" t="s">
        <v>7660</v>
      </c>
    </row>
    <row r="1321" spans="8:8" x14ac:dyDescent="0.25">
      <c r="H1321" t="s">
        <v>145</v>
      </c>
    </row>
    <row r="1322" spans="8:8" x14ac:dyDescent="0.25">
      <c r="H1322" t="s">
        <v>2399</v>
      </c>
    </row>
    <row r="1323" spans="8:8" x14ac:dyDescent="0.25">
      <c r="H1323" t="s">
        <v>31</v>
      </c>
    </row>
    <row r="1325" spans="8:8" x14ac:dyDescent="0.25">
      <c r="H1325" t="s">
        <v>7661</v>
      </c>
    </row>
    <row r="1326" spans="8:8" x14ac:dyDescent="0.25">
      <c r="H1326" t="s">
        <v>145</v>
      </c>
    </row>
    <row r="1327" spans="8:8" x14ac:dyDescent="0.25">
      <c r="H1327" t="s">
        <v>2401</v>
      </c>
    </row>
    <row r="1328" spans="8:8" x14ac:dyDescent="0.25">
      <c r="H1328" t="s">
        <v>31</v>
      </c>
    </row>
    <row r="1330" spans="8:8" x14ac:dyDescent="0.25">
      <c r="H1330" t="s">
        <v>7662</v>
      </c>
    </row>
    <row r="1331" spans="8:8" x14ac:dyDescent="0.25">
      <c r="H1331" t="s">
        <v>145</v>
      </c>
    </row>
    <row r="1332" spans="8:8" x14ac:dyDescent="0.25">
      <c r="H1332" t="s">
        <v>2403</v>
      </c>
    </row>
    <row r="1333" spans="8:8" x14ac:dyDescent="0.25">
      <c r="H1333" t="s">
        <v>31</v>
      </c>
    </row>
    <row r="1335" spans="8:8" x14ac:dyDescent="0.25">
      <c r="H1335" t="s">
        <v>7663</v>
      </c>
    </row>
    <row r="1336" spans="8:8" x14ac:dyDescent="0.25">
      <c r="H1336" t="s">
        <v>145</v>
      </c>
    </row>
    <row r="1337" spans="8:8" x14ac:dyDescent="0.25">
      <c r="H1337" t="s">
        <v>2405</v>
      </c>
    </row>
    <row r="1338" spans="8:8" x14ac:dyDescent="0.25">
      <c r="H1338" t="s">
        <v>31</v>
      </c>
    </row>
    <row r="1340" spans="8:8" x14ac:dyDescent="0.25">
      <c r="H1340" t="s">
        <v>7664</v>
      </c>
    </row>
    <row r="1341" spans="8:8" x14ac:dyDescent="0.25">
      <c r="H1341" t="s">
        <v>145</v>
      </c>
    </row>
    <row r="1342" spans="8:8" x14ac:dyDescent="0.25">
      <c r="H1342" t="s">
        <v>2407</v>
      </c>
    </row>
    <row r="1343" spans="8:8" x14ac:dyDescent="0.25">
      <c r="H1343" t="s">
        <v>31</v>
      </c>
    </row>
    <row r="1345" spans="8:8" x14ac:dyDescent="0.25">
      <c r="H1345" t="s">
        <v>7665</v>
      </c>
    </row>
    <row r="1346" spans="8:8" x14ac:dyDescent="0.25">
      <c r="H1346" t="s">
        <v>145</v>
      </c>
    </row>
    <row r="1347" spans="8:8" x14ac:dyDescent="0.25">
      <c r="H1347" t="s">
        <v>2409</v>
      </c>
    </row>
    <row r="1348" spans="8:8" x14ac:dyDescent="0.25">
      <c r="H1348" t="s">
        <v>31</v>
      </c>
    </row>
    <row r="1350" spans="8:8" x14ac:dyDescent="0.25">
      <c r="H1350" t="s">
        <v>7666</v>
      </c>
    </row>
    <row r="1351" spans="8:8" x14ac:dyDescent="0.25">
      <c r="H1351" t="s">
        <v>145</v>
      </c>
    </row>
    <row r="1352" spans="8:8" x14ac:dyDescent="0.25">
      <c r="H1352" t="s">
        <v>2411</v>
      </c>
    </row>
    <row r="1353" spans="8:8" x14ac:dyDescent="0.25">
      <c r="H1353" t="s">
        <v>31</v>
      </c>
    </row>
    <row r="1355" spans="8:8" x14ac:dyDescent="0.25">
      <c r="H1355" t="s">
        <v>7667</v>
      </c>
    </row>
    <row r="1356" spans="8:8" x14ac:dyDescent="0.25">
      <c r="H1356" t="s">
        <v>145</v>
      </c>
    </row>
    <row r="1357" spans="8:8" x14ac:dyDescent="0.25">
      <c r="H1357" t="s">
        <v>2413</v>
      </c>
    </row>
    <row r="1358" spans="8:8" x14ac:dyDescent="0.25">
      <c r="H1358" t="s">
        <v>31</v>
      </c>
    </row>
    <row r="1360" spans="8:8" x14ac:dyDescent="0.25">
      <c r="H1360" t="s">
        <v>7668</v>
      </c>
    </row>
    <row r="1361" spans="8:8" x14ac:dyDescent="0.25">
      <c r="H1361" t="s">
        <v>145</v>
      </c>
    </row>
    <row r="1362" spans="8:8" x14ac:dyDescent="0.25">
      <c r="H1362" t="s">
        <v>2415</v>
      </c>
    </row>
    <row r="1363" spans="8:8" x14ac:dyDescent="0.25">
      <c r="H1363" t="s">
        <v>31</v>
      </c>
    </row>
    <row r="1365" spans="8:8" x14ac:dyDescent="0.25">
      <c r="H1365" t="s">
        <v>7669</v>
      </c>
    </row>
    <row r="1366" spans="8:8" x14ac:dyDescent="0.25">
      <c r="H1366" t="s">
        <v>145</v>
      </c>
    </row>
    <row r="1367" spans="8:8" x14ac:dyDescent="0.25">
      <c r="H1367" t="s">
        <v>2417</v>
      </c>
    </row>
    <row r="1368" spans="8:8" x14ac:dyDescent="0.25">
      <c r="H1368" t="s">
        <v>31</v>
      </c>
    </row>
    <row r="1370" spans="8:8" x14ac:dyDescent="0.25">
      <c r="H1370" t="s">
        <v>7670</v>
      </c>
    </row>
    <row r="1371" spans="8:8" x14ac:dyDescent="0.25">
      <c r="H1371" t="s">
        <v>145</v>
      </c>
    </row>
    <row r="1372" spans="8:8" x14ac:dyDescent="0.25">
      <c r="H1372" t="s">
        <v>2419</v>
      </c>
    </row>
    <row r="1373" spans="8:8" x14ac:dyDescent="0.25">
      <c r="H1373" t="s">
        <v>31</v>
      </c>
    </row>
    <row r="1375" spans="8:8" x14ac:dyDescent="0.25">
      <c r="H1375" t="s">
        <v>7671</v>
      </c>
    </row>
    <row r="1376" spans="8:8" x14ac:dyDescent="0.25">
      <c r="H1376" t="s">
        <v>145</v>
      </c>
    </row>
    <row r="1377" spans="8:8" x14ac:dyDescent="0.25">
      <c r="H1377" t="s">
        <v>2421</v>
      </c>
    </row>
    <row r="1378" spans="8:8" x14ac:dyDescent="0.25">
      <c r="H1378" t="s">
        <v>31</v>
      </c>
    </row>
    <row r="1380" spans="8:8" x14ac:dyDescent="0.25">
      <c r="H1380" t="s">
        <v>7672</v>
      </c>
    </row>
    <row r="1381" spans="8:8" x14ac:dyDescent="0.25">
      <c r="H1381" t="s">
        <v>145</v>
      </c>
    </row>
    <row r="1382" spans="8:8" x14ac:dyDescent="0.25">
      <c r="H1382" t="s">
        <v>2423</v>
      </c>
    </row>
    <row r="1383" spans="8:8" x14ac:dyDescent="0.25">
      <c r="H1383" t="s">
        <v>31</v>
      </c>
    </row>
    <row r="1385" spans="8:8" x14ac:dyDescent="0.25">
      <c r="H1385" t="s">
        <v>7673</v>
      </c>
    </row>
    <row r="1386" spans="8:8" x14ac:dyDescent="0.25">
      <c r="H1386" t="s">
        <v>145</v>
      </c>
    </row>
    <row r="1387" spans="8:8" x14ac:dyDescent="0.25">
      <c r="H1387" t="s">
        <v>2425</v>
      </c>
    </row>
    <row r="1388" spans="8:8" x14ac:dyDescent="0.25">
      <c r="H1388" t="s">
        <v>31</v>
      </c>
    </row>
    <row r="1390" spans="8:8" x14ac:dyDescent="0.25">
      <c r="H1390" t="s">
        <v>7674</v>
      </c>
    </row>
    <row r="1391" spans="8:8" x14ac:dyDescent="0.25">
      <c r="H1391" t="s">
        <v>145</v>
      </c>
    </row>
    <row r="1392" spans="8:8" x14ac:dyDescent="0.25">
      <c r="H1392" t="s">
        <v>2427</v>
      </c>
    </row>
    <row r="1393" spans="8:8" x14ac:dyDescent="0.25">
      <c r="H1393" t="s">
        <v>31</v>
      </c>
    </row>
    <row r="1395" spans="8:8" x14ac:dyDescent="0.25">
      <c r="H1395" t="s">
        <v>7675</v>
      </c>
    </row>
    <row r="1396" spans="8:8" x14ac:dyDescent="0.25">
      <c r="H1396" t="s">
        <v>145</v>
      </c>
    </row>
    <row r="1397" spans="8:8" x14ac:dyDescent="0.25">
      <c r="H1397" t="s">
        <v>2429</v>
      </c>
    </row>
    <row r="1398" spans="8:8" x14ac:dyDescent="0.25">
      <c r="H1398" t="s">
        <v>31</v>
      </c>
    </row>
    <row r="1400" spans="8:8" x14ac:dyDescent="0.25">
      <c r="H1400" t="s">
        <v>7676</v>
      </c>
    </row>
    <row r="1401" spans="8:8" x14ac:dyDescent="0.25">
      <c r="H1401" t="s">
        <v>145</v>
      </c>
    </row>
    <row r="1402" spans="8:8" x14ac:dyDescent="0.25">
      <c r="H1402" t="s">
        <v>2431</v>
      </c>
    </row>
    <row r="1403" spans="8:8" x14ac:dyDescent="0.25">
      <c r="H1403" t="s">
        <v>31</v>
      </c>
    </row>
    <row r="1405" spans="8:8" x14ac:dyDescent="0.25">
      <c r="H1405" t="s">
        <v>7677</v>
      </c>
    </row>
    <row r="1406" spans="8:8" x14ac:dyDescent="0.25">
      <c r="H1406" t="s">
        <v>145</v>
      </c>
    </row>
    <row r="1407" spans="8:8" x14ac:dyDescent="0.25">
      <c r="H1407" t="s">
        <v>2433</v>
      </c>
    </row>
    <row r="1408" spans="8:8" x14ac:dyDescent="0.25">
      <c r="H1408" t="s">
        <v>31</v>
      </c>
    </row>
    <row r="1410" spans="8:8" x14ac:dyDescent="0.25">
      <c r="H1410" t="s">
        <v>7678</v>
      </c>
    </row>
    <row r="1411" spans="8:8" x14ac:dyDescent="0.25">
      <c r="H1411" t="s">
        <v>145</v>
      </c>
    </row>
    <row r="1412" spans="8:8" x14ac:dyDescent="0.25">
      <c r="H1412" t="s">
        <v>2435</v>
      </c>
    </row>
    <row r="1413" spans="8:8" x14ac:dyDescent="0.25">
      <c r="H1413" t="s">
        <v>31</v>
      </c>
    </row>
    <row r="1414" spans="8:8" x14ac:dyDescent="0.25">
      <c r="H1414" t="s">
        <v>146</v>
      </c>
    </row>
    <row r="1415" spans="8:8" x14ac:dyDescent="0.25">
      <c r="H1415" t="s">
        <v>2436</v>
      </c>
    </row>
    <row r="1416" spans="8:8" x14ac:dyDescent="0.25">
      <c r="H1416" t="s">
        <v>31</v>
      </c>
    </row>
    <row r="1417" spans="8:8" x14ac:dyDescent="0.25">
      <c r="H1417" t="s">
        <v>147</v>
      </c>
    </row>
    <row r="1418" spans="8:8" x14ac:dyDescent="0.25">
      <c r="H1418" t="s">
        <v>2437</v>
      </c>
    </row>
    <row r="1419" spans="8:8" x14ac:dyDescent="0.25">
      <c r="H1419" t="s">
        <v>31</v>
      </c>
    </row>
    <row r="1421" spans="8:8" x14ac:dyDescent="0.25">
      <c r="H1421" t="s">
        <v>7679</v>
      </c>
    </row>
    <row r="1422" spans="8:8" x14ac:dyDescent="0.25">
      <c r="H1422" t="s">
        <v>145</v>
      </c>
    </row>
    <row r="1423" spans="8:8" x14ac:dyDescent="0.25">
      <c r="H1423" t="s">
        <v>2439</v>
      </c>
    </row>
    <row r="1424" spans="8:8" x14ac:dyDescent="0.25">
      <c r="H1424" t="s">
        <v>31</v>
      </c>
    </row>
    <row r="1425" spans="8:8" x14ac:dyDescent="0.25">
      <c r="H1425" t="s">
        <v>146</v>
      </c>
    </row>
    <row r="1426" spans="8:8" x14ac:dyDescent="0.25">
      <c r="H1426" t="s">
        <v>2440</v>
      </c>
    </row>
    <row r="1427" spans="8:8" x14ac:dyDescent="0.25">
      <c r="H1427" t="s">
        <v>31</v>
      </c>
    </row>
    <row r="1428" spans="8:8" x14ac:dyDescent="0.25">
      <c r="H1428" t="s">
        <v>147</v>
      </c>
    </row>
    <row r="1429" spans="8:8" x14ac:dyDescent="0.25">
      <c r="H1429" t="s">
        <v>2441</v>
      </c>
    </row>
    <row r="1430" spans="8:8" x14ac:dyDescent="0.25">
      <c r="H1430" t="s">
        <v>31</v>
      </c>
    </row>
    <row r="1431" spans="8:8" x14ac:dyDescent="0.25">
      <c r="H1431" t="s">
        <v>148</v>
      </c>
    </row>
    <row r="1432" spans="8:8" x14ac:dyDescent="0.25">
      <c r="H1432" t="s">
        <v>2442</v>
      </c>
    </row>
    <row r="1433" spans="8:8" x14ac:dyDescent="0.25">
      <c r="H1433" t="s">
        <v>31</v>
      </c>
    </row>
    <row r="1435" spans="8:8" x14ac:dyDescent="0.25">
      <c r="H1435" t="s">
        <v>7680</v>
      </c>
    </row>
    <row r="1436" spans="8:8" x14ac:dyDescent="0.25">
      <c r="H1436" t="s">
        <v>145</v>
      </c>
    </row>
    <row r="1437" spans="8:8" x14ac:dyDescent="0.25">
      <c r="H1437" t="s">
        <v>2444</v>
      </c>
    </row>
    <row r="1438" spans="8:8" x14ac:dyDescent="0.25">
      <c r="H1438" t="s">
        <v>31</v>
      </c>
    </row>
    <row r="1439" spans="8:8" x14ac:dyDescent="0.25">
      <c r="H1439" t="s">
        <v>147</v>
      </c>
    </row>
    <row r="1440" spans="8:8" x14ac:dyDescent="0.25">
      <c r="H1440" t="s">
        <v>2445</v>
      </c>
    </row>
    <row r="1441" spans="8:8" x14ac:dyDescent="0.25">
      <c r="H1441" t="s">
        <v>31</v>
      </c>
    </row>
    <row r="1442" spans="8:8" x14ac:dyDescent="0.25">
      <c r="H1442" t="s">
        <v>148</v>
      </c>
    </row>
    <row r="1443" spans="8:8" x14ac:dyDescent="0.25">
      <c r="H1443" t="s">
        <v>2446</v>
      </c>
    </row>
    <row r="1444" spans="8:8" x14ac:dyDescent="0.25">
      <c r="H1444" t="s">
        <v>31</v>
      </c>
    </row>
    <row r="1446" spans="8:8" x14ac:dyDescent="0.25">
      <c r="H1446" t="s">
        <v>7681</v>
      </c>
    </row>
    <row r="1447" spans="8:8" x14ac:dyDescent="0.25">
      <c r="H1447" t="s">
        <v>145</v>
      </c>
    </row>
    <row r="1448" spans="8:8" x14ac:dyDescent="0.25">
      <c r="H1448" t="s">
        <v>2448</v>
      </c>
    </row>
    <row r="1449" spans="8:8" x14ac:dyDescent="0.25">
      <c r="H1449" t="s">
        <v>31</v>
      </c>
    </row>
    <row r="1451" spans="8:8" x14ac:dyDescent="0.25">
      <c r="H1451" t="s">
        <v>7682</v>
      </c>
    </row>
    <row r="1452" spans="8:8" x14ac:dyDescent="0.25">
      <c r="H1452" t="s">
        <v>145</v>
      </c>
    </row>
    <row r="1453" spans="8:8" x14ac:dyDescent="0.25">
      <c r="H1453" t="s">
        <v>2450</v>
      </c>
    </row>
    <row r="1454" spans="8:8" x14ac:dyDescent="0.25">
      <c r="H1454" t="s">
        <v>31</v>
      </c>
    </row>
    <row r="1456" spans="8:8" x14ac:dyDescent="0.25">
      <c r="H1456" t="s">
        <v>7683</v>
      </c>
    </row>
    <row r="1457" spans="8:8" x14ac:dyDescent="0.25">
      <c r="H1457" t="s">
        <v>145</v>
      </c>
    </row>
    <row r="1458" spans="8:8" x14ac:dyDescent="0.25">
      <c r="H1458" t="s">
        <v>2452</v>
      </c>
    </row>
    <row r="1459" spans="8:8" x14ac:dyDescent="0.25">
      <c r="H1459" t="s">
        <v>31</v>
      </c>
    </row>
    <row r="1460" spans="8:8" x14ac:dyDescent="0.25">
      <c r="H1460" t="s">
        <v>146</v>
      </c>
    </row>
    <row r="1461" spans="8:8" x14ac:dyDescent="0.25">
      <c r="H1461" t="s">
        <v>2453</v>
      </c>
    </row>
    <row r="1462" spans="8:8" x14ac:dyDescent="0.25">
      <c r="H1462" t="s">
        <v>31</v>
      </c>
    </row>
    <row r="1464" spans="8:8" x14ac:dyDescent="0.25">
      <c r="H1464" t="s">
        <v>7684</v>
      </c>
    </row>
    <row r="1465" spans="8:8" x14ac:dyDescent="0.25">
      <c r="H1465" t="s">
        <v>145</v>
      </c>
    </row>
    <row r="1466" spans="8:8" x14ac:dyDescent="0.25">
      <c r="H1466" t="s">
        <v>2455</v>
      </c>
    </row>
    <row r="1467" spans="8:8" x14ac:dyDescent="0.25">
      <c r="H1467" t="s">
        <v>31</v>
      </c>
    </row>
    <row r="1469" spans="8:8" x14ac:dyDescent="0.25">
      <c r="H1469" t="s">
        <v>7685</v>
      </c>
    </row>
    <row r="1470" spans="8:8" x14ac:dyDescent="0.25">
      <c r="H1470" t="s">
        <v>145</v>
      </c>
    </row>
    <row r="1471" spans="8:8" x14ac:dyDescent="0.25">
      <c r="H1471" t="s">
        <v>2457</v>
      </c>
    </row>
    <row r="1472" spans="8:8" x14ac:dyDescent="0.25">
      <c r="H1472" t="s">
        <v>31</v>
      </c>
    </row>
    <row r="1474" spans="8:8" x14ac:dyDescent="0.25">
      <c r="H1474" t="s">
        <v>7686</v>
      </c>
    </row>
    <row r="1475" spans="8:8" x14ac:dyDescent="0.25">
      <c r="H1475" t="s">
        <v>145</v>
      </c>
    </row>
    <row r="1476" spans="8:8" x14ac:dyDescent="0.25">
      <c r="H1476" t="s">
        <v>2459</v>
      </c>
    </row>
    <row r="1477" spans="8:8" x14ac:dyDescent="0.25">
      <c r="H1477" t="s">
        <v>31</v>
      </c>
    </row>
    <row r="1478" spans="8:8" x14ac:dyDescent="0.25">
      <c r="H1478" t="s">
        <v>146</v>
      </c>
    </row>
    <row r="1479" spans="8:8" x14ac:dyDescent="0.25">
      <c r="H1479" t="s">
        <v>2460</v>
      </c>
    </row>
    <row r="1480" spans="8:8" x14ac:dyDescent="0.25">
      <c r="H1480" t="s">
        <v>31</v>
      </c>
    </row>
    <row r="1482" spans="8:8" x14ac:dyDescent="0.25">
      <c r="H1482" t="s">
        <v>7687</v>
      </c>
    </row>
    <row r="1483" spans="8:8" x14ac:dyDescent="0.25">
      <c r="H1483" t="s">
        <v>145</v>
      </c>
    </row>
    <row r="1484" spans="8:8" x14ac:dyDescent="0.25">
      <c r="H1484" t="s">
        <v>2462</v>
      </c>
    </row>
    <row r="1485" spans="8:8" x14ac:dyDescent="0.25">
      <c r="H1485" t="s">
        <v>31</v>
      </c>
    </row>
    <row r="1487" spans="8:8" x14ac:dyDescent="0.25">
      <c r="H1487" t="s">
        <v>7688</v>
      </c>
    </row>
    <row r="1488" spans="8:8" x14ac:dyDescent="0.25">
      <c r="H1488" t="s">
        <v>145</v>
      </c>
    </row>
    <row r="1489" spans="8:8" x14ac:dyDescent="0.25">
      <c r="H1489" t="s">
        <v>2464</v>
      </c>
    </row>
    <row r="1490" spans="8:8" x14ac:dyDescent="0.25">
      <c r="H1490" t="s">
        <v>31</v>
      </c>
    </row>
    <row r="1492" spans="8:8" x14ac:dyDescent="0.25">
      <c r="H1492" t="s">
        <v>7689</v>
      </c>
    </row>
    <row r="1493" spans="8:8" x14ac:dyDescent="0.25">
      <c r="H1493" t="s">
        <v>145</v>
      </c>
    </row>
    <row r="1494" spans="8:8" x14ac:dyDescent="0.25">
      <c r="H1494" t="s">
        <v>2466</v>
      </c>
    </row>
    <row r="1495" spans="8:8" x14ac:dyDescent="0.25">
      <c r="H1495" t="s">
        <v>31</v>
      </c>
    </row>
    <row r="1496" spans="8:8" x14ac:dyDescent="0.25">
      <c r="H1496" t="s">
        <v>146</v>
      </c>
    </row>
    <row r="1497" spans="8:8" x14ac:dyDescent="0.25">
      <c r="H1497" t="s">
        <v>2467</v>
      </c>
    </row>
    <row r="1498" spans="8:8" x14ac:dyDescent="0.25">
      <c r="H1498" t="s">
        <v>31</v>
      </c>
    </row>
    <row r="1500" spans="8:8" x14ac:dyDescent="0.25">
      <c r="H1500" t="s">
        <v>7690</v>
      </c>
    </row>
    <row r="1501" spans="8:8" x14ac:dyDescent="0.25">
      <c r="H1501" t="s">
        <v>145</v>
      </c>
    </row>
    <row r="1502" spans="8:8" x14ac:dyDescent="0.25">
      <c r="H1502" t="s">
        <v>2469</v>
      </c>
    </row>
    <row r="1503" spans="8:8" x14ac:dyDescent="0.25">
      <c r="H1503" t="s">
        <v>31</v>
      </c>
    </row>
    <row r="1505" spans="8:8" x14ac:dyDescent="0.25">
      <c r="H1505" t="s">
        <v>7691</v>
      </c>
    </row>
    <row r="1506" spans="8:8" x14ac:dyDescent="0.25">
      <c r="H1506" t="s">
        <v>145</v>
      </c>
    </row>
    <row r="1507" spans="8:8" x14ac:dyDescent="0.25">
      <c r="H1507" t="s">
        <v>2471</v>
      </c>
    </row>
    <row r="1508" spans="8:8" x14ac:dyDescent="0.25">
      <c r="H1508" t="s">
        <v>31</v>
      </c>
    </row>
    <row r="1510" spans="8:8" x14ac:dyDescent="0.25">
      <c r="H1510" t="s">
        <v>7692</v>
      </c>
    </row>
    <row r="1511" spans="8:8" x14ac:dyDescent="0.25">
      <c r="H1511" t="s">
        <v>145</v>
      </c>
    </row>
    <row r="1512" spans="8:8" x14ac:dyDescent="0.25">
      <c r="H1512" t="s">
        <v>2473</v>
      </c>
    </row>
    <row r="1513" spans="8:8" x14ac:dyDescent="0.25">
      <c r="H1513" t="s">
        <v>31</v>
      </c>
    </row>
    <row r="1514" spans="8:8" x14ac:dyDescent="0.25">
      <c r="H1514" t="s">
        <v>146</v>
      </c>
    </row>
    <row r="1515" spans="8:8" x14ac:dyDescent="0.25">
      <c r="H1515" t="s">
        <v>2474</v>
      </c>
    </row>
    <row r="1516" spans="8:8" x14ac:dyDescent="0.25">
      <c r="H1516" t="s">
        <v>31</v>
      </c>
    </row>
    <row r="1517" spans="8:8" x14ac:dyDescent="0.25">
      <c r="H1517" t="s">
        <v>147</v>
      </c>
    </row>
    <row r="1518" spans="8:8" x14ac:dyDescent="0.25">
      <c r="H1518" t="s">
        <v>2475</v>
      </c>
    </row>
    <row r="1519" spans="8:8" x14ac:dyDescent="0.25">
      <c r="H1519" t="s">
        <v>31</v>
      </c>
    </row>
    <row r="1520" spans="8:8" x14ac:dyDescent="0.25">
      <c r="H1520" t="s">
        <v>148</v>
      </c>
    </row>
    <row r="1521" spans="8:8" x14ac:dyDescent="0.25">
      <c r="H1521" t="s">
        <v>2476</v>
      </c>
    </row>
    <row r="1522" spans="8:8" x14ac:dyDescent="0.25">
      <c r="H1522" t="s">
        <v>31</v>
      </c>
    </row>
    <row r="1524" spans="8:8" x14ac:dyDescent="0.25">
      <c r="H1524" t="s">
        <v>7693</v>
      </c>
    </row>
    <row r="1525" spans="8:8" x14ac:dyDescent="0.25">
      <c r="H1525" t="s">
        <v>145</v>
      </c>
    </row>
    <row r="1526" spans="8:8" x14ac:dyDescent="0.25">
      <c r="H1526" t="s">
        <v>2478</v>
      </c>
    </row>
    <row r="1527" spans="8:8" x14ac:dyDescent="0.25">
      <c r="H1527" t="s">
        <v>31</v>
      </c>
    </row>
    <row r="1529" spans="8:8" x14ac:dyDescent="0.25">
      <c r="H1529" t="s">
        <v>7694</v>
      </c>
    </row>
    <row r="1530" spans="8:8" x14ac:dyDescent="0.25">
      <c r="H1530" t="s">
        <v>145</v>
      </c>
    </row>
    <row r="1531" spans="8:8" x14ac:dyDescent="0.25">
      <c r="H1531" t="s">
        <v>2480</v>
      </c>
    </row>
    <row r="1532" spans="8:8" x14ac:dyDescent="0.25">
      <c r="H1532" t="s">
        <v>31</v>
      </c>
    </row>
    <row r="1533" spans="8:8" x14ac:dyDescent="0.25">
      <c r="H1533" t="s">
        <v>146</v>
      </c>
    </row>
    <row r="1534" spans="8:8" x14ac:dyDescent="0.25">
      <c r="H1534" t="s">
        <v>2481</v>
      </c>
    </row>
    <row r="1535" spans="8:8" x14ac:dyDescent="0.25">
      <c r="H1535" t="s">
        <v>31</v>
      </c>
    </row>
    <row r="1536" spans="8:8" x14ac:dyDescent="0.25">
      <c r="H1536" t="s">
        <v>147</v>
      </c>
    </row>
    <row r="1537" spans="8:8" x14ac:dyDescent="0.25">
      <c r="H1537" t="s">
        <v>2482</v>
      </c>
    </row>
    <row r="1538" spans="8:8" x14ac:dyDescent="0.25">
      <c r="H1538" t="s">
        <v>31</v>
      </c>
    </row>
    <row r="1539" spans="8:8" x14ac:dyDescent="0.25">
      <c r="H1539" t="s">
        <v>148</v>
      </c>
    </row>
    <row r="1540" spans="8:8" x14ac:dyDescent="0.25">
      <c r="H1540" t="s">
        <v>2483</v>
      </c>
    </row>
    <row r="1541" spans="8:8" x14ac:dyDescent="0.25">
      <c r="H1541" t="s">
        <v>31</v>
      </c>
    </row>
    <row r="1543" spans="8:8" x14ac:dyDescent="0.25">
      <c r="H1543" t="s">
        <v>7695</v>
      </c>
    </row>
    <row r="1544" spans="8:8" x14ac:dyDescent="0.25">
      <c r="H1544" t="s">
        <v>145</v>
      </c>
    </row>
    <row r="1545" spans="8:8" x14ac:dyDescent="0.25">
      <c r="H1545" t="s">
        <v>2485</v>
      </c>
    </row>
    <row r="1546" spans="8:8" x14ac:dyDescent="0.25">
      <c r="H1546" t="s">
        <v>31</v>
      </c>
    </row>
    <row r="1547" spans="8:8" x14ac:dyDescent="0.25">
      <c r="H1547" t="s">
        <v>146</v>
      </c>
    </row>
    <row r="1548" spans="8:8" x14ac:dyDescent="0.25">
      <c r="H1548" t="s">
        <v>2486</v>
      </c>
    </row>
    <row r="1549" spans="8:8" x14ac:dyDescent="0.25">
      <c r="H1549" t="s">
        <v>31</v>
      </c>
    </row>
    <row r="1550" spans="8:8" x14ac:dyDescent="0.25">
      <c r="H1550" t="s">
        <v>2487</v>
      </c>
    </row>
    <row r="1551" spans="8:8" x14ac:dyDescent="0.25">
      <c r="H1551" t="s">
        <v>147</v>
      </c>
    </row>
    <row r="1552" spans="8:8" x14ac:dyDescent="0.25">
      <c r="H1552" t="s">
        <v>2488</v>
      </c>
    </row>
    <row r="1553" spans="8:8" x14ac:dyDescent="0.25">
      <c r="H1553" t="s">
        <v>31</v>
      </c>
    </row>
    <row r="1555" spans="8:8" x14ac:dyDescent="0.25">
      <c r="H1555" t="s">
        <v>7696</v>
      </c>
    </row>
    <row r="1556" spans="8:8" x14ac:dyDescent="0.25">
      <c r="H1556" t="s">
        <v>145</v>
      </c>
    </row>
    <row r="1557" spans="8:8" x14ac:dyDescent="0.25">
      <c r="H1557" t="s">
        <v>2490</v>
      </c>
    </row>
    <row r="1558" spans="8:8" x14ac:dyDescent="0.25">
      <c r="H1558" t="s">
        <v>31</v>
      </c>
    </row>
    <row r="1560" spans="8:8" x14ac:dyDescent="0.25">
      <c r="H1560" t="s">
        <v>7697</v>
      </c>
    </row>
    <row r="1561" spans="8:8" x14ac:dyDescent="0.25">
      <c r="H1561" t="s">
        <v>145</v>
      </c>
    </row>
    <row r="1562" spans="8:8" x14ac:dyDescent="0.25">
      <c r="H1562" t="s">
        <v>2492</v>
      </c>
    </row>
    <row r="1563" spans="8:8" x14ac:dyDescent="0.25">
      <c r="H1563" t="s">
        <v>31</v>
      </c>
    </row>
    <row r="1565" spans="8:8" x14ac:dyDescent="0.25">
      <c r="H1565" t="s">
        <v>7698</v>
      </c>
    </row>
    <row r="1566" spans="8:8" x14ac:dyDescent="0.25">
      <c r="H1566" t="s">
        <v>145</v>
      </c>
    </row>
    <row r="1567" spans="8:8" x14ac:dyDescent="0.25">
      <c r="H1567" t="s">
        <v>2494</v>
      </c>
    </row>
    <row r="1568" spans="8:8" x14ac:dyDescent="0.25">
      <c r="H1568" t="s">
        <v>31</v>
      </c>
    </row>
    <row r="1570" spans="8:8" x14ac:dyDescent="0.25">
      <c r="H1570" t="s">
        <v>7699</v>
      </c>
    </row>
    <row r="1571" spans="8:8" x14ac:dyDescent="0.25">
      <c r="H1571" t="s">
        <v>145</v>
      </c>
    </row>
    <row r="1572" spans="8:8" x14ac:dyDescent="0.25">
      <c r="H1572" t="s">
        <v>2496</v>
      </c>
    </row>
    <row r="1573" spans="8:8" x14ac:dyDescent="0.25">
      <c r="H1573" t="s">
        <v>31</v>
      </c>
    </row>
    <row r="1575" spans="8:8" x14ac:dyDescent="0.25">
      <c r="H1575" t="s">
        <v>1885</v>
      </c>
    </row>
    <row r="1576" spans="8:8" x14ac:dyDescent="0.25">
      <c r="H1576" t="s">
        <v>145</v>
      </c>
    </row>
    <row r="1577" spans="8:8" x14ac:dyDescent="0.25">
      <c r="H1577" t="s">
        <v>2498</v>
      </c>
    </row>
    <row r="1578" spans="8:8" x14ac:dyDescent="0.25">
      <c r="H1578" t="s">
        <v>31</v>
      </c>
    </row>
    <row r="1580" spans="8:8" x14ac:dyDescent="0.25">
      <c r="H1580" t="s">
        <v>1888</v>
      </c>
    </row>
    <row r="1581" spans="8:8" x14ac:dyDescent="0.25">
      <c r="H1581" t="s">
        <v>145</v>
      </c>
    </row>
    <row r="1582" spans="8:8" x14ac:dyDescent="0.25">
      <c r="H1582" t="s">
        <v>2500</v>
      </c>
    </row>
    <row r="1583" spans="8:8" x14ac:dyDescent="0.25">
      <c r="H1583" t="s">
        <v>31</v>
      </c>
    </row>
    <row r="1585" spans="8:8" x14ac:dyDescent="0.25">
      <c r="H1585" t="s">
        <v>1890</v>
      </c>
    </row>
    <row r="1586" spans="8:8" x14ac:dyDescent="0.25">
      <c r="H1586" t="s">
        <v>145</v>
      </c>
    </row>
    <row r="1587" spans="8:8" x14ac:dyDescent="0.25">
      <c r="H1587" t="s">
        <v>2502</v>
      </c>
    </row>
    <row r="1588" spans="8:8" x14ac:dyDescent="0.25">
      <c r="H1588" t="s">
        <v>31</v>
      </c>
    </row>
    <row r="1590" spans="8:8" x14ac:dyDescent="0.25">
      <c r="H1590" t="s">
        <v>1892</v>
      </c>
    </row>
    <row r="1591" spans="8:8" x14ac:dyDescent="0.25">
      <c r="H1591" t="s">
        <v>145</v>
      </c>
    </row>
    <row r="1592" spans="8:8" x14ac:dyDescent="0.25">
      <c r="H1592" t="s">
        <v>2504</v>
      </c>
    </row>
    <row r="1593" spans="8:8" x14ac:dyDescent="0.25">
      <c r="H1593" t="s">
        <v>31</v>
      </c>
    </row>
    <row r="1595" spans="8:8" x14ac:dyDescent="0.25">
      <c r="H1595" t="s">
        <v>1894</v>
      </c>
    </row>
    <row r="1596" spans="8:8" x14ac:dyDescent="0.25">
      <c r="H1596" t="s">
        <v>145</v>
      </c>
    </row>
    <row r="1597" spans="8:8" x14ac:dyDescent="0.25">
      <c r="H1597" t="s">
        <v>2506</v>
      </c>
    </row>
    <row r="1598" spans="8:8" x14ac:dyDescent="0.25">
      <c r="H1598" t="s">
        <v>31</v>
      </c>
    </row>
    <row r="1600" spans="8:8" x14ac:dyDescent="0.25">
      <c r="H1600" t="s">
        <v>1899</v>
      </c>
    </row>
    <row r="1601" spans="8:8" x14ac:dyDescent="0.25">
      <c r="H1601" t="s">
        <v>145</v>
      </c>
    </row>
    <row r="1602" spans="8:8" x14ac:dyDescent="0.25">
      <c r="H1602" t="s">
        <v>2508</v>
      </c>
    </row>
    <row r="1603" spans="8:8" x14ac:dyDescent="0.25">
      <c r="H1603" t="s">
        <v>31</v>
      </c>
    </row>
    <row r="1605" spans="8:8" x14ac:dyDescent="0.25">
      <c r="H1605" t="s">
        <v>1904</v>
      </c>
    </row>
    <row r="1606" spans="8:8" x14ac:dyDescent="0.25">
      <c r="H1606" t="s">
        <v>145</v>
      </c>
    </row>
    <row r="1607" spans="8:8" x14ac:dyDescent="0.25">
      <c r="H1607" t="s">
        <v>2510</v>
      </c>
    </row>
    <row r="1608" spans="8:8" x14ac:dyDescent="0.25">
      <c r="H1608" t="s">
        <v>31</v>
      </c>
    </row>
    <row r="1610" spans="8:8" x14ac:dyDescent="0.25">
      <c r="H1610" t="s">
        <v>1909</v>
      </c>
    </row>
    <row r="1611" spans="8:8" x14ac:dyDescent="0.25">
      <c r="H1611" t="s">
        <v>145</v>
      </c>
    </row>
    <row r="1612" spans="8:8" x14ac:dyDescent="0.25">
      <c r="H1612" t="s">
        <v>2512</v>
      </c>
    </row>
    <row r="1613" spans="8:8" x14ac:dyDescent="0.25">
      <c r="H1613" t="s">
        <v>31</v>
      </c>
    </row>
    <row r="1615" spans="8:8" x14ac:dyDescent="0.25">
      <c r="H1615" t="s">
        <v>1914</v>
      </c>
    </row>
    <row r="1616" spans="8:8" x14ac:dyDescent="0.25">
      <c r="H1616" t="s">
        <v>145</v>
      </c>
    </row>
    <row r="1617" spans="8:8" x14ac:dyDescent="0.25">
      <c r="H1617" t="s">
        <v>2514</v>
      </c>
    </row>
    <row r="1618" spans="8:8" x14ac:dyDescent="0.25">
      <c r="H1618" t="s">
        <v>31</v>
      </c>
    </row>
    <row r="1620" spans="8:8" x14ac:dyDescent="0.25">
      <c r="H1620" t="s">
        <v>1917</v>
      </c>
    </row>
    <row r="1621" spans="8:8" x14ac:dyDescent="0.25">
      <c r="H1621" t="s">
        <v>145</v>
      </c>
    </row>
    <row r="1622" spans="8:8" x14ac:dyDescent="0.25">
      <c r="H1622" t="s">
        <v>2516</v>
      </c>
    </row>
    <row r="1623" spans="8:8" x14ac:dyDescent="0.25">
      <c r="H1623" t="s">
        <v>31</v>
      </c>
    </row>
    <row r="1625" spans="8:8" x14ac:dyDescent="0.25">
      <c r="H1625" t="s">
        <v>1922</v>
      </c>
    </row>
    <row r="1626" spans="8:8" x14ac:dyDescent="0.25">
      <c r="H1626" t="s">
        <v>145</v>
      </c>
    </row>
    <row r="1627" spans="8:8" x14ac:dyDescent="0.25">
      <c r="H1627" t="s">
        <v>2518</v>
      </c>
    </row>
    <row r="1628" spans="8:8" x14ac:dyDescent="0.25">
      <c r="H1628" t="s">
        <v>31</v>
      </c>
    </row>
    <row r="1629" spans="8:8" x14ac:dyDescent="0.25">
      <c r="H1629" t="s">
        <v>146</v>
      </c>
    </row>
    <row r="1630" spans="8:8" x14ac:dyDescent="0.25">
      <c r="H1630" t="s">
        <v>2519</v>
      </c>
    </row>
    <row r="1631" spans="8:8" x14ac:dyDescent="0.25">
      <c r="H1631" t="s">
        <v>31</v>
      </c>
    </row>
    <row r="1633" spans="8:8" x14ac:dyDescent="0.25">
      <c r="H1633" t="s">
        <v>1927</v>
      </c>
    </row>
    <row r="1634" spans="8:8" x14ac:dyDescent="0.25">
      <c r="H1634" t="s">
        <v>145</v>
      </c>
    </row>
    <row r="1635" spans="8:8" x14ac:dyDescent="0.25">
      <c r="H1635" t="s">
        <v>2521</v>
      </c>
    </row>
    <row r="1636" spans="8:8" x14ac:dyDescent="0.25">
      <c r="H1636" t="s">
        <v>31</v>
      </c>
    </row>
    <row r="1637" spans="8:8" x14ac:dyDescent="0.25">
      <c r="H1637" t="s">
        <v>146</v>
      </c>
    </row>
    <row r="1638" spans="8:8" x14ac:dyDescent="0.25">
      <c r="H1638" t="s">
        <v>2522</v>
      </c>
    </row>
    <row r="1639" spans="8:8" x14ac:dyDescent="0.25">
      <c r="H1639" t="s">
        <v>31</v>
      </c>
    </row>
    <row r="1640" spans="8:8" x14ac:dyDescent="0.25">
      <c r="H1640" t="s">
        <v>147</v>
      </c>
    </row>
    <row r="1641" spans="8:8" x14ac:dyDescent="0.25">
      <c r="H1641" t="s">
        <v>2523</v>
      </c>
    </row>
    <row r="1642" spans="8:8" x14ac:dyDescent="0.25">
      <c r="H1642" t="s">
        <v>31</v>
      </c>
    </row>
    <row r="1643" spans="8:8" x14ac:dyDescent="0.25">
      <c r="H1643" t="s">
        <v>148</v>
      </c>
    </row>
    <row r="1644" spans="8:8" x14ac:dyDescent="0.25">
      <c r="H1644" t="s">
        <v>2524</v>
      </c>
    </row>
    <row r="1645" spans="8:8" x14ac:dyDescent="0.25">
      <c r="H1645" t="s">
        <v>31</v>
      </c>
    </row>
    <row r="1647" spans="8:8" x14ac:dyDescent="0.25">
      <c r="H1647" t="s">
        <v>1931</v>
      </c>
    </row>
    <row r="1648" spans="8:8" x14ac:dyDescent="0.25">
      <c r="H1648" t="s">
        <v>145</v>
      </c>
    </row>
    <row r="1649" spans="8:8" x14ac:dyDescent="0.25">
      <c r="H1649" t="s">
        <v>2526</v>
      </c>
    </row>
    <row r="1650" spans="8:8" x14ac:dyDescent="0.25">
      <c r="H1650" t="s">
        <v>31</v>
      </c>
    </row>
    <row r="1651" spans="8:8" x14ac:dyDescent="0.25">
      <c r="H1651" t="s">
        <v>146</v>
      </c>
    </row>
    <row r="1652" spans="8:8" x14ac:dyDescent="0.25">
      <c r="H1652" t="s">
        <v>2527</v>
      </c>
    </row>
    <row r="1653" spans="8:8" x14ac:dyDescent="0.25">
      <c r="H1653" t="s">
        <v>31</v>
      </c>
    </row>
    <row r="1654" spans="8:8" x14ac:dyDescent="0.25">
      <c r="H1654" t="s">
        <v>147</v>
      </c>
    </row>
    <row r="1655" spans="8:8" x14ac:dyDescent="0.25">
      <c r="H1655" t="s">
        <v>2528</v>
      </c>
    </row>
    <row r="1656" spans="8:8" x14ac:dyDescent="0.25">
      <c r="H1656" t="s">
        <v>31</v>
      </c>
    </row>
    <row r="1657" spans="8:8" x14ac:dyDescent="0.25">
      <c r="H1657" t="s">
        <v>148</v>
      </c>
    </row>
    <row r="1658" spans="8:8" x14ac:dyDescent="0.25">
      <c r="H1658" t="s">
        <v>2529</v>
      </c>
    </row>
    <row r="1659" spans="8:8" x14ac:dyDescent="0.25">
      <c r="H1659" t="s">
        <v>31</v>
      </c>
    </row>
    <row r="1661" spans="8:8" x14ac:dyDescent="0.25">
      <c r="H1661" t="s">
        <v>1936</v>
      </c>
    </row>
    <row r="1662" spans="8:8" x14ac:dyDescent="0.25">
      <c r="H1662" t="s">
        <v>145</v>
      </c>
    </row>
    <row r="1663" spans="8:8" x14ac:dyDescent="0.25">
      <c r="H1663" t="s">
        <v>2531</v>
      </c>
    </row>
    <row r="1664" spans="8:8" x14ac:dyDescent="0.25">
      <c r="H1664" t="s">
        <v>31</v>
      </c>
    </row>
    <row r="1665" spans="8:8" x14ac:dyDescent="0.25">
      <c r="H1665" t="s">
        <v>146</v>
      </c>
    </row>
    <row r="1666" spans="8:8" x14ac:dyDescent="0.25">
      <c r="H1666" t="s">
        <v>2532</v>
      </c>
    </row>
    <row r="1667" spans="8:8" x14ac:dyDescent="0.25">
      <c r="H1667" t="s">
        <v>31</v>
      </c>
    </row>
    <row r="1668" spans="8:8" x14ac:dyDescent="0.25">
      <c r="H1668" t="s">
        <v>147</v>
      </c>
    </row>
    <row r="1669" spans="8:8" x14ac:dyDescent="0.25">
      <c r="H1669" t="s">
        <v>2533</v>
      </c>
    </row>
    <row r="1670" spans="8:8" x14ac:dyDescent="0.25">
      <c r="H1670" t="s">
        <v>31</v>
      </c>
    </row>
    <row r="1671" spans="8:8" x14ac:dyDescent="0.25">
      <c r="H1671" t="s">
        <v>148</v>
      </c>
    </row>
    <row r="1672" spans="8:8" x14ac:dyDescent="0.25">
      <c r="H1672" t="s">
        <v>2534</v>
      </c>
    </row>
    <row r="1673" spans="8:8" x14ac:dyDescent="0.25">
      <c r="H1673" t="s">
        <v>31</v>
      </c>
    </row>
    <row r="1675" spans="8:8" x14ac:dyDescent="0.25">
      <c r="H1675" t="s">
        <v>1941</v>
      </c>
    </row>
    <row r="1676" spans="8:8" x14ac:dyDescent="0.25">
      <c r="H1676" t="s">
        <v>145</v>
      </c>
    </row>
    <row r="1677" spans="8:8" x14ac:dyDescent="0.25">
      <c r="H1677" t="s">
        <v>2536</v>
      </c>
    </row>
    <row r="1678" spans="8:8" x14ac:dyDescent="0.25">
      <c r="H1678" t="s">
        <v>31</v>
      </c>
    </row>
    <row r="1679" spans="8:8" x14ac:dyDescent="0.25">
      <c r="H1679" t="s">
        <v>146</v>
      </c>
    </row>
    <row r="1680" spans="8:8" x14ac:dyDescent="0.25">
      <c r="H1680" t="s">
        <v>2537</v>
      </c>
    </row>
    <row r="1681" spans="8:8" x14ac:dyDescent="0.25">
      <c r="H1681" t="s">
        <v>31</v>
      </c>
    </row>
    <row r="1682" spans="8:8" x14ac:dyDescent="0.25">
      <c r="H1682" t="s">
        <v>147</v>
      </c>
    </row>
    <row r="1683" spans="8:8" x14ac:dyDescent="0.25">
      <c r="H1683" t="s">
        <v>2538</v>
      </c>
    </row>
    <row r="1684" spans="8:8" x14ac:dyDescent="0.25">
      <c r="H1684" t="s">
        <v>31</v>
      </c>
    </row>
    <row r="1685" spans="8:8" x14ac:dyDescent="0.25">
      <c r="H1685" t="s">
        <v>148</v>
      </c>
    </row>
    <row r="1686" spans="8:8" x14ac:dyDescent="0.25">
      <c r="H1686" t="s">
        <v>2539</v>
      </c>
    </row>
    <row r="1687" spans="8:8" x14ac:dyDescent="0.25">
      <c r="H1687" t="s">
        <v>31</v>
      </c>
    </row>
    <row r="1689" spans="8:8" x14ac:dyDescent="0.25">
      <c r="H1689" t="s">
        <v>1946</v>
      </c>
    </row>
    <row r="1690" spans="8:8" x14ac:dyDescent="0.25">
      <c r="H1690" t="s">
        <v>145</v>
      </c>
    </row>
    <row r="1691" spans="8:8" x14ac:dyDescent="0.25">
      <c r="H1691" t="s">
        <v>2541</v>
      </c>
    </row>
    <row r="1692" spans="8:8" x14ac:dyDescent="0.25">
      <c r="H1692" t="s">
        <v>31</v>
      </c>
    </row>
    <row r="1693" spans="8:8" x14ac:dyDescent="0.25">
      <c r="H1693" t="s">
        <v>146</v>
      </c>
    </row>
    <row r="1694" spans="8:8" x14ac:dyDescent="0.25">
      <c r="H1694" t="s">
        <v>2542</v>
      </c>
    </row>
    <row r="1695" spans="8:8" x14ac:dyDescent="0.25">
      <c r="H1695" t="s">
        <v>31</v>
      </c>
    </row>
    <row r="1696" spans="8:8" x14ac:dyDescent="0.25">
      <c r="H1696" t="s">
        <v>147</v>
      </c>
    </row>
    <row r="1697" spans="8:8" x14ac:dyDescent="0.25">
      <c r="H1697" t="s">
        <v>2543</v>
      </c>
    </row>
    <row r="1698" spans="8:8" x14ac:dyDescent="0.25">
      <c r="H1698" t="s">
        <v>31</v>
      </c>
    </row>
    <row r="1699" spans="8:8" x14ac:dyDescent="0.25">
      <c r="H1699" t="s">
        <v>148</v>
      </c>
    </row>
    <row r="1700" spans="8:8" x14ac:dyDescent="0.25">
      <c r="H1700" t="s">
        <v>2544</v>
      </c>
    </row>
    <row r="1701" spans="8:8" x14ac:dyDescent="0.25">
      <c r="H1701" t="s">
        <v>31</v>
      </c>
    </row>
    <row r="1703" spans="8:8" x14ac:dyDescent="0.25">
      <c r="H1703" t="s">
        <v>1951</v>
      </c>
    </row>
    <row r="1704" spans="8:8" x14ac:dyDescent="0.25">
      <c r="H1704" t="s">
        <v>145</v>
      </c>
    </row>
    <row r="1705" spans="8:8" x14ac:dyDescent="0.25">
      <c r="H1705" t="s">
        <v>2546</v>
      </c>
    </row>
    <row r="1706" spans="8:8" x14ac:dyDescent="0.25">
      <c r="H1706" t="s">
        <v>31</v>
      </c>
    </row>
    <row r="1707" spans="8:8" x14ac:dyDescent="0.25">
      <c r="H1707" t="s">
        <v>146</v>
      </c>
    </row>
    <row r="1708" spans="8:8" x14ac:dyDescent="0.25">
      <c r="H1708" t="s">
        <v>2547</v>
      </c>
    </row>
    <row r="1709" spans="8:8" x14ac:dyDescent="0.25">
      <c r="H1709" t="s">
        <v>31</v>
      </c>
    </row>
    <row r="1710" spans="8:8" x14ac:dyDescent="0.25">
      <c r="H1710" t="s">
        <v>147</v>
      </c>
    </row>
    <row r="1711" spans="8:8" x14ac:dyDescent="0.25">
      <c r="H1711" t="s">
        <v>2548</v>
      </c>
    </row>
    <row r="1712" spans="8:8" x14ac:dyDescent="0.25">
      <c r="H1712" t="s">
        <v>31</v>
      </c>
    </row>
    <row r="1713" spans="8:8" x14ac:dyDescent="0.25">
      <c r="H1713" t="s">
        <v>148</v>
      </c>
    </row>
    <row r="1714" spans="8:8" x14ac:dyDescent="0.25">
      <c r="H1714" t="s">
        <v>2549</v>
      </c>
    </row>
    <row r="1715" spans="8:8" x14ac:dyDescent="0.25">
      <c r="H1715" t="s">
        <v>31</v>
      </c>
    </row>
    <row r="1717" spans="8:8" x14ac:dyDescent="0.25">
      <c r="H1717" t="s">
        <v>1956</v>
      </c>
    </row>
    <row r="1718" spans="8:8" x14ac:dyDescent="0.25">
      <c r="H1718" t="s">
        <v>145</v>
      </c>
    </row>
    <row r="1719" spans="8:8" x14ac:dyDescent="0.25">
      <c r="H1719" t="s">
        <v>2551</v>
      </c>
    </row>
    <row r="1720" spans="8:8" x14ac:dyDescent="0.25">
      <c r="H1720" t="s">
        <v>31</v>
      </c>
    </row>
    <row r="1721" spans="8:8" x14ac:dyDescent="0.25">
      <c r="H1721" t="s">
        <v>146</v>
      </c>
    </row>
    <row r="1722" spans="8:8" x14ac:dyDescent="0.25">
      <c r="H1722" t="s">
        <v>2552</v>
      </c>
    </row>
    <row r="1723" spans="8:8" x14ac:dyDescent="0.25">
      <c r="H1723" t="s">
        <v>31</v>
      </c>
    </row>
    <row r="1724" spans="8:8" x14ac:dyDescent="0.25">
      <c r="H1724" t="s">
        <v>147</v>
      </c>
    </row>
    <row r="1725" spans="8:8" x14ac:dyDescent="0.25">
      <c r="H1725" t="s">
        <v>2553</v>
      </c>
    </row>
    <row r="1726" spans="8:8" x14ac:dyDescent="0.25">
      <c r="H1726" t="s">
        <v>31</v>
      </c>
    </row>
    <row r="1727" spans="8:8" x14ac:dyDescent="0.25">
      <c r="H1727" t="s">
        <v>148</v>
      </c>
    </row>
    <row r="1728" spans="8:8" x14ac:dyDescent="0.25">
      <c r="H1728" t="s">
        <v>2554</v>
      </c>
    </row>
    <row r="1729" spans="8:8" x14ac:dyDescent="0.25">
      <c r="H1729" t="s">
        <v>31</v>
      </c>
    </row>
    <row r="1731" spans="8:8" x14ac:dyDescent="0.25">
      <c r="H1731" t="s">
        <v>1961</v>
      </c>
    </row>
    <row r="1732" spans="8:8" x14ac:dyDescent="0.25">
      <c r="H1732" t="s">
        <v>145</v>
      </c>
    </row>
    <row r="1733" spans="8:8" x14ac:dyDescent="0.25">
      <c r="H1733" t="s">
        <v>2556</v>
      </c>
    </row>
    <row r="1734" spans="8:8" x14ac:dyDescent="0.25">
      <c r="H1734" t="s">
        <v>31</v>
      </c>
    </row>
    <row r="1735" spans="8:8" x14ac:dyDescent="0.25">
      <c r="H1735" t="s">
        <v>146</v>
      </c>
    </row>
    <row r="1736" spans="8:8" x14ac:dyDescent="0.25">
      <c r="H1736" t="s">
        <v>2557</v>
      </c>
    </row>
    <row r="1737" spans="8:8" x14ac:dyDescent="0.25">
      <c r="H1737" t="s">
        <v>31</v>
      </c>
    </row>
    <row r="1738" spans="8:8" x14ac:dyDescent="0.25">
      <c r="H1738" t="s">
        <v>147</v>
      </c>
    </row>
    <row r="1739" spans="8:8" x14ac:dyDescent="0.25">
      <c r="H1739" t="s">
        <v>2558</v>
      </c>
    </row>
    <row r="1740" spans="8:8" x14ac:dyDescent="0.25">
      <c r="H1740" t="s">
        <v>31</v>
      </c>
    </row>
    <row r="1741" spans="8:8" x14ac:dyDescent="0.25">
      <c r="H1741" t="s">
        <v>148</v>
      </c>
    </row>
    <row r="1742" spans="8:8" x14ac:dyDescent="0.25">
      <c r="H1742" t="s">
        <v>2559</v>
      </c>
    </row>
    <row r="1743" spans="8:8" x14ac:dyDescent="0.25">
      <c r="H1743" t="s">
        <v>31</v>
      </c>
    </row>
    <row r="1745" spans="8:8" x14ac:dyDescent="0.25">
      <c r="H1745" t="s">
        <v>1963</v>
      </c>
    </row>
    <row r="1746" spans="8:8" x14ac:dyDescent="0.25">
      <c r="H1746" t="s">
        <v>145</v>
      </c>
    </row>
    <row r="1747" spans="8:8" x14ac:dyDescent="0.25">
      <c r="H1747" t="s">
        <v>2561</v>
      </c>
    </row>
    <row r="1748" spans="8:8" x14ac:dyDescent="0.25">
      <c r="H1748" t="s">
        <v>31</v>
      </c>
    </row>
    <row r="1749" spans="8:8" x14ac:dyDescent="0.25">
      <c r="H1749" t="s">
        <v>146</v>
      </c>
    </row>
    <row r="1750" spans="8:8" x14ac:dyDescent="0.25">
      <c r="H1750" t="s">
        <v>2562</v>
      </c>
    </row>
    <row r="1751" spans="8:8" x14ac:dyDescent="0.25">
      <c r="H1751" t="s">
        <v>31</v>
      </c>
    </row>
    <row r="1752" spans="8:8" x14ac:dyDescent="0.25">
      <c r="H1752" t="s">
        <v>147</v>
      </c>
    </row>
    <row r="1753" spans="8:8" x14ac:dyDescent="0.25">
      <c r="H1753" t="s">
        <v>2563</v>
      </c>
    </row>
    <row r="1754" spans="8:8" x14ac:dyDescent="0.25">
      <c r="H1754" t="s">
        <v>31</v>
      </c>
    </row>
    <row r="1755" spans="8:8" x14ac:dyDescent="0.25">
      <c r="H1755" t="s">
        <v>148</v>
      </c>
    </row>
    <row r="1756" spans="8:8" x14ac:dyDescent="0.25">
      <c r="H1756" t="s">
        <v>2564</v>
      </c>
    </row>
    <row r="1757" spans="8:8" x14ac:dyDescent="0.25">
      <c r="H1757" t="s">
        <v>31</v>
      </c>
    </row>
    <row r="1759" spans="8:8" x14ac:dyDescent="0.25">
      <c r="H1759" t="s">
        <v>1965</v>
      </c>
    </row>
    <row r="1760" spans="8:8" x14ac:dyDescent="0.25">
      <c r="H1760" t="s">
        <v>145</v>
      </c>
    </row>
    <row r="1761" spans="8:8" x14ac:dyDescent="0.25">
      <c r="H1761" t="s">
        <v>2566</v>
      </c>
    </row>
    <row r="1762" spans="8:8" x14ac:dyDescent="0.25">
      <c r="H1762" t="s">
        <v>31</v>
      </c>
    </row>
    <row r="1763" spans="8:8" x14ac:dyDescent="0.25">
      <c r="H1763" t="s">
        <v>146</v>
      </c>
    </row>
    <row r="1764" spans="8:8" x14ac:dyDescent="0.25">
      <c r="H1764" t="s">
        <v>2567</v>
      </c>
    </row>
    <row r="1765" spans="8:8" x14ac:dyDescent="0.25">
      <c r="H1765" t="s">
        <v>31</v>
      </c>
    </row>
    <row r="1766" spans="8:8" x14ac:dyDescent="0.25">
      <c r="H1766" t="s">
        <v>147</v>
      </c>
    </row>
    <row r="1767" spans="8:8" x14ac:dyDescent="0.25">
      <c r="H1767" t="s">
        <v>2568</v>
      </c>
    </row>
    <row r="1768" spans="8:8" x14ac:dyDescent="0.25">
      <c r="H1768" t="s">
        <v>31</v>
      </c>
    </row>
    <row r="1769" spans="8:8" x14ac:dyDescent="0.25">
      <c r="H1769" t="s">
        <v>148</v>
      </c>
    </row>
    <row r="1770" spans="8:8" x14ac:dyDescent="0.25">
      <c r="H1770" t="s">
        <v>2569</v>
      </c>
    </row>
    <row r="1771" spans="8:8" x14ac:dyDescent="0.25">
      <c r="H1771" t="s">
        <v>31</v>
      </c>
    </row>
    <row r="1773" spans="8:8" x14ac:dyDescent="0.25">
      <c r="H1773" t="s">
        <v>1968</v>
      </c>
    </row>
    <row r="1774" spans="8:8" x14ac:dyDescent="0.25">
      <c r="H1774" t="s">
        <v>145</v>
      </c>
    </row>
    <row r="1775" spans="8:8" x14ac:dyDescent="0.25">
      <c r="H1775" t="s">
        <v>2571</v>
      </c>
    </row>
    <row r="1776" spans="8:8" x14ac:dyDescent="0.25">
      <c r="H1776" t="s">
        <v>31</v>
      </c>
    </row>
    <row r="1777" spans="8:8" x14ac:dyDescent="0.25">
      <c r="H1777" t="s">
        <v>146</v>
      </c>
    </row>
    <row r="1778" spans="8:8" x14ac:dyDescent="0.25">
      <c r="H1778" t="s">
        <v>2572</v>
      </c>
    </row>
    <row r="1779" spans="8:8" x14ac:dyDescent="0.25">
      <c r="H1779" t="s">
        <v>31</v>
      </c>
    </row>
    <row r="1780" spans="8:8" x14ac:dyDescent="0.25">
      <c r="H1780" t="s">
        <v>147</v>
      </c>
    </row>
    <row r="1781" spans="8:8" x14ac:dyDescent="0.25">
      <c r="H1781" t="s">
        <v>2573</v>
      </c>
    </row>
    <row r="1782" spans="8:8" x14ac:dyDescent="0.25">
      <c r="H1782" t="s">
        <v>31</v>
      </c>
    </row>
    <row r="1783" spans="8:8" x14ac:dyDescent="0.25">
      <c r="H1783" t="s">
        <v>148</v>
      </c>
    </row>
    <row r="1784" spans="8:8" x14ac:dyDescent="0.25">
      <c r="H1784" t="s">
        <v>2574</v>
      </c>
    </row>
    <row r="1785" spans="8:8" x14ac:dyDescent="0.25">
      <c r="H1785" t="s">
        <v>31</v>
      </c>
    </row>
    <row r="1787" spans="8:8" x14ac:dyDescent="0.25">
      <c r="H1787" t="s">
        <v>1970</v>
      </c>
    </row>
    <row r="1788" spans="8:8" x14ac:dyDescent="0.25">
      <c r="H1788" t="s">
        <v>145</v>
      </c>
    </row>
    <row r="1789" spans="8:8" x14ac:dyDescent="0.25">
      <c r="H1789" t="s">
        <v>2576</v>
      </c>
    </row>
    <row r="1790" spans="8:8" x14ac:dyDescent="0.25">
      <c r="H1790" t="s">
        <v>31</v>
      </c>
    </row>
    <row r="1791" spans="8:8" x14ac:dyDescent="0.25">
      <c r="H1791" t="s">
        <v>146</v>
      </c>
    </row>
    <row r="1792" spans="8:8" x14ac:dyDescent="0.25">
      <c r="H1792" t="s">
        <v>2577</v>
      </c>
    </row>
    <row r="1793" spans="8:8" x14ac:dyDescent="0.25">
      <c r="H1793" t="s">
        <v>31</v>
      </c>
    </row>
    <row r="1794" spans="8:8" x14ac:dyDescent="0.25">
      <c r="H1794" t="s">
        <v>147</v>
      </c>
    </row>
    <row r="1795" spans="8:8" x14ac:dyDescent="0.25">
      <c r="H1795" t="s">
        <v>2578</v>
      </c>
    </row>
    <row r="1796" spans="8:8" x14ac:dyDescent="0.25">
      <c r="H1796" t="s">
        <v>31</v>
      </c>
    </row>
    <row r="1797" spans="8:8" x14ac:dyDescent="0.25">
      <c r="H1797" t="s">
        <v>148</v>
      </c>
    </row>
    <row r="1798" spans="8:8" x14ac:dyDescent="0.25">
      <c r="H1798" t="s">
        <v>2579</v>
      </c>
    </row>
    <row r="1799" spans="8:8" x14ac:dyDescent="0.25">
      <c r="H1799" t="s">
        <v>31</v>
      </c>
    </row>
    <row r="1801" spans="8:8" x14ac:dyDescent="0.25">
      <c r="H1801" t="s">
        <v>1972</v>
      </c>
    </row>
    <row r="1802" spans="8:8" x14ac:dyDescent="0.25">
      <c r="H1802" t="s">
        <v>145</v>
      </c>
    </row>
    <row r="1803" spans="8:8" x14ac:dyDescent="0.25">
      <c r="H1803" t="s">
        <v>2581</v>
      </c>
    </row>
    <row r="1804" spans="8:8" x14ac:dyDescent="0.25">
      <c r="H1804" t="s">
        <v>31</v>
      </c>
    </row>
    <row r="1805" spans="8:8" x14ac:dyDescent="0.25">
      <c r="H1805" t="s">
        <v>146</v>
      </c>
    </row>
    <row r="1806" spans="8:8" x14ac:dyDescent="0.25">
      <c r="H1806" t="s">
        <v>2582</v>
      </c>
    </row>
    <row r="1807" spans="8:8" x14ac:dyDescent="0.25">
      <c r="H1807" t="s">
        <v>31</v>
      </c>
    </row>
    <row r="1808" spans="8:8" x14ac:dyDescent="0.25">
      <c r="H1808" t="s">
        <v>147</v>
      </c>
    </row>
    <row r="1809" spans="8:8" x14ac:dyDescent="0.25">
      <c r="H1809" t="s">
        <v>2583</v>
      </c>
    </row>
    <row r="1810" spans="8:8" x14ac:dyDescent="0.25">
      <c r="H1810" t="s">
        <v>31</v>
      </c>
    </row>
    <row r="1811" spans="8:8" x14ac:dyDescent="0.25">
      <c r="H1811" t="s">
        <v>148</v>
      </c>
    </row>
    <row r="1812" spans="8:8" x14ac:dyDescent="0.25">
      <c r="H1812" t="s">
        <v>2584</v>
      </c>
    </row>
    <row r="1813" spans="8:8" x14ac:dyDescent="0.25">
      <c r="H1813" t="s">
        <v>31</v>
      </c>
    </row>
    <row r="1815" spans="8:8" x14ac:dyDescent="0.25">
      <c r="H1815" t="s">
        <v>1974</v>
      </c>
    </row>
    <row r="1816" spans="8:8" x14ac:dyDescent="0.25">
      <c r="H1816" t="s">
        <v>145</v>
      </c>
    </row>
    <row r="1817" spans="8:8" x14ac:dyDescent="0.25">
      <c r="H1817" t="s">
        <v>2586</v>
      </c>
    </row>
    <row r="1818" spans="8:8" x14ac:dyDescent="0.25">
      <c r="H1818" t="s">
        <v>31</v>
      </c>
    </row>
    <row r="1819" spans="8:8" x14ac:dyDescent="0.25">
      <c r="H1819" t="s">
        <v>146</v>
      </c>
    </row>
    <row r="1820" spans="8:8" x14ac:dyDescent="0.25">
      <c r="H1820" t="s">
        <v>2587</v>
      </c>
    </row>
    <row r="1821" spans="8:8" x14ac:dyDescent="0.25">
      <c r="H1821" t="s">
        <v>31</v>
      </c>
    </row>
    <row r="1822" spans="8:8" x14ac:dyDescent="0.25">
      <c r="H1822" t="s">
        <v>147</v>
      </c>
    </row>
    <row r="1823" spans="8:8" x14ac:dyDescent="0.25">
      <c r="H1823" t="s">
        <v>2588</v>
      </c>
    </row>
    <row r="1824" spans="8:8" x14ac:dyDescent="0.25">
      <c r="H1824" t="s">
        <v>31</v>
      </c>
    </row>
    <row r="1825" spans="8:8" x14ac:dyDescent="0.25">
      <c r="H1825" t="s">
        <v>148</v>
      </c>
    </row>
    <row r="1826" spans="8:8" x14ac:dyDescent="0.25">
      <c r="H1826" t="s">
        <v>2589</v>
      </c>
    </row>
    <row r="1827" spans="8:8" x14ac:dyDescent="0.25">
      <c r="H1827" t="s">
        <v>31</v>
      </c>
    </row>
    <row r="1829" spans="8:8" x14ac:dyDescent="0.25">
      <c r="H1829" t="s">
        <v>1978</v>
      </c>
    </row>
    <row r="1830" spans="8:8" x14ac:dyDescent="0.25">
      <c r="H1830" t="s">
        <v>145</v>
      </c>
    </row>
    <row r="1831" spans="8:8" x14ac:dyDescent="0.25">
      <c r="H1831" t="s">
        <v>2591</v>
      </c>
    </row>
    <row r="1832" spans="8:8" x14ac:dyDescent="0.25">
      <c r="H1832" t="s">
        <v>31</v>
      </c>
    </row>
    <row r="1833" spans="8:8" x14ac:dyDescent="0.25">
      <c r="H1833" t="s">
        <v>146</v>
      </c>
    </row>
    <row r="1834" spans="8:8" x14ac:dyDescent="0.25">
      <c r="H1834" t="s">
        <v>2592</v>
      </c>
    </row>
    <row r="1835" spans="8:8" x14ac:dyDescent="0.25">
      <c r="H1835" t="s">
        <v>31</v>
      </c>
    </row>
    <row r="1836" spans="8:8" x14ac:dyDescent="0.25">
      <c r="H1836" t="s">
        <v>147</v>
      </c>
    </row>
    <row r="1837" spans="8:8" x14ac:dyDescent="0.25">
      <c r="H1837" t="s">
        <v>2593</v>
      </c>
    </row>
    <row r="1838" spans="8:8" x14ac:dyDescent="0.25">
      <c r="H1838" t="s">
        <v>31</v>
      </c>
    </row>
    <row r="1839" spans="8:8" x14ac:dyDescent="0.25">
      <c r="H1839" t="s">
        <v>148</v>
      </c>
    </row>
    <row r="1840" spans="8:8" x14ac:dyDescent="0.25">
      <c r="H1840" t="s">
        <v>2594</v>
      </c>
    </row>
    <row r="1841" spans="8:8" x14ac:dyDescent="0.25">
      <c r="H1841" t="s">
        <v>31</v>
      </c>
    </row>
    <row r="1843" spans="8:8" x14ac:dyDescent="0.25">
      <c r="H1843" t="s">
        <v>1984</v>
      </c>
    </row>
    <row r="1844" spans="8:8" x14ac:dyDescent="0.25">
      <c r="H1844" t="s">
        <v>145</v>
      </c>
    </row>
    <row r="1845" spans="8:8" x14ac:dyDescent="0.25">
      <c r="H1845" t="s">
        <v>2596</v>
      </c>
    </row>
    <row r="1846" spans="8:8" x14ac:dyDescent="0.25">
      <c r="H1846" t="s">
        <v>31</v>
      </c>
    </row>
    <row r="1847" spans="8:8" x14ac:dyDescent="0.25">
      <c r="H1847" t="s">
        <v>146</v>
      </c>
    </row>
    <row r="1848" spans="8:8" x14ac:dyDescent="0.25">
      <c r="H1848" t="s">
        <v>2597</v>
      </c>
    </row>
    <row r="1849" spans="8:8" x14ac:dyDescent="0.25">
      <c r="H1849" t="s">
        <v>31</v>
      </c>
    </row>
    <row r="1850" spans="8:8" x14ac:dyDescent="0.25">
      <c r="H1850" t="s">
        <v>147</v>
      </c>
    </row>
    <row r="1851" spans="8:8" x14ac:dyDescent="0.25">
      <c r="H1851" t="s">
        <v>2598</v>
      </c>
    </row>
    <row r="1852" spans="8:8" x14ac:dyDescent="0.25">
      <c r="H1852" t="s">
        <v>31</v>
      </c>
    </row>
    <row r="1853" spans="8:8" x14ac:dyDescent="0.25">
      <c r="H1853" t="s">
        <v>148</v>
      </c>
    </row>
    <row r="1854" spans="8:8" x14ac:dyDescent="0.25">
      <c r="H1854" t="s">
        <v>2599</v>
      </c>
    </row>
    <row r="1855" spans="8:8" x14ac:dyDescent="0.25">
      <c r="H1855" t="s">
        <v>31</v>
      </c>
    </row>
    <row r="1857" spans="8:8" x14ac:dyDescent="0.25">
      <c r="H1857" t="s">
        <v>1987</v>
      </c>
    </row>
    <row r="1858" spans="8:8" x14ac:dyDescent="0.25">
      <c r="H1858" t="s">
        <v>145</v>
      </c>
    </row>
    <row r="1859" spans="8:8" x14ac:dyDescent="0.25">
      <c r="H1859" t="s">
        <v>2601</v>
      </c>
    </row>
    <row r="1860" spans="8:8" x14ac:dyDescent="0.25">
      <c r="H1860" t="s">
        <v>31</v>
      </c>
    </row>
    <row r="1861" spans="8:8" x14ac:dyDescent="0.25">
      <c r="H1861" t="s">
        <v>146</v>
      </c>
    </row>
    <row r="1862" spans="8:8" x14ac:dyDescent="0.25">
      <c r="H1862" t="s">
        <v>2602</v>
      </c>
    </row>
    <row r="1863" spans="8:8" x14ac:dyDescent="0.25">
      <c r="H1863" t="s">
        <v>31</v>
      </c>
    </row>
    <row r="1864" spans="8:8" x14ac:dyDescent="0.25">
      <c r="H1864" t="s">
        <v>147</v>
      </c>
    </row>
    <row r="1865" spans="8:8" x14ac:dyDescent="0.25">
      <c r="H1865" t="s">
        <v>2603</v>
      </c>
    </row>
    <row r="1866" spans="8:8" x14ac:dyDescent="0.25">
      <c r="H1866" t="s">
        <v>31</v>
      </c>
    </row>
    <row r="1867" spans="8:8" x14ac:dyDescent="0.25">
      <c r="H1867" t="s">
        <v>148</v>
      </c>
    </row>
    <row r="1868" spans="8:8" x14ac:dyDescent="0.25">
      <c r="H1868" t="s">
        <v>2604</v>
      </c>
    </row>
    <row r="1869" spans="8:8" x14ac:dyDescent="0.25">
      <c r="H1869" t="s">
        <v>31</v>
      </c>
    </row>
    <row r="1871" spans="8:8" x14ac:dyDescent="0.25">
      <c r="H1871" t="s">
        <v>1989</v>
      </c>
    </row>
    <row r="1872" spans="8:8" x14ac:dyDescent="0.25">
      <c r="H1872" t="s">
        <v>145</v>
      </c>
    </row>
    <row r="1873" spans="8:8" x14ac:dyDescent="0.25">
      <c r="H1873" t="s">
        <v>2606</v>
      </c>
    </row>
    <row r="1874" spans="8:8" x14ac:dyDescent="0.25">
      <c r="H1874" t="s">
        <v>31</v>
      </c>
    </row>
    <row r="1875" spans="8:8" x14ac:dyDescent="0.25">
      <c r="H1875" t="s">
        <v>146</v>
      </c>
    </row>
    <row r="1876" spans="8:8" x14ac:dyDescent="0.25">
      <c r="H1876" t="s">
        <v>2607</v>
      </c>
    </row>
    <row r="1877" spans="8:8" x14ac:dyDescent="0.25">
      <c r="H1877" t="s">
        <v>31</v>
      </c>
    </row>
    <row r="1878" spans="8:8" x14ac:dyDescent="0.25">
      <c r="H1878" t="s">
        <v>147</v>
      </c>
    </row>
    <row r="1879" spans="8:8" x14ac:dyDescent="0.25">
      <c r="H1879" t="s">
        <v>2608</v>
      </c>
    </row>
    <row r="1880" spans="8:8" x14ac:dyDescent="0.25">
      <c r="H1880" t="s">
        <v>31</v>
      </c>
    </row>
    <row r="1881" spans="8:8" x14ac:dyDescent="0.25">
      <c r="H1881" t="s">
        <v>148</v>
      </c>
    </row>
    <row r="1882" spans="8:8" x14ac:dyDescent="0.25">
      <c r="H1882" t="s">
        <v>2609</v>
      </c>
    </row>
    <row r="1883" spans="8:8" x14ac:dyDescent="0.25">
      <c r="H1883" t="s">
        <v>31</v>
      </c>
    </row>
    <row r="1885" spans="8:8" x14ac:dyDescent="0.25">
      <c r="H1885" t="s">
        <v>1991</v>
      </c>
    </row>
    <row r="1886" spans="8:8" x14ac:dyDescent="0.25">
      <c r="H1886" t="s">
        <v>145</v>
      </c>
    </row>
    <row r="1887" spans="8:8" x14ac:dyDescent="0.25">
      <c r="H1887" t="s">
        <v>2611</v>
      </c>
    </row>
    <row r="1888" spans="8:8" x14ac:dyDescent="0.25">
      <c r="H1888" t="s">
        <v>31</v>
      </c>
    </row>
    <row r="1889" spans="8:8" x14ac:dyDescent="0.25">
      <c r="H1889" t="s">
        <v>146</v>
      </c>
    </row>
    <row r="1890" spans="8:8" x14ac:dyDescent="0.25">
      <c r="H1890" t="s">
        <v>2612</v>
      </c>
    </row>
    <row r="1891" spans="8:8" x14ac:dyDescent="0.25">
      <c r="H1891" t="s">
        <v>31</v>
      </c>
    </row>
    <row r="1892" spans="8:8" x14ac:dyDescent="0.25">
      <c r="H1892" t="s">
        <v>147</v>
      </c>
    </row>
    <row r="1893" spans="8:8" x14ac:dyDescent="0.25">
      <c r="H1893" t="s">
        <v>2613</v>
      </c>
    </row>
    <row r="1894" spans="8:8" x14ac:dyDescent="0.25">
      <c r="H1894" t="s">
        <v>31</v>
      </c>
    </row>
    <row r="1895" spans="8:8" x14ac:dyDescent="0.25">
      <c r="H1895" t="s">
        <v>148</v>
      </c>
    </row>
    <row r="1896" spans="8:8" x14ac:dyDescent="0.25">
      <c r="H1896" t="s">
        <v>2614</v>
      </c>
    </row>
    <row r="1897" spans="8:8" x14ac:dyDescent="0.25">
      <c r="H1897" t="s">
        <v>31</v>
      </c>
    </row>
    <row r="1899" spans="8:8" x14ac:dyDescent="0.25">
      <c r="H1899" t="s">
        <v>1993</v>
      </c>
    </row>
    <row r="1900" spans="8:8" x14ac:dyDescent="0.25">
      <c r="H1900" t="s">
        <v>145</v>
      </c>
    </row>
    <row r="1901" spans="8:8" x14ac:dyDescent="0.25">
      <c r="H1901" t="s">
        <v>2616</v>
      </c>
    </row>
    <row r="1902" spans="8:8" x14ac:dyDescent="0.25">
      <c r="H1902" t="s">
        <v>31</v>
      </c>
    </row>
    <row r="1903" spans="8:8" x14ac:dyDescent="0.25">
      <c r="H1903" t="s">
        <v>146</v>
      </c>
    </row>
    <row r="1904" spans="8:8" x14ac:dyDescent="0.25">
      <c r="H1904" t="s">
        <v>2617</v>
      </c>
    </row>
    <row r="1905" spans="8:8" x14ac:dyDescent="0.25">
      <c r="H1905" t="s">
        <v>31</v>
      </c>
    </row>
    <row r="1906" spans="8:8" x14ac:dyDescent="0.25">
      <c r="H1906" t="s">
        <v>147</v>
      </c>
    </row>
    <row r="1907" spans="8:8" x14ac:dyDescent="0.25">
      <c r="H1907" t="s">
        <v>2618</v>
      </c>
    </row>
    <row r="1908" spans="8:8" x14ac:dyDescent="0.25">
      <c r="H1908" t="s">
        <v>31</v>
      </c>
    </row>
    <row r="1909" spans="8:8" x14ac:dyDescent="0.25">
      <c r="H1909" t="s">
        <v>148</v>
      </c>
    </row>
    <row r="1910" spans="8:8" x14ac:dyDescent="0.25">
      <c r="H1910" t="s">
        <v>2619</v>
      </c>
    </row>
    <row r="1911" spans="8:8" x14ac:dyDescent="0.25">
      <c r="H1911" t="s">
        <v>31</v>
      </c>
    </row>
    <row r="1913" spans="8:8" x14ac:dyDescent="0.25">
      <c r="H1913" t="s">
        <v>1995</v>
      </c>
    </row>
    <row r="1914" spans="8:8" x14ac:dyDescent="0.25">
      <c r="H1914" t="s">
        <v>145</v>
      </c>
    </row>
    <row r="1915" spans="8:8" x14ac:dyDescent="0.25">
      <c r="H1915" t="s">
        <v>2621</v>
      </c>
    </row>
    <row r="1916" spans="8:8" x14ac:dyDescent="0.25">
      <c r="H1916" t="s">
        <v>31</v>
      </c>
    </row>
    <row r="1917" spans="8:8" x14ac:dyDescent="0.25">
      <c r="H1917" t="s">
        <v>146</v>
      </c>
    </row>
    <row r="1918" spans="8:8" x14ac:dyDescent="0.25">
      <c r="H1918" t="s">
        <v>2622</v>
      </c>
    </row>
    <row r="1919" spans="8:8" x14ac:dyDescent="0.25">
      <c r="H1919" t="s">
        <v>31</v>
      </c>
    </row>
    <row r="1920" spans="8:8" x14ac:dyDescent="0.25">
      <c r="H1920" t="s">
        <v>147</v>
      </c>
    </row>
    <row r="1921" spans="8:8" x14ac:dyDescent="0.25">
      <c r="H1921" t="s">
        <v>2623</v>
      </c>
    </row>
    <row r="1922" spans="8:8" x14ac:dyDescent="0.25">
      <c r="H1922" t="s">
        <v>31</v>
      </c>
    </row>
    <row r="1923" spans="8:8" x14ac:dyDescent="0.25">
      <c r="H1923" t="s">
        <v>148</v>
      </c>
    </row>
    <row r="1924" spans="8:8" x14ac:dyDescent="0.25">
      <c r="H1924" t="s">
        <v>2624</v>
      </c>
    </row>
    <row r="1925" spans="8:8" x14ac:dyDescent="0.25">
      <c r="H1925" t="s">
        <v>31</v>
      </c>
    </row>
    <row r="1927" spans="8:8" x14ac:dyDescent="0.25">
      <c r="H1927" t="s">
        <v>1997</v>
      </c>
    </row>
    <row r="1928" spans="8:8" x14ac:dyDescent="0.25">
      <c r="H1928" t="s">
        <v>145</v>
      </c>
    </row>
    <row r="1929" spans="8:8" x14ac:dyDescent="0.25">
      <c r="H1929" t="s">
        <v>2626</v>
      </c>
    </row>
    <row r="1930" spans="8:8" x14ac:dyDescent="0.25">
      <c r="H1930" t="s">
        <v>31</v>
      </c>
    </row>
    <row r="1931" spans="8:8" x14ac:dyDescent="0.25">
      <c r="H1931" t="s">
        <v>146</v>
      </c>
    </row>
    <row r="1932" spans="8:8" x14ac:dyDescent="0.25">
      <c r="H1932" t="s">
        <v>2627</v>
      </c>
    </row>
    <row r="1933" spans="8:8" x14ac:dyDescent="0.25">
      <c r="H1933" t="s">
        <v>31</v>
      </c>
    </row>
    <row r="1934" spans="8:8" x14ac:dyDescent="0.25">
      <c r="H1934" t="s">
        <v>147</v>
      </c>
    </row>
    <row r="1935" spans="8:8" x14ac:dyDescent="0.25">
      <c r="H1935" t="s">
        <v>2628</v>
      </c>
    </row>
    <row r="1936" spans="8:8" x14ac:dyDescent="0.25">
      <c r="H1936" t="s">
        <v>31</v>
      </c>
    </row>
    <row r="1937" spans="8:8" x14ac:dyDescent="0.25">
      <c r="H1937" t="s">
        <v>148</v>
      </c>
    </row>
    <row r="1938" spans="8:8" x14ac:dyDescent="0.25">
      <c r="H1938" t="s">
        <v>2629</v>
      </c>
    </row>
    <row r="1939" spans="8:8" x14ac:dyDescent="0.25">
      <c r="H1939" t="s">
        <v>31</v>
      </c>
    </row>
    <row r="1941" spans="8:8" x14ac:dyDescent="0.25">
      <c r="H1941" t="s">
        <v>1999</v>
      </c>
    </row>
    <row r="1942" spans="8:8" x14ac:dyDescent="0.25">
      <c r="H1942" t="s">
        <v>145</v>
      </c>
    </row>
    <row r="1943" spans="8:8" x14ac:dyDescent="0.25">
      <c r="H1943" t="s">
        <v>2631</v>
      </c>
    </row>
    <row r="1944" spans="8:8" x14ac:dyDescent="0.25">
      <c r="H1944" t="s">
        <v>31</v>
      </c>
    </row>
    <row r="1945" spans="8:8" x14ac:dyDescent="0.25">
      <c r="H1945" t="s">
        <v>146</v>
      </c>
    </row>
    <row r="1946" spans="8:8" x14ac:dyDescent="0.25">
      <c r="H1946" t="s">
        <v>2632</v>
      </c>
    </row>
    <row r="1947" spans="8:8" x14ac:dyDescent="0.25">
      <c r="H1947" t="s">
        <v>31</v>
      </c>
    </row>
    <row r="1948" spans="8:8" x14ac:dyDescent="0.25">
      <c r="H1948" t="s">
        <v>147</v>
      </c>
    </row>
    <row r="1949" spans="8:8" x14ac:dyDescent="0.25">
      <c r="H1949" t="s">
        <v>2633</v>
      </c>
    </row>
    <row r="1950" spans="8:8" x14ac:dyDescent="0.25">
      <c r="H1950" t="s">
        <v>31</v>
      </c>
    </row>
    <row r="1951" spans="8:8" x14ac:dyDescent="0.25">
      <c r="H1951" t="s">
        <v>148</v>
      </c>
    </row>
    <row r="1952" spans="8:8" x14ac:dyDescent="0.25">
      <c r="H1952" t="s">
        <v>2634</v>
      </c>
    </row>
    <row r="1953" spans="8:8" x14ac:dyDescent="0.25">
      <c r="H1953" t="s">
        <v>31</v>
      </c>
    </row>
    <row r="1955" spans="8:8" x14ac:dyDescent="0.25">
      <c r="H1955" t="s">
        <v>2001</v>
      </c>
    </row>
    <row r="1956" spans="8:8" x14ac:dyDescent="0.25">
      <c r="H1956" t="s">
        <v>145</v>
      </c>
    </row>
    <row r="1957" spans="8:8" x14ac:dyDescent="0.25">
      <c r="H1957" t="s">
        <v>2636</v>
      </c>
    </row>
    <row r="1958" spans="8:8" x14ac:dyDescent="0.25">
      <c r="H1958" t="s">
        <v>31</v>
      </c>
    </row>
    <row r="1959" spans="8:8" x14ac:dyDescent="0.25">
      <c r="H1959" t="s">
        <v>146</v>
      </c>
    </row>
    <row r="1960" spans="8:8" x14ac:dyDescent="0.25">
      <c r="H1960" t="s">
        <v>2637</v>
      </c>
    </row>
    <row r="1961" spans="8:8" x14ac:dyDescent="0.25">
      <c r="H1961" t="s">
        <v>31</v>
      </c>
    </row>
    <row r="1962" spans="8:8" x14ac:dyDescent="0.25">
      <c r="H1962" t="s">
        <v>147</v>
      </c>
    </row>
    <row r="1963" spans="8:8" x14ac:dyDescent="0.25">
      <c r="H1963" t="s">
        <v>2638</v>
      </c>
    </row>
    <row r="1964" spans="8:8" x14ac:dyDescent="0.25">
      <c r="H1964" t="s">
        <v>31</v>
      </c>
    </row>
    <row r="1965" spans="8:8" x14ac:dyDescent="0.25">
      <c r="H1965" t="s">
        <v>148</v>
      </c>
    </row>
    <row r="1966" spans="8:8" x14ac:dyDescent="0.25">
      <c r="H1966" t="s">
        <v>2639</v>
      </c>
    </row>
    <row r="1967" spans="8:8" x14ac:dyDescent="0.25">
      <c r="H1967" t="s">
        <v>31</v>
      </c>
    </row>
    <row r="1969" spans="8:8" x14ac:dyDescent="0.25">
      <c r="H1969" t="s">
        <v>2003</v>
      </c>
    </row>
    <row r="1970" spans="8:8" x14ac:dyDescent="0.25">
      <c r="H1970" t="s">
        <v>145</v>
      </c>
    </row>
    <row r="1971" spans="8:8" x14ac:dyDescent="0.25">
      <c r="H1971" t="s">
        <v>2641</v>
      </c>
    </row>
    <row r="1972" spans="8:8" x14ac:dyDescent="0.25">
      <c r="H1972" t="s">
        <v>31</v>
      </c>
    </row>
    <row r="1973" spans="8:8" x14ac:dyDescent="0.25">
      <c r="H1973" t="s">
        <v>146</v>
      </c>
    </row>
    <row r="1974" spans="8:8" x14ac:dyDescent="0.25">
      <c r="H1974" t="s">
        <v>2642</v>
      </c>
    </row>
    <row r="1975" spans="8:8" x14ac:dyDescent="0.25">
      <c r="H1975" t="s">
        <v>31</v>
      </c>
    </row>
    <row r="1976" spans="8:8" x14ac:dyDescent="0.25">
      <c r="H1976" t="s">
        <v>147</v>
      </c>
    </row>
    <row r="1977" spans="8:8" x14ac:dyDescent="0.25">
      <c r="H1977" t="s">
        <v>2643</v>
      </c>
    </row>
    <row r="1978" spans="8:8" x14ac:dyDescent="0.25">
      <c r="H1978" t="s">
        <v>31</v>
      </c>
    </row>
    <row r="1979" spans="8:8" x14ac:dyDescent="0.25">
      <c r="H1979" t="s">
        <v>148</v>
      </c>
    </row>
    <row r="1980" spans="8:8" x14ac:dyDescent="0.25">
      <c r="H1980" t="s">
        <v>2644</v>
      </c>
    </row>
    <row r="1981" spans="8:8" x14ac:dyDescent="0.25">
      <c r="H1981" t="s">
        <v>31</v>
      </c>
    </row>
    <row r="1983" spans="8:8" x14ac:dyDescent="0.25">
      <c r="H1983" t="s">
        <v>2005</v>
      </c>
    </row>
    <row r="1984" spans="8:8" x14ac:dyDescent="0.25">
      <c r="H1984" t="s">
        <v>145</v>
      </c>
    </row>
    <row r="1985" spans="8:8" x14ac:dyDescent="0.25">
      <c r="H1985" t="s">
        <v>2646</v>
      </c>
    </row>
    <row r="1986" spans="8:8" x14ac:dyDescent="0.25">
      <c r="H1986" t="s">
        <v>31</v>
      </c>
    </row>
    <row r="1987" spans="8:8" x14ac:dyDescent="0.25">
      <c r="H1987" t="s">
        <v>146</v>
      </c>
    </row>
    <row r="1988" spans="8:8" x14ac:dyDescent="0.25">
      <c r="H1988" t="s">
        <v>2647</v>
      </c>
    </row>
    <row r="1989" spans="8:8" x14ac:dyDescent="0.25">
      <c r="H1989" t="s">
        <v>31</v>
      </c>
    </row>
    <row r="1990" spans="8:8" x14ac:dyDescent="0.25">
      <c r="H1990" t="s">
        <v>147</v>
      </c>
    </row>
    <row r="1991" spans="8:8" x14ac:dyDescent="0.25">
      <c r="H1991" t="s">
        <v>2648</v>
      </c>
    </row>
    <row r="1992" spans="8:8" x14ac:dyDescent="0.25">
      <c r="H1992" t="s">
        <v>31</v>
      </c>
    </row>
    <row r="1993" spans="8:8" x14ac:dyDescent="0.25">
      <c r="H1993" t="s">
        <v>148</v>
      </c>
    </row>
    <row r="1994" spans="8:8" x14ac:dyDescent="0.25">
      <c r="H1994" t="s">
        <v>2649</v>
      </c>
    </row>
    <row r="1995" spans="8:8" x14ac:dyDescent="0.25">
      <c r="H1995" t="s">
        <v>31</v>
      </c>
    </row>
    <row r="1997" spans="8:8" x14ac:dyDescent="0.25">
      <c r="H1997" t="s">
        <v>2007</v>
      </c>
    </row>
    <row r="1998" spans="8:8" x14ac:dyDescent="0.25">
      <c r="H1998" t="s">
        <v>145</v>
      </c>
    </row>
    <row r="1999" spans="8:8" x14ac:dyDescent="0.25">
      <c r="H1999" t="s">
        <v>2651</v>
      </c>
    </row>
    <row r="2000" spans="8:8" x14ac:dyDescent="0.25">
      <c r="H2000" t="s">
        <v>31</v>
      </c>
    </row>
    <row r="2001" spans="8:8" x14ac:dyDescent="0.25">
      <c r="H2001" t="s">
        <v>146</v>
      </c>
    </row>
    <row r="2002" spans="8:8" x14ac:dyDescent="0.25">
      <c r="H2002" t="s">
        <v>2652</v>
      </c>
    </row>
    <row r="2003" spans="8:8" x14ac:dyDescent="0.25">
      <c r="H2003" t="s">
        <v>31</v>
      </c>
    </row>
    <row r="2004" spans="8:8" x14ac:dyDescent="0.25">
      <c r="H2004" t="s">
        <v>147</v>
      </c>
    </row>
    <row r="2005" spans="8:8" x14ac:dyDescent="0.25">
      <c r="H2005" t="s">
        <v>2653</v>
      </c>
    </row>
    <row r="2006" spans="8:8" x14ac:dyDescent="0.25">
      <c r="H2006" t="s">
        <v>31</v>
      </c>
    </row>
    <row r="2007" spans="8:8" x14ac:dyDescent="0.25">
      <c r="H2007" t="s">
        <v>148</v>
      </c>
    </row>
    <row r="2008" spans="8:8" x14ac:dyDescent="0.25">
      <c r="H2008" t="s">
        <v>2654</v>
      </c>
    </row>
    <row r="2009" spans="8:8" x14ac:dyDescent="0.25">
      <c r="H2009" t="s">
        <v>31</v>
      </c>
    </row>
    <row r="2011" spans="8:8" x14ac:dyDescent="0.25">
      <c r="H2011" t="s">
        <v>2009</v>
      </c>
    </row>
    <row r="2012" spans="8:8" x14ac:dyDescent="0.25">
      <c r="H2012" t="s">
        <v>145</v>
      </c>
    </row>
    <row r="2013" spans="8:8" x14ac:dyDescent="0.25">
      <c r="H2013" t="s">
        <v>2656</v>
      </c>
    </row>
    <row r="2014" spans="8:8" x14ac:dyDescent="0.25">
      <c r="H2014" t="s">
        <v>31</v>
      </c>
    </row>
    <row r="2015" spans="8:8" x14ac:dyDescent="0.25">
      <c r="H2015" t="s">
        <v>146</v>
      </c>
    </row>
    <row r="2016" spans="8:8" x14ac:dyDescent="0.25">
      <c r="H2016" t="s">
        <v>2657</v>
      </c>
    </row>
    <row r="2017" spans="8:8" x14ac:dyDescent="0.25">
      <c r="H2017" t="s">
        <v>31</v>
      </c>
    </row>
    <row r="2018" spans="8:8" x14ac:dyDescent="0.25">
      <c r="H2018" t="s">
        <v>147</v>
      </c>
    </row>
    <row r="2019" spans="8:8" x14ac:dyDescent="0.25">
      <c r="H2019" t="s">
        <v>2658</v>
      </c>
    </row>
    <row r="2020" spans="8:8" x14ac:dyDescent="0.25">
      <c r="H2020" t="s">
        <v>31</v>
      </c>
    </row>
    <row r="2021" spans="8:8" x14ac:dyDescent="0.25">
      <c r="H2021" t="s">
        <v>148</v>
      </c>
    </row>
    <row r="2022" spans="8:8" x14ac:dyDescent="0.25">
      <c r="H2022" t="s">
        <v>2659</v>
      </c>
    </row>
    <row r="2023" spans="8:8" x14ac:dyDescent="0.25">
      <c r="H2023" t="s">
        <v>31</v>
      </c>
    </row>
    <row r="2025" spans="8:8" x14ac:dyDescent="0.25">
      <c r="H2025" t="s">
        <v>2011</v>
      </c>
    </row>
    <row r="2026" spans="8:8" x14ac:dyDescent="0.25">
      <c r="H2026" t="s">
        <v>145</v>
      </c>
    </row>
    <row r="2027" spans="8:8" x14ac:dyDescent="0.25">
      <c r="H2027" t="s">
        <v>2661</v>
      </c>
    </row>
    <row r="2028" spans="8:8" x14ac:dyDescent="0.25">
      <c r="H2028" t="s">
        <v>31</v>
      </c>
    </row>
    <row r="2029" spans="8:8" x14ac:dyDescent="0.25">
      <c r="H2029" t="s">
        <v>146</v>
      </c>
    </row>
    <row r="2030" spans="8:8" x14ac:dyDescent="0.25">
      <c r="H2030" t="s">
        <v>2662</v>
      </c>
    </row>
    <row r="2031" spans="8:8" x14ac:dyDescent="0.25">
      <c r="H2031" t="s">
        <v>31</v>
      </c>
    </row>
    <row r="2032" spans="8:8" x14ac:dyDescent="0.25">
      <c r="H2032" t="s">
        <v>147</v>
      </c>
    </row>
    <row r="2033" spans="8:8" x14ac:dyDescent="0.25">
      <c r="H2033" t="s">
        <v>2663</v>
      </c>
    </row>
    <row r="2034" spans="8:8" x14ac:dyDescent="0.25">
      <c r="H2034" t="s">
        <v>31</v>
      </c>
    </row>
    <row r="2035" spans="8:8" x14ac:dyDescent="0.25">
      <c r="H2035" t="s">
        <v>148</v>
      </c>
    </row>
    <row r="2036" spans="8:8" x14ac:dyDescent="0.25">
      <c r="H2036" t="s">
        <v>2664</v>
      </c>
    </row>
    <row r="2037" spans="8:8" x14ac:dyDescent="0.25">
      <c r="H2037" t="s">
        <v>31</v>
      </c>
    </row>
    <row r="2039" spans="8:8" x14ac:dyDescent="0.25">
      <c r="H2039" t="s">
        <v>2013</v>
      </c>
    </row>
    <row r="2040" spans="8:8" x14ac:dyDescent="0.25">
      <c r="H2040" t="s">
        <v>145</v>
      </c>
    </row>
    <row r="2041" spans="8:8" x14ac:dyDescent="0.25">
      <c r="H2041" t="s">
        <v>2666</v>
      </c>
    </row>
    <row r="2042" spans="8:8" x14ac:dyDescent="0.25">
      <c r="H2042" t="s">
        <v>31</v>
      </c>
    </row>
    <row r="2043" spans="8:8" x14ac:dyDescent="0.25">
      <c r="H2043" t="s">
        <v>146</v>
      </c>
    </row>
    <row r="2044" spans="8:8" x14ac:dyDescent="0.25">
      <c r="H2044" t="s">
        <v>2667</v>
      </c>
    </row>
    <row r="2045" spans="8:8" x14ac:dyDescent="0.25">
      <c r="H2045" t="s">
        <v>31</v>
      </c>
    </row>
    <row r="2046" spans="8:8" x14ac:dyDescent="0.25">
      <c r="H2046" t="s">
        <v>147</v>
      </c>
    </row>
    <row r="2047" spans="8:8" x14ac:dyDescent="0.25">
      <c r="H2047" t="s">
        <v>2668</v>
      </c>
    </row>
    <row r="2048" spans="8:8" x14ac:dyDescent="0.25">
      <c r="H2048" t="s">
        <v>31</v>
      </c>
    </row>
    <row r="2049" spans="8:8" x14ac:dyDescent="0.25">
      <c r="H2049" t="s">
        <v>148</v>
      </c>
    </row>
    <row r="2050" spans="8:8" x14ac:dyDescent="0.25">
      <c r="H2050" t="s">
        <v>2669</v>
      </c>
    </row>
    <row r="2051" spans="8:8" x14ac:dyDescent="0.25">
      <c r="H2051" t="s">
        <v>31</v>
      </c>
    </row>
    <row r="2053" spans="8:8" x14ac:dyDescent="0.25">
      <c r="H2053" t="s">
        <v>2015</v>
      </c>
    </row>
    <row r="2054" spans="8:8" x14ac:dyDescent="0.25">
      <c r="H2054" t="s">
        <v>145</v>
      </c>
    </row>
    <row r="2055" spans="8:8" x14ac:dyDescent="0.25">
      <c r="H2055" t="s">
        <v>2671</v>
      </c>
    </row>
    <row r="2056" spans="8:8" x14ac:dyDescent="0.25">
      <c r="H2056" t="s">
        <v>31</v>
      </c>
    </row>
    <row r="2057" spans="8:8" x14ac:dyDescent="0.25">
      <c r="H2057" t="s">
        <v>146</v>
      </c>
    </row>
    <row r="2058" spans="8:8" x14ac:dyDescent="0.25">
      <c r="H2058" t="s">
        <v>2672</v>
      </c>
    </row>
    <row r="2059" spans="8:8" x14ac:dyDescent="0.25">
      <c r="H2059" t="s">
        <v>31</v>
      </c>
    </row>
    <row r="2060" spans="8:8" x14ac:dyDescent="0.25">
      <c r="H2060" t="s">
        <v>147</v>
      </c>
    </row>
    <row r="2061" spans="8:8" x14ac:dyDescent="0.25">
      <c r="H2061" t="s">
        <v>2673</v>
      </c>
    </row>
    <row r="2062" spans="8:8" x14ac:dyDescent="0.25">
      <c r="H2062" t="s">
        <v>31</v>
      </c>
    </row>
    <row r="2063" spans="8:8" x14ac:dyDescent="0.25">
      <c r="H2063" t="s">
        <v>148</v>
      </c>
    </row>
    <row r="2064" spans="8:8" x14ac:dyDescent="0.25">
      <c r="H2064" t="s">
        <v>2674</v>
      </c>
    </row>
    <row r="2065" spans="8:8" x14ac:dyDescent="0.25">
      <c r="H2065" t="s">
        <v>31</v>
      </c>
    </row>
    <row r="2067" spans="8:8" x14ac:dyDescent="0.25">
      <c r="H2067" t="s">
        <v>2017</v>
      </c>
    </row>
    <row r="2068" spans="8:8" x14ac:dyDescent="0.25">
      <c r="H2068" t="s">
        <v>145</v>
      </c>
    </row>
    <row r="2069" spans="8:8" x14ac:dyDescent="0.25">
      <c r="H2069" t="s">
        <v>2676</v>
      </c>
    </row>
    <row r="2070" spans="8:8" x14ac:dyDescent="0.25">
      <c r="H2070" t="s">
        <v>31</v>
      </c>
    </row>
    <row r="2071" spans="8:8" x14ac:dyDescent="0.25">
      <c r="H2071" t="s">
        <v>146</v>
      </c>
    </row>
    <row r="2072" spans="8:8" x14ac:dyDescent="0.25">
      <c r="H2072" t="s">
        <v>2677</v>
      </c>
    </row>
    <row r="2073" spans="8:8" x14ac:dyDescent="0.25">
      <c r="H2073" t="s">
        <v>31</v>
      </c>
    </row>
    <row r="2074" spans="8:8" x14ac:dyDescent="0.25">
      <c r="H2074" t="s">
        <v>2678</v>
      </c>
    </row>
    <row r="2075" spans="8:8" x14ac:dyDescent="0.25">
      <c r="H2075" t="s">
        <v>147</v>
      </c>
    </row>
    <row r="2076" spans="8:8" x14ac:dyDescent="0.25">
      <c r="H2076" t="s">
        <v>2679</v>
      </c>
    </row>
    <row r="2077" spans="8:8" x14ac:dyDescent="0.25">
      <c r="H2077" t="s">
        <v>31</v>
      </c>
    </row>
    <row r="2079" spans="8:8" x14ac:dyDescent="0.25">
      <c r="H2079" t="s">
        <v>2019</v>
      </c>
    </row>
    <row r="2080" spans="8:8" x14ac:dyDescent="0.25">
      <c r="H2080" t="s">
        <v>145</v>
      </c>
    </row>
    <row r="2081" spans="8:8" x14ac:dyDescent="0.25">
      <c r="H2081" t="s">
        <v>2681</v>
      </c>
    </row>
    <row r="2082" spans="8:8" x14ac:dyDescent="0.25">
      <c r="H2082" t="s">
        <v>31</v>
      </c>
    </row>
    <row r="2084" spans="8:8" x14ac:dyDescent="0.25">
      <c r="H2084" t="s">
        <v>2021</v>
      </c>
    </row>
    <row r="2085" spans="8:8" x14ac:dyDescent="0.25">
      <c r="H2085" t="s">
        <v>145</v>
      </c>
    </row>
    <row r="2086" spans="8:8" x14ac:dyDescent="0.25">
      <c r="H2086" t="s">
        <v>2683</v>
      </c>
    </row>
    <row r="2087" spans="8:8" x14ac:dyDescent="0.25">
      <c r="H2087" t="s">
        <v>31</v>
      </c>
    </row>
    <row r="2089" spans="8:8" x14ac:dyDescent="0.25">
      <c r="H2089" t="s">
        <v>2023</v>
      </c>
    </row>
    <row r="2090" spans="8:8" x14ac:dyDescent="0.25">
      <c r="H2090" t="s">
        <v>145</v>
      </c>
    </row>
    <row r="2091" spans="8:8" x14ac:dyDescent="0.25">
      <c r="H2091" t="s">
        <v>2685</v>
      </c>
    </row>
    <row r="2092" spans="8:8" x14ac:dyDescent="0.25">
      <c r="H2092" t="s">
        <v>31</v>
      </c>
    </row>
    <row r="2094" spans="8:8" x14ac:dyDescent="0.25">
      <c r="H2094" t="s">
        <v>2025</v>
      </c>
    </row>
    <row r="2095" spans="8:8" x14ac:dyDescent="0.25">
      <c r="H2095" t="s">
        <v>145</v>
      </c>
    </row>
    <row r="2096" spans="8:8" x14ac:dyDescent="0.25">
      <c r="H2096" t="s">
        <v>2687</v>
      </c>
    </row>
    <row r="2097" spans="8:8" x14ac:dyDescent="0.25">
      <c r="H2097" t="s">
        <v>31</v>
      </c>
    </row>
    <row r="2099" spans="8:8" x14ac:dyDescent="0.25">
      <c r="H2099" t="s">
        <v>2027</v>
      </c>
    </row>
    <row r="2100" spans="8:8" x14ac:dyDescent="0.25">
      <c r="H2100" t="s">
        <v>145</v>
      </c>
    </row>
    <row r="2101" spans="8:8" x14ac:dyDescent="0.25">
      <c r="H2101" t="s">
        <v>2689</v>
      </c>
    </row>
    <row r="2102" spans="8:8" x14ac:dyDescent="0.25">
      <c r="H2102" t="s">
        <v>31</v>
      </c>
    </row>
    <row r="2104" spans="8:8" x14ac:dyDescent="0.25">
      <c r="H2104" t="s">
        <v>2029</v>
      </c>
    </row>
    <row r="2105" spans="8:8" x14ac:dyDescent="0.25">
      <c r="H2105" t="s">
        <v>145</v>
      </c>
    </row>
    <row r="2106" spans="8:8" x14ac:dyDescent="0.25">
      <c r="H2106" t="s">
        <v>2691</v>
      </c>
    </row>
    <row r="2107" spans="8:8" x14ac:dyDescent="0.25">
      <c r="H2107" t="s">
        <v>31</v>
      </c>
    </row>
    <row r="2109" spans="8:8" x14ac:dyDescent="0.25">
      <c r="H2109" t="s">
        <v>2031</v>
      </c>
    </row>
    <row r="2110" spans="8:8" x14ac:dyDescent="0.25">
      <c r="H2110" t="s">
        <v>145</v>
      </c>
    </row>
    <row r="2111" spans="8:8" x14ac:dyDescent="0.25">
      <c r="H2111" t="s">
        <v>2693</v>
      </c>
    </row>
    <row r="2112" spans="8:8" x14ac:dyDescent="0.25">
      <c r="H2112" t="s">
        <v>31</v>
      </c>
    </row>
    <row r="2114" spans="8:8" x14ac:dyDescent="0.25">
      <c r="H2114" t="s">
        <v>2033</v>
      </c>
    </row>
    <row r="2115" spans="8:8" x14ac:dyDescent="0.25">
      <c r="H2115" t="s">
        <v>145</v>
      </c>
    </row>
    <row r="2116" spans="8:8" x14ac:dyDescent="0.25">
      <c r="H2116" t="s">
        <v>2695</v>
      </c>
    </row>
    <row r="2117" spans="8:8" x14ac:dyDescent="0.25">
      <c r="H2117" t="s">
        <v>31</v>
      </c>
    </row>
    <row r="2119" spans="8:8" x14ac:dyDescent="0.25">
      <c r="H2119" t="s">
        <v>2035</v>
      </c>
    </row>
    <row r="2120" spans="8:8" x14ac:dyDescent="0.25">
      <c r="H2120" t="s">
        <v>145</v>
      </c>
    </row>
    <row r="2121" spans="8:8" x14ac:dyDescent="0.25">
      <c r="H2121" t="s">
        <v>2697</v>
      </c>
    </row>
    <row r="2122" spans="8:8" x14ac:dyDescent="0.25">
      <c r="H2122" t="s">
        <v>31</v>
      </c>
    </row>
    <row r="2124" spans="8:8" x14ac:dyDescent="0.25">
      <c r="H2124" t="s">
        <v>2037</v>
      </c>
    </row>
    <row r="2125" spans="8:8" x14ac:dyDescent="0.25">
      <c r="H2125" t="s">
        <v>145</v>
      </c>
    </row>
    <row r="2126" spans="8:8" x14ac:dyDescent="0.25">
      <c r="H2126" t="s">
        <v>2699</v>
      </c>
    </row>
    <row r="2127" spans="8:8" x14ac:dyDescent="0.25">
      <c r="H2127" t="s">
        <v>31</v>
      </c>
    </row>
    <row r="2129" spans="8:8" x14ac:dyDescent="0.25">
      <c r="H2129" t="s">
        <v>2039</v>
      </c>
    </row>
    <row r="2130" spans="8:8" x14ac:dyDescent="0.25">
      <c r="H2130" t="s">
        <v>145</v>
      </c>
    </row>
    <row r="2131" spans="8:8" x14ac:dyDescent="0.25">
      <c r="H2131" t="s">
        <v>2701</v>
      </c>
    </row>
    <row r="2132" spans="8:8" x14ac:dyDescent="0.25">
      <c r="H2132" t="s">
        <v>31</v>
      </c>
    </row>
    <row r="2134" spans="8:8" x14ac:dyDescent="0.25">
      <c r="H2134" t="s">
        <v>2041</v>
      </c>
    </row>
    <row r="2135" spans="8:8" x14ac:dyDescent="0.25">
      <c r="H2135" t="s">
        <v>145</v>
      </c>
    </row>
    <row r="2136" spans="8:8" x14ac:dyDescent="0.25">
      <c r="H2136" t="s">
        <v>2703</v>
      </c>
    </row>
    <row r="2137" spans="8:8" x14ac:dyDescent="0.25">
      <c r="H2137" t="s">
        <v>31</v>
      </c>
    </row>
    <row r="2138" spans="8:8" x14ac:dyDescent="0.25">
      <c r="H2138" t="s">
        <v>146</v>
      </c>
    </row>
    <row r="2139" spans="8:8" x14ac:dyDescent="0.25">
      <c r="H2139" t="s">
        <v>2704</v>
      </c>
    </row>
    <row r="2140" spans="8:8" x14ac:dyDescent="0.25">
      <c r="H2140" t="s">
        <v>31</v>
      </c>
    </row>
    <row r="2141" spans="8:8" x14ac:dyDescent="0.25">
      <c r="H2141" t="s">
        <v>147</v>
      </c>
    </row>
    <row r="2142" spans="8:8" x14ac:dyDescent="0.25">
      <c r="H2142" t="s">
        <v>2705</v>
      </c>
    </row>
    <row r="2143" spans="8:8" x14ac:dyDescent="0.25">
      <c r="H2143" t="s">
        <v>31</v>
      </c>
    </row>
    <row r="2144" spans="8:8" x14ac:dyDescent="0.25">
      <c r="H2144" t="s">
        <v>148</v>
      </c>
    </row>
    <row r="2145" spans="8:8" x14ac:dyDescent="0.25">
      <c r="H2145" t="s">
        <v>2706</v>
      </c>
    </row>
    <row r="2146" spans="8:8" x14ac:dyDescent="0.25">
      <c r="H2146" t="s">
        <v>31</v>
      </c>
    </row>
    <row r="2148" spans="8:8" x14ac:dyDescent="0.25">
      <c r="H2148" t="s">
        <v>2043</v>
      </c>
    </row>
    <row r="2149" spans="8:8" x14ac:dyDescent="0.25">
      <c r="H2149" t="s">
        <v>145</v>
      </c>
    </row>
    <row r="2150" spans="8:8" x14ac:dyDescent="0.25">
      <c r="H2150" t="s">
        <v>2708</v>
      </c>
    </row>
    <row r="2151" spans="8:8" x14ac:dyDescent="0.25">
      <c r="H2151" t="s">
        <v>31</v>
      </c>
    </row>
    <row r="2153" spans="8:8" x14ac:dyDescent="0.25">
      <c r="H2153" t="s">
        <v>2048</v>
      </c>
    </row>
    <row r="2154" spans="8:8" x14ac:dyDescent="0.25">
      <c r="H2154" t="s">
        <v>145</v>
      </c>
    </row>
    <row r="2155" spans="8:8" x14ac:dyDescent="0.25">
      <c r="H2155" t="s">
        <v>2710</v>
      </c>
    </row>
    <row r="2156" spans="8:8" x14ac:dyDescent="0.25">
      <c r="H2156" t="s">
        <v>31</v>
      </c>
    </row>
    <row r="2158" spans="8:8" x14ac:dyDescent="0.25">
      <c r="H2158" t="s">
        <v>2053</v>
      </c>
    </row>
    <row r="2159" spans="8:8" x14ac:dyDescent="0.25">
      <c r="H2159" t="s">
        <v>145</v>
      </c>
    </row>
    <row r="2160" spans="8:8" x14ac:dyDescent="0.25">
      <c r="H2160" t="s">
        <v>2712</v>
      </c>
    </row>
    <row r="2161" spans="8:8" x14ac:dyDescent="0.25">
      <c r="H2161" t="s">
        <v>31</v>
      </c>
    </row>
    <row r="2163" spans="8:8" x14ac:dyDescent="0.25">
      <c r="H2163" t="s">
        <v>2058</v>
      </c>
    </row>
    <row r="2164" spans="8:8" x14ac:dyDescent="0.25">
      <c r="H2164" t="s">
        <v>145</v>
      </c>
    </row>
    <row r="2165" spans="8:8" x14ac:dyDescent="0.25">
      <c r="H2165" t="s">
        <v>2714</v>
      </c>
    </row>
    <row r="2166" spans="8:8" x14ac:dyDescent="0.25">
      <c r="H2166" t="s">
        <v>31</v>
      </c>
    </row>
    <row r="2168" spans="8:8" x14ac:dyDescent="0.25">
      <c r="H2168" t="s">
        <v>2063</v>
      </c>
    </row>
    <row r="2169" spans="8:8" x14ac:dyDescent="0.25">
      <c r="H2169" t="s">
        <v>145</v>
      </c>
    </row>
    <row r="2170" spans="8:8" x14ac:dyDescent="0.25">
      <c r="H2170" t="s">
        <v>2716</v>
      </c>
    </row>
    <row r="2171" spans="8:8" x14ac:dyDescent="0.25">
      <c r="H2171" t="s">
        <v>31</v>
      </c>
    </row>
    <row r="2173" spans="8:8" x14ac:dyDescent="0.25">
      <c r="H2173" t="s">
        <v>2065</v>
      </c>
    </row>
    <row r="2174" spans="8:8" x14ac:dyDescent="0.25">
      <c r="H2174" t="s">
        <v>145</v>
      </c>
    </row>
    <row r="2175" spans="8:8" x14ac:dyDescent="0.25">
      <c r="H2175" t="s">
        <v>2718</v>
      </c>
    </row>
    <row r="2176" spans="8:8" x14ac:dyDescent="0.25">
      <c r="H2176" t="s">
        <v>31</v>
      </c>
    </row>
    <row r="2178" spans="8:8" x14ac:dyDescent="0.25">
      <c r="H2178" t="s">
        <v>2067</v>
      </c>
    </row>
    <row r="2179" spans="8:8" x14ac:dyDescent="0.25">
      <c r="H2179" t="s">
        <v>145</v>
      </c>
    </row>
    <row r="2180" spans="8:8" x14ac:dyDescent="0.25">
      <c r="H2180" t="s">
        <v>2720</v>
      </c>
    </row>
    <row r="2181" spans="8:8" x14ac:dyDescent="0.25">
      <c r="H2181" t="s">
        <v>31</v>
      </c>
    </row>
    <row r="2183" spans="8:8" x14ac:dyDescent="0.25">
      <c r="H2183" t="s">
        <v>2069</v>
      </c>
    </row>
    <row r="2184" spans="8:8" x14ac:dyDescent="0.25">
      <c r="H2184" t="s">
        <v>145</v>
      </c>
    </row>
    <row r="2185" spans="8:8" x14ac:dyDescent="0.25">
      <c r="H2185" t="s">
        <v>2722</v>
      </c>
    </row>
    <row r="2186" spans="8:8" x14ac:dyDescent="0.25">
      <c r="H2186" t="s">
        <v>31</v>
      </c>
    </row>
    <row r="2188" spans="8:8" x14ac:dyDescent="0.25">
      <c r="H2188" t="s">
        <v>2071</v>
      </c>
    </row>
    <row r="2189" spans="8:8" x14ac:dyDescent="0.25">
      <c r="H2189" t="s">
        <v>145</v>
      </c>
    </row>
    <row r="2190" spans="8:8" x14ac:dyDescent="0.25">
      <c r="H2190" t="s">
        <v>2724</v>
      </c>
    </row>
    <row r="2191" spans="8:8" x14ac:dyDescent="0.25">
      <c r="H2191" t="s">
        <v>31</v>
      </c>
    </row>
    <row r="2193" spans="8:8" x14ac:dyDescent="0.25">
      <c r="H2193" t="s">
        <v>2073</v>
      </c>
    </row>
    <row r="2194" spans="8:8" x14ac:dyDescent="0.25">
      <c r="H2194" t="s">
        <v>145</v>
      </c>
    </row>
    <row r="2195" spans="8:8" x14ac:dyDescent="0.25">
      <c r="H2195" t="s">
        <v>2726</v>
      </c>
    </row>
    <row r="2196" spans="8:8" x14ac:dyDescent="0.25">
      <c r="H2196" t="s">
        <v>31</v>
      </c>
    </row>
    <row r="2198" spans="8:8" x14ac:dyDescent="0.25">
      <c r="H2198" t="s">
        <v>2075</v>
      </c>
    </row>
    <row r="2199" spans="8:8" x14ac:dyDescent="0.25">
      <c r="H2199" t="s">
        <v>145</v>
      </c>
    </row>
    <row r="2200" spans="8:8" x14ac:dyDescent="0.25">
      <c r="H2200" t="s">
        <v>2728</v>
      </c>
    </row>
    <row r="2201" spans="8:8" x14ac:dyDescent="0.25">
      <c r="H2201" t="s">
        <v>31</v>
      </c>
    </row>
    <row r="2203" spans="8:8" x14ac:dyDescent="0.25">
      <c r="H2203" t="s">
        <v>2077</v>
      </c>
    </row>
    <row r="2204" spans="8:8" x14ac:dyDescent="0.25">
      <c r="H2204" t="s">
        <v>145</v>
      </c>
    </row>
    <row r="2205" spans="8:8" x14ac:dyDescent="0.25">
      <c r="H2205" t="s">
        <v>2730</v>
      </c>
    </row>
    <row r="2206" spans="8:8" x14ac:dyDescent="0.25">
      <c r="H2206" t="s">
        <v>31</v>
      </c>
    </row>
    <row r="2208" spans="8:8" x14ac:dyDescent="0.25">
      <c r="H2208" t="s">
        <v>2079</v>
      </c>
    </row>
    <row r="2209" spans="8:8" x14ac:dyDescent="0.25">
      <c r="H2209" t="s">
        <v>145</v>
      </c>
    </row>
    <row r="2210" spans="8:8" x14ac:dyDescent="0.25">
      <c r="H2210" t="s">
        <v>2732</v>
      </c>
    </row>
    <row r="2211" spans="8:8" x14ac:dyDescent="0.25">
      <c r="H2211" t="s">
        <v>31</v>
      </c>
    </row>
    <row r="2213" spans="8:8" x14ac:dyDescent="0.25">
      <c r="H2213" t="s">
        <v>2081</v>
      </c>
    </row>
    <row r="2214" spans="8:8" x14ac:dyDescent="0.25">
      <c r="H2214" t="s">
        <v>145</v>
      </c>
    </row>
    <row r="2215" spans="8:8" x14ac:dyDescent="0.25">
      <c r="H2215" t="s">
        <v>2734</v>
      </c>
    </row>
    <row r="2216" spans="8:8" x14ac:dyDescent="0.25">
      <c r="H2216" t="s">
        <v>31</v>
      </c>
    </row>
    <row r="2218" spans="8:8" x14ac:dyDescent="0.25">
      <c r="H2218" t="s">
        <v>2083</v>
      </c>
    </row>
    <row r="2219" spans="8:8" x14ac:dyDescent="0.25">
      <c r="H2219" t="s">
        <v>145</v>
      </c>
    </row>
    <row r="2220" spans="8:8" x14ac:dyDescent="0.25">
      <c r="H2220" t="s">
        <v>2736</v>
      </c>
    </row>
    <row r="2221" spans="8:8" x14ac:dyDescent="0.25">
      <c r="H2221" t="s">
        <v>31</v>
      </c>
    </row>
    <row r="2223" spans="8:8" x14ac:dyDescent="0.25">
      <c r="H2223" t="s">
        <v>2085</v>
      </c>
    </row>
    <row r="2224" spans="8:8" x14ac:dyDescent="0.25">
      <c r="H2224" t="s">
        <v>145</v>
      </c>
    </row>
    <row r="2225" spans="8:8" x14ac:dyDescent="0.25">
      <c r="H2225" t="s">
        <v>2738</v>
      </c>
    </row>
    <row r="2226" spans="8:8" x14ac:dyDescent="0.25">
      <c r="H2226" t="s">
        <v>31</v>
      </c>
    </row>
    <row r="2228" spans="8:8" x14ac:dyDescent="0.25">
      <c r="H2228" t="s">
        <v>2090</v>
      </c>
    </row>
    <row r="2229" spans="8:8" x14ac:dyDescent="0.25">
      <c r="H2229" t="s">
        <v>145</v>
      </c>
    </row>
    <row r="2230" spans="8:8" x14ac:dyDescent="0.25">
      <c r="H2230" t="s">
        <v>2740</v>
      </c>
    </row>
    <row r="2231" spans="8:8" x14ac:dyDescent="0.25">
      <c r="H2231" t="s">
        <v>31</v>
      </c>
    </row>
    <row r="2233" spans="8:8" x14ac:dyDescent="0.25">
      <c r="H2233" t="s">
        <v>2092</v>
      </c>
    </row>
    <row r="2234" spans="8:8" x14ac:dyDescent="0.25">
      <c r="H2234" t="s">
        <v>145</v>
      </c>
    </row>
    <row r="2235" spans="8:8" x14ac:dyDescent="0.25">
      <c r="H2235" t="s">
        <v>2742</v>
      </c>
    </row>
    <row r="2236" spans="8:8" x14ac:dyDescent="0.25">
      <c r="H2236" t="s">
        <v>31</v>
      </c>
    </row>
    <row r="2238" spans="8:8" x14ac:dyDescent="0.25">
      <c r="H2238" t="s">
        <v>2094</v>
      </c>
    </row>
    <row r="2239" spans="8:8" x14ac:dyDescent="0.25">
      <c r="H2239" t="s">
        <v>145</v>
      </c>
    </row>
    <row r="2240" spans="8:8" x14ac:dyDescent="0.25">
      <c r="H2240" t="s">
        <v>2744</v>
      </c>
    </row>
    <row r="2241" spans="8:8" x14ac:dyDescent="0.25">
      <c r="H2241" t="s">
        <v>31</v>
      </c>
    </row>
    <row r="2243" spans="8:8" x14ac:dyDescent="0.25">
      <c r="H2243" t="s">
        <v>2096</v>
      </c>
    </row>
    <row r="2244" spans="8:8" x14ac:dyDescent="0.25">
      <c r="H2244" t="s">
        <v>145</v>
      </c>
    </row>
    <row r="2245" spans="8:8" x14ac:dyDescent="0.25">
      <c r="H2245" t="s">
        <v>2746</v>
      </c>
    </row>
    <row r="2246" spans="8:8" x14ac:dyDescent="0.25">
      <c r="H2246" t="s">
        <v>31</v>
      </c>
    </row>
    <row r="2248" spans="8:8" x14ac:dyDescent="0.25">
      <c r="H2248" t="s">
        <v>2098</v>
      </c>
    </row>
    <row r="2249" spans="8:8" x14ac:dyDescent="0.25">
      <c r="H2249" t="s">
        <v>145</v>
      </c>
    </row>
    <row r="2250" spans="8:8" x14ac:dyDescent="0.25">
      <c r="H2250" t="s">
        <v>2748</v>
      </c>
    </row>
    <row r="2251" spans="8:8" x14ac:dyDescent="0.25">
      <c r="H2251" t="s">
        <v>31</v>
      </c>
    </row>
    <row r="2253" spans="8:8" x14ac:dyDescent="0.25">
      <c r="H2253" t="s">
        <v>2100</v>
      </c>
    </row>
    <row r="2254" spans="8:8" x14ac:dyDescent="0.25">
      <c r="H2254" t="s">
        <v>145</v>
      </c>
    </row>
    <row r="2255" spans="8:8" x14ac:dyDescent="0.25">
      <c r="H2255" t="s">
        <v>2750</v>
      </c>
    </row>
    <row r="2256" spans="8:8" x14ac:dyDescent="0.25">
      <c r="H2256" t="s">
        <v>31</v>
      </c>
    </row>
    <row r="2257" spans="8:8" x14ac:dyDescent="0.25">
      <c r="H2257" t="s">
        <v>147</v>
      </c>
    </row>
    <row r="2258" spans="8:8" x14ac:dyDescent="0.25">
      <c r="H2258" t="s">
        <v>2751</v>
      </c>
    </row>
    <row r="2259" spans="8:8" x14ac:dyDescent="0.25">
      <c r="H2259" t="s">
        <v>31</v>
      </c>
    </row>
    <row r="2260" spans="8:8" x14ac:dyDescent="0.25">
      <c r="H2260" t="s">
        <v>148</v>
      </c>
    </row>
    <row r="2261" spans="8:8" x14ac:dyDescent="0.25">
      <c r="H2261" t="s">
        <v>2752</v>
      </c>
    </row>
    <row r="2262" spans="8:8" x14ac:dyDescent="0.25">
      <c r="H2262" t="s">
        <v>31</v>
      </c>
    </row>
    <row r="2264" spans="8:8" x14ac:dyDescent="0.25">
      <c r="H2264" t="s">
        <v>2102</v>
      </c>
    </row>
    <row r="2265" spans="8:8" x14ac:dyDescent="0.25">
      <c r="H2265" t="s">
        <v>145</v>
      </c>
    </row>
    <row r="2266" spans="8:8" x14ac:dyDescent="0.25">
      <c r="H2266" t="s">
        <v>2754</v>
      </c>
    </row>
    <row r="2267" spans="8:8" x14ac:dyDescent="0.25">
      <c r="H2267" t="s">
        <v>31</v>
      </c>
    </row>
    <row r="2268" spans="8:8" x14ac:dyDescent="0.25">
      <c r="H2268" t="s">
        <v>146</v>
      </c>
    </row>
    <row r="2269" spans="8:8" x14ac:dyDescent="0.25">
      <c r="H2269" t="s">
        <v>2755</v>
      </c>
    </row>
    <row r="2270" spans="8:8" x14ac:dyDescent="0.25">
      <c r="H2270" t="s">
        <v>31</v>
      </c>
    </row>
    <row r="2271" spans="8:8" x14ac:dyDescent="0.25">
      <c r="H2271" t="s">
        <v>147</v>
      </c>
    </row>
    <row r="2272" spans="8:8" x14ac:dyDescent="0.25">
      <c r="H2272" t="s">
        <v>2756</v>
      </c>
    </row>
    <row r="2273" spans="8:8" x14ac:dyDescent="0.25">
      <c r="H2273" t="s">
        <v>31</v>
      </c>
    </row>
    <row r="2274" spans="8:8" x14ac:dyDescent="0.25">
      <c r="H2274" t="s">
        <v>148</v>
      </c>
    </row>
    <row r="2275" spans="8:8" x14ac:dyDescent="0.25">
      <c r="H2275" t="s">
        <v>2757</v>
      </c>
    </row>
    <row r="2276" spans="8:8" x14ac:dyDescent="0.25">
      <c r="H2276" t="s">
        <v>31</v>
      </c>
    </row>
    <row r="2278" spans="8:8" x14ac:dyDescent="0.25">
      <c r="H2278" t="s">
        <v>2104</v>
      </c>
    </row>
    <row r="2279" spans="8:8" x14ac:dyDescent="0.25">
      <c r="H2279" t="s">
        <v>145</v>
      </c>
    </row>
    <row r="2280" spans="8:8" x14ac:dyDescent="0.25">
      <c r="H2280" t="s">
        <v>2759</v>
      </c>
    </row>
    <row r="2281" spans="8:8" x14ac:dyDescent="0.25">
      <c r="H2281" t="s">
        <v>31</v>
      </c>
    </row>
    <row r="2283" spans="8:8" x14ac:dyDescent="0.25">
      <c r="H2283" t="s">
        <v>2106</v>
      </c>
    </row>
    <row r="2284" spans="8:8" x14ac:dyDescent="0.25">
      <c r="H2284" t="s">
        <v>145</v>
      </c>
    </row>
    <row r="2285" spans="8:8" x14ac:dyDescent="0.25">
      <c r="H2285" t="s">
        <v>2761</v>
      </c>
    </row>
    <row r="2286" spans="8:8" x14ac:dyDescent="0.25">
      <c r="H2286" t="s">
        <v>31</v>
      </c>
    </row>
    <row r="2288" spans="8:8" x14ac:dyDescent="0.25">
      <c r="H2288" t="s">
        <v>2108</v>
      </c>
    </row>
    <row r="2289" spans="8:8" x14ac:dyDescent="0.25">
      <c r="H2289" t="s">
        <v>145</v>
      </c>
    </row>
    <row r="2290" spans="8:8" x14ac:dyDescent="0.25">
      <c r="H2290" t="s">
        <v>2763</v>
      </c>
    </row>
    <row r="2291" spans="8:8" x14ac:dyDescent="0.25">
      <c r="H2291" t="s">
        <v>31</v>
      </c>
    </row>
    <row r="2293" spans="8:8" x14ac:dyDescent="0.25">
      <c r="H2293" t="s">
        <v>2110</v>
      </c>
    </row>
    <row r="2294" spans="8:8" x14ac:dyDescent="0.25">
      <c r="H2294" t="s">
        <v>145</v>
      </c>
    </row>
    <row r="2295" spans="8:8" x14ac:dyDescent="0.25">
      <c r="H2295" t="s">
        <v>2765</v>
      </c>
    </row>
    <row r="2296" spans="8:8" x14ac:dyDescent="0.25">
      <c r="H2296" t="s">
        <v>31</v>
      </c>
    </row>
    <row r="2298" spans="8:8" x14ac:dyDescent="0.25">
      <c r="H2298" t="s">
        <v>2112</v>
      </c>
    </row>
    <row r="2299" spans="8:8" x14ac:dyDescent="0.25">
      <c r="H2299" t="s">
        <v>145</v>
      </c>
    </row>
    <row r="2300" spans="8:8" x14ac:dyDescent="0.25">
      <c r="H2300" t="s">
        <v>2767</v>
      </c>
    </row>
    <row r="2301" spans="8:8" x14ac:dyDescent="0.25">
      <c r="H2301" t="s">
        <v>31</v>
      </c>
    </row>
    <row r="2303" spans="8:8" x14ac:dyDescent="0.25">
      <c r="H2303" t="s">
        <v>2114</v>
      </c>
    </row>
    <row r="2304" spans="8:8" x14ac:dyDescent="0.25">
      <c r="H2304" t="s">
        <v>145</v>
      </c>
    </row>
    <row r="2305" spans="8:8" x14ac:dyDescent="0.25">
      <c r="H2305" t="s">
        <v>2769</v>
      </c>
    </row>
    <row r="2306" spans="8:8" x14ac:dyDescent="0.25">
      <c r="H2306" t="s">
        <v>31</v>
      </c>
    </row>
    <row r="2308" spans="8:8" x14ac:dyDescent="0.25">
      <c r="H2308" t="s">
        <v>2116</v>
      </c>
    </row>
    <row r="2309" spans="8:8" x14ac:dyDescent="0.25">
      <c r="H2309" t="s">
        <v>145</v>
      </c>
    </row>
    <row r="2310" spans="8:8" x14ac:dyDescent="0.25">
      <c r="H2310" t="s">
        <v>2771</v>
      </c>
    </row>
    <row r="2311" spans="8:8" x14ac:dyDescent="0.25">
      <c r="H2311" t="s">
        <v>31</v>
      </c>
    </row>
    <row r="2312" spans="8:8" x14ac:dyDescent="0.25">
      <c r="H2312" t="s">
        <v>146</v>
      </c>
    </row>
    <row r="2313" spans="8:8" x14ac:dyDescent="0.25">
      <c r="H2313" t="s">
        <v>2772</v>
      </c>
    </row>
    <row r="2314" spans="8:8" x14ac:dyDescent="0.25">
      <c r="H2314" t="s">
        <v>31</v>
      </c>
    </row>
    <row r="2315" spans="8:8" x14ac:dyDescent="0.25">
      <c r="H2315" t="s">
        <v>147</v>
      </c>
    </row>
    <row r="2316" spans="8:8" x14ac:dyDescent="0.25">
      <c r="H2316" t="s">
        <v>2773</v>
      </c>
    </row>
    <row r="2317" spans="8:8" x14ac:dyDescent="0.25">
      <c r="H2317" t="s">
        <v>31</v>
      </c>
    </row>
    <row r="2318" spans="8:8" x14ac:dyDescent="0.25">
      <c r="H2318" t="s">
        <v>148</v>
      </c>
    </row>
    <row r="2319" spans="8:8" x14ac:dyDescent="0.25">
      <c r="H2319" t="s">
        <v>2774</v>
      </c>
    </row>
    <row r="2320" spans="8:8" x14ac:dyDescent="0.25">
      <c r="H2320" t="s">
        <v>31</v>
      </c>
    </row>
    <row r="2322" spans="8:8" x14ac:dyDescent="0.25">
      <c r="H2322" t="s">
        <v>2118</v>
      </c>
    </row>
    <row r="2323" spans="8:8" x14ac:dyDescent="0.25">
      <c r="H2323" t="s">
        <v>145</v>
      </c>
    </row>
    <row r="2324" spans="8:8" x14ac:dyDescent="0.25">
      <c r="H2324" t="s">
        <v>2776</v>
      </c>
    </row>
    <row r="2325" spans="8:8" x14ac:dyDescent="0.25">
      <c r="H2325" t="s">
        <v>31</v>
      </c>
    </row>
    <row r="2326" spans="8:8" x14ac:dyDescent="0.25">
      <c r="H2326" t="s">
        <v>146</v>
      </c>
    </row>
    <row r="2327" spans="8:8" x14ac:dyDescent="0.25">
      <c r="H2327" t="s">
        <v>2777</v>
      </c>
    </row>
    <row r="2328" spans="8:8" x14ac:dyDescent="0.25">
      <c r="H2328" t="s">
        <v>31</v>
      </c>
    </row>
    <row r="2329" spans="8:8" x14ac:dyDescent="0.25">
      <c r="H2329" t="s">
        <v>147</v>
      </c>
    </row>
    <row r="2330" spans="8:8" x14ac:dyDescent="0.25">
      <c r="H2330" t="s">
        <v>2778</v>
      </c>
    </row>
    <row r="2331" spans="8:8" x14ac:dyDescent="0.25">
      <c r="H2331" t="s">
        <v>31</v>
      </c>
    </row>
    <row r="2332" spans="8:8" x14ac:dyDescent="0.25">
      <c r="H2332" t="s">
        <v>148</v>
      </c>
    </row>
    <row r="2333" spans="8:8" x14ac:dyDescent="0.25">
      <c r="H2333" t="s">
        <v>2779</v>
      </c>
    </row>
    <row r="2334" spans="8:8" x14ac:dyDescent="0.25">
      <c r="H2334" t="s">
        <v>31</v>
      </c>
    </row>
    <row r="2336" spans="8:8" x14ac:dyDescent="0.25">
      <c r="H2336" t="s">
        <v>2120</v>
      </c>
    </row>
    <row r="2337" spans="8:8" x14ac:dyDescent="0.25">
      <c r="H2337" t="s">
        <v>145</v>
      </c>
    </row>
    <row r="2338" spans="8:8" x14ac:dyDescent="0.25">
      <c r="H2338" t="s">
        <v>2781</v>
      </c>
    </row>
    <row r="2339" spans="8:8" x14ac:dyDescent="0.25">
      <c r="H2339" t="s">
        <v>31</v>
      </c>
    </row>
    <row r="2340" spans="8:8" x14ac:dyDescent="0.25">
      <c r="H2340" t="s">
        <v>146</v>
      </c>
    </row>
    <row r="2341" spans="8:8" x14ac:dyDescent="0.25">
      <c r="H2341" t="s">
        <v>2782</v>
      </c>
    </row>
    <row r="2342" spans="8:8" x14ac:dyDescent="0.25">
      <c r="H2342" t="s">
        <v>31</v>
      </c>
    </row>
    <row r="2343" spans="8:8" x14ac:dyDescent="0.25">
      <c r="H2343" t="s">
        <v>147</v>
      </c>
    </row>
    <row r="2344" spans="8:8" x14ac:dyDescent="0.25">
      <c r="H2344" t="s">
        <v>2783</v>
      </c>
    </row>
    <row r="2345" spans="8:8" x14ac:dyDescent="0.25">
      <c r="H2345" t="s">
        <v>31</v>
      </c>
    </row>
    <row r="2346" spans="8:8" x14ac:dyDescent="0.25">
      <c r="H2346" t="s">
        <v>148</v>
      </c>
    </row>
    <row r="2347" spans="8:8" x14ac:dyDescent="0.25">
      <c r="H2347" t="s">
        <v>2784</v>
      </c>
    </row>
    <row r="2348" spans="8:8" x14ac:dyDescent="0.25">
      <c r="H2348" t="s">
        <v>31</v>
      </c>
    </row>
    <row r="2350" spans="8:8" x14ac:dyDescent="0.25">
      <c r="H2350" t="s">
        <v>2122</v>
      </c>
    </row>
    <row r="2351" spans="8:8" x14ac:dyDescent="0.25">
      <c r="H2351" t="s">
        <v>145</v>
      </c>
    </row>
    <row r="2352" spans="8:8" x14ac:dyDescent="0.25">
      <c r="H2352" t="s">
        <v>2786</v>
      </c>
    </row>
    <row r="2353" spans="8:8" x14ac:dyDescent="0.25">
      <c r="H2353" t="s">
        <v>31</v>
      </c>
    </row>
    <row r="2354" spans="8:8" x14ac:dyDescent="0.25">
      <c r="H2354" t="s">
        <v>146</v>
      </c>
    </row>
    <row r="2355" spans="8:8" x14ac:dyDescent="0.25">
      <c r="H2355" t="s">
        <v>2787</v>
      </c>
    </row>
    <row r="2356" spans="8:8" x14ac:dyDescent="0.25">
      <c r="H2356" t="s">
        <v>31</v>
      </c>
    </row>
    <row r="2357" spans="8:8" x14ac:dyDescent="0.25">
      <c r="H2357" t="s">
        <v>147</v>
      </c>
    </row>
    <row r="2358" spans="8:8" x14ac:dyDescent="0.25">
      <c r="H2358" t="s">
        <v>2788</v>
      </c>
    </row>
    <row r="2359" spans="8:8" x14ac:dyDescent="0.25">
      <c r="H2359" t="s">
        <v>31</v>
      </c>
    </row>
    <row r="2360" spans="8:8" x14ac:dyDescent="0.25">
      <c r="H2360" t="s">
        <v>148</v>
      </c>
    </row>
    <row r="2361" spans="8:8" x14ac:dyDescent="0.25">
      <c r="H2361" t="s">
        <v>2789</v>
      </c>
    </row>
    <row r="2362" spans="8:8" x14ac:dyDescent="0.25">
      <c r="H2362" t="s">
        <v>31</v>
      </c>
    </row>
    <row r="2364" spans="8:8" x14ac:dyDescent="0.25">
      <c r="H2364" t="s">
        <v>2124</v>
      </c>
    </row>
    <row r="2365" spans="8:8" x14ac:dyDescent="0.25">
      <c r="H2365" t="s">
        <v>2791</v>
      </c>
    </row>
    <row r="2366" spans="8:8" x14ac:dyDescent="0.25">
      <c r="H2366" t="s">
        <v>145</v>
      </c>
    </row>
    <row r="2367" spans="8:8" x14ac:dyDescent="0.25">
      <c r="H2367" t="s">
        <v>2792</v>
      </c>
    </row>
    <row r="2368" spans="8:8" x14ac:dyDescent="0.25">
      <c r="H2368" t="s">
        <v>31</v>
      </c>
    </row>
    <row r="2370" spans="8:8" x14ac:dyDescent="0.25">
      <c r="H2370" t="s">
        <v>2126</v>
      </c>
    </row>
    <row r="2371" spans="8:8" x14ac:dyDescent="0.25">
      <c r="H2371" t="s">
        <v>145</v>
      </c>
    </row>
    <row r="2372" spans="8:8" x14ac:dyDescent="0.25">
      <c r="H2372" t="s">
        <v>2794</v>
      </c>
    </row>
    <row r="2373" spans="8:8" x14ac:dyDescent="0.25">
      <c r="H2373" t="s">
        <v>31</v>
      </c>
    </row>
    <row r="2375" spans="8:8" x14ac:dyDescent="0.25">
      <c r="H2375" t="s">
        <v>2128</v>
      </c>
    </row>
    <row r="2376" spans="8:8" x14ac:dyDescent="0.25">
      <c r="H2376" t="s">
        <v>145</v>
      </c>
    </row>
    <row r="2377" spans="8:8" x14ac:dyDescent="0.25">
      <c r="H2377" t="s">
        <v>2796</v>
      </c>
    </row>
    <row r="2378" spans="8:8" x14ac:dyDescent="0.25">
      <c r="H2378" t="s">
        <v>31</v>
      </c>
    </row>
    <row r="2380" spans="8:8" x14ac:dyDescent="0.25">
      <c r="H2380" t="s">
        <v>2130</v>
      </c>
    </row>
    <row r="2381" spans="8:8" x14ac:dyDescent="0.25">
      <c r="H2381" t="s">
        <v>145</v>
      </c>
    </row>
    <row r="2382" spans="8:8" x14ac:dyDescent="0.25">
      <c r="H2382" t="s">
        <v>2798</v>
      </c>
    </row>
    <row r="2383" spans="8:8" x14ac:dyDescent="0.25">
      <c r="H2383" t="s">
        <v>31</v>
      </c>
    </row>
    <row r="2385" spans="8:8" x14ac:dyDescent="0.25">
      <c r="H2385" t="s">
        <v>2132</v>
      </c>
    </row>
    <row r="2386" spans="8:8" x14ac:dyDescent="0.25">
      <c r="H2386" t="s">
        <v>145</v>
      </c>
    </row>
    <row r="2387" spans="8:8" x14ac:dyDescent="0.25">
      <c r="H2387" t="s">
        <v>2800</v>
      </c>
    </row>
    <row r="2388" spans="8:8" x14ac:dyDescent="0.25">
      <c r="H2388" t="s">
        <v>31</v>
      </c>
    </row>
    <row r="2390" spans="8:8" x14ac:dyDescent="0.25">
      <c r="H2390" t="s">
        <v>2136</v>
      </c>
    </row>
    <row r="2391" spans="8:8" x14ac:dyDescent="0.25">
      <c r="H2391" t="s">
        <v>145</v>
      </c>
    </row>
    <row r="2392" spans="8:8" x14ac:dyDescent="0.25">
      <c r="H2392" t="s">
        <v>2802</v>
      </c>
    </row>
    <row r="2393" spans="8:8" x14ac:dyDescent="0.25">
      <c r="H2393" t="s">
        <v>31</v>
      </c>
    </row>
    <row r="2395" spans="8:8" x14ac:dyDescent="0.25">
      <c r="H2395" t="s">
        <v>2141</v>
      </c>
    </row>
    <row r="2396" spans="8:8" x14ac:dyDescent="0.25">
      <c r="H2396" t="s">
        <v>145</v>
      </c>
    </row>
    <row r="2397" spans="8:8" x14ac:dyDescent="0.25">
      <c r="H2397" t="s">
        <v>2804</v>
      </c>
    </row>
    <row r="2398" spans="8:8" x14ac:dyDescent="0.25">
      <c r="H2398" t="s">
        <v>31</v>
      </c>
    </row>
    <row r="2400" spans="8:8" x14ac:dyDescent="0.25">
      <c r="H2400" t="s">
        <v>2143</v>
      </c>
    </row>
    <row r="2401" spans="8:8" x14ac:dyDescent="0.25">
      <c r="H2401" t="s">
        <v>145</v>
      </c>
    </row>
    <row r="2402" spans="8:8" x14ac:dyDescent="0.25">
      <c r="H2402" t="s">
        <v>2806</v>
      </c>
    </row>
    <row r="2403" spans="8:8" x14ac:dyDescent="0.25">
      <c r="H2403" t="s">
        <v>31</v>
      </c>
    </row>
    <row r="2405" spans="8:8" x14ac:dyDescent="0.25">
      <c r="H2405" t="s">
        <v>2145</v>
      </c>
    </row>
    <row r="2406" spans="8:8" x14ac:dyDescent="0.25">
      <c r="H2406" t="s">
        <v>145</v>
      </c>
    </row>
    <row r="2407" spans="8:8" x14ac:dyDescent="0.25">
      <c r="H2407" t="s">
        <v>2808</v>
      </c>
    </row>
    <row r="2408" spans="8:8" x14ac:dyDescent="0.25">
      <c r="H2408" t="s">
        <v>31</v>
      </c>
    </row>
    <row r="2410" spans="8:8" x14ac:dyDescent="0.25">
      <c r="H2410" t="s">
        <v>2147</v>
      </c>
    </row>
    <row r="2411" spans="8:8" x14ac:dyDescent="0.25">
      <c r="H2411" t="s">
        <v>145</v>
      </c>
    </row>
    <row r="2412" spans="8:8" x14ac:dyDescent="0.25">
      <c r="H2412" t="s">
        <v>2810</v>
      </c>
    </row>
    <row r="2413" spans="8:8" x14ac:dyDescent="0.25">
      <c r="H2413" t="s">
        <v>31</v>
      </c>
    </row>
    <row r="2415" spans="8:8" x14ac:dyDescent="0.25">
      <c r="H2415" t="s">
        <v>2149</v>
      </c>
    </row>
    <row r="2416" spans="8:8" x14ac:dyDescent="0.25">
      <c r="H2416" t="s">
        <v>145</v>
      </c>
    </row>
    <row r="2417" spans="8:8" x14ac:dyDescent="0.25">
      <c r="H2417" t="s">
        <v>2812</v>
      </c>
    </row>
    <row r="2418" spans="8:8" x14ac:dyDescent="0.25">
      <c r="H2418" t="s">
        <v>31</v>
      </c>
    </row>
    <row r="2420" spans="8:8" x14ac:dyDescent="0.25">
      <c r="H2420" t="s">
        <v>2151</v>
      </c>
    </row>
    <row r="2421" spans="8:8" x14ac:dyDescent="0.25">
      <c r="H2421" t="s">
        <v>145</v>
      </c>
    </row>
    <row r="2422" spans="8:8" x14ac:dyDescent="0.25">
      <c r="H2422" t="s">
        <v>2814</v>
      </c>
    </row>
    <row r="2423" spans="8:8" x14ac:dyDescent="0.25">
      <c r="H2423" t="s">
        <v>31</v>
      </c>
    </row>
    <row r="2425" spans="8:8" x14ac:dyDescent="0.25">
      <c r="H2425" t="s">
        <v>2153</v>
      </c>
    </row>
    <row r="2426" spans="8:8" x14ac:dyDescent="0.25">
      <c r="H2426" t="s">
        <v>145</v>
      </c>
    </row>
    <row r="2427" spans="8:8" x14ac:dyDescent="0.25">
      <c r="H2427" t="s">
        <v>2816</v>
      </c>
    </row>
    <row r="2428" spans="8:8" x14ac:dyDescent="0.25">
      <c r="H2428" t="s">
        <v>31</v>
      </c>
    </row>
    <row r="2430" spans="8:8" x14ac:dyDescent="0.25">
      <c r="H2430" t="s">
        <v>2158</v>
      </c>
    </row>
    <row r="2431" spans="8:8" x14ac:dyDescent="0.25">
      <c r="H2431" t="s">
        <v>145</v>
      </c>
    </row>
    <row r="2432" spans="8:8" x14ac:dyDescent="0.25">
      <c r="H2432" t="s">
        <v>2818</v>
      </c>
    </row>
    <row r="2433" spans="8:8" x14ac:dyDescent="0.25">
      <c r="H2433" t="s">
        <v>31</v>
      </c>
    </row>
    <row r="2435" spans="8:8" x14ac:dyDescent="0.25">
      <c r="H2435" t="s">
        <v>2163</v>
      </c>
    </row>
    <row r="2436" spans="8:8" x14ac:dyDescent="0.25">
      <c r="H2436" t="s">
        <v>145</v>
      </c>
    </row>
    <row r="2437" spans="8:8" x14ac:dyDescent="0.25">
      <c r="H2437" t="s">
        <v>2820</v>
      </c>
    </row>
    <row r="2438" spans="8:8" x14ac:dyDescent="0.25">
      <c r="H2438" t="s">
        <v>31</v>
      </c>
    </row>
    <row r="2440" spans="8:8" x14ac:dyDescent="0.25">
      <c r="H2440" t="s">
        <v>2168</v>
      </c>
    </row>
    <row r="2441" spans="8:8" x14ac:dyDescent="0.25">
      <c r="H2441" t="s">
        <v>145</v>
      </c>
    </row>
    <row r="2442" spans="8:8" x14ac:dyDescent="0.25">
      <c r="H2442" t="s">
        <v>2822</v>
      </c>
    </row>
    <row r="2443" spans="8:8" x14ac:dyDescent="0.25">
      <c r="H2443" t="s">
        <v>31</v>
      </c>
    </row>
    <row r="2445" spans="8:8" x14ac:dyDescent="0.25">
      <c r="H2445" t="s">
        <v>2173</v>
      </c>
    </row>
    <row r="2446" spans="8:8" x14ac:dyDescent="0.25">
      <c r="H2446" t="s">
        <v>145</v>
      </c>
    </row>
    <row r="2447" spans="8:8" x14ac:dyDescent="0.25">
      <c r="H2447" t="s">
        <v>2824</v>
      </c>
    </row>
    <row r="2448" spans="8:8" x14ac:dyDescent="0.25">
      <c r="H2448" t="s">
        <v>31</v>
      </c>
    </row>
    <row r="2450" spans="8:8" x14ac:dyDescent="0.25">
      <c r="H2450" t="s">
        <v>2176</v>
      </c>
    </row>
    <row r="2451" spans="8:8" x14ac:dyDescent="0.25">
      <c r="H2451" t="s">
        <v>145</v>
      </c>
    </row>
    <row r="2452" spans="8:8" x14ac:dyDescent="0.25">
      <c r="H2452" t="s">
        <v>2826</v>
      </c>
    </row>
    <row r="2453" spans="8:8" x14ac:dyDescent="0.25">
      <c r="H2453" t="s">
        <v>31</v>
      </c>
    </row>
    <row r="2455" spans="8:8" x14ac:dyDescent="0.25">
      <c r="H2455" t="s">
        <v>2178</v>
      </c>
    </row>
    <row r="2456" spans="8:8" x14ac:dyDescent="0.25">
      <c r="H2456" t="s">
        <v>145</v>
      </c>
    </row>
    <row r="2457" spans="8:8" x14ac:dyDescent="0.25">
      <c r="H2457" t="s">
        <v>2828</v>
      </c>
    </row>
    <row r="2458" spans="8:8" x14ac:dyDescent="0.25">
      <c r="H2458" t="s">
        <v>31</v>
      </c>
    </row>
    <row r="2460" spans="8:8" x14ac:dyDescent="0.25">
      <c r="H2460" t="s">
        <v>2180</v>
      </c>
    </row>
    <row r="2461" spans="8:8" x14ac:dyDescent="0.25">
      <c r="H2461" t="s">
        <v>145</v>
      </c>
    </row>
    <row r="2462" spans="8:8" x14ac:dyDescent="0.25">
      <c r="H2462" t="s">
        <v>2830</v>
      </c>
    </row>
    <row r="2463" spans="8:8" x14ac:dyDescent="0.25">
      <c r="H2463" t="s">
        <v>31</v>
      </c>
    </row>
    <row r="2465" spans="8:8" x14ac:dyDescent="0.25">
      <c r="H2465" t="s">
        <v>2182</v>
      </c>
    </row>
    <row r="2466" spans="8:8" x14ac:dyDescent="0.25">
      <c r="H2466" t="s">
        <v>145</v>
      </c>
    </row>
    <row r="2467" spans="8:8" x14ac:dyDescent="0.25">
      <c r="H2467" t="s">
        <v>2832</v>
      </c>
    </row>
    <row r="2468" spans="8:8" x14ac:dyDescent="0.25">
      <c r="H2468" t="s">
        <v>31</v>
      </c>
    </row>
    <row r="2470" spans="8:8" x14ac:dyDescent="0.25">
      <c r="H2470" t="s">
        <v>2184</v>
      </c>
    </row>
    <row r="2471" spans="8:8" x14ac:dyDescent="0.25">
      <c r="H2471" t="s">
        <v>145</v>
      </c>
    </row>
    <row r="2472" spans="8:8" x14ac:dyDescent="0.25">
      <c r="H2472" t="s">
        <v>2834</v>
      </c>
    </row>
    <row r="2473" spans="8:8" x14ac:dyDescent="0.25">
      <c r="H2473" t="s">
        <v>31</v>
      </c>
    </row>
    <row r="2475" spans="8:8" x14ac:dyDescent="0.25">
      <c r="H2475" t="s">
        <v>2186</v>
      </c>
    </row>
    <row r="2476" spans="8:8" x14ac:dyDescent="0.25">
      <c r="H2476" t="s">
        <v>145</v>
      </c>
    </row>
    <row r="2477" spans="8:8" x14ac:dyDescent="0.25">
      <c r="H2477" t="s">
        <v>2836</v>
      </c>
    </row>
    <row r="2478" spans="8:8" x14ac:dyDescent="0.25">
      <c r="H2478" t="s">
        <v>31</v>
      </c>
    </row>
    <row r="2480" spans="8:8" x14ac:dyDescent="0.25">
      <c r="H2480" t="s">
        <v>2188</v>
      </c>
    </row>
    <row r="2481" spans="8:8" x14ac:dyDescent="0.25">
      <c r="H2481" t="s">
        <v>145</v>
      </c>
    </row>
    <row r="2482" spans="8:8" x14ac:dyDescent="0.25">
      <c r="H2482" t="s">
        <v>2838</v>
      </c>
    </row>
    <row r="2483" spans="8:8" x14ac:dyDescent="0.25">
      <c r="H2483" t="s">
        <v>31</v>
      </c>
    </row>
    <row r="2485" spans="8:8" x14ac:dyDescent="0.25">
      <c r="H2485" t="s">
        <v>2190</v>
      </c>
    </row>
    <row r="2486" spans="8:8" x14ac:dyDescent="0.25">
      <c r="H2486" t="s">
        <v>145</v>
      </c>
    </row>
    <row r="2487" spans="8:8" x14ac:dyDescent="0.25">
      <c r="H2487" t="s">
        <v>2840</v>
      </c>
    </row>
    <row r="2488" spans="8:8" x14ac:dyDescent="0.25">
      <c r="H2488" t="s">
        <v>31</v>
      </c>
    </row>
    <row r="2490" spans="8:8" x14ac:dyDescent="0.25">
      <c r="H2490" t="s">
        <v>2192</v>
      </c>
    </row>
    <row r="2491" spans="8:8" x14ac:dyDescent="0.25">
      <c r="H2491" t="s">
        <v>145</v>
      </c>
    </row>
    <row r="2492" spans="8:8" x14ac:dyDescent="0.25">
      <c r="H2492" t="s">
        <v>2842</v>
      </c>
    </row>
    <row r="2493" spans="8:8" x14ac:dyDescent="0.25">
      <c r="H2493" t="s">
        <v>31</v>
      </c>
    </row>
    <row r="2495" spans="8:8" x14ac:dyDescent="0.25">
      <c r="H2495" t="s">
        <v>2194</v>
      </c>
    </row>
    <row r="2496" spans="8:8" x14ac:dyDescent="0.25">
      <c r="H2496" t="s">
        <v>145</v>
      </c>
    </row>
    <row r="2497" spans="8:8" x14ac:dyDescent="0.25">
      <c r="H2497" t="s">
        <v>2844</v>
      </c>
    </row>
    <row r="2498" spans="8:8" x14ac:dyDescent="0.25">
      <c r="H2498" t="s">
        <v>31</v>
      </c>
    </row>
    <row r="2500" spans="8:8" x14ac:dyDescent="0.25">
      <c r="H2500" t="s">
        <v>2196</v>
      </c>
    </row>
    <row r="2501" spans="8:8" x14ac:dyDescent="0.25">
      <c r="H2501" t="s">
        <v>145</v>
      </c>
    </row>
    <row r="2502" spans="8:8" x14ac:dyDescent="0.25">
      <c r="H2502" t="s">
        <v>2846</v>
      </c>
    </row>
    <row r="2503" spans="8:8" x14ac:dyDescent="0.25">
      <c r="H2503" t="s">
        <v>31</v>
      </c>
    </row>
    <row r="2505" spans="8:8" x14ac:dyDescent="0.25">
      <c r="H2505" t="s">
        <v>2198</v>
      </c>
    </row>
    <row r="2506" spans="8:8" x14ac:dyDescent="0.25">
      <c r="H2506" t="s">
        <v>145</v>
      </c>
    </row>
    <row r="2507" spans="8:8" x14ac:dyDescent="0.25">
      <c r="H2507" t="s">
        <v>2848</v>
      </c>
    </row>
    <row r="2508" spans="8:8" x14ac:dyDescent="0.25">
      <c r="H2508" t="s">
        <v>31</v>
      </c>
    </row>
    <row r="2510" spans="8:8" x14ac:dyDescent="0.25">
      <c r="H2510" t="s">
        <v>2200</v>
      </c>
    </row>
    <row r="2511" spans="8:8" x14ac:dyDescent="0.25">
      <c r="H2511" t="s">
        <v>145</v>
      </c>
    </row>
    <row r="2512" spans="8:8" x14ac:dyDescent="0.25">
      <c r="H2512" t="s">
        <v>2850</v>
      </c>
    </row>
    <row r="2513" spans="8:8" x14ac:dyDescent="0.25">
      <c r="H2513" t="s">
        <v>31</v>
      </c>
    </row>
    <row r="2515" spans="8:8" x14ac:dyDescent="0.25">
      <c r="H2515" t="s">
        <v>2202</v>
      </c>
    </row>
    <row r="2516" spans="8:8" x14ac:dyDescent="0.25">
      <c r="H2516" t="s">
        <v>145</v>
      </c>
    </row>
    <row r="2517" spans="8:8" x14ac:dyDescent="0.25">
      <c r="H2517" t="s">
        <v>2852</v>
      </c>
    </row>
    <row r="2518" spans="8:8" x14ac:dyDescent="0.25">
      <c r="H2518" t="s">
        <v>31</v>
      </c>
    </row>
    <row r="2520" spans="8:8" x14ac:dyDescent="0.25">
      <c r="H2520" t="s">
        <v>2204</v>
      </c>
    </row>
    <row r="2521" spans="8:8" x14ac:dyDescent="0.25">
      <c r="H2521" t="s">
        <v>145</v>
      </c>
    </row>
    <row r="2522" spans="8:8" x14ac:dyDescent="0.25">
      <c r="H2522" t="s">
        <v>2854</v>
      </c>
    </row>
    <row r="2523" spans="8:8" x14ac:dyDescent="0.25">
      <c r="H2523" t="s">
        <v>31</v>
      </c>
    </row>
    <row r="2525" spans="8:8" x14ac:dyDescent="0.25">
      <c r="H2525" t="s">
        <v>2206</v>
      </c>
    </row>
    <row r="2526" spans="8:8" x14ac:dyDescent="0.25">
      <c r="H2526" t="s">
        <v>145</v>
      </c>
    </row>
    <row r="2527" spans="8:8" x14ac:dyDescent="0.25">
      <c r="H2527" t="s">
        <v>2856</v>
      </c>
    </row>
    <row r="2528" spans="8:8" x14ac:dyDescent="0.25">
      <c r="H2528" t="s">
        <v>31</v>
      </c>
    </row>
    <row r="2530" spans="8:8" x14ac:dyDescent="0.25">
      <c r="H2530" t="s">
        <v>2208</v>
      </c>
    </row>
    <row r="2531" spans="8:8" x14ac:dyDescent="0.25">
      <c r="H2531" t="s">
        <v>145</v>
      </c>
    </row>
    <row r="2532" spans="8:8" x14ac:dyDescent="0.25">
      <c r="H2532" t="s">
        <v>2858</v>
      </c>
    </row>
    <row r="2533" spans="8:8" x14ac:dyDescent="0.25">
      <c r="H2533" t="s">
        <v>31</v>
      </c>
    </row>
    <row r="2535" spans="8:8" x14ac:dyDescent="0.25">
      <c r="H2535" t="s">
        <v>2210</v>
      </c>
    </row>
    <row r="2536" spans="8:8" x14ac:dyDescent="0.25">
      <c r="H2536" t="s">
        <v>145</v>
      </c>
    </row>
    <row r="2537" spans="8:8" x14ac:dyDescent="0.25">
      <c r="H2537" t="s">
        <v>2860</v>
      </c>
    </row>
    <row r="2538" spans="8:8" x14ac:dyDescent="0.25">
      <c r="H2538" t="s">
        <v>31</v>
      </c>
    </row>
    <row r="2540" spans="8:8" x14ac:dyDescent="0.25">
      <c r="H2540" t="s">
        <v>2212</v>
      </c>
    </row>
    <row r="2541" spans="8:8" x14ac:dyDescent="0.25">
      <c r="H2541" t="s">
        <v>145</v>
      </c>
    </row>
    <row r="2542" spans="8:8" x14ac:dyDescent="0.25">
      <c r="H2542" t="s">
        <v>2862</v>
      </c>
    </row>
    <row r="2543" spans="8:8" x14ac:dyDescent="0.25">
      <c r="H2543" t="s">
        <v>31</v>
      </c>
    </row>
    <row r="2545" spans="8:8" x14ac:dyDescent="0.25">
      <c r="H2545" t="s">
        <v>2214</v>
      </c>
    </row>
    <row r="2546" spans="8:8" x14ac:dyDescent="0.25">
      <c r="H2546" t="s">
        <v>145</v>
      </c>
    </row>
    <row r="2547" spans="8:8" x14ac:dyDescent="0.25">
      <c r="H2547" t="s">
        <v>2864</v>
      </c>
    </row>
    <row r="2548" spans="8:8" x14ac:dyDescent="0.25">
      <c r="H2548" t="s">
        <v>31</v>
      </c>
    </row>
    <row r="2550" spans="8:8" x14ac:dyDescent="0.25">
      <c r="H2550" t="s">
        <v>2216</v>
      </c>
    </row>
    <row r="2551" spans="8:8" x14ac:dyDescent="0.25">
      <c r="H2551" t="s">
        <v>145</v>
      </c>
    </row>
    <row r="2552" spans="8:8" x14ac:dyDescent="0.25">
      <c r="H2552" t="s">
        <v>2866</v>
      </c>
    </row>
    <row r="2553" spans="8:8" x14ac:dyDescent="0.25">
      <c r="H2553" t="s">
        <v>31</v>
      </c>
    </row>
    <row r="2555" spans="8:8" x14ac:dyDescent="0.25">
      <c r="H2555" t="s">
        <v>2218</v>
      </c>
    </row>
    <row r="2556" spans="8:8" x14ac:dyDescent="0.25">
      <c r="H2556" t="s">
        <v>145</v>
      </c>
    </row>
    <row r="2557" spans="8:8" x14ac:dyDescent="0.25">
      <c r="H2557" t="s">
        <v>2868</v>
      </c>
    </row>
    <row r="2558" spans="8:8" x14ac:dyDescent="0.25">
      <c r="H2558" t="s">
        <v>31</v>
      </c>
    </row>
    <row r="2560" spans="8:8" x14ac:dyDescent="0.25">
      <c r="H2560" t="s">
        <v>2220</v>
      </c>
    </row>
    <row r="2561" spans="8:8" x14ac:dyDescent="0.25">
      <c r="H2561" t="s">
        <v>145</v>
      </c>
    </row>
    <row r="2562" spans="8:8" x14ac:dyDescent="0.25">
      <c r="H2562" t="s">
        <v>2870</v>
      </c>
    </row>
    <row r="2563" spans="8:8" x14ac:dyDescent="0.25">
      <c r="H2563" t="s">
        <v>31</v>
      </c>
    </row>
    <row r="2565" spans="8:8" x14ac:dyDescent="0.25">
      <c r="H2565" t="s">
        <v>2222</v>
      </c>
    </row>
    <row r="2566" spans="8:8" x14ac:dyDescent="0.25">
      <c r="H2566" t="s">
        <v>145</v>
      </c>
    </row>
    <row r="2567" spans="8:8" x14ac:dyDescent="0.25">
      <c r="H2567" t="s">
        <v>2872</v>
      </c>
    </row>
    <row r="2568" spans="8:8" x14ac:dyDescent="0.25">
      <c r="H2568" t="s">
        <v>31</v>
      </c>
    </row>
    <row r="2570" spans="8:8" x14ac:dyDescent="0.25">
      <c r="H2570" t="s">
        <v>2224</v>
      </c>
    </row>
    <row r="2571" spans="8:8" x14ac:dyDescent="0.25">
      <c r="H2571" t="s">
        <v>145</v>
      </c>
    </row>
    <row r="2572" spans="8:8" x14ac:dyDescent="0.25">
      <c r="H2572" t="s">
        <v>2874</v>
      </c>
    </row>
    <row r="2573" spans="8:8" x14ac:dyDescent="0.25">
      <c r="H2573" t="s">
        <v>31</v>
      </c>
    </row>
    <row r="2575" spans="8:8" x14ac:dyDescent="0.25">
      <c r="H2575" t="s">
        <v>2226</v>
      </c>
    </row>
    <row r="2576" spans="8:8" x14ac:dyDescent="0.25">
      <c r="H2576" t="s">
        <v>145</v>
      </c>
    </row>
    <row r="2577" spans="8:8" x14ac:dyDescent="0.25">
      <c r="H2577" t="s">
        <v>2876</v>
      </c>
    </row>
    <row r="2578" spans="8:8" x14ac:dyDescent="0.25">
      <c r="H2578" t="s">
        <v>31</v>
      </c>
    </row>
    <row r="2580" spans="8:8" x14ac:dyDescent="0.25">
      <c r="H2580" t="s">
        <v>2228</v>
      </c>
    </row>
    <row r="2581" spans="8:8" x14ac:dyDescent="0.25">
      <c r="H2581" t="s">
        <v>145</v>
      </c>
    </row>
    <row r="2582" spans="8:8" x14ac:dyDescent="0.25">
      <c r="H2582" t="s">
        <v>2878</v>
      </c>
    </row>
    <row r="2583" spans="8:8" x14ac:dyDescent="0.25">
      <c r="H2583" t="s">
        <v>31</v>
      </c>
    </row>
    <row r="2585" spans="8:8" x14ac:dyDescent="0.25">
      <c r="H2585" t="s">
        <v>2230</v>
      </c>
    </row>
    <row r="2586" spans="8:8" x14ac:dyDescent="0.25">
      <c r="H2586" t="s">
        <v>145</v>
      </c>
    </row>
    <row r="2587" spans="8:8" x14ac:dyDescent="0.25">
      <c r="H2587" t="s">
        <v>2880</v>
      </c>
    </row>
    <row r="2588" spans="8:8" x14ac:dyDescent="0.25">
      <c r="H2588" t="s">
        <v>31</v>
      </c>
    </row>
    <row r="2590" spans="8:8" x14ac:dyDescent="0.25">
      <c r="H2590" t="s">
        <v>2232</v>
      </c>
    </row>
    <row r="2591" spans="8:8" x14ac:dyDescent="0.25">
      <c r="H2591" t="s">
        <v>145</v>
      </c>
    </row>
    <row r="2592" spans="8:8" x14ac:dyDescent="0.25">
      <c r="H2592" t="s">
        <v>2882</v>
      </c>
    </row>
    <row r="2593" spans="8:8" x14ac:dyDescent="0.25">
      <c r="H2593" t="s">
        <v>31</v>
      </c>
    </row>
    <row r="2595" spans="8:8" x14ac:dyDescent="0.25">
      <c r="H2595" t="s">
        <v>2234</v>
      </c>
    </row>
    <row r="2596" spans="8:8" x14ac:dyDescent="0.25">
      <c r="H2596" t="s">
        <v>145</v>
      </c>
    </row>
    <row r="2597" spans="8:8" x14ac:dyDescent="0.25">
      <c r="H2597" t="s">
        <v>2884</v>
      </c>
    </row>
    <row r="2598" spans="8:8" x14ac:dyDescent="0.25">
      <c r="H2598" t="s">
        <v>31</v>
      </c>
    </row>
    <row r="2600" spans="8:8" x14ac:dyDescent="0.25">
      <c r="H2600" t="s">
        <v>2236</v>
      </c>
    </row>
    <row r="2601" spans="8:8" x14ac:dyDescent="0.25">
      <c r="H2601" t="s">
        <v>145</v>
      </c>
    </row>
    <row r="2602" spans="8:8" x14ac:dyDescent="0.25">
      <c r="H2602" t="s">
        <v>2886</v>
      </c>
    </row>
    <row r="2603" spans="8:8" x14ac:dyDescent="0.25">
      <c r="H2603" t="s">
        <v>31</v>
      </c>
    </row>
    <row r="2605" spans="8:8" x14ac:dyDescent="0.25">
      <c r="H2605" t="s">
        <v>2238</v>
      </c>
    </row>
    <row r="2606" spans="8:8" x14ac:dyDescent="0.25">
      <c r="H2606" t="s">
        <v>145</v>
      </c>
    </row>
    <row r="2607" spans="8:8" x14ac:dyDescent="0.25">
      <c r="H2607" t="s">
        <v>2888</v>
      </c>
    </row>
    <row r="2608" spans="8:8" x14ac:dyDescent="0.25">
      <c r="H2608" t="s">
        <v>31</v>
      </c>
    </row>
    <row r="2610" spans="8:8" x14ac:dyDescent="0.25">
      <c r="H2610" t="s">
        <v>2240</v>
      </c>
    </row>
    <row r="2611" spans="8:8" x14ac:dyDescent="0.25">
      <c r="H2611" t="s">
        <v>145</v>
      </c>
    </row>
    <row r="2612" spans="8:8" x14ac:dyDescent="0.25">
      <c r="H2612" t="s">
        <v>2890</v>
      </c>
    </row>
    <row r="2613" spans="8:8" x14ac:dyDescent="0.25">
      <c r="H2613" t="s">
        <v>31</v>
      </c>
    </row>
    <row r="2615" spans="8:8" x14ac:dyDescent="0.25">
      <c r="H2615" t="s">
        <v>2242</v>
      </c>
    </row>
    <row r="2616" spans="8:8" x14ac:dyDescent="0.25">
      <c r="H2616" t="s">
        <v>145</v>
      </c>
    </row>
    <row r="2617" spans="8:8" x14ac:dyDescent="0.25">
      <c r="H2617" t="s">
        <v>2892</v>
      </c>
    </row>
    <row r="2618" spans="8:8" x14ac:dyDescent="0.25">
      <c r="H2618" t="s">
        <v>31</v>
      </c>
    </row>
    <row r="2620" spans="8:8" x14ac:dyDescent="0.25">
      <c r="H2620" t="s">
        <v>2244</v>
      </c>
    </row>
    <row r="2621" spans="8:8" x14ac:dyDescent="0.25">
      <c r="H2621" t="s">
        <v>145</v>
      </c>
    </row>
    <row r="2622" spans="8:8" x14ac:dyDescent="0.25">
      <c r="H2622" t="s">
        <v>2894</v>
      </c>
    </row>
    <row r="2623" spans="8:8" x14ac:dyDescent="0.25">
      <c r="H2623" t="s">
        <v>31</v>
      </c>
    </row>
    <row r="2625" spans="8:8" x14ac:dyDescent="0.25">
      <c r="H2625" t="s">
        <v>2246</v>
      </c>
    </row>
    <row r="2626" spans="8:8" x14ac:dyDescent="0.25">
      <c r="H2626" t="s">
        <v>145</v>
      </c>
    </row>
    <row r="2627" spans="8:8" x14ac:dyDescent="0.25">
      <c r="H2627" t="s">
        <v>2896</v>
      </c>
    </row>
    <row r="2628" spans="8:8" x14ac:dyDescent="0.25">
      <c r="H2628" t="s">
        <v>31</v>
      </c>
    </row>
    <row r="2630" spans="8:8" x14ac:dyDescent="0.25">
      <c r="H2630" t="s">
        <v>2248</v>
      </c>
    </row>
    <row r="2631" spans="8:8" x14ac:dyDescent="0.25">
      <c r="H2631" t="s">
        <v>145</v>
      </c>
    </row>
    <row r="2632" spans="8:8" x14ac:dyDescent="0.25">
      <c r="H2632" t="s">
        <v>2898</v>
      </c>
    </row>
    <row r="2633" spans="8:8" x14ac:dyDescent="0.25">
      <c r="H2633" t="s">
        <v>31</v>
      </c>
    </row>
    <row r="2635" spans="8:8" x14ac:dyDescent="0.25">
      <c r="H2635" t="s">
        <v>2250</v>
      </c>
    </row>
    <row r="2636" spans="8:8" x14ac:dyDescent="0.25">
      <c r="H2636" t="s">
        <v>145</v>
      </c>
    </row>
    <row r="2637" spans="8:8" x14ac:dyDescent="0.25">
      <c r="H2637" t="s">
        <v>2900</v>
      </c>
    </row>
    <row r="2638" spans="8:8" x14ac:dyDescent="0.25">
      <c r="H2638" t="s">
        <v>31</v>
      </c>
    </row>
    <row r="2640" spans="8:8" x14ac:dyDescent="0.25">
      <c r="H2640" t="s">
        <v>2252</v>
      </c>
    </row>
    <row r="2641" spans="8:8" x14ac:dyDescent="0.25">
      <c r="H2641" t="s">
        <v>145</v>
      </c>
    </row>
    <row r="2642" spans="8:8" x14ac:dyDescent="0.25">
      <c r="H2642" t="s">
        <v>2902</v>
      </c>
    </row>
    <row r="2643" spans="8:8" x14ac:dyDescent="0.25">
      <c r="H2643" t="s">
        <v>31</v>
      </c>
    </row>
    <row r="2645" spans="8:8" x14ac:dyDescent="0.25">
      <c r="H2645" t="s">
        <v>2254</v>
      </c>
    </row>
    <row r="2646" spans="8:8" x14ac:dyDescent="0.25">
      <c r="H2646" t="s">
        <v>145</v>
      </c>
    </row>
    <row r="2647" spans="8:8" x14ac:dyDescent="0.25">
      <c r="H2647" t="s">
        <v>2904</v>
      </c>
    </row>
    <row r="2648" spans="8:8" x14ac:dyDescent="0.25">
      <c r="H2648" t="s">
        <v>31</v>
      </c>
    </row>
    <row r="2650" spans="8:8" x14ac:dyDescent="0.25">
      <c r="H2650" t="s">
        <v>2256</v>
      </c>
    </row>
    <row r="2651" spans="8:8" x14ac:dyDescent="0.25">
      <c r="H2651" t="s">
        <v>145</v>
      </c>
    </row>
    <row r="2652" spans="8:8" x14ac:dyDescent="0.25">
      <c r="H2652" t="s">
        <v>2906</v>
      </c>
    </row>
    <row r="2653" spans="8:8" x14ac:dyDescent="0.25">
      <c r="H2653" t="s">
        <v>31</v>
      </c>
    </row>
    <row r="2655" spans="8:8" x14ac:dyDescent="0.25">
      <c r="H2655" t="s">
        <v>2258</v>
      </c>
    </row>
    <row r="2656" spans="8:8" x14ac:dyDescent="0.25">
      <c r="H2656" t="s">
        <v>145</v>
      </c>
    </row>
    <row r="2657" spans="8:8" x14ac:dyDescent="0.25">
      <c r="H2657" t="s">
        <v>2908</v>
      </c>
    </row>
    <row r="2658" spans="8:8" x14ac:dyDescent="0.25">
      <c r="H2658" t="s">
        <v>31</v>
      </c>
    </row>
    <row r="2660" spans="8:8" x14ac:dyDescent="0.25">
      <c r="H2660" t="s">
        <v>2260</v>
      </c>
    </row>
    <row r="2661" spans="8:8" x14ac:dyDescent="0.25">
      <c r="H2661" t="s">
        <v>145</v>
      </c>
    </row>
    <row r="2662" spans="8:8" x14ac:dyDescent="0.25">
      <c r="H2662" t="s">
        <v>2910</v>
      </c>
    </row>
    <row r="2663" spans="8:8" x14ac:dyDescent="0.25">
      <c r="H2663" t="s">
        <v>31</v>
      </c>
    </row>
    <row r="2665" spans="8:8" x14ac:dyDescent="0.25">
      <c r="H2665" t="s">
        <v>2262</v>
      </c>
    </row>
    <row r="2666" spans="8:8" x14ac:dyDescent="0.25">
      <c r="H2666" t="s">
        <v>145</v>
      </c>
    </row>
    <row r="2667" spans="8:8" x14ac:dyDescent="0.25">
      <c r="H2667" t="s">
        <v>2912</v>
      </c>
    </row>
    <row r="2668" spans="8:8" x14ac:dyDescent="0.25">
      <c r="H2668" t="s">
        <v>31</v>
      </c>
    </row>
    <row r="2670" spans="8:8" x14ac:dyDescent="0.25">
      <c r="H2670" t="s">
        <v>2264</v>
      </c>
    </row>
    <row r="2671" spans="8:8" x14ac:dyDescent="0.25">
      <c r="H2671" t="s">
        <v>145</v>
      </c>
    </row>
    <row r="2672" spans="8:8" x14ac:dyDescent="0.25">
      <c r="H2672" t="s">
        <v>2914</v>
      </c>
    </row>
    <row r="2673" spans="8:8" x14ac:dyDescent="0.25">
      <c r="H2673" t="s">
        <v>31</v>
      </c>
    </row>
    <row r="2675" spans="8:8" x14ac:dyDescent="0.25">
      <c r="H2675" t="s">
        <v>2266</v>
      </c>
    </row>
    <row r="2676" spans="8:8" x14ac:dyDescent="0.25">
      <c r="H2676" t="s">
        <v>145</v>
      </c>
    </row>
    <row r="2677" spans="8:8" x14ac:dyDescent="0.25">
      <c r="H2677" t="s">
        <v>2916</v>
      </c>
    </row>
    <row r="2678" spans="8:8" x14ac:dyDescent="0.25">
      <c r="H2678" t="s">
        <v>31</v>
      </c>
    </row>
    <row r="2680" spans="8:8" x14ac:dyDescent="0.25">
      <c r="H2680" t="s">
        <v>2268</v>
      </c>
    </row>
    <row r="2681" spans="8:8" x14ac:dyDescent="0.25">
      <c r="H2681" t="s">
        <v>145</v>
      </c>
    </row>
    <row r="2682" spans="8:8" x14ac:dyDescent="0.25">
      <c r="H2682" t="s">
        <v>2918</v>
      </c>
    </row>
    <row r="2683" spans="8:8" x14ac:dyDescent="0.25">
      <c r="H2683" t="s">
        <v>31</v>
      </c>
    </row>
    <row r="2685" spans="8:8" x14ac:dyDescent="0.25">
      <c r="H2685" t="s">
        <v>2270</v>
      </c>
    </row>
    <row r="2686" spans="8:8" x14ac:dyDescent="0.25">
      <c r="H2686" t="s">
        <v>145</v>
      </c>
    </row>
    <row r="2687" spans="8:8" x14ac:dyDescent="0.25">
      <c r="H2687" t="s">
        <v>2920</v>
      </c>
    </row>
    <row r="2688" spans="8:8" x14ac:dyDescent="0.25">
      <c r="H2688" t="s">
        <v>31</v>
      </c>
    </row>
    <row r="2690" spans="8:8" x14ac:dyDescent="0.25">
      <c r="H2690" t="s">
        <v>2272</v>
      </c>
    </row>
    <row r="2691" spans="8:8" x14ac:dyDescent="0.25">
      <c r="H2691" t="s">
        <v>145</v>
      </c>
    </row>
    <row r="2692" spans="8:8" x14ac:dyDescent="0.25">
      <c r="H2692" t="s">
        <v>2922</v>
      </c>
    </row>
    <row r="2693" spans="8:8" x14ac:dyDescent="0.25">
      <c r="H2693" t="s">
        <v>31</v>
      </c>
    </row>
    <row r="2695" spans="8:8" x14ac:dyDescent="0.25">
      <c r="H2695" t="s">
        <v>2274</v>
      </c>
    </row>
    <row r="2696" spans="8:8" x14ac:dyDescent="0.25">
      <c r="H2696" t="s">
        <v>145</v>
      </c>
    </row>
    <row r="2697" spans="8:8" x14ac:dyDescent="0.25">
      <c r="H2697" t="s">
        <v>2924</v>
      </c>
    </row>
    <row r="2698" spans="8:8" x14ac:dyDescent="0.25">
      <c r="H2698" t="s">
        <v>31</v>
      </c>
    </row>
    <row r="2700" spans="8:8" x14ac:dyDescent="0.25">
      <c r="H2700" t="s">
        <v>2276</v>
      </c>
    </row>
    <row r="2701" spans="8:8" x14ac:dyDescent="0.25">
      <c r="H2701" t="s">
        <v>145</v>
      </c>
    </row>
    <row r="2702" spans="8:8" x14ac:dyDescent="0.25">
      <c r="H2702" t="s">
        <v>2926</v>
      </c>
    </row>
    <row r="2703" spans="8:8" x14ac:dyDescent="0.25">
      <c r="H2703" t="s">
        <v>31</v>
      </c>
    </row>
    <row r="2705" spans="8:8" x14ac:dyDescent="0.25">
      <c r="H2705" t="s">
        <v>2278</v>
      </c>
    </row>
    <row r="2706" spans="8:8" x14ac:dyDescent="0.25">
      <c r="H2706" t="s">
        <v>145</v>
      </c>
    </row>
    <row r="2707" spans="8:8" x14ac:dyDescent="0.25">
      <c r="H2707" t="s">
        <v>2928</v>
      </c>
    </row>
    <row r="2708" spans="8:8" x14ac:dyDescent="0.25">
      <c r="H2708" t="s">
        <v>31</v>
      </c>
    </row>
    <row r="2710" spans="8:8" x14ac:dyDescent="0.25">
      <c r="H2710" t="s">
        <v>2280</v>
      </c>
    </row>
    <row r="2711" spans="8:8" x14ac:dyDescent="0.25">
      <c r="H2711" t="s">
        <v>145</v>
      </c>
    </row>
    <row r="2712" spans="8:8" x14ac:dyDescent="0.25">
      <c r="H2712" t="s">
        <v>2930</v>
      </c>
    </row>
    <row r="2713" spans="8:8" x14ac:dyDescent="0.25">
      <c r="H2713" t="s">
        <v>31</v>
      </c>
    </row>
    <row r="2715" spans="8:8" x14ac:dyDescent="0.25">
      <c r="H2715" t="s">
        <v>2282</v>
      </c>
    </row>
    <row r="2716" spans="8:8" x14ac:dyDescent="0.25">
      <c r="H2716" t="s">
        <v>145</v>
      </c>
    </row>
    <row r="2717" spans="8:8" x14ac:dyDescent="0.25">
      <c r="H2717" t="s">
        <v>2932</v>
      </c>
    </row>
    <row r="2718" spans="8:8" x14ac:dyDescent="0.25">
      <c r="H2718" t="s">
        <v>31</v>
      </c>
    </row>
    <row r="2720" spans="8:8" x14ac:dyDescent="0.25">
      <c r="H2720" t="s">
        <v>2284</v>
      </c>
    </row>
    <row r="2721" spans="8:8" x14ac:dyDescent="0.25">
      <c r="H2721" t="s">
        <v>145</v>
      </c>
    </row>
    <row r="2722" spans="8:8" x14ac:dyDescent="0.25">
      <c r="H2722" t="s">
        <v>2934</v>
      </c>
    </row>
    <row r="2723" spans="8:8" x14ac:dyDescent="0.25">
      <c r="H2723" t="s">
        <v>31</v>
      </c>
    </row>
    <row r="2725" spans="8:8" x14ac:dyDescent="0.25">
      <c r="H2725" t="s">
        <v>2286</v>
      </c>
    </row>
    <row r="2726" spans="8:8" x14ac:dyDescent="0.25">
      <c r="H2726" t="s">
        <v>145</v>
      </c>
    </row>
    <row r="2727" spans="8:8" x14ac:dyDescent="0.25">
      <c r="H2727" t="s">
        <v>2936</v>
      </c>
    </row>
    <row r="2728" spans="8:8" x14ac:dyDescent="0.25">
      <c r="H2728" t="s">
        <v>31</v>
      </c>
    </row>
    <row r="2730" spans="8:8" x14ac:dyDescent="0.25">
      <c r="H2730" t="s">
        <v>2288</v>
      </c>
    </row>
    <row r="2731" spans="8:8" x14ac:dyDescent="0.25">
      <c r="H2731" t="s">
        <v>145</v>
      </c>
    </row>
    <row r="2732" spans="8:8" x14ac:dyDescent="0.25">
      <c r="H2732" t="s">
        <v>2938</v>
      </c>
    </row>
    <row r="2733" spans="8:8" x14ac:dyDescent="0.25">
      <c r="H2733" t="s">
        <v>31</v>
      </c>
    </row>
    <row r="2735" spans="8:8" x14ac:dyDescent="0.25">
      <c r="H2735" t="s">
        <v>2290</v>
      </c>
    </row>
    <row r="2736" spans="8:8" x14ac:dyDescent="0.25">
      <c r="H2736" t="s">
        <v>145</v>
      </c>
    </row>
    <row r="2737" spans="8:8" x14ac:dyDescent="0.25">
      <c r="H2737" t="s">
        <v>2940</v>
      </c>
    </row>
    <row r="2738" spans="8:8" x14ac:dyDescent="0.25">
      <c r="H2738" t="s">
        <v>31</v>
      </c>
    </row>
    <row r="2740" spans="8:8" x14ac:dyDescent="0.25">
      <c r="H2740" t="s">
        <v>2292</v>
      </c>
    </row>
    <row r="2741" spans="8:8" x14ac:dyDescent="0.25">
      <c r="H2741" t="s">
        <v>145</v>
      </c>
    </row>
    <row r="2742" spans="8:8" x14ac:dyDescent="0.25">
      <c r="H2742" t="s">
        <v>2942</v>
      </c>
    </row>
    <row r="2743" spans="8:8" x14ac:dyDescent="0.25">
      <c r="H2743" t="s">
        <v>31</v>
      </c>
    </row>
    <row r="2745" spans="8:8" x14ac:dyDescent="0.25">
      <c r="H2745" t="s">
        <v>2294</v>
      </c>
    </row>
    <row r="2746" spans="8:8" x14ac:dyDescent="0.25">
      <c r="H2746" t="s">
        <v>145</v>
      </c>
    </row>
    <row r="2747" spans="8:8" x14ac:dyDescent="0.25">
      <c r="H2747" t="s">
        <v>2944</v>
      </c>
    </row>
    <row r="2748" spans="8:8" x14ac:dyDescent="0.25">
      <c r="H2748" t="s">
        <v>31</v>
      </c>
    </row>
    <row r="2750" spans="8:8" x14ac:dyDescent="0.25">
      <c r="H2750" t="s">
        <v>2296</v>
      </c>
    </row>
    <row r="2751" spans="8:8" x14ac:dyDescent="0.25">
      <c r="H2751" t="s">
        <v>145</v>
      </c>
    </row>
    <row r="2752" spans="8:8" x14ac:dyDescent="0.25">
      <c r="H2752" t="s">
        <v>2946</v>
      </c>
    </row>
    <row r="2753" spans="8:8" x14ac:dyDescent="0.25">
      <c r="H2753" t="s">
        <v>31</v>
      </c>
    </row>
    <row r="2755" spans="8:8" x14ac:dyDescent="0.25">
      <c r="H2755" t="s">
        <v>2298</v>
      </c>
    </row>
    <row r="2756" spans="8:8" x14ac:dyDescent="0.25">
      <c r="H2756" t="s">
        <v>145</v>
      </c>
    </row>
    <row r="2757" spans="8:8" x14ac:dyDescent="0.25">
      <c r="H2757" t="s">
        <v>2948</v>
      </c>
    </row>
    <row r="2758" spans="8:8" x14ac:dyDescent="0.25">
      <c r="H2758" t="s">
        <v>31</v>
      </c>
    </row>
    <row r="2760" spans="8:8" x14ac:dyDescent="0.25">
      <c r="H2760" t="s">
        <v>2300</v>
      </c>
    </row>
    <row r="2761" spans="8:8" x14ac:dyDescent="0.25">
      <c r="H2761" t="s">
        <v>145</v>
      </c>
    </row>
    <row r="2762" spans="8:8" x14ac:dyDescent="0.25">
      <c r="H2762" t="s">
        <v>2950</v>
      </c>
    </row>
    <row r="2763" spans="8:8" x14ac:dyDescent="0.25">
      <c r="H2763" t="s">
        <v>31</v>
      </c>
    </row>
    <row r="2765" spans="8:8" x14ac:dyDescent="0.25">
      <c r="H2765" t="s">
        <v>2302</v>
      </c>
    </row>
    <row r="2766" spans="8:8" x14ac:dyDescent="0.25">
      <c r="H2766" t="s">
        <v>145</v>
      </c>
    </row>
    <row r="2767" spans="8:8" x14ac:dyDescent="0.25">
      <c r="H2767" t="s">
        <v>2952</v>
      </c>
    </row>
    <row r="2768" spans="8:8" x14ac:dyDescent="0.25">
      <c r="H2768" t="s">
        <v>31</v>
      </c>
    </row>
    <row r="2770" spans="8:8" x14ac:dyDescent="0.25">
      <c r="H2770" t="s">
        <v>2304</v>
      </c>
    </row>
    <row r="2771" spans="8:8" x14ac:dyDescent="0.25">
      <c r="H2771" t="s">
        <v>145</v>
      </c>
    </row>
    <row r="2772" spans="8:8" x14ac:dyDescent="0.25">
      <c r="H2772" t="s">
        <v>2954</v>
      </c>
    </row>
    <row r="2773" spans="8:8" x14ac:dyDescent="0.25">
      <c r="H2773" t="s">
        <v>31</v>
      </c>
    </row>
    <row r="2775" spans="8:8" x14ac:dyDescent="0.25">
      <c r="H2775" t="s">
        <v>2306</v>
      </c>
    </row>
    <row r="2776" spans="8:8" x14ac:dyDescent="0.25">
      <c r="H2776" t="s">
        <v>145</v>
      </c>
    </row>
    <row r="2777" spans="8:8" x14ac:dyDescent="0.25">
      <c r="H2777" t="s">
        <v>2956</v>
      </c>
    </row>
    <row r="2778" spans="8:8" x14ac:dyDescent="0.25">
      <c r="H2778" t="s">
        <v>31</v>
      </c>
    </row>
    <row r="2780" spans="8:8" x14ac:dyDescent="0.25">
      <c r="H2780" t="s">
        <v>2308</v>
      </c>
    </row>
    <row r="2781" spans="8:8" x14ac:dyDescent="0.25">
      <c r="H2781" t="s">
        <v>145</v>
      </c>
    </row>
    <row r="2782" spans="8:8" x14ac:dyDescent="0.25">
      <c r="H2782" t="s">
        <v>2958</v>
      </c>
    </row>
    <row r="2783" spans="8:8" x14ac:dyDescent="0.25">
      <c r="H2783" t="s">
        <v>31</v>
      </c>
    </row>
    <row r="2785" spans="8:8" x14ac:dyDescent="0.25">
      <c r="H2785" t="s">
        <v>2310</v>
      </c>
    </row>
    <row r="2786" spans="8:8" x14ac:dyDescent="0.25">
      <c r="H2786" t="s">
        <v>145</v>
      </c>
    </row>
    <row r="2787" spans="8:8" x14ac:dyDescent="0.25">
      <c r="H2787" t="s">
        <v>2960</v>
      </c>
    </row>
    <row r="2788" spans="8:8" x14ac:dyDescent="0.25">
      <c r="H2788" t="s">
        <v>31</v>
      </c>
    </row>
    <row r="2790" spans="8:8" x14ac:dyDescent="0.25">
      <c r="H2790" t="s">
        <v>2312</v>
      </c>
    </row>
    <row r="2791" spans="8:8" x14ac:dyDescent="0.25">
      <c r="H2791" t="s">
        <v>145</v>
      </c>
    </row>
    <row r="2792" spans="8:8" x14ac:dyDescent="0.25">
      <c r="H2792" t="s">
        <v>2962</v>
      </c>
    </row>
    <row r="2793" spans="8:8" x14ac:dyDescent="0.25">
      <c r="H2793" t="s">
        <v>31</v>
      </c>
    </row>
    <row r="2795" spans="8:8" x14ac:dyDescent="0.25">
      <c r="H2795" t="s">
        <v>2314</v>
      </c>
    </row>
    <row r="2796" spans="8:8" x14ac:dyDescent="0.25">
      <c r="H2796" t="s">
        <v>145</v>
      </c>
    </row>
    <row r="2797" spans="8:8" x14ac:dyDescent="0.25">
      <c r="H2797" t="s">
        <v>2964</v>
      </c>
    </row>
    <row r="2798" spans="8:8" x14ac:dyDescent="0.25">
      <c r="H2798" t="s">
        <v>31</v>
      </c>
    </row>
    <row r="2800" spans="8:8" x14ac:dyDescent="0.25">
      <c r="H2800" t="s">
        <v>2316</v>
      </c>
    </row>
    <row r="2801" spans="8:8" x14ac:dyDescent="0.25">
      <c r="H2801" t="s">
        <v>145</v>
      </c>
    </row>
    <row r="2802" spans="8:8" x14ac:dyDescent="0.25">
      <c r="H2802" t="s">
        <v>2966</v>
      </c>
    </row>
    <row r="2803" spans="8:8" x14ac:dyDescent="0.25">
      <c r="H2803" t="s">
        <v>31</v>
      </c>
    </row>
    <row r="2805" spans="8:8" x14ac:dyDescent="0.25">
      <c r="H2805" t="s">
        <v>2318</v>
      </c>
    </row>
    <row r="2806" spans="8:8" x14ac:dyDescent="0.25">
      <c r="H2806" t="s">
        <v>145</v>
      </c>
    </row>
    <row r="2807" spans="8:8" x14ac:dyDescent="0.25">
      <c r="H2807" t="s">
        <v>2968</v>
      </c>
    </row>
    <row r="2808" spans="8:8" x14ac:dyDescent="0.25">
      <c r="H2808" t="s">
        <v>31</v>
      </c>
    </row>
    <row r="2810" spans="8:8" x14ac:dyDescent="0.25">
      <c r="H2810" t="s">
        <v>2320</v>
      </c>
    </row>
    <row r="2811" spans="8:8" x14ac:dyDescent="0.25">
      <c r="H2811" t="s">
        <v>145</v>
      </c>
    </row>
    <row r="2812" spans="8:8" x14ac:dyDescent="0.25">
      <c r="H2812" t="s">
        <v>2970</v>
      </c>
    </row>
    <row r="2813" spans="8:8" x14ac:dyDescent="0.25">
      <c r="H2813" t="s">
        <v>31</v>
      </c>
    </row>
    <row r="2815" spans="8:8" x14ac:dyDescent="0.25">
      <c r="H2815" t="s">
        <v>2322</v>
      </c>
    </row>
    <row r="2816" spans="8:8" x14ac:dyDescent="0.25">
      <c r="H2816" t="s">
        <v>145</v>
      </c>
    </row>
    <row r="2817" spans="8:8" x14ac:dyDescent="0.25">
      <c r="H2817" t="s">
        <v>2972</v>
      </c>
    </row>
    <row r="2818" spans="8:8" x14ac:dyDescent="0.25">
      <c r="H2818" t="s">
        <v>31</v>
      </c>
    </row>
    <row r="2820" spans="8:8" x14ac:dyDescent="0.25">
      <c r="H2820" t="s">
        <v>2324</v>
      </c>
    </row>
    <row r="2821" spans="8:8" x14ac:dyDescent="0.25">
      <c r="H2821" t="s">
        <v>145</v>
      </c>
    </row>
    <row r="2822" spans="8:8" x14ac:dyDescent="0.25">
      <c r="H2822" t="s">
        <v>2974</v>
      </c>
    </row>
    <row r="2823" spans="8:8" x14ac:dyDescent="0.25">
      <c r="H2823" t="s">
        <v>31</v>
      </c>
    </row>
    <row r="2825" spans="8:8" x14ac:dyDescent="0.25">
      <c r="H2825" t="s">
        <v>2326</v>
      </c>
    </row>
    <row r="2826" spans="8:8" x14ac:dyDescent="0.25">
      <c r="H2826" t="s">
        <v>145</v>
      </c>
    </row>
    <row r="2827" spans="8:8" x14ac:dyDescent="0.25">
      <c r="H2827" t="s">
        <v>2976</v>
      </c>
    </row>
    <row r="2828" spans="8:8" x14ac:dyDescent="0.25">
      <c r="H2828" t="s">
        <v>31</v>
      </c>
    </row>
    <row r="2830" spans="8:8" x14ac:dyDescent="0.25">
      <c r="H2830" t="s">
        <v>2328</v>
      </c>
    </row>
    <row r="2831" spans="8:8" x14ac:dyDescent="0.25">
      <c r="H2831" t="s">
        <v>145</v>
      </c>
    </row>
    <row r="2832" spans="8:8" x14ac:dyDescent="0.25">
      <c r="H2832" t="s">
        <v>2978</v>
      </c>
    </row>
    <row r="2833" spans="8:8" x14ac:dyDescent="0.25">
      <c r="H2833" t="s">
        <v>31</v>
      </c>
    </row>
    <row r="2835" spans="8:8" x14ac:dyDescent="0.25">
      <c r="H2835" t="s">
        <v>2330</v>
      </c>
    </row>
    <row r="2836" spans="8:8" x14ac:dyDescent="0.25">
      <c r="H2836" t="s">
        <v>145</v>
      </c>
    </row>
    <row r="2837" spans="8:8" x14ac:dyDescent="0.25">
      <c r="H2837" t="s">
        <v>2980</v>
      </c>
    </row>
    <row r="2838" spans="8:8" x14ac:dyDescent="0.25">
      <c r="H2838" t="s">
        <v>31</v>
      </c>
    </row>
    <row r="2840" spans="8:8" x14ac:dyDescent="0.25">
      <c r="H2840" t="s">
        <v>2332</v>
      </c>
    </row>
    <row r="2841" spans="8:8" x14ac:dyDescent="0.25">
      <c r="H2841" t="s">
        <v>145</v>
      </c>
    </row>
    <row r="2842" spans="8:8" x14ac:dyDescent="0.25">
      <c r="H2842" t="s">
        <v>2982</v>
      </c>
    </row>
    <row r="2843" spans="8:8" x14ac:dyDescent="0.25">
      <c r="H2843" t="s">
        <v>31</v>
      </c>
    </row>
    <row r="2845" spans="8:8" x14ac:dyDescent="0.25">
      <c r="H2845" t="s">
        <v>2334</v>
      </c>
    </row>
    <row r="2846" spans="8:8" x14ac:dyDescent="0.25">
      <c r="H2846" t="s">
        <v>145</v>
      </c>
    </row>
    <row r="2847" spans="8:8" x14ac:dyDescent="0.25">
      <c r="H2847" t="s">
        <v>2984</v>
      </c>
    </row>
    <row r="2848" spans="8:8" x14ac:dyDescent="0.25">
      <c r="H2848" t="s">
        <v>31</v>
      </c>
    </row>
    <row r="2850" spans="8:8" x14ac:dyDescent="0.25">
      <c r="H2850" t="s">
        <v>2336</v>
      </c>
    </row>
    <row r="2851" spans="8:8" x14ac:dyDescent="0.25">
      <c r="H2851" t="s">
        <v>145</v>
      </c>
    </row>
    <row r="2852" spans="8:8" x14ac:dyDescent="0.25">
      <c r="H2852" t="s">
        <v>2986</v>
      </c>
    </row>
    <row r="2853" spans="8:8" x14ac:dyDescent="0.25">
      <c r="H2853" t="s">
        <v>31</v>
      </c>
    </row>
    <row r="2855" spans="8:8" x14ac:dyDescent="0.25">
      <c r="H2855" t="s">
        <v>2338</v>
      </c>
    </row>
    <row r="2856" spans="8:8" x14ac:dyDescent="0.25">
      <c r="H2856" t="s">
        <v>145</v>
      </c>
    </row>
    <row r="2857" spans="8:8" x14ac:dyDescent="0.25">
      <c r="H2857" t="s">
        <v>2988</v>
      </c>
    </row>
    <row r="2858" spans="8:8" x14ac:dyDescent="0.25">
      <c r="H2858" t="s">
        <v>31</v>
      </c>
    </row>
    <row r="2860" spans="8:8" x14ac:dyDescent="0.25">
      <c r="H2860" t="s">
        <v>2340</v>
      </c>
    </row>
    <row r="2861" spans="8:8" x14ac:dyDescent="0.25">
      <c r="H2861" t="s">
        <v>145</v>
      </c>
    </row>
    <row r="2862" spans="8:8" x14ac:dyDescent="0.25">
      <c r="H2862" t="s">
        <v>2990</v>
      </c>
    </row>
    <row r="2863" spans="8:8" x14ac:dyDescent="0.25">
      <c r="H2863" t="s">
        <v>31</v>
      </c>
    </row>
    <row r="2865" spans="8:8" x14ac:dyDescent="0.25">
      <c r="H2865" t="s">
        <v>2342</v>
      </c>
    </row>
    <row r="2866" spans="8:8" x14ac:dyDescent="0.25">
      <c r="H2866" t="s">
        <v>145</v>
      </c>
    </row>
    <row r="2867" spans="8:8" x14ac:dyDescent="0.25">
      <c r="H2867" t="s">
        <v>2992</v>
      </c>
    </row>
    <row r="2868" spans="8:8" x14ac:dyDescent="0.25">
      <c r="H2868" t="s">
        <v>31</v>
      </c>
    </row>
    <row r="2870" spans="8:8" x14ac:dyDescent="0.25">
      <c r="H2870" t="s">
        <v>2344</v>
      </c>
    </row>
    <row r="2871" spans="8:8" x14ac:dyDescent="0.25">
      <c r="H2871" t="s">
        <v>145</v>
      </c>
    </row>
    <row r="2872" spans="8:8" x14ac:dyDescent="0.25">
      <c r="H2872" t="s">
        <v>2994</v>
      </c>
    </row>
    <row r="2873" spans="8:8" x14ac:dyDescent="0.25">
      <c r="H2873" t="s">
        <v>31</v>
      </c>
    </row>
    <row r="2875" spans="8:8" x14ac:dyDescent="0.25">
      <c r="H2875" t="s">
        <v>2346</v>
      </c>
    </row>
    <row r="2876" spans="8:8" x14ac:dyDescent="0.25">
      <c r="H2876" t="s">
        <v>145</v>
      </c>
    </row>
    <row r="2877" spans="8:8" x14ac:dyDescent="0.25">
      <c r="H2877" t="s">
        <v>2996</v>
      </c>
    </row>
    <row r="2878" spans="8:8" x14ac:dyDescent="0.25">
      <c r="H2878" t="s">
        <v>31</v>
      </c>
    </row>
    <row r="2880" spans="8:8" x14ac:dyDescent="0.25">
      <c r="H2880" t="s">
        <v>2348</v>
      </c>
    </row>
    <row r="2881" spans="8:8" x14ac:dyDescent="0.25">
      <c r="H2881" t="s">
        <v>145</v>
      </c>
    </row>
    <row r="2882" spans="8:8" x14ac:dyDescent="0.25">
      <c r="H2882" t="s">
        <v>2998</v>
      </c>
    </row>
    <row r="2883" spans="8:8" x14ac:dyDescent="0.25">
      <c r="H2883" t="s">
        <v>31</v>
      </c>
    </row>
    <row r="2885" spans="8:8" x14ac:dyDescent="0.25">
      <c r="H2885" t="s">
        <v>2350</v>
      </c>
    </row>
    <row r="2886" spans="8:8" x14ac:dyDescent="0.25">
      <c r="H2886" t="s">
        <v>145</v>
      </c>
    </row>
    <row r="2887" spans="8:8" x14ac:dyDescent="0.25">
      <c r="H2887" t="s">
        <v>3000</v>
      </c>
    </row>
    <row r="2888" spans="8:8" x14ac:dyDescent="0.25">
      <c r="H2888" t="s">
        <v>31</v>
      </c>
    </row>
    <row r="2890" spans="8:8" x14ac:dyDescent="0.25">
      <c r="H2890" t="s">
        <v>2352</v>
      </c>
    </row>
    <row r="2891" spans="8:8" x14ac:dyDescent="0.25">
      <c r="H2891" t="s">
        <v>145</v>
      </c>
    </row>
    <row r="2892" spans="8:8" x14ac:dyDescent="0.25">
      <c r="H2892" t="s">
        <v>3002</v>
      </c>
    </row>
    <row r="2893" spans="8:8" x14ac:dyDescent="0.25">
      <c r="H2893" t="s">
        <v>31</v>
      </c>
    </row>
    <row r="2895" spans="8:8" x14ac:dyDescent="0.25">
      <c r="H2895" t="s">
        <v>2354</v>
      </c>
    </row>
    <row r="2896" spans="8:8" x14ac:dyDescent="0.25">
      <c r="H2896" t="s">
        <v>145</v>
      </c>
    </row>
    <row r="2897" spans="8:8" x14ac:dyDescent="0.25">
      <c r="H2897" t="s">
        <v>3004</v>
      </c>
    </row>
    <row r="2898" spans="8:8" x14ac:dyDescent="0.25">
      <c r="H2898" t="s">
        <v>31</v>
      </c>
    </row>
    <row r="2900" spans="8:8" x14ac:dyDescent="0.25">
      <c r="H2900" t="s">
        <v>2356</v>
      </c>
    </row>
    <row r="2901" spans="8:8" x14ac:dyDescent="0.25">
      <c r="H2901" t="s">
        <v>145</v>
      </c>
    </row>
    <row r="2902" spans="8:8" x14ac:dyDescent="0.25">
      <c r="H2902" t="s">
        <v>3006</v>
      </c>
    </row>
    <row r="2903" spans="8:8" x14ac:dyDescent="0.25">
      <c r="H2903" t="s">
        <v>31</v>
      </c>
    </row>
    <row r="2905" spans="8:8" x14ac:dyDescent="0.25">
      <c r="H2905" t="s">
        <v>2358</v>
      </c>
    </row>
    <row r="2906" spans="8:8" x14ac:dyDescent="0.25">
      <c r="H2906" t="s">
        <v>145</v>
      </c>
    </row>
    <row r="2907" spans="8:8" x14ac:dyDescent="0.25">
      <c r="H2907" t="s">
        <v>3008</v>
      </c>
    </row>
    <row r="2908" spans="8:8" x14ac:dyDescent="0.25">
      <c r="H2908" t="s">
        <v>31</v>
      </c>
    </row>
    <row r="2910" spans="8:8" x14ac:dyDescent="0.25">
      <c r="H2910" t="s">
        <v>2360</v>
      </c>
    </row>
    <row r="2911" spans="8:8" x14ac:dyDescent="0.25">
      <c r="H2911" t="s">
        <v>145</v>
      </c>
    </row>
    <row r="2912" spans="8:8" x14ac:dyDescent="0.25">
      <c r="H2912" t="s">
        <v>3010</v>
      </c>
    </row>
    <row r="2913" spans="8:8" x14ac:dyDescent="0.25">
      <c r="H2913" t="s">
        <v>31</v>
      </c>
    </row>
    <row r="2915" spans="8:8" x14ac:dyDescent="0.25">
      <c r="H2915" t="s">
        <v>2362</v>
      </c>
    </row>
    <row r="2916" spans="8:8" x14ac:dyDescent="0.25">
      <c r="H2916" t="s">
        <v>145</v>
      </c>
    </row>
    <row r="2917" spans="8:8" x14ac:dyDescent="0.25">
      <c r="H2917" t="s">
        <v>3012</v>
      </c>
    </row>
    <row r="2918" spans="8:8" x14ac:dyDescent="0.25">
      <c r="H2918" t="s">
        <v>31</v>
      </c>
    </row>
    <row r="2920" spans="8:8" x14ac:dyDescent="0.25">
      <c r="H2920" t="s">
        <v>2364</v>
      </c>
    </row>
    <row r="2921" spans="8:8" x14ac:dyDescent="0.25">
      <c r="H2921" t="s">
        <v>145</v>
      </c>
    </row>
    <row r="2922" spans="8:8" x14ac:dyDescent="0.25">
      <c r="H2922" t="s">
        <v>3014</v>
      </c>
    </row>
    <row r="2923" spans="8:8" x14ac:dyDescent="0.25">
      <c r="H2923" t="s">
        <v>31</v>
      </c>
    </row>
    <row r="2925" spans="8:8" x14ac:dyDescent="0.25">
      <c r="H2925" t="s">
        <v>2366</v>
      </c>
    </row>
    <row r="2926" spans="8:8" x14ac:dyDescent="0.25">
      <c r="H2926" t="s">
        <v>145</v>
      </c>
    </row>
    <row r="2927" spans="8:8" x14ac:dyDescent="0.25">
      <c r="H2927" t="s">
        <v>3016</v>
      </c>
    </row>
    <row r="2928" spans="8:8" x14ac:dyDescent="0.25">
      <c r="H2928" t="s">
        <v>31</v>
      </c>
    </row>
    <row r="2930" spans="8:8" x14ac:dyDescent="0.25">
      <c r="H2930" t="s">
        <v>2368</v>
      </c>
    </row>
    <row r="2931" spans="8:8" x14ac:dyDescent="0.25">
      <c r="H2931" t="s">
        <v>145</v>
      </c>
    </row>
    <row r="2932" spans="8:8" x14ac:dyDescent="0.25">
      <c r="H2932" t="s">
        <v>3018</v>
      </c>
    </row>
    <row r="2933" spans="8:8" x14ac:dyDescent="0.25">
      <c r="H2933" t="s">
        <v>31</v>
      </c>
    </row>
    <row r="2935" spans="8:8" x14ac:dyDescent="0.25">
      <c r="H2935" t="s">
        <v>2370</v>
      </c>
    </row>
    <row r="2936" spans="8:8" x14ac:dyDescent="0.25">
      <c r="H2936" t="s">
        <v>145</v>
      </c>
    </row>
    <row r="2937" spans="8:8" x14ac:dyDescent="0.25">
      <c r="H2937" t="s">
        <v>3020</v>
      </c>
    </row>
    <row r="2938" spans="8:8" x14ac:dyDescent="0.25">
      <c r="H2938" t="s">
        <v>31</v>
      </c>
    </row>
    <row r="2940" spans="8:8" x14ac:dyDescent="0.25">
      <c r="H2940" t="s">
        <v>2372</v>
      </c>
    </row>
    <row r="2941" spans="8:8" x14ac:dyDescent="0.25">
      <c r="H2941" t="s">
        <v>145</v>
      </c>
    </row>
    <row r="2942" spans="8:8" x14ac:dyDescent="0.25">
      <c r="H2942" t="s">
        <v>3022</v>
      </c>
    </row>
    <row r="2943" spans="8:8" x14ac:dyDescent="0.25">
      <c r="H2943" t="s">
        <v>31</v>
      </c>
    </row>
    <row r="2945" spans="8:8" x14ac:dyDescent="0.25">
      <c r="H2945" t="s">
        <v>2374</v>
      </c>
    </row>
    <row r="2946" spans="8:8" x14ac:dyDescent="0.25">
      <c r="H2946" t="s">
        <v>145</v>
      </c>
    </row>
    <row r="2947" spans="8:8" x14ac:dyDescent="0.25">
      <c r="H2947" t="s">
        <v>3024</v>
      </c>
    </row>
    <row r="2948" spans="8:8" x14ac:dyDescent="0.25">
      <c r="H2948" t="s">
        <v>31</v>
      </c>
    </row>
    <row r="2950" spans="8:8" x14ac:dyDescent="0.25">
      <c r="H2950" t="s">
        <v>2376</v>
      </c>
    </row>
    <row r="2951" spans="8:8" x14ac:dyDescent="0.25">
      <c r="H2951" t="s">
        <v>145</v>
      </c>
    </row>
    <row r="2952" spans="8:8" x14ac:dyDescent="0.25">
      <c r="H2952" t="s">
        <v>3026</v>
      </c>
    </row>
    <row r="2953" spans="8:8" x14ac:dyDescent="0.25">
      <c r="H2953" t="s">
        <v>31</v>
      </c>
    </row>
    <row r="2955" spans="8:8" x14ac:dyDescent="0.25">
      <c r="H2955" t="s">
        <v>2378</v>
      </c>
    </row>
    <row r="2956" spans="8:8" x14ac:dyDescent="0.25">
      <c r="H2956" t="s">
        <v>145</v>
      </c>
    </row>
    <row r="2957" spans="8:8" x14ac:dyDescent="0.25">
      <c r="H2957" t="s">
        <v>3028</v>
      </c>
    </row>
    <row r="2958" spans="8:8" x14ac:dyDescent="0.25">
      <c r="H2958" t="s">
        <v>31</v>
      </c>
    </row>
    <row r="2960" spans="8:8" x14ac:dyDescent="0.25">
      <c r="H2960" t="s">
        <v>2380</v>
      </c>
    </row>
    <row r="2961" spans="8:8" x14ac:dyDescent="0.25">
      <c r="H2961" t="s">
        <v>145</v>
      </c>
    </row>
    <row r="2962" spans="8:8" x14ac:dyDescent="0.25">
      <c r="H2962" t="s">
        <v>3030</v>
      </c>
    </row>
    <row r="2963" spans="8:8" x14ac:dyDescent="0.25">
      <c r="H2963" t="s">
        <v>31</v>
      </c>
    </row>
    <row r="2965" spans="8:8" x14ac:dyDescent="0.25">
      <c r="H2965" t="s">
        <v>2382</v>
      </c>
    </row>
    <row r="2966" spans="8:8" x14ac:dyDescent="0.25">
      <c r="H2966" t="s">
        <v>145</v>
      </c>
    </row>
    <row r="2967" spans="8:8" x14ac:dyDescent="0.25">
      <c r="H2967" t="s">
        <v>3032</v>
      </c>
    </row>
    <row r="2968" spans="8:8" x14ac:dyDescent="0.25">
      <c r="H2968" t="s">
        <v>31</v>
      </c>
    </row>
    <row r="2970" spans="8:8" x14ac:dyDescent="0.25">
      <c r="H2970" t="s">
        <v>2384</v>
      </c>
    </row>
    <row r="2971" spans="8:8" x14ac:dyDescent="0.25">
      <c r="H2971" t="s">
        <v>145</v>
      </c>
    </row>
    <row r="2972" spans="8:8" x14ac:dyDescent="0.25">
      <c r="H2972" t="s">
        <v>3034</v>
      </c>
    </row>
    <row r="2973" spans="8:8" x14ac:dyDescent="0.25">
      <c r="H2973" t="s">
        <v>31</v>
      </c>
    </row>
    <row r="2975" spans="8:8" x14ac:dyDescent="0.25">
      <c r="H2975" t="s">
        <v>2386</v>
      </c>
    </row>
    <row r="2976" spans="8:8" x14ac:dyDescent="0.25">
      <c r="H2976" t="s">
        <v>145</v>
      </c>
    </row>
    <row r="2977" spans="8:8" x14ac:dyDescent="0.25">
      <c r="H2977" t="s">
        <v>3036</v>
      </c>
    </row>
    <row r="2978" spans="8:8" x14ac:dyDescent="0.25">
      <c r="H2978" t="s">
        <v>31</v>
      </c>
    </row>
    <row r="2980" spans="8:8" x14ac:dyDescent="0.25">
      <c r="H2980" t="s">
        <v>2388</v>
      </c>
    </row>
    <row r="2981" spans="8:8" x14ac:dyDescent="0.25">
      <c r="H2981" t="s">
        <v>145</v>
      </c>
    </row>
    <row r="2982" spans="8:8" x14ac:dyDescent="0.25">
      <c r="H2982" t="s">
        <v>3038</v>
      </c>
    </row>
    <row r="2983" spans="8:8" x14ac:dyDescent="0.25">
      <c r="H2983" t="s">
        <v>31</v>
      </c>
    </row>
    <row r="2985" spans="8:8" x14ac:dyDescent="0.25">
      <c r="H2985" t="s">
        <v>2390</v>
      </c>
    </row>
    <row r="2986" spans="8:8" x14ac:dyDescent="0.25">
      <c r="H2986" t="s">
        <v>145</v>
      </c>
    </row>
    <row r="2987" spans="8:8" x14ac:dyDescent="0.25">
      <c r="H2987" t="s">
        <v>3040</v>
      </c>
    </row>
    <row r="2988" spans="8:8" x14ac:dyDescent="0.25">
      <c r="H2988" t="s">
        <v>31</v>
      </c>
    </row>
    <row r="2990" spans="8:8" x14ac:dyDescent="0.25">
      <c r="H2990" t="s">
        <v>2392</v>
      </c>
    </row>
    <row r="2991" spans="8:8" x14ac:dyDescent="0.25">
      <c r="H2991" t="s">
        <v>145</v>
      </c>
    </row>
    <row r="2992" spans="8:8" x14ac:dyDescent="0.25">
      <c r="H2992" t="s">
        <v>3042</v>
      </c>
    </row>
    <row r="2993" spans="8:8" x14ac:dyDescent="0.25">
      <c r="H2993" t="s">
        <v>31</v>
      </c>
    </row>
    <row r="2995" spans="8:8" x14ac:dyDescent="0.25">
      <c r="H2995" t="s">
        <v>2394</v>
      </c>
    </row>
    <row r="2996" spans="8:8" x14ac:dyDescent="0.25">
      <c r="H2996" t="s">
        <v>145</v>
      </c>
    </row>
    <row r="2997" spans="8:8" x14ac:dyDescent="0.25">
      <c r="H2997" t="s">
        <v>3044</v>
      </c>
    </row>
    <row r="2998" spans="8:8" x14ac:dyDescent="0.25">
      <c r="H2998" t="s">
        <v>31</v>
      </c>
    </row>
    <row r="3000" spans="8:8" x14ac:dyDescent="0.25">
      <c r="H3000" t="s">
        <v>2396</v>
      </c>
    </row>
    <row r="3001" spans="8:8" x14ac:dyDescent="0.25">
      <c r="H3001" t="s">
        <v>145</v>
      </c>
    </row>
    <row r="3002" spans="8:8" x14ac:dyDescent="0.25">
      <c r="H3002" t="s">
        <v>3046</v>
      </c>
    </row>
    <row r="3003" spans="8:8" x14ac:dyDescent="0.25">
      <c r="H3003" t="s">
        <v>31</v>
      </c>
    </row>
    <row r="3005" spans="8:8" x14ac:dyDescent="0.25">
      <c r="H3005" t="s">
        <v>2398</v>
      </c>
    </row>
    <row r="3006" spans="8:8" x14ac:dyDescent="0.25">
      <c r="H3006" t="s">
        <v>145</v>
      </c>
    </row>
    <row r="3007" spans="8:8" x14ac:dyDescent="0.25">
      <c r="H3007" t="s">
        <v>3048</v>
      </c>
    </row>
    <row r="3008" spans="8:8" x14ac:dyDescent="0.25">
      <c r="H3008" t="s">
        <v>31</v>
      </c>
    </row>
    <row r="3010" spans="8:8" x14ac:dyDescent="0.25">
      <c r="H3010" t="s">
        <v>2400</v>
      </c>
    </row>
    <row r="3011" spans="8:8" x14ac:dyDescent="0.25">
      <c r="H3011" t="s">
        <v>145</v>
      </c>
    </row>
    <row r="3012" spans="8:8" x14ac:dyDescent="0.25">
      <c r="H3012" t="s">
        <v>3050</v>
      </c>
    </row>
    <row r="3013" spans="8:8" x14ac:dyDescent="0.25">
      <c r="H3013" t="s">
        <v>31</v>
      </c>
    </row>
    <row r="3015" spans="8:8" x14ac:dyDescent="0.25">
      <c r="H3015" t="s">
        <v>2402</v>
      </c>
    </row>
    <row r="3016" spans="8:8" x14ac:dyDescent="0.25">
      <c r="H3016" t="s">
        <v>145</v>
      </c>
    </row>
    <row r="3017" spans="8:8" x14ac:dyDescent="0.25">
      <c r="H3017" t="s">
        <v>3052</v>
      </c>
    </row>
    <row r="3018" spans="8:8" x14ac:dyDescent="0.25">
      <c r="H3018" t="s">
        <v>31</v>
      </c>
    </row>
    <row r="3019" spans="8:8" x14ac:dyDescent="0.25">
      <c r="H3019" t="s">
        <v>146</v>
      </c>
    </row>
    <row r="3020" spans="8:8" x14ac:dyDescent="0.25">
      <c r="H3020" t="s">
        <v>3053</v>
      </c>
    </row>
    <row r="3021" spans="8:8" x14ac:dyDescent="0.25">
      <c r="H3021" t="s">
        <v>31</v>
      </c>
    </row>
    <row r="3022" spans="8:8" x14ac:dyDescent="0.25">
      <c r="H3022" t="s">
        <v>147</v>
      </c>
    </row>
    <row r="3023" spans="8:8" x14ac:dyDescent="0.25">
      <c r="H3023" t="s">
        <v>3054</v>
      </c>
    </row>
    <row r="3024" spans="8:8" x14ac:dyDescent="0.25">
      <c r="H3024" t="s">
        <v>31</v>
      </c>
    </row>
    <row r="3026" spans="8:8" x14ac:dyDescent="0.25">
      <c r="H3026" t="s">
        <v>2404</v>
      </c>
    </row>
    <row r="3027" spans="8:8" x14ac:dyDescent="0.25">
      <c r="H3027" t="s">
        <v>145</v>
      </c>
    </row>
    <row r="3028" spans="8:8" x14ac:dyDescent="0.25">
      <c r="H3028" t="s">
        <v>3056</v>
      </c>
    </row>
    <row r="3029" spans="8:8" x14ac:dyDescent="0.25">
      <c r="H3029" t="s">
        <v>31</v>
      </c>
    </row>
    <row r="3030" spans="8:8" x14ac:dyDescent="0.25">
      <c r="H3030" t="s">
        <v>146</v>
      </c>
    </row>
    <row r="3031" spans="8:8" x14ac:dyDescent="0.25">
      <c r="H3031" t="s">
        <v>3057</v>
      </c>
    </row>
    <row r="3032" spans="8:8" x14ac:dyDescent="0.25">
      <c r="H3032" t="s">
        <v>31</v>
      </c>
    </row>
    <row r="3033" spans="8:8" x14ac:dyDescent="0.25">
      <c r="H3033" t="s">
        <v>147</v>
      </c>
    </row>
    <row r="3034" spans="8:8" x14ac:dyDescent="0.25">
      <c r="H3034" t="s">
        <v>3058</v>
      </c>
    </row>
    <row r="3035" spans="8:8" x14ac:dyDescent="0.25">
      <c r="H3035" t="s">
        <v>31</v>
      </c>
    </row>
    <row r="3036" spans="8:8" x14ac:dyDescent="0.25">
      <c r="H3036" t="s">
        <v>148</v>
      </c>
    </row>
    <row r="3037" spans="8:8" x14ac:dyDescent="0.25">
      <c r="H3037" t="s">
        <v>3059</v>
      </c>
    </row>
    <row r="3038" spans="8:8" x14ac:dyDescent="0.25">
      <c r="H3038" t="s">
        <v>31</v>
      </c>
    </row>
    <row r="3040" spans="8:8" x14ac:dyDescent="0.25">
      <c r="H3040" t="s">
        <v>2406</v>
      </c>
    </row>
    <row r="3041" spans="8:8" x14ac:dyDescent="0.25">
      <c r="H3041" t="s">
        <v>145</v>
      </c>
    </row>
    <row r="3042" spans="8:8" x14ac:dyDescent="0.25">
      <c r="H3042" t="s">
        <v>3061</v>
      </c>
    </row>
    <row r="3043" spans="8:8" x14ac:dyDescent="0.25">
      <c r="H3043" t="s">
        <v>31</v>
      </c>
    </row>
    <row r="3044" spans="8:8" x14ac:dyDescent="0.25">
      <c r="H3044" t="s">
        <v>147</v>
      </c>
    </row>
    <row r="3045" spans="8:8" x14ac:dyDescent="0.25">
      <c r="H3045" t="s">
        <v>3062</v>
      </c>
    </row>
    <row r="3046" spans="8:8" x14ac:dyDescent="0.25">
      <c r="H3046" t="s">
        <v>31</v>
      </c>
    </row>
    <row r="3047" spans="8:8" x14ac:dyDescent="0.25">
      <c r="H3047" t="s">
        <v>148</v>
      </c>
    </row>
    <row r="3048" spans="8:8" x14ac:dyDescent="0.25">
      <c r="H3048" t="s">
        <v>3063</v>
      </c>
    </row>
    <row r="3049" spans="8:8" x14ac:dyDescent="0.25">
      <c r="H3049" t="s">
        <v>31</v>
      </c>
    </row>
    <row r="3051" spans="8:8" x14ac:dyDescent="0.25">
      <c r="H3051" t="s">
        <v>2408</v>
      </c>
    </row>
    <row r="3052" spans="8:8" x14ac:dyDescent="0.25">
      <c r="H3052" t="s">
        <v>145</v>
      </c>
    </row>
    <row r="3053" spans="8:8" x14ac:dyDescent="0.25">
      <c r="H3053" t="s">
        <v>3065</v>
      </c>
    </row>
    <row r="3054" spans="8:8" x14ac:dyDescent="0.25">
      <c r="H3054" t="s">
        <v>31</v>
      </c>
    </row>
    <row r="3056" spans="8:8" x14ac:dyDescent="0.25">
      <c r="H3056" t="s">
        <v>2410</v>
      </c>
    </row>
    <row r="3057" spans="8:8" x14ac:dyDescent="0.25">
      <c r="H3057" t="s">
        <v>145</v>
      </c>
    </row>
    <row r="3058" spans="8:8" x14ac:dyDescent="0.25">
      <c r="H3058" t="s">
        <v>3067</v>
      </c>
    </row>
    <row r="3059" spans="8:8" x14ac:dyDescent="0.25">
      <c r="H3059" t="s">
        <v>31</v>
      </c>
    </row>
    <row r="3061" spans="8:8" x14ac:dyDescent="0.25">
      <c r="H3061" t="s">
        <v>2412</v>
      </c>
    </row>
    <row r="3062" spans="8:8" x14ac:dyDescent="0.25">
      <c r="H3062" t="s">
        <v>145</v>
      </c>
    </row>
    <row r="3063" spans="8:8" x14ac:dyDescent="0.25">
      <c r="H3063" t="s">
        <v>3069</v>
      </c>
    </row>
    <row r="3064" spans="8:8" x14ac:dyDescent="0.25">
      <c r="H3064" t="s">
        <v>31</v>
      </c>
    </row>
    <row r="3065" spans="8:8" x14ac:dyDescent="0.25">
      <c r="H3065" t="s">
        <v>146</v>
      </c>
    </row>
    <row r="3066" spans="8:8" x14ac:dyDescent="0.25">
      <c r="H3066" t="s">
        <v>3070</v>
      </c>
    </row>
    <row r="3067" spans="8:8" x14ac:dyDescent="0.25">
      <c r="H3067" t="s">
        <v>31</v>
      </c>
    </row>
    <row r="3069" spans="8:8" x14ac:dyDescent="0.25">
      <c r="H3069" t="s">
        <v>2414</v>
      </c>
    </row>
    <row r="3070" spans="8:8" x14ac:dyDescent="0.25">
      <c r="H3070" t="s">
        <v>145</v>
      </c>
    </row>
    <row r="3071" spans="8:8" x14ac:dyDescent="0.25">
      <c r="H3071" t="s">
        <v>3072</v>
      </c>
    </row>
    <row r="3072" spans="8:8" x14ac:dyDescent="0.25">
      <c r="H3072" t="s">
        <v>31</v>
      </c>
    </row>
    <row r="3074" spans="8:8" x14ac:dyDescent="0.25">
      <c r="H3074" t="s">
        <v>2416</v>
      </c>
    </row>
    <row r="3075" spans="8:8" x14ac:dyDescent="0.25">
      <c r="H3075" t="s">
        <v>145</v>
      </c>
    </row>
    <row r="3076" spans="8:8" x14ac:dyDescent="0.25">
      <c r="H3076" t="s">
        <v>3074</v>
      </c>
    </row>
    <row r="3077" spans="8:8" x14ac:dyDescent="0.25">
      <c r="H3077" t="s">
        <v>31</v>
      </c>
    </row>
    <row r="3079" spans="8:8" x14ac:dyDescent="0.25">
      <c r="H3079" t="s">
        <v>2418</v>
      </c>
    </row>
    <row r="3080" spans="8:8" x14ac:dyDescent="0.25">
      <c r="H3080" t="s">
        <v>145</v>
      </c>
    </row>
    <row r="3081" spans="8:8" x14ac:dyDescent="0.25">
      <c r="H3081" t="s">
        <v>3076</v>
      </c>
    </row>
    <row r="3082" spans="8:8" x14ac:dyDescent="0.25">
      <c r="H3082" t="s">
        <v>31</v>
      </c>
    </row>
    <row r="3083" spans="8:8" x14ac:dyDescent="0.25">
      <c r="H3083" t="s">
        <v>146</v>
      </c>
    </row>
    <row r="3084" spans="8:8" x14ac:dyDescent="0.25">
      <c r="H3084" t="s">
        <v>3077</v>
      </c>
    </row>
    <row r="3085" spans="8:8" x14ac:dyDescent="0.25">
      <c r="H3085" t="s">
        <v>31</v>
      </c>
    </row>
    <row r="3087" spans="8:8" x14ac:dyDescent="0.25">
      <c r="H3087" t="s">
        <v>2420</v>
      </c>
    </row>
    <row r="3088" spans="8:8" x14ac:dyDescent="0.25">
      <c r="H3088" t="s">
        <v>145</v>
      </c>
    </row>
    <row r="3089" spans="8:8" x14ac:dyDescent="0.25">
      <c r="H3089" t="s">
        <v>3079</v>
      </c>
    </row>
    <row r="3090" spans="8:8" x14ac:dyDescent="0.25">
      <c r="H3090" t="s">
        <v>31</v>
      </c>
    </row>
    <row r="3092" spans="8:8" x14ac:dyDescent="0.25">
      <c r="H3092" t="s">
        <v>2422</v>
      </c>
    </row>
    <row r="3093" spans="8:8" x14ac:dyDescent="0.25">
      <c r="H3093" t="s">
        <v>145</v>
      </c>
    </row>
    <row r="3094" spans="8:8" x14ac:dyDescent="0.25">
      <c r="H3094" t="s">
        <v>3081</v>
      </c>
    </row>
    <row r="3095" spans="8:8" x14ac:dyDescent="0.25">
      <c r="H3095" t="s">
        <v>31</v>
      </c>
    </row>
    <row r="3097" spans="8:8" x14ac:dyDescent="0.25">
      <c r="H3097" t="s">
        <v>2424</v>
      </c>
    </row>
    <row r="3098" spans="8:8" x14ac:dyDescent="0.25">
      <c r="H3098" t="s">
        <v>145</v>
      </c>
    </row>
    <row r="3099" spans="8:8" x14ac:dyDescent="0.25">
      <c r="H3099" t="s">
        <v>3083</v>
      </c>
    </row>
    <row r="3100" spans="8:8" x14ac:dyDescent="0.25">
      <c r="H3100" t="s">
        <v>31</v>
      </c>
    </row>
    <row r="3101" spans="8:8" x14ac:dyDescent="0.25">
      <c r="H3101" t="s">
        <v>146</v>
      </c>
    </row>
    <row r="3102" spans="8:8" x14ac:dyDescent="0.25">
      <c r="H3102" t="s">
        <v>3084</v>
      </c>
    </row>
    <row r="3103" spans="8:8" x14ac:dyDescent="0.25">
      <c r="H3103" t="s">
        <v>31</v>
      </c>
    </row>
    <row r="3105" spans="8:8" x14ac:dyDescent="0.25">
      <c r="H3105" t="s">
        <v>2426</v>
      </c>
    </row>
    <row r="3106" spans="8:8" x14ac:dyDescent="0.25">
      <c r="H3106" t="s">
        <v>145</v>
      </c>
    </row>
    <row r="3107" spans="8:8" x14ac:dyDescent="0.25">
      <c r="H3107" t="s">
        <v>3086</v>
      </c>
    </row>
    <row r="3108" spans="8:8" x14ac:dyDescent="0.25">
      <c r="H3108" t="s">
        <v>31</v>
      </c>
    </row>
    <row r="3110" spans="8:8" x14ac:dyDescent="0.25">
      <c r="H3110" t="s">
        <v>2428</v>
      </c>
    </row>
    <row r="3111" spans="8:8" x14ac:dyDescent="0.25">
      <c r="H3111" t="s">
        <v>145</v>
      </c>
    </row>
    <row r="3112" spans="8:8" x14ac:dyDescent="0.25">
      <c r="H3112" t="s">
        <v>3088</v>
      </c>
    </row>
    <row r="3113" spans="8:8" x14ac:dyDescent="0.25">
      <c r="H3113" t="s">
        <v>31</v>
      </c>
    </row>
    <row r="3115" spans="8:8" x14ac:dyDescent="0.25">
      <c r="H3115" t="s">
        <v>2430</v>
      </c>
    </row>
    <row r="3116" spans="8:8" x14ac:dyDescent="0.25">
      <c r="H3116" t="s">
        <v>145</v>
      </c>
    </row>
    <row r="3117" spans="8:8" x14ac:dyDescent="0.25">
      <c r="H3117" t="s">
        <v>3090</v>
      </c>
    </row>
    <row r="3118" spans="8:8" x14ac:dyDescent="0.25">
      <c r="H3118" t="s">
        <v>31</v>
      </c>
    </row>
    <row r="3119" spans="8:8" x14ac:dyDescent="0.25">
      <c r="H3119" t="s">
        <v>146</v>
      </c>
    </row>
    <row r="3120" spans="8:8" x14ac:dyDescent="0.25">
      <c r="H3120" t="s">
        <v>3091</v>
      </c>
    </row>
    <row r="3121" spans="8:8" x14ac:dyDescent="0.25">
      <c r="H3121" t="s">
        <v>31</v>
      </c>
    </row>
    <row r="3122" spans="8:8" x14ac:dyDescent="0.25">
      <c r="H3122" t="s">
        <v>147</v>
      </c>
    </row>
    <row r="3123" spans="8:8" x14ac:dyDescent="0.25">
      <c r="H3123" t="s">
        <v>3092</v>
      </c>
    </row>
    <row r="3124" spans="8:8" x14ac:dyDescent="0.25">
      <c r="H3124" t="s">
        <v>31</v>
      </c>
    </row>
    <row r="3125" spans="8:8" x14ac:dyDescent="0.25">
      <c r="H3125" t="s">
        <v>148</v>
      </c>
    </row>
    <row r="3126" spans="8:8" x14ac:dyDescent="0.25">
      <c r="H3126" t="s">
        <v>3093</v>
      </c>
    </row>
    <row r="3127" spans="8:8" x14ac:dyDescent="0.25">
      <c r="H3127" t="s">
        <v>31</v>
      </c>
    </row>
    <row r="3129" spans="8:8" x14ac:dyDescent="0.25">
      <c r="H3129" t="s">
        <v>2432</v>
      </c>
    </row>
    <row r="3130" spans="8:8" x14ac:dyDescent="0.25">
      <c r="H3130" t="s">
        <v>145</v>
      </c>
    </row>
    <row r="3131" spans="8:8" x14ac:dyDescent="0.25">
      <c r="H3131" t="s">
        <v>3095</v>
      </c>
    </row>
    <row r="3132" spans="8:8" x14ac:dyDescent="0.25">
      <c r="H3132" t="s">
        <v>31</v>
      </c>
    </row>
    <row r="3134" spans="8:8" x14ac:dyDescent="0.25">
      <c r="H3134" t="s">
        <v>2434</v>
      </c>
    </row>
    <row r="3135" spans="8:8" x14ac:dyDescent="0.25">
      <c r="H3135" t="s">
        <v>145</v>
      </c>
    </row>
    <row r="3136" spans="8:8" x14ac:dyDescent="0.25">
      <c r="H3136" t="s">
        <v>3097</v>
      </c>
    </row>
    <row r="3137" spans="8:8" x14ac:dyDescent="0.25">
      <c r="H3137" t="s">
        <v>31</v>
      </c>
    </row>
    <row r="3138" spans="8:8" x14ac:dyDescent="0.25">
      <c r="H3138" t="s">
        <v>146</v>
      </c>
    </row>
    <row r="3139" spans="8:8" x14ac:dyDescent="0.25">
      <c r="H3139" t="s">
        <v>3098</v>
      </c>
    </row>
    <row r="3140" spans="8:8" x14ac:dyDescent="0.25">
      <c r="H3140" t="s">
        <v>31</v>
      </c>
    </row>
    <row r="3141" spans="8:8" x14ac:dyDescent="0.25">
      <c r="H3141" t="s">
        <v>147</v>
      </c>
    </row>
    <row r="3142" spans="8:8" x14ac:dyDescent="0.25">
      <c r="H3142" t="s">
        <v>3099</v>
      </c>
    </row>
    <row r="3143" spans="8:8" x14ac:dyDescent="0.25">
      <c r="H3143" t="s">
        <v>31</v>
      </c>
    </row>
    <row r="3144" spans="8:8" x14ac:dyDescent="0.25">
      <c r="H3144" t="s">
        <v>148</v>
      </c>
    </row>
    <row r="3145" spans="8:8" x14ac:dyDescent="0.25">
      <c r="H3145" t="s">
        <v>3100</v>
      </c>
    </row>
    <row r="3146" spans="8:8" x14ac:dyDescent="0.25">
      <c r="H3146" t="s">
        <v>31</v>
      </c>
    </row>
    <row r="3148" spans="8:8" x14ac:dyDescent="0.25">
      <c r="H3148" t="s">
        <v>2438</v>
      </c>
    </row>
    <row r="3149" spans="8:8" x14ac:dyDescent="0.25">
      <c r="H3149" t="s">
        <v>145</v>
      </c>
    </row>
    <row r="3150" spans="8:8" x14ac:dyDescent="0.25">
      <c r="H3150" t="s">
        <v>3102</v>
      </c>
    </row>
    <row r="3151" spans="8:8" x14ac:dyDescent="0.25">
      <c r="H3151" t="s">
        <v>31</v>
      </c>
    </row>
    <row r="3152" spans="8:8" x14ac:dyDescent="0.25">
      <c r="H3152" t="s">
        <v>146</v>
      </c>
    </row>
    <row r="3153" spans="8:8" x14ac:dyDescent="0.25">
      <c r="H3153" t="s">
        <v>3103</v>
      </c>
    </row>
    <row r="3154" spans="8:8" x14ac:dyDescent="0.25">
      <c r="H3154" t="s">
        <v>31</v>
      </c>
    </row>
    <row r="3155" spans="8:8" x14ac:dyDescent="0.25">
      <c r="H3155" t="s">
        <v>3104</v>
      </c>
    </row>
    <row r="3156" spans="8:8" x14ac:dyDescent="0.25">
      <c r="H3156" t="s">
        <v>147</v>
      </c>
    </row>
    <row r="3157" spans="8:8" x14ac:dyDescent="0.25">
      <c r="H3157" t="s">
        <v>3105</v>
      </c>
    </row>
    <row r="3158" spans="8:8" x14ac:dyDescent="0.25">
      <c r="H3158" t="s">
        <v>31</v>
      </c>
    </row>
    <row r="3160" spans="8:8" x14ac:dyDescent="0.25">
      <c r="H3160" t="s">
        <v>2443</v>
      </c>
    </row>
    <row r="3161" spans="8:8" x14ac:dyDescent="0.25">
      <c r="H3161" t="s">
        <v>145</v>
      </c>
    </row>
    <row r="3162" spans="8:8" x14ac:dyDescent="0.25">
      <c r="H3162" t="s">
        <v>3107</v>
      </c>
    </row>
    <row r="3163" spans="8:8" x14ac:dyDescent="0.25">
      <c r="H3163" t="s">
        <v>31</v>
      </c>
    </row>
    <row r="3165" spans="8:8" x14ac:dyDescent="0.25">
      <c r="H3165" t="s">
        <v>2447</v>
      </c>
    </row>
    <row r="3166" spans="8:8" x14ac:dyDescent="0.25">
      <c r="H3166" t="s">
        <v>145</v>
      </c>
    </row>
    <row r="3167" spans="8:8" x14ac:dyDescent="0.25">
      <c r="H3167" t="s">
        <v>3109</v>
      </c>
    </row>
    <row r="3168" spans="8:8" x14ac:dyDescent="0.25">
      <c r="H3168" t="s">
        <v>31</v>
      </c>
    </row>
    <row r="3170" spans="8:8" x14ac:dyDescent="0.25">
      <c r="H3170" t="s">
        <v>2449</v>
      </c>
    </row>
    <row r="3171" spans="8:8" x14ac:dyDescent="0.25">
      <c r="H3171" t="s">
        <v>145</v>
      </c>
    </row>
    <row r="3172" spans="8:8" x14ac:dyDescent="0.25">
      <c r="H3172" t="s">
        <v>3111</v>
      </c>
    </row>
    <row r="3173" spans="8:8" x14ac:dyDescent="0.25">
      <c r="H3173" t="s">
        <v>31</v>
      </c>
    </row>
    <row r="3175" spans="8:8" x14ac:dyDescent="0.25">
      <c r="H3175" t="s">
        <v>2451</v>
      </c>
    </row>
    <row r="3176" spans="8:8" x14ac:dyDescent="0.25">
      <c r="H3176" t="s">
        <v>145</v>
      </c>
    </row>
    <row r="3177" spans="8:8" x14ac:dyDescent="0.25">
      <c r="H3177" t="s">
        <v>3113</v>
      </c>
    </row>
    <row r="3178" spans="8:8" x14ac:dyDescent="0.25">
      <c r="H3178" t="s">
        <v>31</v>
      </c>
    </row>
    <row r="3180" spans="8:8" x14ac:dyDescent="0.25">
      <c r="H3180" t="s">
        <v>2454</v>
      </c>
    </row>
    <row r="3181" spans="8:8" x14ac:dyDescent="0.25">
      <c r="H3181" t="s">
        <v>145</v>
      </c>
    </row>
    <row r="3182" spans="8:8" x14ac:dyDescent="0.25">
      <c r="H3182" t="s">
        <v>3115</v>
      </c>
    </row>
    <row r="3183" spans="8:8" x14ac:dyDescent="0.25">
      <c r="H3183" t="s">
        <v>31</v>
      </c>
    </row>
    <row r="3185" spans="8:8" x14ac:dyDescent="0.25">
      <c r="H3185" t="s">
        <v>2456</v>
      </c>
    </row>
    <row r="3186" spans="8:8" x14ac:dyDescent="0.25">
      <c r="H3186" t="s">
        <v>145</v>
      </c>
    </row>
    <row r="3187" spans="8:8" x14ac:dyDescent="0.25">
      <c r="H3187" t="s">
        <v>3117</v>
      </c>
    </row>
    <row r="3188" spans="8:8" x14ac:dyDescent="0.25">
      <c r="H3188" t="s">
        <v>31</v>
      </c>
    </row>
    <row r="3190" spans="8:8" x14ac:dyDescent="0.25">
      <c r="H3190" t="s">
        <v>2458</v>
      </c>
    </row>
    <row r="3191" spans="8:8" x14ac:dyDescent="0.25">
      <c r="H3191" t="s">
        <v>145</v>
      </c>
    </row>
    <row r="3192" spans="8:8" x14ac:dyDescent="0.25">
      <c r="H3192" t="s">
        <v>3119</v>
      </c>
    </row>
    <row r="3193" spans="8:8" x14ac:dyDescent="0.25">
      <c r="H3193" t="s">
        <v>31</v>
      </c>
    </row>
    <row r="3195" spans="8:8" x14ac:dyDescent="0.25">
      <c r="H3195" t="s">
        <v>2461</v>
      </c>
    </row>
    <row r="3196" spans="8:8" x14ac:dyDescent="0.25">
      <c r="H3196" t="s">
        <v>145</v>
      </c>
    </row>
    <row r="3197" spans="8:8" x14ac:dyDescent="0.25">
      <c r="H3197" t="s">
        <v>3121</v>
      </c>
    </row>
    <row r="3198" spans="8:8" x14ac:dyDescent="0.25">
      <c r="H3198" t="s">
        <v>31</v>
      </c>
    </row>
    <row r="3200" spans="8:8" x14ac:dyDescent="0.25">
      <c r="H3200" t="s">
        <v>2463</v>
      </c>
    </row>
    <row r="3201" spans="8:8" x14ac:dyDescent="0.25">
      <c r="H3201" t="s">
        <v>145</v>
      </c>
    </row>
    <row r="3202" spans="8:8" x14ac:dyDescent="0.25">
      <c r="H3202" t="s">
        <v>3123</v>
      </c>
    </row>
    <row r="3203" spans="8:8" x14ac:dyDescent="0.25">
      <c r="H3203" t="s">
        <v>31</v>
      </c>
    </row>
    <row r="3205" spans="8:8" x14ac:dyDescent="0.25">
      <c r="H3205" t="s">
        <v>2465</v>
      </c>
    </row>
    <row r="3206" spans="8:8" x14ac:dyDescent="0.25">
      <c r="H3206" t="s">
        <v>145</v>
      </c>
    </row>
    <row r="3207" spans="8:8" x14ac:dyDescent="0.25">
      <c r="H3207" t="s">
        <v>3125</v>
      </c>
    </row>
    <row r="3208" spans="8:8" x14ac:dyDescent="0.25">
      <c r="H3208" t="s">
        <v>31</v>
      </c>
    </row>
    <row r="3210" spans="8:8" x14ac:dyDescent="0.25">
      <c r="H3210" t="s">
        <v>2468</v>
      </c>
    </row>
    <row r="3211" spans="8:8" x14ac:dyDescent="0.25">
      <c r="H3211" t="s">
        <v>145</v>
      </c>
    </row>
    <row r="3212" spans="8:8" x14ac:dyDescent="0.25">
      <c r="H3212" t="s">
        <v>3127</v>
      </c>
    </row>
    <row r="3213" spans="8:8" x14ac:dyDescent="0.25">
      <c r="H3213" t="s">
        <v>31</v>
      </c>
    </row>
    <row r="3215" spans="8:8" x14ac:dyDescent="0.25">
      <c r="H3215" t="s">
        <v>2470</v>
      </c>
    </row>
    <row r="3216" spans="8:8" x14ac:dyDescent="0.25">
      <c r="H3216" t="s">
        <v>145</v>
      </c>
    </row>
    <row r="3217" spans="8:8" x14ac:dyDescent="0.25">
      <c r="H3217" t="s">
        <v>3129</v>
      </c>
    </row>
    <row r="3218" spans="8:8" x14ac:dyDescent="0.25">
      <c r="H3218" t="s">
        <v>31</v>
      </c>
    </row>
    <row r="3220" spans="8:8" x14ac:dyDescent="0.25">
      <c r="H3220" t="s">
        <v>2472</v>
      </c>
    </row>
    <row r="3221" spans="8:8" x14ac:dyDescent="0.25">
      <c r="H3221" t="s">
        <v>145</v>
      </c>
    </row>
    <row r="3222" spans="8:8" x14ac:dyDescent="0.25">
      <c r="H3222" t="s">
        <v>3131</v>
      </c>
    </row>
    <row r="3223" spans="8:8" x14ac:dyDescent="0.25">
      <c r="H3223" t="s">
        <v>31</v>
      </c>
    </row>
    <row r="3225" spans="8:8" x14ac:dyDescent="0.25">
      <c r="H3225" t="s">
        <v>2477</v>
      </c>
    </row>
    <row r="3226" spans="8:8" x14ac:dyDescent="0.25">
      <c r="H3226" t="s">
        <v>145</v>
      </c>
    </row>
    <row r="3227" spans="8:8" x14ac:dyDescent="0.25">
      <c r="H3227" t="s">
        <v>3133</v>
      </c>
    </row>
    <row r="3228" spans="8:8" x14ac:dyDescent="0.25">
      <c r="H3228" t="s">
        <v>31</v>
      </c>
    </row>
    <row r="3230" spans="8:8" x14ac:dyDescent="0.25">
      <c r="H3230" t="s">
        <v>2479</v>
      </c>
    </row>
    <row r="3231" spans="8:8" x14ac:dyDescent="0.25">
      <c r="H3231" t="s">
        <v>145</v>
      </c>
    </row>
    <row r="3232" spans="8:8" x14ac:dyDescent="0.25">
      <c r="H3232" t="s">
        <v>3135</v>
      </c>
    </row>
    <row r="3233" spans="8:8" x14ac:dyDescent="0.25">
      <c r="H3233" t="s">
        <v>31</v>
      </c>
    </row>
    <row r="3234" spans="8:8" x14ac:dyDescent="0.25">
      <c r="H3234" t="s">
        <v>146</v>
      </c>
    </row>
    <row r="3235" spans="8:8" x14ac:dyDescent="0.25">
      <c r="H3235" t="s">
        <v>3136</v>
      </c>
    </row>
    <row r="3236" spans="8:8" x14ac:dyDescent="0.25">
      <c r="H3236" t="s">
        <v>31</v>
      </c>
    </row>
    <row r="3238" spans="8:8" x14ac:dyDescent="0.25">
      <c r="H3238" t="s">
        <v>2484</v>
      </c>
    </row>
    <row r="3239" spans="8:8" x14ac:dyDescent="0.25">
      <c r="H3239" t="s">
        <v>145</v>
      </c>
    </row>
    <row r="3240" spans="8:8" x14ac:dyDescent="0.25">
      <c r="H3240" t="s">
        <v>3138</v>
      </c>
    </row>
    <row r="3241" spans="8:8" x14ac:dyDescent="0.25">
      <c r="H3241" t="s">
        <v>31</v>
      </c>
    </row>
    <row r="3242" spans="8:8" x14ac:dyDescent="0.25">
      <c r="H3242" t="s">
        <v>146</v>
      </c>
    </row>
    <row r="3243" spans="8:8" x14ac:dyDescent="0.25">
      <c r="H3243" t="s">
        <v>3139</v>
      </c>
    </row>
    <row r="3244" spans="8:8" x14ac:dyDescent="0.25">
      <c r="H3244" t="s">
        <v>31</v>
      </c>
    </row>
    <row r="3245" spans="8:8" x14ac:dyDescent="0.25">
      <c r="H3245" t="s">
        <v>147</v>
      </c>
    </row>
    <row r="3246" spans="8:8" x14ac:dyDescent="0.25">
      <c r="H3246" t="s">
        <v>3140</v>
      </c>
    </row>
    <row r="3247" spans="8:8" x14ac:dyDescent="0.25">
      <c r="H3247" t="s">
        <v>31</v>
      </c>
    </row>
    <row r="3248" spans="8:8" x14ac:dyDescent="0.25">
      <c r="H3248" t="s">
        <v>148</v>
      </c>
    </row>
    <row r="3249" spans="8:8" x14ac:dyDescent="0.25">
      <c r="H3249" t="s">
        <v>3141</v>
      </c>
    </row>
    <row r="3250" spans="8:8" x14ac:dyDescent="0.25">
      <c r="H3250" t="s">
        <v>31</v>
      </c>
    </row>
    <row r="3252" spans="8:8" x14ac:dyDescent="0.25">
      <c r="H3252" t="s">
        <v>2489</v>
      </c>
    </row>
    <row r="3253" spans="8:8" x14ac:dyDescent="0.25">
      <c r="H3253" t="s">
        <v>145</v>
      </c>
    </row>
    <row r="3254" spans="8:8" x14ac:dyDescent="0.25">
      <c r="H3254" t="s">
        <v>3143</v>
      </c>
    </row>
    <row r="3255" spans="8:8" x14ac:dyDescent="0.25">
      <c r="H3255" t="s">
        <v>31</v>
      </c>
    </row>
    <row r="3256" spans="8:8" x14ac:dyDescent="0.25">
      <c r="H3256" t="s">
        <v>146</v>
      </c>
    </row>
    <row r="3257" spans="8:8" x14ac:dyDescent="0.25">
      <c r="H3257" t="s">
        <v>3144</v>
      </c>
    </row>
    <row r="3258" spans="8:8" x14ac:dyDescent="0.25">
      <c r="H3258" t="s">
        <v>31</v>
      </c>
    </row>
    <row r="3259" spans="8:8" x14ac:dyDescent="0.25">
      <c r="H3259" t="s">
        <v>147</v>
      </c>
    </row>
    <row r="3260" spans="8:8" x14ac:dyDescent="0.25">
      <c r="H3260" t="s">
        <v>3145</v>
      </c>
    </row>
    <row r="3261" spans="8:8" x14ac:dyDescent="0.25">
      <c r="H3261" t="s">
        <v>31</v>
      </c>
    </row>
    <row r="3262" spans="8:8" x14ac:dyDescent="0.25">
      <c r="H3262" t="s">
        <v>148</v>
      </c>
    </row>
    <row r="3263" spans="8:8" x14ac:dyDescent="0.25">
      <c r="H3263" t="s">
        <v>3146</v>
      </c>
    </row>
    <row r="3264" spans="8:8" x14ac:dyDescent="0.25">
      <c r="H3264" t="s">
        <v>31</v>
      </c>
    </row>
    <row r="3266" spans="8:8" x14ac:dyDescent="0.25">
      <c r="H3266" t="s">
        <v>2491</v>
      </c>
    </row>
    <row r="3267" spans="8:8" x14ac:dyDescent="0.25">
      <c r="H3267" t="s">
        <v>145</v>
      </c>
    </row>
    <row r="3268" spans="8:8" x14ac:dyDescent="0.25">
      <c r="H3268" t="s">
        <v>3148</v>
      </c>
    </row>
    <row r="3269" spans="8:8" x14ac:dyDescent="0.25">
      <c r="H3269" t="s">
        <v>31</v>
      </c>
    </row>
    <row r="3270" spans="8:8" x14ac:dyDescent="0.25">
      <c r="H3270" t="s">
        <v>146</v>
      </c>
    </row>
    <row r="3271" spans="8:8" x14ac:dyDescent="0.25">
      <c r="H3271" t="s">
        <v>3149</v>
      </c>
    </row>
    <row r="3272" spans="8:8" x14ac:dyDescent="0.25">
      <c r="H3272" t="s">
        <v>31</v>
      </c>
    </row>
    <row r="3273" spans="8:8" x14ac:dyDescent="0.25">
      <c r="H3273" t="s">
        <v>147</v>
      </c>
    </row>
    <row r="3274" spans="8:8" x14ac:dyDescent="0.25">
      <c r="H3274" t="s">
        <v>3150</v>
      </c>
    </row>
    <row r="3275" spans="8:8" x14ac:dyDescent="0.25">
      <c r="H3275" t="s">
        <v>31</v>
      </c>
    </row>
    <row r="3276" spans="8:8" x14ac:dyDescent="0.25">
      <c r="H3276" t="s">
        <v>148</v>
      </c>
    </row>
    <row r="3277" spans="8:8" x14ac:dyDescent="0.25">
      <c r="H3277" t="s">
        <v>3151</v>
      </c>
    </row>
    <row r="3278" spans="8:8" x14ac:dyDescent="0.25">
      <c r="H3278" t="s">
        <v>31</v>
      </c>
    </row>
    <row r="3280" spans="8:8" x14ac:dyDescent="0.25">
      <c r="H3280" t="s">
        <v>2493</v>
      </c>
    </row>
    <row r="3281" spans="8:8" x14ac:dyDescent="0.25">
      <c r="H3281" t="s">
        <v>145</v>
      </c>
    </row>
    <row r="3282" spans="8:8" x14ac:dyDescent="0.25">
      <c r="H3282" t="s">
        <v>3153</v>
      </c>
    </row>
    <row r="3283" spans="8:8" x14ac:dyDescent="0.25">
      <c r="H3283" t="s">
        <v>31</v>
      </c>
    </row>
    <row r="3284" spans="8:8" x14ac:dyDescent="0.25">
      <c r="H3284" t="s">
        <v>146</v>
      </c>
    </row>
    <row r="3285" spans="8:8" x14ac:dyDescent="0.25">
      <c r="H3285" t="s">
        <v>3154</v>
      </c>
    </row>
    <row r="3286" spans="8:8" x14ac:dyDescent="0.25">
      <c r="H3286" t="s">
        <v>31</v>
      </c>
    </row>
    <row r="3287" spans="8:8" x14ac:dyDescent="0.25">
      <c r="H3287" t="s">
        <v>147</v>
      </c>
    </row>
    <row r="3288" spans="8:8" x14ac:dyDescent="0.25">
      <c r="H3288" t="s">
        <v>3155</v>
      </c>
    </row>
    <row r="3289" spans="8:8" x14ac:dyDescent="0.25">
      <c r="H3289" t="s">
        <v>31</v>
      </c>
    </row>
    <row r="3290" spans="8:8" x14ac:dyDescent="0.25">
      <c r="H3290" t="s">
        <v>148</v>
      </c>
    </row>
    <row r="3291" spans="8:8" x14ac:dyDescent="0.25">
      <c r="H3291" t="s">
        <v>3156</v>
      </c>
    </row>
    <row r="3292" spans="8:8" x14ac:dyDescent="0.25">
      <c r="H3292" t="s">
        <v>31</v>
      </c>
    </row>
    <row r="3294" spans="8:8" x14ac:dyDescent="0.25">
      <c r="H3294" t="s">
        <v>2495</v>
      </c>
    </row>
    <row r="3295" spans="8:8" x14ac:dyDescent="0.25">
      <c r="H3295" t="s">
        <v>145</v>
      </c>
    </row>
    <row r="3296" spans="8:8" x14ac:dyDescent="0.25">
      <c r="H3296" t="s">
        <v>3158</v>
      </c>
    </row>
    <row r="3297" spans="8:8" x14ac:dyDescent="0.25">
      <c r="H3297" t="s">
        <v>31</v>
      </c>
    </row>
    <row r="3298" spans="8:8" x14ac:dyDescent="0.25">
      <c r="H3298" t="s">
        <v>146</v>
      </c>
    </row>
    <row r="3299" spans="8:8" x14ac:dyDescent="0.25">
      <c r="H3299" t="s">
        <v>3159</v>
      </c>
    </row>
    <row r="3300" spans="8:8" x14ac:dyDescent="0.25">
      <c r="H3300" t="s">
        <v>31</v>
      </c>
    </row>
    <row r="3301" spans="8:8" x14ac:dyDescent="0.25">
      <c r="H3301" t="s">
        <v>147</v>
      </c>
    </row>
    <row r="3302" spans="8:8" x14ac:dyDescent="0.25">
      <c r="H3302" t="s">
        <v>3160</v>
      </c>
    </row>
    <row r="3303" spans="8:8" x14ac:dyDescent="0.25">
      <c r="H3303" t="s">
        <v>31</v>
      </c>
    </row>
    <row r="3304" spans="8:8" x14ac:dyDescent="0.25">
      <c r="H3304" t="s">
        <v>148</v>
      </c>
    </row>
    <row r="3305" spans="8:8" x14ac:dyDescent="0.25">
      <c r="H3305" t="s">
        <v>3161</v>
      </c>
    </row>
    <row r="3306" spans="8:8" x14ac:dyDescent="0.25">
      <c r="H3306" t="s">
        <v>31</v>
      </c>
    </row>
    <row r="3308" spans="8:8" x14ac:dyDescent="0.25">
      <c r="H3308" t="s">
        <v>2497</v>
      </c>
    </row>
    <row r="3309" spans="8:8" x14ac:dyDescent="0.25">
      <c r="H3309" t="s">
        <v>145</v>
      </c>
    </row>
    <row r="3310" spans="8:8" x14ac:dyDescent="0.25">
      <c r="H3310" t="s">
        <v>3163</v>
      </c>
    </row>
    <row r="3311" spans="8:8" x14ac:dyDescent="0.25">
      <c r="H3311" t="s">
        <v>31</v>
      </c>
    </row>
    <row r="3312" spans="8:8" x14ac:dyDescent="0.25">
      <c r="H3312" t="s">
        <v>146</v>
      </c>
    </row>
    <row r="3313" spans="8:8" x14ac:dyDescent="0.25">
      <c r="H3313" t="s">
        <v>3164</v>
      </c>
    </row>
    <row r="3314" spans="8:8" x14ac:dyDescent="0.25">
      <c r="H3314" t="s">
        <v>31</v>
      </c>
    </row>
    <row r="3315" spans="8:8" x14ac:dyDescent="0.25">
      <c r="H3315" t="s">
        <v>147</v>
      </c>
    </row>
    <row r="3316" spans="8:8" x14ac:dyDescent="0.25">
      <c r="H3316" t="s">
        <v>3165</v>
      </c>
    </row>
    <row r="3317" spans="8:8" x14ac:dyDescent="0.25">
      <c r="H3317" t="s">
        <v>31</v>
      </c>
    </row>
    <row r="3318" spans="8:8" x14ac:dyDescent="0.25">
      <c r="H3318" t="s">
        <v>148</v>
      </c>
    </row>
    <row r="3319" spans="8:8" x14ac:dyDescent="0.25">
      <c r="H3319" t="s">
        <v>3166</v>
      </c>
    </row>
    <row r="3320" spans="8:8" x14ac:dyDescent="0.25">
      <c r="H3320" t="s">
        <v>31</v>
      </c>
    </row>
    <row r="3322" spans="8:8" x14ac:dyDescent="0.25">
      <c r="H3322" t="s">
        <v>2499</v>
      </c>
    </row>
    <row r="3323" spans="8:8" x14ac:dyDescent="0.25">
      <c r="H3323" t="s">
        <v>145</v>
      </c>
    </row>
    <row r="3324" spans="8:8" x14ac:dyDescent="0.25">
      <c r="H3324" t="s">
        <v>3168</v>
      </c>
    </row>
    <row r="3325" spans="8:8" x14ac:dyDescent="0.25">
      <c r="H3325" t="s">
        <v>31</v>
      </c>
    </row>
    <row r="3326" spans="8:8" x14ac:dyDescent="0.25">
      <c r="H3326" t="s">
        <v>146</v>
      </c>
    </row>
    <row r="3327" spans="8:8" x14ac:dyDescent="0.25">
      <c r="H3327" t="s">
        <v>3169</v>
      </c>
    </row>
    <row r="3328" spans="8:8" x14ac:dyDescent="0.25">
      <c r="H3328" t="s">
        <v>31</v>
      </c>
    </row>
    <row r="3329" spans="8:8" x14ac:dyDescent="0.25">
      <c r="H3329" t="s">
        <v>147</v>
      </c>
    </row>
    <row r="3330" spans="8:8" x14ac:dyDescent="0.25">
      <c r="H3330" t="s">
        <v>3170</v>
      </c>
    </row>
    <row r="3331" spans="8:8" x14ac:dyDescent="0.25">
      <c r="H3331" t="s">
        <v>31</v>
      </c>
    </row>
    <row r="3332" spans="8:8" x14ac:dyDescent="0.25">
      <c r="H3332" t="s">
        <v>148</v>
      </c>
    </row>
    <row r="3333" spans="8:8" x14ac:dyDescent="0.25">
      <c r="H3333" t="s">
        <v>3171</v>
      </c>
    </row>
    <row r="3334" spans="8:8" x14ac:dyDescent="0.25">
      <c r="H3334" t="s">
        <v>31</v>
      </c>
    </row>
    <row r="3336" spans="8:8" x14ac:dyDescent="0.25">
      <c r="H3336" t="s">
        <v>2501</v>
      </c>
    </row>
    <row r="3337" spans="8:8" x14ac:dyDescent="0.25">
      <c r="H3337" t="s">
        <v>145</v>
      </c>
    </row>
    <row r="3338" spans="8:8" x14ac:dyDescent="0.25">
      <c r="H3338" t="s">
        <v>3173</v>
      </c>
    </row>
    <row r="3339" spans="8:8" x14ac:dyDescent="0.25">
      <c r="H3339" t="s">
        <v>31</v>
      </c>
    </row>
    <row r="3340" spans="8:8" x14ac:dyDescent="0.25">
      <c r="H3340" t="s">
        <v>146</v>
      </c>
    </row>
    <row r="3341" spans="8:8" x14ac:dyDescent="0.25">
      <c r="H3341" t="s">
        <v>3174</v>
      </c>
    </row>
    <row r="3342" spans="8:8" x14ac:dyDescent="0.25">
      <c r="H3342" t="s">
        <v>31</v>
      </c>
    </row>
    <row r="3343" spans="8:8" x14ac:dyDescent="0.25">
      <c r="H3343" t="s">
        <v>147</v>
      </c>
    </row>
    <row r="3344" spans="8:8" x14ac:dyDescent="0.25">
      <c r="H3344" t="s">
        <v>3175</v>
      </c>
    </row>
    <row r="3345" spans="8:8" x14ac:dyDescent="0.25">
      <c r="H3345" t="s">
        <v>31</v>
      </c>
    </row>
    <row r="3346" spans="8:8" x14ac:dyDescent="0.25">
      <c r="H3346" t="s">
        <v>148</v>
      </c>
    </row>
    <row r="3347" spans="8:8" x14ac:dyDescent="0.25">
      <c r="H3347" t="s">
        <v>3176</v>
      </c>
    </row>
    <row r="3348" spans="8:8" x14ac:dyDescent="0.25">
      <c r="H3348" t="s">
        <v>31</v>
      </c>
    </row>
    <row r="3350" spans="8:8" x14ac:dyDescent="0.25">
      <c r="H3350" t="s">
        <v>2503</v>
      </c>
    </row>
    <row r="3351" spans="8:8" x14ac:dyDescent="0.25">
      <c r="H3351" t="s">
        <v>145</v>
      </c>
    </row>
    <row r="3352" spans="8:8" x14ac:dyDescent="0.25">
      <c r="H3352" t="s">
        <v>3178</v>
      </c>
    </row>
    <row r="3353" spans="8:8" x14ac:dyDescent="0.25">
      <c r="H3353" t="s">
        <v>31</v>
      </c>
    </row>
    <row r="3354" spans="8:8" x14ac:dyDescent="0.25">
      <c r="H3354" t="s">
        <v>146</v>
      </c>
    </row>
    <row r="3355" spans="8:8" x14ac:dyDescent="0.25">
      <c r="H3355" t="s">
        <v>3179</v>
      </c>
    </row>
    <row r="3356" spans="8:8" x14ac:dyDescent="0.25">
      <c r="H3356" t="s">
        <v>31</v>
      </c>
    </row>
    <row r="3357" spans="8:8" x14ac:dyDescent="0.25">
      <c r="H3357" t="s">
        <v>147</v>
      </c>
    </row>
    <row r="3358" spans="8:8" x14ac:dyDescent="0.25">
      <c r="H3358" t="s">
        <v>3180</v>
      </c>
    </row>
    <row r="3359" spans="8:8" x14ac:dyDescent="0.25">
      <c r="H3359" t="s">
        <v>31</v>
      </c>
    </row>
    <row r="3360" spans="8:8" x14ac:dyDescent="0.25">
      <c r="H3360" t="s">
        <v>148</v>
      </c>
    </row>
    <row r="3361" spans="8:8" x14ac:dyDescent="0.25">
      <c r="H3361" t="s">
        <v>3181</v>
      </c>
    </row>
    <row r="3362" spans="8:8" x14ac:dyDescent="0.25">
      <c r="H3362" t="s">
        <v>31</v>
      </c>
    </row>
    <row r="3364" spans="8:8" x14ac:dyDescent="0.25">
      <c r="H3364" t="s">
        <v>2505</v>
      </c>
    </row>
    <row r="3365" spans="8:8" x14ac:dyDescent="0.25">
      <c r="H3365" t="s">
        <v>145</v>
      </c>
    </row>
    <row r="3366" spans="8:8" x14ac:dyDescent="0.25">
      <c r="H3366" t="s">
        <v>3183</v>
      </c>
    </row>
    <row r="3367" spans="8:8" x14ac:dyDescent="0.25">
      <c r="H3367" t="s">
        <v>31</v>
      </c>
    </row>
    <row r="3368" spans="8:8" x14ac:dyDescent="0.25">
      <c r="H3368" t="s">
        <v>146</v>
      </c>
    </row>
    <row r="3369" spans="8:8" x14ac:dyDescent="0.25">
      <c r="H3369" t="s">
        <v>3184</v>
      </c>
    </row>
    <row r="3370" spans="8:8" x14ac:dyDescent="0.25">
      <c r="H3370" t="s">
        <v>31</v>
      </c>
    </row>
    <row r="3371" spans="8:8" x14ac:dyDescent="0.25">
      <c r="H3371" t="s">
        <v>147</v>
      </c>
    </row>
    <row r="3372" spans="8:8" x14ac:dyDescent="0.25">
      <c r="H3372" t="s">
        <v>3185</v>
      </c>
    </row>
    <row r="3373" spans="8:8" x14ac:dyDescent="0.25">
      <c r="H3373" t="s">
        <v>31</v>
      </c>
    </row>
    <row r="3374" spans="8:8" x14ac:dyDescent="0.25">
      <c r="H3374" t="s">
        <v>148</v>
      </c>
    </row>
    <row r="3375" spans="8:8" x14ac:dyDescent="0.25">
      <c r="H3375" t="s">
        <v>3186</v>
      </c>
    </row>
    <row r="3376" spans="8:8" x14ac:dyDescent="0.25">
      <c r="H3376" t="s">
        <v>31</v>
      </c>
    </row>
    <row r="3378" spans="8:8" x14ac:dyDescent="0.25">
      <c r="H3378" t="s">
        <v>2507</v>
      </c>
    </row>
    <row r="3379" spans="8:8" x14ac:dyDescent="0.25">
      <c r="H3379" t="s">
        <v>145</v>
      </c>
    </row>
    <row r="3380" spans="8:8" x14ac:dyDescent="0.25">
      <c r="H3380" t="s">
        <v>3188</v>
      </c>
    </row>
    <row r="3381" spans="8:8" x14ac:dyDescent="0.25">
      <c r="H3381" t="s">
        <v>31</v>
      </c>
    </row>
    <row r="3382" spans="8:8" x14ac:dyDescent="0.25">
      <c r="H3382" t="s">
        <v>146</v>
      </c>
    </row>
    <row r="3383" spans="8:8" x14ac:dyDescent="0.25">
      <c r="H3383" t="s">
        <v>3189</v>
      </c>
    </row>
    <row r="3384" spans="8:8" x14ac:dyDescent="0.25">
      <c r="H3384" t="s">
        <v>31</v>
      </c>
    </row>
    <row r="3385" spans="8:8" x14ac:dyDescent="0.25">
      <c r="H3385" t="s">
        <v>147</v>
      </c>
    </row>
    <row r="3386" spans="8:8" x14ac:dyDescent="0.25">
      <c r="H3386" t="s">
        <v>3190</v>
      </c>
    </row>
    <row r="3387" spans="8:8" x14ac:dyDescent="0.25">
      <c r="H3387" t="s">
        <v>31</v>
      </c>
    </row>
    <row r="3388" spans="8:8" x14ac:dyDescent="0.25">
      <c r="H3388" t="s">
        <v>148</v>
      </c>
    </row>
    <row r="3389" spans="8:8" x14ac:dyDescent="0.25">
      <c r="H3389" t="s">
        <v>3191</v>
      </c>
    </row>
    <row r="3390" spans="8:8" x14ac:dyDescent="0.25">
      <c r="H3390" t="s">
        <v>31</v>
      </c>
    </row>
    <row r="3392" spans="8:8" x14ac:dyDescent="0.25">
      <c r="H3392" t="s">
        <v>2509</v>
      </c>
    </row>
    <row r="3393" spans="8:8" x14ac:dyDescent="0.25">
      <c r="H3393" t="s">
        <v>145</v>
      </c>
    </row>
    <row r="3394" spans="8:8" x14ac:dyDescent="0.25">
      <c r="H3394" t="s">
        <v>3193</v>
      </c>
    </row>
    <row r="3395" spans="8:8" x14ac:dyDescent="0.25">
      <c r="H3395" t="s">
        <v>31</v>
      </c>
    </row>
    <row r="3396" spans="8:8" x14ac:dyDescent="0.25">
      <c r="H3396" t="s">
        <v>146</v>
      </c>
    </row>
    <row r="3397" spans="8:8" x14ac:dyDescent="0.25">
      <c r="H3397" t="s">
        <v>3194</v>
      </c>
    </row>
    <row r="3398" spans="8:8" x14ac:dyDescent="0.25">
      <c r="H3398" t="s">
        <v>31</v>
      </c>
    </row>
    <row r="3399" spans="8:8" x14ac:dyDescent="0.25">
      <c r="H3399" t="s">
        <v>147</v>
      </c>
    </row>
    <row r="3400" spans="8:8" x14ac:dyDescent="0.25">
      <c r="H3400" t="s">
        <v>3195</v>
      </c>
    </row>
    <row r="3401" spans="8:8" x14ac:dyDescent="0.25">
      <c r="H3401" t="s">
        <v>31</v>
      </c>
    </row>
    <row r="3402" spans="8:8" x14ac:dyDescent="0.25">
      <c r="H3402" t="s">
        <v>148</v>
      </c>
    </row>
    <row r="3403" spans="8:8" x14ac:dyDescent="0.25">
      <c r="H3403" t="s">
        <v>3196</v>
      </c>
    </row>
    <row r="3404" spans="8:8" x14ac:dyDescent="0.25">
      <c r="H3404" t="s">
        <v>31</v>
      </c>
    </row>
    <row r="3406" spans="8:8" x14ac:dyDescent="0.25">
      <c r="H3406" t="s">
        <v>2511</v>
      </c>
    </row>
    <row r="3407" spans="8:8" x14ac:dyDescent="0.25">
      <c r="H3407" t="s">
        <v>145</v>
      </c>
    </row>
    <row r="3408" spans="8:8" x14ac:dyDescent="0.25">
      <c r="H3408" t="s">
        <v>3198</v>
      </c>
    </row>
    <row r="3409" spans="8:8" x14ac:dyDescent="0.25">
      <c r="H3409" t="s">
        <v>31</v>
      </c>
    </row>
    <row r="3410" spans="8:8" x14ac:dyDescent="0.25">
      <c r="H3410" t="s">
        <v>146</v>
      </c>
    </row>
    <row r="3411" spans="8:8" x14ac:dyDescent="0.25">
      <c r="H3411" t="s">
        <v>3199</v>
      </c>
    </row>
    <row r="3412" spans="8:8" x14ac:dyDescent="0.25">
      <c r="H3412" t="s">
        <v>31</v>
      </c>
    </row>
    <row r="3413" spans="8:8" x14ac:dyDescent="0.25">
      <c r="H3413" t="s">
        <v>147</v>
      </c>
    </row>
    <row r="3414" spans="8:8" x14ac:dyDescent="0.25">
      <c r="H3414" t="s">
        <v>3200</v>
      </c>
    </row>
    <row r="3415" spans="8:8" x14ac:dyDescent="0.25">
      <c r="H3415" t="s">
        <v>31</v>
      </c>
    </row>
    <row r="3416" spans="8:8" x14ac:dyDescent="0.25">
      <c r="H3416" t="s">
        <v>148</v>
      </c>
    </row>
    <row r="3417" spans="8:8" x14ac:dyDescent="0.25">
      <c r="H3417" t="s">
        <v>3201</v>
      </c>
    </row>
    <row r="3418" spans="8:8" x14ac:dyDescent="0.25">
      <c r="H3418" t="s">
        <v>31</v>
      </c>
    </row>
    <row r="3420" spans="8:8" x14ac:dyDescent="0.25">
      <c r="H3420" t="s">
        <v>2513</v>
      </c>
    </row>
    <row r="3421" spans="8:8" x14ac:dyDescent="0.25">
      <c r="H3421" t="s">
        <v>145</v>
      </c>
    </row>
    <row r="3422" spans="8:8" x14ac:dyDescent="0.25">
      <c r="H3422" t="s">
        <v>3203</v>
      </c>
    </row>
    <row r="3423" spans="8:8" x14ac:dyDescent="0.25">
      <c r="H3423" t="s">
        <v>31</v>
      </c>
    </row>
    <row r="3424" spans="8:8" x14ac:dyDescent="0.25">
      <c r="H3424" t="s">
        <v>146</v>
      </c>
    </row>
    <row r="3425" spans="8:8" x14ac:dyDescent="0.25">
      <c r="H3425" t="s">
        <v>3204</v>
      </c>
    </row>
    <row r="3426" spans="8:8" x14ac:dyDescent="0.25">
      <c r="H3426" t="s">
        <v>31</v>
      </c>
    </row>
    <row r="3427" spans="8:8" x14ac:dyDescent="0.25">
      <c r="H3427" t="s">
        <v>147</v>
      </c>
    </row>
    <row r="3428" spans="8:8" x14ac:dyDescent="0.25">
      <c r="H3428" t="s">
        <v>3205</v>
      </c>
    </row>
    <row r="3429" spans="8:8" x14ac:dyDescent="0.25">
      <c r="H3429" t="s">
        <v>31</v>
      </c>
    </row>
    <row r="3430" spans="8:8" x14ac:dyDescent="0.25">
      <c r="H3430" t="s">
        <v>148</v>
      </c>
    </row>
    <row r="3431" spans="8:8" x14ac:dyDescent="0.25">
      <c r="H3431" t="s">
        <v>3206</v>
      </c>
    </row>
    <row r="3432" spans="8:8" x14ac:dyDescent="0.25">
      <c r="H3432" t="s">
        <v>31</v>
      </c>
    </row>
    <row r="3434" spans="8:8" x14ac:dyDescent="0.25">
      <c r="H3434" t="s">
        <v>2515</v>
      </c>
    </row>
    <row r="3435" spans="8:8" x14ac:dyDescent="0.25">
      <c r="H3435" t="s">
        <v>145</v>
      </c>
    </row>
    <row r="3436" spans="8:8" x14ac:dyDescent="0.25">
      <c r="H3436" t="s">
        <v>3208</v>
      </c>
    </row>
    <row r="3437" spans="8:8" x14ac:dyDescent="0.25">
      <c r="H3437" t="s">
        <v>31</v>
      </c>
    </row>
    <row r="3438" spans="8:8" x14ac:dyDescent="0.25">
      <c r="H3438" t="s">
        <v>146</v>
      </c>
    </row>
    <row r="3439" spans="8:8" x14ac:dyDescent="0.25">
      <c r="H3439" t="s">
        <v>3209</v>
      </c>
    </row>
    <row r="3440" spans="8:8" x14ac:dyDescent="0.25">
      <c r="H3440" t="s">
        <v>31</v>
      </c>
    </row>
    <row r="3441" spans="8:8" x14ac:dyDescent="0.25">
      <c r="H3441" t="s">
        <v>147</v>
      </c>
    </row>
    <row r="3442" spans="8:8" x14ac:dyDescent="0.25">
      <c r="H3442" t="s">
        <v>3210</v>
      </c>
    </row>
    <row r="3443" spans="8:8" x14ac:dyDescent="0.25">
      <c r="H3443" t="s">
        <v>31</v>
      </c>
    </row>
    <row r="3444" spans="8:8" x14ac:dyDescent="0.25">
      <c r="H3444" t="s">
        <v>148</v>
      </c>
    </row>
    <row r="3445" spans="8:8" x14ac:dyDescent="0.25">
      <c r="H3445" t="s">
        <v>3211</v>
      </c>
    </row>
    <row r="3446" spans="8:8" x14ac:dyDescent="0.25">
      <c r="H3446" t="s">
        <v>31</v>
      </c>
    </row>
    <row r="3448" spans="8:8" x14ac:dyDescent="0.25">
      <c r="H3448" t="s">
        <v>2517</v>
      </c>
    </row>
    <row r="3449" spans="8:8" x14ac:dyDescent="0.25">
      <c r="H3449" t="s">
        <v>145</v>
      </c>
    </row>
    <row r="3450" spans="8:8" x14ac:dyDescent="0.25">
      <c r="H3450" t="s">
        <v>3213</v>
      </c>
    </row>
    <row r="3451" spans="8:8" x14ac:dyDescent="0.25">
      <c r="H3451" t="s">
        <v>31</v>
      </c>
    </row>
    <row r="3452" spans="8:8" x14ac:dyDescent="0.25">
      <c r="H3452" t="s">
        <v>146</v>
      </c>
    </row>
    <row r="3453" spans="8:8" x14ac:dyDescent="0.25">
      <c r="H3453" t="s">
        <v>3214</v>
      </c>
    </row>
    <row r="3454" spans="8:8" x14ac:dyDescent="0.25">
      <c r="H3454" t="s">
        <v>31</v>
      </c>
    </row>
    <row r="3455" spans="8:8" x14ac:dyDescent="0.25">
      <c r="H3455" t="s">
        <v>147</v>
      </c>
    </row>
    <row r="3456" spans="8:8" x14ac:dyDescent="0.25">
      <c r="H3456" t="s">
        <v>3215</v>
      </c>
    </row>
    <row r="3457" spans="8:8" x14ac:dyDescent="0.25">
      <c r="H3457" t="s">
        <v>31</v>
      </c>
    </row>
    <row r="3458" spans="8:8" x14ac:dyDescent="0.25">
      <c r="H3458" t="s">
        <v>148</v>
      </c>
    </row>
    <row r="3459" spans="8:8" x14ac:dyDescent="0.25">
      <c r="H3459" t="s">
        <v>3216</v>
      </c>
    </row>
    <row r="3460" spans="8:8" x14ac:dyDescent="0.25">
      <c r="H3460" t="s">
        <v>31</v>
      </c>
    </row>
    <row r="3462" spans="8:8" x14ac:dyDescent="0.25">
      <c r="H3462" t="s">
        <v>2520</v>
      </c>
    </row>
    <row r="3463" spans="8:8" x14ac:dyDescent="0.25">
      <c r="H3463" t="s">
        <v>145</v>
      </c>
    </row>
    <row r="3464" spans="8:8" x14ac:dyDescent="0.25">
      <c r="H3464" t="s">
        <v>3218</v>
      </c>
    </row>
    <row r="3465" spans="8:8" x14ac:dyDescent="0.25">
      <c r="H3465" t="s">
        <v>31</v>
      </c>
    </row>
    <row r="3466" spans="8:8" x14ac:dyDescent="0.25">
      <c r="H3466" t="s">
        <v>146</v>
      </c>
    </row>
    <row r="3467" spans="8:8" x14ac:dyDescent="0.25">
      <c r="H3467" t="s">
        <v>3219</v>
      </c>
    </row>
    <row r="3468" spans="8:8" x14ac:dyDescent="0.25">
      <c r="H3468" t="s">
        <v>31</v>
      </c>
    </row>
    <row r="3469" spans="8:8" x14ac:dyDescent="0.25">
      <c r="H3469" t="s">
        <v>147</v>
      </c>
    </row>
    <row r="3470" spans="8:8" x14ac:dyDescent="0.25">
      <c r="H3470" t="s">
        <v>3220</v>
      </c>
    </row>
    <row r="3471" spans="8:8" x14ac:dyDescent="0.25">
      <c r="H3471" t="s">
        <v>31</v>
      </c>
    </row>
    <row r="3472" spans="8:8" x14ac:dyDescent="0.25">
      <c r="H3472" t="s">
        <v>148</v>
      </c>
    </row>
    <row r="3473" spans="8:8" x14ac:dyDescent="0.25">
      <c r="H3473" t="s">
        <v>3221</v>
      </c>
    </row>
    <row r="3474" spans="8:8" x14ac:dyDescent="0.25">
      <c r="H3474" t="s">
        <v>31</v>
      </c>
    </row>
    <row r="3476" spans="8:8" x14ac:dyDescent="0.25">
      <c r="H3476" t="s">
        <v>2525</v>
      </c>
    </row>
    <row r="3477" spans="8:8" x14ac:dyDescent="0.25">
      <c r="H3477" t="s">
        <v>145</v>
      </c>
    </row>
    <row r="3478" spans="8:8" x14ac:dyDescent="0.25">
      <c r="H3478" t="s">
        <v>3223</v>
      </c>
    </row>
    <row r="3479" spans="8:8" x14ac:dyDescent="0.25">
      <c r="H3479" t="s">
        <v>31</v>
      </c>
    </row>
    <row r="3480" spans="8:8" x14ac:dyDescent="0.25">
      <c r="H3480" t="s">
        <v>146</v>
      </c>
    </row>
    <row r="3481" spans="8:8" x14ac:dyDescent="0.25">
      <c r="H3481" t="s">
        <v>3224</v>
      </c>
    </row>
    <row r="3482" spans="8:8" x14ac:dyDescent="0.25">
      <c r="H3482" t="s">
        <v>31</v>
      </c>
    </row>
    <row r="3483" spans="8:8" x14ac:dyDescent="0.25">
      <c r="H3483" t="s">
        <v>147</v>
      </c>
    </row>
    <row r="3484" spans="8:8" x14ac:dyDescent="0.25">
      <c r="H3484" t="s">
        <v>3225</v>
      </c>
    </row>
    <row r="3485" spans="8:8" x14ac:dyDescent="0.25">
      <c r="H3485" t="s">
        <v>31</v>
      </c>
    </row>
    <row r="3486" spans="8:8" x14ac:dyDescent="0.25">
      <c r="H3486" t="s">
        <v>148</v>
      </c>
    </row>
    <row r="3487" spans="8:8" x14ac:dyDescent="0.25">
      <c r="H3487" t="s">
        <v>3226</v>
      </c>
    </row>
    <row r="3488" spans="8:8" x14ac:dyDescent="0.25">
      <c r="H3488" t="s">
        <v>31</v>
      </c>
    </row>
    <row r="3490" spans="8:8" x14ac:dyDescent="0.25">
      <c r="H3490" t="s">
        <v>2530</v>
      </c>
    </row>
    <row r="3491" spans="8:8" x14ac:dyDescent="0.25">
      <c r="H3491" t="s">
        <v>145</v>
      </c>
    </row>
    <row r="3492" spans="8:8" x14ac:dyDescent="0.25">
      <c r="H3492" t="s">
        <v>3228</v>
      </c>
    </row>
    <row r="3493" spans="8:8" x14ac:dyDescent="0.25">
      <c r="H3493" t="s">
        <v>31</v>
      </c>
    </row>
    <row r="3494" spans="8:8" x14ac:dyDescent="0.25">
      <c r="H3494" t="s">
        <v>146</v>
      </c>
    </row>
    <row r="3495" spans="8:8" x14ac:dyDescent="0.25">
      <c r="H3495" t="s">
        <v>3229</v>
      </c>
    </row>
    <row r="3496" spans="8:8" x14ac:dyDescent="0.25">
      <c r="H3496" t="s">
        <v>31</v>
      </c>
    </row>
    <row r="3497" spans="8:8" x14ac:dyDescent="0.25">
      <c r="H3497" t="s">
        <v>147</v>
      </c>
    </row>
    <row r="3498" spans="8:8" x14ac:dyDescent="0.25">
      <c r="H3498" t="s">
        <v>3230</v>
      </c>
    </row>
    <row r="3499" spans="8:8" x14ac:dyDescent="0.25">
      <c r="H3499" t="s">
        <v>31</v>
      </c>
    </row>
    <row r="3500" spans="8:8" x14ac:dyDescent="0.25">
      <c r="H3500" t="s">
        <v>148</v>
      </c>
    </row>
    <row r="3501" spans="8:8" x14ac:dyDescent="0.25">
      <c r="H3501" t="s">
        <v>3231</v>
      </c>
    </row>
    <row r="3502" spans="8:8" x14ac:dyDescent="0.25">
      <c r="H3502" t="s">
        <v>31</v>
      </c>
    </row>
    <row r="3504" spans="8:8" x14ac:dyDescent="0.25">
      <c r="H3504" t="s">
        <v>2535</v>
      </c>
    </row>
    <row r="3505" spans="8:8" x14ac:dyDescent="0.25">
      <c r="H3505" t="s">
        <v>145</v>
      </c>
    </row>
    <row r="3506" spans="8:8" x14ac:dyDescent="0.25">
      <c r="H3506" t="s">
        <v>3233</v>
      </c>
    </row>
    <row r="3507" spans="8:8" x14ac:dyDescent="0.25">
      <c r="H3507" t="s">
        <v>31</v>
      </c>
    </row>
    <row r="3508" spans="8:8" x14ac:dyDescent="0.25">
      <c r="H3508" t="s">
        <v>146</v>
      </c>
    </row>
    <row r="3509" spans="8:8" x14ac:dyDescent="0.25">
      <c r="H3509" t="s">
        <v>3234</v>
      </c>
    </row>
    <row r="3510" spans="8:8" x14ac:dyDescent="0.25">
      <c r="H3510" t="s">
        <v>31</v>
      </c>
    </row>
    <row r="3511" spans="8:8" x14ac:dyDescent="0.25">
      <c r="H3511" t="s">
        <v>147</v>
      </c>
    </row>
    <row r="3512" spans="8:8" x14ac:dyDescent="0.25">
      <c r="H3512" t="s">
        <v>3235</v>
      </c>
    </row>
    <row r="3513" spans="8:8" x14ac:dyDescent="0.25">
      <c r="H3513" t="s">
        <v>31</v>
      </c>
    </row>
    <row r="3514" spans="8:8" x14ac:dyDescent="0.25">
      <c r="H3514" t="s">
        <v>148</v>
      </c>
    </row>
    <row r="3515" spans="8:8" x14ac:dyDescent="0.25">
      <c r="H3515" t="s">
        <v>3236</v>
      </c>
    </row>
    <row r="3516" spans="8:8" x14ac:dyDescent="0.25">
      <c r="H3516" t="s">
        <v>31</v>
      </c>
    </row>
    <row r="3518" spans="8:8" x14ac:dyDescent="0.25">
      <c r="H3518" t="s">
        <v>2540</v>
      </c>
    </row>
    <row r="3519" spans="8:8" x14ac:dyDescent="0.25">
      <c r="H3519" t="s">
        <v>145</v>
      </c>
    </row>
    <row r="3520" spans="8:8" x14ac:dyDescent="0.25">
      <c r="H3520" t="s">
        <v>3238</v>
      </c>
    </row>
    <row r="3521" spans="8:8" x14ac:dyDescent="0.25">
      <c r="H3521" t="s">
        <v>31</v>
      </c>
    </row>
    <row r="3522" spans="8:8" x14ac:dyDescent="0.25">
      <c r="H3522" t="s">
        <v>146</v>
      </c>
    </row>
    <row r="3523" spans="8:8" x14ac:dyDescent="0.25">
      <c r="H3523" t="s">
        <v>3239</v>
      </c>
    </row>
    <row r="3524" spans="8:8" x14ac:dyDescent="0.25">
      <c r="H3524" t="s">
        <v>31</v>
      </c>
    </row>
    <row r="3525" spans="8:8" x14ac:dyDescent="0.25">
      <c r="H3525" t="s">
        <v>147</v>
      </c>
    </row>
    <row r="3526" spans="8:8" x14ac:dyDescent="0.25">
      <c r="H3526" t="s">
        <v>3240</v>
      </c>
    </row>
    <row r="3527" spans="8:8" x14ac:dyDescent="0.25">
      <c r="H3527" t="s">
        <v>31</v>
      </c>
    </row>
    <row r="3528" spans="8:8" x14ac:dyDescent="0.25">
      <c r="H3528" t="s">
        <v>148</v>
      </c>
    </row>
    <row r="3529" spans="8:8" x14ac:dyDescent="0.25">
      <c r="H3529" t="s">
        <v>3241</v>
      </c>
    </row>
    <row r="3530" spans="8:8" x14ac:dyDescent="0.25">
      <c r="H3530" t="s">
        <v>31</v>
      </c>
    </row>
    <row r="3532" spans="8:8" x14ac:dyDescent="0.25">
      <c r="H3532" t="s">
        <v>2545</v>
      </c>
    </row>
    <row r="3533" spans="8:8" x14ac:dyDescent="0.25">
      <c r="H3533" t="s">
        <v>145</v>
      </c>
    </row>
    <row r="3534" spans="8:8" x14ac:dyDescent="0.25">
      <c r="H3534" t="s">
        <v>3243</v>
      </c>
    </row>
    <row r="3535" spans="8:8" x14ac:dyDescent="0.25">
      <c r="H3535" t="s">
        <v>31</v>
      </c>
    </row>
    <row r="3536" spans="8:8" x14ac:dyDescent="0.25">
      <c r="H3536" t="s">
        <v>146</v>
      </c>
    </row>
    <row r="3537" spans="8:8" x14ac:dyDescent="0.25">
      <c r="H3537" t="s">
        <v>3244</v>
      </c>
    </row>
    <row r="3538" spans="8:8" x14ac:dyDescent="0.25">
      <c r="H3538" t="s">
        <v>31</v>
      </c>
    </row>
    <row r="3539" spans="8:8" x14ac:dyDescent="0.25">
      <c r="H3539" t="s">
        <v>147</v>
      </c>
    </row>
    <row r="3540" spans="8:8" x14ac:dyDescent="0.25">
      <c r="H3540" t="s">
        <v>3245</v>
      </c>
    </row>
    <row r="3541" spans="8:8" x14ac:dyDescent="0.25">
      <c r="H3541" t="s">
        <v>31</v>
      </c>
    </row>
    <row r="3542" spans="8:8" x14ac:dyDescent="0.25">
      <c r="H3542" t="s">
        <v>148</v>
      </c>
    </row>
    <row r="3543" spans="8:8" x14ac:dyDescent="0.25">
      <c r="H3543" t="s">
        <v>3246</v>
      </c>
    </row>
    <row r="3544" spans="8:8" x14ac:dyDescent="0.25">
      <c r="H3544" t="s">
        <v>31</v>
      </c>
    </row>
    <row r="3546" spans="8:8" x14ac:dyDescent="0.25">
      <c r="H3546" t="s">
        <v>2550</v>
      </c>
    </row>
    <row r="3547" spans="8:8" x14ac:dyDescent="0.25">
      <c r="H3547" t="s">
        <v>145</v>
      </c>
    </row>
    <row r="3548" spans="8:8" x14ac:dyDescent="0.25">
      <c r="H3548" t="s">
        <v>3248</v>
      </c>
    </row>
    <row r="3549" spans="8:8" x14ac:dyDescent="0.25">
      <c r="H3549" t="s">
        <v>31</v>
      </c>
    </row>
    <row r="3550" spans="8:8" x14ac:dyDescent="0.25">
      <c r="H3550" t="s">
        <v>146</v>
      </c>
    </row>
    <row r="3551" spans="8:8" x14ac:dyDescent="0.25">
      <c r="H3551" t="s">
        <v>3249</v>
      </c>
    </row>
    <row r="3552" spans="8:8" x14ac:dyDescent="0.25">
      <c r="H3552" t="s">
        <v>31</v>
      </c>
    </row>
    <row r="3553" spans="8:8" x14ac:dyDescent="0.25">
      <c r="H3553" t="s">
        <v>147</v>
      </c>
    </row>
    <row r="3554" spans="8:8" x14ac:dyDescent="0.25">
      <c r="H3554" t="s">
        <v>3250</v>
      </c>
    </row>
    <row r="3555" spans="8:8" x14ac:dyDescent="0.25">
      <c r="H3555" t="s">
        <v>31</v>
      </c>
    </row>
    <row r="3556" spans="8:8" x14ac:dyDescent="0.25">
      <c r="H3556" t="s">
        <v>148</v>
      </c>
    </row>
    <row r="3557" spans="8:8" x14ac:dyDescent="0.25">
      <c r="H3557" t="s">
        <v>3251</v>
      </c>
    </row>
    <row r="3558" spans="8:8" x14ac:dyDescent="0.25">
      <c r="H3558" t="s">
        <v>31</v>
      </c>
    </row>
    <row r="3560" spans="8:8" x14ac:dyDescent="0.25">
      <c r="H3560" t="s">
        <v>2555</v>
      </c>
    </row>
    <row r="3561" spans="8:8" x14ac:dyDescent="0.25">
      <c r="H3561" t="s">
        <v>145</v>
      </c>
    </row>
    <row r="3562" spans="8:8" x14ac:dyDescent="0.25">
      <c r="H3562" t="s">
        <v>3253</v>
      </c>
    </row>
    <row r="3563" spans="8:8" x14ac:dyDescent="0.25">
      <c r="H3563" t="s">
        <v>31</v>
      </c>
    </row>
    <row r="3564" spans="8:8" x14ac:dyDescent="0.25">
      <c r="H3564" t="s">
        <v>146</v>
      </c>
    </row>
    <row r="3565" spans="8:8" x14ac:dyDescent="0.25">
      <c r="H3565" t="s">
        <v>3254</v>
      </c>
    </row>
    <row r="3566" spans="8:8" x14ac:dyDescent="0.25">
      <c r="H3566" t="s">
        <v>31</v>
      </c>
    </row>
    <row r="3567" spans="8:8" x14ac:dyDescent="0.25">
      <c r="H3567" t="s">
        <v>147</v>
      </c>
    </row>
    <row r="3568" spans="8:8" x14ac:dyDescent="0.25">
      <c r="H3568" t="s">
        <v>3255</v>
      </c>
    </row>
    <row r="3569" spans="8:8" x14ac:dyDescent="0.25">
      <c r="H3569" t="s">
        <v>31</v>
      </c>
    </row>
    <row r="3570" spans="8:8" x14ac:dyDescent="0.25">
      <c r="H3570" t="s">
        <v>148</v>
      </c>
    </row>
    <row r="3571" spans="8:8" x14ac:dyDescent="0.25">
      <c r="H3571" t="s">
        <v>3256</v>
      </c>
    </row>
    <row r="3572" spans="8:8" x14ac:dyDescent="0.25">
      <c r="H3572" t="s">
        <v>31</v>
      </c>
    </row>
    <row r="3574" spans="8:8" x14ac:dyDescent="0.25">
      <c r="H3574" t="s">
        <v>2560</v>
      </c>
    </row>
    <row r="3575" spans="8:8" x14ac:dyDescent="0.25">
      <c r="H3575" t="s">
        <v>145</v>
      </c>
    </row>
    <row r="3576" spans="8:8" x14ac:dyDescent="0.25">
      <c r="H3576" t="s">
        <v>3258</v>
      </c>
    </row>
    <row r="3577" spans="8:8" x14ac:dyDescent="0.25">
      <c r="H3577" t="s">
        <v>31</v>
      </c>
    </row>
    <row r="3578" spans="8:8" x14ac:dyDescent="0.25">
      <c r="H3578" t="s">
        <v>146</v>
      </c>
    </row>
    <row r="3579" spans="8:8" x14ac:dyDescent="0.25">
      <c r="H3579" t="s">
        <v>3259</v>
      </c>
    </row>
    <row r="3580" spans="8:8" x14ac:dyDescent="0.25">
      <c r="H3580" t="s">
        <v>31</v>
      </c>
    </row>
    <row r="3581" spans="8:8" x14ac:dyDescent="0.25">
      <c r="H3581" t="s">
        <v>147</v>
      </c>
    </row>
    <row r="3582" spans="8:8" x14ac:dyDescent="0.25">
      <c r="H3582" t="s">
        <v>3260</v>
      </c>
    </row>
    <row r="3583" spans="8:8" x14ac:dyDescent="0.25">
      <c r="H3583" t="s">
        <v>31</v>
      </c>
    </row>
    <row r="3584" spans="8:8" x14ac:dyDescent="0.25">
      <c r="H3584" t="s">
        <v>148</v>
      </c>
    </row>
    <row r="3585" spans="8:8" x14ac:dyDescent="0.25">
      <c r="H3585" t="s">
        <v>3261</v>
      </c>
    </row>
    <row r="3586" spans="8:8" x14ac:dyDescent="0.25">
      <c r="H3586" t="s">
        <v>31</v>
      </c>
    </row>
    <row r="3588" spans="8:8" x14ac:dyDescent="0.25">
      <c r="H3588" t="s">
        <v>2565</v>
      </c>
    </row>
    <row r="3589" spans="8:8" x14ac:dyDescent="0.25">
      <c r="H3589" t="s">
        <v>145</v>
      </c>
    </row>
    <row r="3590" spans="8:8" x14ac:dyDescent="0.25">
      <c r="H3590" t="s">
        <v>3263</v>
      </c>
    </row>
    <row r="3591" spans="8:8" x14ac:dyDescent="0.25">
      <c r="H3591" t="s">
        <v>31</v>
      </c>
    </row>
    <row r="3592" spans="8:8" x14ac:dyDescent="0.25">
      <c r="H3592" t="s">
        <v>146</v>
      </c>
    </row>
    <row r="3593" spans="8:8" x14ac:dyDescent="0.25">
      <c r="H3593" t="s">
        <v>3264</v>
      </c>
    </row>
    <row r="3594" spans="8:8" x14ac:dyDescent="0.25">
      <c r="H3594" t="s">
        <v>31</v>
      </c>
    </row>
    <row r="3595" spans="8:8" x14ac:dyDescent="0.25">
      <c r="H3595" t="s">
        <v>147</v>
      </c>
    </row>
    <row r="3596" spans="8:8" x14ac:dyDescent="0.25">
      <c r="H3596" t="s">
        <v>3265</v>
      </c>
    </row>
    <row r="3597" spans="8:8" x14ac:dyDescent="0.25">
      <c r="H3597" t="s">
        <v>31</v>
      </c>
    </row>
    <row r="3598" spans="8:8" x14ac:dyDescent="0.25">
      <c r="H3598" t="s">
        <v>148</v>
      </c>
    </row>
    <row r="3599" spans="8:8" x14ac:dyDescent="0.25">
      <c r="H3599" t="s">
        <v>3266</v>
      </c>
    </row>
    <row r="3600" spans="8:8" x14ac:dyDescent="0.25">
      <c r="H3600" t="s">
        <v>31</v>
      </c>
    </row>
    <row r="3602" spans="8:8" x14ac:dyDescent="0.25">
      <c r="H3602" t="s">
        <v>2570</v>
      </c>
    </row>
    <row r="3603" spans="8:8" x14ac:dyDescent="0.25">
      <c r="H3603" t="s">
        <v>145</v>
      </c>
    </row>
    <row r="3604" spans="8:8" x14ac:dyDescent="0.25">
      <c r="H3604" t="s">
        <v>3268</v>
      </c>
    </row>
    <row r="3605" spans="8:8" x14ac:dyDescent="0.25">
      <c r="H3605" t="s">
        <v>31</v>
      </c>
    </row>
    <row r="3606" spans="8:8" x14ac:dyDescent="0.25">
      <c r="H3606" t="s">
        <v>146</v>
      </c>
    </row>
    <row r="3607" spans="8:8" x14ac:dyDescent="0.25">
      <c r="H3607" t="s">
        <v>3269</v>
      </c>
    </row>
    <row r="3608" spans="8:8" x14ac:dyDescent="0.25">
      <c r="H3608" t="s">
        <v>31</v>
      </c>
    </row>
    <row r="3609" spans="8:8" x14ac:dyDescent="0.25">
      <c r="H3609" t="s">
        <v>147</v>
      </c>
    </row>
    <row r="3610" spans="8:8" x14ac:dyDescent="0.25">
      <c r="H3610" t="s">
        <v>3270</v>
      </c>
    </row>
    <row r="3611" spans="8:8" x14ac:dyDescent="0.25">
      <c r="H3611" t="s">
        <v>31</v>
      </c>
    </row>
    <row r="3612" spans="8:8" x14ac:dyDescent="0.25">
      <c r="H3612" t="s">
        <v>148</v>
      </c>
    </row>
    <row r="3613" spans="8:8" x14ac:dyDescent="0.25">
      <c r="H3613" t="s">
        <v>3271</v>
      </c>
    </row>
    <row r="3614" spans="8:8" x14ac:dyDescent="0.25">
      <c r="H3614" t="s">
        <v>31</v>
      </c>
    </row>
    <row r="3616" spans="8:8" x14ac:dyDescent="0.25">
      <c r="H3616" t="s">
        <v>2575</v>
      </c>
    </row>
    <row r="3617" spans="8:8" x14ac:dyDescent="0.25">
      <c r="H3617" t="s">
        <v>145</v>
      </c>
    </row>
    <row r="3618" spans="8:8" x14ac:dyDescent="0.25">
      <c r="H3618" t="s">
        <v>3273</v>
      </c>
    </row>
    <row r="3619" spans="8:8" x14ac:dyDescent="0.25">
      <c r="H3619" t="s">
        <v>31</v>
      </c>
    </row>
    <row r="3620" spans="8:8" x14ac:dyDescent="0.25">
      <c r="H3620" t="s">
        <v>146</v>
      </c>
    </row>
    <row r="3621" spans="8:8" x14ac:dyDescent="0.25">
      <c r="H3621" t="s">
        <v>3274</v>
      </c>
    </row>
    <row r="3622" spans="8:8" x14ac:dyDescent="0.25">
      <c r="H3622" t="s">
        <v>31</v>
      </c>
    </row>
    <row r="3623" spans="8:8" x14ac:dyDescent="0.25">
      <c r="H3623" t="s">
        <v>147</v>
      </c>
    </row>
    <row r="3624" spans="8:8" x14ac:dyDescent="0.25">
      <c r="H3624" t="s">
        <v>3275</v>
      </c>
    </row>
    <row r="3625" spans="8:8" x14ac:dyDescent="0.25">
      <c r="H3625" t="s">
        <v>31</v>
      </c>
    </row>
    <row r="3626" spans="8:8" x14ac:dyDescent="0.25">
      <c r="H3626" t="s">
        <v>148</v>
      </c>
    </row>
    <row r="3627" spans="8:8" x14ac:dyDescent="0.25">
      <c r="H3627" t="s">
        <v>3276</v>
      </c>
    </row>
    <row r="3628" spans="8:8" x14ac:dyDescent="0.25">
      <c r="H3628" t="s">
        <v>31</v>
      </c>
    </row>
    <row r="3630" spans="8:8" x14ac:dyDescent="0.25">
      <c r="H3630" t="s">
        <v>2580</v>
      </c>
    </row>
    <row r="3631" spans="8:8" x14ac:dyDescent="0.25">
      <c r="H3631" t="s">
        <v>145</v>
      </c>
    </row>
    <row r="3632" spans="8:8" x14ac:dyDescent="0.25">
      <c r="H3632" t="s">
        <v>3278</v>
      </c>
    </row>
    <row r="3633" spans="8:8" x14ac:dyDescent="0.25">
      <c r="H3633" t="s">
        <v>31</v>
      </c>
    </row>
    <row r="3634" spans="8:8" x14ac:dyDescent="0.25">
      <c r="H3634" t="s">
        <v>146</v>
      </c>
    </row>
    <row r="3635" spans="8:8" x14ac:dyDescent="0.25">
      <c r="H3635" t="s">
        <v>3279</v>
      </c>
    </row>
    <row r="3636" spans="8:8" x14ac:dyDescent="0.25">
      <c r="H3636" t="s">
        <v>31</v>
      </c>
    </row>
    <row r="3637" spans="8:8" x14ac:dyDescent="0.25">
      <c r="H3637" t="s">
        <v>147</v>
      </c>
    </row>
    <row r="3638" spans="8:8" x14ac:dyDescent="0.25">
      <c r="H3638" t="s">
        <v>3280</v>
      </c>
    </row>
    <row r="3639" spans="8:8" x14ac:dyDescent="0.25">
      <c r="H3639" t="s">
        <v>31</v>
      </c>
    </row>
    <row r="3640" spans="8:8" x14ac:dyDescent="0.25">
      <c r="H3640" t="s">
        <v>148</v>
      </c>
    </row>
    <row r="3641" spans="8:8" x14ac:dyDescent="0.25">
      <c r="H3641" t="s">
        <v>3281</v>
      </c>
    </row>
    <row r="3642" spans="8:8" x14ac:dyDescent="0.25">
      <c r="H3642" t="s">
        <v>31</v>
      </c>
    </row>
    <row r="3644" spans="8:8" x14ac:dyDescent="0.25">
      <c r="H3644" t="s">
        <v>2585</v>
      </c>
    </row>
    <row r="3645" spans="8:8" x14ac:dyDescent="0.25">
      <c r="H3645" t="s">
        <v>145</v>
      </c>
    </row>
    <row r="3646" spans="8:8" x14ac:dyDescent="0.25">
      <c r="H3646" t="s">
        <v>3283</v>
      </c>
    </row>
    <row r="3647" spans="8:8" x14ac:dyDescent="0.25">
      <c r="H3647" t="s">
        <v>31</v>
      </c>
    </row>
    <row r="3648" spans="8:8" x14ac:dyDescent="0.25">
      <c r="H3648" t="s">
        <v>146</v>
      </c>
    </row>
    <row r="3649" spans="8:8" x14ac:dyDescent="0.25">
      <c r="H3649" t="s">
        <v>3284</v>
      </c>
    </row>
    <row r="3650" spans="8:8" x14ac:dyDescent="0.25">
      <c r="H3650" t="s">
        <v>31</v>
      </c>
    </row>
    <row r="3651" spans="8:8" x14ac:dyDescent="0.25">
      <c r="H3651" t="s">
        <v>147</v>
      </c>
    </row>
    <row r="3652" spans="8:8" x14ac:dyDescent="0.25">
      <c r="H3652" t="s">
        <v>3285</v>
      </c>
    </row>
    <row r="3653" spans="8:8" x14ac:dyDescent="0.25">
      <c r="H3653" t="s">
        <v>31</v>
      </c>
    </row>
    <row r="3654" spans="8:8" x14ac:dyDescent="0.25">
      <c r="H3654" t="s">
        <v>148</v>
      </c>
    </row>
    <row r="3655" spans="8:8" x14ac:dyDescent="0.25">
      <c r="H3655" t="s">
        <v>3286</v>
      </c>
    </row>
    <row r="3656" spans="8:8" x14ac:dyDescent="0.25">
      <c r="H3656" t="s">
        <v>31</v>
      </c>
    </row>
    <row r="3658" spans="8:8" x14ac:dyDescent="0.25">
      <c r="H3658" t="s">
        <v>2590</v>
      </c>
    </row>
    <row r="3659" spans="8:8" x14ac:dyDescent="0.25">
      <c r="H3659" t="s">
        <v>145</v>
      </c>
    </row>
    <row r="3660" spans="8:8" x14ac:dyDescent="0.25">
      <c r="H3660" t="s">
        <v>3288</v>
      </c>
    </row>
    <row r="3661" spans="8:8" x14ac:dyDescent="0.25">
      <c r="H3661" t="s">
        <v>31</v>
      </c>
    </row>
    <row r="3662" spans="8:8" x14ac:dyDescent="0.25">
      <c r="H3662" t="s">
        <v>146</v>
      </c>
    </row>
    <row r="3663" spans="8:8" x14ac:dyDescent="0.25">
      <c r="H3663" t="s">
        <v>3289</v>
      </c>
    </row>
    <row r="3664" spans="8:8" x14ac:dyDescent="0.25">
      <c r="H3664" t="s">
        <v>31</v>
      </c>
    </row>
    <row r="3665" spans="8:8" x14ac:dyDescent="0.25">
      <c r="H3665" t="s">
        <v>147</v>
      </c>
    </row>
    <row r="3666" spans="8:8" x14ac:dyDescent="0.25">
      <c r="H3666" t="s">
        <v>3290</v>
      </c>
    </row>
    <row r="3667" spans="8:8" x14ac:dyDescent="0.25">
      <c r="H3667" t="s">
        <v>31</v>
      </c>
    </row>
    <row r="3668" spans="8:8" x14ac:dyDescent="0.25">
      <c r="H3668" t="s">
        <v>148</v>
      </c>
    </row>
    <row r="3669" spans="8:8" x14ac:dyDescent="0.25">
      <c r="H3669" t="s">
        <v>3291</v>
      </c>
    </row>
    <row r="3670" spans="8:8" x14ac:dyDescent="0.25">
      <c r="H3670" t="s">
        <v>31</v>
      </c>
    </row>
    <row r="3672" spans="8:8" x14ac:dyDescent="0.25">
      <c r="H3672" t="s">
        <v>2595</v>
      </c>
    </row>
    <row r="3673" spans="8:8" x14ac:dyDescent="0.25">
      <c r="H3673" t="s">
        <v>145</v>
      </c>
    </row>
    <row r="3674" spans="8:8" x14ac:dyDescent="0.25">
      <c r="H3674" t="s">
        <v>3293</v>
      </c>
    </row>
    <row r="3675" spans="8:8" x14ac:dyDescent="0.25">
      <c r="H3675" t="s">
        <v>31</v>
      </c>
    </row>
    <row r="3676" spans="8:8" x14ac:dyDescent="0.25">
      <c r="H3676" t="s">
        <v>146</v>
      </c>
    </row>
    <row r="3677" spans="8:8" x14ac:dyDescent="0.25">
      <c r="H3677" t="s">
        <v>3294</v>
      </c>
    </row>
    <row r="3678" spans="8:8" x14ac:dyDescent="0.25">
      <c r="H3678" t="s">
        <v>31</v>
      </c>
    </row>
    <row r="3679" spans="8:8" x14ac:dyDescent="0.25">
      <c r="H3679" t="s">
        <v>3295</v>
      </c>
    </row>
    <row r="3680" spans="8:8" x14ac:dyDescent="0.25">
      <c r="H3680" t="s">
        <v>147</v>
      </c>
    </row>
    <row r="3681" spans="8:8" x14ac:dyDescent="0.25">
      <c r="H3681" t="s">
        <v>3296</v>
      </c>
    </row>
    <row r="3682" spans="8:8" x14ac:dyDescent="0.25">
      <c r="H3682" t="s">
        <v>31</v>
      </c>
    </row>
    <row r="3684" spans="8:8" x14ac:dyDescent="0.25">
      <c r="H3684" t="s">
        <v>2600</v>
      </c>
    </row>
    <row r="3685" spans="8:8" x14ac:dyDescent="0.25">
      <c r="H3685" t="s">
        <v>145</v>
      </c>
    </row>
    <row r="3686" spans="8:8" x14ac:dyDescent="0.25">
      <c r="H3686" t="s">
        <v>3298</v>
      </c>
    </row>
    <row r="3687" spans="8:8" x14ac:dyDescent="0.25">
      <c r="H3687" t="s">
        <v>31</v>
      </c>
    </row>
    <row r="3689" spans="8:8" x14ac:dyDescent="0.25">
      <c r="H3689" t="s">
        <v>2605</v>
      </c>
    </row>
    <row r="3690" spans="8:8" x14ac:dyDescent="0.25">
      <c r="H3690" t="s">
        <v>145</v>
      </c>
    </row>
    <row r="3691" spans="8:8" x14ac:dyDescent="0.25">
      <c r="H3691" t="s">
        <v>3300</v>
      </c>
    </row>
    <row r="3692" spans="8:8" x14ac:dyDescent="0.25">
      <c r="H3692" t="s">
        <v>31</v>
      </c>
    </row>
    <row r="3694" spans="8:8" x14ac:dyDescent="0.25">
      <c r="H3694" t="s">
        <v>2610</v>
      </c>
    </row>
    <row r="3695" spans="8:8" x14ac:dyDescent="0.25">
      <c r="H3695" t="s">
        <v>145</v>
      </c>
    </row>
    <row r="3696" spans="8:8" x14ac:dyDescent="0.25">
      <c r="H3696" t="s">
        <v>3302</v>
      </c>
    </row>
    <row r="3697" spans="8:8" x14ac:dyDescent="0.25">
      <c r="H3697" t="s">
        <v>31</v>
      </c>
    </row>
    <row r="3699" spans="8:8" x14ac:dyDescent="0.25">
      <c r="H3699" t="s">
        <v>2615</v>
      </c>
    </row>
    <row r="3700" spans="8:8" x14ac:dyDescent="0.25">
      <c r="H3700" t="s">
        <v>145</v>
      </c>
    </row>
    <row r="3701" spans="8:8" x14ac:dyDescent="0.25">
      <c r="H3701" t="s">
        <v>3304</v>
      </c>
    </row>
    <row r="3702" spans="8:8" x14ac:dyDescent="0.25">
      <c r="H3702" t="s">
        <v>31</v>
      </c>
    </row>
    <row r="3704" spans="8:8" x14ac:dyDescent="0.25">
      <c r="H3704" t="s">
        <v>2620</v>
      </c>
    </row>
    <row r="3705" spans="8:8" x14ac:dyDescent="0.25">
      <c r="H3705" t="s">
        <v>145</v>
      </c>
    </row>
    <row r="3706" spans="8:8" x14ac:dyDescent="0.25">
      <c r="H3706" t="s">
        <v>3306</v>
      </c>
    </row>
    <row r="3707" spans="8:8" x14ac:dyDescent="0.25">
      <c r="H3707" t="s">
        <v>31</v>
      </c>
    </row>
    <row r="3709" spans="8:8" x14ac:dyDescent="0.25">
      <c r="H3709" t="s">
        <v>2625</v>
      </c>
    </row>
    <row r="3710" spans="8:8" x14ac:dyDescent="0.25">
      <c r="H3710" t="s">
        <v>145</v>
      </c>
    </row>
    <row r="3711" spans="8:8" x14ac:dyDescent="0.25">
      <c r="H3711" t="s">
        <v>3308</v>
      </c>
    </row>
    <row r="3712" spans="8:8" x14ac:dyDescent="0.25">
      <c r="H3712" t="s">
        <v>31</v>
      </c>
    </row>
    <row r="3714" spans="8:8" x14ac:dyDescent="0.25">
      <c r="H3714" t="s">
        <v>2630</v>
      </c>
    </row>
    <row r="3715" spans="8:8" x14ac:dyDescent="0.25">
      <c r="H3715" t="s">
        <v>145</v>
      </c>
    </row>
    <row r="3716" spans="8:8" x14ac:dyDescent="0.25">
      <c r="H3716" t="s">
        <v>3310</v>
      </c>
    </row>
    <row r="3717" spans="8:8" x14ac:dyDescent="0.25">
      <c r="H3717" t="s">
        <v>31</v>
      </c>
    </row>
    <row r="3719" spans="8:8" x14ac:dyDescent="0.25">
      <c r="H3719" t="s">
        <v>2635</v>
      </c>
    </row>
    <row r="3720" spans="8:8" x14ac:dyDescent="0.25">
      <c r="H3720" t="s">
        <v>145</v>
      </c>
    </row>
    <row r="3721" spans="8:8" x14ac:dyDescent="0.25">
      <c r="H3721" t="s">
        <v>3312</v>
      </c>
    </row>
    <row r="3722" spans="8:8" x14ac:dyDescent="0.25">
      <c r="H3722" t="s">
        <v>31</v>
      </c>
    </row>
    <row r="3724" spans="8:8" x14ac:dyDescent="0.25">
      <c r="H3724" t="s">
        <v>2640</v>
      </c>
    </row>
    <row r="3725" spans="8:8" x14ac:dyDescent="0.25">
      <c r="H3725" t="s">
        <v>145</v>
      </c>
    </row>
    <row r="3726" spans="8:8" x14ac:dyDescent="0.25">
      <c r="H3726" t="s">
        <v>3314</v>
      </c>
    </row>
    <row r="3727" spans="8:8" x14ac:dyDescent="0.25">
      <c r="H3727" t="s">
        <v>31</v>
      </c>
    </row>
    <row r="3729" spans="8:8" x14ac:dyDescent="0.25">
      <c r="H3729" t="s">
        <v>2645</v>
      </c>
    </row>
    <row r="3730" spans="8:8" x14ac:dyDescent="0.25">
      <c r="H3730" t="s">
        <v>145</v>
      </c>
    </row>
    <row r="3731" spans="8:8" x14ac:dyDescent="0.25">
      <c r="H3731" t="s">
        <v>3316</v>
      </c>
    </row>
    <row r="3732" spans="8:8" x14ac:dyDescent="0.25">
      <c r="H3732" t="s">
        <v>31</v>
      </c>
    </row>
    <row r="3734" spans="8:8" x14ac:dyDescent="0.25">
      <c r="H3734" t="s">
        <v>2650</v>
      </c>
    </row>
    <row r="3735" spans="8:8" x14ac:dyDescent="0.25">
      <c r="H3735" t="s">
        <v>145</v>
      </c>
    </row>
    <row r="3736" spans="8:8" x14ac:dyDescent="0.25">
      <c r="H3736" t="s">
        <v>3318</v>
      </c>
    </row>
    <row r="3737" spans="8:8" x14ac:dyDescent="0.25">
      <c r="H3737" t="s">
        <v>31</v>
      </c>
    </row>
    <row r="3739" spans="8:8" x14ac:dyDescent="0.25">
      <c r="H3739" t="s">
        <v>2655</v>
      </c>
    </row>
    <row r="3740" spans="8:8" x14ac:dyDescent="0.25">
      <c r="H3740" t="s">
        <v>145</v>
      </c>
    </row>
    <row r="3741" spans="8:8" x14ac:dyDescent="0.25">
      <c r="H3741" t="s">
        <v>3320</v>
      </c>
    </row>
    <row r="3742" spans="8:8" x14ac:dyDescent="0.25">
      <c r="H3742" t="s">
        <v>31</v>
      </c>
    </row>
    <row r="3743" spans="8:8" x14ac:dyDescent="0.25">
      <c r="H3743" t="s">
        <v>146</v>
      </c>
    </row>
    <row r="3744" spans="8:8" x14ac:dyDescent="0.25">
      <c r="H3744" t="s">
        <v>3321</v>
      </c>
    </row>
    <row r="3745" spans="8:8" x14ac:dyDescent="0.25">
      <c r="H3745" t="s">
        <v>31</v>
      </c>
    </row>
    <row r="3746" spans="8:8" x14ac:dyDescent="0.25">
      <c r="H3746" t="s">
        <v>147</v>
      </c>
    </row>
    <row r="3747" spans="8:8" x14ac:dyDescent="0.25">
      <c r="H3747" t="s">
        <v>3322</v>
      </c>
    </row>
    <row r="3748" spans="8:8" x14ac:dyDescent="0.25">
      <c r="H3748" t="s">
        <v>31</v>
      </c>
    </row>
    <row r="3749" spans="8:8" x14ac:dyDescent="0.25">
      <c r="H3749" t="s">
        <v>148</v>
      </c>
    </row>
    <row r="3750" spans="8:8" x14ac:dyDescent="0.25">
      <c r="H3750" t="s">
        <v>3323</v>
      </c>
    </row>
    <row r="3751" spans="8:8" x14ac:dyDescent="0.25">
      <c r="H3751" t="s">
        <v>31</v>
      </c>
    </row>
    <row r="3753" spans="8:8" x14ac:dyDescent="0.25">
      <c r="H3753" t="s">
        <v>2660</v>
      </c>
    </row>
    <row r="3754" spans="8:8" x14ac:dyDescent="0.25">
      <c r="H3754" t="s">
        <v>145</v>
      </c>
    </row>
    <row r="3755" spans="8:8" x14ac:dyDescent="0.25">
      <c r="H3755" t="s">
        <v>3325</v>
      </c>
    </row>
    <row r="3756" spans="8:8" x14ac:dyDescent="0.25">
      <c r="H3756" t="s">
        <v>31</v>
      </c>
    </row>
    <row r="3758" spans="8:8" x14ac:dyDescent="0.25">
      <c r="H3758" t="s">
        <v>2665</v>
      </c>
    </row>
    <row r="3759" spans="8:8" x14ac:dyDescent="0.25">
      <c r="H3759" t="s">
        <v>145</v>
      </c>
    </row>
    <row r="3760" spans="8:8" x14ac:dyDescent="0.25">
      <c r="H3760" t="s">
        <v>3327</v>
      </c>
    </row>
    <row r="3761" spans="8:8" x14ac:dyDescent="0.25">
      <c r="H3761" t="s">
        <v>31</v>
      </c>
    </row>
    <row r="3763" spans="8:8" x14ac:dyDescent="0.25">
      <c r="H3763" t="s">
        <v>2670</v>
      </c>
    </row>
    <row r="3764" spans="8:8" x14ac:dyDescent="0.25">
      <c r="H3764" t="s">
        <v>145</v>
      </c>
    </row>
    <row r="3765" spans="8:8" x14ac:dyDescent="0.25">
      <c r="H3765" t="s">
        <v>3329</v>
      </c>
    </row>
    <row r="3766" spans="8:8" x14ac:dyDescent="0.25">
      <c r="H3766" t="s">
        <v>31</v>
      </c>
    </row>
    <row r="3768" spans="8:8" x14ac:dyDescent="0.25">
      <c r="H3768" t="s">
        <v>2675</v>
      </c>
    </row>
    <row r="3769" spans="8:8" x14ac:dyDescent="0.25">
      <c r="H3769" t="s">
        <v>145</v>
      </c>
    </row>
    <row r="3770" spans="8:8" x14ac:dyDescent="0.25">
      <c r="H3770" t="s">
        <v>3331</v>
      </c>
    </row>
    <row r="3771" spans="8:8" x14ac:dyDescent="0.25">
      <c r="H3771" t="s">
        <v>31</v>
      </c>
    </row>
    <row r="3773" spans="8:8" x14ac:dyDescent="0.25">
      <c r="H3773" t="s">
        <v>2680</v>
      </c>
    </row>
    <row r="3774" spans="8:8" x14ac:dyDescent="0.25">
      <c r="H3774" t="s">
        <v>145</v>
      </c>
    </row>
    <row r="3775" spans="8:8" x14ac:dyDescent="0.25">
      <c r="H3775" t="s">
        <v>3333</v>
      </c>
    </row>
    <row r="3776" spans="8:8" x14ac:dyDescent="0.25">
      <c r="H3776" t="s">
        <v>31</v>
      </c>
    </row>
    <row r="3778" spans="8:8" x14ac:dyDescent="0.25">
      <c r="H3778" t="s">
        <v>2682</v>
      </c>
    </row>
    <row r="3779" spans="8:8" x14ac:dyDescent="0.25">
      <c r="H3779" t="s">
        <v>145</v>
      </c>
    </row>
    <row r="3780" spans="8:8" x14ac:dyDescent="0.25">
      <c r="H3780" t="s">
        <v>3335</v>
      </c>
    </row>
    <row r="3781" spans="8:8" x14ac:dyDescent="0.25">
      <c r="H3781" t="s">
        <v>31</v>
      </c>
    </row>
    <row r="3783" spans="8:8" x14ac:dyDescent="0.25">
      <c r="H3783" t="s">
        <v>2684</v>
      </c>
    </row>
    <row r="3784" spans="8:8" x14ac:dyDescent="0.25">
      <c r="H3784" t="s">
        <v>145</v>
      </c>
    </row>
    <row r="3785" spans="8:8" x14ac:dyDescent="0.25">
      <c r="H3785" t="s">
        <v>3337</v>
      </c>
    </row>
    <row r="3786" spans="8:8" x14ac:dyDescent="0.25">
      <c r="H3786" t="s">
        <v>31</v>
      </c>
    </row>
    <row r="3788" spans="8:8" x14ac:dyDescent="0.25">
      <c r="H3788" t="s">
        <v>2686</v>
      </c>
    </row>
    <row r="3789" spans="8:8" x14ac:dyDescent="0.25">
      <c r="H3789" t="s">
        <v>145</v>
      </c>
    </row>
    <row r="3790" spans="8:8" x14ac:dyDescent="0.25">
      <c r="H3790" t="s">
        <v>3339</v>
      </c>
    </row>
    <row r="3791" spans="8:8" x14ac:dyDescent="0.25">
      <c r="H3791" t="s">
        <v>31</v>
      </c>
    </row>
    <row r="3793" spans="8:8" x14ac:dyDescent="0.25">
      <c r="H3793" t="s">
        <v>2688</v>
      </c>
    </row>
    <row r="3794" spans="8:8" x14ac:dyDescent="0.25">
      <c r="H3794" t="s">
        <v>145</v>
      </c>
    </row>
    <row r="3795" spans="8:8" x14ac:dyDescent="0.25">
      <c r="H3795" t="s">
        <v>3341</v>
      </c>
    </row>
    <row r="3796" spans="8:8" x14ac:dyDescent="0.25">
      <c r="H3796" t="s">
        <v>31</v>
      </c>
    </row>
    <row r="3798" spans="8:8" x14ac:dyDescent="0.25">
      <c r="H3798" t="s">
        <v>2690</v>
      </c>
    </row>
    <row r="3799" spans="8:8" x14ac:dyDescent="0.25">
      <c r="H3799" t="s">
        <v>145</v>
      </c>
    </row>
    <row r="3800" spans="8:8" x14ac:dyDescent="0.25">
      <c r="H3800" t="s">
        <v>3343</v>
      </c>
    </row>
    <row r="3801" spans="8:8" x14ac:dyDescent="0.25">
      <c r="H3801" t="s">
        <v>31</v>
      </c>
    </row>
    <row r="3803" spans="8:8" x14ac:dyDescent="0.25">
      <c r="H3803" t="s">
        <v>2692</v>
      </c>
    </row>
    <row r="3804" spans="8:8" x14ac:dyDescent="0.25">
      <c r="H3804" t="s">
        <v>145</v>
      </c>
    </row>
    <row r="3805" spans="8:8" x14ac:dyDescent="0.25">
      <c r="H3805" t="s">
        <v>3345</v>
      </c>
    </row>
    <row r="3806" spans="8:8" x14ac:dyDescent="0.25">
      <c r="H3806" t="s">
        <v>31</v>
      </c>
    </row>
    <row r="3808" spans="8:8" x14ac:dyDescent="0.25">
      <c r="H3808" t="s">
        <v>2694</v>
      </c>
    </row>
    <row r="3809" spans="8:8" x14ac:dyDescent="0.25">
      <c r="H3809" t="s">
        <v>145</v>
      </c>
    </row>
    <row r="3810" spans="8:8" x14ac:dyDescent="0.25">
      <c r="H3810" t="s">
        <v>3347</v>
      </c>
    </row>
    <row r="3811" spans="8:8" x14ac:dyDescent="0.25">
      <c r="H3811" t="s">
        <v>31</v>
      </c>
    </row>
    <row r="3813" spans="8:8" x14ac:dyDescent="0.25">
      <c r="H3813" t="s">
        <v>2696</v>
      </c>
    </row>
    <row r="3814" spans="8:8" x14ac:dyDescent="0.25">
      <c r="H3814" t="s">
        <v>145</v>
      </c>
    </row>
    <row r="3815" spans="8:8" x14ac:dyDescent="0.25">
      <c r="H3815" t="s">
        <v>3349</v>
      </c>
    </row>
    <row r="3816" spans="8:8" x14ac:dyDescent="0.25">
      <c r="H3816" t="s">
        <v>31</v>
      </c>
    </row>
    <row r="3818" spans="8:8" x14ac:dyDescent="0.25">
      <c r="H3818" t="s">
        <v>2698</v>
      </c>
    </row>
    <row r="3819" spans="8:8" x14ac:dyDescent="0.25">
      <c r="H3819" t="s">
        <v>145</v>
      </c>
    </row>
    <row r="3820" spans="8:8" x14ac:dyDescent="0.25">
      <c r="H3820" t="s">
        <v>3351</v>
      </c>
    </row>
    <row r="3821" spans="8:8" x14ac:dyDescent="0.25">
      <c r="H3821" t="s">
        <v>31</v>
      </c>
    </row>
    <row r="3823" spans="8:8" x14ac:dyDescent="0.25">
      <c r="H3823" t="s">
        <v>2700</v>
      </c>
    </row>
    <row r="3824" spans="8:8" x14ac:dyDescent="0.25">
      <c r="H3824" t="s">
        <v>145</v>
      </c>
    </row>
    <row r="3825" spans="8:8" x14ac:dyDescent="0.25">
      <c r="H3825" t="s">
        <v>3353</v>
      </c>
    </row>
    <row r="3826" spans="8:8" x14ac:dyDescent="0.25">
      <c r="H3826" t="s">
        <v>31</v>
      </c>
    </row>
    <row r="3828" spans="8:8" x14ac:dyDescent="0.25">
      <c r="H3828" t="s">
        <v>2702</v>
      </c>
    </row>
    <row r="3829" spans="8:8" x14ac:dyDescent="0.25">
      <c r="H3829" t="s">
        <v>145</v>
      </c>
    </row>
    <row r="3830" spans="8:8" x14ac:dyDescent="0.25">
      <c r="H3830" t="s">
        <v>3355</v>
      </c>
    </row>
    <row r="3831" spans="8:8" x14ac:dyDescent="0.25">
      <c r="H3831" t="s">
        <v>31</v>
      </c>
    </row>
    <row r="3833" spans="8:8" x14ac:dyDescent="0.25">
      <c r="H3833" t="s">
        <v>2707</v>
      </c>
    </row>
    <row r="3834" spans="8:8" x14ac:dyDescent="0.25">
      <c r="H3834" t="s">
        <v>145</v>
      </c>
    </row>
    <row r="3835" spans="8:8" x14ac:dyDescent="0.25">
      <c r="H3835" t="s">
        <v>3357</v>
      </c>
    </row>
    <row r="3836" spans="8:8" x14ac:dyDescent="0.25">
      <c r="H3836" t="s">
        <v>31</v>
      </c>
    </row>
    <row r="3838" spans="8:8" x14ac:dyDescent="0.25">
      <c r="H3838" t="s">
        <v>2709</v>
      </c>
    </row>
    <row r="3839" spans="8:8" x14ac:dyDescent="0.25">
      <c r="H3839" t="s">
        <v>145</v>
      </c>
    </row>
    <row r="3840" spans="8:8" x14ac:dyDescent="0.25">
      <c r="H3840" t="s">
        <v>3359</v>
      </c>
    </row>
    <row r="3841" spans="8:8" x14ac:dyDescent="0.25">
      <c r="H3841" t="s">
        <v>31</v>
      </c>
    </row>
    <row r="3843" spans="8:8" x14ac:dyDescent="0.25">
      <c r="H3843" t="s">
        <v>2711</v>
      </c>
    </row>
    <row r="3844" spans="8:8" x14ac:dyDescent="0.25">
      <c r="H3844" t="s">
        <v>145</v>
      </c>
    </row>
    <row r="3845" spans="8:8" x14ac:dyDescent="0.25">
      <c r="H3845" t="s">
        <v>3361</v>
      </c>
    </row>
    <row r="3846" spans="8:8" x14ac:dyDescent="0.25">
      <c r="H3846" t="s">
        <v>31</v>
      </c>
    </row>
    <row r="3848" spans="8:8" x14ac:dyDescent="0.25">
      <c r="H3848" t="s">
        <v>2713</v>
      </c>
    </row>
    <row r="3849" spans="8:8" x14ac:dyDescent="0.25">
      <c r="H3849" t="s">
        <v>145</v>
      </c>
    </row>
    <row r="3850" spans="8:8" x14ac:dyDescent="0.25">
      <c r="H3850" t="s">
        <v>3363</v>
      </c>
    </row>
    <row r="3851" spans="8:8" x14ac:dyDescent="0.25">
      <c r="H3851" t="s">
        <v>31</v>
      </c>
    </row>
    <row r="3853" spans="8:8" x14ac:dyDescent="0.25">
      <c r="H3853" t="s">
        <v>2715</v>
      </c>
    </row>
    <row r="3854" spans="8:8" x14ac:dyDescent="0.25">
      <c r="H3854" t="s">
        <v>145</v>
      </c>
    </row>
    <row r="3855" spans="8:8" x14ac:dyDescent="0.25">
      <c r="H3855" t="s">
        <v>3365</v>
      </c>
    </row>
    <row r="3856" spans="8:8" x14ac:dyDescent="0.25">
      <c r="H3856" t="s">
        <v>31</v>
      </c>
    </row>
    <row r="3858" spans="8:8" x14ac:dyDescent="0.25">
      <c r="H3858" t="s">
        <v>2717</v>
      </c>
    </row>
    <row r="3859" spans="8:8" x14ac:dyDescent="0.25">
      <c r="H3859" t="s">
        <v>145</v>
      </c>
    </row>
    <row r="3860" spans="8:8" x14ac:dyDescent="0.25">
      <c r="H3860" t="s">
        <v>3367</v>
      </c>
    </row>
    <row r="3861" spans="8:8" x14ac:dyDescent="0.25">
      <c r="H3861" t="s">
        <v>31</v>
      </c>
    </row>
    <row r="3862" spans="8:8" x14ac:dyDescent="0.25">
      <c r="H3862" t="s">
        <v>147</v>
      </c>
    </row>
    <row r="3863" spans="8:8" x14ac:dyDescent="0.25">
      <c r="H3863" t="s">
        <v>3368</v>
      </c>
    </row>
    <row r="3864" spans="8:8" x14ac:dyDescent="0.25">
      <c r="H3864" t="s">
        <v>31</v>
      </c>
    </row>
    <row r="3865" spans="8:8" x14ac:dyDescent="0.25">
      <c r="H3865" t="s">
        <v>148</v>
      </c>
    </row>
    <row r="3866" spans="8:8" x14ac:dyDescent="0.25">
      <c r="H3866" t="s">
        <v>3369</v>
      </c>
    </row>
    <row r="3867" spans="8:8" x14ac:dyDescent="0.25">
      <c r="H3867" t="s">
        <v>31</v>
      </c>
    </row>
    <row r="3869" spans="8:8" x14ac:dyDescent="0.25">
      <c r="H3869" t="s">
        <v>2719</v>
      </c>
    </row>
    <row r="3870" spans="8:8" x14ac:dyDescent="0.25">
      <c r="H3870" t="s">
        <v>145</v>
      </c>
    </row>
    <row r="3871" spans="8:8" x14ac:dyDescent="0.25">
      <c r="H3871" t="s">
        <v>3371</v>
      </c>
    </row>
    <row r="3872" spans="8:8" x14ac:dyDescent="0.25">
      <c r="H3872" t="s">
        <v>31</v>
      </c>
    </row>
    <row r="3873" spans="8:8" x14ac:dyDescent="0.25">
      <c r="H3873" t="s">
        <v>146</v>
      </c>
    </row>
    <row r="3874" spans="8:8" x14ac:dyDescent="0.25">
      <c r="H3874" t="s">
        <v>3372</v>
      </c>
    </row>
    <row r="3875" spans="8:8" x14ac:dyDescent="0.25">
      <c r="H3875" t="s">
        <v>31</v>
      </c>
    </row>
    <row r="3876" spans="8:8" x14ac:dyDescent="0.25">
      <c r="H3876" t="s">
        <v>147</v>
      </c>
    </row>
    <row r="3877" spans="8:8" x14ac:dyDescent="0.25">
      <c r="H3877" t="s">
        <v>3373</v>
      </c>
    </row>
    <row r="3878" spans="8:8" x14ac:dyDescent="0.25">
      <c r="H3878" t="s">
        <v>31</v>
      </c>
    </row>
    <row r="3879" spans="8:8" x14ac:dyDescent="0.25">
      <c r="H3879" t="s">
        <v>148</v>
      </c>
    </row>
    <row r="3880" spans="8:8" x14ac:dyDescent="0.25">
      <c r="H3880" t="s">
        <v>3374</v>
      </c>
    </row>
    <row r="3881" spans="8:8" x14ac:dyDescent="0.25">
      <c r="H3881" t="s">
        <v>31</v>
      </c>
    </row>
    <row r="3883" spans="8:8" x14ac:dyDescent="0.25">
      <c r="H3883" t="s">
        <v>2721</v>
      </c>
    </row>
    <row r="3884" spans="8:8" x14ac:dyDescent="0.25">
      <c r="H3884" t="s">
        <v>145</v>
      </c>
    </row>
    <row r="3885" spans="8:8" x14ac:dyDescent="0.25">
      <c r="H3885" t="s">
        <v>3376</v>
      </c>
    </row>
    <row r="3886" spans="8:8" x14ac:dyDescent="0.25">
      <c r="H3886" t="s">
        <v>31</v>
      </c>
    </row>
    <row r="3888" spans="8:8" x14ac:dyDescent="0.25">
      <c r="H3888" t="s">
        <v>2723</v>
      </c>
    </row>
    <row r="3889" spans="8:8" x14ac:dyDescent="0.25">
      <c r="H3889" t="s">
        <v>145</v>
      </c>
    </row>
    <row r="3890" spans="8:8" x14ac:dyDescent="0.25">
      <c r="H3890" t="s">
        <v>3378</v>
      </c>
    </row>
    <row r="3891" spans="8:8" x14ac:dyDescent="0.25">
      <c r="H3891" t="s">
        <v>31</v>
      </c>
    </row>
    <row r="3893" spans="8:8" x14ac:dyDescent="0.25">
      <c r="H3893" t="s">
        <v>2725</v>
      </c>
    </row>
    <row r="3894" spans="8:8" x14ac:dyDescent="0.25">
      <c r="H3894" t="s">
        <v>145</v>
      </c>
    </row>
    <row r="3895" spans="8:8" x14ac:dyDescent="0.25">
      <c r="H3895" t="s">
        <v>3380</v>
      </c>
    </row>
    <row r="3896" spans="8:8" x14ac:dyDescent="0.25">
      <c r="H3896" t="s">
        <v>31</v>
      </c>
    </row>
    <row r="3898" spans="8:8" x14ac:dyDescent="0.25">
      <c r="H3898" t="s">
        <v>2727</v>
      </c>
    </row>
    <row r="3899" spans="8:8" x14ac:dyDescent="0.25">
      <c r="H3899" t="s">
        <v>145</v>
      </c>
    </row>
    <row r="3900" spans="8:8" x14ac:dyDescent="0.25">
      <c r="H3900" t="s">
        <v>3382</v>
      </c>
    </row>
    <row r="3901" spans="8:8" x14ac:dyDescent="0.25">
      <c r="H3901" t="s">
        <v>31</v>
      </c>
    </row>
    <row r="3903" spans="8:8" x14ac:dyDescent="0.25">
      <c r="H3903" t="s">
        <v>2729</v>
      </c>
    </row>
    <row r="3904" spans="8:8" x14ac:dyDescent="0.25">
      <c r="H3904" t="s">
        <v>145</v>
      </c>
    </row>
    <row r="3905" spans="8:8" x14ac:dyDescent="0.25">
      <c r="H3905" t="s">
        <v>3384</v>
      </c>
    </row>
    <row r="3906" spans="8:8" x14ac:dyDescent="0.25">
      <c r="H3906" t="s">
        <v>31</v>
      </c>
    </row>
    <row r="3908" spans="8:8" x14ac:dyDescent="0.25">
      <c r="H3908" t="s">
        <v>2731</v>
      </c>
    </row>
    <row r="3909" spans="8:8" x14ac:dyDescent="0.25">
      <c r="H3909" t="s">
        <v>145</v>
      </c>
    </row>
    <row r="3910" spans="8:8" x14ac:dyDescent="0.25">
      <c r="H3910" t="s">
        <v>3386</v>
      </c>
    </row>
    <row r="3911" spans="8:8" x14ac:dyDescent="0.25">
      <c r="H3911" t="s">
        <v>31</v>
      </c>
    </row>
    <row r="3913" spans="8:8" x14ac:dyDescent="0.25">
      <c r="H3913" t="s">
        <v>2733</v>
      </c>
    </row>
    <row r="3914" spans="8:8" x14ac:dyDescent="0.25">
      <c r="H3914" t="s">
        <v>145</v>
      </c>
    </row>
    <row r="3915" spans="8:8" x14ac:dyDescent="0.25">
      <c r="H3915" t="s">
        <v>3388</v>
      </c>
    </row>
    <row r="3916" spans="8:8" x14ac:dyDescent="0.25">
      <c r="H3916" t="s">
        <v>31</v>
      </c>
    </row>
    <row r="3917" spans="8:8" x14ac:dyDescent="0.25">
      <c r="H3917" t="s">
        <v>146</v>
      </c>
    </row>
    <row r="3918" spans="8:8" x14ac:dyDescent="0.25">
      <c r="H3918" t="s">
        <v>3389</v>
      </c>
    </row>
    <row r="3919" spans="8:8" x14ac:dyDescent="0.25">
      <c r="H3919" t="s">
        <v>31</v>
      </c>
    </row>
    <row r="3920" spans="8:8" x14ac:dyDescent="0.25">
      <c r="H3920" t="s">
        <v>147</v>
      </c>
    </row>
    <row r="3921" spans="8:8" x14ac:dyDescent="0.25">
      <c r="H3921" t="s">
        <v>3390</v>
      </c>
    </row>
    <row r="3922" spans="8:8" x14ac:dyDescent="0.25">
      <c r="H3922" t="s">
        <v>31</v>
      </c>
    </row>
    <row r="3923" spans="8:8" x14ac:dyDescent="0.25">
      <c r="H3923" t="s">
        <v>148</v>
      </c>
    </row>
    <row r="3924" spans="8:8" x14ac:dyDescent="0.25">
      <c r="H3924" t="s">
        <v>3391</v>
      </c>
    </row>
    <row r="3925" spans="8:8" x14ac:dyDescent="0.25">
      <c r="H3925" t="s">
        <v>31</v>
      </c>
    </row>
    <row r="3927" spans="8:8" x14ac:dyDescent="0.25">
      <c r="H3927" t="s">
        <v>2735</v>
      </c>
    </row>
    <row r="3928" spans="8:8" x14ac:dyDescent="0.25">
      <c r="H3928" t="s">
        <v>145</v>
      </c>
    </row>
    <row r="3929" spans="8:8" x14ac:dyDescent="0.25">
      <c r="H3929" t="s">
        <v>3393</v>
      </c>
    </row>
    <row r="3930" spans="8:8" x14ac:dyDescent="0.25">
      <c r="H3930" t="s">
        <v>31</v>
      </c>
    </row>
    <row r="3931" spans="8:8" x14ac:dyDescent="0.25">
      <c r="H3931" t="s">
        <v>146</v>
      </c>
    </row>
    <row r="3932" spans="8:8" x14ac:dyDescent="0.25">
      <c r="H3932" t="s">
        <v>3394</v>
      </c>
    </row>
    <row r="3933" spans="8:8" x14ac:dyDescent="0.25">
      <c r="H3933" t="s">
        <v>31</v>
      </c>
    </row>
    <row r="3934" spans="8:8" x14ac:dyDescent="0.25">
      <c r="H3934" t="s">
        <v>147</v>
      </c>
    </row>
    <row r="3935" spans="8:8" x14ac:dyDescent="0.25">
      <c r="H3935" t="s">
        <v>3395</v>
      </c>
    </row>
    <row r="3936" spans="8:8" x14ac:dyDescent="0.25">
      <c r="H3936" t="s">
        <v>31</v>
      </c>
    </row>
    <row r="3937" spans="8:8" x14ac:dyDescent="0.25">
      <c r="H3937" t="s">
        <v>148</v>
      </c>
    </row>
    <row r="3938" spans="8:8" x14ac:dyDescent="0.25">
      <c r="H3938" t="s">
        <v>3396</v>
      </c>
    </row>
    <row r="3939" spans="8:8" x14ac:dyDescent="0.25">
      <c r="H3939" t="s">
        <v>31</v>
      </c>
    </row>
    <row r="3941" spans="8:8" x14ac:dyDescent="0.25">
      <c r="H3941" t="s">
        <v>2737</v>
      </c>
    </row>
    <row r="3942" spans="8:8" x14ac:dyDescent="0.25">
      <c r="H3942" t="s">
        <v>145</v>
      </c>
    </row>
    <row r="3943" spans="8:8" x14ac:dyDescent="0.25">
      <c r="H3943" t="s">
        <v>3398</v>
      </c>
    </row>
    <row r="3944" spans="8:8" x14ac:dyDescent="0.25">
      <c r="H3944" t="s">
        <v>31</v>
      </c>
    </row>
    <row r="3945" spans="8:8" x14ac:dyDescent="0.25">
      <c r="H3945" t="s">
        <v>146</v>
      </c>
    </row>
    <row r="3946" spans="8:8" x14ac:dyDescent="0.25">
      <c r="H3946" t="s">
        <v>3399</v>
      </c>
    </row>
    <row r="3947" spans="8:8" x14ac:dyDescent="0.25">
      <c r="H3947" t="s">
        <v>31</v>
      </c>
    </row>
    <row r="3948" spans="8:8" x14ac:dyDescent="0.25">
      <c r="H3948" t="s">
        <v>147</v>
      </c>
    </row>
    <row r="3949" spans="8:8" x14ac:dyDescent="0.25">
      <c r="H3949" t="s">
        <v>3400</v>
      </c>
    </row>
    <row r="3950" spans="8:8" x14ac:dyDescent="0.25">
      <c r="H3950" t="s">
        <v>31</v>
      </c>
    </row>
    <row r="3951" spans="8:8" x14ac:dyDescent="0.25">
      <c r="H3951" t="s">
        <v>148</v>
      </c>
    </row>
    <row r="3952" spans="8:8" x14ac:dyDescent="0.25">
      <c r="H3952" t="s">
        <v>3401</v>
      </c>
    </row>
    <row r="3953" spans="8:8" x14ac:dyDescent="0.25">
      <c r="H3953" t="s">
        <v>31</v>
      </c>
    </row>
    <row r="3955" spans="8:8" x14ac:dyDescent="0.25">
      <c r="H3955" t="s">
        <v>2739</v>
      </c>
    </row>
    <row r="3956" spans="8:8" x14ac:dyDescent="0.25">
      <c r="H3956" t="s">
        <v>145</v>
      </c>
    </row>
    <row r="3957" spans="8:8" x14ac:dyDescent="0.25">
      <c r="H3957" t="s">
        <v>3403</v>
      </c>
    </row>
    <row r="3958" spans="8:8" x14ac:dyDescent="0.25">
      <c r="H3958" t="s">
        <v>31</v>
      </c>
    </row>
    <row r="3959" spans="8:8" x14ac:dyDescent="0.25">
      <c r="H3959" t="s">
        <v>146</v>
      </c>
    </row>
    <row r="3960" spans="8:8" x14ac:dyDescent="0.25">
      <c r="H3960" t="s">
        <v>3404</v>
      </c>
    </row>
    <row r="3961" spans="8:8" x14ac:dyDescent="0.25">
      <c r="H3961" t="s">
        <v>31</v>
      </c>
    </row>
    <row r="3962" spans="8:8" x14ac:dyDescent="0.25">
      <c r="H3962" t="s">
        <v>147</v>
      </c>
    </row>
    <row r="3963" spans="8:8" x14ac:dyDescent="0.25">
      <c r="H3963" t="s">
        <v>3405</v>
      </c>
    </row>
    <row r="3964" spans="8:8" x14ac:dyDescent="0.25">
      <c r="H3964" t="s">
        <v>31</v>
      </c>
    </row>
    <row r="3965" spans="8:8" x14ac:dyDescent="0.25">
      <c r="H3965" t="s">
        <v>148</v>
      </c>
    </row>
    <row r="3966" spans="8:8" x14ac:dyDescent="0.25">
      <c r="H3966" t="s">
        <v>3406</v>
      </c>
    </row>
    <row r="3967" spans="8:8" x14ac:dyDescent="0.25">
      <c r="H3967" t="s">
        <v>31</v>
      </c>
    </row>
    <row r="3969" spans="8:8" x14ac:dyDescent="0.25">
      <c r="H3969" t="s">
        <v>2741</v>
      </c>
    </row>
    <row r="3970" spans="8:8" x14ac:dyDescent="0.25">
      <c r="H3970" t="s">
        <v>3408</v>
      </c>
    </row>
    <row r="3971" spans="8:8" x14ac:dyDescent="0.25">
      <c r="H3971" t="s">
        <v>145</v>
      </c>
    </row>
    <row r="3972" spans="8:8" x14ac:dyDescent="0.25">
      <c r="H3972" t="s">
        <v>3409</v>
      </c>
    </row>
    <row r="3973" spans="8:8" x14ac:dyDescent="0.25">
      <c r="H3973" t="s">
        <v>31</v>
      </c>
    </row>
    <row r="3975" spans="8:8" x14ac:dyDescent="0.25">
      <c r="H3975" t="s">
        <v>2743</v>
      </c>
    </row>
    <row r="3976" spans="8:8" x14ac:dyDescent="0.25">
      <c r="H3976" t="s">
        <v>145</v>
      </c>
    </row>
    <row r="3977" spans="8:8" x14ac:dyDescent="0.25">
      <c r="H3977" t="s">
        <v>3411</v>
      </c>
    </row>
    <row r="3978" spans="8:8" x14ac:dyDescent="0.25">
      <c r="H3978" t="s">
        <v>31</v>
      </c>
    </row>
    <row r="3980" spans="8:8" x14ac:dyDescent="0.25">
      <c r="H3980" t="s">
        <v>2745</v>
      </c>
    </row>
    <row r="3981" spans="8:8" x14ac:dyDescent="0.25">
      <c r="H3981" t="s">
        <v>145</v>
      </c>
    </row>
    <row r="3982" spans="8:8" x14ac:dyDescent="0.25">
      <c r="H3982" t="s">
        <v>3413</v>
      </c>
    </row>
    <row r="3983" spans="8:8" x14ac:dyDescent="0.25">
      <c r="H3983" t="s">
        <v>31</v>
      </c>
    </row>
    <row r="3985" spans="8:8" x14ac:dyDescent="0.25">
      <c r="H3985" t="s">
        <v>2747</v>
      </c>
    </row>
    <row r="3986" spans="8:8" x14ac:dyDescent="0.25">
      <c r="H3986" t="s">
        <v>145</v>
      </c>
    </row>
    <row r="3987" spans="8:8" x14ac:dyDescent="0.25">
      <c r="H3987" t="s">
        <v>3415</v>
      </c>
    </row>
    <row r="3988" spans="8:8" x14ac:dyDescent="0.25">
      <c r="H3988" t="s">
        <v>31</v>
      </c>
    </row>
    <row r="3990" spans="8:8" x14ac:dyDescent="0.25">
      <c r="H3990" t="s">
        <v>2749</v>
      </c>
    </row>
    <row r="3991" spans="8:8" x14ac:dyDescent="0.25">
      <c r="H3991" t="s">
        <v>145</v>
      </c>
    </row>
    <row r="3992" spans="8:8" x14ac:dyDescent="0.25">
      <c r="H3992" t="s">
        <v>3417</v>
      </c>
    </row>
    <row r="3993" spans="8:8" x14ac:dyDescent="0.25">
      <c r="H3993" t="s">
        <v>31</v>
      </c>
    </row>
    <row r="3995" spans="8:8" x14ac:dyDescent="0.25">
      <c r="H3995" t="s">
        <v>2753</v>
      </c>
    </row>
    <row r="3996" spans="8:8" x14ac:dyDescent="0.25">
      <c r="H3996" t="s">
        <v>145</v>
      </c>
    </row>
    <row r="3997" spans="8:8" x14ac:dyDescent="0.25">
      <c r="H3997" t="s">
        <v>3419</v>
      </c>
    </row>
    <row r="3998" spans="8:8" x14ac:dyDescent="0.25">
      <c r="H3998" t="s">
        <v>31</v>
      </c>
    </row>
    <row r="4000" spans="8:8" x14ac:dyDescent="0.25">
      <c r="H4000" t="s">
        <v>2758</v>
      </c>
    </row>
    <row r="4001" spans="8:8" x14ac:dyDescent="0.25">
      <c r="H4001" t="s">
        <v>145</v>
      </c>
    </row>
    <row r="4002" spans="8:8" x14ac:dyDescent="0.25">
      <c r="H4002" t="s">
        <v>3421</v>
      </c>
    </row>
    <row r="4003" spans="8:8" x14ac:dyDescent="0.25">
      <c r="H4003" t="s">
        <v>31</v>
      </c>
    </row>
    <row r="4005" spans="8:8" x14ac:dyDescent="0.25">
      <c r="H4005" t="s">
        <v>2760</v>
      </c>
    </row>
    <row r="4006" spans="8:8" x14ac:dyDescent="0.25">
      <c r="H4006" t="s">
        <v>145</v>
      </c>
    </row>
    <row r="4007" spans="8:8" x14ac:dyDescent="0.25">
      <c r="H4007" t="s">
        <v>3423</v>
      </c>
    </row>
    <row r="4008" spans="8:8" x14ac:dyDescent="0.25">
      <c r="H4008" t="s">
        <v>31</v>
      </c>
    </row>
    <row r="4010" spans="8:8" x14ac:dyDescent="0.25">
      <c r="H4010" t="s">
        <v>2762</v>
      </c>
    </row>
    <row r="4011" spans="8:8" x14ac:dyDescent="0.25">
      <c r="H4011" t="s">
        <v>145</v>
      </c>
    </row>
    <row r="4012" spans="8:8" x14ac:dyDescent="0.25">
      <c r="H4012" t="s">
        <v>3425</v>
      </c>
    </row>
    <row r="4013" spans="8:8" x14ac:dyDescent="0.25">
      <c r="H4013" t="s">
        <v>31</v>
      </c>
    </row>
    <row r="4015" spans="8:8" x14ac:dyDescent="0.25">
      <c r="H4015" t="s">
        <v>2764</v>
      </c>
    </row>
    <row r="4016" spans="8:8" x14ac:dyDescent="0.25">
      <c r="H4016" t="s">
        <v>145</v>
      </c>
    </row>
    <row r="4017" spans="8:8" x14ac:dyDescent="0.25">
      <c r="H4017" t="s">
        <v>3427</v>
      </c>
    </row>
    <row r="4018" spans="8:8" x14ac:dyDescent="0.25">
      <c r="H4018" t="s">
        <v>31</v>
      </c>
    </row>
    <row r="4020" spans="8:8" x14ac:dyDescent="0.25">
      <c r="H4020" t="s">
        <v>2766</v>
      </c>
    </row>
    <row r="4021" spans="8:8" x14ac:dyDescent="0.25">
      <c r="H4021" t="s">
        <v>145</v>
      </c>
    </row>
    <row r="4022" spans="8:8" x14ac:dyDescent="0.25">
      <c r="H4022" t="s">
        <v>3429</v>
      </c>
    </row>
    <row r="4023" spans="8:8" x14ac:dyDescent="0.25">
      <c r="H4023" t="s">
        <v>31</v>
      </c>
    </row>
    <row r="4025" spans="8:8" x14ac:dyDescent="0.25">
      <c r="H4025" t="s">
        <v>2768</v>
      </c>
    </row>
    <row r="4026" spans="8:8" x14ac:dyDescent="0.25">
      <c r="H4026" t="s">
        <v>145</v>
      </c>
    </row>
    <row r="4027" spans="8:8" x14ac:dyDescent="0.25">
      <c r="H4027" t="s">
        <v>3431</v>
      </c>
    </row>
    <row r="4028" spans="8:8" x14ac:dyDescent="0.25">
      <c r="H4028" t="s">
        <v>31</v>
      </c>
    </row>
    <row r="4030" spans="8:8" x14ac:dyDescent="0.25">
      <c r="H4030" t="s">
        <v>2770</v>
      </c>
    </row>
    <row r="4031" spans="8:8" x14ac:dyDescent="0.25">
      <c r="H4031" t="s">
        <v>145</v>
      </c>
    </row>
    <row r="4032" spans="8:8" x14ac:dyDescent="0.25">
      <c r="H4032" t="s">
        <v>3433</v>
      </c>
    </row>
    <row r="4033" spans="8:8" x14ac:dyDescent="0.25">
      <c r="H4033" t="s">
        <v>31</v>
      </c>
    </row>
    <row r="4035" spans="8:8" x14ac:dyDescent="0.25">
      <c r="H4035" t="s">
        <v>2775</v>
      </c>
    </row>
    <row r="4036" spans="8:8" x14ac:dyDescent="0.25">
      <c r="H4036" t="s">
        <v>145</v>
      </c>
    </row>
    <row r="4037" spans="8:8" x14ac:dyDescent="0.25">
      <c r="H4037" t="s">
        <v>3435</v>
      </c>
    </row>
    <row r="4038" spans="8:8" x14ac:dyDescent="0.25">
      <c r="H4038" t="s">
        <v>31</v>
      </c>
    </row>
    <row r="4040" spans="8:8" x14ac:dyDescent="0.25">
      <c r="H4040" t="s">
        <v>2780</v>
      </c>
    </row>
    <row r="4041" spans="8:8" x14ac:dyDescent="0.25">
      <c r="H4041" t="s">
        <v>145</v>
      </c>
    </row>
    <row r="4042" spans="8:8" x14ac:dyDescent="0.25">
      <c r="H4042" t="s">
        <v>3437</v>
      </c>
    </row>
    <row r="4043" spans="8:8" x14ac:dyDescent="0.25">
      <c r="H4043" t="s">
        <v>31</v>
      </c>
    </row>
    <row r="4045" spans="8:8" x14ac:dyDescent="0.25">
      <c r="H4045" t="s">
        <v>2785</v>
      </c>
    </row>
    <row r="4046" spans="8:8" x14ac:dyDescent="0.25">
      <c r="H4046" t="s">
        <v>145</v>
      </c>
    </row>
    <row r="4047" spans="8:8" x14ac:dyDescent="0.25">
      <c r="H4047" t="s">
        <v>3439</v>
      </c>
    </row>
    <row r="4048" spans="8:8" x14ac:dyDescent="0.25">
      <c r="H4048" t="s">
        <v>31</v>
      </c>
    </row>
    <row r="4050" spans="8:8" x14ac:dyDescent="0.25">
      <c r="H4050" t="s">
        <v>2790</v>
      </c>
    </row>
    <row r="4051" spans="8:8" x14ac:dyDescent="0.25">
      <c r="H4051" t="s">
        <v>145</v>
      </c>
    </row>
    <row r="4052" spans="8:8" x14ac:dyDescent="0.25">
      <c r="H4052" t="s">
        <v>3441</v>
      </c>
    </row>
    <row r="4053" spans="8:8" x14ac:dyDescent="0.25">
      <c r="H4053" t="s">
        <v>31</v>
      </c>
    </row>
    <row r="4055" spans="8:8" x14ac:dyDescent="0.25">
      <c r="H4055" t="s">
        <v>2793</v>
      </c>
    </row>
    <row r="4056" spans="8:8" x14ac:dyDescent="0.25">
      <c r="H4056" t="s">
        <v>145</v>
      </c>
    </row>
    <row r="4057" spans="8:8" x14ac:dyDescent="0.25">
      <c r="H4057" t="s">
        <v>3443</v>
      </c>
    </row>
    <row r="4058" spans="8:8" x14ac:dyDescent="0.25">
      <c r="H4058" t="s">
        <v>31</v>
      </c>
    </row>
    <row r="4060" spans="8:8" x14ac:dyDescent="0.25">
      <c r="H4060" t="s">
        <v>2795</v>
      </c>
    </row>
    <row r="4061" spans="8:8" x14ac:dyDescent="0.25">
      <c r="H4061" t="s">
        <v>145</v>
      </c>
    </row>
    <row r="4062" spans="8:8" x14ac:dyDescent="0.25">
      <c r="H4062" t="s">
        <v>3445</v>
      </c>
    </row>
    <row r="4063" spans="8:8" x14ac:dyDescent="0.25">
      <c r="H4063" t="s">
        <v>31</v>
      </c>
    </row>
    <row r="4065" spans="8:8" x14ac:dyDescent="0.25">
      <c r="H4065" t="s">
        <v>2797</v>
      </c>
    </row>
    <row r="4066" spans="8:8" x14ac:dyDescent="0.25">
      <c r="H4066" t="s">
        <v>145</v>
      </c>
    </row>
    <row r="4067" spans="8:8" x14ac:dyDescent="0.25">
      <c r="H4067" t="s">
        <v>3447</v>
      </c>
    </row>
    <row r="4068" spans="8:8" x14ac:dyDescent="0.25">
      <c r="H4068" t="s">
        <v>31</v>
      </c>
    </row>
    <row r="4070" spans="8:8" x14ac:dyDescent="0.25">
      <c r="H4070" t="s">
        <v>2799</v>
      </c>
    </row>
    <row r="4071" spans="8:8" x14ac:dyDescent="0.25">
      <c r="H4071" t="s">
        <v>145</v>
      </c>
    </row>
    <row r="4072" spans="8:8" x14ac:dyDescent="0.25">
      <c r="H4072" t="s">
        <v>3449</v>
      </c>
    </row>
    <row r="4073" spans="8:8" x14ac:dyDescent="0.25">
      <c r="H4073" t="s">
        <v>31</v>
      </c>
    </row>
    <row r="4075" spans="8:8" x14ac:dyDescent="0.25">
      <c r="H4075" t="s">
        <v>2801</v>
      </c>
    </row>
    <row r="4076" spans="8:8" x14ac:dyDescent="0.25">
      <c r="H4076" t="s">
        <v>145</v>
      </c>
    </row>
    <row r="4077" spans="8:8" x14ac:dyDescent="0.25">
      <c r="H4077" t="s">
        <v>3451</v>
      </c>
    </row>
    <row r="4078" spans="8:8" x14ac:dyDescent="0.25">
      <c r="H4078" t="s">
        <v>31</v>
      </c>
    </row>
    <row r="4080" spans="8:8" x14ac:dyDescent="0.25">
      <c r="H4080" t="s">
        <v>2803</v>
      </c>
    </row>
    <row r="4081" spans="8:8" x14ac:dyDescent="0.25">
      <c r="H4081" t="s">
        <v>145</v>
      </c>
    </row>
    <row r="4082" spans="8:8" x14ac:dyDescent="0.25">
      <c r="H4082" t="s">
        <v>3453</v>
      </c>
    </row>
    <row r="4083" spans="8:8" x14ac:dyDescent="0.25">
      <c r="H4083" t="s">
        <v>31</v>
      </c>
    </row>
    <row r="4085" spans="8:8" x14ac:dyDescent="0.25">
      <c r="H4085" t="s">
        <v>2805</v>
      </c>
    </row>
    <row r="4086" spans="8:8" x14ac:dyDescent="0.25">
      <c r="H4086" t="s">
        <v>145</v>
      </c>
    </row>
    <row r="4087" spans="8:8" x14ac:dyDescent="0.25">
      <c r="H4087" t="s">
        <v>3455</v>
      </c>
    </row>
    <row r="4088" spans="8:8" x14ac:dyDescent="0.25">
      <c r="H4088" t="s">
        <v>31</v>
      </c>
    </row>
    <row r="4090" spans="8:8" x14ac:dyDescent="0.25">
      <c r="H4090" t="s">
        <v>2807</v>
      </c>
    </row>
    <row r="4091" spans="8:8" x14ac:dyDescent="0.25">
      <c r="H4091" t="s">
        <v>145</v>
      </c>
    </row>
    <row r="4092" spans="8:8" x14ac:dyDescent="0.25">
      <c r="H4092" t="s">
        <v>3457</v>
      </c>
    </row>
    <row r="4093" spans="8:8" x14ac:dyDescent="0.25">
      <c r="H4093" t="s">
        <v>31</v>
      </c>
    </row>
    <row r="4095" spans="8:8" x14ac:dyDescent="0.25">
      <c r="H4095" t="s">
        <v>2809</v>
      </c>
    </row>
    <row r="4096" spans="8:8" x14ac:dyDescent="0.25">
      <c r="H4096" t="s">
        <v>145</v>
      </c>
    </row>
    <row r="4097" spans="8:8" x14ac:dyDescent="0.25">
      <c r="H4097" t="s">
        <v>3459</v>
      </c>
    </row>
    <row r="4098" spans="8:8" x14ac:dyDescent="0.25">
      <c r="H4098" t="s">
        <v>31</v>
      </c>
    </row>
    <row r="4100" spans="8:8" x14ac:dyDescent="0.25">
      <c r="H4100" t="s">
        <v>2811</v>
      </c>
    </row>
    <row r="4101" spans="8:8" x14ac:dyDescent="0.25">
      <c r="H4101" t="s">
        <v>145</v>
      </c>
    </row>
    <row r="4102" spans="8:8" x14ac:dyDescent="0.25">
      <c r="H4102" t="s">
        <v>3461</v>
      </c>
    </row>
    <row r="4103" spans="8:8" x14ac:dyDescent="0.25">
      <c r="H4103" t="s">
        <v>31</v>
      </c>
    </row>
    <row r="4105" spans="8:8" x14ac:dyDescent="0.25">
      <c r="H4105" t="s">
        <v>2813</v>
      </c>
    </row>
    <row r="4106" spans="8:8" x14ac:dyDescent="0.25">
      <c r="H4106" t="s">
        <v>145</v>
      </c>
    </row>
    <row r="4107" spans="8:8" x14ac:dyDescent="0.25">
      <c r="H4107" t="s">
        <v>3463</v>
      </c>
    </row>
    <row r="4108" spans="8:8" x14ac:dyDescent="0.25">
      <c r="H4108" t="s">
        <v>31</v>
      </c>
    </row>
    <row r="4110" spans="8:8" x14ac:dyDescent="0.25">
      <c r="H4110" t="s">
        <v>2815</v>
      </c>
    </row>
    <row r="4111" spans="8:8" x14ac:dyDescent="0.25">
      <c r="H4111" t="s">
        <v>145</v>
      </c>
    </row>
    <row r="4112" spans="8:8" x14ac:dyDescent="0.25">
      <c r="H4112" t="s">
        <v>3465</v>
      </c>
    </row>
    <row r="4113" spans="8:8" x14ac:dyDescent="0.25">
      <c r="H4113" t="s">
        <v>31</v>
      </c>
    </row>
    <row r="4115" spans="8:8" x14ac:dyDescent="0.25">
      <c r="H4115" t="s">
        <v>2817</v>
      </c>
    </row>
    <row r="4116" spans="8:8" x14ac:dyDescent="0.25">
      <c r="H4116" t="s">
        <v>145</v>
      </c>
    </row>
    <row r="4117" spans="8:8" x14ac:dyDescent="0.25">
      <c r="H4117" t="s">
        <v>3467</v>
      </c>
    </row>
    <row r="4118" spans="8:8" x14ac:dyDescent="0.25">
      <c r="H4118" t="s">
        <v>31</v>
      </c>
    </row>
    <row r="4120" spans="8:8" x14ac:dyDescent="0.25">
      <c r="H4120" t="s">
        <v>2819</v>
      </c>
    </row>
    <row r="4121" spans="8:8" x14ac:dyDescent="0.25">
      <c r="H4121" t="s">
        <v>145</v>
      </c>
    </row>
    <row r="4122" spans="8:8" x14ac:dyDescent="0.25">
      <c r="H4122" t="s">
        <v>3469</v>
      </c>
    </row>
    <row r="4123" spans="8:8" x14ac:dyDescent="0.25">
      <c r="H4123" t="s">
        <v>31</v>
      </c>
    </row>
    <row r="4125" spans="8:8" x14ac:dyDescent="0.25">
      <c r="H4125" t="s">
        <v>2821</v>
      </c>
    </row>
    <row r="4126" spans="8:8" x14ac:dyDescent="0.25">
      <c r="H4126" t="s">
        <v>145</v>
      </c>
    </row>
    <row r="4127" spans="8:8" x14ac:dyDescent="0.25">
      <c r="H4127" t="s">
        <v>3471</v>
      </c>
    </row>
    <row r="4128" spans="8:8" x14ac:dyDescent="0.25">
      <c r="H4128" t="s">
        <v>31</v>
      </c>
    </row>
    <row r="4130" spans="8:8" x14ac:dyDescent="0.25">
      <c r="H4130" t="s">
        <v>2823</v>
      </c>
    </row>
    <row r="4131" spans="8:8" x14ac:dyDescent="0.25">
      <c r="H4131" t="s">
        <v>145</v>
      </c>
    </row>
    <row r="4132" spans="8:8" x14ac:dyDescent="0.25">
      <c r="H4132" t="s">
        <v>3473</v>
      </c>
    </row>
    <row r="4133" spans="8:8" x14ac:dyDescent="0.25">
      <c r="H4133" t="s">
        <v>31</v>
      </c>
    </row>
    <row r="4135" spans="8:8" x14ac:dyDescent="0.25">
      <c r="H4135" t="s">
        <v>2825</v>
      </c>
    </row>
    <row r="4136" spans="8:8" x14ac:dyDescent="0.25">
      <c r="H4136" t="s">
        <v>145</v>
      </c>
    </row>
    <row r="4137" spans="8:8" x14ac:dyDescent="0.25">
      <c r="H4137" t="s">
        <v>3475</v>
      </c>
    </row>
    <row r="4138" spans="8:8" x14ac:dyDescent="0.25">
      <c r="H4138" t="s">
        <v>31</v>
      </c>
    </row>
    <row r="4140" spans="8:8" x14ac:dyDescent="0.25">
      <c r="H4140" t="s">
        <v>2827</v>
      </c>
    </row>
    <row r="4141" spans="8:8" x14ac:dyDescent="0.25">
      <c r="H4141" t="s">
        <v>145</v>
      </c>
    </row>
    <row r="4142" spans="8:8" x14ac:dyDescent="0.25">
      <c r="H4142" t="s">
        <v>3477</v>
      </c>
    </row>
    <row r="4143" spans="8:8" x14ac:dyDescent="0.25">
      <c r="H4143" t="s">
        <v>31</v>
      </c>
    </row>
    <row r="4145" spans="8:8" x14ac:dyDescent="0.25">
      <c r="H4145" t="s">
        <v>2829</v>
      </c>
    </row>
    <row r="4146" spans="8:8" x14ac:dyDescent="0.25">
      <c r="H4146" t="s">
        <v>145</v>
      </c>
    </row>
    <row r="4147" spans="8:8" x14ac:dyDescent="0.25">
      <c r="H4147" t="s">
        <v>3479</v>
      </c>
    </row>
    <row r="4148" spans="8:8" x14ac:dyDescent="0.25">
      <c r="H4148" t="s">
        <v>31</v>
      </c>
    </row>
    <row r="4150" spans="8:8" x14ac:dyDescent="0.25">
      <c r="H4150" t="s">
        <v>2831</v>
      </c>
    </row>
    <row r="4151" spans="8:8" x14ac:dyDescent="0.25">
      <c r="H4151" t="s">
        <v>145</v>
      </c>
    </row>
    <row r="4152" spans="8:8" x14ac:dyDescent="0.25">
      <c r="H4152" t="s">
        <v>3481</v>
      </c>
    </row>
    <row r="4153" spans="8:8" x14ac:dyDescent="0.25">
      <c r="H4153" t="s">
        <v>31</v>
      </c>
    </row>
    <row r="4155" spans="8:8" x14ac:dyDescent="0.25">
      <c r="H4155" t="s">
        <v>2833</v>
      </c>
    </row>
    <row r="4156" spans="8:8" x14ac:dyDescent="0.25">
      <c r="H4156" t="s">
        <v>145</v>
      </c>
    </row>
    <row r="4157" spans="8:8" x14ac:dyDescent="0.25">
      <c r="H4157" t="s">
        <v>3483</v>
      </c>
    </row>
    <row r="4158" spans="8:8" x14ac:dyDescent="0.25">
      <c r="H4158" t="s">
        <v>31</v>
      </c>
    </row>
    <row r="4160" spans="8:8" x14ac:dyDescent="0.25">
      <c r="H4160" t="s">
        <v>2835</v>
      </c>
    </row>
    <row r="4161" spans="8:8" x14ac:dyDescent="0.25">
      <c r="H4161" t="s">
        <v>145</v>
      </c>
    </row>
    <row r="4162" spans="8:8" x14ac:dyDescent="0.25">
      <c r="H4162" t="s">
        <v>3485</v>
      </c>
    </row>
    <row r="4163" spans="8:8" x14ac:dyDescent="0.25">
      <c r="H4163" t="s">
        <v>31</v>
      </c>
    </row>
    <row r="4165" spans="8:8" x14ac:dyDescent="0.25">
      <c r="H4165" t="s">
        <v>2837</v>
      </c>
    </row>
    <row r="4166" spans="8:8" x14ac:dyDescent="0.25">
      <c r="H4166" t="s">
        <v>145</v>
      </c>
    </row>
    <row r="4167" spans="8:8" x14ac:dyDescent="0.25">
      <c r="H4167" t="s">
        <v>3487</v>
      </c>
    </row>
    <row r="4168" spans="8:8" x14ac:dyDescent="0.25">
      <c r="H4168" t="s">
        <v>31</v>
      </c>
    </row>
    <row r="4170" spans="8:8" x14ac:dyDescent="0.25">
      <c r="H4170" t="s">
        <v>2839</v>
      </c>
    </row>
    <row r="4171" spans="8:8" x14ac:dyDescent="0.25">
      <c r="H4171" t="s">
        <v>145</v>
      </c>
    </row>
    <row r="4172" spans="8:8" x14ac:dyDescent="0.25">
      <c r="H4172" t="s">
        <v>3489</v>
      </c>
    </row>
    <row r="4173" spans="8:8" x14ac:dyDescent="0.25">
      <c r="H4173" t="s">
        <v>31</v>
      </c>
    </row>
    <row r="4175" spans="8:8" x14ac:dyDescent="0.25">
      <c r="H4175" t="s">
        <v>2841</v>
      </c>
    </row>
    <row r="4176" spans="8:8" x14ac:dyDescent="0.25">
      <c r="H4176" t="s">
        <v>145</v>
      </c>
    </row>
    <row r="4177" spans="8:8" x14ac:dyDescent="0.25">
      <c r="H4177" t="s">
        <v>3491</v>
      </c>
    </row>
    <row r="4178" spans="8:8" x14ac:dyDescent="0.25">
      <c r="H4178" t="s">
        <v>31</v>
      </c>
    </row>
    <row r="4180" spans="8:8" x14ac:dyDescent="0.25">
      <c r="H4180" t="s">
        <v>2843</v>
      </c>
    </row>
    <row r="4181" spans="8:8" x14ac:dyDescent="0.25">
      <c r="H4181" t="s">
        <v>145</v>
      </c>
    </row>
    <row r="4182" spans="8:8" x14ac:dyDescent="0.25">
      <c r="H4182" t="s">
        <v>3493</v>
      </c>
    </row>
    <row r="4183" spans="8:8" x14ac:dyDescent="0.25">
      <c r="H4183" t="s">
        <v>31</v>
      </c>
    </row>
    <row r="4185" spans="8:8" x14ac:dyDescent="0.25">
      <c r="H4185" t="s">
        <v>2845</v>
      </c>
    </row>
    <row r="4186" spans="8:8" x14ac:dyDescent="0.25">
      <c r="H4186" t="s">
        <v>145</v>
      </c>
    </row>
    <row r="4187" spans="8:8" x14ac:dyDescent="0.25">
      <c r="H4187" t="s">
        <v>3495</v>
      </c>
    </row>
    <row r="4188" spans="8:8" x14ac:dyDescent="0.25">
      <c r="H4188" t="s">
        <v>31</v>
      </c>
    </row>
    <row r="4190" spans="8:8" x14ac:dyDescent="0.25">
      <c r="H4190" t="s">
        <v>2847</v>
      </c>
    </row>
    <row r="4191" spans="8:8" x14ac:dyDescent="0.25">
      <c r="H4191" t="s">
        <v>145</v>
      </c>
    </row>
    <row r="4192" spans="8:8" x14ac:dyDescent="0.25">
      <c r="H4192" t="s">
        <v>3497</v>
      </c>
    </row>
    <row r="4193" spans="8:8" x14ac:dyDescent="0.25">
      <c r="H4193" t="s">
        <v>31</v>
      </c>
    </row>
    <row r="4195" spans="8:8" x14ac:dyDescent="0.25">
      <c r="H4195" t="s">
        <v>2849</v>
      </c>
    </row>
    <row r="4196" spans="8:8" x14ac:dyDescent="0.25">
      <c r="H4196" t="s">
        <v>145</v>
      </c>
    </row>
    <row r="4197" spans="8:8" x14ac:dyDescent="0.25">
      <c r="H4197" t="s">
        <v>3499</v>
      </c>
    </row>
    <row r="4198" spans="8:8" x14ac:dyDescent="0.25">
      <c r="H4198" t="s">
        <v>31</v>
      </c>
    </row>
    <row r="4200" spans="8:8" x14ac:dyDescent="0.25">
      <c r="H4200" t="s">
        <v>2851</v>
      </c>
    </row>
    <row r="4201" spans="8:8" x14ac:dyDescent="0.25">
      <c r="H4201" t="s">
        <v>145</v>
      </c>
    </row>
    <row r="4202" spans="8:8" x14ac:dyDescent="0.25">
      <c r="H4202" t="s">
        <v>3501</v>
      </c>
    </row>
    <row r="4203" spans="8:8" x14ac:dyDescent="0.25">
      <c r="H4203" t="s">
        <v>31</v>
      </c>
    </row>
    <row r="4205" spans="8:8" x14ac:dyDescent="0.25">
      <c r="H4205" t="s">
        <v>2853</v>
      </c>
    </row>
    <row r="4206" spans="8:8" x14ac:dyDescent="0.25">
      <c r="H4206" t="s">
        <v>145</v>
      </c>
    </row>
    <row r="4207" spans="8:8" x14ac:dyDescent="0.25">
      <c r="H4207" t="s">
        <v>3503</v>
      </c>
    </row>
    <row r="4208" spans="8:8" x14ac:dyDescent="0.25">
      <c r="H4208" t="s">
        <v>31</v>
      </c>
    </row>
    <row r="4210" spans="8:8" x14ac:dyDescent="0.25">
      <c r="H4210" t="s">
        <v>2855</v>
      </c>
    </row>
    <row r="4211" spans="8:8" x14ac:dyDescent="0.25">
      <c r="H4211" t="s">
        <v>145</v>
      </c>
    </row>
    <row r="4212" spans="8:8" x14ac:dyDescent="0.25">
      <c r="H4212" t="s">
        <v>3505</v>
      </c>
    </row>
    <row r="4213" spans="8:8" x14ac:dyDescent="0.25">
      <c r="H4213" t="s">
        <v>31</v>
      </c>
    </row>
    <row r="4215" spans="8:8" x14ac:dyDescent="0.25">
      <c r="H4215" t="s">
        <v>2857</v>
      </c>
    </row>
    <row r="4216" spans="8:8" x14ac:dyDescent="0.25">
      <c r="H4216" t="s">
        <v>145</v>
      </c>
    </row>
    <row r="4217" spans="8:8" x14ac:dyDescent="0.25">
      <c r="H4217" t="s">
        <v>3507</v>
      </c>
    </row>
    <row r="4218" spans="8:8" x14ac:dyDescent="0.25">
      <c r="H4218" t="s">
        <v>31</v>
      </c>
    </row>
    <row r="4220" spans="8:8" x14ac:dyDescent="0.25">
      <c r="H4220" t="s">
        <v>2859</v>
      </c>
    </row>
    <row r="4221" spans="8:8" x14ac:dyDescent="0.25">
      <c r="H4221" t="s">
        <v>145</v>
      </c>
    </row>
    <row r="4222" spans="8:8" x14ac:dyDescent="0.25">
      <c r="H4222" t="s">
        <v>3509</v>
      </c>
    </row>
    <row r="4223" spans="8:8" x14ac:dyDescent="0.25">
      <c r="H4223" t="s">
        <v>31</v>
      </c>
    </row>
    <row r="4225" spans="8:8" x14ac:dyDescent="0.25">
      <c r="H4225" t="s">
        <v>2861</v>
      </c>
    </row>
    <row r="4226" spans="8:8" x14ac:dyDescent="0.25">
      <c r="H4226" t="s">
        <v>145</v>
      </c>
    </row>
    <row r="4227" spans="8:8" x14ac:dyDescent="0.25">
      <c r="H4227" t="s">
        <v>3511</v>
      </c>
    </row>
    <row r="4228" spans="8:8" x14ac:dyDescent="0.25">
      <c r="H4228" t="s">
        <v>31</v>
      </c>
    </row>
    <row r="4230" spans="8:8" x14ac:dyDescent="0.25">
      <c r="H4230" t="s">
        <v>2863</v>
      </c>
    </row>
    <row r="4231" spans="8:8" x14ac:dyDescent="0.25">
      <c r="H4231" t="s">
        <v>145</v>
      </c>
    </row>
    <row r="4232" spans="8:8" x14ac:dyDescent="0.25">
      <c r="H4232" t="s">
        <v>3513</v>
      </c>
    </row>
    <row r="4233" spans="8:8" x14ac:dyDescent="0.25">
      <c r="H4233" t="s">
        <v>31</v>
      </c>
    </row>
    <row r="4235" spans="8:8" x14ac:dyDescent="0.25">
      <c r="H4235" t="s">
        <v>2865</v>
      </c>
    </row>
    <row r="4236" spans="8:8" x14ac:dyDescent="0.25">
      <c r="H4236" t="s">
        <v>145</v>
      </c>
    </row>
    <row r="4237" spans="8:8" x14ac:dyDescent="0.25">
      <c r="H4237" t="s">
        <v>3515</v>
      </c>
    </row>
    <row r="4238" spans="8:8" x14ac:dyDescent="0.25">
      <c r="H4238" t="s">
        <v>31</v>
      </c>
    </row>
    <row r="4240" spans="8:8" x14ac:dyDescent="0.25">
      <c r="H4240" t="s">
        <v>2867</v>
      </c>
    </row>
    <row r="4241" spans="8:8" x14ac:dyDescent="0.25">
      <c r="H4241" t="s">
        <v>145</v>
      </c>
    </row>
    <row r="4242" spans="8:8" x14ac:dyDescent="0.25">
      <c r="H4242" t="s">
        <v>3517</v>
      </c>
    </row>
    <row r="4243" spans="8:8" x14ac:dyDescent="0.25">
      <c r="H4243" t="s">
        <v>31</v>
      </c>
    </row>
    <row r="4245" spans="8:8" x14ac:dyDescent="0.25">
      <c r="H4245" t="s">
        <v>2869</v>
      </c>
    </row>
    <row r="4246" spans="8:8" x14ac:dyDescent="0.25">
      <c r="H4246" t="s">
        <v>145</v>
      </c>
    </row>
    <row r="4247" spans="8:8" x14ac:dyDescent="0.25">
      <c r="H4247" t="s">
        <v>3519</v>
      </c>
    </row>
    <row r="4248" spans="8:8" x14ac:dyDescent="0.25">
      <c r="H4248" t="s">
        <v>31</v>
      </c>
    </row>
    <row r="4250" spans="8:8" x14ac:dyDescent="0.25">
      <c r="H4250" t="s">
        <v>2871</v>
      </c>
    </row>
    <row r="4251" spans="8:8" x14ac:dyDescent="0.25">
      <c r="H4251" t="s">
        <v>145</v>
      </c>
    </row>
    <row r="4252" spans="8:8" x14ac:dyDescent="0.25">
      <c r="H4252" t="s">
        <v>3521</v>
      </c>
    </row>
    <row r="4253" spans="8:8" x14ac:dyDescent="0.25">
      <c r="H4253" t="s">
        <v>31</v>
      </c>
    </row>
    <row r="4255" spans="8:8" x14ac:dyDescent="0.25">
      <c r="H4255" t="s">
        <v>2873</v>
      </c>
    </row>
    <row r="4256" spans="8:8" x14ac:dyDescent="0.25">
      <c r="H4256" t="s">
        <v>145</v>
      </c>
    </row>
    <row r="4257" spans="8:8" x14ac:dyDescent="0.25">
      <c r="H4257" t="s">
        <v>3523</v>
      </c>
    </row>
    <row r="4258" spans="8:8" x14ac:dyDescent="0.25">
      <c r="H4258" t="s">
        <v>31</v>
      </c>
    </row>
    <row r="4260" spans="8:8" x14ac:dyDescent="0.25">
      <c r="H4260" t="s">
        <v>2875</v>
      </c>
    </row>
    <row r="4261" spans="8:8" x14ac:dyDescent="0.25">
      <c r="H4261" t="s">
        <v>145</v>
      </c>
    </row>
    <row r="4262" spans="8:8" x14ac:dyDescent="0.25">
      <c r="H4262" t="s">
        <v>3525</v>
      </c>
    </row>
    <row r="4263" spans="8:8" x14ac:dyDescent="0.25">
      <c r="H4263" t="s">
        <v>31</v>
      </c>
    </row>
    <row r="4265" spans="8:8" x14ac:dyDescent="0.25">
      <c r="H4265" t="s">
        <v>2877</v>
      </c>
    </row>
    <row r="4266" spans="8:8" x14ac:dyDescent="0.25">
      <c r="H4266" t="s">
        <v>145</v>
      </c>
    </row>
    <row r="4267" spans="8:8" x14ac:dyDescent="0.25">
      <c r="H4267" t="s">
        <v>3527</v>
      </c>
    </row>
    <row r="4268" spans="8:8" x14ac:dyDescent="0.25">
      <c r="H4268" t="s">
        <v>31</v>
      </c>
    </row>
    <row r="4270" spans="8:8" x14ac:dyDescent="0.25">
      <c r="H4270" t="s">
        <v>2879</v>
      </c>
    </row>
    <row r="4271" spans="8:8" x14ac:dyDescent="0.25">
      <c r="H4271" t="s">
        <v>145</v>
      </c>
    </row>
    <row r="4272" spans="8:8" x14ac:dyDescent="0.25">
      <c r="H4272" t="s">
        <v>3529</v>
      </c>
    </row>
    <row r="4273" spans="8:8" x14ac:dyDescent="0.25">
      <c r="H4273" t="s">
        <v>31</v>
      </c>
    </row>
    <row r="4275" spans="8:8" x14ac:dyDescent="0.25">
      <c r="H4275" t="s">
        <v>2881</v>
      </c>
    </row>
    <row r="4276" spans="8:8" x14ac:dyDescent="0.25">
      <c r="H4276" t="s">
        <v>145</v>
      </c>
    </row>
    <row r="4277" spans="8:8" x14ac:dyDescent="0.25">
      <c r="H4277" t="s">
        <v>3531</v>
      </c>
    </row>
    <row r="4278" spans="8:8" x14ac:dyDescent="0.25">
      <c r="H4278" t="s">
        <v>31</v>
      </c>
    </row>
    <row r="4280" spans="8:8" x14ac:dyDescent="0.25">
      <c r="H4280" t="s">
        <v>2883</v>
      </c>
    </row>
    <row r="4281" spans="8:8" x14ac:dyDescent="0.25">
      <c r="H4281" t="s">
        <v>145</v>
      </c>
    </row>
    <row r="4282" spans="8:8" x14ac:dyDescent="0.25">
      <c r="H4282" t="s">
        <v>3533</v>
      </c>
    </row>
    <row r="4283" spans="8:8" x14ac:dyDescent="0.25">
      <c r="H4283" t="s">
        <v>31</v>
      </c>
    </row>
    <row r="4285" spans="8:8" x14ac:dyDescent="0.25">
      <c r="H4285" t="s">
        <v>2885</v>
      </c>
    </row>
    <row r="4286" spans="8:8" x14ac:dyDescent="0.25">
      <c r="H4286" t="s">
        <v>145</v>
      </c>
    </row>
    <row r="4287" spans="8:8" x14ac:dyDescent="0.25">
      <c r="H4287" t="s">
        <v>3535</v>
      </c>
    </row>
    <row r="4288" spans="8:8" x14ac:dyDescent="0.25">
      <c r="H4288" t="s">
        <v>31</v>
      </c>
    </row>
    <row r="4290" spans="8:8" x14ac:dyDescent="0.25">
      <c r="H4290" t="s">
        <v>2887</v>
      </c>
    </row>
    <row r="4291" spans="8:8" x14ac:dyDescent="0.25">
      <c r="H4291" t="s">
        <v>145</v>
      </c>
    </row>
    <row r="4292" spans="8:8" x14ac:dyDescent="0.25">
      <c r="H4292" t="s">
        <v>3537</v>
      </c>
    </row>
    <row r="4293" spans="8:8" x14ac:dyDescent="0.25">
      <c r="H4293" t="s">
        <v>31</v>
      </c>
    </row>
    <row r="4295" spans="8:8" x14ac:dyDescent="0.25">
      <c r="H4295" t="s">
        <v>2889</v>
      </c>
    </row>
    <row r="4296" spans="8:8" x14ac:dyDescent="0.25">
      <c r="H4296" t="s">
        <v>145</v>
      </c>
    </row>
    <row r="4297" spans="8:8" x14ac:dyDescent="0.25">
      <c r="H4297" t="s">
        <v>3539</v>
      </c>
    </row>
    <row r="4298" spans="8:8" x14ac:dyDescent="0.25">
      <c r="H4298" t="s">
        <v>31</v>
      </c>
    </row>
    <row r="4300" spans="8:8" x14ac:dyDescent="0.25">
      <c r="H4300" t="s">
        <v>2891</v>
      </c>
    </row>
    <row r="4301" spans="8:8" x14ac:dyDescent="0.25">
      <c r="H4301" t="s">
        <v>145</v>
      </c>
    </row>
    <row r="4302" spans="8:8" x14ac:dyDescent="0.25">
      <c r="H4302" t="s">
        <v>3541</v>
      </c>
    </row>
    <row r="4303" spans="8:8" x14ac:dyDescent="0.25">
      <c r="H4303" t="s">
        <v>31</v>
      </c>
    </row>
    <row r="4305" spans="8:8" x14ac:dyDescent="0.25">
      <c r="H4305" t="s">
        <v>2893</v>
      </c>
    </row>
    <row r="4306" spans="8:8" x14ac:dyDescent="0.25">
      <c r="H4306" t="s">
        <v>145</v>
      </c>
    </row>
    <row r="4307" spans="8:8" x14ac:dyDescent="0.25">
      <c r="H4307" t="s">
        <v>3543</v>
      </c>
    </row>
    <row r="4308" spans="8:8" x14ac:dyDescent="0.25">
      <c r="H4308" t="s">
        <v>31</v>
      </c>
    </row>
    <row r="4310" spans="8:8" x14ac:dyDescent="0.25">
      <c r="H4310" t="s">
        <v>2895</v>
      </c>
    </row>
    <row r="4311" spans="8:8" x14ac:dyDescent="0.25">
      <c r="H4311" t="s">
        <v>145</v>
      </c>
    </row>
    <row r="4312" spans="8:8" x14ac:dyDescent="0.25">
      <c r="H4312" t="s">
        <v>3545</v>
      </c>
    </row>
    <row r="4313" spans="8:8" x14ac:dyDescent="0.25">
      <c r="H4313" t="s">
        <v>31</v>
      </c>
    </row>
    <row r="4315" spans="8:8" x14ac:dyDescent="0.25">
      <c r="H4315" t="s">
        <v>2897</v>
      </c>
    </row>
    <row r="4316" spans="8:8" x14ac:dyDescent="0.25">
      <c r="H4316" t="s">
        <v>145</v>
      </c>
    </row>
    <row r="4317" spans="8:8" x14ac:dyDescent="0.25">
      <c r="H4317" t="s">
        <v>3547</v>
      </c>
    </row>
    <row r="4318" spans="8:8" x14ac:dyDescent="0.25">
      <c r="H4318" t="s">
        <v>31</v>
      </c>
    </row>
    <row r="4320" spans="8:8" x14ac:dyDescent="0.25">
      <c r="H4320" t="s">
        <v>2899</v>
      </c>
    </row>
    <row r="4321" spans="8:8" x14ac:dyDescent="0.25">
      <c r="H4321" t="s">
        <v>145</v>
      </c>
    </row>
    <row r="4322" spans="8:8" x14ac:dyDescent="0.25">
      <c r="H4322" t="s">
        <v>3549</v>
      </c>
    </row>
    <row r="4323" spans="8:8" x14ac:dyDescent="0.25">
      <c r="H4323" t="s">
        <v>31</v>
      </c>
    </row>
    <row r="4325" spans="8:8" x14ac:dyDescent="0.25">
      <c r="H4325" t="s">
        <v>2901</v>
      </c>
    </row>
    <row r="4326" spans="8:8" x14ac:dyDescent="0.25">
      <c r="H4326" t="s">
        <v>145</v>
      </c>
    </row>
    <row r="4327" spans="8:8" x14ac:dyDescent="0.25">
      <c r="H4327" t="s">
        <v>3551</v>
      </c>
    </row>
    <row r="4328" spans="8:8" x14ac:dyDescent="0.25">
      <c r="H4328" t="s">
        <v>31</v>
      </c>
    </row>
    <row r="4330" spans="8:8" x14ac:dyDescent="0.25">
      <c r="H4330" t="s">
        <v>2903</v>
      </c>
    </row>
    <row r="4331" spans="8:8" x14ac:dyDescent="0.25">
      <c r="H4331" t="s">
        <v>145</v>
      </c>
    </row>
    <row r="4332" spans="8:8" x14ac:dyDescent="0.25">
      <c r="H4332" t="s">
        <v>3553</v>
      </c>
    </row>
    <row r="4333" spans="8:8" x14ac:dyDescent="0.25">
      <c r="H4333" t="s">
        <v>31</v>
      </c>
    </row>
    <row r="4335" spans="8:8" x14ac:dyDescent="0.25">
      <c r="H4335" t="s">
        <v>2905</v>
      </c>
    </row>
    <row r="4336" spans="8:8" x14ac:dyDescent="0.25">
      <c r="H4336" t="s">
        <v>145</v>
      </c>
    </row>
    <row r="4337" spans="8:8" x14ac:dyDescent="0.25">
      <c r="H4337" t="s">
        <v>3555</v>
      </c>
    </row>
    <row r="4338" spans="8:8" x14ac:dyDescent="0.25">
      <c r="H4338" t="s">
        <v>31</v>
      </c>
    </row>
    <row r="4340" spans="8:8" x14ac:dyDescent="0.25">
      <c r="H4340" t="s">
        <v>2907</v>
      </c>
    </row>
    <row r="4341" spans="8:8" x14ac:dyDescent="0.25">
      <c r="H4341" t="s">
        <v>145</v>
      </c>
    </row>
    <row r="4342" spans="8:8" x14ac:dyDescent="0.25">
      <c r="H4342" t="s">
        <v>3557</v>
      </c>
    </row>
    <row r="4343" spans="8:8" x14ac:dyDescent="0.25">
      <c r="H4343" t="s">
        <v>31</v>
      </c>
    </row>
    <row r="4345" spans="8:8" x14ac:dyDescent="0.25">
      <c r="H4345" t="s">
        <v>2909</v>
      </c>
    </row>
    <row r="4346" spans="8:8" x14ac:dyDescent="0.25">
      <c r="H4346" t="s">
        <v>145</v>
      </c>
    </row>
    <row r="4347" spans="8:8" x14ac:dyDescent="0.25">
      <c r="H4347" t="s">
        <v>3559</v>
      </c>
    </row>
    <row r="4348" spans="8:8" x14ac:dyDescent="0.25">
      <c r="H4348" t="s">
        <v>31</v>
      </c>
    </row>
    <row r="4350" spans="8:8" x14ac:dyDescent="0.25">
      <c r="H4350" t="s">
        <v>2911</v>
      </c>
    </row>
    <row r="4351" spans="8:8" x14ac:dyDescent="0.25">
      <c r="H4351" t="s">
        <v>145</v>
      </c>
    </row>
    <row r="4352" spans="8:8" x14ac:dyDescent="0.25">
      <c r="H4352" t="s">
        <v>3561</v>
      </c>
    </row>
    <row r="4353" spans="8:8" x14ac:dyDescent="0.25">
      <c r="H4353" t="s">
        <v>31</v>
      </c>
    </row>
    <row r="4355" spans="8:8" x14ac:dyDescent="0.25">
      <c r="H4355" t="s">
        <v>2913</v>
      </c>
    </row>
    <row r="4356" spans="8:8" x14ac:dyDescent="0.25">
      <c r="H4356" t="s">
        <v>145</v>
      </c>
    </row>
    <row r="4357" spans="8:8" x14ac:dyDescent="0.25">
      <c r="H4357" t="s">
        <v>3563</v>
      </c>
    </row>
    <row r="4358" spans="8:8" x14ac:dyDescent="0.25">
      <c r="H4358" t="s">
        <v>31</v>
      </c>
    </row>
    <row r="4360" spans="8:8" x14ac:dyDescent="0.25">
      <c r="H4360" t="s">
        <v>2915</v>
      </c>
    </row>
    <row r="4361" spans="8:8" x14ac:dyDescent="0.25">
      <c r="H4361" t="s">
        <v>145</v>
      </c>
    </row>
    <row r="4362" spans="8:8" x14ac:dyDescent="0.25">
      <c r="H4362" t="s">
        <v>3565</v>
      </c>
    </row>
    <row r="4363" spans="8:8" x14ac:dyDescent="0.25">
      <c r="H4363" t="s">
        <v>31</v>
      </c>
    </row>
    <row r="4365" spans="8:8" x14ac:dyDescent="0.25">
      <c r="H4365" t="s">
        <v>2917</v>
      </c>
    </row>
    <row r="4366" spans="8:8" x14ac:dyDescent="0.25">
      <c r="H4366" t="s">
        <v>145</v>
      </c>
    </row>
    <row r="4367" spans="8:8" x14ac:dyDescent="0.25">
      <c r="H4367" t="s">
        <v>3567</v>
      </c>
    </row>
    <row r="4368" spans="8:8" x14ac:dyDescent="0.25">
      <c r="H4368" t="s">
        <v>31</v>
      </c>
    </row>
    <row r="4370" spans="8:8" x14ac:dyDescent="0.25">
      <c r="H4370" t="s">
        <v>2919</v>
      </c>
    </row>
    <row r="4371" spans="8:8" x14ac:dyDescent="0.25">
      <c r="H4371" t="s">
        <v>145</v>
      </c>
    </row>
    <row r="4372" spans="8:8" x14ac:dyDescent="0.25">
      <c r="H4372" t="s">
        <v>3569</v>
      </c>
    </row>
    <row r="4373" spans="8:8" x14ac:dyDescent="0.25">
      <c r="H4373" t="s">
        <v>31</v>
      </c>
    </row>
    <row r="4375" spans="8:8" x14ac:dyDescent="0.25">
      <c r="H4375" t="s">
        <v>2921</v>
      </c>
    </row>
    <row r="4376" spans="8:8" x14ac:dyDescent="0.25">
      <c r="H4376" t="s">
        <v>145</v>
      </c>
    </row>
    <row r="4377" spans="8:8" x14ac:dyDescent="0.25">
      <c r="H4377" t="s">
        <v>3571</v>
      </c>
    </row>
    <row r="4378" spans="8:8" x14ac:dyDescent="0.25">
      <c r="H4378" t="s">
        <v>31</v>
      </c>
    </row>
    <row r="4380" spans="8:8" x14ac:dyDescent="0.25">
      <c r="H4380" t="s">
        <v>2923</v>
      </c>
    </row>
    <row r="4381" spans="8:8" x14ac:dyDescent="0.25">
      <c r="H4381" t="s">
        <v>145</v>
      </c>
    </row>
    <row r="4382" spans="8:8" x14ac:dyDescent="0.25">
      <c r="H4382" t="s">
        <v>3573</v>
      </c>
    </row>
    <row r="4383" spans="8:8" x14ac:dyDescent="0.25">
      <c r="H4383" t="s">
        <v>31</v>
      </c>
    </row>
    <row r="4385" spans="8:8" x14ac:dyDescent="0.25">
      <c r="H4385" t="s">
        <v>2925</v>
      </c>
    </row>
    <row r="4386" spans="8:8" x14ac:dyDescent="0.25">
      <c r="H4386" t="s">
        <v>145</v>
      </c>
    </row>
    <row r="4387" spans="8:8" x14ac:dyDescent="0.25">
      <c r="H4387" t="s">
        <v>3575</v>
      </c>
    </row>
    <row r="4388" spans="8:8" x14ac:dyDescent="0.25">
      <c r="H4388" t="s">
        <v>31</v>
      </c>
    </row>
    <row r="4390" spans="8:8" x14ac:dyDescent="0.25">
      <c r="H4390" t="s">
        <v>2927</v>
      </c>
    </row>
    <row r="4391" spans="8:8" x14ac:dyDescent="0.25">
      <c r="H4391" t="s">
        <v>145</v>
      </c>
    </row>
    <row r="4392" spans="8:8" x14ac:dyDescent="0.25">
      <c r="H4392" t="s">
        <v>3577</v>
      </c>
    </row>
    <row r="4393" spans="8:8" x14ac:dyDescent="0.25">
      <c r="H4393" t="s">
        <v>31</v>
      </c>
    </row>
    <row r="4395" spans="8:8" x14ac:dyDescent="0.25">
      <c r="H4395" t="s">
        <v>2929</v>
      </c>
    </row>
    <row r="4396" spans="8:8" x14ac:dyDescent="0.25">
      <c r="H4396" t="s">
        <v>145</v>
      </c>
    </row>
    <row r="4397" spans="8:8" x14ac:dyDescent="0.25">
      <c r="H4397" t="s">
        <v>3579</v>
      </c>
    </row>
    <row r="4398" spans="8:8" x14ac:dyDescent="0.25">
      <c r="H4398" t="s">
        <v>31</v>
      </c>
    </row>
    <row r="4400" spans="8:8" x14ac:dyDescent="0.25">
      <c r="H4400" t="s">
        <v>2931</v>
      </c>
    </row>
    <row r="4401" spans="8:8" x14ac:dyDescent="0.25">
      <c r="H4401" t="s">
        <v>145</v>
      </c>
    </row>
    <row r="4402" spans="8:8" x14ac:dyDescent="0.25">
      <c r="H4402" t="s">
        <v>3581</v>
      </c>
    </row>
    <row r="4403" spans="8:8" x14ac:dyDescent="0.25">
      <c r="H4403" t="s">
        <v>31</v>
      </c>
    </row>
    <row r="4405" spans="8:8" x14ac:dyDescent="0.25">
      <c r="H4405" t="s">
        <v>2933</v>
      </c>
    </row>
    <row r="4406" spans="8:8" x14ac:dyDescent="0.25">
      <c r="H4406" t="s">
        <v>145</v>
      </c>
    </row>
    <row r="4407" spans="8:8" x14ac:dyDescent="0.25">
      <c r="H4407" t="s">
        <v>3583</v>
      </c>
    </row>
    <row r="4408" spans="8:8" x14ac:dyDescent="0.25">
      <c r="H4408" t="s">
        <v>31</v>
      </c>
    </row>
    <row r="4410" spans="8:8" x14ac:dyDescent="0.25">
      <c r="H4410" t="s">
        <v>2935</v>
      </c>
    </row>
    <row r="4411" spans="8:8" x14ac:dyDescent="0.25">
      <c r="H4411" t="s">
        <v>145</v>
      </c>
    </row>
    <row r="4412" spans="8:8" x14ac:dyDescent="0.25">
      <c r="H4412" t="s">
        <v>3585</v>
      </c>
    </row>
    <row r="4413" spans="8:8" x14ac:dyDescent="0.25">
      <c r="H4413" t="s">
        <v>31</v>
      </c>
    </row>
    <row r="4415" spans="8:8" x14ac:dyDescent="0.25">
      <c r="H4415" t="s">
        <v>2937</v>
      </c>
    </row>
    <row r="4416" spans="8:8" x14ac:dyDescent="0.25">
      <c r="H4416" t="s">
        <v>145</v>
      </c>
    </row>
    <row r="4417" spans="8:8" x14ac:dyDescent="0.25">
      <c r="H4417" t="s">
        <v>3587</v>
      </c>
    </row>
    <row r="4418" spans="8:8" x14ac:dyDescent="0.25">
      <c r="H4418" t="s">
        <v>31</v>
      </c>
    </row>
    <row r="4420" spans="8:8" x14ac:dyDescent="0.25">
      <c r="H4420" t="s">
        <v>2939</v>
      </c>
    </row>
    <row r="4421" spans="8:8" x14ac:dyDescent="0.25">
      <c r="H4421" t="s">
        <v>145</v>
      </c>
    </row>
    <row r="4422" spans="8:8" x14ac:dyDescent="0.25">
      <c r="H4422" t="s">
        <v>3589</v>
      </c>
    </row>
    <row r="4423" spans="8:8" x14ac:dyDescent="0.25">
      <c r="H4423" t="s">
        <v>31</v>
      </c>
    </row>
    <row r="4425" spans="8:8" x14ac:dyDescent="0.25">
      <c r="H4425" t="s">
        <v>2941</v>
      </c>
    </row>
    <row r="4426" spans="8:8" x14ac:dyDescent="0.25">
      <c r="H4426" t="s">
        <v>145</v>
      </c>
    </row>
    <row r="4427" spans="8:8" x14ac:dyDescent="0.25">
      <c r="H4427" t="s">
        <v>3591</v>
      </c>
    </row>
    <row r="4428" spans="8:8" x14ac:dyDescent="0.25">
      <c r="H4428" t="s">
        <v>31</v>
      </c>
    </row>
    <row r="4430" spans="8:8" x14ac:dyDescent="0.25">
      <c r="H4430" t="s">
        <v>2943</v>
      </c>
    </row>
    <row r="4431" spans="8:8" x14ac:dyDescent="0.25">
      <c r="H4431" t="s">
        <v>145</v>
      </c>
    </row>
    <row r="4432" spans="8:8" x14ac:dyDescent="0.25">
      <c r="H4432" t="s">
        <v>3593</v>
      </c>
    </row>
    <row r="4433" spans="8:8" x14ac:dyDescent="0.25">
      <c r="H4433" t="s">
        <v>31</v>
      </c>
    </row>
    <row r="4435" spans="8:8" x14ac:dyDescent="0.25">
      <c r="H4435" t="s">
        <v>2945</v>
      </c>
    </row>
    <row r="4436" spans="8:8" x14ac:dyDescent="0.25">
      <c r="H4436" t="s">
        <v>145</v>
      </c>
    </row>
    <row r="4437" spans="8:8" x14ac:dyDescent="0.25">
      <c r="H4437" t="s">
        <v>3595</v>
      </c>
    </row>
    <row r="4438" spans="8:8" x14ac:dyDescent="0.25">
      <c r="H4438" t="s">
        <v>31</v>
      </c>
    </row>
    <row r="4440" spans="8:8" x14ac:dyDescent="0.25">
      <c r="H4440" t="s">
        <v>2947</v>
      </c>
    </row>
    <row r="4441" spans="8:8" x14ac:dyDescent="0.25">
      <c r="H4441" t="s">
        <v>145</v>
      </c>
    </row>
    <row r="4442" spans="8:8" x14ac:dyDescent="0.25">
      <c r="H4442" t="s">
        <v>3597</v>
      </c>
    </row>
    <row r="4443" spans="8:8" x14ac:dyDescent="0.25">
      <c r="H4443" t="s">
        <v>31</v>
      </c>
    </row>
    <row r="4445" spans="8:8" x14ac:dyDescent="0.25">
      <c r="H4445" t="s">
        <v>2949</v>
      </c>
    </row>
    <row r="4446" spans="8:8" x14ac:dyDescent="0.25">
      <c r="H4446" t="s">
        <v>145</v>
      </c>
    </row>
    <row r="4447" spans="8:8" x14ac:dyDescent="0.25">
      <c r="H4447" t="s">
        <v>3599</v>
      </c>
    </row>
    <row r="4448" spans="8:8" x14ac:dyDescent="0.25">
      <c r="H4448" t="s">
        <v>31</v>
      </c>
    </row>
    <row r="4450" spans="8:8" x14ac:dyDescent="0.25">
      <c r="H4450" t="s">
        <v>2951</v>
      </c>
    </row>
    <row r="4451" spans="8:8" x14ac:dyDescent="0.25">
      <c r="H4451" t="s">
        <v>145</v>
      </c>
    </row>
    <row r="4452" spans="8:8" x14ac:dyDescent="0.25">
      <c r="H4452" t="s">
        <v>3601</v>
      </c>
    </row>
    <row r="4453" spans="8:8" x14ac:dyDescent="0.25">
      <c r="H4453" t="s">
        <v>31</v>
      </c>
    </row>
    <row r="4455" spans="8:8" x14ac:dyDescent="0.25">
      <c r="H4455" t="s">
        <v>2953</v>
      </c>
    </row>
    <row r="4456" spans="8:8" x14ac:dyDescent="0.25">
      <c r="H4456" t="s">
        <v>145</v>
      </c>
    </row>
    <row r="4457" spans="8:8" x14ac:dyDescent="0.25">
      <c r="H4457" t="s">
        <v>3603</v>
      </c>
    </row>
    <row r="4458" spans="8:8" x14ac:dyDescent="0.25">
      <c r="H4458" t="s">
        <v>31</v>
      </c>
    </row>
    <row r="4460" spans="8:8" x14ac:dyDescent="0.25">
      <c r="H4460" t="s">
        <v>2955</v>
      </c>
    </row>
    <row r="4461" spans="8:8" x14ac:dyDescent="0.25">
      <c r="H4461" t="s">
        <v>145</v>
      </c>
    </row>
    <row r="4462" spans="8:8" x14ac:dyDescent="0.25">
      <c r="H4462" t="s">
        <v>3605</v>
      </c>
    </row>
    <row r="4463" spans="8:8" x14ac:dyDescent="0.25">
      <c r="H4463" t="s">
        <v>31</v>
      </c>
    </row>
    <row r="4465" spans="8:8" x14ac:dyDescent="0.25">
      <c r="H4465" t="s">
        <v>2957</v>
      </c>
    </row>
    <row r="4466" spans="8:8" x14ac:dyDescent="0.25">
      <c r="H4466" t="s">
        <v>145</v>
      </c>
    </row>
    <row r="4467" spans="8:8" x14ac:dyDescent="0.25">
      <c r="H4467" t="s">
        <v>3607</v>
      </c>
    </row>
    <row r="4468" spans="8:8" x14ac:dyDescent="0.25">
      <c r="H4468" t="s">
        <v>31</v>
      </c>
    </row>
    <row r="4470" spans="8:8" x14ac:dyDescent="0.25">
      <c r="H4470" t="s">
        <v>2959</v>
      </c>
    </row>
    <row r="4471" spans="8:8" x14ac:dyDescent="0.25">
      <c r="H4471" t="s">
        <v>145</v>
      </c>
    </row>
    <row r="4472" spans="8:8" x14ac:dyDescent="0.25">
      <c r="H4472" t="s">
        <v>3609</v>
      </c>
    </row>
    <row r="4473" spans="8:8" x14ac:dyDescent="0.25">
      <c r="H4473" t="s">
        <v>31</v>
      </c>
    </row>
    <row r="4475" spans="8:8" x14ac:dyDescent="0.25">
      <c r="H4475" t="s">
        <v>2961</v>
      </c>
    </row>
    <row r="4476" spans="8:8" x14ac:dyDescent="0.25">
      <c r="H4476" t="s">
        <v>145</v>
      </c>
    </row>
    <row r="4477" spans="8:8" x14ac:dyDescent="0.25">
      <c r="H4477" t="s">
        <v>3611</v>
      </c>
    </row>
    <row r="4478" spans="8:8" x14ac:dyDescent="0.25">
      <c r="H4478" t="s">
        <v>31</v>
      </c>
    </row>
    <row r="4480" spans="8:8" x14ac:dyDescent="0.25">
      <c r="H4480" t="s">
        <v>2963</v>
      </c>
    </row>
    <row r="4481" spans="8:8" x14ac:dyDescent="0.25">
      <c r="H4481" t="s">
        <v>145</v>
      </c>
    </row>
    <row r="4482" spans="8:8" x14ac:dyDescent="0.25">
      <c r="H4482" t="s">
        <v>3613</v>
      </c>
    </row>
    <row r="4483" spans="8:8" x14ac:dyDescent="0.25">
      <c r="H4483" t="s">
        <v>31</v>
      </c>
    </row>
    <row r="4485" spans="8:8" x14ac:dyDescent="0.25">
      <c r="H4485" t="s">
        <v>2965</v>
      </c>
    </row>
    <row r="4486" spans="8:8" x14ac:dyDescent="0.25">
      <c r="H4486" t="s">
        <v>145</v>
      </c>
    </row>
    <row r="4487" spans="8:8" x14ac:dyDescent="0.25">
      <c r="H4487" t="s">
        <v>3615</v>
      </c>
    </row>
    <row r="4488" spans="8:8" x14ac:dyDescent="0.25">
      <c r="H4488" t="s">
        <v>31</v>
      </c>
    </row>
    <row r="4490" spans="8:8" x14ac:dyDescent="0.25">
      <c r="H4490" t="s">
        <v>2967</v>
      </c>
    </row>
    <row r="4491" spans="8:8" x14ac:dyDescent="0.25">
      <c r="H4491" t="s">
        <v>145</v>
      </c>
    </row>
    <row r="4492" spans="8:8" x14ac:dyDescent="0.25">
      <c r="H4492" t="s">
        <v>3617</v>
      </c>
    </row>
    <row r="4493" spans="8:8" x14ac:dyDescent="0.25">
      <c r="H4493" t="s">
        <v>31</v>
      </c>
    </row>
    <row r="4495" spans="8:8" x14ac:dyDescent="0.25">
      <c r="H4495" t="s">
        <v>2969</v>
      </c>
    </row>
    <row r="4496" spans="8:8" x14ac:dyDescent="0.25">
      <c r="H4496" t="s">
        <v>145</v>
      </c>
    </row>
    <row r="4497" spans="8:8" x14ac:dyDescent="0.25">
      <c r="H4497" t="s">
        <v>3619</v>
      </c>
    </row>
    <row r="4498" spans="8:8" x14ac:dyDescent="0.25">
      <c r="H4498" t="s">
        <v>31</v>
      </c>
    </row>
    <row r="4500" spans="8:8" x14ac:dyDescent="0.25">
      <c r="H4500" t="s">
        <v>2971</v>
      </c>
    </row>
    <row r="4501" spans="8:8" x14ac:dyDescent="0.25">
      <c r="H4501" t="s">
        <v>145</v>
      </c>
    </row>
    <row r="4502" spans="8:8" x14ac:dyDescent="0.25">
      <c r="H4502" t="s">
        <v>3621</v>
      </c>
    </row>
    <row r="4503" spans="8:8" x14ac:dyDescent="0.25">
      <c r="H4503" t="s">
        <v>31</v>
      </c>
    </row>
    <row r="4505" spans="8:8" x14ac:dyDescent="0.25">
      <c r="H4505" t="s">
        <v>2973</v>
      </c>
    </row>
    <row r="4506" spans="8:8" x14ac:dyDescent="0.25">
      <c r="H4506" t="s">
        <v>145</v>
      </c>
    </row>
    <row r="4507" spans="8:8" x14ac:dyDescent="0.25">
      <c r="H4507" t="s">
        <v>3623</v>
      </c>
    </row>
    <row r="4508" spans="8:8" x14ac:dyDescent="0.25">
      <c r="H4508" t="s">
        <v>31</v>
      </c>
    </row>
    <row r="4510" spans="8:8" x14ac:dyDescent="0.25">
      <c r="H4510" t="s">
        <v>2975</v>
      </c>
    </row>
    <row r="4511" spans="8:8" x14ac:dyDescent="0.25">
      <c r="H4511" t="s">
        <v>145</v>
      </c>
    </row>
    <row r="4512" spans="8:8" x14ac:dyDescent="0.25">
      <c r="H4512" t="s">
        <v>3625</v>
      </c>
    </row>
    <row r="4513" spans="8:8" x14ac:dyDescent="0.25">
      <c r="H4513" t="s">
        <v>31</v>
      </c>
    </row>
    <row r="4515" spans="8:8" x14ac:dyDescent="0.25">
      <c r="H4515" t="s">
        <v>2977</v>
      </c>
    </row>
    <row r="4516" spans="8:8" x14ac:dyDescent="0.25">
      <c r="H4516" t="s">
        <v>145</v>
      </c>
    </row>
    <row r="4517" spans="8:8" x14ac:dyDescent="0.25">
      <c r="H4517" t="s">
        <v>3627</v>
      </c>
    </row>
    <row r="4518" spans="8:8" x14ac:dyDescent="0.25">
      <c r="H4518" t="s">
        <v>31</v>
      </c>
    </row>
    <row r="4520" spans="8:8" x14ac:dyDescent="0.25">
      <c r="H4520" t="s">
        <v>2979</v>
      </c>
    </row>
    <row r="4521" spans="8:8" x14ac:dyDescent="0.25">
      <c r="H4521" t="s">
        <v>145</v>
      </c>
    </row>
    <row r="4522" spans="8:8" x14ac:dyDescent="0.25">
      <c r="H4522" t="s">
        <v>3629</v>
      </c>
    </row>
    <row r="4523" spans="8:8" x14ac:dyDescent="0.25">
      <c r="H4523" t="s">
        <v>31</v>
      </c>
    </row>
    <row r="4525" spans="8:8" x14ac:dyDescent="0.25">
      <c r="H4525" t="s">
        <v>2981</v>
      </c>
    </row>
    <row r="4526" spans="8:8" x14ac:dyDescent="0.25">
      <c r="H4526" t="s">
        <v>145</v>
      </c>
    </row>
    <row r="4527" spans="8:8" x14ac:dyDescent="0.25">
      <c r="H4527" t="s">
        <v>3631</v>
      </c>
    </row>
    <row r="4528" spans="8:8" x14ac:dyDescent="0.25">
      <c r="H4528" t="s">
        <v>31</v>
      </c>
    </row>
    <row r="4530" spans="8:8" x14ac:dyDescent="0.25">
      <c r="H4530" t="s">
        <v>2983</v>
      </c>
    </row>
    <row r="4531" spans="8:8" x14ac:dyDescent="0.25">
      <c r="H4531" t="s">
        <v>145</v>
      </c>
    </row>
    <row r="4532" spans="8:8" x14ac:dyDescent="0.25">
      <c r="H4532" t="s">
        <v>3633</v>
      </c>
    </row>
    <row r="4533" spans="8:8" x14ac:dyDescent="0.25">
      <c r="H4533" t="s">
        <v>31</v>
      </c>
    </row>
    <row r="4535" spans="8:8" x14ac:dyDescent="0.25">
      <c r="H4535" t="s">
        <v>2985</v>
      </c>
    </row>
    <row r="4536" spans="8:8" x14ac:dyDescent="0.25">
      <c r="H4536" t="s">
        <v>145</v>
      </c>
    </row>
    <row r="4537" spans="8:8" x14ac:dyDescent="0.25">
      <c r="H4537" t="s">
        <v>3635</v>
      </c>
    </row>
    <row r="4538" spans="8:8" x14ac:dyDescent="0.25">
      <c r="H4538" t="s">
        <v>31</v>
      </c>
    </row>
    <row r="4540" spans="8:8" x14ac:dyDescent="0.25">
      <c r="H4540" t="s">
        <v>2987</v>
      </c>
    </row>
    <row r="4541" spans="8:8" x14ac:dyDescent="0.25">
      <c r="H4541" t="s">
        <v>145</v>
      </c>
    </row>
    <row r="4542" spans="8:8" x14ac:dyDescent="0.25">
      <c r="H4542" t="s">
        <v>3637</v>
      </c>
    </row>
    <row r="4543" spans="8:8" x14ac:dyDescent="0.25">
      <c r="H4543" t="s">
        <v>31</v>
      </c>
    </row>
    <row r="4545" spans="8:8" x14ac:dyDescent="0.25">
      <c r="H4545" t="s">
        <v>2989</v>
      </c>
    </row>
    <row r="4546" spans="8:8" x14ac:dyDescent="0.25">
      <c r="H4546" t="s">
        <v>145</v>
      </c>
    </row>
    <row r="4547" spans="8:8" x14ac:dyDescent="0.25">
      <c r="H4547" t="s">
        <v>3639</v>
      </c>
    </row>
    <row r="4548" spans="8:8" x14ac:dyDescent="0.25">
      <c r="H4548" t="s">
        <v>31</v>
      </c>
    </row>
    <row r="4550" spans="8:8" x14ac:dyDescent="0.25">
      <c r="H4550" t="s">
        <v>2991</v>
      </c>
    </row>
    <row r="4551" spans="8:8" x14ac:dyDescent="0.25">
      <c r="H4551" t="s">
        <v>145</v>
      </c>
    </row>
    <row r="4552" spans="8:8" x14ac:dyDescent="0.25">
      <c r="H4552" t="s">
        <v>3641</v>
      </c>
    </row>
    <row r="4553" spans="8:8" x14ac:dyDescent="0.25">
      <c r="H4553" t="s">
        <v>31</v>
      </c>
    </row>
    <row r="4555" spans="8:8" x14ac:dyDescent="0.25">
      <c r="H4555" t="s">
        <v>2993</v>
      </c>
    </row>
    <row r="4556" spans="8:8" x14ac:dyDescent="0.25">
      <c r="H4556" t="s">
        <v>145</v>
      </c>
    </row>
    <row r="4557" spans="8:8" x14ac:dyDescent="0.25">
      <c r="H4557" t="s">
        <v>3643</v>
      </c>
    </row>
    <row r="4558" spans="8:8" x14ac:dyDescent="0.25">
      <c r="H4558" t="s">
        <v>31</v>
      </c>
    </row>
    <row r="4560" spans="8:8" x14ac:dyDescent="0.25">
      <c r="H4560" t="s">
        <v>2995</v>
      </c>
    </row>
    <row r="4561" spans="8:8" x14ac:dyDescent="0.25">
      <c r="H4561" t="s">
        <v>145</v>
      </c>
    </row>
    <row r="4562" spans="8:8" x14ac:dyDescent="0.25">
      <c r="H4562" t="s">
        <v>3645</v>
      </c>
    </row>
    <row r="4563" spans="8:8" x14ac:dyDescent="0.25">
      <c r="H4563" t="s">
        <v>31</v>
      </c>
    </row>
    <row r="4565" spans="8:8" x14ac:dyDescent="0.25">
      <c r="H4565" t="s">
        <v>2997</v>
      </c>
    </row>
    <row r="4566" spans="8:8" x14ac:dyDescent="0.25">
      <c r="H4566" t="s">
        <v>145</v>
      </c>
    </row>
    <row r="4567" spans="8:8" x14ac:dyDescent="0.25">
      <c r="H4567" t="s">
        <v>3647</v>
      </c>
    </row>
    <row r="4568" spans="8:8" x14ac:dyDescent="0.25">
      <c r="H4568" t="s">
        <v>31</v>
      </c>
    </row>
    <row r="4570" spans="8:8" x14ac:dyDescent="0.25">
      <c r="H4570" t="s">
        <v>2999</v>
      </c>
    </row>
    <row r="4571" spans="8:8" x14ac:dyDescent="0.25">
      <c r="H4571" t="s">
        <v>145</v>
      </c>
    </row>
    <row r="4572" spans="8:8" x14ac:dyDescent="0.25">
      <c r="H4572" t="s">
        <v>3649</v>
      </c>
    </row>
    <row r="4573" spans="8:8" x14ac:dyDescent="0.25">
      <c r="H4573" t="s">
        <v>31</v>
      </c>
    </row>
    <row r="4575" spans="8:8" x14ac:dyDescent="0.25">
      <c r="H4575" t="s">
        <v>3001</v>
      </c>
    </row>
    <row r="4576" spans="8:8" x14ac:dyDescent="0.25">
      <c r="H4576" t="s">
        <v>145</v>
      </c>
    </row>
    <row r="4577" spans="8:8" x14ac:dyDescent="0.25">
      <c r="H4577" t="s">
        <v>3651</v>
      </c>
    </row>
    <row r="4578" spans="8:8" x14ac:dyDescent="0.25">
      <c r="H4578" t="s">
        <v>31</v>
      </c>
    </row>
    <row r="4580" spans="8:8" x14ac:dyDescent="0.25">
      <c r="H4580" t="s">
        <v>3003</v>
      </c>
    </row>
    <row r="4581" spans="8:8" x14ac:dyDescent="0.25">
      <c r="H4581" t="s">
        <v>145</v>
      </c>
    </row>
    <row r="4582" spans="8:8" x14ac:dyDescent="0.25">
      <c r="H4582" t="s">
        <v>3653</v>
      </c>
    </row>
    <row r="4583" spans="8:8" x14ac:dyDescent="0.25">
      <c r="H4583" t="s">
        <v>31</v>
      </c>
    </row>
    <row r="4585" spans="8:8" x14ac:dyDescent="0.25">
      <c r="H4585" t="s">
        <v>3005</v>
      </c>
    </row>
    <row r="4586" spans="8:8" x14ac:dyDescent="0.25">
      <c r="H4586" t="s">
        <v>145</v>
      </c>
    </row>
    <row r="4587" spans="8:8" x14ac:dyDescent="0.25">
      <c r="H4587" t="s">
        <v>3655</v>
      </c>
    </row>
    <row r="4588" spans="8:8" x14ac:dyDescent="0.25">
      <c r="H4588" t="s">
        <v>31</v>
      </c>
    </row>
    <row r="4590" spans="8:8" x14ac:dyDescent="0.25">
      <c r="H4590" t="s">
        <v>3007</v>
      </c>
    </row>
    <row r="4591" spans="8:8" x14ac:dyDescent="0.25">
      <c r="H4591" t="s">
        <v>145</v>
      </c>
    </row>
    <row r="4592" spans="8:8" x14ac:dyDescent="0.25">
      <c r="H4592" t="s">
        <v>3657</v>
      </c>
    </row>
    <row r="4593" spans="8:8" x14ac:dyDescent="0.25">
      <c r="H4593" t="s">
        <v>31</v>
      </c>
    </row>
    <row r="4595" spans="8:8" x14ac:dyDescent="0.25">
      <c r="H4595" t="s">
        <v>3009</v>
      </c>
    </row>
    <row r="4596" spans="8:8" x14ac:dyDescent="0.25">
      <c r="H4596" t="s">
        <v>145</v>
      </c>
    </row>
    <row r="4597" spans="8:8" x14ac:dyDescent="0.25">
      <c r="H4597" t="s">
        <v>3659</v>
      </c>
    </row>
    <row r="4598" spans="8:8" x14ac:dyDescent="0.25">
      <c r="H4598" t="s">
        <v>31</v>
      </c>
    </row>
    <row r="4600" spans="8:8" x14ac:dyDescent="0.25">
      <c r="H4600" t="s">
        <v>3011</v>
      </c>
    </row>
    <row r="4601" spans="8:8" x14ac:dyDescent="0.25">
      <c r="H4601" t="s">
        <v>145</v>
      </c>
    </row>
    <row r="4602" spans="8:8" x14ac:dyDescent="0.25">
      <c r="H4602" t="s">
        <v>3661</v>
      </c>
    </row>
    <row r="4603" spans="8:8" x14ac:dyDescent="0.25">
      <c r="H4603" t="s">
        <v>31</v>
      </c>
    </row>
    <row r="4605" spans="8:8" x14ac:dyDescent="0.25">
      <c r="H4605" t="s">
        <v>3013</v>
      </c>
    </row>
    <row r="4606" spans="8:8" x14ac:dyDescent="0.25">
      <c r="H4606" t="s">
        <v>145</v>
      </c>
    </row>
    <row r="4607" spans="8:8" x14ac:dyDescent="0.25">
      <c r="H4607" t="s">
        <v>3663</v>
      </c>
    </row>
    <row r="4608" spans="8:8" x14ac:dyDescent="0.25">
      <c r="H4608" t="s">
        <v>31</v>
      </c>
    </row>
    <row r="4610" spans="8:8" x14ac:dyDescent="0.25">
      <c r="H4610" t="s">
        <v>3015</v>
      </c>
    </row>
    <row r="4611" spans="8:8" x14ac:dyDescent="0.25">
      <c r="H4611" t="s">
        <v>145</v>
      </c>
    </row>
    <row r="4612" spans="8:8" x14ac:dyDescent="0.25">
      <c r="H4612" t="s">
        <v>3665</v>
      </c>
    </row>
    <row r="4613" spans="8:8" x14ac:dyDescent="0.25">
      <c r="H4613" t="s">
        <v>31</v>
      </c>
    </row>
    <row r="4615" spans="8:8" x14ac:dyDescent="0.25">
      <c r="H4615" t="s">
        <v>3017</v>
      </c>
    </row>
    <row r="4616" spans="8:8" x14ac:dyDescent="0.25">
      <c r="H4616" t="s">
        <v>145</v>
      </c>
    </row>
    <row r="4617" spans="8:8" x14ac:dyDescent="0.25">
      <c r="H4617" t="s">
        <v>3667</v>
      </c>
    </row>
    <row r="4618" spans="8:8" x14ac:dyDescent="0.25">
      <c r="H4618" t="s">
        <v>31</v>
      </c>
    </row>
    <row r="4620" spans="8:8" x14ac:dyDescent="0.25">
      <c r="H4620" t="s">
        <v>3019</v>
      </c>
    </row>
    <row r="4621" spans="8:8" x14ac:dyDescent="0.25">
      <c r="H4621" t="s">
        <v>145</v>
      </c>
    </row>
    <row r="4622" spans="8:8" x14ac:dyDescent="0.25">
      <c r="H4622" t="s">
        <v>3669</v>
      </c>
    </row>
    <row r="4623" spans="8:8" x14ac:dyDescent="0.25">
      <c r="H4623" t="s">
        <v>31</v>
      </c>
    </row>
    <row r="4624" spans="8:8" x14ac:dyDescent="0.25">
      <c r="H4624" t="s">
        <v>146</v>
      </c>
    </row>
    <row r="4625" spans="8:8" x14ac:dyDescent="0.25">
      <c r="H4625" t="s">
        <v>3670</v>
      </c>
    </row>
    <row r="4626" spans="8:8" x14ac:dyDescent="0.25">
      <c r="H4626" t="s">
        <v>31</v>
      </c>
    </row>
    <row r="4627" spans="8:8" x14ac:dyDescent="0.25">
      <c r="H4627" t="s">
        <v>147</v>
      </c>
    </row>
    <row r="4628" spans="8:8" x14ac:dyDescent="0.25">
      <c r="H4628" t="s">
        <v>3671</v>
      </c>
    </row>
    <row r="4629" spans="8:8" x14ac:dyDescent="0.25">
      <c r="H4629" t="s">
        <v>31</v>
      </c>
    </row>
    <row r="4631" spans="8:8" x14ac:dyDescent="0.25">
      <c r="H4631" t="s">
        <v>3021</v>
      </c>
    </row>
    <row r="4632" spans="8:8" x14ac:dyDescent="0.25">
      <c r="H4632" t="s">
        <v>145</v>
      </c>
    </row>
    <row r="4633" spans="8:8" x14ac:dyDescent="0.25">
      <c r="H4633" t="s">
        <v>3673</v>
      </c>
    </row>
    <row r="4634" spans="8:8" x14ac:dyDescent="0.25">
      <c r="H4634" t="s">
        <v>31</v>
      </c>
    </row>
    <row r="4635" spans="8:8" x14ac:dyDescent="0.25">
      <c r="H4635" t="s">
        <v>146</v>
      </c>
    </row>
    <row r="4636" spans="8:8" x14ac:dyDescent="0.25">
      <c r="H4636" t="s">
        <v>3674</v>
      </c>
    </row>
    <row r="4637" spans="8:8" x14ac:dyDescent="0.25">
      <c r="H4637" t="s">
        <v>31</v>
      </c>
    </row>
    <row r="4638" spans="8:8" x14ac:dyDescent="0.25">
      <c r="H4638" t="s">
        <v>147</v>
      </c>
    </row>
    <row r="4639" spans="8:8" x14ac:dyDescent="0.25">
      <c r="H4639" t="s">
        <v>3675</v>
      </c>
    </row>
    <row r="4640" spans="8:8" x14ac:dyDescent="0.25">
      <c r="H4640" t="s">
        <v>31</v>
      </c>
    </row>
    <row r="4641" spans="8:8" x14ac:dyDescent="0.25">
      <c r="H4641" t="s">
        <v>148</v>
      </c>
    </row>
    <row r="4642" spans="8:8" x14ac:dyDescent="0.25">
      <c r="H4642" t="s">
        <v>3676</v>
      </c>
    </row>
    <row r="4643" spans="8:8" x14ac:dyDescent="0.25">
      <c r="H4643" t="s">
        <v>31</v>
      </c>
    </row>
    <row r="4645" spans="8:8" x14ac:dyDescent="0.25">
      <c r="H4645" t="s">
        <v>3023</v>
      </c>
    </row>
    <row r="4646" spans="8:8" x14ac:dyDescent="0.25">
      <c r="H4646" t="s">
        <v>145</v>
      </c>
    </row>
    <row r="4647" spans="8:8" x14ac:dyDescent="0.25">
      <c r="H4647" t="s">
        <v>3678</v>
      </c>
    </row>
    <row r="4648" spans="8:8" x14ac:dyDescent="0.25">
      <c r="H4648" t="s">
        <v>31</v>
      </c>
    </row>
    <row r="4649" spans="8:8" x14ac:dyDescent="0.25">
      <c r="H4649" t="s">
        <v>147</v>
      </c>
    </row>
    <row r="4650" spans="8:8" x14ac:dyDescent="0.25">
      <c r="H4650" t="s">
        <v>3679</v>
      </c>
    </row>
    <row r="4651" spans="8:8" x14ac:dyDescent="0.25">
      <c r="H4651" t="s">
        <v>31</v>
      </c>
    </row>
    <row r="4652" spans="8:8" x14ac:dyDescent="0.25">
      <c r="H4652" t="s">
        <v>148</v>
      </c>
    </row>
    <row r="4653" spans="8:8" x14ac:dyDescent="0.25">
      <c r="H4653" t="s">
        <v>3680</v>
      </c>
    </row>
    <row r="4654" spans="8:8" x14ac:dyDescent="0.25">
      <c r="H4654" t="s">
        <v>31</v>
      </c>
    </row>
    <row r="4656" spans="8:8" x14ac:dyDescent="0.25">
      <c r="H4656" t="s">
        <v>3025</v>
      </c>
    </row>
    <row r="4657" spans="8:8" x14ac:dyDescent="0.25">
      <c r="H4657" t="s">
        <v>145</v>
      </c>
    </row>
    <row r="4658" spans="8:8" x14ac:dyDescent="0.25">
      <c r="H4658" t="s">
        <v>3682</v>
      </c>
    </row>
    <row r="4659" spans="8:8" x14ac:dyDescent="0.25">
      <c r="H4659" t="s">
        <v>31</v>
      </c>
    </row>
    <row r="4661" spans="8:8" x14ac:dyDescent="0.25">
      <c r="H4661" t="s">
        <v>3027</v>
      </c>
    </row>
    <row r="4662" spans="8:8" x14ac:dyDescent="0.25">
      <c r="H4662" t="s">
        <v>145</v>
      </c>
    </row>
    <row r="4663" spans="8:8" x14ac:dyDescent="0.25">
      <c r="H4663" t="s">
        <v>3684</v>
      </c>
    </row>
    <row r="4664" spans="8:8" x14ac:dyDescent="0.25">
      <c r="H4664" t="s">
        <v>31</v>
      </c>
    </row>
    <row r="4666" spans="8:8" x14ac:dyDescent="0.25">
      <c r="H4666" t="s">
        <v>3029</v>
      </c>
    </row>
    <row r="4667" spans="8:8" x14ac:dyDescent="0.25">
      <c r="H4667" t="s">
        <v>145</v>
      </c>
    </row>
    <row r="4668" spans="8:8" x14ac:dyDescent="0.25">
      <c r="H4668" t="s">
        <v>3686</v>
      </c>
    </row>
    <row r="4669" spans="8:8" x14ac:dyDescent="0.25">
      <c r="H4669" t="s">
        <v>31</v>
      </c>
    </row>
    <row r="4670" spans="8:8" x14ac:dyDescent="0.25">
      <c r="H4670" t="s">
        <v>146</v>
      </c>
    </row>
    <row r="4671" spans="8:8" x14ac:dyDescent="0.25">
      <c r="H4671" t="s">
        <v>3687</v>
      </c>
    </row>
    <row r="4672" spans="8:8" x14ac:dyDescent="0.25">
      <c r="H4672" t="s">
        <v>31</v>
      </c>
    </row>
    <row r="4674" spans="8:8" x14ac:dyDescent="0.25">
      <c r="H4674" t="s">
        <v>3031</v>
      </c>
    </row>
    <row r="4675" spans="8:8" x14ac:dyDescent="0.25">
      <c r="H4675" t="s">
        <v>145</v>
      </c>
    </row>
    <row r="4676" spans="8:8" x14ac:dyDescent="0.25">
      <c r="H4676" t="s">
        <v>3689</v>
      </c>
    </row>
    <row r="4677" spans="8:8" x14ac:dyDescent="0.25">
      <c r="H4677" t="s">
        <v>31</v>
      </c>
    </row>
    <row r="4679" spans="8:8" x14ac:dyDescent="0.25">
      <c r="H4679" t="s">
        <v>3033</v>
      </c>
    </row>
    <row r="4680" spans="8:8" x14ac:dyDescent="0.25">
      <c r="H4680" t="s">
        <v>145</v>
      </c>
    </row>
    <row r="4681" spans="8:8" x14ac:dyDescent="0.25">
      <c r="H4681" t="s">
        <v>3691</v>
      </c>
    </row>
    <row r="4682" spans="8:8" x14ac:dyDescent="0.25">
      <c r="H4682" t="s">
        <v>31</v>
      </c>
    </row>
    <row r="4684" spans="8:8" x14ac:dyDescent="0.25">
      <c r="H4684" t="s">
        <v>3035</v>
      </c>
    </row>
    <row r="4685" spans="8:8" x14ac:dyDescent="0.25">
      <c r="H4685" t="s">
        <v>145</v>
      </c>
    </row>
    <row r="4686" spans="8:8" x14ac:dyDescent="0.25">
      <c r="H4686" t="s">
        <v>3693</v>
      </c>
    </row>
    <row r="4687" spans="8:8" x14ac:dyDescent="0.25">
      <c r="H4687" t="s">
        <v>31</v>
      </c>
    </row>
    <row r="4688" spans="8:8" x14ac:dyDescent="0.25">
      <c r="H4688" t="s">
        <v>146</v>
      </c>
    </row>
    <row r="4689" spans="8:8" x14ac:dyDescent="0.25">
      <c r="H4689" t="s">
        <v>3694</v>
      </c>
    </row>
    <row r="4690" spans="8:8" x14ac:dyDescent="0.25">
      <c r="H4690" t="s">
        <v>31</v>
      </c>
    </row>
    <row r="4692" spans="8:8" x14ac:dyDescent="0.25">
      <c r="H4692" t="s">
        <v>3037</v>
      </c>
    </row>
    <row r="4693" spans="8:8" x14ac:dyDescent="0.25">
      <c r="H4693" t="s">
        <v>145</v>
      </c>
    </row>
    <row r="4694" spans="8:8" x14ac:dyDescent="0.25">
      <c r="H4694" t="s">
        <v>3696</v>
      </c>
    </row>
    <row r="4695" spans="8:8" x14ac:dyDescent="0.25">
      <c r="H4695" t="s">
        <v>31</v>
      </c>
    </row>
    <row r="4697" spans="8:8" x14ac:dyDescent="0.25">
      <c r="H4697" t="s">
        <v>3039</v>
      </c>
    </row>
    <row r="4698" spans="8:8" x14ac:dyDescent="0.25">
      <c r="H4698" t="s">
        <v>145</v>
      </c>
    </row>
    <row r="4699" spans="8:8" x14ac:dyDescent="0.25">
      <c r="H4699" t="s">
        <v>3698</v>
      </c>
    </row>
    <row r="4700" spans="8:8" x14ac:dyDescent="0.25">
      <c r="H4700" t="s">
        <v>31</v>
      </c>
    </row>
    <row r="4702" spans="8:8" x14ac:dyDescent="0.25">
      <c r="H4702" t="s">
        <v>3041</v>
      </c>
    </row>
    <row r="4703" spans="8:8" x14ac:dyDescent="0.25">
      <c r="H4703" t="s">
        <v>145</v>
      </c>
    </row>
    <row r="4704" spans="8:8" x14ac:dyDescent="0.25">
      <c r="H4704" t="s">
        <v>3700</v>
      </c>
    </row>
    <row r="4705" spans="8:8" x14ac:dyDescent="0.25">
      <c r="H4705" t="s">
        <v>31</v>
      </c>
    </row>
    <row r="4706" spans="8:8" x14ac:dyDescent="0.25">
      <c r="H4706" t="s">
        <v>146</v>
      </c>
    </row>
    <row r="4707" spans="8:8" x14ac:dyDescent="0.25">
      <c r="H4707" t="s">
        <v>3701</v>
      </c>
    </row>
    <row r="4708" spans="8:8" x14ac:dyDescent="0.25">
      <c r="H4708" t="s">
        <v>31</v>
      </c>
    </row>
    <row r="4710" spans="8:8" x14ac:dyDescent="0.25">
      <c r="H4710" t="s">
        <v>3043</v>
      </c>
    </row>
    <row r="4711" spans="8:8" x14ac:dyDescent="0.25">
      <c r="H4711" t="s">
        <v>145</v>
      </c>
    </row>
    <row r="4712" spans="8:8" x14ac:dyDescent="0.25">
      <c r="H4712" t="s">
        <v>3703</v>
      </c>
    </row>
    <row r="4713" spans="8:8" x14ac:dyDescent="0.25">
      <c r="H4713" t="s">
        <v>31</v>
      </c>
    </row>
    <row r="4715" spans="8:8" x14ac:dyDescent="0.25">
      <c r="H4715" t="s">
        <v>3045</v>
      </c>
    </row>
    <row r="4716" spans="8:8" x14ac:dyDescent="0.25">
      <c r="H4716" t="s">
        <v>145</v>
      </c>
    </row>
    <row r="4717" spans="8:8" x14ac:dyDescent="0.25">
      <c r="H4717" t="s">
        <v>3705</v>
      </c>
    </row>
    <row r="4718" spans="8:8" x14ac:dyDescent="0.25">
      <c r="H4718" t="s">
        <v>31</v>
      </c>
    </row>
    <row r="4720" spans="8:8" x14ac:dyDescent="0.25">
      <c r="H4720" t="s">
        <v>3047</v>
      </c>
    </row>
    <row r="4721" spans="8:8" x14ac:dyDescent="0.25">
      <c r="H4721" t="s">
        <v>145</v>
      </c>
    </row>
    <row r="4722" spans="8:8" x14ac:dyDescent="0.25">
      <c r="H4722" t="s">
        <v>3707</v>
      </c>
    </row>
    <row r="4723" spans="8:8" x14ac:dyDescent="0.25">
      <c r="H4723" t="s">
        <v>31</v>
      </c>
    </row>
    <row r="4724" spans="8:8" x14ac:dyDescent="0.25">
      <c r="H4724" t="s">
        <v>146</v>
      </c>
    </row>
    <row r="4725" spans="8:8" x14ac:dyDescent="0.25">
      <c r="H4725" t="s">
        <v>3708</v>
      </c>
    </row>
    <row r="4726" spans="8:8" x14ac:dyDescent="0.25">
      <c r="H4726" t="s">
        <v>31</v>
      </c>
    </row>
    <row r="4727" spans="8:8" x14ac:dyDescent="0.25">
      <c r="H4727" t="s">
        <v>147</v>
      </c>
    </row>
    <row r="4728" spans="8:8" x14ac:dyDescent="0.25">
      <c r="H4728" t="s">
        <v>3709</v>
      </c>
    </row>
    <row r="4729" spans="8:8" x14ac:dyDescent="0.25">
      <c r="H4729" t="s">
        <v>31</v>
      </c>
    </row>
    <row r="4730" spans="8:8" x14ac:dyDescent="0.25">
      <c r="H4730" t="s">
        <v>148</v>
      </c>
    </row>
    <row r="4731" spans="8:8" x14ac:dyDescent="0.25">
      <c r="H4731" t="s">
        <v>3710</v>
      </c>
    </row>
    <row r="4732" spans="8:8" x14ac:dyDescent="0.25">
      <c r="H4732" t="s">
        <v>31</v>
      </c>
    </row>
    <row r="4734" spans="8:8" x14ac:dyDescent="0.25">
      <c r="H4734" t="s">
        <v>3049</v>
      </c>
    </row>
    <row r="4735" spans="8:8" x14ac:dyDescent="0.25">
      <c r="H4735" t="s">
        <v>145</v>
      </c>
    </row>
    <row r="4736" spans="8:8" x14ac:dyDescent="0.25">
      <c r="H4736" t="s">
        <v>3712</v>
      </c>
    </row>
    <row r="4737" spans="8:8" x14ac:dyDescent="0.25">
      <c r="H4737" t="s">
        <v>31</v>
      </c>
    </row>
    <row r="4739" spans="8:8" x14ac:dyDescent="0.25">
      <c r="H4739" t="s">
        <v>3051</v>
      </c>
    </row>
    <row r="4740" spans="8:8" x14ac:dyDescent="0.25">
      <c r="H4740" t="s">
        <v>145</v>
      </c>
    </row>
    <row r="4741" spans="8:8" x14ac:dyDescent="0.25">
      <c r="H4741" t="s">
        <v>3714</v>
      </c>
    </row>
    <row r="4742" spans="8:8" x14ac:dyDescent="0.25">
      <c r="H4742" t="s">
        <v>31</v>
      </c>
    </row>
    <row r="4743" spans="8:8" x14ac:dyDescent="0.25">
      <c r="H4743" t="s">
        <v>146</v>
      </c>
    </row>
    <row r="4744" spans="8:8" x14ac:dyDescent="0.25">
      <c r="H4744" t="s">
        <v>3715</v>
      </c>
    </row>
    <row r="4745" spans="8:8" x14ac:dyDescent="0.25">
      <c r="H4745" t="s">
        <v>31</v>
      </c>
    </row>
    <row r="4746" spans="8:8" x14ac:dyDescent="0.25">
      <c r="H4746" t="s">
        <v>147</v>
      </c>
    </row>
    <row r="4747" spans="8:8" x14ac:dyDescent="0.25">
      <c r="H4747" t="s">
        <v>3716</v>
      </c>
    </row>
    <row r="4748" spans="8:8" x14ac:dyDescent="0.25">
      <c r="H4748" t="s">
        <v>31</v>
      </c>
    </row>
    <row r="4749" spans="8:8" x14ac:dyDescent="0.25">
      <c r="H4749" t="s">
        <v>148</v>
      </c>
    </row>
    <row r="4750" spans="8:8" x14ac:dyDescent="0.25">
      <c r="H4750" t="s">
        <v>3717</v>
      </c>
    </row>
    <row r="4751" spans="8:8" x14ac:dyDescent="0.25">
      <c r="H4751" t="s">
        <v>31</v>
      </c>
    </row>
    <row r="4753" spans="8:8" x14ac:dyDescent="0.25">
      <c r="H4753" t="s">
        <v>3055</v>
      </c>
    </row>
    <row r="4754" spans="8:8" x14ac:dyDescent="0.25">
      <c r="H4754" t="s">
        <v>145</v>
      </c>
    </row>
    <row r="4755" spans="8:8" x14ac:dyDescent="0.25">
      <c r="H4755" t="s">
        <v>3719</v>
      </c>
    </row>
    <row r="4756" spans="8:8" x14ac:dyDescent="0.25">
      <c r="H4756" t="s">
        <v>31</v>
      </c>
    </row>
    <row r="4757" spans="8:8" x14ac:dyDescent="0.25">
      <c r="H4757" t="s">
        <v>146</v>
      </c>
    </row>
    <row r="4758" spans="8:8" x14ac:dyDescent="0.25">
      <c r="H4758" t="s">
        <v>3720</v>
      </c>
    </row>
    <row r="4759" spans="8:8" x14ac:dyDescent="0.25">
      <c r="H4759" t="s">
        <v>31</v>
      </c>
    </row>
    <row r="4760" spans="8:8" x14ac:dyDescent="0.25">
      <c r="H4760" t="s">
        <v>3721</v>
      </c>
    </row>
    <row r="4761" spans="8:8" x14ac:dyDescent="0.25">
      <c r="H4761" t="s">
        <v>147</v>
      </c>
    </row>
    <row r="4762" spans="8:8" x14ac:dyDescent="0.25">
      <c r="H4762" t="s">
        <v>3722</v>
      </c>
    </row>
    <row r="4763" spans="8:8" x14ac:dyDescent="0.25">
      <c r="H4763" t="s">
        <v>31</v>
      </c>
    </row>
    <row r="4765" spans="8:8" x14ac:dyDescent="0.25">
      <c r="H4765" t="s">
        <v>3060</v>
      </c>
    </row>
    <row r="4766" spans="8:8" x14ac:dyDescent="0.25">
      <c r="H4766" t="s">
        <v>145</v>
      </c>
    </row>
    <row r="4767" spans="8:8" x14ac:dyDescent="0.25">
      <c r="H4767" t="s">
        <v>3724</v>
      </c>
    </row>
    <row r="4768" spans="8:8" x14ac:dyDescent="0.25">
      <c r="H4768" t="s">
        <v>31</v>
      </c>
    </row>
    <row r="4770" spans="8:8" x14ac:dyDescent="0.25">
      <c r="H4770" t="s">
        <v>3064</v>
      </c>
    </row>
    <row r="4771" spans="8:8" x14ac:dyDescent="0.25">
      <c r="H4771" t="s">
        <v>145</v>
      </c>
    </row>
    <row r="4772" spans="8:8" x14ac:dyDescent="0.25">
      <c r="H4772" t="s">
        <v>3726</v>
      </c>
    </row>
    <row r="4773" spans="8:8" x14ac:dyDescent="0.25">
      <c r="H4773" t="s">
        <v>31</v>
      </c>
    </row>
    <row r="4775" spans="8:8" x14ac:dyDescent="0.25">
      <c r="H4775" t="s">
        <v>3066</v>
      </c>
    </row>
    <row r="4776" spans="8:8" x14ac:dyDescent="0.25">
      <c r="H4776" t="s">
        <v>145</v>
      </c>
    </row>
    <row r="4777" spans="8:8" x14ac:dyDescent="0.25">
      <c r="H4777" t="s">
        <v>3728</v>
      </c>
    </row>
    <row r="4778" spans="8:8" x14ac:dyDescent="0.25">
      <c r="H4778" t="s">
        <v>31</v>
      </c>
    </row>
    <row r="4780" spans="8:8" x14ac:dyDescent="0.25">
      <c r="H4780" t="s">
        <v>3068</v>
      </c>
    </row>
    <row r="4781" spans="8:8" x14ac:dyDescent="0.25">
      <c r="H4781" t="s">
        <v>145</v>
      </c>
    </row>
    <row r="4782" spans="8:8" x14ac:dyDescent="0.25">
      <c r="H4782" t="s">
        <v>3730</v>
      </c>
    </row>
    <row r="4783" spans="8:8" x14ac:dyDescent="0.25">
      <c r="H4783" t="s">
        <v>31</v>
      </c>
    </row>
    <row r="4785" spans="8:8" x14ac:dyDescent="0.25">
      <c r="H4785" t="s">
        <v>3071</v>
      </c>
    </row>
    <row r="4786" spans="8:8" x14ac:dyDescent="0.25">
      <c r="H4786" t="s">
        <v>145</v>
      </c>
    </row>
    <row r="4787" spans="8:8" x14ac:dyDescent="0.25">
      <c r="H4787" t="s">
        <v>3732</v>
      </c>
    </row>
    <row r="4788" spans="8:8" x14ac:dyDescent="0.25">
      <c r="H4788" t="s">
        <v>31</v>
      </c>
    </row>
    <row r="4790" spans="8:8" x14ac:dyDescent="0.25">
      <c r="H4790" t="s">
        <v>3073</v>
      </c>
    </row>
    <row r="4791" spans="8:8" x14ac:dyDescent="0.25">
      <c r="H4791" t="s">
        <v>145</v>
      </c>
    </row>
    <row r="4792" spans="8:8" x14ac:dyDescent="0.25">
      <c r="H4792" t="s">
        <v>3734</v>
      </c>
    </row>
    <row r="4793" spans="8:8" x14ac:dyDescent="0.25">
      <c r="H4793" t="s">
        <v>31</v>
      </c>
    </row>
    <row r="4795" spans="8:8" x14ac:dyDescent="0.25">
      <c r="H4795" t="s">
        <v>3075</v>
      </c>
    </row>
    <row r="4796" spans="8:8" x14ac:dyDescent="0.25">
      <c r="H4796" t="s">
        <v>145</v>
      </c>
    </row>
    <row r="4797" spans="8:8" x14ac:dyDescent="0.25">
      <c r="H4797" t="s">
        <v>3736</v>
      </c>
    </row>
    <row r="4798" spans="8:8" x14ac:dyDescent="0.25">
      <c r="H4798" t="s">
        <v>31</v>
      </c>
    </row>
    <row r="4800" spans="8:8" x14ac:dyDescent="0.25">
      <c r="H4800" t="s">
        <v>3078</v>
      </c>
    </row>
    <row r="4801" spans="8:8" x14ac:dyDescent="0.25">
      <c r="H4801" t="s">
        <v>145</v>
      </c>
    </row>
    <row r="4802" spans="8:8" x14ac:dyDescent="0.25">
      <c r="H4802" t="s">
        <v>3738</v>
      </c>
    </row>
    <row r="4803" spans="8:8" x14ac:dyDescent="0.25">
      <c r="H4803" t="s">
        <v>31</v>
      </c>
    </row>
    <row r="4805" spans="8:8" x14ac:dyDescent="0.25">
      <c r="H4805" t="s">
        <v>3080</v>
      </c>
    </row>
    <row r="4806" spans="8:8" x14ac:dyDescent="0.25">
      <c r="H4806" t="s">
        <v>145</v>
      </c>
    </row>
    <row r="4807" spans="8:8" x14ac:dyDescent="0.25">
      <c r="H4807" t="s">
        <v>3740</v>
      </c>
    </row>
    <row r="4808" spans="8:8" x14ac:dyDescent="0.25">
      <c r="H4808" t="s">
        <v>31</v>
      </c>
    </row>
    <row r="4810" spans="8:8" x14ac:dyDescent="0.25">
      <c r="H4810" t="s">
        <v>3082</v>
      </c>
    </row>
    <row r="4811" spans="8:8" x14ac:dyDescent="0.25">
      <c r="H4811" t="s">
        <v>145</v>
      </c>
    </row>
    <row r="4812" spans="8:8" x14ac:dyDescent="0.25">
      <c r="H4812" t="s">
        <v>3742</v>
      </c>
    </row>
    <row r="4813" spans="8:8" x14ac:dyDescent="0.25">
      <c r="H4813" t="s">
        <v>31</v>
      </c>
    </row>
    <row r="4815" spans="8:8" x14ac:dyDescent="0.25">
      <c r="H4815" t="s">
        <v>3085</v>
      </c>
    </row>
    <row r="4816" spans="8:8" x14ac:dyDescent="0.25">
      <c r="H4816" t="s">
        <v>145</v>
      </c>
    </row>
    <row r="4817" spans="8:8" x14ac:dyDescent="0.25">
      <c r="H4817" t="s">
        <v>3744</v>
      </c>
    </row>
    <row r="4818" spans="8:8" x14ac:dyDescent="0.25">
      <c r="H4818" t="s">
        <v>31</v>
      </c>
    </row>
    <row r="4820" spans="8:8" x14ac:dyDescent="0.25">
      <c r="H4820" t="s">
        <v>3087</v>
      </c>
    </row>
    <row r="4821" spans="8:8" x14ac:dyDescent="0.25">
      <c r="H4821" t="s">
        <v>145</v>
      </c>
    </row>
    <row r="4822" spans="8:8" x14ac:dyDescent="0.25">
      <c r="H4822" t="s">
        <v>3746</v>
      </c>
    </row>
    <row r="4823" spans="8:8" x14ac:dyDescent="0.25">
      <c r="H4823" t="s">
        <v>31</v>
      </c>
    </row>
    <row r="4825" spans="8:8" x14ac:dyDescent="0.25">
      <c r="H4825" t="s">
        <v>3089</v>
      </c>
    </row>
    <row r="4826" spans="8:8" x14ac:dyDescent="0.25">
      <c r="H4826" t="s">
        <v>145</v>
      </c>
    </row>
    <row r="4827" spans="8:8" x14ac:dyDescent="0.25">
      <c r="H4827" t="s">
        <v>3748</v>
      </c>
    </row>
    <row r="4828" spans="8:8" x14ac:dyDescent="0.25">
      <c r="H4828" t="s">
        <v>31</v>
      </c>
    </row>
    <row r="4830" spans="8:8" x14ac:dyDescent="0.25">
      <c r="H4830" t="s">
        <v>3094</v>
      </c>
    </row>
    <row r="4831" spans="8:8" x14ac:dyDescent="0.25">
      <c r="H4831" t="s">
        <v>145</v>
      </c>
    </row>
    <row r="4832" spans="8:8" x14ac:dyDescent="0.25">
      <c r="H4832" t="s">
        <v>3750</v>
      </c>
    </row>
    <row r="4833" spans="8:8" x14ac:dyDescent="0.25">
      <c r="H4833" t="s">
        <v>31</v>
      </c>
    </row>
    <row r="4835" spans="8:8" x14ac:dyDescent="0.25">
      <c r="H4835" t="s">
        <v>3096</v>
      </c>
    </row>
    <row r="4836" spans="8:8" x14ac:dyDescent="0.25">
      <c r="H4836" t="s">
        <v>145</v>
      </c>
    </row>
    <row r="4837" spans="8:8" x14ac:dyDescent="0.25">
      <c r="H4837" t="s">
        <v>3752</v>
      </c>
    </row>
    <row r="4838" spans="8:8" x14ac:dyDescent="0.25">
      <c r="H4838" t="s">
        <v>31</v>
      </c>
    </row>
    <row r="4839" spans="8:8" x14ac:dyDescent="0.25">
      <c r="H4839" t="s">
        <v>146</v>
      </c>
    </row>
    <row r="4840" spans="8:8" x14ac:dyDescent="0.25">
      <c r="H4840" t="s">
        <v>3753</v>
      </c>
    </row>
    <row r="4841" spans="8:8" x14ac:dyDescent="0.25">
      <c r="H4841" t="s">
        <v>31</v>
      </c>
    </row>
    <row r="4843" spans="8:8" x14ac:dyDescent="0.25">
      <c r="H4843" t="s">
        <v>3101</v>
      </c>
    </row>
    <row r="4844" spans="8:8" x14ac:dyDescent="0.25">
      <c r="H4844" t="s">
        <v>145</v>
      </c>
    </row>
    <row r="4845" spans="8:8" x14ac:dyDescent="0.25">
      <c r="H4845" t="s">
        <v>3755</v>
      </c>
    </row>
    <row r="4846" spans="8:8" x14ac:dyDescent="0.25">
      <c r="H4846" t="s">
        <v>31</v>
      </c>
    </row>
    <row r="4847" spans="8:8" x14ac:dyDescent="0.25">
      <c r="H4847" t="s">
        <v>146</v>
      </c>
    </row>
    <row r="4848" spans="8:8" x14ac:dyDescent="0.25">
      <c r="H4848" t="s">
        <v>3756</v>
      </c>
    </row>
    <row r="4849" spans="8:8" x14ac:dyDescent="0.25">
      <c r="H4849" t="s">
        <v>31</v>
      </c>
    </row>
    <row r="4850" spans="8:8" x14ac:dyDescent="0.25">
      <c r="H4850" t="s">
        <v>147</v>
      </c>
    </row>
    <row r="4851" spans="8:8" x14ac:dyDescent="0.25">
      <c r="H4851" t="s">
        <v>3757</v>
      </c>
    </row>
    <row r="4852" spans="8:8" x14ac:dyDescent="0.25">
      <c r="H4852" t="s">
        <v>31</v>
      </c>
    </row>
    <row r="4853" spans="8:8" x14ac:dyDescent="0.25">
      <c r="H4853" t="s">
        <v>148</v>
      </c>
    </row>
    <row r="4854" spans="8:8" x14ac:dyDescent="0.25">
      <c r="H4854" t="s">
        <v>3758</v>
      </c>
    </row>
    <row r="4855" spans="8:8" x14ac:dyDescent="0.25">
      <c r="H4855" t="s">
        <v>31</v>
      </c>
    </row>
    <row r="4857" spans="8:8" x14ac:dyDescent="0.25">
      <c r="H4857" t="s">
        <v>3106</v>
      </c>
    </row>
    <row r="4858" spans="8:8" x14ac:dyDescent="0.25">
      <c r="H4858" t="s">
        <v>145</v>
      </c>
    </row>
    <row r="4859" spans="8:8" x14ac:dyDescent="0.25">
      <c r="H4859" t="s">
        <v>3760</v>
      </c>
    </row>
    <row r="4860" spans="8:8" x14ac:dyDescent="0.25">
      <c r="H4860" t="s">
        <v>31</v>
      </c>
    </row>
    <row r="4861" spans="8:8" x14ac:dyDescent="0.25">
      <c r="H4861" t="s">
        <v>146</v>
      </c>
    </row>
    <row r="4862" spans="8:8" x14ac:dyDescent="0.25">
      <c r="H4862" t="s">
        <v>3761</v>
      </c>
    </row>
    <row r="4863" spans="8:8" x14ac:dyDescent="0.25">
      <c r="H4863" t="s">
        <v>31</v>
      </c>
    </row>
    <row r="4864" spans="8:8" x14ac:dyDescent="0.25">
      <c r="H4864" t="s">
        <v>147</v>
      </c>
    </row>
    <row r="4865" spans="8:8" x14ac:dyDescent="0.25">
      <c r="H4865" t="s">
        <v>3762</v>
      </c>
    </row>
    <row r="4866" spans="8:8" x14ac:dyDescent="0.25">
      <c r="H4866" t="s">
        <v>31</v>
      </c>
    </row>
    <row r="4867" spans="8:8" x14ac:dyDescent="0.25">
      <c r="H4867" t="s">
        <v>148</v>
      </c>
    </row>
    <row r="4868" spans="8:8" x14ac:dyDescent="0.25">
      <c r="H4868" t="s">
        <v>3763</v>
      </c>
    </row>
    <row r="4869" spans="8:8" x14ac:dyDescent="0.25">
      <c r="H4869" t="s">
        <v>31</v>
      </c>
    </row>
    <row r="4871" spans="8:8" x14ac:dyDescent="0.25">
      <c r="H4871" t="s">
        <v>3108</v>
      </c>
    </row>
    <row r="4872" spans="8:8" x14ac:dyDescent="0.25">
      <c r="H4872" t="s">
        <v>145</v>
      </c>
    </row>
    <row r="4873" spans="8:8" x14ac:dyDescent="0.25">
      <c r="H4873" t="s">
        <v>3765</v>
      </c>
    </row>
    <row r="4874" spans="8:8" x14ac:dyDescent="0.25">
      <c r="H4874" t="s">
        <v>31</v>
      </c>
    </row>
    <row r="4875" spans="8:8" x14ac:dyDescent="0.25">
      <c r="H4875" t="s">
        <v>146</v>
      </c>
    </row>
    <row r="4876" spans="8:8" x14ac:dyDescent="0.25">
      <c r="H4876" t="s">
        <v>3766</v>
      </c>
    </row>
    <row r="4877" spans="8:8" x14ac:dyDescent="0.25">
      <c r="H4877" t="s">
        <v>31</v>
      </c>
    </row>
    <row r="4878" spans="8:8" x14ac:dyDescent="0.25">
      <c r="H4878" t="s">
        <v>147</v>
      </c>
    </row>
    <row r="4879" spans="8:8" x14ac:dyDescent="0.25">
      <c r="H4879" t="s">
        <v>3767</v>
      </c>
    </row>
    <row r="4880" spans="8:8" x14ac:dyDescent="0.25">
      <c r="H4880" t="s">
        <v>31</v>
      </c>
    </row>
    <row r="4881" spans="8:8" x14ac:dyDescent="0.25">
      <c r="H4881" t="s">
        <v>148</v>
      </c>
    </row>
    <row r="4882" spans="8:8" x14ac:dyDescent="0.25">
      <c r="H4882" t="s">
        <v>3768</v>
      </c>
    </row>
    <row r="4883" spans="8:8" x14ac:dyDescent="0.25">
      <c r="H4883" t="s">
        <v>31</v>
      </c>
    </row>
    <row r="4885" spans="8:8" x14ac:dyDescent="0.25">
      <c r="H4885" t="s">
        <v>3110</v>
      </c>
    </row>
    <row r="4886" spans="8:8" x14ac:dyDescent="0.25">
      <c r="H4886" t="s">
        <v>145</v>
      </c>
    </row>
    <row r="4887" spans="8:8" x14ac:dyDescent="0.25">
      <c r="H4887" t="s">
        <v>3770</v>
      </c>
    </row>
    <row r="4888" spans="8:8" x14ac:dyDescent="0.25">
      <c r="H4888" t="s">
        <v>31</v>
      </c>
    </row>
    <row r="4889" spans="8:8" x14ac:dyDescent="0.25">
      <c r="H4889" t="s">
        <v>146</v>
      </c>
    </row>
    <row r="4890" spans="8:8" x14ac:dyDescent="0.25">
      <c r="H4890" t="s">
        <v>3771</v>
      </c>
    </row>
    <row r="4891" spans="8:8" x14ac:dyDescent="0.25">
      <c r="H4891" t="s">
        <v>31</v>
      </c>
    </row>
    <row r="4892" spans="8:8" x14ac:dyDescent="0.25">
      <c r="H4892" t="s">
        <v>147</v>
      </c>
    </row>
    <row r="4893" spans="8:8" x14ac:dyDescent="0.25">
      <c r="H4893" t="s">
        <v>3772</v>
      </c>
    </row>
    <row r="4894" spans="8:8" x14ac:dyDescent="0.25">
      <c r="H4894" t="s">
        <v>31</v>
      </c>
    </row>
    <row r="4895" spans="8:8" x14ac:dyDescent="0.25">
      <c r="H4895" t="s">
        <v>148</v>
      </c>
    </row>
    <row r="4896" spans="8:8" x14ac:dyDescent="0.25">
      <c r="H4896" t="s">
        <v>3773</v>
      </c>
    </row>
    <row r="4897" spans="8:8" x14ac:dyDescent="0.25">
      <c r="H4897" t="s">
        <v>31</v>
      </c>
    </row>
    <row r="4899" spans="8:8" x14ac:dyDescent="0.25">
      <c r="H4899" t="s">
        <v>3112</v>
      </c>
    </row>
    <row r="4900" spans="8:8" x14ac:dyDescent="0.25">
      <c r="H4900" t="s">
        <v>145</v>
      </c>
    </row>
    <row r="4901" spans="8:8" x14ac:dyDescent="0.25">
      <c r="H4901" t="s">
        <v>3775</v>
      </c>
    </row>
    <row r="4902" spans="8:8" x14ac:dyDescent="0.25">
      <c r="H4902" t="s">
        <v>31</v>
      </c>
    </row>
    <row r="4903" spans="8:8" x14ac:dyDescent="0.25">
      <c r="H4903" t="s">
        <v>146</v>
      </c>
    </row>
    <row r="4904" spans="8:8" x14ac:dyDescent="0.25">
      <c r="H4904" t="s">
        <v>3776</v>
      </c>
    </row>
    <row r="4905" spans="8:8" x14ac:dyDescent="0.25">
      <c r="H4905" t="s">
        <v>31</v>
      </c>
    </row>
    <row r="4906" spans="8:8" x14ac:dyDescent="0.25">
      <c r="H4906" t="s">
        <v>147</v>
      </c>
    </row>
    <row r="4907" spans="8:8" x14ac:dyDescent="0.25">
      <c r="H4907" t="s">
        <v>3777</v>
      </c>
    </row>
    <row r="4908" spans="8:8" x14ac:dyDescent="0.25">
      <c r="H4908" t="s">
        <v>31</v>
      </c>
    </row>
    <row r="4909" spans="8:8" x14ac:dyDescent="0.25">
      <c r="H4909" t="s">
        <v>148</v>
      </c>
    </row>
    <row r="4910" spans="8:8" x14ac:dyDescent="0.25">
      <c r="H4910" t="s">
        <v>3778</v>
      </c>
    </row>
    <row r="4911" spans="8:8" x14ac:dyDescent="0.25">
      <c r="H4911" t="s">
        <v>31</v>
      </c>
    </row>
    <row r="4913" spans="8:8" x14ac:dyDescent="0.25">
      <c r="H4913" t="s">
        <v>3114</v>
      </c>
    </row>
    <row r="4914" spans="8:8" x14ac:dyDescent="0.25">
      <c r="H4914" t="s">
        <v>145</v>
      </c>
    </row>
    <row r="4915" spans="8:8" x14ac:dyDescent="0.25">
      <c r="H4915" t="s">
        <v>3780</v>
      </c>
    </row>
    <row r="4916" spans="8:8" x14ac:dyDescent="0.25">
      <c r="H4916" t="s">
        <v>31</v>
      </c>
    </row>
    <row r="4917" spans="8:8" x14ac:dyDescent="0.25">
      <c r="H4917" t="s">
        <v>146</v>
      </c>
    </row>
    <row r="4918" spans="8:8" x14ac:dyDescent="0.25">
      <c r="H4918" t="s">
        <v>3781</v>
      </c>
    </row>
    <row r="4919" spans="8:8" x14ac:dyDescent="0.25">
      <c r="H4919" t="s">
        <v>31</v>
      </c>
    </row>
    <row r="4920" spans="8:8" x14ac:dyDescent="0.25">
      <c r="H4920" t="s">
        <v>147</v>
      </c>
    </row>
    <row r="4921" spans="8:8" x14ac:dyDescent="0.25">
      <c r="H4921" t="s">
        <v>3782</v>
      </c>
    </row>
    <row r="4922" spans="8:8" x14ac:dyDescent="0.25">
      <c r="H4922" t="s">
        <v>31</v>
      </c>
    </row>
    <row r="4923" spans="8:8" x14ac:dyDescent="0.25">
      <c r="H4923" t="s">
        <v>148</v>
      </c>
    </row>
    <row r="4924" spans="8:8" x14ac:dyDescent="0.25">
      <c r="H4924" t="s">
        <v>3783</v>
      </c>
    </row>
    <row r="4925" spans="8:8" x14ac:dyDescent="0.25">
      <c r="H4925" t="s">
        <v>31</v>
      </c>
    </row>
    <row r="4927" spans="8:8" x14ac:dyDescent="0.25">
      <c r="H4927" t="s">
        <v>3116</v>
      </c>
    </row>
    <row r="4928" spans="8:8" x14ac:dyDescent="0.25">
      <c r="H4928" t="s">
        <v>145</v>
      </c>
    </row>
    <row r="4929" spans="8:8" x14ac:dyDescent="0.25">
      <c r="H4929" t="s">
        <v>3785</v>
      </c>
    </row>
    <row r="4930" spans="8:8" x14ac:dyDescent="0.25">
      <c r="H4930" t="s">
        <v>31</v>
      </c>
    </row>
    <row r="4931" spans="8:8" x14ac:dyDescent="0.25">
      <c r="H4931" t="s">
        <v>146</v>
      </c>
    </row>
    <row r="4932" spans="8:8" x14ac:dyDescent="0.25">
      <c r="H4932" t="s">
        <v>3786</v>
      </c>
    </row>
    <row r="4933" spans="8:8" x14ac:dyDescent="0.25">
      <c r="H4933" t="s">
        <v>31</v>
      </c>
    </row>
    <row r="4934" spans="8:8" x14ac:dyDescent="0.25">
      <c r="H4934" t="s">
        <v>147</v>
      </c>
    </row>
    <row r="4935" spans="8:8" x14ac:dyDescent="0.25">
      <c r="H4935" t="s">
        <v>3787</v>
      </c>
    </row>
    <row r="4936" spans="8:8" x14ac:dyDescent="0.25">
      <c r="H4936" t="s">
        <v>31</v>
      </c>
    </row>
    <row r="4937" spans="8:8" x14ac:dyDescent="0.25">
      <c r="H4937" t="s">
        <v>148</v>
      </c>
    </row>
    <row r="4938" spans="8:8" x14ac:dyDescent="0.25">
      <c r="H4938" t="s">
        <v>3788</v>
      </c>
    </row>
    <row r="4939" spans="8:8" x14ac:dyDescent="0.25">
      <c r="H4939" t="s">
        <v>31</v>
      </c>
    </row>
    <row r="4941" spans="8:8" x14ac:dyDescent="0.25">
      <c r="H4941" t="s">
        <v>3118</v>
      </c>
    </row>
    <row r="4942" spans="8:8" x14ac:dyDescent="0.25">
      <c r="H4942" t="s">
        <v>145</v>
      </c>
    </row>
    <row r="4943" spans="8:8" x14ac:dyDescent="0.25">
      <c r="H4943" t="s">
        <v>3790</v>
      </c>
    </row>
    <row r="4944" spans="8:8" x14ac:dyDescent="0.25">
      <c r="H4944" t="s">
        <v>31</v>
      </c>
    </row>
    <row r="4945" spans="8:8" x14ac:dyDescent="0.25">
      <c r="H4945" t="s">
        <v>146</v>
      </c>
    </row>
    <row r="4946" spans="8:8" x14ac:dyDescent="0.25">
      <c r="H4946" t="s">
        <v>3791</v>
      </c>
    </row>
    <row r="4947" spans="8:8" x14ac:dyDescent="0.25">
      <c r="H4947" t="s">
        <v>31</v>
      </c>
    </row>
    <row r="4948" spans="8:8" x14ac:dyDescent="0.25">
      <c r="H4948" t="s">
        <v>147</v>
      </c>
    </row>
    <row r="4949" spans="8:8" x14ac:dyDescent="0.25">
      <c r="H4949" t="s">
        <v>3792</v>
      </c>
    </row>
    <row r="4950" spans="8:8" x14ac:dyDescent="0.25">
      <c r="H4950" t="s">
        <v>31</v>
      </c>
    </row>
    <row r="4951" spans="8:8" x14ac:dyDescent="0.25">
      <c r="H4951" t="s">
        <v>148</v>
      </c>
    </row>
    <row r="4952" spans="8:8" x14ac:dyDescent="0.25">
      <c r="H4952" t="s">
        <v>3793</v>
      </c>
    </row>
    <row r="4953" spans="8:8" x14ac:dyDescent="0.25">
      <c r="H4953" t="s">
        <v>31</v>
      </c>
    </row>
    <row r="4955" spans="8:8" x14ac:dyDescent="0.25">
      <c r="H4955" t="s">
        <v>3120</v>
      </c>
    </row>
    <row r="4956" spans="8:8" x14ac:dyDescent="0.25">
      <c r="H4956" t="s">
        <v>145</v>
      </c>
    </row>
    <row r="4957" spans="8:8" x14ac:dyDescent="0.25">
      <c r="H4957" t="s">
        <v>3795</v>
      </c>
    </row>
    <row r="4958" spans="8:8" x14ac:dyDescent="0.25">
      <c r="H4958" t="s">
        <v>31</v>
      </c>
    </row>
    <row r="4959" spans="8:8" x14ac:dyDescent="0.25">
      <c r="H4959" t="s">
        <v>146</v>
      </c>
    </row>
    <row r="4960" spans="8:8" x14ac:dyDescent="0.25">
      <c r="H4960" t="s">
        <v>3796</v>
      </c>
    </row>
    <row r="4961" spans="8:8" x14ac:dyDescent="0.25">
      <c r="H4961" t="s">
        <v>31</v>
      </c>
    </row>
    <row r="4962" spans="8:8" x14ac:dyDescent="0.25">
      <c r="H4962" t="s">
        <v>147</v>
      </c>
    </row>
    <row r="4963" spans="8:8" x14ac:dyDescent="0.25">
      <c r="H4963" t="s">
        <v>3797</v>
      </c>
    </row>
    <row r="4964" spans="8:8" x14ac:dyDescent="0.25">
      <c r="H4964" t="s">
        <v>31</v>
      </c>
    </row>
    <row r="4965" spans="8:8" x14ac:dyDescent="0.25">
      <c r="H4965" t="s">
        <v>148</v>
      </c>
    </row>
    <row r="4966" spans="8:8" x14ac:dyDescent="0.25">
      <c r="H4966" t="s">
        <v>3798</v>
      </c>
    </row>
    <row r="4967" spans="8:8" x14ac:dyDescent="0.25">
      <c r="H4967" t="s">
        <v>31</v>
      </c>
    </row>
    <row r="4969" spans="8:8" x14ac:dyDescent="0.25">
      <c r="H4969" t="s">
        <v>3122</v>
      </c>
    </row>
    <row r="4970" spans="8:8" x14ac:dyDescent="0.25">
      <c r="H4970" t="s">
        <v>145</v>
      </c>
    </row>
    <row r="4971" spans="8:8" x14ac:dyDescent="0.25">
      <c r="H4971" t="s">
        <v>3800</v>
      </c>
    </row>
    <row r="4972" spans="8:8" x14ac:dyDescent="0.25">
      <c r="H4972" t="s">
        <v>31</v>
      </c>
    </row>
    <row r="4973" spans="8:8" x14ac:dyDescent="0.25">
      <c r="H4973" t="s">
        <v>146</v>
      </c>
    </row>
    <row r="4974" spans="8:8" x14ac:dyDescent="0.25">
      <c r="H4974" t="s">
        <v>3801</v>
      </c>
    </row>
    <row r="4975" spans="8:8" x14ac:dyDescent="0.25">
      <c r="H4975" t="s">
        <v>31</v>
      </c>
    </row>
    <row r="4976" spans="8:8" x14ac:dyDescent="0.25">
      <c r="H4976" t="s">
        <v>147</v>
      </c>
    </row>
    <row r="4977" spans="8:8" x14ac:dyDescent="0.25">
      <c r="H4977" t="s">
        <v>3802</v>
      </c>
    </row>
    <row r="4978" spans="8:8" x14ac:dyDescent="0.25">
      <c r="H4978" t="s">
        <v>31</v>
      </c>
    </row>
    <row r="4979" spans="8:8" x14ac:dyDescent="0.25">
      <c r="H4979" t="s">
        <v>148</v>
      </c>
    </row>
    <row r="4980" spans="8:8" x14ac:dyDescent="0.25">
      <c r="H4980" t="s">
        <v>3803</v>
      </c>
    </row>
    <row r="4981" spans="8:8" x14ac:dyDescent="0.25">
      <c r="H4981" t="s">
        <v>31</v>
      </c>
    </row>
    <row r="4983" spans="8:8" x14ac:dyDescent="0.25">
      <c r="H4983" t="s">
        <v>3124</v>
      </c>
    </row>
    <row r="4984" spans="8:8" x14ac:dyDescent="0.25">
      <c r="H4984" t="s">
        <v>145</v>
      </c>
    </row>
    <row r="4985" spans="8:8" x14ac:dyDescent="0.25">
      <c r="H4985" t="s">
        <v>3805</v>
      </c>
    </row>
    <row r="4986" spans="8:8" x14ac:dyDescent="0.25">
      <c r="H4986" t="s">
        <v>31</v>
      </c>
    </row>
    <row r="4987" spans="8:8" x14ac:dyDescent="0.25">
      <c r="H4987" t="s">
        <v>146</v>
      </c>
    </row>
    <row r="4988" spans="8:8" x14ac:dyDescent="0.25">
      <c r="H4988" t="s">
        <v>3806</v>
      </c>
    </row>
    <row r="4989" spans="8:8" x14ac:dyDescent="0.25">
      <c r="H4989" t="s">
        <v>31</v>
      </c>
    </row>
    <row r="4990" spans="8:8" x14ac:dyDescent="0.25">
      <c r="H4990" t="s">
        <v>147</v>
      </c>
    </row>
    <row r="4991" spans="8:8" x14ac:dyDescent="0.25">
      <c r="H4991" t="s">
        <v>3807</v>
      </c>
    </row>
    <row r="4992" spans="8:8" x14ac:dyDescent="0.25">
      <c r="H4992" t="s">
        <v>31</v>
      </c>
    </row>
    <row r="4993" spans="8:8" x14ac:dyDescent="0.25">
      <c r="H4993" t="s">
        <v>148</v>
      </c>
    </row>
    <row r="4994" spans="8:8" x14ac:dyDescent="0.25">
      <c r="H4994" t="s">
        <v>3808</v>
      </c>
    </row>
    <row r="4995" spans="8:8" x14ac:dyDescent="0.25">
      <c r="H4995" t="s">
        <v>31</v>
      </c>
    </row>
    <row r="4997" spans="8:8" x14ac:dyDescent="0.25">
      <c r="H4997" t="s">
        <v>3126</v>
      </c>
    </row>
    <row r="4998" spans="8:8" x14ac:dyDescent="0.25">
      <c r="H4998" t="s">
        <v>145</v>
      </c>
    </row>
    <row r="4999" spans="8:8" x14ac:dyDescent="0.25">
      <c r="H4999" t="s">
        <v>3810</v>
      </c>
    </row>
    <row r="5000" spans="8:8" x14ac:dyDescent="0.25">
      <c r="H5000" t="s">
        <v>31</v>
      </c>
    </row>
    <row r="5001" spans="8:8" x14ac:dyDescent="0.25">
      <c r="H5001" t="s">
        <v>146</v>
      </c>
    </row>
    <row r="5002" spans="8:8" x14ac:dyDescent="0.25">
      <c r="H5002" t="s">
        <v>3811</v>
      </c>
    </row>
    <row r="5003" spans="8:8" x14ac:dyDescent="0.25">
      <c r="H5003" t="s">
        <v>31</v>
      </c>
    </row>
    <row r="5004" spans="8:8" x14ac:dyDescent="0.25">
      <c r="H5004" t="s">
        <v>147</v>
      </c>
    </row>
    <row r="5005" spans="8:8" x14ac:dyDescent="0.25">
      <c r="H5005" t="s">
        <v>3812</v>
      </c>
    </row>
    <row r="5006" spans="8:8" x14ac:dyDescent="0.25">
      <c r="H5006" t="s">
        <v>31</v>
      </c>
    </row>
    <row r="5007" spans="8:8" x14ac:dyDescent="0.25">
      <c r="H5007" t="s">
        <v>148</v>
      </c>
    </row>
    <row r="5008" spans="8:8" x14ac:dyDescent="0.25">
      <c r="H5008" t="s">
        <v>3813</v>
      </c>
    </row>
    <row r="5009" spans="8:8" x14ac:dyDescent="0.25">
      <c r="H5009" t="s">
        <v>31</v>
      </c>
    </row>
    <row r="5011" spans="8:8" x14ac:dyDescent="0.25">
      <c r="H5011" t="s">
        <v>3128</v>
      </c>
    </row>
    <row r="5012" spans="8:8" x14ac:dyDescent="0.25">
      <c r="H5012" t="s">
        <v>145</v>
      </c>
    </row>
    <row r="5013" spans="8:8" x14ac:dyDescent="0.25">
      <c r="H5013" t="s">
        <v>3815</v>
      </c>
    </row>
    <row r="5014" spans="8:8" x14ac:dyDescent="0.25">
      <c r="H5014" t="s">
        <v>31</v>
      </c>
    </row>
    <row r="5015" spans="8:8" x14ac:dyDescent="0.25">
      <c r="H5015" t="s">
        <v>146</v>
      </c>
    </row>
    <row r="5016" spans="8:8" x14ac:dyDescent="0.25">
      <c r="H5016" t="s">
        <v>3816</v>
      </c>
    </row>
    <row r="5017" spans="8:8" x14ac:dyDescent="0.25">
      <c r="H5017" t="s">
        <v>31</v>
      </c>
    </row>
    <row r="5018" spans="8:8" x14ac:dyDescent="0.25">
      <c r="H5018" t="s">
        <v>147</v>
      </c>
    </row>
    <row r="5019" spans="8:8" x14ac:dyDescent="0.25">
      <c r="H5019" t="s">
        <v>3817</v>
      </c>
    </row>
    <row r="5020" spans="8:8" x14ac:dyDescent="0.25">
      <c r="H5020" t="s">
        <v>31</v>
      </c>
    </row>
    <row r="5021" spans="8:8" x14ac:dyDescent="0.25">
      <c r="H5021" t="s">
        <v>148</v>
      </c>
    </row>
    <row r="5022" spans="8:8" x14ac:dyDescent="0.25">
      <c r="H5022" t="s">
        <v>3818</v>
      </c>
    </row>
    <row r="5023" spans="8:8" x14ac:dyDescent="0.25">
      <c r="H5023" t="s">
        <v>31</v>
      </c>
    </row>
    <row r="5025" spans="8:8" x14ac:dyDescent="0.25">
      <c r="H5025" t="s">
        <v>3130</v>
      </c>
    </row>
    <row r="5026" spans="8:8" x14ac:dyDescent="0.25">
      <c r="H5026" t="s">
        <v>145</v>
      </c>
    </row>
    <row r="5027" spans="8:8" x14ac:dyDescent="0.25">
      <c r="H5027" t="s">
        <v>3820</v>
      </c>
    </row>
    <row r="5028" spans="8:8" x14ac:dyDescent="0.25">
      <c r="H5028" t="s">
        <v>31</v>
      </c>
    </row>
    <row r="5029" spans="8:8" x14ac:dyDescent="0.25">
      <c r="H5029" t="s">
        <v>146</v>
      </c>
    </row>
    <row r="5030" spans="8:8" x14ac:dyDescent="0.25">
      <c r="H5030" t="s">
        <v>3821</v>
      </c>
    </row>
    <row r="5031" spans="8:8" x14ac:dyDescent="0.25">
      <c r="H5031" t="s">
        <v>31</v>
      </c>
    </row>
    <row r="5032" spans="8:8" x14ac:dyDescent="0.25">
      <c r="H5032" t="s">
        <v>147</v>
      </c>
    </row>
    <row r="5033" spans="8:8" x14ac:dyDescent="0.25">
      <c r="H5033" t="s">
        <v>3822</v>
      </c>
    </row>
    <row r="5034" spans="8:8" x14ac:dyDescent="0.25">
      <c r="H5034" t="s">
        <v>31</v>
      </c>
    </row>
    <row r="5035" spans="8:8" x14ac:dyDescent="0.25">
      <c r="H5035" t="s">
        <v>148</v>
      </c>
    </row>
    <row r="5036" spans="8:8" x14ac:dyDescent="0.25">
      <c r="H5036" t="s">
        <v>3823</v>
      </c>
    </row>
    <row r="5037" spans="8:8" x14ac:dyDescent="0.25">
      <c r="H5037" t="s">
        <v>31</v>
      </c>
    </row>
    <row r="5039" spans="8:8" x14ac:dyDescent="0.25">
      <c r="H5039" t="s">
        <v>3132</v>
      </c>
    </row>
    <row r="5040" spans="8:8" x14ac:dyDescent="0.25">
      <c r="H5040" t="s">
        <v>145</v>
      </c>
    </row>
    <row r="5041" spans="8:8" x14ac:dyDescent="0.25">
      <c r="H5041" t="s">
        <v>3825</v>
      </c>
    </row>
    <row r="5042" spans="8:8" x14ac:dyDescent="0.25">
      <c r="H5042" t="s">
        <v>31</v>
      </c>
    </row>
    <row r="5043" spans="8:8" x14ac:dyDescent="0.25">
      <c r="H5043" t="s">
        <v>146</v>
      </c>
    </row>
    <row r="5044" spans="8:8" x14ac:dyDescent="0.25">
      <c r="H5044" t="s">
        <v>3826</v>
      </c>
    </row>
    <row r="5045" spans="8:8" x14ac:dyDescent="0.25">
      <c r="H5045" t="s">
        <v>31</v>
      </c>
    </row>
    <row r="5046" spans="8:8" x14ac:dyDescent="0.25">
      <c r="H5046" t="s">
        <v>147</v>
      </c>
    </row>
    <row r="5047" spans="8:8" x14ac:dyDescent="0.25">
      <c r="H5047" t="s">
        <v>3827</v>
      </c>
    </row>
    <row r="5048" spans="8:8" x14ac:dyDescent="0.25">
      <c r="H5048" t="s">
        <v>31</v>
      </c>
    </row>
    <row r="5049" spans="8:8" x14ac:dyDescent="0.25">
      <c r="H5049" t="s">
        <v>148</v>
      </c>
    </row>
    <row r="5050" spans="8:8" x14ac:dyDescent="0.25">
      <c r="H5050" t="s">
        <v>3828</v>
      </c>
    </row>
    <row r="5051" spans="8:8" x14ac:dyDescent="0.25">
      <c r="H5051" t="s">
        <v>31</v>
      </c>
    </row>
    <row r="5053" spans="8:8" x14ac:dyDescent="0.25">
      <c r="H5053" t="s">
        <v>3134</v>
      </c>
    </row>
    <row r="5054" spans="8:8" x14ac:dyDescent="0.25">
      <c r="H5054" t="s">
        <v>145</v>
      </c>
    </row>
    <row r="5055" spans="8:8" x14ac:dyDescent="0.25">
      <c r="H5055" t="s">
        <v>3830</v>
      </c>
    </row>
    <row r="5056" spans="8:8" x14ac:dyDescent="0.25">
      <c r="H5056" t="s">
        <v>31</v>
      </c>
    </row>
    <row r="5057" spans="8:8" x14ac:dyDescent="0.25">
      <c r="H5057" t="s">
        <v>146</v>
      </c>
    </row>
    <row r="5058" spans="8:8" x14ac:dyDescent="0.25">
      <c r="H5058" t="s">
        <v>3831</v>
      </c>
    </row>
    <row r="5059" spans="8:8" x14ac:dyDescent="0.25">
      <c r="H5059" t="s">
        <v>31</v>
      </c>
    </row>
    <row r="5060" spans="8:8" x14ac:dyDescent="0.25">
      <c r="H5060" t="s">
        <v>147</v>
      </c>
    </row>
    <row r="5061" spans="8:8" x14ac:dyDescent="0.25">
      <c r="H5061" t="s">
        <v>3832</v>
      </c>
    </row>
    <row r="5062" spans="8:8" x14ac:dyDescent="0.25">
      <c r="H5062" t="s">
        <v>31</v>
      </c>
    </row>
    <row r="5063" spans="8:8" x14ac:dyDescent="0.25">
      <c r="H5063" t="s">
        <v>148</v>
      </c>
    </row>
    <row r="5064" spans="8:8" x14ac:dyDescent="0.25">
      <c r="H5064" t="s">
        <v>3833</v>
      </c>
    </row>
    <row r="5065" spans="8:8" x14ac:dyDescent="0.25">
      <c r="H5065" t="s">
        <v>31</v>
      </c>
    </row>
    <row r="5067" spans="8:8" x14ac:dyDescent="0.25">
      <c r="H5067" t="s">
        <v>3137</v>
      </c>
    </row>
    <row r="5068" spans="8:8" x14ac:dyDescent="0.25">
      <c r="H5068" t="s">
        <v>145</v>
      </c>
    </row>
    <row r="5069" spans="8:8" x14ac:dyDescent="0.25">
      <c r="H5069" t="s">
        <v>3835</v>
      </c>
    </row>
    <row r="5070" spans="8:8" x14ac:dyDescent="0.25">
      <c r="H5070" t="s">
        <v>31</v>
      </c>
    </row>
    <row r="5071" spans="8:8" x14ac:dyDescent="0.25">
      <c r="H5071" t="s">
        <v>146</v>
      </c>
    </row>
    <row r="5072" spans="8:8" x14ac:dyDescent="0.25">
      <c r="H5072" t="s">
        <v>3836</v>
      </c>
    </row>
    <row r="5073" spans="8:8" x14ac:dyDescent="0.25">
      <c r="H5073" t="s">
        <v>31</v>
      </c>
    </row>
    <row r="5074" spans="8:8" x14ac:dyDescent="0.25">
      <c r="H5074" t="s">
        <v>147</v>
      </c>
    </row>
    <row r="5075" spans="8:8" x14ac:dyDescent="0.25">
      <c r="H5075" t="s">
        <v>3837</v>
      </c>
    </row>
    <row r="5076" spans="8:8" x14ac:dyDescent="0.25">
      <c r="H5076" t="s">
        <v>31</v>
      </c>
    </row>
    <row r="5077" spans="8:8" x14ac:dyDescent="0.25">
      <c r="H5077" t="s">
        <v>148</v>
      </c>
    </row>
    <row r="5078" spans="8:8" x14ac:dyDescent="0.25">
      <c r="H5078" t="s">
        <v>3838</v>
      </c>
    </row>
    <row r="5079" spans="8:8" x14ac:dyDescent="0.25">
      <c r="H5079" t="s">
        <v>31</v>
      </c>
    </row>
    <row r="5081" spans="8:8" x14ac:dyDescent="0.25">
      <c r="H5081" t="s">
        <v>3142</v>
      </c>
    </row>
    <row r="5082" spans="8:8" x14ac:dyDescent="0.25">
      <c r="H5082" t="s">
        <v>145</v>
      </c>
    </row>
    <row r="5083" spans="8:8" x14ac:dyDescent="0.25">
      <c r="H5083" t="s">
        <v>3839</v>
      </c>
    </row>
    <row r="5084" spans="8:8" x14ac:dyDescent="0.25">
      <c r="H5084" t="s">
        <v>31</v>
      </c>
    </row>
    <row r="5085" spans="8:8" x14ac:dyDescent="0.25">
      <c r="H5085" t="s">
        <v>146</v>
      </c>
    </row>
    <row r="5086" spans="8:8" x14ac:dyDescent="0.25">
      <c r="H5086" t="s">
        <v>3840</v>
      </c>
    </row>
    <row r="5087" spans="8:8" x14ac:dyDescent="0.25">
      <c r="H5087" t="s">
        <v>31</v>
      </c>
    </row>
    <row r="5088" spans="8:8" x14ac:dyDescent="0.25">
      <c r="H5088" t="s">
        <v>147</v>
      </c>
    </row>
    <row r="5089" spans="8:8" x14ac:dyDescent="0.25">
      <c r="H5089" t="s">
        <v>3841</v>
      </c>
    </row>
    <row r="5090" spans="8:8" x14ac:dyDescent="0.25">
      <c r="H5090" t="s">
        <v>31</v>
      </c>
    </row>
    <row r="5091" spans="8:8" x14ac:dyDescent="0.25">
      <c r="H5091" t="s">
        <v>148</v>
      </c>
    </row>
    <row r="5092" spans="8:8" x14ac:dyDescent="0.25">
      <c r="H5092" t="s">
        <v>3842</v>
      </c>
    </row>
    <row r="5093" spans="8:8" x14ac:dyDescent="0.25">
      <c r="H5093" t="s">
        <v>31</v>
      </c>
    </row>
    <row r="5095" spans="8:8" x14ac:dyDescent="0.25">
      <c r="H5095" t="s">
        <v>3147</v>
      </c>
    </row>
    <row r="5096" spans="8:8" x14ac:dyDescent="0.25">
      <c r="H5096" t="s">
        <v>145</v>
      </c>
    </row>
    <row r="5097" spans="8:8" x14ac:dyDescent="0.25">
      <c r="H5097" t="s">
        <v>3843</v>
      </c>
    </row>
    <row r="5098" spans="8:8" x14ac:dyDescent="0.25">
      <c r="H5098" t="s">
        <v>31</v>
      </c>
    </row>
    <row r="5099" spans="8:8" x14ac:dyDescent="0.25">
      <c r="H5099" t="s">
        <v>146</v>
      </c>
    </row>
    <row r="5100" spans="8:8" x14ac:dyDescent="0.25">
      <c r="H5100" t="s">
        <v>3844</v>
      </c>
    </row>
    <row r="5101" spans="8:8" x14ac:dyDescent="0.25">
      <c r="H5101" t="s">
        <v>31</v>
      </c>
    </row>
    <row r="5102" spans="8:8" x14ac:dyDescent="0.25">
      <c r="H5102" t="s">
        <v>147</v>
      </c>
    </row>
    <row r="5103" spans="8:8" x14ac:dyDescent="0.25">
      <c r="H5103" t="s">
        <v>3845</v>
      </c>
    </row>
    <row r="5104" spans="8:8" x14ac:dyDescent="0.25">
      <c r="H5104" t="s">
        <v>31</v>
      </c>
    </row>
    <row r="5105" spans="8:8" x14ac:dyDescent="0.25">
      <c r="H5105" t="s">
        <v>148</v>
      </c>
    </row>
    <row r="5106" spans="8:8" x14ac:dyDescent="0.25">
      <c r="H5106" t="s">
        <v>3846</v>
      </c>
    </row>
    <row r="5107" spans="8:8" x14ac:dyDescent="0.25">
      <c r="H5107" t="s">
        <v>31</v>
      </c>
    </row>
    <row r="5109" spans="8:8" x14ac:dyDescent="0.25">
      <c r="H5109" t="s">
        <v>3152</v>
      </c>
    </row>
    <row r="5110" spans="8:8" x14ac:dyDescent="0.25">
      <c r="H5110" t="s">
        <v>145</v>
      </c>
    </row>
    <row r="5111" spans="8:8" x14ac:dyDescent="0.25">
      <c r="H5111" t="s">
        <v>3847</v>
      </c>
    </row>
    <row r="5112" spans="8:8" x14ac:dyDescent="0.25">
      <c r="H5112" t="s">
        <v>31</v>
      </c>
    </row>
    <row r="5113" spans="8:8" x14ac:dyDescent="0.25">
      <c r="H5113" t="s">
        <v>146</v>
      </c>
    </row>
    <row r="5114" spans="8:8" x14ac:dyDescent="0.25">
      <c r="H5114" t="s">
        <v>3848</v>
      </c>
    </row>
    <row r="5115" spans="8:8" x14ac:dyDescent="0.25">
      <c r="H5115" t="s">
        <v>31</v>
      </c>
    </row>
    <row r="5116" spans="8:8" x14ac:dyDescent="0.25">
      <c r="H5116" t="s">
        <v>147</v>
      </c>
    </row>
    <row r="5117" spans="8:8" x14ac:dyDescent="0.25">
      <c r="H5117" t="s">
        <v>3849</v>
      </c>
    </row>
    <row r="5118" spans="8:8" x14ac:dyDescent="0.25">
      <c r="H5118" t="s">
        <v>31</v>
      </c>
    </row>
    <row r="5119" spans="8:8" x14ac:dyDescent="0.25">
      <c r="H5119" t="s">
        <v>148</v>
      </c>
    </row>
    <row r="5120" spans="8:8" x14ac:dyDescent="0.25">
      <c r="H5120" t="s">
        <v>3850</v>
      </c>
    </row>
    <row r="5121" spans="8:8" x14ac:dyDescent="0.25">
      <c r="H5121" t="s">
        <v>31</v>
      </c>
    </row>
    <row r="5123" spans="8:8" x14ac:dyDescent="0.25">
      <c r="H5123" t="s">
        <v>3157</v>
      </c>
    </row>
    <row r="5124" spans="8:8" x14ac:dyDescent="0.25">
      <c r="H5124" t="s">
        <v>145</v>
      </c>
    </row>
    <row r="5125" spans="8:8" x14ac:dyDescent="0.25">
      <c r="H5125" t="s">
        <v>3851</v>
      </c>
    </row>
    <row r="5126" spans="8:8" x14ac:dyDescent="0.25">
      <c r="H5126" t="s">
        <v>31</v>
      </c>
    </row>
    <row r="5127" spans="8:8" x14ac:dyDescent="0.25">
      <c r="H5127" t="s">
        <v>146</v>
      </c>
    </row>
    <row r="5128" spans="8:8" x14ac:dyDescent="0.25">
      <c r="H5128" t="s">
        <v>3852</v>
      </c>
    </row>
    <row r="5129" spans="8:8" x14ac:dyDescent="0.25">
      <c r="H5129" t="s">
        <v>31</v>
      </c>
    </row>
    <row r="5130" spans="8:8" x14ac:dyDescent="0.25">
      <c r="H5130" t="s">
        <v>147</v>
      </c>
    </row>
    <row r="5131" spans="8:8" x14ac:dyDescent="0.25">
      <c r="H5131" t="s">
        <v>3853</v>
      </c>
    </row>
    <row r="5132" spans="8:8" x14ac:dyDescent="0.25">
      <c r="H5132" t="s">
        <v>31</v>
      </c>
    </row>
    <row r="5133" spans="8:8" x14ac:dyDescent="0.25">
      <c r="H5133" t="s">
        <v>148</v>
      </c>
    </row>
    <row r="5134" spans="8:8" x14ac:dyDescent="0.25">
      <c r="H5134" t="s">
        <v>3854</v>
      </c>
    </row>
    <row r="5135" spans="8:8" x14ac:dyDescent="0.25">
      <c r="H5135" t="s">
        <v>31</v>
      </c>
    </row>
    <row r="5137" spans="8:8" x14ac:dyDescent="0.25">
      <c r="H5137" t="s">
        <v>3162</v>
      </c>
    </row>
    <row r="5138" spans="8:8" x14ac:dyDescent="0.25">
      <c r="H5138" t="s">
        <v>145</v>
      </c>
    </row>
    <row r="5139" spans="8:8" x14ac:dyDescent="0.25">
      <c r="H5139" t="s">
        <v>3855</v>
      </c>
    </row>
    <row r="5140" spans="8:8" x14ac:dyDescent="0.25">
      <c r="H5140" t="s">
        <v>31</v>
      </c>
    </row>
    <row r="5141" spans="8:8" x14ac:dyDescent="0.25">
      <c r="H5141" t="s">
        <v>146</v>
      </c>
    </row>
    <row r="5142" spans="8:8" x14ac:dyDescent="0.25">
      <c r="H5142" t="s">
        <v>3856</v>
      </c>
    </row>
    <row r="5143" spans="8:8" x14ac:dyDescent="0.25">
      <c r="H5143" t="s">
        <v>31</v>
      </c>
    </row>
    <row r="5144" spans="8:8" x14ac:dyDescent="0.25">
      <c r="H5144" t="s">
        <v>147</v>
      </c>
    </row>
    <row r="5145" spans="8:8" x14ac:dyDescent="0.25">
      <c r="H5145" t="s">
        <v>3857</v>
      </c>
    </row>
    <row r="5146" spans="8:8" x14ac:dyDescent="0.25">
      <c r="H5146" t="s">
        <v>31</v>
      </c>
    </row>
    <row r="5147" spans="8:8" x14ac:dyDescent="0.25">
      <c r="H5147" t="s">
        <v>148</v>
      </c>
    </row>
    <row r="5148" spans="8:8" x14ac:dyDescent="0.25">
      <c r="H5148" t="s">
        <v>3858</v>
      </c>
    </row>
    <row r="5149" spans="8:8" x14ac:dyDescent="0.25">
      <c r="H5149" t="s">
        <v>31</v>
      </c>
    </row>
    <row r="5151" spans="8:8" x14ac:dyDescent="0.25">
      <c r="H5151" t="s">
        <v>3167</v>
      </c>
    </row>
    <row r="5152" spans="8:8" x14ac:dyDescent="0.25">
      <c r="H5152" t="s">
        <v>145</v>
      </c>
    </row>
    <row r="5153" spans="8:8" x14ac:dyDescent="0.25">
      <c r="H5153" t="s">
        <v>3859</v>
      </c>
    </row>
    <row r="5154" spans="8:8" x14ac:dyDescent="0.25">
      <c r="H5154" t="s">
        <v>31</v>
      </c>
    </row>
    <row r="5155" spans="8:8" x14ac:dyDescent="0.25">
      <c r="H5155" t="s">
        <v>146</v>
      </c>
    </row>
    <row r="5156" spans="8:8" x14ac:dyDescent="0.25">
      <c r="H5156" t="s">
        <v>3860</v>
      </c>
    </row>
    <row r="5157" spans="8:8" x14ac:dyDescent="0.25">
      <c r="H5157" t="s">
        <v>31</v>
      </c>
    </row>
    <row r="5158" spans="8:8" x14ac:dyDescent="0.25">
      <c r="H5158" t="s">
        <v>147</v>
      </c>
    </row>
    <row r="5159" spans="8:8" x14ac:dyDescent="0.25">
      <c r="H5159" t="s">
        <v>3861</v>
      </c>
    </row>
    <row r="5160" spans="8:8" x14ac:dyDescent="0.25">
      <c r="H5160" t="s">
        <v>31</v>
      </c>
    </row>
    <row r="5161" spans="8:8" x14ac:dyDescent="0.25">
      <c r="H5161" t="s">
        <v>148</v>
      </c>
    </row>
    <row r="5162" spans="8:8" x14ac:dyDescent="0.25">
      <c r="H5162" t="s">
        <v>3862</v>
      </c>
    </row>
    <row r="5163" spans="8:8" x14ac:dyDescent="0.25">
      <c r="H5163" t="s">
        <v>31</v>
      </c>
    </row>
    <row r="5165" spans="8:8" x14ac:dyDescent="0.25">
      <c r="H5165" t="s">
        <v>3172</v>
      </c>
    </row>
    <row r="5166" spans="8:8" x14ac:dyDescent="0.25">
      <c r="H5166" t="s">
        <v>145</v>
      </c>
    </row>
    <row r="5167" spans="8:8" x14ac:dyDescent="0.25">
      <c r="H5167" t="s">
        <v>3863</v>
      </c>
    </row>
    <row r="5168" spans="8:8" x14ac:dyDescent="0.25">
      <c r="H5168" t="s">
        <v>31</v>
      </c>
    </row>
    <row r="5169" spans="8:8" x14ac:dyDescent="0.25">
      <c r="H5169" t="s">
        <v>146</v>
      </c>
    </row>
    <row r="5170" spans="8:8" x14ac:dyDescent="0.25">
      <c r="H5170" t="s">
        <v>3864</v>
      </c>
    </row>
    <row r="5171" spans="8:8" x14ac:dyDescent="0.25">
      <c r="H5171" t="s">
        <v>31</v>
      </c>
    </row>
    <row r="5172" spans="8:8" x14ac:dyDescent="0.25">
      <c r="H5172" t="s">
        <v>147</v>
      </c>
    </row>
    <row r="5173" spans="8:8" x14ac:dyDescent="0.25">
      <c r="H5173" t="s">
        <v>3865</v>
      </c>
    </row>
    <row r="5174" spans="8:8" x14ac:dyDescent="0.25">
      <c r="H5174" t="s">
        <v>31</v>
      </c>
    </row>
    <row r="5175" spans="8:8" x14ac:dyDescent="0.25">
      <c r="H5175" t="s">
        <v>148</v>
      </c>
    </row>
    <row r="5176" spans="8:8" x14ac:dyDescent="0.25">
      <c r="H5176" t="s">
        <v>3866</v>
      </c>
    </row>
    <row r="5177" spans="8:8" x14ac:dyDescent="0.25">
      <c r="H5177" t="s">
        <v>31</v>
      </c>
    </row>
    <row r="5179" spans="8:8" x14ac:dyDescent="0.25">
      <c r="H5179" t="s">
        <v>3177</v>
      </c>
    </row>
    <row r="5180" spans="8:8" x14ac:dyDescent="0.25">
      <c r="H5180" t="s">
        <v>145</v>
      </c>
    </row>
    <row r="5181" spans="8:8" x14ac:dyDescent="0.25">
      <c r="H5181" t="s">
        <v>3867</v>
      </c>
    </row>
    <row r="5182" spans="8:8" x14ac:dyDescent="0.25">
      <c r="H5182" t="s">
        <v>31</v>
      </c>
    </row>
    <row r="5183" spans="8:8" x14ac:dyDescent="0.25">
      <c r="H5183" t="s">
        <v>146</v>
      </c>
    </row>
    <row r="5184" spans="8:8" x14ac:dyDescent="0.25">
      <c r="H5184" t="s">
        <v>3868</v>
      </c>
    </row>
    <row r="5185" spans="8:8" x14ac:dyDescent="0.25">
      <c r="H5185" t="s">
        <v>31</v>
      </c>
    </row>
    <row r="5186" spans="8:8" x14ac:dyDescent="0.25">
      <c r="H5186" t="s">
        <v>147</v>
      </c>
    </row>
    <row r="5187" spans="8:8" x14ac:dyDescent="0.25">
      <c r="H5187" t="s">
        <v>3869</v>
      </c>
    </row>
    <row r="5188" spans="8:8" x14ac:dyDescent="0.25">
      <c r="H5188" t="s">
        <v>31</v>
      </c>
    </row>
    <row r="5189" spans="8:8" x14ac:dyDescent="0.25">
      <c r="H5189" t="s">
        <v>148</v>
      </c>
    </row>
    <row r="5190" spans="8:8" x14ac:dyDescent="0.25">
      <c r="H5190" t="s">
        <v>3870</v>
      </c>
    </row>
    <row r="5191" spans="8:8" x14ac:dyDescent="0.25">
      <c r="H5191" t="s">
        <v>31</v>
      </c>
    </row>
    <row r="5193" spans="8:8" x14ac:dyDescent="0.25">
      <c r="H5193" t="s">
        <v>3182</v>
      </c>
    </row>
    <row r="5194" spans="8:8" x14ac:dyDescent="0.25">
      <c r="H5194" t="s">
        <v>145</v>
      </c>
    </row>
    <row r="5195" spans="8:8" x14ac:dyDescent="0.25">
      <c r="H5195" t="s">
        <v>3871</v>
      </c>
    </row>
    <row r="5196" spans="8:8" x14ac:dyDescent="0.25">
      <c r="H5196" t="s">
        <v>31</v>
      </c>
    </row>
    <row r="5197" spans="8:8" x14ac:dyDescent="0.25">
      <c r="H5197" t="s">
        <v>146</v>
      </c>
    </row>
    <row r="5198" spans="8:8" x14ac:dyDescent="0.25">
      <c r="H5198" t="s">
        <v>3872</v>
      </c>
    </row>
    <row r="5199" spans="8:8" x14ac:dyDescent="0.25">
      <c r="H5199" t="s">
        <v>31</v>
      </c>
    </row>
    <row r="5200" spans="8:8" x14ac:dyDescent="0.25">
      <c r="H5200" t="s">
        <v>147</v>
      </c>
    </row>
    <row r="5201" spans="8:8" x14ac:dyDescent="0.25">
      <c r="H5201" t="s">
        <v>3873</v>
      </c>
    </row>
    <row r="5202" spans="8:8" x14ac:dyDescent="0.25">
      <c r="H5202" t="s">
        <v>31</v>
      </c>
    </row>
    <row r="5203" spans="8:8" x14ac:dyDescent="0.25">
      <c r="H5203" t="s">
        <v>148</v>
      </c>
    </row>
    <row r="5204" spans="8:8" x14ac:dyDescent="0.25">
      <c r="H5204" t="s">
        <v>3874</v>
      </c>
    </row>
    <row r="5205" spans="8:8" x14ac:dyDescent="0.25">
      <c r="H5205" t="s">
        <v>31</v>
      </c>
    </row>
    <row r="5207" spans="8:8" x14ac:dyDescent="0.25">
      <c r="H5207" t="s">
        <v>3187</v>
      </c>
    </row>
    <row r="5208" spans="8:8" x14ac:dyDescent="0.25">
      <c r="H5208" t="s">
        <v>145</v>
      </c>
    </row>
    <row r="5209" spans="8:8" x14ac:dyDescent="0.25">
      <c r="H5209" t="s">
        <v>3875</v>
      </c>
    </row>
    <row r="5210" spans="8:8" x14ac:dyDescent="0.25">
      <c r="H5210" t="s">
        <v>31</v>
      </c>
    </row>
    <row r="5211" spans="8:8" x14ac:dyDescent="0.25">
      <c r="H5211" t="s">
        <v>146</v>
      </c>
    </row>
    <row r="5212" spans="8:8" x14ac:dyDescent="0.25">
      <c r="H5212" t="s">
        <v>3876</v>
      </c>
    </row>
    <row r="5213" spans="8:8" x14ac:dyDescent="0.25">
      <c r="H5213" t="s">
        <v>31</v>
      </c>
    </row>
    <row r="5214" spans="8:8" x14ac:dyDescent="0.25">
      <c r="H5214" t="s">
        <v>147</v>
      </c>
    </row>
    <row r="5215" spans="8:8" x14ac:dyDescent="0.25">
      <c r="H5215" t="s">
        <v>3877</v>
      </c>
    </row>
    <row r="5216" spans="8:8" x14ac:dyDescent="0.25">
      <c r="H5216" t="s">
        <v>31</v>
      </c>
    </row>
    <row r="5217" spans="8:8" x14ac:dyDescent="0.25">
      <c r="H5217" t="s">
        <v>148</v>
      </c>
    </row>
    <row r="5218" spans="8:8" x14ac:dyDescent="0.25">
      <c r="H5218" t="s">
        <v>3878</v>
      </c>
    </row>
    <row r="5219" spans="8:8" x14ac:dyDescent="0.25">
      <c r="H5219" t="s">
        <v>31</v>
      </c>
    </row>
    <row r="5221" spans="8:8" x14ac:dyDescent="0.25">
      <c r="H5221" t="s">
        <v>3192</v>
      </c>
    </row>
    <row r="5222" spans="8:8" x14ac:dyDescent="0.25">
      <c r="H5222" t="s">
        <v>145</v>
      </c>
    </row>
    <row r="5223" spans="8:8" x14ac:dyDescent="0.25">
      <c r="H5223" t="s">
        <v>3879</v>
      </c>
    </row>
    <row r="5224" spans="8:8" x14ac:dyDescent="0.25">
      <c r="H5224" t="s">
        <v>31</v>
      </c>
    </row>
    <row r="5225" spans="8:8" x14ac:dyDescent="0.25">
      <c r="H5225" t="s">
        <v>146</v>
      </c>
    </row>
    <row r="5226" spans="8:8" x14ac:dyDescent="0.25">
      <c r="H5226" t="s">
        <v>3880</v>
      </c>
    </row>
    <row r="5227" spans="8:8" x14ac:dyDescent="0.25">
      <c r="H5227" t="s">
        <v>31</v>
      </c>
    </row>
    <row r="5228" spans="8:8" x14ac:dyDescent="0.25">
      <c r="H5228" t="s">
        <v>147</v>
      </c>
    </row>
    <row r="5229" spans="8:8" x14ac:dyDescent="0.25">
      <c r="H5229" t="s">
        <v>3881</v>
      </c>
    </row>
    <row r="5230" spans="8:8" x14ac:dyDescent="0.25">
      <c r="H5230" t="s">
        <v>31</v>
      </c>
    </row>
    <row r="5231" spans="8:8" x14ac:dyDescent="0.25">
      <c r="H5231" t="s">
        <v>148</v>
      </c>
    </row>
    <row r="5232" spans="8:8" x14ac:dyDescent="0.25">
      <c r="H5232" t="s">
        <v>3882</v>
      </c>
    </row>
    <row r="5233" spans="8:8" x14ac:dyDescent="0.25">
      <c r="H5233" t="s">
        <v>31</v>
      </c>
    </row>
    <row r="5235" spans="8:8" x14ac:dyDescent="0.25">
      <c r="H5235" t="s">
        <v>3197</v>
      </c>
    </row>
    <row r="5236" spans="8:8" x14ac:dyDescent="0.25">
      <c r="H5236" t="s">
        <v>145</v>
      </c>
    </row>
    <row r="5237" spans="8:8" x14ac:dyDescent="0.25">
      <c r="H5237" t="s">
        <v>3883</v>
      </c>
    </row>
    <row r="5238" spans="8:8" x14ac:dyDescent="0.25">
      <c r="H5238" t="s">
        <v>31</v>
      </c>
    </row>
    <row r="5239" spans="8:8" x14ac:dyDescent="0.25">
      <c r="H5239" t="s">
        <v>146</v>
      </c>
    </row>
    <row r="5240" spans="8:8" x14ac:dyDescent="0.25">
      <c r="H5240" t="s">
        <v>3884</v>
      </c>
    </row>
    <row r="5241" spans="8:8" x14ac:dyDescent="0.25">
      <c r="H5241" t="s">
        <v>31</v>
      </c>
    </row>
    <row r="5242" spans="8:8" x14ac:dyDescent="0.25">
      <c r="H5242" t="s">
        <v>147</v>
      </c>
    </row>
    <row r="5243" spans="8:8" x14ac:dyDescent="0.25">
      <c r="H5243" t="s">
        <v>3885</v>
      </c>
    </row>
    <row r="5244" spans="8:8" x14ac:dyDescent="0.25">
      <c r="H5244" t="s">
        <v>31</v>
      </c>
    </row>
    <row r="5245" spans="8:8" x14ac:dyDescent="0.25">
      <c r="H5245" t="s">
        <v>148</v>
      </c>
    </row>
    <row r="5246" spans="8:8" x14ac:dyDescent="0.25">
      <c r="H5246" t="s">
        <v>3886</v>
      </c>
    </row>
    <row r="5247" spans="8:8" x14ac:dyDescent="0.25">
      <c r="H5247" t="s">
        <v>31</v>
      </c>
    </row>
    <row r="5249" spans="8:8" x14ac:dyDescent="0.25">
      <c r="H5249" t="s">
        <v>3202</v>
      </c>
    </row>
    <row r="5250" spans="8:8" x14ac:dyDescent="0.25">
      <c r="H5250" t="s">
        <v>145</v>
      </c>
    </row>
    <row r="5251" spans="8:8" x14ac:dyDescent="0.25">
      <c r="H5251" t="s">
        <v>3887</v>
      </c>
    </row>
    <row r="5252" spans="8:8" x14ac:dyDescent="0.25">
      <c r="H5252" t="s">
        <v>31</v>
      </c>
    </row>
    <row r="5253" spans="8:8" x14ac:dyDescent="0.25">
      <c r="H5253" t="s">
        <v>146</v>
      </c>
    </row>
    <row r="5254" spans="8:8" x14ac:dyDescent="0.25">
      <c r="H5254" t="s">
        <v>3888</v>
      </c>
    </row>
    <row r="5255" spans="8:8" x14ac:dyDescent="0.25">
      <c r="H5255" t="s">
        <v>31</v>
      </c>
    </row>
    <row r="5256" spans="8:8" x14ac:dyDescent="0.25">
      <c r="H5256" t="s">
        <v>147</v>
      </c>
    </row>
    <row r="5257" spans="8:8" x14ac:dyDescent="0.25">
      <c r="H5257" t="s">
        <v>3889</v>
      </c>
    </row>
    <row r="5258" spans="8:8" x14ac:dyDescent="0.25">
      <c r="H5258" t="s">
        <v>31</v>
      </c>
    </row>
    <row r="5259" spans="8:8" x14ac:dyDescent="0.25">
      <c r="H5259" t="s">
        <v>148</v>
      </c>
    </row>
    <row r="5260" spans="8:8" x14ac:dyDescent="0.25">
      <c r="H5260" t="s">
        <v>3890</v>
      </c>
    </row>
    <row r="5261" spans="8:8" x14ac:dyDescent="0.25">
      <c r="H5261" t="s">
        <v>31</v>
      </c>
    </row>
    <row r="5263" spans="8:8" x14ac:dyDescent="0.25">
      <c r="H5263" t="s">
        <v>3207</v>
      </c>
    </row>
    <row r="5264" spans="8:8" x14ac:dyDescent="0.25">
      <c r="H5264" t="s">
        <v>145</v>
      </c>
    </row>
    <row r="5265" spans="8:8" x14ac:dyDescent="0.25">
      <c r="H5265" t="s">
        <v>3891</v>
      </c>
    </row>
    <row r="5266" spans="8:8" x14ac:dyDescent="0.25">
      <c r="H5266" t="s">
        <v>31</v>
      </c>
    </row>
    <row r="5267" spans="8:8" x14ac:dyDescent="0.25">
      <c r="H5267" t="s">
        <v>146</v>
      </c>
    </row>
    <row r="5268" spans="8:8" x14ac:dyDescent="0.25">
      <c r="H5268" t="s">
        <v>3892</v>
      </c>
    </row>
    <row r="5269" spans="8:8" x14ac:dyDescent="0.25">
      <c r="H5269" t="s">
        <v>31</v>
      </c>
    </row>
    <row r="5270" spans="8:8" x14ac:dyDescent="0.25">
      <c r="H5270" t="s">
        <v>147</v>
      </c>
    </row>
    <row r="5271" spans="8:8" x14ac:dyDescent="0.25">
      <c r="H5271" t="s">
        <v>3893</v>
      </c>
    </row>
    <row r="5272" spans="8:8" x14ac:dyDescent="0.25">
      <c r="H5272" t="s">
        <v>31</v>
      </c>
    </row>
    <row r="5273" spans="8:8" x14ac:dyDescent="0.25">
      <c r="H5273" t="s">
        <v>148</v>
      </c>
    </row>
    <row r="5274" spans="8:8" x14ac:dyDescent="0.25">
      <c r="H5274" t="s">
        <v>3894</v>
      </c>
    </row>
    <row r="5275" spans="8:8" x14ac:dyDescent="0.25">
      <c r="H5275" t="s">
        <v>31</v>
      </c>
    </row>
    <row r="5277" spans="8:8" x14ac:dyDescent="0.25">
      <c r="H5277" t="s">
        <v>3212</v>
      </c>
    </row>
    <row r="5278" spans="8:8" x14ac:dyDescent="0.25">
      <c r="H5278" t="s">
        <v>145</v>
      </c>
    </row>
    <row r="5279" spans="8:8" x14ac:dyDescent="0.25">
      <c r="H5279" t="s">
        <v>3895</v>
      </c>
    </row>
    <row r="5280" spans="8:8" x14ac:dyDescent="0.25">
      <c r="H5280" t="s">
        <v>31</v>
      </c>
    </row>
    <row r="5281" spans="8:8" x14ac:dyDescent="0.25">
      <c r="H5281" t="s">
        <v>146</v>
      </c>
    </row>
    <row r="5282" spans="8:8" x14ac:dyDescent="0.25">
      <c r="H5282" t="s">
        <v>3896</v>
      </c>
    </row>
    <row r="5283" spans="8:8" x14ac:dyDescent="0.25">
      <c r="H5283" t="s">
        <v>31</v>
      </c>
    </row>
    <row r="5284" spans="8:8" x14ac:dyDescent="0.25">
      <c r="H5284" t="s">
        <v>3897</v>
      </c>
    </row>
    <row r="5285" spans="8:8" x14ac:dyDescent="0.25">
      <c r="H5285" t="s">
        <v>147</v>
      </c>
    </row>
    <row r="5286" spans="8:8" x14ac:dyDescent="0.25">
      <c r="H5286" t="s">
        <v>3898</v>
      </c>
    </row>
    <row r="5287" spans="8:8" x14ac:dyDescent="0.25">
      <c r="H5287" t="s">
        <v>31</v>
      </c>
    </row>
    <row r="5289" spans="8:8" x14ac:dyDescent="0.25">
      <c r="H5289" t="s">
        <v>3217</v>
      </c>
    </row>
    <row r="5290" spans="8:8" x14ac:dyDescent="0.25">
      <c r="H5290" t="s">
        <v>145</v>
      </c>
    </row>
    <row r="5291" spans="8:8" x14ac:dyDescent="0.25">
      <c r="H5291" t="s">
        <v>3899</v>
      </c>
    </row>
    <row r="5292" spans="8:8" x14ac:dyDescent="0.25">
      <c r="H5292" t="s">
        <v>31</v>
      </c>
    </row>
    <row r="5294" spans="8:8" x14ac:dyDescent="0.25">
      <c r="H5294" t="s">
        <v>3222</v>
      </c>
    </row>
    <row r="5295" spans="8:8" x14ac:dyDescent="0.25">
      <c r="H5295" t="s">
        <v>145</v>
      </c>
    </row>
    <row r="5296" spans="8:8" x14ac:dyDescent="0.25">
      <c r="H5296" t="s">
        <v>3900</v>
      </c>
    </row>
    <row r="5297" spans="8:8" x14ac:dyDescent="0.25">
      <c r="H5297" t="s">
        <v>31</v>
      </c>
    </row>
    <row r="5299" spans="8:8" x14ac:dyDescent="0.25">
      <c r="H5299" t="s">
        <v>3227</v>
      </c>
    </row>
    <row r="5300" spans="8:8" x14ac:dyDescent="0.25">
      <c r="H5300" t="s">
        <v>145</v>
      </c>
    </row>
    <row r="5301" spans="8:8" x14ac:dyDescent="0.25">
      <c r="H5301" t="s">
        <v>3901</v>
      </c>
    </row>
    <row r="5302" spans="8:8" x14ac:dyDescent="0.25">
      <c r="H5302" t="s">
        <v>31</v>
      </c>
    </row>
    <row r="5304" spans="8:8" x14ac:dyDescent="0.25">
      <c r="H5304" t="s">
        <v>3232</v>
      </c>
    </row>
    <row r="5305" spans="8:8" x14ac:dyDescent="0.25">
      <c r="H5305" t="s">
        <v>145</v>
      </c>
    </row>
    <row r="5306" spans="8:8" x14ac:dyDescent="0.25">
      <c r="H5306" t="s">
        <v>3902</v>
      </c>
    </row>
    <row r="5307" spans="8:8" x14ac:dyDescent="0.25">
      <c r="H5307" t="s">
        <v>31</v>
      </c>
    </row>
    <row r="5309" spans="8:8" x14ac:dyDescent="0.25">
      <c r="H5309" t="s">
        <v>3237</v>
      </c>
    </row>
    <row r="5310" spans="8:8" x14ac:dyDescent="0.25">
      <c r="H5310" t="s">
        <v>145</v>
      </c>
    </row>
    <row r="5311" spans="8:8" x14ac:dyDescent="0.25">
      <c r="H5311" t="s">
        <v>3903</v>
      </c>
    </row>
    <row r="5312" spans="8:8" x14ac:dyDescent="0.25">
      <c r="H5312" t="s">
        <v>31</v>
      </c>
    </row>
    <row r="5314" spans="8:8" x14ac:dyDescent="0.25">
      <c r="H5314" t="s">
        <v>3242</v>
      </c>
    </row>
    <row r="5315" spans="8:8" x14ac:dyDescent="0.25">
      <c r="H5315" t="s">
        <v>145</v>
      </c>
    </row>
    <row r="5316" spans="8:8" x14ac:dyDescent="0.25">
      <c r="H5316" t="s">
        <v>3904</v>
      </c>
    </row>
    <row r="5317" spans="8:8" x14ac:dyDescent="0.25">
      <c r="H5317" t="s">
        <v>31</v>
      </c>
    </row>
    <row r="5319" spans="8:8" x14ac:dyDescent="0.25">
      <c r="H5319" t="s">
        <v>3247</v>
      </c>
    </row>
    <row r="5320" spans="8:8" x14ac:dyDescent="0.25">
      <c r="H5320" t="s">
        <v>145</v>
      </c>
    </row>
    <row r="5321" spans="8:8" x14ac:dyDescent="0.25">
      <c r="H5321" t="s">
        <v>3905</v>
      </c>
    </row>
    <row r="5322" spans="8:8" x14ac:dyDescent="0.25">
      <c r="H5322" t="s">
        <v>31</v>
      </c>
    </row>
    <row r="5324" spans="8:8" x14ac:dyDescent="0.25">
      <c r="H5324" t="s">
        <v>3252</v>
      </c>
    </row>
    <row r="5325" spans="8:8" x14ac:dyDescent="0.25">
      <c r="H5325" t="s">
        <v>145</v>
      </c>
    </row>
    <row r="5326" spans="8:8" x14ac:dyDescent="0.25">
      <c r="H5326" t="s">
        <v>3906</v>
      </c>
    </row>
    <row r="5327" spans="8:8" x14ac:dyDescent="0.25">
      <c r="H5327" t="s">
        <v>31</v>
      </c>
    </row>
    <row r="5329" spans="8:8" x14ac:dyDescent="0.25">
      <c r="H5329" t="s">
        <v>3257</v>
      </c>
    </row>
    <row r="5330" spans="8:8" x14ac:dyDescent="0.25">
      <c r="H5330" t="s">
        <v>145</v>
      </c>
    </row>
    <row r="5331" spans="8:8" x14ac:dyDescent="0.25">
      <c r="H5331" t="s">
        <v>3907</v>
      </c>
    </row>
    <row r="5332" spans="8:8" x14ac:dyDescent="0.25">
      <c r="H5332" t="s">
        <v>31</v>
      </c>
    </row>
    <row r="5334" spans="8:8" x14ac:dyDescent="0.25">
      <c r="H5334" t="s">
        <v>3262</v>
      </c>
    </row>
    <row r="5335" spans="8:8" x14ac:dyDescent="0.25">
      <c r="H5335" t="s">
        <v>145</v>
      </c>
    </row>
    <row r="5336" spans="8:8" x14ac:dyDescent="0.25">
      <c r="H5336" t="s">
        <v>3908</v>
      </c>
    </row>
    <row r="5337" spans="8:8" x14ac:dyDescent="0.25">
      <c r="H5337" t="s">
        <v>31</v>
      </c>
    </row>
    <row r="5339" spans="8:8" x14ac:dyDescent="0.25">
      <c r="H5339" t="s">
        <v>3267</v>
      </c>
    </row>
    <row r="5340" spans="8:8" x14ac:dyDescent="0.25">
      <c r="H5340" t="s">
        <v>145</v>
      </c>
    </row>
    <row r="5341" spans="8:8" x14ac:dyDescent="0.25">
      <c r="H5341" t="s">
        <v>3909</v>
      </c>
    </row>
    <row r="5342" spans="8:8" x14ac:dyDescent="0.25">
      <c r="H5342" t="s">
        <v>31</v>
      </c>
    </row>
    <row r="5344" spans="8:8" x14ac:dyDescent="0.25">
      <c r="H5344" t="s">
        <v>3272</v>
      </c>
    </row>
    <row r="5345" spans="8:8" x14ac:dyDescent="0.25">
      <c r="H5345" t="s">
        <v>145</v>
      </c>
    </row>
    <row r="5346" spans="8:8" x14ac:dyDescent="0.25">
      <c r="H5346" t="s">
        <v>3910</v>
      </c>
    </row>
    <row r="5347" spans="8:8" x14ac:dyDescent="0.25">
      <c r="H5347" t="s">
        <v>31</v>
      </c>
    </row>
    <row r="5348" spans="8:8" x14ac:dyDescent="0.25">
      <c r="H5348" t="s">
        <v>146</v>
      </c>
    </row>
    <row r="5349" spans="8:8" x14ac:dyDescent="0.25">
      <c r="H5349" t="s">
        <v>3911</v>
      </c>
    </row>
    <row r="5350" spans="8:8" x14ac:dyDescent="0.25">
      <c r="H5350" t="s">
        <v>31</v>
      </c>
    </row>
    <row r="5351" spans="8:8" x14ac:dyDescent="0.25">
      <c r="H5351" t="s">
        <v>147</v>
      </c>
    </row>
    <row r="5352" spans="8:8" x14ac:dyDescent="0.25">
      <c r="H5352" t="s">
        <v>3912</v>
      </c>
    </row>
    <row r="5353" spans="8:8" x14ac:dyDescent="0.25">
      <c r="H5353" t="s">
        <v>31</v>
      </c>
    </row>
    <row r="5354" spans="8:8" x14ac:dyDescent="0.25">
      <c r="H5354" t="s">
        <v>148</v>
      </c>
    </row>
    <row r="5355" spans="8:8" x14ac:dyDescent="0.25">
      <c r="H5355" t="s">
        <v>3913</v>
      </c>
    </row>
    <row r="5356" spans="8:8" x14ac:dyDescent="0.25">
      <c r="H5356" t="s">
        <v>31</v>
      </c>
    </row>
    <row r="5358" spans="8:8" x14ac:dyDescent="0.25">
      <c r="H5358" t="s">
        <v>3277</v>
      </c>
    </row>
    <row r="5359" spans="8:8" x14ac:dyDescent="0.25">
      <c r="H5359" t="s">
        <v>145</v>
      </c>
    </row>
    <row r="5360" spans="8:8" x14ac:dyDescent="0.25">
      <c r="H5360" t="s">
        <v>3914</v>
      </c>
    </row>
    <row r="5361" spans="8:8" x14ac:dyDescent="0.25">
      <c r="H5361" t="s">
        <v>31</v>
      </c>
    </row>
    <row r="5363" spans="8:8" x14ac:dyDescent="0.25">
      <c r="H5363" t="s">
        <v>3282</v>
      </c>
    </row>
    <row r="5364" spans="8:8" x14ac:dyDescent="0.25">
      <c r="H5364" t="s">
        <v>145</v>
      </c>
    </row>
    <row r="5365" spans="8:8" x14ac:dyDescent="0.25">
      <c r="H5365" t="s">
        <v>3915</v>
      </c>
    </row>
    <row r="5366" spans="8:8" x14ac:dyDescent="0.25">
      <c r="H5366" t="s">
        <v>31</v>
      </c>
    </row>
    <row r="5368" spans="8:8" x14ac:dyDescent="0.25">
      <c r="H5368" t="s">
        <v>3287</v>
      </c>
    </row>
    <row r="5369" spans="8:8" x14ac:dyDescent="0.25">
      <c r="H5369" t="s">
        <v>145</v>
      </c>
    </row>
    <row r="5370" spans="8:8" x14ac:dyDescent="0.25">
      <c r="H5370" t="s">
        <v>3916</v>
      </c>
    </row>
    <row r="5371" spans="8:8" x14ac:dyDescent="0.25">
      <c r="H5371" t="s">
        <v>31</v>
      </c>
    </row>
    <row r="5373" spans="8:8" x14ac:dyDescent="0.25">
      <c r="H5373" t="s">
        <v>3292</v>
      </c>
    </row>
    <row r="5374" spans="8:8" x14ac:dyDescent="0.25">
      <c r="H5374" t="s">
        <v>145</v>
      </c>
    </row>
    <row r="5375" spans="8:8" x14ac:dyDescent="0.25">
      <c r="H5375" t="s">
        <v>3917</v>
      </c>
    </row>
    <row r="5376" spans="8:8" x14ac:dyDescent="0.25">
      <c r="H5376" t="s">
        <v>31</v>
      </c>
    </row>
    <row r="5378" spans="8:8" x14ac:dyDescent="0.25">
      <c r="H5378" t="s">
        <v>3297</v>
      </c>
    </row>
    <row r="5379" spans="8:8" x14ac:dyDescent="0.25">
      <c r="H5379" t="s">
        <v>145</v>
      </c>
    </row>
    <row r="5380" spans="8:8" x14ac:dyDescent="0.25">
      <c r="H5380" t="s">
        <v>3918</v>
      </c>
    </row>
    <row r="5381" spans="8:8" x14ac:dyDescent="0.25">
      <c r="H5381" t="s">
        <v>31</v>
      </c>
    </row>
    <row r="5383" spans="8:8" x14ac:dyDescent="0.25">
      <c r="H5383" t="s">
        <v>3299</v>
      </c>
    </row>
    <row r="5384" spans="8:8" x14ac:dyDescent="0.25">
      <c r="H5384" t="s">
        <v>145</v>
      </c>
    </row>
    <row r="5385" spans="8:8" x14ac:dyDescent="0.25">
      <c r="H5385" t="s">
        <v>3919</v>
      </c>
    </row>
    <row r="5386" spans="8:8" x14ac:dyDescent="0.25">
      <c r="H5386" t="s">
        <v>31</v>
      </c>
    </row>
    <row r="5388" spans="8:8" x14ac:dyDescent="0.25">
      <c r="H5388" t="s">
        <v>3301</v>
      </c>
    </row>
    <row r="5389" spans="8:8" x14ac:dyDescent="0.25">
      <c r="H5389" t="s">
        <v>145</v>
      </c>
    </row>
    <row r="5390" spans="8:8" x14ac:dyDescent="0.25">
      <c r="H5390" t="s">
        <v>3920</v>
      </c>
    </row>
    <row r="5391" spans="8:8" x14ac:dyDescent="0.25">
      <c r="H5391" t="s">
        <v>31</v>
      </c>
    </row>
    <row r="5393" spans="8:8" x14ac:dyDescent="0.25">
      <c r="H5393" t="s">
        <v>3303</v>
      </c>
    </row>
    <row r="5394" spans="8:8" x14ac:dyDescent="0.25">
      <c r="H5394" t="s">
        <v>145</v>
      </c>
    </row>
    <row r="5395" spans="8:8" x14ac:dyDescent="0.25">
      <c r="H5395" t="s">
        <v>3921</v>
      </c>
    </row>
    <row r="5396" spans="8:8" x14ac:dyDescent="0.25">
      <c r="H5396" t="s">
        <v>31</v>
      </c>
    </row>
    <row r="5398" spans="8:8" x14ac:dyDescent="0.25">
      <c r="H5398" t="s">
        <v>3305</v>
      </c>
    </row>
    <row r="5399" spans="8:8" x14ac:dyDescent="0.25">
      <c r="H5399" t="s">
        <v>145</v>
      </c>
    </row>
    <row r="5400" spans="8:8" x14ac:dyDescent="0.25">
      <c r="H5400" t="s">
        <v>3922</v>
      </c>
    </row>
    <row r="5401" spans="8:8" x14ac:dyDescent="0.25">
      <c r="H5401" t="s">
        <v>31</v>
      </c>
    </row>
    <row r="5403" spans="8:8" x14ac:dyDescent="0.25">
      <c r="H5403" t="s">
        <v>3307</v>
      </c>
    </row>
    <row r="5404" spans="8:8" x14ac:dyDescent="0.25">
      <c r="H5404" t="s">
        <v>145</v>
      </c>
    </row>
    <row r="5405" spans="8:8" x14ac:dyDescent="0.25">
      <c r="H5405" t="s">
        <v>3923</v>
      </c>
    </row>
    <row r="5406" spans="8:8" x14ac:dyDescent="0.25">
      <c r="H5406" t="s">
        <v>31</v>
      </c>
    </row>
    <row r="5408" spans="8:8" x14ac:dyDescent="0.25">
      <c r="H5408" t="s">
        <v>3309</v>
      </c>
    </row>
    <row r="5409" spans="8:8" x14ac:dyDescent="0.25">
      <c r="H5409" t="s">
        <v>145</v>
      </c>
    </row>
    <row r="5410" spans="8:8" x14ac:dyDescent="0.25">
      <c r="H5410" t="s">
        <v>3924</v>
      </c>
    </row>
    <row r="5411" spans="8:8" x14ac:dyDescent="0.25">
      <c r="H5411" t="s">
        <v>31</v>
      </c>
    </row>
    <row r="5413" spans="8:8" x14ac:dyDescent="0.25">
      <c r="H5413" t="s">
        <v>3311</v>
      </c>
    </row>
    <row r="5414" spans="8:8" x14ac:dyDescent="0.25">
      <c r="H5414" t="s">
        <v>145</v>
      </c>
    </row>
    <row r="5415" spans="8:8" x14ac:dyDescent="0.25">
      <c r="H5415" t="s">
        <v>3925</v>
      </c>
    </row>
    <row r="5416" spans="8:8" x14ac:dyDescent="0.25">
      <c r="H5416" t="s">
        <v>31</v>
      </c>
    </row>
    <row r="5418" spans="8:8" x14ac:dyDescent="0.25">
      <c r="H5418" t="s">
        <v>3313</v>
      </c>
    </row>
    <row r="5419" spans="8:8" x14ac:dyDescent="0.25">
      <c r="H5419" t="s">
        <v>145</v>
      </c>
    </row>
    <row r="5420" spans="8:8" x14ac:dyDescent="0.25">
      <c r="H5420" t="s">
        <v>3926</v>
      </c>
    </row>
    <row r="5421" spans="8:8" x14ac:dyDescent="0.25">
      <c r="H5421" t="s">
        <v>31</v>
      </c>
    </row>
    <row r="5423" spans="8:8" x14ac:dyDescent="0.25">
      <c r="H5423" t="s">
        <v>3315</v>
      </c>
    </row>
    <row r="5424" spans="8:8" x14ac:dyDescent="0.25">
      <c r="H5424" t="s">
        <v>145</v>
      </c>
    </row>
    <row r="5425" spans="8:8" x14ac:dyDescent="0.25">
      <c r="H5425" t="s">
        <v>3927</v>
      </c>
    </row>
    <row r="5426" spans="8:8" x14ac:dyDescent="0.25">
      <c r="H5426" t="s">
        <v>31</v>
      </c>
    </row>
    <row r="5428" spans="8:8" x14ac:dyDescent="0.25">
      <c r="H5428" t="s">
        <v>3317</v>
      </c>
    </row>
    <row r="5429" spans="8:8" x14ac:dyDescent="0.25">
      <c r="H5429" t="s">
        <v>145</v>
      </c>
    </row>
    <row r="5430" spans="8:8" x14ac:dyDescent="0.25">
      <c r="H5430" t="s">
        <v>3928</v>
      </c>
    </row>
    <row r="5431" spans="8:8" x14ac:dyDescent="0.25">
      <c r="H5431" t="s">
        <v>31</v>
      </c>
    </row>
    <row r="5433" spans="8:8" x14ac:dyDescent="0.25">
      <c r="H5433" t="s">
        <v>3319</v>
      </c>
    </row>
    <row r="5434" spans="8:8" x14ac:dyDescent="0.25">
      <c r="H5434" t="s">
        <v>145</v>
      </c>
    </row>
    <row r="5435" spans="8:8" x14ac:dyDescent="0.25">
      <c r="H5435" t="s">
        <v>3929</v>
      </c>
    </row>
    <row r="5436" spans="8:8" x14ac:dyDescent="0.25">
      <c r="H5436" t="s">
        <v>31</v>
      </c>
    </row>
    <row r="5438" spans="8:8" x14ac:dyDescent="0.25">
      <c r="H5438" t="s">
        <v>3324</v>
      </c>
    </row>
    <row r="5439" spans="8:8" x14ac:dyDescent="0.25">
      <c r="H5439" t="s">
        <v>145</v>
      </c>
    </row>
    <row r="5440" spans="8:8" x14ac:dyDescent="0.25">
      <c r="H5440" t="s">
        <v>3930</v>
      </c>
    </row>
    <row r="5441" spans="8:8" x14ac:dyDescent="0.25">
      <c r="H5441" t="s">
        <v>31</v>
      </c>
    </row>
    <row r="5443" spans="8:8" x14ac:dyDescent="0.25">
      <c r="H5443" t="s">
        <v>3326</v>
      </c>
    </row>
    <row r="5444" spans="8:8" x14ac:dyDescent="0.25">
      <c r="H5444" t="s">
        <v>145</v>
      </c>
    </row>
    <row r="5445" spans="8:8" x14ac:dyDescent="0.25">
      <c r="H5445" t="s">
        <v>3931</v>
      </c>
    </row>
    <row r="5446" spans="8:8" x14ac:dyDescent="0.25">
      <c r="H5446" t="s">
        <v>31</v>
      </c>
    </row>
    <row r="5448" spans="8:8" x14ac:dyDescent="0.25">
      <c r="H5448" t="s">
        <v>3328</v>
      </c>
    </row>
    <row r="5449" spans="8:8" x14ac:dyDescent="0.25">
      <c r="H5449" t="s">
        <v>145</v>
      </c>
    </row>
    <row r="5450" spans="8:8" x14ac:dyDescent="0.25">
      <c r="H5450" t="s">
        <v>3932</v>
      </c>
    </row>
    <row r="5451" spans="8:8" x14ac:dyDescent="0.25">
      <c r="H5451" t="s">
        <v>31</v>
      </c>
    </row>
    <row r="5453" spans="8:8" x14ac:dyDescent="0.25">
      <c r="H5453" t="s">
        <v>3330</v>
      </c>
    </row>
    <row r="5454" spans="8:8" x14ac:dyDescent="0.25">
      <c r="H5454" t="s">
        <v>145</v>
      </c>
    </row>
    <row r="5455" spans="8:8" x14ac:dyDescent="0.25">
      <c r="H5455" t="s">
        <v>3933</v>
      </c>
    </row>
    <row r="5456" spans="8:8" x14ac:dyDescent="0.25">
      <c r="H5456" t="s">
        <v>31</v>
      </c>
    </row>
    <row r="5458" spans="8:8" x14ac:dyDescent="0.25">
      <c r="H5458" t="s">
        <v>3332</v>
      </c>
    </row>
    <row r="5459" spans="8:8" x14ac:dyDescent="0.25">
      <c r="H5459" t="s">
        <v>145</v>
      </c>
    </row>
    <row r="5460" spans="8:8" x14ac:dyDescent="0.25">
      <c r="H5460" t="s">
        <v>3934</v>
      </c>
    </row>
    <row r="5461" spans="8:8" x14ac:dyDescent="0.25">
      <c r="H5461" t="s">
        <v>31</v>
      </c>
    </row>
    <row r="5463" spans="8:8" x14ac:dyDescent="0.25">
      <c r="H5463" t="s">
        <v>3334</v>
      </c>
    </row>
    <row r="5464" spans="8:8" x14ac:dyDescent="0.25">
      <c r="H5464" t="s">
        <v>145</v>
      </c>
    </row>
    <row r="5465" spans="8:8" x14ac:dyDescent="0.25">
      <c r="H5465" t="s">
        <v>3935</v>
      </c>
    </row>
    <row r="5466" spans="8:8" x14ac:dyDescent="0.25">
      <c r="H5466" t="s">
        <v>31</v>
      </c>
    </row>
    <row r="5467" spans="8:8" x14ac:dyDescent="0.25">
      <c r="H5467" t="s">
        <v>147</v>
      </c>
    </row>
    <row r="5468" spans="8:8" x14ac:dyDescent="0.25">
      <c r="H5468" t="s">
        <v>3936</v>
      </c>
    </row>
    <row r="5469" spans="8:8" x14ac:dyDescent="0.25">
      <c r="H5469" t="s">
        <v>31</v>
      </c>
    </row>
    <row r="5470" spans="8:8" x14ac:dyDescent="0.25">
      <c r="H5470" t="s">
        <v>148</v>
      </c>
    </row>
    <row r="5471" spans="8:8" x14ac:dyDescent="0.25">
      <c r="H5471" t="s">
        <v>3937</v>
      </c>
    </row>
    <row r="5472" spans="8:8" x14ac:dyDescent="0.25">
      <c r="H5472" t="s">
        <v>31</v>
      </c>
    </row>
    <row r="5474" spans="8:8" x14ac:dyDescent="0.25">
      <c r="H5474" t="s">
        <v>3336</v>
      </c>
    </row>
    <row r="5475" spans="8:8" x14ac:dyDescent="0.25">
      <c r="H5475" t="s">
        <v>145</v>
      </c>
    </row>
    <row r="5476" spans="8:8" x14ac:dyDescent="0.25">
      <c r="H5476" t="s">
        <v>3938</v>
      </c>
    </row>
    <row r="5477" spans="8:8" x14ac:dyDescent="0.25">
      <c r="H5477" t="s">
        <v>31</v>
      </c>
    </row>
    <row r="5478" spans="8:8" x14ac:dyDescent="0.25">
      <c r="H5478" t="s">
        <v>146</v>
      </c>
    </row>
    <row r="5479" spans="8:8" x14ac:dyDescent="0.25">
      <c r="H5479" t="s">
        <v>3939</v>
      </c>
    </row>
    <row r="5480" spans="8:8" x14ac:dyDescent="0.25">
      <c r="H5480" t="s">
        <v>31</v>
      </c>
    </row>
    <row r="5481" spans="8:8" x14ac:dyDescent="0.25">
      <c r="H5481" t="s">
        <v>147</v>
      </c>
    </row>
    <row r="5482" spans="8:8" x14ac:dyDescent="0.25">
      <c r="H5482" t="s">
        <v>3940</v>
      </c>
    </row>
    <row r="5483" spans="8:8" x14ac:dyDescent="0.25">
      <c r="H5483" t="s">
        <v>31</v>
      </c>
    </row>
    <row r="5484" spans="8:8" x14ac:dyDescent="0.25">
      <c r="H5484" t="s">
        <v>148</v>
      </c>
    </row>
    <row r="5485" spans="8:8" x14ac:dyDescent="0.25">
      <c r="H5485" t="s">
        <v>3941</v>
      </c>
    </row>
    <row r="5486" spans="8:8" x14ac:dyDescent="0.25">
      <c r="H5486" t="s">
        <v>31</v>
      </c>
    </row>
    <row r="5488" spans="8:8" x14ac:dyDescent="0.25">
      <c r="H5488" t="s">
        <v>3338</v>
      </c>
    </row>
    <row r="5489" spans="8:8" x14ac:dyDescent="0.25">
      <c r="H5489" t="s">
        <v>145</v>
      </c>
    </row>
    <row r="5490" spans="8:8" x14ac:dyDescent="0.25">
      <c r="H5490" t="s">
        <v>3942</v>
      </c>
    </row>
    <row r="5491" spans="8:8" x14ac:dyDescent="0.25">
      <c r="H5491" t="s">
        <v>31</v>
      </c>
    </row>
    <row r="5493" spans="8:8" x14ac:dyDescent="0.25">
      <c r="H5493" t="s">
        <v>3340</v>
      </c>
    </row>
    <row r="5494" spans="8:8" x14ac:dyDescent="0.25">
      <c r="H5494" t="s">
        <v>145</v>
      </c>
    </row>
    <row r="5495" spans="8:8" x14ac:dyDescent="0.25">
      <c r="H5495" t="s">
        <v>3943</v>
      </c>
    </row>
    <row r="5496" spans="8:8" x14ac:dyDescent="0.25">
      <c r="H5496" t="s">
        <v>31</v>
      </c>
    </row>
    <row r="5498" spans="8:8" x14ac:dyDescent="0.25">
      <c r="H5498" t="s">
        <v>3342</v>
      </c>
    </row>
    <row r="5499" spans="8:8" x14ac:dyDescent="0.25">
      <c r="H5499" t="s">
        <v>145</v>
      </c>
    </row>
    <row r="5500" spans="8:8" x14ac:dyDescent="0.25">
      <c r="H5500" t="s">
        <v>3944</v>
      </c>
    </row>
    <row r="5501" spans="8:8" x14ac:dyDescent="0.25">
      <c r="H5501" t="s">
        <v>31</v>
      </c>
    </row>
    <row r="5503" spans="8:8" x14ac:dyDescent="0.25">
      <c r="H5503" t="s">
        <v>3344</v>
      </c>
    </row>
    <row r="5504" spans="8:8" x14ac:dyDescent="0.25">
      <c r="H5504" t="s">
        <v>145</v>
      </c>
    </row>
    <row r="5505" spans="8:8" x14ac:dyDescent="0.25">
      <c r="H5505" t="s">
        <v>3945</v>
      </c>
    </row>
    <row r="5506" spans="8:8" x14ac:dyDescent="0.25">
      <c r="H5506" t="s">
        <v>31</v>
      </c>
    </row>
    <row r="5508" spans="8:8" x14ac:dyDescent="0.25">
      <c r="H5508" t="s">
        <v>3346</v>
      </c>
    </row>
    <row r="5509" spans="8:8" x14ac:dyDescent="0.25">
      <c r="H5509" t="s">
        <v>145</v>
      </c>
    </row>
    <row r="5510" spans="8:8" x14ac:dyDescent="0.25">
      <c r="H5510" t="s">
        <v>3946</v>
      </c>
    </row>
    <row r="5511" spans="8:8" x14ac:dyDescent="0.25">
      <c r="H5511" t="s">
        <v>31</v>
      </c>
    </row>
    <row r="5513" spans="8:8" x14ac:dyDescent="0.25">
      <c r="H5513" t="s">
        <v>3348</v>
      </c>
    </row>
    <row r="5514" spans="8:8" x14ac:dyDescent="0.25">
      <c r="H5514" t="s">
        <v>145</v>
      </c>
    </row>
    <row r="5515" spans="8:8" x14ac:dyDescent="0.25">
      <c r="H5515" t="s">
        <v>3947</v>
      </c>
    </row>
    <row r="5516" spans="8:8" x14ac:dyDescent="0.25">
      <c r="H5516" t="s">
        <v>31</v>
      </c>
    </row>
    <row r="5518" spans="8:8" x14ac:dyDescent="0.25">
      <c r="H5518" t="s">
        <v>3350</v>
      </c>
    </row>
    <row r="5519" spans="8:8" x14ac:dyDescent="0.25">
      <c r="H5519" t="s">
        <v>145</v>
      </c>
    </row>
    <row r="5520" spans="8:8" x14ac:dyDescent="0.25">
      <c r="H5520" t="s">
        <v>3948</v>
      </c>
    </row>
    <row r="5521" spans="8:8" x14ac:dyDescent="0.25">
      <c r="H5521" t="s">
        <v>31</v>
      </c>
    </row>
    <row r="5522" spans="8:8" x14ac:dyDescent="0.25">
      <c r="H5522" t="s">
        <v>146</v>
      </c>
    </row>
    <row r="5523" spans="8:8" x14ac:dyDescent="0.25">
      <c r="H5523" t="s">
        <v>3949</v>
      </c>
    </row>
    <row r="5524" spans="8:8" x14ac:dyDescent="0.25">
      <c r="H5524" t="s">
        <v>31</v>
      </c>
    </row>
    <row r="5525" spans="8:8" x14ac:dyDescent="0.25">
      <c r="H5525" t="s">
        <v>147</v>
      </c>
    </row>
    <row r="5526" spans="8:8" x14ac:dyDescent="0.25">
      <c r="H5526" t="s">
        <v>3950</v>
      </c>
    </row>
    <row r="5527" spans="8:8" x14ac:dyDescent="0.25">
      <c r="H5527" t="s">
        <v>31</v>
      </c>
    </row>
    <row r="5528" spans="8:8" x14ac:dyDescent="0.25">
      <c r="H5528" t="s">
        <v>148</v>
      </c>
    </row>
    <row r="5529" spans="8:8" x14ac:dyDescent="0.25">
      <c r="H5529" t="s">
        <v>3951</v>
      </c>
    </row>
    <row r="5530" spans="8:8" x14ac:dyDescent="0.25">
      <c r="H5530" t="s">
        <v>31</v>
      </c>
    </row>
    <row r="5532" spans="8:8" x14ac:dyDescent="0.25">
      <c r="H5532" t="s">
        <v>3352</v>
      </c>
    </row>
    <row r="5533" spans="8:8" x14ac:dyDescent="0.25">
      <c r="H5533" t="s">
        <v>145</v>
      </c>
    </row>
    <row r="5534" spans="8:8" x14ac:dyDescent="0.25">
      <c r="H5534" t="s">
        <v>3952</v>
      </c>
    </row>
    <row r="5535" spans="8:8" x14ac:dyDescent="0.25">
      <c r="H5535" t="s">
        <v>31</v>
      </c>
    </row>
    <row r="5536" spans="8:8" x14ac:dyDescent="0.25">
      <c r="H5536" t="s">
        <v>146</v>
      </c>
    </row>
    <row r="5537" spans="8:8" x14ac:dyDescent="0.25">
      <c r="H5537" t="s">
        <v>3953</v>
      </c>
    </row>
    <row r="5538" spans="8:8" x14ac:dyDescent="0.25">
      <c r="H5538" t="s">
        <v>31</v>
      </c>
    </row>
    <row r="5539" spans="8:8" x14ac:dyDescent="0.25">
      <c r="H5539" t="s">
        <v>147</v>
      </c>
    </row>
    <row r="5540" spans="8:8" x14ac:dyDescent="0.25">
      <c r="H5540" t="s">
        <v>3954</v>
      </c>
    </row>
    <row r="5541" spans="8:8" x14ac:dyDescent="0.25">
      <c r="H5541" t="s">
        <v>31</v>
      </c>
    </row>
    <row r="5542" spans="8:8" x14ac:dyDescent="0.25">
      <c r="H5542" t="s">
        <v>148</v>
      </c>
    </row>
    <row r="5543" spans="8:8" x14ac:dyDescent="0.25">
      <c r="H5543" t="s">
        <v>3955</v>
      </c>
    </row>
    <row r="5544" spans="8:8" x14ac:dyDescent="0.25">
      <c r="H5544" t="s">
        <v>31</v>
      </c>
    </row>
    <row r="5546" spans="8:8" x14ac:dyDescent="0.25">
      <c r="H5546" t="s">
        <v>3354</v>
      </c>
    </row>
    <row r="5547" spans="8:8" x14ac:dyDescent="0.25">
      <c r="H5547" t="s">
        <v>145</v>
      </c>
    </row>
    <row r="5548" spans="8:8" x14ac:dyDescent="0.25">
      <c r="H5548" t="s">
        <v>3956</v>
      </c>
    </row>
    <row r="5549" spans="8:8" x14ac:dyDescent="0.25">
      <c r="H5549" t="s">
        <v>31</v>
      </c>
    </row>
    <row r="5550" spans="8:8" x14ac:dyDescent="0.25">
      <c r="H5550" t="s">
        <v>146</v>
      </c>
    </row>
    <row r="5551" spans="8:8" x14ac:dyDescent="0.25">
      <c r="H5551" t="s">
        <v>3957</v>
      </c>
    </row>
    <row r="5552" spans="8:8" x14ac:dyDescent="0.25">
      <c r="H5552" t="s">
        <v>31</v>
      </c>
    </row>
    <row r="5553" spans="8:8" x14ac:dyDescent="0.25">
      <c r="H5553" t="s">
        <v>147</v>
      </c>
    </row>
    <row r="5554" spans="8:8" x14ac:dyDescent="0.25">
      <c r="H5554" t="s">
        <v>3958</v>
      </c>
    </row>
    <row r="5555" spans="8:8" x14ac:dyDescent="0.25">
      <c r="H5555" t="s">
        <v>31</v>
      </c>
    </row>
    <row r="5556" spans="8:8" x14ac:dyDescent="0.25">
      <c r="H5556" t="s">
        <v>148</v>
      </c>
    </row>
    <row r="5557" spans="8:8" x14ac:dyDescent="0.25">
      <c r="H5557" t="s">
        <v>3959</v>
      </c>
    </row>
    <row r="5558" spans="8:8" x14ac:dyDescent="0.25">
      <c r="H5558" t="s">
        <v>31</v>
      </c>
    </row>
    <row r="5560" spans="8:8" x14ac:dyDescent="0.25">
      <c r="H5560" t="s">
        <v>3356</v>
      </c>
    </row>
    <row r="5561" spans="8:8" x14ac:dyDescent="0.25">
      <c r="H5561" t="s">
        <v>145</v>
      </c>
    </row>
    <row r="5562" spans="8:8" x14ac:dyDescent="0.25">
      <c r="H5562" t="s">
        <v>3960</v>
      </c>
    </row>
    <row r="5563" spans="8:8" x14ac:dyDescent="0.25">
      <c r="H5563" t="s">
        <v>31</v>
      </c>
    </row>
    <row r="5564" spans="8:8" x14ac:dyDescent="0.25">
      <c r="H5564" t="s">
        <v>146</v>
      </c>
    </row>
    <row r="5565" spans="8:8" x14ac:dyDescent="0.25">
      <c r="H5565" t="s">
        <v>3961</v>
      </c>
    </row>
    <row r="5566" spans="8:8" x14ac:dyDescent="0.25">
      <c r="H5566" t="s">
        <v>31</v>
      </c>
    </row>
    <row r="5567" spans="8:8" x14ac:dyDescent="0.25">
      <c r="H5567" t="s">
        <v>147</v>
      </c>
    </row>
    <row r="5568" spans="8:8" x14ac:dyDescent="0.25">
      <c r="H5568" t="s">
        <v>3962</v>
      </c>
    </row>
    <row r="5569" spans="8:8" x14ac:dyDescent="0.25">
      <c r="H5569" t="s">
        <v>31</v>
      </c>
    </row>
    <row r="5570" spans="8:8" x14ac:dyDescent="0.25">
      <c r="H5570" t="s">
        <v>148</v>
      </c>
    </row>
    <row r="5571" spans="8:8" x14ac:dyDescent="0.25">
      <c r="H5571" t="s">
        <v>3963</v>
      </c>
    </row>
    <row r="5572" spans="8:8" x14ac:dyDescent="0.25">
      <c r="H5572" t="s">
        <v>31</v>
      </c>
    </row>
    <row r="5574" spans="8:8" x14ac:dyDescent="0.25">
      <c r="H5574" t="s">
        <v>3358</v>
      </c>
    </row>
    <row r="5575" spans="8:8" x14ac:dyDescent="0.25">
      <c r="H5575" t="s">
        <v>3964</v>
      </c>
    </row>
    <row r="5576" spans="8:8" x14ac:dyDescent="0.25">
      <c r="H5576" t="s">
        <v>145</v>
      </c>
    </row>
    <row r="5577" spans="8:8" x14ac:dyDescent="0.25">
      <c r="H5577" t="s">
        <v>3965</v>
      </c>
    </row>
    <row r="5578" spans="8:8" x14ac:dyDescent="0.25">
      <c r="H5578" t="s">
        <v>31</v>
      </c>
    </row>
    <row r="5580" spans="8:8" x14ac:dyDescent="0.25">
      <c r="H5580" t="s">
        <v>3360</v>
      </c>
    </row>
    <row r="5581" spans="8:8" x14ac:dyDescent="0.25">
      <c r="H5581" t="s">
        <v>145</v>
      </c>
    </row>
    <row r="5582" spans="8:8" x14ac:dyDescent="0.25">
      <c r="H5582" t="s">
        <v>3966</v>
      </c>
    </row>
    <row r="5583" spans="8:8" x14ac:dyDescent="0.25">
      <c r="H5583" t="s">
        <v>31</v>
      </c>
    </row>
    <row r="5585" spans="8:8" x14ac:dyDescent="0.25">
      <c r="H5585" t="s">
        <v>3362</v>
      </c>
    </row>
    <row r="5586" spans="8:8" x14ac:dyDescent="0.25">
      <c r="H5586" t="s">
        <v>145</v>
      </c>
    </row>
    <row r="5587" spans="8:8" x14ac:dyDescent="0.25">
      <c r="H5587" t="s">
        <v>3967</v>
      </c>
    </row>
    <row r="5588" spans="8:8" x14ac:dyDescent="0.25">
      <c r="H5588" t="s">
        <v>31</v>
      </c>
    </row>
    <row r="5590" spans="8:8" x14ac:dyDescent="0.25">
      <c r="H5590" t="s">
        <v>3364</v>
      </c>
    </row>
    <row r="5591" spans="8:8" x14ac:dyDescent="0.25">
      <c r="H5591" t="s">
        <v>145</v>
      </c>
    </row>
    <row r="5592" spans="8:8" x14ac:dyDescent="0.25">
      <c r="H5592" t="s">
        <v>3968</v>
      </c>
    </row>
    <row r="5593" spans="8:8" x14ac:dyDescent="0.25">
      <c r="H5593" t="s">
        <v>31</v>
      </c>
    </row>
    <row r="5595" spans="8:8" x14ac:dyDescent="0.25">
      <c r="H5595" t="s">
        <v>3366</v>
      </c>
    </row>
    <row r="5596" spans="8:8" x14ac:dyDescent="0.25">
      <c r="H5596" t="s">
        <v>145</v>
      </c>
    </row>
    <row r="5597" spans="8:8" x14ac:dyDescent="0.25">
      <c r="H5597" t="s">
        <v>3969</v>
      </c>
    </row>
    <row r="5598" spans="8:8" x14ac:dyDescent="0.25">
      <c r="H5598" t="s">
        <v>31</v>
      </c>
    </row>
    <row r="5600" spans="8:8" x14ac:dyDescent="0.25">
      <c r="H5600" t="s">
        <v>3370</v>
      </c>
    </row>
    <row r="5601" spans="8:8" x14ac:dyDescent="0.25">
      <c r="H5601" t="s">
        <v>145</v>
      </c>
    </row>
    <row r="5602" spans="8:8" x14ac:dyDescent="0.25">
      <c r="H5602" t="s">
        <v>3970</v>
      </c>
    </row>
    <row r="5603" spans="8:8" x14ac:dyDescent="0.25">
      <c r="H5603" t="s">
        <v>31</v>
      </c>
    </row>
    <row r="5605" spans="8:8" x14ac:dyDescent="0.25">
      <c r="H5605" t="s">
        <v>3375</v>
      </c>
    </row>
    <row r="5606" spans="8:8" x14ac:dyDescent="0.25">
      <c r="H5606" t="s">
        <v>145</v>
      </c>
    </row>
    <row r="5607" spans="8:8" x14ac:dyDescent="0.25">
      <c r="H5607" t="s">
        <v>3971</v>
      </c>
    </row>
    <row r="5608" spans="8:8" x14ac:dyDescent="0.25">
      <c r="H5608" t="s">
        <v>31</v>
      </c>
    </row>
    <row r="5610" spans="8:8" x14ac:dyDescent="0.25">
      <c r="H5610" t="s">
        <v>3377</v>
      </c>
    </row>
    <row r="5611" spans="8:8" x14ac:dyDescent="0.25">
      <c r="H5611" t="s">
        <v>145</v>
      </c>
    </row>
    <row r="5612" spans="8:8" x14ac:dyDescent="0.25">
      <c r="H5612" t="s">
        <v>3972</v>
      </c>
    </row>
    <row r="5613" spans="8:8" x14ac:dyDescent="0.25">
      <c r="H5613" t="s">
        <v>31</v>
      </c>
    </row>
    <row r="5615" spans="8:8" x14ac:dyDescent="0.25">
      <c r="H5615" t="s">
        <v>3379</v>
      </c>
    </row>
    <row r="5616" spans="8:8" x14ac:dyDescent="0.25">
      <c r="H5616" t="s">
        <v>145</v>
      </c>
    </row>
    <row r="5617" spans="8:8" x14ac:dyDescent="0.25">
      <c r="H5617" t="s">
        <v>3973</v>
      </c>
    </row>
    <row r="5618" spans="8:8" x14ac:dyDescent="0.25">
      <c r="H5618" t="s">
        <v>31</v>
      </c>
    </row>
    <row r="5620" spans="8:8" x14ac:dyDescent="0.25">
      <c r="H5620" t="s">
        <v>3381</v>
      </c>
    </row>
    <row r="5621" spans="8:8" x14ac:dyDescent="0.25">
      <c r="H5621" t="s">
        <v>145</v>
      </c>
    </row>
    <row r="5622" spans="8:8" x14ac:dyDescent="0.25">
      <c r="H5622" t="s">
        <v>3974</v>
      </c>
    </row>
    <row r="5623" spans="8:8" x14ac:dyDescent="0.25">
      <c r="H5623" t="s">
        <v>31</v>
      </c>
    </row>
    <row r="5625" spans="8:8" x14ac:dyDescent="0.25">
      <c r="H5625" t="s">
        <v>3383</v>
      </c>
    </row>
    <row r="5626" spans="8:8" x14ac:dyDescent="0.25">
      <c r="H5626" t="s">
        <v>145</v>
      </c>
    </row>
    <row r="5627" spans="8:8" x14ac:dyDescent="0.25">
      <c r="H5627" t="s">
        <v>3975</v>
      </c>
    </row>
    <row r="5628" spans="8:8" x14ac:dyDescent="0.25">
      <c r="H5628" t="s">
        <v>31</v>
      </c>
    </row>
    <row r="5630" spans="8:8" x14ac:dyDescent="0.25">
      <c r="H5630" t="s">
        <v>3385</v>
      </c>
    </row>
    <row r="5631" spans="8:8" x14ac:dyDescent="0.25">
      <c r="H5631" t="s">
        <v>145</v>
      </c>
    </row>
    <row r="5632" spans="8:8" x14ac:dyDescent="0.25">
      <c r="H5632" t="s">
        <v>3976</v>
      </c>
    </row>
    <row r="5633" spans="8:8" x14ac:dyDescent="0.25">
      <c r="H5633" t="s">
        <v>31</v>
      </c>
    </row>
    <row r="5635" spans="8:8" x14ac:dyDescent="0.25">
      <c r="H5635" t="s">
        <v>3387</v>
      </c>
    </row>
    <row r="5636" spans="8:8" x14ac:dyDescent="0.25">
      <c r="H5636" t="s">
        <v>145</v>
      </c>
    </row>
    <row r="5637" spans="8:8" x14ac:dyDescent="0.25">
      <c r="H5637" t="s">
        <v>3977</v>
      </c>
    </row>
    <row r="5638" spans="8:8" x14ac:dyDescent="0.25">
      <c r="H5638" t="s">
        <v>31</v>
      </c>
    </row>
    <row r="5640" spans="8:8" x14ac:dyDescent="0.25">
      <c r="H5640" t="s">
        <v>3392</v>
      </c>
    </row>
    <row r="5641" spans="8:8" x14ac:dyDescent="0.25">
      <c r="H5641" t="s">
        <v>145</v>
      </c>
    </row>
    <row r="5642" spans="8:8" x14ac:dyDescent="0.25">
      <c r="H5642" t="s">
        <v>3978</v>
      </c>
    </row>
    <row r="5643" spans="8:8" x14ac:dyDescent="0.25">
      <c r="H5643" t="s">
        <v>31</v>
      </c>
    </row>
    <row r="5645" spans="8:8" x14ac:dyDescent="0.25">
      <c r="H5645" t="s">
        <v>3397</v>
      </c>
    </row>
    <row r="5646" spans="8:8" x14ac:dyDescent="0.25">
      <c r="H5646" t="s">
        <v>145</v>
      </c>
    </row>
    <row r="5647" spans="8:8" x14ac:dyDescent="0.25">
      <c r="H5647" t="s">
        <v>3979</v>
      </c>
    </row>
    <row r="5648" spans="8:8" x14ac:dyDescent="0.25">
      <c r="H5648" t="s">
        <v>31</v>
      </c>
    </row>
    <row r="5650" spans="8:8" x14ac:dyDescent="0.25">
      <c r="H5650" t="s">
        <v>3402</v>
      </c>
    </row>
    <row r="5651" spans="8:8" x14ac:dyDescent="0.25">
      <c r="H5651" t="s">
        <v>145</v>
      </c>
    </row>
    <row r="5652" spans="8:8" x14ac:dyDescent="0.25">
      <c r="H5652" t="s">
        <v>3980</v>
      </c>
    </row>
    <row r="5653" spans="8:8" x14ac:dyDescent="0.25">
      <c r="H5653" t="s">
        <v>31</v>
      </c>
    </row>
    <row r="5655" spans="8:8" x14ac:dyDescent="0.25">
      <c r="H5655" t="s">
        <v>3407</v>
      </c>
    </row>
    <row r="5656" spans="8:8" x14ac:dyDescent="0.25">
      <c r="H5656" t="s">
        <v>145</v>
      </c>
    </row>
    <row r="5657" spans="8:8" x14ac:dyDescent="0.25">
      <c r="H5657" t="s">
        <v>3981</v>
      </c>
    </row>
    <row r="5658" spans="8:8" x14ac:dyDescent="0.25">
      <c r="H5658" t="s">
        <v>31</v>
      </c>
    </row>
    <row r="5660" spans="8:8" x14ac:dyDescent="0.25">
      <c r="H5660" t="s">
        <v>3410</v>
      </c>
    </row>
    <row r="5661" spans="8:8" x14ac:dyDescent="0.25">
      <c r="H5661" t="s">
        <v>145</v>
      </c>
    </row>
    <row r="5662" spans="8:8" x14ac:dyDescent="0.25">
      <c r="H5662" t="s">
        <v>3982</v>
      </c>
    </row>
    <row r="5663" spans="8:8" x14ac:dyDescent="0.25">
      <c r="H5663" t="s">
        <v>31</v>
      </c>
    </row>
    <row r="5665" spans="8:8" x14ac:dyDescent="0.25">
      <c r="H5665" t="s">
        <v>3412</v>
      </c>
    </row>
    <row r="5666" spans="8:8" x14ac:dyDescent="0.25">
      <c r="H5666" t="s">
        <v>145</v>
      </c>
    </row>
    <row r="5667" spans="8:8" x14ac:dyDescent="0.25">
      <c r="H5667" t="s">
        <v>3983</v>
      </c>
    </row>
    <row r="5668" spans="8:8" x14ac:dyDescent="0.25">
      <c r="H5668" t="s">
        <v>31</v>
      </c>
    </row>
    <row r="5670" spans="8:8" x14ac:dyDescent="0.25">
      <c r="H5670" t="s">
        <v>3414</v>
      </c>
    </row>
    <row r="5671" spans="8:8" x14ac:dyDescent="0.25">
      <c r="H5671" t="s">
        <v>145</v>
      </c>
    </row>
    <row r="5672" spans="8:8" x14ac:dyDescent="0.25">
      <c r="H5672" t="s">
        <v>3984</v>
      </c>
    </row>
    <row r="5673" spans="8:8" x14ac:dyDescent="0.25">
      <c r="H5673" t="s">
        <v>31</v>
      </c>
    </row>
    <row r="5675" spans="8:8" x14ac:dyDescent="0.25">
      <c r="H5675" t="s">
        <v>3416</v>
      </c>
    </row>
    <row r="5676" spans="8:8" x14ac:dyDescent="0.25">
      <c r="H5676" t="s">
        <v>145</v>
      </c>
    </row>
    <row r="5677" spans="8:8" x14ac:dyDescent="0.25">
      <c r="H5677" t="s">
        <v>3985</v>
      </c>
    </row>
    <row r="5678" spans="8:8" x14ac:dyDescent="0.25">
      <c r="H5678" t="s">
        <v>31</v>
      </c>
    </row>
    <row r="5680" spans="8:8" x14ac:dyDescent="0.25">
      <c r="H5680" t="s">
        <v>3418</v>
      </c>
    </row>
    <row r="5681" spans="8:8" x14ac:dyDescent="0.25">
      <c r="H5681" t="s">
        <v>145</v>
      </c>
    </row>
    <row r="5682" spans="8:8" x14ac:dyDescent="0.25">
      <c r="H5682" t="s">
        <v>3986</v>
      </c>
    </row>
    <row r="5683" spans="8:8" x14ac:dyDescent="0.25">
      <c r="H5683" t="s">
        <v>31</v>
      </c>
    </row>
    <row r="5685" spans="8:8" x14ac:dyDescent="0.25">
      <c r="H5685" t="s">
        <v>3420</v>
      </c>
    </row>
    <row r="5686" spans="8:8" x14ac:dyDescent="0.25">
      <c r="H5686" t="s">
        <v>145</v>
      </c>
    </row>
    <row r="5687" spans="8:8" x14ac:dyDescent="0.25">
      <c r="H5687" t="s">
        <v>3987</v>
      </c>
    </row>
    <row r="5688" spans="8:8" x14ac:dyDescent="0.25">
      <c r="H5688" t="s">
        <v>31</v>
      </c>
    </row>
    <row r="5690" spans="8:8" x14ac:dyDescent="0.25">
      <c r="H5690" t="s">
        <v>3422</v>
      </c>
    </row>
    <row r="5691" spans="8:8" x14ac:dyDescent="0.25">
      <c r="H5691" t="s">
        <v>145</v>
      </c>
    </row>
    <row r="5692" spans="8:8" x14ac:dyDescent="0.25">
      <c r="H5692" t="s">
        <v>3988</v>
      </c>
    </row>
    <row r="5693" spans="8:8" x14ac:dyDescent="0.25">
      <c r="H5693" t="s">
        <v>31</v>
      </c>
    </row>
    <row r="5695" spans="8:8" x14ac:dyDescent="0.25">
      <c r="H5695" t="s">
        <v>3424</v>
      </c>
    </row>
    <row r="5696" spans="8:8" x14ac:dyDescent="0.25">
      <c r="H5696" t="s">
        <v>145</v>
      </c>
    </row>
    <row r="5697" spans="8:8" x14ac:dyDescent="0.25">
      <c r="H5697" t="s">
        <v>3989</v>
      </c>
    </row>
    <row r="5698" spans="8:8" x14ac:dyDescent="0.25">
      <c r="H5698" t="s">
        <v>31</v>
      </c>
    </row>
    <row r="5700" spans="8:8" x14ac:dyDescent="0.25">
      <c r="H5700" t="s">
        <v>3426</v>
      </c>
    </row>
    <row r="5701" spans="8:8" x14ac:dyDescent="0.25">
      <c r="H5701" t="s">
        <v>145</v>
      </c>
    </row>
    <row r="5702" spans="8:8" x14ac:dyDescent="0.25">
      <c r="H5702" t="s">
        <v>3990</v>
      </c>
    </row>
    <row r="5703" spans="8:8" x14ac:dyDescent="0.25">
      <c r="H5703" t="s">
        <v>31</v>
      </c>
    </row>
    <row r="5705" spans="8:8" x14ac:dyDescent="0.25">
      <c r="H5705" t="s">
        <v>3428</v>
      </c>
    </row>
    <row r="5706" spans="8:8" x14ac:dyDescent="0.25">
      <c r="H5706" t="s">
        <v>145</v>
      </c>
    </row>
    <row r="5707" spans="8:8" x14ac:dyDescent="0.25">
      <c r="H5707" t="s">
        <v>3991</v>
      </c>
    </row>
    <row r="5708" spans="8:8" x14ac:dyDescent="0.25">
      <c r="H5708" t="s">
        <v>31</v>
      </c>
    </row>
    <row r="5710" spans="8:8" x14ac:dyDescent="0.25">
      <c r="H5710" t="s">
        <v>3430</v>
      </c>
    </row>
    <row r="5711" spans="8:8" x14ac:dyDescent="0.25">
      <c r="H5711" t="s">
        <v>145</v>
      </c>
    </row>
    <row r="5712" spans="8:8" x14ac:dyDescent="0.25">
      <c r="H5712" t="s">
        <v>3992</v>
      </c>
    </row>
    <row r="5713" spans="8:8" x14ac:dyDescent="0.25">
      <c r="H5713" t="s">
        <v>31</v>
      </c>
    </row>
    <row r="5715" spans="8:8" x14ac:dyDescent="0.25">
      <c r="H5715" t="s">
        <v>3432</v>
      </c>
    </row>
    <row r="5716" spans="8:8" x14ac:dyDescent="0.25">
      <c r="H5716" t="s">
        <v>145</v>
      </c>
    </row>
    <row r="5717" spans="8:8" x14ac:dyDescent="0.25">
      <c r="H5717" t="s">
        <v>3993</v>
      </c>
    </row>
    <row r="5718" spans="8:8" x14ac:dyDescent="0.25">
      <c r="H5718" t="s">
        <v>31</v>
      </c>
    </row>
    <row r="5720" spans="8:8" x14ac:dyDescent="0.25">
      <c r="H5720" t="s">
        <v>3434</v>
      </c>
    </row>
    <row r="5721" spans="8:8" x14ac:dyDescent="0.25">
      <c r="H5721" t="s">
        <v>145</v>
      </c>
    </row>
    <row r="5722" spans="8:8" x14ac:dyDescent="0.25">
      <c r="H5722" t="s">
        <v>3994</v>
      </c>
    </row>
    <row r="5723" spans="8:8" x14ac:dyDescent="0.25">
      <c r="H5723" t="s">
        <v>31</v>
      </c>
    </row>
    <row r="5725" spans="8:8" x14ac:dyDescent="0.25">
      <c r="H5725" t="s">
        <v>3436</v>
      </c>
    </row>
    <row r="5726" spans="8:8" x14ac:dyDescent="0.25">
      <c r="H5726" t="s">
        <v>145</v>
      </c>
    </row>
    <row r="5727" spans="8:8" x14ac:dyDescent="0.25">
      <c r="H5727" t="s">
        <v>3995</v>
      </c>
    </row>
    <row r="5728" spans="8:8" x14ac:dyDescent="0.25">
      <c r="H5728" t="s">
        <v>31</v>
      </c>
    </row>
    <row r="5730" spans="8:8" x14ac:dyDescent="0.25">
      <c r="H5730" t="s">
        <v>3438</v>
      </c>
    </row>
    <row r="5731" spans="8:8" x14ac:dyDescent="0.25">
      <c r="H5731" t="s">
        <v>145</v>
      </c>
    </row>
    <row r="5732" spans="8:8" x14ac:dyDescent="0.25">
      <c r="H5732" t="s">
        <v>3996</v>
      </c>
    </row>
    <row r="5733" spans="8:8" x14ac:dyDescent="0.25">
      <c r="H5733" t="s">
        <v>31</v>
      </c>
    </row>
    <row r="5735" spans="8:8" x14ac:dyDescent="0.25">
      <c r="H5735" t="s">
        <v>3440</v>
      </c>
    </row>
    <row r="5736" spans="8:8" x14ac:dyDescent="0.25">
      <c r="H5736" t="s">
        <v>145</v>
      </c>
    </row>
    <row r="5737" spans="8:8" x14ac:dyDescent="0.25">
      <c r="H5737" t="s">
        <v>3997</v>
      </c>
    </row>
    <row r="5738" spans="8:8" x14ac:dyDescent="0.25">
      <c r="H5738" t="s">
        <v>31</v>
      </c>
    </row>
    <row r="5740" spans="8:8" x14ac:dyDescent="0.25">
      <c r="H5740" t="s">
        <v>3442</v>
      </c>
    </row>
    <row r="5741" spans="8:8" x14ac:dyDescent="0.25">
      <c r="H5741" t="s">
        <v>145</v>
      </c>
    </row>
    <row r="5742" spans="8:8" x14ac:dyDescent="0.25">
      <c r="H5742" t="s">
        <v>3998</v>
      </c>
    </row>
    <row r="5743" spans="8:8" x14ac:dyDescent="0.25">
      <c r="H5743" t="s">
        <v>31</v>
      </c>
    </row>
    <row r="5745" spans="8:8" x14ac:dyDescent="0.25">
      <c r="H5745" t="s">
        <v>3444</v>
      </c>
    </row>
    <row r="5746" spans="8:8" x14ac:dyDescent="0.25">
      <c r="H5746" t="s">
        <v>145</v>
      </c>
    </row>
    <row r="5747" spans="8:8" x14ac:dyDescent="0.25">
      <c r="H5747" t="s">
        <v>3999</v>
      </c>
    </row>
    <row r="5748" spans="8:8" x14ac:dyDescent="0.25">
      <c r="H5748" t="s">
        <v>31</v>
      </c>
    </row>
    <row r="5750" spans="8:8" x14ac:dyDescent="0.25">
      <c r="H5750" t="s">
        <v>3446</v>
      </c>
    </row>
    <row r="5751" spans="8:8" x14ac:dyDescent="0.25">
      <c r="H5751" t="s">
        <v>145</v>
      </c>
    </row>
    <row r="5752" spans="8:8" x14ac:dyDescent="0.25">
      <c r="H5752" t="s">
        <v>4000</v>
      </c>
    </row>
    <row r="5753" spans="8:8" x14ac:dyDescent="0.25">
      <c r="H5753" t="s">
        <v>31</v>
      </c>
    </row>
    <row r="5755" spans="8:8" x14ac:dyDescent="0.25">
      <c r="H5755" t="s">
        <v>3448</v>
      </c>
    </row>
    <row r="5756" spans="8:8" x14ac:dyDescent="0.25">
      <c r="H5756" t="s">
        <v>145</v>
      </c>
    </row>
    <row r="5757" spans="8:8" x14ac:dyDescent="0.25">
      <c r="H5757" t="s">
        <v>4001</v>
      </c>
    </row>
    <row r="5758" spans="8:8" x14ac:dyDescent="0.25">
      <c r="H5758" t="s">
        <v>31</v>
      </c>
    </row>
    <row r="5760" spans="8:8" x14ac:dyDescent="0.25">
      <c r="H5760" t="s">
        <v>3450</v>
      </c>
    </row>
    <row r="5761" spans="8:8" x14ac:dyDescent="0.25">
      <c r="H5761" t="s">
        <v>145</v>
      </c>
    </row>
    <row r="5762" spans="8:8" x14ac:dyDescent="0.25">
      <c r="H5762" t="s">
        <v>4002</v>
      </c>
    </row>
    <row r="5763" spans="8:8" x14ac:dyDescent="0.25">
      <c r="H5763" t="s">
        <v>31</v>
      </c>
    </row>
    <row r="5765" spans="8:8" x14ac:dyDescent="0.25">
      <c r="H5765" t="s">
        <v>3452</v>
      </c>
    </row>
    <row r="5766" spans="8:8" x14ac:dyDescent="0.25">
      <c r="H5766" t="s">
        <v>145</v>
      </c>
    </row>
    <row r="5767" spans="8:8" x14ac:dyDescent="0.25">
      <c r="H5767" t="s">
        <v>4003</v>
      </c>
    </row>
    <row r="5768" spans="8:8" x14ac:dyDescent="0.25">
      <c r="H5768" t="s">
        <v>31</v>
      </c>
    </row>
    <row r="5770" spans="8:8" x14ac:dyDescent="0.25">
      <c r="H5770" t="s">
        <v>3454</v>
      </c>
    </row>
    <row r="5771" spans="8:8" x14ac:dyDescent="0.25">
      <c r="H5771" t="s">
        <v>145</v>
      </c>
    </row>
    <row r="5772" spans="8:8" x14ac:dyDescent="0.25">
      <c r="H5772" t="s">
        <v>4004</v>
      </c>
    </row>
    <row r="5773" spans="8:8" x14ac:dyDescent="0.25">
      <c r="H5773" t="s">
        <v>31</v>
      </c>
    </row>
    <row r="5775" spans="8:8" x14ac:dyDescent="0.25">
      <c r="H5775" t="s">
        <v>3456</v>
      </c>
    </row>
    <row r="5776" spans="8:8" x14ac:dyDescent="0.25">
      <c r="H5776" t="s">
        <v>145</v>
      </c>
    </row>
    <row r="5777" spans="8:8" x14ac:dyDescent="0.25">
      <c r="H5777" t="s">
        <v>4005</v>
      </c>
    </row>
    <row r="5778" spans="8:8" x14ac:dyDescent="0.25">
      <c r="H5778" t="s">
        <v>31</v>
      </c>
    </row>
    <row r="5780" spans="8:8" x14ac:dyDescent="0.25">
      <c r="H5780" t="s">
        <v>3458</v>
      </c>
    </row>
    <row r="5781" spans="8:8" x14ac:dyDescent="0.25">
      <c r="H5781" t="s">
        <v>145</v>
      </c>
    </row>
    <row r="5782" spans="8:8" x14ac:dyDescent="0.25">
      <c r="H5782" t="s">
        <v>4006</v>
      </c>
    </row>
    <row r="5783" spans="8:8" x14ac:dyDescent="0.25">
      <c r="H5783" t="s">
        <v>31</v>
      </c>
    </row>
    <row r="5785" spans="8:8" x14ac:dyDescent="0.25">
      <c r="H5785" t="s">
        <v>3460</v>
      </c>
    </row>
    <row r="5786" spans="8:8" x14ac:dyDescent="0.25">
      <c r="H5786" t="s">
        <v>145</v>
      </c>
    </row>
    <row r="5787" spans="8:8" x14ac:dyDescent="0.25">
      <c r="H5787" t="s">
        <v>4007</v>
      </c>
    </row>
    <row r="5788" spans="8:8" x14ac:dyDescent="0.25">
      <c r="H5788" t="s">
        <v>31</v>
      </c>
    </row>
    <row r="5790" spans="8:8" x14ac:dyDescent="0.25">
      <c r="H5790" t="s">
        <v>3462</v>
      </c>
    </row>
    <row r="5791" spans="8:8" x14ac:dyDescent="0.25">
      <c r="H5791" t="s">
        <v>145</v>
      </c>
    </row>
    <row r="5792" spans="8:8" x14ac:dyDescent="0.25">
      <c r="H5792" t="s">
        <v>4008</v>
      </c>
    </row>
    <row r="5793" spans="8:8" x14ac:dyDescent="0.25">
      <c r="H5793" t="s">
        <v>31</v>
      </c>
    </row>
    <row r="5795" spans="8:8" x14ac:dyDescent="0.25">
      <c r="H5795" t="s">
        <v>3464</v>
      </c>
    </row>
    <row r="5796" spans="8:8" x14ac:dyDescent="0.25">
      <c r="H5796" t="s">
        <v>145</v>
      </c>
    </row>
    <row r="5797" spans="8:8" x14ac:dyDescent="0.25">
      <c r="H5797" t="s">
        <v>4009</v>
      </c>
    </row>
    <row r="5798" spans="8:8" x14ac:dyDescent="0.25">
      <c r="H5798" t="s">
        <v>31</v>
      </c>
    </row>
    <row r="5800" spans="8:8" x14ac:dyDescent="0.25">
      <c r="H5800" t="s">
        <v>3466</v>
      </c>
    </row>
    <row r="5801" spans="8:8" x14ac:dyDescent="0.25">
      <c r="H5801" t="s">
        <v>145</v>
      </c>
    </row>
    <row r="5802" spans="8:8" x14ac:dyDescent="0.25">
      <c r="H5802" t="s">
        <v>4010</v>
      </c>
    </row>
    <row r="5803" spans="8:8" x14ac:dyDescent="0.25">
      <c r="H5803" t="s">
        <v>31</v>
      </c>
    </row>
    <row r="5805" spans="8:8" x14ac:dyDescent="0.25">
      <c r="H5805" t="s">
        <v>3468</v>
      </c>
    </row>
    <row r="5806" spans="8:8" x14ac:dyDescent="0.25">
      <c r="H5806" t="s">
        <v>145</v>
      </c>
    </row>
    <row r="5807" spans="8:8" x14ac:dyDescent="0.25">
      <c r="H5807" t="s">
        <v>4011</v>
      </c>
    </row>
    <row r="5808" spans="8:8" x14ac:dyDescent="0.25">
      <c r="H5808" t="s">
        <v>31</v>
      </c>
    </row>
    <row r="5810" spans="8:8" x14ac:dyDescent="0.25">
      <c r="H5810" t="s">
        <v>3470</v>
      </c>
    </row>
    <row r="5811" spans="8:8" x14ac:dyDescent="0.25">
      <c r="H5811" t="s">
        <v>145</v>
      </c>
    </row>
    <row r="5812" spans="8:8" x14ac:dyDescent="0.25">
      <c r="H5812" t="s">
        <v>4012</v>
      </c>
    </row>
    <row r="5813" spans="8:8" x14ac:dyDescent="0.25">
      <c r="H5813" t="s">
        <v>31</v>
      </c>
    </row>
    <row r="5815" spans="8:8" x14ac:dyDescent="0.25">
      <c r="H5815" t="s">
        <v>3472</v>
      </c>
    </row>
    <row r="5816" spans="8:8" x14ac:dyDescent="0.25">
      <c r="H5816" t="s">
        <v>145</v>
      </c>
    </row>
    <row r="5817" spans="8:8" x14ac:dyDescent="0.25">
      <c r="H5817" t="s">
        <v>4013</v>
      </c>
    </row>
    <row r="5818" spans="8:8" x14ac:dyDescent="0.25">
      <c r="H5818" t="s">
        <v>31</v>
      </c>
    </row>
    <row r="5820" spans="8:8" x14ac:dyDescent="0.25">
      <c r="H5820" t="s">
        <v>3474</v>
      </c>
    </row>
    <row r="5821" spans="8:8" x14ac:dyDescent="0.25">
      <c r="H5821" t="s">
        <v>145</v>
      </c>
    </row>
    <row r="5822" spans="8:8" x14ac:dyDescent="0.25">
      <c r="H5822" t="s">
        <v>4014</v>
      </c>
    </row>
    <row r="5823" spans="8:8" x14ac:dyDescent="0.25">
      <c r="H5823" t="s">
        <v>31</v>
      </c>
    </row>
    <row r="5825" spans="8:8" x14ac:dyDescent="0.25">
      <c r="H5825" t="s">
        <v>3476</v>
      </c>
    </row>
    <row r="5826" spans="8:8" x14ac:dyDescent="0.25">
      <c r="H5826" t="s">
        <v>145</v>
      </c>
    </row>
    <row r="5827" spans="8:8" x14ac:dyDescent="0.25">
      <c r="H5827" t="s">
        <v>4015</v>
      </c>
    </row>
    <row r="5828" spans="8:8" x14ac:dyDescent="0.25">
      <c r="H5828" t="s">
        <v>31</v>
      </c>
    </row>
    <row r="5830" spans="8:8" x14ac:dyDescent="0.25">
      <c r="H5830" t="s">
        <v>3478</v>
      </c>
    </row>
    <row r="5831" spans="8:8" x14ac:dyDescent="0.25">
      <c r="H5831" t="s">
        <v>145</v>
      </c>
    </row>
    <row r="5832" spans="8:8" x14ac:dyDescent="0.25">
      <c r="H5832" t="s">
        <v>4016</v>
      </c>
    </row>
    <row r="5833" spans="8:8" x14ac:dyDescent="0.25">
      <c r="H5833" t="s">
        <v>31</v>
      </c>
    </row>
    <row r="5835" spans="8:8" x14ac:dyDescent="0.25">
      <c r="H5835" t="s">
        <v>3480</v>
      </c>
    </row>
    <row r="5836" spans="8:8" x14ac:dyDescent="0.25">
      <c r="H5836" t="s">
        <v>145</v>
      </c>
    </row>
    <row r="5837" spans="8:8" x14ac:dyDescent="0.25">
      <c r="H5837" t="s">
        <v>4017</v>
      </c>
    </row>
    <row r="5838" spans="8:8" x14ac:dyDescent="0.25">
      <c r="H5838" t="s">
        <v>31</v>
      </c>
    </row>
    <row r="5840" spans="8:8" x14ac:dyDescent="0.25">
      <c r="H5840" t="s">
        <v>3482</v>
      </c>
    </row>
    <row r="5841" spans="8:8" x14ac:dyDescent="0.25">
      <c r="H5841" t="s">
        <v>145</v>
      </c>
    </row>
    <row r="5842" spans="8:8" x14ac:dyDescent="0.25">
      <c r="H5842" t="s">
        <v>4018</v>
      </c>
    </row>
    <row r="5843" spans="8:8" x14ac:dyDescent="0.25">
      <c r="H5843" t="s">
        <v>31</v>
      </c>
    </row>
    <row r="5845" spans="8:8" x14ac:dyDescent="0.25">
      <c r="H5845" t="s">
        <v>3484</v>
      </c>
    </row>
    <row r="5846" spans="8:8" x14ac:dyDescent="0.25">
      <c r="H5846" t="s">
        <v>145</v>
      </c>
    </row>
    <row r="5847" spans="8:8" x14ac:dyDescent="0.25">
      <c r="H5847" t="s">
        <v>4019</v>
      </c>
    </row>
    <row r="5848" spans="8:8" x14ac:dyDescent="0.25">
      <c r="H5848" t="s">
        <v>31</v>
      </c>
    </row>
    <row r="5850" spans="8:8" x14ac:dyDescent="0.25">
      <c r="H5850" t="s">
        <v>3486</v>
      </c>
    </row>
    <row r="5851" spans="8:8" x14ac:dyDescent="0.25">
      <c r="H5851" t="s">
        <v>145</v>
      </c>
    </row>
    <row r="5852" spans="8:8" x14ac:dyDescent="0.25">
      <c r="H5852" t="s">
        <v>4020</v>
      </c>
    </row>
    <row r="5853" spans="8:8" x14ac:dyDescent="0.25">
      <c r="H5853" t="s">
        <v>31</v>
      </c>
    </row>
    <row r="5855" spans="8:8" x14ac:dyDescent="0.25">
      <c r="H5855" t="s">
        <v>3488</v>
      </c>
    </row>
    <row r="5856" spans="8:8" x14ac:dyDescent="0.25">
      <c r="H5856" t="s">
        <v>145</v>
      </c>
    </row>
    <row r="5857" spans="8:8" x14ac:dyDescent="0.25">
      <c r="H5857" t="s">
        <v>4021</v>
      </c>
    </row>
    <row r="5858" spans="8:8" x14ac:dyDescent="0.25">
      <c r="H5858" t="s">
        <v>31</v>
      </c>
    </row>
    <row r="5860" spans="8:8" x14ac:dyDescent="0.25">
      <c r="H5860" t="s">
        <v>3490</v>
      </c>
    </row>
    <row r="5861" spans="8:8" x14ac:dyDescent="0.25">
      <c r="H5861" t="s">
        <v>145</v>
      </c>
    </row>
    <row r="5862" spans="8:8" x14ac:dyDescent="0.25">
      <c r="H5862" t="s">
        <v>4022</v>
      </c>
    </row>
    <row r="5863" spans="8:8" x14ac:dyDescent="0.25">
      <c r="H5863" t="s">
        <v>31</v>
      </c>
    </row>
    <row r="5865" spans="8:8" x14ac:dyDescent="0.25">
      <c r="H5865" t="s">
        <v>3492</v>
      </c>
    </row>
    <row r="5866" spans="8:8" x14ac:dyDescent="0.25">
      <c r="H5866" t="s">
        <v>145</v>
      </c>
    </row>
    <row r="5867" spans="8:8" x14ac:dyDescent="0.25">
      <c r="H5867" t="s">
        <v>4023</v>
      </c>
    </row>
    <row r="5868" spans="8:8" x14ac:dyDescent="0.25">
      <c r="H5868" t="s">
        <v>31</v>
      </c>
    </row>
    <row r="5870" spans="8:8" x14ac:dyDescent="0.25">
      <c r="H5870" t="s">
        <v>3494</v>
      </c>
    </row>
    <row r="5871" spans="8:8" x14ac:dyDescent="0.25">
      <c r="H5871" t="s">
        <v>145</v>
      </c>
    </row>
    <row r="5872" spans="8:8" x14ac:dyDescent="0.25">
      <c r="H5872" t="s">
        <v>4024</v>
      </c>
    </row>
    <row r="5873" spans="8:8" x14ac:dyDescent="0.25">
      <c r="H5873" t="s">
        <v>31</v>
      </c>
    </row>
    <row r="5875" spans="8:8" x14ac:dyDescent="0.25">
      <c r="H5875" t="s">
        <v>3496</v>
      </c>
    </row>
    <row r="5876" spans="8:8" x14ac:dyDescent="0.25">
      <c r="H5876" t="s">
        <v>145</v>
      </c>
    </row>
    <row r="5877" spans="8:8" x14ac:dyDescent="0.25">
      <c r="H5877" t="s">
        <v>4025</v>
      </c>
    </row>
    <row r="5878" spans="8:8" x14ac:dyDescent="0.25">
      <c r="H5878" t="s">
        <v>31</v>
      </c>
    </row>
    <row r="5880" spans="8:8" x14ac:dyDescent="0.25">
      <c r="H5880" t="s">
        <v>3498</v>
      </c>
    </row>
    <row r="5881" spans="8:8" x14ac:dyDescent="0.25">
      <c r="H5881" t="s">
        <v>145</v>
      </c>
    </row>
    <row r="5882" spans="8:8" x14ac:dyDescent="0.25">
      <c r="H5882" t="s">
        <v>4026</v>
      </c>
    </row>
    <row r="5883" spans="8:8" x14ac:dyDescent="0.25">
      <c r="H5883" t="s">
        <v>31</v>
      </c>
    </row>
    <row r="5885" spans="8:8" x14ac:dyDescent="0.25">
      <c r="H5885" t="s">
        <v>3500</v>
      </c>
    </row>
    <row r="5886" spans="8:8" x14ac:dyDescent="0.25">
      <c r="H5886" t="s">
        <v>145</v>
      </c>
    </row>
    <row r="5887" spans="8:8" x14ac:dyDescent="0.25">
      <c r="H5887" t="s">
        <v>4027</v>
      </c>
    </row>
    <row r="5888" spans="8:8" x14ac:dyDescent="0.25">
      <c r="H5888" t="s">
        <v>31</v>
      </c>
    </row>
    <row r="5890" spans="8:8" x14ac:dyDescent="0.25">
      <c r="H5890" t="s">
        <v>3502</v>
      </c>
    </row>
    <row r="5891" spans="8:8" x14ac:dyDescent="0.25">
      <c r="H5891" t="s">
        <v>145</v>
      </c>
    </row>
    <row r="5892" spans="8:8" x14ac:dyDescent="0.25">
      <c r="H5892" t="s">
        <v>4028</v>
      </c>
    </row>
    <row r="5893" spans="8:8" x14ac:dyDescent="0.25">
      <c r="H5893" t="s">
        <v>31</v>
      </c>
    </row>
    <row r="5895" spans="8:8" x14ac:dyDescent="0.25">
      <c r="H5895" t="s">
        <v>3504</v>
      </c>
    </row>
    <row r="5896" spans="8:8" x14ac:dyDescent="0.25">
      <c r="H5896" t="s">
        <v>145</v>
      </c>
    </row>
    <row r="5897" spans="8:8" x14ac:dyDescent="0.25">
      <c r="H5897" t="s">
        <v>4029</v>
      </c>
    </row>
    <row r="5898" spans="8:8" x14ac:dyDescent="0.25">
      <c r="H5898" t="s">
        <v>31</v>
      </c>
    </row>
    <row r="5900" spans="8:8" x14ac:dyDescent="0.25">
      <c r="H5900" t="s">
        <v>3506</v>
      </c>
    </row>
    <row r="5901" spans="8:8" x14ac:dyDescent="0.25">
      <c r="H5901" t="s">
        <v>145</v>
      </c>
    </row>
    <row r="5902" spans="8:8" x14ac:dyDescent="0.25">
      <c r="H5902" t="s">
        <v>4030</v>
      </c>
    </row>
    <row r="5903" spans="8:8" x14ac:dyDescent="0.25">
      <c r="H5903" t="s">
        <v>31</v>
      </c>
    </row>
    <row r="5905" spans="8:8" x14ac:dyDescent="0.25">
      <c r="H5905" t="s">
        <v>3508</v>
      </c>
    </row>
    <row r="5906" spans="8:8" x14ac:dyDescent="0.25">
      <c r="H5906" t="s">
        <v>145</v>
      </c>
    </row>
    <row r="5907" spans="8:8" x14ac:dyDescent="0.25">
      <c r="H5907" t="s">
        <v>4031</v>
      </c>
    </row>
    <row r="5908" spans="8:8" x14ac:dyDescent="0.25">
      <c r="H5908" t="s">
        <v>31</v>
      </c>
    </row>
    <row r="5910" spans="8:8" x14ac:dyDescent="0.25">
      <c r="H5910" t="s">
        <v>3510</v>
      </c>
    </row>
    <row r="5911" spans="8:8" x14ac:dyDescent="0.25">
      <c r="H5911" t="s">
        <v>145</v>
      </c>
    </row>
    <row r="5912" spans="8:8" x14ac:dyDescent="0.25">
      <c r="H5912" t="s">
        <v>4032</v>
      </c>
    </row>
    <row r="5913" spans="8:8" x14ac:dyDescent="0.25">
      <c r="H5913" t="s">
        <v>31</v>
      </c>
    </row>
    <row r="5915" spans="8:8" x14ac:dyDescent="0.25">
      <c r="H5915" t="s">
        <v>3512</v>
      </c>
    </row>
    <row r="5916" spans="8:8" x14ac:dyDescent="0.25">
      <c r="H5916" t="s">
        <v>145</v>
      </c>
    </row>
    <row r="5917" spans="8:8" x14ac:dyDescent="0.25">
      <c r="H5917" t="s">
        <v>4033</v>
      </c>
    </row>
    <row r="5918" spans="8:8" x14ac:dyDescent="0.25">
      <c r="H5918" t="s">
        <v>31</v>
      </c>
    </row>
    <row r="5920" spans="8:8" x14ac:dyDescent="0.25">
      <c r="H5920" t="s">
        <v>3514</v>
      </c>
    </row>
    <row r="5921" spans="8:8" x14ac:dyDescent="0.25">
      <c r="H5921" t="s">
        <v>145</v>
      </c>
    </row>
    <row r="5922" spans="8:8" x14ac:dyDescent="0.25">
      <c r="H5922" t="s">
        <v>4034</v>
      </c>
    </row>
    <row r="5923" spans="8:8" x14ac:dyDescent="0.25">
      <c r="H5923" t="s">
        <v>31</v>
      </c>
    </row>
    <row r="5925" spans="8:8" x14ac:dyDescent="0.25">
      <c r="H5925" t="s">
        <v>3516</v>
      </c>
    </row>
    <row r="5926" spans="8:8" x14ac:dyDescent="0.25">
      <c r="H5926" t="s">
        <v>145</v>
      </c>
    </row>
    <row r="5927" spans="8:8" x14ac:dyDescent="0.25">
      <c r="H5927" t="s">
        <v>4035</v>
      </c>
    </row>
    <row r="5928" spans="8:8" x14ac:dyDescent="0.25">
      <c r="H5928" t="s">
        <v>31</v>
      </c>
    </row>
    <row r="5930" spans="8:8" x14ac:dyDescent="0.25">
      <c r="H5930" t="s">
        <v>3518</v>
      </c>
    </row>
    <row r="5931" spans="8:8" x14ac:dyDescent="0.25">
      <c r="H5931" t="s">
        <v>145</v>
      </c>
    </row>
    <row r="5932" spans="8:8" x14ac:dyDescent="0.25">
      <c r="H5932" t="s">
        <v>4036</v>
      </c>
    </row>
    <row r="5933" spans="8:8" x14ac:dyDescent="0.25">
      <c r="H5933" t="s">
        <v>31</v>
      </c>
    </row>
    <row r="5935" spans="8:8" x14ac:dyDescent="0.25">
      <c r="H5935" t="s">
        <v>3520</v>
      </c>
    </row>
    <row r="5936" spans="8:8" x14ac:dyDescent="0.25">
      <c r="H5936" t="s">
        <v>145</v>
      </c>
    </row>
    <row r="5937" spans="8:8" x14ac:dyDescent="0.25">
      <c r="H5937" t="s">
        <v>4037</v>
      </c>
    </row>
    <row r="5938" spans="8:8" x14ac:dyDescent="0.25">
      <c r="H5938" t="s">
        <v>31</v>
      </c>
    </row>
    <row r="5940" spans="8:8" x14ac:dyDescent="0.25">
      <c r="H5940" t="s">
        <v>3522</v>
      </c>
    </row>
    <row r="5941" spans="8:8" x14ac:dyDescent="0.25">
      <c r="H5941" t="s">
        <v>145</v>
      </c>
    </row>
    <row r="5942" spans="8:8" x14ac:dyDescent="0.25">
      <c r="H5942" t="s">
        <v>4038</v>
      </c>
    </row>
    <row r="5943" spans="8:8" x14ac:dyDescent="0.25">
      <c r="H5943" t="s">
        <v>31</v>
      </c>
    </row>
    <row r="5945" spans="8:8" x14ac:dyDescent="0.25">
      <c r="H5945" t="s">
        <v>3524</v>
      </c>
    </row>
    <row r="5946" spans="8:8" x14ac:dyDescent="0.25">
      <c r="H5946" t="s">
        <v>145</v>
      </c>
    </row>
    <row r="5947" spans="8:8" x14ac:dyDescent="0.25">
      <c r="H5947" t="s">
        <v>4039</v>
      </c>
    </row>
    <row r="5948" spans="8:8" x14ac:dyDescent="0.25">
      <c r="H5948" t="s">
        <v>31</v>
      </c>
    </row>
    <row r="5950" spans="8:8" x14ac:dyDescent="0.25">
      <c r="H5950" t="s">
        <v>3526</v>
      </c>
    </row>
    <row r="5951" spans="8:8" x14ac:dyDescent="0.25">
      <c r="H5951" t="s">
        <v>145</v>
      </c>
    </row>
    <row r="5952" spans="8:8" x14ac:dyDescent="0.25">
      <c r="H5952" t="s">
        <v>4040</v>
      </c>
    </row>
    <row r="5953" spans="8:8" x14ac:dyDescent="0.25">
      <c r="H5953" t="s">
        <v>31</v>
      </c>
    </row>
    <row r="5955" spans="8:8" x14ac:dyDescent="0.25">
      <c r="H5955" t="s">
        <v>3528</v>
      </c>
    </row>
    <row r="5956" spans="8:8" x14ac:dyDescent="0.25">
      <c r="H5956" t="s">
        <v>145</v>
      </c>
    </row>
    <row r="5957" spans="8:8" x14ac:dyDescent="0.25">
      <c r="H5957" t="s">
        <v>4041</v>
      </c>
    </row>
    <row r="5958" spans="8:8" x14ac:dyDescent="0.25">
      <c r="H5958" t="s">
        <v>31</v>
      </c>
    </row>
    <row r="5960" spans="8:8" x14ac:dyDescent="0.25">
      <c r="H5960" t="s">
        <v>3530</v>
      </c>
    </row>
    <row r="5961" spans="8:8" x14ac:dyDescent="0.25">
      <c r="H5961" t="s">
        <v>145</v>
      </c>
    </row>
    <row r="5962" spans="8:8" x14ac:dyDescent="0.25">
      <c r="H5962" t="s">
        <v>4042</v>
      </c>
    </row>
    <row r="5963" spans="8:8" x14ac:dyDescent="0.25">
      <c r="H5963" t="s">
        <v>31</v>
      </c>
    </row>
    <row r="5965" spans="8:8" x14ac:dyDescent="0.25">
      <c r="H5965" t="s">
        <v>3532</v>
      </c>
    </row>
    <row r="5966" spans="8:8" x14ac:dyDescent="0.25">
      <c r="H5966" t="s">
        <v>145</v>
      </c>
    </row>
    <row r="5967" spans="8:8" x14ac:dyDescent="0.25">
      <c r="H5967" t="s">
        <v>4043</v>
      </c>
    </row>
    <row r="5968" spans="8:8" x14ac:dyDescent="0.25">
      <c r="H5968" t="s">
        <v>31</v>
      </c>
    </row>
    <row r="5970" spans="8:8" x14ac:dyDescent="0.25">
      <c r="H5970" t="s">
        <v>3534</v>
      </c>
    </row>
    <row r="5971" spans="8:8" x14ac:dyDescent="0.25">
      <c r="H5971" t="s">
        <v>145</v>
      </c>
    </row>
    <row r="5972" spans="8:8" x14ac:dyDescent="0.25">
      <c r="H5972" t="s">
        <v>4044</v>
      </c>
    </row>
    <row r="5973" spans="8:8" x14ac:dyDescent="0.25">
      <c r="H5973" t="s">
        <v>31</v>
      </c>
    </row>
    <row r="5975" spans="8:8" x14ac:dyDescent="0.25">
      <c r="H5975" t="s">
        <v>3536</v>
      </c>
    </row>
    <row r="5976" spans="8:8" x14ac:dyDescent="0.25">
      <c r="H5976" t="s">
        <v>145</v>
      </c>
    </row>
    <row r="5977" spans="8:8" x14ac:dyDescent="0.25">
      <c r="H5977" t="s">
        <v>4045</v>
      </c>
    </row>
    <row r="5978" spans="8:8" x14ac:dyDescent="0.25">
      <c r="H5978" t="s">
        <v>31</v>
      </c>
    </row>
    <row r="5980" spans="8:8" x14ac:dyDescent="0.25">
      <c r="H5980" t="s">
        <v>3538</v>
      </c>
    </row>
    <row r="5981" spans="8:8" x14ac:dyDescent="0.25">
      <c r="H5981" t="s">
        <v>145</v>
      </c>
    </row>
    <row r="5982" spans="8:8" x14ac:dyDescent="0.25">
      <c r="H5982" t="s">
        <v>4046</v>
      </c>
    </row>
    <row r="5983" spans="8:8" x14ac:dyDescent="0.25">
      <c r="H5983" t="s">
        <v>31</v>
      </c>
    </row>
    <row r="5985" spans="8:8" x14ac:dyDescent="0.25">
      <c r="H5985" t="s">
        <v>3540</v>
      </c>
    </row>
    <row r="5986" spans="8:8" x14ac:dyDescent="0.25">
      <c r="H5986" t="s">
        <v>145</v>
      </c>
    </row>
    <row r="5987" spans="8:8" x14ac:dyDescent="0.25">
      <c r="H5987" t="s">
        <v>4047</v>
      </c>
    </row>
    <row r="5988" spans="8:8" x14ac:dyDescent="0.25">
      <c r="H5988" t="s">
        <v>31</v>
      </c>
    </row>
    <row r="5990" spans="8:8" x14ac:dyDescent="0.25">
      <c r="H5990" t="s">
        <v>3542</v>
      </c>
    </row>
    <row r="5991" spans="8:8" x14ac:dyDescent="0.25">
      <c r="H5991" t="s">
        <v>145</v>
      </c>
    </row>
    <row r="5992" spans="8:8" x14ac:dyDescent="0.25">
      <c r="H5992" t="s">
        <v>4048</v>
      </c>
    </row>
    <row r="5993" spans="8:8" x14ac:dyDescent="0.25">
      <c r="H5993" t="s">
        <v>31</v>
      </c>
    </row>
    <row r="5995" spans="8:8" x14ac:dyDescent="0.25">
      <c r="H5995" t="s">
        <v>3544</v>
      </c>
    </row>
    <row r="5996" spans="8:8" x14ac:dyDescent="0.25">
      <c r="H5996" t="s">
        <v>145</v>
      </c>
    </row>
    <row r="5997" spans="8:8" x14ac:dyDescent="0.25">
      <c r="H5997" t="s">
        <v>4049</v>
      </c>
    </row>
    <row r="5998" spans="8:8" x14ac:dyDescent="0.25">
      <c r="H5998" t="s">
        <v>31</v>
      </c>
    </row>
    <row r="6000" spans="8:8" x14ac:dyDescent="0.25">
      <c r="H6000" t="s">
        <v>3546</v>
      </c>
    </row>
    <row r="6001" spans="8:8" x14ac:dyDescent="0.25">
      <c r="H6001" t="s">
        <v>145</v>
      </c>
    </row>
    <row r="6002" spans="8:8" x14ac:dyDescent="0.25">
      <c r="H6002" t="s">
        <v>4050</v>
      </c>
    </row>
    <row r="6003" spans="8:8" x14ac:dyDescent="0.25">
      <c r="H6003" t="s">
        <v>31</v>
      </c>
    </row>
    <row r="6005" spans="8:8" x14ac:dyDescent="0.25">
      <c r="H6005" t="s">
        <v>3548</v>
      </c>
    </row>
    <row r="6006" spans="8:8" x14ac:dyDescent="0.25">
      <c r="H6006" t="s">
        <v>145</v>
      </c>
    </row>
    <row r="6007" spans="8:8" x14ac:dyDescent="0.25">
      <c r="H6007" t="s">
        <v>4051</v>
      </c>
    </row>
    <row r="6008" spans="8:8" x14ac:dyDescent="0.25">
      <c r="H6008" t="s">
        <v>31</v>
      </c>
    </row>
    <row r="6010" spans="8:8" x14ac:dyDescent="0.25">
      <c r="H6010" t="s">
        <v>3550</v>
      </c>
    </row>
    <row r="6011" spans="8:8" x14ac:dyDescent="0.25">
      <c r="H6011" t="s">
        <v>145</v>
      </c>
    </row>
    <row r="6012" spans="8:8" x14ac:dyDescent="0.25">
      <c r="H6012" t="s">
        <v>4052</v>
      </c>
    </row>
    <row r="6013" spans="8:8" x14ac:dyDescent="0.25">
      <c r="H6013" t="s">
        <v>31</v>
      </c>
    </row>
    <row r="6015" spans="8:8" x14ac:dyDescent="0.25">
      <c r="H6015" t="s">
        <v>3552</v>
      </c>
    </row>
    <row r="6016" spans="8:8" x14ac:dyDescent="0.25">
      <c r="H6016" t="s">
        <v>145</v>
      </c>
    </row>
    <row r="6017" spans="8:8" x14ac:dyDescent="0.25">
      <c r="H6017" t="s">
        <v>4053</v>
      </c>
    </row>
    <row r="6018" spans="8:8" x14ac:dyDescent="0.25">
      <c r="H6018" t="s">
        <v>31</v>
      </c>
    </row>
    <row r="6020" spans="8:8" x14ac:dyDescent="0.25">
      <c r="H6020" t="s">
        <v>3554</v>
      </c>
    </row>
    <row r="6021" spans="8:8" x14ac:dyDescent="0.25">
      <c r="H6021" t="s">
        <v>145</v>
      </c>
    </row>
    <row r="6022" spans="8:8" x14ac:dyDescent="0.25">
      <c r="H6022" t="s">
        <v>4054</v>
      </c>
    </row>
    <row r="6023" spans="8:8" x14ac:dyDescent="0.25">
      <c r="H6023" t="s">
        <v>31</v>
      </c>
    </row>
    <row r="6025" spans="8:8" x14ac:dyDescent="0.25">
      <c r="H6025" t="s">
        <v>3556</v>
      </c>
    </row>
    <row r="6026" spans="8:8" x14ac:dyDescent="0.25">
      <c r="H6026" t="s">
        <v>145</v>
      </c>
    </row>
    <row r="6027" spans="8:8" x14ac:dyDescent="0.25">
      <c r="H6027" t="s">
        <v>4055</v>
      </c>
    </row>
    <row r="6028" spans="8:8" x14ac:dyDescent="0.25">
      <c r="H6028" t="s">
        <v>31</v>
      </c>
    </row>
    <row r="6030" spans="8:8" x14ac:dyDescent="0.25">
      <c r="H6030" t="s">
        <v>3558</v>
      </c>
    </row>
    <row r="6031" spans="8:8" x14ac:dyDescent="0.25">
      <c r="H6031" t="s">
        <v>145</v>
      </c>
    </row>
    <row r="6032" spans="8:8" x14ac:dyDescent="0.25">
      <c r="H6032" t="s">
        <v>4056</v>
      </c>
    </row>
    <row r="6033" spans="8:8" x14ac:dyDescent="0.25">
      <c r="H6033" t="s">
        <v>31</v>
      </c>
    </row>
    <row r="6035" spans="8:8" x14ac:dyDescent="0.25">
      <c r="H6035" t="s">
        <v>3560</v>
      </c>
    </row>
    <row r="6036" spans="8:8" x14ac:dyDescent="0.25">
      <c r="H6036" t="s">
        <v>145</v>
      </c>
    </row>
    <row r="6037" spans="8:8" x14ac:dyDescent="0.25">
      <c r="H6037" t="s">
        <v>4057</v>
      </c>
    </row>
    <row r="6038" spans="8:8" x14ac:dyDescent="0.25">
      <c r="H6038" t="s">
        <v>31</v>
      </c>
    </row>
    <row r="6040" spans="8:8" x14ac:dyDescent="0.25">
      <c r="H6040" t="s">
        <v>3562</v>
      </c>
    </row>
    <row r="6041" spans="8:8" x14ac:dyDescent="0.25">
      <c r="H6041" t="s">
        <v>145</v>
      </c>
    </row>
    <row r="6042" spans="8:8" x14ac:dyDescent="0.25">
      <c r="H6042" t="s">
        <v>4058</v>
      </c>
    </row>
    <row r="6043" spans="8:8" x14ac:dyDescent="0.25">
      <c r="H6043" t="s">
        <v>31</v>
      </c>
    </row>
    <row r="6045" spans="8:8" x14ac:dyDescent="0.25">
      <c r="H6045" t="s">
        <v>3564</v>
      </c>
    </row>
    <row r="6046" spans="8:8" x14ac:dyDescent="0.25">
      <c r="H6046" t="s">
        <v>145</v>
      </c>
    </row>
    <row r="6047" spans="8:8" x14ac:dyDescent="0.25">
      <c r="H6047" t="s">
        <v>4059</v>
      </c>
    </row>
    <row r="6048" spans="8:8" x14ac:dyDescent="0.25">
      <c r="H6048" t="s">
        <v>31</v>
      </c>
    </row>
    <row r="6050" spans="8:8" x14ac:dyDescent="0.25">
      <c r="H6050" t="s">
        <v>3566</v>
      </c>
    </row>
    <row r="6051" spans="8:8" x14ac:dyDescent="0.25">
      <c r="H6051" t="s">
        <v>145</v>
      </c>
    </row>
    <row r="6052" spans="8:8" x14ac:dyDescent="0.25">
      <c r="H6052" t="s">
        <v>4060</v>
      </c>
    </row>
    <row r="6053" spans="8:8" x14ac:dyDescent="0.25">
      <c r="H6053" t="s">
        <v>31</v>
      </c>
    </row>
    <row r="6055" spans="8:8" x14ac:dyDescent="0.25">
      <c r="H6055" t="s">
        <v>3568</v>
      </c>
    </row>
    <row r="6056" spans="8:8" x14ac:dyDescent="0.25">
      <c r="H6056" t="s">
        <v>145</v>
      </c>
    </row>
    <row r="6057" spans="8:8" x14ac:dyDescent="0.25">
      <c r="H6057" t="s">
        <v>4061</v>
      </c>
    </row>
    <row r="6058" spans="8:8" x14ac:dyDescent="0.25">
      <c r="H6058" t="s">
        <v>31</v>
      </c>
    </row>
    <row r="6060" spans="8:8" x14ac:dyDescent="0.25">
      <c r="H6060" t="s">
        <v>3570</v>
      </c>
    </row>
    <row r="6061" spans="8:8" x14ac:dyDescent="0.25">
      <c r="H6061" t="s">
        <v>145</v>
      </c>
    </row>
    <row r="6062" spans="8:8" x14ac:dyDescent="0.25">
      <c r="H6062" t="s">
        <v>4062</v>
      </c>
    </row>
    <row r="6063" spans="8:8" x14ac:dyDescent="0.25">
      <c r="H6063" t="s">
        <v>31</v>
      </c>
    </row>
    <row r="6065" spans="8:8" x14ac:dyDescent="0.25">
      <c r="H6065" t="s">
        <v>3572</v>
      </c>
    </row>
    <row r="6066" spans="8:8" x14ac:dyDescent="0.25">
      <c r="H6066" t="s">
        <v>145</v>
      </c>
    </row>
    <row r="6067" spans="8:8" x14ac:dyDescent="0.25">
      <c r="H6067" t="s">
        <v>4063</v>
      </c>
    </row>
    <row r="6068" spans="8:8" x14ac:dyDescent="0.25">
      <c r="H6068" t="s">
        <v>31</v>
      </c>
    </row>
    <row r="6070" spans="8:8" x14ac:dyDescent="0.25">
      <c r="H6070" t="s">
        <v>3574</v>
      </c>
    </row>
    <row r="6071" spans="8:8" x14ac:dyDescent="0.25">
      <c r="H6071" t="s">
        <v>145</v>
      </c>
    </row>
    <row r="6072" spans="8:8" x14ac:dyDescent="0.25">
      <c r="H6072" t="s">
        <v>4064</v>
      </c>
    </row>
    <row r="6073" spans="8:8" x14ac:dyDescent="0.25">
      <c r="H6073" t="s">
        <v>31</v>
      </c>
    </row>
    <row r="6075" spans="8:8" x14ac:dyDescent="0.25">
      <c r="H6075" t="s">
        <v>3576</v>
      </c>
    </row>
    <row r="6076" spans="8:8" x14ac:dyDescent="0.25">
      <c r="H6076" t="s">
        <v>145</v>
      </c>
    </row>
    <row r="6077" spans="8:8" x14ac:dyDescent="0.25">
      <c r="H6077" t="s">
        <v>4065</v>
      </c>
    </row>
    <row r="6078" spans="8:8" x14ac:dyDescent="0.25">
      <c r="H6078" t="s">
        <v>31</v>
      </c>
    </row>
    <row r="6080" spans="8:8" x14ac:dyDescent="0.25">
      <c r="H6080" t="s">
        <v>3578</v>
      </c>
    </row>
    <row r="6081" spans="8:8" x14ac:dyDescent="0.25">
      <c r="H6081" t="s">
        <v>145</v>
      </c>
    </row>
    <row r="6082" spans="8:8" x14ac:dyDescent="0.25">
      <c r="H6082" t="s">
        <v>4066</v>
      </c>
    </row>
    <row r="6083" spans="8:8" x14ac:dyDescent="0.25">
      <c r="H6083" t="s">
        <v>31</v>
      </c>
    </row>
    <row r="6085" spans="8:8" x14ac:dyDescent="0.25">
      <c r="H6085" t="s">
        <v>3580</v>
      </c>
    </row>
    <row r="6086" spans="8:8" x14ac:dyDescent="0.25">
      <c r="H6086" t="s">
        <v>145</v>
      </c>
    </row>
    <row r="6087" spans="8:8" x14ac:dyDescent="0.25">
      <c r="H6087" t="s">
        <v>4067</v>
      </c>
    </row>
    <row r="6088" spans="8:8" x14ac:dyDescent="0.25">
      <c r="H6088" t="s">
        <v>31</v>
      </c>
    </row>
    <row r="6090" spans="8:8" x14ac:dyDescent="0.25">
      <c r="H6090" t="s">
        <v>3582</v>
      </c>
    </row>
    <row r="6091" spans="8:8" x14ac:dyDescent="0.25">
      <c r="H6091" t="s">
        <v>145</v>
      </c>
    </row>
    <row r="6092" spans="8:8" x14ac:dyDescent="0.25">
      <c r="H6092" t="s">
        <v>4068</v>
      </c>
    </row>
    <row r="6093" spans="8:8" x14ac:dyDescent="0.25">
      <c r="H6093" t="s">
        <v>31</v>
      </c>
    </row>
    <row r="6095" spans="8:8" x14ac:dyDescent="0.25">
      <c r="H6095" t="s">
        <v>3584</v>
      </c>
    </row>
    <row r="6096" spans="8:8" x14ac:dyDescent="0.25">
      <c r="H6096" t="s">
        <v>145</v>
      </c>
    </row>
    <row r="6097" spans="8:8" x14ac:dyDescent="0.25">
      <c r="H6097" t="s">
        <v>4069</v>
      </c>
    </row>
    <row r="6098" spans="8:8" x14ac:dyDescent="0.25">
      <c r="H6098" t="s">
        <v>31</v>
      </c>
    </row>
    <row r="6100" spans="8:8" x14ac:dyDescent="0.25">
      <c r="H6100" t="s">
        <v>3586</v>
      </c>
    </row>
    <row r="6101" spans="8:8" x14ac:dyDescent="0.25">
      <c r="H6101" t="s">
        <v>145</v>
      </c>
    </row>
    <row r="6102" spans="8:8" x14ac:dyDescent="0.25">
      <c r="H6102" t="s">
        <v>4070</v>
      </c>
    </row>
    <row r="6103" spans="8:8" x14ac:dyDescent="0.25">
      <c r="H6103" t="s">
        <v>31</v>
      </c>
    </row>
    <row r="6105" spans="8:8" x14ac:dyDescent="0.25">
      <c r="H6105" t="s">
        <v>3588</v>
      </c>
    </row>
    <row r="6106" spans="8:8" x14ac:dyDescent="0.25">
      <c r="H6106" t="s">
        <v>145</v>
      </c>
    </row>
    <row r="6107" spans="8:8" x14ac:dyDescent="0.25">
      <c r="H6107" t="s">
        <v>4071</v>
      </c>
    </row>
    <row r="6108" spans="8:8" x14ac:dyDescent="0.25">
      <c r="H6108" t="s">
        <v>31</v>
      </c>
    </row>
    <row r="6110" spans="8:8" x14ac:dyDescent="0.25">
      <c r="H6110" t="s">
        <v>3590</v>
      </c>
    </row>
    <row r="6111" spans="8:8" x14ac:dyDescent="0.25">
      <c r="H6111" t="s">
        <v>145</v>
      </c>
    </row>
    <row r="6112" spans="8:8" x14ac:dyDescent="0.25">
      <c r="H6112" t="s">
        <v>4072</v>
      </c>
    </row>
    <row r="6113" spans="8:8" x14ac:dyDescent="0.25">
      <c r="H6113" t="s">
        <v>31</v>
      </c>
    </row>
    <row r="6115" spans="8:8" x14ac:dyDescent="0.25">
      <c r="H6115" t="s">
        <v>3592</v>
      </c>
    </row>
    <row r="6116" spans="8:8" x14ac:dyDescent="0.25">
      <c r="H6116" t="s">
        <v>145</v>
      </c>
    </row>
    <row r="6117" spans="8:8" x14ac:dyDescent="0.25">
      <c r="H6117" t="s">
        <v>4073</v>
      </c>
    </row>
    <row r="6118" spans="8:8" x14ac:dyDescent="0.25">
      <c r="H6118" t="s">
        <v>31</v>
      </c>
    </row>
    <row r="6120" spans="8:8" x14ac:dyDescent="0.25">
      <c r="H6120" t="s">
        <v>3594</v>
      </c>
    </row>
    <row r="6121" spans="8:8" x14ac:dyDescent="0.25">
      <c r="H6121" t="s">
        <v>145</v>
      </c>
    </row>
    <row r="6122" spans="8:8" x14ac:dyDescent="0.25">
      <c r="H6122" t="s">
        <v>4074</v>
      </c>
    </row>
    <row r="6123" spans="8:8" x14ac:dyDescent="0.25">
      <c r="H6123" t="s">
        <v>31</v>
      </c>
    </row>
    <row r="6125" spans="8:8" x14ac:dyDescent="0.25">
      <c r="H6125" t="s">
        <v>3596</v>
      </c>
    </row>
    <row r="6126" spans="8:8" x14ac:dyDescent="0.25">
      <c r="H6126" t="s">
        <v>145</v>
      </c>
    </row>
    <row r="6127" spans="8:8" x14ac:dyDescent="0.25">
      <c r="H6127" t="s">
        <v>4075</v>
      </c>
    </row>
    <row r="6128" spans="8:8" x14ac:dyDescent="0.25">
      <c r="H6128" t="s">
        <v>31</v>
      </c>
    </row>
    <row r="6130" spans="8:8" x14ac:dyDescent="0.25">
      <c r="H6130" t="s">
        <v>3598</v>
      </c>
    </row>
    <row r="6131" spans="8:8" x14ac:dyDescent="0.25">
      <c r="H6131" t="s">
        <v>145</v>
      </c>
    </row>
    <row r="6132" spans="8:8" x14ac:dyDescent="0.25">
      <c r="H6132" t="s">
        <v>4076</v>
      </c>
    </row>
    <row r="6133" spans="8:8" x14ac:dyDescent="0.25">
      <c r="H6133" t="s">
        <v>31</v>
      </c>
    </row>
    <row r="6135" spans="8:8" x14ac:dyDescent="0.25">
      <c r="H6135" t="s">
        <v>3600</v>
      </c>
    </row>
    <row r="6136" spans="8:8" x14ac:dyDescent="0.25">
      <c r="H6136" t="s">
        <v>145</v>
      </c>
    </row>
    <row r="6137" spans="8:8" x14ac:dyDescent="0.25">
      <c r="H6137" t="s">
        <v>4077</v>
      </c>
    </row>
    <row r="6138" spans="8:8" x14ac:dyDescent="0.25">
      <c r="H6138" t="s">
        <v>31</v>
      </c>
    </row>
    <row r="6140" spans="8:8" x14ac:dyDescent="0.25">
      <c r="H6140" t="s">
        <v>3602</v>
      </c>
    </row>
    <row r="6141" spans="8:8" x14ac:dyDescent="0.25">
      <c r="H6141" t="s">
        <v>145</v>
      </c>
    </row>
    <row r="6142" spans="8:8" x14ac:dyDescent="0.25">
      <c r="H6142" t="s">
        <v>4078</v>
      </c>
    </row>
    <row r="6143" spans="8:8" x14ac:dyDescent="0.25">
      <c r="H6143" t="s">
        <v>31</v>
      </c>
    </row>
    <row r="6145" spans="8:8" x14ac:dyDescent="0.25">
      <c r="H6145" t="s">
        <v>3604</v>
      </c>
    </row>
    <row r="6146" spans="8:8" x14ac:dyDescent="0.25">
      <c r="H6146" t="s">
        <v>145</v>
      </c>
    </row>
    <row r="6147" spans="8:8" x14ac:dyDescent="0.25">
      <c r="H6147" t="s">
        <v>4079</v>
      </c>
    </row>
    <row r="6148" spans="8:8" x14ac:dyDescent="0.25">
      <c r="H6148" t="s">
        <v>31</v>
      </c>
    </row>
    <row r="6150" spans="8:8" x14ac:dyDescent="0.25">
      <c r="H6150" t="s">
        <v>3606</v>
      </c>
    </row>
    <row r="6151" spans="8:8" x14ac:dyDescent="0.25">
      <c r="H6151" t="s">
        <v>145</v>
      </c>
    </row>
    <row r="6152" spans="8:8" x14ac:dyDescent="0.25">
      <c r="H6152" t="s">
        <v>4080</v>
      </c>
    </row>
    <row r="6153" spans="8:8" x14ac:dyDescent="0.25">
      <c r="H6153" t="s">
        <v>31</v>
      </c>
    </row>
    <row r="6155" spans="8:8" x14ac:dyDescent="0.25">
      <c r="H6155" t="s">
        <v>3608</v>
      </c>
    </row>
    <row r="6156" spans="8:8" x14ac:dyDescent="0.25">
      <c r="H6156" t="s">
        <v>145</v>
      </c>
    </row>
    <row r="6157" spans="8:8" x14ac:dyDescent="0.25">
      <c r="H6157" t="s">
        <v>4081</v>
      </c>
    </row>
    <row r="6158" spans="8:8" x14ac:dyDescent="0.25">
      <c r="H6158" t="s">
        <v>31</v>
      </c>
    </row>
    <row r="6160" spans="8:8" x14ac:dyDescent="0.25">
      <c r="H6160" t="s">
        <v>3610</v>
      </c>
    </row>
    <row r="6161" spans="8:8" x14ac:dyDescent="0.25">
      <c r="H6161" t="s">
        <v>145</v>
      </c>
    </row>
    <row r="6162" spans="8:8" x14ac:dyDescent="0.25">
      <c r="H6162" t="s">
        <v>4082</v>
      </c>
    </row>
    <row r="6163" spans="8:8" x14ac:dyDescent="0.25">
      <c r="H6163" t="s">
        <v>31</v>
      </c>
    </row>
    <row r="6165" spans="8:8" x14ac:dyDescent="0.25">
      <c r="H6165" t="s">
        <v>3612</v>
      </c>
    </row>
    <row r="6166" spans="8:8" x14ac:dyDescent="0.25">
      <c r="H6166" t="s">
        <v>145</v>
      </c>
    </row>
    <row r="6167" spans="8:8" x14ac:dyDescent="0.25">
      <c r="H6167" t="s">
        <v>4083</v>
      </c>
    </row>
    <row r="6168" spans="8:8" x14ac:dyDescent="0.25">
      <c r="H6168" t="s">
        <v>31</v>
      </c>
    </row>
    <row r="6170" spans="8:8" x14ac:dyDescent="0.25">
      <c r="H6170" t="s">
        <v>3614</v>
      </c>
    </row>
    <row r="6171" spans="8:8" x14ac:dyDescent="0.25">
      <c r="H6171" t="s">
        <v>145</v>
      </c>
    </row>
    <row r="6172" spans="8:8" x14ac:dyDescent="0.25">
      <c r="H6172" t="s">
        <v>4084</v>
      </c>
    </row>
    <row r="6173" spans="8:8" x14ac:dyDescent="0.25">
      <c r="H6173" t="s">
        <v>31</v>
      </c>
    </row>
    <row r="6175" spans="8:8" x14ac:dyDescent="0.25">
      <c r="H6175" t="s">
        <v>3616</v>
      </c>
    </row>
    <row r="6176" spans="8:8" x14ac:dyDescent="0.25">
      <c r="H6176" t="s">
        <v>145</v>
      </c>
    </row>
    <row r="6177" spans="8:8" x14ac:dyDescent="0.25">
      <c r="H6177" t="s">
        <v>4085</v>
      </c>
    </row>
    <row r="6178" spans="8:8" x14ac:dyDescent="0.25">
      <c r="H6178" t="s">
        <v>31</v>
      </c>
    </row>
    <row r="6180" spans="8:8" x14ac:dyDescent="0.25">
      <c r="H6180" t="s">
        <v>3618</v>
      </c>
    </row>
    <row r="6181" spans="8:8" x14ac:dyDescent="0.25">
      <c r="H6181" t="s">
        <v>145</v>
      </c>
    </row>
    <row r="6182" spans="8:8" x14ac:dyDescent="0.25">
      <c r="H6182" t="s">
        <v>4086</v>
      </c>
    </row>
    <row r="6183" spans="8:8" x14ac:dyDescent="0.25">
      <c r="H6183" t="s">
        <v>31</v>
      </c>
    </row>
    <row r="6185" spans="8:8" x14ac:dyDescent="0.25">
      <c r="H6185" t="s">
        <v>3620</v>
      </c>
    </row>
    <row r="6186" spans="8:8" x14ac:dyDescent="0.25">
      <c r="H6186" t="s">
        <v>145</v>
      </c>
    </row>
    <row r="6187" spans="8:8" x14ac:dyDescent="0.25">
      <c r="H6187" t="s">
        <v>4087</v>
      </c>
    </row>
    <row r="6188" spans="8:8" x14ac:dyDescent="0.25">
      <c r="H6188" t="s">
        <v>31</v>
      </c>
    </row>
    <row r="6190" spans="8:8" x14ac:dyDescent="0.25">
      <c r="H6190" t="s">
        <v>3622</v>
      </c>
    </row>
    <row r="6191" spans="8:8" x14ac:dyDescent="0.25">
      <c r="H6191" t="s">
        <v>145</v>
      </c>
    </row>
    <row r="6192" spans="8:8" x14ac:dyDescent="0.25">
      <c r="H6192" t="s">
        <v>4088</v>
      </c>
    </row>
    <row r="6193" spans="8:8" x14ac:dyDescent="0.25">
      <c r="H6193" t="s">
        <v>31</v>
      </c>
    </row>
    <row r="6195" spans="8:8" x14ac:dyDescent="0.25">
      <c r="H6195" t="s">
        <v>3624</v>
      </c>
    </row>
    <row r="6196" spans="8:8" x14ac:dyDescent="0.25">
      <c r="H6196" t="s">
        <v>145</v>
      </c>
    </row>
    <row r="6197" spans="8:8" x14ac:dyDescent="0.25">
      <c r="H6197" t="s">
        <v>4089</v>
      </c>
    </row>
    <row r="6198" spans="8:8" x14ac:dyDescent="0.25">
      <c r="H6198" t="s">
        <v>31</v>
      </c>
    </row>
    <row r="6200" spans="8:8" x14ac:dyDescent="0.25">
      <c r="H6200" t="s">
        <v>3626</v>
      </c>
    </row>
    <row r="6201" spans="8:8" x14ac:dyDescent="0.25">
      <c r="H6201" t="s">
        <v>145</v>
      </c>
    </row>
    <row r="6202" spans="8:8" x14ac:dyDescent="0.25">
      <c r="H6202" t="s">
        <v>4090</v>
      </c>
    </row>
    <row r="6203" spans="8:8" x14ac:dyDescent="0.25">
      <c r="H6203" t="s">
        <v>31</v>
      </c>
    </row>
    <row r="6205" spans="8:8" x14ac:dyDescent="0.25">
      <c r="H6205" t="s">
        <v>3628</v>
      </c>
    </row>
    <row r="6206" spans="8:8" x14ac:dyDescent="0.25">
      <c r="H6206" t="s">
        <v>145</v>
      </c>
    </row>
    <row r="6207" spans="8:8" x14ac:dyDescent="0.25">
      <c r="H6207" t="s">
        <v>4091</v>
      </c>
    </row>
    <row r="6208" spans="8:8" x14ac:dyDescent="0.25">
      <c r="H6208" t="s">
        <v>31</v>
      </c>
    </row>
    <row r="6210" spans="8:8" x14ac:dyDescent="0.25">
      <c r="H6210" t="s">
        <v>3630</v>
      </c>
    </row>
    <row r="6211" spans="8:8" x14ac:dyDescent="0.25">
      <c r="H6211" t="s">
        <v>145</v>
      </c>
    </row>
    <row r="6212" spans="8:8" x14ac:dyDescent="0.25">
      <c r="H6212" t="s">
        <v>4092</v>
      </c>
    </row>
    <row r="6213" spans="8:8" x14ac:dyDescent="0.25">
      <c r="H6213" t="s">
        <v>31</v>
      </c>
    </row>
    <row r="6215" spans="8:8" x14ac:dyDescent="0.25">
      <c r="H6215" t="s">
        <v>3632</v>
      </c>
    </row>
    <row r="6216" spans="8:8" x14ac:dyDescent="0.25">
      <c r="H6216" t="s">
        <v>145</v>
      </c>
    </row>
    <row r="6217" spans="8:8" x14ac:dyDescent="0.25">
      <c r="H6217" t="s">
        <v>4093</v>
      </c>
    </row>
    <row r="6218" spans="8:8" x14ac:dyDescent="0.25">
      <c r="H6218" t="s">
        <v>31</v>
      </c>
    </row>
    <row r="6220" spans="8:8" x14ac:dyDescent="0.25">
      <c r="H6220" t="s">
        <v>3634</v>
      </c>
    </row>
    <row r="6221" spans="8:8" x14ac:dyDescent="0.25">
      <c r="H6221" t="s">
        <v>145</v>
      </c>
    </row>
    <row r="6222" spans="8:8" x14ac:dyDescent="0.25">
      <c r="H6222" t="s">
        <v>4094</v>
      </c>
    </row>
    <row r="6223" spans="8:8" x14ac:dyDescent="0.25">
      <c r="H6223" t="s">
        <v>31</v>
      </c>
    </row>
    <row r="6225" spans="8:8" x14ac:dyDescent="0.25">
      <c r="H6225" t="s">
        <v>3636</v>
      </c>
    </row>
    <row r="6226" spans="8:8" x14ac:dyDescent="0.25">
      <c r="H6226" t="s">
        <v>145</v>
      </c>
    </row>
    <row r="6227" spans="8:8" x14ac:dyDescent="0.25">
      <c r="H6227" t="s">
        <v>4095</v>
      </c>
    </row>
    <row r="6228" spans="8:8" x14ac:dyDescent="0.25">
      <c r="H6228" t="s">
        <v>31</v>
      </c>
    </row>
    <row r="6229" spans="8:8" x14ac:dyDescent="0.25">
      <c r="H6229" t="s">
        <v>146</v>
      </c>
    </row>
    <row r="6230" spans="8:8" x14ac:dyDescent="0.25">
      <c r="H6230" t="s">
        <v>4096</v>
      </c>
    </row>
    <row r="6231" spans="8:8" x14ac:dyDescent="0.25">
      <c r="H6231" t="s">
        <v>31</v>
      </c>
    </row>
    <row r="6232" spans="8:8" x14ac:dyDescent="0.25">
      <c r="H6232" t="s">
        <v>147</v>
      </c>
    </row>
    <row r="6233" spans="8:8" x14ac:dyDescent="0.25">
      <c r="H6233" t="s">
        <v>4097</v>
      </c>
    </row>
    <row r="6234" spans="8:8" x14ac:dyDescent="0.25">
      <c r="H6234" t="s">
        <v>31</v>
      </c>
    </row>
    <row r="6236" spans="8:8" x14ac:dyDescent="0.25">
      <c r="H6236" t="s">
        <v>3638</v>
      </c>
    </row>
    <row r="6237" spans="8:8" x14ac:dyDescent="0.25">
      <c r="H6237" t="s">
        <v>145</v>
      </c>
    </row>
    <row r="6238" spans="8:8" x14ac:dyDescent="0.25">
      <c r="H6238" t="s">
        <v>4098</v>
      </c>
    </row>
    <row r="6239" spans="8:8" x14ac:dyDescent="0.25">
      <c r="H6239" t="s">
        <v>31</v>
      </c>
    </row>
    <row r="6240" spans="8:8" x14ac:dyDescent="0.25">
      <c r="H6240" t="s">
        <v>146</v>
      </c>
    </row>
    <row r="6241" spans="8:8" x14ac:dyDescent="0.25">
      <c r="H6241" t="s">
        <v>4099</v>
      </c>
    </row>
    <row r="6242" spans="8:8" x14ac:dyDescent="0.25">
      <c r="H6242" t="s">
        <v>31</v>
      </c>
    </row>
    <row r="6243" spans="8:8" x14ac:dyDescent="0.25">
      <c r="H6243" t="s">
        <v>147</v>
      </c>
    </row>
    <row r="6244" spans="8:8" x14ac:dyDescent="0.25">
      <c r="H6244" t="s">
        <v>4100</v>
      </c>
    </row>
    <row r="6245" spans="8:8" x14ac:dyDescent="0.25">
      <c r="H6245" t="s">
        <v>31</v>
      </c>
    </row>
    <row r="6246" spans="8:8" x14ac:dyDescent="0.25">
      <c r="H6246" t="s">
        <v>148</v>
      </c>
    </row>
    <row r="6247" spans="8:8" x14ac:dyDescent="0.25">
      <c r="H6247" t="s">
        <v>4101</v>
      </c>
    </row>
    <row r="6248" spans="8:8" x14ac:dyDescent="0.25">
      <c r="H6248" t="s">
        <v>31</v>
      </c>
    </row>
    <row r="6250" spans="8:8" x14ac:dyDescent="0.25">
      <c r="H6250" t="s">
        <v>3640</v>
      </c>
    </row>
    <row r="6251" spans="8:8" x14ac:dyDescent="0.25">
      <c r="H6251" t="s">
        <v>145</v>
      </c>
    </row>
    <row r="6252" spans="8:8" x14ac:dyDescent="0.25">
      <c r="H6252" t="s">
        <v>4102</v>
      </c>
    </row>
    <row r="6253" spans="8:8" x14ac:dyDescent="0.25">
      <c r="H6253" t="s">
        <v>31</v>
      </c>
    </row>
    <row r="6254" spans="8:8" x14ac:dyDescent="0.25">
      <c r="H6254" t="s">
        <v>147</v>
      </c>
    </row>
    <row r="6255" spans="8:8" x14ac:dyDescent="0.25">
      <c r="H6255" t="s">
        <v>4103</v>
      </c>
    </row>
    <row r="6256" spans="8:8" x14ac:dyDescent="0.25">
      <c r="H6256" t="s">
        <v>31</v>
      </c>
    </row>
    <row r="6257" spans="8:8" x14ac:dyDescent="0.25">
      <c r="H6257" t="s">
        <v>148</v>
      </c>
    </row>
    <row r="6258" spans="8:8" x14ac:dyDescent="0.25">
      <c r="H6258" t="s">
        <v>4104</v>
      </c>
    </row>
    <row r="6259" spans="8:8" x14ac:dyDescent="0.25">
      <c r="H6259" t="s">
        <v>31</v>
      </c>
    </row>
    <row r="6261" spans="8:8" x14ac:dyDescent="0.25">
      <c r="H6261" t="s">
        <v>3642</v>
      </c>
    </row>
    <row r="6262" spans="8:8" x14ac:dyDescent="0.25">
      <c r="H6262" t="s">
        <v>145</v>
      </c>
    </row>
    <row r="6263" spans="8:8" x14ac:dyDescent="0.25">
      <c r="H6263" t="s">
        <v>4105</v>
      </c>
    </row>
    <row r="6264" spans="8:8" x14ac:dyDescent="0.25">
      <c r="H6264" t="s">
        <v>31</v>
      </c>
    </row>
    <row r="6266" spans="8:8" x14ac:dyDescent="0.25">
      <c r="H6266" t="s">
        <v>3644</v>
      </c>
    </row>
    <row r="6267" spans="8:8" x14ac:dyDescent="0.25">
      <c r="H6267" t="s">
        <v>145</v>
      </c>
    </row>
    <row r="6268" spans="8:8" x14ac:dyDescent="0.25">
      <c r="H6268" t="s">
        <v>4106</v>
      </c>
    </row>
    <row r="6269" spans="8:8" x14ac:dyDescent="0.25">
      <c r="H6269" t="s">
        <v>31</v>
      </c>
    </row>
    <row r="6271" spans="8:8" x14ac:dyDescent="0.25">
      <c r="H6271" t="s">
        <v>3646</v>
      </c>
    </row>
    <row r="6272" spans="8:8" x14ac:dyDescent="0.25">
      <c r="H6272" t="s">
        <v>145</v>
      </c>
    </row>
    <row r="6273" spans="8:8" x14ac:dyDescent="0.25">
      <c r="H6273" t="s">
        <v>4107</v>
      </c>
    </row>
    <row r="6274" spans="8:8" x14ac:dyDescent="0.25">
      <c r="H6274" t="s">
        <v>31</v>
      </c>
    </row>
    <row r="6275" spans="8:8" x14ac:dyDescent="0.25">
      <c r="H6275" t="s">
        <v>146</v>
      </c>
    </row>
    <row r="6276" spans="8:8" x14ac:dyDescent="0.25">
      <c r="H6276" t="s">
        <v>4108</v>
      </c>
    </row>
    <row r="6277" spans="8:8" x14ac:dyDescent="0.25">
      <c r="H6277" t="s">
        <v>31</v>
      </c>
    </row>
    <row r="6279" spans="8:8" x14ac:dyDescent="0.25">
      <c r="H6279" t="s">
        <v>3648</v>
      </c>
    </row>
    <row r="6280" spans="8:8" x14ac:dyDescent="0.25">
      <c r="H6280" t="s">
        <v>145</v>
      </c>
    </row>
    <row r="6281" spans="8:8" x14ac:dyDescent="0.25">
      <c r="H6281" t="s">
        <v>4109</v>
      </c>
    </row>
    <row r="6282" spans="8:8" x14ac:dyDescent="0.25">
      <c r="H6282" t="s">
        <v>31</v>
      </c>
    </row>
    <row r="6284" spans="8:8" x14ac:dyDescent="0.25">
      <c r="H6284" t="s">
        <v>3650</v>
      </c>
    </row>
    <row r="6285" spans="8:8" x14ac:dyDescent="0.25">
      <c r="H6285" t="s">
        <v>145</v>
      </c>
    </row>
    <row r="6286" spans="8:8" x14ac:dyDescent="0.25">
      <c r="H6286" t="s">
        <v>4110</v>
      </c>
    </row>
    <row r="6287" spans="8:8" x14ac:dyDescent="0.25">
      <c r="H6287" t="s">
        <v>31</v>
      </c>
    </row>
    <row r="6289" spans="8:8" x14ac:dyDescent="0.25">
      <c r="H6289" t="s">
        <v>3652</v>
      </c>
    </row>
    <row r="6290" spans="8:8" x14ac:dyDescent="0.25">
      <c r="H6290" t="s">
        <v>145</v>
      </c>
    </row>
    <row r="6291" spans="8:8" x14ac:dyDescent="0.25">
      <c r="H6291" t="s">
        <v>4111</v>
      </c>
    </row>
    <row r="6292" spans="8:8" x14ac:dyDescent="0.25">
      <c r="H6292" t="s">
        <v>31</v>
      </c>
    </row>
    <row r="6293" spans="8:8" x14ac:dyDescent="0.25">
      <c r="H6293" t="s">
        <v>146</v>
      </c>
    </row>
    <row r="6294" spans="8:8" x14ac:dyDescent="0.25">
      <c r="H6294" t="s">
        <v>4112</v>
      </c>
    </row>
    <row r="6295" spans="8:8" x14ac:dyDescent="0.25">
      <c r="H6295" t="s">
        <v>31</v>
      </c>
    </row>
    <row r="6297" spans="8:8" x14ac:dyDescent="0.25">
      <c r="H6297" t="s">
        <v>3654</v>
      </c>
    </row>
    <row r="6298" spans="8:8" x14ac:dyDescent="0.25">
      <c r="H6298" t="s">
        <v>145</v>
      </c>
    </row>
    <row r="6299" spans="8:8" x14ac:dyDescent="0.25">
      <c r="H6299" t="s">
        <v>4113</v>
      </c>
    </row>
    <row r="6300" spans="8:8" x14ac:dyDescent="0.25">
      <c r="H6300" t="s">
        <v>31</v>
      </c>
    </row>
    <row r="6302" spans="8:8" x14ac:dyDescent="0.25">
      <c r="H6302" t="s">
        <v>3656</v>
      </c>
    </row>
    <row r="6303" spans="8:8" x14ac:dyDescent="0.25">
      <c r="H6303" t="s">
        <v>145</v>
      </c>
    </row>
    <row r="6304" spans="8:8" x14ac:dyDescent="0.25">
      <c r="H6304" t="s">
        <v>4114</v>
      </c>
    </row>
    <row r="6305" spans="8:8" x14ac:dyDescent="0.25">
      <c r="H6305" t="s">
        <v>31</v>
      </c>
    </row>
    <row r="6307" spans="8:8" x14ac:dyDescent="0.25">
      <c r="H6307" t="s">
        <v>3658</v>
      </c>
    </row>
    <row r="6308" spans="8:8" x14ac:dyDescent="0.25">
      <c r="H6308" t="s">
        <v>145</v>
      </c>
    </row>
    <row r="6309" spans="8:8" x14ac:dyDescent="0.25">
      <c r="H6309" t="s">
        <v>4115</v>
      </c>
    </row>
    <row r="6310" spans="8:8" x14ac:dyDescent="0.25">
      <c r="H6310" t="s">
        <v>31</v>
      </c>
    </row>
    <row r="6311" spans="8:8" x14ac:dyDescent="0.25">
      <c r="H6311" t="s">
        <v>146</v>
      </c>
    </row>
    <row r="6312" spans="8:8" x14ac:dyDescent="0.25">
      <c r="H6312" t="s">
        <v>4116</v>
      </c>
    </row>
    <row r="6313" spans="8:8" x14ac:dyDescent="0.25">
      <c r="H6313" t="s">
        <v>31</v>
      </c>
    </row>
    <row r="6315" spans="8:8" x14ac:dyDescent="0.25">
      <c r="H6315" t="s">
        <v>3660</v>
      </c>
    </row>
    <row r="6316" spans="8:8" x14ac:dyDescent="0.25">
      <c r="H6316" t="s">
        <v>145</v>
      </c>
    </row>
    <row r="6317" spans="8:8" x14ac:dyDescent="0.25">
      <c r="H6317" t="s">
        <v>4117</v>
      </c>
    </row>
    <row r="6318" spans="8:8" x14ac:dyDescent="0.25">
      <c r="H6318" t="s">
        <v>31</v>
      </c>
    </row>
    <row r="6320" spans="8:8" x14ac:dyDescent="0.25">
      <c r="H6320" t="s">
        <v>3662</v>
      </c>
    </row>
    <row r="6321" spans="8:8" x14ac:dyDescent="0.25">
      <c r="H6321" t="s">
        <v>145</v>
      </c>
    </row>
    <row r="6322" spans="8:8" x14ac:dyDescent="0.25">
      <c r="H6322" t="s">
        <v>4118</v>
      </c>
    </row>
    <row r="6323" spans="8:8" x14ac:dyDescent="0.25">
      <c r="H6323" t="s">
        <v>31</v>
      </c>
    </row>
    <row r="6325" spans="8:8" x14ac:dyDescent="0.25">
      <c r="H6325" t="s">
        <v>3664</v>
      </c>
    </row>
    <row r="6326" spans="8:8" x14ac:dyDescent="0.25">
      <c r="H6326" t="s">
        <v>145</v>
      </c>
    </row>
    <row r="6327" spans="8:8" x14ac:dyDescent="0.25">
      <c r="H6327" t="s">
        <v>4119</v>
      </c>
    </row>
    <row r="6328" spans="8:8" x14ac:dyDescent="0.25">
      <c r="H6328" t="s">
        <v>31</v>
      </c>
    </row>
    <row r="6329" spans="8:8" x14ac:dyDescent="0.25">
      <c r="H6329" t="s">
        <v>146</v>
      </c>
    </row>
    <row r="6330" spans="8:8" x14ac:dyDescent="0.25">
      <c r="H6330" t="s">
        <v>4120</v>
      </c>
    </row>
    <row r="6331" spans="8:8" x14ac:dyDescent="0.25">
      <c r="H6331" t="s">
        <v>31</v>
      </c>
    </row>
    <row r="6332" spans="8:8" x14ac:dyDescent="0.25">
      <c r="H6332" t="s">
        <v>147</v>
      </c>
    </row>
    <row r="6333" spans="8:8" x14ac:dyDescent="0.25">
      <c r="H6333" t="s">
        <v>4121</v>
      </c>
    </row>
    <row r="6334" spans="8:8" x14ac:dyDescent="0.25">
      <c r="H6334" t="s">
        <v>31</v>
      </c>
    </row>
    <row r="6335" spans="8:8" x14ac:dyDescent="0.25">
      <c r="H6335" t="s">
        <v>148</v>
      </c>
    </row>
    <row r="6336" spans="8:8" x14ac:dyDescent="0.25">
      <c r="H6336" t="s">
        <v>4122</v>
      </c>
    </row>
    <row r="6337" spans="8:8" x14ac:dyDescent="0.25">
      <c r="H6337" t="s">
        <v>31</v>
      </c>
    </row>
    <row r="6339" spans="8:8" x14ac:dyDescent="0.25">
      <c r="H6339" t="s">
        <v>3666</v>
      </c>
    </row>
    <row r="6340" spans="8:8" x14ac:dyDescent="0.25">
      <c r="H6340" t="s">
        <v>145</v>
      </c>
    </row>
    <row r="6341" spans="8:8" x14ac:dyDescent="0.25">
      <c r="H6341" t="s">
        <v>4123</v>
      </c>
    </row>
    <row r="6342" spans="8:8" x14ac:dyDescent="0.25">
      <c r="H6342" t="s">
        <v>31</v>
      </c>
    </row>
    <row r="6344" spans="8:8" x14ac:dyDescent="0.25">
      <c r="H6344" t="s">
        <v>3668</v>
      </c>
    </row>
    <row r="6345" spans="8:8" x14ac:dyDescent="0.25">
      <c r="H6345" t="s">
        <v>145</v>
      </c>
    </row>
    <row r="6346" spans="8:8" x14ac:dyDescent="0.25">
      <c r="H6346" t="s">
        <v>4124</v>
      </c>
    </row>
    <row r="6347" spans="8:8" x14ac:dyDescent="0.25">
      <c r="H6347" t="s">
        <v>31</v>
      </c>
    </row>
    <row r="6348" spans="8:8" x14ac:dyDescent="0.25">
      <c r="H6348" t="s">
        <v>146</v>
      </c>
    </row>
    <row r="6349" spans="8:8" x14ac:dyDescent="0.25">
      <c r="H6349" t="s">
        <v>4125</v>
      </c>
    </row>
    <row r="6350" spans="8:8" x14ac:dyDescent="0.25">
      <c r="H6350" t="s">
        <v>31</v>
      </c>
    </row>
    <row r="6351" spans="8:8" x14ac:dyDescent="0.25">
      <c r="H6351" t="s">
        <v>147</v>
      </c>
    </row>
    <row r="6352" spans="8:8" x14ac:dyDescent="0.25">
      <c r="H6352" t="s">
        <v>4126</v>
      </c>
    </row>
    <row r="6353" spans="8:8" x14ac:dyDescent="0.25">
      <c r="H6353" t="s">
        <v>31</v>
      </c>
    </row>
    <row r="6354" spans="8:8" x14ac:dyDescent="0.25">
      <c r="H6354" t="s">
        <v>148</v>
      </c>
    </row>
    <row r="6355" spans="8:8" x14ac:dyDescent="0.25">
      <c r="H6355" t="s">
        <v>4127</v>
      </c>
    </row>
    <row r="6356" spans="8:8" x14ac:dyDescent="0.25">
      <c r="H6356" t="s">
        <v>31</v>
      </c>
    </row>
    <row r="6358" spans="8:8" x14ac:dyDescent="0.25">
      <c r="H6358" t="s">
        <v>3672</v>
      </c>
    </row>
    <row r="6359" spans="8:8" x14ac:dyDescent="0.25">
      <c r="H6359" t="s">
        <v>145</v>
      </c>
    </row>
    <row r="6360" spans="8:8" x14ac:dyDescent="0.25">
      <c r="H6360" t="s">
        <v>4128</v>
      </c>
    </row>
    <row r="6361" spans="8:8" x14ac:dyDescent="0.25">
      <c r="H6361" t="s">
        <v>31</v>
      </c>
    </row>
    <row r="6362" spans="8:8" x14ac:dyDescent="0.25">
      <c r="H6362" t="s">
        <v>146</v>
      </c>
    </row>
    <row r="6363" spans="8:8" x14ac:dyDescent="0.25">
      <c r="H6363" t="s">
        <v>4129</v>
      </c>
    </row>
    <row r="6364" spans="8:8" x14ac:dyDescent="0.25">
      <c r="H6364" t="s">
        <v>31</v>
      </c>
    </row>
    <row r="6365" spans="8:8" x14ac:dyDescent="0.25">
      <c r="H6365" t="s">
        <v>4130</v>
      </c>
    </row>
    <row r="6366" spans="8:8" x14ac:dyDescent="0.25">
      <c r="H6366" t="s">
        <v>147</v>
      </c>
    </row>
    <row r="6367" spans="8:8" x14ac:dyDescent="0.25">
      <c r="H6367" t="s">
        <v>4131</v>
      </c>
    </row>
    <row r="6368" spans="8:8" x14ac:dyDescent="0.25">
      <c r="H6368" t="s">
        <v>31</v>
      </c>
    </row>
    <row r="6370" spans="8:8" x14ac:dyDescent="0.25">
      <c r="H6370" t="s">
        <v>3677</v>
      </c>
    </row>
    <row r="6371" spans="8:8" x14ac:dyDescent="0.25">
      <c r="H6371" t="s">
        <v>145</v>
      </c>
    </row>
    <row r="6372" spans="8:8" x14ac:dyDescent="0.25">
      <c r="H6372" t="s">
        <v>4132</v>
      </c>
    </row>
    <row r="6373" spans="8:8" x14ac:dyDescent="0.25">
      <c r="H6373" t="s">
        <v>31</v>
      </c>
    </row>
    <row r="6375" spans="8:8" x14ac:dyDescent="0.25">
      <c r="H6375" t="s">
        <v>3681</v>
      </c>
    </row>
    <row r="6376" spans="8:8" x14ac:dyDescent="0.25">
      <c r="H6376" t="s">
        <v>145</v>
      </c>
    </row>
    <row r="6377" spans="8:8" x14ac:dyDescent="0.25">
      <c r="H6377" t="s">
        <v>4133</v>
      </c>
    </row>
    <row r="6378" spans="8:8" x14ac:dyDescent="0.25">
      <c r="H6378" t="s">
        <v>31</v>
      </c>
    </row>
    <row r="6380" spans="8:8" x14ac:dyDescent="0.25">
      <c r="H6380" t="s">
        <v>3683</v>
      </c>
    </row>
    <row r="6381" spans="8:8" x14ac:dyDescent="0.25">
      <c r="H6381" t="s">
        <v>145</v>
      </c>
    </row>
    <row r="6382" spans="8:8" x14ac:dyDescent="0.25">
      <c r="H6382" t="s">
        <v>4134</v>
      </c>
    </row>
    <row r="6383" spans="8:8" x14ac:dyDescent="0.25">
      <c r="H6383" t="s">
        <v>31</v>
      </c>
    </row>
    <row r="6385" spans="8:8" x14ac:dyDescent="0.25">
      <c r="H6385" t="s">
        <v>3685</v>
      </c>
    </row>
    <row r="6386" spans="8:8" x14ac:dyDescent="0.25">
      <c r="H6386" t="s">
        <v>145</v>
      </c>
    </row>
    <row r="6387" spans="8:8" x14ac:dyDescent="0.25">
      <c r="H6387" t="s">
        <v>4135</v>
      </c>
    </row>
    <row r="6388" spans="8:8" x14ac:dyDescent="0.25">
      <c r="H6388" t="s">
        <v>31</v>
      </c>
    </row>
    <row r="6390" spans="8:8" x14ac:dyDescent="0.25">
      <c r="H6390" t="s">
        <v>3688</v>
      </c>
    </row>
    <row r="6391" spans="8:8" x14ac:dyDescent="0.25">
      <c r="H6391" t="s">
        <v>145</v>
      </c>
    </row>
    <row r="6392" spans="8:8" x14ac:dyDescent="0.25">
      <c r="H6392" t="s">
        <v>4136</v>
      </c>
    </row>
    <row r="6393" spans="8:8" x14ac:dyDescent="0.25">
      <c r="H6393" t="s">
        <v>31</v>
      </c>
    </row>
    <row r="6395" spans="8:8" x14ac:dyDescent="0.25">
      <c r="H6395" t="s">
        <v>3690</v>
      </c>
    </row>
    <row r="6396" spans="8:8" x14ac:dyDescent="0.25">
      <c r="H6396" t="s">
        <v>145</v>
      </c>
    </row>
    <row r="6397" spans="8:8" x14ac:dyDescent="0.25">
      <c r="H6397" t="s">
        <v>4137</v>
      </c>
    </row>
    <row r="6398" spans="8:8" x14ac:dyDescent="0.25">
      <c r="H6398" t="s">
        <v>31</v>
      </c>
    </row>
    <row r="6400" spans="8:8" x14ac:dyDescent="0.25">
      <c r="H6400" t="s">
        <v>3692</v>
      </c>
    </row>
    <row r="6401" spans="8:8" x14ac:dyDescent="0.25">
      <c r="H6401" t="s">
        <v>145</v>
      </c>
    </row>
    <row r="6402" spans="8:8" x14ac:dyDescent="0.25">
      <c r="H6402" t="s">
        <v>4138</v>
      </c>
    </row>
    <row r="6403" spans="8:8" x14ac:dyDescent="0.25">
      <c r="H6403" t="s">
        <v>31</v>
      </c>
    </row>
    <row r="6405" spans="8:8" x14ac:dyDescent="0.25">
      <c r="H6405" t="s">
        <v>3695</v>
      </c>
    </row>
    <row r="6406" spans="8:8" x14ac:dyDescent="0.25">
      <c r="H6406" t="s">
        <v>145</v>
      </c>
    </row>
    <row r="6407" spans="8:8" x14ac:dyDescent="0.25">
      <c r="H6407" t="s">
        <v>4139</v>
      </c>
    </row>
    <row r="6408" spans="8:8" x14ac:dyDescent="0.25">
      <c r="H6408" t="s">
        <v>31</v>
      </c>
    </row>
    <row r="6410" spans="8:8" x14ac:dyDescent="0.25">
      <c r="H6410" t="s">
        <v>3697</v>
      </c>
    </row>
    <row r="6411" spans="8:8" x14ac:dyDescent="0.25">
      <c r="H6411" t="s">
        <v>145</v>
      </c>
    </row>
    <row r="6412" spans="8:8" x14ac:dyDescent="0.25">
      <c r="H6412" t="s">
        <v>4140</v>
      </c>
    </row>
    <row r="6413" spans="8:8" x14ac:dyDescent="0.25">
      <c r="H6413" t="s">
        <v>31</v>
      </c>
    </row>
    <row r="6415" spans="8:8" x14ac:dyDescent="0.25">
      <c r="H6415" t="s">
        <v>3699</v>
      </c>
    </row>
    <row r="6416" spans="8:8" x14ac:dyDescent="0.25">
      <c r="H6416" t="s">
        <v>145</v>
      </c>
    </row>
    <row r="6417" spans="8:8" x14ac:dyDescent="0.25">
      <c r="H6417" t="s">
        <v>4141</v>
      </c>
    </row>
    <row r="6418" spans="8:8" x14ac:dyDescent="0.25">
      <c r="H6418" t="s">
        <v>31</v>
      </c>
    </row>
    <row r="6420" spans="8:8" x14ac:dyDescent="0.25">
      <c r="H6420" t="s">
        <v>3702</v>
      </c>
    </row>
    <row r="6421" spans="8:8" x14ac:dyDescent="0.25">
      <c r="H6421" t="s">
        <v>145</v>
      </c>
    </row>
    <row r="6422" spans="8:8" x14ac:dyDescent="0.25">
      <c r="H6422" t="s">
        <v>4142</v>
      </c>
    </row>
    <row r="6423" spans="8:8" x14ac:dyDescent="0.25">
      <c r="H6423" t="s">
        <v>31</v>
      </c>
    </row>
    <row r="6425" spans="8:8" x14ac:dyDescent="0.25">
      <c r="H6425" t="s">
        <v>3704</v>
      </c>
    </row>
    <row r="6426" spans="8:8" x14ac:dyDescent="0.25">
      <c r="H6426" t="s">
        <v>145</v>
      </c>
    </row>
    <row r="6427" spans="8:8" x14ac:dyDescent="0.25">
      <c r="H6427" t="s">
        <v>4143</v>
      </c>
    </row>
    <row r="6428" spans="8:8" x14ac:dyDescent="0.25">
      <c r="H6428" t="s">
        <v>31</v>
      </c>
    </row>
    <row r="6430" spans="8:8" x14ac:dyDescent="0.25">
      <c r="H6430" t="s">
        <v>3706</v>
      </c>
    </row>
    <row r="6431" spans="8:8" x14ac:dyDescent="0.25">
      <c r="H6431" t="s">
        <v>145</v>
      </c>
    </row>
    <row r="6432" spans="8:8" x14ac:dyDescent="0.25">
      <c r="H6432" t="s">
        <v>4144</v>
      </c>
    </row>
    <row r="6433" spans="8:8" x14ac:dyDescent="0.25">
      <c r="H6433" t="s">
        <v>31</v>
      </c>
    </row>
    <row r="6435" spans="8:8" x14ac:dyDescent="0.25">
      <c r="H6435" t="s">
        <v>3711</v>
      </c>
    </row>
    <row r="6436" spans="8:8" x14ac:dyDescent="0.25">
      <c r="H6436" t="s">
        <v>145</v>
      </c>
    </row>
    <row r="6437" spans="8:8" x14ac:dyDescent="0.25">
      <c r="H6437" t="s">
        <v>4145</v>
      </c>
    </row>
    <row r="6438" spans="8:8" x14ac:dyDescent="0.25">
      <c r="H6438" t="s">
        <v>31</v>
      </c>
    </row>
    <row r="6440" spans="8:8" x14ac:dyDescent="0.25">
      <c r="H6440" t="s">
        <v>3713</v>
      </c>
    </row>
    <row r="6441" spans="8:8" x14ac:dyDescent="0.25">
      <c r="H6441" t="s">
        <v>145</v>
      </c>
    </row>
    <row r="6442" spans="8:8" x14ac:dyDescent="0.25">
      <c r="H6442" t="s">
        <v>4146</v>
      </c>
    </row>
    <row r="6443" spans="8:8" x14ac:dyDescent="0.25">
      <c r="H6443" t="s">
        <v>31</v>
      </c>
    </row>
    <row r="6444" spans="8:8" x14ac:dyDescent="0.25">
      <c r="H6444" t="s">
        <v>146</v>
      </c>
    </row>
    <row r="6445" spans="8:8" x14ac:dyDescent="0.25">
      <c r="H6445" t="s">
        <v>4147</v>
      </c>
    </row>
    <row r="6446" spans="8:8" x14ac:dyDescent="0.25">
      <c r="H6446" t="s">
        <v>31</v>
      </c>
    </row>
    <row r="6448" spans="8:8" x14ac:dyDescent="0.25">
      <c r="H6448" t="s">
        <v>3718</v>
      </c>
    </row>
    <row r="6449" spans="8:8" x14ac:dyDescent="0.25">
      <c r="H6449" t="s">
        <v>145</v>
      </c>
    </row>
    <row r="6450" spans="8:8" x14ac:dyDescent="0.25">
      <c r="H6450" t="s">
        <v>4148</v>
      </c>
    </row>
    <row r="6451" spans="8:8" x14ac:dyDescent="0.25">
      <c r="H6451" t="s">
        <v>31</v>
      </c>
    </row>
    <row r="6452" spans="8:8" x14ac:dyDescent="0.25">
      <c r="H6452" t="s">
        <v>146</v>
      </c>
    </row>
    <row r="6453" spans="8:8" x14ac:dyDescent="0.25">
      <c r="H6453" t="s">
        <v>4149</v>
      </c>
    </row>
    <row r="6454" spans="8:8" x14ac:dyDescent="0.25">
      <c r="H6454" t="s">
        <v>31</v>
      </c>
    </row>
    <row r="6455" spans="8:8" x14ac:dyDescent="0.25">
      <c r="H6455" t="s">
        <v>147</v>
      </c>
    </row>
    <row r="6456" spans="8:8" x14ac:dyDescent="0.25">
      <c r="H6456" t="s">
        <v>4150</v>
      </c>
    </row>
    <row r="6457" spans="8:8" x14ac:dyDescent="0.25">
      <c r="H6457" t="s">
        <v>31</v>
      </c>
    </row>
    <row r="6458" spans="8:8" x14ac:dyDescent="0.25">
      <c r="H6458" t="s">
        <v>148</v>
      </c>
    </row>
    <row r="6459" spans="8:8" x14ac:dyDescent="0.25">
      <c r="H6459" t="s">
        <v>4151</v>
      </c>
    </row>
    <row r="6460" spans="8:8" x14ac:dyDescent="0.25">
      <c r="H6460" t="s">
        <v>31</v>
      </c>
    </row>
    <row r="6462" spans="8:8" x14ac:dyDescent="0.25">
      <c r="H6462" t="s">
        <v>3723</v>
      </c>
    </row>
    <row r="6463" spans="8:8" x14ac:dyDescent="0.25">
      <c r="H6463" t="s">
        <v>145</v>
      </c>
    </row>
    <row r="6464" spans="8:8" x14ac:dyDescent="0.25">
      <c r="H6464" t="s">
        <v>4152</v>
      </c>
    </row>
    <row r="6465" spans="8:8" x14ac:dyDescent="0.25">
      <c r="H6465" t="s">
        <v>31</v>
      </c>
    </row>
    <row r="6466" spans="8:8" x14ac:dyDescent="0.25">
      <c r="H6466" t="s">
        <v>146</v>
      </c>
    </row>
    <row r="6467" spans="8:8" x14ac:dyDescent="0.25">
      <c r="H6467" t="s">
        <v>4153</v>
      </c>
    </row>
    <row r="6468" spans="8:8" x14ac:dyDescent="0.25">
      <c r="H6468" t="s">
        <v>31</v>
      </c>
    </row>
    <row r="6469" spans="8:8" x14ac:dyDescent="0.25">
      <c r="H6469" t="s">
        <v>147</v>
      </c>
    </row>
    <row r="6470" spans="8:8" x14ac:dyDescent="0.25">
      <c r="H6470" t="s">
        <v>4154</v>
      </c>
    </row>
    <row r="6471" spans="8:8" x14ac:dyDescent="0.25">
      <c r="H6471" t="s">
        <v>31</v>
      </c>
    </row>
    <row r="6472" spans="8:8" x14ac:dyDescent="0.25">
      <c r="H6472" t="s">
        <v>148</v>
      </c>
    </row>
    <row r="6473" spans="8:8" x14ac:dyDescent="0.25">
      <c r="H6473" t="s">
        <v>4155</v>
      </c>
    </row>
    <row r="6474" spans="8:8" x14ac:dyDescent="0.25">
      <c r="H6474" t="s">
        <v>31</v>
      </c>
    </row>
    <row r="6476" spans="8:8" x14ac:dyDescent="0.25">
      <c r="H6476" t="s">
        <v>3725</v>
      </c>
    </row>
    <row r="6477" spans="8:8" x14ac:dyDescent="0.25">
      <c r="H6477" t="s">
        <v>145</v>
      </c>
    </row>
    <row r="6478" spans="8:8" x14ac:dyDescent="0.25">
      <c r="H6478" t="s">
        <v>4156</v>
      </c>
    </row>
    <row r="6479" spans="8:8" x14ac:dyDescent="0.25">
      <c r="H6479" t="s">
        <v>31</v>
      </c>
    </row>
    <row r="6480" spans="8:8" x14ac:dyDescent="0.25">
      <c r="H6480" t="s">
        <v>146</v>
      </c>
    </row>
    <row r="6481" spans="8:8" x14ac:dyDescent="0.25">
      <c r="H6481" t="s">
        <v>4157</v>
      </c>
    </row>
    <row r="6482" spans="8:8" x14ac:dyDescent="0.25">
      <c r="H6482" t="s">
        <v>31</v>
      </c>
    </row>
    <row r="6483" spans="8:8" x14ac:dyDescent="0.25">
      <c r="H6483" t="s">
        <v>147</v>
      </c>
    </row>
    <row r="6484" spans="8:8" x14ac:dyDescent="0.25">
      <c r="H6484" t="s">
        <v>4158</v>
      </c>
    </row>
    <row r="6485" spans="8:8" x14ac:dyDescent="0.25">
      <c r="H6485" t="s">
        <v>31</v>
      </c>
    </row>
    <row r="6486" spans="8:8" x14ac:dyDescent="0.25">
      <c r="H6486" t="s">
        <v>148</v>
      </c>
    </row>
    <row r="6487" spans="8:8" x14ac:dyDescent="0.25">
      <c r="H6487" t="s">
        <v>4159</v>
      </c>
    </row>
    <row r="6488" spans="8:8" x14ac:dyDescent="0.25">
      <c r="H6488" t="s">
        <v>31</v>
      </c>
    </row>
    <row r="6490" spans="8:8" x14ac:dyDescent="0.25">
      <c r="H6490" t="s">
        <v>3727</v>
      </c>
    </row>
    <row r="6491" spans="8:8" x14ac:dyDescent="0.25">
      <c r="H6491" t="s">
        <v>145</v>
      </c>
    </row>
    <row r="6492" spans="8:8" x14ac:dyDescent="0.25">
      <c r="H6492" t="s">
        <v>4160</v>
      </c>
    </row>
    <row r="6493" spans="8:8" x14ac:dyDescent="0.25">
      <c r="H6493" t="s">
        <v>31</v>
      </c>
    </row>
    <row r="6494" spans="8:8" x14ac:dyDescent="0.25">
      <c r="H6494" t="s">
        <v>146</v>
      </c>
    </row>
    <row r="6495" spans="8:8" x14ac:dyDescent="0.25">
      <c r="H6495" t="s">
        <v>4161</v>
      </c>
    </row>
    <row r="6496" spans="8:8" x14ac:dyDescent="0.25">
      <c r="H6496" t="s">
        <v>31</v>
      </c>
    </row>
    <row r="6497" spans="8:8" x14ac:dyDescent="0.25">
      <c r="H6497" t="s">
        <v>147</v>
      </c>
    </row>
    <row r="6498" spans="8:8" x14ac:dyDescent="0.25">
      <c r="H6498" t="s">
        <v>4162</v>
      </c>
    </row>
    <row r="6499" spans="8:8" x14ac:dyDescent="0.25">
      <c r="H6499" t="s">
        <v>31</v>
      </c>
    </row>
    <row r="6500" spans="8:8" x14ac:dyDescent="0.25">
      <c r="H6500" t="s">
        <v>148</v>
      </c>
    </row>
    <row r="6501" spans="8:8" x14ac:dyDescent="0.25">
      <c r="H6501" t="s">
        <v>4163</v>
      </c>
    </row>
    <row r="6502" spans="8:8" x14ac:dyDescent="0.25">
      <c r="H6502" t="s">
        <v>31</v>
      </c>
    </row>
    <row r="6504" spans="8:8" x14ac:dyDescent="0.25">
      <c r="H6504" t="s">
        <v>3729</v>
      </c>
    </row>
    <row r="6505" spans="8:8" x14ac:dyDescent="0.25">
      <c r="H6505" t="s">
        <v>145</v>
      </c>
    </row>
    <row r="6506" spans="8:8" x14ac:dyDescent="0.25">
      <c r="H6506" t="s">
        <v>4164</v>
      </c>
    </row>
    <row r="6507" spans="8:8" x14ac:dyDescent="0.25">
      <c r="H6507" t="s">
        <v>31</v>
      </c>
    </row>
    <row r="6508" spans="8:8" x14ac:dyDescent="0.25">
      <c r="H6508" t="s">
        <v>146</v>
      </c>
    </row>
    <row r="6509" spans="8:8" x14ac:dyDescent="0.25">
      <c r="H6509" t="s">
        <v>4165</v>
      </c>
    </row>
    <row r="6510" spans="8:8" x14ac:dyDescent="0.25">
      <c r="H6510" t="s">
        <v>31</v>
      </c>
    </row>
    <row r="6511" spans="8:8" x14ac:dyDescent="0.25">
      <c r="H6511" t="s">
        <v>147</v>
      </c>
    </row>
    <row r="6512" spans="8:8" x14ac:dyDescent="0.25">
      <c r="H6512" t="s">
        <v>4166</v>
      </c>
    </row>
    <row r="6513" spans="8:8" x14ac:dyDescent="0.25">
      <c r="H6513" t="s">
        <v>31</v>
      </c>
    </row>
    <row r="6514" spans="8:8" x14ac:dyDescent="0.25">
      <c r="H6514" t="s">
        <v>148</v>
      </c>
    </row>
    <row r="6515" spans="8:8" x14ac:dyDescent="0.25">
      <c r="H6515" t="s">
        <v>4167</v>
      </c>
    </row>
    <row r="6516" spans="8:8" x14ac:dyDescent="0.25">
      <c r="H6516" t="s">
        <v>31</v>
      </c>
    </row>
    <row r="6518" spans="8:8" x14ac:dyDescent="0.25">
      <c r="H6518" t="s">
        <v>3731</v>
      </c>
    </row>
    <row r="6519" spans="8:8" x14ac:dyDescent="0.25">
      <c r="H6519" t="s">
        <v>145</v>
      </c>
    </row>
    <row r="6520" spans="8:8" x14ac:dyDescent="0.25">
      <c r="H6520" t="s">
        <v>4168</v>
      </c>
    </row>
    <row r="6521" spans="8:8" x14ac:dyDescent="0.25">
      <c r="H6521" t="s">
        <v>31</v>
      </c>
    </row>
    <row r="6522" spans="8:8" x14ac:dyDescent="0.25">
      <c r="H6522" t="s">
        <v>146</v>
      </c>
    </row>
    <row r="6523" spans="8:8" x14ac:dyDescent="0.25">
      <c r="H6523" t="s">
        <v>4169</v>
      </c>
    </row>
    <row r="6524" spans="8:8" x14ac:dyDescent="0.25">
      <c r="H6524" t="s">
        <v>31</v>
      </c>
    </row>
    <row r="6525" spans="8:8" x14ac:dyDescent="0.25">
      <c r="H6525" t="s">
        <v>147</v>
      </c>
    </row>
    <row r="6526" spans="8:8" x14ac:dyDescent="0.25">
      <c r="H6526" t="s">
        <v>4170</v>
      </c>
    </row>
    <row r="6527" spans="8:8" x14ac:dyDescent="0.25">
      <c r="H6527" t="s">
        <v>31</v>
      </c>
    </row>
    <row r="6528" spans="8:8" x14ac:dyDescent="0.25">
      <c r="H6528" t="s">
        <v>148</v>
      </c>
    </row>
    <row r="6529" spans="8:8" x14ac:dyDescent="0.25">
      <c r="H6529" t="s">
        <v>4171</v>
      </c>
    </row>
    <row r="6530" spans="8:8" x14ac:dyDescent="0.25">
      <c r="H6530" t="s">
        <v>31</v>
      </c>
    </row>
    <row r="6532" spans="8:8" x14ac:dyDescent="0.25">
      <c r="H6532" t="s">
        <v>3733</v>
      </c>
    </row>
    <row r="6533" spans="8:8" x14ac:dyDescent="0.25">
      <c r="H6533" t="s">
        <v>145</v>
      </c>
    </row>
    <row r="6534" spans="8:8" x14ac:dyDescent="0.25">
      <c r="H6534" t="s">
        <v>4172</v>
      </c>
    </row>
    <row r="6535" spans="8:8" x14ac:dyDescent="0.25">
      <c r="H6535" t="s">
        <v>31</v>
      </c>
    </row>
    <row r="6536" spans="8:8" x14ac:dyDescent="0.25">
      <c r="H6536" t="s">
        <v>146</v>
      </c>
    </row>
    <row r="6537" spans="8:8" x14ac:dyDescent="0.25">
      <c r="H6537" t="s">
        <v>4173</v>
      </c>
    </row>
    <row r="6538" spans="8:8" x14ac:dyDescent="0.25">
      <c r="H6538" t="s">
        <v>31</v>
      </c>
    </row>
    <row r="6539" spans="8:8" x14ac:dyDescent="0.25">
      <c r="H6539" t="s">
        <v>147</v>
      </c>
    </row>
    <row r="6540" spans="8:8" x14ac:dyDescent="0.25">
      <c r="H6540" t="s">
        <v>4174</v>
      </c>
    </row>
    <row r="6541" spans="8:8" x14ac:dyDescent="0.25">
      <c r="H6541" t="s">
        <v>31</v>
      </c>
    </row>
    <row r="6542" spans="8:8" x14ac:dyDescent="0.25">
      <c r="H6542" t="s">
        <v>148</v>
      </c>
    </row>
    <row r="6543" spans="8:8" x14ac:dyDescent="0.25">
      <c r="H6543" t="s">
        <v>4175</v>
      </c>
    </row>
    <row r="6544" spans="8:8" x14ac:dyDescent="0.25">
      <c r="H6544" t="s">
        <v>31</v>
      </c>
    </row>
    <row r="6546" spans="8:8" x14ac:dyDescent="0.25">
      <c r="H6546" t="s">
        <v>3735</v>
      </c>
    </row>
    <row r="6547" spans="8:8" x14ac:dyDescent="0.25">
      <c r="H6547" t="s">
        <v>145</v>
      </c>
    </row>
    <row r="6548" spans="8:8" x14ac:dyDescent="0.25">
      <c r="H6548" t="s">
        <v>4176</v>
      </c>
    </row>
    <row r="6549" spans="8:8" x14ac:dyDescent="0.25">
      <c r="H6549" t="s">
        <v>31</v>
      </c>
    </row>
    <row r="6550" spans="8:8" x14ac:dyDescent="0.25">
      <c r="H6550" t="s">
        <v>146</v>
      </c>
    </row>
    <row r="6551" spans="8:8" x14ac:dyDescent="0.25">
      <c r="H6551" t="s">
        <v>4177</v>
      </c>
    </row>
    <row r="6552" spans="8:8" x14ac:dyDescent="0.25">
      <c r="H6552" t="s">
        <v>31</v>
      </c>
    </row>
    <row r="6553" spans="8:8" x14ac:dyDescent="0.25">
      <c r="H6553" t="s">
        <v>147</v>
      </c>
    </row>
    <row r="6554" spans="8:8" x14ac:dyDescent="0.25">
      <c r="H6554" t="s">
        <v>4178</v>
      </c>
    </row>
    <row r="6555" spans="8:8" x14ac:dyDescent="0.25">
      <c r="H6555" t="s">
        <v>31</v>
      </c>
    </row>
    <row r="6556" spans="8:8" x14ac:dyDescent="0.25">
      <c r="H6556" t="s">
        <v>148</v>
      </c>
    </row>
    <row r="6557" spans="8:8" x14ac:dyDescent="0.25">
      <c r="H6557" t="s">
        <v>4179</v>
      </c>
    </row>
    <row r="6558" spans="8:8" x14ac:dyDescent="0.25">
      <c r="H6558" t="s">
        <v>31</v>
      </c>
    </row>
    <row r="6560" spans="8:8" x14ac:dyDescent="0.25">
      <c r="H6560" t="s">
        <v>3737</v>
      </c>
    </row>
    <row r="6561" spans="8:8" x14ac:dyDescent="0.25">
      <c r="H6561" t="s">
        <v>145</v>
      </c>
    </row>
    <row r="6562" spans="8:8" x14ac:dyDescent="0.25">
      <c r="H6562" t="s">
        <v>4180</v>
      </c>
    </row>
    <row r="6563" spans="8:8" x14ac:dyDescent="0.25">
      <c r="H6563" t="s">
        <v>31</v>
      </c>
    </row>
    <row r="6564" spans="8:8" x14ac:dyDescent="0.25">
      <c r="H6564" t="s">
        <v>146</v>
      </c>
    </row>
    <row r="6565" spans="8:8" x14ac:dyDescent="0.25">
      <c r="H6565" t="s">
        <v>4181</v>
      </c>
    </row>
    <row r="6566" spans="8:8" x14ac:dyDescent="0.25">
      <c r="H6566" t="s">
        <v>31</v>
      </c>
    </row>
    <row r="6567" spans="8:8" x14ac:dyDescent="0.25">
      <c r="H6567" t="s">
        <v>147</v>
      </c>
    </row>
    <row r="6568" spans="8:8" x14ac:dyDescent="0.25">
      <c r="H6568" t="s">
        <v>4182</v>
      </c>
    </row>
    <row r="6569" spans="8:8" x14ac:dyDescent="0.25">
      <c r="H6569" t="s">
        <v>31</v>
      </c>
    </row>
    <row r="6570" spans="8:8" x14ac:dyDescent="0.25">
      <c r="H6570" t="s">
        <v>148</v>
      </c>
    </row>
    <row r="6571" spans="8:8" x14ac:dyDescent="0.25">
      <c r="H6571" t="s">
        <v>4183</v>
      </c>
    </row>
    <row r="6572" spans="8:8" x14ac:dyDescent="0.25">
      <c r="H6572" t="s">
        <v>31</v>
      </c>
    </row>
    <row r="6574" spans="8:8" x14ac:dyDescent="0.25">
      <c r="H6574" t="s">
        <v>3739</v>
      </c>
    </row>
    <row r="6575" spans="8:8" x14ac:dyDescent="0.25">
      <c r="H6575" t="s">
        <v>145</v>
      </c>
    </row>
    <row r="6576" spans="8:8" x14ac:dyDescent="0.25">
      <c r="H6576" t="s">
        <v>4184</v>
      </c>
    </row>
    <row r="6577" spans="8:8" x14ac:dyDescent="0.25">
      <c r="H6577" t="s">
        <v>31</v>
      </c>
    </row>
    <row r="6578" spans="8:8" x14ac:dyDescent="0.25">
      <c r="H6578" t="s">
        <v>146</v>
      </c>
    </row>
    <row r="6579" spans="8:8" x14ac:dyDescent="0.25">
      <c r="H6579" t="s">
        <v>4185</v>
      </c>
    </row>
    <row r="6580" spans="8:8" x14ac:dyDescent="0.25">
      <c r="H6580" t="s">
        <v>31</v>
      </c>
    </row>
    <row r="6581" spans="8:8" x14ac:dyDescent="0.25">
      <c r="H6581" t="s">
        <v>147</v>
      </c>
    </row>
    <row r="6582" spans="8:8" x14ac:dyDescent="0.25">
      <c r="H6582" t="s">
        <v>4186</v>
      </c>
    </row>
    <row r="6583" spans="8:8" x14ac:dyDescent="0.25">
      <c r="H6583" t="s">
        <v>31</v>
      </c>
    </row>
    <row r="6584" spans="8:8" x14ac:dyDescent="0.25">
      <c r="H6584" t="s">
        <v>148</v>
      </c>
    </row>
    <row r="6585" spans="8:8" x14ac:dyDescent="0.25">
      <c r="H6585" t="s">
        <v>4187</v>
      </c>
    </row>
    <row r="6586" spans="8:8" x14ac:dyDescent="0.25">
      <c r="H6586" t="s">
        <v>31</v>
      </c>
    </row>
    <row r="6588" spans="8:8" x14ac:dyDescent="0.25">
      <c r="H6588" t="s">
        <v>3741</v>
      </c>
    </row>
    <row r="6589" spans="8:8" x14ac:dyDescent="0.25">
      <c r="H6589" t="s">
        <v>145</v>
      </c>
    </row>
    <row r="6590" spans="8:8" x14ac:dyDescent="0.25">
      <c r="H6590" t="s">
        <v>4188</v>
      </c>
    </row>
    <row r="6591" spans="8:8" x14ac:dyDescent="0.25">
      <c r="H6591" t="s">
        <v>31</v>
      </c>
    </row>
    <row r="6592" spans="8:8" x14ac:dyDescent="0.25">
      <c r="H6592" t="s">
        <v>146</v>
      </c>
    </row>
    <row r="6593" spans="8:8" x14ac:dyDescent="0.25">
      <c r="H6593" t="s">
        <v>4189</v>
      </c>
    </row>
    <row r="6594" spans="8:8" x14ac:dyDescent="0.25">
      <c r="H6594" t="s">
        <v>31</v>
      </c>
    </row>
    <row r="6595" spans="8:8" x14ac:dyDescent="0.25">
      <c r="H6595" t="s">
        <v>147</v>
      </c>
    </row>
    <row r="6596" spans="8:8" x14ac:dyDescent="0.25">
      <c r="H6596" t="s">
        <v>4190</v>
      </c>
    </row>
    <row r="6597" spans="8:8" x14ac:dyDescent="0.25">
      <c r="H6597" t="s">
        <v>31</v>
      </c>
    </row>
    <row r="6598" spans="8:8" x14ac:dyDescent="0.25">
      <c r="H6598" t="s">
        <v>148</v>
      </c>
    </row>
    <row r="6599" spans="8:8" x14ac:dyDescent="0.25">
      <c r="H6599" t="s">
        <v>4191</v>
      </c>
    </row>
    <row r="6600" spans="8:8" x14ac:dyDescent="0.25">
      <c r="H6600" t="s">
        <v>31</v>
      </c>
    </row>
    <row r="6602" spans="8:8" x14ac:dyDescent="0.25">
      <c r="H6602" t="s">
        <v>3743</v>
      </c>
    </row>
    <row r="6603" spans="8:8" x14ac:dyDescent="0.25">
      <c r="H6603" t="s">
        <v>145</v>
      </c>
    </row>
    <row r="6604" spans="8:8" x14ac:dyDescent="0.25">
      <c r="H6604" t="s">
        <v>4192</v>
      </c>
    </row>
    <row r="6605" spans="8:8" x14ac:dyDescent="0.25">
      <c r="H6605" t="s">
        <v>31</v>
      </c>
    </row>
    <row r="6606" spans="8:8" x14ac:dyDescent="0.25">
      <c r="H6606" t="s">
        <v>146</v>
      </c>
    </row>
    <row r="6607" spans="8:8" x14ac:dyDescent="0.25">
      <c r="H6607" t="s">
        <v>4193</v>
      </c>
    </row>
    <row r="6608" spans="8:8" x14ac:dyDescent="0.25">
      <c r="H6608" t="s">
        <v>31</v>
      </c>
    </row>
    <row r="6609" spans="8:8" x14ac:dyDescent="0.25">
      <c r="H6609" t="s">
        <v>147</v>
      </c>
    </row>
    <row r="6610" spans="8:8" x14ac:dyDescent="0.25">
      <c r="H6610" t="s">
        <v>4194</v>
      </c>
    </row>
    <row r="6611" spans="8:8" x14ac:dyDescent="0.25">
      <c r="H6611" t="s">
        <v>31</v>
      </c>
    </row>
    <row r="6612" spans="8:8" x14ac:dyDescent="0.25">
      <c r="H6612" t="s">
        <v>148</v>
      </c>
    </row>
    <row r="6613" spans="8:8" x14ac:dyDescent="0.25">
      <c r="H6613" t="s">
        <v>4195</v>
      </c>
    </row>
    <row r="6614" spans="8:8" x14ac:dyDescent="0.25">
      <c r="H6614" t="s">
        <v>31</v>
      </c>
    </row>
    <row r="6616" spans="8:8" x14ac:dyDescent="0.25">
      <c r="H6616" t="s">
        <v>3745</v>
      </c>
    </row>
    <row r="6617" spans="8:8" x14ac:dyDescent="0.25">
      <c r="H6617" t="s">
        <v>145</v>
      </c>
    </row>
    <row r="6618" spans="8:8" x14ac:dyDescent="0.25">
      <c r="H6618" t="s">
        <v>4196</v>
      </c>
    </row>
    <row r="6619" spans="8:8" x14ac:dyDescent="0.25">
      <c r="H6619" t="s">
        <v>31</v>
      </c>
    </row>
    <row r="6620" spans="8:8" x14ac:dyDescent="0.25">
      <c r="H6620" t="s">
        <v>146</v>
      </c>
    </row>
    <row r="6621" spans="8:8" x14ac:dyDescent="0.25">
      <c r="H6621" t="s">
        <v>4197</v>
      </c>
    </row>
    <row r="6622" spans="8:8" x14ac:dyDescent="0.25">
      <c r="H6622" t="s">
        <v>31</v>
      </c>
    </row>
    <row r="6623" spans="8:8" x14ac:dyDescent="0.25">
      <c r="H6623" t="s">
        <v>147</v>
      </c>
    </row>
    <row r="6624" spans="8:8" x14ac:dyDescent="0.25">
      <c r="H6624" t="s">
        <v>4198</v>
      </c>
    </row>
    <row r="6625" spans="8:8" x14ac:dyDescent="0.25">
      <c r="H6625" t="s">
        <v>31</v>
      </c>
    </row>
    <row r="6626" spans="8:8" x14ac:dyDescent="0.25">
      <c r="H6626" t="s">
        <v>148</v>
      </c>
    </row>
    <row r="6627" spans="8:8" x14ac:dyDescent="0.25">
      <c r="H6627" t="s">
        <v>4199</v>
      </c>
    </row>
    <row r="6628" spans="8:8" x14ac:dyDescent="0.25">
      <c r="H6628" t="s">
        <v>31</v>
      </c>
    </row>
    <row r="6630" spans="8:8" x14ac:dyDescent="0.25">
      <c r="H6630" t="s">
        <v>3747</v>
      </c>
    </row>
    <row r="6631" spans="8:8" x14ac:dyDescent="0.25">
      <c r="H6631" t="s">
        <v>145</v>
      </c>
    </row>
    <row r="6632" spans="8:8" x14ac:dyDescent="0.25">
      <c r="H6632" t="s">
        <v>4200</v>
      </c>
    </row>
    <row r="6633" spans="8:8" x14ac:dyDescent="0.25">
      <c r="H6633" t="s">
        <v>31</v>
      </c>
    </row>
    <row r="6634" spans="8:8" x14ac:dyDescent="0.25">
      <c r="H6634" t="s">
        <v>146</v>
      </c>
    </row>
    <row r="6635" spans="8:8" x14ac:dyDescent="0.25">
      <c r="H6635" t="s">
        <v>4201</v>
      </c>
    </row>
    <row r="6636" spans="8:8" x14ac:dyDescent="0.25">
      <c r="H6636" t="s">
        <v>31</v>
      </c>
    </row>
    <row r="6637" spans="8:8" x14ac:dyDescent="0.25">
      <c r="H6637" t="s">
        <v>147</v>
      </c>
    </row>
    <row r="6638" spans="8:8" x14ac:dyDescent="0.25">
      <c r="H6638" t="s">
        <v>4202</v>
      </c>
    </row>
    <row r="6639" spans="8:8" x14ac:dyDescent="0.25">
      <c r="H6639" t="s">
        <v>31</v>
      </c>
    </row>
    <row r="6640" spans="8:8" x14ac:dyDescent="0.25">
      <c r="H6640" t="s">
        <v>148</v>
      </c>
    </row>
    <row r="6641" spans="8:8" x14ac:dyDescent="0.25">
      <c r="H6641" t="s">
        <v>4203</v>
      </c>
    </row>
    <row r="6642" spans="8:8" x14ac:dyDescent="0.25">
      <c r="H6642" t="s">
        <v>31</v>
      </c>
    </row>
    <row r="6644" spans="8:8" x14ac:dyDescent="0.25">
      <c r="H6644" t="s">
        <v>3749</v>
      </c>
    </row>
    <row r="6645" spans="8:8" x14ac:dyDescent="0.25">
      <c r="H6645" t="s">
        <v>145</v>
      </c>
    </row>
    <row r="6646" spans="8:8" x14ac:dyDescent="0.25">
      <c r="H6646" t="s">
        <v>4204</v>
      </c>
    </row>
    <row r="6647" spans="8:8" x14ac:dyDescent="0.25">
      <c r="H6647" t="s">
        <v>31</v>
      </c>
    </row>
    <row r="6648" spans="8:8" x14ac:dyDescent="0.25">
      <c r="H6648" t="s">
        <v>146</v>
      </c>
    </row>
    <row r="6649" spans="8:8" x14ac:dyDescent="0.25">
      <c r="H6649" t="s">
        <v>4205</v>
      </c>
    </row>
    <row r="6650" spans="8:8" x14ac:dyDescent="0.25">
      <c r="H6650" t="s">
        <v>31</v>
      </c>
    </row>
    <row r="6651" spans="8:8" x14ac:dyDescent="0.25">
      <c r="H6651" t="s">
        <v>147</v>
      </c>
    </row>
    <row r="6652" spans="8:8" x14ac:dyDescent="0.25">
      <c r="H6652" t="s">
        <v>4206</v>
      </c>
    </row>
    <row r="6653" spans="8:8" x14ac:dyDescent="0.25">
      <c r="H6653" t="s">
        <v>31</v>
      </c>
    </row>
    <row r="6654" spans="8:8" x14ac:dyDescent="0.25">
      <c r="H6654" t="s">
        <v>148</v>
      </c>
    </row>
    <row r="6655" spans="8:8" x14ac:dyDescent="0.25">
      <c r="H6655" t="s">
        <v>4207</v>
      </c>
    </row>
    <row r="6656" spans="8:8" x14ac:dyDescent="0.25">
      <c r="H6656" t="s">
        <v>31</v>
      </c>
    </row>
    <row r="6658" spans="8:8" x14ac:dyDescent="0.25">
      <c r="H6658" t="s">
        <v>3751</v>
      </c>
    </row>
    <row r="6659" spans="8:8" x14ac:dyDescent="0.25">
      <c r="H6659" t="s">
        <v>145</v>
      </c>
    </row>
    <row r="6660" spans="8:8" x14ac:dyDescent="0.25">
      <c r="H6660" t="s">
        <v>4208</v>
      </c>
    </row>
    <row r="6661" spans="8:8" x14ac:dyDescent="0.25">
      <c r="H6661" t="s">
        <v>31</v>
      </c>
    </row>
    <row r="6662" spans="8:8" x14ac:dyDescent="0.25">
      <c r="H6662" t="s">
        <v>146</v>
      </c>
    </row>
    <row r="6663" spans="8:8" x14ac:dyDescent="0.25">
      <c r="H6663" t="s">
        <v>4209</v>
      </c>
    </row>
    <row r="6664" spans="8:8" x14ac:dyDescent="0.25">
      <c r="H6664" t="s">
        <v>31</v>
      </c>
    </row>
    <row r="6665" spans="8:8" x14ac:dyDescent="0.25">
      <c r="H6665" t="s">
        <v>147</v>
      </c>
    </row>
    <row r="6666" spans="8:8" x14ac:dyDescent="0.25">
      <c r="H6666" t="s">
        <v>4210</v>
      </c>
    </row>
    <row r="6667" spans="8:8" x14ac:dyDescent="0.25">
      <c r="H6667" t="s">
        <v>31</v>
      </c>
    </row>
    <row r="6668" spans="8:8" x14ac:dyDescent="0.25">
      <c r="H6668" t="s">
        <v>148</v>
      </c>
    </row>
    <row r="6669" spans="8:8" x14ac:dyDescent="0.25">
      <c r="H6669" t="s">
        <v>4211</v>
      </c>
    </row>
    <row r="6670" spans="8:8" x14ac:dyDescent="0.25">
      <c r="H6670" t="s">
        <v>31</v>
      </c>
    </row>
    <row r="6672" spans="8:8" x14ac:dyDescent="0.25">
      <c r="H6672" t="s">
        <v>3754</v>
      </c>
    </row>
    <row r="6673" spans="8:8" x14ac:dyDescent="0.25">
      <c r="H6673" t="s">
        <v>145</v>
      </c>
    </row>
    <row r="6674" spans="8:8" x14ac:dyDescent="0.25">
      <c r="H6674" t="s">
        <v>4212</v>
      </c>
    </row>
    <row r="6675" spans="8:8" x14ac:dyDescent="0.25">
      <c r="H6675" t="s">
        <v>31</v>
      </c>
    </row>
    <row r="6676" spans="8:8" x14ac:dyDescent="0.25">
      <c r="H6676" t="s">
        <v>146</v>
      </c>
    </row>
    <row r="6677" spans="8:8" x14ac:dyDescent="0.25">
      <c r="H6677" t="s">
        <v>4213</v>
      </c>
    </row>
    <row r="6678" spans="8:8" x14ac:dyDescent="0.25">
      <c r="H6678" t="s">
        <v>31</v>
      </c>
    </row>
    <row r="6679" spans="8:8" x14ac:dyDescent="0.25">
      <c r="H6679" t="s">
        <v>147</v>
      </c>
    </row>
    <row r="6680" spans="8:8" x14ac:dyDescent="0.25">
      <c r="H6680" t="s">
        <v>4214</v>
      </c>
    </row>
    <row r="6681" spans="8:8" x14ac:dyDescent="0.25">
      <c r="H6681" t="s">
        <v>31</v>
      </c>
    </row>
    <row r="6682" spans="8:8" x14ac:dyDescent="0.25">
      <c r="H6682" t="s">
        <v>148</v>
      </c>
    </row>
    <row r="6683" spans="8:8" x14ac:dyDescent="0.25">
      <c r="H6683" t="s">
        <v>4215</v>
      </c>
    </row>
    <row r="6684" spans="8:8" x14ac:dyDescent="0.25">
      <c r="H6684" t="s">
        <v>31</v>
      </c>
    </row>
    <row r="6686" spans="8:8" x14ac:dyDescent="0.25">
      <c r="H6686" t="s">
        <v>3759</v>
      </c>
    </row>
    <row r="6687" spans="8:8" x14ac:dyDescent="0.25">
      <c r="H6687" t="s">
        <v>145</v>
      </c>
    </row>
    <row r="6688" spans="8:8" x14ac:dyDescent="0.25">
      <c r="H6688" t="s">
        <v>4216</v>
      </c>
    </row>
    <row r="6689" spans="8:8" x14ac:dyDescent="0.25">
      <c r="H6689" t="s">
        <v>31</v>
      </c>
    </row>
    <row r="6690" spans="8:8" x14ac:dyDescent="0.25">
      <c r="H6690" t="s">
        <v>146</v>
      </c>
    </row>
    <row r="6691" spans="8:8" x14ac:dyDescent="0.25">
      <c r="H6691" t="s">
        <v>4217</v>
      </c>
    </row>
    <row r="6692" spans="8:8" x14ac:dyDescent="0.25">
      <c r="H6692" t="s">
        <v>31</v>
      </c>
    </row>
    <row r="6693" spans="8:8" x14ac:dyDescent="0.25">
      <c r="H6693" t="s">
        <v>147</v>
      </c>
    </row>
    <row r="6694" spans="8:8" x14ac:dyDescent="0.25">
      <c r="H6694" t="s">
        <v>4218</v>
      </c>
    </row>
    <row r="6695" spans="8:8" x14ac:dyDescent="0.25">
      <c r="H6695" t="s">
        <v>31</v>
      </c>
    </row>
    <row r="6696" spans="8:8" x14ac:dyDescent="0.25">
      <c r="H6696" t="s">
        <v>148</v>
      </c>
    </row>
    <row r="6697" spans="8:8" x14ac:dyDescent="0.25">
      <c r="H6697" t="s">
        <v>4219</v>
      </c>
    </row>
    <row r="6698" spans="8:8" x14ac:dyDescent="0.25">
      <c r="H6698" t="s">
        <v>31</v>
      </c>
    </row>
    <row r="6700" spans="8:8" x14ac:dyDescent="0.25">
      <c r="H6700" t="s">
        <v>3764</v>
      </c>
    </row>
    <row r="6701" spans="8:8" x14ac:dyDescent="0.25">
      <c r="H6701" t="s">
        <v>145</v>
      </c>
    </row>
    <row r="6702" spans="8:8" x14ac:dyDescent="0.25">
      <c r="H6702" t="s">
        <v>4220</v>
      </c>
    </row>
    <row r="6703" spans="8:8" x14ac:dyDescent="0.25">
      <c r="H6703" t="s">
        <v>31</v>
      </c>
    </row>
    <row r="6704" spans="8:8" x14ac:dyDescent="0.25">
      <c r="H6704" t="s">
        <v>146</v>
      </c>
    </row>
    <row r="6705" spans="8:8" x14ac:dyDescent="0.25">
      <c r="H6705" t="s">
        <v>4221</v>
      </c>
    </row>
    <row r="6706" spans="8:8" x14ac:dyDescent="0.25">
      <c r="H6706" t="s">
        <v>31</v>
      </c>
    </row>
    <row r="6707" spans="8:8" x14ac:dyDescent="0.25">
      <c r="H6707" t="s">
        <v>147</v>
      </c>
    </row>
    <row r="6708" spans="8:8" x14ac:dyDescent="0.25">
      <c r="H6708" t="s">
        <v>4222</v>
      </c>
    </row>
    <row r="6709" spans="8:8" x14ac:dyDescent="0.25">
      <c r="H6709" t="s">
        <v>31</v>
      </c>
    </row>
    <row r="6710" spans="8:8" x14ac:dyDescent="0.25">
      <c r="H6710" t="s">
        <v>148</v>
      </c>
    </row>
    <row r="6711" spans="8:8" x14ac:dyDescent="0.25">
      <c r="H6711" t="s">
        <v>4223</v>
      </c>
    </row>
    <row r="6712" spans="8:8" x14ac:dyDescent="0.25">
      <c r="H6712" t="s">
        <v>31</v>
      </c>
    </row>
    <row r="6714" spans="8:8" x14ac:dyDescent="0.25">
      <c r="H6714" t="s">
        <v>3769</v>
      </c>
    </row>
    <row r="6715" spans="8:8" x14ac:dyDescent="0.25">
      <c r="H6715" t="s">
        <v>145</v>
      </c>
    </row>
    <row r="6716" spans="8:8" x14ac:dyDescent="0.25">
      <c r="H6716" t="s">
        <v>4224</v>
      </c>
    </row>
    <row r="6717" spans="8:8" x14ac:dyDescent="0.25">
      <c r="H6717" t="s">
        <v>31</v>
      </c>
    </row>
    <row r="6718" spans="8:8" x14ac:dyDescent="0.25">
      <c r="H6718" t="s">
        <v>146</v>
      </c>
    </row>
    <row r="6719" spans="8:8" x14ac:dyDescent="0.25">
      <c r="H6719" t="s">
        <v>4225</v>
      </c>
    </row>
    <row r="6720" spans="8:8" x14ac:dyDescent="0.25">
      <c r="H6720" t="s">
        <v>31</v>
      </c>
    </row>
    <row r="6721" spans="8:8" x14ac:dyDescent="0.25">
      <c r="H6721" t="s">
        <v>147</v>
      </c>
    </row>
    <row r="6722" spans="8:8" x14ac:dyDescent="0.25">
      <c r="H6722" t="s">
        <v>4226</v>
      </c>
    </row>
    <row r="6723" spans="8:8" x14ac:dyDescent="0.25">
      <c r="H6723" t="s">
        <v>31</v>
      </c>
    </row>
    <row r="6724" spans="8:8" x14ac:dyDescent="0.25">
      <c r="H6724" t="s">
        <v>148</v>
      </c>
    </row>
    <row r="6725" spans="8:8" x14ac:dyDescent="0.25">
      <c r="H6725" t="s">
        <v>4227</v>
      </c>
    </row>
    <row r="6726" spans="8:8" x14ac:dyDescent="0.25">
      <c r="H6726" t="s">
        <v>31</v>
      </c>
    </row>
    <row r="6728" spans="8:8" x14ac:dyDescent="0.25">
      <c r="H6728" t="s">
        <v>3774</v>
      </c>
    </row>
    <row r="6729" spans="8:8" x14ac:dyDescent="0.25">
      <c r="H6729" t="s">
        <v>145</v>
      </c>
    </row>
    <row r="6730" spans="8:8" x14ac:dyDescent="0.25">
      <c r="H6730" t="s">
        <v>4228</v>
      </c>
    </row>
    <row r="6731" spans="8:8" x14ac:dyDescent="0.25">
      <c r="H6731" t="s">
        <v>31</v>
      </c>
    </row>
    <row r="6732" spans="8:8" x14ac:dyDescent="0.25">
      <c r="H6732" t="s">
        <v>146</v>
      </c>
    </row>
    <row r="6733" spans="8:8" x14ac:dyDescent="0.25">
      <c r="H6733" t="s">
        <v>4229</v>
      </c>
    </row>
    <row r="6734" spans="8:8" x14ac:dyDescent="0.25">
      <c r="H6734" t="s">
        <v>31</v>
      </c>
    </row>
    <row r="6735" spans="8:8" x14ac:dyDescent="0.25">
      <c r="H6735" t="s">
        <v>147</v>
      </c>
    </row>
    <row r="6736" spans="8:8" x14ac:dyDescent="0.25">
      <c r="H6736" t="s">
        <v>4230</v>
      </c>
    </row>
    <row r="6737" spans="8:8" x14ac:dyDescent="0.25">
      <c r="H6737" t="s">
        <v>31</v>
      </c>
    </row>
    <row r="6738" spans="8:8" x14ac:dyDescent="0.25">
      <c r="H6738" t="s">
        <v>148</v>
      </c>
    </row>
    <row r="6739" spans="8:8" x14ac:dyDescent="0.25">
      <c r="H6739" t="s">
        <v>4231</v>
      </c>
    </row>
    <row r="6740" spans="8:8" x14ac:dyDescent="0.25">
      <c r="H6740" t="s">
        <v>31</v>
      </c>
    </row>
    <row r="6742" spans="8:8" x14ac:dyDescent="0.25">
      <c r="H6742" t="s">
        <v>3779</v>
      </c>
    </row>
    <row r="6743" spans="8:8" x14ac:dyDescent="0.25">
      <c r="H6743" t="s">
        <v>145</v>
      </c>
    </row>
    <row r="6744" spans="8:8" x14ac:dyDescent="0.25">
      <c r="H6744" t="s">
        <v>4232</v>
      </c>
    </row>
    <row r="6745" spans="8:8" x14ac:dyDescent="0.25">
      <c r="H6745" t="s">
        <v>31</v>
      </c>
    </row>
    <row r="6746" spans="8:8" x14ac:dyDescent="0.25">
      <c r="H6746" t="s">
        <v>146</v>
      </c>
    </row>
    <row r="6747" spans="8:8" x14ac:dyDescent="0.25">
      <c r="H6747" t="s">
        <v>4233</v>
      </c>
    </row>
    <row r="6748" spans="8:8" x14ac:dyDescent="0.25">
      <c r="H6748" t="s">
        <v>31</v>
      </c>
    </row>
    <row r="6749" spans="8:8" x14ac:dyDescent="0.25">
      <c r="H6749" t="s">
        <v>147</v>
      </c>
    </row>
    <row r="6750" spans="8:8" x14ac:dyDescent="0.25">
      <c r="H6750" t="s">
        <v>4234</v>
      </c>
    </row>
    <row r="6751" spans="8:8" x14ac:dyDescent="0.25">
      <c r="H6751" t="s">
        <v>31</v>
      </c>
    </row>
    <row r="6752" spans="8:8" x14ac:dyDescent="0.25">
      <c r="H6752" t="s">
        <v>148</v>
      </c>
    </row>
    <row r="6753" spans="8:8" x14ac:dyDescent="0.25">
      <c r="H6753" t="s">
        <v>4235</v>
      </c>
    </row>
    <row r="6754" spans="8:8" x14ac:dyDescent="0.25">
      <c r="H6754" t="s">
        <v>31</v>
      </c>
    </row>
    <row r="6756" spans="8:8" x14ac:dyDescent="0.25">
      <c r="H6756" t="s">
        <v>3784</v>
      </c>
    </row>
    <row r="6757" spans="8:8" x14ac:dyDescent="0.25">
      <c r="H6757" t="s">
        <v>145</v>
      </c>
    </row>
    <row r="6758" spans="8:8" x14ac:dyDescent="0.25">
      <c r="H6758" t="s">
        <v>4236</v>
      </c>
    </row>
    <row r="6759" spans="8:8" x14ac:dyDescent="0.25">
      <c r="H6759" t="s">
        <v>31</v>
      </c>
    </row>
    <row r="6760" spans="8:8" x14ac:dyDescent="0.25">
      <c r="H6760" t="s">
        <v>146</v>
      </c>
    </row>
    <row r="6761" spans="8:8" x14ac:dyDescent="0.25">
      <c r="H6761" t="s">
        <v>4237</v>
      </c>
    </row>
    <row r="6762" spans="8:8" x14ac:dyDescent="0.25">
      <c r="H6762" t="s">
        <v>31</v>
      </c>
    </row>
    <row r="6763" spans="8:8" x14ac:dyDescent="0.25">
      <c r="H6763" t="s">
        <v>147</v>
      </c>
    </row>
    <row r="6764" spans="8:8" x14ac:dyDescent="0.25">
      <c r="H6764" t="s">
        <v>4238</v>
      </c>
    </row>
    <row r="6765" spans="8:8" x14ac:dyDescent="0.25">
      <c r="H6765" t="s">
        <v>31</v>
      </c>
    </row>
    <row r="6766" spans="8:8" x14ac:dyDescent="0.25">
      <c r="H6766" t="s">
        <v>148</v>
      </c>
    </row>
    <row r="6767" spans="8:8" x14ac:dyDescent="0.25">
      <c r="H6767" t="s">
        <v>4239</v>
      </c>
    </row>
    <row r="6768" spans="8:8" x14ac:dyDescent="0.25">
      <c r="H6768" t="s">
        <v>31</v>
      </c>
    </row>
    <row r="6770" spans="8:8" x14ac:dyDescent="0.25">
      <c r="H6770" t="s">
        <v>3789</v>
      </c>
    </row>
    <row r="6771" spans="8:8" x14ac:dyDescent="0.25">
      <c r="H6771" t="s">
        <v>145</v>
      </c>
    </row>
    <row r="6772" spans="8:8" x14ac:dyDescent="0.25">
      <c r="H6772" t="s">
        <v>4240</v>
      </c>
    </row>
    <row r="6773" spans="8:8" x14ac:dyDescent="0.25">
      <c r="H6773" t="s">
        <v>31</v>
      </c>
    </row>
    <row r="6774" spans="8:8" x14ac:dyDescent="0.25">
      <c r="H6774" t="s">
        <v>146</v>
      </c>
    </row>
    <row r="6775" spans="8:8" x14ac:dyDescent="0.25">
      <c r="H6775" t="s">
        <v>4241</v>
      </c>
    </row>
    <row r="6776" spans="8:8" x14ac:dyDescent="0.25">
      <c r="H6776" t="s">
        <v>31</v>
      </c>
    </row>
    <row r="6777" spans="8:8" x14ac:dyDescent="0.25">
      <c r="H6777" t="s">
        <v>147</v>
      </c>
    </row>
    <row r="6778" spans="8:8" x14ac:dyDescent="0.25">
      <c r="H6778" t="s">
        <v>4242</v>
      </c>
    </row>
    <row r="6779" spans="8:8" x14ac:dyDescent="0.25">
      <c r="H6779" t="s">
        <v>31</v>
      </c>
    </row>
    <row r="6780" spans="8:8" x14ac:dyDescent="0.25">
      <c r="H6780" t="s">
        <v>148</v>
      </c>
    </row>
    <row r="6781" spans="8:8" x14ac:dyDescent="0.25">
      <c r="H6781" t="s">
        <v>4243</v>
      </c>
    </row>
    <row r="6782" spans="8:8" x14ac:dyDescent="0.25">
      <c r="H6782" t="s">
        <v>31</v>
      </c>
    </row>
    <row r="6784" spans="8:8" x14ac:dyDescent="0.25">
      <c r="H6784" t="s">
        <v>3794</v>
      </c>
    </row>
    <row r="6785" spans="8:8" x14ac:dyDescent="0.25">
      <c r="H6785" t="s">
        <v>145</v>
      </c>
    </row>
    <row r="6786" spans="8:8" x14ac:dyDescent="0.25">
      <c r="H6786" t="s">
        <v>4244</v>
      </c>
    </row>
    <row r="6787" spans="8:8" x14ac:dyDescent="0.25">
      <c r="H6787" t="s">
        <v>31</v>
      </c>
    </row>
    <row r="6788" spans="8:8" x14ac:dyDescent="0.25">
      <c r="H6788" t="s">
        <v>146</v>
      </c>
    </row>
    <row r="6789" spans="8:8" x14ac:dyDescent="0.25">
      <c r="H6789" t="s">
        <v>4245</v>
      </c>
    </row>
    <row r="6790" spans="8:8" x14ac:dyDescent="0.25">
      <c r="H6790" t="s">
        <v>31</v>
      </c>
    </row>
    <row r="6791" spans="8:8" x14ac:dyDescent="0.25">
      <c r="H6791" t="s">
        <v>147</v>
      </c>
    </row>
    <row r="6792" spans="8:8" x14ac:dyDescent="0.25">
      <c r="H6792" t="s">
        <v>4246</v>
      </c>
    </row>
    <row r="6793" spans="8:8" x14ac:dyDescent="0.25">
      <c r="H6793" t="s">
        <v>31</v>
      </c>
    </row>
    <row r="6794" spans="8:8" x14ac:dyDescent="0.25">
      <c r="H6794" t="s">
        <v>148</v>
      </c>
    </row>
    <row r="6795" spans="8:8" x14ac:dyDescent="0.25">
      <c r="H6795" t="s">
        <v>4247</v>
      </c>
    </row>
    <row r="6796" spans="8:8" x14ac:dyDescent="0.25">
      <c r="H6796" t="s">
        <v>31</v>
      </c>
    </row>
    <row r="6798" spans="8:8" x14ac:dyDescent="0.25">
      <c r="H6798" t="s">
        <v>3799</v>
      </c>
    </row>
    <row r="6799" spans="8:8" x14ac:dyDescent="0.25">
      <c r="H6799" t="s">
        <v>145</v>
      </c>
    </row>
    <row r="6800" spans="8:8" x14ac:dyDescent="0.25">
      <c r="H6800" t="s">
        <v>4248</v>
      </c>
    </row>
    <row r="6801" spans="8:8" x14ac:dyDescent="0.25">
      <c r="H6801" t="s">
        <v>31</v>
      </c>
    </row>
    <row r="6802" spans="8:8" x14ac:dyDescent="0.25">
      <c r="H6802" t="s">
        <v>146</v>
      </c>
    </row>
    <row r="6803" spans="8:8" x14ac:dyDescent="0.25">
      <c r="H6803" t="s">
        <v>4249</v>
      </c>
    </row>
    <row r="6804" spans="8:8" x14ac:dyDescent="0.25">
      <c r="H6804" t="s">
        <v>31</v>
      </c>
    </row>
    <row r="6805" spans="8:8" x14ac:dyDescent="0.25">
      <c r="H6805" t="s">
        <v>147</v>
      </c>
    </row>
    <row r="6806" spans="8:8" x14ac:dyDescent="0.25">
      <c r="H6806" t="s">
        <v>4250</v>
      </c>
    </row>
    <row r="6807" spans="8:8" x14ac:dyDescent="0.25">
      <c r="H6807" t="s">
        <v>31</v>
      </c>
    </row>
    <row r="6808" spans="8:8" x14ac:dyDescent="0.25">
      <c r="H6808" t="s">
        <v>148</v>
      </c>
    </row>
    <row r="6809" spans="8:8" x14ac:dyDescent="0.25">
      <c r="H6809" t="s">
        <v>4251</v>
      </c>
    </row>
    <row r="6810" spans="8:8" x14ac:dyDescent="0.25">
      <c r="H6810" t="s">
        <v>31</v>
      </c>
    </row>
    <row r="6812" spans="8:8" x14ac:dyDescent="0.25">
      <c r="H6812" t="s">
        <v>3804</v>
      </c>
    </row>
    <row r="6813" spans="8:8" x14ac:dyDescent="0.25">
      <c r="H6813" t="s">
        <v>145</v>
      </c>
    </row>
    <row r="6814" spans="8:8" x14ac:dyDescent="0.25">
      <c r="H6814" t="s">
        <v>4252</v>
      </c>
    </row>
    <row r="6815" spans="8:8" x14ac:dyDescent="0.25">
      <c r="H6815" t="s">
        <v>31</v>
      </c>
    </row>
    <row r="6816" spans="8:8" x14ac:dyDescent="0.25">
      <c r="H6816" t="s">
        <v>146</v>
      </c>
    </row>
    <row r="6817" spans="8:8" x14ac:dyDescent="0.25">
      <c r="H6817" t="s">
        <v>4253</v>
      </c>
    </row>
    <row r="6818" spans="8:8" x14ac:dyDescent="0.25">
      <c r="H6818" t="s">
        <v>31</v>
      </c>
    </row>
    <row r="6819" spans="8:8" x14ac:dyDescent="0.25">
      <c r="H6819" t="s">
        <v>147</v>
      </c>
    </row>
    <row r="6820" spans="8:8" x14ac:dyDescent="0.25">
      <c r="H6820" t="s">
        <v>4254</v>
      </c>
    </row>
    <row r="6821" spans="8:8" x14ac:dyDescent="0.25">
      <c r="H6821" t="s">
        <v>31</v>
      </c>
    </row>
    <row r="6822" spans="8:8" x14ac:dyDescent="0.25">
      <c r="H6822" t="s">
        <v>148</v>
      </c>
    </row>
    <row r="6823" spans="8:8" x14ac:dyDescent="0.25">
      <c r="H6823" t="s">
        <v>4255</v>
      </c>
    </row>
    <row r="6824" spans="8:8" x14ac:dyDescent="0.25">
      <c r="H6824" t="s">
        <v>31</v>
      </c>
    </row>
    <row r="6826" spans="8:8" x14ac:dyDescent="0.25">
      <c r="H6826" t="s">
        <v>3809</v>
      </c>
    </row>
    <row r="6827" spans="8:8" x14ac:dyDescent="0.25">
      <c r="H6827" t="s">
        <v>145</v>
      </c>
    </row>
    <row r="6828" spans="8:8" x14ac:dyDescent="0.25">
      <c r="H6828" t="s">
        <v>4256</v>
      </c>
    </row>
    <row r="6829" spans="8:8" x14ac:dyDescent="0.25">
      <c r="H6829" t="s">
        <v>31</v>
      </c>
    </row>
    <row r="6830" spans="8:8" x14ac:dyDescent="0.25">
      <c r="H6830" t="s">
        <v>146</v>
      </c>
    </row>
    <row r="6831" spans="8:8" x14ac:dyDescent="0.25">
      <c r="H6831" t="s">
        <v>4257</v>
      </c>
    </row>
    <row r="6832" spans="8:8" x14ac:dyDescent="0.25">
      <c r="H6832" t="s">
        <v>31</v>
      </c>
    </row>
    <row r="6833" spans="8:8" x14ac:dyDescent="0.25">
      <c r="H6833" t="s">
        <v>147</v>
      </c>
    </row>
    <row r="6834" spans="8:8" x14ac:dyDescent="0.25">
      <c r="H6834" t="s">
        <v>4258</v>
      </c>
    </row>
    <row r="6835" spans="8:8" x14ac:dyDescent="0.25">
      <c r="H6835" t="s">
        <v>31</v>
      </c>
    </row>
    <row r="6836" spans="8:8" x14ac:dyDescent="0.25">
      <c r="H6836" t="s">
        <v>148</v>
      </c>
    </row>
    <row r="6837" spans="8:8" x14ac:dyDescent="0.25">
      <c r="H6837" t="s">
        <v>4259</v>
      </c>
    </row>
    <row r="6838" spans="8:8" x14ac:dyDescent="0.25">
      <c r="H6838" t="s">
        <v>31</v>
      </c>
    </row>
    <row r="6840" spans="8:8" x14ac:dyDescent="0.25">
      <c r="H6840" t="s">
        <v>3814</v>
      </c>
    </row>
    <row r="6841" spans="8:8" x14ac:dyDescent="0.25">
      <c r="H6841" t="s">
        <v>145</v>
      </c>
    </row>
    <row r="6842" spans="8:8" x14ac:dyDescent="0.25">
      <c r="H6842" t="s">
        <v>4260</v>
      </c>
    </row>
    <row r="6843" spans="8:8" x14ac:dyDescent="0.25">
      <c r="H6843" t="s">
        <v>31</v>
      </c>
    </row>
    <row r="6844" spans="8:8" x14ac:dyDescent="0.25">
      <c r="H6844" t="s">
        <v>146</v>
      </c>
    </row>
    <row r="6845" spans="8:8" x14ac:dyDescent="0.25">
      <c r="H6845" t="s">
        <v>4261</v>
      </c>
    </row>
    <row r="6846" spans="8:8" x14ac:dyDescent="0.25">
      <c r="H6846" t="s">
        <v>31</v>
      </c>
    </row>
    <row r="6847" spans="8:8" x14ac:dyDescent="0.25">
      <c r="H6847" t="s">
        <v>147</v>
      </c>
    </row>
    <row r="6848" spans="8:8" x14ac:dyDescent="0.25">
      <c r="H6848" t="s">
        <v>4262</v>
      </c>
    </row>
    <row r="6849" spans="8:8" x14ac:dyDescent="0.25">
      <c r="H6849" t="s">
        <v>31</v>
      </c>
    </row>
    <row r="6850" spans="8:8" x14ac:dyDescent="0.25">
      <c r="H6850" t="s">
        <v>148</v>
      </c>
    </row>
    <row r="6851" spans="8:8" x14ac:dyDescent="0.25">
      <c r="H6851" t="s">
        <v>4263</v>
      </c>
    </row>
    <row r="6852" spans="8:8" x14ac:dyDescent="0.25">
      <c r="H6852" t="s">
        <v>31</v>
      </c>
    </row>
    <row r="6854" spans="8:8" x14ac:dyDescent="0.25">
      <c r="H6854" t="s">
        <v>3819</v>
      </c>
    </row>
    <row r="6855" spans="8:8" x14ac:dyDescent="0.25">
      <c r="H6855" t="s">
        <v>145</v>
      </c>
    </row>
    <row r="6856" spans="8:8" x14ac:dyDescent="0.25">
      <c r="H6856" t="s">
        <v>4264</v>
      </c>
    </row>
    <row r="6857" spans="8:8" x14ac:dyDescent="0.25">
      <c r="H6857" t="s">
        <v>31</v>
      </c>
    </row>
    <row r="6858" spans="8:8" x14ac:dyDescent="0.25">
      <c r="H6858" t="s">
        <v>146</v>
      </c>
    </row>
    <row r="6859" spans="8:8" x14ac:dyDescent="0.25">
      <c r="H6859" t="s">
        <v>4265</v>
      </c>
    </row>
    <row r="6860" spans="8:8" x14ac:dyDescent="0.25">
      <c r="H6860" t="s">
        <v>31</v>
      </c>
    </row>
    <row r="6861" spans="8:8" x14ac:dyDescent="0.25">
      <c r="H6861" t="s">
        <v>147</v>
      </c>
    </row>
    <row r="6862" spans="8:8" x14ac:dyDescent="0.25">
      <c r="H6862" t="s">
        <v>4266</v>
      </c>
    </row>
    <row r="6863" spans="8:8" x14ac:dyDescent="0.25">
      <c r="H6863" t="s">
        <v>31</v>
      </c>
    </row>
    <row r="6864" spans="8:8" x14ac:dyDescent="0.25">
      <c r="H6864" t="s">
        <v>148</v>
      </c>
    </row>
    <row r="6865" spans="8:8" x14ac:dyDescent="0.25">
      <c r="H6865" t="s">
        <v>4267</v>
      </c>
    </row>
    <row r="6866" spans="8:8" x14ac:dyDescent="0.25">
      <c r="H6866" t="s">
        <v>31</v>
      </c>
    </row>
    <row r="6868" spans="8:8" x14ac:dyDescent="0.25">
      <c r="H6868" t="s">
        <v>3824</v>
      </c>
    </row>
    <row r="6869" spans="8:8" x14ac:dyDescent="0.25">
      <c r="H6869" t="s">
        <v>145</v>
      </c>
    </row>
    <row r="6870" spans="8:8" x14ac:dyDescent="0.25">
      <c r="H6870" t="s">
        <v>4268</v>
      </c>
    </row>
    <row r="6871" spans="8:8" x14ac:dyDescent="0.25">
      <c r="H6871" t="s">
        <v>31</v>
      </c>
    </row>
    <row r="6872" spans="8:8" x14ac:dyDescent="0.25">
      <c r="H6872" t="s">
        <v>146</v>
      </c>
    </row>
    <row r="6873" spans="8:8" x14ac:dyDescent="0.25">
      <c r="H6873" t="s">
        <v>4269</v>
      </c>
    </row>
    <row r="6874" spans="8:8" x14ac:dyDescent="0.25">
      <c r="H6874" t="s">
        <v>31</v>
      </c>
    </row>
    <row r="6875" spans="8:8" x14ac:dyDescent="0.25">
      <c r="H6875" t="s">
        <v>147</v>
      </c>
    </row>
    <row r="6876" spans="8:8" x14ac:dyDescent="0.25">
      <c r="H6876" t="s">
        <v>4270</v>
      </c>
    </row>
    <row r="6877" spans="8:8" x14ac:dyDescent="0.25">
      <c r="H6877" t="s">
        <v>31</v>
      </c>
    </row>
    <row r="6878" spans="8:8" x14ac:dyDescent="0.25">
      <c r="H6878" t="s">
        <v>148</v>
      </c>
    </row>
    <row r="6879" spans="8:8" x14ac:dyDescent="0.25">
      <c r="H6879" t="s">
        <v>4271</v>
      </c>
    </row>
    <row r="6880" spans="8:8" x14ac:dyDescent="0.25">
      <c r="H6880" t="s">
        <v>31</v>
      </c>
    </row>
    <row r="6882" spans="8:8" x14ac:dyDescent="0.25">
      <c r="H6882" t="s">
        <v>3829</v>
      </c>
    </row>
    <row r="6883" spans="8:8" x14ac:dyDescent="0.25">
      <c r="H6883" t="s">
        <v>145</v>
      </c>
    </row>
    <row r="6884" spans="8:8" x14ac:dyDescent="0.25">
      <c r="H6884" t="s">
        <v>4272</v>
      </c>
    </row>
    <row r="6885" spans="8:8" x14ac:dyDescent="0.25">
      <c r="H6885" t="s">
        <v>31</v>
      </c>
    </row>
    <row r="6886" spans="8:8" x14ac:dyDescent="0.25">
      <c r="H6886" t="s">
        <v>146</v>
      </c>
    </row>
    <row r="6887" spans="8:8" x14ac:dyDescent="0.25">
      <c r="H6887" t="s">
        <v>4273</v>
      </c>
    </row>
    <row r="6888" spans="8:8" x14ac:dyDescent="0.25">
      <c r="H6888" t="s">
        <v>31</v>
      </c>
    </row>
    <row r="6890" spans="8:8" x14ac:dyDescent="0.25">
      <c r="H6890" t="s">
        <v>3834</v>
      </c>
    </row>
    <row r="6891" spans="8:8" x14ac:dyDescent="0.25">
      <c r="H6891" t="s">
        <v>4274</v>
      </c>
    </row>
    <row r="6892" spans="8:8" x14ac:dyDescent="0.25">
      <c r="H6892" t="s">
        <v>145</v>
      </c>
    </row>
    <row r="6893" spans="8:8" x14ac:dyDescent="0.25">
      <c r="H6893" t="s">
        <v>4275</v>
      </c>
    </row>
    <row r="6894" spans="8:8" x14ac:dyDescent="0.25">
      <c r="H6894" t="s">
        <v>31</v>
      </c>
    </row>
    <row r="6896" spans="8:8" x14ac:dyDescent="0.25">
      <c r="H6896" t="s">
        <v>29</v>
      </c>
    </row>
    <row r="6897" spans="8:8" x14ac:dyDescent="0.25">
      <c r="H6897" t="s">
        <v>121</v>
      </c>
    </row>
    <row r="6898" spans="8:8" x14ac:dyDescent="0.25">
      <c r="H6898" t="s">
        <v>149</v>
      </c>
    </row>
    <row r="6900" spans="8:8" x14ac:dyDescent="0.25">
      <c r="H6900" t="s">
        <v>30</v>
      </c>
    </row>
    <row r="6901" spans="8:8" x14ac:dyDescent="0.25">
      <c r="H6901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89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129</v>
      </c>
    </row>
    <row r="7" spans="1:8" x14ac:dyDescent="0.25">
      <c r="H7" t="s">
        <v>7444</v>
      </c>
    </row>
    <row r="8" spans="1:8" x14ac:dyDescent="0.25">
      <c r="B8" s="1" t="s">
        <v>20</v>
      </c>
      <c r="H8" t="s">
        <v>1886</v>
      </c>
    </row>
    <row r="9" spans="1:8" x14ac:dyDescent="0.25">
      <c r="B9" t="s">
        <v>130</v>
      </c>
      <c r="H9" t="s">
        <v>145</v>
      </c>
    </row>
    <row r="10" spans="1:8" x14ac:dyDescent="0.25">
      <c r="H10" t="s">
        <v>4276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7445</v>
      </c>
    </row>
    <row r="14" spans="1:8" x14ac:dyDescent="0.25">
      <c r="B14" s="1" t="s">
        <v>36</v>
      </c>
      <c r="H14" t="s">
        <v>145</v>
      </c>
    </row>
    <row r="15" spans="1:8" x14ac:dyDescent="0.25">
      <c r="B15" t="s">
        <v>35</v>
      </c>
      <c r="H15" t="s">
        <v>4277</v>
      </c>
    </row>
    <row r="16" spans="1:8" x14ac:dyDescent="0.25">
      <c r="H16" t="s">
        <v>31</v>
      </c>
    </row>
    <row r="17" spans="2:8" x14ac:dyDescent="0.25">
      <c r="B17" s="1" t="s">
        <v>21</v>
      </c>
    </row>
    <row r="18" spans="2:8" x14ac:dyDescent="0.25">
      <c r="B18" t="s">
        <v>133</v>
      </c>
      <c r="H18" t="s">
        <v>7446</v>
      </c>
    </row>
    <row r="19" spans="2:8" x14ac:dyDescent="0.25">
      <c r="H19" t="s">
        <v>145</v>
      </c>
    </row>
    <row r="20" spans="2:8" x14ac:dyDescent="0.25">
      <c r="B20" s="1"/>
      <c r="H20" t="s">
        <v>4278</v>
      </c>
    </row>
    <row r="21" spans="2:8" x14ac:dyDescent="0.25">
      <c r="H21" t="s">
        <v>31</v>
      </c>
    </row>
    <row r="23" spans="2:8" x14ac:dyDescent="0.25">
      <c r="H23" t="s">
        <v>7447</v>
      </c>
    </row>
    <row r="24" spans="2:8" x14ac:dyDescent="0.25">
      <c r="H24" t="s">
        <v>145</v>
      </c>
    </row>
    <row r="25" spans="2:8" x14ac:dyDescent="0.25">
      <c r="H25" t="s">
        <v>4279</v>
      </c>
    </row>
    <row r="26" spans="2:8" x14ac:dyDescent="0.25">
      <c r="H26" t="s">
        <v>31</v>
      </c>
    </row>
    <row r="28" spans="2:8" x14ac:dyDescent="0.25">
      <c r="H28" t="s">
        <v>7448</v>
      </c>
    </row>
    <row r="29" spans="2:8" x14ac:dyDescent="0.25">
      <c r="H29" t="s">
        <v>145</v>
      </c>
    </row>
    <row r="30" spans="2:8" x14ac:dyDescent="0.25">
      <c r="H30" t="s">
        <v>4280</v>
      </c>
    </row>
    <row r="31" spans="2:8" x14ac:dyDescent="0.25">
      <c r="H31" t="s">
        <v>31</v>
      </c>
    </row>
    <row r="32" spans="2:8" x14ac:dyDescent="0.25">
      <c r="H32" t="s">
        <v>146</v>
      </c>
    </row>
    <row r="33" spans="8:8" x14ac:dyDescent="0.25">
      <c r="H33" t="s">
        <v>4281</v>
      </c>
    </row>
    <row r="34" spans="8:8" x14ac:dyDescent="0.25">
      <c r="H34" t="s">
        <v>31</v>
      </c>
    </row>
    <row r="35" spans="8:8" x14ac:dyDescent="0.25">
      <c r="H35" t="s">
        <v>147</v>
      </c>
    </row>
    <row r="36" spans="8:8" x14ac:dyDescent="0.25">
      <c r="H36" t="s">
        <v>4282</v>
      </c>
    </row>
    <row r="37" spans="8:8" x14ac:dyDescent="0.25">
      <c r="H37" t="s">
        <v>31</v>
      </c>
    </row>
    <row r="38" spans="8:8" x14ac:dyDescent="0.25">
      <c r="H38" t="s">
        <v>148</v>
      </c>
    </row>
    <row r="39" spans="8:8" x14ac:dyDescent="0.25">
      <c r="H39" t="s">
        <v>4283</v>
      </c>
    </row>
    <row r="40" spans="8:8" x14ac:dyDescent="0.25">
      <c r="H40" t="s">
        <v>31</v>
      </c>
    </row>
    <row r="42" spans="8:8" x14ac:dyDescent="0.25">
      <c r="H42" t="s">
        <v>7449</v>
      </c>
    </row>
    <row r="43" spans="8:8" x14ac:dyDescent="0.25">
      <c r="H43" t="s">
        <v>145</v>
      </c>
    </row>
    <row r="44" spans="8:8" x14ac:dyDescent="0.25">
      <c r="H44" t="s">
        <v>4284</v>
      </c>
    </row>
    <row r="45" spans="8:8" x14ac:dyDescent="0.25">
      <c r="H45" t="s">
        <v>31</v>
      </c>
    </row>
    <row r="46" spans="8:8" x14ac:dyDescent="0.25">
      <c r="H46" t="s">
        <v>146</v>
      </c>
    </row>
    <row r="47" spans="8:8" x14ac:dyDescent="0.25">
      <c r="H47" t="s">
        <v>4285</v>
      </c>
    </row>
    <row r="48" spans="8:8" x14ac:dyDescent="0.25">
      <c r="H48" t="s">
        <v>31</v>
      </c>
    </row>
    <row r="49" spans="8:8" x14ac:dyDescent="0.25">
      <c r="H49" t="s">
        <v>147</v>
      </c>
    </row>
    <row r="50" spans="8:8" x14ac:dyDescent="0.25">
      <c r="H50" t="s">
        <v>4286</v>
      </c>
    </row>
    <row r="51" spans="8:8" x14ac:dyDescent="0.25">
      <c r="H51" t="s">
        <v>31</v>
      </c>
    </row>
    <row r="52" spans="8:8" x14ac:dyDescent="0.25">
      <c r="H52" t="s">
        <v>148</v>
      </c>
    </row>
    <row r="53" spans="8:8" x14ac:dyDescent="0.25">
      <c r="H53" t="s">
        <v>4287</v>
      </c>
    </row>
    <row r="54" spans="8:8" x14ac:dyDescent="0.25">
      <c r="H54" t="s">
        <v>31</v>
      </c>
    </row>
    <row r="56" spans="8:8" x14ac:dyDescent="0.25">
      <c r="H56" t="s">
        <v>7450</v>
      </c>
    </row>
    <row r="57" spans="8:8" x14ac:dyDescent="0.25">
      <c r="H57" t="s">
        <v>145</v>
      </c>
    </row>
    <row r="58" spans="8:8" x14ac:dyDescent="0.25">
      <c r="H58" t="s">
        <v>4288</v>
      </c>
    </row>
    <row r="59" spans="8:8" x14ac:dyDescent="0.25">
      <c r="H59" t="s">
        <v>31</v>
      </c>
    </row>
    <row r="60" spans="8:8" x14ac:dyDescent="0.25">
      <c r="H60" t="s">
        <v>146</v>
      </c>
    </row>
    <row r="61" spans="8:8" x14ac:dyDescent="0.25">
      <c r="H61" t="s">
        <v>4289</v>
      </c>
    </row>
    <row r="62" spans="8:8" x14ac:dyDescent="0.25">
      <c r="H62" t="s">
        <v>31</v>
      </c>
    </row>
    <row r="63" spans="8:8" x14ac:dyDescent="0.25">
      <c r="H63" t="s">
        <v>147</v>
      </c>
    </row>
    <row r="64" spans="8:8" x14ac:dyDescent="0.25">
      <c r="H64" t="s">
        <v>4290</v>
      </c>
    </row>
    <row r="65" spans="8:8" x14ac:dyDescent="0.25">
      <c r="H65" t="s">
        <v>31</v>
      </c>
    </row>
    <row r="66" spans="8:8" x14ac:dyDescent="0.25">
      <c r="H66" t="s">
        <v>148</v>
      </c>
    </row>
    <row r="67" spans="8:8" x14ac:dyDescent="0.25">
      <c r="H67" t="s">
        <v>4291</v>
      </c>
    </row>
    <row r="68" spans="8:8" x14ac:dyDescent="0.25">
      <c r="H68" t="s">
        <v>31</v>
      </c>
    </row>
    <row r="70" spans="8:8" x14ac:dyDescent="0.25">
      <c r="H70" t="s">
        <v>7451</v>
      </c>
    </row>
    <row r="71" spans="8:8" x14ac:dyDescent="0.25">
      <c r="H71" t="s">
        <v>145</v>
      </c>
    </row>
    <row r="72" spans="8:8" x14ac:dyDescent="0.25">
      <c r="H72" t="s">
        <v>4292</v>
      </c>
    </row>
    <row r="73" spans="8:8" x14ac:dyDescent="0.25">
      <c r="H73" t="s">
        <v>31</v>
      </c>
    </row>
    <row r="74" spans="8:8" x14ac:dyDescent="0.25">
      <c r="H74" t="s">
        <v>146</v>
      </c>
    </row>
    <row r="75" spans="8:8" x14ac:dyDescent="0.25">
      <c r="H75" t="s">
        <v>4293</v>
      </c>
    </row>
    <row r="76" spans="8:8" x14ac:dyDescent="0.25">
      <c r="H76" t="s">
        <v>31</v>
      </c>
    </row>
    <row r="77" spans="8:8" x14ac:dyDescent="0.25">
      <c r="H77" t="s">
        <v>147</v>
      </c>
    </row>
    <row r="78" spans="8:8" x14ac:dyDescent="0.25">
      <c r="H78" t="s">
        <v>4294</v>
      </c>
    </row>
    <row r="79" spans="8:8" x14ac:dyDescent="0.25">
      <c r="H79" t="s">
        <v>31</v>
      </c>
    </row>
    <row r="80" spans="8:8" x14ac:dyDescent="0.25">
      <c r="H80" t="s">
        <v>148</v>
      </c>
    </row>
    <row r="81" spans="8:8" x14ac:dyDescent="0.25">
      <c r="H81" t="s">
        <v>4295</v>
      </c>
    </row>
    <row r="82" spans="8:8" x14ac:dyDescent="0.25">
      <c r="H82" t="s">
        <v>31</v>
      </c>
    </row>
    <row r="84" spans="8:8" x14ac:dyDescent="0.25">
      <c r="H84" t="s">
        <v>7452</v>
      </c>
    </row>
    <row r="85" spans="8:8" x14ac:dyDescent="0.25">
      <c r="H85" t="s">
        <v>1915</v>
      </c>
    </row>
    <row r="86" spans="8:8" x14ac:dyDescent="0.25">
      <c r="H86" t="s">
        <v>145</v>
      </c>
    </row>
    <row r="87" spans="8:8" x14ac:dyDescent="0.25">
      <c r="H87" t="s">
        <v>4296</v>
      </c>
    </row>
    <row r="88" spans="8:8" x14ac:dyDescent="0.25">
      <c r="H88" t="s">
        <v>31</v>
      </c>
    </row>
    <row r="90" spans="8:8" x14ac:dyDescent="0.25">
      <c r="H90" t="s">
        <v>7453</v>
      </c>
    </row>
    <row r="91" spans="8:8" x14ac:dyDescent="0.25">
      <c r="H91" t="s">
        <v>145</v>
      </c>
    </row>
    <row r="92" spans="8:8" x14ac:dyDescent="0.25">
      <c r="H92" t="s">
        <v>4297</v>
      </c>
    </row>
    <row r="93" spans="8:8" x14ac:dyDescent="0.25">
      <c r="H93" t="s">
        <v>31</v>
      </c>
    </row>
    <row r="94" spans="8:8" x14ac:dyDescent="0.25">
      <c r="H94" t="s">
        <v>146</v>
      </c>
    </row>
    <row r="95" spans="8:8" x14ac:dyDescent="0.25">
      <c r="H95" t="s">
        <v>4298</v>
      </c>
    </row>
    <row r="96" spans="8:8" x14ac:dyDescent="0.25">
      <c r="H96" t="s">
        <v>31</v>
      </c>
    </row>
    <row r="97" spans="8:8" x14ac:dyDescent="0.25">
      <c r="H97" t="s">
        <v>147</v>
      </c>
    </row>
    <row r="98" spans="8:8" x14ac:dyDescent="0.25">
      <c r="H98" t="s">
        <v>4299</v>
      </c>
    </row>
    <row r="99" spans="8:8" x14ac:dyDescent="0.25">
      <c r="H99" t="s">
        <v>31</v>
      </c>
    </row>
    <row r="100" spans="8:8" x14ac:dyDescent="0.25">
      <c r="H100" t="s">
        <v>148</v>
      </c>
    </row>
    <row r="101" spans="8:8" x14ac:dyDescent="0.25">
      <c r="H101" t="s">
        <v>4300</v>
      </c>
    </row>
    <row r="102" spans="8:8" x14ac:dyDescent="0.25">
      <c r="H102" t="s">
        <v>31</v>
      </c>
    </row>
    <row r="104" spans="8:8" x14ac:dyDescent="0.25">
      <c r="H104" t="s">
        <v>7454</v>
      </c>
    </row>
    <row r="105" spans="8:8" x14ac:dyDescent="0.25">
      <c r="H105" t="s">
        <v>145</v>
      </c>
    </row>
    <row r="106" spans="8:8" x14ac:dyDescent="0.25">
      <c r="H106" t="s">
        <v>4301</v>
      </c>
    </row>
    <row r="107" spans="8:8" x14ac:dyDescent="0.25">
      <c r="H107" t="s">
        <v>31</v>
      </c>
    </row>
    <row r="108" spans="8:8" x14ac:dyDescent="0.25">
      <c r="H108" t="s">
        <v>146</v>
      </c>
    </row>
    <row r="109" spans="8:8" x14ac:dyDescent="0.25">
      <c r="H109" t="s">
        <v>4302</v>
      </c>
    </row>
    <row r="110" spans="8:8" x14ac:dyDescent="0.25">
      <c r="H110" t="s">
        <v>31</v>
      </c>
    </row>
    <row r="111" spans="8:8" x14ac:dyDescent="0.25">
      <c r="H111" t="s">
        <v>147</v>
      </c>
    </row>
    <row r="112" spans="8:8" x14ac:dyDescent="0.25">
      <c r="H112" t="s">
        <v>4303</v>
      </c>
    </row>
    <row r="113" spans="8:8" x14ac:dyDescent="0.25">
      <c r="H113" t="s">
        <v>31</v>
      </c>
    </row>
    <row r="114" spans="8:8" x14ac:dyDescent="0.25">
      <c r="H114" t="s">
        <v>148</v>
      </c>
    </row>
    <row r="115" spans="8:8" x14ac:dyDescent="0.25">
      <c r="H115" t="s">
        <v>4304</v>
      </c>
    </row>
    <row r="116" spans="8:8" x14ac:dyDescent="0.25">
      <c r="H116" t="s">
        <v>31</v>
      </c>
    </row>
    <row r="118" spans="8:8" x14ac:dyDescent="0.25">
      <c r="H118" t="s">
        <v>7455</v>
      </c>
    </row>
    <row r="119" spans="8:8" x14ac:dyDescent="0.25">
      <c r="H119" t="s">
        <v>145</v>
      </c>
    </row>
    <row r="120" spans="8:8" x14ac:dyDescent="0.25">
      <c r="H120" t="s">
        <v>4305</v>
      </c>
    </row>
    <row r="121" spans="8:8" x14ac:dyDescent="0.25">
      <c r="H121" t="s">
        <v>31</v>
      </c>
    </row>
    <row r="122" spans="8:8" x14ac:dyDescent="0.25">
      <c r="H122" t="s">
        <v>146</v>
      </c>
    </row>
    <row r="123" spans="8:8" x14ac:dyDescent="0.25">
      <c r="H123" t="s">
        <v>4306</v>
      </c>
    </row>
    <row r="124" spans="8:8" x14ac:dyDescent="0.25">
      <c r="H124" t="s">
        <v>31</v>
      </c>
    </row>
    <row r="125" spans="8:8" x14ac:dyDescent="0.25">
      <c r="H125" t="s">
        <v>147</v>
      </c>
    </row>
    <row r="126" spans="8:8" x14ac:dyDescent="0.25">
      <c r="H126" t="s">
        <v>4307</v>
      </c>
    </row>
    <row r="127" spans="8:8" x14ac:dyDescent="0.25">
      <c r="H127" t="s">
        <v>31</v>
      </c>
    </row>
    <row r="129" spans="8:8" x14ac:dyDescent="0.25">
      <c r="H129" t="s">
        <v>7456</v>
      </c>
    </row>
    <row r="130" spans="8:8" x14ac:dyDescent="0.25">
      <c r="H130" t="s">
        <v>145</v>
      </c>
    </row>
    <row r="131" spans="8:8" x14ac:dyDescent="0.25">
      <c r="H131" t="s">
        <v>4308</v>
      </c>
    </row>
    <row r="132" spans="8:8" x14ac:dyDescent="0.25">
      <c r="H132" t="s">
        <v>31</v>
      </c>
    </row>
    <row r="133" spans="8:8" x14ac:dyDescent="0.25">
      <c r="H133" t="s">
        <v>146</v>
      </c>
    </row>
    <row r="134" spans="8:8" x14ac:dyDescent="0.25">
      <c r="H134" t="s">
        <v>4309</v>
      </c>
    </row>
    <row r="135" spans="8:8" x14ac:dyDescent="0.25">
      <c r="H135" t="s">
        <v>31</v>
      </c>
    </row>
    <row r="136" spans="8:8" x14ac:dyDescent="0.25">
      <c r="H136" t="s">
        <v>147</v>
      </c>
    </row>
    <row r="137" spans="8:8" x14ac:dyDescent="0.25">
      <c r="H137" t="s">
        <v>4310</v>
      </c>
    </row>
    <row r="138" spans="8:8" x14ac:dyDescent="0.25">
      <c r="H138" t="s">
        <v>31</v>
      </c>
    </row>
    <row r="139" spans="8:8" x14ac:dyDescent="0.25">
      <c r="H139" t="s">
        <v>148</v>
      </c>
    </row>
    <row r="140" spans="8:8" x14ac:dyDescent="0.25">
      <c r="H140" t="s">
        <v>4311</v>
      </c>
    </row>
    <row r="141" spans="8:8" x14ac:dyDescent="0.25">
      <c r="H141" t="s">
        <v>31</v>
      </c>
    </row>
    <row r="143" spans="8:8" x14ac:dyDescent="0.25">
      <c r="H143" t="s">
        <v>7457</v>
      </c>
    </row>
    <row r="144" spans="8:8" x14ac:dyDescent="0.25">
      <c r="H144" t="s">
        <v>145</v>
      </c>
    </row>
    <row r="145" spans="8:8" x14ac:dyDescent="0.25">
      <c r="H145" t="s">
        <v>4312</v>
      </c>
    </row>
    <row r="146" spans="8:8" x14ac:dyDescent="0.25">
      <c r="H146" t="s">
        <v>31</v>
      </c>
    </row>
    <row r="147" spans="8:8" x14ac:dyDescent="0.25">
      <c r="H147" t="s">
        <v>146</v>
      </c>
    </row>
    <row r="148" spans="8:8" x14ac:dyDescent="0.25">
      <c r="H148" t="s">
        <v>4313</v>
      </c>
    </row>
    <row r="149" spans="8:8" x14ac:dyDescent="0.25">
      <c r="H149" t="s">
        <v>31</v>
      </c>
    </row>
    <row r="150" spans="8:8" x14ac:dyDescent="0.25">
      <c r="H150" t="s">
        <v>147</v>
      </c>
    </row>
    <row r="151" spans="8:8" x14ac:dyDescent="0.25">
      <c r="H151" t="s">
        <v>4314</v>
      </c>
    </row>
    <row r="152" spans="8:8" x14ac:dyDescent="0.25">
      <c r="H152" t="s">
        <v>31</v>
      </c>
    </row>
    <row r="153" spans="8:8" x14ac:dyDescent="0.25">
      <c r="H153" t="s">
        <v>148</v>
      </c>
    </row>
    <row r="154" spans="8:8" x14ac:dyDescent="0.25">
      <c r="H154" t="s">
        <v>4315</v>
      </c>
    </row>
    <row r="155" spans="8:8" x14ac:dyDescent="0.25">
      <c r="H155" t="s">
        <v>31</v>
      </c>
    </row>
    <row r="157" spans="8:8" x14ac:dyDescent="0.25">
      <c r="H157" t="s">
        <v>7458</v>
      </c>
    </row>
    <row r="158" spans="8:8" x14ac:dyDescent="0.25">
      <c r="H158" t="s">
        <v>145</v>
      </c>
    </row>
    <row r="159" spans="8:8" x14ac:dyDescent="0.25">
      <c r="H159" t="s">
        <v>4316</v>
      </c>
    </row>
    <row r="160" spans="8:8" x14ac:dyDescent="0.25">
      <c r="H160" t="s">
        <v>31</v>
      </c>
    </row>
    <row r="161" spans="8:8" x14ac:dyDescent="0.25">
      <c r="H161" t="s">
        <v>146</v>
      </c>
    </row>
    <row r="162" spans="8:8" x14ac:dyDescent="0.25">
      <c r="H162" t="s">
        <v>4317</v>
      </c>
    </row>
    <row r="163" spans="8:8" x14ac:dyDescent="0.25">
      <c r="H163" t="s">
        <v>31</v>
      </c>
    </row>
    <row r="164" spans="8:8" x14ac:dyDescent="0.25">
      <c r="H164" t="s">
        <v>147</v>
      </c>
    </row>
    <row r="165" spans="8:8" x14ac:dyDescent="0.25">
      <c r="H165" t="s">
        <v>4318</v>
      </c>
    </row>
    <row r="166" spans="8:8" x14ac:dyDescent="0.25">
      <c r="H166" t="s">
        <v>31</v>
      </c>
    </row>
    <row r="167" spans="8:8" x14ac:dyDescent="0.25">
      <c r="H167" t="s">
        <v>148</v>
      </c>
    </row>
    <row r="168" spans="8:8" x14ac:dyDescent="0.25">
      <c r="H168" t="s">
        <v>4319</v>
      </c>
    </row>
    <row r="169" spans="8:8" x14ac:dyDescent="0.25">
      <c r="H169" t="s">
        <v>31</v>
      </c>
    </row>
    <row r="171" spans="8:8" x14ac:dyDescent="0.25">
      <c r="H171" t="s">
        <v>7459</v>
      </c>
    </row>
    <row r="172" spans="8:8" x14ac:dyDescent="0.25">
      <c r="H172" t="s">
        <v>145</v>
      </c>
    </row>
    <row r="173" spans="8:8" x14ac:dyDescent="0.25">
      <c r="H173" t="s">
        <v>4320</v>
      </c>
    </row>
    <row r="174" spans="8:8" x14ac:dyDescent="0.25">
      <c r="H174" t="s">
        <v>31</v>
      </c>
    </row>
    <row r="175" spans="8:8" x14ac:dyDescent="0.25">
      <c r="H175" t="s">
        <v>146</v>
      </c>
    </row>
    <row r="176" spans="8:8" x14ac:dyDescent="0.25">
      <c r="H176" t="s">
        <v>4321</v>
      </c>
    </row>
    <row r="177" spans="8:8" x14ac:dyDescent="0.25">
      <c r="H177" t="s">
        <v>31</v>
      </c>
    </row>
    <row r="178" spans="8:8" x14ac:dyDescent="0.25">
      <c r="H178" t="s">
        <v>147</v>
      </c>
    </row>
    <row r="179" spans="8:8" x14ac:dyDescent="0.25">
      <c r="H179" t="s">
        <v>4322</v>
      </c>
    </row>
    <row r="180" spans="8:8" x14ac:dyDescent="0.25">
      <c r="H180" t="s">
        <v>31</v>
      </c>
    </row>
    <row r="181" spans="8:8" x14ac:dyDescent="0.25">
      <c r="H181" t="s">
        <v>148</v>
      </c>
    </row>
    <row r="182" spans="8:8" x14ac:dyDescent="0.25">
      <c r="H182" t="s">
        <v>4323</v>
      </c>
    </row>
    <row r="183" spans="8:8" x14ac:dyDescent="0.25">
      <c r="H183" t="s">
        <v>31</v>
      </c>
    </row>
    <row r="185" spans="8:8" x14ac:dyDescent="0.25">
      <c r="H185" t="s">
        <v>7460</v>
      </c>
    </row>
    <row r="186" spans="8:8" x14ac:dyDescent="0.25">
      <c r="H186" t="s">
        <v>145</v>
      </c>
    </row>
    <row r="187" spans="8:8" x14ac:dyDescent="0.25">
      <c r="H187" t="s">
        <v>4324</v>
      </c>
    </row>
    <row r="188" spans="8:8" x14ac:dyDescent="0.25">
      <c r="H188" t="s">
        <v>31</v>
      </c>
    </row>
    <row r="189" spans="8:8" x14ac:dyDescent="0.25">
      <c r="H189" t="s">
        <v>146</v>
      </c>
    </row>
    <row r="190" spans="8:8" x14ac:dyDescent="0.25">
      <c r="H190" t="s">
        <v>4325</v>
      </c>
    </row>
    <row r="191" spans="8:8" x14ac:dyDescent="0.25">
      <c r="H191" t="s">
        <v>31</v>
      </c>
    </row>
    <row r="192" spans="8:8" x14ac:dyDescent="0.25">
      <c r="H192" t="s">
        <v>147</v>
      </c>
    </row>
    <row r="193" spans="8:8" x14ac:dyDescent="0.25">
      <c r="H193" t="s">
        <v>4326</v>
      </c>
    </row>
    <row r="194" spans="8:8" x14ac:dyDescent="0.25">
      <c r="H194" t="s">
        <v>31</v>
      </c>
    </row>
    <row r="195" spans="8:8" x14ac:dyDescent="0.25">
      <c r="H195" t="s">
        <v>148</v>
      </c>
    </row>
    <row r="196" spans="8:8" x14ac:dyDescent="0.25">
      <c r="H196" t="s">
        <v>4327</v>
      </c>
    </row>
    <row r="197" spans="8:8" x14ac:dyDescent="0.25">
      <c r="H197" t="s">
        <v>31</v>
      </c>
    </row>
    <row r="199" spans="8:8" x14ac:dyDescent="0.25">
      <c r="H199" t="s">
        <v>7461</v>
      </c>
    </row>
    <row r="200" spans="8:8" x14ac:dyDescent="0.25">
      <c r="H200" t="s">
        <v>145</v>
      </c>
    </row>
    <row r="201" spans="8:8" x14ac:dyDescent="0.25">
      <c r="H201" t="s">
        <v>4328</v>
      </c>
    </row>
    <row r="202" spans="8:8" x14ac:dyDescent="0.25">
      <c r="H202" t="s">
        <v>31</v>
      </c>
    </row>
    <row r="203" spans="8:8" x14ac:dyDescent="0.25">
      <c r="H203" t="s">
        <v>146</v>
      </c>
    </row>
    <row r="204" spans="8:8" x14ac:dyDescent="0.25">
      <c r="H204" t="s">
        <v>4329</v>
      </c>
    </row>
    <row r="205" spans="8:8" x14ac:dyDescent="0.25">
      <c r="H205" t="s">
        <v>31</v>
      </c>
    </row>
    <row r="206" spans="8:8" x14ac:dyDescent="0.25">
      <c r="H206" t="s">
        <v>147</v>
      </c>
    </row>
    <row r="207" spans="8:8" x14ac:dyDescent="0.25">
      <c r="H207" t="s">
        <v>4330</v>
      </c>
    </row>
    <row r="208" spans="8:8" x14ac:dyDescent="0.25">
      <c r="H208" t="s">
        <v>31</v>
      </c>
    </row>
    <row r="209" spans="8:8" x14ac:dyDescent="0.25">
      <c r="H209" t="s">
        <v>148</v>
      </c>
    </row>
    <row r="210" spans="8:8" x14ac:dyDescent="0.25">
      <c r="H210" t="s">
        <v>4331</v>
      </c>
    </row>
    <row r="211" spans="8:8" x14ac:dyDescent="0.25">
      <c r="H211" t="s">
        <v>31</v>
      </c>
    </row>
    <row r="213" spans="8:8" x14ac:dyDescent="0.25">
      <c r="H213" t="s">
        <v>7462</v>
      </c>
    </row>
    <row r="214" spans="8:8" x14ac:dyDescent="0.25">
      <c r="H214" t="s">
        <v>145</v>
      </c>
    </row>
    <row r="215" spans="8:8" x14ac:dyDescent="0.25">
      <c r="H215" t="s">
        <v>4332</v>
      </c>
    </row>
    <row r="216" spans="8:8" x14ac:dyDescent="0.25">
      <c r="H216" t="s">
        <v>31</v>
      </c>
    </row>
    <row r="218" spans="8:8" x14ac:dyDescent="0.25">
      <c r="H218" t="s">
        <v>7463</v>
      </c>
    </row>
    <row r="219" spans="8:8" x14ac:dyDescent="0.25">
      <c r="H219" t="s">
        <v>145</v>
      </c>
    </row>
    <row r="220" spans="8:8" x14ac:dyDescent="0.25">
      <c r="H220" t="s">
        <v>4333</v>
      </c>
    </row>
    <row r="221" spans="8:8" x14ac:dyDescent="0.25">
      <c r="H221" t="s">
        <v>31</v>
      </c>
    </row>
    <row r="223" spans="8:8" x14ac:dyDescent="0.25">
      <c r="H223" t="s">
        <v>7464</v>
      </c>
    </row>
    <row r="224" spans="8:8" x14ac:dyDescent="0.25">
      <c r="H224" t="s">
        <v>145</v>
      </c>
    </row>
    <row r="225" spans="8:8" x14ac:dyDescent="0.25">
      <c r="H225" t="s">
        <v>4334</v>
      </c>
    </row>
    <row r="226" spans="8:8" x14ac:dyDescent="0.25">
      <c r="H226" t="s">
        <v>31</v>
      </c>
    </row>
    <row r="227" spans="8:8" x14ac:dyDescent="0.25">
      <c r="H227" t="s">
        <v>146</v>
      </c>
    </row>
    <row r="228" spans="8:8" x14ac:dyDescent="0.25">
      <c r="H228" t="s">
        <v>4335</v>
      </c>
    </row>
    <row r="229" spans="8:8" x14ac:dyDescent="0.25">
      <c r="H229" t="s">
        <v>31</v>
      </c>
    </row>
    <row r="231" spans="8:8" x14ac:dyDescent="0.25">
      <c r="H231" t="s">
        <v>7465</v>
      </c>
    </row>
    <row r="232" spans="8:8" x14ac:dyDescent="0.25">
      <c r="H232" t="s">
        <v>145</v>
      </c>
    </row>
    <row r="233" spans="8:8" x14ac:dyDescent="0.25">
      <c r="H233" t="s">
        <v>4336</v>
      </c>
    </row>
    <row r="234" spans="8:8" x14ac:dyDescent="0.25">
      <c r="H234" t="s">
        <v>31</v>
      </c>
    </row>
    <row r="236" spans="8:8" x14ac:dyDescent="0.25">
      <c r="H236" t="s">
        <v>7466</v>
      </c>
    </row>
    <row r="237" spans="8:8" x14ac:dyDescent="0.25">
      <c r="H237" t="s">
        <v>145</v>
      </c>
    </row>
    <row r="238" spans="8:8" x14ac:dyDescent="0.25">
      <c r="H238" t="s">
        <v>4337</v>
      </c>
    </row>
    <row r="239" spans="8:8" x14ac:dyDescent="0.25">
      <c r="H239" t="s">
        <v>31</v>
      </c>
    </row>
    <row r="241" spans="8:8" x14ac:dyDescent="0.25">
      <c r="H241" t="s">
        <v>7467</v>
      </c>
    </row>
    <row r="242" spans="8:8" x14ac:dyDescent="0.25">
      <c r="H242" t="s">
        <v>145</v>
      </c>
    </row>
    <row r="243" spans="8:8" x14ac:dyDescent="0.25">
      <c r="H243" t="s">
        <v>4338</v>
      </c>
    </row>
    <row r="244" spans="8:8" x14ac:dyDescent="0.25">
      <c r="H244" t="s">
        <v>31</v>
      </c>
    </row>
    <row r="246" spans="8:8" x14ac:dyDescent="0.25">
      <c r="H246" t="s">
        <v>7468</v>
      </c>
    </row>
    <row r="247" spans="8:8" x14ac:dyDescent="0.25">
      <c r="H247" t="s">
        <v>145</v>
      </c>
    </row>
    <row r="248" spans="8:8" x14ac:dyDescent="0.25">
      <c r="H248" t="s">
        <v>4339</v>
      </c>
    </row>
    <row r="249" spans="8:8" x14ac:dyDescent="0.25">
      <c r="H249" t="s">
        <v>31</v>
      </c>
    </row>
    <row r="250" spans="8:8" x14ac:dyDescent="0.25">
      <c r="H250" t="s">
        <v>146</v>
      </c>
    </row>
    <row r="251" spans="8:8" x14ac:dyDescent="0.25">
      <c r="H251" t="s">
        <v>4340</v>
      </c>
    </row>
    <row r="252" spans="8:8" x14ac:dyDescent="0.25">
      <c r="H252" t="s">
        <v>31</v>
      </c>
    </row>
    <row r="253" spans="8:8" x14ac:dyDescent="0.25">
      <c r="H253" t="s">
        <v>147</v>
      </c>
    </row>
    <row r="254" spans="8:8" x14ac:dyDescent="0.25">
      <c r="H254" t="s">
        <v>4341</v>
      </c>
    </row>
    <row r="255" spans="8:8" x14ac:dyDescent="0.25">
      <c r="H255" t="s">
        <v>31</v>
      </c>
    </row>
    <row r="257" spans="8:8" x14ac:dyDescent="0.25">
      <c r="H257" t="s">
        <v>7469</v>
      </c>
    </row>
    <row r="258" spans="8:8" x14ac:dyDescent="0.25">
      <c r="H258" t="s">
        <v>145</v>
      </c>
    </row>
    <row r="259" spans="8:8" x14ac:dyDescent="0.25">
      <c r="H259" t="s">
        <v>4342</v>
      </c>
    </row>
    <row r="260" spans="8:8" x14ac:dyDescent="0.25">
      <c r="H260" t="s">
        <v>31</v>
      </c>
    </row>
    <row r="261" spans="8:8" x14ac:dyDescent="0.25">
      <c r="H261" t="s">
        <v>146</v>
      </c>
    </row>
    <row r="262" spans="8:8" x14ac:dyDescent="0.25">
      <c r="H262" t="s">
        <v>4343</v>
      </c>
    </row>
    <row r="263" spans="8:8" x14ac:dyDescent="0.25">
      <c r="H263" t="s">
        <v>31</v>
      </c>
    </row>
    <row r="264" spans="8:8" x14ac:dyDescent="0.25">
      <c r="H264" t="s">
        <v>1981</v>
      </c>
    </row>
    <row r="265" spans="8:8" x14ac:dyDescent="0.25">
      <c r="H265" t="s">
        <v>147</v>
      </c>
    </row>
    <row r="266" spans="8:8" x14ac:dyDescent="0.25">
      <c r="H266" t="s">
        <v>4344</v>
      </c>
    </row>
    <row r="267" spans="8:8" x14ac:dyDescent="0.25">
      <c r="H267" t="s">
        <v>31</v>
      </c>
    </row>
    <row r="268" spans="8:8" x14ac:dyDescent="0.25">
      <c r="H268" t="s">
        <v>148</v>
      </c>
    </row>
    <row r="269" spans="8:8" x14ac:dyDescent="0.25">
      <c r="H269" t="s">
        <v>4345</v>
      </c>
    </row>
    <row r="270" spans="8:8" x14ac:dyDescent="0.25">
      <c r="H270" t="s">
        <v>31</v>
      </c>
    </row>
    <row r="272" spans="8:8" x14ac:dyDescent="0.25">
      <c r="H272" t="s">
        <v>7470</v>
      </c>
    </row>
    <row r="273" spans="8:8" x14ac:dyDescent="0.25">
      <c r="H273" t="s">
        <v>145</v>
      </c>
    </row>
    <row r="274" spans="8:8" x14ac:dyDescent="0.25">
      <c r="H274" t="s">
        <v>4346</v>
      </c>
    </row>
    <row r="275" spans="8:8" x14ac:dyDescent="0.25">
      <c r="H275" t="s">
        <v>31</v>
      </c>
    </row>
    <row r="276" spans="8:8" x14ac:dyDescent="0.25">
      <c r="H276" t="s">
        <v>146</v>
      </c>
    </row>
    <row r="277" spans="8:8" x14ac:dyDescent="0.25">
      <c r="H277" t="s">
        <v>4347</v>
      </c>
    </row>
    <row r="278" spans="8:8" x14ac:dyDescent="0.25">
      <c r="H278" t="s">
        <v>31</v>
      </c>
    </row>
    <row r="280" spans="8:8" x14ac:dyDescent="0.25">
      <c r="H280" t="s">
        <v>7471</v>
      </c>
    </row>
    <row r="281" spans="8:8" x14ac:dyDescent="0.25">
      <c r="H281" t="s">
        <v>145</v>
      </c>
    </row>
    <row r="282" spans="8:8" x14ac:dyDescent="0.25">
      <c r="H282" t="s">
        <v>4348</v>
      </c>
    </row>
    <row r="283" spans="8:8" x14ac:dyDescent="0.25">
      <c r="H283" t="s">
        <v>31</v>
      </c>
    </row>
    <row r="285" spans="8:8" x14ac:dyDescent="0.25">
      <c r="H285" t="s">
        <v>7472</v>
      </c>
    </row>
    <row r="286" spans="8:8" x14ac:dyDescent="0.25">
      <c r="H286" t="s">
        <v>145</v>
      </c>
    </row>
    <row r="287" spans="8:8" x14ac:dyDescent="0.25">
      <c r="H287" t="s">
        <v>4349</v>
      </c>
    </row>
    <row r="288" spans="8:8" x14ac:dyDescent="0.25">
      <c r="H288" t="s">
        <v>31</v>
      </c>
    </row>
    <row r="290" spans="8:8" x14ac:dyDescent="0.25">
      <c r="H290" t="s">
        <v>7473</v>
      </c>
    </row>
    <row r="291" spans="8:8" x14ac:dyDescent="0.25">
      <c r="H291" t="s">
        <v>145</v>
      </c>
    </row>
    <row r="292" spans="8:8" x14ac:dyDescent="0.25">
      <c r="H292" t="s">
        <v>4350</v>
      </c>
    </row>
    <row r="293" spans="8:8" x14ac:dyDescent="0.25">
      <c r="H293" t="s">
        <v>31</v>
      </c>
    </row>
    <row r="295" spans="8:8" x14ac:dyDescent="0.25">
      <c r="H295" t="s">
        <v>7474</v>
      </c>
    </row>
    <row r="296" spans="8:8" x14ac:dyDescent="0.25">
      <c r="H296" t="s">
        <v>145</v>
      </c>
    </row>
    <row r="297" spans="8:8" x14ac:dyDescent="0.25">
      <c r="H297" t="s">
        <v>4351</v>
      </c>
    </row>
    <row r="298" spans="8:8" x14ac:dyDescent="0.25">
      <c r="H298" t="s">
        <v>31</v>
      </c>
    </row>
    <row r="300" spans="8:8" x14ac:dyDescent="0.25">
      <c r="H300" t="s">
        <v>7475</v>
      </c>
    </row>
    <row r="301" spans="8:8" x14ac:dyDescent="0.25">
      <c r="H301" t="s">
        <v>145</v>
      </c>
    </row>
    <row r="302" spans="8:8" x14ac:dyDescent="0.25">
      <c r="H302" t="s">
        <v>4352</v>
      </c>
    </row>
    <row r="303" spans="8:8" x14ac:dyDescent="0.25">
      <c r="H303" t="s">
        <v>31</v>
      </c>
    </row>
    <row r="305" spans="8:8" x14ac:dyDescent="0.25">
      <c r="H305" t="s">
        <v>7476</v>
      </c>
    </row>
    <row r="306" spans="8:8" x14ac:dyDescent="0.25">
      <c r="H306" t="s">
        <v>145</v>
      </c>
    </row>
    <row r="307" spans="8:8" x14ac:dyDescent="0.25">
      <c r="H307" t="s">
        <v>4353</v>
      </c>
    </row>
    <row r="308" spans="8:8" x14ac:dyDescent="0.25">
      <c r="H308" t="s">
        <v>31</v>
      </c>
    </row>
    <row r="310" spans="8:8" x14ac:dyDescent="0.25">
      <c r="H310" t="s">
        <v>7477</v>
      </c>
    </row>
    <row r="311" spans="8:8" x14ac:dyDescent="0.25">
      <c r="H311" t="s">
        <v>145</v>
      </c>
    </row>
    <row r="312" spans="8:8" x14ac:dyDescent="0.25">
      <c r="H312" t="s">
        <v>4354</v>
      </c>
    </row>
    <row r="313" spans="8:8" x14ac:dyDescent="0.25">
      <c r="H313" t="s">
        <v>31</v>
      </c>
    </row>
    <row r="315" spans="8:8" x14ac:dyDescent="0.25">
      <c r="H315" t="s">
        <v>7478</v>
      </c>
    </row>
    <row r="316" spans="8:8" x14ac:dyDescent="0.25">
      <c r="H316" t="s">
        <v>145</v>
      </c>
    </row>
    <row r="317" spans="8:8" x14ac:dyDescent="0.25">
      <c r="H317" t="s">
        <v>4355</v>
      </c>
    </row>
    <row r="318" spans="8:8" x14ac:dyDescent="0.25">
      <c r="H318" t="s">
        <v>31</v>
      </c>
    </row>
    <row r="320" spans="8:8" x14ac:dyDescent="0.25">
      <c r="H320" t="s">
        <v>7479</v>
      </c>
    </row>
    <row r="321" spans="8:8" x14ac:dyDescent="0.25">
      <c r="H321" t="s">
        <v>145</v>
      </c>
    </row>
    <row r="322" spans="8:8" x14ac:dyDescent="0.25">
      <c r="H322" t="s">
        <v>4356</v>
      </c>
    </row>
    <row r="323" spans="8:8" x14ac:dyDescent="0.25">
      <c r="H323" t="s">
        <v>31</v>
      </c>
    </row>
    <row r="325" spans="8:8" x14ac:dyDescent="0.25">
      <c r="H325" t="s">
        <v>7480</v>
      </c>
    </row>
    <row r="326" spans="8:8" x14ac:dyDescent="0.25">
      <c r="H326" t="s">
        <v>145</v>
      </c>
    </row>
    <row r="327" spans="8:8" x14ac:dyDescent="0.25">
      <c r="H327" t="s">
        <v>4357</v>
      </c>
    </row>
    <row r="328" spans="8:8" x14ac:dyDescent="0.25">
      <c r="H328" t="s">
        <v>31</v>
      </c>
    </row>
    <row r="330" spans="8:8" x14ac:dyDescent="0.25">
      <c r="H330" t="s">
        <v>7481</v>
      </c>
    </row>
    <row r="331" spans="8:8" x14ac:dyDescent="0.25">
      <c r="H331" t="s">
        <v>145</v>
      </c>
    </row>
    <row r="332" spans="8:8" x14ac:dyDescent="0.25">
      <c r="H332" t="s">
        <v>4358</v>
      </c>
    </row>
    <row r="333" spans="8:8" x14ac:dyDescent="0.25">
      <c r="H333" t="s">
        <v>31</v>
      </c>
    </row>
    <row r="335" spans="8:8" x14ac:dyDescent="0.25">
      <c r="H335" t="s">
        <v>7482</v>
      </c>
    </row>
    <row r="336" spans="8:8" x14ac:dyDescent="0.25">
      <c r="H336" t="s">
        <v>145</v>
      </c>
    </row>
    <row r="337" spans="8:8" x14ac:dyDescent="0.25">
      <c r="H337" t="s">
        <v>4359</v>
      </c>
    </row>
    <row r="338" spans="8:8" x14ac:dyDescent="0.25">
      <c r="H338" t="s">
        <v>31</v>
      </c>
    </row>
    <row r="340" spans="8:8" x14ac:dyDescent="0.25">
      <c r="H340" t="s">
        <v>7483</v>
      </c>
    </row>
    <row r="341" spans="8:8" x14ac:dyDescent="0.25">
      <c r="H341" t="s">
        <v>145</v>
      </c>
    </row>
    <row r="342" spans="8:8" x14ac:dyDescent="0.25">
      <c r="H342" t="s">
        <v>4360</v>
      </c>
    </row>
    <row r="343" spans="8:8" x14ac:dyDescent="0.25">
      <c r="H343" t="s">
        <v>31</v>
      </c>
    </row>
    <row r="345" spans="8:8" x14ac:dyDescent="0.25">
      <c r="H345" t="s">
        <v>7484</v>
      </c>
    </row>
    <row r="346" spans="8:8" x14ac:dyDescent="0.25">
      <c r="H346" t="s">
        <v>145</v>
      </c>
    </row>
    <row r="347" spans="8:8" x14ac:dyDescent="0.25">
      <c r="H347" t="s">
        <v>4361</v>
      </c>
    </row>
    <row r="348" spans="8:8" x14ac:dyDescent="0.25">
      <c r="H348" t="s">
        <v>31</v>
      </c>
    </row>
    <row r="350" spans="8:8" x14ac:dyDescent="0.25">
      <c r="H350" t="s">
        <v>7485</v>
      </c>
    </row>
    <row r="351" spans="8:8" x14ac:dyDescent="0.25">
      <c r="H351" t="s">
        <v>145</v>
      </c>
    </row>
    <row r="352" spans="8:8" x14ac:dyDescent="0.25">
      <c r="H352" t="s">
        <v>4362</v>
      </c>
    </row>
    <row r="353" spans="8:8" x14ac:dyDescent="0.25">
      <c r="H353" t="s">
        <v>31</v>
      </c>
    </row>
    <row r="355" spans="8:8" x14ac:dyDescent="0.25">
      <c r="H355" t="s">
        <v>7486</v>
      </c>
    </row>
    <row r="356" spans="8:8" x14ac:dyDescent="0.25">
      <c r="H356" t="s">
        <v>145</v>
      </c>
    </row>
    <row r="357" spans="8:8" x14ac:dyDescent="0.25">
      <c r="H357" t="s">
        <v>4363</v>
      </c>
    </row>
    <row r="358" spans="8:8" x14ac:dyDescent="0.25">
      <c r="H358" t="s">
        <v>31</v>
      </c>
    </row>
    <row r="360" spans="8:8" x14ac:dyDescent="0.25">
      <c r="H360" t="s">
        <v>7487</v>
      </c>
    </row>
    <row r="361" spans="8:8" x14ac:dyDescent="0.25">
      <c r="H361" t="s">
        <v>145</v>
      </c>
    </row>
    <row r="362" spans="8:8" x14ac:dyDescent="0.25">
      <c r="H362" t="s">
        <v>4364</v>
      </c>
    </row>
    <row r="363" spans="8:8" x14ac:dyDescent="0.25">
      <c r="H363" t="s">
        <v>31</v>
      </c>
    </row>
    <row r="365" spans="8:8" x14ac:dyDescent="0.25">
      <c r="H365" t="s">
        <v>7488</v>
      </c>
    </row>
    <row r="366" spans="8:8" x14ac:dyDescent="0.25">
      <c r="H366" t="s">
        <v>145</v>
      </c>
    </row>
    <row r="367" spans="8:8" x14ac:dyDescent="0.25">
      <c r="H367" t="s">
        <v>4365</v>
      </c>
    </row>
    <row r="368" spans="8:8" x14ac:dyDescent="0.25">
      <c r="H368" t="s">
        <v>31</v>
      </c>
    </row>
    <row r="370" spans="8:8" x14ac:dyDescent="0.25">
      <c r="H370" t="s">
        <v>7489</v>
      </c>
    </row>
    <row r="371" spans="8:8" x14ac:dyDescent="0.25">
      <c r="H371" t="s">
        <v>145</v>
      </c>
    </row>
    <row r="372" spans="8:8" x14ac:dyDescent="0.25">
      <c r="H372" t="s">
        <v>4366</v>
      </c>
    </row>
    <row r="373" spans="8:8" x14ac:dyDescent="0.25">
      <c r="H373" t="s">
        <v>31</v>
      </c>
    </row>
    <row r="375" spans="8:8" x14ac:dyDescent="0.25">
      <c r="H375" t="s">
        <v>7490</v>
      </c>
    </row>
    <row r="376" spans="8:8" x14ac:dyDescent="0.25">
      <c r="H376" t="s">
        <v>145</v>
      </c>
    </row>
    <row r="377" spans="8:8" x14ac:dyDescent="0.25">
      <c r="H377" t="s">
        <v>4367</v>
      </c>
    </row>
    <row r="378" spans="8:8" x14ac:dyDescent="0.25">
      <c r="H378" t="s">
        <v>31</v>
      </c>
    </row>
    <row r="380" spans="8:8" x14ac:dyDescent="0.25">
      <c r="H380" t="s">
        <v>7491</v>
      </c>
    </row>
    <row r="381" spans="8:8" x14ac:dyDescent="0.25">
      <c r="H381" t="s">
        <v>145</v>
      </c>
    </row>
    <row r="382" spans="8:8" x14ac:dyDescent="0.25">
      <c r="H382" t="s">
        <v>4368</v>
      </c>
    </row>
    <row r="383" spans="8:8" x14ac:dyDescent="0.25">
      <c r="H383" t="s">
        <v>31</v>
      </c>
    </row>
    <row r="385" spans="8:8" x14ac:dyDescent="0.25">
      <c r="H385" t="s">
        <v>7492</v>
      </c>
    </row>
    <row r="386" spans="8:8" x14ac:dyDescent="0.25">
      <c r="H386" t="s">
        <v>145</v>
      </c>
    </row>
    <row r="387" spans="8:8" x14ac:dyDescent="0.25">
      <c r="H387" t="s">
        <v>4369</v>
      </c>
    </row>
    <row r="388" spans="8:8" x14ac:dyDescent="0.25">
      <c r="H388" t="s">
        <v>31</v>
      </c>
    </row>
    <row r="390" spans="8:8" x14ac:dyDescent="0.25">
      <c r="H390" t="s">
        <v>7493</v>
      </c>
    </row>
    <row r="391" spans="8:8" x14ac:dyDescent="0.25">
      <c r="H391" t="s">
        <v>145</v>
      </c>
    </row>
    <row r="392" spans="8:8" x14ac:dyDescent="0.25">
      <c r="H392" t="s">
        <v>4370</v>
      </c>
    </row>
    <row r="393" spans="8:8" x14ac:dyDescent="0.25">
      <c r="H393" t="s">
        <v>31</v>
      </c>
    </row>
    <row r="395" spans="8:8" x14ac:dyDescent="0.25">
      <c r="H395" t="s">
        <v>7494</v>
      </c>
    </row>
    <row r="396" spans="8:8" x14ac:dyDescent="0.25">
      <c r="H396" t="s">
        <v>145</v>
      </c>
    </row>
    <row r="397" spans="8:8" x14ac:dyDescent="0.25">
      <c r="H397" t="s">
        <v>4371</v>
      </c>
    </row>
    <row r="398" spans="8:8" x14ac:dyDescent="0.25">
      <c r="H398" t="s">
        <v>31</v>
      </c>
    </row>
    <row r="400" spans="8:8" x14ac:dyDescent="0.25">
      <c r="H400" t="s">
        <v>7495</v>
      </c>
    </row>
    <row r="401" spans="8:8" x14ac:dyDescent="0.25">
      <c r="H401" t="s">
        <v>145</v>
      </c>
    </row>
    <row r="402" spans="8:8" x14ac:dyDescent="0.25">
      <c r="H402" t="s">
        <v>4372</v>
      </c>
    </row>
    <row r="403" spans="8:8" x14ac:dyDescent="0.25">
      <c r="H403" t="s">
        <v>31</v>
      </c>
    </row>
    <row r="405" spans="8:8" x14ac:dyDescent="0.25">
      <c r="H405" t="s">
        <v>7496</v>
      </c>
    </row>
    <row r="406" spans="8:8" x14ac:dyDescent="0.25">
      <c r="H406" t="s">
        <v>145</v>
      </c>
    </row>
    <row r="407" spans="8:8" x14ac:dyDescent="0.25">
      <c r="H407" t="s">
        <v>4373</v>
      </c>
    </row>
    <row r="408" spans="8:8" x14ac:dyDescent="0.25">
      <c r="H408" t="s">
        <v>31</v>
      </c>
    </row>
    <row r="410" spans="8:8" x14ac:dyDescent="0.25">
      <c r="H410" t="s">
        <v>7497</v>
      </c>
    </row>
    <row r="411" spans="8:8" x14ac:dyDescent="0.25">
      <c r="H411" t="s">
        <v>145</v>
      </c>
    </row>
    <row r="412" spans="8:8" x14ac:dyDescent="0.25">
      <c r="H412" t="s">
        <v>4374</v>
      </c>
    </row>
    <row r="413" spans="8:8" x14ac:dyDescent="0.25">
      <c r="H413" t="s">
        <v>31</v>
      </c>
    </row>
    <row r="415" spans="8:8" x14ac:dyDescent="0.25">
      <c r="H415" t="s">
        <v>7498</v>
      </c>
    </row>
    <row r="416" spans="8:8" x14ac:dyDescent="0.25">
      <c r="H416" t="s">
        <v>145</v>
      </c>
    </row>
    <row r="417" spans="8:8" x14ac:dyDescent="0.25">
      <c r="H417" t="s">
        <v>4375</v>
      </c>
    </row>
    <row r="418" spans="8:8" x14ac:dyDescent="0.25">
      <c r="H418" t="s">
        <v>31</v>
      </c>
    </row>
    <row r="420" spans="8:8" x14ac:dyDescent="0.25">
      <c r="H420" t="s">
        <v>7499</v>
      </c>
    </row>
    <row r="421" spans="8:8" x14ac:dyDescent="0.25">
      <c r="H421" t="s">
        <v>145</v>
      </c>
    </row>
    <row r="422" spans="8:8" x14ac:dyDescent="0.25">
      <c r="H422" t="s">
        <v>4376</v>
      </c>
    </row>
    <row r="423" spans="8:8" x14ac:dyDescent="0.25">
      <c r="H423" t="s">
        <v>31</v>
      </c>
    </row>
    <row r="424" spans="8:8" x14ac:dyDescent="0.25">
      <c r="H424" t="s">
        <v>146</v>
      </c>
    </row>
    <row r="425" spans="8:8" x14ac:dyDescent="0.25">
      <c r="H425" t="s">
        <v>4377</v>
      </c>
    </row>
    <row r="426" spans="8:8" x14ac:dyDescent="0.25">
      <c r="H426" t="s">
        <v>31</v>
      </c>
    </row>
    <row r="427" spans="8:8" x14ac:dyDescent="0.25">
      <c r="H427" t="s">
        <v>147</v>
      </c>
    </row>
    <row r="428" spans="8:8" x14ac:dyDescent="0.25">
      <c r="H428" t="s">
        <v>4378</v>
      </c>
    </row>
    <row r="429" spans="8:8" x14ac:dyDescent="0.25">
      <c r="H429" t="s">
        <v>31</v>
      </c>
    </row>
    <row r="430" spans="8:8" x14ac:dyDescent="0.25">
      <c r="H430" t="s">
        <v>148</v>
      </c>
    </row>
    <row r="431" spans="8:8" x14ac:dyDescent="0.25">
      <c r="H431" t="s">
        <v>4379</v>
      </c>
    </row>
    <row r="432" spans="8:8" x14ac:dyDescent="0.25">
      <c r="H432" t="s">
        <v>31</v>
      </c>
    </row>
    <row r="434" spans="8:8" x14ac:dyDescent="0.25">
      <c r="H434" t="s">
        <v>7500</v>
      </c>
    </row>
    <row r="435" spans="8:8" x14ac:dyDescent="0.25">
      <c r="H435" t="s">
        <v>145</v>
      </c>
    </row>
    <row r="436" spans="8:8" x14ac:dyDescent="0.25">
      <c r="H436" t="s">
        <v>4380</v>
      </c>
    </row>
    <row r="437" spans="8:8" x14ac:dyDescent="0.25">
      <c r="H437" t="s">
        <v>31</v>
      </c>
    </row>
    <row r="438" spans="8:8" x14ac:dyDescent="0.25">
      <c r="H438" t="s">
        <v>146</v>
      </c>
    </row>
    <row r="439" spans="8:8" x14ac:dyDescent="0.25">
      <c r="H439" t="s">
        <v>4381</v>
      </c>
    </row>
    <row r="440" spans="8:8" x14ac:dyDescent="0.25">
      <c r="H440" t="s">
        <v>31</v>
      </c>
    </row>
    <row r="441" spans="8:8" x14ac:dyDescent="0.25">
      <c r="H441" t="s">
        <v>147</v>
      </c>
    </row>
    <row r="442" spans="8:8" x14ac:dyDescent="0.25">
      <c r="H442" t="s">
        <v>4382</v>
      </c>
    </row>
    <row r="443" spans="8:8" x14ac:dyDescent="0.25">
      <c r="H443" t="s">
        <v>31</v>
      </c>
    </row>
    <row r="444" spans="8:8" x14ac:dyDescent="0.25">
      <c r="H444" t="s">
        <v>148</v>
      </c>
    </row>
    <row r="445" spans="8:8" x14ac:dyDescent="0.25">
      <c r="H445" t="s">
        <v>4383</v>
      </c>
    </row>
    <row r="446" spans="8:8" x14ac:dyDescent="0.25">
      <c r="H446" t="s">
        <v>31</v>
      </c>
    </row>
    <row r="448" spans="8:8" x14ac:dyDescent="0.25">
      <c r="H448" t="s">
        <v>7501</v>
      </c>
    </row>
    <row r="449" spans="8:8" x14ac:dyDescent="0.25">
      <c r="H449" t="s">
        <v>145</v>
      </c>
    </row>
    <row r="450" spans="8:8" x14ac:dyDescent="0.25">
      <c r="H450" t="s">
        <v>4384</v>
      </c>
    </row>
    <row r="451" spans="8:8" x14ac:dyDescent="0.25">
      <c r="H451" t="s">
        <v>31</v>
      </c>
    </row>
    <row r="452" spans="8:8" x14ac:dyDescent="0.25">
      <c r="H452" t="s">
        <v>146</v>
      </c>
    </row>
    <row r="453" spans="8:8" x14ac:dyDescent="0.25">
      <c r="H453" t="s">
        <v>4385</v>
      </c>
    </row>
    <row r="454" spans="8:8" x14ac:dyDescent="0.25">
      <c r="H454" t="s">
        <v>31</v>
      </c>
    </row>
    <row r="455" spans="8:8" x14ac:dyDescent="0.25">
      <c r="H455" t="s">
        <v>147</v>
      </c>
    </row>
    <row r="456" spans="8:8" x14ac:dyDescent="0.25">
      <c r="H456" t="s">
        <v>4386</v>
      </c>
    </row>
    <row r="457" spans="8:8" x14ac:dyDescent="0.25">
      <c r="H457" t="s">
        <v>31</v>
      </c>
    </row>
    <row r="458" spans="8:8" x14ac:dyDescent="0.25">
      <c r="H458" t="s">
        <v>148</v>
      </c>
    </row>
    <row r="459" spans="8:8" x14ac:dyDescent="0.25">
      <c r="H459" t="s">
        <v>4387</v>
      </c>
    </row>
    <row r="460" spans="8:8" x14ac:dyDescent="0.25">
      <c r="H460" t="s">
        <v>31</v>
      </c>
    </row>
    <row r="462" spans="8:8" x14ac:dyDescent="0.25">
      <c r="H462" t="s">
        <v>7502</v>
      </c>
    </row>
    <row r="463" spans="8:8" x14ac:dyDescent="0.25">
      <c r="H463" t="s">
        <v>145</v>
      </c>
    </row>
    <row r="464" spans="8:8" x14ac:dyDescent="0.25">
      <c r="H464" t="s">
        <v>4388</v>
      </c>
    </row>
    <row r="465" spans="8:8" x14ac:dyDescent="0.25">
      <c r="H465" t="s">
        <v>31</v>
      </c>
    </row>
    <row r="466" spans="8:8" x14ac:dyDescent="0.25">
      <c r="H466" t="s">
        <v>146</v>
      </c>
    </row>
    <row r="467" spans="8:8" x14ac:dyDescent="0.25">
      <c r="H467" t="s">
        <v>4389</v>
      </c>
    </row>
    <row r="468" spans="8:8" x14ac:dyDescent="0.25">
      <c r="H468" t="s">
        <v>31</v>
      </c>
    </row>
    <row r="469" spans="8:8" x14ac:dyDescent="0.25">
      <c r="H469" t="s">
        <v>2061</v>
      </c>
    </row>
    <row r="470" spans="8:8" x14ac:dyDescent="0.25">
      <c r="H470" t="s">
        <v>147</v>
      </c>
    </row>
    <row r="471" spans="8:8" x14ac:dyDescent="0.25">
      <c r="H471" t="s">
        <v>4390</v>
      </c>
    </row>
    <row r="472" spans="8:8" x14ac:dyDescent="0.25">
      <c r="H472" t="s">
        <v>31</v>
      </c>
    </row>
    <row r="474" spans="8:8" x14ac:dyDescent="0.25">
      <c r="H474" t="s">
        <v>7503</v>
      </c>
    </row>
    <row r="475" spans="8:8" x14ac:dyDescent="0.25">
      <c r="H475" t="s">
        <v>145</v>
      </c>
    </row>
    <row r="476" spans="8:8" x14ac:dyDescent="0.25">
      <c r="H476" t="s">
        <v>4391</v>
      </c>
    </row>
    <row r="477" spans="8:8" x14ac:dyDescent="0.25">
      <c r="H477" t="s">
        <v>31</v>
      </c>
    </row>
    <row r="479" spans="8:8" x14ac:dyDescent="0.25">
      <c r="H479" t="s">
        <v>7504</v>
      </c>
    </row>
    <row r="480" spans="8:8" x14ac:dyDescent="0.25">
      <c r="H480" t="s">
        <v>145</v>
      </c>
    </row>
    <row r="481" spans="8:8" x14ac:dyDescent="0.25">
      <c r="H481" t="s">
        <v>4392</v>
      </c>
    </row>
    <row r="482" spans="8:8" x14ac:dyDescent="0.25">
      <c r="H482" t="s">
        <v>31</v>
      </c>
    </row>
    <row r="484" spans="8:8" x14ac:dyDescent="0.25">
      <c r="H484" t="s">
        <v>7505</v>
      </c>
    </row>
    <row r="485" spans="8:8" x14ac:dyDescent="0.25">
      <c r="H485" t="s">
        <v>145</v>
      </c>
    </row>
    <row r="486" spans="8:8" x14ac:dyDescent="0.25">
      <c r="H486" t="s">
        <v>4393</v>
      </c>
    </row>
    <row r="487" spans="8:8" x14ac:dyDescent="0.25">
      <c r="H487" t="s">
        <v>31</v>
      </c>
    </row>
    <row r="489" spans="8:8" x14ac:dyDescent="0.25">
      <c r="H489" t="s">
        <v>7506</v>
      </c>
    </row>
    <row r="490" spans="8:8" x14ac:dyDescent="0.25">
      <c r="H490" t="s">
        <v>145</v>
      </c>
    </row>
    <row r="491" spans="8:8" x14ac:dyDescent="0.25">
      <c r="H491" t="s">
        <v>4394</v>
      </c>
    </row>
    <row r="492" spans="8:8" x14ac:dyDescent="0.25">
      <c r="H492" t="s">
        <v>31</v>
      </c>
    </row>
    <row r="494" spans="8:8" x14ac:dyDescent="0.25">
      <c r="H494" t="s">
        <v>7507</v>
      </c>
    </row>
    <row r="495" spans="8:8" x14ac:dyDescent="0.25">
      <c r="H495" t="s">
        <v>145</v>
      </c>
    </row>
    <row r="496" spans="8:8" x14ac:dyDescent="0.25">
      <c r="H496" t="s">
        <v>4395</v>
      </c>
    </row>
    <row r="497" spans="8:8" x14ac:dyDescent="0.25">
      <c r="H497" t="s">
        <v>31</v>
      </c>
    </row>
    <row r="499" spans="8:8" x14ac:dyDescent="0.25">
      <c r="H499" t="s">
        <v>7508</v>
      </c>
    </row>
    <row r="500" spans="8:8" x14ac:dyDescent="0.25">
      <c r="H500" t="s">
        <v>145</v>
      </c>
    </row>
    <row r="501" spans="8:8" x14ac:dyDescent="0.25">
      <c r="H501" t="s">
        <v>4396</v>
      </c>
    </row>
    <row r="502" spans="8:8" x14ac:dyDescent="0.25">
      <c r="H502" t="s">
        <v>31</v>
      </c>
    </row>
    <row r="504" spans="8:8" x14ac:dyDescent="0.25">
      <c r="H504" t="s">
        <v>7509</v>
      </c>
    </row>
    <row r="505" spans="8:8" x14ac:dyDescent="0.25">
      <c r="H505" t="s">
        <v>145</v>
      </c>
    </row>
    <row r="506" spans="8:8" x14ac:dyDescent="0.25">
      <c r="H506" t="s">
        <v>4397</v>
      </c>
    </row>
    <row r="507" spans="8:8" x14ac:dyDescent="0.25">
      <c r="H507" t="s">
        <v>31</v>
      </c>
    </row>
    <row r="509" spans="8:8" x14ac:dyDescent="0.25">
      <c r="H509" t="s">
        <v>7510</v>
      </c>
    </row>
    <row r="510" spans="8:8" x14ac:dyDescent="0.25">
      <c r="H510" t="s">
        <v>145</v>
      </c>
    </row>
    <row r="511" spans="8:8" x14ac:dyDescent="0.25">
      <c r="H511" t="s">
        <v>4398</v>
      </c>
    </row>
    <row r="512" spans="8:8" x14ac:dyDescent="0.25">
      <c r="H512" t="s">
        <v>31</v>
      </c>
    </row>
    <row r="514" spans="8:8" x14ac:dyDescent="0.25">
      <c r="H514" t="s">
        <v>7511</v>
      </c>
    </row>
    <row r="515" spans="8:8" x14ac:dyDescent="0.25">
      <c r="H515" t="s">
        <v>145</v>
      </c>
    </row>
    <row r="516" spans="8:8" x14ac:dyDescent="0.25">
      <c r="H516" t="s">
        <v>4399</v>
      </c>
    </row>
    <row r="517" spans="8:8" x14ac:dyDescent="0.25">
      <c r="H517" t="s">
        <v>31</v>
      </c>
    </row>
    <row r="519" spans="8:8" x14ac:dyDescent="0.25">
      <c r="H519" t="s">
        <v>7512</v>
      </c>
    </row>
    <row r="520" spans="8:8" x14ac:dyDescent="0.25">
      <c r="H520" t="s">
        <v>145</v>
      </c>
    </row>
    <row r="521" spans="8:8" x14ac:dyDescent="0.25">
      <c r="H521" t="s">
        <v>4400</v>
      </c>
    </row>
    <row r="522" spans="8:8" x14ac:dyDescent="0.25">
      <c r="H522" t="s">
        <v>31</v>
      </c>
    </row>
    <row r="524" spans="8:8" x14ac:dyDescent="0.25">
      <c r="H524" t="s">
        <v>7513</v>
      </c>
    </row>
    <row r="525" spans="8:8" x14ac:dyDescent="0.25">
      <c r="H525" t="s">
        <v>145</v>
      </c>
    </row>
    <row r="526" spans="8:8" x14ac:dyDescent="0.25">
      <c r="H526" t="s">
        <v>4401</v>
      </c>
    </row>
    <row r="527" spans="8:8" x14ac:dyDescent="0.25">
      <c r="H527" t="s">
        <v>31</v>
      </c>
    </row>
    <row r="529" spans="8:8" x14ac:dyDescent="0.25">
      <c r="H529" t="s">
        <v>7514</v>
      </c>
    </row>
    <row r="530" spans="8:8" x14ac:dyDescent="0.25">
      <c r="H530" t="s">
        <v>145</v>
      </c>
    </row>
    <row r="531" spans="8:8" x14ac:dyDescent="0.25">
      <c r="H531" t="s">
        <v>4402</v>
      </c>
    </row>
    <row r="532" spans="8:8" x14ac:dyDescent="0.25">
      <c r="H532" t="s">
        <v>31</v>
      </c>
    </row>
    <row r="533" spans="8:8" x14ac:dyDescent="0.25">
      <c r="H533" t="s">
        <v>146</v>
      </c>
    </row>
    <row r="534" spans="8:8" x14ac:dyDescent="0.25">
      <c r="H534" t="s">
        <v>4403</v>
      </c>
    </row>
    <row r="535" spans="8:8" x14ac:dyDescent="0.25">
      <c r="H535" t="s">
        <v>31</v>
      </c>
    </row>
    <row r="536" spans="8:8" x14ac:dyDescent="0.25">
      <c r="H536" t="s">
        <v>147</v>
      </c>
    </row>
    <row r="537" spans="8:8" x14ac:dyDescent="0.25">
      <c r="H537" t="s">
        <v>4404</v>
      </c>
    </row>
    <row r="538" spans="8:8" x14ac:dyDescent="0.25">
      <c r="H538" t="s">
        <v>31</v>
      </c>
    </row>
    <row r="539" spans="8:8" x14ac:dyDescent="0.25">
      <c r="H539" t="s">
        <v>148</v>
      </c>
    </row>
    <row r="540" spans="8:8" x14ac:dyDescent="0.25">
      <c r="H540" t="s">
        <v>4405</v>
      </c>
    </row>
    <row r="541" spans="8:8" x14ac:dyDescent="0.25">
      <c r="H541" t="s">
        <v>31</v>
      </c>
    </row>
    <row r="543" spans="8:8" x14ac:dyDescent="0.25">
      <c r="H543" t="s">
        <v>7515</v>
      </c>
    </row>
    <row r="544" spans="8:8" x14ac:dyDescent="0.25">
      <c r="H544" t="s">
        <v>145</v>
      </c>
    </row>
    <row r="545" spans="8:8" x14ac:dyDescent="0.25">
      <c r="H545" t="s">
        <v>4406</v>
      </c>
    </row>
    <row r="546" spans="8:8" x14ac:dyDescent="0.25">
      <c r="H546" t="s">
        <v>31</v>
      </c>
    </row>
    <row r="548" spans="8:8" x14ac:dyDescent="0.25">
      <c r="H548" t="s">
        <v>7516</v>
      </c>
    </row>
    <row r="549" spans="8:8" x14ac:dyDescent="0.25">
      <c r="H549" t="s">
        <v>145</v>
      </c>
    </row>
    <row r="550" spans="8:8" x14ac:dyDescent="0.25">
      <c r="H550" t="s">
        <v>4407</v>
      </c>
    </row>
    <row r="551" spans="8:8" x14ac:dyDescent="0.25">
      <c r="H551" t="s">
        <v>31</v>
      </c>
    </row>
    <row r="553" spans="8:8" x14ac:dyDescent="0.25">
      <c r="H553" t="s">
        <v>7517</v>
      </c>
    </row>
    <row r="554" spans="8:8" x14ac:dyDescent="0.25">
      <c r="H554" t="s">
        <v>145</v>
      </c>
    </row>
    <row r="555" spans="8:8" x14ac:dyDescent="0.25">
      <c r="H555" t="s">
        <v>4408</v>
      </c>
    </row>
    <row r="556" spans="8:8" x14ac:dyDescent="0.25">
      <c r="H556" t="s">
        <v>31</v>
      </c>
    </row>
    <row r="558" spans="8:8" x14ac:dyDescent="0.25">
      <c r="H558" t="s">
        <v>7518</v>
      </c>
    </row>
    <row r="559" spans="8:8" x14ac:dyDescent="0.25">
      <c r="H559" t="s">
        <v>145</v>
      </c>
    </row>
    <row r="560" spans="8:8" x14ac:dyDescent="0.25">
      <c r="H560" t="s">
        <v>4409</v>
      </c>
    </row>
    <row r="561" spans="8:8" x14ac:dyDescent="0.25">
      <c r="H561" t="s">
        <v>31</v>
      </c>
    </row>
    <row r="563" spans="8:8" x14ac:dyDescent="0.25">
      <c r="H563" t="s">
        <v>7519</v>
      </c>
    </row>
    <row r="564" spans="8:8" x14ac:dyDescent="0.25">
      <c r="H564" t="s">
        <v>145</v>
      </c>
    </row>
    <row r="565" spans="8:8" x14ac:dyDescent="0.25">
      <c r="H565" t="s">
        <v>4410</v>
      </c>
    </row>
    <row r="566" spans="8:8" x14ac:dyDescent="0.25">
      <c r="H566" t="s">
        <v>31</v>
      </c>
    </row>
    <row r="568" spans="8:8" x14ac:dyDescent="0.25">
      <c r="H568" t="s">
        <v>7520</v>
      </c>
    </row>
    <row r="569" spans="8:8" x14ac:dyDescent="0.25">
      <c r="H569" t="s">
        <v>145</v>
      </c>
    </row>
    <row r="570" spans="8:8" x14ac:dyDescent="0.25">
      <c r="H570" t="s">
        <v>4411</v>
      </c>
    </row>
    <row r="571" spans="8:8" x14ac:dyDescent="0.25">
      <c r="H571" t="s">
        <v>31</v>
      </c>
    </row>
    <row r="573" spans="8:8" x14ac:dyDescent="0.25">
      <c r="H573" t="s">
        <v>7521</v>
      </c>
    </row>
    <row r="574" spans="8:8" x14ac:dyDescent="0.25">
      <c r="H574" t="s">
        <v>145</v>
      </c>
    </row>
    <row r="575" spans="8:8" x14ac:dyDescent="0.25">
      <c r="H575" t="s">
        <v>4412</v>
      </c>
    </row>
    <row r="576" spans="8:8" x14ac:dyDescent="0.25">
      <c r="H576" t="s">
        <v>31</v>
      </c>
    </row>
    <row r="578" spans="8:8" x14ac:dyDescent="0.25">
      <c r="H578" t="s">
        <v>7522</v>
      </c>
    </row>
    <row r="579" spans="8:8" x14ac:dyDescent="0.25">
      <c r="H579" t="s">
        <v>145</v>
      </c>
    </row>
    <row r="580" spans="8:8" x14ac:dyDescent="0.25">
      <c r="H580" t="s">
        <v>4413</v>
      </c>
    </row>
    <row r="581" spans="8:8" x14ac:dyDescent="0.25">
      <c r="H581" t="s">
        <v>31</v>
      </c>
    </row>
    <row r="583" spans="8:8" x14ac:dyDescent="0.25">
      <c r="H583" t="s">
        <v>7523</v>
      </c>
    </row>
    <row r="584" spans="8:8" x14ac:dyDescent="0.25">
      <c r="H584" t="s">
        <v>145</v>
      </c>
    </row>
    <row r="585" spans="8:8" x14ac:dyDescent="0.25">
      <c r="H585" t="s">
        <v>4414</v>
      </c>
    </row>
    <row r="586" spans="8:8" x14ac:dyDescent="0.25">
      <c r="H586" t="s">
        <v>31</v>
      </c>
    </row>
    <row r="588" spans="8:8" x14ac:dyDescent="0.25">
      <c r="H588" t="s">
        <v>7524</v>
      </c>
    </row>
    <row r="589" spans="8:8" x14ac:dyDescent="0.25">
      <c r="H589" t="s">
        <v>145</v>
      </c>
    </row>
    <row r="590" spans="8:8" x14ac:dyDescent="0.25">
      <c r="H590" t="s">
        <v>4415</v>
      </c>
    </row>
    <row r="591" spans="8:8" x14ac:dyDescent="0.25">
      <c r="H591" t="s">
        <v>31</v>
      </c>
    </row>
    <row r="593" spans="8:8" x14ac:dyDescent="0.25">
      <c r="H593" t="s">
        <v>7525</v>
      </c>
    </row>
    <row r="594" spans="8:8" x14ac:dyDescent="0.25">
      <c r="H594" t="s">
        <v>145</v>
      </c>
    </row>
    <row r="595" spans="8:8" x14ac:dyDescent="0.25">
      <c r="H595" t="s">
        <v>4416</v>
      </c>
    </row>
    <row r="596" spans="8:8" x14ac:dyDescent="0.25">
      <c r="H596" t="s">
        <v>31</v>
      </c>
    </row>
    <row r="598" spans="8:8" x14ac:dyDescent="0.25">
      <c r="H598" t="s">
        <v>7526</v>
      </c>
    </row>
    <row r="599" spans="8:8" x14ac:dyDescent="0.25">
      <c r="H599" t="s">
        <v>145</v>
      </c>
    </row>
    <row r="600" spans="8:8" x14ac:dyDescent="0.25">
      <c r="H600" t="s">
        <v>4417</v>
      </c>
    </row>
    <row r="601" spans="8:8" x14ac:dyDescent="0.25">
      <c r="H601" t="s">
        <v>31</v>
      </c>
    </row>
    <row r="603" spans="8:8" x14ac:dyDescent="0.25">
      <c r="H603" t="s">
        <v>7527</v>
      </c>
    </row>
    <row r="604" spans="8:8" x14ac:dyDescent="0.25">
      <c r="H604" t="s">
        <v>145</v>
      </c>
    </row>
    <row r="605" spans="8:8" x14ac:dyDescent="0.25">
      <c r="H605" t="s">
        <v>4418</v>
      </c>
    </row>
    <row r="606" spans="8:8" x14ac:dyDescent="0.25">
      <c r="H606" t="s">
        <v>31</v>
      </c>
    </row>
    <row r="608" spans="8:8" x14ac:dyDescent="0.25">
      <c r="H608" t="s">
        <v>7528</v>
      </c>
    </row>
    <row r="609" spans="8:8" x14ac:dyDescent="0.25">
      <c r="H609" t="s">
        <v>145</v>
      </c>
    </row>
    <row r="610" spans="8:8" x14ac:dyDescent="0.25">
      <c r="H610" t="s">
        <v>4419</v>
      </c>
    </row>
    <row r="611" spans="8:8" x14ac:dyDescent="0.25">
      <c r="H611" t="s">
        <v>31</v>
      </c>
    </row>
    <row r="613" spans="8:8" x14ac:dyDescent="0.25">
      <c r="H613" t="s">
        <v>7529</v>
      </c>
    </row>
    <row r="614" spans="8:8" x14ac:dyDescent="0.25">
      <c r="H614" t="s">
        <v>145</v>
      </c>
    </row>
    <row r="615" spans="8:8" x14ac:dyDescent="0.25">
      <c r="H615" t="s">
        <v>4420</v>
      </c>
    </row>
    <row r="616" spans="8:8" x14ac:dyDescent="0.25">
      <c r="H616" t="s">
        <v>31</v>
      </c>
    </row>
    <row r="618" spans="8:8" x14ac:dyDescent="0.25">
      <c r="H618" t="s">
        <v>7530</v>
      </c>
    </row>
    <row r="619" spans="8:8" x14ac:dyDescent="0.25">
      <c r="H619" t="s">
        <v>145</v>
      </c>
    </row>
    <row r="620" spans="8:8" x14ac:dyDescent="0.25">
      <c r="H620" t="s">
        <v>4421</v>
      </c>
    </row>
    <row r="621" spans="8:8" x14ac:dyDescent="0.25">
      <c r="H621" t="s">
        <v>31</v>
      </c>
    </row>
    <row r="623" spans="8:8" x14ac:dyDescent="0.25">
      <c r="H623" t="s">
        <v>7531</v>
      </c>
    </row>
    <row r="624" spans="8:8" x14ac:dyDescent="0.25">
      <c r="H624" t="s">
        <v>145</v>
      </c>
    </row>
    <row r="625" spans="8:8" x14ac:dyDescent="0.25">
      <c r="H625" t="s">
        <v>4422</v>
      </c>
    </row>
    <row r="626" spans="8:8" x14ac:dyDescent="0.25">
      <c r="H626" t="s">
        <v>31</v>
      </c>
    </row>
    <row r="628" spans="8:8" x14ac:dyDescent="0.25">
      <c r="H628" t="s">
        <v>7532</v>
      </c>
    </row>
    <row r="629" spans="8:8" x14ac:dyDescent="0.25">
      <c r="H629" t="s">
        <v>145</v>
      </c>
    </row>
    <row r="630" spans="8:8" x14ac:dyDescent="0.25">
      <c r="H630" t="s">
        <v>4423</v>
      </c>
    </row>
    <row r="631" spans="8:8" x14ac:dyDescent="0.25">
      <c r="H631" t="s">
        <v>31</v>
      </c>
    </row>
    <row r="633" spans="8:8" x14ac:dyDescent="0.25">
      <c r="H633" t="s">
        <v>7533</v>
      </c>
    </row>
    <row r="634" spans="8:8" x14ac:dyDescent="0.25">
      <c r="H634" t="s">
        <v>145</v>
      </c>
    </row>
    <row r="635" spans="8:8" x14ac:dyDescent="0.25">
      <c r="H635" t="s">
        <v>4424</v>
      </c>
    </row>
    <row r="636" spans="8:8" x14ac:dyDescent="0.25">
      <c r="H636" t="s">
        <v>31</v>
      </c>
    </row>
    <row r="638" spans="8:8" x14ac:dyDescent="0.25">
      <c r="H638" t="s">
        <v>7534</v>
      </c>
    </row>
    <row r="639" spans="8:8" x14ac:dyDescent="0.25">
      <c r="H639" t="s">
        <v>145</v>
      </c>
    </row>
    <row r="640" spans="8:8" x14ac:dyDescent="0.25">
      <c r="H640" t="s">
        <v>4425</v>
      </c>
    </row>
    <row r="641" spans="8:8" x14ac:dyDescent="0.25">
      <c r="H641" t="s">
        <v>31</v>
      </c>
    </row>
    <row r="643" spans="8:8" x14ac:dyDescent="0.25">
      <c r="H643" t="s">
        <v>7535</v>
      </c>
    </row>
    <row r="644" spans="8:8" x14ac:dyDescent="0.25">
      <c r="H644" t="s">
        <v>145</v>
      </c>
    </row>
    <row r="645" spans="8:8" x14ac:dyDescent="0.25">
      <c r="H645" t="s">
        <v>4426</v>
      </c>
    </row>
    <row r="646" spans="8:8" x14ac:dyDescent="0.25">
      <c r="H646" t="s">
        <v>31</v>
      </c>
    </row>
    <row r="648" spans="8:8" x14ac:dyDescent="0.25">
      <c r="H648" t="s">
        <v>7536</v>
      </c>
    </row>
    <row r="649" spans="8:8" x14ac:dyDescent="0.25">
      <c r="H649" t="s">
        <v>145</v>
      </c>
    </row>
    <row r="650" spans="8:8" x14ac:dyDescent="0.25">
      <c r="H650" t="s">
        <v>4427</v>
      </c>
    </row>
    <row r="651" spans="8:8" x14ac:dyDescent="0.25">
      <c r="H651" t="s">
        <v>31</v>
      </c>
    </row>
    <row r="652" spans="8:8" x14ac:dyDescent="0.25">
      <c r="H652" t="s">
        <v>147</v>
      </c>
    </row>
    <row r="653" spans="8:8" x14ac:dyDescent="0.25">
      <c r="H653" t="s">
        <v>4428</v>
      </c>
    </row>
    <row r="654" spans="8:8" x14ac:dyDescent="0.25">
      <c r="H654" t="s">
        <v>31</v>
      </c>
    </row>
    <row r="655" spans="8:8" x14ac:dyDescent="0.25">
      <c r="H655" t="s">
        <v>148</v>
      </c>
    </row>
    <row r="656" spans="8:8" x14ac:dyDescent="0.25">
      <c r="H656" t="s">
        <v>4429</v>
      </c>
    </row>
    <row r="657" spans="8:8" x14ac:dyDescent="0.25">
      <c r="H657" t="s">
        <v>31</v>
      </c>
    </row>
    <row r="659" spans="8:8" x14ac:dyDescent="0.25">
      <c r="H659" t="s">
        <v>7537</v>
      </c>
    </row>
    <row r="660" spans="8:8" x14ac:dyDescent="0.25">
      <c r="H660" t="s">
        <v>145</v>
      </c>
    </row>
    <row r="661" spans="8:8" x14ac:dyDescent="0.25">
      <c r="H661" t="s">
        <v>4430</v>
      </c>
    </row>
    <row r="662" spans="8:8" x14ac:dyDescent="0.25">
      <c r="H662" t="s">
        <v>31</v>
      </c>
    </row>
    <row r="663" spans="8:8" x14ac:dyDescent="0.25">
      <c r="H663" t="s">
        <v>146</v>
      </c>
    </row>
    <row r="664" spans="8:8" x14ac:dyDescent="0.25">
      <c r="H664" t="s">
        <v>4431</v>
      </c>
    </row>
    <row r="665" spans="8:8" x14ac:dyDescent="0.25">
      <c r="H665" t="s">
        <v>31</v>
      </c>
    </row>
    <row r="666" spans="8:8" x14ac:dyDescent="0.25">
      <c r="H666" t="s">
        <v>147</v>
      </c>
    </row>
    <row r="667" spans="8:8" x14ac:dyDescent="0.25">
      <c r="H667" t="s">
        <v>4432</v>
      </c>
    </row>
    <row r="668" spans="8:8" x14ac:dyDescent="0.25">
      <c r="H668" t="s">
        <v>31</v>
      </c>
    </row>
    <row r="669" spans="8:8" x14ac:dyDescent="0.25">
      <c r="H669" t="s">
        <v>148</v>
      </c>
    </row>
    <row r="670" spans="8:8" x14ac:dyDescent="0.25">
      <c r="H670" t="s">
        <v>4433</v>
      </c>
    </row>
    <row r="671" spans="8:8" x14ac:dyDescent="0.25">
      <c r="H671" t="s">
        <v>31</v>
      </c>
    </row>
    <row r="673" spans="8:8" x14ac:dyDescent="0.25">
      <c r="H673" t="s">
        <v>7538</v>
      </c>
    </row>
    <row r="674" spans="8:8" x14ac:dyDescent="0.25">
      <c r="H674" t="s">
        <v>145</v>
      </c>
    </row>
    <row r="675" spans="8:8" x14ac:dyDescent="0.25">
      <c r="H675" t="s">
        <v>4434</v>
      </c>
    </row>
    <row r="676" spans="8:8" x14ac:dyDescent="0.25">
      <c r="H676" t="s">
        <v>31</v>
      </c>
    </row>
    <row r="678" spans="8:8" x14ac:dyDescent="0.25">
      <c r="H678" t="s">
        <v>7539</v>
      </c>
    </row>
    <row r="679" spans="8:8" x14ac:dyDescent="0.25">
      <c r="H679" t="s">
        <v>145</v>
      </c>
    </row>
    <row r="680" spans="8:8" x14ac:dyDescent="0.25">
      <c r="H680" t="s">
        <v>4435</v>
      </c>
    </row>
    <row r="681" spans="8:8" x14ac:dyDescent="0.25">
      <c r="H681" t="s">
        <v>31</v>
      </c>
    </row>
    <row r="683" spans="8:8" x14ac:dyDescent="0.25">
      <c r="H683" t="s">
        <v>7540</v>
      </c>
    </row>
    <row r="684" spans="8:8" x14ac:dyDescent="0.25">
      <c r="H684" t="s">
        <v>145</v>
      </c>
    </row>
    <row r="685" spans="8:8" x14ac:dyDescent="0.25">
      <c r="H685" t="s">
        <v>4436</v>
      </c>
    </row>
    <row r="686" spans="8:8" x14ac:dyDescent="0.25">
      <c r="H686" t="s">
        <v>31</v>
      </c>
    </row>
    <row r="688" spans="8:8" x14ac:dyDescent="0.25">
      <c r="H688" t="s">
        <v>7541</v>
      </c>
    </row>
    <row r="689" spans="8:8" x14ac:dyDescent="0.25">
      <c r="H689" t="s">
        <v>145</v>
      </c>
    </row>
    <row r="690" spans="8:8" x14ac:dyDescent="0.25">
      <c r="H690" t="s">
        <v>4437</v>
      </c>
    </row>
    <row r="691" spans="8:8" x14ac:dyDescent="0.25">
      <c r="H691" t="s">
        <v>31</v>
      </c>
    </row>
    <row r="693" spans="8:8" x14ac:dyDescent="0.25">
      <c r="H693" t="s">
        <v>7542</v>
      </c>
    </row>
    <row r="694" spans="8:8" x14ac:dyDescent="0.25">
      <c r="H694" t="s">
        <v>145</v>
      </c>
    </row>
    <row r="695" spans="8:8" x14ac:dyDescent="0.25">
      <c r="H695" t="s">
        <v>4438</v>
      </c>
    </row>
    <row r="696" spans="8:8" x14ac:dyDescent="0.25">
      <c r="H696" t="s">
        <v>31</v>
      </c>
    </row>
    <row r="698" spans="8:8" x14ac:dyDescent="0.25">
      <c r="H698" t="s">
        <v>7543</v>
      </c>
    </row>
    <row r="699" spans="8:8" x14ac:dyDescent="0.25">
      <c r="H699" t="s">
        <v>145</v>
      </c>
    </row>
    <row r="700" spans="8:8" x14ac:dyDescent="0.25">
      <c r="H700" t="s">
        <v>4439</v>
      </c>
    </row>
    <row r="701" spans="8:8" x14ac:dyDescent="0.25">
      <c r="H701" t="s">
        <v>31</v>
      </c>
    </row>
    <row r="703" spans="8:8" x14ac:dyDescent="0.25">
      <c r="H703" t="s">
        <v>7544</v>
      </c>
    </row>
    <row r="704" spans="8:8" x14ac:dyDescent="0.25">
      <c r="H704" t="s">
        <v>145</v>
      </c>
    </row>
    <row r="705" spans="8:8" x14ac:dyDescent="0.25">
      <c r="H705" t="s">
        <v>4440</v>
      </c>
    </row>
    <row r="706" spans="8:8" x14ac:dyDescent="0.25">
      <c r="H706" t="s">
        <v>31</v>
      </c>
    </row>
    <row r="707" spans="8:8" x14ac:dyDescent="0.25">
      <c r="H707" t="s">
        <v>146</v>
      </c>
    </row>
    <row r="708" spans="8:8" x14ac:dyDescent="0.25">
      <c r="H708" t="s">
        <v>4441</v>
      </c>
    </row>
    <row r="709" spans="8:8" x14ac:dyDescent="0.25">
      <c r="H709" t="s">
        <v>31</v>
      </c>
    </row>
    <row r="710" spans="8:8" x14ac:dyDescent="0.25">
      <c r="H710" t="s">
        <v>147</v>
      </c>
    </row>
    <row r="711" spans="8:8" x14ac:dyDescent="0.25">
      <c r="H711" t="s">
        <v>4442</v>
      </c>
    </row>
    <row r="712" spans="8:8" x14ac:dyDescent="0.25">
      <c r="H712" t="s">
        <v>31</v>
      </c>
    </row>
    <row r="713" spans="8:8" x14ac:dyDescent="0.25">
      <c r="H713" t="s">
        <v>148</v>
      </c>
    </row>
    <row r="714" spans="8:8" x14ac:dyDescent="0.25">
      <c r="H714" t="s">
        <v>4443</v>
      </c>
    </row>
    <row r="715" spans="8:8" x14ac:dyDescent="0.25">
      <c r="H715" t="s">
        <v>31</v>
      </c>
    </row>
    <row r="717" spans="8:8" x14ac:dyDescent="0.25">
      <c r="H717" t="s">
        <v>7545</v>
      </c>
    </row>
    <row r="718" spans="8:8" x14ac:dyDescent="0.25">
      <c r="H718" t="s">
        <v>145</v>
      </c>
    </row>
    <row r="719" spans="8:8" x14ac:dyDescent="0.25">
      <c r="H719" t="s">
        <v>4444</v>
      </c>
    </row>
    <row r="720" spans="8:8" x14ac:dyDescent="0.25">
      <c r="H720" t="s">
        <v>31</v>
      </c>
    </row>
    <row r="721" spans="8:8" x14ac:dyDescent="0.25">
      <c r="H721" t="s">
        <v>146</v>
      </c>
    </row>
    <row r="722" spans="8:8" x14ac:dyDescent="0.25">
      <c r="H722" t="s">
        <v>4445</v>
      </c>
    </row>
    <row r="723" spans="8:8" x14ac:dyDescent="0.25">
      <c r="H723" t="s">
        <v>31</v>
      </c>
    </row>
    <row r="724" spans="8:8" x14ac:dyDescent="0.25">
      <c r="H724" t="s">
        <v>147</v>
      </c>
    </row>
    <row r="725" spans="8:8" x14ac:dyDescent="0.25">
      <c r="H725" t="s">
        <v>4446</v>
      </c>
    </row>
    <row r="726" spans="8:8" x14ac:dyDescent="0.25">
      <c r="H726" t="s">
        <v>31</v>
      </c>
    </row>
    <row r="727" spans="8:8" x14ac:dyDescent="0.25">
      <c r="H727" t="s">
        <v>148</v>
      </c>
    </row>
    <row r="728" spans="8:8" x14ac:dyDescent="0.25">
      <c r="H728" t="s">
        <v>4447</v>
      </c>
    </row>
    <row r="729" spans="8:8" x14ac:dyDescent="0.25">
      <c r="H729" t="s">
        <v>31</v>
      </c>
    </row>
    <row r="731" spans="8:8" x14ac:dyDescent="0.25">
      <c r="H731" t="s">
        <v>7546</v>
      </c>
    </row>
    <row r="732" spans="8:8" x14ac:dyDescent="0.25">
      <c r="H732" t="s">
        <v>145</v>
      </c>
    </row>
    <row r="733" spans="8:8" x14ac:dyDescent="0.25">
      <c r="H733" t="s">
        <v>4448</v>
      </c>
    </row>
    <row r="734" spans="8:8" x14ac:dyDescent="0.25">
      <c r="H734" t="s">
        <v>31</v>
      </c>
    </row>
    <row r="735" spans="8:8" x14ac:dyDescent="0.25">
      <c r="H735" t="s">
        <v>146</v>
      </c>
    </row>
    <row r="736" spans="8:8" x14ac:dyDescent="0.25">
      <c r="H736" t="s">
        <v>4449</v>
      </c>
    </row>
    <row r="737" spans="8:8" x14ac:dyDescent="0.25">
      <c r="H737" t="s">
        <v>31</v>
      </c>
    </row>
    <row r="738" spans="8:8" x14ac:dyDescent="0.25">
      <c r="H738" t="s">
        <v>147</v>
      </c>
    </row>
    <row r="739" spans="8:8" x14ac:dyDescent="0.25">
      <c r="H739" t="s">
        <v>4450</v>
      </c>
    </row>
    <row r="740" spans="8:8" x14ac:dyDescent="0.25">
      <c r="H740" t="s">
        <v>31</v>
      </c>
    </row>
    <row r="741" spans="8:8" x14ac:dyDescent="0.25">
      <c r="H741" t="s">
        <v>148</v>
      </c>
    </row>
    <row r="742" spans="8:8" x14ac:dyDescent="0.25">
      <c r="H742" t="s">
        <v>4451</v>
      </c>
    </row>
    <row r="743" spans="8:8" x14ac:dyDescent="0.25">
      <c r="H743" t="s">
        <v>31</v>
      </c>
    </row>
    <row r="745" spans="8:8" x14ac:dyDescent="0.25">
      <c r="H745" t="s">
        <v>7547</v>
      </c>
    </row>
    <row r="746" spans="8:8" x14ac:dyDescent="0.25">
      <c r="H746" t="s">
        <v>145</v>
      </c>
    </row>
    <row r="747" spans="8:8" x14ac:dyDescent="0.25">
      <c r="H747" t="s">
        <v>4452</v>
      </c>
    </row>
    <row r="748" spans="8:8" x14ac:dyDescent="0.25">
      <c r="H748" t="s">
        <v>31</v>
      </c>
    </row>
    <row r="749" spans="8:8" x14ac:dyDescent="0.25">
      <c r="H749" t="s">
        <v>146</v>
      </c>
    </row>
    <row r="750" spans="8:8" x14ac:dyDescent="0.25">
      <c r="H750" t="s">
        <v>4453</v>
      </c>
    </row>
    <row r="751" spans="8:8" x14ac:dyDescent="0.25">
      <c r="H751" t="s">
        <v>31</v>
      </c>
    </row>
    <row r="752" spans="8:8" x14ac:dyDescent="0.25">
      <c r="H752" t="s">
        <v>147</v>
      </c>
    </row>
    <row r="753" spans="8:8" x14ac:dyDescent="0.25">
      <c r="H753" t="s">
        <v>4454</v>
      </c>
    </row>
    <row r="754" spans="8:8" x14ac:dyDescent="0.25">
      <c r="H754" t="s">
        <v>31</v>
      </c>
    </row>
    <row r="755" spans="8:8" x14ac:dyDescent="0.25">
      <c r="H755" t="s">
        <v>148</v>
      </c>
    </row>
    <row r="756" spans="8:8" x14ac:dyDescent="0.25">
      <c r="H756" t="s">
        <v>4455</v>
      </c>
    </row>
    <row r="757" spans="8:8" x14ac:dyDescent="0.25">
      <c r="H757" t="s">
        <v>31</v>
      </c>
    </row>
    <row r="759" spans="8:8" x14ac:dyDescent="0.25">
      <c r="H759" t="s">
        <v>7548</v>
      </c>
    </row>
    <row r="760" spans="8:8" x14ac:dyDescent="0.25">
      <c r="H760" t="s">
        <v>2174</v>
      </c>
    </row>
    <row r="761" spans="8:8" x14ac:dyDescent="0.25">
      <c r="H761" t="s">
        <v>145</v>
      </c>
    </row>
    <row r="762" spans="8:8" x14ac:dyDescent="0.25">
      <c r="H762" t="s">
        <v>4456</v>
      </c>
    </row>
    <row r="763" spans="8:8" x14ac:dyDescent="0.25">
      <c r="H763" t="s">
        <v>31</v>
      </c>
    </row>
    <row r="765" spans="8:8" x14ac:dyDescent="0.25">
      <c r="H765" t="s">
        <v>7549</v>
      </c>
    </row>
    <row r="766" spans="8:8" x14ac:dyDescent="0.25">
      <c r="H766" t="s">
        <v>145</v>
      </c>
    </row>
    <row r="767" spans="8:8" x14ac:dyDescent="0.25">
      <c r="H767" t="s">
        <v>4457</v>
      </c>
    </row>
    <row r="768" spans="8:8" x14ac:dyDescent="0.25">
      <c r="H768" t="s">
        <v>31</v>
      </c>
    </row>
    <row r="770" spans="8:8" x14ac:dyDescent="0.25">
      <c r="H770" t="s">
        <v>7550</v>
      </c>
    </row>
    <row r="771" spans="8:8" x14ac:dyDescent="0.25">
      <c r="H771" t="s">
        <v>145</v>
      </c>
    </row>
    <row r="772" spans="8:8" x14ac:dyDescent="0.25">
      <c r="H772" t="s">
        <v>4458</v>
      </c>
    </row>
    <row r="773" spans="8:8" x14ac:dyDescent="0.25">
      <c r="H773" t="s">
        <v>31</v>
      </c>
    </row>
    <row r="775" spans="8:8" x14ac:dyDescent="0.25">
      <c r="H775" t="s">
        <v>7551</v>
      </c>
    </row>
    <row r="776" spans="8:8" x14ac:dyDescent="0.25">
      <c r="H776" t="s">
        <v>145</v>
      </c>
    </row>
    <row r="777" spans="8:8" x14ac:dyDescent="0.25">
      <c r="H777" t="s">
        <v>4459</v>
      </c>
    </row>
    <row r="778" spans="8:8" x14ac:dyDescent="0.25">
      <c r="H778" t="s">
        <v>31</v>
      </c>
    </row>
    <row r="780" spans="8:8" x14ac:dyDescent="0.25">
      <c r="H780" t="s">
        <v>7552</v>
      </c>
    </row>
    <row r="781" spans="8:8" x14ac:dyDescent="0.25">
      <c r="H781" t="s">
        <v>145</v>
      </c>
    </row>
    <row r="782" spans="8:8" x14ac:dyDescent="0.25">
      <c r="H782" t="s">
        <v>4460</v>
      </c>
    </row>
    <row r="783" spans="8:8" x14ac:dyDescent="0.25">
      <c r="H783" t="s">
        <v>31</v>
      </c>
    </row>
    <row r="785" spans="8:8" x14ac:dyDescent="0.25">
      <c r="H785" t="s">
        <v>7553</v>
      </c>
    </row>
    <row r="786" spans="8:8" x14ac:dyDescent="0.25">
      <c r="H786" t="s">
        <v>145</v>
      </c>
    </row>
    <row r="787" spans="8:8" x14ac:dyDescent="0.25">
      <c r="H787" t="s">
        <v>4461</v>
      </c>
    </row>
    <row r="788" spans="8:8" x14ac:dyDescent="0.25">
      <c r="H788" t="s">
        <v>31</v>
      </c>
    </row>
    <row r="790" spans="8:8" x14ac:dyDescent="0.25">
      <c r="H790" t="s">
        <v>7554</v>
      </c>
    </row>
    <row r="791" spans="8:8" x14ac:dyDescent="0.25">
      <c r="H791" t="s">
        <v>145</v>
      </c>
    </row>
    <row r="792" spans="8:8" x14ac:dyDescent="0.25">
      <c r="H792" t="s">
        <v>4462</v>
      </c>
    </row>
    <row r="793" spans="8:8" x14ac:dyDescent="0.25">
      <c r="H793" t="s">
        <v>31</v>
      </c>
    </row>
    <row r="795" spans="8:8" x14ac:dyDescent="0.25">
      <c r="H795" t="s">
        <v>7555</v>
      </c>
    </row>
    <row r="796" spans="8:8" x14ac:dyDescent="0.25">
      <c r="H796" t="s">
        <v>145</v>
      </c>
    </row>
    <row r="797" spans="8:8" x14ac:dyDescent="0.25">
      <c r="H797" t="s">
        <v>4463</v>
      </c>
    </row>
    <row r="798" spans="8:8" x14ac:dyDescent="0.25">
      <c r="H798" t="s">
        <v>31</v>
      </c>
    </row>
    <row r="800" spans="8:8" x14ac:dyDescent="0.25">
      <c r="H800" t="s">
        <v>7556</v>
      </c>
    </row>
    <row r="801" spans="8:8" x14ac:dyDescent="0.25">
      <c r="H801" t="s">
        <v>145</v>
      </c>
    </row>
    <row r="802" spans="8:8" x14ac:dyDescent="0.25">
      <c r="H802" t="s">
        <v>4464</v>
      </c>
    </row>
    <row r="803" spans="8:8" x14ac:dyDescent="0.25">
      <c r="H803" t="s">
        <v>31</v>
      </c>
    </row>
    <row r="805" spans="8:8" x14ac:dyDescent="0.25">
      <c r="H805" t="s">
        <v>7557</v>
      </c>
    </row>
    <row r="806" spans="8:8" x14ac:dyDescent="0.25">
      <c r="H806" t="s">
        <v>145</v>
      </c>
    </row>
    <row r="807" spans="8:8" x14ac:dyDescent="0.25">
      <c r="H807" t="s">
        <v>4465</v>
      </c>
    </row>
    <row r="808" spans="8:8" x14ac:dyDescent="0.25">
      <c r="H808" t="s">
        <v>31</v>
      </c>
    </row>
    <row r="810" spans="8:8" x14ac:dyDescent="0.25">
      <c r="H810" t="s">
        <v>7558</v>
      </c>
    </row>
    <row r="811" spans="8:8" x14ac:dyDescent="0.25">
      <c r="H811" t="s">
        <v>145</v>
      </c>
    </row>
    <row r="812" spans="8:8" x14ac:dyDescent="0.25">
      <c r="H812" t="s">
        <v>4466</v>
      </c>
    </row>
    <row r="813" spans="8:8" x14ac:dyDescent="0.25">
      <c r="H813" t="s">
        <v>31</v>
      </c>
    </row>
    <row r="815" spans="8:8" x14ac:dyDescent="0.25">
      <c r="H815" t="s">
        <v>7559</v>
      </c>
    </row>
    <row r="816" spans="8:8" x14ac:dyDescent="0.25">
      <c r="H816" t="s">
        <v>145</v>
      </c>
    </row>
    <row r="817" spans="8:8" x14ac:dyDescent="0.25">
      <c r="H817" t="s">
        <v>4467</v>
      </c>
    </row>
    <row r="818" spans="8:8" x14ac:dyDescent="0.25">
      <c r="H818" t="s">
        <v>31</v>
      </c>
    </row>
    <row r="820" spans="8:8" x14ac:dyDescent="0.25">
      <c r="H820" t="s">
        <v>7560</v>
      </c>
    </row>
    <row r="821" spans="8:8" x14ac:dyDescent="0.25">
      <c r="H821" t="s">
        <v>145</v>
      </c>
    </row>
    <row r="822" spans="8:8" x14ac:dyDescent="0.25">
      <c r="H822" t="s">
        <v>4468</v>
      </c>
    </row>
    <row r="823" spans="8:8" x14ac:dyDescent="0.25">
      <c r="H823" t="s">
        <v>31</v>
      </c>
    </row>
    <row r="825" spans="8:8" x14ac:dyDescent="0.25">
      <c r="H825" t="s">
        <v>7561</v>
      </c>
    </row>
    <row r="826" spans="8:8" x14ac:dyDescent="0.25">
      <c r="H826" t="s">
        <v>145</v>
      </c>
    </row>
    <row r="827" spans="8:8" x14ac:dyDescent="0.25">
      <c r="H827" t="s">
        <v>4469</v>
      </c>
    </row>
    <row r="828" spans="8:8" x14ac:dyDescent="0.25">
      <c r="H828" t="s">
        <v>31</v>
      </c>
    </row>
    <row r="830" spans="8:8" x14ac:dyDescent="0.25">
      <c r="H830" t="s">
        <v>7562</v>
      </c>
    </row>
    <row r="831" spans="8:8" x14ac:dyDescent="0.25">
      <c r="H831" t="s">
        <v>145</v>
      </c>
    </row>
    <row r="832" spans="8:8" x14ac:dyDescent="0.25">
      <c r="H832" t="s">
        <v>4470</v>
      </c>
    </row>
    <row r="833" spans="8:8" x14ac:dyDescent="0.25">
      <c r="H833" t="s">
        <v>31</v>
      </c>
    </row>
    <row r="835" spans="8:8" x14ac:dyDescent="0.25">
      <c r="H835" t="s">
        <v>7563</v>
      </c>
    </row>
    <row r="836" spans="8:8" x14ac:dyDescent="0.25">
      <c r="H836" t="s">
        <v>145</v>
      </c>
    </row>
    <row r="837" spans="8:8" x14ac:dyDescent="0.25">
      <c r="H837" t="s">
        <v>4471</v>
      </c>
    </row>
    <row r="838" spans="8:8" x14ac:dyDescent="0.25">
      <c r="H838" t="s">
        <v>31</v>
      </c>
    </row>
    <row r="840" spans="8:8" x14ac:dyDescent="0.25">
      <c r="H840" t="s">
        <v>7564</v>
      </c>
    </row>
    <row r="841" spans="8:8" x14ac:dyDescent="0.25">
      <c r="H841" t="s">
        <v>145</v>
      </c>
    </row>
    <row r="842" spans="8:8" x14ac:dyDescent="0.25">
      <c r="H842" t="s">
        <v>4472</v>
      </c>
    </row>
    <row r="843" spans="8:8" x14ac:dyDescent="0.25">
      <c r="H843" t="s">
        <v>31</v>
      </c>
    </row>
    <row r="845" spans="8:8" x14ac:dyDescent="0.25">
      <c r="H845" t="s">
        <v>7565</v>
      </c>
    </row>
    <row r="846" spans="8:8" x14ac:dyDescent="0.25">
      <c r="H846" t="s">
        <v>145</v>
      </c>
    </row>
    <row r="847" spans="8:8" x14ac:dyDescent="0.25">
      <c r="H847" t="s">
        <v>4473</v>
      </c>
    </row>
    <row r="848" spans="8:8" x14ac:dyDescent="0.25">
      <c r="H848" t="s">
        <v>31</v>
      </c>
    </row>
    <row r="850" spans="8:8" x14ac:dyDescent="0.25">
      <c r="H850" t="s">
        <v>7566</v>
      </c>
    </row>
    <row r="851" spans="8:8" x14ac:dyDescent="0.25">
      <c r="H851" t="s">
        <v>145</v>
      </c>
    </row>
    <row r="852" spans="8:8" x14ac:dyDescent="0.25">
      <c r="H852" t="s">
        <v>4474</v>
      </c>
    </row>
    <row r="853" spans="8:8" x14ac:dyDescent="0.25">
      <c r="H853" t="s">
        <v>31</v>
      </c>
    </row>
    <row r="855" spans="8:8" x14ac:dyDescent="0.25">
      <c r="H855" t="s">
        <v>7567</v>
      </c>
    </row>
    <row r="856" spans="8:8" x14ac:dyDescent="0.25">
      <c r="H856" t="s">
        <v>145</v>
      </c>
    </row>
    <row r="857" spans="8:8" x14ac:dyDescent="0.25">
      <c r="H857" t="s">
        <v>4475</v>
      </c>
    </row>
    <row r="858" spans="8:8" x14ac:dyDescent="0.25">
      <c r="H858" t="s">
        <v>31</v>
      </c>
    </row>
    <row r="860" spans="8:8" x14ac:dyDescent="0.25">
      <c r="H860" t="s">
        <v>7568</v>
      </c>
    </row>
    <row r="861" spans="8:8" x14ac:dyDescent="0.25">
      <c r="H861" t="s">
        <v>145</v>
      </c>
    </row>
    <row r="862" spans="8:8" x14ac:dyDescent="0.25">
      <c r="H862" t="s">
        <v>4476</v>
      </c>
    </row>
    <row r="863" spans="8:8" x14ac:dyDescent="0.25">
      <c r="H863" t="s">
        <v>31</v>
      </c>
    </row>
    <row r="865" spans="8:8" x14ac:dyDescent="0.25">
      <c r="H865" t="s">
        <v>7569</v>
      </c>
    </row>
    <row r="866" spans="8:8" x14ac:dyDescent="0.25">
      <c r="H866" t="s">
        <v>145</v>
      </c>
    </row>
    <row r="867" spans="8:8" x14ac:dyDescent="0.25">
      <c r="H867" t="s">
        <v>4477</v>
      </c>
    </row>
    <row r="868" spans="8:8" x14ac:dyDescent="0.25">
      <c r="H868" t="s">
        <v>31</v>
      </c>
    </row>
    <row r="870" spans="8:8" x14ac:dyDescent="0.25">
      <c r="H870" t="s">
        <v>7570</v>
      </c>
    </row>
    <row r="871" spans="8:8" x14ac:dyDescent="0.25">
      <c r="H871" t="s">
        <v>145</v>
      </c>
    </row>
    <row r="872" spans="8:8" x14ac:dyDescent="0.25">
      <c r="H872" t="s">
        <v>4478</v>
      </c>
    </row>
    <row r="873" spans="8:8" x14ac:dyDescent="0.25">
      <c r="H873" t="s">
        <v>31</v>
      </c>
    </row>
    <row r="875" spans="8:8" x14ac:dyDescent="0.25">
      <c r="H875" t="s">
        <v>7571</v>
      </c>
    </row>
    <row r="876" spans="8:8" x14ac:dyDescent="0.25">
      <c r="H876" t="s">
        <v>145</v>
      </c>
    </row>
    <row r="877" spans="8:8" x14ac:dyDescent="0.25">
      <c r="H877" t="s">
        <v>4479</v>
      </c>
    </row>
    <row r="878" spans="8:8" x14ac:dyDescent="0.25">
      <c r="H878" t="s">
        <v>31</v>
      </c>
    </row>
    <row r="880" spans="8:8" x14ac:dyDescent="0.25">
      <c r="H880" t="s">
        <v>7572</v>
      </c>
    </row>
    <row r="881" spans="8:8" x14ac:dyDescent="0.25">
      <c r="H881" t="s">
        <v>145</v>
      </c>
    </row>
    <row r="882" spans="8:8" x14ac:dyDescent="0.25">
      <c r="H882" t="s">
        <v>4480</v>
      </c>
    </row>
    <row r="883" spans="8:8" x14ac:dyDescent="0.25">
      <c r="H883" t="s">
        <v>31</v>
      </c>
    </row>
    <row r="885" spans="8:8" x14ac:dyDescent="0.25">
      <c r="H885" t="s">
        <v>7573</v>
      </c>
    </row>
    <row r="886" spans="8:8" x14ac:dyDescent="0.25">
      <c r="H886" t="s">
        <v>145</v>
      </c>
    </row>
    <row r="887" spans="8:8" x14ac:dyDescent="0.25">
      <c r="H887" t="s">
        <v>4481</v>
      </c>
    </row>
    <row r="888" spans="8:8" x14ac:dyDescent="0.25">
      <c r="H888" t="s">
        <v>31</v>
      </c>
    </row>
    <row r="890" spans="8:8" x14ac:dyDescent="0.25">
      <c r="H890" t="s">
        <v>7574</v>
      </c>
    </row>
    <row r="891" spans="8:8" x14ac:dyDescent="0.25">
      <c r="H891" t="s">
        <v>145</v>
      </c>
    </row>
    <row r="892" spans="8:8" x14ac:dyDescent="0.25">
      <c r="H892" t="s">
        <v>4482</v>
      </c>
    </row>
    <row r="893" spans="8:8" x14ac:dyDescent="0.25">
      <c r="H893" t="s">
        <v>31</v>
      </c>
    </row>
    <row r="895" spans="8:8" x14ac:dyDescent="0.25">
      <c r="H895" t="s">
        <v>7575</v>
      </c>
    </row>
    <row r="896" spans="8:8" x14ac:dyDescent="0.25">
      <c r="H896" t="s">
        <v>145</v>
      </c>
    </row>
    <row r="897" spans="8:8" x14ac:dyDescent="0.25">
      <c r="H897" t="s">
        <v>4483</v>
      </c>
    </row>
    <row r="898" spans="8:8" x14ac:dyDescent="0.25">
      <c r="H898" t="s">
        <v>31</v>
      </c>
    </row>
    <row r="900" spans="8:8" x14ac:dyDescent="0.25">
      <c r="H900" t="s">
        <v>7576</v>
      </c>
    </row>
    <row r="901" spans="8:8" x14ac:dyDescent="0.25">
      <c r="H901" t="s">
        <v>145</v>
      </c>
    </row>
    <row r="902" spans="8:8" x14ac:dyDescent="0.25">
      <c r="H902" t="s">
        <v>4484</v>
      </c>
    </row>
    <row r="903" spans="8:8" x14ac:dyDescent="0.25">
      <c r="H903" t="s">
        <v>31</v>
      </c>
    </row>
    <row r="905" spans="8:8" x14ac:dyDescent="0.25">
      <c r="H905" t="s">
        <v>7577</v>
      </c>
    </row>
    <row r="906" spans="8:8" x14ac:dyDescent="0.25">
      <c r="H906" t="s">
        <v>145</v>
      </c>
    </row>
    <row r="907" spans="8:8" x14ac:dyDescent="0.25">
      <c r="H907" t="s">
        <v>4485</v>
      </c>
    </row>
    <row r="908" spans="8:8" x14ac:dyDescent="0.25">
      <c r="H908" t="s">
        <v>31</v>
      </c>
    </row>
    <row r="910" spans="8:8" x14ac:dyDescent="0.25">
      <c r="H910" t="s">
        <v>7578</v>
      </c>
    </row>
    <row r="911" spans="8:8" x14ac:dyDescent="0.25">
      <c r="H911" t="s">
        <v>145</v>
      </c>
    </row>
    <row r="912" spans="8:8" x14ac:dyDescent="0.25">
      <c r="H912" t="s">
        <v>4486</v>
      </c>
    </row>
    <row r="913" spans="8:8" x14ac:dyDescent="0.25">
      <c r="H913" t="s">
        <v>31</v>
      </c>
    </row>
    <row r="915" spans="8:8" x14ac:dyDescent="0.25">
      <c r="H915" t="s">
        <v>7579</v>
      </c>
    </row>
    <row r="916" spans="8:8" x14ac:dyDescent="0.25">
      <c r="H916" t="s">
        <v>145</v>
      </c>
    </row>
    <row r="917" spans="8:8" x14ac:dyDescent="0.25">
      <c r="H917" t="s">
        <v>4487</v>
      </c>
    </row>
    <row r="918" spans="8:8" x14ac:dyDescent="0.25">
      <c r="H918" t="s">
        <v>31</v>
      </c>
    </row>
    <row r="920" spans="8:8" x14ac:dyDescent="0.25">
      <c r="H920" t="s">
        <v>7580</v>
      </c>
    </row>
    <row r="921" spans="8:8" x14ac:dyDescent="0.25">
      <c r="H921" t="s">
        <v>145</v>
      </c>
    </row>
    <row r="922" spans="8:8" x14ac:dyDescent="0.25">
      <c r="H922" t="s">
        <v>4488</v>
      </c>
    </row>
    <row r="923" spans="8:8" x14ac:dyDescent="0.25">
      <c r="H923" t="s">
        <v>31</v>
      </c>
    </row>
    <row r="925" spans="8:8" x14ac:dyDescent="0.25">
      <c r="H925" t="s">
        <v>7581</v>
      </c>
    </row>
    <row r="926" spans="8:8" x14ac:dyDescent="0.25">
      <c r="H926" t="s">
        <v>145</v>
      </c>
    </row>
    <row r="927" spans="8:8" x14ac:dyDescent="0.25">
      <c r="H927" t="s">
        <v>4489</v>
      </c>
    </row>
    <row r="928" spans="8:8" x14ac:dyDescent="0.25">
      <c r="H928" t="s">
        <v>31</v>
      </c>
    </row>
    <row r="930" spans="8:8" x14ac:dyDescent="0.25">
      <c r="H930" t="s">
        <v>7582</v>
      </c>
    </row>
    <row r="931" spans="8:8" x14ac:dyDescent="0.25">
      <c r="H931" t="s">
        <v>145</v>
      </c>
    </row>
    <row r="932" spans="8:8" x14ac:dyDescent="0.25">
      <c r="H932" t="s">
        <v>4490</v>
      </c>
    </row>
    <row r="933" spans="8:8" x14ac:dyDescent="0.25">
      <c r="H933" t="s">
        <v>31</v>
      </c>
    </row>
    <row r="935" spans="8:8" x14ac:dyDescent="0.25">
      <c r="H935" t="s">
        <v>7583</v>
      </c>
    </row>
    <row r="936" spans="8:8" x14ac:dyDescent="0.25">
      <c r="H936" t="s">
        <v>145</v>
      </c>
    </row>
    <row r="937" spans="8:8" x14ac:dyDescent="0.25">
      <c r="H937" t="s">
        <v>4491</v>
      </c>
    </row>
    <row r="938" spans="8:8" x14ac:dyDescent="0.25">
      <c r="H938" t="s">
        <v>31</v>
      </c>
    </row>
    <row r="940" spans="8:8" x14ac:dyDescent="0.25">
      <c r="H940" t="s">
        <v>7584</v>
      </c>
    </row>
    <row r="941" spans="8:8" x14ac:dyDescent="0.25">
      <c r="H941" t="s">
        <v>145</v>
      </c>
    </row>
    <row r="942" spans="8:8" x14ac:dyDescent="0.25">
      <c r="H942" t="s">
        <v>4492</v>
      </c>
    </row>
    <row r="943" spans="8:8" x14ac:dyDescent="0.25">
      <c r="H943" t="s">
        <v>31</v>
      </c>
    </row>
    <row r="945" spans="8:8" x14ac:dyDescent="0.25">
      <c r="H945" t="s">
        <v>7585</v>
      </c>
    </row>
    <row r="946" spans="8:8" x14ac:dyDescent="0.25">
      <c r="H946" t="s">
        <v>145</v>
      </c>
    </row>
    <row r="947" spans="8:8" x14ac:dyDescent="0.25">
      <c r="H947" t="s">
        <v>4493</v>
      </c>
    </row>
    <row r="948" spans="8:8" x14ac:dyDescent="0.25">
      <c r="H948" t="s">
        <v>31</v>
      </c>
    </row>
    <row r="950" spans="8:8" x14ac:dyDescent="0.25">
      <c r="H950" t="s">
        <v>7586</v>
      </c>
    </row>
    <row r="951" spans="8:8" x14ac:dyDescent="0.25">
      <c r="H951" t="s">
        <v>145</v>
      </c>
    </row>
    <row r="952" spans="8:8" x14ac:dyDescent="0.25">
      <c r="H952" t="s">
        <v>4494</v>
      </c>
    </row>
    <row r="953" spans="8:8" x14ac:dyDescent="0.25">
      <c r="H953" t="s">
        <v>31</v>
      </c>
    </row>
    <row r="955" spans="8:8" x14ac:dyDescent="0.25">
      <c r="H955" t="s">
        <v>7587</v>
      </c>
    </row>
    <row r="956" spans="8:8" x14ac:dyDescent="0.25">
      <c r="H956" t="s">
        <v>145</v>
      </c>
    </row>
    <row r="957" spans="8:8" x14ac:dyDescent="0.25">
      <c r="H957" t="s">
        <v>4495</v>
      </c>
    </row>
    <row r="958" spans="8:8" x14ac:dyDescent="0.25">
      <c r="H958" t="s">
        <v>31</v>
      </c>
    </row>
    <row r="960" spans="8:8" x14ac:dyDescent="0.25">
      <c r="H960" t="s">
        <v>7588</v>
      </c>
    </row>
    <row r="961" spans="8:8" x14ac:dyDescent="0.25">
      <c r="H961" t="s">
        <v>145</v>
      </c>
    </row>
    <row r="962" spans="8:8" x14ac:dyDescent="0.25">
      <c r="H962" t="s">
        <v>4496</v>
      </c>
    </row>
    <row r="963" spans="8:8" x14ac:dyDescent="0.25">
      <c r="H963" t="s">
        <v>31</v>
      </c>
    </row>
    <row r="965" spans="8:8" x14ac:dyDescent="0.25">
      <c r="H965" t="s">
        <v>7589</v>
      </c>
    </row>
    <row r="966" spans="8:8" x14ac:dyDescent="0.25">
      <c r="H966" t="s">
        <v>145</v>
      </c>
    </row>
    <row r="967" spans="8:8" x14ac:dyDescent="0.25">
      <c r="H967" t="s">
        <v>4497</v>
      </c>
    </row>
    <row r="968" spans="8:8" x14ac:dyDescent="0.25">
      <c r="H968" t="s">
        <v>31</v>
      </c>
    </row>
    <row r="970" spans="8:8" x14ac:dyDescent="0.25">
      <c r="H970" t="s">
        <v>7590</v>
      </c>
    </row>
    <row r="971" spans="8:8" x14ac:dyDescent="0.25">
      <c r="H971" t="s">
        <v>145</v>
      </c>
    </row>
    <row r="972" spans="8:8" x14ac:dyDescent="0.25">
      <c r="H972" t="s">
        <v>4498</v>
      </c>
    </row>
    <row r="973" spans="8:8" x14ac:dyDescent="0.25">
      <c r="H973" t="s">
        <v>31</v>
      </c>
    </row>
    <row r="975" spans="8:8" x14ac:dyDescent="0.25">
      <c r="H975" t="s">
        <v>7591</v>
      </c>
    </row>
    <row r="976" spans="8:8" x14ac:dyDescent="0.25">
      <c r="H976" t="s">
        <v>145</v>
      </c>
    </row>
    <row r="977" spans="8:8" x14ac:dyDescent="0.25">
      <c r="H977" t="s">
        <v>4499</v>
      </c>
    </row>
    <row r="978" spans="8:8" x14ac:dyDescent="0.25">
      <c r="H978" t="s">
        <v>31</v>
      </c>
    </row>
    <row r="980" spans="8:8" x14ac:dyDescent="0.25">
      <c r="H980" t="s">
        <v>7592</v>
      </c>
    </row>
    <row r="981" spans="8:8" x14ac:dyDescent="0.25">
      <c r="H981" t="s">
        <v>145</v>
      </c>
    </row>
    <row r="982" spans="8:8" x14ac:dyDescent="0.25">
      <c r="H982" t="s">
        <v>4500</v>
      </c>
    </row>
    <row r="983" spans="8:8" x14ac:dyDescent="0.25">
      <c r="H983" t="s">
        <v>31</v>
      </c>
    </row>
    <row r="985" spans="8:8" x14ac:dyDescent="0.25">
      <c r="H985" t="s">
        <v>7593</v>
      </c>
    </row>
    <row r="986" spans="8:8" x14ac:dyDescent="0.25">
      <c r="H986" t="s">
        <v>145</v>
      </c>
    </row>
    <row r="987" spans="8:8" x14ac:dyDescent="0.25">
      <c r="H987" t="s">
        <v>4501</v>
      </c>
    </row>
    <row r="988" spans="8:8" x14ac:dyDescent="0.25">
      <c r="H988" t="s">
        <v>31</v>
      </c>
    </row>
    <row r="990" spans="8:8" x14ac:dyDescent="0.25">
      <c r="H990" t="s">
        <v>7594</v>
      </c>
    </row>
    <row r="991" spans="8:8" x14ac:dyDescent="0.25">
      <c r="H991" t="s">
        <v>145</v>
      </c>
    </row>
    <row r="992" spans="8:8" x14ac:dyDescent="0.25">
      <c r="H992" t="s">
        <v>4502</v>
      </c>
    </row>
    <row r="993" spans="8:8" x14ac:dyDescent="0.25">
      <c r="H993" t="s">
        <v>31</v>
      </c>
    </row>
    <row r="995" spans="8:8" x14ac:dyDescent="0.25">
      <c r="H995" t="s">
        <v>7595</v>
      </c>
    </row>
    <row r="996" spans="8:8" x14ac:dyDescent="0.25">
      <c r="H996" t="s">
        <v>145</v>
      </c>
    </row>
    <row r="997" spans="8:8" x14ac:dyDescent="0.25">
      <c r="H997" t="s">
        <v>4503</v>
      </c>
    </row>
    <row r="998" spans="8:8" x14ac:dyDescent="0.25">
      <c r="H998" t="s">
        <v>31</v>
      </c>
    </row>
    <row r="1000" spans="8:8" x14ac:dyDescent="0.25">
      <c r="H1000" t="s">
        <v>7596</v>
      </c>
    </row>
    <row r="1001" spans="8:8" x14ac:dyDescent="0.25">
      <c r="H1001" t="s">
        <v>145</v>
      </c>
    </row>
    <row r="1002" spans="8:8" x14ac:dyDescent="0.25">
      <c r="H1002" t="s">
        <v>4504</v>
      </c>
    </row>
    <row r="1003" spans="8:8" x14ac:dyDescent="0.25">
      <c r="H1003" t="s">
        <v>31</v>
      </c>
    </row>
    <row r="1005" spans="8:8" x14ac:dyDescent="0.25">
      <c r="H1005" t="s">
        <v>7597</v>
      </c>
    </row>
    <row r="1006" spans="8:8" x14ac:dyDescent="0.25">
      <c r="H1006" t="s">
        <v>145</v>
      </c>
    </row>
    <row r="1007" spans="8:8" x14ac:dyDescent="0.25">
      <c r="H1007" t="s">
        <v>4505</v>
      </c>
    </row>
    <row r="1008" spans="8:8" x14ac:dyDescent="0.25">
      <c r="H1008" t="s">
        <v>31</v>
      </c>
    </row>
    <row r="1010" spans="8:8" x14ac:dyDescent="0.25">
      <c r="H1010" t="s">
        <v>7598</v>
      </c>
    </row>
    <row r="1011" spans="8:8" x14ac:dyDescent="0.25">
      <c r="H1011" t="s">
        <v>145</v>
      </c>
    </row>
    <row r="1012" spans="8:8" x14ac:dyDescent="0.25">
      <c r="H1012" t="s">
        <v>4506</v>
      </c>
    </row>
    <row r="1013" spans="8:8" x14ac:dyDescent="0.25">
      <c r="H1013" t="s">
        <v>31</v>
      </c>
    </row>
    <row r="1015" spans="8:8" x14ac:dyDescent="0.25">
      <c r="H1015" t="s">
        <v>7599</v>
      </c>
    </row>
    <row r="1016" spans="8:8" x14ac:dyDescent="0.25">
      <c r="H1016" t="s">
        <v>145</v>
      </c>
    </row>
    <row r="1017" spans="8:8" x14ac:dyDescent="0.25">
      <c r="H1017" t="s">
        <v>4507</v>
      </c>
    </row>
    <row r="1018" spans="8:8" x14ac:dyDescent="0.25">
      <c r="H1018" t="s">
        <v>31</v>
      </c>
    </row>
    <row r="1020" spans="8:8" x14ac:dyDescent="0.25">
      <c r="H1020" t="s">
        <v>7600</v>
      </c>
    </row>
    <row r="1021" spans="8:8" x14ac:dyDescent="0.25">
      <c r="H1021" t="s">
        <v>145</v>
      </c>
    </row>
    <row r="1022" spans="8:8" x14ac:dyDescent="0.25">
      <c r="H1022" t="s">
        <v>4508</v>
      </c>
    </row>
    <row r="1023" spans="8:8" x14ac:dyDescent="0.25">
      <c r="H1023" t="s">
        <v>31</v>
      </c>
    </row>
    <row r="1025" spans="8:8" x14ac:dyDescent="0.25">
      <c r="H1025" t="s">
        <v>7601</v>
      </c>
    </row>
    <row r="1026" spans="8:8" x14ac:dyDescent="0.25">
      <c r="H1026" t="s">
        <v>145</v>
      </c>
    </row>
    <row r="1027" spans="8:8" x14ac:dyDescent="0.25">
      <c r="H1027" t="s">
        <v>4509</v>
      </c>
    </row>
    <row r="1028" spans="8:8" x14ac:dyDescent="0.25">
      <c r="H1028" t="s">
        <v>31</v>
      </c>
    </row>
    <row r="1030" spans="8:8" x14ac:dyDescent="0.25">
      <c r="H1030" t="s">
        <v>7602</v>
      </c>
    </row>
    <row r="1031" spans="8:8" x14ac:dyDescent="0.25">
      <c r="H1031" t="s">
        <v>145</v>
      </c>
    </row>
    <row r="1032" spans="8:8" x14ac:dyDescent="0.25">
      <c r="H1032" t="s">
        <v>4510</v>
      </c>
    </row>
    <row r="1033" spans="8:8" x14ac:dyDescent="0.25">
      <c r="H1033" t="s">
        <v>31</v>
      </c>
    </row>
    <row r="1035" spans="8:8" x14ac:dyDescent="0.25">
      <c r="H1035" t="s">
        <v>7603</v>
      </c>
    </row>
    <row r="1036" spans="8:8" x14ac:dyDescent="0.25">
      <c r="H1036" t="s">
        <v>145</v>
      </c>
    </row>
    <row r="1037" spans="8:8" x14ac:dyDescent="0.25">
      <c r="H1037" t="s">
        <v>4511</v>
      </c>
    </row>
    <row r="1038" spans="8:8" x14ac:dyDescent="0.25">
      <c r="H1038" t="s">
        <v>31</v>
      </c>
    </row>
    <row r="1040" spans="8:8" x14ac:dyDescent="0.25">
      <c r="H1040" t="s">
        <v>7604</v>
      </c>
    </row>
    <row r="1041" spans="8:8" x14ac:dyDescent="0.25">
      <c r="H1041" t="s">
        <v>145</v>
      </c>
    </row>
    <row r="1042" spans="8:8" x14ac:dyDescent="0.25">
      <c r="H1042" t="s">
        <v>4512</v>
      </c>
    </row>
    <row r="1043" spans="8:8" x14ac:dyDescent="0.25">
      <c r="H1043" t="s">
        <v>31</v>
      </c>
    </row>
    <row r="1045" spans="8:8" x14ac:dyDescent="0.25">
      <c r="H1045" t="s">
        <v>7605</v>
      </c>
    </row>
    <row r="1046" spans="8:8" x14ac:dyDescent="0.25">
      <c r="H1046" t="s">
        <v>145</v>
      </c>
    </row>
    <row r="1047" spans="8:8" x14ac:dyDescent="0.25">
      <c r="H1047" t="s">
        <v>4513</v>
      </c>
    </row>
    <row r="1048" spans="8:8" x14ac:dyDescent="0.25">
      <c r="H1048" t="s">
        <v>31</v>
      </c>
    </row>
    <row r="1050" spans="8:8" x14ac:dyDescent="0.25">
      <c r="H1050" t="s">
        <v>7606</v>
      </c>
    </row>
    <row r="1051" spans="8:8" x14ac:dyDescent="0.25">
      <c r="H1051" t="s">
        <v>145</v>
      </c>
    </row>
    <row r="1052" spans="8:8" x14ac:dyDescent="0.25">
      <c r="H1052" t="s">
        <v>4514</v>
      </c>
    </row>
    <row r="1053" spans="8:8" x14ac:dyDescent="0.25">
      <c r="H1053" t="s">
        <v>31</v>
      </c>
    </row>
    <row r="1055" spans="8:8" x14ac:dyDescent="0.25">
      <c r="H1055" t="s">
        <v>7607</v>
      </c>
    </row>
    <row r="1056" spans="8:8" x14ac:dyDescent="0.25">
      <c r="H1056" t="s">
        <v>145</v>
      </c>
    </row>
    <row r="1057" spans="8:8" x14ac:dyDescent="0.25">
      <c r="H1057" t="s">
        <v>4515</v>
      </c>
    </row>
    <row r="1058" spans="8:8" x14ac:dyDescent="0.25">
      <c r="H1058" t="s">
        <v>31</v>
      </c>
    </row>
    <row r="1060" spans="8:8" x14ac:dyDescent="0.25">
      <c r="H1060" t="s">
        <v>7608</v>
      </c>
    </row>
    <row r="1061" spans="8:8" x14ac:dyDescent="0.25">
      <c r="H1061" t="s">
        <v>145</v>
      </c>
    </row>
    <row r="1062" spans="8:8" x14ac:dyDescent="0.25">
      <c r="H1062" t="s">
        <v>4516</v>
      </c>
    </row>
    <row r="1063" spans="8:8" x14ac:dyDescent="0.25">
      <c r="H1063" t="s">
        <v>31</v>
      </c>
    </row>
    <row r="1065" spans="8:8" x14ac:dyDescent="0.25">
      <c r="H1065" t="s">
        <v>7609</v>
      </c>
    </row>
    <row r="1066" spans="8:8" x14ac:dyDescent="0.25">
      <c r="H1066" t="s">
        <v>145</v>
      </c>
    </row>
    <row r="1067" spans="8:8" x14ac:dyDescent="0.25">
      <c r="H1067" t="s">
        <v>4517</v>
      </c>
    </row>
    <row r="1068" spans="8:8" x14ac:dyDescent="0.25">
      <c r="H1068" t="s">
        <v>31</v>
      </c>
    </row>
    <row r="1070" spans="8:8" x14ac:dyDescent="0.25">
      <c r="H1070" t="s">
        <v>7610</v>
      </c>
    </row>
    <row r="1071" spans="8:8" x14ac:dyDescent="0.25">
      <c r="H1071" t="s">
        <v>145</v>
      </c>
    </row>
    <row r="1072" spans="8:8" x14ac:dyDescent="0.25">
      <c r="H1072" t="s">
        <v>4518</v>
      </c>
    </row>
    <row r="1073" spans="8:8" x14ac:dyDescent="0.25">
      <c r="H1073" t="s">
        <v>31</v>
      </c>
    </row>
    <row r="1075" spans="8:8" x14ac:dyDescent="0.25">
      <c r="H1075" t="s">
        <v>7611</v>
      </c>
    </row>
    <row r="1076" spans="8:8" x14ac:dyDescent="0.25">
      <c r="H1076" t="s">
        <v>145</v>
      </c>
    </row>
    <row r="1077" spans="8:8" x14ac:dyDescent="0.25">
      <c r="H1077" t="s">
        <v>4519</v>
      </c>
    </row>
    <row r="1078" spans="8:8" x14ac:dyDescent="0.25">
      <c r="H1078" t="s">
        <v>31</v>
      </c>
    </row>
    <row r="1080" spans="8:8" x14ac:dyDescent="0.25">
      <c r="H1080" t="s">
        <v>7612</v>
      </c>
    </row>
    <row r="1081" spans="8:8" x14ac:dyDescent="0.25">
      <c r="H1081" t="s">
        <v>145</v>
      </c>
    </row>
    <row r="1082" spans="8:8" x14ac:dyDescent="0.25">
      <c r="H1082" t="s">
        <v>4520</v>
      </c>
    </row>
    <row r="1083" spans="8:8" x14ac:dyDescent="0.25">
      <c r="H1083" t="s">
        <v>31</v>
      </c>
    </row>
    <row r="1085" spans="8:8" x14ac:dyDescent="0.25">
      <c r="H1085" t="s">
        <v>7613</v>
      </c>
    </row>
    <row r="1086" spans="8:8" x14ac:dyDescent="0.25">
      <c r="H1086" t="s">
        <v>145</v>
      </c>
    </row>
    <row r="1087" spans="8:8" x14ac:dyDescent="0.25">
      <c r="H1087" t="s">
        <v>4521</v>
      </c>
    </row>
    <row r="1088" spans="8:8" x14ac:dyDescent="0.25">
      <c r="H1088" t="s">
        <v>31</v>
      </c>
    </row>
    <row r="1090" spans="8:8" x14ac:dyDescent="0.25">
      <c r="H1090" t="s">
        <v>7614</v>
      </c>
    </row>
    <row r="1091" spans="8:8" x14ac:dyDescent="0.25">
      <c r="H1091" t="s">
        <v>145</v>
      </c>
    </row>
    <row r="1092" spans="8:8" x14ac:dyDescent="0.25">
      <c r="H1092" t="s">
        <v>4522</v>
      </c>
    </row>
    <row r="1093" spans="8:8" x14ac:dyDescent="0.25">
      <c r="H1093" t="s">
        <v>31</v>
      </c>
    </row>
    <row r="1095" spans="8:8" x14ac:dyDescent="0.25">
      <c r="H1095" t="s">
        <v>7615</v>
      </c>
    </row>
    <row r="1096" spans="8:8" x14ac:dyDescent="0.25">
      <c r="H1096" t="s">
        <v>145</v>
      </c>
    </row>
    <row r="1097" spans="8:8" x14ac:dyDescent="0.25">
      <c r="H1097" t="s">
        <v>4523</v>
      </c>
    </row>
    <row r="1098" spans="8:8" x14ac:dyDescent="0.25">
      <c r="H1098" t="s">
        <v>31</v>
      </c>
    </row>
    <row r="1100" spans="8:8" x14ac:dyDescent="0.25">
      <c r="H1100" t="s">
        <v>7616</v>
      </c>
    </row>
    <row r="1101" spans="8:8" x14ac:dyDescent="0.25">
      <c r="H1101" t="s">
        <v>145</v>
      </c>
    </row>
    <row r="1102" spans="8:8" x14ac:dyDescent="0.25">
      <c r="H1102" t="s">
        <v>4524</v>
      </c>
    </row>
    <row r="1103" spans="8:8" x14ac:dyDescent="0.25">
      <c r="H1103" t="s">
        <v>31</v>
      </c>
    </row>
    <row r="1105" spans="8:8" x14ac:dyDescent="0.25">
      <c r="H1105" t="s">
        <v>7617</v>
      </c>
    </row>
    <row r="1106" spans="8:8" x14ac:dyDescent="0.25">
      <c r="H1106" t="s">
        <v>145</v>
      </c>
    </row>
    <row r="1107" spans="8:8" x14ac:dyDescent="0.25">
      <c r="H1107" t="s">
        <v>4525</v>
      </c>
    </row>
    <row r="1108" spans="8:8" x14ac:dyDescent="0.25">
      <c r="H1108" t="s">
        <v>31</v>
      </c>
    </row>
    <row r="1110" spans="8:8" x14ac:dyDescent="0.25">
      <c r="H1110" t="s">
        <v>7618</v>
      </c>
    </row>
    <row r="1111" spans="8:8" x14ac:dyDescent="0.25">
      <c r="H1111" t="s">
        <v>145</v>
      </c>
    </row>
    <row r="1112" spans="8:8" x14ac:dyDescent="0.25">
      <c r="H1112" t="s">
        <v>4526</v>
      </c>
    </row>
    <row r="1113" spans="8:8" x14ac:dyDescent="0.25">
      <c r="H1113" t="s">
        <v>31</v>
      </c>
    </row>
    <row r="1115" spans="8:8" x14ac:dyDescent="0.25">
      <c r="H1115" t="s">
        <v>7619</v>
      </c>
    </row>
    <row r="1116" spans="8:8" x14ac:dyDescent="0.25">
      <c r="H1116" t="s">
        <v>145</v>
      </c>
    </row>
    <row r="1117" spans="8:8" x14ac:dyDescent="0.25">
      <c r="H1117" t="s">
        <v>4527</v>
      </c>
    </row>
    <row r="1118" spans="8:8" x14ac:dyDescent="0.25">
      <c r="H1118" t="s">
        <v>31</v>
      </c>
    </row>
    <row r="1120" spans="8:8" x14ac:dyDescent="0.25">
      <c r="H1120" t="s">
        <v>7620</v>
      </c>
    </row>
    <row r="1121" spans="8:8" x14ac:dyDescent="0.25">
      <c r="H1121" t="s">
        <v>145</v>
      </c>
    </row>
    <row r="1122" spans="8:8" x14ac:dyDescent="0.25">
      <c r="H1122" t="s">
        <v>4528</v>
      </c>
    </row>
    <row r="1123" spans="8:8" x14ac:dyDescent="0.25">
      <c r="H1123" t="s">
        <v>31</v>
      </c>
    </row>
    <row r="1125" spans="8:8" x14ac:dyDescent="0.25">
      <c r="H1125" t="s">
        <v>7621</v>
      </c>
    </row>
    <row r="1126" spans="8:8" x14ac:dyDescent="0.25">
      <c r="H1126" t="s">
        <v>145</v>
      </c>
    </row>
    <row r="1127" spans="8:8" x14ac:dyDescent="0.25">
      <c r="H1127" t="s">
        <v>4529</v>
      </c>
    </row>
    <row r="1128" spans="8:8" x14ac:dyDescent="0.25">
      <c r="H1128" t="s">
        <v>31</v>
      </c>
    </row>
    <row r="1130" spans="8:8" x14ac:dyDescent="0.25">
      <c r="H1130" t="s">
        <v>7622</v>
      </c>
    </row>
    <row r="1131" spans="8:8" x14ac:dyDescent="0.25">
      <c r="H1131" t="s">
        <v>145</v>
      </c>
    </row>
    <row r="1132" spans="8:8" x14ac:dyDescent="0.25">
      <c r="H1132" t="s">
        <v>4530</v>
      </c>
    </row>
    <row r="1133" spans="8:8" x14ac:dyDescent="0.25">
      <c r="H1133" t="s">
        <v>31</v>
      </c>
    </row>
    <row r="1135" spans="8:8" x14ac:dyDescent="0.25">
      <c r="H1135" t="s">
        <v>7623</v>
      </c>
    </row>
    <row r="1136" spans="8:8" x14ac:dyDescent="0.25">
      <c r="H1136" t="s">
        <v>145</v>
      </c>
    </row>
    <row r="1137" spans="8:8" x14ac:dyDescent="0.25">
      <c r="H1137" t="s">
        <v>4531</v>
      </c>
    </row>
    <row r="1138" spans="8:8" x14ac:dyDescent="0.25">
      <c r="H1138" t="s">
        <v>31</v>
      </c>
    </row>
    <row r="1140" spans="8:8" x14ac:dyDescent="0.25">
      <c r="H1140" t="s">
        <v>7624</v>
      </c>
    </row>
    <row r="1141" spans="8:8" x14ac:dyDescent="0.25">
      <c r="H1141" t="s">
        <v>145</v>
      </c>
    </row>
    <row r="1142" spans="8:8" x14ac:dyDescent="0.25">
      <c r="H1142" t="s">
        <v>4532</v>
      </c>
    </row>
    <row r="1143" spans="8:8" x14ac:dyDescent="0.25">
      <c r="H1143" t="s">
        <v>31</v>
      </c>
    </row>
    <row r="1145" spans="8:8" x14ac:dyDescent="0.25">
      <c r="H1145" t="s">
        <v>7625</v>
      </c>
    </row>
    <row r="1146" spans="8:8" x14ac:dyDescent="0.25">
      <c r="H1146" t="s">
        <v>145</v>
      </c>
    </row>
    <row r="1147" spans="8:8" x14ac:dyDescent="0.25">
      <c r="H1147" t="s">
        <v>4533</v>
      </c>
    </row>
    <row r="1148" spans="8:8" x14ac:dyDescent="0.25">
      <c r="H1148" t="s">
        <v>31</v>
      </c>
    </row>
    <row r="1150" spans="8:8" x14ac:dyDescent="0.25">
      <c r="H1150" t="s">
        <v>7626</v>
      </c>
    </row>
    <row r="1151" spans="8:8" x14ac:dyDescent="0.25">
      <c r="H1151" t="s">
        <v>145</v>
      </c>
    </row>
    <row r="1152" spans="8:8" x14ac:dyDescent="0.25">
      <c r="H1152" t="s">
        <v>4534</v>
      </c>
    </row>
    <row r="1153" spans="8:8" x14ac:dyDescent="0.25">
      <c r="H1153" t="s">
        <v>31</v>
      </c>
    </row>
    <row r="1155" spans="8:8" x14ac:dyDescent="0.25">
      <c r="H1155" t="s">
        <v>7627</v>
      </c>
    </row>
    <row r="1156" spans="8:8" x14ac:dyDescent="0.25">
      <c r="H1156" t="s">
        <v>145</v>
      </c>
    </row>
    <row r="1157" spans="8:8" x14ac:dyDescent="0.25">
      <c r="H1157" t="s">
        <v>4535</v>
      </c>
    </row>
    <row r="1158" spans="8:8" x14ac:dyDescent="0.25">
      <c r="H1158" t="s">
        <v>31</v>
      </c>
    </row>
    <row r="1160" spans="8:8" x14ac:dyDescent="0.25">
      <c r="H1160" t="s">
        <v>7628</v>
      </c>
    </row>
    <row r="1161" spans="8:8" x14ac:dyDescent="0.25">
      <c r="H1161" t="s">
        <v>145</v>
      </c>
    </row>
    <row r="1162" spans="8:8" x14ac:dyDescent="0.25">
      <c r="H1162" t="s">
        <v>4536</v>
      </c>
    </row>
    <row r="1163" spans="8:8" x14ac:dyDescent="0.25">
      <c r="H1163" t="s">
        <v>31</v>
      </c>
    </row>
    <row r="1165" spans="8:8" x14ac:dyDescent="0.25">
      <c r="H1165" t="s">
        <v>7629</v>
      </c>
    </row>
    <row r="1166" spans="8:8" x14ac:dyDescent="0.25">
      <c r="H1166" t="s">
        <v>145</v>
      </c>
    </row>
    <row r="1167" spans="8:8" x14ac:dyDescent="0.25">
      <c r="H1167" t="s">
        <v>4537</v>
      </c>
    </row>
    <row r="1168" spans="8:8" x14ac:dyDescent="0.25">
      <c r="H1168" t="s">
        <v>31</v>
      </c>
    </row>
    <row r="1170" spans="8:8" x14ac:dyDescent="0.25">
      <c r="H1170" t="s">
        <v>7630</v>
      </c>
    </row>
    <row r="1171" spans="8:8" x14ac:dyDescent="0.25">
      <c r="H1171" t="s">
        <v>145</v>
      </c>
    </row>
    <row r="1172" spans="8:8" x14ac:dyDescent="0.25">
      <c r="H1172" t="s">
        <v>4538</v>
      </c>
    </row>
    <row r="1173" spans="8:8" x14ac:dyDescent="0.25">
      <c r="H1173" t="s">
        <v>31</v>
      </c>
    </row>
    <row r="1175" spans="8:8" x14ac:dyDescent="0.25">
      <c r="H1175" t="s">
        <v>7631</v>
      </c>
    </row>
    <row r="1176" spans="8:8" x14ac:dyDescent="0.25">
      <c r="H1176" t="s">
        <v>145</v>
      </c>
    </row>
    <row r="1177" spans="8:8" x14ac:dyDescent="0.25">
      <c r="H1177" t="s">
        <v>4539</v>
      </c>
    </row>
    <row r="1178" spans="8:8" x14ac:dyDescent="0.25">
      <c r="H1178" t="s">
        <v>31</v>
      </c>
    </row>
    <row r="1180" spans="8:8" x14ac:dyDescent="0.25">
      <c r="H1180" t="s">
        <v>7632</v>
      </c>
    </row>
    <row r="1181" spans="8:8" x14ac:dyDescent="0.25">
      <c r="H1181" t="s">
        <v>145</v>
      </c>
    </row>
    <row r="1182" spans="8:8" x14ac:dyDescent="0.25">
      <c r="H1182" t="s">
        <v>4540</v>
      </c>
    </row>
    <row r="1183" spans="8:8" x14ac:dyDescent="0.25">
      <c r="H1183" t="s">
        <v>31</v>
      </c>
    </row>
    <row r="1185" spans="8:8" x14ac:dyDescent="0.25">
      <c r="H1185" t="s">
        <v>7633</v>
      </c>
    </row>
    <row r="1186" spans="8:8" x14ac:dyDescent="0.25">
      <c r="H1186" t="s">
        <v>145</v>
      </c>
    </row>
    <row r="1187" spans="8:8" x14ac:dyDescent="0.25">
      <c r="H1187" t="s">
        <v>4541</v>
      </c>
    </row>
    <row r="1188" spans="8:8" x14ac:dyDescent="0.25">
      <c r="H1188" t="s">
        <v>31</v>
      </c>
    </row>
    <row r="1190" spans="8:8" x14ac:dyDescent="0.25">
      <c r="H1190" t="s">
        <v>7634</v>
      </c>
    </row>
    <row r="1191" spans="8:8" x14ac:dyDescent="0.25">
      <c r="H1191" t="s">
        <v>145</v>
      </c>
    </row>
    <row r="1192" spans="8:8" x14ac:dyDescent="0.25">
      <c r="H1192" t="s">
        <v>4542</v>
      </c>
    </row>
    <row r="1193" spans="8:8" x14ac:dyDescent="0.25">
      <c r="H1193" t="s">
        <v>31</v>
      </c>
    </row>
    <row r="1195" spans="8:8" x14ac:dyDescent="0.25">
      <c r="H1195" t="s">
        <v>7635</v>
      </c>
    </row>
    <row r="1196" spans="8:8" x14ac:dyDescent="0.25">
      <c r="H1196" t="s">
        <v>145</v>
      </c>
    </row>
    <row r="1197" spans="8:8" x14ac:dyDescent="0.25">
      <c r="H1197" t="s">
        <v>4543</v>
      </c>
    </row>
    <row r="1198" spans="8:8" x14ac:dyDescent="0.25">
      <c r="H1198" t="s">
        <v>31</v>
      </c>
    </row>
    <row r="1200" spans="8:8" x14ac:dyDescent="0.25">
      <c r="H1200" t="s">
        <v>7636</v>
      </c>
    </row>
    <row r="1201" spans="8:8" x14ac:dyDescent="0.25">
      <c r="H1201" t="s">
        <v>145</v>
      </c>
    </row>
    <row r="1202" spans="8:8" x14ac:dyDescent="0.25">
      <c r="H1202" t="s">
        <v>4544</v>
      </c>
    </row>
    <row r="1203" spans="8:8" x14ac:dyDescent="0.25">
      <c r="H1203" t="s">
        <v>31</v>
      </c>
    </row>
    <row r="1205" spans="8:8" x14ac:dyDescent="0.25">
      <c r="H1205" t="s">
        <v>7637</v>
      </c>
    </row>
    <row r="1206" spans="8:8" x14ac:dyDescent="0.25">
      <c r="H1206" t="s">
        <v>145</v>
      </c>
    </row>
    <row r="1207" spans="8:8" x14ac:dyDescent="0.25">
      <c r="H1207" t="s">
        <v>4545</v>
      </c>
    </row>
    <row r="1208" spans="8:8" x14ac:dyDescent="0.25">
      <c r="H1208" t="s">
        <v>31</v>
      </c>
    </row>
    <row r="1210" spans="8:8" x14ac:dyDescent="0.25">
      <c r="H1210" t="s">
        <v>7638</v>
      </c>
    </row>
    <row r="1211" spans="8:8" x14ac:dyDescent="0.25">
      <c r="H1211" t="s">
        <v>145</v>
      </c>
    </row>
    <row r="1212" spans="8:8" x14ac:dyDescent="0.25">
      <c r="H1212" t="s">
        <v>4546</v>
      </c>
    </row>
    <row r="1213" spans="8:8" x14ac:dyDescent="0.25">
      <c r="H1213" t="s">
        <v>31</v>
      </c>
    </row>
    <row r="1215" spans="8:8" x14ac:dyDescent="0.25">
      <c r="H1215" t="s">
        <v>7639</v>
      </c>
    </row>
    <row r="1216" spans="8:8" x14ac:dyDescent="0.25">
      <c r="H1216" t="s">
        <v>145</v>
      </c>
    </row>
    <row r="1217" spans="8:8" x14ac:dyDescent="0.25">
      <c r="H1217" t="s">
        <v>4547</v>
      </c>
    </row>
    <row r="1218" spans="8:8" x14ac:dyDescent="0.25">
      <c r="H1218" t="s">
        <v>31</v>
      </c>
    </row>
    <row r="1220" spans="8:8" x14ac:dyDescent="0.25">
      <c r="H1220" t="s">
        <v>7640</v>
      </c>
    </row>
    <row r="1221" spans="8:8" x14ac:dyDescent="0.25">
      <c r="H1221" t="s">
        <v>145</v>
      </c>
    </row>
    <row r="1222" spans="8:8" x14ac:dyDescent="0.25">
      <c r="H1222" t="s">
        <v>4548</v>
      </c>
    </row>
    <row r="1223" spans="8:8" x14ac:dyDescent="0.25">
      <c r="H1223" t="s">
        <v>31</v>
      </c>
    </row>
    <row r="1225" spans="8:8" x14ac:dyDescent="0.25">
      <c r="H1225" t="s">
        <v>7641</v>
      </c>
    </row>
    <row r="1226" spans="8:8" x14ac:dyDescent="0.25">
      <c r="H1226" t="s">
        <v>145</v>
      </c>
    </row>
    <row r="1227" spans="8:8" x14ac:dyDescent="0.25">
      <c r="H1227" t="s">
        <v>4549</v>
      </c>
    </row>
    <row r="1228" spans="8:8" x14ac:dyDescent="0.25">
      <c r="H1228" t="s">
        <v>31</v>
      </c>
    </row>
    <row r="1230" spans="8:8" x14ac:dyDescent="0.25">
      <c r="H1230" t="s">
        <v>7642</v>
      </c>
    </row>
    <row r="1231" spans="8:8" x14ac:dyDescent="0.25">
      <c r="H1231" t="s">
        <v>145</v>
      </c>
    </row>
    <row r="1232" spans="8:8" x14ac:dyDescent="0.25">
      <c r="H1232" t="s">
        <v>4550</v>
      </c>
    </row>
    <row r="1233" spans="8:8" x14ac:dyDescent="0.25">
      <c r="H1233" t="s">
        <v>31</v>
      </c>
    </row>
    <row r="1235" spans="8:8" x14ac:dyDescent="0.25">
      <c r="H1235" t="s">
        <v>7643</v>
      </c>
    </row>
    <row r="1236" spans="8:8" x14ac:dyDescent="0.25">
      <c r="H1236" t="s">
        <v>145</v>
      </c>
    </row>
    <row r="1237" spans="8:8" x14ac:dyDescent="0.25">
      <c r="H1237" t="s">
        <v>4551</v>
      </c>
    </row>
    <row r="1238" spans="8:8" x14ac:dyDescent="0.25">
      <c r="H1238" t="s">
        <v>31</v>
      </c>
    </row>
    <row r="1240" spans="8:8" x14ac:dyDescent="0.25">
      <c r="H1240" t="s">
        <v>7644</v>
      </c>
    </row>
    <row r="1241" spans="8:8" x14ac:dyDescent="0.25">
      <c r="H1241" t="s">
        <v>145</v>
      </c>
    </row>
    <row r="1242" spans="8:8" x14ac:dyDescent="0.25">
      <c r="H1242" t="s">
        <v>4552</v>
      </c>
    </row>
    <row r="1243" spans="8:8" x14ac:dyDescent="0.25">
      <c r="H1243" t="s">
        <v>31</v>
      </c>
    </row>
    <row r="1245" spans="8:8" x14ac:dyDescent="0.25">
      <c r="H1245" t="s">
        <v>7645</v>
      </c>
    </row>
    <row r="1246" spans="8:8" x14ac:dyDescent="0.25">
      <c r="H1246" t="s">
        <v>145</v>
      </c>
    </row>
    <row r="1247" spans="8:8" x14ac:dyDescent="0.25">
      <c r="H1247" t="s">
        <v>4553</v>
      </c>
    </row>
    <row r="1248" spans="8:8" x14ac:dyDescent="0.25">
      <c r="H1248" t="s">
        <v>31</v>
      </c>
    </row>
    <row r="1250" spans="8:8" x14ac:dyDescent="0.25">
      <c r="H1250" t="s">
        <v>7646</v>
      </c>
    </row>
    <row r="1251" spans="8:8" x14ac:dyDescent="0.25">
      <c r="H1251" t="s">
        <v>145</v>
      </c>
    </row>
    <row r="1252" spans="8:8" x14ac:dyDescent="0.25">
      <c r="H1252" t="s">
        <v>4554</v>
      </c>
    </row>
    <row r="1253" spans="8:8" x14ac:dyDescent="0.25">
      <c r="H1253" t="s">
        <v>31</v>
      </c>
    </row>
    <row r="1255" spans="8:8" x14ac:dyDescent="0.25">
      <c r="H1255" t="s">
        <v>7647</v>
      </c>
    </row>
    <row r="1256" spans="8:8" x14ac:dyDescent="0.25">
      <c r="H1256" t="s">
        <v>145</v>
      </c>
    </row>
    <row r="1257" spans="8:8" x14ac:dyDescent="0.25">
      <c r="H1257" t="s">
        <v>4555</v>
      </c>
    </row>
    <row r="1258" spans="8:8" x14ac:dyDescent="0.25">
      <c r="H1258" t="s">
        <v>31</v>
      </c>
    </row>
    <row r="1260" spans="8:8" x14ac:dyDescent="0.25">
      <c r="H1260" t="s">
        <v>7648</v>
      </c>
    </row>
    <row r="1261" spans="8:8" x14ac:dyDescent="0.25">
      <c r="H1261" t="s">
        <v>145</v>
      </c>
    </row>
    <row r="1262" spans="8:8" x14ac:dyDescent="0.25">
      <c r="H1262" t="s">
        <v>4556</v>
      </c>
    </row>
    <row r="1263" spans="8:8" x14ac:dyDescent="0.25">
      <c r="H1263" t="s">
        <v>31</v>
      </c>
    </row>
    <row r="1265" spans="8:8" x14ac:dyDescent="0.25">
      <c r="H1265" t="s">
        <v>7649</v>
      </c>
    </row>
    <row r="1266" spans="8:8" x14ac:dyDescent="0.25">
      <c r="H1266" t="s">
        <v>145</v>
      </c>
    </row>
    <row r="1267" spans="8:8" x14ac:dyDescent="0.25">
      <c r="H1267" t="s">
        <v>4557</v>
      </c>
    </row>
    <row r="1268" spans="8:8" x14ac:dyDescent="0.25">
      <c r="H1268" t="s">
        <v>31</v>
      </c>
    </row>
    <row r="1270" spans="8:8" x14ac:dyDescent="0.25">
      <c r="H1270" t="s">
        <v>7650</v>
      </c>
    </row>
    <row r="1271" spans="8:8" x14ac:dyDescent="0.25">
      <c r="H1271" t="s">
        <v>145</v>
      </c>
    </row>
    <row r="1272" spans="8:8" x14ac:dyDescent="0.25">
      <c r="H1272" t="s">
        <v>4558</v>
      </c>
    </row>
    <row r="1273" spans="8:8" x14ac:dyDescent="0.25">
      <c r="H1273" t="s">
        <v>31</v>
      </c>
    </row>
    <row r="1275" spans="8:8" x14ac:dyDescent="0.25">
      <c r="H1275" t="s">
        <v>7651</v>
      </c>
    </row>
    <row r="1276" spans="8:8" x14ac:dyDescent="0.25">
      <c r="H1276" t="s">
        <v>145</v>
      </c>
    </row>
    <row r="1277" spans="8:8" x14ac:dyDescent="0.25">
      <c r="H1277" t="s">
        <v>4559</v>
      </c>
    </row>
    <row r="1278" spans="8:8" x14ac:dyDescent="0.25">
      <c r="H1278" t="s">
        <v>31</v>
      </c>
    </row>
    <row r="1280" spans="8:8" x14ac:dyDescent="0.25">
      <c r="H1280" t="s">
        <v>7652</v>
      </c>
    </row>
    <row r="1281" spans="8:8" x14ac:dyDescent="0.25">
      <c r="H1281" t="s">
        <v>145</v>
      </c>
    </row>
    <row r="1282" spans="8:8" x14ac:dyDescent="0.25">
      <c r="H1282" t="s">
        <v>4560</v>
      </c>
    </row>
    <row r="1283" spans="8:8" x14ac:dyDescent="0.25">
      <c r="H1283" t="s">
        <v>31</v>
      </c>
    </row>
    <row r="1285" spans="8:8" x14ac:dyDescent="0.25">
      <c r="H1285" t="s">
        <v>7653</v>
      </c>
    </row>
    <row r="1286" spans="8:8" x14ac:dyDescent="0.25">
      <c r="H1286" t="s">
        <v>145</v>
      </c>
    </row>
    <row r="1287" spans="8:8" x14ac:dyDescent="0.25">
      <c r="H1287" t="s">
        <v>4561</v>
      </c>
    </row>
    <row r="1288" spans="8:8" x14ac:dyDescent="0.25">
      <c r="H1288" t="s">
        <v>31</v>
      </c>
    </row>
    <row r="1290" spans="8:8" x14ac:dyDescent="0.25">
      <c r="H1290" t="s">
        <v>7654</v>
      </c>
    </row>
    <row r="1291" spans="8:8" x14ac:dyDescent="0.25">
      <c r="H1291" t="s">
        <v>145</v>
      </c>
    </row>
    <row r="1292" spans="8:8" x14ac:dyDescent="0.25">
      <c r="H1292" t="s">
        <v>4562</v>
      </c>
    </row>
    <row r="1293" spans="8:8" x14ac:dyDescent="0.25">
      <c r="H1293" t="s">
        <v>31</v>
      </c>
    </row>
    <row r="1295" spans="8:8" x14ac:dyDescent="0.25">
      <c r="H1295" t="s">
        <v>7655</v>
      </c>
    </row>
    <row r="1296" spans="8:8" x14ac:dyDescent="0.25">
      <c r="H1296" t="s">
        <v>145</v>
      </c>
    </row>
    <row r="1297" spans="8:8" x14ac:dyDescent="0.25">
      <c r="H1297" t="s">
        <v>4563</v>
      </c>
    </row>
    <row r="1298" spans="8:8" x14ac:dyDescent="0.25">
      <c r="H1298" t="s">
        <v>31</v>
      </c>
    </row>
    <row r="1300" spans="8:8" x14ac:dyDescent="0.25">
      <c r="H1300" t="s">
        <v>7656</v>
      </c>
    </row>
    <row r="1301" spans="8:8" x14ac:dyDescent="0.25">
      <c r="H1301" t="s">
        <v>145</v>
      </c>
    </row>
    <row r="1302" spans="8:8" x14ac:dyDescent="0.25">
      <c r="H1302" t="s">
        <v>4564</v>
      </c>
    </row>
    <row r="1303" spans="8:8" x14ac:dyDescent="0.25">
      <c r="H1303" t="s">
        <v>31</v>
      </c>
    </row>
    <row r="1305" spans="8:8" x14ac:dyDescent="0.25">
      <c r="H1305" t="s">
        <v>7657</v>
      </c>
    </row>
    <row r="1306" spans="8:8" x14ac:dyDescent="0.25">
      <c r="H1306" t="s">
        <v>145</v>
      </c>
    </row>
    <row r="1307" spans="8:8" x14ac:dyDescent="0.25">
      <c r="H1307" t="s">
        <v>4565</v>
      </c>
    </row>
    <row r="1308" spans="8:8" x14ac:dyDescent="0.25">
      <c r="H1308" t="s">
        <v>31</v>
      </c>
    </row>
    <row r="1310" spans="8:8" x14ac:dyDescent="0.25">
      <c r="H1310" t="s">
        <v>7658</v>
      </c>
    </row>
    <row r="1311" spans="8:8" x14ac:dyDescent="0.25">
      <c r="H1311" t="s">
        <v>145</v>
      </c>
    </row>
    <row r="1312" spans="8:8" x14ac:dyDescent="0.25">
      <c r="H1312" t="s">
        <v>4566</v>
      </c>
    </row>
    <row r="1313" spans="8:8" x14ac:dyDescent="0.25">
      <c r="H1313" t="s">
        <v>31</v>
      </c>
    </row>
    <row r="1315" spans="8:8" x14ac:dyDescent="0.25">
      <c r="H1315" t="s">
        <v>7659</v>
      </c>
    </row>
    <row r="1316" spans="8:8" x14ac:dyDescent="0.25">
      <c r="H1316" t="s">
        <v>145</v>
      </c>
    </row>
    <row r="1317" spans="8:8" x14ac:dyDescent="0.25">
      <c r="H1317" t="s">
        <v>4567</v>
      </c>
    </row>
    <row r="1318" spans="8:8" x14ac:dyDescent="0.25">
      <c r="H1318" t="s">
        <v>31</v>
      </c>
    </row>
    <row r="1320" spans="8:8" x14ac:dyDescent="0.25">
      <c r="H1320" t="s">
        <v>7660</v>
      </c>
    </row>
    <row r="1321" spans="8:8" x14ac:dyDescent="0.25">
      <c r="H1321" t="s">
        <v>145</v>
      </c>
    </row>
    <row r="1322" spans="8:8" x14ac:dyDescent="0.25">
      <c r="H1322" t="s">
        <v>4568</v>
      </c>
    </row>
    <row r="1323" spans="8:8" x14ac:dyDescent="0.25">
      <c r="H1323" t="s">
        <v>31</v>
      </c>
    </row>
    <row r="1325" spans="8:8" x14ac:dyDescent="0.25">
      <c r="H1325" t="s">
        <v>7661</v>
      </c>
    </row>
    <row r="1326" spans="8:8" x14ac:dyDescent="0.25">
      <c r="H1326" t="s">
        <v>145</v>
      </c>
    </row>
    <row r="1327" spans="8:8" x14ac:dyDescent="0.25">
      <c r="H1327" t="s">
        <v>4569</v>
      </c>
    </row>
    <row r="1328" spans="8:8" x14ac:dyDescent="0.25">
      <c r="H1328" t="s">
        <v>31</v>
      </c>
    </row>
    <row r="1330" spans="8:8" x14ac:dyDescent="0.25">
      <c r="H1330" t="s">
        <v>7662</v>
      </c>
    </row>
    <row r="1331" spans="8:8" x14ac:dyDescent="0.25">
      <c r="H1331" t="s">
        <v>145</v>
      </c>
    </row>
    <row r="1332" spans="8:8" x14ac:dyDescent="0.25">
      <c r="H1332" t="s">
        <v>4570</v>
      </c>
    </row>
    <row r="1333" spans="8:8" x14ac:dyDescent="0.25">
      <c r="H1333" t="s">
        <v>31</v>
      </c>
    </row>
    <row r="1335" spans="8:8" x14ac:dyDescent="0.25">
      <c r="H1335" t="s">
        <v>7663</v>
      </c>
    </row>
    <row r="1336" spans="8:8" x14ac:dyDescent="0.25">
      <c r="H1336" t="s">
        <v>145</v>
      </c>
    </row>
    <row r="1337" spans="8:8" x14ac:dyDescent="0.25">
      <c r="H1337" t="s">
        <v>4571</v>
      </c>
    </row>
    <row r="1338" spans="8:8" x14ac:dyDescent="0.25">
      <c r="H1338" t="s">
        <v>31</v>
      </c>
    </row>
    <row r="1340" spans="8:8" x14ac:dyDescent="0.25">
      <c r="H1340" t="s">
        <v>7664</v>
      </c>
    </row>
    <row r="1341" spans="8:8" x14ac:dyDescent="0.25">
      <c r="H1341" t="s">
        <v>145</v>
      </c>
    </row>
    <row r="1342" spans="8:8" x14ac:dyDescent="0.25">
      <c r="H1342" t="s">
        <v>4572</v>
      </c>
    </row>
    <row r="1343" spans="8:8" x14ac:dyDescent="0.25">
      <c r="H1343" t="s">
        <v>31</v>
      </c>
    </row>
    <row r="1345" spans="8:8" x14ac:dyDescent="0.25">
      <c r="H1345" t="s">
        <v>7665</v>
      </c>
    </row>
    <row r="1346" spans="8:8" x14ac:dyDescent="0.25">
      <c r="H1346" t="s">
        <v>145</v>
      </c>
    </row>
    <row r="1347" spans="8:8" x14ac:dyDescent="0.25">
      <c r="H1347" t="s">
        <v>4573</v>
      </c>
    </row>
    <row r="1348" spans="8:8" x14ac:dyDescent="0.25">
      <c r="H1348" t="s">
        <v>31</v>
      </c>
    </row>
    <row r="1350" spans="8:8" x14ac:dyDescent="0.25">
      <c r="H1350" t="s">
        <v>7666</v>
      </c>
    </row>
    <row r="1351" spans="8:8" x14ac:dyDescent="0.25">
      <c r="H1351" t="s">
        <v>145</v>
      </c>
    </row>
    <row r="1352" spans="8:8" x14ac:dyDescent="0.25">
      <c r="H1352" t="s">
        <v>4574</v>
      </c>
    </row>
    <row r="1353" spans="8:8" x14ac:dyDescent="0.25">
      <c r="H1353" t="s">
        <v>31</v>
      </c>
    </row>
    <row r="1355" spans="8:8" x14ac:dyDescent="0.25">
      <c r="H1355" t="s">
        <v>7667</v>
      </c>
    </row>
    <row r="1356" spans="8:8" x14ac:dyDescent="0.25">
      <c r="H1356" t="s">
        <v>145</v>
      </c>
    </row>
    <row r="1357" spans="8:8" x14ac:dyDescent="0.25">
      <c r="H1357" t="s">
        <v>4575</v>
      </c>
    </row>
    <row r="1358" spans="8:8" x14ac:dyDescent="0.25">
      <c r="H1358" t="s">
        <v>31</v>
      </c>
    </row>
    <row r="1360" spans="8:8" x14ac:dyDescent="0.25">
      <c r="H1360" t="s">
        <v>7668</v>
      </c>
    </row>
    <row r="1361" spans="8:8" x14ac:dyDescent="0.25">
      <c r="H1361" t="s">
        <v>145</v>
      </c>
    </row>
    <row r="1362" spans="8:8" x14ac:dyDescent="0.25">
      <c r="H1362" t="s">
        <v>4576</v>
      </c>
    </row>
    <row r="1363" spans="8:8" x14ac:dyDescent="0.25">
      <c r="H1363" t="s">
        <v>31</v>
      </c>
    </row>
    <row r="1365" spans="8:8" x14ac:dyDescent="0.25">
      <c r="H1365" t="s">
        <v>7669</v>
      </c>
    </row>
    <row r="1366" spans="8:8" x14ac:dyDescent="0.25">
      <c r="H1366" t="s">
        <v>145</v>
      </c>
    </row>
    <row r="1367" spans="8:8" x14ac:dyDescent="0.25">
      <c r="H1367" t="s">
        <v>4577</v>
      </c>
    </row>
    <row r="1368" spans="8:8" x14ac:dyDescent="0.25">
      <c r="H1368" t="s">
        <v>31</v>
      </c>
    </row>
    <row r="1370" spans="8:8" x14ac:dyDescent="0.25">
      <c r="H1370" t="s">
        <v>7670</v>
      </c>
    </row>
    <row r="1371" spans="8:8" x14ac:dyDescent="0.25">
      <c r="H1371" t="s">
        <v>145</v>
      </c>
    </row>
    <row r="1372" spans="8:8" x14ac:dyDescent="0.25">
      <c r="H1372" t="s">
        <v>4578</v>
      </c>
    </row>
    <row r="1373" spans="8:8" x14ac:dyDescent="0.25">
      <c r="H1373" t="s">
        <v>31</v>
      </c>
    </row>
    <row r="1375" spans="8:8" x14ac:dyDescent="0.25">
      <c r="H1375" t="s">
        <v>7671</v>
      </c>
    </row>
    <row r="1376" spans="8:8" x14ac:dyDescent="0.25">
      <c r="H1376" t="s">
        <v>145</v>
      </c>
    </row>
    <row r="1377" spans="8:8" x14ac:dyDescent="0.25">
      <c r="H1377" t="s">
        <v>4579</v>
      </c>
    </row>
    <row r="1378" spans="8:8" x14ac:dyDescent="0.25">
      <c r="H1378" t="s">
        <v>31</v>
      </c>
    </row>
    <row r="1380" spans="8:8" x14ac:dyDescent="0.25">
      <c r="H1380" t="s">
        <v>7672</v>
      </c>
    </row>
    <row r="1381" spans="8:8" x14ac:dyDescent="0.25">
      <c r="H1381" t="s">
        <v>145</v>
      </c>
    </row>
    <row r="1382" spans="8:8" x14ac:dyDescent="0.25">
      <c r="H1382" t="s">
        <v>4580</v>
      </c>
    </row>
    <row r="1383" spans="8:8" x14ac:dyDescent="0.25">
      <c r="H1383" t="s">
        <v>31</v>
      </c>
    </row>
    <row r="1385" spans="8:8" x14ac:dyDescent="0.25">
      <c r="H1385" t="s">
        <v>7673</v>
      </c>
    </row>
    <row r="1386" spans="8:8" x14ac:dyDescent="0.25">
      <c r="H1386" t="s">
        <v>145</v>
      </c>
    </row>
    <row r="1387" spans="8:8" x14ac:dyDescent="0.25">
      <c r="H1387" t="s">
        <v>4581</v>
      </c>
    </row>
    <row r="1388" spans="8:8" x14ac:dyDescent="0.25">
      <c r="H1388" t="s">
        <v>31</v>
      </c>
    </row>
    <row r="1390" spans="8:8" x14ac:dyDescent="0.25">
      <c r="H1390" t="s">
        <v>7674</v>
      </c>
    </row>
    <row r="1391" spans="8:8" x14ac:dyDescent="0.25">
      <c r="H1391" t="s">
        <v>145</v>
      </c>
    </row>
    <row r="1392" spans="8:8" x14ac:dyDescent="0.25">
      <c r="H1392" t="s">
        <v>4582</v>
      </c>
    </row>
    <row r="1393" spans="8:8" x14ac:dyDescent="0.25">
      <c r="H1393" t="s">
        <v>31</v>
      </c>
    </row>
    <row r="1395" spans="8:8" x14ac:dyDescent="0.25">
      <c r="H1395" t="s">
        <v>7675</v>
      </c>
    </row>
    <row r="1396" spans="8:8" x14ac:dyDescent="0.25">
      <c r="H1396" t="s">
        <v>145</v>
      </c>
    </row>
    <row r="1397" spans="8:8" x14ac:dyDescent="0.25">
      <c r="H1397" t="s">
        <v>4583</v>
      </c>
    </row>
    <row r="1398" spans="8:8" x14ac:dyDescent="0.25">
      <c r="H1398" t="s">
        <v>31</v>
      </c>
    </row>
    <row r="1400" spans="8:8" x14ac:dyDescent="0.25">
      <c r="H1400" t="s">
        <v>7676</v>
      </c>
    </row>
    <row r="1401" spans="8:8" x14ac:dyDescent="0.25">
      <c r="H1401" t="s">
        <v>145</v>
      </c>
    </row>
    <row r="1402" spans="8:8" x14ac:dyDescent="0.25">
      <c r="H1402" t="s">
        <v>4584</v>
      </c>
    </row>
    <row r="1403" spans="8:8" x14ac:dyDescent="0.25">
      <c r="H1403" t="s">
        <v>31</v>
      </c>
    </row>
    <row r="1405" spans="8:8" x14ac:dyDescent="0.25">
      <c r="H1405" t="s">
        <v>7677</v>
      </c>
    </row>
    <row r="1406" spans="8:8" x14ac:dyDescent="0.25">
      <c r="H1406" t="s">
        <v>145</v>
      </c>
    </row>
    <row r="1407" spans="8:8" x14ac:dyDescent="0.25">
      <c r="H1407" t="s">
        <v>4585</v>
      </c>
    </row>
    <row r="1408" spans="8:8" x14ac:dyDescent="0.25">
      <c r="H1408" t="s">
        <v>31</v>
      </c>
    </row>
    <row r="1410" spans="8:8" x14ac:dyDescent="0.25">
      <c r="H1410" t="s">
        <v>7678</v>
      </c>
    </row>
    <row r="1411" spans="8:8" x14ac:dyDescent="0.25">
      <c r="H1411" t="s">
        <v>145</v>
      </c>
    </row>
    <row r="1412" spans="8:8" x14ac:dyDescent="0.25">
      <c r="H1412" t="s">
        <v>4586</v>
      </c>
    </row>
    <row r="1413" spans="8:8" x14ac:dyDescent="0.25">
      <c r="H1413" t="s">
        <v>31</v>
      </c>
    </row>
    <row r="1414" spans="8:8" x14ac:dyDescent="0.25">
      <c r="H1414" t="s">
        <v>146</v>
      </c>
    </row>
    <row r="1415" spans="8:8" x14ac:dyDescent="0.25">
      <c r="H1415" t="s">
        <v>4587</v>
      </c>
    </row>
    <row r="1416" spans="8:8" x14ac:dyDescent="0.25">
      <c r="H1416" t="s">
        <v>31</v>
      </c>
    </row>
    <row r="1417" spans="8:8" x14ac:dyDescent="0.25">
      <c r="H1417" t="s">
        <v>147</v>
      </c>
    </row>
    <row r="1418" spans="8:8" x14ac:dyDescent="0.25">
      <c r="H1418" t="s">
        <v>4588</v>
      </c>
    </row>
    <row r="1419" spans="8:8" x14ac:dyDescent="0.25">
      <c r="H1419" t="s">
        <v>31</v>
      </c>
    </row>
    <row r="1421" spans="8:8" x14ac:dyDescent="0.25">
      <c r="H1421" t="s">
        <v>7679</v>
      </c>
    </row>
    <row r="1422" spans="8:8" x14ac:dyDescent="0.25">
      <c r="H1422" t="s">
        <v>145</v>
      </c>
    </row>
    <row r="1423" spans="8:8" x14ac:dyDescent="0.25">
      <c r="H1423" t="s">
        <v>4589</v>
      </c>
    </row>
    <row r="1424" spans="8:8" x14ac:dyDescent="0.25">
      <c r="H1424" t="s">
        <v>31</v>
      </c>
    </row>
    <row r="1425" spans="8:8" x14ac:dyDescent="0.25">
      <c r="H1425" t="s">
        <v>146</v>
      </c>
    </row>
    <row r="1426" spans="8:8" x14ac:dyDescent="0.25">
      <c r="H1426" t="s">
        <v>4590</v>
      </c>
    </row>
    <row r="1427" spans="8:8" x14ac:dyDescent="0.25">
      <c r="H1427" t="s">
        <v>31</v>
      </c>
    </row>
    <row r="1428" spans="8:8" x14ac:dyDescent="0.25">
      <c r="H1428" t="s">
        <v>147</v>
      </c>
    </row>
    <row r="1429" spans="8:8" x14ac:dyDescent="0.25">
      <c r="H1429" t="s">
        <v>4591</v>
      </c>
    </row>
    <row r="1430" spans="8:8" x14ac:dyDescent="0.25">
      <c r="H1430" t="s">
        <v>31</v>
      </c>
    </row>
    <row r="1431" spans="8:8" x14ac:dyDescent="0.25">
      <c r="H1431" t="s">
        <v>148</v>
      </c>
    </row>
    <row r="1432" spans="8:8" x14ac:dyDescent="0.25">
      <c r="H1432" t="s">
        <v>4592</v>
      </c>
    </row>
    <row r="1433" spans="8:8" x14ac:dyDescent="0.25">
      <c r="H1433" t="s">
        <v>31</v>
      </c>
    </row>
    <row r="1435" spans="8:8" x14ac:dyDescent="0.25">
      <c r="H1435" t="s">
        <v>7680</v>
      </c>
    </row>
    <row r="1436" spans="8:8" x14ac:dyDescent="0.25">
      <c r="H1436" t="s">
        <v>145</v>
      </c>
    </row>
    <row r="1437" spans="8:8" x14ac:dyDescent="0.25">
      <c r="H1437" t="s">
        <v>4593</v>
      </c>
    </row>
    <row r="1438" spans="8:8" x14ac:dyDescent="0.25">
      <c r="H1438" t="s">
        <v>31</v>
      </c>
    </row>
    <row r="1439" spans="8:8" x14ac:dyDescent="0.25">
      <c r="H1439" t="s">
        <v>147</v>
      </c>
    </row>
    <row r="1440" spans="8:8" x14ac:dyDescent="0.25">
      <c r="H1440" t="s">
        <v>4594</v>
      </c>
    </row>
    <row r="1441" spans="8:8" x14ac:dyDescent="0.25">
      <c r="H1441" t="s">
        <v>31</v>
      </c>
    </row>
    <row r="1442" spans="8:8" x14ac:dyDescent="0.25">
      <c r="H1442" t="s">
        <v>148</v>
      </c>
    </row>
    <row r="1443" spans="8:8" x14ac:dyDescent="0.25">
      <c r="H1443" t="s">
        <v>4595</v>
      </c>
    </row>
    <row r="1444" spans="8:8" x14ac:dyDescent="0.25">
      <c r="H1444" t="s">
        <v>31</v>
      </c>
    </row>
    <row r="1446" spans="8:8" x14ac:dyDescent="0.25">
      <c r="H1446" t="s">
        <v>7681</v>
      </c>
    </row>
    <row r="1447" spans="8:8" x14ac:dyDescent="0.25">
      <c r="H1447" t="s">
        <v>145</v>
      </c>
    </row>
    <row r="1448" spans="8:8" x14ac:dyDescent="0.25">
      <c r="H1448" t="s">
        <v>4596</v>
      </c>
    </row>
    <row r="1449" spans="8:8" x14ac:dyDescent="0.25">
      <c r="H1449" t="s">
        <v>31</v>
      </c>
    </row>
    <row r="1451" spans="8:8" x14ac:dyDescent="0.25">
      <c r="H1451" t="s">
        <v>7682</v>
      </c>
    </row>
    <row r="1452" spans="8:8" x14ac:dyDescent="0.25">
      <c r="H1452" t="s">
        <v>145</v>
      </c>
    </row>
    <row r="1453" spans="8:8" x14ac:dyDescent="0.25">
      <c r="H1453" t="s">
        <v>4597</v>
      </c>
    </row>
    <row r="1454" spans="8:8" x14ac:dyDescent="0.25">
      <c r="H1454" t="s">
        <v>31</v>
      </c>
    </row>
    <row r="1456" spans="8:8" x14ac:dyDescent="0.25">
      <c r="H1456" t="s">
        <v>7683</v>
      </c>
    </row>
    <row r="1457" spans="8:8" x14ac:dyDescent="0.25">
      <c r="H1457" t="s">
        <v>145</v>
      </c>
    </row>
    <row r="1458" spans="8:8" x14ac:dyDescent="0.25">
      <c r="H1458" t="s">
        <v>4598</v>
      </c>
    </row>
    <row r="1459" spans="8:8" x14ac:dyDescent="0.25">
      <c r="H1459" t="s">
        <v>31</v>
      </c>
    </row>
    <row r="1460" spans="8:8" x14ac:dyDescent="0.25">
      <c r="H1460" t="s">
        <v>146</v>
      </c>
    </row>
    <row r="1461" spans="8:8" x14ac:dyDescent="0.25">
      <c r="H1461" t="s">
        <v>4599</v>
      </c>
    </row>
    <row r="1462" spans="8:8" x14ac:dyDescent="0.25">
      <c r="H1462" t="s">
        <v>31</v>
      </c>
    </row>
    <row r="1464" spans="8:8" x14ac:dyDescent="0.25">
      <c r="H1464" t="s">
        <v>7684</v>
      </c>
    </row>
    <row r="1465" spans="8:8" x14ac:dyDescent="0.25">
      <c r="H1465" t="s">
        <v>145</v>
      </c>
    </row>
    <row r="1466" spans="8:8" x14ac:dyDescent="0.25">
      <c r="H1466" t="s">
        <v>4600</v>
      </c>
    </row>
    <row r="1467" spans="8:8" x14ac:dyDescent="0.25">
      <c r="H1467" t="s">
        <v>31</v>
      </c>
    </row>
    <row r="1469" spans="8:8" x14ac:dyDescent="0.25">
      <c r="H1469" t="s">
        <v>7685</v>
      </c>
    </row>
    <row r="1470" spans="8:8" x14ac:dyDescent="0.25">
      <c r="H1470" t="s">
        <v>145</v>
      </c>
    </row>
    <row r="1471" spans="8:8" x14ac:dyDescent="0.25">
      <c r="H1471" t="s">
        <v>4601</v>
      </c>
    </row>
    <row r="1472" spans="8:8" x14ac:dyDescent="0.25">
      <c r="H1472" t="s">
        <v>31</v>
      </c>
    </row>
    <row r="1474" spans="8:8" x14ac:dyDescent="0.25">
      <c r="H1474" t="s">
        <v>7686</v>
      </c>
    </row>
    <row r="1475" spans="8:8" x14ac:dyDescent="0.25">
      <c r="H1475" t="s">
        <v>145</v>
      </c>
    </row>
    <row r="1476" spans="8:8" x14ac:dyDescent="0.25">
      <c r="H1476" t="s">
        <v>4602</v>
      </c>
    </row>
    <row r="1477" spans="8:8" x14ac:dyDescent="0.25">
      <c r="H1477" t="s">
        <v>31</v>
      </c>
    </row>
    <row r="1478" spans="8:8" x14ac:dyDescent="0.25">
      <c r="H1478" t="s">
        <v>146</v>
      </c>
    </row>
    <row r="1479" spans="8:8" x14ac:dyDescent="0.25">
      <c r="H1479" t="s">
        <v>4603</v>
      </c>
    </row>
    <row r="1480" spans="8:8" x14ac:dyDescent="0.25">
      <c r="H1480" t="s">
        <v>31</v>
      </c>
    </row>
    <row r="1482" spans="8:8" x14ac:dyDescent="0.25">
      <c r="H1482" t="s">
        <v>7687</v>
      </c>
    </row>
    <row r="1483" spans="8:8" x14ac:dyDescent="0.25">
      <c r="H1483" t="s">
        <v>145</v>
      </c>
    </row>
    <row r="1484" spans="8:8" x14ac:dyDescent="0.25">
      <c r="H1484" t="s">
        <v>4604</v>
      </c>
    </row>
    <row r="1485" spans="8:8" x14ac:dyDescent="0.25">
      <c r="H1485" t="s">
        <v>31</v>
      </c>
    </row>
    <row r="1487" spans="8:8" x14ac:dyDescent="0.25">
      <c r="H1487" t="s">
        <v>7688</v>
      </c>
    </row>
    <row r="1488" spans="8:8" x14ac:dyDescent="0.25">
      <c r="H1488" t="s">
        <v>145</v>
      </c>
    </row>
    <row r="1489" spans="8:8" x14ac:dyDescent="0.25">
      <c r="H1489" t="s">
        <v>4605</v>
      </c>
    </row>
    <row r="1490" spans="8:8" x14ac:dyDescent="0.25">
      <c r="H1490" t="s">
        <v>31</v>
      </c>
    </row>
    <row r="1492" spans="8:8" x14ac:dyDescent="0.25">
      <c r="H1492" t="s">
        <v>7689</v>
      </c>
    </row>
    <row r="1493" spans="8:8" x14ac:dyDescent="0.25">
      <c r="H1493" t="s">
        <v>145</v>
      </c>
    </row>
    <row r="1494" spans="8:8" x14ac:dyDescent="0.25">
      <c r="H1494" t="s">
        <v>4606</v>
      </c>
    </row>
    <row r="1495" spans="8:8" x14ac:dyDescent="0.25">
      <c r="H1495" t="s">
        <v>31</v>
      </c>
    </row>
    <row r="1496" spans="8:8" x14ac:dyDescent="0.25">
      <c r="H1496" t="s">
        <v>146</v>
      </c>
    </row>
    <row r="1497" spans="8:8" x14ac:dyDescent="0.25">
      <c r="H1497" t="s">
        <v>4607</v>
      </c>
    </row>
    <row r="1498" spans="8:8" x14ac:dyDescent="0.25">
      <c r="H1498" t="s">
        <v>31</v>
      </c>
    </row>
    <row r="1500" spans="8:8" x14ac:dyDescent="0.25">
      <c r="H1500" t="s">
        <v>7690</v>
      </c>
    </row>
    <row r="1501" spans="8:8" x14ac:dyDescent="0.25">
      <c r="H1501" t="s">
        <v>145</v>
      </c>
    </row>
    <row r="1502" spans="8:8" x14ac:dyDescent="0.25">
      <c r="H1502" t="s">
        <v>4608</v>
      </c>
    </row>
    <row r="1503" spans="8:8" x14ac:dyDescent="0.25">
      <c r="H1503" t="s">
        <v>31</v>
      </c>
    </row>
    <row r="1505" spans="8:8" x14ac:dyDescent="0.25">
      <c r="H1505" t="s">
        <v>7691</v>
      </c>
    </row>
    <row r="1506" spans="8:8" x14ac:dyDescent="0.25">
      <c r="H1506" t="s">
        <v>145</v>
      </c>
    </row>
    <row r="1507" spans="8:8" x14ac:dyDescent="0.25">
      <c r="H1507" t="s">
        <v>4609</v>
      </c>
    </row>
    <row r="1508" spans="8:8" x14ac:dyDescent="0.25">
      <c r="H1508" t="s">
        <v>31</v>
      </c>
    </row>
    <row r="1510" spans="8:8" x14ac:dyDescent="0.25">
      <c r="H1510" t="s">
        <v>7692</v>
      </c>
    </row>
    <row r="1511" spans="8:8" x14ac:dyDescent="0.25">
      <c r="H1511" t="s">
        <v>145</v>
      </c>
    </row>
    <row r="1512" spans="8:8" x14ac:dyDescent="0.25">
      <c r="H1512" t="s">
        <v>4610</v>
      </c>
    </row>
    <row r="1513" spans="8:8" x14ac:dyDescent="0.25">
      <c r="H1513" t="s">
        <v>31</v>
      </c>
    </row>
    <row r="1514" spans="8:8" x14ac:dyDescent="0.25">
      <c r="H1514" t="s">
        <v>146</v>
      </c>
    </row>
    <row r="1515" spans="8:8" x14ac:dyDescent="0.25">
      <c r="H1515" t="s">
        <v>4611</v>
      </c>
    </row>
    <row r="1516" spans="8:8" x14ac:dyDescent="0.25">
      <c r="H1516" t="s">
        <v>31</v>
      </c>
    </row>
    <row r="1517" spans="8:8" x14ac:dyDescent="0.25">
      <c r="H1517" t="s">
        <v>147</v>
      </c>
    </row>
    <row r="1518" spans="8:8" x14ac:dyDescent="0.25">
      <c r="H1518" t="s">
        <v>4612</v>
      </c>
    </row>
    <row r="1519" spans="8:8" x14ac:dyDescent="0.25">
      <c r="H1519" t="s">
        <v>31</v>
      </c>
    </row>
    <row r="1520" spans="8:8" x14ac:dyDescent="0.25">
      <c r="H1520" t="s">
        <v>148</v>
      </c>
    </row>
    <row r="1521" spans="8:8" x14ac:dyDescent="0.25">
      <c r="H1521" t="s">
        <v>4613</v>
      </c>
    </row>
    <row r="1522" spans="8:8" x14ac:dyDescent="0.25">
      <c r="H1522" t="s">
        <v>31</v>
      </c>
    </row>
    <row r="1524" spans="8:8" x14ac:dyDescent="0.25">
      <c r="H1524" t="s">
        <v>7693</v>
      </c>
    </row>
    <row r="1525" spans="8:8" x14ac:dyDescent="0.25">
      <c r="H1525" t="s">
        <v>145</v>
      </c>
    </row>
    <row r="1526" spans="8:8" x14ac:dyDescent="0.25">
      <c r="H1526" t="s">
        <v>4614</v>
      </c>
    </row>
    <row r="1527" spans="8:8" x14ac:dyDescent="0.25">
      <c r="H1527" t="s">
        <v>31</v>
      </c>
    </row>
    <row r="1529" spans="8:8" x14ac:dyDescent="0.25">
      <c r="H1529" t="s">
        <v>7694</v>
      </c>
    </row>
    <row r="1530" spans="8:8" x14ac:dyDescent="0.25">
      <c r="H1530" t="s">
        <v>145</v>
      </c>
    </row>
    <row r="1531" spans="8:8" x14ac:dyDescent="0.25">
      <c r="H1531" t="s">
        <v>4615</v>
      </c>
    </row>
    <row r="1532" spans="8:8" x14ac:dyDescent="0.25">
      <c r="H1532" t="s">
        <v>31</v>
      </c>
    </row>
    <row r="1533" spans="8:8" x14ac:dyDescent="0.25">
      <c r="H1533" t="s">
        <v>146</v>
      </c>
    </row>
    <row r="1534" spans="8:8" x14ac:dyDescent="0.25">
      <c r="H1534" t="s">
        <v>4616</v>
      </c>
    </row>
    <row r="1535" spans="8:8" x14ac:dyDescent="0.25">
      <c r="H1535" t="s">
        <v>31</v>
      </c>
    </row>
    <row r="1536" spans="8:8" x14ac:dyDescent="0.25">
      <c r="H1536" t="s">
        <v>147</v>
      </c>
    </row>
    <row r="1537" spans="8:8" x14ac:dyDescent="0.25">
      <c r="H1537" t="s">
        <v>4617</v>
      </c>
    </row>
    <row r="1538" spans="8:8" x14ac:dyDescent="0.25">
      <c r="H1538" t="s">
        <v>31</v>
      </c>
    </row>
    <row r="1539" spans="8:8" x14ac:dyDescent="0.25">
      <c r="H1539" t="s">
        <v>148</v>
      </c>
    </row>
    <row r="1540" spans="8:8" x14ac:dyDescent="0.25">
      <c r="H1540" t="s">
        <v>4618</v>
      </c>
    </row>
    <row r="1541" spans="8:8" x14ac:dyDescent="0.25">
      <c r="H1541" t="s">
        <v>31</v>
      </c>
    </row>
    <row r="1543" spans="8:8" x14ac:dyDescent="0.25">
      <c r="H1543" t="s">
        <v>7695</v>
      </c>
    </row>
    <row r="1544" spans="8:8" x14ac:dyDescent="0.25">
      <c r="H1544" t="s">
        <v>145</v>
      </c>
    </row>
    <row r="1545" spans="8:8" x14ac:dyDescent="0.25">
      <c r="H1545" t="s">
        <v>4619</v>
      </c>
    </row>
    <row r="1546" spans="8:8" x14ac:dyDescent="0.25">
      <c r="H1546" t="s">
        <v>31</v>
      </c>
    </row>
    <row r="1547" spans="8:8" x14ac:dyDescent="0.25">
      <c r="H1547" t="s">
        <v>146</v>
      </c>
    </row>
    <row r="1548" spans="8:8" x14ac:dyDescent="0.25">
      <c r="H1548" t="s">
        <v>4620</v>
      </c>
    </row>
    <row r="1549" spans="8:8" x14ac:dyDescent="0.25">
      <c r="H1549" t="s">
        <v>31</v>
      </c>
    </row>
    <row r="1550" spans="8:8" x14ac:dyDescent="0.25">
      <c r="H1550" t="s">
        <v>2487</v>
      </c>
    </row>
    <row r="1551" spans="8:8" x14ac:dyDescent="0.25">
      <c r="H1551" t="s">
        <v>147</v>
      </c>
    </row>
    <row r="1552" spans="8:8" x14ac:dyDescent="0.25">
      <c r="H1552" t="s">
        <v>4621</v>
      </c>
    </row>
    <row r="1553" spans="8:8" x14ac:dyDescent="0.25">
      <c r="H1553" t="s">
        <v>31</v>
      </c>
    </row>
    <row r="1555" spans="8:8" x14ac:dyDescent="0.25">
      <c r="H1555" t="s">
        <v>7696</v>
      </c>
    </row>
    <row r="1556" spans="8:8" x14ac:dyDescent="0.25">
      <c r="H1556" t="s">
        <v>145</v>
      </c>
    </row>
    <row r="1557" spans="8:8" x14ac:dyDescent="0.25">
      <c r="H1557" t="s">
        <v>4622</v>
      </c>
    </row>
    <row r="1558" spans="8:8" x14ac:dyDescent="0.25">
      <c r="H1558" t="s">
        <v>31</v>
      </c>
    </row>
    <row r="1560" spans="8:8" x14ac:dyDescent="0.25">
      <c r="H1560" t="s">
        <v>7697</v>
      </c>
    </row>
    <row r="1561" spans="8:8" x14ac:dyDescent="0.25">
      <c r="H1561" t="s">
        <v>145</v>
      </c>
    </row>
    <row r="1562" spans="8:8" x14ac:dyDescent="0.25">
      <c r="H1562" t="s">
        <v>4623</v>
      </c>
    </row>
    <row r="1563" spans="8:8" x14ac:dyDescent="0.25">
      <c r="H1563" t="s">
        <v>31</v>
      </c>
    </row>
    <row r="1565" spans="8:8" x14ac:dyDescent="0.25">
      <c r="H1565" t="s">
        <v>7698</v>
      </c>
    </row>
    <row r="1566" spans="8:8" x14ac:dyDescent="0.25">
      <c r="H1566" t="s">
        <v>145</v>
      </c>
    </row>
    <row r="1567" spans="8:8" x14ac:dyDescent="0.25">
      <c r="H1567" t="s">
        <v>4624</v>
      </c>
    </row>
    <row r="1568" spans="8:8" x14ac:dyDescent="0.25">
      <c r="H1568" t="s">
        <v>31</v>
      </c>
    </row>
    <row r="1570" spans="8:8" x14ac:dyDescent="0.25">
      <c r="H1570" t="s">
        <v>7699</v>
      </c>
    </row>
    <row r="1571" spans="8:8" x14ac:dyDescent="0.25">
      <c r="H1571" t="s">
        <v>145</v>
      </c>
    </row>
    <row r="1572" spans="8:8" x14ac:dyDescent="0.25">
      <c r="H1572" t="s">
        <v>4625</v>
      </c>
    </row>
    <row r="1573" spans="8:8" x14ac:dyDescent="0.25">
      <c r="H1573" t="s">
        <v>31</v>
      </c>
    </row>
    <row r="1575" spans="8:8" x14ac:dyDescent="0.25">
      <c r="H1575" t="s">
        <v>1885</v>
      </c>
    </row>
    <row r="1576" spans="8:8" x14ac:dyDescent="0.25">
      <c r="H1576" t="s">
        <v>145</v>
      </c>
    </row>
    <row r="1577" spans="8:8" x14ac:dyDescent="0.25">
      <c r="H1577" t="s">
        <v>4626</v>
      </c>
    </row>
    <row r="1578" spans="8:8" x14ac:dyDescent="0.25">
      <c r="H1578" t="s">
        <v>31</v>
      </c>
    </row>
    <row r="1580" spans="8:8" x14ac:dyDescent="0.25">
      <c r="H1580" t="s">
        <v>1888</v>
      </c>
    </row>
    <row r="1581" spans="8:8" x14ac:dyDescent="0.25">
      <c r="H1581" t="s">
        <v>145</v>
      </c>
    </row>
    <row r="1582" spans="8:8" x14ac:dyDescent="0.25">
      <c r="H1582" t="s">
        <v>4627</v>
      </c>
    </row>
    <row r="1583" spans="8:8" x14ac:dyDescent="0.25">
      <c r="H1583" t="s">
        <v>31</v>
      </c>
    </row>
    <row r="1585" spans="8:8" x14ac:dyDescent="0.25">
      <c r="H1585" t="s">
        <v>1890</v>
      </c>
    </row>
    <row r="1586" spans="8:8" x14ac:dyDescent="0.25">
      <c r="H1586" t="s">
        <v>145</v>
      </c>
    </row>
    <row r="1587" spans="8:8" x14ac:dyDescent="0.25">
      <c r="H1587" t="s">
        <v>4628</v>
      </c>
    </row>
    <row r="1588" spans="8:8" x14ac:dyDescent="0.25">
      <c r="H1588" t="s">
        <v>31</v>
      </c>
    </row>
    <row r="1590" spans="8:8" x14ac:dyDescent="0.25">
      <c r="H1590" t="s">
        <v>1892</v>
      </c>
    </row>
    <row r="1591" spans="8:8" x14ac:dyDescent="0.25">
      <c r="H1591" t="s">
        <v>145</v>
      </c>
    </row>
    <row r="1592" spans="8:8" x14ac:dyDescent="0.25">
      <c r="H1592" t="s">
        <v>4629</v>
      </c>
    </row>
    <row r="1593" spans="8:8" x14ac:dyDescent="0.25">
      <c r="H1593" t="s">
        <v>31</v>
      </c>
    </row>
    <row r="1595" spans="8:8" x14ac:dyDescent="0.25">
      <c r="H1595" t="s">
        <v>1894</v>
      </c>
    </row>
    <row r="1596" spans="8:8" x14ac:dyDescent="0.25">
      <c r="H1596" t="s">
        <v>145</v>
      </c>
    </row>
    <row r="1597" spans="8:8" x14ac:dyDescent="0.25">
      <c r="H1597" t="s">
        <v>4630</v>
      </c>
    </row>
    <row r="1598" spans="8:8" x14ac:dyDescent="0.25">
      <c r="H1598" t="s">
        <v>31</v>
      </c>
    </row>
    <row r="1600" spans="8:8" x14ac:dyDescent="0.25">
      <c r="H1600" t="s">
        <v>1899</v>
      </c>
    </row>
    <row r="1601" spans="8:8" x14ac:dyDescent="0.25">
      <c r="H1601" t="s">
        <v>145</v>
      </c>
    </row>
    <row r="1602" spans="8:8" x14ac:dyDescent="0.25">
      <c r="H1602" t="s">
        <v>4631</v>
      </c>
    </row>
    <row r="1603" spans="8:8" x14ac:dyDescent="0.25">
      <c r="H1603" t="s">
        <v>31</v>
      </c>
    </row>
    <row r="1605" spans="8:8" x14ac:dyDescent="0.25">
      <c r="H1605" t="s">
        <v>1904</v>
      </c>
    </row>
    <row r="1606" spans="8:8" x14ac:dyDescent="0.25">
      <c r="H1606" t="s">
        <v>145</v>
      </c>
    </row>
    <row r="1607" spans="8:8" x14ac:dyDescent="0.25">
      <c r="H1607" t="s">
        <v>4632</v>
      </c>
    </row>
    <row r="1608" spans="8:8" x14ac:dyDescent="0.25">
      <c r="H1608" t="s">
        <v>31</v>
      </c>
    </row>
    <row r="1610" spans="8:8" x14ac:dyDescent="0.25">
      <c r="H1610" t="s">
        <v>1909</v>
      </c>
    </row>
    <row r="1611" spans="8:8" x14ac:dyDescent="0.25">
      <c r="H1611" t="s">
        <v>145</v>
      </c>
    </row>
    <row r="1612" spans="8:8" x14ac:dyDescent="0.25">
      <c r="H1612" t="s">
        <v>4633</v>
      </c>
    </row>
    <row r="1613" spans="8:8" x14ac:dyDescent="0.25">
      <c r="H1613" t="s">
        <v>31</v>
      </c>
    </row>
    <row r="1615" spans="8:8" x14ac:dyDescent="0.25">
      <c r="H1615" t="s">
        <v>1914</v>
      </c>
    </row>
    <row r="1616" spans="8:8" x14ac:dyDescent="0.25">
      <c r="H1616" t="s">
        <v>145</v>
      </c>
    </row>
    <row r="1617" spans="8:8" x14ac:dyDescent="0.25">
      <c r="H1617" t="s">
        <v>4634</v>
      </c>
    </row>
    <row r="1618" spans="8:8" x14ac:dyDescent="0.25">
      <c r="H1618" t="s">
        <v>31</v>
      </c>
    </row>
    <row r="1620" spans="8:8" x14ac:dyDescent="0.25">
      <c r="H1620" t="s">
        <v>1917</v>
      </c>
    </row>
    <row r="1621" spans="8:8" x14ac:dyDescent="0.25">
      <c r="H1621" t="s">
        <v>145</v>
      </c>
    </row>
    <row r="1622" spans="8:8" x14ac:dyDescent="0.25">
      <c r="H1622" t="s">
        <v>4635</v>
      </c>
    </row>
    <row r="1623" spans="8:8" x14ac:dyDescent="0.25">
      <c r="H1623" t="s">
        <v>31</v>
      </c>
    </row>
    <row r="1625" spans="8:8" x14ac:dyDescent="0.25">
      <c r="H1625" t="s">
        <v>1922</v>
      </c>
    </row>
    <row r="1626" spans="8:8" x14ac:dyDescent="0.25">
      <c r="H1626" t="s">
        <v>145</v>
      </c>
    </row>
    <row r="1627" spans="8:8" x14ac:dyDescent="0.25">
      <c r="H1627" t="s">
        <v>4636</v>
      </c>
    </row>
    <row r="1628" spans="8:8" x14ac:dyDescent="0.25">
      <c r="H1628" t="s">
        <v>31</v>
      </c>
    </row>
    <row r="1629" spans="8:8" x14ac:dyDescent="0.25">
      <c r="H1629" t="s">
        <v>146</v>
      </c>
    </row>
    <row r="1630" spans="8:8" x14ac:dyDescent="0.25">
      <c r="H1630" t="s">
        <v>4637</v>
      </c>
    </row>
    <row r="1631" spans="8:8" x14ac:dyDescent="0.25">
      <c r="H1631" t="s">
        <v>31</v>
      </c>
    </row>
    <row r="1633" spans="8:8" x14ac:dyDescent="0.25">
      <c r="H1633" t="s">
        <v>1927</v>
      </c>
    </row>
    <row r="1634" spans="8:8" x14ac:dyDescent="0.25">
      <c r="H1634" t="s">
        <v>145</v>
      </c>
    </row>
    <row r="1635" spans="8:8" x14ac:dyDescent="0.25">
      <c r="H1635" t="s">
        <v>4638</v>
      </c>
    </row>
    <row r="1636" spans="8:8" x14ac:dyDescent="0.25">
      <c r="H1636" t="s">
        <v>31</v>
      </c>
    </row>
    <row r="1637" spans="8:8" x14ac:dyDescent="0.25">
      <c r="H1637" t="s">
        <v>146</v>
      </c>
    </row>
    <row r="1638" spans="8:8" x14ac:dyDescent="0.25">
      <c r="H1638" t="s">
        <v>4639</v>
      </c>
    </row>
    <row r="1639" spans="8:8" x14ac:dyDescent="0.25">
      <c r="H1639" t="s">
        <v>31</v>
      </c>
    </row>
    <row r="1640" spans="8:8" x14ac:dyDescent="0.25">
      <c r="H1640" t="s">
        <v>147</v>
      </c>
    </row>
    <row r="1641" spans="8:8" x14ac:dyDescent="0.25">
      <c r="H1641" t="s">
        <v>4640</v>
      </c>
    </row>
    <row r="1642" spans="8:8" x14ac:dyDescent="0.25">
      <c r="H1642" t="s">
        <v>31</v>
      </c>
    </row>
    <row r="1643" spans="8:8" x14ac:dyDescent="0.25">
      <c r="H1643" t="s">
        <v>148</v>
      </c>
    </row>
    <row r="1644" spans="8:8" x14ac:dyDescent="0.25">
      <c r="H1644" t="s">
        <v>4641</v>
      </c>
    </row>
    <row r="1645" spans="8:8" x14ac:dyDescent="0.25">
      <c r="H1645" t="s">
        <v>31</v>
      </c>
    </row>
    <row r="1647" spans="8:8" x14ac:dyDescent="0.25">
      <c r="H1647" t="s">
        <v>1931</v>
      </c>
    </row>
    <row r="1648" spans="8:8" x14ac:dyDescent="0.25">
      <c r="H1648" t="s">
        <v>145</v>
      </c>
    </row>
    <row r="1649" spans="8:8" x14ac:dyDescent="0.25">
      <c r="H1649" t="s">
        <v>4642</v>
      </c>
    </row>
    <row r="1650" spans="8:8" x14ac:dyDescent="0.25">
      <c r="H1650" t="s">
        <v>31</v>
      </c>
    </row>
    <row r="1651" spans="8:8" x14ac:dyDescent="0.25">
      <c r="H1651" t="s">
        <v>146</v>
      </c>
    </row>
    <row r="1652" spans="8:8" x14ac:dyDescent="0.25">
      <c r="H1652" t="s">
        <v>4643</v>
      </c>
    </row>
    <row r="1653" spans="8:8" x14ac:dyDescent="0.25">
      <c r="H1653" t="s">
        <v>31</v>
      </c>
    </row>
    <row r="1654" spans="8:8" x14ac:dyDescent="0.25">
      <c r="H1654" t="s">
        <v>147</v>
      </c>
    </row>
    <row r="1655" spans="8:8" x14ac:dyDescent="0.25">
      <c r="H1655" t="s">
        <v>4644</v>
      </c>
    </row>
    <row r="1656" spans="8:8" x14ac:dyDescent="0.25">
      <c r="H1656" t="s">
        <v>31</v>
      </c>
    </row>
    <row r="1657" spans="8:8" x14ac:dyDescent="0.25">
      <c r="H1657" t="s">
        <v>148</v>
      </c>
    </row>
    <row r="1658" spans="8:8" x14ac:dyDescent="0.25">
      <c r="H1658" t="s">
        <v>4645</v>
      </c>
    </row>
    <row r="1659" spans="8:8" x14ac:dyDescent="0.25">
      <c r="H1659" t="s">
        <v>31</v>
      </c>
    </row>
    <row r="1661" spans="8:8" x14ac:dyDescent="0.25">
      <c r="H1661" t="s">
        <v>1936</v>
      </c>
    </row>
    <row r="1662" spans="8:8" x14ac:dyDescent="0.25">
      <c r="H1662" t="s">
        <v>145</v>
      </c>
    </row>
    <row r="1663" spans="8:8" x14ac:dyDescent="0.25">
      <c r="H1663" t="s">
        <v>4646</v>
      </c>
    </row>
    <row r="1664" spans="8:8" x14ac:dyDescent="0.25">
      <c r="H1664" t="s">
        <v>31</v>
      </c>
    </row>
    <row r="1665" spans="8:8" x14ac:dyDescent="0.25">
      <c r="H1665" t="s">
        <v>146</v>
      </c>
    </row>
    <row r="1666" spans="8:8" x14ac:dyDescent="0.25">
      <c r="H1666" t="s">
        <v>4647</v>
      </c>
    </row>
    <row r="1667" spans="8:8" x14ac:dyDescent="0.25">
      <c r="H1667" t="s">
        <v>31</v>
      </c>
    </row>
    <row r="1668" spans="8:8" x14ac:dyDescent="0.25">
      <c r="H1668" t="s">
        <v>147</v>
      </c>
    </row>
    <row r="1669" spans="8:8" x14ac:dyDescent="0.25">
      <c r="H1669" t="s">
        <v>4648</v>
      </c>
    </row>
    <row r="1670" spans="8:8" x14ac:dyDescent="0.25">
      <c r="H1670" t="s">
        <v>31</v>
      </c>
    </row>
    <row r="1671" spans="8:8" x14ac:dyDescent="0.25">
      <c r="H1671" t="s">
        <v>148</v>
      </c>
    </row>
    <row r="1672" spans="8:8" x14ac:dyDescent="0.25">
      <c r="H1672" t="s">
        <v>4649</v>
      </c>
    </row>
    <row r="1673" spans="8:8" x14ac:dyDescent="0.25">
      <c r="H1673" t="s">
        <v>31</v>
      </c>
    </row>
    <row r="1675" spans="8:8" x14ac:dyDescent="0.25">
      <c r="H1675" t="s">
        <v>1941</v>
      </c>
    </row>
    <row r="1676" spans="8:8" x14ac:dyDescent="0.25">
      <c r="H1676" t="s">
        <v>145</v>
      </c>
    </row>
    <row r="1677" spans="8:8" x14ac:dyDescent="0.25">
      <c r="H1677" t="s">
        <v>4650</v>
      </c>
    </row>
    <row r="1678" spans="8:8" x14ac:dyDescent="0.25">
      <c r="H1678" t="s">
        <v>31</v>
      </c>
    </row>
    <row r="1679" spans="8:8" x14ac:dyDescent="0.25">
      <c r="H1679" t="s">
        <v>146</v>
      </c>
    </row>
    <row r="1680" spans="8:8" x14ac:dyDescent="0.25">
      <c r="H1680" t="s">
        <v>4651</v>
      </c>
    </row>
    <row r="1681" spans="8:8" x14ac:dyDescent="0.25">
      <c r="H1681" t="s">
        <v>31</v>
      </c>
    </row>
    <row r="1682" spans="8:8" x14ac:dyDescent="0.25">
      <c r="H1682" t="s">
        <v>147</v>
      </c>
    </row>
    <row r="1683" spans="8:8" x14ac:dyDescent="0.25">
      <c r="H1683" t="s">
        <v>4652</v>
      </c>
    </row>
    <row r="1684" spans="8:8" x14ac:dyDescent="0.25">
      <c r="H1684" t="s">
        <v>31</v>
      </c>
    </row>
    <row r="1685" spans="8:8" x14ac:dyDescent="0.25">
      <c r="H1685" t="s">
        <v>148</v>
      </c>
    </row>
    <row r="1686" spans="8:8" x14ac:dyDescent="0.25">
      <c r="H1686" t="s">
        <v>4653</v>
      </c>
    </row>
    <row r="1687" spans="8:8" x14ac:dyDescent="0.25">
      <c r="H1687" t="s">
        <v>31</v>
      </c>
    </row>
    <row r="1689" spans="8:8" x14ac:dyDescent="0.25">
      <c r="H1689" t="s">
        <v>1946</v>
      </c>
    </row>
    <row r="1690" spans="8:8" x14ac:dyDescent="0.25">
      <c r="H1690" t="s">
        <v>145</v>
      </c>
    </row>
    <row r="1691" spans="8:8" x14ac:dyDescent="0.25">
      <c r="H1691" t="s">
        <v>4654</v>
      </c>
    </row>
    <row r="1692" spans="8:8" x14ac:dyDescent="0.25">
      <c r="H1692" t="s">
        <v>31</v>
      </c>
    </row>
    <row r="1693" spans="8:8" x14ac:dyDescent="0.25">
      <c r="H1693" t="s">
        <v>146</v>
      </c>
    </row>
    <row r="1694" spans="8:8" x14ac:dyDescent="0.25">
      <c r="H1694" t="s">
        <v>4655</v>
      </c>
    </row>
    <row r="1695" spans="8:8" x14ac:dyDescent="0.25">
      <c r="H1695" t="s">
        <v>31</v>
      </c>
    </row>
    <row r="1696" spans="8:8" x14ac:dyDescent="0.25">
      <c r="H1696" t="s">
        <v>147</v>
      </c>
    </row>
    <row r="1697" spans="8:8" x14ac:dyDescent="0.25">
      <c r="H1697" t="s">
        <v>4656</v>
      </c>
    </row>
    <row r="1698" spans="8:8" x14ac:dyDescent="0.25">
      <c r="H1698" t="s">
        <v>31</v>
      </c>
    </row>
    <row r="1699" spans="8:8" x14ac:dyDescent="0.25">
      <c r="H1699" t="s">
        <v>148</v>
      </c>
    </row>
    <row r="1700" spans="8:8" x14ac:dyDescent="0.25">
      <c r="H1700" t="s">
        <v>4657</v>
      </c>
    </row>
    <row r="1701" spans="8:8" x14ac:dyDescent="0.25">
      <c r="H1701" t="s">
        <v>31</v>
      </c>
    </row>
    <row r="1703" spans="8:8" x14ac:dyDescent="0.25">
      <c r="H1703" t="s">
        <v>1951</v>
      </c>
    </row>
    <row r="1704" spans="8:8" x14ac:dyDescent="0.25">
      <c r="H1704" t="s">
        <v>145</v>
      </c>
    </row>
    <row r="1705" spans="8:8" x14ac:dyDescent="0.25">
      <c r="H1705" t="s">
        <v>4658</v>
      </c>
    </row>
    <row r="1706" spans="8:8" x14ac:dyDescent="0.25">
      <c r="H1706" t="s">
        <v>31</v>
      </c>
    </row>
    <row r="1707" spans="8:8" x14ac:dyDescent="0.25">
      <c r="H1707" t="s">
        <v>146</v>
      </c>
    </row>
    <row r="1708" spans="8:8" x14ac:dyDescent="0.25">
      <c r="H1708" t="s">
        <v>4659</v>
      </c>
    </row>
    <row r="1709" spans="8:8" x14ac:dyDescent="0.25">
      <c r="H1709" t="s">
        <v>31</v>
      </c>
    </row>
    <row r="1710" spans="8:8" x14ac:dyDescent="0.25">
      <c r="H1710" t="s">
        <v>147</v>
      </c>
    </row>
    <row r="1711" spans="8:8" x14ac:dyDescent="0.25">
      <c r="H1711" t="s">
        <v>4660</v>
      </c>
    </row>
    <row r="1712" spans="8:8" x14ac:dyDescent="0.25">
      <c r="H1712" t="s">
        <v>31</v>
      </c>
    </row>
    <row r="1713" spans="8:8" x14ac:dyDescent="0.25">
      <c r="H1713" t="s">
        <v>148</v>
      </c>
    </row>
    <row r="1714" spans="8:8" x14ac:dyDescent="0.25">
      <c r="H1714" t="s">
        <v>4661</v>
      </c>
    </row>
    <row r="1715" spans="8:8" x14ac:dyDescent="0.25">
      <c r="H1715" t="s">
        <v>31</v>
      </c>
    </row>
    <row r="1717" spans="8:8" x14ac:dyDescent="0.25">
      <c r="H1717" t="s">
        <v>1956</v>
      </c>
    </row>
    <row r="1718" spans="8:8" x14ac:dyDescent="0.25">
      <c r="H1718" t="s">
        <v>145</v>
      </c>
    </row>
    <row r="1719" spans="8:8" x14ac:dyDescent="0.25">
      <c r="H1719" t="s">
        <v>4662</v>
      </c>
    </row>
    <row r="1720" spans="8:8" x14ac:dyDescent="0.25">
      <c r="H1720" t="s">
        <v>31</v>
      </c>
    </row>
    <row r="1721" spans="8:8" x14ac:dyDescent="0.25">
      <c r="H1721" t="s">
        <v>146</v>
      </c>
    </row>
    <row r="1722" spans="8:8" x14ac:dyDescent="0.25">
      <c r="H1722" t="s">
        <v>4663</v>
      </c>
    </row>
    <row r="1723" spans="8:8" x14ac:dyDescent="0.25">
      <c r="H1723" t="s">
        <v>31</v>
      </c>
    </row>
    <row r="1724" spans="8:8" x14ac:dyDescent="0.25">
      <c r="H1724" t="s">
        <v>147</v>
      </c>
    </row>
    <row r="1725" spans="8:8" x14ac:dyDescent="0.25">
      <c r="H1725" t="s">
        <v>4664</v>
      </c>
    </row>
    <row r="1726" spans="8:8" x14ac:dyDescent="0.25">
      <c r="H1726" t="s">
        <v>31</v>
      </c>
    </row>
    <row r="1727" spans="8:8" x14ac:dyDescent="0.25">
      <c r="H1727" t="s">
        <v>148</v>
      </c>
    </row>
    <row r="1728" spans="8:8" x14ac:dyDescent="0.25">
      <c r="H1728" t="s">
        <v>4665</v>
      </c>
    </row>
    <row r="1729" spans="8:8" x14ac:dyDescent="0.25">
      <c r="H1729" t="s">
        <v>31</v>
      </c>
    </row>
    <row r="1731" spans="8:8" x14ac:dyDescent="0.25">
      <c r="H1731" t="s">
        <v>1961</v>
      </c>
    </row>
    <row r="1732" spans="8:8" x14ac:dyDescent="0.25">
      <c r="H1732" t="s">
        <v>145</v>
      </c>
    </row>
    <row r="1733" spans="8:8" x14ac:dyDescent="0.25">
      <c r="H1733" t="s">
        <v>4666</v>
      </c>
    </row>
    <row r="1734" spans="8:8" x14ac:dyDescent="0.25">
      <c r="H1734" t="s">
        <v>31</v>
      </c>
    </row>
    <row r="1735" spans="8:8" x14ac:dyDescent="0.25">
      <c r="H1735" t="s">
        <v>146</v>
      </c>
    </row>
    <row r="1736" spans="8:8" x14ac:dyDescent="0.25">
      <c r="H1736" t="s">
        <v>4667</v>
      </c>
    </row>
    <row r="1737" spans="8:8" x14ac:dyDescent="0.25">
      <c r="H1737" t="s">
        <v>31</v>
      </c>
    </row>
    <row r="1738" spans="8:8" x14ac:dyDescent="0.25">
      <c r="H1738" t="s">
        <v>147</v>
      </c>
    </row>
    <row r="1739" spans="8:8" x14ac:dyDescent="0.25">
      <c r="H1739" t="s">
        <v>4668</v>
      </c>
    </row>
    <row r="1740" spans="8:8" x14ac:dyDescent="0.25">
      <c r="H1740" t="s">
        <v>31</v>
      </c>
    </row>
    <row r="1741" spans="8:8" x14ac:dyDescent="0.25">
      <c r="H1741" t="s">
        <v>148</v>
      </c>
    </row>
    <row r="1742" spans="8:8" x14ac:dyDescent="0.25">
      <c r="H1742" t="s">
        <v>4669</v>
      </c>
    </row>
    <row r="1743" spans="8:8" x14ac:dyDescent="0.25">
      <c r="H1743" t="s">
        <v>31</v>
      </c>
    </row>
    <row r="1745" spans="8:8" x14ac:dyDescent="0.25">
      <c r="H1745" t="s">
        <v>1963</v>
      </c>
    </row>
    <row r="1746" spans="8:8" x14ac:dyDescent="0.25">
      <c r="H1746" t="s">
        <v>145</v>
      </c>
    </row>
    <row r="1747" spans="8:8" x14ac:dyDescent="0.25">
      <c r="H1747" t="s">
        <v>4670</v>
      </c>
    </row>
    <row r="1748" spans="8:8" x14ac:dyDescent="0.25">
      <c r="H1748" t="s">
        <v>31</v>
      </c>
    </row>
    <row r="1749" spans="8:8" x14ac:dyDescent="0.25">
      <c r="H1749" t="s">
        <v>146</v>
      </c>
    </row>
    <row r="1750" spans="8:8" x14ac:dyDescent="0.25">
      <c r="H1750" t="s">
        <v>4671</v>
      </c>
    </row>
    <row r="1751" spans="8:8" x14ac:dyDescent="0.25">
      <c r="H1751" t="s">
        <v>31</v>
      </c>
    </row>
    <row r="1752" spans="8:8" x14ac:dyDescent="0.25">
      <c r="H1752" t="s">
        <v>147</v>
      </c>
    </row>
    <row r="1753" spans="8:8" x14ac:dyDescent="0.25">
      <c r="H1753" t="s">
        <v>4672</v>
      </c>
    </row>
    <row r="1754" spans="8:8" x14ac:dyDescent="0.25">
      <c r="H1754" t="s">
        <v>31</v>
      </c>
    </row>
    <row r="1755" spans="8:8" x14ac:dyDescent="0.25">
      <c r="H1755" t="s">
        <v>148</v>
      </c>
    </row>
    <row r="1756" spans="8:8" x14ac:dyDescent="0.25">
      <c r="H1756" t="s">
        <v>4673</v>
      </c>
    </row>
    <row r="1757" spans="8:8" x14ac:dyDescent="0.25">
      <c r="H1757" t="s">
        <v>31</v>
      </c>
    </row>
    <row r="1759" spans="8:8" x14ac:dyDescent="0.25">
      <c r="H1759" t="s">
        <v>1965</v>
      </c>
    </row>
    <row r="1760" spans="8:8" x14ac:dyDescent="0.25">
      <c r="H1760" t="s">
        <v>145</v>
      </c>
    </row>
    <row r="1761" spans="8:8" x14ac:dyDescent="0.25">
      <c r="H1761" t="s">
        <v>4674</v>
      </c>
    </row>
    <row r="1762" spans="8:8" x14ac:dyDescent="0.25">
      <c r="H1762" t="s">
        <v>31</v>
      </c>
    </row>
    <row r="1763" spans="8:8" x14ac:dyDescent="0.25">
      <c r="H1763" t="s">
        <v>146</v>
      </c>
    </row>
    <row r="1764" spans="8:8" x14ac:dyDescent="0.25">
      <c r="H1764" t="s">
        <v>4675</v>
      </c>
    </row>
    <row r="1765" spans="8:8" x14ac:dyDescent="0.25">
      <c r="H1765" t="s">
        <v>31</v>
      </c>
    </row>
    <row r="1766" spans="8:8" x14ac:dyDescent="0.25">
      <c r="H1766" t="s">
        <v>147</v>
      </c>
    </row>
    <row r="1767" spans="8:8" x14ac:dyDescent="0.25">
      <c r="H1767" t="s">
        <v>4676</v>
      </c>
    </row>
    <row r="1768" spans="8:8" x14ac:dyDescent="0.25">
      <c r="H1768" t="s">
        <v>31</v>
      </c>
    </row>
    <row r="1769" spans="8:8" x14ac:dyDescent="0.25">
      <c r="H1769" t="s">
        <v>148</v>
      </c>
    </row>
    <row r="1770" spans="8:8" x14ac:dyDescent="0.25">
      <c r="H1770" t="s">
        <v>4677</v>
      </c>
    </row>
    <row r="1771" spans="8:8" x14ac:dyDescent="0.25">
      <c r="H1771" t="s">
        <v>31</v>
      </c>
    </row>
    <row r="1773" spans="8:8" x14ac:dyDescent="0.25">
      <c r="H1773" t="s">
        <v>1968</v>
      </c>
    </row>
    <row r="1774" spans="8:8" x14ac:dyDescent="0.25">
      <c r="H1774" t="s">
        <v>145</v>
      </c>
    </row>
    <row r="1775" spans="8:8" x14ac:dyDescent="0.25">
      <c r="H1775" t="s">
        <v>4678</v>
      </c>
    </row>
    <row r="1776" spans="8:8" x14ac:dyDescent="0.25">
      <c r="H1776" t="s">
        <v>31</v>
      </c>
    </row>
    <row r="1777" spans="8:8" x14ac:dyDescent="0.25">
      <c r="H1777" t="s">
        <v>146</v>
      </c>
    </row>
    <row r="1778" spans="8:8" x14ac:dyDescent="0.25">
      <c r="H1778" t="s">
        <v>4679</v>
      </c>
    </row>
    <row r="1779" spans="8:8" x14ac:dyDescent="0.25">
      <c r="H1779" t="s">
        <v>31</v>
      </c>
    </row>
    <row r="1780" spans="8:8" x14ac:dyDescent="0.25">
      <c r="H1780" t="s">
        <v>147</v>
      </c>
    </row>
    <row r="1781" spans="8:8" x14ac:dyDescent="0.25">
      <c r="H1781" t="s">
        <v>4680</v>
      </c>
    </row>
    <row r="1782" spans="8:8" x14ac:dyDescent="0.25">
      <c r="H1782" t="s">
        <v>31</v>
      </c>
    </row>
    <row r="1783" spans="8:8" x14ac:dyDescent="0.25">
      <c r="H1783" t="s">
        <v>148</v>
      </c>
    </row>
    <row r="1784" spans="8:8" x14ac:dyDescent="0.25">
      <c r="H1784" t="s">
        <v>4681</v>
      </c>
    </row>
    <row r="1785" spans="8:8" x14ac:dyDescent="0.25">
      <c r="H1785" t="s">
        <v>31</v>
      </c>
    </row>
    <row r="1787" spans="8:8" x14ac:dyDescent="0.25">
      <c r="H1787" t="s">
        <v>1970</v>
      </c>
    </row>
    <row r="1788" spans="8:8" x14ac:dyDescent="0.25">
      <c r="H1788" t="s">
        <v>145</v>
      </c>
    </row>
    <row r="1789" spans="8:8" x14ac:dyDescent="0.25">
      <c r="H1789" t="s">
        <v>4682</v>
      </c>
    </row>
    <row r="1790" spans="8:8" x14ac:dyDescent="0.25">
      <c r="H1790" t="s">
        <v>31</v>
      </c>
    </row>
    <row r="1791" spans="8:8" x14ac:dyDescent="0.25">
      <c r="H1791" t="s">
        <v>146</v>
      </c>
    </row>
    <row r="1792" spans="8:8" x14ac:dyDescent="0.25">
      <c r="H1792" t="s">
        <v>4683</v>
      </c>
    </row>
    <row r="1793" spans="8:8" x14ac:dyDescent="0.25">
      <c r="H1793" t="s">
        <v>31</v>
      </c>
    </row>
    <row r="1794" spans="8:8" x14ac:dyDescent="0.25">
      <c r="H1794" t="s">
        <v>147</v>
      </c>
    </row>
    <row r="1795" spans="8:8" x14ac:dyDescent="0.25">
      <c r="H1795" t="s">
        <v>4684</v>
      </c>
    </row>
    <row r="1796" spans="8:8" x14ac:dyDescent="0.25">
      <c r="H1796" t="s">
        <v>31</v>
      </c>
    </row>
    <row r="1797" spans="8:8" x14ac:dyDescent="0.25">
      <c r="H1797" t="s">
        <v>148</v>
      </c>
    </row>
    <row r="1798" spans="8:8" x14ac:dyDescent="0.25">
      <c r="H1798" t="s">
        <v>4685</v>
      </c>
    </row>
    <row r="1799" spans="8:8" x14ac:dyDescent="0.25">
      <c r="H1799" t="s">
        <v>31</v>
      </c>
    </row>
    <row r="1801" spans="8:8" x14ac:dyDescent="0.25">
      <c r="H1801" t="s">
        <v>1972</v>
      </c>
    </row>
    <row r="1802" spans="8:8" x14ac:dyDescent="0.25">
      <c r="H1802" t="s">
        <v>145</v>
      </c>
    </row>
    <row r="1803" spans="8:8" x14ac:dyDescent="0.25">
      <c r="H1803" t="s">
        <v>4686</v>
      </c>
    </row>
    <row r="1804" spans="8:8" x14ac:dyDescent="0.25">
      <c r="H1804" t="s">
        <v>31</v>
      </c>
    </row>
    <row r="1805" spans="8:8" x14ac:dyDescent="0.25">
      <c r="H1805" t="s">
        <v>146</v>
      </c>
    </row>
    <row r="1806" spans="8:8" x14ac:dyDescent="0.25">
      <c r="H1806" t="s">
        <v>4687</v>
      </c>
    </row>
    <row r="1807" spans="8:8" x14ac:dyDescent="0.25">
      <c r="H1807" t="s">
        <v>31</v>
      </c>
    </row>
    <row r="1808" spans="8:8" x14ac:dyDescent="0.25">
      <c r="H1808" t="s">
        <v>147</v>
      </c>
    </row>
    <row r="1809" spans="8:8" x14ac:dyDescent="0.25">
      <c r="H1809" t="s">
        <v>4688</v>
      </c>
    </row>
    <row r="1810" spans="8:8" x14ac:dyDescent="0.25">
      <c r="H1810" t="s">
        <v>31</v>
      </c>
    </row>
    <row r="1811" spans="8:8" x14ac:dyDescent="0.25">
      <c r="H1811" t="s">
        <v>148</v>
      </c>
    </row>
    <row r="1812" spans="8:8" x14ac:dyDescent="0.25">
      <c r="H1812" t="s">
        <v>4689</v>
      </c>
    </row>
    <row r="1813" spans="8:8" x14ac:dyDescent="0.25">
      <c r="H1813" t="s">
        <v>31</v>
      </c>
    </row>
    <row r="1815" spans="8:8" x14ac:dyDescent="0.25">
      <c r="H1815" t="s">
        <v>1974</v>
      </c>
    </row>
    <row r="1816" spans="8:8" x14ac:dyDescent="0.25">
      <c r="H1816" t="s">
        <v>145</v>
      </c>
    </row>
    <row r="1817" spans="8:8" x14ac:dyDescent="0.25">
      <c r="H1817" t="s">
        <v>4690</v>
      </c>
    </row>
    <row r="1818" spans="8:8" x14ac:dyDescent="0.25">
      <c r="H1818" t="s">
        <v>31</v>
      </c>
    </row>
    <row r="1819" spans="8:8" x14ac:dyDescent="0.25">
      <c r="H1819" t="s">
        <v>146</v>
      </c>
    </row>
    <row r="1820" spans="8:8" x14ac:dyDescent="0.25">
      <c r="H1820" t="s">
        <v>4691</v>
      </c>
    </row>
    <row r="1821" spans="8:8" x14ac:dyDescent="0.25">
      <c r="H1821" t="s">
        <v>31</v>
      </c>
    </row>
    <row r="1822" spans="8:8" x14ac:dyDescent="0.25">
      <c r="H1822" t="s">
        <v>147</v>
      </c>
    </row>
    <row r="1823" spans="8:8" x14ac:dyDescent="0.25">
      <c r="H1823" t="s">
        <v>4692</v>
      </c>
    </row>
    <row r="1824" spans="8:8" x14ac:dyDescent="0.25">
      <c r="H1824" t="s">
        <v>31</v>
      </c>
    </row>
    <row r="1825" spans="8:8" x14ac:dyDescent="0.25">
      <c r="H1825" t="s">
        <v>148</v>
      </c>
    </row>
    <row r="1826" spans="8:8" x14ac:dyDescent="0.25">
      <c r="H1826" t="s">
        <v>4693</v>
      </c>
    </row>
    <row r="1827" spans="8:8" x14ac:dyDescent="0.25">
      <c r="H1827" t="s">
        <v>31</v>
      </c>
    </row>
    <row r="1829" spans="8:8" x14ac:dyDescent="0.25">
      <c r="H1829" t="s">
        <v>1978</v>
      </c>
    </row>
    <row r="1830" spans="8:8" x14ac:dyDescent="0.25">
      <c r="H1830" t="s">
        <v>145</v>
      </c>
    </row>
    <row r="1831" spans="8:8" x14ac:dyDescent="0.25">
      <c r="H1831" t="s">
        <v>4694</v>
      </c>
    </row>
    <row r="1832" spans="8:8" x14ac:dyDescent="0.25">
      <c r="H1832" t="s">
        <v>31</v>
      </c>
    </row>
    <row r="1833" spans="8:8" x14ac:dyDescent="0.25">
      <c r="H1833" t="s">
        <v>146</v>
      </c>
    </row>
    <row r="1834" spans="8:8" x14ac:dyDescent="0.25">
      <c r="H1834" t="s">
        <v>4695</v>
      </c>
    </row>
    <row r="1835" spans="8:8" x14ac:dyDescent="0.25">
      <c r="H1835" t="s">
        <v>31</v>
      </c>
    </row>
    <row r="1836" spans="8:8" x14ac:dyDescent="0.25">
      <c r="H1836" t="s">
        <v>147</v>
      </c>
    </row>
    <row r="1837" spans="8:8" x14ac:dyDescent="0.25">
      <c r="H1837" t="s">
        <v>4696</v>
      </c>
    </row>
    <row r="1838" spans="8:8" x14ac:dyDescent="0.25">
      <c r="H1838" t="s">
        <v>31</v>
      </c>
    </row>
    <row r="1839" spans="8:8" x14ac:dyDescent="0.25">
      <c r="H1839" t="s">
        <v>148</v>
      </c>
    </row>
    <row r="1840" spans="8:8" x14ac:dyDescent="0.25">
      <c r="H1840" t="s">
        <v>4697</v>
      </c>
    </row>
    <row r="1841" spans="8:8" x14ac:dyDescent="0.25">
      <c r="H1841" t="s">
        <v>31</v>
      </c>
    </row>
    <row r="1843" spans="8:8" x14ac:dyDescent="0.25">
      <c r="H1843" t="s">
        <v>1984</v>
      </c>
    </row>
    <row r="1844" spans="8:8" x14ac:dyDescent="0.25">
      <c r="H1844" t="s">
        <v>145</v>
      </c>
    </row>
    <row r="1845" spans="8:8" x14ac:dyDescent="0.25">
      <c r="H1845" t="s">
        <v>4698</v>
      </c>
    </row>
    <row r="1846" spans="8:8" x14ac:dyDescent="0.25">
      <c r="H1846" t="s">
        <v>31</v>
      </c>
    </row>
    <row r="1847" spans="8:8" x14ac:dyDescent="0.25">
      <c r="H1847" t="s">
        <v>146</v>
      </c>
    </row>
    <row r="1848" spans="8:8" x14ac:dyDescent="0.25">
      <c r="H1848" t="s">
        <v>4699</v>
      </c>
    </row>
    <row r="1849" spans="8:8" x14ac:dyDescent="0.25">
      <c r="H1849" t="s">
        <v>31</v>
      </c>
    </row>
    <row r="1850" spans="8:8" x14ac:dyDescent="0.25">
      <c r="H1850" t="s">
        <v>147</v>
      </c>
    </row>
    <row r="1851" spans="8:8" x14ac:dyDescent="0.25">
      <c r="H1851" t="s">
        <v>4700</v>
      </c>
    </row>
    <row r="1852" spans="8:8" x14ac:dyDescent="0.25">
      <c r="H1852" t="s">
        <v>31</v>
      </c>
    </row>
    <row r="1853" spans="8:8" x14ac:dyDescent="0.25">
      <c r="H1853" t="s">
        <v>148</v>
      </c>
    </row>
    <row r="1854" spans="8:8" x14ac:dyDescent="0.25">
      <c r="H1854" t="s">
        <v>4701</v>
      </c>
    </row>
    <row r="1855" spans="8:8" x14ac:dyDescent="0.25">
      <c r="H1855" t="s">
        <v>31</v>
      </c>
    </row>
    <row r="1857" spans="8:8" x14ac:dyDescent="0.25">
      <c r="H1857" t="s">
        <v>1987</v>
      </c>
    </row>
    <row r="1858" spans="8:8" x14ac:dyDescent="0.25">
      <c r="H1858" t="s">
        <v>145</v>
      </c>
    </row>
    <row r="1859" spans="8:8" x14ac:dyDescent="0.25">
      <c r="H1859" t="s">
        <v>4702</v>
      </c>
    </row>
    <row r="1860" spans="8:8" x14ac:dyDescent="0.25">
      <c r="H1860" t="s">
        <v>31</v>
      </c>
    </row>
    <row r="1861" spans="8:8" x14ac:dyDescent="0.25">
      <c r="H1861" t="s">
        <v>146</v>
      </c>
    </row>
    <row r="1862" spans="8:8" x14ac:dyDescent="0.25">
      <c r="H1862" t="s">
        <v>4703</v>
      </c>
    </row>
    <row r="1863" spans="8:8" x14ac:dyDescent="0.25">
      <c r="H1863" t="s">
        <v>31</v>
      </c>
    </row>
    <row r="1864" spans="8:8" x14ac:dyDescent="0.25">
      <c r="H1864" t="s">
        <v>147</v>
      </c>
    </row>
    <row r="1865" spans="8:8" x14ac:dyDescent="0.25">
      <c r="H1865" t="s">
        <v>4704</v>
      </c>
    </row>
    <row r="1866" spans="8:8" x14ac:dyDescent="0.25">
      <c r="H1866" t="s">
        <v>31</v>
      </c>
    </row>
    <row r="1867" spans="8:8" x14ac:dyDescent="0.25">
      <c r="H1867" t="s">
        <v>148</v>
      </c>
    </row>
    <row r="1868" spans="8:8" x14ac:dyDescent="0.25">
      <c r="H1868" t="s">
        <v>4705</v>
      </c>
    </row>
    <row r="1869" spans="8:8" x14ac:dyDescent="0.25">
      <c r="H1869" t="s">
        <v>31</v>
      </c>
    </row>
    <row r="1871" spans="8:8" x14ac:dyDescent="0.25">
      <c r="H1871" t="s">
        <v>1989</v>
      </c>
    </row>
    <row r="1872" spans="8:8" x14ac:dyDescent="0.25">
      <c r="H1872" t="s">
        <v>145</v>
      </c>
    </row>
    <row r="1873" spans="8:8" x14ac:dyDescent="0.25">
      <c r="H1873" t="s">
        <v>4706</v>
      </c>
    </row>
    <row r="1874" spans="8:8" x14ac:dyDescent="0.25">
      <c r="H1874" t="s">
        <v>31</v>
      </c>
    </row>
    <row r="1875" spans="8:8" x14ac:dyDescent="0.25">
      <c r="H1875" t="s">
        <v>146</v>
      </c>
    </row>
    <row r="1876" spans="8:8" x14ac:dyDescent="0.25">
      <c r="H1876" t="s">
        <v>4707</v>
      </c>
    </row>
    <row r="1877" spans="8:8" x14ac:dyDescent="0.25">
      <c r="H1877" t="s">
        <v>31</v>
      </c>
    </row>
    <row r="1878" spans="8:8" x14ac:dyDescent="0.25">
      <c r="H1878" t="s">
        <v>147</v>
      </c>
    </row>
    <row r="1879" spans="8:8" x14ac:dyDescent="0.25">
      <c r="H1879" t="s">
        <v>4708</v>
      </c>
    </row>
    <row r="1880" spans="8:8" x14ac:dyDescent="0.25">
      <c r="H1880" t="s">
        <v>31</v>
      </c>
    </row>
    <row r="1881" spans="8:8" x14ac:dyDescent="0.25">
      <c r="H1881" t="s">
        <v>148</v>
      </c>
    </row>
    <row r="1882" spans="8:8" x14ac:dyDescent="0.25">
      <c r="H1882" t="s">
        <v>4709</v>
      </c>
    </row>
    <row r="1883" spans="8:8" x14ac:dyDescent="0.25">
      <c r="H1883" t="s">
        <v>31</v>
      </c>
    </row>
    <row r="1885" spans="8:8" x14ac:dyDescent="0.25">
      <c r="H1885" t="s">
        <v>1991</v>
      </c>
    </row>
    <row r="1886" spans="8:8" x14ac:dyDescent="0.25">
      <c r="H1886" t="s">
        <v>145</v>
      </c>
    </row>
    <row r="1887" spans="8:8" x14ac:dyDescent="0.25">
      <c r="H1887" t="s">
        <v>4710</v>
      </c>
    </row>
    <row r="1888" spans="8:8" x14ac:dyDescent="0.25">
      <c r="H1888" t="s">
        <v>31</v>
      </c>
    </row>
    <row r="1889" spans="8:8" x14ac:dyDescent="0.25">
      <c r="H1889" t="s">
        <v>146</v>
      </c>
    </row>
    <row r="1890" spans="8:8" x14ac:dyDescent="0.25">
      <c r="H1890" t="s">
        <v>4711</v>
      </c>
    </row>
    <row r="1891" spans="8:8" x14ac:dyDescent="0.25">
      <c r="H1891" t="s">
        <v>31</v>
      </c>
    </row>
    <row r="1892" spans="8:8" x14ac:dyDescent="0.25">
      <c r="H1892" t="s">
        <v>147</v>
      </c>
    </row>
    <row r="1893" spans="8:8" x14ac:dyDescent="0.25">
      <c r="H1893" t="s">
        <v>4712</v>
      </c>
    </row>
    <row r="1894" spans="8:8" x14ac:dyDescent="0.25">
      <c r="H1894" t="s">
        <v>31</v>
      </c>
    </row>
    <row r="1895" spans="8:8" x14ac:dyDescent="0.25">
      <c r="H1895" t="s">
        <v>148</v>
      </c>
    </row>
    <row r="1896" spans="8:8" x14ac:dyDescent="0.25">
      <c r="H1896" t="s">
        <v>4713</v>
      </c>
    </row>
    <row r="1897" spans="8:8" x14ac:dyDescent="0.25">
      <c r="H1897" t="s">
        <v>31</v>
      </c>
    </row>
    <row r="1899" spans="8:8" x14ac:dyDescent="0.25">
      <c r="H1899" t="s">
        <v>1993</v>
      </c>
    </row>
    <row r="1900" spans="8:8" x14ac:dyDescent="0.25">
      <c r="H1900" t="s">
        <v>145</v>
      </c>
    </row>
    <row r="1901" spans="8:8" x14ac:dyDescent="0.25">
      <c r="H1901" t="s">
        <v>4714</v>
      </c>
    </row>
    <row r="1902" spans="8:8" x14ac:dyDescent="0.25">
      <c r="H1902" t="s">
        <v>31</v>
      </c>
    </row>
    <row r="1903" spans="8:8" x14ac:dyDescent="0.25">
      <c r="H1903" t="s">
        <v>146</v>
      </c>
    </row>
    <row r="1904" spans="8:8" x14ac:dyDescent="0.25">
      <c r="H1904" t="s">
        <v>4715</v>
      </c>
    </row>
    <row r="1905" spans="8:8" x14ac:dyDescent="0.25">
      <c r="H1905" t="s">
        <v>31</v>
      </c>
    </row>
    <row r="1906" spans="8:8" x14ac:dyDescent="0.25">
      <c r="H1906" t="s">
        <v>147</v>
      </c>
    </row>
    <row r="1907" spans="8:8" x14ac:dyDescent="0.25">
      <c r="H1907" t="s">
        <v>4716</v>
      </c>
    </row>
    <row r="1908" spans="8:8" x14ac:dyDescent="0.25">
      <c r="H1908" t="s">
        <v>31</v>
      </c>
    </row>
    <row r="1909" spans="8:8" x14ac:dyDescent="0.25">
      <c r="H1909" t="s">
        <v>148</v>
      </c>
    </row>
    <row r="1910" spans="8:8" x14ac:dyDescent="0.25">
      <c r="H1910" t="s">
        <v>4717</v>
      </c>
    </row>
    <row r="1911" spans="8:8" x14ac:dyDescent="0.25">
      <c r="H1911" t="s">
        <v>31</v>
      </c>
    </row>
    <row r="1913" spans="8:8" x14ac:dyDescent="0.25">
      <c r="H1913" t="s">
        <v>1995</v>
      </c>
    </row>
    <row r="1914" spans="8:8" x14ac:dyDescent="0.25">
      <c r="H1914" t="s">
        <v>145</v>
      </c>
    </row>
    <row r="1915" spans="8:8" x14ac:dyDescent="0.25">
      <c r="H1915" t="s">
        <v>4718</v>
      </c>
    </row>
    <row r="1916" spans="8:8" x14ac:dyDescent="0.25">
      <c r="H1916" t="s">
        <v>31</v>
      </c>
    </row>
    <row r="1917" spans="8:8" x14ac:dyDescent="0.25">
      <c r="H1917" t="s">
        <v>146</v>
      </c>
    </row>
    <row r="1918" spans="8:8" x14ac:dyDescent="0.25">
      <c r="H1918" t="s">
        <v>4719</v>
      </c>
    </row>
    <row r="1919" spans="8:8" x14ac:dyDescent="0.25">
      <c r="H1919" t="s">
        <v>31</v>
      </c>
    </row>
    <row r="1920" spans="8:8" x14ac:dyDescent="0.25">
      <c r="H1920" t="s">
        <v>147</v>
      </c>
    </row>
    <row r="1921" spans="8:8" x14ac:dyDescent="0.25">
      <c r="H1921" t="s">
        <v>4720</v>
      </c>
    </row>
    <row r="1922" spans="8:8" x14ac:dyDescent="0.25">
      <c r="H1922" t="s">
        <v>31</v>
      </c>
    </row>
    <row r="1923" spans="8:8" x14ac:dyDescent="0.25">
      <c r="H1923" t="s">
        <v>148</v>
      </c>
    </row>
    <row r="1924" spans="8:8" x14ac:dyDescent="0.25">
      <c r="H1924" t="s">
        <v>4721</v>
      </c>
    </row>
    <row r="1925" spans="8:8" x14ac:dyDescent="0.25">
      <c r="H1925" t="s">
        <v>31</v>
      </c>
    </row>
    <row r="1927" spans="8:8" x14ac:dyDescent="0.25">
      <c r="H1927" t="s">
        <v>1997</v>
      </c>
    </row>
    <row r="1928" spans="8:8" x14ac:dyDescent="0.25">
      <c r="H1928" t="s">
        <v>145</v>
      </c>
    </row>
    <row r="1929" spans="8:8" x14ac:dyDescent="0.25">
      <c r="H1929" t="s">
        <v>4722</v>
      </c>
    </row>
    <row r="1930" spans="8:8" x14ac:dyDescent="0.25">
      <c r="H1930" t="s">
        <v>31</v>
      </c>
    </row>
    <row r="1931" spans="8:8" x14ac:dyDescent="0.25">
      <c r="H1931" t="s">
        <v>146</v>
      </c>
    </row>
    <row r="1932" spans="8:8" x14ac:dyDescent="0.25">
      <c r="H1932" t="s">
        <v>4723</v>
      </c>
    </row>
    <row r="1933" spans="8:8" x14ac:dyDescent="0.25">
      <c r="H1933" t="s">
        <v>31</v>
      </c>
    </row>
    <row r="1934" spans="8:8" x14ac:dyDescent="0.25">
      <c r="H1934" t="s">
        <v>147</v>
      </c>
    </row>
    <row r="1935" spans="8:8" x14ac:dyDescent="0.25">
      <c r="H1935" t="s">
        <v>4724</v>
      </c>
    </row>
    <row r="1936" spans="8:8" x14ac:dyDescent="0.25">
      <c r="H1936" t="s">
        <v>31</v>
      </c>
    </row>
    <row r="1937" spans="8:8" x14ac:dyDescent="0.25">
      <c r="H1937" t="s">
        <v>148</v>
      </c>
    </row>
    <row r="1938" spans="8:8" x14ac:dyDescent="0.25">
      <c r="H1938" t="s">
        <v>4725</v>
      </c>
    </row>
    <row r="1939" spans="8:8" x14ac:dyDescent="0.25">
      <c r="H1939" t="s">
        <v>31</v>
      </c>
    </row>
    <row r="1941" spans="8:8" x14ac:dyDescent="0.25">
      <c r="H1941" t="s">
        <v>1999</v>
      </c>
    </row>
    <row r="1942" spans="8:8" x14ac:dyDescent="0.25">
      <c r="H1942" t="s">
        <v>145</v>
      </c>
    </row>
    <row r="1943" spans="8:8" x14ac:dyDescent="0.25">
      <c r="H1943" t="s">
        <v>4726</v>
      </c>
    </row>
    <row r="1944" spans="8:8" x14ac:dyDescent="0.25">
      <c r="H1944" t="s">
        <v>31</v>
      </c>
    </row>
    <row r="1945" spans="8:8" x14ac:dyDescent="0.25">
      <c r="H1945" t="s">
        <v>146</v>
      </c>
    </row>
    <row r="1946" spans="8:8" x14ac:dyDescent="0.25">
      <c r="H1946" t="s">
        <v>4727</v>
      </c>
    </row>
    <row r="1947" spans="8:8" x14ac:dyDescent="0.25">
      <c r="H1947" t="s">
        <v>31</v>
      </c>
    </row>
    <row r="1948" spans="8:8" x14ac:dyDescent="0.25">
      <c r="H1948" t="s">
        <v>147</v>
      </c>
    </row>
    <row r="1949" spans="8:8" x14ac:dyDescent="0.25">
      <c r="H1949" t="s">
        <v>4728</v>
      </c>
    </row>
    <row r="1950" spans="8:8" x14ac:dyDescent="0.25">
      <c r="H1950" t="s">
        <v>31</v>
      </c>
    </row>
    <row r="1951" spans="8:8" x14ac:dyDescent="0.25">
      <c r="H1951" t="s">
        <v>148</v>
      </c>
    </row>
    <row r="1952" spans="8:8" x14ac:dyDescent="0.25">
      <c r="H1952" t="s">
        <v>4729</v>
      </c>
    </row>
    <row r="1953" spans="8:8" x14ac:dyDescent="0.25">
      <c r="H1953" t="s">
        <v>31</v>
      </c>
    </row>
    <row r="1955" spans="8:8" x14ac:dyDescent="0.25">
      <c r="H1955" t="s">
        <v>2001</v>
      </c>
    </row>
    <row r="1956" spans="8:8" x14ac:dyDescent="0.25">
      <c r="H1956" t="s">
        <v>145</v>
      </c>
    </row>
    <row r="1957" spans="8:8" x14ac:dyDescent="0.25">
      <c r="H1957" t="s">
        <v>4730</v>
      </c>
    </row>
    <row r="1958" spans="8:8" x14ac:dyDescent="0.25">
      <c r="H1958" t="s">
        <v>31</v>
      </c>
    </row>
    <row r="1959" spans="8:8" x14ac:dyDescent="0.25">
      <c r="H1959" t="s">
        <v>146</v>
      </c>
    </row>
    <row r="1960" spans="8:8" x14ac:dyDescent="0.25">
      <c r="H1960" t="s">
        <v>4731</v>
      </c>
    </row>
    <row r="1961" spans="8:8" x14ac:dyDescent="0.25">
      <c r="H1961" t="s">
        <v>31</v>
      </c>
    </row>
    <row r="1962" spans="8:8" x14ac:dyDescent="0.25">
      <c r="H1962" t="s">
        <v>147</v>
      </c>
    </row>
    <row r="1963" spans="8:8" x14ac:dyDescent="0.25">
      <c r="H1963" t="s">
        <v>4732</v>
      </c>
    </row>
    <row r="1964" spans="8:8" x14ac:dyDescent="0.25">
      <c r="H1964" t="s">
        <v>31</v>
      </c>
    </row>
    <row r="1965" spans="8:8" x14ac:dyDescent="0.25">
      <c r="H1965" t="s">
        <v>148</v>
      </c>
    </row>
    <row r="1966" spans="8:8" x14ac:dyDescent="0.25">
      <c r="H1966" t="s">
        <v>4733</v>
      </c>
    </row>
    <row r="1967" spans="8:8" x14ac:dyDescent="0.25">
      <c r="H1967" t="s">
        <v>31</v>
      </c>
    </row>
    <row r="1969" spans="8:8" x14ac:dyDescent="0.25">
      <c r="H1969" t="s">
        <v>2003</v>
      </c>
    </row>
    <row r="1970" spans="8:8" x14ac:dyDescent="0.25">
      <c r="H1970" t="s">
        <v>145</v>
      </c>
    </row>
    <row r="1971" spans="8:8" x14ac:dyDescent="0.25">
      <c r="H1971" t="s">
        <v>4734</v>
      </c>
    </row>
    <row r="1972" spans="8:8" x14ac:dyDescent="0.25">
      <c r="H1972" t="s">
        <v>31</v>
      </c>
    </row>
    <row r="1973" spans="8:8" x14ac:dyDescent="0.25">
      <c r="H1973" t="s">
        <v>146</v>
      </c>
    </row>
    <row r="1974" spans="8:8" x14ac:dyDescent="0.25">
      <c r="H1974" t="s">
        <v>4735</v>
      </c>
    </row>
    <row r="1975" spans="8:8" x14ac:dyDescent="0.25">
      <c r="H1975" t="s">
        <v>31</v>
      </c>
    </row>
    <row r="1976" spans="8:8" x14ac:dyDescent="0.25">
      <c r="H1976" t="s">
        <v>147</v>
      </c>
    </row>
    <row r="1977" spans="8:8" x14ac:dyDescent="0.25">
      <c r="H1977" t="s">
        <v>4736</v>
      </c>
    </row>
    <row r="1978" spans="8:8" x14ac:dyDescent="0.25">
      <c r="H1978" t="s">
        <v>31</v>
      </c>
    </row>
    <row r="1979" spans="8:8" x14ac:dyDescent="0.25">
      <c r="H1979" t="s">
        <v>148</v>
      </c>
    </row>
    <row r="1980" spans="8:8" x14ac:dyDescent="0.25">
      <c r="H1980" t="s">
        <v>4737</v>
      </c>
    </row>
    <row r="1981" spans="8:8" x14ac:dyDescent="0.25">
      <c r="H1981" t="s">
        <v>31</v>
      </c>
    </row>
    <row r="1983" spans="8:8" x14ac:dyDescent="0.25">
      <c r="H1983" t="s">
        <v>2005</v>
      </c>
    </row>
    <row r="1984" spans="8:8" x14ac:dyDescent="0.25">
      <c r="H1984" t="s">
        <v>145</v>
      </c>
    </row>
    <row r="1985" spans="8:8" x14ac:dyDescent="0.25">
      <c r="H1985" t="s">
        <v>4738</v>
      </c>
    </row>
    <row r="1986" spans="8:8" x14ac:dyDescent="0.25">
      <c r="H1986" t="s">
        <v>31</v>
      </c>
    </row>
    <row r="1987" spans="8:8" x14ac:dyDescent="0.25">
      <c r="H1987" t="s">
        <v>146</v>
      </c>
    </row>
    <row r="1988" spans="8:8" x14ac:dyDescent="0.25">
      <c r="H1988" t="s">
        <v>4739</v>
      </c>
    </row>
    <row r="1989" spans="8:8" x14ac:dyDescent="0.25">
      <c r="H1989" t="s">
        <v>31</v>
      </c>
    </row>
    <row r="1990" spans="8:8" x14ac:dyDescent="0.25">
      <c r="H1990" t="s">
        <v>147</v>
      </c>
    </row>
    <row r="1991" spans="8:8" x14ac:dyDescent="0.25">
      <c r="H1991" t="s">
        <v>4740</v>
      </c>
    </row>
    <row r="1992" spans="8:8" x14ac:dyDescent="0.25">
      <c r="H1992" t="s">
        <v>31</v>
      </c>
    </row>
    <row r="1993" spans="8:8" x14ac:dyDescent="0.25">
      <c r="H1993" t="s">
        <v>148</v>
      </c>
    </row>
    <row r="1994" spans="8:8" x14ac:dyDescent="0.25">
      <c r="H1994" t="s">
        <v>4741</v>
      </c>
    </row>
    <row r="1995" spans="8:8" x14ac:dyDescent="0.25">
      <c r="H1995" t="s">
        <v>31</v>
      </c>
    </row>
    <row r="1997" spans="8:8" x14ac:dyDescent="0.25">
      <c r="H1997" t="s">
        <v>2007</v>
      </c>
    </row>
    <row r="1998" spans="8:8" x14ac:dyDescent="0.25">
      <c r="H1998" t="s">
        <v>145</v>
      </c>
    </row>
    <row r="1999" spans="8:8" x14ac:dyDescent="0.25">
      <c r="H1999" t="s">
        <v>4742</v>
      </c>
    </row>
    <row r="2000" spans="8:8" x14ac:dyDescent="0.25">
      <c r="H2000" t="s">
        <v>31</v>
      </c>
    </row>
    <row r="2001" spans="8:8" x14ac:dyDescent="0.25">
      <c r="H2001" t="s">
        <v>146</v>
      </c>
    </row>
    <row r="2002" spans="8:8" x14ac:dyDescent="0.25">
      <c r="H2002" t="s">
        <v>4743</v>
      </c>
    </row>
    <row r="2003" spans="8:8" x14ac:dyDescent="0.25">
      <c r="H2003" t="s">
        <v>31</v>
      </c>
    </row>
    <row r="2004" spans="8:8" x14ac:dyDescent="0.25">
      <c r="H2004" t="s">
        <v>147</v>
      </c>
    </row>
    <row r="2005" spans="8:8" x14ac:dyDescent="0.25">
      <c r="H2005" t="s">
        <v>4744</v>
      </c>
    </row>
    <row r="2006" spans="8:8" x14ac:dyDescent="0.25">
      <c r="H2006" t="s">
        <v>31</v>
      </c>
    </row>
    <row r="2007" spans="8:8" x14ac:dyDescent="0.25">
      <c r="H2007" t="s">
        <v>148</v>
      </c>
    </row>
    <row r="2008" spans="8:8" x14ac:dyDescent="0.25">
      <c r="H2008" t="s">
        <v>4745</v>
      </c>
    </row>
    <row r="2009" spans="8:8" x14ac:dyDescent="0.25">
      <c r="H2009" t="s">
        <v>31</v>
      </c>
    </row>
    <row r="2011" spans="8:8" x14ac:dyDescent="0.25">
      <c r="H2011" t="s">
        <v>2009</v>
      </c>
    </row>
    <row r="2012" spans="8:8" x14ac:dyDescent="0.25">
      <c r="H2012" t="s">
        <v>145</v>
      </c>
    </row>
    <row r="2013" spans="8:8" x14ac:dyDescent="0.25">
      <c r="H2013" t="s">
        <v>4746</v>
      </c>
    </row>
    <row r="2014" spans="8:8" x14ac:dyDescent="0.25">
      <c r="H2014" t="s">
        <v>31</v>
      </c>
    </row>
    <row r="2015" spans="8:8" x14ac:dyDescent="0.25">
      <c r="H2015" t="s">
        <v>146</v>
      </c>
    </row>
    <row r="2016" spans="8:8" x14ac:dyDescent="0.25">
      <c r="H2016" t="s">
        <v>4747</v>
      </c>
    </row>
    <row r="2017" spans="8:8" x14ac:dyDescent="0.25">
      <c r="H2017" t="s">
        <v>31</v>
      </c>
    </row>
    <row r="2018" spans="8:8" x14ac:dyDescent="0.25">
      <c r="H2018" t="s">
        <v>147</v>
      </c>
    </row>
    <row r="2019" spans="8:8" x14ac:dyDescent="0.25">
      <c r="H2019" t="s">
        <v>4748</v>
      </c>
    </row>
    <row r="2020" spans="8:8" x14ac:dyDescent="0.25">
      <c r="H2020" t="s">
        <v>31</v>
      </c>
    </row>
    <row r="2021" spans="8:8" x14ac:dyDescent="0.25">
      <c r="H2021" t="s">
        <v>148</v>
      </c>
    </row>
    <row r="2022" spans="8:8" x14ac:dyDescent="0.25">
      <c r="H2022" t="s">
        <v>4749</v>
      </c>
    </row>
    <row r="2023" spans="8:8" x14ac:dyDescent="0.25">
      <c r="H2023" t="s">
        <v>31</v>
      </c>
    </row>
    <row r="2025" spans="8:8" x14ac:dyDescent="0.25">
      <c r="H2025" t="s">
        <v>2011</v>
      </c>
    </row>
    <row r="2026" spans="8:8" x14ac:dyDescent="0.25">
      <c r="H2026" t="s">
        <v>145</v>
      </c>
    </row>
    <row r="2027" spans="8:8" x14ac:dyDescent="0.25">
      <c r="H2027" t="s">
        <v>4750</v>
      </c>
    </row>
    <row r="2028" spans="8:8" x14ac:dyDescent="0.25">
      <c r="H2028" t="s">
        <v>31</v>
      </c>
    </row>
    <row r="2029" spans="8:8" x14ac:dyDescent="0.25">
      <c r="H2029" t="s">
        <v>146</v>
      </c>
    </row>
    <row r="2030" spans="8:8" x14ac:dyDescent="0.25">
      <c r="H2030" t="s">
        <v>4751</v>
      </c>
    </row>
    <row r="2031" spans="8:8" x14ac:dyDescent="0.25">
      <c r="H2031" t="s">
        <v>31</v>
      </c>
    </row>
    <row r="2032" spans="8:8" x14ac:dyDescent="0.25">
      <c r="H2032" t="s">
        <v>147</v>
      </c>
    </row>
    <row r="2033" spans="8:8" x14ac:dyDescent="0.25">
      <c r="H2033" t="s">
        <v>4752</v>
      </c>
    </row>
    <row r="2034" spans="8:8" x14ac:dyDescent="0.25">
      <c r="H2034" t="s">
        <v>31</v>
      </c>
    </row>
    <row r="2035" spans="8:8" x14ac:dyDescent="0.25">
      <c r="H2035" t="s">
        <v>148</v>
      </c>
    </row>
    <row r="2036" spans="8:8" x14ac:dyDescent="0.25">
      <c r="H2036" t="s">
        <v>4753</v>
      </c>
    </row>
    <row r="2037" spans="8:8" x14ac:dyDescent="0.25">
      <c r="H2037" t="s">
        <v>31</v>
      </c>
    </row>
    <row r="2039" spans="8:8" x14ac:dyDescent="0.25">
      <c r="H2039" t="s">
        <v>2013</v>
      </c>
    </row>
    <row r="2040" spans="8:8" x14ac:dyDescent="0.25">
      <c r="H2040" t="s">
        <v>145</v>
      </c>
    </row>
    <row r="2041" spans="8:8" x14ac:dyDescent="0.25">
      <c r="H2041" t="s">
        <v>4754</v>
      </c>
    </row>
    <row r="2042" spans="8:8" x14ac:dyDescent="0.25">
      <c r="H2042" t="s">
        <v>31</v>
      </c>
    </row>
    <row r="2043" spans="8:8" x14ac:dyDescent="0.25">
      <c r="H2043" t="s">
        <v>146</v>
      </c>
    </row>
    <row r="2044" spans="8:8" x14ac:dyDescent="0.25">
      <c r="H2044" t="s">
        <v>4755</v>
      </c>
    </row>
    <row r="2045" spans="8:8" x14ac:dyDescent="0.25">
      <c r="H2045" t="s">
        <v>31</v>
      </c>
    </row>
    <row r="2046" spans="8:8" x14ac:dyDescent="0.25">
      <c r="H2046" t="s">
        <v>147</v>
      </c>
    </row>
    <row r="2047" spans="8:8" x14ac:dyDescent="0.25">
      <c r="H2047" t="s">
        <v>4756</v>
      </c>
    </row>
    <row r="2048" spans="8:8" x14ac:dyDescent="0.25">
      <c r="H2048" t="s">
        <v>31</v>
      </c>
    </row>
    <row r="2049" spans="8:8" x14ac:dyDescent="0.25">
      <c r="H2049" t="s">
        <v>148</v>
      </c>
    </row>
    <row r="2050" spans="8:8" x14ac:dyDescent="0.25">
      <c r="H2050" t="s">
        <v>4757</v>
      </c>
    </row>
    <row r="2051" spans="8:8" x14ac:dyDescent="0.25">
      <c r="H2051" t="s">
        <v>31</v>
      </c>
    </row>
    <row r="2053" spans="8:8" x14ac:dyDescent="0.25">
      <c r="H2053" t="s">
        <v>2015</v>
      </c>
    </row>
    <row r="2054" spans="8:8" x14ac:dyDescent="0.25">
      <c r="H2054" t="s">
        <v>145</v>
      </c>
    </row>
    <row r="2055" spans="8:8" x14ac:dyDescent="0.25">
      <c r="H2055" t="s">
        <v>4758</v>
      </c>
    </row>
    <row r="2056" spans="8:8" x14ac:dyDescent="0.25">
      <c r="H2056" t="s">
        <v>31</v>
      </c>
    </row>
    <row r="2057" spans="8:8" x14ac:dyDescent="0.25">
      <c r="H2057" t="s">
        <v>146</v>
      </c>
    </row>
    <row r="2058" spans="8:8" x14ac:dyDescent="0.25">
      <c r="H2058" t="s">
        <v>4759</v>
      </c>
    </row>
    <row r="2059" spans="8:8" x14ac:dyDescent="0.25">
      <c r="H2059" t="s">
        <v>31</v>
      </c>
    </row>
    <row r="2060" spans="8:8" x14ac:dyDescent="0.25">
      <c r="H2060" t="s">
        <v>147</v>
      </c>
    </row>
    <row r="2061" spans="8:8" x14ac:dyDescent="0.25">
      <c r="H2061" t="s">
        <v>4760</v>
      </c>
    </row>
    <row r="2062" spans="8:8" x14ac:dyDescent="0.25">
      <c r="H2062" t="s">
        <v>31</v>
      </c>
    </row>
    <row r="2063" spans="8:8" x14ac:dyDescent="0.25">
      <c r="H2063" t="s">
        <v>148</v>
      </c>
    </row>
    <row r="2064" spans="8:8" x14ac:dyDescent="0.25">
      <c r="H2064" t="s">
        <v>4761</v>
      </c>
    </row>
    <row r="2065" spans="8:8" x14ac:dyDescent="0.25">
      <c r="H2065" t="s">
        <v>31</v>
      </c>
    </row>
    <row r="2067" spans="8:8" x14ac:dyDescent="0.25">
      <c r="H2067" t="s">
        <v>2017</v>
      </c>
    </row>
    <row r="2068" spans="8:8" x14ac:dyDescent="0.25">
      <c r="H2068" t="s">
        <v>145</v>
      </c>
    </row>
    <row r="2069" spans="8:8" x14ac:dyDescent="0.25">
      <c r="H2069" t="s">
        <v>4762</v>
      </c>
    </row>
    <row r="2070" spans="8:8" x14ac:dyDescent="0.25">
      <c r="H2070" t="s">
        <v>31</v>
      </c>
    </row>
    <row r="2071" spans="8:8" x14ac:dyDescent="0.25">
      <c r="H2071" t="s">
        <v>146</v>
      </c>
    </row>
    <row r="2072" spans="8:8" x14ac:dyDescent="0.25">
      <c r="H2072" t="s">
        <v>4763</v>
      </c>
    </row>
    <row r="2073" spans="8:8" x14ac:dyDescent="0.25">
      <c r="H2073" t="s">
        <v>31</v>
      </c>
    </row>
    <row r="2074" spans="8:8" x14ac:dyDescent="0.25">
      <c r="H2074" t="s">
        <v>2678</v>
      </c>
    </row>
    <row r="2075" spans="8:8" x14ac:dyDescent="0.25">
      <c r="H2075" t="s">
        <v>147</v>
      </c>
    </row>
    <row r="2076" spans="8:8" x14ac:dyDescent="0.25">
      <c r="H2076" t="s">
        <v>4764</v>
      </c>
    </row>
    <row r="2077" spans="8:8" x14ac:dyDescent="0.25">
      <c r="H2077" t="s">
        <v>31</v>
      </c>
    </row>
    <row r="2079" spans="8:8" x14ac:dyDescent="0.25">
      <c r="H2079" t="s">
        <v>2019</v>
      </c>
    </row>
    <row r="2080" spans="8:8" x14ac:dyDescent="0.25">
      <c r="H2080" t="s">
        <v>145</v>
      </c>
    </row>
    <row r="2081" spans="8:8" x14ac:dyDescent="0.25">
      <c r="H2081" t="s">
        <v>4765</v>
      </c>
    </row>
    <row r="2082" spans="8:8" x14ac:dyDescent="0.25">
      <c r="H2082" t="s">
        <v>31</v>
      </c>
    </row>
    <row r="2084" spans="8:8" x14ac:dyDescent="0.25">
      <c r="H2084" t="s">
        <v>2021</v>
      </c>
    </row>
    <row r="2085" spans="8:8" x14ac:dyDescent="0.25">
      <c r="H2085" t="s">
        <v>145</v>
      </c>
    </row>
    <row r="2086" spans="8:8" x14ac:dyDescent="0.25">
      <c r="H2086" t="s">
        <v>4766</v>
      </c>
    </row>
    <row r="2087" spans="8:8" x14ac:dyDescent="0.25">
      <c r="H2087" t="s">
        <v>31</v>
      </c>
    </row>
    <row r="2089" spans="8:8" x14ac:dyDescent="0.25">
      <c r="H2089" t="s">
        <v>2023</v>
      </c>
    </row>
    <row r="2090" spans="8:8" x14ac:dyDescent="0.25">
      <c r="H2090" t="s">
        <v>145</v>
      </c>
    </row>
    <row r="2091" spans="8:8" x14ac:dyDescent="0.25">
      <c r="H2091" t="s">
        <v>4767</v>
      </c>
    </row>
    <row r="2092" spans="8:8" x14ac:dyDescent="0.25">
      <c r="H2092" t="s">
        <v>31</v>
      </c>
    </row>
    <row r="2094" spans="8:8" x14ac:dyDescent="0.25">
      <c r="H2094" t="s">
        <v>2025</v>
      </c>
    </row>
    <row r="2095" spans="8:8" x14ac:dyDescent="0.25">
      <c r="H2095" t="s">
        <v>145</v>
      </c>
    </row>
    <row r="2096" spans="8:8" x14ac:dyDescent="0.25">
      <c r="H2096" t="s">
        <v>4768</v>
      </c>
    </row>
    <row r="2097" spans="8:8" x14ac:dyDescent="0.25">
      <c r="H2097" t="s">
        <v>31</v>
      </c>
    </row>
    <row r="2099" spans="8:8" x14ac:dyDescent="0.25">
      <c r="H2099" t="s">
        <v>2027</v>
      </c>
    </row>
    <row r="2100" spans="8:8" x14ac:dyDescent="0.25">
      <c r="H2100" t="s">
        <v>145</v>
      </c>
    </row>
    <row r="2101" spans="8:8" x14ac:dyDescent="0.25">
      <c r="H2101" t="s">
        <v>4769</v>
      </c>
    </row>
    <row r="2102" spans="8:8" x14ac:dyDescent="0.25">
      <c r="H2102" t="s">
        <v>31</v>
      </c>
    </row>
    <row r="2104" spans="8:8" x14ac:dyDescent="0.25">
      <c r="H2104" t="s">
        <v>2029</v>
      </c>
    </row>
    <row r="2105" spans="8:8" x14ac:dyDescent="0.25">
      <c r="H2105" t="s">
        <v>145</v>
      </c>
    </row>
    <row r="2106" spans="8:8" x14ac:dyDescent="0.25">
      <c r="H2106" t="s">
        <v>4770</v>
      </c>
    </row>
    <row r="2107" spans="8:8" x14ac:dyDescent="0.25">
      <c r="H2107" t="s">
        <v>31</v>
      </c>
    </row>
    <row r="2109" spans="8:8" x14ac:dyDescent="0.25">
      <c r="H2109" t="s">
        <v>2031</v>
      </c>
    </row>
    <row r="2110" spans="8:8" x14ac:dyDescent="0.25">
      <c r="H2110" t="s">
        <v>145</v>
      </c>
    </row>
    <row r="2111" spans="8:8" x14ac:dyDescent="0.25">
      <c r="H2111" t="s">
        <v>4771</v>
      </c>
    </row>
    <row r="2112" spans="8:8" x14ac:dyDescent="0.25">
      <c r="H2112" t="s">
        <v>31</v>
      </c>
    </row>
    <row r="2114" spans="8:8" x14ac:dyDescent="0.25">
      <c r="H2114" t="s">
        <v>2033</v>
      </c>
    </row>
    <row r="2115" spans="8:8" x14ac:dyDescent="0.25">
      <c r="H2115" t="s">
        <v>145</v>
      </c>
    </row>
    <row r="2116" spans="8:8" x14ac:dyDescent="0.25">
      <c r="H2116" t="s">
        <v>4772</v>
      </c>
    </row>
    <row r="2117" spans="8:8" x14ac:dyDescent="0.25">
      <c r="H2117" t="s">
        <v>31</v>
      </c>
    </row>
    <row r="2119" spans="8:8" x14ac:dyDescent="0.25">
      <c r="H2119" t="s">
        <v>2035</v>
      </c>
    </row>
    <row r="2120" spans="8:8" x14ac:dyDescent="0.25">
      <c r="H2120" t="s">
        <v>145</v>
      </c>
    </row>
    <row r="2121" spans="8:8" x14ac:dyDescent="0.25">
      <c r="H2121" t="s">
        <v>4773</v>
      </c>
    </row>
    <row r="2122" spans="8:8" x14ac:dyDescent="0.25">
      <c r="H2122" t="s">
        <v>31</v>
      </c>
    </row>
    <row r="2124" spans="8:8" x14ac:dyDescent="0.25">
      <c r="H2124" t="s">
        <v>2037</v>
      </c>
    </row>
    <row r="2125" spans="8:8" x14ac:dyDescent="0.25">
      <c r="H2125" t="s">
        <v>145</v>
      </c>
    </row>
    <row r="2126" spans="8:8" x14ac:dyDescent="0.25">
      <c r="H2126" t="s">
        <v>4774</v>
      </c>
    </row>
    <row r="2127" spans="8:8" x14ac:dyDescent="0.25">
      <c r="H2127" t="s">
        <v>31</v>
      </c>
    </row>
    <row r="2129" spans="8:8" x14ac:dyDescent="0.25">
      <c r="H2129" t="s">
        <v>2039</v>
      </c>
    </row>
    <row r="2130" spans="8:8" x14ac:dyDescent="0.25">
      <c r="H2130" t="s">
        <v>145</v>
      </c>
    </row>
    <row r="2131" spans="8:8" x14ac:dyDescent="0.25">
      <c r="H2131" t="s">
        <v>4775</v>
      </c>
    </row>
    <row r="2132" spans="8:8" x14ac:dyDescent="0.25">
      <c r="H2132" t="s">
        <v>31</v>
      </c>
    </row>
    <row r="2134" spans="8:8" x14ac:dyDescent="0.25">
      <c r="H2134" t="s">
        <v>2041</v>
      </c>
    </row>
    <row r="2135" spans="8:8" x14ac:dyDescent="0.25">
      <c r="H2135" t="s">
        <v>145</v>
      </c>
    </row>
    <row r="2136" spans="8:8" x14ac:dyDescent="0.25">
      <c r="H2136" t="s">
        <v>4776</v>
      </c>
    </row>
    <row r="2137" spans="8:8" x14ac:dyDescent="0.25">
      <c r="H2137" t="s">
        <v>31</v>
      </c>
    </row>
    <row r="2138" spans="8:8" x14ac:dyDescent="0.25">
      <c r="H2138" t="s">
        <v>146</v>
      </c>
    </row>
    <row r="2139" spans="8:8" x14ac:dyDescent="0.25">
      <c r="H2139" t="s">
        <v>4777</v>
      </c>
    </row>
    <row r="2140" spans="8:8" x14ac:dyDescent="0.25">
      <c r="H2140" t="s">
        <v>31</v>
      </c>
    </row>
    <row r="2141" spans="8:8" x14ac:dyDescent="0.25">
      <c r="H2141" t="s">
        <v>147</v>
      </c>
    </row>
    <row r="2142" spans="8:8" x14ac:dyDescent="0.25">
      <c r="H2142" t="s">
        <v>4778</v>
      </c>
    </row>
    <row r="2143" spans="8:8" x14ac:dyDescent="0.25">
      <c r="H2143" t="s">
        <v>31</v>
      </c>
    </row>
    <row r="2144" spans="8:8" x14ac:dyDescent="0.25">
      <c r="H2144" t="s">
        <v>148</v>
      </c>
    </row>
    <row r="2145" spans="8:8" x14ac:dyDescent="0.25">
      <c r="H2145" t="s">
        <v>4779</v>
      </c>
    </row>
    <row r="2146" spans="8:8" x14ac:dyDescent="0.25">
      <c r="H2146" t="s">
        <v>31</v>
      </c>
    </row>
    <row r="2148" spans="8:8" x14ac:dyDescent="0.25">
      <c r="H2148" t="s">
        <v>2043</v>
      </c>
    </row>
    <row r="2149" spans="8:8" x14ac:dyDescent="0.25">
      <c r="H2149" t="s">
        <v>145</v>
      </c>
    </row>
    <row r="2150" spans="8:8" x14ac:dyDescent="0.25">
      <c r="H2150" t="s">
        <v>4780</v>
      </c>
    </row>
    <row r="2151" spans="8:8" x14ac:dyDescent="0.25">
      <c r="H2151" t="s">
        <v>31</v>
      </c>
    </row>
    <row r="2153" spans="8:8" x14ac:dyDescent="0.25">
      <c r="H2153" t="s">
        <v>2048</v>
      </c>
    </row>
    <row r="2154" spans="8:8" x14ac:dyDescent="0.25">
      <c r="H2154" t="s">
        <v>145</v>
      </c>
    </row>
    <row r="2155" spans="8:8" x14ac:dyDescent="0.25">
      <c r="H2155" t="s">
        <v>4781</v>
      </c>
    </row>
    <row r="2156" spans="8:8" x14ac:dyDescent="0.25">
      <c r="H2156" t="s">
        <v>31</v>
      </c>
    </row>
    <row r="2158" spans="8:8" x14ac:dyDescent="0.25">
      <c r="H2158" t="s">
        <v>2053</v>
      </c>
    </row>
    <row r="2159" spans="8:8" x14ac:dyDescent="0.25">
      <c r="H2159" t="s">
        <v>145</v>
      </c>
    </row>
    <row r="2160" spans="8:8" x14ac:dyDescent="0.25">
      <c r="H2160" t="s">
        <v>4782</v>
      </c>
    </row>
    <row r="2161" spans="8:8" x14ac:dyDescent="0.25">
      <c r="H2161" t="s">
        <v>31</v>
      </c>
    </row>
    <row r="2163" spans="8:8" x14ac:dyDescent="0.25">
      <c r="H2163" t="s">
        <v>2058</v>
      </c>
    </row>
    <row r="2164" spans="8:8" x14ac:dyDescent="0.25">
      <c r="H2164" t="s">
        <v>145</v>
      </c>
    </row>
    <row r="2165" spans="8:8" x14ac:dyDescent="0.25">
      <c r="H2165" t="s">
        <v>4783</v>
      </c>
    </row>
    <row r="2166" spans="8:8" x14ac:dyDescent="0.25">
      <c r="H2166" t="s">
        <v>31</v>
      </c>
    </row>
    <row r="2168" spans="8:8" x14ac:dyDescent="0.25">
      <c r="H2168" t="s">
        <v>2063</v>
      </c>
    </row>
    <row r="2169" spans="8:8" x14ac:dyDescent="0.25">
      <c r="H2169" t="s">
        <v>145</v>
      </c>
    </row>
    <row r="2170" spans="8:8" x14ac:dyDescent="0.25">
      <c r="H2170" t="s">
        <v>4784</v>
      </c>
    </row>
    <row r="2171" spans="8:8" x14ac:dyDescent="0.25">
      <c r="H2171" t="s">
        <v>31</v>
      </c>
    </row>
    <row r="2173" spans="8:8" x14ac:dyDescent="0.25">
      <c r="H2173" t="s">
        <v>2065</v>
      </c>
    </row>
    <row r="2174" spans="8:8" x14ac:dyDescent="0.25">
      <c r="H2174" t="s">
        <v>145</v>
      </c>
    </row>
    <row r="2175" spans="8:8" x14ac:dyDescent="0.25">
      <c r="H2175" t="s">
        <v>4785</v>
      </c>
    </row>
    <row r="2176" spans="8:8" x14ac:dyDescent="0.25">
      <c r="H2176" t="s">
        <v>31</v>
      </c>
    </row>
    <row r="2178" spans="8:8" x14ac:dyDescent="0.25">
      <c r="H2178" t="s">
        <v>2067</v>
      </c>
    </row>
    <row r="2179" spans="8:8" x14ac:dyDescent="0.25">
      <c r="H2179" t="s">
        <v>145</v>
      </c>
    </row>
    <row r="2180" spans="8:8" x14ac:dyDescent="0.25">
      <c r="H2180" t="s">
        <v>4786</v>
      </c>
    </row>
    <row r="2181" spans="8:8" x14ac:dyDescent="0.25">
      <c r="H2181" t="s">
        <v>31</v>
      </c>
    </row>
    <row r="2183" spans="8:8" x14ac:dyDescent="0.25">
      <c r="H2183" t="s">
        <v>2069</v>
      </c>
    </row>
    <row r="2184" spans="8:8" x14ac:dyDescent="0.25">
      <c r="H2184" t="s">
        <v>145</v>
      </c>
    </row>
    <row r="2185" spans="8:8" x14ac:dyDescent="0.25">
      <c r="H2185" t="s">
        <v>4787</v>
      </c>
    </row>
    <row r="2186" spans="8:8" x14ac:dyDescent="0.25">
      <c r="H2186" t="s">
        <v>31</v>
      </c>
    </row>
    <row r="2188" spans="8:8" x14ac:dyDescent="0.25">
      <c r="H2188" t="s">
        <v>2071</v>
      </c>
    </row>
    <row r="2189" spans="8:8" x14ac:dyDescent="0.25">
      <c r="H2189" t="s">
        <v>145</v>
      </c>
    </row>
    <row r="2190" spans="8:8" x14ac:dyDescent="0.25">
      <c r="H2190" t="s">
        <v>4788</v>
      </c>
    </row>
    <row r="2191" spans="8:8" x14ac:dyDescent="0.25">
      <c r="H2191" t="s">
        <v>31</v>
      </c>
    </row>
    <row r="2193" spans="8:8" x14ac:dyDescent="0.25">
      <c r="H2193" t="s">
        <v>2073</v>
      </c>
    </row>
    <row r="2194" spans="8:8" x14ac:dyDescent="0.25">
      <c r="H2194" t="s">
        <v>145</v>
      </c>
    </row>
    <row r="2195" spans="8:8" x14ac:dyDescent="0.25">
      <c r="H2195" t="s">
        <v>4789</v>
      </c>
    </row>
    <row r="2196" spans="8:8" x14ac:dyDescent="0.25">
      <c r="H2196" t="s">
        <v>31</v>
      </c>
    </row>
    <row r="2198" spans="8:8" x14ac:dyDescent="0.25">
      <c r="H2198" t="s">
        <v>2075</v>
      </c>
    </row>
    <row r="2199" spans="8:8" x14ac:dyDescent="0.25">
      <c r="H2199" t="s">
        <v>145</v>
      </c>
    </row>
    <row r="2200" spans="8:8" x14ac:dyDescent="0.25">
      <c r="H2200" t="s">
        <v>4790</v>
      </c>
    </row>
    <row r="2201" spans="8:8" x14ac:dyDescent="0.25">
      <c r="H2201" t="s">
        <v>31</v>
      </c>
    </row>
    <row r="2203" spans="8:8" x14ac:dyDescent="0.25">
      <c r="H2203" t="s">
        <v>2077</v>
      </c>
    </row>
    <row r="2204" spans="8:8" x14ac:dyDescent="0.25">
      <c r="H2204" t="s">
        <v>145</v>
      </c>
    </row>
    <row r="2205" spans="8:8" x14ac:dyDescent="0.25">
      <c r="H2205" t="s">
        <v>4791</v>
      </c>
    </row>
    <row r="2206" spans="8:8" x14ac:dyDescent="0.25">
      <c r="H2206" t="s">
        <v>31</v>
      </c>
    </row>
    <row r="2208" spans="8:8" x14ac:dyDescent="0.25">
      <c r="H2208" t="s">
        <v>2079</v>
      </c>
    </row>
    <row r="2209" spans="8:8" x14ac:dyDescent="0.25">
      <c r="H2209" t="s">
        <v>145</v>
      </c>
    </row>
    <row r="2210" spans="8:8" x14ac:dyDescent="0.25">
      <c r="H2210" t="s">
        <v>4792</v>
      </c>
    </row>
    <row r="2211" spans="8:8" x14ac:dyDescent="0.25">
      <c r="H2211" t="s">
        <v>31</v>
      </c>
    </row>
    <row r="2213" spans="8:8" x14ac:dyDescent="0.25">
      <c r="H2213" t="s">
        <v>2081</v>
      </c>
    </row>
    <row r="2214" spans="8:8" x14ac:dyDescent="0.25">
      <c r="H2214" t="s">
        <v>145</v>
      </c>
    </row>
    <row r="2215" spans="8:8" x14ac:dyDescent="0.25">
      <c r="H2215" t="s">
        <v>4793</v>
      </c>
    </row>
    <row r="2216" spans="8:8" x14ac:dyDescent="0.25">
      <c r="H2216" t="s">
        <v>31</v>
      </c>
    </row>
    <row r="2218" spans="8:8" x14ac:dyDescent="0.25">
      <c r="H2218" t="s">
        <v>2083</v>
      </c>
    </row>
    <row r="2219" spans="8:8" x14ac:dyDescent="0.25">
      <c r="H2219" t="s">
        <v>145</v>
      </c>
    </row>
    <row r="2220" spans="8:8" x14ac:dyDescent="0.25">
      <c r="H2220" t="s">
        <v>4794</v>
      </c>
    </row>
    <row r="2221" spans="8:8" x14ac:dyDescent="0.25">
      <c r="H2221" t="s">
        <v>31</v>
      </c>
    </row>
    <row r="2223" spans="8:8" x14ac:dyDescent="0.25">
      <c r="H2223" t="s">
        <v>2085</v>
      </c>
    </row>
    <row r="2224" spans="8:8" x14ac:dyDescent="0.25">
      <c r="H2224" t="s">
        <v>145</v>
      </c>
    </row>
    <row r="2225" spans="8:8" x14ac:dyDescent="0.25">
      <c r="H2225" t="s">
        <v>4795</v>
      </c>
    </row>
    <row r="2226" spans="8:8" x14ac:dyDescent="0.25">
      <c r="H2226" t="s">
        <v>31</v>
      </c>
    </row>
    <row r="2228" spans="8:8" x14ac:dyDescent="0.25">
      <c r="H2228" t="s">
        <v>2090</v>
      </c>
    </row>
    <row r="2229" spans="8:8" x14ac:dyDescent="0.25">
      <c r="H2229" t="s">
        <v>145</v>
      </c>
    </row>
    <row r="2230" spans="8:8" x14ac:dyDescent="0.25">
      <c r="H2230" t="s">
        <v>4796</v>
      </c>
    </row>
    <row r="2231" spans="8:8" x14ac:dyDescent="0.25">
      <c r="H2231" t="s">
        <v>31</v>
      </c>
    </row>
    <row r="2233" spans="8:8" x14ac:dyDescent="0.25">
      <c r="H2233" t="s">
        <v>2092</v>
      </c>
    </row>
    <row r="2234" spans="8:8" x14ac:dyDescent="0.25">
      <c r="H2234" t="s">
        <v>145</v>
      </c>
    </row>
    <row r="2235" spans="8:8" x14ac:dyDescent="0.25">
      <c r="H2235" t="s">
        <v>4797</v>
      </c>
    </row>
    <row r="2236" spans="8:8" x14ac:dyDescent="0.25">
      <c r="H2236" t="s">
        <v>31</v>
      </c>
    </row>
    <row r="2238" spans="8:8" x14ac:dyDescent="0.25">
      <c r="H2238" t="s">
        <v>2094</v>
      </c>
    </row>
    <row r="2239" spans="8:8" x14ac:dyDescent="0.25">
      <c r="H2239" t="s">
        <v>145</v>
      </c>
    </row>
    <row r="2240" spans="8:8" x14ac:dyDescent="0.25">
      <c r="H2240" t="s">
        <v>4798</v>
      </c>
    </row>
    <row r="2241" spans="8:8" x14ac:dyDescent="0.25">
      <c r="H2241" t="s">
        <v>31</v>
      </c>
    </row>
    <row r="2243" spans="8:8" x14ac:dyDescent="0.25">
      <c r="H2243" t="s">
        <v>2096</v>
      </c>
    </row>
    <row r="2244" spans="8:8" x14ac:dyDescent="0.25">
      <c r="H2244" t="s">
        <v>145</v>
      </c>
    </row>
    <row r="2245" spans="8:8" x14ac:dyDescent="0.25">
      <c r="H2245" t="s">
        <v>4799</v>
      </c>
    </row>
    <row r="2246" spans="8:8" x14ac:dyDescent="0.25">
      <c r="H2246" t="s">
        <v>31</v>
      </c>
    </row>
    <row r="2248" spans="8:8" x14ac:dyDescent="0.25">
      <c r="H2248" t="s">
        <v>2098</v>
      </c>
    </row>
    <row r="2249" spans="8:8" x14ac:dyDescent="0.25">
      <c r="H2249" t="s">
        <v>145</v>
      </c>
    </row>
    <row r="2250" spans="8:8" x14ac:dyDescent="0.25">
      <c r="H2250" t="s">
        <v>4800</v>
      </c>
    </row>
    <row r="2251" spans="8:8" x14ac:dyDescent="0.25">
      <c r="H2251" t="s">
        <v>31</v>
      </c>
    </row>
    <row r="2253" spans="8:8" x14ac:dyDescent="0.25">
      <c r="H2253" t="s">
        <v>2100</v>
      </c>
    </row>
    <row r="2254" spans="8:8" x14ac:dyDescent="0.25">
      <c r="H2254" t="s">
        <v>145</v>
      </c>
    </row>
    <row r="2255" spans="8:8" x14ac:dyDescent="0.25">
      <c r="H2255" t="s">
        <v>4801</v>
      </c>
    </row>
    <row r="2256" spans="8:8" x14ac:dyDescent="0.25">
      <c r="H2256" t="s">
        <v>31</v>
      </c>
    </row>
    <row r="2257" spans="8:8" x14ac:dyDescent="0.25">
      <c r="H2257" t="s">
        <v>147</v>
      </c>
    </row>
    <row r="2258" spans="8:8" x14ac:dyDescent="0.25">
      <c r="H2258" t="s">
        <v>4802</v>
      </c>
    </row>
    <row r="2259" spans="8:8" x14ac:dyDescent="0.25">
      <c r="H2259" t="s">
        <v>31</v>
      </c>
    </row>
    <row r="2260" spans="8:8" x14ac:dyDescent="0.25">
      <c r="H2260" t="s">
        <v>148</v>
      </c>
    </row>
    <row r="2261" spans="8:8" x14ac:dyDescent="0.25">
      <c r="H2261" t="s">
        <v>4803</v>
      </c>
    </row>
    <row r="2262" spans="8:8" x14ac:dyDescent="0.25">
      <c r="H2262" t="s">
        <v>31</v>
      </c>
    </row>
    <row r="2264" spans="8:8" x14ac:dyDescent="0.25">
      <c r="H2264" t="s">
        <v>2102</v>
      </c>
    </row>
    <row r="2265" spans="8:8" x14ac:dyDescent="0.25">
      <c r="H2265" t="s">
        <v>145</v>
      </c>
    </row>
    <row r="2266" spans="8:8" x14ac:dyDescent="0.25">
      <c r="H2266" t="s">
        <v>4804</v>
      </c>
    </row>
    <row r="2267" spans="8:8" x14ac:dyDescent="0.25">
      <c r="H2267" t="s">
        <v>31</v>
      </c>
    </row>
    <row r="2268" spans="8:8" x14ac:dyDescent="0.25">
      <c r="H2268" t="s">
        <v>146</v>
      </c>
    </row>
    <row r="2269" spans="8:8" x14ac:dyDescent="0.25">
      <c r="H2269" t="s">
        <v>4805</v>
      </c>
    </row>
    <row r="2270" spans="8:8" x14ac:dyDescent="0.25">
      <c r="H2270" t="s">
        <v>31</v>
      </c>
    </row>
    <row r="2271" spans="8:8" x14ac:dyDescent="0.25">
      <c r="H2271" t="s">
        <v>147</v>
      </c>
    </row>
    <row r="2272" spans="8:8" x14ac:dyDescent="0.25">
      <c r="H2272" t="s">
        <v>4806</v>
      </c>
    </row>
    <row r="2273" spans="8:8" x14ac:dyDescent="0.25">
      <c r="H2273" t="s">
        <v>31</v>
      </c>
    </row>
    <row r="2274" spans="8:8" x14ac:dyDescent="0.25">
      <c r="H2274" t="s">
        <v>148</v>
      </c>
    </row>
    <row r="2275" spans="8:8" x14ac:dyDescent="0.25">
      <c r="H2275" t="s">
        <v>4807</v>
      </c>
    </row>
    <row r="2276" spans="8:8" x14ac:dyDescent="0.25">
      <c r="H2276" t="s">
        <v>31</v>
      </c>
    </row>
    <row r="2278" spans="8:8" x14ac:dyDescent="0.25">
      <c r="H2278" t="s">
        <v>2104</v>
      </c>
    </row>
    <row r="2279" spans="8:8" x14ac:dyDescent="0.25">
      <c r="H2279" t="s">
        <v>145</v>
      </c>
    </row>
    <row r="2280" spans="8:8" x14ac:dyDescent="0.25">
      <c r="H2280" t="s">
        <v>4808</v>
      </c>
    </row>
    <row r="2281" spans="8:8" x14ac:dyDescent="0.25">
      <c r="H2281" t="s">
        <v>31</v>
      </c>
    </row>
    <row r="2283" spans="8:8" x14ac:dyDescent="0.25">
      <c r="H2283" t="s">
        <v>2106</v>
      </c>
    </row>
    <row r="2284" spans="8:8" x14ac:dyDescent="0.25">
      <c r="H2284" t="s">
        <v>145</v>
      </c>
    </row>
    <row r="2285" spans="8:8" x14ac:dyDescent="0.25">
      <c r="H2285" t="s">
        <v>4809</v>
      </c>
    </row>
    <row r="2286" spans="8:8" x14ac:dyDescent="0.25">
      <c r="H2286" t="s">
        <v>31</v>
      </c>
    </row>
    <row r="2288" spans="8:8" x14ac:dyDescent="0.25">
      <c r="H2288" t="s">
        <v>2108</v>
      </c>
    </row>
    <row r="2289" spans="8:8" x14ac:dyDescent="0.25">
      <c r="H2289" t="s">
        <v>145</v>
      </c>
    </row>
    <row r="2290" spans="8:8" x14ac:dyDescent="0.25">
      <c r="H2290" t="s">
        <v>4810</v>
      </c>
    </row>
    <row r="2291" spans="8:8" x14ac:dyDescent="0.25">
      <c r="H2291" t="s">
        <v>31</v>
      </c>
    </row>
    <row r="2293" spans="8:8" x14ac:dyDescent="0.25">
      <c r="H2293" t="s">
        <v>2110</v>
      </c>
    </row>
    <row r="2294" spans="8:8" x14ac:dyDescent="0.25">
      <c r="H2294" t="s">
        <v>145</v>
      </c>
    </row>
    <row r="2295" spans="8:8" x14ac:dyDescent="0.25">
      <c r="H2295" t="s">
        <v>4811</v>
      </c>
    </row>
    <row r="2296" spans="8:8" x14ac:dyDescent="0.25">
      <c r="H2296" t="s">
        <v>31</v>
      </c>
    </row>
    <row r="2298" spans="8:8" x14ac:dyDescent="0.25">
      <c r="H2298" t="s">
        <v>2112</v>
      </c>
    </row>
    <row r="2299" spans="8:8" x14ac:dyDescent="0.25">
      <c r="H2299" t="s">
        <v>145</v>
      </c>
    </row>
    <row r="2300" spans="8:8" x14ac:dyDescent="0.25">
      <c r="H2300" t="s">
        <v>4812</v>
      </c>
    </row>
    <row r="2301" spans="8:8" x14ac:dyDescent="0.25">
      <c r="H2301" t="s">
        <v>31</v>
      </c>
    </row>
    <row r="2303" spans="8:8" x14ac:dyDescent="0.25">
      <c r="H2303" t="s">
        <v>2114</v>
      </c>
    </row>
    <row r="2304" spans="8:8" x14ac:dyDescent="0.25">
      <c r="H2304" t="s">
        <v>145</v>
      </c>
    </row>
    <row r="2305" spans="8:8" x14ac:dyDescent="0.25">
      <c r="H2305" t="s">
        <v>4813</v>
      </c>
    </row>
    <row r="2306" spans="8:8" x14ac:dyDescent="0.25">
      <c r="H2306" t="s">
        <v>31</v>
      </c>
    </row>
    <row r="2308" spans="8:8" x14ac:dyDescent="0.25">
      <c r="H2308" t="s">
        <v>2116</v>
      </c>
    </row>
    <row r="2309" spans="8:8" x14ac:dyDescent="0.25">
      <c r="H2309" t="s">
        <v>145</v>
      </c>
    </row>
    <row r="2310" spans="8:8" x14ac:dyDescent="0.25">
      <c r="H2310" t="s">
        <v>4814</v>
      </c>
    </row>
    <row r="2311" spans="8:8" x14ac:dyDescent="0.25">
      <c r="H2311" t="s">
        <v>31</v>
      </c>
    </row>
    <row r="2312" spans="8:8" x14ac:dyDescent="0.25">
      <c r="H2312" t="s">
        <v>146</v>
      </c>
    </row>
    <row r="2313" spans="8:8" x14ac:dyDescent="0.25">
      <c r="H2313" t="s">
        <v>4815</v>
      </c>
    </row>
    <row r="2314" spans="8:8" x14ac:dyDescent="0.25">
      <c r="H2314" t="s">
        <v>31</v>
      </c>
    </row>
    <row r="2315" spans="8:8" x14ac:dyDescent="0.25">
      <c r="H2315" t="s">
        <v>147</v>
      </c>
    </row>
    <row r="2316" spans="8:8" x14ac:dyDescent="0.25">
      <c r="H2316" t="s">
        <v>4816</v>
      </c>
    </row>
    <row r="2317" spans="8:8" x14ac:dyDescent="0.25">
      <c r="H2317" t="s">
        <v>31</v>
      </c>
    </row>
    <row r="2318" spans="8:8" x14ac:dyDescent="0.25">
      <c r="H2318" t="s">
        <v>148</v>
      </c>
    </row>
    <row r="2319" spans="8:8" x14ac:dyDescent="0.25">
      <c r="H2319" t="s">
        <v>4817</v>
      </c>
    </row>
    <row r="2320" spans="8:8" x14ac:dyDescent="0.25">
      <c r="H2320" t="s">
        <v>31</v>
      </c>
    </row>
    <row r="2322" spans="8:8" x14ac:dyDescent="0.25">
      <c r="H2322" t="s">
        <v>2118</v>
      </c>
    </row>
    <row r="2323" spans="8:8" x14ac:dyDescent="0.25">
      <c r="H2323" t="s">
        <v>145</v>
      </c>
    </row>
    <row r="2324" spans="8:8" x14ac:dyDescent="0.25">
      <c r="H2324" t="s">
        <v>4818</v>
      </c>
    </row>
    <row r="2325" spans="8:8" x14ac:dyDescent="0.25">
      <c r="H2325" t="s">
        <v>31</v>
      </c>
    </row>
    <row r="2326" spans="8:8" x14ac:dyDescent="0.25">
      <c r="H2326" t="s">
        <v>146</v>
      </c>
    </row>
    <row r="2327" spans="8:8" x14ac:dyDescent="0.25">
      <c r="H2327" t="s">
        <v>4819</v>
      </c>
    </row>
    <row r="2328" spans="8:8" x14ac:dyDescent="0.25">
      <c r="H2328" t="s">
        <v>31</v>
      </c>
    </row>
    <row r="2329" spans="8:8" x14ac:dyDescent="0.25">
      <c r="H2329" t="s">
        <v>147</v>
      </c>
    </row>
    <row r="2330" spans="8:8" x14ac:dyDescent="0.25">
      <c r="H2330" t="s">
        <v>4820</v>
      </c>
    </row>
    <row r="2331" spans="8:8" x14ac:dyDescent="0.25">
      <c r="H2331" t="s">
        <v>31</v>
      </c>
    </row>
    <row r="2332" spans="8:8" x14ac:dyDescent="0.25">
      <c r="H2332" t="s">
        <v>148</v>
      </c>
    </row>
    <row r="2333" spans="8:8" x14ac:dyDescent="0.25">
      <c r="H2333" t="s">
        <v>4821</v>
      </c>
    </row>
    <row r="2334" spans="8:8" x14ac:dyDescent="0.25">
      <c r="H2334" t="s">
        <v>31</v>
      </c>
    </row>
    <row r="2336" spans="8:8" x14ac:dyDescent="0.25">
      <c r="H2336" t="s">
        <v>2120</v>
      </c>
    </row>
    <row r="2337" spans="8:8" x14ac:dyDescent="0.25">
      <c r="H2337" t="s">
        <v>145</v>
      </c>
    </row>
    <row r="2338" spans="8:8" x14ac:dyDescent="0.25">
      <c r="H2338" t="s">
        <v>4822</v>
      </c>
    </row>
    <row r="2339" spans="8:8" x14ac:dyDescent="0.25">
      <c r="H2339" t="s">
        <v>31</v>
      </c>
    </row>
    <row r="2340" spans="8:8" x14ac:dyDescent="0.25">
      <c r="H2340" t="s">
        <v>146</v>
      </c>
    </row>
    <row r="2341" spans="8:8" x14ac:dyDescent="0.25">
      <c r="H2341" t="s">
        <v>4823</v>
      </c>
    </row>
    <row r="2342" spans="8:8" x14ac:dyDescent="0.25">
      <c r="H2342" t="s">
        <v>31</v>
      </c>
    </row>
    <row r="2343" spans="8:8" x14ac:dyDescent="0.25">
      <c r="H2343" t="s">
        <v>147</v>
      </c>
    </row>
    <row r="2344" spans="8:8" x14ac:dyDescent="0.25">
      <c r="H2344" t="s">
        <v>4824</v>
      </c>
    </row>
    <row r="2345" spans="8:8" x14ac:dyDescent="0.25">
      <c r="H2345" t="s">
        <v>31</v>
      </c>
    </row>
    <row r="2346" spans="8:8" x14ac:dyDescent="0.25">
      <c r="H2346" t="s">
        <v>148</v>
      </c>
    </row>
    <row r="2347" spans="8:8" x14ac:dyDescent="0.25">
      <c r="H2347" t="s">
        <v>4825</v>
      </c>
    </row>
    <row r="2348" spans="8:8" x14ac:dyDescent="0.25">
      <c r="H2348" t="s">
        <v>31</v>
      </c>
    </row>
    <row r="2350" spans="8:8" x14ac:dyDescent="0.25">
      <c r="H2350" t="s">
        <v>2122</v>
      </c>
    </row>
    <row r="2351" spans="8:8" x14ac:dyDescent="0.25">
      <c r="H2351" t="s">
        <v>145</v>
      </c>
    </row>
    <row r="2352" spans="8:8" x14ac:dyDescent="0.25">
      <c r="H2352" t="s">
        <v>4826</v>
      </c>
    </row>
    <row r="2353" spans="8:8" x14ac:dyDescent="0.25">
      <c r="H2353" t="s">
        <v>31</v>
      </c>
    </row>
    <row r="2354" spans="8:8" x14ac:dyDescent="0.25">
      <c r="H2354" t="s">
        <v>146</v>
      </c>
    </row>
    <row r="2355" spans="8:8" x14ac:dyDescent="0.25">
      <c r="H2355" t="s">
        <v>4827</v>
      </c>
    </row>
    <row r="2356" spans="8:8" x14ac:dyDescent="0.25">
      <c r="H2356" t="s">
        <v>31</v>
      </c>
    </row>
    <row r="2357" spans="8:8" x14ac:dyDescent="0.25">
      <c r="H2357" t="s">
        <v>147</v>
      </c>
    </row>
    <row r="2358" spans="8:8" x14ac:dyDescent="0.25">
      <c r="H2358" t="s">
        <v>4828</v>
      </c>
    </row>
    <row r="2359" spans="8:8" x14ac:dyDescent="0.25">
      <c r="H2359" t="s">
        <v>31</v>
      </c>
    </row>
    <row r="2360" spans="8:8" x14ac:dyDescent="0.25">
      <c r="H2360" t="s">
        <v>148</v>
      </c>
    </row>
    <row r="2361" spans="8:8" x14ac:dyDescent="0.25">
      <c r="H2361" t="s">
        <v>4829</v>
      </c>
    </row>
    <row r="2362" spans="8:8" x14ac:dyDescent="0.25">
      <c r="H2362" t="s">
        <v>31</v>
      </c>
    </row>
    <row r="2364" spans="8:8" x14ac:dyDescent="0.25">
      <c r="H2364" t="s">
        <v>2124</v>
      </c>
    </row>
    <row r="2365" spans="8:8" x14ac:dyDescent="0.25">
      <c r="H2365" t="s">
        <v>2791</v>
      </c>
    </row>
    <row r="2366" spans="8:8" x14ac:dyDescent="0.25">
      <c r="H2366" t="s">
        <v>145</v>
      </c>
    </row>
    <row r="2367" spans="8:8" x14ac:dyDescent="0.25">
      <c r="H2367" t="s">
        <v>4830</v>
      </c>
    </row>
    <row r="2368" spans="8:8" x14ac:dyDescent="0.25">
      <c r="H2368" t="s">
        <v>31</v>
      </c>
    </row>
    <row r="2370" spans="8:8" x14ac:dyDescent="0.25">
      <c r="H2370" t="s">
        <v>2126</v>
      </c>
    </row>
    <row r="2371" spans="8:8" x14ac:dyDescent="0.25">
      <c r="H2371" t="s">
        <v>145</v>
      </c>
    </row>
    <row r="2372" spans="8:8" x14ac:dyDescent="0.25">
      <c r="H2372" t="s">
        <v>4831</v>
      </c>
    </row>
    <row r="2373" spans="8:8" x14ac:dyDescent="0.25">
      <c r="H2373" t="s">
        <v>31</v>
      </c>
    </row>
    <row r="2375" spans="8:8" x14ac:dyDescent="0.25">
      <c r="H2375" t="s">
        <v>2128</v>
      </c>
    </row>
    <row r="2376" spans="8:8" x14ac:dyDescent="0.25">
      <c r="H2376" t="s">
        <v>145</v>
      </c>
    </row>
    <row r="2377" spans="8:8" x14ac:dyDescent="0.25">
      <c r="H2377" t="s">
        <v>4832</v>
      </c>
    </row>
    <row r="2378" spans="8:8" x14ac:dyDescent="0.25">
      <c r="H2378" t="s">
        <v>31</v>
      </c>
    </row>
    <row r="2380" spans="8:8" x14ac:dyDescent="0.25">
      <c r="H2380" t="s">
        <v>2130</v>
      </c>
    </row>
    <row r="2381" spans="8:8" x14ac:dyDescent="0.25">
      <c r="H2381" t="s">
        <v>145</v>
      </c>
    </row>
    <row r="2382" spans="8:8" x14ac:dyDescent="0.25">
      <c r="H2382" t="s">
        <v>4833</v>
      </c>
    </row>
    <row r="2383" spans="8:8" x14ac:dyDescent="0.25">
      <c r="H2383" t="s">
        <v>31</v>
      </c>
    </row>
    <row r="2385" spans="8:8" x14ac:dyDescent="0.25">
      <c r="H2385" t="s">
        <v>2132</v>
      </c>
    </row>
    <row r="2386" spans="8:8" x14ac:dyDescent="0.25">
      <c r="H2386" t="s">
        <v>145</v>
      </c>
    </row>
    <row r="2387" spans="8:8" x14ac:dyDescent="0.25">
      <c r="H2387" t="s">
        <v>4834</v>
      </c>
    </row>
    <row r="2388" spans="8:8" x14ac:dyDescent="0.25">
      <c r="H2388" t="s">
        <v>31</v>
      </c>
    </row>
    <row r="2390" spans="8:8" x14ac:dyDescent="0.25">
      <c r="H2390" t="s">
        <v>2136</v>
      </c>
    </row>
    <row r="2391" spans="8:8" x14ac:dyDescent="0.25">
      <c r="H2391" t="s">
        <v>145</v>
      </c>
    </row>
    <row r="2392" spans="8:8" x14ac:dyDescent="0.25">
      <c r="H2392" t="s">
        <v>4835</v>
      </c>
    </row>
    <row r="2393" spans="8:8" x14ac:dyDescent="0.25">
      <c r="H2393" t="s">
        <v>31</v>
      </c>
    </row>
    <row r="2395" spans="8:8" x14ac:dyDescent="0.25">
      <c r="H2395" t="s">
        <v>2141</v>
      </c>
    </row>
    <row r="2396" spans="8:8" x14ac:dyDescent="0.25">
      <c r="H2396" t="s">
        <v>145</v>
      </c>
    </row>
    <row r="2397" spans="8:8" x14ac:dyDescent="0.25">
      <c r="H2397" t="s">
        <v>4836</v>
      </c>
    </row>
    <row r="2398" spans="8:8" x14ac:dyDescent="0.25">
      <c r="H2398" t="s">
        <v>31</v>
      </c>
    </row>
    <row r="2400" spans="8:8" x14ac:dyDescent="0.25">
      <c r="H2400" t="s">
        <v>2143</v>
      </c>
    </row>
    <row r="2401" spans="8:8" x14ac:dyDescent="0.25">
      <c r="H2401" t="s">
        <v>145</v>
      </c>
    </row>
    <row r="2402" spans="8:8" x14ac:dyDescent="0.25">
      <c r="H2402" t="s">
        <v>4837</v>
      </c>
    </row>
    <row r="2403" spans="8:8" x14ac:dyDescent="0.25">
      <c r="H2403" t="s">
        <v>31</v>
      </c>
    </row>
    <row r="2405" spans="8:8" x14ac:dyDescent="0.25">
      <c r="H2405" t="s">
        <v>2145</v>
      </c>
    </row>
    <row r="2406" spans="8:8" x14ac:dyDescent="0.25">
      <c r="H2406" t="s">
        <v>145</v>
      </c>
    </row>
    <row r="2407" spans="8:8" x14ac:dyDescent="0.25">
      <c r="H2407" t="s">
        <v>4838</v>
      </c>
    </row>
    <row r="2408" spans="8:8" x14ac:dyDescent="0.25">
      <c r="H2408" t="s">
        <v>31</v>
      </c>
    </row>
    <row r="2410" spans="8:8" x14ac:dyDescent="0.25">
      <c r="H2410" t="s">
        <v>2147</v>
      </c>
    </row>
    <row r="2411" spans="8:8" x14ac:dyDescent="0.25">
      <c r="H2411" t="s">
        <v>145</v>
      </c>
    </row>
    <row r="2412" spans="8:8" x14ac:dyDescent="0.25">
      <c r="H2412" t="s">
        <v>4839</v>
      </c>
    </row>
    <row r="2413" spans="8:8" x14ac:dyDescent="0.25">
      <c r="H2413" t="s">
        <v>31</v>
      </c>
    </row>
    <row r="2415" spans="8:8" x14ac:dyDescent="0.25">
      <c r="H2415" t="s">
        <v>2149</v>
      </c>
    </row>
    <row r="2416" spans="8:8" x14ac:dyDescent="0.25">
      <c r="H2416" t="s">
        <v>145</v>
      </c>
    </row>
    <row r="2417" spans="8:8" x14ac:dyDescent="0.25">
      <c r="H2417" t="s">
        <v>4840</v>
      </c>
    </row>
    <row r="2418" spans="8:8" x14ac:dyDescent="0.25">
      <c r="H2418" t="s">
        <v>31</v>
      </c>
    </row>
    <row r="2420" spans="8:8" x14ac:dyDescent="0.25">
      <c r="H2420" t="s">
        <v>2151</v>
      </c>
    </row>
    <row r="2421" spans="8:8" x14ac:dyDescent="0.25">
      <c r="H2421" t="s">
        <v>145</v>
      </c>
    </row>
    <row r="2422" spans="8:8" x14ac:dyDescent="0.25">
      <c r="H2422" t="s">
        <v>4841</v>
      </c>
    </row>
    <row r="2423" spans="8:8" x14ac:dyDescent="0.25">
      <c r="H2423" t="s">
        <v>31</v>
      </c>
    </row>
    <row r="2425" spans="8:8" x14ac:dyDescent="0.25">
      <c r="H2425" t="s">
        <v>2153</v>
      </c>
    </row>
    <row r="2426" spans="8:8" x14ac:dyDescent="0.25">
      <c r="H2426" t="s">
        <v>145</v>
      </c>
    </row>
    <row r="2427" spans="8:8" x14ac:dyDescent="0.25">
      <c r="H2427" t="s">
        <v>4842</v>
      </c>
    </row>
    <row r="2428" spans="8:8" x14ac:dyDescent="0.25">
      <c r="H2428" t="s">
        <v>31</v>
      </c>
    </row>
    <row r="2430" spans="8:8" x14ac:dyDescent="0.25">
      <c r="H2430" t="s">
        <v>2158</v>
      </c>
    </row>
    <row r="2431" spans="8:8" x14ac:dyDescent="0.25">
      <c r="H2431" t="s">
        <v>145</v>
      </c>
    </row>
    <row r="2432" spans="8:8" x14ac:dyDescent="0.25">
      <c r="H2432" t="s">
        <v>4843</v>
      </c>
    </row>
    <row r="2433" spans="8:8" x14ac:dyDescent="0.25">
      <c r="H2433" t="s">
        <v>31</v>
      </c>
    </row>
    <row r="2435" spans="8:8" x14ac:dyDescent="0.25">
      <c r="H2435" t="s">
        <v>2163</v>
      </c>
    </row>
    <row r="2436" spans="8:8" x14ac:dyDescent="0.25">
      <c r="H2436" t="s">
        <v>145</v>
      </c>
    </row>
    <row r="2437" spans="8:8" x14ac:dyDescent="0.25">
      <c r="H2437" t="s">
        <v>4844</v>
      </c>
    </row>
    <row r="2438" spans="8:8" x14ac:dyDescent="0.25">
      <c r="H2438" t="s">
        <v>31</v>
      </c>
    </row>
    <row r="2440" spans="8:8" x14ac:dyDescent="0.25">
      <c r="H2440" t="s">
        <v>2168</v>
      </c>
    </row>
    <row r="2441" spans="8:8" x14ac:dyDescent="0.25">
      <c r="H2441" t="s">
        <v>145</v>
      </c>
    </row>
    <row r="2442" spans="8:8" x14ac:dyDescent="0.25">
      <c r="H2442" t="s">
        <v>4845</v>
      </c>
    </row>
    <row r="2443" spans="8:8" x14ac:dyDescent="0.25">
      <c r="H2443" t="s">
        <v>31</v>
      </c>
    </row>
    <row r="2445" spans="8:8" x14ac:dyDescent="0.25">
      <c r="H2445" t="s">
        <v>2173</v>
      </c>
    </row>
    <row r="2446" spans="8:8" x14ac:dyDescent="0.25">
      <c r="H2446" t="s">
        <v>145</v>
      </c>
    </row>
    <row r="2447" spans="8:8" x14ac:dyDescent="0.25">
      <c r="H2447" t="s">
        <v>4846</v>
      </c>
    </row>
    <row r="2448" spans="8:8" x14ac:dyDescent="0.25">
      <c r="H2448" t="s">
        <v>31</v>
      </c>
    </row>
    <row r="2450" spans="8:8" x14ac:dyDescent="0.25">
      <c r="H2450" t="s">
        <v>2176</v>
      </c>
    </row>
    <row r="2451" spans="8:8" x14ac:dyDescent="0.25">
      <c r="H2451" t="s">
        <v>145</v>
      </c>
    </row>
    <row r="2452" spans="8:8" x14ac:dyDescent="0.25">
      <c r="H2452" t="s">
        <v>4847</v>
      </c>
    </row>
    <row r="2453" spans="8:8" x14ac:dyDescent="0.25">
      <c r="H2453" t="s">
        <v>31</v>
      </c>
    </row>
    <row r="2455" spans="8:8" x14ac:dyDescent="0.25">
      <c r="H2455" t="s">
        <v>2178</v>
      </c>
    </row>
    <row r="2456" spans="8:8" x14ac:dyDescent="0.25">
      <c r="H2456" t="s">
        <v>145</v>
      </c>
    </row>
    <row r="2457" spans="8:8" x14ac:dyDescent="0.25">
      <c r="H2457" t="s">
        <v>4848</v>
      </c>
    </row>
    <row r="2458" spans="8:8" x14ac:dyDescent="0.25">
      <c r="H2458" t="s">
        <v>31</v>
      </c>
    </row>
    <row r="2460" spans="8:8" x14ac:dyDescent="0.25">
      <c r="H2460" t="s">
        <v>2180</v>
      </c>
    </row>
    <row r="2461" spans="8:8" x14ac:dyDescent="0.25">
      <c r="H2461" t="s">
        <v>145</v>
      </c>
    </row>
    <row r="2462" spans="8:8" x14ac:dyDescent="0.25">
      <c r="H2462" t="s">
        <v>4849</v>
      </c>
    </row>
    <row r="2463" spans="8:8" x14ac:dyDescent="0.25">
      <c r="H2463" t="s">
        <v>31</v>
      </c>
    </row>
    <row r="2465" spans="8:8" x14ac:dyDescent="0.25">
      <c r="H2465" t="s">
        <v>2182</v>
      </c>
    </row>
    <row r="2466" spans="8:8" x14ac:dyDescent="0.25">
      <c r="H2466" t="s">
        <v>145</v>
      </c>
    </row>
    <row r="2467" spans="8:8" x14ac:dyDescent="0.25">
      <c r="H2467" t="s">
        <v>4850</v>
      </c>
    </row>
    <row r="2468" spans="8:8" x14ac:dyDescent="0.25">
      <c r="H2468" t="s">
        <v>31</v>
      </c>
    </row>
    <row r="2470" spans="8:8" x14ac:dyDescent="0.25">
      <c r="H2470" t="s">
        <v>2184</v>
      </c>
    </row>
    <row r="2471" spans="8:8" x14ac:dyDescent="0.25">
      <c r="H2471" t="s">
        <v>145</v>
      </c>
    </row>
    <row r="2472" spans="8:8" x14ac:dyDescent="0.25">
      <c r="H2472" t="s">
        <v>4851</v>
      </c>
    </row>
    <row r="2473" spans="8:8" x14ac:dyDescent="0.25">
      <c r="H2473" t="s">
        <v>31</v>
      </c>
    </row>
    <row r="2475" spans="8:8" x14ac:dyDescent="0.25">
      <c r="H2475" t="s">
        <v>2186</v>
      </c>
    </row>
    <row r="2476" spans="8:8" x14ac:dyDescent="0.25">
      <c r="H2476" t="s">
        <v>145</v>
      </c>
    </row>
    <row r="2477" spans="8:8" x14ac:dyDescent="0.25">
      <c r="H2477" t="s">
        <v>4852</v>
      </c>
    </row>
    <row r="2478" spans="8:8" x14ac:dyDescent="0.25">
      <c r="H2478" t="s">
        <v>31</v>
      </c>
    </row>
    <row r="2480" spans="8:8" x14ac:dyDescent="0.25">
      <c r="H2480" t="s">
        <v>2188</v>
      </c>
    </row>
    <row r="2481" spans="8:8" x14ac:dyDescent="0.25">
      <c r="H2481" t="s">
        <v>145</v>
      </c>
    </row>
    <row r="2482" spans="8:8" x14ac:dyDescent="0.25">
      <c r="H2482" t="s">
        <v>4853</v>
      </c>
    </row>
    <row r="2483" spans="8:8" x14ac:dyDescent="0.25">
      <c r="H2483" t="s">
        <v>31</v>
      </c>
    </row>
    <row r="2485" spans="8:8" x14ac:dyDescent="0.25">
      <c r="H2485" t="s">
        <v>2190</v>
      </c>
    </row>
    <row r="2486" spans="8:8" x14ac:dyDescent="0.25">
      <c r="H2486" t="s">
        <v>145</v>
      </c>
    </row>
    <row r="2487" spans="8:8" x14ac:dyDescent="0.25">
      <c r="H2487" t="s">
        <v>4854</v>
      </c>
    </row>
    <row r="2488" spans="8:8" x14ac:dyDescent="0.25">
      <c r="H2488" t="s">
        <v>31</v>
      </c>
    </row>
    <row r="2490" spans="8:8" x14ac:dyDescent="0.25">
      <c r="H2490" t="s">
        <v>2192</v>
      </c>
    </row>
    <row r="2491" spans="8:8" x14ac:dyDescent="0.25">
      <c r="H2491" t="s">
        <v>145</v>
      </c>
    </row>
    <row r="2492" spans="8:8" x14ac:dyDescent="0.25">
      <c r="H2492" t="s">
        <v>4855</v>
      </c>
    </row>
    <row r="2493" spans="8:8" x14ac:dyDescent="0.25">
      <c r="H2493" t="s">
        <v>31</v>
      </c>
    </row>
    <row r="2495" spans="8:8" x14ac:dyDescent="0.25">
      <c r="H2495" t="s">
        <v>2194</v>
      </c>
    </row>
    <row r="2496" spans="8:8" x14ac:dyDescent="0.25">
      <c r="H2496" t="s">
        <v>145</v>
      </c>
    </row>
    <row r="2497" spans="8:8" x14ac:dyDescent="0.25">
      <c r="H2497" t="s">
        <v>4856</v>
      </c>
    </row>
    <row r="2498" spans="8:8" x14ac:dyDescent="0.25">
      <c r="H2498" t="s">
        <v>31</v>
      </c>
    </row>
    <row r="2500" spans="8:8" x14ac:dyDescent="0.25">
      <c r="H2500" t="s">
        <v>2196</v>
      </c>
    </row>
    <row r="2501" spans="8:8" x14ac:dyDescent="0.25">
      <c r="H2501" t="s">
        <v>145</v>
      </c>
    </row>
    <row r="2502" spans="8:8" x14ac:dyDescent="0.25">
      <c r="H2502" t="s">
        <v>4857</v>
      </c>
    </row>
    <row r="2503" spans="8:8" x14ac:dyDescent="0.25">
      <c r="H2503" t="s">
        <v>31</v>
      </c>
    </row>
    <row r="2505" spans="8:8" x14ac:dyDescent="0.25">
      <c r="H2505" t="s">
        <v>2198</v>
      </c>
    </row>
    <row r="2506" spans="8:8" x14ac:dyDescent="0.25">
      <c r="H2506" t="s">
        <v>145</v>
      </c>
    </row>
    <row r="2507" spans="8:8" x14ac:dyDescent="0.25">
      <c r="H2507" t="s">
        <v>4858</v>
      </c>
    </row>
    <row r="2508" spans="8:8" x14ac:dyDescent="0.25">
      <c r="H2508" t="s">
        <v>31</v>
      </c>
    </row>
    <row r="2510" spans="8:8" x14ac:dyDescent="0.25">
      <c r="H2510" t="s">
        <v>2200</v>
      </c>
    </row>
    <row r="2511" spans="8:8" x14ac:dyDescent="0.25">
      <c r="H2511" t="s">
        <v>145</v>
      </c>
    </row>
    <row r="2512" spans="8:8" x14ac:dyDescent="0.25">
      <c r="H2512" t="s">
        <v>4859</v>
      </c>
    </row>
    <row r="2513" spans="8:8" x14ac:dyDescent="0.25">
      <c r="H2513" t="s">
        <v>31</v>
      </c>
    </row>
    <row r="2515" spans="8:8" x14ac:dyDescent="0.25">
      <c r="H2515" t="s">
        <v>2202</v>
      </c>
    </row>
    <row r="2516" spans="8:8" x14ac:dyDescent="0.25">
      <c r="H2516" t="s">
        <v>145</v>
      </c>
    </row>
    <row r="2517" spans="8:8" x14ac:dyDescent="0.25">
      <c r="H2517" t="s">
        <v>4860</v>
      </c>
    </row>
    <row r="2518" spans="8:8" x14ac:dyDescent="0.25">
      <c r="H2518" t="s">
        <v>31</v>
      </c>
    </row>
    <row r="2520" spans="8:8" x14ac:dyDescent="0.25">
      <c r="H2520" t="s">
        <v>2204</v>
      </c>
    </row>
    <row r="2521" spans="8:8" x14ac:dyDescent="0.25">
      <c r="H2521" t="s">
        <v>145</v>
      </c>
    </row>
    <row r="2522" spans="8:8" x14ac:dyDescent="0.25">
      <c r="H2522" t="s">
        <v>4861</v>
      </c>
    </row>
    <row r="2523" spans="8:8" x14ac:dyDescent="0.25">
      <c r="H2523" t="s">
        <v>31</v>
      </c>
    </row>
    <row r="2525" spans="8:8" x14ac:dyDescent="0.25">
      <c r="H2525" t="s">
        <v>2206</v>
      </c>
    </row>
    <row r="2526" spans="8:8" x14ac:dyDescent="0.25">
      <c r="H2526" t="s">
        <v>145</v>
      </c>
    </row>
    <row r="2527" spans="8:8" x14ac:dyDescent="0.25">
      <c r="H2527" t="s">
        <v>4862</v>
      </c>
    </row>
    <row r="2528" spans="8:8" x14ac:dyDescent="0.25">
      <c r="H2528" t="s">
        <v>31</v>
      </c>
    </row>
    <row r="2530" spans="8:8" x14ac:dyDescent="0.25">
      <c r="H2530" t="s">
        <v>2208</v>
      </c>
    </row>
    <row r="2531" spans="8:8" x14ac:dyDescent="0.25">
      <c r="H2531" t="s">
        <v>145</v>
      </c>
    </row>
    <row r="2532" spans="8:8" x14ac:dyDescent="0.25">
      <c r="H2532" t="s">
        <v>4863</v>
      </c>
    </row>
    <row r="2533" spans="8:8" x14ac:dyDescent="0.25">
      <c r="H2533" t="s">
        <v>31</v>
      </c>
    </row>
    <row r="2535" spans="8:8" x14ac:dyDescent="0.25">
      <c r="H2535" t="s">
        <v>2210</v>
      </c>
    </row>
    <row r="2536" spans="8:8" x14ac:dyDescent="0.25">
      <c r="H2536" t="s">
        <v>145</v>
      </c>
    </row>
    <row r="2537" spans="8:8" x14ac:dyDescent="0.25">
      <c r="H2537" t="s">
        <v>4864</v>
      </c>
    </row>
    <row r="2538" spans="8:8" x14ac:dyDescent="0.25">
      <c r="H2538" t="s">
        <v>31</v>
      </c>
    </row>
    <row r="2540" spans="8:8" x14ac:dyDescent="0.25">
      <c r="H2540" t="s">
        <v>2212</v>
      </c>
    </row>
    <row r="2541" spans="8:8" x14ac:dyDescent="0.25">
      <c r="H2541" t="s">
        <v>145</v>
      </c>
    </row>
    <row r="2542" spans="8:8" x14ac:dyDescent="0.25">
      <c r="H2542" t="s">
        <v>4865</v>
      </c>
    </row>
    <row r="2543" spans="8:8" x14ac:dyDescent="0.25">
      <c r="H2543" t="s">
        <v>31</v>
      </c>
    </row>
    <row r="2545" spans="8:8" x14ac:dyDescent="0.25">
      <c r="H2545" t="s">
        <v>2214</v>
      </c>
    </row>
    <row r="2546" spans="8:8" x14ac:dyDescent="0.25">
      <c r="H2546" t="s">
        <v>145</v>
      </c>
    </row>
    <row r="2547" spans="8:8" x14ac:dyDescent="0.25">
      <c r="H2547" t="s">
        <v>4866</v>
      </c>
    </row>
    <row r="2548" spans="8:8" x14ac:dyDescent="0.25">
      <c r="H2548" t="s">
        <v>31</v>
      </c>
    </row>
    <row r="2550" spans="8:8" x14ac:dyDescent="0.25">
      <c r="H2550" t="s">
        <v>2216</v>
      </c>
    </row>
    <row r="2551" spans="8:8" x14ac:dyDescent="0.25">
      <c r="H2551" t="s">
        <v>145</v>
      </c>
    </row>
    <row r="2552" spans="8:8" x14ac:dyDescent="0.25">
      <c r="H2552" t="s">
        <v>4867</v>
      </c>
    </row>
    <row r="2553" spans="8:8" x14ac:dyDescent="0.25">
      <c r="H2553" t="s">
        <v>31</v>
      </c>
    </row>
    <row r="2555" spans="8:8" x14ac:dyDescent="0.25">
      <c r="H2555" t="s">
        <v>2218</v>
      </c>
    </row>
    <row r="2556" spans="8:8" x14ac:dyDescent="0.25">
      <c r="H2556" t="s">
        <v>145</v>
      </c>
    </row>
    <row r="2557" spans="8:8" x14ac:dyDescent="0.25">
      <c r="H2557" t="s">
        <v>4868</v>
      </c>
    </row>
    <row r="2558" spans="8:8" x14ac:dyDescent="0.25">
      <c r="H2558" t="s">
        <v>31</v>
      </c>
    </row>
    <row r="2560" spans="8:8" x14ac:dyDescent="0.25">
      <c r="H2560" t="s">
        <v>2220</v>
      </c>
    </row>
    <row r="2561" spans="8:8" x14ac:dyDescent="0.25">
      <c r="H2561" t="s">
        <v>145</v>
      </c>
    </row>
    <row r="2562" spans="8:8" x14ac:dyDescent="0.25">
      <c r="H2562" t="s">
        <v>4869</v>
      </c>
    </row>
    <row r="2563" spans="8:8" x14ac:dyDescent="0.25">
      <c r="H2563" t="s">
        <v>31</v>
      </c>
    </row>
    <row r="2565" spans="8:8" x14ac:dyDescent="0.25">
      <c r="H2565" t="s">
        <v>2222</v>
      </c>
    </row>
    <row r="2566" spans="8:8" x14ac:dyDescent="0.25">
      <c r="H2566" t="s">
        <v>145</v>
      </c>
    </row>
    <row r="2567" spans="8:8" x14ac:dyDescent="0.25">
      <c r="H2567" t="s">
        <v>4870</v>
      </c>
    </row>
    <row r="2568" spans="8:8" x14ac:dyDescent="0.25">
      <c r="H2568" t="s">
        <v>31</v>
      </c>
    </row>
    <row r="2570" spans="8:8" x14ac:dyDescent="0.25">
      <c r="H2570" t="s">
        <v>2224</v>
      </c>
    </row>
    <row r="2571" spans="8:8" x14ac:dyDescent="0.25">
      <c r="H2571" t="s">
        <v>145</v>
      </c>
    </row>
    <row r="2572" spans="8:8" x14ac:dyDescent="0.25">
      <c r="H2572" t="s">
        <v>4871</v>
      </c>
    </row>
    <row r="2573" spans="8:8" x14ac:dyDescent="0.25">
      <c r="H2573" t="s">
        <v>31</v>
      </c>
    </row>
    <row r="2575" spans="8:8" x14ac:dyDescent="0.25">
      <c r="H2575" t="s">
        <v>2226</v>
      </c>
    </row>
    <row r="2576" spans="8:8" x14ac:dyDescent="0.25">
      <c r="H2576" t="s">
        <v>145</v>
      </c>
    </row>
    <row r="2577" spans="8:8" x14ac:dyDescent="0.25">
      <c r="H2577" t="s">
        <v>4872</v>
      </c>
    </row>
    <row r="2578" spans="8:8" x14ac:dyDescent="0.25">
      <c r="H2578" t="s">
        <v>31</v>
      </c>
    </row>
    <row r="2580" spans="8:8" x14ac:dyDescent="0.25">
      <c r="H2580" t="s">
        <v>2228</v>
      </c>
    </row>
    <row r="2581" spans="8:8" x14ac:dyDescent="0.25">
      <c r="H2581" t="s">
        <v>145</v>
      </c>
    </row>
    <row r="2582" spans="8:8" x14ac:dyDescent="0.25">
      <c r="H2582" t="s">
        <v>4873</v>
      </c>
    </row>
    <row r="2583" spans="8:8" x14ac:dyDescent="0.25">
      <c r="H2583" t="s">
        <v>31</v>
      </c>
    </row>
    <row r="2585" spans="8:8" x14ac:dyDescent="0.25">
      <c r="H2585" t="s">
        <v>2230</v>
      </c>
    </row>
    <row r="2586" spans="8:8" x14ac:dyDescent="0.25">
      <c r="H2586" t="s">
        <v>145</v>
      </c>
    </row>
    <row r="2587" spans="8:8" x14ac:dyDescent="0.25">
      <c r="H2587" t="s">
        <v>4874</v>
      </c>
    </row>
    <row r="2588" spans="8:8" x14ac:dyDescent="0.25">
      <c r="H2588" t="s">
        <v>31</v>
      </c>
    </row>
    <row r="2590" spans="8:8" x14ac:dyDescent="0.25">
      <c r="H2590" t="s">
        <v>2232</v>
      </c>
    </row>
    <row r="2591" spans="8:8" x14ac:dyDescent="0.25">
      <c r="H2591" t="s">
        <v>145</v>
      </c>
    </row>
    <row r="2592" spans="8:8" x14ac:dyDescent="0.25">
      <c r="H2592" t="s">
        <v>4875</v>
      </c>
    </row>
    <row r="2593" spans="8:8" x14ac:dyDescent="0.25">
      <c r="H2593" t="s">
        <v>31</v>
      </c>
    </row>
    <row r="2595" spans="8:8" x14ac:dyDescent="0.25">
      <c r="H2595" t="s">
        <v>2234</v>
      </c>
    </row>
    <row r="2596" spans="8:8" x14ac:dyDescent="0.25">
      <c r="H2596" t="s">
        <v>145</v>
      </c>
    </row>
    <row r="2597" spans="8:8" x14ac:dyDescent="0.25">
      <c r="H2597" t="s">
        <v>4876</v>
      </c>
    </row>
    <row r="2598" spans="8:8" x14ac:dyDescent="0.25">
      <c r="H2598" t="s">
        <v>31</v>
      </c>
    </row>
    <row r="2600" spans="8:8" x14ac:dyDescent="0.25">
      <c r="H2600" t="s">
        <v>2236</v>
      </c>
    </row>
    <row r="2601" spans="8:8" x14ac:dyDescent="0.25">
      <c r="H2601" t="s">
        <v>145</v>
      </c>
    </row>
    <row r="2602" spans="8:8" x14ac:dyDescent="0.25">
      <c r="H2602" t="s">
        <v>4877</v>
      </c>
    </row>
    <row r="2603" spans="8:8" x14ac:dyDescent="0.25">
      <c r="H2603" t="s">
        <v>31</v>
      </c>
    </row>
    <row r="2605" spans="8:8" x14ac:dyDescent="0.25">
      <c r="H2605" t="s">
        <v>2238</v>
      </c>
    </row>
    <row r="2606" spans="8:8" x14ac:dyDescent="0.25">
      <c r="H2606" t="s">
        <v>145</v>
      </c>
    </row>
    <row r="2607" spans="8:8" x14ac:dyDescent="0.25">
      <c r="H2607" t="s">
        <v>4878</v>
      </c>
    </row>
    <row r="2608" spans="8:8" x14ac:dyDescent="0.25">
      <c r="H2608" t="s">
        <v>31</v>
      </c>
    </row>
    <row r="2610" spans="8:8" x14ac:dyDescent="0.25">
      <c r="H2610" t="s">
        <v>2240</v>
      </c>
    </row>
    <row r="2611" spans="8:8" x14ac:dyDescent="0.25">
      <c r="H2611" t="s">
        <v>145</v>
      </c>
    </row>
    <row r="2612" spans="8:8" x14ac:dyDescent="0.25">
      <c r="H2612" t="s">
        <v>4879</v>
      </c>
    </row>
    <row r="2613" spans="8:8" x14ac:dyDescent="0.25">
      <c r="H2613" t="s">
        <v>31</v>
      </c>
    </row>
    <row r="2615" spans="8:8" x14ac:dyDescent="0.25">
      <c r="H2615" t="s">
        <v>2242</v>
      </c>
    </row>
    <row r="2616" spans="8:8" x14ac:dyDescent="0.25">
      <c r="H2616" t="s">
        <v>145</v>
      </c>
    </row>
    <row r="2617" spans="8:8" x14ac:dyDescent="0.25">
      <c r="H2617" t="s">
        <v>4880</v>
      </c>
    </row>
    <row r="2618" spans="8:8" x14ac:dyDescent="0.25">
      <c r="H2618" t="s">
        <v>31</v>
      </c>
    </row>
    <row r="2620" spans="8:8" x14ac:dyDescent="0.25">
      <c r="H2620" t="s">
        <v>2244</v>
      </c>
    </row>
    <row r="2621" spans="8:8" x14ac:dyDescent="0.25">
      <c r="H2621" t="s">
        <v>145</v>
      </c>
    </row>
    <row r="2622" spans="8:8" x14ac:dyDescent="0.25">
      <c r="H2622" t="s">
        <v>4881</v>
      </c>
    </row>
    <row r="2623" spans="8:8" x14ac:dyDescent="0.25">
      <c r="H2623" t="s">
        <v>31</v>
      </c>
    </row>
    <row r="2625" spans="8:8" x14ac:dyDescent="0.25">
      <c r="H2625" t="s">
        <v>2246</v>
      </c>
    </row>
    <row r="2626" spans="8:8" x14ac:dyDescent="0.25">
      <c r="H2626" t="s">
        <v>145</v>
      </c>
    </row>
    <row r="2627" spans="8:8" x14ac:dyDescent="0.25">
      <c r="H2627" t="s">
        <v>4882</v>
      </c>
    </row>
    <row r="2628" spans="8:8" x14ac:dyDescent="0.25">
      <c r="H2628" t="s">
        <v>31</v>
      </c>
    </row>
    <row r="2630" spans="8:8" x14ac:dyDescent="0.25">
      <c r="H2630" t="s">
        <v>2248</v>
      </c>
    </row>
    <row r="2631" spans="8:8" x14ac:dyDescent="0.25">
      <c r="H2631" t="s">
        <v>145</v>
      </c>
    </row>
    <row r="2632" spans="8:8" x14ac:dyDescent="0.25">
      <c r="H2632" t="s">
        <v>4883</v>
      </c>
    </row>
    <row r="2633" spans="8:8" x14ac:dyDescent="0.25">
      <c r="H2633" t="s">
        <v>31</v>
      </c>
    </row>
    <row r="2635" spans="8:8" x14ac:dyDescent="0.25">
      <c r="H2635" t="s">
        <v>2250</v>
      </c>
    </row>
    <row r="2636" spans="8:8" x14ac:dyDescent="0.25">
      <c r="H2636" t="s">
        <v>145</v>
      </c>
    </row>
    <row r="2637" spans="8:8" x14ac:dyDescent="0.25">
      <c r="H2637" t="s">
        <v>4884</v>
      </c>
    </row>
    <row r="2638" spans="8:8" x14ac:dyDescent="0.25">
      <c r="H2638" t="s">
        <v>31</v>
      </c>
    </row>
    <row r="2640" spans="8:8" x14ac:dyDescent="0.25">
      <c r="H2640" t="s">
        <v>2252</v>
      </c>
    </row>
    <row r="2641" spans="8:8" x14ac:dyDescent="0.25">
      <c r="H2641" t="s">
        <v>145</v>
      </c>
    </row>
    <row r="2642" spans="8:8" x14ac:dyDescent="0.25">
      <c r="H2642" t="s">
        <v>4885</v>
      </c>
    </row>
    <row r="2643" spans="8:8" x14ac:dyDescent="0.25">
      <c r="H2643" t="s">
        <v>31</v>
      </c>
    </row>
    <row r="2645" spans="8:8" x14ac:dyDescent="0.25">
      <c r="H2645" t="s">
        <v>2254</v>
      </c>
    </row>
    <row r="2646" spans="8:8" x14ac:dyDescent="0.25">
      <c r="H2646" t="s">
        <v>145</v>
      </c>
    </row>
    <row r="2647" spans="8:8" x14ac:dyDescent="0.25">
      <c r="H2647" t="s">
        <v>4886</v>
      </c>
    </row>
    <row r="2648" spans="8:8" x14ac:dyDescent="0.25">
      <c r="H2648" t="s">
        <v>31</v>
      </c>
    </row>
    <row r="2650" spans="8:8" x14ac:dyDescent="0.25">
      <c r="H2650" t="s">
        <v>2256</v>
      </c>
    </row>
    <row r="2651" spans="8:8" x14ac:dyDescent="0.25">
      <c r="H2651" t="s">
        <v>145</v>
      </c>
    </row>
    <row r="2652" spans="8:8" x14ac:dyDescent="0.25">
      <c r="H2652" t="s">
        <v>4887</v>
      </c>
    </row>
    <row r="2653" spans="8:8" x14ac:dyDescent="0.25">
      <c r="H2653" t="s">
        <v>31</v>
      </c>
    </row>
    <row r="2655" spans="8:8" x14ac:dyDescent="0.25">
      <c r="H2655" t="s">
        <v>2258</v>
      </c>
    </row>
    <row r="2656" spans="8:8" x14ac:dyDescent="0.25">
      <c r="H2656" t="s">
        <v>145</v>
      </c>
    </row>
    <row r="2657" spans="8:8" x14ac:dyDescent="0.25">
      <c r="H2657" t="s">
        <v>4888</v>
      </c>
    </row>
    <row r="2658" spans="8:8" x14ac:dyDescent="0.25">
      <c r="H2658" t="s">
        <v>31</v>
      </c>
    </row>
    <row r="2660" spans="8:8" x14ac:dyDescent="0.25">
      <c r="H2660" t="s">
        <v>2260</v>
      </c>
    </row>
    <row r="2661" spans="8:8" x14ac:dyDescent="0.25">
      <c r="H2661" t="s">
        <v>145</v>
      </c>
    </row>
    <row r="2662" spans="8:8" x14ac:dyDescent="0.25">
      <c r="H2662" t="s">
        <v>4889</v>
      </c>
    </row>
    <row r="2663" spans="8:8" x14ac:dyDescent="0.25">
      <c r="H2663" t="s">
        <v>31</v>
      </c>
    </row>
    <row r="2665" spans="8:8" x14ac:dyDescent="0.25">
      <c r="H2665" t="s">
        <v>2262</v>
      </c>
    </row>
    <row r="2666" spans="8:8" x14ac:dyDescent="0.25">
      <c r="H2666" t="s">
        <v>145</v>
      </c>
    </row>
    <row r="2667" spans="8:8" x14ac:dyDescent="0.25">
      <c r="H2667" t="s">
        <v>4890</v>
      </c>
    </row>
    <row r="2668" spans="8:8" x14ac:dyDescent="0.25">
      <c r="H2668" t="s">
        <v>31</v>
      </c>
    </row>
    <row r="2670" spans="8:8" x14ac:dyDescent="0.25">
      <c r="H2670" t="s">
        <v>2264</v>
      </c>
    </row>
    <row r="2671" spans="8:8" x14ac:dyDescent="0.25">
      <c r="H2671" t="s">
        <v>145</v>
      </c>
    </row>
    <row r="2672" spans="8:8" x14ac:dyDescent="0.25">
      <c r="H2672" t="s">
        <v>4891</v>
      </c>
    </row>
    <row r="2673" spans="8:8" x14ac:dyDescent="0.25">
      <c r="H2673" t="s">
        <v>31</v>
      </c>
    </row>
    <row r="2675" spans="8:8" x14ac:dyDescent="0.25">
      <c r="H2675" t="s">
        <v>2266</v>
      </c>
    </row>
    <row r="2676" spans="8:8" x14ac:dyDescent="0.25">
      <c r="H2676" t="s">
        <v>145</v>
      </c>
    </row>
    <row r="2677" spans="8:8" x14ac:dyDescent="0.25">
      <c r="H2677" t="s">
        <v>4892</v>
      </c>
    </row>
    <row r="2678" spans="8:8" x14ac:dyDescent="0.25">
      <c r="H2678" t="s">
        <v>31</v>
      </c>
    </row>
    <row r="2680" spans="8:8" x14ac:dyDescent="0.25">
      <c r="H2680" t="s">
        <v>2268</v>
      </c>
    </row>
    <row r="2681" spans="8:8" x14ac:dyDescent="0.25">
      <c r="H2681" t="s">
        <v>145</v>
      </c>
    </row>
    <row r="2682" spans="8:8" x14ac:dyDescent="0.25">
      <c r="H2682" t="s">
        <v>4893</v>
      </c>
    </row>
    <row r="2683" spans="8:8" x14ac:dyDescent="0.25">
      <c r="H2683" t="s">
        <v>31</v>
      </c>
    </row>
    <row r="2685" spans="8:8" x14ac:dyDescent="0.25">
      <c r="H2685" t="s">
        <v>2270</v>
      </c>
    </row>
    <row r="2686" spans="8:8" x14ac:dyDescent="0.25">
      <c r="H2686" t="s">
        <v>145</v>
      </c>
    </row>
    <row r="2687" spans="8:8" x14ac:dyDescent="0.25">
      <c r="H2687" t="s">
        <v>4894</v>
      </c>
    </row>
    <row r="2688" spans="8:8" x14ac:dyDescent="0.25">
      <c r="H2688" t="s">
        <v>31</v>
      </c>
    </row>
    <row r="2690" spans="8:8" x14ac:dyDescent="0.25">
      <c r="H2690" t="s">
        <v>2272</v>
      </c>
    </row>
    <row r="2691" spans="8:8" x14ac:dyDescent="0.25">
      <c r="H2691" t="s">
        <v>145</v>
      </c>
    </row>
    <row r="2692" spans="8:8" x14ac:dyDescent="0.25">
      <c r="H2692" t="s">
        <v>4895</v>
      </c>
    </row>
    <row r="2693" spans="8:8" x14ac:dyDescent="0.25">
      <c r="H2693" t="s">
        <v>31</v>
      </c>
    </row>
    <row r="2695" spans="8:8" x14ac:dyDescent="0.25">
      <c r="H2695" t="s">
        <v>2274</v>
      </c>
    </row>
    <row r="2696" spans="8:8" x14ac:dyDescent="0.25">
      <c r="H2696" t="s">
        <v>145</v>
      </c>
    </row>
    <row r="2697" spans="8:8" x14ac:dyDescent="0.25">
      <c r="H2697" t="s">
        <v>4896</v>
      </c>
    </row>
    <row r="2698" spans="8:8" x14ac:dyDescent="0.25">
      <c r="H2698" t="s">
        <v>31</v>
      </c>
    </row>
    <row r="2700" spans="8:8" x14ac:dyDescent="0.25">
      <c r="H2700" t="s">
        <v>2276</v>
      </c>
    </row>
    <row r="2701" spans="8:8" x14ac:dyDescent="0.25">
      <c r="H2701" t="s">
        <v>145</v>
      </c>
    </row>
    <row r="2702" spans="8:8" x14ac:dyDescent="0.25">
      <c r="H2702" t="s">
        <v>4897</v>
      </c>
    </row>
    <row r="2703" spans="8:8" x14ac:dyDescent="0.25">
      <c r="H2703" t="s">
        <v>31</v>
      </c>
    </row>
    <row r="2705" spans="8:8" x14ac:dyDescent="0.25">
      <c r="H2705" t="s">
        <v>2278</v>
      </c>
    </row>
    <row r="2706" spans="8:8" x14ac:dyDescent="0.25">
      <c r="H2706" t="s">
        <v>145</v>
      </c>
    </row>
    <row r="2707" spans="8:8" x14ac:dyDescent="0.25">
      <c r="H2707" t="s">
        <v>4898</v>
      </c>
    </row>
    <row r="2708" spans="8:8" x14ac:dyDescent="0.25">
      <c r="H2708" t="s">
        <v>31</v>
      </c>
    </row>
    <row r="2710" spans="8:8" x14ac:dyDescent="0.25">
      <c r="H2710" t="s">
        <v>2280</v>
      </c>
    </row>
    <row r="2711" spans="8:8" x14ac:dyDescent="0.25">
      <c r="H2711" t="s">
        <v>145</v>
      </c>
    </row>
    <row r="2712" spans="8:8" x14ac:dyDescent="0.25">
      <c r="H2712" t="s">
        <v>4899</v>
      </c>
    </row>
    <row r="2713" spans="8:8" x14ac:dyDescent="0.25">
      <c r="H2713" t="s">
        <v>31</v>
      </c>
    </row>
    <row r="2715" spans="8:8" x14ac:dyDescent="0.25">
      <c r="H2715" t="s">
        <v>2282</v>
      </c>
    </row>
    <row r="2716" spans="8:8" x14ac:dyDescent="0.25">
      <c r="H2716" t="s">
        <v>145</v>
      </c>
    </row>
    <row r="2717" spans="8:8" x14ac:dyDescent="0.25">
      <c r="H2717" t="s">
        <v>4900</v>
      </c>
    </row>
    <row r="2718" spans="8:8" x14ac:dyDescent="0.25">
      <c r="H2718" t="s">
        <v>31</v>
      </c>
    </row>
    <row r="2720" spans="8:8" x14ac:dyDescent="0.25">
      <c r="H2720" t="s">
        <v>2284</v>
      </c>
    </row>
    <row r="2721" spans="8:8" x14ac:dyDescent="0.25">
      <c r="H2721" t="s">
        <v>145</v>
      </c>
    </row>
    <row r="2722" spans="8:8" x14ac:dyDescent="0.25">
      <c r="H2722" t="s">
        <v>4901</v>
      </c>
    </row>
    <row r="2723" spans="8:8" x14ac:dyDescent="0.25">
      <c r="H2723" t="s">
        <v>31</v>
      </c>
    </row>
    <row r="2725" spans="8:8" x14ac:dyDescent="0.25">
      <c r="H2725" t="s">
        <v>2286</v>
      </c>
    </row>
    <row r="2726" spans="8:8" x14ac:dyDescent="0.25">
      <c r="H2726" t="s">
        <v>145</v>
      </c>
    </row>
    <row r="2727" spans="8:8" x14ac:dyDescent="0.25">
      <c r="H2727" t="s">
        <v>4902</v>
      </c>
    </row>
    <row r="2728" spans="8:8" x14ac:dyDescent="0.25">
      <c r="H2728" t="s">
        <v>31</v>
      </c>
    </row>
    <row r="2730" spans="8:8" x14ac:dyDescent="0.25">
      <c r="H2730" t="s">
        <v>2288</v>
      </c>
    </row>
    <row r="2731" spans="8:8" x14ac:dyDescent="0.25">
      <c r="H2731" t="s">
        <v>145</v>
      </c>
    </row>
    <row r="2732" spans="8:8" x14ac:dyDescent="0.25">
      <c r="H2732" t="s">
        <v>4903</v>
      </c>
    </row>
    <row r="2733" spans="8:8" x14ac:dyDescent="0.25">
      <c r="H2733" t="s">
        <v>31</v>
      </c>
    </row>
    <row r="2735" spans="8:8" x14ac:dyDescent="0.25">
      <c r="H2735" t="s">
        <v>2290</v>
      </c>
    </row>
    <row r="2736" spans="8:8" x14ac:dyDescent="0.25">
      <c r="H2736" t="s">
        <v>145</v>
      </c>
    </row>
    <row r="2737" spans="8:8" x14ac:dyDescent="0.25">
      <c r="H2737" t="s">
        <v>4904</v>
      </c>
    </row>
    <row r="2738" spans="8:8" x14ac:dyDescent="0.25">
      <c r="H2738" t="s">
        <v>31</v>
      </c>
    </row>
    <row r="2740" spans="8:8" x14ac:dyDescent="0.25">
      <c r="H2740" t="s">
        <v>2292</v>
      </c>
    </row>
    <row r="2741" spans="8:8" x14ac:dyDescent="0.25">
      <c r="H2741" t="s">
        <v>145</v>
      </c>
    </row>
    <row r="2742" spans="8:8" x14ac:dyDescent="0.25">
      <c r="H2742" t="s">
        <v>4905</v>
      </c>
    </row>
    <row r="2743" spans="8:8" x14ac:dyDescent="0.25">
      <c r="H2743" t="s">
        <v>31</v>
      </c>
    </row>
    <row r="2745" spans="8:8" x14ac:dyDescent="0.25">
      <c r="H2745" t="s">
        <v>2294</v>
      </c>
    </row>
    <row r="2746" spans="8:8" x14ac:dyDescent="0.25">
      <c r="H2746" t="s">
        <v>145</v>
      </c>
    </row>
    <row r="2747" spans="8:8" x14ac:dyDescent="0.25">
      <c r="H2747" t="s">
        <v>4906</v>
      </c>
    </row>
    <row r="2748" spans="8:8" x14ac:dyDescent="0.25">
      <c r="H2748" t="s">
        <v>31</v>
      </c>
    </row>
    <row r="2750" spans="8:8" x14ac:dyDescent="0.25">
      <c r="H2750" t="s">
        <v>2296</v>
      </c>
    </row>
    <row r="2751" spans="8:8" x14ac:dyDescent="0.25">
      <c r="H2751" t="s">
        <v>145</v>
      </c>
    </row>
    <row r="2752" spans="8:8" x14ac:dyDescent="0.25">
      <c r="H2752" t="s">
        <v>4907</v>
      </c>
    </row>
    <row r="2753" spans="8:8" x14ac:dyDescent="0.25">
      <c r="H2753" t="s">
        <v>31</v>
      </c>
    </row>
    <row r="2755" spans="8:8" x14ac:dyDescent="0.25">
      <c r="H2755" t="s">
        <v>2298</v>
      </c>
    </row>
    <row r="2756" spans="8:8" x14ac:dyDescent="0.25">
      <c r="H2756" t="s">
        <v>145</v>
      </c>
    </row>
    <row r="2757" spans="8:8" x14ac:dyDescent="0.25">
      <c r="H2757" t="s">
        <v>4908</v>
      </c>
    </row>
    <row r="2758" spans="8:8" x14ac:dyDescent="0.25">
      <c r="H2758" t="s">
        <v>31</v>
      </c>
    </row>
    <row r="2760" spans="8:8" x14ac:dyDescent="0.25">
      <c r="H2760" t="s">
        <v>2300</v>
      </c>
    </row>
    <row r="2761" spans="8:8" x14ac:dyDescent="0.25">
      <c r="H2761" t="s">
        <v>145</v>
      </c>
    </row>
    <row r="2762" spans="8:8" x14ac:dyDescent="0.25">
      <c r="H2762" t="s">
        <v>4909</v>
      </c>
    </row>
    <row r="2763" spans="8:8" x14ac:dyDescent="0.25">
      <c r="H2763" t="s">
        <v>31</v>
      </c>
    </row>
    <row r="2765" spans="8:8" x14ac:dyDescent="0.25">
      <c r="H2765" t="s">
        <v>2302</v>
      </c>
    </row>
    <row r="2766" spans="8:8" x14ac:dyDescent="0.25">
      <c r="H2766" t="s">
        <v>145</v>
      </c>
    </row>
    <row r="2767" spans="8:8" x14ac:dyDescent="0.25">
      <c r="H2767" t="s">
        <v>4910</v>
      </c>
    </row>
    <row r="2768" spans="8:8" x14ac:dyDescent="0.25">
      <c r="H2768" t="s">
        <v>31</v>
      </c>
    </row>
    <row r="2770" spans="8:8" x14ac:dyDescent="0.25">
      <c r="H2770" t="s">
        <v>2304</v>
      </c>
    </row>
    <row r="2771" spans="8:8" x14ac:dyDescent="0.25">
      <c r="H2771" t="s">
        <v>145</v>
      </c>
    </row>
    <row r="2772" spans="8:8" x14ac:dyDescent="0.25">
      <c r="H2772" t="s">
        <v>4911</v>
      </c>
    </row>
    <row r="2773" spans="8:8" x14ac:dyDescent="0.25">
      <c r="H2773" t="s">
        <v>31</v>
      </c>
    </row>
    <row r="2775" spans="8:8" x14ac:dyDescent="0.25">
      <c r="H2775" t="s">
        <v>2306</v>
      </c>
    </row>
    <row r="2776" spans="8:8" x14ac:dyDescent="0.25">
      <c r="H2776" t="s">
        <v>145</v>
      </c>
    </row>
    <row r="2777" spans="8:8" x14ac:dyDescent="0.25">
      <c r="H2777" t="s">
        <v>4912</v>
      </c>
    </row>
    <row r="2778" spans="8:8" x14ac:dyDescent="0.25">
      <c r="H2778" t="s">
        <v>31</v>
      </c>
    </row>
    <row r="2780" spans="8:8" x14ac:dyDescent="0.25">
      <c r="H2780" t="s">
        <v>2308</v>
      </c>
    </row>
    <row r="2781" spans="8:8" x14ac:dyDescent="0.25">
      <c r="H2781" t="s">
        <v>145</v>
      </c>
    </row>
    <row r="2782" spans="8:8" x14ac:dyDescent="0.25">
      <c r="H2782" t="s">
        <v>4913</v>
      </c>
    </row>
    <row r="2783" spans="8:8" x14ac:dyDescent="0.25">
      <c r="H2783" t="s">
        <v>31</v>
      </c>
    </row>
    <row r="2785" spans="8:8" x14ac:dyDescent="0.25">
      <c r="H2785" t="s">
        <v>2310</v>
      </c>
    </row>
    <row r="2786" spans="8:8" x14ac:dyDescent="0.25">
      <c r="H2786" t="s">
        <v>145</v>
      </c>
    </row>
    <row r="2787" spans="8:8" x14ac:dyDescent="0.25">
      <c r="H2787" t="s">
        <v>4914</v>
      </c>
    </row>
    <row r="2788" spans="8:8" x14ac:dyDescent="0.25">
      <c r="H2788" t="s">
        <v>31</v>
      </c>
    </row>
    <row r="2790" spans="8:8" x14ac:dyDescent="0.25">
      <c r="H2790" t="s">
        <v>2312</v>
      </c>
    </row>
    <row r="2791" spans="8:8" x14ac:dyDescent="0.25">
      <c r="H2791" t="s">
        <v>145</v>
      </c>
    </row>
    <row r="2792" spans="8:8" x14ac:dyDescent="0.25">
      <c r="H2792" t="s">
        <v>4915</v>
      </c>
    </row>
    <row r="2793" spans="8:8" x14ac:dyDescent="0.25">
      <c r="H2793" t="s">
        <v>31</v>
      </c>
    </row>
    <row r="2795" spans="8:8" x14ac:dyDescent="0.25">
      <c r="H2795" t="s">
        <v>2314</v>
      </c>
    </row>
    <row r="2796" spans="8:8" x14ac:dyDescent="0.25">
      <c r="H2796" t="s">
        <v>145</v>
      </c>
    </row>
    <row r="2797" spans="8:8" x14ac:dyDescent="0.25">
      <c r="H2797" t="s">
        <v>4916</v>
      </c>
    </row>
    <row r="2798" spans="8:8" x14ac:dyDescent="0.25">
      <c r="H2798" t="s">
        <v>31</v>
      </c>
    </row>
    <row r="2800" spans="8:8" x14ac:dyDescent="0.25">
      <c r="H2800" t="s">
        <v>2316</v>
      </c>
    </row>
    <row r="2801" spans="8:8" x14ac:dyDescent="0.25">
      <c r="H2801" t="s">
        <v>145</v>
      </c>
    </row>
    <row r="2802" spans="8:8" x14ac:dyDescent="0.25">
      <c r="H2802" t="s">
        <v>4917</v>
      </c>
    </row>
    <row r="2803" spans="8:8" x14ac:dyDescent="0.25">
      <c r="H2803" t="s">
        <v>31</v>
      </c>
    </row>
    <row r="2805" spans="8:8" x14ac:dyDescent="0.25">
      <c r="H2805" t="s">
        <v>2318</v>
      </c>
    </row>
    <row r="2806" spans="8:8" x14ac:dyDescent="0.25">
      <c r="H2806" t="s">
        <v>145</v>
      </c>
    </row>
    <row r="2807" spans="8:8" x14ac:dyDescent="0.25">
      <c r="H2807" t="s">
        <v>4918</v>
      </c>
    </row>
    <row r="2808" spans="8:8" x14ac:dyDescent="0.25">
      <c r="H2808" t="s">
        <v>31</v>
      </c>
    </row>
    <row r="2810" spans="8:8" x14ac:dyDescent="0.25">
      <c r="H2810" t="s">
        <v>2320</v>
      </c>
    </row>
    <row r="2811" spans="8:8" x14ac:dyDescent="0.25">
      <c r="H2811" t="s">
        <v>145</v>
      </c>
    </row>
    <row r="2812" spans="8:8" x14ac:dyDescent="0.25">
      <c r="H2812" t="s">
        <v>4919</v>
      </c>
    </row>
    <row r="2813" spans="8:8" x14ac:dyDescent="0.25">
      <c r="H2813" t="s">
        <v>31</v>
      </c>
    </row>
    <row r="2815" spans="8:8" x14ac:dyDescent="0.25">
      <c r="H2815" t="s">
        <v>2322</v>
      </c>
    </row>
    <row r="2816" spans="8:8" x14ac:dyDescent="0.25">
      <c r="H2816" t="s">
        <v>145</v>
      </c>
    </row>
    <row r="2817" spans="8:8" x14ac:dyDescent="0.25">
      <c r="H2817" t="s">
        <v>4920</v>
      </c>
    </row>
    <row r="2818" spans="8:8" x14ac:dyDescent="0.25">
      <c r="H2818" t="s">
        <v>31</v>
      </c>
    </row>
    <row r="2820" spans="8:8" x14ac:dyDescent="0.25">
      <c r="H2820" t="s">
        <v>2324</v>
      </c>
    </row>
    <row r="2821" spans="8:8" x14ac:dyDescent="0.25">
      <c r="H2821" t="s">
        <v>145</v>
      </c>
    </row>
    <row r="2822" spans="8:8" x14ac:dyDescent="0.25">
      <c r="H2822" t="s">
        <v>4921</v>
      </c>
    </row>
    <row r="2823" spans="8:8" x14ac:dyDescent="0.25">
      <c r="H2823" t="s">
        <v>31</v>
      </c>
    </row>
    <row r="2825" spans="8:8" x14ac:dyDescent="0.25">
      <c r="H2825" t="s">
        <v>2326</v>
      </c>
    </row>
    <row r="2826" spans="8:8" x14ac:dyDescent="0.25">
      <c r="H2826" t="s">
        <v>145</v>
      </c>
    </row>
    <row r="2827" spans="8:8" x14ac:dyDescent="0.25">
      <c r="H2827" t="s">
        <v>4922</v>
      </c>
    </row>
    <row r="2828" spans="8:8" x14ac:dyDescent="0.25">
      <c r="H2828" t="s">
        <v>31</v>
      </c>
    </row>
    <row r="2830" spans="8:8" x14ac:dyDescent="0.25">
      <c r="H2830" t="s">
        <v>2328</v>
      </c>
    </row>
    <row r="2831" spans="8:8" x14ac:dyDescent="0.25">
      <c r="H2831" t="s">
        <v>145</v>
      </c>
    </row>
    <row r="2832" spans="8:8" x14ac:dyDescent="0.25">
      <c r="H2832" t="s">
        <v>4923</v>
      </c>
    </row>
    <row r="2833" spans="8:8" x14ac:dyDescent="0.25">
      <c r="H2833" t="s">
        <v>31</v>
      </c>
    </row>
    <row r="2835" spans="8:8" x14ac:dyDescent="0.25">
      <c r="H2835" t="s">
        <v>2330</v>
      </c>
    </row>
    <row r="2836" spans="8:8" x14ac:dyDescent="0.25">
      <c r="H2836" t="s">
        <v>145</v>
      </c>
    </row>
    <row r="2837" spans="8:8" x14ac:dyDescent="0.25">
      <c r="H2837" t="s">
        <v>4924</v>
      </c>
    </row>
    <row r="2838" spans="8:8" x14ac:dyDescent="0.25">
      <c r="H2838" t="s">
        <v>31</v>
      </c>
    </row>
    <row r="2840" spans="8:8" x14ac:dyDescent="0.25">
      <c r="H2840" t="s">
        <v>2332</v>
      </c>
    </row>
    <row r="2841" spans="8:8" x14ac:dyDescent="0.25">
      <c r="H2841" t="s">
        <v>145</v>
      </c>
    </row>
    <row r="2842" spans="8:8" x14ac:dyDescent="0.25">
      <c r="H2842" t="s">
        <v>4925</v>
      </c>
    </row>
    <row r="2843" spans="8:8" x14ac:dyDescent="0.25">
      <c r="H2843" t="s">
        <v>31</v>
      </c>
    </row>
    <row r="2845" spans="8:8" x14ac:dyDescent="0.25">
      <c r="H2845" t="s">
        <v>2334</v>
      </c>
    </row>
    <row r="2846" spans="8:8" x14ac:dyDescent="0.25">
      <c r="H2846" t="s">
        <v>145</v>
      </c>
    </row>
    <row r="2847" spans="8:8" x14ac:dyDescent="0.25">
      <c r="H2847" t="s">
        <v>4926</v>
      </c>
    </row>
    <row r="2848" spans="8:8" x14ac:dyDescent="0.25">
      <c r="H2848" t="s">
        <v>31</v>
      </c>
    </row>
    <row r="2850" spans="8:8" x14ac:dyDescent="0.25">
      <c r="H2850" t="s">
        <v>2336</v>
      </c>
    </row>
    <row r="2851" spans="8:8" x14ac:dyDescent="0.25">
      <c r="H2851" t="s">
        <v>145</v>
      </c>
    </row>
    <row r="2852" spans="8:8" x14ac:dyDescent="0.25">
      <c r="H2852" t="s">
        <v>4927</v>
      </c>
    </row>
    <row r="2853" spans="8:8" x14ac:dyDescent="0.25">
      <c r="H2853" t="s">
        <v>31</v>
      </c>
    </row>
    <row r="2855" spans="8:8" x14ac:dyDescent="0.25">
      <c r="H2855" t="s">
        <v>2338</v>
      </c>
    </row>
    <row r="2856" spans="8:8" x14ac:dyDescent="0.25">
      <c r="H2856" t="s">
        <v>145</v>
      </c>
    </row>
    <row r="2857" spans="8:8" x14ac:dyDescent="0.25">
      <c r="H2857" t="s">
        <v>4928</v>
      </c>
    </row>
    <row r="2858" spans="8:8" x14ac:dyDescent="0.25">
      <c r="H2858" t="s">
        <v>31</v>
      </c>
    </row>
    <row r="2860" spans="8:8" x14ac:dyDescent="0.25">
      <c r="H2860" t="s">
        <v>2340</v>
      </c>
    </row>
    <row r="2861" spans="8:8" x14ac:dyDescent="0.25">
      <c r="H2861" t="s">
        <v>145</v>
      </c>
    </row>
    <row r="2862" spans="8:8" x14ac:dyDescent="0.25">
      <c r="H2862" t="s">
        <v>4929</v>
      </c>
    </row>
    <row r="2863" spans="8:8" x14ac:dyDescent="0.25">
      <c r="H2863" t="s">
        <v>31</v>
      </c>
    </row>
    <row r="2865" spans="8:8" x14ac:dyDescent="0.25">
      <c r="H2865" t="s">
        <v>2342</v>
      </c>
    </row>
    <row r="2866" spans="8:8" x14ac:dyDescent="0.25">
      <c r="H2866" t="s">
        <v>145</v>
      </c>
    </row>
    <row r="2867" spans="8:8" x14ac:dyDescent="0.25">
      <c r="H2867" t="s">
        <v>4930</v>
      </c>
    </row>
    <row r="2868" spans="8:8" x14ac:dyDescent="0.25">
      <c r="H2868" t="s">
        <v>31</v>
      </c>
    </row>
    <row r="2870" spans="8:8" x14ac:dyDescent="0.25">
      <c r="H2870" t="s">
        <v>2344</v>
      </c>
    </row>
    <row r="2871" spans="8:8" x14ac:dyDescent="0.25">
      <c r="H2871" t="s">
        <v>145</v>
      </c>
    </row>
    <row r="2872" spans="8:8" x14ac:dyDescent="0.25">
      <c r="H2872" t="s">
        <v>4931</v>
      </c>
    </row>
    <row r="2873" spans="8:8" x14ac:dyDescent="0.25">
      <c r="H2873" t="s">
        <v>31</v>
      </c>
    </row>
    <row r="2875" spans="8:8" x14ac:dyDescent="0.25">
      <c r="H2875" t="s">
        <v>2346</v>
      </c>
    </row>
    <row r="2876" spans="8:8" x14ac:dyDescent="0.25">
      <c r="H2876" t="s">
        <v>145</v>
      </c>
    </row>
    <row r="2877" spans="8:8" x14ac:dyDescent="0.25">
      <c r="H2877" t="s">
        <v>4932</v>
      </c>
    </row>
    <row r="2878" spans="8:8" x14ac:dyDescent="0.25">
      <c r="H2878" t="s">
        <v>31</v>
      </c>
    </row>
    <row r="2880" spans="8:8" x14ac:dyDescent="0.25">
      <c r="H2880" t="s">
        <v>2348</v>
      </c>
    </row>
    <row r="2881" spans="8:8" x14ac:dyDescent="0.25">
      <c r="H2881" t="s">
        <v>145</v>
      </c>
    </row>
    <row r="2882" spans="8:8" x14ac:dyDescent="0.25">
      <c r="H2882" t="s">
        <v>4933</v>
      </c>
    </row>
    <row r="2883" spans="8:8" x14ac:dyDescent="0.25">
      <c r="H2883" t="s">
        <v>31</v>
      </c>
    </row>
    <row r="2885" spans="8:8" x14ac:dyDescent="0.25">
      <c r="H2885" t="s">
        <v>2350</v>
      </c>
    </row>
    <row r="2886" spans="8:8" x14ac:dyDescent="0.25">
      <c r="H2886" t="s">
        <v>145</v>
      </c>
    </row>
    <row r="2887" spans="8:8" x14ac:dyDescent="0.25">
      <c r="H2887" t="s">
        <v>4934</v>
      </c>
    </row>
    <row r="2888" spans="8:8" x14ac:dyDescent="0.25">
      <c r="H2888" t="s">
        <v>31</v>
      </c>
    </row>
    <row r="2890" spans="8:8" x14ac:dyDescent="0.25">
      <c r="H2890" t="s">
        <v>2352</v>
      </c>
    </row>
    <row r="2891" spans="8:8" x14ac:dyDescent="0.25">
      <c r="H2891" t="s">
        <v>145</v>
      </c>
    </row>
    <row r="2892" spans="8:8" x14ac:dyDescent="0.25">
      <c r="H2892" t="s">
        <v>4935</v>
      </c>
    </row>
    <row r="2893" spans="8:8" x14ac:dyDescent="0.25">
      <c r="H2893" t="s">
        <v>31</v>
      </c>
    </row>
    <row r="2895" spans="8:8" x14ac:dyDescent="0.25">
      <c r="H2895" t="s">
        <v>2354</v>
      </c>
    </row>
    <row r="2896" spans="8:8" x14ac:dyDescent="0.25">
      <c r="H2896" t="s">
        <v>145</v>
      </c>
    </row>
    <row r="2897" spans="8:8" x14ac:dyDescent="0.25">
      <c r="H2897" t="s">
        <v>4936</v>
      </c>
    </row>
    <row r="2898" spans="8:8" x14ac:dyDescent="0.25">
      <c r="H2898" t="s">
        <v>31</v>
      </c>
    </row>
    <row r="2900" spans="8:8" x14ac:dyDescent="0.25">
      <c r="H2900" t="s">
        <v>2356</v>
      </c>
    </row>
    <row r="2901" spans="8:8" x14ac:dyDescent="0.25">
      <c r="H2901" t="s">
        <v>145</v>
      </c>
    </row>
    <row r="2902" spans="8:8" x14ac:dyDescent="0.25">
      <c r="H2902" t="s">
        <v>4937</v>
      </c>
    </row>
    <row r="2903" spans="8:8" x14ac:dyDescent="0.25">
      <c r="H2903" t="s">
        <v>31</v>
      </c>
    </row>
    <row r="2905" spans="8:8" x14ac:dyDescent="0.25">
      <c r="H2905" t="s">
        <v>2358</v>
      </c>
    </row>
    <row r="2906" spans="8:8" x14ac:dyDescent="0.25">
      <c r="H2906" t="s">
        <v>145</v>
      </c>
    </row>
    <row r="2907" spans="8:8" x14ac:dyDescent="0.25">
      <c r="H2907" t="s">
        <v>4938</v>
      </c>
    </row>
    <row r="2908" spans="8:8" x14ac:dyDescent="0.25">
      <c r="H2908" t="s">
        <v>31</v>
      </c>
    </row>
    <row r="2910" spans="8:8" x14ac:dyDescent="0.25">
      <c r="H2910" t="s">
        <v>2360</v>
      </c>
    </row>
    <row r="2911" spans="8:8" x14ac:dyDescent="0.25">
      <c r="H2911" t="s">
        <v>145</v>
      </c>
    </row>
    <row r="2912" spans="8:8" x14ac:dyDescent="0.25">
      <c r="H2912" t="s">
        <v>4939</v>
      </c>
    </row>
    <row r="2913" spans="8:8" x14ac:dyDescent="0.25">
      <c r="H2913" t="s">
        <v>31</v>
      </c>
    </row>
    <row r="2915" spans="8:8" x14ac:dyDescent="0.25">
      <c r="H2915" t="s">
        <v>2362</v>
      </c>
    </row>
    <row r="2916" spans="8:8" x14ac:dyDescent="0.25">
      <c r="H2916" t="s">
        <v>145</v>
      </c>
    </row>
    <row r="2917" spans="8:8" x14ac:dyDescent="0.25">
      <c r="H2917" t="s">
        <v>4940</v>
      </c>
    </row>
    <row r="2918" spans="8:8" x14ac:dyDescent="0.25">
      <c r="H2918" t="s">
        <v>31</v>
      </c>
    </row>
    <row r="2920" spans="8:8" x14ac:dyDescent="0.25">
      <c r="H2920" t="s">
        <v>2364</v>
      </c>
    </row>
    <row r="2921" spans="8:8" x14ac:dyDescent="0.25">
      <c r="H2921" t="s">
        <v>145</v>
      </c>
    </row>
    <row r="2922" spans="8:8" x14ac:dyDescent="0.25">
      <c r="H2922" t="s">
        <v>4941</v>
      </c>
    </row>
    <row r="2923" spans="8:8" x14ac:dyDescent="0.25">
      <c r="H2923" t="s">
        <v>31</v>
      </c>
    </row>
    <row r="2925" spans="8:8" x14ac:dyDescent="0.25">
      <c r="H2925" t="s">
        <v>2366</v>
      </c>
    </row>
    <row r="2926" spans="8:8" x14ac:dyDescent="0.25">
      <c r="H2926" t="s">
        <v>145</v>
      </c>
    </row>
    <row r="2927" spans="8:8" x14ac:dyDescent="0.25">
      <c r="H2927" t="s">
        <v>4942</v>
      </c>
    </row>
    <row r="2928" spans="8:8" x14ac:dyDescent="0.25">
      <c r="H2928" t="s">
        <v>31</v>
      </c>
    </row>
    <row r="2930" spans="8:8" x14ac:dyDescent="0.25">
      <c r="H2930" t="s">
        <v>2368</v>
      </c>
    </row>
    <row r="2931" spans="8:8" x14ac:dyDescent="0.25">
      <c r="H2931" t="s">
        <v>145</v>
      </c>
    </row>
    <row r="2932" spans="8:8" x14ac:dyDescent="0.25">
      <c r="H2932" t="s">
        <v>4943</v>
      </c>
    </row>
    <row r="2933" spans="8:8" x14ac:dyDescent="0.25">
      <c r="H2933" t="s">
        <v>31</v>
      </c>
    </row>
    <row r="2935" spans="8:8" x14ac:dyDescent="0.25">
      <c r="H2935" t="s">
        <v>2370</v>
      </c>
    </row>
    <row r="2936" spans="8:8" x14ac:dyDescent="0.25">
      <c r="H2936" t="s">
        <v>145</v>
      </c>
    </row>
    <row r="2937" spans="8:8" x14ac:dyDescent="0.25">
      <c r="H2937" t="s">
        <v>4944</v>
      </c>
    </row>
    <row r="2938" spans="8:8" x14ac:dyDescent="0.25">
      <c r="H2938" t="s">
        <v>31</v>
      </c>
    </row>
    <row r="2940" spans="8:8" x14ac:dyDescent="0.25">
      <c r="H2940" t="s">
        <v>2372</v>
      </c>
    </row>
    <row r="2941" spans="8:8" x14ac:dyDescent="0.25">
      <c r="H2941" t="s">
        <v>145</v>
      </c>
    </row>
    <row r="2942" spans="8:8" x14ac:dyDescent="0.25">
      <c r="H2942" t="s">
        <v>4945</v>
      </c>
    </row>
    <row r="2943" spans="8:8" x14ac:dyDescent="0.25">
      <c r="H2943" t="s">
        <v>31</v>
      </c>
    </row>
    <row r="2945" spans="8:8" x14ac:dyDescent="0.25">
      <c r="H2945" t="s">
        <v>2374</v>
      </c>
    </row>
    <row r="2946" spans="8:8" x14ac:dyDescent="0.25">
      <c r="H2946" t="s">
        <v>145</v>
      </c>
    </row>
    <row r="2947" spans="8:8" x14ac:dyDescent="0.25">
      <c r="H2947" t="s">
        <v>4946</v>
      </c>
    </row>
    <row r="2948" spans="8:8" x14ac:dyDescent="0.25">
      <c r="H2948" t="s">
        <v>31</v>
      </c>
    </row>
    <row r="2950" spans="8:8" x14ac:dyDescent="0.25">
      <c r="H2950" t="s">
        <v>2376</v>
      </c>
    </row>
    <row r="2951" spans="8:8" x14ac:dyDescent="0.25">
      <c r="H2951" t="s">
        <v>145</v>
      </c>
    </row>
    <row r="2952" spans="8:8" x14ac:dyDescent="0.25">
      <c r="H2952" t="s">
        <v>4947</v>
      </c>
    </row>
    <row r="2953" spans="8:8" x14ac:dyDescent="0.25">
      <c r="H2953" t="s">
        <v>31</v>
      </c>
    </row>
    <row r="2955" spans="8:8" x14ac:dyDescent="0.25">
      <c r="H2955" t="s">
        <v>2378</v>
      </c>
    </row>
    <row r="2956" spans="8:8" x14ac:dyDescent="0.25">
      <c r="H2956" t="s">
        <v>145</v>
      </c>
    </row>
    <row r="2957" spans="8:8" x14ac:dyDescent="0.25">
      <c r="H2957" t="s">
        <v>4948</v>
      </c>
    </row>
    <row r="2958" spans="8:8" x14ac:dyDescent="0.25">
      <c r="H2958" t="s">
        <v>31</v>
      </c>
    </row>
    <row r="2960" spans="8:8" x14ac:dyDescent="0.25">
      <c r="H2960" t="s">
        <v>2380</v>
      </c>
    </row>
    <row r="2961" spans="8:8" x14ac:dyDescent="0.25">
      <c r="H2961" t="s">
        <v>145</v>
      </c>
    </row>
    <row r="2962" spans="8:8" x14ac:dyDescent="0.25">
      <c r="H2962" t="s">
        <v>4949</v>
      </c>
    </row>
    <row r="2963" spans="8:8" x14ac:dyDescent="0.25">
      <c r="H2963" t="s">
        <v>31</v>
      </c>
    </row>
    <row r="2965" spans="8:8" x14ac:dyDescent="0.25">
      <c r="H2965" t="s">
        <v>2382</v>
      </c>
    </row>
    <row r="2966" spans="8:8" x14ac:dyDescent="0.25">
      <c r="H2966" t="s">
        <v>145</v>
      </c>
    </row>
    <row r="2967" spans="8:8" x14ac:dyDescent="0.25">
      <c r="H2967" t="s">
        <v>4950</v>
      </c>
    </row>
    <row r="2968" spans="8:8" x14ac:dyDescent="0.25">
      <c r="H2968" t="s">
        <v>31</v>
      </c>
    </row>
    <row r="2970" spans="8:8" x14ac:dyDescent="0.25">
      <c r="H2970" t="s">
        <v>2384</v>
      </c>
    </row>
    <row r="2971" spans="8:8" x14ac:dyDescent="0.25">
      <c r="H2971" t="s">
        <v>145</v>
      </c>
    </row>
    <row r="2972" spans="8:8" x14ac:dyDescent="0.25">
      <c r="H2972" t="s">
        <v>4951</v>
      </c>
    </row>
    <row r="2973" spans="8:8" x14ac:dyDescent="0.25">
      <c r="H2973" t="s">
        <v>31</v>
      </c>
    </row>
    <row r="2975" spans="8:8" x14ac:dyDescent="0.25">
      <c r="H2975" t="s">
        <v>2386</v>
      </c>
    </row>
    <row r="2976" spans="8:8" x14ac:dyDescent="0.25">
      <c r="H2976" t="s">
        <v>145</v>
      </c>
    </row>
    <row r="2977" spans="8:8" x14ac:dyDescent="0.25">
      <c r="H2977" t="s">
        <v>4952</v>
      </c>
    </row>
    <row r="2978" spans="8:8" x14ac:dyDescent="0.25">
      <c r="H2978" t="s">
        <v>31</v>
      </c>
    </row>
    <row r="2980" spans="8:8" x14ac:dyDescent="0.25">
      <c r="H2980" t="s">
        <v>2388</v>
      </c>
    </row>
    <row r="2981" spans="8:8" x14ac:dyDescent="0.25">
      <c r="H2981" t="s">
        <v>145</v>
      </c>
    </row>
    <row r="2982" spans="8:8" x14ac:dyDescent="0.25">
      <c r="H2982" t="s">
        <v>4953</v>
      </c>
    </row>
    <row r="2983" spans="8:8" x14ac:dyDescent="0.25">
      <c r="H2983" t="s">
        <v>31</v>
      </c>
    </row>
    <row r="2985" spans="8:8" x14ac:dyDescent="0.25">
      <c r="H2985" t="s">
        <v>2390</v>
      </c>
    </row>
    <row r="2986" spans="8:8" x14ac:dyDescent="0.25">
      <c r="H2986" t="s">
        <v>145</v>
      </c>
    </row>
    <row r="2987" spans="8:8" x14ac:dyDescent="0.25">
      <c r="H2987" t="s">
        <v>4954</v>
      </c>
    </row>
    <row r="2988" spans="8:8" x14ac:dyDescent="0.25">
      <c r="H2988" t="s">
        <v>31</v>
      </c>
    </row>
    <row r="2990" spans="8:8" x14ac:dyDescent="0.25">
      <c r="H2990" t="s">
        <v>2392</v>
      </c>
    </row>
    <row r="2991" spans="8:8" x14ac:dyDescent="0.25">
      <c r="H2991" t="s">
        <v>145</v>
      </c>
    </row>
    <row r="2992" spans="8:8" x14ac:dyDescent="0.25">
      <c r="H2992" t="s">
        <v>4955</v>
      </c>
    </row>
    <row r="2993" spans="8:8" x14ac:dyDescent="0.25">
      <c r="H2993" t="s">
        <v>31</v>
      </c>
    </row>
    <row r="2995" spans="8:8" x14ac:dyDescent="0.25">
      <c r="H2995" t="s">
        <v>2394</v>
      </c>
    </row>
    <row r="2996" spans="8:8" x14ac:dyDescent="0.25">
      <c r="H2996" t="s">
        <v>145</v>
      </c>
    </row>
    <row r="2997" spans="8:8" x14ac:dyDescent="0.25">
      <c r="H2997" t="s">
        <v>4956</v>
      </c>
    </row>
    <row r="2998" spans="8:8" x14ac:dyDescent="0.25">
      <c r="H2998" t="s">
        <v>31</v>
      </c>
    </row>
    <row r="3000" spans="8:8" x14ac:dyDescent="0.25">
      <c r="H3000" t="s">
        <v>2396</v>
      </c>
    </row>
    <row r="3001" spans="8:8" x14ac:dyDescent="0.25">
      <c r="H3001" t="s">
        <v>145</v>
      </c>
    </row>
    <row r="3002" spans="8:8" x14ac:dyDescent="0.25">
      <c r="H3002" t="s">
        <v>4957</v>
      </c>
    </row>
    <row r="3003" spans="8:8" x14ac:dyDescent="0.25">
      <c r="H3003" t="s">
        <v>31</v>
      </c>
    </row>
    <row r="3005" spans="8:8" x14ac:dyDescent="0.25">
      <c r="H3005" t="s">
        <v>2398</v>
      </c>
    </row>
    <row r="3006" spans="8:8" x14ac:dyDescent="0.25">
      <c r="H3006" t="s">
        <v>145</v>
      </c>
    </row>
    <row r="3007" spans="8:8" x14ac:dyDescent="0.25">
      <c r="H3007" t="s">
        <v>4958</v>
      </c>
    </row>
    <row r="3008" spans="8:8" x14ac:dyDescent="0.25">
      <c r="H3008" t="s">
        <v>31</v>
      </c>
    </row>
    <row r="3010" spans="8:8" x14ac:dyDescent="0.25">
      <c r="H3010" t="s">
        <v>2400</v>
      </c>
    </row>
    <row r="3011" spans="8:8" x14ac:dyDescent="0.25">
      <c r="H3011" t="s">
        <v>145</v>
      </c>
    </row>
    <row r="3012" spans="8:8" x14ac:dyDescent="0.25">
      <c r="H3012" t="s">
        <v>4959</v>
      </c>
    </row>
    <row r="3013" spans="8:8" x14ac:dyDescent="0.25">
      <c r="H3013" t="s">
        <v>31</v>
      </c>
    </row>
    <row r="3015" spans="8:8" x14ac:dyDescent="0.25">
      <c r="H3015" t="s">
        <v>2402</v>
      </c>
    </row>
    <row r="3016" spans="8:8" x14ac:dyDescent="0.25">
      <c r="H3016" t="s">
        <v>145</v>
      </c>
    </row>
    <row r="3017" spans="8:8" x14ac:dyDescent="0.25">
      <c r="H3017" t="s">
        <v>4960</v>
      </c>
    </row>
    <row r="3018" spans="8:8" x14ac:dyDescent="0.25">
      <c r="H3018" t="s">
        <v>31</v>
      </c>
    </row>
    <row r="3019" spans="8:8" x14ac:dyDescent="0.25">
      <c r="H3019" t="s">
        <v>146</v>
      </c>
    </row>
    <row r="3020" spans="8:8" x14ac:dyDescent="0.25">
      <c r="H3020" t="s">
        <v>4961</v>
      </c>
    </row>
    <row r="3021" spans="8:8" x14ac:dyDescent="0.25">
      <c r="H3021" t="s">
        <v>31</v>
      </c>
    </row>
    <row r="3022" spans="8:8" x14ac:dyDescent="0.25">
      <c r="H3022" t="s">
        <v>147</v>
      </c>
    </row>
    <row r="3023" spans="8:8" x14ac:dyDescent="0.25">
      <c r="H3023" t="s">
        <v>4962</v>
      </c>
    </row>
    <row r="3024" spans="8:8" x14ac:dyDescent="0.25">
      <c r="H3024" t="s">
        <v>31</v>
      </c>
    </row>
    <row r="3026" spans="8:8" x14ac:dyDescent="0.25">
      <c r="H3026" t="s">
        <v>2404</v>
      </c>
    </row>
    <row r="3027" spans="8:8" x14ac:dyDescent="0.25">
      <c r="H3027" t="s">
        <v>145</v>
      </c>
    </row>
    <row r="3028" spans="8:8" x14ac:dyDescent="0.25">
      <c r="H3028" t="s">
        <v>4963</v>
      </c>
    </row>
    <row r="3029" spans="8:8" x14ac:dyDescent="0.25">
      <c r="H3029" t="s">
        <v>31</v>
      </c>
    </row>
    <row r="3030" spans="8:8" x14ac:dyDescent="0.25">
      <c r="H3030" t="s">
        <v>146</v>
      </c>
    </row>
    <row r="3031" spans="8:8" x14ac:dyDescent="0.25">
      <c r="H3031" t="s">
        <v>4964</v>
      </c>
    </row>
    <row r="3032" spans="8:8" x14ac:dyDescent="0.25">
      <c r="H3032" t="s">
        <v>31</v>
      </c>
    </row>
    <row r="3033" spans="8:8" x14ac:dyDescent="0.25">
      <c r="H3033" t="s">
        <v>147</v>
      </c>
    </row>
    <row r="3034" spans="8:8" x14ac:dyDescent="0.25">
      <c r="H3034" t="s">
        <v>4965</v>
      </c>
    </row>
    <row r="3035" spans="8:8" x14ac:dyDescent="0.25">
      <c r="H3035" t="s">
        <v>31</v>
      </c>
    </row>
    <row r="3036" spans="8:8" x14ac:dyDescent="0.25">
      <c r="H3036" t="s">
        <v>148</v>
      </c>
    </row>
    <row r="3037" spans="8:8" x14ac:dyDescent="0.25">
      <c r="H3037" t="s">
        <v>4966</v>
      </c>
    </row>
    <row r="3038" spans="8:8" x14ac:dyDescent="0.25">
      <c r="H3038" t="s">
        <v>31</v>
      </c>
    </row>
    <row r="3040" spans="8:8" x14ac:dyDescent="0.25">
      <c r="H3040" t="s">
        <v>2406</v>
      </c>
    </row>
    <row r="3041" spans="8:8" x14ac:dyDescent="0.25">
      <c r="H3041" t="s">
        <v>145</v>
      </c>
    </row>
    <row r="3042" spans="8:8" x14ac:dyDescent="0.25">
      <c r="H3042" t="s">
        <v>4967</v>
      </c>
    </row>
    <row r="3043" spans="8:8" x14ac:dyDescent="0.25">
      <c r="H3043" t="s">
        <v>31</v>
      </c>
    </row>
    <row r="3044" spans="8:8" x14ac:dyDescent="0.25">
      <c r="H3044" t="s">
        <v>147</v>
      </c>
    </row>
    <row r="3045" spans="8:8" x14ac:dyDescent="0.25">
      <c r="H3045" t="s">
        <v>4968</v>
      </c>
    </row>
    <row r="3046" spans="8:8" x14ac:dyDescent="0.25">
      <c r="H3046" t="s">
        <v>31</v>
      </c>
    </row>
    <row r="3047" spans="8:8" x14ac:dyDescent="0.25">
      <c r="H3047" t="s">
        <v>148</v>
      </c>
    </row>
    <row r="3048" spans="8:8" x14ac:dyDescent="0.25">
      <c r="H3048" t="s">
        <v>4969</v>
      </c>
    </row>
    <row r="3049" spans="8:8" x14ac:dyDescent="0.25">
      <c r="H3049" t="s">
        <v>31</v>
      </c>
    </row>
    <row r="3051" spans="8:8" x14ac:dyDescent="0.25">
      <c r="H3051" t="s">
        <v>2408</v>
      </c>
    </row>
    <row r="3052" spans="8:8" x14ac:dyDescent="0.25">
      <c r="H3052" t="s">
        <v>145</v>
      </c>
    </row>
    <row r="3053" spans="8:8" x14ac:dyDescent="0.25">
      <c r="H3053" t="s">
        <v>4970</v>
      </c>
    </row>
    <row r="3054" spans="8:8" x14ac:dyDescent="0.25">
      <c r="H3054" t="s">
        <v>31</v>
      </c>
    </row>
    <row r="3056" spans="8:8" x14ac:dyDescent="0.25">
      <c r="H3056" t="s">
        <v>2410</v>
      </c>
    </row>
    <row r="3057" spans="8:8" x14ac:dyDescent="0.25">
      <c r="H3057" t="s">
        <v>145</v>
      </c>
    </row>
    <row r="3058" spans="8:8" x14ac:dyDescent="0.25">
      <c r="H3058" t="s">
        <v>4971</v>
      </c>
    </row>
    <row r="3059" spans="8:8" x14ac:dyDescent="0.25">
      <c r="H3059" t="s">
        <v>31</v>
      </c>
    </row>
    <row r="3061" spans="8:8" x14ac:dyDescent="0.25">
      <c r="H3061" t="s">
        <v>2412</v>
      </c>
    </row>
    <row r="3062" spans="8:8" x14ac:dyDescent="0.25">
      <c r="H3062" t="s">
        <v>145</v>
      </c>
    </row>
    <row r="3063" spans="8:8" x14ac:dyDescent="0.25">
      <c r="H3063" t="s">
        <v>4972</v>
      </c>
    </row>
    <row r="3064" spans="8:8" x14ac:dyDescent="0.25">
      <c r="H3064" t="s">
        <v>31</v>
      </c>
    </row>
    <row r="3065" spans="8:8" x14ac:dyDescent="0.25">
      <c r="H3065" t="s">
        <v>146</v>
      </c>
    </row>
    <row r="3066" spans="8:8" x14ac:dyDescent="0.25">
      <c r="H3066" t="s">
        <v>4973</v>
      </c>
    </row>
    <row r="3067" spans="8:8" x14ac:dyDescent="0.25">
      <c r="H3067" t="s">
        <v>31</v>
      </c>
    </row>
    <row r="3069" spans="8:8" x14ac:dyDescent="0.25">
      <c r="H3069" t="s">
        <v>2414</v>
      </c>
    </row>
    <row r="3070" spans="8:8" x14ac:dyDescent="0.25">
      <c r="H3070" t="s">
        <v>145</v>
      </c>
    </row>
    <row r="3071" spans="8:8" x14ac:dyDescent="0.25">
      <c r="H3071" t="s">
        <v>4974</v>
      </c>
    </row>
    <row r="3072" spans="8:8" x14ac:dyDescent="0.25">
      <c r="H3072" t="s">
        <v>31</v>
      </c>
    </row>
    <row r="3074" spans="8:8" x14ac:dyDescent="0.25">
      <c r="H3074" t="s">
        <v>2416</v>
      </c>
    </row>
    <row r="3075" spans="8:8" x14ac:dyDescent="0.25">
      <c r="H3075" t="s">
        <v>145</v>
      </c>
    </row>
    <row r="3076" spans="8:8" x14ac:dyDescent="0.25">
      <c r="H3076" t="s">
        <v>4975</v>
      </c>
    </row>
    <row r="3077" spans="8:8" x14ac:dyDescent="0.25">
      <c r="H3077" t="s">
        <v>31</v>
      </c>
    </row>
    <row r="3079" spans="8:8" x14ac:dyDescent="0.25">
      <c r="H3079" t="s">
        <v>2418</v>
      </c>
    </row>
    <row r="3080" spans="8:8" x14ac:dyDescent="0.25">
      <c r="H3080" t="s">
        <v>145</v>
      </c>
    </row>
    <row r="3081" spans="8:8" x14ac:dyDescent="0.25">
      <c r="H3081" t="s">
        <v>4976</v>
      </c>
    </row>
    <row r="3082" spans="8:8" x14ac:dyDescent="0.25">
      <c r="H3082" t="s">
        <v>31</v>
      </c>
    </row>
    <row r="3083" spans="8:8" x14ac:dyDescent="0.25">
      <c r="H3083" t="s">
        <v>146</v>
      </c>
    </row>
    <row r="3084" spans="8:8" x14ac:dyDescent="0.25">
      <c r="H3084" t="s">
        <v>4977</v>
      </c>
    </row>
    <row r="3085" spans="8:8" x14ac:dyDescent="0.25">
      <c r="H3085" t="s">
        <v>31</v>
      </c>
    </row>
    <row r="3087" spans="8:8" x14ac:dyDescent="0.25">
      <c r="H3087" t="s">
        <v>2420</v>
      </c>
    </row>
    <row r="3088" spans="8:8" x14ac:dyDescent="0.25">
      <c r="H3088" t="s">
        <v>145</v>
      </c>
    </row>
    <row r="3089" spans="8:8" x14ac:dyDescent="0.25">
      <c r="H3089" t="s">
        <v>4978</v>
      </c>
    </row>
    <row r="3090" spans="8:8" x14ac:dyDescent="0.25">
      <c r="H3090" t="s">
        <v>31</v>
      </c>
    </row>
    <row r="3092" spans="8:8" x14ac:dyDescent="0.25">
      <c r="H3092" t="s">
        <v>2422</v>
      </c>
    </row>
    <row r="3093" spans="8:8" x14ac:dyDescent="0.25">
      <c r="H3093" t="s">
        <v>145</v>
      </c>
    </row>
    <row r="3094" spans="8:8" x14ac:dyDescent="0.25">
      <c r="H3094" t="s">
        <v>4979</v>
      </c>
    </row>
    <row r="3095" spans="8:8" x14ac:dyDescent="0.25">
      <c r="H3095" t="s">
        <v>31</v>
      </c>
    </row>
    <row r="3097" spans="8:8" x14ac:dyDescent="0.25">
      <c r="H3097" t="s">
        <v>2424</v>
      </c>
    </row>
    <row r="3098" spans="8:8" x14ac:dyDescent="0.25">
      <c r="H3098" t="s">
        <v>145</v>
      </c>
    </row>
    <row r="3099" spans="8:8" x14ac:dyDescent="0.25">
      <c r="H3099" t="s">
        <v>4980</v>
      </c>
    </row>
    <row r="3100" spans="8:8" x14ac:dyDescent="0.25">
      <c r="H3100" t="s">
        <v>31</v>
      </c>
    </row>
    <row r="3101" spans="8:8" x14ac:dyDescent="0.25">
      <c r="H3101" t="s">
        <v>146</v>
      </c>
    </row>
    <row r="3102" spans="8:8" x14ac:dyDescent="0.25">
      <c r="H3102" t="s">
        <v>4981</v>
      </c>
    </row>
    <row r="3103" spans="8:8" x14ac:dyDescent="0.25">
      <c r="H3103" t="s">
        <v>31</v>
      </c>
    </row>
    <row r="3105" spans="8:8" x14ac:dyDescent="0.25">
      <c r="H3105" t="s">
        <v>2426</v>
      </c>
    </row>
    <row r="3106" spans="8:8" x14ac:dyDescent="0.25">
      <c r="H3106" t="s">
        <v>145</v>
      </c>
    </row>
    <row r="3107" spans="8:8" x14ac:dyDescent="0.25">
      <c r="H3107" t="s">
        <v>4982</v>
      </c>
    </row>
    <row r="3108" spans="8:8" x14ac:dyDescent="0.25">
      <c r="H3108" t="s">
        <v>31</v>
      </c>
    </row>
    <row r="3110" spans="8:8" x14ac:dyDescent="0.25">
      <c r="H3110" t="s">
        <v>2428</v>
      </c>
    </row>
    <row r="3111" spans="8:8" x14ac:dyDescent="0.25">
      <c r="H3111" t="s">
        <v>145</v>
      </c>
    </row>
    <row r="3112" spans="8:8" x14ac:dyDescent="0.25">
      <c r="H3112" t="s">
        <v>4983</v>
      </c>
    </row>
    <row r="3113" spans="8:8" x14ac:dyDescent="0.25">
      <c r="H3113" t="s">
        <v>31</v>
      </c>
    </row>
    <row r="3115" spans="8:8" x14ac:dyDescent="0.25">
      <c r="H3115" t="s">
        <v>2430</v>
      </c>
    </row>
    <row r="3116" spans="8:8" x14ac:dyDescent="0.25">
      <c r="H3116" t="s">
        <v>145</v>
      </c>
    </row>
    <row r="3117" spans="8:8" x14ac:dyDescent="0.25">
      <c r="H3117" t="s">
        <v>4984</v>
      </c>
    </row>
    <row r="3118" spans="8:8" x14ac:dyDescent="0.25">
      <c r="H3118" t="s">
        <v>31</v>
      </c>
    </row>
    <row r="3119" spans="8:8" x14ac:dyDescent="0.25">
      <c r="H3119" t="s">
        <v>146</v>
      </c>
    </row>
    <row r="3120" spans="8:8" x14ac:dyDescent="0.25">
      <c r="H3120" t="s">
        <v>4985</v>
      </c>
    </row>
    <row r="3121" spans="8:8" x14ac:dyDescent="0.25">
      <c r="H3121" t="s">
        <v>31</v>
      </c>
    </row>
    <row r="3122" spans="8:8" x14ac:dyDescent="0.25">
      <c r="H3122" t="s">
        <v>147</v>
      </c>
    </row>
    <row r="3123" spans="8:8" x14ac:dyDescent="0.25">
      <c r="H3123" t="s">
        <v>4986</v>
      </c>
    </row>
    <row r="3124" spans="8:8" x14ac:dyDescent="0.25">
      <c r="H3124" t="s">
        <v>31</v>
      </c>
    </row>
    <row r="3125" spans="8:8" x14ac:dyDescent="0.25">
      <c r="H3125" t="s">
        <v>148</v>
      </c>
    </row>
    <row r="3126" spans="8:8" x14ac:dyDescent="0.25">
      <c r="H3126" t="s">
        <v>4987</v>
      </c>
    </row>
    <row r="3127" spans="8:8" x14ac:dyDescent="0.25">
      <c r="H3127" t="s">
        <v>31</v>
      </c>
    </row>
    <row r="3129" spans="8:8" x14ac:dyDescent="0.25">
      <c r="H3129" t="s">
        <v>2432</v>
      </c>
    </row>
    <row r="3130" spans="8:8" x14ac:dyDescent="0.25">
      <c r="H3130" t="s">
        <v>145</v>
      </c>
    </row>
    <row r="3131" spans="8:8" x14ac:dyDescent="0.25">
      <c r="H3131" t="s">
        <v>4988</v>
      </c>
    </row>
    <row r="3132" spans="8:8" x14ac:dyDescent="0.25">
      <c r="H3132" t="s">
        <v>31</v>
      </c>
    </row>
    <row r="3134" spans="8:8" x14ac:dyDescent="0.25">
      <c r="H3134" t="s">
        <v>2434</v>
      </c>
    </row>
    <row r="3135" spans="8:8" x14ac:dyDescent="0.25">
      <c r="H3135" t="s">
        <v>145</v>
      </c>
    </row>
    <row r="3136" spans="8:8" x14ac:dyDescent="0.25">
      <c r="H3136" t="s">
        <v>4989</v>
      </c>
    </row>
    <row r="3137" spans="8:8" x14ac:dyDescent="0.25">
      <c r="H3137" t="s">
        <v>31</v>
      </c>
    </row>
    <row r="3138" spans="8:8" x14ac:dyDescent="0.25">
      <c r="H3138" t="s">
        <v>146</v>
      </c>
    </row>
    <row r="3139" spans="8:8" x14ac:dyDescent="0.25">
      <c r="H3139" t="s">
        <v>4990</v>
      </c>
    </row>
    <row r="3140" spans="8:8" x14ac:dyDescent="0.25">
      <c r="H3140" t="s">
        <v>31</v>
      </c>
    </row>
    <row r="3141" spans="8:8" x14ac:dyDescent="0.25">
      <c r="H3141" t="s">
        <v>147</v>
      </c>
    </row>
    <row r="3142" spans="8:8" x14ac:dyDescent="0.25">
      <c r="H3142" t="s">
        <v>4991</v>
      </c>
    </row>
    <row r="3143" spans="8:8" x14ac:dyDescent="0.25">
      <c r="H3143" t="s">
        <v>31</v>
      </c>
    </row>
    <row r="3144" spans="8:8" x14ac:dyDescent="0.25">
      <c r="H3144" t="s">
        <v>148</v>
      </c>
    </row>
    <row r="3145" spans="8:8" x14ac:dyDescent="0.25">
      <c r="H3145" t="s">
        <v>4992</v>
      </c>
    </row>
    <row r="3146" spans="8:8" x14ac:dyDescent="0.25">
      <c r="H3146" t="s">
        <v>31</v>
      </c>
    </row>
    <row r="3148" spans="8:8" x14ac:dyDescent="0.25">
      <c r="H3148" t="s">
        <v>2438</v>
      </c>
    </row>
    <row r="3149" spans="8:8" x14ac:dyDescent="0.25">
      <c r="H3149" t="s">
        <v>145</v>
      </c>
    </row>
    <row r="3150" spans="8:8" x14ac:dyDescent="0.25">
      <c r="H3150" t="s">
        <v>4993</v>
      </c>
    </row>
    <row r="3151" spans="8:8" x14ac:dyDescent="0.25">
      <c r="H3151" t="s">
        <v>31</v>
      </c>
    </row>
    <row r="3152" spans="8:8" x14ac:dyDescent="0.25">
      <c r="H3152" t="s">
        <v>146</v>
      </c>
    </row>
    <row r="3153" spans="8:8" x14ac:dyDescent="0.25">
      <c r="H3153" t="s">
        <v>4994</v>
      </c>
    </row>
    <row r="3154" spans="8:8" x14ac:dyDescent="0.25">
      <c r="H3154" t="s">
        <v>31</v>
      </c>
    </row>
    <row r="3155" spans="8:8" x14ac:dyDescent="0.25">
      <c r="H3155" t="s">
        <v>3104</v>
      </c>
    </row>
    <row r="3156" spans="8:8" x14ac:dyDescent="0.25">
      <c r="H3156" t="s">
        <v>147</v>
      </c>
    </row>
    <row r="3157" spans="8:8" x14ac:dyDescent="0.25">
      <c r="H3157" t="s">
        <v>4995</v>
      </c>
    </row>
    <row r="3158" spans="8:8" x14ac:dyDescent="0.25">
      <c r="H3158" t="s">
        <v>31</v>
      </c>
    </row>
    <row r="3160" spans="8:8" x14ac:dyDescent="0.25">
      <c r="H3160" t="s">
        <v>2443</v>
      </c>
    </row>
    <row r="3161" spans="8:8" x14ac:dyDescent="0.25">
      <c r="H3161" t="s">
        <v>145</v>
      </c>
    </row>
    <row r="3162" spans="8:8" x14ac:dyDescent="0.25">
      <c r="H3162" t="s">
        <v>4996</v>
      </c>
    </row>
    <row r="3163" spans="8:8" x14ac:dyDescent="0.25">
      <c r="H3163" t="s">
        <v>31</v>
      </c>
    </row>
    <row r="3165" spans="8:8" x14ac:dyDescent="0.25">
      <c r="H3165" t="s">
        <v>2447</v>
      </c>
    </row>
    <row r="3166" spans="8:8" x14ac:dyDescent="0.25">
      <c r="H3166" t="s">
        <v>145</v>
      </c>
    </row>
    <row r="3167" spans="8:8" x14ac:dyDescent="0.25">
      <c r="H3167" t="s">
        <v>4997</v>
      </c>
    </row>
    <row r="3168" spans="8:8" x14ac:dyDescent="0.25">
      <c r="H3168" t="s">
        <v>31</v>
      </c>
    </row>
    <row r="3170" spans="8:8" x14ac:dyDescent="0.25">
      <c r="H3170" t="s">
        <v>2449</v>
      </c>
    </row>
    <row r="3171" spans="8:8" x14ac:dyDescent="0.25">
      <c r="H3171" t="s">
        <v>145</v>
      </c>
    </row>
    <row r="3172" spans="8:8" x14ac:dyDescent="0.25">
      <c r="H3172" t="s">
        <v>4998</v>
      </c>
    </row>
    <row r="3173" spans="8:8" x14ac:dyDescent="0.25">
      <c r="H3173" t="s">
        <v>31</v>
      </c>
    </row>
    <row r="3175" spans="8:8" x14ac:dyDescent="0.25">
      <c r="H3175" t="s">
        <v>2451</v>
      </c>
    </row>
    <row r="3176" spans="8:8" x14ac:dyDescent="0.25">
      <c r="H3176" t="s">
        <v>145</v>
      </c>
    </row>
    <row r="3177" spans="8:8" x14ac:dyDescent="0.25">
      <c r="H3177" t="s">
        <v>4999</v>
      </c>
    </row>
    <row r="3178" spans="8:8" x14ac:dyDescent="0.25">
      <c r="H3178" t="s">
        <v>31</v>
      </c>
    </row>
    <row r="3180" spans="8:8" x14ac:dyDescent="0.25">
      <c r="H3180" t="s">
        <v>2454</v>
      </c>
    </row>
    <row r="3181" spans="8:8" x14ac:dyDescent="0.25">
      <c r="H3181" t="s">
        <v>145</v>
      </c>
    </row>
    <row r="3182" spans="8:8" x14ac:dyDescent="0.25">
      <c r="H3182" t="s">
        <v>5000</v>
      </c>
    </row>
    <row r="3183" spans="8:8" x14ac:dyDescent="0.25">
      <c r="H3183" t="s">
        <v>31</v>
      </c>
    </row>
    <row r="3185" spans="8:8" x14ac:dyDescent="0.25">
      <c r="H3185" t="s">
        <v>2456</v>
      </c>
    </row>
    <row r="3186" spans="8:8" x14ac:dyDescent="0.25">
      <c r="H3186" t="s">
        <v>145</v>
      </c>
    </row>
    <row r="3187" spans="8:8" x14ac:dyDescent="0.25">
      <c r="H3187" t="s">
        <v>5001</v>
      </c>
    </row>
    <row r="3188" spans="8:8" x14ac:dyDescent="0.25">
      <c r="H3188" t="s">
        <v>31</v>
      </c>
    </row>
    <row r="3190" spans="8:8" x14ac:dyDescent="0.25">
      <c r="H3190" t="s">
        <v>2458</v>
      </c>
    </row>
    <row r="3191" spans="8:8" x14ac:dyDescent="0.25">
      <c r="H3191" t="s">
        <v>145</v>
      </c>
    </row>
    <row r="3192" spans="8:8" x14ac:dyDescent="0.25">
      <c r="H3192" t="s">
        <v>5002</v>
      </c>
    </row>
    <row r="3193" spans="8:8" x14ac:dyDescent="0.25">
      <c r="H3193" t="s">
        <v>31</v>
      </c>
    </row>
    <row r="3195" spans="8:8" x14ac:dyDescent="0.25">
      <c r="H3195" t="s">
        <v>2461</v>
      </c>
    </row>
    <row r="3196" spans="8:8" x14ac:dyDescent="0.25">
      <c r="H3196" t="s">
        <v>145</v>
      </c>
    </row>
    <row r="3197" spans="8:8" x14ac:dyDescent="0.25">
      <c r="H3197" t="s">
        <v>5003</v>
      </c>
    </row>
    <row r="3198" spans="8:8" x14ac:dyDescent="0.25">
      <c r="H3198" t="s">
        <v>31</v>
      </c>
    </row>
    <row r="3200" spans="8:8" x14ac:dyDescent="0.25">
      <c r="H3200" t="s">
        <v>2463</v>
      </c>
    </row>
    <row r="3201" spans="8:8" x14ac:dyDescent="0.25">
      <c r="H3201" t="s">
        <v>145</v>
      </c>
    </row>
    <row r="3202" spans="8:8" x14ac:dyDescent="0.25">
      <c r="H3202" t="s">
        <v>5004</v>
      </c>
    </row>
    <row r="3203" spans="8:8" x14ac:dyDescent="0.25">
      <c r="H3203" t="s">
        <v>31</v>
      </c>
    </row>
    <row r="3205" spans="8:8" x14ac:dyDescent="0.25">
      <c r="H3205" t="s">
        <v>2465</v>
      </c>
    </row>
    <row r="3206" spans="8:8" x14ac:dyDescent="0.25">
      <c r="H3206" t="s">
        <v>145</v>
      </c>
    </row>
    <row r="3207" spans="8:8" x14ac:dyDescent="0.25">
      <c r="H3207" t="s">
        <v>5005</v>
      </c>
    </row>
    <row r="3208" spans="8:8" x14ac:dyDescent="0.25">
      <c r="H3208" t="s">
        <v>31</v>
      </c>
    </row>
    <row r="3210" spans="8:8" x14ac:dyDescent="0.25">
      <c r="H3210" t="s">
        <v>2468</v>
      </c>
    </row>
    <row r="3211" spans="8:8" x14ac:dyDescent="0.25">
      <c r="H3211" t="s">
        <v>145</v>
      </c>
    </row>
    <row r="3212" spans="8:8" x14ac:dyDescent="0.25">
      <c r="H3212" t="s">
        <v>5006</v>
      </c>
    </row>
    <row r="3213" spans="8:8" x14ac:dyDescent="0.25">
      <c r="H3213" t="s">
        <v>31</v>
      </c>
    </row>
    <row r="3215" spans="8:8" x14ac:dyDescent="0.25">
      <c r="H3215" t="s">
        <v>2470</v>
      </c>
    </row>
    <row r="3216" spans="8:8" x14ac:dyDescent="0.25">
      <c r="H3216" t="s">
        <v>145</v>
      </c>
    </row>
    <row r="3217" spans="8:8" x14ac:dyDescent="0.25">
      <c r="H3217" t="s">
        <v>5007</v>
      </c>
    </row>
    <row r="3218" spans="8:8" x14ac:dyDescent="0.25">
      <c r="H3218" t="s">
        <v>31</v>
      </c>
    </row>
    <row r="3220" spans="8:8" x14ac:dyDescent="0.25">
      <c r="H3220" t="s">
        <v>2472</v>
      </c>
    </row>
    <row r="3221" spans="8:8" x14ac:dyDescent="0.25">
      <c r="H3221" t="s">
        <v>145</v>
      </c>
    </row>
    <row r="3222" spans="8:8" x14ac:dyDescent="0.25">
      <c r="H3222" t="s">
        <v>5008</v>
      </c>
    </row>
    <row r="3223" spans="8:8" x14ac:dyDescent="0.25">
      <c r="H3223" t="s">
        <v>31</v>
      </c>
    </row>
    <row r="3225" spans="8:8" x14ac:dyDescent="0.25">
      <c r="H3225" t="s">
        <v>2477</v>
      </c>
    </row>
    <row r="3226" spans="8:8" x14ac:dyDescent="0.25">
      <c r="H3226" t="s">
        <v>145</v>
      </c>
    </row>
    <row r="3227" spans="8:8" x14ac:dyDescent="0.25">
      <c r="H3227" t="s">
        <v>5009</v>
      </c>
    </row>
    <row r="3228" spans="8:8" x14ac:dyDescent="0.25">
      <c r="H3228" t="s">
        <v>31</v>
      </c>
    </row>
    <row r="3230" spans="8:8" x14ac:dyDescent="0.25">
      <c r="H3230" t="s">
        <v>2479</v>
      </c>
    </row>
    <row r="3231" spans="8:8" x14ac:dyDescent="0.25">
      <c r="H3231" t="s">
        <v>145</v>
      </c>
    </row>
    <row r="3232" spans="8:8" x14ac:dyDescent="0.25">
      <c r="H3232" t="s">
        <v>5010</v>
      </c>
    </row>
    <row r="3233" spans="8:8" x14ac:dyDescent="0.25">
      <c r="H3233" t="s">
        <v>31</v>
      </c>
    </row>
    <row r="3234" spans="8:8" x14ac:dyDescent="0.25">
      <c r="H3234" t="s">
        <v>146</v>
      </c>
    </row>
    <row r="3235" spans="8:8" x14ac:dyDescent="0.25">
      <c r="H3235" t="s">
        <v>5011</v>
      </c>
    </row>
    <row r="3236" spans="8:8" x14ac:dyDescent="0.25">
      <c r="H3236" t="s">
        <v>31</v>
      </c>
    </row>
    <row r="3238" spans="8:8" x14ac:dyDescent="0.25">
      <c r="H3238" t="s">
        <v>2484</v>
      </c>
    </row>
    <row r="3239" spans="8:8" x14ac:dyDescent="0.25">
      <c r="H3239" t="s">
        <v>145</v>
      </c>
    </row>
    <row r="3240" spans="8:8" x14ac:dyDescent="0.25">
      <c r="H3240" t="s">
        <v>5012</v>
      </c>
    </row>
    <row r="3241" spans="8:8" x14ac:dyDescent="0.25">
      <c r="H3241" t="s">
        <v>31</v>
      </c>
    </row>
    <row r="3242" spans="8:8" x14ac:dyDescent="0.25">
      <c r="H3242" t="s">
        <v>146</v>
      </c>
    </row>
    <row r="3243" spans="8:8" x14ac:dyDescent="0.25">
      <c r="H3243" t="s">
        <v>5013</v>
      </c>
    </row>
    <row r="3244" spans="8:8" x14ac:dyDescent="0.25">
      <c r="H3244" t="s">
        <v>31</v>
      </c>
    </row>
    <row r="3245" spans="8:8" x14ac:dyDescent="0.25">
      <c r="H3245" t="s">
        <v>147</v>
      </c>
    </row>
    <row r="3246" spans="8:8" x14ac:dyDescent="0.25">
      <c r="H3246" t="s">
        <v>5014</v>
      </c>
    </row>
    <row r="3247" spans="8:8" x14ac:dyDescent="0.25">
      <c r="H3247" t="s">
        <v>31</v>
      </c>
    </row>
    <row r="3248" spans="8:8" x14ac:dyDescent="0.25">
      <c r="H3248" t="s">
        <v>148</v>
      </c>
    </row>
    <row r="3249" spans="8:8" x14ac:dyDescent="0.25">
      <c r="H3249" t="s">
        <v>5015</v>
      </c>
    </row>
    <row r="3250" spans="8:8" x14ac:dyDescent="0.25">
      <c r="H3250" t="s">
        <v>31</v>
      </c>
    </row>
    <row r="3252" spans="8:8" x14ac:dyDescent="0.25">
      <c r="H3252" t="s">
        <v>2489</v>
      </c>
    </row>
    <row r="3253" spans="8:8" x14ac:dyDescent="0.25">
      <c r="H3253" t="s">
        <v>145</v>
      </c>
    </row>
    <row r="3254" spans="8:8" x14ac:dyDescent="0.25">
      <c r="H3254" t="s">
        <v>5016</v>
      </c>
    </row>
    <row r="3255" spans="8:8" x14ac:dyDescent="0.25">
      <c r="H3255" t="s">
        <v>31</v>
      </c>
    </row>
    <row r="3256" spans="8:8" x14ac:dyDescent="0.25">
      <c r="H3256" t="s">
        <v>146</v>
      </c>
    </row>
    <row r="3257" spans="8:8" x14ac:dyDescent="0.25">
      <c r="H3257" t="s">
        <v>5017</v>
      </c>
    </row>
    <row r="3258" spans="8:8" x14ac:dyDescent="0.25">
      <c r="H3258" t="s">
        <v>31</v>
      </c>
    </row>
    <row r="3259" spans="8:8" x14ac:dyDescent="0.25">
      <c r="H3259" t="s">
        <v>147</v>
      </c>
    </row>
    <row r="3260" spans="8:8" x14ac:dyDescent="0.25">
      <c r="H3260" t="s">
        <v>5018</v>
      </c>
    </row>
    <row r="3261" spans="8:8" x14ac:dyDescent="0.25">
      <c r="H3261" t="s">
        <v>31</v>
      </c>
    </row>
    <row r="3262" spans="8:8" x14ac:dyDescent="0.25">
      <c r="H3262" t="s">
        <v>148</v>
      </c>
    </row>
    <row r="3263" spans="8:8" x14ac:dyDescent="0.25">
      <c r="H3263" t="s">
        <v>5019</v>
      </c>
    </row>
    <row r="3264" spans="8:8" x14ac:dyDescent="0.25">
      <c r="H3264" t="s">
        <v>31</v>
      </c>
    </row>
    <row r="3266" spans="8:8" x14ac:dyDescent="0.25">
      <c r="H3266" t="s">
        <v>2491</v>
      </c>
    </row>
    <row r="3267" spans="8:8" x14ac:dyDescent="0.25">
      <c r="H3267" t="s">
        <v>145</v>
      </c>
    </row>
    <row r="3268" spans="8:8" x14ac:dyDescent="0.25">
      <c r="H3268" t="s">
        <v>5020</v>
      </c>
    </row>
    <row r="3269" spans="8:8" x14ac:dyDescent="0.25">
      <c r="H3269" t="s">
        <v>31</v>
      </c>
    </row>
    <row r="3270" spans="8:8" x14ac:dyDescent="0.25">
      <c r="H3270" t="s">
        <v>146</v>
      </c>
    </row>
    <row r="3271" spans="8:8" x14ac:dyDescent="0.25">
      <c r="H3271" t="s">
        <v>5021</v>
      </c>
    </row>
    <row r="3272" spans="8:8" x14ac:dyDescent="0.25">
      <c r="H3272" t="s">
        <v>31</v>
      </c>
    </row>
    <row r="3273" spans="8:8" x14ac:dyDescent="0.25">
      <c r="H3273" t="s">
        <v>147</v>
      </c>
    </row>
    <row r="3274" spans="8:8" x14ac:dyDescent="0.25">
      <c r="H3274" t="s">
        <v>5022</v>
      </c>
    </row>
    <row r="3275" spans="8:8" x14ac:dyDescent="0.25">
      <c r="H3275" t="s">
        <v>31</v>
      </c>
    </row>
    <row r="3276" spans="8:8" x14ac:dyDescent="0.25">
      <c r="H3276" t="s">
        <v>148</v>
      </c>
    </row>
    <row r="3277" spans="8:8" x14ac:dyDescent="0.25">
      <c r="H3277" t="s">
        <v>5023</v>
      </c>
    </row>
    <row r="3278" spans="8:8" x14ac:dyDescent="0.25">
      <c r="H3278" t="s">
        <v>31</v>
      </c>
    </row>
    <row r="3280" spans="8:8" x14ac:dyDescent="0.25">
      <c r="H3280" t="s">
        <v>2493</v>
      </c>
    </row>
    <row r="3281" spans="8:8" x14ac:dyDescent="0.25">
      <c r="H3281" t="s">
        <v>145</v>
      </c>
    </row>
    <row r="3282" spans="8:8" x14ac:dyDescent="0.25">
      <c r="H3282" t="s">
        <v>5024</v>
      </c>
    </row>
    <row r="3283" spans="8:8" x14ac:dyDescent="0.25">
      <c r="H3283" t="s">
        <v>31</v>
      </c>
    </row>
    <row r="3284" spans="8:8" x14ac:dyDescent="0.25">
      <c r="H3284" t="s">
        <v>146</v>
      </c>
    </row>
    <row r="3285" spans="8:8" x14ac:dyDescent="0.25">
      <c r="H3285" t="s">
        <v>5025</v>
      </c>
    </row>
    <row r="3286" spans="8:8" x14ac:dyDescent="0.25">
      <c r="H3286" t="s">
        <v>31</v>
      </c>
    </row>
    <row r="3287" spans="8:8" x14ac:dyDescent="0.25">
      <c r="H3287" t="s">
        <v>147</v>
      </c>
    </row>
    <row r="3288" spans="8:8" x14ac:dyDescent="0.25">
      <c r="H3288" t="s">
        <v>5026</v>
      </c>
    </row>
    <row r="3289" spans="8:8" x14ac:dyDescent="0.25">
      <c r="H3289" t="s">
        <v>31</v>
      </c>
    </row>
    <row r="3290" spans="8:8" x14ac:dyDescent="0.25">
      <c r="H3290" t="s">
        <v>148</v>
      </c>
    </row>
    <row r="3291" spans="8:8" x14ac:dyDescent="0.25">
      <c r="H3291" t="s">
        <v>5027</v>
      </c>
    </row>
    <row r="3292" spans="8:8" x14ac:dyDescent="0.25">
      <c r="H3292" t="s">
        <v>31</v>
      </c>
    </row>
    <row r="3294" spans="8:8" x14ac:dyDescent="0.25">
      <c r="H3294" t="s">
        <v>2495</v>
      </c>
    </row>
    <row r="3295" spans="8:8" x14ac:dyDescent="0.25">
      <c r="H3295" t="s">
        <v>145</v>
      </c>
    </row>
    <row r="3296" spans="8:8" x14ac:dyDescent="0.25">
      <c r="H3296" t="s">
        <v>5028</v>
      </c>
    </row>
    <row r="3297" spans="8:8" x14ac:dyDescent="0.25">
      <c r="H3297" t="s">
        <v>31</v>
      </c>
    </row>
    <row r="3298" spans="8:8" x14ac:dyDescent="0.25">
      <c r="H3298" t="s">
        <v>146</v>
      </c>
    </row>
    <row r="3299" spans="8:8" x14ac:dyDescent="0.25">
      <c r="H3299" t="s">
        <v>5029</v>
      </c>
    </row>
    <row r="3300" spans="8:8" x14ac:dyDescent="0.25">
      <c r="H3300" t="s">
        <v>31</v>
      </c>
    </row>
    <row r="3301" spans="8:8" x14ac:dyDescent="0.25">
      <c r="H3301" t="s">
        <v>147</v>
      </c>
    </row>
    <row r="3302" spans="8:8" x14ac:dyDescent="0.25">
      <c r="H3302" t="s">
        <v>5030</v>
      </c>
    </row>
    <row r="3303" spans="8:8" x14ac:dyDescent="0.25">
      <c r="H3303" t="s">
        <v>31</v>
      </c>
    </row>
    <row r="3304" spans="8:8" x14ac:dyDescent="0.25">
      <c r="H3304" t="s">
        <v>148</v>
      </c>
    </row>
    <row r="3305" spans="8:8" x14ac:dyDescent="0.25">
      <c r="H3305" t="s">
        <v>5031</v>
      </c>
    </row>
    <row r="3306" spans="8:8" x14ac:dyDescent="0.25">
      <c r="H3306" t="s">
        <v>31</v>
      </c>
    </row>
    <row r="3308" spans="8:8" x14ac:dyDescent="0.25">
      <c r="H3308" t="s">
        <v>2497</v>
      </c>
    </row>
    <row r="3309" spans="8:8" x14ac:dyDescent="0.25">
      <c r="H3309" t="s">
        <v>145</v>
      </c>
    </row>
    <row r="3310" spans="8:8" x14ac:dyDescent="0.25">
      <c r="H3310" t="s">
        <v>5032</v>
      </c>
    </row>
    <row r="3311" spans="8:8" x14ac:dyDescent="0.25">
      <c r="H3311" t="s">
        <v>31</v>
      </c>
    </row>
    <row r="3312" spans="8:8" x14ac:dyDescent="0.25">
      <c r="H3312" t="s">
        <v>146</v>
      </c>
    </row>
    <row r="3313" spans="8:8" x14ac:dyDescent="0.25">
      <c r="H3313" t="s">
        <v>5033</v>
      </c>
    </row>
    <row r="3314" spans="8:8" x14ac:dyDescent="0.25">
      <c r="H3314" t="s">
        <v>31</v>
      </c>
    </row>
    <row r="3315" spans="8:8" x14ac:dyDescent="0.25">
      <c r="H3315" t="s">
        <v>147</v>
      </c>
    </row>
    <row r="3316" spans="8:8" x14ac:dyDescent="0.25">
      <c r="H3316" t="s">
        <v>5034</v>
      </c>
    </row>
    <row r="3317" spans="8:8" x14ac:dyDescent="0.25">
      <c r="H3317" t="s">
        <v>31</v>
      </c>
    </row>
    <row r="3318" spans="8:8" x14ac:dyDescent="0.25">
      <c r="H3318" t="s">
        <v>148</v>
      </c>
    </row>
    <row r="3319" spans="8:8" x14ac:dyDescent="0.25">
      <c r="H3319" t="s">
        <v>5035</v>
      </c>
    </row>
    <row r="3320" spans="8:8" x14ac:dyDescent="0.25">
      <c r="H3320" t="s">
        <v>31</v>
      </c>
    </row>
    <row r="3322" spans="8:8" x14ac:dyDescent="0.25">
      <c r="H3322" t="s">
        <v>2499</v>
      </c>
    </row>
    <row r="3323" spans="8:8" x14ac:dyDescent="0.25">
      <c r="H3323" t="s">
        <v>145</v>
      </c>
    </row>
    <row r="3324" spans="8:8" x14ac:dyDescent="0.25">
      <c r="H3324" t="s">
        <v>5036</v>
      </c>
    </row>
    <row r="3325" spans="8:8" x14ac:dyDescent="0.25">
      <c r="H3325" t="s">
        <v>31</v>
      </c>
    </row>
    <row r="3326" spans="8:8" x14ac:dyDescent="0.25">
      <c r="H3326" t="s">
        <v>146</v>
      </c>
    </row>
    <row r="3327" spans="8:8" x14ac:dyDescent="0.25">
      <c r="H3327" t="s">
        <v>5037</v>
      </c>
    </row>
    <row r="3328" spans="8:8" x14ac:dyDescent="0.25">
      <c r="H3328" t="s">
        <v>31</v>
      </c>
    </row>
    <row r="3329" spans="8:8" x14ac:dyDescent="0.25">
      <c r="H3329" t="s">
        <v>147</v>
      </c>
    </row>
    <row r="3330" spans="8:8" x14ac:dyDescent="0.25">
      <c r="H3330" t="s">
        <v>5038</v>
      </c>
    </row>
    <row r="3331" spans="8:8" x14ac:dyDescent="0.25">
      <c r="H3331" t="s">
        <v>31</v>
      </c>
    </row>
    <row r="3332" spans="8:8" x14ac:dyDescent="0.25">
      <c r="H3332" t="s">
        <v>148</v>
      </c>
    </row>
    <row r="3333" spans="8:8" x14ac:dyDescent="0.25">
      <c r="H3333" t="s">
        <v>5039</v>
      </c>
    </row>
    <row r="3334" spans="8:8" x14ac:dyDescent="0.25">
      <c r="H3334" t="s">
        <v>31</v>
      </c>
    </row>
    <row r="3336" spans="8:8" x14ac:dyDescent="0.25">
      <c r="H3336" t="s">
        <v>2501</v>
      </c>
    </row>
    <row r="3337" spans="8:8" x14ac:dyDescent="0.25">
      <c r="H3337" t="s">
        <v>145</v>
      </c>
    </row>
    <row r="3338" spans="8:8" x14ac:dyDescent="0.25">
      <c r="H3338" t="s">
        <v>5040</v>
      </c>
    </row>
    <row r="3339" spans="8:8" x14ac:dyDescent="0.25">
      <c r="H3339" t="s">
        <v>31</v>
      </c>
    </row>
    <row r="3340" spans="8:8" x14ac:dyDescent="0.25">
      <c r="H3340" t="s">
        <v>146</v>
      </c>
    </row>
    <row r="3341" spans="8:8" x14ac:dyDescent="0.25">
      <c r="H3341" t="s">
        <v>5041</v>
      </c>
    </row>
    <row r="3342" spans="8:8" x14ac:dyDescent="0.25">
      <c r="H3342" t="s">
        <v>31</v>
      </c>
    </row>
    <row r="3343" spans="8:8" x14ac:dyDescent="0.25">
      <c r="H3343" t="s">
        <v>147</v>
      </c>
    </row>
    <row r="3344" spans="8:8" x14ac:dyDescent="0.25">
      <c r="H3344" t="s">
        <v>5042</v>
      </c>
    </row>
    <row r="3345" spans="8:8" x14ac:dyDescent="0.25">
      <c r="H3345" t="s">
        <v>31</v>
      </c>
    </row>
    <row r="3346" spans="8:8" x14ac:dyDescent="0.25">
      <c r="H3346" t="s">
        <v>148</v>
      </c>
    </row>
    <row r="3347" spans="8:8" x14ac:dyDescent="0.25">
      <c r="H3347" t="s">
        <v>5043</v>
      </c>
    </row>
    <row r="3348" spans="8:8" x14ac:dyDescent="0.25">
      <c r="H3348" t="s">
        <v>31</v>
      </c>
    </row>
    <row r="3350" spans="8:8" x14ac:dyDescent="0.25">
      <c r="H3350" t="s">
        <v>2503</v>
      </c>
    </row>
    <row r="3351" spans="8:8" x14ac:dyDescent="0.25">
      <c r="H3351" t="s">
        <v>145</v>
      </c>
    </row>
    <row r="3352" spans="8:8" x14ac:dyDescent="0.25">
      <c r="H3352" t="s">
        <v>5044</v>
      </c>
    </row>
    <row r="3353" spans="8:8" x14ac:dyDescent="0.25">
      <c r="H3353" t="s">
        <v>31</v>
      </c>
    </row>
    <row r="3354" spans="8:8" x14ac:dyDescent="0.25">
      <c r="H3354" t="s">
        <v>146</v>
      </c>
    </row>
    <row r="3355" spans="8:8" x14ac:dyDescent="0.25">
      <c r="H3355" t="s">
        <v>5045</v>
      </c>
    </row>
    <row r="3356" spans="8:8" x14ac:dyDescent="0.25">
      <c r="H3356" t="s">
        <v>31</v>
      </c>
    </row>
    <row r="3357" spans="8:8" x14ac:dyDescent="0.25">
      <c r="H3357" t="s">
        <v>147</v>
      </c>
    </row>
    <row r="3358" spans="8:8" x14ac:dyDescent="0.25">
      <c r="H3358" t="s">
        <v>5046</v>
      </c>
    </row>
    <row r="3359" spans="8:8" x14ac:dyDescent="0.25">
      <c r="H3359" t="s">
        <v>31</v>
      </c>
    </row>
    <row r="3360" spans="8:8" x14ac:dyDescent="0.25">
      <c r="H3360" t="s">
        <v>148</v>
      </c>
    </row>
    <row r="3361" spans="8:8" x14ac:dyDescent="0.25">
      <c r="H3361" t="s">
        <v>5047</v>
      </c>
    </row>
    <row r="3362" spans="8:8" x14ac:dyDescent="0.25">
      <c r="H3362" t="s">
        <v>31</v>
      </c>
    </row>
    <row r="3364" spans="8:8" x14ac:dyDescent="0.25">
      <c r="H3364" t="s">
        <v>2505</v>
      </c>
    </row>
    <row r="3365" spans="8:8" x14ac:dyDescent="0.25">
      <c r="H3365" t="s">
        <v>145</v>
      </c>
    </row>
    <row r="3366" spans="8:8" x14ac:dyDescent="0.25">
      <c r="H3366" t="s">
        <v>5048</v>
      </c>
    </row>
    <row r="3367" spans="8:8" x14ac:dyDescent="0.25">
      <c r="H3367" t="s">
        <v>31</v>
      </c>
    </row>
    <row r="3368" spans="8:8" x14ac:dyDescent="0.25">
      <c r="H3368" t="s">
        <v>146</v>
      </c>
    </row>
    <row r="3369" spans="8:8" x14ac:dyDescent="0.25">
      <c r="H3369" t="s">
        <v>5049</v>
      </c>
    </row>
    <row r="3370" spans="8:8" x14ac:dyDescent="0.25">
      <c r="H3370" t="s">
        <v>31</v>
      </c>
    </row>
    <row r="3371" spans="8:8" x14ac:dyDescent="0.25">
      <c r="H3371" t="s">
        <v>147</v>
      </c>
    </row>
    <row r="3372" spans="8:8" x14ac:dyDescent="0.25">
      <c r="H3372" t="s">
        <v>5050</v>
      </c>
    </row>
    <row r="3373" spans="8:8" x14ac:dyDescent="0.25">
      <c r="H3373" t="s">
        <v>31</v>
      </c>
    </row>
    <row r="3374" spans="8:8" x14ac:dyDescent="0.25">
      <c r="H3374" t="s">
        <v>148</v>
      </c>
    </row>
    <row r="3375" spans="8:8" x14ac:dyDescent="0.25">
      <c r="H3375" t="s">
        <v>5051</v>
      </c>
    </row>
    <row r="3376" spans="8:8" x14ac:dyDescent="0.25">
      <c r="H3376" t="s">
        <v>31</v>
      </c>
    </row>
    <row r="3378" spans="8:8" x14ac:dyDescent="0.25">
      <c r="H3378" t="s">
        <v>2507</v>
      </c>
    </row>
    <row r="3379" spans="8:8" x14ac:dyDescent="0.25">
      <c r="H3379" t="s">
        <v>145</v>
      </c>
    </row>
    <row r="3380" spans="8:8" x14ac:dyDescent="0.25">
      <c r="H3380" t="s">
        <v>5052</v>
      </c>
    </row>
    <row r="3381" spans="8:8" x14ac:dyDescent="0.25">
      <c r="H3381" t="s">
        <v>31</v>
      </c>
    </row>
    <row r="3382" spans="8:8" x14ac:dyDescent="0.25">
      <c r="H3382" t="s">
        <v>146</v>
      </c>
    </row>
    <row r="3383" spans="8:8" x14ac:dyDescent="0.25">
      <c r="H3383" t="s">
        <v>5053</v>
      </c>
    </row>
    <row r="3384" spans="8:8" x14ac:dyDescent="0.25">
      <c r="H3384" t="s">
        <v>31</v>
      </c>
    </row>
    <row r="3385" spans="8:8" x14ac:dyDescent="0.25">
      <c r="H3385" t="s">
        <v>147</v>
      </c>
    </row>
    <row r="3386" spans="8:8" x14ac:dyDescent="0.25">
      <c r="H3386" t="s">
        <v>5054</v>
      </c>
    </row>
    <row r="3387" spans="8:8" x14ac:dyDescent="0.25">
      <c r="H3387" t="s">
        <v>31</v>
      </c>
    </row>
    <row r="3388" spans="8:8" x14ac:dyDescent="0.25">
      <c r="H3388" t="s">
        <v>148</v>
      </c>
    </row>
    <row r="3389" spans="8:8" x14ac:dyDescent="0.25">
      <c r="H3389" t="s">
        <v>5055</v>
      </c>
    </row>
    <row r="3390" spans="8:8" x14ac:dyDescent="0.25">
      <c r="H3390" t="s">
        <v>31</v>
      </c>
    </row>
    <row r="3392" spans="8:8" x14ac:dyDescent="0.25">
      <c r="H3392" t="s">
        <v>2509</v>
      </c>
    </row>
    <row r="3393" spans="8:8" x14ac:dyDescent="0.25">
      <c r="H3393" t="s">
        <v>145</v>
      </c>
    </row>
    <row r="3394" spans="8:8" x14ac:dyDescent="0.25">
      <c r="H3394" t="s">
        <v>5056</v>
      </c>
    </row>
    <row r="3395" spans="8:8" x14ac:dyDescent="0.25">
      <c r="H3395" t="s">
        <v>31</v>
      </c>
    </row>
    <row r="3396" spans="8:8" x14ac:dyDescent="0.25">
      <c r="H3396" t="s">
        <v>146</v>
      </c>
    </row>
    <row r="3397" spans="8:8" x14ac:dyDescent="0.25">
      <c r="H3397" t="s">
        <v>5057</v>
      </c>
    </row>
    <row r="3398" spans="8:8" x14ac:dyDescent="0.25">
      <c r="H3398" t="s">
        <v>31</v>
      </c>
    </row>
    <row r="3399" spans="8:8" x14ac:dyDescent="0.25">
      <c r="H3399" t="s">
        <v>147</v>
      </c>
    </row>
    <row r="3400" spans="8:8" x14ac:dyDescent="0.25">
      <c r="H3400" t="s">
        <v>5058</v>
      </c>
    </row>
    <row r="3401" spans="8:8" x14ac:dyDescent="0.25">
      <c r="H3401" t="s">
        <v>31</v>
      </c>
    </row>
    <row r="3402" spans="8:8" x14ac:dyDescent="0.25">
      <c r="H3402" t="s">
        <v>148</v>
      </c>
    </row>
    <row r="3403" spans="8:8" x14ac:dyDescent="0.25">
      <c r="H3403" t="s">
        <v>5059</v>
      </c>
    </row>
    <row r="3404" spans="8:8" x14ac:dyDescent="0.25">
      <c r="H3404" t="s">
        <v>31</v>
      </c>
    </row>
    <row r="3406" spans="8:8" x14ac:dyDescent="0.25">
      <c r="H3406" t="s">
        <v>2511</v>
      </c>
    </row>
    <row r="3407" spans="8:8" x14ac:dyDescent="0.25">
      <c r="H3407" t="s">
        <v>145</v>
      </c>
    </row>
    <row r="3408" spans="8:8" x14ac:dyDescent="0.25">
      <c r="H3408" t="s">
        <v>5060</v>
      </c>
    </row>
    <row r="3409" spans="8:8" x14ac:dyDescent="0.25">
      <c r="H3409" t="s">
        <v>31</v>
      </c>
    </row>
    <row r="3410" spans="8:8" x14ac:dyDescent="0.25">
      <c r="H3410" t="s">
        <v>146</v>
      </c>
    </row>
    <row r="3411" spans="8:8" x14ac:dyDescent="0.25">
      <c r="H3411" t="s">
        <v>5061</v>
      </c>
    </row>
    <row r="3412" spans="8:8" x14ac:dyDescent="0.25">
      <c r="H3412" t="s">
        <v>31</v>
      </c>
    </row>
    <row r="3413" spans="8:8" x14ac:dyDescent="0.25">
      <c r="H3413" t="s">
        <v>147</v>
      </c>
    </row>
    <row r="3414" spans="8:8" x14ac:dyDescent="0.25">
      <c r="H3414" t="s">
        <v>5062</v>
      </c>
    </row>
    <row r="3415" spans="8:8" x14ac:dyDescent="0.25">
      <c r="H3415" t="s">
        <v>31</v>
      </c>
    </row>
    <row r="3416" spans="8:8" x14ac:dyDescent="0.25">
      <c r="H3416" t="s">
        <v>148</v>
      </c>
    </row>
    <row r="3417" spans="8:8" x14ac:dyDescent="0.25">
      <c r="H3417" t="s">
        <v>5063</v>
      </c>
    </row>
    <row r="3418" spans="8:8" x14ac:dyDescent="0.25">
      <c r="H3418" t="s">
        <v>31</v>
      </c>
    </row>
    <row r="3420" spans="8:8" x14ac:dyDescent="0.25">
      <c r="H3420" t="s">
        <v>2513</v>
      </c>
    </row>
    <row r="3421" spans="8:8" x14ac:dyDescent="0.25">
      <c r="H3421" t="s">
        <v>145</v>
      </c>
    </row>
    <row r="3422" spans="8:8" x14ac:dyDescent="0.25">
      <c r="H3422" t="s">
        <v>5064</v>
      </c>
    </row>
    <row r="3423" spans="8:8" x14ac:dyDescent="0.25">
      <c r="H3423" t="s">
        <v>31</v>
      </c>
    </row>
    <row r="3424" spans="8:8" x14ac:dyDescent="0.25">
      <c r="H3424" t="s">
        <v>146</v>
      </c>
    </row>
    <row r="3425" spans="8:8" x14ac:dyDescent="0.25">
      <c r="H3425" t="s">
        <v>5065</v>
      </c>
    </row>
    <row r="3426" spans="8:8" x14ac:dyDescent="0.25">
      <c r="H3426" t="s">
        <v>31</v>
      </c>
    </row>
    <row r="3427" spans="8:8" x14ac:dyDescent="0.25">
      <c r="H3427" t="s">
        <v>147</v>
      </c>
    </row>
    <row r="3428" spans="8:8" x14ac:dyDescent="0.25">
      <c r="H3428" t="s">
        <v>5066</v>
      </c>
    </row>
    <row r="3429" spans="8:8" x14ac:dyDescent="0.25">
      <c r="H3429" t="s">
        <v>31</v>
      </c>
    </row>
    <row r="3430" spans="8:8" x14ac:dyDescent="0.25">
      <c r="H3430" t="s">
        <v>148</v>
      </c>
    </row>
    <row r="3431" spans="8:8" x14ac:dyDescent="0.25">
      <c r="H3431" t="s">
        <v>5067</v>
      </c>
    </row>
    <row r="3432" spans="8:8" x14ac:dyDescent="0.25">
      <c r="H3432" t="s">
        <v>31</v>
      </c>
    </row>
    <row r="3434" spans="8:8" x14ac:dyDescent="0.25">
      <c r="H3434" t="s">
        <v>2515</v>
      </c>
    </row>
    <row r="3435" spans="8:8" x14ac:dyDescent="0.25">
      <c r="H3435" t="s">
        <v>145</v>
      </c>
    </row>
    <row r="3436" spans="8:8" x14ac:dyDescent="0.25">
      <c r="H3436" t="s">
        <v>5068</v>
      </c>
    </row>
    <row r="3437" spans="8:8" x14ac:dyDescent="0.25">
      <c r="H3437" t="s">
        <v>31</v>
      </c>
    </row>
    <row r="3438" spans="8:8" x14ac:dyDescent="0.25">
      <c r="H3438" t="s">
        <v>146</v>
      </c>
    </row>
    <row r="3439" spans="8:8" x14ac:dyDescent="0.25">
      <c r="H3439" t="s">
        <v>5069</v>
      </c>
    </row>
    <row r="3440" spans="8:8" x14ac:dyDescent="0.25">
      <c r="H3440" t="s">
        <v>31</v>
      </c>
    </row>
    <row r="3441" spans="8:8" x14ac:dyDescent="0.25">
      <c r="H3441" t="s">
        <v>147</v>
      </c>
    </row>
    <row r="3442" spans="8:8" x14ac:dyDescent="0.25">
      <c r="H3442" t="s">
        <v>5070</v>
      </c>
    </row>
    <row r="3443" spans="8:8" x14ac:dyDescent="0.25">
      <c r="H3443" t="s">
        <v>31</v>
      </c>
    </row>
    <row r="3444" spans="8:8" x14ac:dyDescent="0.25">
      <c r="H3444" t="s">
        <v>148</v>
      </c>
    </row>
    <row r="3445" spans="8:8" x14ac:dyDescent="0.25">
      <c r="H3445" t="s">
        <v>5071</v>
      </c>
    </row>
    <row r="3446" spans="8:8" x14ac:dyDescent="0.25">
      <c r="H3446" t="s">
        <v>31</v>
      </c>
    </row>
    <row r="3448" spans="8:8" x14ac:dyDescent="0.25">
      <c r="H3448" t="s">
        <v>2517</v>
      </c>
    </row>
    <row r="3449" spans="8:8" x14ac:dyDescent="0.25">
      <c r="H3449" t="s">
        <v>145</v>
      </c>
    </row>
    <row r="3450" spans="8:8" x14ac:dyDescent="0.25">
      <c r="H3450" t="s">
        <v>5072</v>
      </c>
    </row>
    <row r="3451" spans="8:8" x14ac:dyDescent="0.25">
      <c r="H3451" t="s">
        <v>31</v>
      </c>
    </row>
    <row r="3452" spans="8:8" x14ac:dyDescent="0.25">
      <c r="H3452" t="s">
        <v>146</v>
      </c>
    </row>
    <row r="3453" spans="8:8" x14ac:dyDescent="0.25">
      <c r="H3453" t="s">
        <v>5073</v>
      </c>
    </row>
    <row r="3454" spans="8:8" x14ac:dyDescent="0.25">
      <c r="H3454" t="s">
        <v>31</v>
      </c>
    </row>
    <row r="3455" spans="8:8" x14ac:dyDescent="0.25">
      <c r="H3455" t="s">
        <v>147</v>
      </c>
    </row>
    <row r="3456" spans="8:8" x14ac:dyDescent="0.25">
      <c r="H3456" t="s">
        <v>5074</v>
      </c>
    </row>
    <row r="3457" spans="8:8" x14ac:dyDescent="0.25">
      <c r="H3457" t="s">
        <v>31</v>
      </c>
    </row>
    <row r="3458" spans="8:8" x14ac:dyDescent="0.25">
      <c r="H3458" t="s">
        <v>148</v>
      </c>
    </row>
    <row r="3459" spans="8:8" x14ac:dyDescent="0.25">
      <c r="H3459" t="s">
        <v>5075</v>
      </c>
    </row>
    <row r="3460" spans="8:8" x14ac:dyDescent="0.25">
      <c r="H3460" t="s">
        <v>31</v>
      </c>
    </row>
    <row r="3462" spans="8:8" x14ac:dyDescent="0.25">
      <c r="H3462" t="s">
        <v>2520</v>
      </c>
    </row>
    <row r="3463" spans="8:8" x14ac:dyDescent="0.25">
      <c r="H3463" t="s">
        <v>145</v>
      </c>
    </row>
    <row r="3464" spans="8:8" x14ac:dyDescent="0.25">
      <c r="H3464" t="s">
        <v>5076</v>
      </c>
    </row>
    <row r="3465" spans="8:8" x14ac:dyDescent="0.25">
      <c r="H3465" t="s">
        <v>31</v>
      </c>
    </row>
    <row r="3466" spans="8:8" x14ac:dyDescent="0.25">
      <c r="H3466" t="s">
        <v>146</v>
      </c>
    </row>
    <row r="3467" spans="8:8" x14ac:dyDescent="0.25">
      <c r="H3467" t="s">
        <v>5077</v>
      </c>
    </row>
    <row r="3468" spans="8:8" x14ac:dyDescent="0.25">
      <c r="H3468" t="s">
        <v>31</v>
      </c>
    </row>
    <row r="3469" spans="8:8" x14ac:dyDescent="0.25">
      <c r="H3469" t="s">
        <v>147</v>
      </c>
    </row>
    <row r="3470" spans="8:8" x14ac:dyDescent="0.25">
      <c r="H3470" t="s">
        <v>5078</v>
      </c>
    </row>
    <row r="3471" spans="8:8" x14ac:dyDescent="0.25">
      <c r="H3471" t="s">
        <v>31</v>
      </c>
    </row>
    <row r="3472" spans="8:8" x14ac:dyDescent="0.25">
      <c r="H3472" t="s">
        <v>148</v>
      </c>
    </row>
    <row r="3473" spans="8:8" x14ac:dyDescent="0.25">
      <c r="H3473" t="s">
        <v>5079</v>
      </c>
    </row>
    <row r="3474" spans="8:8" x14ac:dyDescent="0.25">
      <c r="H3474" t="s">
        <v>31</v>
      </c>
    </row>
    <row r="3476" spans="8:8" x14ac:dyDescent="0.25">
      <c r="H3476" t="s">
        <v>2525</v>
      </c>
    </row>
    <row r="3477" spans="8:8" x14ac:dyDescent="0.25">
      <c r="H3477" t="s">
        <v>145</v>
      </c>
    </row>
    <row r="3478" spans="8:8" x14ac:dyDescent="0.25">
      <c r="H3478" t="s">
        <v>5080</v>
      </c>
    </row>
    <row r="3479" spans="8:8" x14ac:dyDescent="0.25">
      <c r="H3479" t="s">
        <v>31</v>
      </c>
    </row>
    <row r="3480" spans="8:8" x14ac:dyDescent="0.25">
      <c r="H3480" t="s">
        <v>146</v>
      </c>
    </row>
    <row r="3481" spans="8:8" x14ac:dyDescent="0.25">
      <c r="H3481" t="s">
        <v>5081</v>
      </c>
    </row>
    <row r="3482" spans="8:8" x14ac:dyDescent="0.25">
      <c r="H3482" t="s">
        <v>31</v>
      </c>
    </row>
    <row r="3483" spans="8:8" x14ac:dyDescent="0.25">
      <c r="H3483" t="s">
        <v>147</v>
      </c>
    </row>
    <row r="3484" spans="8:8" x14ac:dyDescent="0.25">
      <c r="H3484" t="s">
        <v>5082</v>
      </c>
    </row>
    <row r="3485" spans="8:8" x14ac:dyDescent="0.25">
      <c r="H3485" t="s">
        <v>31</v>
      </c>
    </row>
    <row r="3486" spans="8:8" x14ac:dyDescent="0.25">
      <c r="H3486" t="s">
        <v>148</v>
      </c>
    </row>
    <row r="3487" spans="8:8" x14ac:dyDescent="0.25">
      <c r="H3487" t="s">
        <v>5083</v>
      </c>
    </row>
    <row r="3488" spans="8:8" x14ac:dyDescent="0.25">
      <c r="H3488" t="s">
        <v>31</v>
      </c>
    </row>
    <row r="3490" spans="8:8" x14ac:dyDescent="0.25">
      <c r="H3490" t="s">
        <v>2530</v>
      </c>
    </row>
    <row r="3491" spans="8:8" x14ac:dyDescent="0.25">
      <c r="H3491" t="s">
        <v>145</v>
      </c>
    </row>
    <row r="3492" spans="8:8" x14ac:dyDescent="0.25">
      <c r="H3492" t="s">
        <v>5084</v>
      </c>
    </row>
    <row r="3493" spans="8:8" x14ac:dyDescent="0.25">
      <c r="H3493" t="s">
        <v>31</v>
      </c>
    </row>
    <row r="3494" spans="8:8" x14ac:dyDescent="0.25">
      <c r="H3494" t="s">
        <v>146</v>
      </c>
    </row>
    <row r="3495" spans="8:8" x14ac:dyDescent="0.25">
      <c r="H3495" t="s">
        <v>5085</v>
      </c>
    </row>
    <row r="3496" spans="8:8" x14ac:dyDescent="0.25">
      <c r="H3496" t="s">
        <v>31</v>
      </c>
    </row>
    <row r="3497" spans="8:8" x14ac:dyDescent="0.25">
      <c r="H3497" t="s">
        <v>147</v>
      </c>
    </row>
    <row r="3498" spans="8:8" x14ac:dyDescent="0.25">
      <c r="H3498" t="s">
        <v>5086</v>
      </c>
    </row>
    <row r="3499" spans="8:8" x14ac:dyDescent="0.25">
      <c r="H3499" t="s">
        <v>31</v>
      </c>
    </row>
    <row r="3500" spans="8:8" x14ac:dyDescent="0.25">
      <c r="H3500" t="s">
        <v>148</v>
      </c>
    </row>
    <row r="3501" spans="8:8" x14ac:dyDescent="0.25">
      <c r="H3501" t="s">
        <v>5087</v>
      </c>
    </row>
    <row r="3502" spans="8:8" x14ac:dyDescent="0.25">
      <c r="H3502" t="s">
        <v>31</v>
      </c>
    </row>
    <row r="3504" spans="8:8" x14ac:dyDescent="0.25">
      <c r="H3504" t="s">
        <v>2535</v>
      </c>
    </row>
    <row r="3505" spans="8:8" x14ac:dyDescent="0.25">
      <c r="H3505" t="s">
        <v>145</v>
      </c>
    </row>
    <row r="3506" spans="8:8" x14ac:dyDescent="0.25">
      <c r="H3506" t="s">
        <v>5088</v>
      </c>
    </row>
    <row r="3507" spans="8:8" x14ac:dyDescent="0.25">
      <c r="H3507" t="s">
        <v>31</v>
      </c>
    </row>
    <row r="3508" spans="8:8" x14ac:dyDescent="0.25">
      <c r="H3508" t="s">
        <v>146</v>
      </c>
    </row>
    <row r="3509" spans="8:8" x14ac:dyDescent="0.25">
      <c r="H3509" t="s">
        <v>5089</v>
      </c>
    </row>
    <row r="3510" spans="8:8" x14ac:dyDescent="0.25">
      <c r="H3510" t="s">
        <v>31</v>
      </c>
    </row>
    <row r="3511" spans="8:8" x14ac:dyDescent="0.25">
      <c r="H3511" t="s">
        <v>147</v>
      </c>
    </row>
    <row r="3512" spans="8:8" x14ac:dyDescent="0.25">
      <c r="H3512" t="s">
        <v>5090</v>
      </c>
    </row>
    <row r="3513" spans="8:8" x14ac:dyDescent="0.25">
      <c r="H3513" t="s">
        <v>31</v>
      </c>
    </row>
    <row r="3514" spans="8:8" x14ac:dyDescent="0.25">
      <c r="H3514" t="s">
        <v>148</v>
      </c>
    </row>
    <row r="3515" spans="8:8" x14ac:dyDescent="0.25">
      <c r="H3515" t="s">
        <v>5091</v>
      </c>
    </row>
    <row r="3516" spans="8:8" x14ac:dyDescent="0.25">
      <c r="H3516" t="s">
        <v>31</v>
      </c>
    </row>
    <row r="3518" spans="8:8" x14ac:dyDescent="0.25">
      <c r="H3518" t="s">
        <v>2540</v>
      </c>
    </row>
    <row r="3519" spans="8:8" x14ac:dyDescent="0.25">
      <c r="H3519" t="s">
        <v>145</v>
      </c>
    </row>
    <row r="3520" spans="8:8" x14ac:dyDescent="0.25">
      <c r="H3520" t="s">
        <v>5092</v>
      </c>
    </row>
    <row r="3521" spans="8:8" x14ac:dyDescent="0.25">
      <c r="H3521" t="s">
        <v>31</v>
      </c>
    </row>
    <row r="3522" spans="8:8" x14ac:dyDescent="0.25">
      <c r="H3522" t="s">
        <v>146</v>
      </c>
    </row>
    <row r="3523" spans="8:8" x14ac:dyDescent="0.25">
      <c r="H3523" t="s">
        <v>5093</v>
      </c>
    </row>
    <row r="3524" spans="8:8" x14ac:dyDescent="0.25">
      <c r="H3524" t="s">
        <v>31</v>
      </c>
    </row>
    <row r="3525" spans="8:8" x14ac:dyDescent="0.25">
      <c r="H3525" t="s">
        <v>147</v>
      </c>
    </row>
    <row r="3526" spans="8:8" x14ac:dyDescent="0.25">
      <c r="H3526" t="s">
        <v>5094</v>
      </c>
    </row>
    <row r="3527" spans="8:8" x14ac:dyDescent="0.25">
      <c r="H3527" t="s">
        <v>31</v>
      </c>
    </row>
    <row r="3528" spans="8:8" x14ac:dyDescent="0.25">
      <c r="H3528" t="s">
        <v>148</v>
      </c>
    </row>
    <row r="3529" spans="8:8" x14ac:dyDescent="0.25">
      <c r="H3529" t="s">
        <v>5095</v>
      </c>
    </row>
    <row r="3530" spans="8:8" x14ac:dyDescent="0.25">
      <c r="H3530" t="s">
        <v>31</v>
      </c>
    </row>
    <row r="3532" spans="8:8" x14ac:dyDescent="0.25">
      <c r="H3532" t="s">
        <v>2545</v>
      </c>
    </row>
    <row r="3533" spans="8:8" x14ac:dyDescent="0.25">
      <c r="H3533" t="s">
        <v>145</v>
      </c>
    </row>
    <row r="3534" spans="8:8" x14ac:dyDescent="0.25">
      <c r="H3534" t="s">
        <v>5096</v>
      </c>
    </row>
    <row r="3535" spans="8:8" x14ac:dyDescent="0.25">
      <c r="H3535" t="s">
        <v>31</v>
      </c>
    </row>
    <row r="3536" spans="8:8" x14ac:dyDescent="0.25">
      <c r="H3536" t="s">
        <v>146</v>
      </c>
    </row>
    <row r="3537" spans="8:8" x14ac:dyDescent="0.25">
      <c r="H3537" t="s">
        <v>5097</v>
      </c>
    </row>
    <row r="3538" spans="8:8" x14ac:dyDescent="0.25">
      <c r="H3538" t="s">
        <v>31</v>
      </c>
    </row>
    <row r="3539" spans="8:8" x14ac:dyDescent="0.25">
      <c r="H3539" t="s">
        <v>147</v>
      </c>
    </row>
    <row r="3540" spans="8:8" x14ac:dyDescent="0.25">
      <c r="H3540" t="s">
        <v>5098</v>
      </c>
    </row>
    <row r="3541" spans="8:8" x14ac:dyDescent="0.25">
      <c r="H3541" t="s">
        <v>31</v>
      </c>
    </row>
    <row r="3542" spans="8:8" x14ac:dyDescent="0.25">
      <c r="H3542" t="s">
        <v>148</v>
      </c>
    </row>
    <row r="3543" spans="8:8" x14ac:dyDescent="0.25">
      <c r="H3543" t="s">
        <v>5099</v>
      </c>
    </row>
    <row r="3544" spans="8:8" x14ac:dyDescent="0.25">
      <c r="H3544" t="s">
        <v>31</v>
      </c>
    </row>
    <row r="3546" spans="8:8" x14ac:dyDescent="0.25">
      <c r="H3546" t="s">
        <v>2550</v>
      </c>
    </row>
    <row r="3547" spans="8:8" x14ac:dyDescent="0.25">
      <c r="H3547" t="s">
        <v>145</v>
      </c>
    </row>
    <row r="3548" spans="8:8" x14ac:dyDescent="0.25">
      <c r="H3548" t="s">
        <v>5100</v>
      </c>
    </row>
    <row r="3549" spans="8:8" x14ac:dyDescent="0.25">
      <c r="H3549" t="s">
        <v>31</v>
      </c>
    </row>
    <row r="3550" spans="8:8" x14ac:dyDescent="0.25">
      <c r="H3550" t="s">
        <v>146</v>
      </c>
    </row>
    <row r="3551" spans="8:8" x14ac:dyDescent="0.25">
      <c r="H3551" t="s">
        <v>5101</v>
      </c>
    </row>
    <row r="3552" spans="8:8" x14ac:dyDescent="0.25">
      <c r="H3552" t="s">
        <v>31</v>
      </c>
    </row>
    <row r="3553" spans="8:8" x14ac:dyDescent="0.25">
      <c r="H3553" t="s">
        <v>147</v>
      </c>
    </row>
    <row r="3554" spans="8:8" x14ac:dyDescent="0.25">
      <c r="H3554" t="s">
        <v>5102</v>
      </c>
    </row>
    <row r="3555" spans="8:8" x14ac:dyDescent="0.25">
      <c r="H3555" t="s">
        <v>31</v>
      </c>
    </row>
    <row r="3556" spans="8:8" x14ac:dyDescent="0.25">
      <c r="H3556" t="s">
        <v>148</v>
      </c>
    </row>
    <row r="3557" spans="8:8" x14ac:dyDescent="0.25">
      <c r="H3557" t="s">
        <v>5103</v>
      </c>
    </row>
    <row r="3558" spans="8:8" x14ac:dyDescent="0.25">
      <c r="H3558" t="s">
        <v>31</v>
      </c>
    </row>
    <row r="3560" spans="8:8" x14ac:dyDescent="0.25">
      <c r="H3560" t="s">
        <v>2555</v>
      </c>
    </row>
    <row r="3561" spans="8:8" x14ac:dyDescent="0.25">
      <c r="H3561" t="s">
        <v>145</v>
      </c>
    </row>
    <row r="3562" spans="8:8" x14ac:dyDescent="0.25">
      <c r="H3562" t="s">
        <v>5104</v>
      </c>
    </row>
    <row r="3563" spans="8:8" x14ac:dyDescent="0.25">
      <c r="H3563" t="s">
        <v>31</v>
      </c>
    </row>
    <row r="3564" spans="8:8" x14ac:dyDescent="0.25">
      <c r="H3564" t="s">
        <v>146</v>
      </c>
    </row>
    <row r="3565" spans="8:8" x14ac:dyDescent="0.25">
      <c r="H3565" t="s">
        <v>5105</v>
      </c>
    </row>
    <row r="3566" spans="8:8" x14ac:dyDescent="0.25">
      <c r="H3566" t="s">
        <v>31</v>
      </c>
    </row>
    <row r="3567" spans="8:8" x14ac:dyDescent="0.25">
      <c r="H3567" t="s">
        <v>147</v>
      </c>
    </row>
    <row r="3568" spans="8:8" x14ac:dyDescent="0.25">
      <c r="H3568" t="s">
        <v>5106</v>
      </c>
    </row>
    <row r="3569" spans="8:8" x14ac:dyDescent="0.25">
      <c r="H3569" t="s">
        <v>31</v>
      </c>
    </row>
    <row r="3570" spans="8:8" x14ac:dyDescent="0.25">
      <c r="H3570" t="s">
        <v>148</v>
      </c>
    </row>
    <row r="3571" spans="8:8" x14ac:dyDescent="0.25">
      <c r="H3571" t="s">
        <v>5107</v>
      </c>
    </row>
    <row r="3572" spans="8:8" x14ac:dyDescent="0.25">
      <c r="H3572" t="s">
        <v>31</v>
      </c>
    </row>
    <row r="3574" spans="8:8" x14ac:dyDescent="0.25">
      <c r="H3574" t="s">
        <v>2560</v>
      </c>
    </row>
    <row r="3575" spans="8:8" x14ac:dyDescent="0.25">
      <c r="H3575" t="s">
        <v>145</v>
      </c>
    </row>
    <row r="3576" spans="8:8" x14ac:dyDescent="0.25">
      <c r="H3576" t="s">
        <v>5108</v>
      </c>
    </row>
    <row r="3577" spans="8:8" x14ac:dyDescent="0.25">
      <c r="H3577" t="s">
        <v>31</v>
      </c>
    </row>
    <row r="3578" spans="8:8" x14ac:dyDescent="0.25">
      <c r="H3578" t="s">
        <v>146</v>
      </c>
    </row>
    <row r="3579" spans="8:8" x14ac:dyDescent="0.25">
      <c r="H3579" t="s">
        <v>5109</v>
      </c>
    </row>
    <row r="3580" spans="8:8" x14ac:dyDescent="0.25">
      <c r="H3580" t="s">
        <v>31</v>
      </c>
    </row>
    <row r="3581" spans="8:8" x14ac:dyDescent="0.25">
      <c r="H3581" t="s">
        <v>147</v>
      </c>
    </row>
    <row r="3582" spans="8:8" x14ac:dyDescent="0.25">
      <c r="H3582" t="s">
        <v>5110</v>
      </c>
    </row>
    <row r="3583" spans="8:8" x14ac:dyDescent="0.25">
      <c r="H3583" t="s">
        <v>31</v>
      </c>
    </row>
    <row r="3584" spans="8:8" x14ac:dyDescent="0.25">
      <c r="H3584" t="s">
        <v>148</v>
      </c>
    </row>
    <row r="3585" spans="8:8" x14ac:dyDescent="0.25">
      <c r="H3585" t="s">
        <v>5111</v>
      </c>
    </row>
    <row r="3586" spans="8:8" x14ac:dyDescent="0.25">
      <c r="H3586" t="s">
        <v>31</v>
      </c>
    </row>
    <row r="3588" spans="8:8" x14ac:dyDescent="0.25">
      <c r="H3588" t="s">
        <v>2565</v>
      </c>
    </row>
    <row r="3589" spans="8:8" x14ac:dyDescent="0.25">
      <c r="H3589" t="s">
        <v>145</v>
      </c>
    </row>
    <row r="3590" spans="8:8" x14ac:dyDescent="0.25">
      <c r="H3590" t="s">
        <v>5112</v>
      </c>
    </row>
    <row r="3591" spans="8:8" x14ac:dyDescent="0.25">
      <c r="H3591" t="s">
        <v>31</v>
      </c>
    </row>
    <row r="3592" spans="8:8" x14ac:dyDescent="0.25">
      <c r="H3592" t="s">
        <v>146</v>
      </c>
    </row>
    <row r="3593" spans="8:8" x14ac:dyDescent="0.25">
      <c r="H3593" t="s">
        <v>5113</v>
      </c>
    </row>
    <row r="3594" spans="8:8" x14ac:dyDescent="0.25">
      <c r="H3594" t="s">
        <v>31</v>
      </c>
    </row>
    <row r="3595" spans="8:8" x14ac:dyDescent="0.25">
      <c r="H3595" t="s">
        <v>147</v>
      </c>
    </row>
    <row r="3596" spans="8:8" x14ac:dyDescent="0.25">
      <c r="H3596" t="s">
        <v>5114</v>
      </c>
    </row>
    <row r="3597" spans="8:8" x14ac:dyDescent="0.25">
      <c r="H3597" t="s">
        <v>31</v>
      </c>
    </row>
    <row r="3598" spans="8:8" x14ac:dyDescent="0.25">
      <c r="H3598" t="s">
        <v>148</v>
      </c>
    </row>
    <row r="3599" spans="8:8" x14ac:dyDescent="0.25">
      <c r="H3599" t="s">
        <v>5115</v>
      </c>
    </row>
    <row r="3600" spans="8:8" x14ac:dyDescent="0.25">
      <c r="H3600" t="s">
        <v>31</v>
      </c>
    </row>
    <row r="3602" spans="8:8" x14ac:dyDescent="0.25">
      <c r="H3602" t="s">
        <v>2570</v>
      </c>
    </row>
    <row r="3603" spans="8:8" x14ac:dyDescent="0.25">
      <c r="H3603" t="s">
        <v>145</v>
      </c>
    </row>
    <row r="3604" spans="8:8" x14ac:dyDescent="0.25">
      <c r="H3604" t="s">
        <v>5116</v>
      </c>
    </row>
    <row r="3605" spans="8:8" x14ac:dyDescent="0.25">
      <c r="H3605" t="s">
        <v>31</v>
      </c>
    </row>
    <row r="3606" spans="8:8" x14ac:dyDescent="0.25">
      <c r="H3606" t="s">
        <v>146</v>
      </c>
    </row>
    <row r="3607" spans="8:8" x14ac:dyDescent="0.25">
      <c r="H3607" t="s">
        <v>5117</v>
      </c>
    </row>
    <row r="3608" spans="8:8" x14ac:dyDescent="0.25">
      <c r="H3608" t="s">
        <v>31</v>
      </c>
    </row>
    <row r="3609" spans="8:8" x14ac:dyDescent="0.25">
      <c r="H3609" t="s">
        <v>147</v>
      </c>
    </row>
    <row r="3610" spans="8:8" x14ac:dyDescent="0.25">
      <c r="H3610" t="s">
        <v>5118</v>
      </c>
    </row>
    <row r="3611" spans="8:8" x14ac:dyDescent="0.25">
      <c r="H3611" t="s">
        <v>31</v>
      </c>
    </row>
    <row r="3612" spans="8:8" x14ac:dyDescent="0.25">
      <c r="H3612" t="s">
        <v>148</v>
      </c>
    </row>
    <row r="3613" spans="8:8" x14ac:dyDescent="0.25">
      <c r="H3613" t="s">
        <v>5119</v>
      </c>
    </row>
    <row r="3614" spans="8:8" x14ac:dyDescent="0.25">
      <c r="H3614" t="s">
        <v>31</v>
      </c>
    </row>
    <row r="3616" spans="8:8" x14ac:dyDescent="0.25">
      <c r="H3616" t="s">
        <v>2575</v>
      </c>
    </row>
    <row r="3617" spans="8:8" x14ac:dyDescent="0.25">
      <c r="H3617" t="s">
        <v>145</v>
      </c>
    </row>
    <row r="3618" spans="8:8" x14ac:dyDescent="0.25">
      <c r="H3618" t="s">
        <v>5120</v>
      </c>
    </row>
    <row r="3619" spans="8:8" x14ac:dyDescent="0.25">
      <c r="H3619" t="s">
        <v>31</v>
      </c>
    </row>
    <row r="3620" spans="8:8" x14ac:dyDescent="0.25">
      <c r="H3620" t="s">
        <v>146</v>
      </c>
    </row>
    <row r="3621" spans="8:8" x14ac:dyDescent="0.25">
      <c r="H3621" t="s">
        <v>5121</v>
      </c>
    </row>
    <row r="3622" spans="8:8" x14ac:dyDescent="0.25">
      <c r="H3622" t="s">
        <v>31</v>
      </c>
    </row>
    <row r="3623" spans="8:8" x14ac:dyDescent="0.25">
      <c r="H3623" t="s">
        <v>147</v>
      </c>
    </row>
    <row r="3624" spans="8:8" x14ac:dyDescent="0.25">
      <c r="H3624" t="s">
        <v>5122</v>
      </c>
    </row>
    <row r="3625" spans="8:8" x14ac:dyDescent="0.25">
      <c r="H3625" t="s">
        <v>31</v>
      </c>
    </row>
    <row r="3626" spans="8:8" x14ac:dyDescent="0.25">
      <c r="H3626" t="s">
        <v>148</v>
      </c>
    </row>
    <row r="3627" spans="8:8" x14ac:dyDescent="0.25">
      <c r="H3627" t="s">
        <v>5123</v>
      </c>
    </row>
    <row r="3628" spans="8:8" x14ac:dyDescent="0.25">
      <c r="H3628" t="s">
        <v>31</v>
      </c>
    </row>
    <row r="3630" spans="8:8" x14ac:dyDescent="0.25">
      <c r="H3630" t="s">
        <v>2580</v>
      </c>
    </row>
    <row r="3631" spans="8:8" x14ac:dyDescent="0.25">
      <c r="H3631" t="s">
        <v>145</v>
      </c>
    </row>
    <row r="3632" spans="8:8" x14ac:dyDescent="0.25">
      <c r="H3632" t="s">
        <v>5124</v>
      </c>
    </row>
    <row r="3633" spans="8:8" x14ac:dyDescent="0.25">
      <c r="H3633" t="s">
        <v>31</v>
      </c>
    </row>
    <row r="3634" spans="8:8" x14ac:dyDescent="0.25">
      <c r="H3634" t="s">
        <v>146</v>
      </c>
    </row>
    <row r="3635" spans="8:8" x14ac:dyDescent="0.25">
      <c r="H3635" t="s">
        <v>5125</v>
      </c>
    </row>
    <row r="3636" spans="8:8" x14ac:dyDescent="0.25">
      <c r="H3636" t="s">
        <v>31</v>
      </c>
    </row>
    <row r="3637" spans="8:8" x14ac:dyDescent="0.25">
      <c r="H3637" t="s">
        <v>147</v>
      </c>
    </row>
    <row r="3638" spans="8:8" x14ac:dyDescent="0.25">
      <c r="H3638" t="s">
        <v>5126</v>
      </c>
    </row>
    <row r="3639" spans="8:8" x14ac:dyDescent="0.25">
      <c r="H3639" t="s">
        <v>31</v>
      </c>
    </row>
    <row r="3640" spans="8:8" x14ac:dyDescent="0.25">
      <c r="H3640" t="s">
        <v>148</v>
      </c>
    </row>
    <row r="3641" spans="8:8" x14ac:dyDescent="0.25">
      <c r="H3641" t="s">
        <v>5127</v>
      </c>
    </row>
    <row r="3642" spans="8:8" x14ac:dyDescent="0.25">
      <c r="H3642" t="s">
        <v>31</v>
      </c>
    </row>
    <row r="3644" spans="8:8" x14ac:dyDescent="0.25">
      <c r="H3644" t="s">
        <v>2585</v>
      </c>
    </row>
    <row r="3645" spans="8:8" x14ac:dyDescent="0.25">
      <c r="H3645" t="s">
        <v>145</v>
      </c>
    </row>
    <row r="3646" spans="8:8" x14ac:dyDescent="0.25">
      <c r="H3646" t="s">
        <v>5128</v>
      </c>
    </row>
    <row r="3647" spans="8:8" x14ac:dyDescent="0.25">
      <c r="H3647" t="s">
        <v>31</v>
      </c>
    </row>
    <row r="3648" spans="8:8" x14ac:dyDescent="0.25">
      <c r="H3648" t="s">
        <v>146</v>
      </c>
    </row>
    <row r="3649" spans="8:8" x14ac:dyDescent="0.25">
      <c r="H3649" t="s">
        <v>5129</v>
      </c>
    </row>
    <row r="3650" spans="8:8" x14ac:dyDescent="0.25">
      <c r="H3650" t="s">
        <v>31</v>
      </c>
    </row>
    <row r="3651" spans="8:8" x14ac:dyDescent="0.25">
      <c r="H3651" t="s">
        <v>147</v>
      </c>
    </row>
    <row r="3652" spans="8:8" x14ac:dyDescent="0.25">
      <c r="H3652" t="s">
        <v>5130</v>
      </c>
    </row>
    <row r="3653" spans="8:8" x14ac:dyDescent="0.25">
      <c r="H3653" t="s">
        <v>31</v>
      </c>
    </row>
    <row r="3654" spans="8:8" x14ac:dyDescent="0.25">
      <c r="H3654" t="s">
        <v>148</v>
      </c>
    </row>
    <row r="3655" spans="8:8" x14ac:dyDescent="0.25">
      <c r="H3655" t="s">
        <v>5131</v>
      </c>
    </row>
    <row r="3656" spans="8:8" x14ac:dyDescent="0.25">
      <c r="H3656" t="s">
        <v>31</v>
      </c>
    </row>
    <row r="3658" spans="8:8" x14ac:dyDescent="0.25">
      <c r="H3658" t="s">
        <v>2590</v>
      </c>
    </row>
    <row r="3659" spans="8:8" x14ac:dyDescent="0.25">
      <c r="H3659" t="s">
        <v>145</v>
      </c>
    </row>
    <row r="3660" spans="8:8" x14ac:dyDescent="0.25">
      <c r="H3660" t="s">
        <v>5132</v>
      </c>
    </row>
    <row r="3661" spans="8:8" x14ac:dyDescent="0.25">
      <c r="H3661" t="s">
        <v>31</v>
      </c>
    </row>
    <row r="3662" spans="8:8" x14ac:dyDescent="0.25">
      <c r="H3662" t="s">
        <v>146</v>
      </c>
    </row>
    <row r="3663" spans="8:8" x14ac:dyDescent="0.25">
      <c r="H3663" t="s">
        <v>5133</v>
      </c>
    </row>
    <row r="3664" spans="8:8" x14ac:dyDescent="0.25">
      <c r="H3664" t="s">
        <v>31</v>
      </c>
    </row>
    <row r="3665" spans="8:8" x14ac:dyDescent="0.25">
      <c r="H3665" t="s">
        <v>147</v>
      </c>
    </row>
    <row r="3666" spans="8:8" x14ac:dyDescent="0.25">
      <c r="H3666" t="s">
        <v>5134</v>
      </c>
    </row>
    <row r="3667" spans="8:8" x14ac:dyDescent="0.25">
      <c r="H3667" t="s">
        <v>31</v>
      </c>
    </row>
    <row r="3668" spans="8:8" x14ac:dyDescent="0.25">
      <c r="H3668" t="s">
        <v>148</v>
      </c>
    </row>
    <row r="3669" spans="8:8" x14ac:dyDescent="0.25">
      <c r="H3669" t="s">
        <v>5135</v>
      </c>
    </row>
    <row r="3670" spans="8:8" x14ac:dyDescent="0.25">
      <c r="H3670" t="s">
        <v>31</v>
      </c>
    </row>
    <row r="3672" spans="8:8" x14ac:dyDescent="0.25">
      <c r="H3672" t="s">
        <v>2595</v>
      </c>
    </row>
    <row r="3673" spans="8:8" x14ac:dyDescent="0.25">
      <c r="H3673" t="s">
        <v>145</v>
      </c>
    </row>
    <row r="3674" spans="8:8" x14ac:dyDescent="0.25">
      <c r="H3674" t="s">
        <v>5136</v>
      </c>
    </row>
    <row r="3675" spans="8:8" x14ac:dyDescent="0.25">
      <c r="H3675" t="s">
        <v>31</v>
      </c>
    </row>
    <row r="3676" spans="8:8" x14ac:dyDescent="0.25">
      <c r="H3676" t="s">
        <v>146</v>
      </c>
    </row>
    <row r="3677" spans="8:8" x14ac:dyDescent="0.25">
      <c r="H3677" t="s">
        <v>5137</v>
      </c>
    </row>
    <row r="3678" spans="8:8" x14ac:dyDescent="0.25">
      <c r="H3678" t="s">
        <v>31</v>
      </c>
    </row>
    <row r="3679" spans="8:8" x14ac:dyDescent="0.25">
      <c r="H3679" t="s">
        <v>3295</v>
      </c>
    </row>
    <row r="3680" spans="8:8" x14ac:dyDescent="0.25">
      <c r="H3680" t="s">
        <v>147</v>
      </c>
    </row>
    <row r="3681" spans="8:8" x14ac:dyDescent="0.25">
      <c r="H3681" t="s">
        <v>5138</v>
      </c>
    </row>
    <row r="3682" spans="8:8" x14ac:dyDescent="0.25">
      <c r="H3682" t="s">
        <v>31</v>
      </c>
    </row>
    <row r="3684" spans="8:8" x14ac:dyDescent="0.25">
      <c r="H3684" t="s">
        <v>2600</v>
      </c>
    </row>
    <row r="3685" spans="8:8" x14ac:dyDescent="0.25">
      <c r="H3685" t="s">
        <v>145</v>
      </c>
    </row>
    <row r="3686" spans="8:8" x14ac:dyDescent="0.25">
      <c r="H3686" t="s">
        <v>5139</v>
      </c>
    </row>
    <row r="3687" spans="8:8" x14ac:dyDescent="0.25">
      <c r="H3687" t="s">
        <v>31</v>
      </c>
    </row>
    <row r="3689" spans="8:8" x14ac:dyDescent="0.25">
      <c r="H3689" t="s">
        <v>2605</v>
      </c>
    </row>
    <row r="3690" spans="8:8" x14ac:dyDescent="0.25">
      <c r="H3690" t="s">
        <v>145</v>
      </c>
    </row>
    <row r="3691" spans="8:8" x14ac:dyDescent="0.25">
      <c r="H3691" t="s">
        <v>5140</v>
      </c>
    </row>
    <row r="3692" spans="8:8" x14ac:dyDescent="0.25">
      <c r="H3692" t="s">
        <v>31</v>
      </c>
    </row>
    <row r="3694" spans="8:8" x14ac:dyDescent="0.25">
      <c r="H3694" t="s">
        <v>2610</v>
      </c>
    </row>
    <row r="3695" spans="8:8" x14ac:dyDescent="0.25">
      <c r="H3695" t="s">
        <v>145</v>
      </c>
    </row>
    <row r="3696" spans="8:8" x14ac:dyDescent="0.25">
      <c r="H3696" t="s">
        <v>5141</v>
      </c>
    </row>
    <row r="3697" spans="8:8" x14ac:dyDescent="0.25">
      <c r="H3697" t="s">
        <v>31</v>
      </c>
    </row>
    <row r="3699" spans="8:8" x14ac:dyDescent="0.25">
      <c r="H3699" t="s">
        <v>2615</v>
      </c>
    </row>
    <row r="3700" spans="8:8" x14ac:dyDescent="0.25">
      <c r="H3700" t="s">
        <v>145</v>
      </c>
    </row>
    <row r="3701" spans="8:8" x14ac:dyDescent="0.25">
      <c r="H3701" t="s">
        <v>5142</v>
      </c>
    </row>
    <row r="3702" spans="8:8" x14ac:dyDescent="0.25">
      <c r="H3702" t="s">
        <v>31</v>
      </c>
    </row>
    <row r="3704" spans="8:8" x14ac:dyDescent="0.25">
      <c r="H3704" t="s">
        <v>2620</v>
      </c>
    </row>
    <row r="3705" spans="8:8" x14ac:dyDescent="0.25">
      <c r="H3705" t="s">
        <v>145</v>
      </c>
    </row>
    <row r="3706" spans="8:8" x14ac:dyDescent="0.25">
      <c r="H3706" t="s">
        <v>5143</v>
      </c>
    </row>
    <row r="3707" spans="8:8" x14ac:dyDescent="0.25">
      <c r="H3707" t="s">
        <v>31</v>
      </c>
    </row>
    <row r="3709" spans="8:8" x14ac:dyDescent="0.25">
      <c r="H3709" t="s">
        <v>2625</v>
      </c>
    </row>
    <row r="3710" spans="8:8" x14ac:dyDescent="0.25">
      <c r="H3710" t="s">
        <v>145</v>
      </c>
    </row>
    <row r="3711" spans="8:8" x14ac:dyDescent="0.25">
      <c r="H3711" t="s">
        <v>5144</v>
      </c>
    </row>
    <row r="3712" spans="8:8" x14ac:dyDescent="0.25">
      <c r="H3712" t="s">
        <v>31</v>
      </c>
    </row>
    <row r="3714" spans="8:8" x14ac:dyDescent="0.25">
      <c r="H3714" t="s">
        <v>2630</v>
      </c>
    </row>
    <row r="3715" spans="8:8" x14ac:dyDescent="0.25">
      <c r="H3715" t="s">
        <v>145</v>
      </c>
    </row>
    <row r="3716" spans="8:8" x14ac:dyDescent="0.25">
      <c r="H3716" t="s">
        <v>5145</v>
      </c>
    </row>
    <row r="3717" spans="8:8" x14ac:dyDescent="0.25">
      <c r="H3717" t="s">
        <v>31</v>
      </c>
    </row>
    <row r="3719" spans="8:8" x14ac:dyDescent="0.25">
      <c r="H3719" t="s">
        <v>2635</v>
      </c>
    </row>
    <row r="3720" spans="8:8" x14ac:dyDescent="0.25">
      <c r="H3720" t="s">
        <v>145</v>
      </c>
    </row>
    <row r="3721" spans="8:8" x14ac:dyDescent="0.25">
      <c r="H3721" t="s">
        <v>5146</v>
      </c>
    </row>
    <row r="3722" spans="8:8" x14ac:dyDescent="0.25">
      <c r="H3722" t="s">
        <v>31</v>
      </c>
    </row>
    <row r="3724" spans="8:8" x14ac:dyDescent="0.25">
      <c r="H3724" t="s">
        <v>2640</v>
      </c>
    </row>
    <row r="3725" spans="8:8" x14ac:dyDescent="0.25">
      <c r="H3725" t="s">
        <v>145</v>
      </c>
    </row>
    <row r="3726" spans="8:8" x14ac:dyDescent="0.25">
      <c r="H3726" t="s">
        <v>5147</v>
      </c>
    </row>
    <row r="3727" spans="8:8" x14ac:dyDescent="0.25">
      <c r="H3727" t="s">
        <v>31</v>
      </c>
    </row>
    <row r="3729" spans="8:8" x14ac:dyDescent="0.25">
      <c r="H3729" t="s">
        <v>2645</v>
      </c>
    </row>
    <row r="3730" spans="8:8" x14ac:dyDescent="0.25">
      <c r="H3730" t="s">
        <v>145</v>
      </c>
    </row>
    <row r="3731" spans="8:8" x14ac:dyDescent="0.25">
      <c r="H3731" t="s">
        <v>5148</v>
      </c>
    </row>
    <row r="3732" spans="8:8" x14ac:dyDescent="0.25">
      <c r="H3732" t="s">
        <v>31</v>
      </c>
    </row>
    <row r="3734" spans="8:8" x14ac:dyDescent="0.25">
      <c r="H3734" t="s">
        <v>2650</v>
      </c>
    </row>
    <row r="3735" spans="8:8" x14ac:dyDescent="0.25">
      <c r="H3735" t="s">
        <v>145</v>
      </c>
    </row>
    <row r="3736" spans="8:8" x14ac:dyDescent="0.25">
      <c r="H3736" t="s">
        <v>5149</v>
      </c>
    </row>
    <row r="3737" spans="8:8" x14ac:dyDescent="0.25">
      <c r="H3737" t="s">
        <v>31</v>
      </c>
    </row>
    <row r="3739" spans="8:8" x14ac:dyDescent="0.25">
      <c r="H3739" t="s">
        <v>2655</v>
      </c>
    </row>
    <row r="3740" spans="8:8" x14ac:dyDescent="0.25">
      <c r="H3740" t="s">
        <v>145</v>
      </c>
    </row>
    <row r="3741" spans="8:8" x14ac:dyDescent="0.25">
      <c r="H3741" t="s">
        <v>5150</v>
      </c>
    </row>
    <row r="3742" spans="8:8" x14ac:dyDescent="0.25">
      <c r="H3742" t="s">
        <v>31</v>
      </c>
    </row>
    <row r="3743" spans="8:8" x14ac:dyDescent="0.25">
      <c r="H3743" t="s">
        <v>146</v>
      </c>
    </row>
    <row r="3744" spans="8:8" x14ac:dyDescent="0.25">
      <c r="H3744" t="s">
        <v>5151</v>
      </c>
    </row>
    <row r="3745" spans="8:8" x14ac:dyDescent="0.25">
      <c r="H3745" t="s">
        <v>31</v>
      </c>
    </row>
    <row r="3746" spans="8:8" x14ac:dyDescent="0.25">
      <c r="H3746" t="s">
        <v>147</v>
      </c>
    </row>
    <row r="3747" spans="8:8" x14ac:dyDescent="0.25">
      <c r="H3747" t="s">
        <v>5152</v>
      </c>
    </row>
    <row r="3748" spans="8:8" x14ac:dyDescent="0.25">
      <c r="H3748" t="s">
        <v>31</v>
      </c>
    </row>
    <row r="3749" spans="8:8" x14ac:dyDescent="0.25">
      <c r="H3749" t="s">
        <v>148</v>
      </c>
    </row>
    <row r="3750" spans="8:8" x14ac:dyDescent="0.25">
      <c r="H3750" t="s">
        <v>5153</v>
      </c>
    </row>
    <row r="3751" spans="8:8" x14ac:dyDescent="0.25">
      <c r="H3751" t="s">
        <v>31</v>
      </c>
    </row>
    <row r="3753" spans="8:8" x14ac:dyDescent="0.25">
      <c r="H3753" t="s">
        <v>2660</v>
      </c>
    </row>
    <row r="3754" spans="8:8" x14ac:dyDescent="0.25">
      <c r="H3754" t="s">
        <v>145</v>
      </c>
    </row>
    <row r="3755" spans="8:8" x14ac:dyDescent="0.25">
      <c r="H3755" t="s">
        <v>5154</v>
      </c>
    </row>
    <row r="3756" spans="8:8" x14ac:dyDescent="0.25">
      <c r="H3756" t="s">
        <v>31</v>
      </c>
    </row>
    <row r="3758" spans="8:8" x14ac:dyDescent="0.25">
      <c r="H3758" t="s">
        <v>2665</v>
      </c>
    </row>
    <row r="3759" spans="8:8" x14ac:dyDescent="0.25">
      <c r="H3759" t="s">
        <v>145</v>
      </c>
    </row>
    <row r="3760" spans="8:8" x14ac:dyDescent="0.25">
      <c r="H3760" t="s">
        <v>5155</v>
      </c>
    </row>
    <row r="3761" spans="8:8" x14ac:dyDescent="0.25">
      <c r="H3761" t="s">
        <v>31</v>
      </c>
    </row>
    <row r="3763" spans="8:8" x14ac:dyDescent="0.25">
      <c r="H3763" t="s">
        <v>2670</v>
      </c>
    </row>
    <row r="3764" spans="8:8" x14ac:dyDescent="0.25">
      <c r="H3764" t="s">
        <v>145</v>
      </c>
    </row>
    <row r="3765" spans="8:8" x14ac:dyDescent="0.25">
      <c r="H3765" t="s">
        <v>5156</v>
      </c>
    </row>
    <row r="3766" spans="8:8" x14ac:dyDescent="0.25">
      <c r="H3766" t="s">
        <v>31</v>
      </c>
    </row>
    <row r="3768" spans="8:8" x14ac:dyDescent="0.25">
      <c r="H3768" t="s">
        <v>2675</v>
      </c>
    </row>
    <row r="3769" spans="8:8" x14ac:dyDescent="0.25">
      <c r="H3769" t="s">
        <v>145</v>
      </c>
    </row>
    <row r="3770" spans="8:8" x14ac:dyDescent="0.25">
      <c r="H3770" t="s">
        <v>5157</v>
      </c>
    </row>
    <row r="3771" spans="8:8" x14ac:dyDescent="0.25">
      <c r="H3771" t="s">
        <v>31</v>
      </c>
    </row>
    <row r="3773" spans="8:8" x14ac:dyDescent="0.25">
      <c r="H3773" t="s">
        <v>2680</v>
      </c>
    </row>
    <row r="3774" spans="8:8" x14ac:dyDescent="0.25">
      <c r="H3774" t="s">
        <v>145</v>
      </c>
    </row>
    <row r="3775" spans="8:8" x14ac:dyDescent="0.25">
      <c r="H3775" t="s">
        <v>5158</v>
      </c>
    </row>
    <row r="3776" spans="8:8" x14ac:dyDescent="0.25">
      <c r="H3776" t="s">
        <v>31</v>
      </c>
    </row>
    <row r="3778" spans="8:8" x14ac:dyDescent="0.25">
      <c r="H3778" t="s">
        <v>2682</v>
      </c>
    </row>
    <row r="3779" spans="8:8" x14ac:dyDescent="0.25">
      <c r="H3779" t="s">
        <v>145</v>
      </c>
    </row>
    <row r="3780" spans="8:8" x14ac:dyDescent="0.25">
      <c r="H3780" t="s">
        <v>5159</v>
      </c>
    </row>
    <row r="3781" spans="8:8" x14ac:dyDescent="0.25">
      <c r="H3781" t="s">
        <v>31</v>
      </c>
    </row>
    <row r="3783" spans="8:8" x14ac:dyDescent="0.25">
      <c r="H3783" t="s">
        <v>2684</v>
      </c>
    </row>
    <row r="3784" spans="8:8" x14ac:dyDescent="0.25">
      <c r="H3784" t="s">
        <v>145</v>
      </c>
    </row>
    <row r="3785" spans="8:8" x14ac:dyDescent="0.25">
      <c r="H3785" t="s">
        <v>5160</v>
      </c>
    </row>
    <row r="3786" spans="8:8" x14ac:dyDescent="0.25">
      <c r="H3786" t="s">
        <v>31</v>
      </c>
    </row>
    <row r="3788" spans="8:8" x14ac:dyDescent="0.25">
      <c r="H3788" t="s">
        <v>2686</v>
      </c>
    </row>
    <row r="3789" spans="8:8" x14ac:dyDescent="0.25">
      <c r="H3789" t="s">
        <v>145</v>
      </c>
    </row>
    <row r="3790" spans="8:8" x14ac:dyDescent="0.25">
      <c r="H3790" t="s">
        <v>5161</v>
      </c>
    </row>
    <row r="3791" spans="8:8" x14ac:dyDescent="0.25">
      <c r="H3791" t="s">
        <v>31</v>
      </c>
    </row>
    <row r="3793" spans="8:8" x14ac:dyDescent="0.25">
      <c r="H3793" t="s">
        <v>2688</v>
      </c>
    </row>
    <row r="3794" spans="8:8" x14ac:dyDescent="0.25">
      <c r="H3794" t="s">
        <v>145</v>
      </c>
    </row>
    <row r="3795" spans="8:8" x14ac:dyDescent="0.25">
      <c r="H3795" t="s">
        <v>5162</v>
      </c>
    </row>
    <row r="3796" spans="8:8" x14ac:dyDescent="0.25">
      <c r="H3796" t="s">
        <v>31</v>
      </c>
    </row>
    <row r="3798" spans="8:8" x14ac:dyDescent="0.25">
      <c r="H3798" t="s">
        <v>2690</v>
      </c>
    </row>
    <row r="3799" spans="8:8" x14ac:dyDescent="0.25">
      <c r="H3799" t="s">
        <v>145</v>
      </c>
    </row>
    <row r="3800" spans="8:8" x14ac:dyDescent="0.25">
      <c r="H3800" t="s">
        <v>5163</v>
      </c>
    </row>
    <row r="3801" spans="8:8" x14ac:dyDescent="0.25">
      <c r="H3801" t="s">
        <v>31</v>
      </c>
    </row>
    <row r="3803" spans="8:8" x14ac:dyDescent="0.25">
      <c r="H3803" t="s">
        <v>2692</v>
      </c>
    </row>
    <row r="3804" spans="8:8" x14ac:dyDescent="0.25">
      <c r="H3804" t="s">
        <v>145</v>
      </c>
    </row>
    <row r="3805" spans="8:8" x14ac:dyDescent="0.25">
      <c r="H3805" t="s">
        <v>5164</v>
      </c>
    </row>
    <row r="3806" spans="8:8" x14ac:dyDescent="0.25">
      <c r="H3806" t="s">
        <v>31</v>
      </c>
    </row>
    <row r="3808" spans="8:8" x14ac:dyDescent="0.25">
      <c r="H3808" t="s">
        <v>2694</v>
      </c>
    </row>
    <row r="3809" spans="8:8" x14ac:dyDescent="0.25">
      <c r="H3809" t="s">
        <v>145</v>
      </c>
    </row>
    <row r="3810" spans="8:8" x14ac:dyDescent="0.25">
      <c r="H3810" t="s">
        <v>5165</v>
      </c>
    </row>
    <row r="3811" spans="8:8" x14ac:dyDescent="0.25">
      <c r="H3811" t="s">
        <v>31</v>
      </c>
    </row>
    <row r="3813" spans="8:8" x14ac:dyDescent="0.25">
      <c r="H3813" t="s">
        <v>2696</v>
      </c>
    </row>
    <row r="3814" spans="8:8" x14ac:dyDescent="0.25">
      <c r="H3814" t="s">
        <v>145</v>
      </c>
    </row>
    <row r="3815" spans="8:8" x14ac:dyDescent="0.25">
      <c r="H3815" t="s">
        <v>5166</v>
      </c>
    </row>
    <row r="3816" spans="8:8" x14ac:dyDescent="0.25">
      <c r="H3816" t="s">
        <v>31</v>
      </c>
    </row>
    <row r="3818" spans="8:8" x14ac:dyDescent="0.25">
      <c r="H3818" t="s">
        <v>2698</v>
      </c>
    </row>
    <row r="3819" spans="8:8" x14ac:dyDescent="0.25">
      <c r="H3819" t="s">
        <v>145</v>
      </c>
    </row>
    <row r="3820" spans="8:8" x14ac:dyDescent="0.25">
      <c r="H3820" t="s">
        <v>5167</v>
      </c>
    </row>
    <row r="3821" spans="8:8" x14ac:dyDescent="0.25">
      <c r="H3821" t="s">
        <v>31</v>
      </c>
    </row>
    <row r="3823" spans="8:8" x14ac:dyDescent="0.25">
      <c r="H3823" t="s">
        <v>2700</v>
      </c>
    </row>
    <row r="3824" spans="8:8" x14ac:dyDescent="0.25">
      <c r="H3824" t="s">
        <v>145</v>
      </c>
    </row>
    <row r="3825" spans="8:8" x14ac:dyDescent="0.25">
      <c r="H3825" t="s">
        <v>5168</v>
      </c>
    </row>
    <row r="3826" spans="8:8" x14ac:dyDescent="0.25">
      <c r="H3826" t="s">
        <v>31</v>
      </c>
    </row>
    <row r="3828" spans="8:8" x14ac:dyDescent="0.25">
      <c r="H3828" t="s">
        <v>2702</v>
      </c>
    </row>
    <row r="3829" spans="8:8" x14ac:dyDescent="0.25">
      <c r="H3829" t="s">
        <v>145</v>
      </c>
    </row>
    <row r="3830" spans="8:8" x14ac:dyDescent="0.25">
      <c r="H3830" t="s">
        <v>5169</v>
      </c>
    </row>
    <row r="3831" spans="8:8" x14ac:dyDescent="0.25">
      <c r="H3831" t="s">
        <v>31</v>
      </c>
    </row>
    <row r="3833" spans="8:8" x14ac:dyDescent="0.25">
      <c r="H3833" t="s">
        <v>2707</v>
      </c>
    </row>
    <row r="3834" spans="8:8" x14ac:dyDescent="0.25">
      <c r="H3834" t="s">
        <v>145</v>
      </c>
    </row>
    <row r="3835" spans="8:8" x14ac:dyDescent="0.25">
      <c r="H3835" t="s">
        <v>5170</v>
      </c>
    </row>
    <row r="3836" spans="8:8" x14ac:dyDescent="0.25">
      <c r="H3836" t="s">
        <v>31</v>
      </c>
    </row>
    <row r="3838" spans="8:8" x14ac:dyDescent="0.25">
      <c r="H3838" t="s">
        <v>2709</v>
      </c>
    </row>
    <row r="3839" spans="8:8" x14ac:dyDescent="0.25">
      <c r="H3839" t="s">
        <v>145</v>
      </c>
    </row>
    <row r="3840" spans="8:8" x14ac:dyDescent="0.25">
      <c r="H3840" t="s">
        <v>5171</v>
      </c>
    </row>
    <row r="3841" spans="8:8" x14ac:dyDescent="0.25">
      <c r="H3841" t="s">
        <v>31</v>
      </c>
    </row>
    <row r="3843" spans="8:8" x14ac:dyDescent="0.25">
      <c r="H3843" t="s">
        <v>2711</v>
      </c>
    </row>
    <row r="3844" spans="8:8" x14ac:dyDescent="0.25">
      <c r="H3844" t="s">
        <v>145</v>
      </c>
    </row>
    <row r="3845" spans="8:8" x14ac:dyDescent="0.25">
      <c r="H3845" t="s">
        <v>5172</v>
      </c>
    </row>
    <row r="3846" spans="8:8" x14ac:dyDescent="0.25">
      <c r="H3846" t="s">
        <v>31</v>
      </c>
    </row>
    <row r="3848" spans="8:8" x14ac:dyDescent="0.25">
      <c r="H3848" t="s">
        <v>2713</v>
      </c>
    </row>
    <row r="3849" spans="8:8" x14ac:dyDescent="0.25">
      <c r="H3849" t="s">
        <v>145</v>
      </c>
    </row>
    <row r="3850" spans="8:8" x14ac:dyDescent="0.25">
      <c r="H3850" t="s">
        <v>5173</v>
      </c>
    </row>
    <row r="3851" spans="8:8" x14ac:dyDescent="0.25">
      <c r="H3851" t="s">
        <v>31</v>
      </c>
    </row>
    <row r="3853" spans="8:8" x14ac:dyDescent="0.25">
      <c r="H3853" t="s">
        <v>2715</v>
      </c>
    </row>
    <row r="3854" spans="8:8" x14ac:dyDescent="0.25">
      <c r="H3854" t="s">
        <v>145</v>
      </c>
    </row>
    <row r="3855" spans="8:8" x14ac:dyDescent="0.25">
      <c r="H3855" t="s">
        <v>5174</v>
      </c>
    </row>
    <row r="3856" spans="8:8" x14ac:dyDescent="0.25">
      <c r="H3856" t="s">
        <v>31</v>
      </c>
    </row>
    <row r="3858" spans="8:8" x14ac:dyDescent="0.25">
      <c r="H3858" t="s">
        <v>2717</v>
      </c>
    </row>
    <row r="3859" spans="8:8" x14ac:dyDescent="0.25">
      <c r="H3859" t="s">
        <v>145</v>
      </c>
    </row>
    <row r="3860" spans="8:8" x14ac:dyDescent="0.25">
      <c r="H3860" t="s">
        <v>5175</v>
      </c>
    </row>
    <row r="3861" spans="8:8" x14ac:dyDescent="0.25">
      <c r="H3861" t="s">
        <v>31</v>
      </c>
    </row>
    <row r="3862" spans="8:8" x14ac:dyDescent="0.25">
      <c r="H3862" t="s">
        <v>147</v>
      </c>
    </row>
    <row r="3863" spans="8:8" x14ac:dyDescent="0.25">
      <c r="H3863" t="s">
        <v>5176</v>
      </c>
    </row>
    <row r="3864" spans="8:8" x14ac:dyDescent="0.25">
      <c r="H3864" t="s">
        <v>31</v>
      </c>
    </row>
    <row r="3865" spans="8:8" x14ac:dyDescent="0.25">
      <c r="H3865" t="s">
        <v>148</v>
      </c>
    </row>
    <row r="3866" spans="8:8" x14ac:dyDescent="0.25">
      <c r="H3866" t="s">
        <v>5177</v>
      </c>
    </row>
    <row r="3867" spans="8:8" x14ac:dyDescent="0.25">
      <c r="H3867" t="s">
        <v>31</v>
      </c>
    </row>
    <row r="3869" spans="8:8" x14ac:dyDescent="0.25">
      <c r="H3869" t="s">
        <v>2719</v>
      </c>
    </row>
    <row r="3870" spans="8:8" x14ac:dyDescent="0.25">
      <c r="H3870" t="s">
        <v>145</v>
      </c>
    </row>
    <row r="3871" spans="8:8" x14ac:dyDescent="0.25">
      <c r="H3871" t="s">
        <v>5178</v>
      </c>
    </row>
    <row r="3872" spans="8:8" x14ac:dyDescent="0.25">
      <c r="H3872" t="s">
        <v>31</v>
      </c>
    </row>
    <row r="3873" spans="8:8" x14ac:dyDescent="0.25">
      <c r="H3873" t="s">
        <v>146</v>
      </c>
    </row>
    <row r="3874" spans="8:8" x14ac:dyDescent="0.25">
      <c r="H3874" t="s">
        <v>5179</v>
      </c>
    </row>
    <row r="3875" spans="8:8" x14ac:dyDescent="0.25">
      <c r="H3875" t="s">
        <v>31</v>
      </c>
    </row>
    <row r="3876" spans="8:8" x14ac:dyDescent="0.25">
      <c r="H3876" t="s">
        <v>147</v>
      </c>
    </row>
    <row r="3877" spans="8:8" x14ac:dyDescent="0.25">
      <c r="H3877" t="s">
        <v>5180</v>
      </c>
    </row>
    <row r="3878" spans="8:8" x14ac:dyDescent="0.25">
      <c r="H3878" t="s">
        <v>31</v>
      </c>
    </row>
    <row r="3879" spans="8:8" x14ac:dyDescent="0.25">
      <c r="H3879" t="s">
        <v>148</v>
      </c>
    </row>
    <row r="3880" spans="8:8" x14ac:dyDescent="0.25">
      <c r="H3880" t="s">
        <v>5181</v>
      </c>
    </row>
    <row r="3881" spans="8:8" x14ac:dyDescent="0.25">
      <c r="H3881" t="s">
        <v>31</v>
      </c>
    </row>
    <row r="3883" spans="8:8" x14ac:dyDescent="0.25">
      <c r="H3883" t="s">
        <v>2721</v>
      </c>
    </row>
    <row r="3884" spans="8:8" x14ac:dyDescent="0.25">
      <c r="H3884" t="s">
        <v>145</v>
      </c>
    </row>
    <row r="3885" spans="8:8" x14ac:dyDescent="0.25">
      <c r="H3885" t="s">
        <v>5182</v>
      </c>
    </row>
    <row r="3886" spans="8:8" x14ac:dyDescent="0.25">
      <c r="H3886" t="s">
        <v>31</v>
      </c>
    </row>
    <row r="3888" spans="8:8" x14ac:dyDescent="0.25">
      <c r="H3888" t="s">
        <v>2723</v>
      </c>
    </row>
    <row r="3889" spans="8:8" x14ac:dyDescent="0.25">
      <c r="H3889" t="s">
        <v>145</v>
      </c>
    </row>
    <row r="3890" spans="8:8" x14ac:dyDescent="0.25">
      <c r="H3890" t="s">
        <v>5183</v>
      </c>
    </row>
    <row r="3891" spans="8:8" x14ac:dyDescent="0.25">
      <c r="H3891" t="s">
        <v>31</v>
      </c>
    </row>
    <row r="3893" spans="8:8" x14ac:dyDescent="0.25">
      <c r="H3893" t="s">
        <v>2725</v>
      </c>
    </row>
    <row r="3894" spans="8:8" x14ac:dyDescent="0.25">
      <c r="H3894" t="s">
        <v>145</v>
      </c>
    </row>
    <row r="3895" spans="8:8" x14ac:dyDescent="0.25">
      <c r="H3895" t="s">
        <v>5184</v>
      </c>
    </row>
    <row r="3896" spans="8:8" x14ac:dyDescent="0.25">
      <c r="H3896" t="s">
        <v>31</v>
      </c>
    </row>
    <row r="3898" spans="8:8" x14ac:dyDescent="0.25">
      <c r="H3898" t="s">
        <v>2727</v>
      </c>
    </row>
    <row r="3899" spans="8:8" x14ac:dyDescent="0.25">
      <c r="H3899" t="s">
        <v>145</v>
      </c>
    </row>
    <row r="3900" spans="8:8" x14ac:dyDescent="0.25">
      <c r="H3900" t="s">
        <v>5185</v>
      </c>
    </row>
    <row r="3901" spans="8:8" x14ac:dyDescent="0.25">
      <c r="H3901" t="s">
        <v>31</v>
      </c>
    </row>
    <row r="3903" spans="8:8" x14ac:dyDescent="0.25">
      <c r="H3903" t="s">
        <v>2729</v>
      </c>
    </row>
    <row r="3904" spans="8:8" x14ac:dyDescent="0.25">
      <c r="H3904" t="s">
        <v>145</v>
      </c>
    </row>
    <row r="3905" spans="8:8" x14ac:dyDescent="0.25">
      <c r="H3905" t="s">
        <v>5186</v>
      </c>
    </row>
    <row r="3906" spans="8:8" x14ac:dyDescent="0.25">
      <c r="H3906" t="s">
        <v>31</v>
      </c>
    </row>
    <row r="3908" spans="8:8" x14ac:dyDescent="0.25">
      <c r="H3908" t="s">
        <v>2731</v>
      </c>
    </row>
    <row r="3909" spans="8:8" x14ac:dyDescent="0.25">
      <c r="H3909" t="s">
        <v>145</v>
      </c>
    </row>
    <row r="3910" spans="8:8" x14ac:dyDescent="0.25">
      <c r="H3910" t="s">
        <v>5187</v>
      </c>
    </row>
    <row r="3911" spans="8:8" x14ac:dyDescent="0.25">
      <c r="H3911" t="s">
        <v>31</v>
      </c>
    </row>
    <row r="3913" spans="8:8" x14ac:dyDescent="0.25">
      <c r="H3913" t="s">
        <v>2733</v>
      </c>
    </row>
    <row r="3914" spans="8:8" x14ac:dyDescent="0.25">
      <c r="H3914" t="s">
        <v>145</v>
      </c>
    </row>
    <row r="3915" spans="8:8" x14ac:dyDescent="0.25">
      <c r="H3915" t="s">
        <v>5188</v>
      </c>
    </row>
    <row r="3916" spans="8:8" x14ac:dyDescent="0.25">
      <c r="H3916" t="s">
        <v>31</v>
      </c>
    </row>
    <row r="3917" spans="8:8" x14ac:dyDescent="0.25">
      <c r="H3917" t="s">
        <v>146</v>
      </c>
    </row>
    <row r="3918" spans="8:8" x14ac:dyDescent="0.25">
      <c r="H3918" t="s">
        <v>5189</v>
      </c>
    </row>
    <row r="3919" spans="8:8" x14ac:dyDescent="0.25">
      <c r="H3919" t="s">
        <v>31</v>
      </c>
    </row>
    <row r="3920" spans="8:8" x14ac:dyDescent="0.25">
      <c r="H3920" t="s">
        <v>147</v>
      </c>
    </row>
    <row r="3921" spans="8:8" x14ac:dyDescent="0.25">
      <c r="H3921" t="s">
        <v>5190</v>
      </c>
    </row>
    <row r="3922" spans="8:8" x14ac:dyDescent="0.25">
      <c r="H3922" t="s">
        <v>31</v>
      </c>
    </row>
    <row r="3923" spans="8:8" x14ac:dyDescent="0.25">
      <c r="H3923" t="s">
        <v>148</v>
      </c>
    </row>
    <row r="3924" spans="8:8" x14ac:dyDescent="0.25">
      <c r="H3924" t="s">
        <v>5191</v>
      </c>
    </row>
    <row r="3925" spans="8:8" x14ac:dyDescent="0.25">
      <c r="H3925" t="s">
        <v>31</v>
      </c>
    </row>
    <row r="3927" spans="8:8" x14ac:dyDescent="0.25">
      <c r="H3927" t="s">
        <v>2735</v>
      </c>
    </row>
    <row r="3928" spans="8:8" x14ac:dyDescent="0.25">
      <c r="H3928" t="s">
        <v>145</v>
      </c>
    </row>
    <row r="3929" spans="8:8" x14ac:dyDescent="0.25">
      <c r="H3929" t="s">
        <v>5192</v>
      </c>
    </row>
    <row r="3930" spans="8:8" x14ac:dyDescent="0.25">
      <c r="H3930" t="s">
        <v>31</v>
      </c>
    </row>
    <row r="3931" spans="8:8" x14ac:dyDescent="0.25">
      <c r="H3931" t="s">
        <v>146</v>
      </c>
    </row>
    <row r="3932" spans="8:8" x14ac:dyDescent="0.25">
      <c r="H3932" t="s">
        <v>5193</v>
      </c>
    </row>
    <row r="3933" spans="8:8" x14ac:dyDescent="0.25">
      <c r="H3933" t="s">
        <v>31</v>
      </c>
    </row>
    <row r="3934" spans="8:8" x14ac:dyDescent="0.25">
      <c r="H3934" t="s">
        <v>147</v>
      </c>
    </row>
    <row r="3935" spans="8:8" x14ac:dyDescent="0.25">
      <c r="H3935" t="s">
        <v>5194</v>
      </c>
    </row>
    <row r="3936" spans="8:8" x14ac:dyDescent="0.25">
      <c r="H3936" t="s">
        <v>31</v>
      </c>
    </row>
    <row r="3937" spans="8:8" x14ac:dyDescent="0.25">
      <c r="H3937" t="s">
        <v>148</v>
      </c>
    </row>
    <row r="3938" spans="8:8" x14ac:dyDescent="0.25">
      <c r="H3938" t="s">
        <v>5195</v>
      </c>
    </row>
    <row r="3939" spans="8:8" x14ac:dyDescent="0.25">
      <c r="H3939" t="s">
        <v>31</v>
      </c>
    </row>
    <row r="3941" spans="8:8" x14ac:dyDescent="0.25">
      <c r="H3941" t="s">
        <v>2737</v>
      </c>
    </row>
    <row r="3942" spans="8:8" x14ac:dyDescent="0.25">
      <c r="H3942" t="s">
        <v>145</v>
      </c>
    </row>
    <row r="3943" spans="8:8" x14ac:dyDescent="0.25">
      <c r="H3943" t="s">
        <v>5196</v>
      </c>
    </row>
    <row r="3944" spans="8:8" x14ac:dyDescent="0.25">
      <c r="H3944" t="s">
        <v>31</v>
      </c>
    </row>
    <row r="3945" spans="8:8" x14ac:dyDescent="0.25">
      <c r="H3945" t="s">
        <v>146</v>
      </c>
    </row>
    <row r="3946" spans="8:8" x14ac:dyDescent="0.25">
      <c r="H3946" t="s">
        <v>5197</v>
      </c>
    </row>
    <row r="3947" spans="8:8" x14ac:dyDescent="0.25">
      <c r="H3947" t="s">
        <v>31</v>
      </c>
    </row>
    <row r="3948" spans="8:8" x14ac:dyDescent="0.25">
      <c r="H3948" t="s">
        <v>147</v>
      </c>
    </row>
    <row r="3949" spans="8:8" x14ac:dyDescent="0.25">
      <c r="H3949" t="s">
        <v>5198</v>
      </c>
    </row>
    <row r="3950" spans="8:8" x14ac:dyDescent="0.25">
      <c r="H3950" t="s">
        <v>31</v>
      </c>
    </row>
    <row r="3951" spans="8:8" x14ac:dyDescent="0.25">
      <c r="H3951" t="s">
        <v>148</v>
      </c>
    </row>
    <row r="3952" spans="8:8" x14ac:dyDescent="0.25">
      <c r="H3952" t="s">
        <v>5199</v>
      </c>
    </row>
    <row r="3953" spans="8:8" x14ac:dyDescent="0.25">
      <c r="H3953" t="s">
        <v>31</v>
      </c>
    </row>
    <row r="3955" spans="8:8" x14ac:dyDescent="0.25">
      <c r="H3955" t="s">
        <v>2739</v>
      </c>
    </row>
    <row r="3956" spans="8:8" x14ac:dyDescent="0.25">
      <c r="H3956" t="s">
        <v>145</v>
      </c>
    </row>
    <row r="3957" spans="8:8" x14ac:dyDescent="0.25">
      <c r="H3957" t="s">
        <v>5200</v>
      </c>
    </row>
    <row r="3958" spans="8:8" x14ac:dyDescent="0.25">
      <c r="H3958" t="s">
        <v>31</v>
      </c>
    </row>
    <row r="3959" spans="8:8" x14ac:dyDescent="0.25">
      <c r="H3959" t="s">
        <v>146</v>
      </c>
    </row>
    <row r="3960" spans="8:8" x14ac:dyDescent="0.25">
      <c r="H3960" t="s">
        <v>5201</v>
      </c>
    </row>
    <row r="3961" spans="8:8" x14ac:dyDescent="0.25">
      <c r="H3961" t="s">
        <v>31</v>
      </c>
    </row>
    <row r="3962" spans="8:8" x14ac:dyDescent="0.25">
      <c r="H3962" t="s">
        <v>147</v>
      </c>
    </row>
    <row r="3963" spans="8:8" x14ac:dyDescent="0.25">
      <c r="H3963" t="s">
        <v>5202</v>
      </c>
    </row>
    <row r="3964" spans="8:8" x14ac:dyDescent="0.25">
      <c r="H3964" t="s">
        <v>31</v>
      </c>
    </row>
    <row r="3965" spans="8:8" x14ac:dyDescent="0.25">
      <c r="H3965" t="s">
        <v>148</v>
      </c>
    </row>
    <row r="3966" spans="8:8" x14ac:dyDescent="0.25">
      <c r="H3966" t="s">
        <v>5203</v>
      </c>
    </row>
    <row r="3967" spans="8:8" x14ac:dyDescent="0.25">
      <c r="H3967" t="s">
        <v>31</v>
      </c>
    </row>
    <row r="3969" spans="8:8" x14ac:dyDescent="0.25">
      <c r="H3969" t="s">
        <v>2741</v>
      </c>
    </row>
    <row r="3970" spans="8:8" x14ac:dyDescent="0.25">
      <c r="H3970" t="s">
        <v>3408</v>
      </c>
    </row>
    <row r="3971" spans="8:8" x14ac:dyDescent="0.25">
      <c r="H3971" t="s">
        <v>145</v>
      </c>
    </row>
    <row r="3972" spans="8:8" x14ac:dyDescent="0.25">
      <c r="H3972" t="s">
        <v>5204</v>
      </c>
    </row>
    <row r="3973" spans="8:8" x14ac:dyDescent="0.25">
      <c r="H3973" t="s">
        <v>31</v>
      </c>
    </row>
    <row r="3975" spans="8:8" x14ac:dyDescent="0.25">
      <c r="H3975" t="s">
        <v>2743</v>
      </c>
    </row>
    <row r="3976" spans="8:8" x14ac:dyDescent="0.25">
      <c r="H3976" t="s">
        <v>145</v>
      </c>
    </row>
    <row r="3977" spans="8:8" x14ac:dyDescent="0.25">
      <c r="H3977" t="s">
        <v>5205</v>
      </c>
    </row>
    <row r="3978" spans="8:8" x14ac:dyDescent="0.25">
      <c r="H3978" t="s">
        <v>31</v>
      </c>
    </row>
    <row r="3980" spans="8:8" x14ac:dyDescent="0.25">
      <c r="H3980" t="s">
        <v>2745</v>
      </c>
    </row>
    <row r="3981" spans="8:8" x14ac:dyDescent="0.25">
      <c r="H3981" t="s">
        <v>145</v>
      </c>
    </row>
    <row r="3982" spans="8:8" x14ac:dyDescent="0.25">
      <c r="H3982" t="s">
        <v>5206</v>
      </c>
    </row>
    <row r="3983" spans="8:8" x14ac:dyDescent="0.25">
      <c r="H3983" t="s">
        <v>31</v>
      </c>
    </row>
    <row r="3985" spans="8:8" x14ac:dyDescent="0.25">
      <c r="H3985" t="s">
        <v>2747</v>
      </c>
    </row>
    <row r="3986" spans="8:8" x14ac:dyDescent="0.25">
      <c r="H3986" t="s">
        <v>145</v>
      </c>
    </row>
    <row r="3987" spans="8:8" x14ac:dyDescent="0.25">
      <c r="H3987" t="s">
        <v>5207</v>
      </c>
    </row>
    <row r="3988" spans="8:8" x14ac:dyDescent="0.25">
      <c r="H3988" t="s">
        <v>31</v>
      </c>
    </row>
    <row r="3990" spans="8:8" x14ac:dyDescent="0.25">
      <c r="H3990" t="s">
        <v>2749</v>
      </c>
    </row>
    <row r="3991" spans="8:8" x14ac:dyDescent="0.25">
      <c r="H3991" t="s">
        <v>145</v>
      </c>
    </row>
    <row r="3992" spans="8:8" x14ac:dyDescent="0.25">
      <c r="H3992" t="s">
        <v>5208</v>
      </c>
    </row>
    <row r="3993" spans="8:8" x14ac:dyDescent="0.25">
      <c r="H3993" t="s">
        <v>31</v>
      </c>
    </row>
    <row r="3995" spans="8:8" x14ac:dyDescent="0.25">
      <c r="H3995" t="s">
        <v>2753</v>
      </c>
    </row>
    <row r="3996" spans="8:8" x14ac:dyDescent="0.25">
      <c r="H3996" t="s">
        <v>145</v>
      </c>
    </row>
    <row r="3997" spans="8:8" x14ac:dyDescent="0.25">
      <c r="H3997" t="s">
        <v>5209</v>
      </c>
    </row>
    <row r="3998" spans="8:8" x14ac:dyDescent="0.25">
      <c r="H3998" t="s">
        <v>31</v>
      </c>
    </row>
    <row r="4000" spans="8:8" x14ac:dyDescent="0.25">
      <c r="H4000" t="s">
        <v>2758</v>
      </c>
    </row>
    <row r="4001" spans="8:8" x14ac:dyDescent="0.25">
      <c r="H4001" t="s">
        <v>145</v>
      </c>
    </row>
    <row r="4002" spans="8:8" x14ac:dyDescent="0.25">
      <c r="H4002" t="s">
        <v>5210</v>
      </c>
    </row>
    <row r="4003" spans="8:8" x14ac:dyDescent="0.25">
      <c r="H4003" t="s">
        <v>31</v>
      </c>
    </row>
    <row r="4005" spans="8:8" x14ac:dyDescent="0.25">
      <c r="H4005" t="s">
        <v>2760</v>
      </c>
    </row>
    <row r="4006" spans="8:8" x14ac:dyDescent="0.25">
      <c r="H4006" t="s">
        <v>145</v>
      </c>
    </row>
    <row r="4007" spans="8:8" x14ac:dyDescent="0.25">
      <c r="H4007" t="s">
        <v>5211</v>
      </c>
    </row>
    <row r="4008" spans="8:8" x14ac:dyDescent="0.25">
      <c r="H4008" t="s">
        <v>31</v>
      </c>
    </row>
    <row r="4010" spans="8:8" x14ac:dyDescent="0.25">
      <c r="H4010" t="s">
        <v>2762</v>
      </c>
    </row>
    <row r="4011" spans="8:8" x14ac:dyDescent="0.25">
      <c r="H4011" t="s">
        <v>145</v>
      </c>
    </row>
    <row r="4012" spans="8:8" x14ac:dyDescent="0.25">
      <c r="H4012" t="s">
        <v>5212</v>
      </c>
    </row>
    <row r="4013" spans="8:8" x14ac:dyDescent="0.25">
      <c r="H4013" t="s">
        <v>31</v>
      </c>
    </row>
    <row r="4015" spans="8:8" x14ac:dyDescent="0.25">
      <c r="H4015" t="s">
        <v>2764</v>
      </c>
    </row>
    <row r="4016" spans="8:8" x14ac:dyDescent="0.25">
      <c r="H4016" t="s">
        <v>145</v>
      </c>
    </row>
    <row r="4017" spans="8:8" x14ac:dyDescent="0.25">
      <c r="H4017" t="s">
        <v>5213</v>
      </c>
    </row>
    <row r="4018" spans="8:8" x14ac:dyDescent="0.25">
      <c r="H4018" t="s">
        <v>31</v>
      </c>
    </row>
    <row r="4020" spans="8:8" x14ac:dyDescent="0.25">
      <c r="H4020" t="s">
        <v>2766</v>
      </c>
    </row>
    <row r="4021" spans="8:8" x14ac:dyDescent="0.25">
      <c r="H4021" t="s">
        <v>145</v>
      </c>
    </row>
    <row r="4022" spans="8:8" x14ac:dyDescent="0.25">
      <c r="H4022" t="s">
        <v>5214</v>
      </c>
    </row>
    <row r="4023" spans="8:8" x14ac:dyDescent="0.25">
      <c r="H4023" t="s">
        <v>31</v>
      </c>
    </row>
    <row r="4025" spans="8:8" x14ac:dyDescent="0.25">
      <c r="H4025" t="s">
        <v>2768</v>
      </c>
    </row>
    <row r="4026" spans="8:8" x14ac:dyDescent="0.25">
      <c r="H4026" t="s">
        <v>145</v>
      </c>
    </row>
    <row r="4027" spans="8:8" x14ac:dyDescent="0.25">
      <c r="H4027" t="s">
        <v>5215</v>
      </c>
    </row>
    <row r="4028" spans="8:8" x14ac:dyDescent="0.25">
      <c r="H4028" t="s">
        <v>31</v>
      </c>
    </row>
    <row r="4030" spans="8:8" x14ac:dyDescent="0.25">
      <c r="H4030" t="s">
        <v>2770</v>
      </c>
    </row>
    <row r="4031" spans="8:8" x14ac:dyDescent="0.25">
      <c r="H4031" t="s">
        <v>145</v>
      </c>
    </row>
    <row r="4032" spans="8:8" x14ac:dyDescent="0.25">
      <c r="H4032" t="s">
        <v>5216</v>
      </c>
    </row>
    <row r="4033" spans="8:8" x14ac:dyDescent="0.25">
      <c r="H4033" t="s">
        <v>31</v>
      </c>
    </row>
    <row r="4035" spans="8:8" x14ac:dyDescent="0.25">
      <c r="H4035" t="s">
        <v>2775</v>
      </c>
    </row>
    <row r="4036" spans="8:8" x14ac:dyDescent="0.25">
      <c r="H4036" t="s">
        <v>145</v>
      </c>
    </row>
    <row r="4037" spans="8:8" x14ac:dyDescent="0.25">
      <c r="H4037" t="s">
        <v>5217</v>
      </c>
    </row>
    <row r="4038" spans="8:8" x14ac:dyDescent="0.25">
      <c r="H4038" t="s">
        <v>31</v>
      </c>
    </row>
    <row r="4040" spans="8:8" x14ac:dyDescent="0.25">
      <c r="H4040" t="s">
        <v>2780</v>
      </c>
    </row>
    <row r="4041" spans="8:8" x14ac:dyDescent="0.25">
      <c r="H4041" t="s">
        <v>145</v>
      </c>
    </row>
    <row r="4042" spans="8:8" x14ac:dyDescent="0.25">
      <c r="H4042" t="s">
        <v>5218</v>
      </c>
    </row>
    <row r="4043" spans="8:8" x14ac:dyDescent="0.25">
      <c r="H4043" t="s">
        <v>31</v>
      </c>
    </row>
    <row r="4045" spans="8:8" x14ac:dyDescent="0.25">
      <c r="H4045" t="s">
        <v>2785</v>
      </c>
    </row>
    <row r="4046" spans="8:8" x14ac:dyDescent="0.25">
      <c r="H4046" t="s">
        <v>145</v>
      </c>
    </row>
    <row r="4047" spans="8:8" x14ac:dyDescent="0.25">
      <c r="H4047" t="s">
        <v>5219</v>
      </c>
    </row>
    <row r="4048" spans="8:8" x14ac:dyDescent="0.25">
      <c r="H4048" t="s">
        <v>31</v>
      </c>
    </row>
    <row r="4050" spans="8:8" x14ac:dyDescent="0.25">
      <c r="H4050" t="s">
        <v>2790</v>
      </c>
    </row>
    <row r="4051" spans="8:8" x14ac:dyDescent="0.25">
      <c r="H4051" t="s">
        <v>145</v>
      </c>
    </row>
    <row r="4052" spans="8:8" x14ac:dyDescent="0.25">
      <c r="H4052" t="s">
        <v>5220</v>
      </c>
    </row>
    <row r="4053" spans="8:8" x14ac:dyDescent="0.25">
      <c r="H4053" t="s">
        <v>31</v>
      </c>
    </row>
    <row r="4055" spans="8:8" x14ac:dyDescent="0.25">
      <c r="H4055" t="s">
        <v>2793</v>
      </c>
    </row>
    <row r="4056" spans="8:8" x14ac:dyDescent="0.25">
      <c r="H4056" t="s">
        <v>145</v>
      </c>
    </row>
    <row r="4057" spans="8:8" x14ac:dyDescent="0.25">
      <c r="H4057" t="s">
        <v>5221</v>
      </c>
    </row>
    <row r="4058" spans="8:8" x14ac:dyDescent="0.25">
      <c r="H4058" t="s">
        <v>31</v>
      </c>
    </row>
    <row r="4060" spans="8:8" x14ac:dyDescent="0.25">
      <c r="H4060" t="s">
        <v>2795</v>
      </c>
    </row>
    <row r="4061" spans="8:8" x14ac:dyDescent="0.25">
      <c r="H4061" t="s">
        <v>145</v>
      </c>
    </row>
    <row r="4062" spans="8:8" x14ac:dyDescent="0.25">
      <c r="H4062" t="s">
        <v>5222</v>
      </c>
    </row>
    <row r="4063" spans="8:8" x14ac:dyDescent="0.25">
      <c r="H4063" t="s">
        <v>31</v>
      </c>
    </row>
    <row r="4065" spans="8:8" x14ac:dyDescent="0.25">
      <c r="H4065" t="s">
        <v>2797</v>
      </c>
    </row>
    <row r="4066" spans="8:8" x14ac:dyDescent="0.25">
      <c r="H4066" t="s">
        <v>145</v>
      </c>
    </row>
    <row r="4067" spans="8:8" x14ac:dyDescent="0.25">
      <c r="H4067" t="s">
        <v>5223</v>
      </c>
    </row>
    <row r="4068" spans="8:8" x14ac:dyDescent="0.25">
      <c r="H4068" t="s">
        <v>31</v>
      </c>
    </row>
    <row r="4070" spans="8:8" x14ac:dyDescent="0.25">
      <c r="H4070" t="s">
        <v>2799</v>
      </c>
    </row>
    <row r="4071" spans="8:8" x14ac:dyDescent="0.25">
      <c r="H4071" t="s">
        <v>145</v>
      </c>
    </row>
    <row r="4072" spans="8:8" x14ac:dyDescent="0.25">
      <c r="H4072" t="s">
        <v>5224</v>
      </c>
    </row>
    <row r="4073" spans="8:8" x14ac:dyDescent="0.25">
      <c r="H4073" t="s">
        <v>31</v>
      </c>
    </row>
    <row r="4075" spans="8:8" x14ac:dyDescent="0.25">
      <c r="H4075" t="s">
        <v>2801</v>
      </c>
    </row>
    <row r="4076" spans="8:8" x14ac:dyDescent="0.25">
      <c r="H4076" t="s">
        <v>145</v>
      </c>
    </row>
    <row r="4077" spans="8:8" x14ac:dyDescent="0.25">
      <c r="H4077" t="s">
        <v>5225</v>
      </c>
    </row>
    <row r="4078" spans="8:8" x14ac:dyDescent="0.25">
      <c r="H4078" t="s">
        <v>31</v>
      </c>
    </row>
    <row r="4080" spans="8:8" x14ac:dyDescent="0.25">
      <c r="H4080" t="s">
        <v>2803</v>
      </c>
    </row>
    <row r="4081" spans="8:8" x14ac:dyDescent="0.25">
      <c r="H4081" t="s">
        <v>145</v>
      </c>
    </row>
    <row r="4082" spans="8:8" x14ac:dyDescent="0.25">
      <c r="H4082" t="s">
        <v>5226</v>
      </c>
    </row>
    <row r="4083" spans="8:8" x14ac:dyDescent="0.25">
      <c r="H4083" t="s">
        <v>31</v>
      </c>
    </row>
    <row r="4085" spans="8:8" x14ac:dyDescent="0.25">
      <c r="H4085" t="s">
        <v>2805</v>
      </c>
    </row>
    <row r="4086" spans="8:8" x14ac:dyDescent="0.25">
      <c r="H4086" t="s">
        <v>145</v>
      </c>
    </row>
    <row r="4087" spans="8:8" x14ac:dyDescent="0.25">
      <c r="H4087" t="s">
        <v>5227</v>
      </c>
    </row>
    <row r="4088" spans="8:8" x14ac:dyDescent="0.25">
      <c r="H4088" t="s">
        <v>31</v>
      </c>
    </row>
    <row r="4090" spans="8:8" x14ac:dyDescent="0.25">
      <c r="H4090" t="s">
        <v>2807</v>
      </c>
    </row>
    <row r="4091" spans="8:8" x14ac:dyDescent="0.25">
      <c r="H4091" t="s">
        <v>145</v>
      </c>
    </row>
    <row r="4092" spans="8:8" x14ac:dyDescent="0.25">
      <c r="H4092" t="s">
        <v>5228</v>
      </c>
    </row>
    <row r="4093" spans="8:8" x14ac:dyDescent="0.25">
      <c r="H4093" t="s">
        <v>31</v>
      </c>
    </row>
    <row r="4095" spans="8:8" x14ac:dyDescent="0.25">
      <c r="H4095" t="s">
        <v>2809</v>
      </c>
    </row>
    <row r="4096" spans="8:8" x14ac:dyDescent="0.25">
      <c r="H4096" t="s">
        <v>145</v>
      </c>
    </row>
    <row r="4097" spans="8:8" x14ac:dyDescent="0.25">
      <c r="H4097" t="s">
        <v>5229</v>
      </c>
    </row>
    <row r="4098" spans="8:8" x14ac:dyDescent="0.25">
      <c r="H4098" t="s">
        <v>31</v>
      </c>
    </row>
    <row r="4100" spans="8:8" x14ac:dyDescent="0.25">
      <c r="H4100" t="s">
        <v>2811</v>
      </c>
    </row>
    <row r="4101" spans="8:8" x14ac:dyDescent="0.25">
      <c r="H4101" t="s">
        <v>145</v>
      </c>
    </row>
    <row r="4102" spans="8:8" x14ac:dyDescent="0.25">
      <c r="H4102" t="s">
        <v>5230</v>
      </c>
    </row>
    <row r="4103" spans="8:8" x14ac:dyDescent="0.25">
      <c r="H4103" t="s">
        <v>31</v>
      </c>
    </row>
    <row r="4105" spans="8:8" x14ac:dyDescent="0.25">
      <c r="H4105" t="s">
        <v>2813</v>
      </c>
    </row>
    <row r="4106" spans="8:8" x14ac:dyDescent="0.25">
      <c r="H4106" t="s">
        <v>145</v>
      </c>
    </row>
    <row r="4107" spans="8:8" x14ac:dyDescent="0.25">
      <c r="H4107" t="s">
        <v>5231</v>
      </c>
    </row>
    <row r="4108" spans="8:8" x14ac:dyDescent="0.25">
      <c r="H4108" t="s">
        <v>31</v>
      </c>
    </row>
    <row r="4110" spans="8:8" x14ac:dyDescent="0.25">
      <c r="H4110" t="s">
        <v>2815</v>
      </c>
    </row>
    <row r="4111" spans="8:8" x14ac:dyDescent="0.25">
      <c r="H4111" t="s">
        <v>145</v>
      </c>
    </row>
    <row r="4112" spans="8:8" x14ac:dyDescent="0.25">
      <c r="H4112" t="s">
        <v>5232</v>
      </c>
    </row>
    <row r="4113" spans="8:8" x14ac:dyDescent="0.25">
      <c r="H4113" t="s">
        <v>31</v>
      </c>
    </row>
    <row r="4115" spans="8:8" x14ac:dyDescent="0.25">
      <c r="H4115" t="s">
        <v>2817</v>
      </c>
    </row>
    <row r="4116" spans="8:8" x14ac:dyDescent="0.25">
      <c r="H4116" t="s">
        <v>145</v>
      </c>
    </row>
    <row r="4117" spans="8:8" x14ac:dyDescent="0.25">
      <c r="H4117" t="s">
        <v>5233</v>
      </c>
    </row>
    <row r="4118" spans="8:8" x14ac:dyDescent="0.25">
      <c r="H4118" t="s">
        <v>31</v>
      </c>
    </row>
    <row r="4120" spans="8:8" x14ac:dyDescent="0.25">
      <c r="H4120" t="s">
        <v>2819</v>
      </c>
    </row>
    <row r="4121" spans="8:8" x14ac:dyDescent="0.25">
      <c r="H4121" t="s">
        <v>145</v>
      </c>
    </row>
    <row r="4122" spans="8:8" x14ac:dyDescent="0.25">
      <c r="H4122" t="s">
        <v>5234</v>
      </c>
    </row>
    <row r="4123" spans="8:8" x14ac:dyDescent="0.25">
      <c r="H4123" t="s">
        <v>31</v>
      </c>
    </row>
    <row r="4125" spans="8:8" x14ac:dyDescent="0.25">
      <c r="H4125" t="s">
        <v>2821</v>
      </c>
    </row>
    <row r="4126" spans="8:8" x14ac:dyDescent="0.25">
      <c r="H4126" t="s">
        <v>145</v>
      </c>
    </row>
    <row r="4127" spans="8:8" x14ac:dyDescent="0.25">
      <c r="H4127" t="s">
        <v>5235</v>
      </c>
    </row>
    <row r="4128" spans="8:8" x14ac:dyDescent="0.25">
      <c r="H4128" t="s">
        <v>31</v>
      </c>
    </row>
    <row r="4130" spans="8:8" x14ac:dyDescent="0.25">
      <c r="H4130" t="s">
        <v>2823</v>
      </c>
    </row>
    <row r="4131" spans="8:8" x14ac:dyDescent="0.25">
      <c r="H4131" t="s">
        <v>145</v>
      </c>
    </row>
    <row r="4132" spans="8:8" x14ac:dyDescent="0.25">
      <c r="H4132" t="s">
        <v>5236</v>
      </c>
    </row>
    <row r="4133" spans="8:8" x14ac:dyDescent="0.25">
      <c r="H4133" t="s">
        <v>31</v>
      </c>
    </row>
    <row r="4135" spans="8:8" x14ac:dyDescent="0.25">
      <c r="H4135" t="s">
        <v>2825</v>
      </c>
    </row>
    <row r="4136" spans="8:8" x14ac:dyDescent="0.25">
      <c r="H4136" t="s">
        <v>145</v>
      </c>
    </row>
    <row r="4137" spans="8:8" x14ac:dyDescent="0.25">
      <c r="H4137" t="s">
        <v>5237</v>
      </c>
    </row>
    <row r="4138" spans="8:8" x14ac:dyDescent="0.25">
      <c r="H4138" t="s">
        <v>31</v>
      </c>
    </row>
    <row r="4140" spans="8:8" x14ac:dyDescent="0.25">
      <c r="H4140" t="s">
        <v>2827</v>
      </c>
    </row>
    <row r="4141" spans="8:8" x14ac:dyDescent="0.25">
      <c r="H4141" t="s">
        <v>145</v>
      </c>
    </row>
    <row r="4142" spans="8:8" x14ac:dyDescent="0.25">
      <c r="H4142" t="s">
        <v>5238</v>
      </c>
    </row>
    <row r="4143" spans="8:8" x14ac:dyDescent="0.25">
      <c r="H4143" t="s">
        <v>31</v>
      </c>
    </row>
    <row r="4145" spans="8:8" x14ac:dyDescent="0.25">
      <c r="H4145" t="s">
        <v>2829</v>
      </c>
    </row>
    <row r="4146" spans="8:8" x14ac:dyDescent="0.25">
      <c r="H4146" t="s">
        <v>145</v>
      </c>
    </row>
    <row r="4147" spans="8:8" x14ac:dyDescent="0.25">
      <c r="H4147" t="s">
        <v>5239</v>
      </c>
    </row>
    <row r="4148" spans="8:8" x14ac:dyDescent="0.25">
      <c r="H4148" t="s">
        <v>31</v>
      </c>
    </row>
    <row r="4150" spans="8:8" x14ac:dyDescent="0.25">
      <c r="H4150" t="s">
        <v>2831</v>
      </c>
    </row>
    <row r="4151" spans="8:8" x14ac:dyDescent="0.25">
      <c r="H4151" t="s">
        <v>145</v>
      </c>
    </row>
    <row r="4152" spans="8:8" x14ac:dyDescent="0.25">
      <c r="H4152" t="s">
        <v>5240</v>
      </c>
    </row>
    <row r="4153" spans="8:8" x14ac:dyDescent="0.25">
      <c r="H4153" t="s">
        <v>31</v>
      </c>
    </row>
    <row r="4155" spans="8:8" x14ac:dyDescent="0.25">
      <c r="H4155" t="s">
        <v>2833</v>
      </c>
    </row>
    <row r="4156" spans="8:8" x14ac:dyDescent="0.25">
      <c r="H4156" t="s">
        <v>145</v>
      </c>
    </row>
    <row r="4157" spans="8:8" x14ac:dyDescent="0.25">
      <c r="H4157" t="s">
        <v>5241</v>
      </c>
    </row>
    <row r="4158" spans="8:8" x14ac:dyDescent="0.25">
      <c r="H4158" t="s">
        <v>31</v>
      </c>
    </row>
    <row r="4160" spans="8:8" x14ac:dyDescent="0.25">
      <c r="H4160" t="s">
        <v>2835</v>
      </c>
    </row>
    <row r="4161" spans="8:8" x14ac:dyDescent="0.25">
      <c r="H4161" t="s">
        <v>145</v>
      </c>
    </row>
    <row r="4162" spans="8:8" x14ac:dyDescent="0.25">
      <c r="H4162" t="s">
        <v>5242</v>
      </c>
    </row>
    <row r="4163" spans="8:8" x14ac:dyDescent="0.25">
      <c r="H4163" t="s">
        <v>31</v>
      </c>
    </row>
    <row r="4165" spans="8:8" x14ac:dyDescent="0.25">
      <c r="H4165" t="s">
        <v>2837</v>
      </c>
    </row>
    <row r="4166" spans="8:8" x14ac:dyDescent="0.25">
      <c r="H4166" t="s">
        <v>145</v>
      </c>
    </row>
    <row r="4167" spans="8:8" x14ac:dyDescent="0.25">
      <c r="H4167" t="s">
        <v>5243</v>
      </c>
    </row>
    <row r="4168" spans="8:8" x14ac:dyDescent="0.25">
      <c r="H4168" t="s">
        <v>31</v>
      </c>
    </row>
    <row r="4170" spans="8:8" x14ac:dyDescent="0.25">
      <c r="H4170" t="s">
        <v>2839</v>
      </c>
    </row>
    <row r="4171" spans="8:8" x14ac:dyDescent="0.25">
      <c r="H4171" t="s">
        <v>145</v>
      </c>
    </row>
    <row r="4172" spans="8:8" x14ac:dyDescent="0.25">
      <c r="H4172" t="s">
        <v>5244</v>
      </c>
    </row>
    <row r="4173" spans="8:8" x14ac:dyDescent="0.25">
      <c r="H4173" t="s">
        <v>31</v>
      </c>
    </row>
    <row r="4175" spans="8:8" x14ac:dyDescent="0.25">
      <c r="H4175" t="s">
        <v>2841</v>
      </c>
    </row>
    <row r="4176" spans="8:8" x14ac:dyDescent="0.25">
      <c r="H4176" t="s">
        <v>145</v>
      </c>
    </row>
    <row r="4177" spans="8:8" x14ac:dyDescent="0.25">
      <c r="H4177" t="s">
        <v>5245</v>
      </c>
    </row>
    <row r="4178" spans="8:8" x14ac:dyDescent="0.25">
      <c r="H4178" t="s">
        <v>31</v>
      </c>
    </row>
    <row r="4180" spans="8:8" x14ac:dyDescent="0.25">
      <c r="H4180" t="s">
        <v>2843</v>
      </c>
    </row>
    <row r="4181" spans="8:8" x14ac:dyDescent="0.25">
      <c r="H4181" t="s">
        <v>145</v>
      </c>
    </row>
    <row r="4182" spans="8:8" x14ac:dyDescent="0.25">
      <c r="H4182" t="s">
        <v>5246</v>
      </c>
    </row>
    <row r="4183" spans="8:8" x14ac:dyDescent="0.25">
      <c r="H4183" t="s">
        <v>31</v>
      </c>
    </row>
    <row r="4185" spans="8:8" x14ac:dyDescent="0.25">
      <c r="H4185" t="s">
        <v>2845</v>
      </c>
    </row>
    <row r="4186" spans="8:8" x14ac:dyDescent="0.25">
      <c r="H4186" t="s">
        <v>145</v>
      </c>
    </row>
    <row r="4187" spans="8:8" x14ac:dyDescent="0.25">
      <c r="H4187" t="s">
        <v>5247</v>
      </c>
    </row>
    <row r="4188" spans="8:8" x14ac:dyDescent="0.25">
      <c r="H4188" t="s">
        <v>31</v>
      </c>
    </row>
    <row r="4190" spans="8:8" x14ac:dyDescent="0.25">
      <c r="H4190" t="s">
        <v>2847</v>
      </c>
    </row>
    <row r="4191" spans="8:8" x14ac:dyDescent="0.25">
      <c r="H4191" t="s">
        <v>145</v>
      </c>
    </row>
    <row r="4192" spans="8:8" x14ac:dyDescent="0.25">
      <c r="H4192" t="s">
        <v>5248</v>
      </c>
    </row>
    <row r="4193" spans="8:8" x14ac:dyDescent="0.25">
      <c r="H4193" t="s">
        <v>31</v>
      </c>
    </row>
    <row r="4195" spans="8:8" x14ac:dyDescent="0.25">
      <c r="H4195" t="s">
        <v>2849</v>
      </c>
    </row>
    <row r="4196" spans="8:8" x14ac:dyDescent="0.25">
      <c r="H4196" t="s">
        <v>145</v>
      </c>
    </row>
    <row r="4197" spans="8:8" x14ac:dyDescent="0.25">
      <c r="H4197" t="s">
        <v>5249</v>
      </c>
    </row>
    <row r="4198" spans="8:8" x14ac:dyDescent="0.25">
      <c r="H4198" t="s">
        <v>31</v>
      </c>
    </row>
    <row r="4200" spans="8:8" x14ac:dyDescent="0.25">
      <c r="H4200" t="s">
        <v>2851</v>
      </c>
    </row>
    <row r="4201" spans="8:8" x14ac:dyDescent="0.25">
      <c r="H4201" t="s">
        <v>145</v>
      </c>
    </row>
    <row r="4202" spans="8:8" x14ac:dyDescent="0.25">
      <c r="H4202" t="s">
        <v>5250</v>
      </c>
    </row>
    <row r="4203" spans="8:8" x14ac:dyDescent="0.25">
      <c r="H4203" t="s">
        <v>31</v>
      </c>
    </row>
    <row r="4205" spans="8:8" x14ac:dyDescent="0.25">
      <c r="H4205" t="s">
        <v>2853</v>
      </c>
    </row>
    <row r="4206" spans="8:8" x14ac:dyDescent="0.25">
      <c r="H4206" t="s">
        <v>145</v>
      </c>
    </row>
    <row r="4207" spans="8:8" x14ac:dyDescent="0.25">
      <c r="H4207" t="s">
        <v>5251</v>
      </c>
    </row>
    <row r="4208" spans="8:8" x14ac:dyDescent="0.25">
      <c r="H4208" t="s">
        <v>31</v>
      </c>
    </row>
    <row r="4210" spans="8:8" x14ac:dyDescent="0.25">
      <c r="H4210" t="s">
        <v>2855</v>
      </c>
    </row>
    <row r="4211" spans="8:8" x14ac:dyDescent="0.25">
      <c r="H4211" t="s">
        <v>145</v>
      </c>
    </row>
    <row r="4212" spans="8:8" x14ac:dyDescent="0.25">
      <c r="H4212" t="s">
        <v>5252</v>
      </c>
    </row>
    <row r="4213" spans="8:8" x14ac:dyDescent="0.25">
      <c r="H4213" t="s">
        <v>31</v>
      </c>
    </row>
    <row r="4215" spans="8:8" x14ac:dyDescent="0.25">
      <c r="H4215" t="s">
        <v>2857</v>
      </c>
    </row>
    <row r="4216" spans="8:8" x14ac:dyDescent="0.25">
      <c r="H4216" t="s">
        <v>145</v>
      </c>
    </row>
    <row r="4217" spans="8:8" x14ac:dyDescent="0.25">
      <c r="H4217" t="s">
        <v>5253</v>
      </c>
    </row>
    <row r="4218" spans="8:8" x14ac:dyDescent="0.25">
      <c r="H4218" t="s">
        <v>31</v>
      </c>
    </row>
    <row r="4220" spans="8:8" x14ac:dyDescent="0.25">
      <c r="H4220" t="s">
        <v>2859</v>
      </c>
    </row>
    <row r="4221" spans="8:8" x14ac:dyDescent="0.25">
      <c r="H4221" t="s">
        <v>145</v>
      </c>
    </row>
    <row r="4222" spans="8:8" x14ac:dyDescent="0.25">
      <c r="H4222" t="s">
        <v>5254</v>
      </c>
    </row>
    <row r="4223" spans="8:8" x14ac:dyDescent="0.25">
      <c r="H4223" t="s">
        <v>31</v>
      </c>
    </row>
    <row r="4225" spans="8:8" x14ac:dyDescent="0.25">
      <c r="H4225" t="s">
        <v>2861</v>
      </c>
    </row>
    <row r="4226" spans="8:8" x14ac:dyDescent="0.25">
      <c r="H4226" t="s">
        <v>145</v>
      </c>
    </row>
    <row r="4227" spans="8:8" x14ac:dyDescent="0.25">
      <c r="H4227" t="s">
        <v>5255</v>
      </c>
    </row>
    <row r="4228" spans="8:8" x14ac:dyDescent="0.25">
      <c r="H4228" t="s">
        <v>31</v>
      </c>
    </row>
    <row r="4230" spans="8:8" x14ac:dyDescent="0.25">
      <c r="H4230" t="s">
        <v>2863</v>
      </c>
    </row>
    <row r="4231" spans="8:8" x14ac:dyDescent="0.25">
      <c r="H4231" t="s">
        <v>145</v>
      </c>
    </row>
    <row r="4232" spans="8:8" x14ac:dyDescent="0.25">
      <c r="H4232" t="s">
        <v>5256</v>
      </c>
    </row>
    <row r="4233" spans="8:8" x14ac:dyDescent="0.25">
      <c r="H4233" t="s">
        <v>31</v>
      </c>
    </row>
    <row r="4235" spans="8:8" x14ac:dyDescent="0.25">
      <c r="H4235" t="s">
        <v>2865</v>
      </c>
    </row>
    <row r="4236" spans="8:8" x14ac:dyDescent="0.25">
      <c r="H4236" t="s">
        <v>145</v>
      </c>
    </row>
    <row r="4237" spans="8:8" x14ac:dyDescent="0.25">
      <c r="H4237" t="s">
        <v>5257</v>
      </c>
    </row>
    <row r="4238" spans="8:8" x14ac:dyDescent="0.25">
      <c r="H4238" t="s">
        <v>31</v>
      </c>
    </row>
    <row r="4240" spans="8:8" x14ac:dyDescent="0.25">
      <c r="H4240" t="s">
        <v>2867</v>
      </c>
    </row>
    <row r="4241" spans="8:8" x14ac:dyDescent="0.25">
      <c r="H4241" t="s">
        <v>145</v>
      </c>
    </row>
    <row r="4242" spans="8:8" x14ac:dyDescent="0.25">
      <c r="H4242" t="s">
        <v>5258</v>
      </c>
    </row>
    <row r="4243" spans="8:8" x14ac:dyDescent="0.25">
      <c r="H4243" t="s">
        <v>31</v>
      </c>
    </row>
    <row r="4245" spans="8:8" x14ac:dyDescent="0.25">
      <c r="H4245" t="s">
        <v>2869</v>
      </c>
    </row>
    <row r="4246" spans="8:8" x14ac:dyDescent="0.25">
      <c r="H4246" t="s">
        <v>145</v>
      </c>
    </row>
    <row r="4247" spans="8:8" x14ac:dyDescent="0.25">
      <c r="H4247" t="s">
        <v>5259</v>
      </c>
    </row>
    <row r="4248" spans="8:8" x14ac:dyDescent="0.25">
      <c r="H4248" t="s">
        <v>31</v>
      </c>
    </row>
    <row r="4250" spans="8:8" x14ac:dyDescent="0.25">
      <c r="H4250" t="s">
        <v>2871</v>
      </c>
    </row>
    <row r="4251" spans="8:8" x14ac:dyDescent="0.25">
      <c r="H4251" t="s">
        <v>145</v>
      </c>
    </row>
    <row r="4252" spans="8:8" x14ac:dyDescent="0.25">
      <c r="H4252" t="s">
        <v>5260</v>
      </c>
    </row>
    <row r="4253" spans="8:8" x14ac:dyDescent="0.25">
      <c r="H4253" t="s">
        <v>31</v>
      </c>
    </row>
    <row r="4255" spans="8:8" x14ac:dyDescent="0.25">
      <c r="H4255" t="s">
        <v>2873</v>
      </c>
    </row>
    <row r="4256" spans="8:8" x14ac:dyDescent="0.25">
      <c r="H4256" t="s">
        <v>145</v>
      </c>
    </row>
    <row r="4257" spans="8:8" x14ac:dyDescent="0.25">
      <c r="H4257" t="s">
        <v>5261</v>
      </c>
    </row>
    <row r="4258" spans="8:8" x14ac:dyDescent="0.25">
      <c r="H4258" t="s">
        <v>31</v>
      </c>
    </row>
    <row r="4260" spans="8:8" x14ac:dyDescent="0.25">
      <c r="H4260" t="s">
        <v>2875</v>
      </c>
    </row>
    <row r="4261" spans="8:8" x14ac:dyDescent="0.25">
      <c r="H4261" t="s">
        <v>145</v>
      </c>
    </row>
    <row r="4262" spans="8:8" x14ac:dyDescent="0.25">
      <c r="H4262" t="s">
        <v>5262</v>
      </c>
    </row>
    <row r="4263" spans="8:8" x14ac:dyDescent="0.25">
      <c r="H4263" t="s">
        <v>31</v>
      </c>
    </row>
    <row r="4265" spans="8:8" x14ac:dyDescent="0.25">
      <c r="H4265" t="s">
        <v>2877</v>
      </c>
    </row>
    <row r="4266" spans="8:8" x14ac:dyDescent="0.25">
      <c r="H4266" t="s">
        <v>145</v>
      </c>
    </row>
    <row r="4267" spans="8:8" x14ac:dyDescent="0.25">
      <c r="H4267" t="s">
        <v>5263</v>
      </c>
    </row>
    <row r="4268" spans="8:8" x14ac:dyDescent="0.25">
      <c r="H4268" t="s">
        <v>31</v>
      </c>
    </row>
    <row r="4270" spans="8:8" x14ac:dyDescent="0.25">
      <c r="H4270" t="s">
        <v>2879</v>
      </c>
    </row>
    <row r="4271" spans="8:8" x14ac:dyDescent="0.25">
      <c r="H4271" t="s">
        <v>145</v>
      </c>
    </row>
    <row r="4272" spans="8:8" x14ac:dyDescent="0.25">
      <c r="H4272" t="s">
        <v>5264</v>
      </c>
    </row>
    <row r="4273" spans="8:8" x14ac:dyDescent="0.25">
      <c r="H4273" t="s">
        <v>31</v>
      </c>
    </row>
    <row r="4275" spans="8:8" x14ac:dyDescent="0.25">
      <c r="H4275" t="s">
        <v>2881</v>
      </c>
    </row>
    <row r="4276" spans="8:8" x14ac:dyDescent="0.25">
      <c r="H4276" t="s">
        <v>145</v>
      </c>
    </row>
    <row r="4277" spans="8:8" x14ac:dyDescent="0.25">
      <c r="H4277" t="s">
        <v>5265</v>
      </c>
    </row>
    <row r="4278" spans="8:8" x14ac:dyDescent="0.25">
      <c r="H4278" t="s">
        <v>31</v>
      </c>
    </row>
    <row r="4280" spans="8:8" x14ac:dyDescent="0.25">
      <c r="H4280" t="s">
        <v>2883</v>
      </c>
    </row>
    <row r="4281" spans="8:8" x14ac:dyDescent="0.25">
      <c r="H4281" t="s">
        <v>145</v>
      </c>
    </row>
    <row r="4282" spans="8:8" x14ac:dyDescent="0.25">
      <c r="H4282" t="s">
        <v>5266</v>
      </c>
    </row>
    <row r="4283" spans="8:8" x14ac:dyDescent="0.25">
      <c r="H4283" t="s">
        <v>31</v>
      </c>
    </row>
    <row r="4285" spans="8:8" x14ac:dyDescent="0.25">
      <c r="H4285" t="s">
        <v>2885</v>
      </c>
    </row>
    <row r="4286" spans="8:8" x14ac:dyDescent="0.25">
      <c r="H4286" t="s">
        <v>145</v>
      </c>
    </row>
    <row r="4287" spans="8:8" x14ac:dyDescent="0.25">
      <c r="H4287" t="s">
        <v>5267</v>
      </c>
    </row>
    <row r="4288" spans="8:8" x14ac:dyDescent="0.25">
      <c r="H4288" t="s">
        <v>31</v>
      </c>
    </row>
    <row r="4290" spans="8:8" x14ac:dyDescent="0.25">
      <c r="H4290" t="s">
        <v>2887</v>
      </c>
    </row>
    <row r="4291" spans="8:8" x14ac:dyDescent="0.25">
      <c r="H4291" t="s">
        <v>145</v>
      </c>
    </row>
    <row r="4292" spans="8:8" x14ac:dyDescent="0.25">
      <c r="H4292" t="s">
        <v>5268</v>
      </c>
    </row>
    <row r="4293" spans="8:8" x14ac:dyDescent="0.25">
      <c r="H4293" t="s">
        <v>31</v>
      </c>
    </row>
    <row r="4295" spans="8:8" x14ac:dyDescent="0.25">
      <c r="H4295" t="s">
        <v>2889</v>
      </c>
    </row>
    <row r="4296" spans="8:8" x14ac:dyDescent="0.25">
      <c r="H4296" t="s">
        <v>145</v>
      </c>
    </row>
    <row r="4297" spans="8:8" x14ac:dyDescent="0.25">
      <c r="H4297" t="s">
        <v>5269</v>
      </c>
    </row>
    <row r="4298" spans="8:8" x14ac:dyDescent="0.25">
      <c r="H4298" t="s">
        <v>31</v>
      </c>
    </row>
    <row r="4300" spans="8:8" x14ac:dyDescent="0.25">
      <c r="H4300" t="s">
        <v>2891</v>
      </c>
    </row>
    <row r="4301" spans="8:8" x14ac:dyDescent="0.25">
      <c r="H4301" t="s">
        <v>145</v>
      </c>
    </row>
    <row r="4302" spans="8:8" x14ac:dyDescent="0.25">
      <c r="H4302" t="s">
        <v>5270</v>
      </c>
    </row>
    <row r="4303" spans="8:8" x14ac:dyDescent="0.25">
      <c r="H4303" t="s">
        <v>31</v>
      </c>
    </row>
    <row r="4305" spans="8:8" x14ac:dyDescent="0.25">
      <c r="H4305" t="s">
        <v>2893</v>
      </c>
    </row>
    <row r="4306" spans="8:8" x14ac:dyDescent="0.25">
      <c r="H4306" t="s">
        <v>145</v>
      </c>
    </row>
    <row r="4307" spans="8:8" x14ac:dyDescent="0.25">
      <c r="H4307" t="s">
        <v>5271</v>
      </c>
    </row>
    <row r="4308" spans="8:8" x14ac:dyDescent="0.25">
      <c r="H4308" t="s">
        <v>31</v>
      </c>
    </row>
    <row r="4310" spans="8:8" x14ac:dyDescent="0.25">
      <c r="H4310" t="s">
        <v>2895</v>
      </c>
    </row>
    <row r="4311" spans="8:8" x14ac:dyDescent="0.25">
      <c r="H4311" t="s">
        <v>145</v>
      </c>
    </row>
    <row r="4312" spans="8:8" x14ac:dyDescent="0.25">
      <c r="H4312" t="s">
        <v>5272</v>
      </c>
    </row>
    <row r="4313" spans="8:8" x14ac:dyDescent="0.25">
      <c r="H4313" t="s">
        <v>31</v>
      </c>
    </row>
    <row r="4315" spans="8:8" x14ac:dyDescent="0.25">
      <c r="H4315" t="s">
        <v>2897</v>
      </c>
    </row>
    <row r="4316" spans="8:8" x14ac:dyDescent="0.25">
      <c r="H4316" t="s">
        <v>145</v>
      </c>
    </row>
    <row r="4317" spans="8:8" x14ac:dyDescent="0.25">
      <c r="H4317" t="s">
        <v>5273</v>
      </c>
    </row>
    <row r="4318" spans="8:8" x14ac:dyDescent="0.25">
      <c r="H4318" t="s">
        <v>31</v>
      </c>
    </row>
    <row r="4320" spans="8:8" x14ac:dyDescent="0.25">
      <c r="H4320" t="s">
        <v>2899</v>
      </c>
    </row>
    <row r="4321" spans="8:8" x14ac:dyDescent="0.25">
      <c r="H4321" t="s">
        <v>145</v>
      </c>
    </row>
    <row r="4322" spans="8:8" x14ac:dyDescent="0.25">
      <c r="H4322" t="s">
        <v>5274</v>
      </c>
    </row>
    <row r="4323" spans="8:8" x14ac:dyDescent="0.25">
      <c r="H4323" t="s">
        <v>31</v>
      </c>
    </row>
    <row r="4325" spans="8:8" x14ac:dyDescent="0.25">
      <c r="H4325" t="s">
        <v>2901</v>
      </c>
    </row>
    <row r="4326" spans="8:8" x14ac:dyDescent="0.25">
      <c r="H4326" t="s">
        <v>145</v>
      </c>
    </row>
    <row r="4327" spans="8:8" x14ac:dyDescent="0.25">
      <c r="H4327" t="s">
        <v>5275</v>
      </c>
    </row>
    <row r="4328" spans="8:8" x14ac:dyDescent="0.25">
      <c r="H4328" t="s">
        <v>31</v>
      </c>
    </row>
    <row r="4330" spans="8:8" x14ac:dyDescent="0.25">
      <c r="H4330" t="s">
        <v>2903</v>
      </c>
    </row>
    <row r="4331" spans="8:8" x14ac:dyDescent="0.25">
      <c r="H4331" t="s">
        <v>145</v>
      </c>
    </row>
    <row r="4332" spans="8:8" x14ac:dyDescent="0.25">
      <c r="H4332" t="s">
        <v>5276</v>
      </c>
    </row>
    <row r="4333" spans="8:8" x14ac:dyDescent="0.25">
      <c r="H4333" t="s">
        <v>31</v>
      </c>
    </row>
    <row r="4335" spans="8:8" x14ac:dyDescent="0.25">
      <c r="H4335" t="s">
        <v>2905</v>
      </c>
    </row>
    <row r="4336" spans="8:8" x14ac:dyDescent="0.25">
      <c r="H4336" t="s">
        <v>145</v>
      </c>
    </row>
    <row r="4337" spans="8:8" x14ac:dyDescent="0.25">
      <c r="H4337" t="s">
        <v>5277</v>
      </c>
    </row>
    <row r="4338" spans="8:8" x14ac:dyDescent="0.25">
      <c r="H4338" t="s">
        <v>31</v>
      </c>
    </row>
    <row r="4340" spans="8:8" x14ac:dyDescent="0.25">
      <c r="H4340" t="s">
        <v>2907</v>
      </c>
    </row>
    <row r="4341" spans="8:8" x14ac:dyDescent="0.25">
      <c r="H4341" t="s">
        <v>145</v>
      </c>
    </row>
    <row r="4342" spans="8:8" x14ac:dyDescent="0.25">
      <c r="H4342" t="s">
        <v>5278</v>
      </c>
    </row>
    <row r="4343" spans="8:8" x14ac:dyDescent="0.25">
      <c r="H4343" t="s">
        <v>31</v>
      </c>
    </row>
    <row r="4345" spans="8:8" x14ac:dyDescent="0.25">
      <c r="H4345" t="s">
        <v>2909</v>
      </c>
    </row>
    <row r="4346" spans="8:8" x14ac:dyDescent="0.25">
      <c r="H4346" t="s">
        <v>145</v>
      </c>
    </row>
    <row r="4347" spans="8:8" x14ac:dyDescent="0.25">
      <c r="H4347" t="s">
        <v>5279</v>
      </c>
    </row>
    <row r="4348" spans="8:8" x14ac:dyDescent="0.25">
      <c r="H4348" t="s">
        <v>31</v>
      </c>
    </row>
    <row r="4350" spans="8:8" x14ac:dyDescent="0.25">
      <c r="H4350" t="s">
        <v>2911</v>
      </c>
    </row>
    <row r="4351" spans="8:8" x14ac:dyDescent="0.25">
      <c r="H4351" t="s">
        <v>145</v>
      </c>
    </row>
    <row r="4352" spans="8:8" x14ac:dyDescent="0.25">
      <c r="H4352" t="s">
        <v>5280</v>
      </c>
    </row>
    <row r="4353" spans="8:8" x14ac:dyDescent="0.25">
      <c r="H4353" t="s">
        <v>31</v>
      </c>
    </row>
    <row r="4355" spans="8:8" x14ac:dyDescent="0.25">
      <c r="H4355" t="s">
        <v>2913</v>
      </c>
    </row>
    <row r="4356" spans="8:8" x14ac:dyDescent="0.25">
      <c r="H4356" t="s">
        <v>145</v>
      </c>
    </row>
    <row r="4357" spans="8:8" x14ac:dyDescent="0.25">
      <c r="H4357" t="s">
        <v>5281</v>
      </c>
    </row>
    <row r="4358" spans="8:8" x14ac:dyDescent="0.25">
      <c r="H4358" t="s">
        <v>31</v>
      </c>
    </row>
    <row r="4360" spans="8:8" x14ac:dyDescent="0.25">
      <c r="H4360" t="s">
        <v>2915</v>
      </c>
    </row>
    <row r="4361" spans="8:8" x14ac:dyDescent="0.25">
      <c r="H4361" t="s">
        <v>145</v>
      </c>
    </row>
    <row r="4362" spans="8:8" x14ac:dyDescent="0.25">
      <c r="H4362" t="s">
        <v>5282</v>
      </c>
    </row>
    <row r="4363" spans="8:8" x14ac:dyDescent="0.25">
      <c r="H4363" t="s">
        <v>31</v>
      </c>
    </row>
    <row r="4365" spans="8:8" x14ac:dyDescent="0.25">
      <c r="H4365" t="s">
        <v>2917</v>
      </c>
    </row>
    <row r="4366" spans="8:8" x14ac:dyDescent="0.25">
      <c r="H4366" t="s">
        <v>145</v>
      </c>
    </row>
    <row r="4367" spans="8:8" x14ac:dyDescent="0.25">
      <c r="H4367" t="s">
        <v>5283</v>
      </c>
    </row>
    <row r="4368" spans="8:8" x14ac:dyDescent="0.25">
      <c r="H4368" t="s">
        <v>31</v>
      </c>
    </row>
    <row r="4370" spans="8:8" x14ac:dyDescent="0.25">
      <c r="H4370" t="s">
        <v>2919</v>
      </c>
    </row>
    <row r="4371" spans="8:8" x14ac:dyDescent="0.25">
      <c r="H4371" t="s">
        <v>145</v>
      </c>
    </row>
    <row r="4372" spans="8:8" x14ac:dyDescent="0.25">
      <c r="H4372" t="s">
        <v>5284</v>
      </c>
    </row>
    <row r="4373" spans="8:8" x14ac:dyDescent="0.25">
      <c r="H4373" t="s">
        <v>31</v>
      </c>
    </row>
    <row r="4375" spans="8:8" x14ac:dyDescent="0.25">
      <c r="H4375" t="s">
        <v>2921</v>
      </c>
    </row>
    <row r="4376" spans="8:8" x14ac:dyDescent="0.25">
      <c r="H4376" t="s">
        <v>145</v>
      </c>
    </row>
    <row r="4377" spans="8:8" x14ac:dyDescent="0.25">
      <c r="H4377" t="s">
        <v>5285</v>
      </c>
    </row>
    <row r="4378" spans="8:8" x14ac:dyDescent="0.25">
      <c r="H4378" t="s">
        <v>31</v>
      </c>
    </row>
    <row r="4380" spans="8:8" x14ac:dyDescent="0.25">
      <c r="H4380" t="s">
        <v>2923</v>
      </c>
    </row>
    <row r="4381" spans="8:8" x14ac:dyDescent="0.25">
      <c r="H4381" t="s">
        <v>145</v>
      </c>
    </row>
    <row r="4382" spans="8:8" x14ac:dyDescent="0.25">
      <c r="H4382" t="s">
        <v>5286</v>
      </c>
    </row>
    <row r="4383" spans="8:8" x14ac:dyDescent="0.25">
      <c r="H4383" t="s">
        <v>31</v>
      </c>
    </row>
    <row r="4385" spans="8:8" x14ac:dyDescent="0.25">
      <c r="H4385" t="s">
        <v>2925</v>
      </c>
    </row>
    <row r="4386" spans="8:8" x14ac:dyDescent="0.25">
      <c r="H4386" t="s">
        <v>145</v>
      </c>
    </row>
    <row r="4387" spans="8:8" x14ac:dyDescent="0.25">
      <c r="H4387" t="s">
        <v>5287</v>
      </c>
    </row>
    <row r="4388" spans="8:8" x14ac:dyDescent="0.25">
      <c r="H4388" t="s">
        <v>31</v>
      </c>
    </row>
    <row r="4390" spans="8:8" x14ac:dyDescent="0.25">
      <c r="H4390" t="s">
        <v>2927</v>
      </c>
    </row>
    <row r="4391" spans="8:8" x14ac:dyDescent="0.25">
      <c r="H4391" t="s">
        <v>145</v>
      </c>
    </row>
    <row r="4392" spans="8:8" x14ac:dyDescent="0.25">
      <c r="H4392" t="s">
        <v>5288</v>
      </c>
    </row>
    <row r="4393" spans="8:8" x14ac:dyDescent="0.25">
      <c r="H4393" t="s">
        <v>31</v>
      </c>
    </row>
    <row r="4395" spans="8:8" x14ac:dyDescent="0.25">
      <c r="H4395" t="s">
        <v>2929</v>
      </c>
    </row>
    <row r="4396" spans="8:8" x14ac:dyDescent="0.25">
      <c r="H4396" t="s">
        <v>145</v>
      </c>
    </row>
    <row r="4397" spans="8:8" x14ac:dyDescent="0.25">
      <c r="H4397" t="s">
        <v>5289</v>
      </c>
    </row>
    <row r="4398" spans="8:8" x14ac:dyDescent="0.25">
      <c r="H4398" t="s">
        <v>31</v>
      </c>
    </row>
    <row r="4400" spans="8:8" x14ac:dyDescent="0.25">
      <c r="H4400" t="s">
        <v>2931</v>
      </c>
    </row>
    <row r="4401" spans="8:8" x14ac:dyDescent="0.25">
      <c r="H4401" t="s">
        <v>145</v>
      </c>
    </row>
    <row r="4402" spans="8:8" x14ac:dyDescent="0.25">
      <c r="H4402" t="s">
        <v>5290</v>
      </c>
    </row>
    <row r="4403" spans="8:8" x14ac:dyDescent="0.25">
      <c r="H4403" t="s">
        <v>31</v>
      </c>
    </row>
    <row r="4405" spans="8:8" x14ac:dyDescent="0.25">
      <c r="H4405" t="s">
        <v>2933</v>
      </c>
    </row>
    <row r="4406" spans="8:8" x14ac:dyDescent="0.25">
      <c r="H4406" t="s">
        <v>145</v>
      </c>
    </row>
    <row r="4407" spans="8:8" x14ac:dyDescent="0.25">
      <c r="H4407" t="s">
        <v>5291</v>
      </c>
    </row>
    <row r="4408" spans="8:8" x14ac:dyDescent="0.25">
      <c r="H4408" t="s">
        <v>31</v>
      </c>
    </row>
    <row r="4410" spans="8:8" x14ac:dyDescent="0.25">
      <c r="H4410" t="s">
        <v>2935</v>
      </c>
    </row>
    <row r="4411" spans="8:8" x14ac:dyDescent="0.25">
      <c r="H4411" t="s">
        <v>145</v>
      </c>
    </row>
    <row r="4412" spans="8:8" x14ac:dyDescent="0.25">
      <c r="H4412" t="s">
        <v>5292</v>
      </c>
    </row>
    <row r="4413" spans="8:8" x14ac:dyDescent="0.25">
      <c r="H4413" t="s">
        <v>31</v>
      </c>
    </row>
    <row r="4415" spans="8:8" x14ac:dyDescent="0.25">
      <c r="H4415" t="s">
        <v>2937</v>
      </c>
    </row>
    <row r="4416" spans="8:8" x14ac:dyDescent="0.25">
      <c r="H4416" t="s">
        <v>145</v>
      </c>
    </row>
    <row r="4417" spans="8:8" x14ac:dyDescent="0.25">
      <c r="H4417" t="s">
        <v>5293</v>
      </c>
    </row>
    <row r="4418" spans="8:8" x14ac:dyDescent="0.25">
      <c r="H4418" t="s">
        <v>31</v>
      </c>
    </row>
    <row r="4420" spans="8:8" x14ac:dyDescent="0.25">
      <c r="H4420" t="s">
        <v>2939</v>
      </c>
    </row>
    <row r="4421" spans="8:8" x14ac:dyDescent="0.25">
      <c r="H4421" t="s">
        <v>145</v>
      </c>
    </row>
    <row r="4422" spans="8:8" x14ac:dyDescent="0.25">
      <c r="H4422" t="s">
        <v>5294</v>
      </c>
    </row>
    <row r="4423" spans="8:8" x14ac:dyDescent="0.25">
      <c r="H4423" t="s">
        <v>31</v>
      </c>
    </row>
    <row r="4425" spans="8:8" x14ac:dyDescent="0.25">
      <c r="H4425" t="s">
        <v>2941</v>
      </c>
    </row>
    <row r="4426" spans="8:8" x14ac:dyDescent="0.25">
      <c r="H4426" t="s">
        <v>145</v>
      </c>
    </row>
    <row r="4427" spans="8:8" x14ac:dyDescent="0.25">
      <c r="H4427" t="s">
        <v>5295</v>
      </c>
    </row>
    <row r="4428" spans="8:8" x14ac:dyDescent="0.25">
      <c r="H4428" t="s">
        <v>31</v>
      </c>
    </row>
    <row r="4430" spans="8:8" x14ac:dyDescent="0.25">
      <c r="H4430" t="s">
        <v>2943</v>
      </c>
    </row>
    <row r="4431" spans="8:8" x14ac:dyDescent="0.25">
      <c r="H4431" t="s">
        <v>145</v>
      </c>
    </row>
    <row r="4432" spans="8:8" x14ac:dyDescent="0.25">
      <c r="H4432" t="s">
        <v>5296</v>
      </c>
    </row>
    <row r="4433" spans="8:8" x14ac:dyDescent="0.25">
      <c r="H4433" t="s">
        <v>31</v>
      </c>
    </row>
    <row r="4435" spans="8:8" x14ac:dyDescent="0.25">
      <c r="H4435" t="s">
        <v>2945</v>
      </c>
    </row>
    <row r="4436" spans="8:8" x14ac:dyDescent="0.25">
      <c r="H4436" t="s">
        <v>145</v>
      </c>
    </row>
    <row r="4437" spans="8:8" x14ac:dyDescent="0.25">
      <c r="H4437" t="s">
        <v>5297</v>
      </c>
    </row>
    <row r="4438" spans="8:8" x14ac:dyDescent="0.25">
      <c r="H4438" t="s">
        <v>31</v>
      </c>
    </row>
    <row r="4440" spans="8:8" x14ac:dyDescent="0.25">
      <c r="H4440" t="s">
        <v>2947</v>
      </c>
    </row>
    <row r="4441" spans="8:8" x14ac:dyDescent="0.25">
      <c r="H4441" t="s">
        <v>145</v>
      </c>
    </row>
    <row r="4442" spans="8:8" x14ac:dyDescent="0.25">
      <c r="H4442" t="s">
        <v>5298</v>
      </c>
    </row>
    <row r="4443" spans="8:8" x14ac:dyDescent="0.25">
      <c r="H4443" t="s">
        <v>31</v>
      </c>
    </row>
    <row r="4445" spans="8:8" x14ac:dyDescent="0.25">
      <c r="H4445" t="s">
        <v>2949</v>
      </c>
    </row>
    <row r="4446" spans="8:8" x14ac:dyDescent="0.25">
      <c r="H4446" t="s">
        <v>145</v>
      </c>
    </row>
    <row r="4447" spans="8:8" x14ac:dyDescent="0.25">
      <c r="H4447" t="s">
        <v>5299</v>
      </c>
    </row>
    <row r="4448" spans="8:8" x14ac:dyDescent="0.25">
      <c r="H4448" t="s">
        <v>31</v>
      </c>
    </row>
    <row r="4450" spans="8:8" x14ac:dyDescent="0.25">
      <c r="H4450" t="s">
        <v>2951</v>
      </c>
    </row>
    <row r="4451" spans="8:8" x14ac:dyDescent="0.25">
      <c r="H4451" t="s">
        <v>145</v>
      </c>
    </row>
    <row r="4452" spans="8:8" x14ac:dyDescent="0.25">
      <c r="H4452" t="s">
        <v>5300</v>
      </c>
    </row>
    <row r="4453" spans="8:8" x14ac:dyDescent="0.25">
      <c r="H4453" t="s">
        <v>31</v>
      </c>
    </row>
    <row r="4455" spans="8:8" x14ac:dyDescent="0.25">
      <c r="H4455" t="s">
        <v>2953</v>
      </c>
    </row>
    <row r="4456" spans="8:8" x14ac:dyDescent="0.25">
      <c r="H4456" t="s">
        <v>145</v>
      </c>
    </row>
    <row r="4457" spans="8:8" x14ac:dyDescent="0.25">
      <c r="H4457" t="s">
        <v>5301</v>
      </c>
    </row>
    <row r="4458" spans="8:8" x14ac:dyDescent="0.25">
      <c r="H4458" t="s">
        <v>31</v>
      </c>
    </row>
    <row r="4460" spans="8:8" x14ac:dyDescent="0.25">
      <c r="H4460" t="s">
        <v>2955</v>
      </c>
    </row>
    <row r="4461" spans="8:8" x14ac:dyDescent="0.25">
      <c r="H4461" t="s">
        <v>145</v>
      </c>
    </row>
    <row r="4462" spans="8:8" x14ac:dyDescent="0.25">
      <c r="H4462" t="s">
        <v>5302</v>
      </c>
    </row>
    <row r="4463" spans="8:8" x14ac:dyDescent="0.25">
      <c r="H4463" t="s">
        <v>31</v>
      </c>
    </row>
    <row r="4465" spans="8:8" x14ac:dyDescent="0.25">
      <c r="H4465" t="s">
        <v>2957</v>
      </c>
    </row>
    <row r="4466" spans="8:8" x14ac:dyDescent="0.25">
      <c r="H4466" t="s">
        <v>145</v>
      </c>
    </row>
    <row r="4467" spans="8:8" x14ac:dyDescent="0.25">
      <c r="H4467" t="s">
        <v>5303</v>
      </c>
    </row>
    <row r="4468" spans="8:8" x14ac:dyDescent="0.25">
      <c r="H4468" t="s">
        <v>31</v>
      </c>
    </row>
    <row r="4470" spans="8:8" x14ac:dyDescent="0.25">
      <c r="H4470" t="s">
        <v>2959</v>
      </c>
    </row>
    <row r="4471" spans="8:8" x14ac:dyDescent="0.25">
      <c r="H4471" t="s">
        <v>145</v>
      </c>
    </row>
    <row r="4472" spans="8:8" x14ac:dyDescent="0.25">
      <c r="H4472" t="s">
        <v>5304</v>
      </c>
    </row>
    <row r="4473" spans="8:8" x14ac:dyDescent="0.25">
      <c r="H4473" t="s">
        <v>31</v>
      </c>
    </row>
    <row r="4475" spans="8:8" x14ac:dyDescent="0.25">
      <c r="H4475" t="s">
        <v>2961</v>
      </c>
    </row>
    <row r="4476" spans="8:8" x14ac:dyDescent="0.25">
      <c r="H4476" t="s">
        <v>145</v>
      </c>
    </row>
    <row r="4477" spans="8:8" x14ac:dyDescent="0.25">
      <c r="H4477" t="s">
        <v>5305</v>
      </c>
    </row>
    <row r="4478" spans="8:8" x14ac:dyDescent="0.25">
      <c r="H4478" t="s">
        <v>31</v>
      </c>
    </row>
    <row r="4480" spans="8:8" x14ac:dyDescent="0.25">
      <c r="H4480" t="s">
        <v>2963</v>
      </c>
    </row>
    <row r="4481" spans="8:8" x14ac:dyDescent="0.25">
      <c r="H4481" t="s">
        <v>145</v>
      </c>
    </row>
    <row r="4482" spans="8:8" x14ac:dyDescent="0.25">
      <c r="H4482" t="s">
        <v>5306</v>
      </c>
    </row>
    <row r="4483" spans="8:8" x14ac:dyDescent="0.25">
      <c r="H4483" t="s">
        <v>31</v>
      </c>
    </row>
    <row r="4485" spans="8:8" x14ac:dyDescent="0.25">
      <c r="H4485" t="s">
        <v>2965</v>
      </c>
    </row>
    <row r="4486" spans="8:8" x14ac:dyDescent="0.25">
      <c r="H4486" t="s">
        <v>145</v>
      </c>
    </row>
    <row r="4487" spans="8:8" x14ac:dyDescent="0.25">
      <c r="H4487" t="s">
        <v>5307</v>
      </c>
    </row>
    <row r="4488" spans="8:8" x14ac:dyDescent="0.25">
      <c r="H4488" t="s">
        <v>31</v>
      </c>
    </row>
    <row r="4490" spans="8:8" x14ac:dyDescent="0.25">
      <c r="H4490" t="s">
        <v>2967</v>
      </c>
    </row>
    <row r="4491" spans="8:8" x14ac:dyDescent="0.25">
      <c r="H4491" t="s">
        <v>145</v>
      </c>
    </row>
    <row r="4492" spans="8:8" x14ac:dyDescent="0.25">
      <c r="H4492" t="s">
        <v>5308</v>
      </c>
    </row>
    <row r="4493" spans="8:8" x14ac:dyDescent="0.25">
      <c r="H4493" t="s">
        <v>31</v>
      </c>
    </row>
    <row r="4495" spans="8:8" x14ac:dyDescent="0.25">
      <c r="H4495" t="s">
        <v>2969</v>
      </c>
    </row>
    <row r="4496" spans="8:8" x14ac:dyDescent="0.25">
      <c r="H4496" t="s">
        <v>145</v>
      </c>
    </row>
    <row r="4497" spans="8:8" x14ac:dyDescent="0.25">
      <c r="H4497" t="s">
        <v>5309</v>
      </c>
    </row>
    <row r="4498" spans="8:8" x14ac:dyDescent="0.25">
      <c r="H4498" t="s">
        <v>31</v>
      </c>
    </row>
    <row r="4500" spans="8:8" x14ac:dyDescent="0.25">
      <c r="H4500" t="s">
        <v>2971</v>
      </c>
    </row>
    <row r="4501" spans="8:8" x14ac:dyDescent="0.25">
      <c r="H4501" t="s">
        <v>145</v>
      </c>
    </row>
    <row r="4502" spans="8:8" x14ac:dyDescent="0.25">
      <c r="H4502" t="s">
        <v>5310</v>
      </c>
    </row>
    <row r="4503" spans="8:8" x14ac:dyDescent="0.25">
      <c r="H4503" t="s">
        <v>31</v>
      </c>
    </row>
    <row r="4505" spans="8:8" x14ac:dyDescent="0.25">
      <c r="H4505" t="s">
        <v>2973</v>
      </c>
    </row>
    <row r="4506" spans="8:8" x14ac:dyDescent="0.25">
      <c r="H4506" t="s">
        <v>145</v>
      </c>
    </row>
    <row r="4507" spans="8:8" x14ac:dyDescent="0.25">
      <c r="H4507" t="s">
        <v>5311</v>
      </c>
    </row>
    <row r="4508" spans="8:8" x14ac:dyDescent="0.25">
      <c r="H4508" t="s">
        <v>31</v>
      </c>
    </row>
    <row r="4510" spans="8:8" x14ac:dyDescent="0.25">
      <c r="H4510" t="s">
        <v>2975</v>
      </c>
    </row>
    <row r="4511" spans="8:8" x14ac:dyDescent="0.25">
      <c r="H4511" t="s">
        <v>145</v>
      </c>
    </row>
    <row r="4512" spans="8:8" x14ac:dyDescent="0.25">
      <c r="H4512" t="s">
        <v>5312</v>
      </c>
    </row>
    <row r="4513" spans="8:8" x14ac:dyDescent="0.25">
      <c r="H4513" t="s">
        <v>31</v>
      </c>
    </row>
    <row r="4515" spans="8:8" x14ac:dyDescent="0.25">
      <c r="H4515" t="s">
        <v>2977</v>
      </c>
    </row>
    <row r="4516" spans="8:8" x14ac:dyDescent="0.25">
      <c r="H4516" t="s">
        <v>145</v>
      </c>
    </row>
    <row r="4517" spans="8:8" x14ac:dyDescent="0.25">
      <c r="H4517" t="s">
        <v>5313</v>
      </c>
    </row>
    <row r="4518" spans="8:8" x14ac:dyDescent="0.25">
      <c r="H4518" t="s">
        <v>31</v>
      </c>
    </row>
    <row r="4520" spans="8:8" x14ac:dyDescent="0.25">
      <c r="H4520" t="s">
        <v>2979</v>
      </c>
    </row>
    <row r="4521" spans="8:8" x14ac:dyDescent="0.25">
      <c r="H4521" t="s">
        <v>145</v>
      </c>
    </row>
    <row r="4522" spans="8:8" x14ac:dyDescent="0.25">
      <c r="H4522" t="s">
        <v>5314</v>
      </c>
    </row>
    <row r="4523" spans="8:8" x14ac:dyDescent="0.25">
      <c r="H4523" t="s">
        <v>31</v>
      </c>
    </row>
    <row r="4525" spans="8:8" x14ac:dyDescent="0.25">
      <c r="H4525" t="s">
        <v>2981</v>
      </c>
    </row>
    <row r="4526" spans="8:8" x14ac:dyDescent="0.25">
      <c r="H4526" t="s">
        <v>145</v>
      </c>
    </row>
    <row r="4527" spans="8:8" x14ac:dyDescent="0.25">
      <c r="H4527" t="s">
        <v>5315</v>
      </c>
    </row>
    <row r="4528" spans="8:8" x14ac:dyDescent="0.25">
      <c r="H4528" t="s">
        <v>31</v>
      </c>
    </row>
    <row r="4530" spans="8:8" x14ac:dyDescent="0.25">
      <c r="H4530" t="s">
        <v>2983</v>
      </c>
    </row>
    <row r="4531" spans="8:8" x14ac:dyDescent="0.25">
      <c r="H4531" t="s">
        <v>145</v>
      </c>
    </row>
    <row r="4532" spans="8:8" x14ac:dyDescent="0.25">
      <c r="H4532" t="s">
        <v>5316</v>
      </c>
    </row>
    <row r="4533" spans="8:8" x14ac:dyDescent="0.25">
      <c r="H4533" t="s">
        <v>31</v>
      </c>
    </row>
    <row r="4535" spans="8:8" x14ac:dyDescent="0.25">
      <c r="H4535" t="s">
        <v>2985</v>
      </c>
    </row>
    <row r="4536" spans="8:8" x14ac:dyDescent="0.25">
      <c r="H4536" t="s">
        <v>145</v>
      </c>
    </row>
    <row r="4537" spans="8:8" x14ac:dyDescent="0.25">
      <c r="H4537" t="s">
        <v>5317</v>
      </c>
    </row>
    <row r="4538" spans="8:8" x14ac:dyDescent="0.25">
      <c r="H4538" t="s">
        <v>31</v>
      </c>
    </row>
    <row r="4540" spans="8:8" x14ac:dyDescent="0.25">
      <c r="H4540" t="s">
        <v>2987</v>
      </c>
    </row>
    <row r="4541" spans="8:8" x14ac:dyDescent="0.25">
      <c r="H4541" t="s">
        <v>145</v>
      </c>
    </row>
    <row r="4542" spans="8:8" x14ac:dyDescent="0.25">
      <c r="H4542" t="s">
        <v>5318</v>
      </c>
    </row>
    <row r="4543" spans="8:8" x14ac:dyDescent="0.25">
      <c r="H4543" t="s">
        <v>31</v>
      </c>
    </row>
    <row r="4545" spans="8:8" x14ac:dyDescent="0.25">
      <c r="H4545" t="s">
        <v>2989</v>
      </c>
    </row>
    <row r="4546" spans="8:8" x14ac:dyDescent="0.25">
      <c r="H4546" t="s">
        <v>145</v>
      </c>
    </row>
    <row r="4547" spans="8:8" x14ac:dyDescent="0.25">
      <c r="H4547" t="s">
        <v>5319</v>
      </c>
    </row>
    <row r="4548" spans="8:8" x14ac:dyDescent="0.25">
      <c r="H4548" t="s">
        <v>31</v>
      </c>
    </row>
    <row r="4550" spans="8:8" x14ac:dyDescent="0.25">
      <c r="H4550" t="s">
        <v>2991</v>
      </c>
    </row>
    <row r="4551" spans="8:8" x14ac:dyDescent="0.25">
      <c r="H4551" t="s">
        <v>145</v>
      </c>
    </row>
    <row r="4552" spans="8:8" x14ac:dyDescent="0.25">
      <c r="H4552" t="s">
        <v>5320</v>
      </c>
    </row>
    <row r="4553" spans="8:8" x14ac:dyDescent="0.25">
      <c r="H4553" t="s">
        <v>31</v>
      </c>
    </row>
    <row r="4555" spans="8:8" x14ac:dyDescent="0.25">
      <c r="H4555" t="s">
        <v>2993</v>
      </c>
    </row>
    <row r="4556" spans="8:8" x14ac:dyDescent="0.25">
      <c r="H4556" t="s">
        <v>145</v>
      </c>
    </row>
    <row r="4557" spans="8:8" x14ac:dyDescent="0.25">
      <c r="H4557" t="s">
        <v>5321</v>
      </c>
    </row>
    <row r="4558" spans="8:8" x14ac:dyDescent="0.25">
      <c r="H4558" t="s">
        <v>31</v>
      </c>
    </row>
    <row r="4560" spans="8:8" x14ac:dyDescent="0.25">
      <c r="H4560" t="s">
        <v>2995</v>
      </c>
    </row>
    <row r="4561" spans="8:8" x14ac:dyDescent="0.25">
      <c r="H4561" t="s">
        <v>145</v>
      </c>
    </row>
    <row r="4562" spans="8:8" x14ac:dyDescent="0.25">
      <c r="H4562" t="s">
        <v>5322</v>
      </c>
    </row>
    <row r="4563" spans="8:8" x14ac:dyDescent="0.25">
      <c r="H4563" t="s">
        <v>31</v>
      </c>
    </row>
    <row r="4565" spans="8:8" x14ac:dyDescent="0.25">
      <c r="H4565" t="s">
        <v>2997</v>
      </c>
    </row>
    <row r="4566" spans="8:8" x14ac:dyDescent="0.25">
      <c r="H4566" t="s">
        <v>145</v>
      </c>
    </row>
    <row r="4567" spans="8:8" x14ac:dyDescent="0.25">
      <c r="H4567" t="s">
        <v>5323</v>
      </c>
    </row>
    <row r="4568" spans="8:8" x14ac:dyDescent="0.25">
      <c r="H4568" t="s">
        <v>31</v>
      </c>
    </row>
    <row r="4570" spans="8:8" x14ac:dyDescent="0.25">
      <c r="H4570" t="s">
        <v>2999</v>
      </c>
    </row>
    <row r="4571" spans="8:8" x14ac:dyDescent="0.25">
      <c r="H4571" t="s">
        <v>145</v>
      </c>
    </row>
    <row r="4572" spans="8:8" x14ac:dyDescent="0.25">
      <c r="H4572" t="s">
        <v>5324</v>
      </c>
    </row>
    <row r="4573" spans="8:8" x14ac:dyDescent="0.25">
      <c r="H4573" t="s">
        <v>31</v>
      </c>
    </row>
    <row r="4575" spans="8:8" x14ac:dyDescent="0.25">
      <c r="H4575" t="s">
        <v>3001</v>
      </c>
    </row>
    <row r="4576" spans="8:8" x14ac:dyDescent="0.25">
      <c r="H4576" t="s">
        <v>145</v>
      </c>
    </row>
    <row r="4577" spans="8:8" x14ac:dyDescent="0.25">
      <c r="H4577" t="s">
        <v>5325</v>
      </c>
    </row>
    <row r="4578" spans="8:8" x14ac:dyDescent="0.25">
      <c r="H4578" t="s">
        <v>31</v>
      </c>
    </row>
    <row r="4580" spans="8:8" x14ac:dyDescent="0.25">
      <c r="H4580" t="s">
        <v>3003</v>
      </c>
    </row>
    <row r="4581" spans="8:8" x14ac:dyDescent="0.25">
      <c r="H4581" t="s">
        <v>145</v>
      </c>
    </row>
    <row r="4582" spans="8:8" x14ac:dyDescent="0.25">
      <c r="H4582" t="s">
        <v>5326</v>
      </c>
    </row>
    <row r="4583" spans="8:8" x14ac:dyDescent="0.25">
      <c r="H4583" t="s">
        <v>31</v>
      </c>
    </row>
    <row r="4585" spans="8:8" x14ac:dyDescent="0.25">
      <c r="H4585" t="s">
        <v>3005</v>
      </c>
    </row>
    <row r="4586" spans="8:8" x14ac:dyDescent="0.25">
      <c r="H4586" t="s">
        <v>145</v>
      </c>
    </row>
    <row r="4587" spans="8:8" x14ac:dyDescent="0.25">
      <c r="H4587" t="s">
        <v>5327</v>
      </c>
    </row>
    <row r="4588" spans="8:8" x14ac:dyDescent="0.25">
      <c r="H4588" t="s">
        <v>31</v>
      </c>
    </row>
    <row r="4590" spans="8:8" x14ac:dyDescent="0.25">
      <c r="H4590" t="s">
        <v>3007</v>
      </c>
    </row>
    <row r="4591" spans="8:8" x14ac:dyDescent="0.25">
      <c r="H4591" t="s">
        <v>145</v>
      </c>
    </row>
    <row r="4592" spans="8:8" x14ac:dyDescent="0.25">
      <c r="H4592" t="s">
        <v>5328</v>
      </c>
    </row>
    <row r="4593" spans="8:8" x14ac:dyDescent="0.25">
      <c r="H4593" t="s">
        <v>31</v>
      </c>
    </row>
    <row r="4595" spans="8:8" x14ac:dyDescent="0.25">
      <c r="H4595" t="s">
        <v>3009</v>
      </c>
    </row>
    <row r="4596" spans="8:8" x14ac:dyDescent="0.25">
      <c r="H4596" t="s">
        <v>145</v>
      </c>
    </row>
    <row r="4597" spans="8:8" x14ac:dyDescent="0.25">
      <c r="H4597" t="s">
        <v>5329</v>
      </c>
    </row>
    <row r="4598" spans="8:8" x14ac:dyDescent="0.25">
      <c r="H4598" t="s">
        <v>31</v>
      </c>
    </row>
    <row r="4600" spans="8:8" x14ac:dyDescent="0.25">
      <c r="H4600" t="s">
        <v>3011</v>
      </c>
    </row>
    <row r="4601" spans="8:8" x14ac:dyDescent="0.25">
      <c r="H4601" t="s">
        <v>145</v>
      </c>
    </row>
    <row r="4602" spans="8:8" x14ac:dyDescent="0.25">
      <c r="H4602" t="s">
        <v>5330</v>
      </c>
    </row>
    <row r="4603" spans="8:8" x14ac:dyDescent="0.25">
      <c r="H4603" t="s">
        <v>31</v>
      </c>
    </row>
    <row r="4605" spans="8:8" x14ac:dyDescent="0.25">
      <c r="H4605" t="s">
        <v>3013</v>
      </c>
    </row>
    <row r="4606" spans="8:8" x14ac:dyDescent="0.25">
      <c r="H4606" t="s">
        <v>145</v>
      </c>
    </row>
    <row r="4607" spans="8:8" x14ac:dyDescent="0.25">
      <c r="H4607" t="s">
        <v>5331</v>
      </c>
    </row>
    <row r="4608" spans="8:8" x14ac:dyDescent="0.25">
      <c r="H4608" t="s">
        <v>31</v>
      </c>
    </row>
    <row r="4610" spans="8:8" x14ac:dyDescent="0.25">
      <c r="H4610" t="s">
        <v>3015</v>
      </c>
    </row>
    <row r="4611" spans="8:8" x14ac:dyDescent="0.25">
      <c r="H4611" t="s">
        <v>145</v>
      </c>
    </row>
    <row r="4612" spans="8:8" x14ac:dyDescent="0.25">
      <c r="H4612" t="s">
        <v>5332</v>
      </c>
    </row>
    <row r="4613" spans="8:8" x14ac:dyDescent="0.25">
      <c r="H4613" t="s">
        <v>31</v>
      </c>
    </row>
    <row r="4615" spans="8:8" x14ac:dyDescent="0.25">
      <c r="H4615" t="s">
        <v>3017</v>
      </c>
    </row>
    <row r="4616" spans="8:8" x14ac:dyDescent="0.25">
      <c r="H4616" t="s">
        <v>145</v>
      </c>
    </row>
    <row r="4617" spans="8:8" x14ac:dyDescent="0.25">
      <c r="H4617" t="s">
        <v>5333</v>
      </c>
    </row>
    <row r="4618" spans="8:8" x14ac:dyDescent="0.25">
      <c r="H4618" t="s">
        <v>31</v>
      </c>
    </row>
    <row r="4620" spans="8:8" x14ac:dyDescent="0.25">
      <c r="H4620" t="s">
        <v>3019</v>
      </c>
    </row>
    <row r="4621" spans="8:8" x14ac:dyDescent="0.25">
      <c r="H4621" t="s">
        <v>145</v>
      </c>
    </row>
    <row r="4622" spans="8:8" x14ac:dyDescent="0.25">
      <c r="H4622" t="s">
        <v>5334</v>
      </c>
    </row>
    <row r="4623" spans="8:8" x14ac:dyDescent="0.25">
      <c r="H4623" t="s">
        <v>31</v>
      </c>
    </row>
    <row r="4624" spans="8:8" x14ac:dyDescent="0.25">
      <c r="H4624" t="s">
        <v>146</v>
      </c>
    </row>
    <row r="4625" spans="8:8" x14ac:dyDescent="0.25">
      <c r="H4625" t="s">
        <v>5335</v>
      </c>
    </row>
    <row r="4626" spans="8:8" x14ac:dyDescent="0.25">
      <c r="H4626" t="s">
        <v>31</v>
      </c>
    </row>
    <row r="4627" spans="8:8" x14ac:dyDescent="0.25">
      <c r="H4627" t="s">
        <v>147</v>
      </c>
    </row>
    <row r="4628" spans="8:8" x14ac:dyDescent="0.25">
      <c r="H4628" t="s">
        <v>5336</v>
      </c>
    </row>
    <row r="4629" spans="8:8" x14ac:dyDescent="0.25">
      <c r="H4629" t="s">
        <v>31</v>
      </c>
    </row>
    <row r="4631" spans="8:8" x14ac:dyDescent="0.25">
      <c r="H4631" t="s">
        <v>3021</v>
      </c>
    </row>
    <row r="4632" spans="8:8" x14ac:dyDescent="0.25">
      <c r="H4632" t="s">
        <v>145</v>
      </c>
    </row>
    <row r="4633" spans="8:8" x14ac:dyDescent="0.25">
      <c r="H4633" t="s">
        <v>5337</v>
      </c>
    </row>
    <row r="4634" spans="8:8" x14ac:dyDescent="0.25">
      <c r="H4634" t="s">
        <v>31</v>
      </c>
    </row>
    <row r="4635" spans="8:8" x14ac:dyDescent="0.25">
      <c r="H4635" t="s">
        <v>146</v>
      </c>
    </row>
    <row r="4636" spans="8:8" x14ac:dyDescent="0.25">
      <c r="H4636" t="s">
        <v>5338</v>
      </c>
    </row>
    <row r="4637" spans="8:8" x14ac:dyDescent="0.25">
      <c r="H4637" t="s">
        <v>31</v>
      </c>
    </row>
    <row r="4638" spans="8:8" x14ac:dyDescent="0.25">
      <c r="H4638" t="s">
        <v>147</v>
      </c>
    </row>
    <row r="4639" spans="8:8" x14ac:dyDescent="0.25">
      <c r="H4639" t="s">
        <v>5339</v>
      </c>
    </row>
    <row r="4640" spans="8:8" x14ac:dyDescent="0.25">
      <c r="H4640" t="s">
        <v>31</v>
      </c>
    </row>
    <row r="4641" spans="8:8" x14ac:dyDescent="0.25">
      <c r="H4641" t="s">
        <v>148</v>
      </c>
    </row>
    <row r="4642" spans="8:8" x14ac:dyDescent="0.25">
      <c r="H4642" t="s">
        <v>5340</v>
      </c>
    </row>
    <row r="4643" spans="8:8" x14ac:dyDescent="0.25">
      <c r="H4643" t="s">
        <v>31</v>
      </c>
    </row>
    <row r="4645" spans="8:8" x14ac:dyDescent="0.25">
      <c r="H4645" t="s">
        <v>3023</v>
      </c>
    </row>
    <row r="4646" spans="8:8" x14ac:dyDescent="0.25">
      <c r="H4646" t="s">
        <v>145</v>
      </c>
    </row>
    <row r="4647" spans="8:8" x14ac:dyDescent="0.25">
      <c r="H4647" t="s">
        <v>5341</v>
      </c>
    </row>
    <row r="4648" spans="8:8" x14ac:dyDescent="0.25">
      <c r="H4648" t="s">
        <v>31</v>
      </c>
    </row>
    <row r="4649" spans="8:8" x14ac:dyDescent="0.25">
      <c r="H4649" t="s">
        <v>147</v>
      </c>
    </row>
    <row r="4650" spans="8:8" x14ac:dyDescent="0.25">
      <c r="H4650" t="s">
        <v>5342</v>
      </c>
    </row>
    <row r="4651" spans="8:8" x14ac:dyDescent="0.25">
      <c r="H4651" t="s">
        <v>31</v>
      </c>
    </row>
    <row r="4652" spans="8:8" x14ac:dyDescent="0.25">
      <c r="H4652" t="s">
        <v>148</v>
      </c>
    </row>
    <row r="4653" spans="8:8" x14ac:dyDescent="0.25">
      <c r="H4653" t="s">
        <v>5343</v>
      </c>
    </row>
    <row r="4654" spans="8:8" x14ac:dyDescent="0.25">
      <c r="H4654" t="s">
        <v>31</v>
      </c>
    </row>
    <row r="4656" spans="8:8" x14ac:dyDescent="0.25">
      <c r="H4656" t="s">
        <v>3025</v>
      </c>
    </row>
    <row r="4657" spans="8:8" x14ac:dyDescent="0.25">
      <c r="H4657" t="s">
        <v>145</v>
      </c>
    </row>
    <row r="4658" spans="8:8" x14ac:dyDescent="0.25">
      <c r="H4658" t="s">
        <v>5344</v>
      </c>
    </row>
    <row r="4659" spans="8:8" x14ac:dyDescent="0.25">
      <c r="H4659" t="s">
        <v>31</v>
      </c>
    </row>
    <row r="4661" spans="8:8" x14ac:dyDescent="0.25">
      <c r="H4661" t="s">
        <v>3027</v>
      </c>
    </row>
    <row r="4662" spans="8:8" x14ac:dyDescent="0.25">
      <c r="H4662" t="s">
        <v>145</v>
      </c>
    </row>
    <row r="4663" spans="8:8" x14ac:dyDescent="0.25">
      <c r="H4663" t="s">
        <v>5345</v>
      </c>
    </row>
    <row r="4664" spans="8:8" x14ac:dyDescent="0.25">
      <c r="H4664" t="s">
        <v>31</v>
      </c>
    </row>
    <row r="4666" spans="8:8" x14ac:dyDescent="0.25">
      <c r="H4666" t="s">
        <v>3029</v>
      </c>
    </row>
    <row r="4667" spans="8:8" x14ac:dyDescent="0.25">
      <c r="H4667" t="s">
        <v>145</v>
      </c>
    </row>
    <row r="4668" spans="8:8" x14ac:dyDescent="0.25">
      <c r="H4668" t="s">
        <v>5346</v>
      </c>
    </row>
    <row r="4669" spans="8:8" x14ac:dyDescent="0.25">
      <c r="H4669" t="s">
        <v>31</v>
      </c>
    </row>
    <row r="4670" spans="8:8" x14ac:dyDescent="0.25">
      <c r="H4670" t="s">
        <v>146</v>
      </c>
    </row>
    <row r="4671" spans="8:8" x14ac:dyDescent="0.25">
      <c r="H4671" t="s">
        <v>5347</v>
      </c>
    </row>
    <row r="4672" spans="8:8" x14ac:dyDescent="0.25">
      <c r="H4672" t="s">
        <v>31</v>
      </c>
    </row>
    <row r="4674" spans="8:8" x14ac:dyDescent="0.25">
      <c r="H4674" t="s">
        <v>3031</v>
      </c>
    </row>
    <row r="4675" spans="8:8" x14ac:dyDescent="0.25">
      <c r="H4675" t="s">
        <v>145</v>
      </c>
    </row>
    <row r="4676" spans="8:8" x14ac:dyDescent="0.25">
      <c r="H4676" t="s">
        <v>5348</v>
      </c>
    </row>
    <row r="4677" spans="8:8" x14ac:dyDescent="0.25">
      <c r="H4677" t="s">
        <v>31</v>
      </c>
    </row>
    <row r="4679" spans="8:8" x14ac:dyDescent="0.25">
      <c r="H4679" t="s">
        <v>3033</v>
      </c>
    </row>
    <row r="4680" spans="8:8" x14ac:dyDescent="0.25">
      <c r="H4680" t="s">
        <v>145</v>
      </c>
    </row>
    <row r="4681" spans="8:8" x14ac:dyDescent="0.25">
      <c r="H4681" t="s">
        <v>5349</v>
      </c>
    </row>
    <row r="4682" spans="8:8" x14ac:dyDescent="0.25">
      <c r="H4682" t="s">
        <v>31</v>
      </c>
    </row>
    <row r="4684" spans="8:8" x14ac:dyDescent="0.25">
      <c r="H4684" t="s">
        <v>3035</v>
      </c>
    </row>
    <row r="4685" spans="8:8" x14ac:dyDescent="0.25">
      <c r="H4685" t="s">
        <v>145</v>
      </c>
    </row>
    <row r="4686" spans="8:8" x14ac:dyDescent="0.25">
      <c r="H4686" t="s">
        <v>5350</v>
      </c>
    </row>
    <row r="4687" spans="8:8" x14ac:dyDescent="0.25">
      <c r="H4687" t="s">
        <v>31</v>
      </c>
    </row>
    <row r="4688" spans="8:8" x14ac:dyDescent="0.25">
      <c r="H4688" t="s">
        <v>146</v>
      </c>
    </row>
    <row r="4689" spans="8:8" x14ac:dyDescent="0.25">
      <c r="H4689" t="s">
        <v>5351</v>
      </c>
    </row>
    <row r="4690" spans="8:8" x14ac:dyDescent="0.25">
      <c r="H4690" t="s">
        <v>31</v>
      </c>
    </row>
    <row r="4692" spans="8:8" x14ac:dyDescent="0.25">
      <c r="H4692" t="s">
        <v>3037</v>
      </c>
    </row>
    <row r="4693" spans="8:8" x14ac:dyDescent="0.25">
      <c r="H4693" t="s">
        <v>145</v>
      </c>
    </row>
    <row r="4694" spans="8:8" x14ac:dyDescent="0.25">
      <c r="H4694" t="s">
        <v>5352</v>
      </c>
    </row>
    <row r="4695" spans="8:8" x14ac:dyDescent="0.25">
      <c r="H4695" t="s">
        <v>31</v>
      </c>
    </row>
    <row r="4697" spans="8:8" x14ac:dyDescent="0.25">
      <c r="H4697" t="s">
        <v>3039</v>
      </c>
    </row>
    <row r="4698" spans="8:8" x14ac:dyDescent="0.25">
      <c r="H4698" t="s">
        <v>145</v>
      </c>
    </row>
    <row r="4699" spans="8:8" x14ac:dyDescent="0.25">
      <c r="H4699" t="s">
        <v>5353</v>
      </c>
    </row>
    <row r="4700" spans="8:8" x14ac:dyDescent="0.25">
      <c r="H4700" t="s">
        <v>31</v>
      </c>
    </row>
    <row r="4702" spans="8:8" x14ac:dyDescent="0.25">
      <c r="H4702" t="s">
        <v>3041</v>
      </c>
    </row>
    <row r="4703" spans="8:8" x14ac:dyDescent="0.25">
      <c r="H4703" t="s">
        <v>145</v>
      </c>
    </row>
    <row r="4704" spans="8:8" x14ac:dyDescent="0.25">
      <c r="H4704" t="s">
        <v>5354</v>
      </c>
    </row>
    <row r="4705" spans="8:8" x14ac:dyDescent="0.25">
      <c r="H4705" t="s">
        <v>31</v>
      </c>
    </row>
    <row r="4706" spans="8:8" x14ac:dyDescent="0.25">
      <c r="H4706" t="s">
        <v>146</v>
      </c>
    </row>
    <row r="4707" spans="8:8" x14ac:dyDescent="0.25">
      <c r="H4707" t="s">
        <v>5355</v>
      </c>
    </row>
    <row r="4708" spans="8:8" x14ac:dyDescent="0.25">
      <c r="H4708" t="s">
        <v>31</v>
      </c>
    </row>
    <row r="4710" spans="8:8" x14ac:dyDescent="0.25">
      <c r="H4710" t="s">
        <v>3043</v>
      </c>
    </row>
    <row r="4711" spans="8:8" x14ac:dyDescent="0.25">
      <c r="H4711" t="s">
        <v>145</v>
      </c>
    </row>
    <row r="4712" spans="8:8" x14ac:dyDescent="0.25">
      <c r="H4712" t="s">
        <v>5356</v>
      </c>
    </row>
    <row r="4713" spans="8:8" x14ac:dyDescent="0.25">
      <c r="H4713" t="s">
        <v>31</v>
      </c>
    </row>
    <row r="4715" spans="8:8" x14ac:dyDescent="0.25">
      <c r="H4715" t="s">
        <v>3045</v>
      </c>
    </row>
    <row r="4716" spans="8:8" x14ac:dyDescent="0.25">
      <c r="H4716" t="s">
        <v>145</v>
      </c>
    </row>
    <row r="4717" spans="8:8" x14ac:dyDescent="0.25">
      <c r="H4717" t="s">
        <v>5357</v>
      </c>
    </row>
    <row r="4718" spans="8:8" x14ac:dyDescent="0.25">
      <c r="H4718" t="s">
        <v>31</v>
      </c>
    </row>
    <row r="4720" spans="8:8" x14ac:dyDescent="0.25">
      <c r="H4720" t="s">
        <v>3047</v>
      </c>
    </row>
    <row r="4721" spans="8:8" x14ac:dyDescent="0.25">
      <c r="H4721" t="s">
        <v>145</v>
      </c>
    </row>
    <row r="4722" spans="8:8" x14ac:dyDescent="0.25">
      <c r="H4722" t="s">
        <v>5358</v>
      </c>
    </row>
    <row r="4723" spans="8:8" x14ac:dyDescent="0.25">
      <c r="H4723" t="s">
        <v>31</v>
      </c>
    </row>
    <row r="4724" spans="8:8" x14ac:dyDescent="0.25">
      <c r="H4724" t="s">
        <v>146</v>
      </c>
    </row>
    <row r="4725" spans="8:8" x14ac:dyDescent="0.25">
      <c r="H4725" t="s">
        <v>5359</v>
      </c>
    </row>
    <row r="4726" spans="8:8" x14ac:dyDescent="0.25">
      <c r="H4726" t="s">
        <v>31</v>
      </c>
    </row>
    <row r="4727" spans="8:8" x14ac:dyDescent="0.25">
      <c r="H4727" t="s">
        <v>147</v>
      </c>
    </row>
    <row r="4728" spans="8:8" x14ac:dyDescent="0.25">
      <c r="H4728" t="s">
        <v>5360</v>
      </c>
    </row>
    <row r="4729" spans="8:8" x14ac:dyDescent="0.25">
      <c r="H4729" t="s">
        <v>31</v>
      </c>
    </row>
    <row r="4730" spans="8:8" x14ac:dyDescent="0.25">
      <c r="H4730" t="s">
        <v>148</v>
      </c>
    </row>
    <row r="4731" spans="8:8" x14ac:dyDescent="0.25">
      <c r="H4731" t="s">
        <v>5361</v>
      </c>
    </row>
    <row r="4732" spans="8:8" x14ac:dyDescent="0.25">
      <c r="H4732" t="s">
        <v>31</v>
      </c>
    </row>
    <row r="4734" spans="8:8" x14ac:dyDescent="0.25">
      <c r="H4734" t="s">
        <v>3049</v>
      </c>
    </row>
    <row r="4735" spans="8:8" x14ac:dyDescent="0.25">
      <c r="H4735" t="s">
        <v>145</v>
      </c>
    </row>
    <row r="4736" spans="8:8" x14ac:dyDescent="0.25">
      <c r="H4736" t="s">
        <v>5362</v>
      </c>
    </row>
    <row r="4737" spans="8:8" x14ac:dyDescent="0.25">
      <c r="H4737" t="s">
        <v>31</v>
      </c>
    </row>
    <row r="4739" spans="8:8" x14ac:dyDescent="0.25">
      <c r="H4739" t="s">
        <v>3051</v>
      </c>
    </row>
    <row r="4740" spans="8:8" x14ac:dyDescent="0.25">
      <c r="H4740" t="s">
        <v>145</v>
      </c>
    </row>
    <row r="4741" spans="8:8" x14ac:dyDescent="0.25">
      <c r="H4741" t="s">
        <v>5363</v>
      </c>
    </row>
    <row r="4742" spans="8:8" x14ac:dyDescent="0.25">
      <c r="H4742" t="s">
        <v>31</v>
      </c>
    </row>
    <row r="4743" spans="8:8" x14ac:dyDescent="0.25">
      <c r="H4743" t="s">
        <v>146</v>
      </c>
    </row>
    <row r="4744" spans="8:8" x14ac:dyDescent="0.25">
      <c r="H4744" t="s">
        <v>5364</v>
      </c>
    </row>
    <row r="4745" spans="8:8" x14ac:dyDescent="0.25">
      <c r="H4745" t="s">
        <v>31</v>
      </c>
    </row>
    <row r="4746" spans="8:8" x14ac:dyDescent="0.25">
      <c r="H4746" t="s">
        <v>147</v>
      </c>
    </row>
    <row r="4747" spans="8:8" x14ac:dyDescent="0.25">
      <c r="H4747" t="s">
        <v>5365</v>
      </c>
    </row>
    <row r="4748" spans="8:8" x14ac:dyDescent="0.25">
      <c r="H4748" t="s">
        <v>31</v>
      </c>
    </row>
    <row r="4749" spans="8:8" x14ac:dyDescent="0.25">
      <c r="H4749" t="s">
        <v>148</v>
      </c>
    </row>
    <row r="4750" spans="8:8" x14ac:dyDescent="0.25">
      <c r="H4750" t="s">
        <v>5366</v>
      </c>
    </row>
    <row r="4751" spans="8:8" x14ac:dyDescent="0.25">
      <c r="H4751" t="s">
        <v>31</v>
      </c>
    </row>
    <row r="4753" spans="8:8" x14ac:dyDescent="0.25">
      <c r="H4753" t="s">
        <v>3055</v>
      </c>
    </row>
    <row r="4754" spans="8:8" x14ac:dyDescent="0.25">
      <c r="H4754" t="s">
        <v>145</v>
      </c>
    </row>
    <row r="4755" spans="8:8" x14ac:dyDescent="0.25">
      <c r="H4755" t="s">
        <v>5367</v>
      </c>
    </row>
    <row r="4756" spans="8:8" x14ac:dyDescent="0.25">
      <c r="H4756" t="s">
        <v>31</v>
      </c>
    </row>
    <row r="4757" spans="8:8" x14ac:dyDescent="0.25">
      <c r="H4757" t="s">
        <v>146</v>
      </c>
    </row>
    <row r="4758" spans="8:8" x14ac:dyDescent="0.25">
      <c r="H4758" t="s">
        <v>5368</v>
      </c>
    </row>
    <row r="4759" spans="8:8" x14ac:dyDescent="0.25">
      <c r="H4759" t="s">
        <v>31</v>
      </c>
    </row>
    <row r="4760" spans="8:8" x14ac:dyDescent="0.25">
      <c r="H4760" t="s">
        <v>3721</v>
      </c>
    </row>
    <row r="4761" spans="8:8" x14ac:dyDescent="0.25">
      <c r="H4761" t="s">
        <v>147</v>
      </c>
    </row>
    <row r="4762" spans="8:8" x14ac:dyDescent="0.25">
      <c r="H4762" t="s">
        <v>5369</v>
      </c>
    </row>
    <row r="4763" spans="8:8" x14ac:dyDescent="0.25">
      <c r="H4763" t="s">
        <v>31</v>
      </c>
    </row>
    <row r="4765" spans="8:8" x14ac:dyDescent="0.25">
      <c r="H4765" t="s">
        <v>3060</v>
      </c>
    </row>
    <row r="4766" spans="8:8" x14ac:dyDescent="0.25">
      <c r="H4766" t="s">
        <v>145</v>
      </c>
    </row>
    <row r="4767" spans="8:8" x14ac:dyDescent="0.25">
      <c r="H4767" t="s">
        <v>5370</v>
      </c>
    </row>
    <row r="4768" spans="8:8" x14ac:dyDescent="0.25">
      <c r="H4768" t="s">
        <v>31</v>
      </c>
    </row>
    <row r="4770" spans="8:8" x14ac:dyDescent="0.25">
      <c r="H4770" t="s">
        <v>3064</v>
      </c>
    </row>
    <row r="4771" spans="8:8" x14ac:dyDescent="0.25">
      <c r="H4771" t="s">
        <v>145</v>
      </c>
    </row>
    <row r="4772" spans="8:8" x14ac:dyDescent="0.25">
      <c r="H4772" t="s">
        <v>5371</v>
      </c>
    </row>
    <row r="4773" spans="8:8" x14ac:dyDescent="0.25">
      <c r="H4773" t="s">
        <v>31</v>
      </c>
    </row>
    <row r="4775" spans="8:8" x14ac:dyDescent="0.25">
      <c r="H4775" t="s">
        <v>3066</v>
      </c>
    </row>
    <row r="4776" spans="8:8" x14ac:dyDescent="0.25">
      <c r="H4776" t="s">
        <v>145</v>
      </c>
    </row>
    <row r="4777" spans="8:8" x14ac:dyDescent="0.25">
      <c r="H4777" t="s">
        <v>5372</v>
      </c>
    </row>
    <row r="4778" spans="8:8" x14ac:dyDescent="0.25">
      <c r="H4778" t="s">
        <v>31</v>
      </c>
    </row>
    <row r="4780" spans="8:8" x14ac:dyDescent="0.25">
      <c r="H4780" t="s">
        <v>3068</v>
      </c>
    </row>
    <row r="4781" spans="8:8" x14ac:dyDescent="0.25">
      <c r="H4781" t="s">
        <v>145</v>
      </c>
    </row>
    <row r="4782" spans="8:8" x14ac:dyDescent="0.25">
      <c r="H4782" t="s">
        <v>5373</v>
      </c>
    </row>
    <row r="4783" spans="8:8" x14ac:dyDescent="0.25">
      <c r="H4783" t="s">
        <v>31</v>
      </c>
    </row>
    <row r="4785" spans="8:8" x14ac:dyDescent="0.25">
      <c r="H4785" t="s">
        <v>3071</v>
      </c>
    </row>
    <row r="4786" spans="8:8" x14ac:dyDescent="0.25">
      <c r="H4786" t="s">
        <v>145</v>
      </c>
    </row>
    <row r="4787" spans="8:8" x14ac:dyDescent="0.25">
      <c r="H4787" t="s">
        <v>5374</v>
      </c>
    </row>
    <row r="4788" spans="8:8" x14ac:dyDescent="0.25">
      <c r="H4788" t="s">
        <v>31</v>
      </c>
    </row>
    <row r="4790" spans="8:8" x14ac:dyDescent="0.25">
      <c r="H4790" t="s">
        <v>3073</v>
      </c>
    </row>
    <row r="4791" spans="8:8" x14ac:dyDescent="0.25">
      <c r="H4791" t="s">
        <v>145</v>
      </c>
    </row>
    <row r="4792" spans="8:8" x14ac:dyDescent="0.25">
      <c r="H4792" t="s">
        <v>5375</v>
      </c>
    </row>
    <row r="4793" spans="8:8" x14ac:dyDescent="0.25">
      <c r="H4793" t="s">
        <v>31</v>
      </c>
    </row>
    <row r="4795" spans="8:8" x14ac:dyDescent="0.25">
      <c r="H4795" t="s">
        <v>3075</v>
      </c>
    </row>
    <row r="4796" spans="8:8" x14ac:dyDescent="0.25">
      <c r="H4796" t="s">
        <v>145</v>
      </c>
    </row>
    <row r="4797" spans="8:8" x14ac:dyDescent="0.25">
      <c r="H4797" t="s">
        <v>5376</v>
      </c>
    </row>
    <row r="4798" spans="8:8" x14ac:dyDescent="0.25">
      <c r="H4798" t="s">
        <v>31</v>
      </c>
    </row>
    <row r="4800" spans="8:8" x14ac:dyDescent="0.25">
      <c r="H4800" t="s">
        <v>3078</v>
      </c>
    </row>
    <row r="4801" spans="8:8" x14ac:dyDescent="0.25">
      <c r="H4801" t="s">
        <v>145</v>
      </c>
    </row>
    <row r="4802" spans="8:8" x14ac:dyDescent="0.25">
      <c r="H4802" t="s">
        <v>5377</v>
      </c>
    </row>
    <row r="4803" spans="8:8" x14ac:dyDescent="0.25">
      <c r="H4803" t="s">
        <v>31</v>
      </c>
    </row>
    <row r="4805" spans="8:8" x14ac:dyDescent="0.25">
      <c r="H4805" t="s">
        <v>3080</v>
      </c>
    </row>
    <row r="4806" spans="8:8" x14ac:dyDescent="0.25">
      <c r="H4806" t="s">
        <v>145</v>
      </c>
    </row>
    <row r="4807" spans="8:8" x14ac:dyDescent="0.25">
      <c r="H4807" t="s">
        <v>5378</v>
      </c>
    </row>
    <row r="4808" spans="8:8" x14ac:dyDescent="0.25">
      <c r="H4808" t="s">
        <v>31</v>
      </c>
    </row>
    <row r="4810" spans="8:8" x14ac:dyDescent="0.25">
      <c r="H4810" t="s">
        <v>3082</v>
      </c>
    </row>
    <row r="4811" spans="8:8" x14ac:dyDescent="0.25">
      <c r="H4811" t="s">
        <v>145</v>
      </c>
    </row>
    <row r="4812" spans="8:8" x14ac:dyDescent="0.25">
      <c r="H4812" t="s">
        <v>5379</v>
      </c>
    </row>
    <row r="4813" spans="8:8" x14ac:dyDescent="0.25">
      <c r="H4813" t="s">
        <v>31</v>
      </c>
    </row>
    <row r="4815" spans="8:8" x14ac:dyDescent="0.25">
      <c r="H4815" t="s">
        <v>3085</v>
      </c>
    </row>
    <row r="4816" spans="8:8" x14ac:dyDescent="0.25">
      <c r="H4816" t="s">
        <v>145</v>
      </c>
    </row>
    <row r="4817" spans="8:8" x14ac:dyDescent="0.25">
      <c r="H4817" t="s">
        <v>5380</v>
      </c>
    </row>
    <row r="4818" spans="8:8" x14ac:dyDescent="0.25">
      <c r="H4818" t="s">
        <v>31</v>
      </c>
    </row>
    <row r="4820" spans="8:8" x14ac:dyDescent="0.25">
      <c r="H4820" t="s">
        <v>3087</v>
      </c>
    </row>
    <row r="4821" spans="8:8" x14ac:dyDescent="0.25">
      <c r="H4821" t="s">
        <v>145</v>
      </c>
    </row>
    <row r="4822" spans="8:8" x14ac:dyDescent="0.25">
      <c r="H4822" t="s">
        <v>5381</v>
      </c>
    </row>
    <row r="4823" spans="8:8" x14ac:dyDescent="0.25">
      <c r="H4823" t="s">
        <v>31</v>
      </c>
    </row>
    <row r="4825" spans="8:8" x14ac:dyDescent="0.25">
      <c r="H4825" t="s">
        <v>3089</v>
      </c>
    </row>
    <row r="4826" spans="8:8" x14ac:dyDescent="0.25">
      <c r="H4826" t="s">
        <v>145</v>
      </c>
    </row>
    <row r="4827" spans="8:8" x14ac:dyDescent="0.25">
      <c r="H4827" t="s">
        <v>5382</v>
      </c>
    </row>
    <row r="4828" spans="8:8" x14ac:dyDescent="0.25">
      <c r="H4828" t="s">
        <v>31</v>
      </c>
    </row>
    <row r="4830" spans="8:8" x14ac:dyDescent="0.25">
      <c r="H4830" t="s">
        <v>3094</v>
      </c>
    </row>
    <row r="4831" spans="8:8" x14ac:dyDescent="0.25">
      <c r="H4831" t="s">
        <v>145</v>
      </c>
    </row>
    <row r="4832" spans="8:8" x14ac:dyDescent="0.25">
      <c r="H4832" t="s">
        <v>5383</v>
      </c>
    </row>
    <row r="4833" spans="8:8" x14ac:dyDescent="0.25">
      <c r="H4833" t="s">
        <v>31</v>
      </c>
    </row>
    <row r="4835" spans="8:8" x14ac:dyDescent="0.25">
      <c r="H4835" t="s">
        <v>3096</v>
      </c>
    </row>
    <row r="4836" spans="8:8" x14ac:dyDescent="0.25">
      <c r="H4836" t="s">
        <v>145</v>
      </c>
    </row>
    <row r="4837" spans="8:8" x14ac:dyDescent="0.25">
      <c r="H4837" t="s">
        <v>5384</v>
      </c>
    </row>
    <row r="4838" spans="8:8" x14ac:dyDescent="0.25">
      <c r="H4838" t="s">
        <v>31</v>
      </c>
    </row>
    <row r="4839" spans="8:8" x14ac:dyDescent="0.25">
      <c r="H4839" t="s">
        <v>146</v>
      </c>
    </row>
    <row r="4840" spans="8:8" x14ac:dyDescent="0.25">
      <c r="H4840" t="s">
        <v>5385</v>
      </c>
    </row>
    <row r="4841" spans="8:8" x14ac:dyDescent="0.25">
      <c r="H4841" t="s">
        <v>31</v>
      </c>
    </row>
    <row r="4843" spans="8:8" x14ac:dyDescent="0.25">
      <c r="H4843" t="s">
        <v>3101</v>
      </c>
    </row>
    <row r="4844" spans="8:8" x14ac:dyDescent="0.25">
      <c r="H4844" t="s">
        <v>145</v>
      </c>
    </row>
    <row r="4845" spans="8:8" x14ac:dyDescent="0.25">
      <c r="H4845" t="s">
        <v>5386</v>
      </c>
    </row>
    <row r="4846" spans="8:8" x14ac:dyDescent="0.25">
      <c r="H4846" t="s">
        <v>31</v>
      </c>
    </row>
    <row r="4847" spans="8:8" x14ac:dyDescent="0.25">
      <c r="H4847" t="s">
        <v>146</v>
      </c>
    </row>
    <row r="4848" spans="8:8" x14ac:dyDescent="0.25">
      <c r="H4848" t="s">
        <v>5387</v>
      </c>
    </row>
    <row r="4849" spans="8:8" x14ac:dyDescent="0.25">
      <c r="H4849" t="s">
        <v>31</v>
      </c>
    </row>
    <row r="4850" spans="8:8" x14ac:dyDescent="0.25">
      <c r="H4850" t="s">
        <v>147</v>
      </c>
    </row>
    <row r="4851" spans="8:8" x14ac:dyDescent="0.25">
      <c r="H4851" t="s">
        <v>5388</v>
      </c>
    </row>
    <row r="4852" spans="8:8" x14ac:dyDescent="0.25">
      <c r="H4852" t="s">
        <v>31</v>
      </c>
    </row>
    <row r="4853" spans="8:8" x14ac:dyDescent="0.25">
      <c r="H4853" t="s">
        <v>148</v>
      </c>
    </row>
    <row r="4854" spans="8:8" x14ac:dyDescent="0.25">
      <c r="H4854" t="s">
        <v>5389</v>
      </c>
    </row>
    <row r="4855" spans="8:8" x14ac:dyDescent="0.25">
      <c r="H4855" t="s">
        <v>31</v>
      </c>
    </row>
    <row r="4857" spans="8:8" x14ac:dyDescent="0.25">
      <c r="H4857" t="s">
        <v>3106</v>
      </c>
    </row>
    <row r="4858" spans="8:8" x14ac:dyDescent="0.25">
      <c r="H4858" t="s">
        <v>145</v>
      </c>
    </row>
    <row r="4859" spans="8:8" x14ac:dyDescent="0.25">
      <c r="H4859" t="s">
        <v>5390</v>
      </c>
    </row>
    <row r="4860" spans="8:8" x14ac:dyDescent="0.25">
      <c r="H4860" t="s">
        <v>31</v>
      </c>
    </row>
    <row r="4861" spans="8:8" x14ac:dyDescent="0.25">
      <c r="H4861" t="s">
        <v>146</v>
      </c>
    </row>
    <row r="4862" spans="8:8" x14ac:dyDescent="0.25">
      <c r="H4862" t="s">
        <v>5391</v>
      </c>
    </row>
    <row r="4863" spans="8:8" x14ac:dyDescent="0.25">
      <c r="H4863" t="s">
        <v>31</v>
      </c>
    </row>
    <row r="4864" spans="8:8" x14ac:dyDescent="0.25">
      <c r="H4864" t="s">
        <v>147</v>
      </c>
    </row>
    <row r="4865" spans="8:8" x14ac:dyDescent="0.25">
      <c r="H4865" t="s">
        <v>5392</v>
      </c>
    </row>
    <row r="4866" spans="8:8" x14ac:dyDescent="0.25">
      <c r="H4866" t="s">
        <v>31</v>
      </c>
    </row>
    <row r="4867" spans="8:8" x14ac:dyDescent="0.25">
      <c r="H4867" t="s">
        <v>148</v>
      </c>
    </row>
    <row r="4868" spans="8:8" x14ac:dyDescent="0.25">
      <c r="H4868" t="s">
        <v>5393</v>
      </c>
    </row>
    <row r="4869" spans="8:8" x14ac:dyDescent="0.25">
      <c r="H4869" t="s">
        <v>31</v>
      </c>
    </row>
    <row r="4871" spans="8:8" x14ac:dyDescent="0.25">
      <c r="H4871" t="s">
        <v>3108</v>
      </c>
    </row>
    <row r="4872" spans="8:8" x14ac:dyDescent="0.25">
      <c r="H4872" t="s">
        <v>145</v>
      </c>
    </row>
    <row r="4873" spans="8:8" x14ac:dyDescent="0.25">
      <c r="H4873" t="s">
        <v>5394</v>
      </c>
    </row>
    <row r="4874" spans="8:8" x14ac:dyDescent="0.25">
      <c r="H4874" t="s">
        <v>31</v>
      </c>
    </row>
    <row r="4875" spans="8:8" x14ac:dyDescent="0.25">
      <c r="H4875" t="s">
        <v>146</v>
      </c>
    </row>
    <row r="4876" spans="8:8" x14ac:dyDescent="0.25">
      <c r="H4876" t="s">
        <v>5395</v>
      </c>
    </row>
    <row r="4877" spans="8:8" x14ac:dyDescent="0.25">
      <c r="H4877" t="s">
        <v>31</v>
      </c>
    </row>
    <row r="4878" spans="8:8" x14ac:dyDescent="0.25">
      <c r="H4878" t="s">
        <v>147</v>
      </c>
    </row>
    <row r="4879" spans="8:8" x14ac:dyDescent="0.25">
      <c r="H4879" t="s">
        <v>5396</v>
      </c>
    </row>
    <row r="4880" spans="8:8" x14ac:dyDescent="0.25">
      <c r="H4880" t="s">
        <v>31</v>
      </c>
    </row>
    <row r="4881" spans="8:8" x14ac:dyDescent="0.25">
      <c r="H4881" t="s">
        <v>148</v>
      </c>
    </row>
    <row r="4882" spans="8:8" x14ac:dyDescent="0.25">
      <c r="H4882" t="s">
        <v>5397</v>
      </c>
    </row>
    <row r="4883" spans="8:8" x14ac:dyDescent="0.25">
      <c r="H4883" t="s">
        <v>31</v>
      </c>
    </row>
    <row r="4885" spans="8:8" x14ac:dyDescent="0.25">
      <c r="H4885" t="s">
        <v>3110</v>
      </c>
    </row>
    <row r="4886" spans="8:8" x14ac:dyDescent="0.25">
      <c r="H4886" t="s">
        <v>145</v>
      </c>
    </row>
    <row r="4887" spans="8:8" x14ac:dyDescent="0.25">
      <c r="H4887" t="s">
        <v>5398</v>
      </c>
    </row>
    <row r="4888" spans="8:8" x14ac:dyDescent="0.25">
      <c r="H4888" t="s">
        <v>31</v>
      </c>
    </row>
    <row r="4889" spans="8:8" x14ac:dyDescent="0.25">
      <c r="H4889" t="s">
        <v>146</v>
      </c>
    </row>
    <row r="4890" spans="8:8" x14ac:dyDescent="0.25">
      <c r="H4890" t="s">
        <v>5399</v>
      </c>
    </row>
    <row r="4891" spans="8:8" x14ac:dyDescent="0.25">
      <c r="H4891" t="s">
        <v>31</v>
      </c>
    </row>
    <row r="4892" spans="8:8" x14ac:dyDescent="0.25">
      <c r="H4892" t="s">
        <v>147</v>
      </c>
    </row>
    <row r="4893" spans="8:8" x14ac:dyDescent="0.25">
      <c r="H4893" t="s">
        <v>5400</v>
      </c>
    </row>
    <row r="4894" spans="8:8" x14ac:dyDescent="0.25">
      <c r="H4894" t="s">
        <v>31</v>
      </c>
    </row>
    <row r="4895" spans="8:8" x14ac:dyDescent="0.25">
      <c r="H4895" t="s">
        <v>148</v>
      </c>
    </row>
    <row r="4896" spans="8:8" x14ac:dyDescent="0.25">
      <c r="H4896" t="s">
        <v>5401</v>
      </c>
    </row>
    <row r="4897" spans="8:8" x14ac:dyDescent="0.25">
      <c r="H4897" t="s">
        <v>31</v>
      </c>
    </row>
    <row r="4899" spans="8:8" x14ac:dyDescent="0.25">
      <c r="H4899" t="s">
        <v>3112</v>
      </c>
    </row>
    <row r="4900" spans="8:8" x14ac:dyDescent="0.25">
      <c r="H4900" t="s">
        <v>145</v>
      </c>
    </row>
    <row r="4901" spans="8:8" x14ac:dyDescent="0.25">
      <c r="H4901" t="s">
        <v>5402</v>
      </c>
    </row>
    <row r="4902" spans="8:8" x14ac:dyDescent="0.25">
      <c r="H4902" t="s">
        <v>31</v>
      </c>
    </row>
    <row r="4903" spans="8:8" x14ac:dyDescent="0.25">
      <c r="H4903" t="s">
        <v>146</v>
      </c>
    </row>
    <row r="4904" spans="8:8" x14ac:dyDescent="0.25">
      <c r="H4904" t="s">
        <v>5403</v>
      </c>
    </row>
    <row r="4905" spans="8:8" x14ac:dyDescent="0.25">
      <c r="H4905" t="s">
        <v>31</v>
      </c>
    </row>
    <row r="4906" spans="8:8" x14ac:dyDescent="0.25">
      <c r="H4906" t="s">
        <v>147</v>
      </c>
    </row>
    <row r="4907" spans="8:8" x14ac:dyDescent="0.25">
      <c r="H4907" t="s">
        <v>5404</v>
      </c>
    </row>
    <row r="4908" spans="8:8" x14ac:dyDescent="0.25">
      <c r="H4908" t="s">
        <v>31</v>
      </c>
    </row>
    <row r="4909" spans="8:8" x14ac:dyDescent="0.25">
      <c r="H4909" t="s">
        <v>148</v>
      </c>
    </row>
    <row r="4910" spans="8:8" x14ac:dyDescent="0.25">
      <c r="H4910" t="s">
        <v>5405</v>
      </c>
    </row>
    <row r="4911" spans="8:8" x14ac:dyDescent="0.25">
      <c r="H4911" t="s">
        <v>31</v>
      </c>
    </row>
    <row r="4913" spans="8:8" x14ac:dyDescent="0.25">
      <c r="H4913" t="s">
        <v>3114</v>
      </c>
    </row>
    <row r="4914" spans="8:8" x14ac:dyDescent="0.25">
      <c r="H4914" t="s">
        <v>145</v>
      </c>
    </row>
    <row r="4915" spans="8:8" x14ac:dyDescent="0.25">
      <c r="H4915" t="s">
        <v>5406</v>
      </c>
    </row>
    <row r="4916" spans="8:8" x14ac:dyDescent="0.25">
      <c r="H4916" t="s">
        <v>31</v>
      </c>
    </row>
    <row r="4917" spans="8:8" x14ac:dyDescent="0.25">
      <c r="H4917" t="s">
        <v>146</v>
      </c>
    </row>
    <row r="4918" spans="8:8" x14ac:dyDescent="0.25">
      <c r="H4918" t="s">
        <v>5407</v>
      </c>
    </row>
    <row r="4919" spans="8:8" x14ac:dyDescent="0.25">
      <c r="H4919" t="s">
        <v>31</v>
      </c>
    </row>
    <row r="4920" spans="8:8" x14ac:dyDescent="0.25">
      <c r="H4920" t="s">
        <v>147</v>
      </c>
    </row>
    <row r="4921" spans="8:8" x14ac:dyDescent="0.25">
      <c r="H4921" t="s">
        <v>5408</v>
      </c>
    </row>
    <row r="4922" spans="8:8" x14ac:dyDescent="0.25">
      <c r="H4922" t="s">
        <v>31</v>
      </c>
    </row>
    <row r="4923" spans="8:8" x14ac:dyDescent="0.25">
      <c r="H4923" t="s">
        <v>148</v>
      </c>
    </row>
    <row r="4924" spans="8:8" x14ac:dyDescent="0.25">
      <c r="H4924" t="s">
        <v>5409</v>
      </c>
    </row>
    <row r="4925" spans="8:8" x14ac:dyDescent="0.25">
      <c r="H4925" t="s">
        <v>31</v>
      </c>
    </row>
    <row r="4927" spans="8:8" x14ac:dyDescent="0.25">
      <c r="H4927" t="s">
        <v>3116</v>
      </c>
    </row>
    <row r="4928" spans="8:8" x14ac:dyDescent="0.25">
      <c r="H4928" t="s">
        <v>145</v>
      </c>
    </row>
    <row r="4929" spans="8:8" x14ac:dyDescent="0.25">
      <c r="H4929" t="s">
        <v>5410</v>
      </c>
    </row>
    <row r="4930" spans="8:8" x14ac:dyDescent="0.25">
      <c r="H4930" t="s">
        <v>31</v>
      </c>
    </row>
    <row r="4931" spans="8:8" x14ac:dyDescent="0.25">
      <c r="H4931" t="s">
        <v>146</v>
      </c>
    </row>
    <row r="4932" spans="8:8" x14ac:dyDescent="0.25">
      <c r="H4932" t="s">
        <v>5411</v>
      </c>
    </row>
    <row r="4933" spans="8:8" x14ac:dyDescent="0.25">
      <c r="H4933" t="s">
        <v>31</v>
      </c>
    </row>
    <row r="4934" spans="8:8" x14ac:dyDescent="0.25">
      <c r="H4934" t="s">
        <v>147</v>
      </c>
    </row>
    <row r="4935" spans="8:8" x14ac:dyDescent="0.25">
      <c r="H4935" t="s">
        <v>5412</v>
      </c>
    </row>
    <row r="4936" spans="8:8" x14ac:dyDescent="0.25">
      <c r="H4936" t="s">
        <v>31</v>
      </c>
    </row>
    <row r="4937" spans="8:8" x14ac:dyDescent="0.25">
      <c r="H4937" t="s">
        <v>148</v>
      </c>
    </row>
    <row r="4938" spans="8:8" x14ac:dyDescent="0.25">
      <c r="H4938" t="s">
        <v>5413</v>
      </c>
    </row>
    <row r="4939" spans="8:8" x14ac:dyDescent="0.25">
      <c r="H4939" t="s">
        <v>31</v>
      </c>
    </row>
    <row r="4941" spans="8:8" x14ac:dyDescent="0.25">
      <c r="H4941" t="s">
        <v>3118</v>
      </c>
    </row>
    <row r="4942" spans="8:8" x14ac:dyDescent="0.25">
      <c r="H4942" t="s">
        <v>145</v>
      </c>
    </row>
    <row r="4943" spans="8:8" x14ac:dyDescent="0.25">
      <c r="H4943" t="s">
        <v>5414</v>
      </c>
    </row>
    <row r="4944" spans="8:8" x14ac:dyDescent="0.25">
      <c r="H4944" t="s">
        <v>31</v>
      </c>
    </row>
    <row r="4945" spans="8:8" x14ac:dyDescent="0.25">
      <c r="H4945" t="s">
        <v>146</v>
      </c>
    </row>
    <row r="4946" spans="8:8" x14ac:dyDescent="0.25">
      <c r="H4946" t="s">
        <v>5415</v>
      </c>
    </row>
    <row r="4947" spans="8:8" x14ac:dyDescent="0.25">
      <c r="H4947" t="s">
        <v>31</v>
      </c>
    </row>
    <row r="4948" spans="8:8" x14ac:dyDescent="0.25">
      <c r="H4948" t="s">
        <v>147</v>
      </c>
    </row>
    <row r="4949" spans="8:8" x14ac:dyDescent="0.25">
      <c r="H4949" t="s">
        <v>5416</v>
      </c>
    </row>
    <row r="4950" spans="8:8" x14ac:dyDescent="0.25">
      <c r="H4950" t="s">
        <v>31</v>
      </c>
    </row>
    <row r="4951" spans="8:8" x14ac:dyDescent="0.25">
      <c r="H4951" t="s">
        <v>148</v>
      </c>
    </row>
    <row r="4952" spans="8:8" x14ac:dyDescent="0.25">
      <c r="H4952" t="s">
        <v>5417</v>
      </c>
    </row>
    <row r="4953" spans="8:8" x14ac:dyDescent="0.25">
      <c r="H4953" t="s">
        <v>31</v>
      </c>
    </row>
    <row r="4955" spans="8:8" x14ac:dyDescent="0.25">
      <c r="H4955" t="s">
        <v>3120</v>
      </c>
    </row>
    <row r="4956" spans="8:8" x14ac:dyDescent="0.25">
      <c r="H4956" t="s">
        <v>145</v>
      </c>
    </row>
    <row r="4957" spans="8:8" x14ac:dyDescent="0.25">
      <c r="H4957" t="s">
        <v>5418</v>
      </c>
    </row>
    <row r="4958" spans="8:8" x14ac:dyDescent="0.25">
      <c r="H4958" t="s">
        <v>31</v>
      </c>
    </row>
    <row r="4959" spans="8:8" x14ac:dyDescent="0.25">
      <c r="H4959" t="s">
        <v>146</v>
      </c>
    </row>
    <row r="4960" spans="8:8" x14ac:dyDescent="0.25">
      <c r="H4960" t="s">
        <v>5419</v>
      </c>
    </row>
    <row r="4961" spans="8:8" x14ac:dyDescent="0.25">
      <c r="H4961" t="s">
        <v>31</v>
      </c>
    </row>
    <row r="4962" spans="8:8" x14ac:dyDescent="0.25">
      <c r="H4962" t="s">
        <v>147</v>
      </c>
    </row>
    <row r="4963" spans="8:8" x14ac:dyDescent="0.25">
      <c r="H4963" t="s">
        <v>5420</v>
      </c>
    </row>
    <row r="4964" spans="8:8" x14ac:dyDescent="0.25">
      <c r="H4964" t="s">
        <v>31</v>
      </c>
    </row>
    <row r="4965" spans="8:8" x14ac:dyDescent="0.25">
      <c r="H4965" t="s">
        <v>148</v>
      </c>
    </row>
    <row r="4966" spans="8:8" x14ac:dyDescent="0.25">
      <c r="H4966" t="s">
        <v>5421</v>
      </c>
    </row>
    <row r="4967" spans="8:8" x14ac:dyDescent="0.25">
      <c r="H4967" t="s">
        <v>31</v>
      </c>
    </row>
    <row r="4969" spans="8:8" x14ac:dyDescent="0.25">
      <c r="H4969" t="s">
        <v>3122</v>
      </c>
    </row>
    <row r="4970" spans="8:8" x14ac:dyDescent="0.25">
      <c r="H4970" t="s">
        <v>145</v>
      </c>
    </row>
    <row r="4971" spans="8:8" x14ac:dyDescent="0.25">
      <c r="H4971" t="s">
        <v>5422</v>
      </c>
    </row>
    <row r="4972" spans="8:8" x14ac:dyDescent="0.25">
      <c r="H4972" t="s">
        <v>31</v>
      </c>
    </row>
    <row r="4973" spans="8:8" x14ac:dyDescent="0.25">
      <c r="H4973" t="s">
        <v>146</v>
      </c>
    </row>
    <row r="4974" spans="8:8" x14ac:dyDescent="0.25">
      <c r="H4974" t="s">
        <v>5423</v>
      </c>
    </row>
    <row r="4975" spans="8:8" x14ac:dyDescent="0.25">
      <c r="H4975" t="s">
        <v>31</v>
      </c>
    </row>
    <row r="4976" spans="8:8" x14ac:dyDescent="0.25">
      <c r="H4976" t="s">
        <v>147</v>
      </c>
    </row>
    <row r="4977" spans="8:8" x14ac:dyDescent="0.25">
      <c r="H4977" t="s">
        <v>5424</v>
      </c>
    </row>
    <row r="4978" spans="8:8" x14ac:dyDescent="0.25">
      <c r="H4978" t="s">
        <v>31</v>
      </c>
    </row>
    <row r="4979" spans="8:8" x14ac:dyDescent="0.25">
      <c r="H4979" t="s">
        <v>148</v>
      </c>
    </row>
    <row r="4980" spans="8:8" x14ac:dyDescent="0.25">
      <c r="H4980" t="s">
        <v>5425</v>
      </c>
    </row>
    <row r="4981" spans="8:8" x14ac:dyDescent="0.25">
      <c r="H4981" t="s">
        <v>31</v>
      </c>
    </row>
    <row r="4983" spans="8:8" x14ac:dyDescent="0.25">
      <c r="H4983" t="s">
        <v>3124</v>
      </c>
    </row>
    <row r="4984" spans="8:8" x14ac:dyDescent="0.25">
      <c r="H4984" t="s">
        <v>145</v>
      </c>
    </row>
    <row r="4985" spans="8:8" x14ac:dyDescent="0.25">
      <c r="H4985" t="s">
        <v>5426</v>
      </c>
    </row>
    <row r="4986" spans="8:8" x14ac:dyDescent="0.25">
      <c r="H4986" t="s">
        <v>31</v>
      </c>
    </row>
    <row r="4987" spans="8:8" x14ac:dyDescent="0.25">
      <c r="H4987" t="s">
        <v>146</v>
      </c>
    </row>
    <row r="4988" spans="8:8" x14ac:dyDescent="0.25">
      <c r="H4988" t="s">
        <v>5427</v>
      </c>
    </row>
    <row r="4989" spans="8:8" x14ac:dyDescent="0.25">
      <c r="H4989" t="s">
        <v>31</v>
      </c>
    </row>
    <row r="4990" spans="8:8" x14ac:dyDescent="0.25">
      <c r="H4990" t="s">
        <v>147</v>
      </c>
    </row>
    <row r="4991" spans="8:8" x14ac:dyDescent="0.25">
      <c r="H4991" t="s">
        <v>5428</v>
      </c>
    </row>
    <row r="4992" spans="8:8" x14ac:dyDescent="0.25">
      <c r="H4992" t="s">
        <v>31</v>
      </c>
    </row>
    <row r="4993" spans="8:8" x14ac:dyDescent="0.25">
      <c r="H4993" t="s">
        <v>148</v>
      </c>
    </row>
    <row r="4994" spans="8:8" x14ac:dyDescent="0.25">
      <c r="H4994" t="s">
        <v>5429</v>
      </c>
    </row>
    <row r="4995" spans="8:8" x14ac:dyDescent="0.25">
      <c r="H4995" t="s">
        <v>31</v>
      </c>
    </row>
    <row r="4997" spans="8:8" x14ac:dyDescent="0.25">
      <c r="H4997" t="s">
        <v>3126</v>
      </c>
    </row>
    <row r="4998" spans="8:8" x14ac:dyDescent="0.25">
      <c r="H4998" t="s">
        <v>145</v>
      </c>
    </row>
    <row r="4999" spans="8:8" x14ac:dyDescent="0.25">
      <c r="H4999" t="s">
        <v>5430</v>
      </c>
    </row>
    <row r="5000" spans="8:8" x14ac:dyDescent="0.25">
      <c r="H5000" t="s">
        <v>31</v>
      </c>
    </row>
    <row r="5001" spans="8:8" x14ac:dyDescent="0.25">
      <c r="H5001" t="s">
        <v>146</v>
      </c>
    </row>
    <row r="5002" spans="8:8" x14ac:dyDescent="0.25">
      <c r="H5002" t="s">
        <v>5431</v>
      </c>
    </row>
    <row r="5003" spans="8:8" x14ac:dyDescent="0.25">
      <c r="H5003" t="s">
        <v>31</v>
      </c>
    </row>
    <row r="5004" spans="8:8" x14ac:dyDescent="0.25">
      <c r="H5004" t="s">
        <v>147</v>
      </c>
    </row>
    <row r="5005" spans="8:8" x14ac:dyDescent="0.25">
      <c r="H5005" t="s">
        <v>5432</v>
      </c>
    </row>
    <row r="5006" spans="8:8" x14ac:dyDescent="0.25">
      <c r="H5006" t="s">
        <v>31</v>
      </c>
    </row>
    <row r="5007" spans="8:8" x14ac:dyDescent="0.25">
      <c r="H5007" t="s">
        <v>148</v>
      </c>
    </row>
    <row r="5008" spans="8:8" x14ac:dyDescent="0.25">
      <c r="H5008" t="s">
        <v>5433</v>
      </c>
    </row>
    <row r="5009" spans="8:8" x14ac:dyDescent="0.25">
      <c r="H5009" t="s">
        <v>31</v>
      </c>
    </row>
    <row r="5011" spans="8:8" x14ac:dyDescent="0.25">
      <c r="H5011" t="s">
        <v>3128</v>
      </c>
    </row>
    <row r="5012" spans="8:8" x14ac:dyDescent="0.25">
      <c r="H5012" t="s">
        <v>145</v>
      </c>
    </row>
    <row r="5013" spans="8:8" x14ac:dyDescent="0.25">
      <c r="H5013" t="s">
        <v>5434</v>
      </c>
    </row>
    <row r="5014" spans="8:8" x14ac:dyDescent="0.25">
      <c r="H5014" t="s">
        <v>31</v>
      </c>
    </row>
    <row r="5015" spans="8:8" x14ac:dyDescent="0.25">
      <c r="H5015" t="s">
        <v>146</v>
      </c>
    </row>
    <row r="5016" spans="8:8" x14ac:dyDescent="0.25">
      <c r="H5016" t="s">
        <v>5435</v>
      </c>
    </row>
    <row r="5017" spans="8:8" x14ac:dyDescent="0.25">
      <c r="H5017" t="s">
        <v>31</v>
      </c>
    </row>
    <row r="5018" spans="8:8" x14ac:dyDescent="0.25">
      <c r="H5018" t="s">
        <v>147</v>
      </c>
    </row>
    <row r="5019" spans="8:8" x14ac:dyDescent="0.25">
      <c r="H5019" t="s">
        <v>5436</v>
      </c>
    </row>
    <row r="5020" spans="8:8" x14ac:dyDescent="0.25">
      <c r="H5020" t="s">
        <v>31</v>
      </c>
    </row>
    <row r="5021" spans="8:8" x14ac:dyDescent="0.25">
      <c r="H5021" t="s">
        <v>148</v>
      </c>
    </row>
    <row r="5022" spans="8:8" x14ac:dyDescent="0.25">
      <c r="H5022" t="s">
        <v>5437</v>
      </c>
    </row>
    <row r="5023" spans="8:8" x14ac:dyDescent="0.25">
      <c r="H5023" t="s">
        <v>31</v>
      </c>
    </row>
    <row r="5025" spans="8:8" x14ac:dyDescent="0.25">
      <c r="H5025" t="s">
        <v>3130</v>
      </c>
    </row>
    <row r="5026" spans="8:8" x14ac:dyDescent="0.25">
      <c r="H5026" t="s">
        <v>145</v>
      </c>
    </row>
    <row r="5027" spans="8:8" x14ac:dyDescent="0.25">
      <c r="H5027" t="s">
        <v>5438</v>
      </c>
    </row>
    <row r="5028" spans="8:8" x14ac:dyDescent="0.25">
      <c r="H5028" t="s">
        <v>31</v>
      </c>
    </row>
    <row r="5029" spans="8:8" x14ac:dyDescent="0.25">
      <c r="H5029" t="s">
        <v>146</v>
      </c>
    </row>
    <row r="5030" spans="8:8" x14ac:dyDescent="0.25">
      <c r="H5030" t="s">
        <v>5439</v>
      </c>
    </row>
    <row r="5031" spans="8:8" x14ac:dyDescent="0.25">
      <c r="H5031" t="s">
        <v>31</v>
      </c>
    </row>
    <row r="5032" spans="8:8" x14ac:dyDescent="0.25">
      <c r="H5032" t="s">
        <v>147</v>
      </c>
    </row>
    <row r="5033" spans="8:8" x14ac:dyDescent="0.25">
      <c r="H5033" t="s">
        <v>5440</v>
      </c>
    </row>
    <row r="5034" spans="8:8" x14ac:dyDescent="0.25">
      <c r="H5034" t="s">
        <v>31</v>
      </c>
    </row>
    <row r="5035" spans="8:8" x14ac:dyDescent="0.25">
      <c r="H5035" t="s">
        <v>148</v>
      </c>
    </row>
    <row r="5036" spans="8:8" x14ac:dyDescent="0.25">
      <c r="H5036" t="s">
        <v>5441</v>
      </c>
    </row>
    <row r="5037" spans="8:8" x14ac:dyDescent="0.25">
      <c r="H5037" t="s">
        <v>31</v>
      </c>
    </row>
    <row r="5039" spans="8:8" x14ac:dyDescent="0.25">
      <c r="H5039" t="s">
        <v>3132</v>
      </c>
    </row>
    <row r="5040" spans="8:8" x14ac:dyDescent="0.25">
      <c r="H5040" t="s">
        <v>145</v>
      </c>
    </row>
    <row r="5041" spans="8:8" x14ac:dyDescent="0.25">
      <c r="H5041" t="s">
        <v>5442</v>
      </c>
    </row>
    <row r="5042" spans="8:8" x14ac:dyDescent="0.25">
      <c r="H5042" t="s">
        <v>31</v>
      </c>
    </row>
    <row r="5043" spans="8:8" x14ac:dyDescent="0.25">
      <c r="H5043" t="s">
        <v>146</v>
      </c>
    </row>
    <row r="5044" spans="8:8" x14ac:dyDescent="0.25">
      <c r="H5044" t="s">
        <v>5443</v>
      </c>
    </row>
    <row r="5045" spans="8:8" x14ac:dyDescent="0.25">
      <c r="H5045" t="s">
        <v>31</v>
      </c>
    </row>
    <row r="5046" spans="8:8" x14ac:dyDescent="0.25">
      <c r="H5046" t="s">
        <v>147</v>
      </c>
    </row>
    <row r="5047" spans="8:8" x14ac:dyDescent="0.25">
      <c r="H5047" t="s">
        <v>5444</v>
      </c>
    </row>
    <row r="5048" spans="8:8" x14ac:dyDescent="0.25">
      <c r="H5048" t="s">
        <v>31</v>
      </c>
    </row>
    <row r="5049" spans="8:8" x14ac:dyDescent="0.25">
      <c r="H5049" t="s">
        <v>148</v>
      </c>
    </row>
    <row r="5050" spans="8:8" x14ac:dyDescent="0.25">
      <c r="H5050" t="s">
        <v>5445</v>
      </c>
    </row>
    <row r="5051" spans="8:8" x14ac:dyDescent="0.25">
      <c r="H5051" t="s">
        <v>31</v>
      </c>
    </row>
    <row r="5053" spans="8:8" x14ac:dyDescent="0.25">
      <c r="H5053" t="s">
        <v>3134</v>
      </c>
    </row>
    <row r="5054" spans="8:8" x14ac:dyDescent="0.25">
      <c r="H5054" t="s">
        <v>145</v>
      </c>
    </row>
    <row r="5055" spans="8:8" x14ac:dyDescent="0.25">
      <c r="H5055" t="s">
        <v>5446</v>
      </c>
    </row>
    <row r="5056" spans="8:8" x14ac:dyDescent="0.25">
      <c r="H5056" t="s">
        <v>31</v>
      </c>
    </row>
    <row r="5057" spans="8:8" x14ac:dyDescent="0.25">
      <c r="H5057" t="s">
        <v>146</v>
      </c>
    </row>
    <row r="5058" spans="8:8" x14ac:dyDescent="0.25">
      <c r="H5058" t="s">
        <v>5447</v>
      </c>
    </row>
    <row r="5059" spans="8:8" x14ac:dyDescent="0.25">
      <c r="H5059" t="s">
        <v>31</v>
      </c>
    </row>
    <row r="5060" spans="8:8" x14ac:dyDescent="0.25">
      <c r="H5060" t="s">
        <v>147</v>
      </c>
    </row>
    <row r="5061" spans="8:8" x14ac:dyDescent="0.25">
      <c r="H5061" t="s">
        <v>5448</v>
      </c>
    </row>
    <row r="5062" spans="8:8" x14ac:dyDescent="0.25">
      <c r="H5062" t="s">
        <v>31</v>
      </c>
    </row>
    <row r="5063" spans="8:8" x14ac:dyDescent="0.25">
      <c r="H5063" t="s">
        <v>148</v>
      </c>
    </row>
    <row r="5064" spans="8:8" x14ac:dyDescent="0.25">
      <c r="H5064" t="s">
        <v>5449</v>
      </c>
    </row>
    <row r="5065" spans="8:8" x14ac:dyDescent="0.25">
      <c r="H5065" t="s">
        <v>31</v>
      </c>
    </row>
    <row r="5067" spans="8:8" x14ac:dyDescent="0.25">
      <c r="H5067" t="s">
        <v>3137</v>
      </c>
    </row>
    <row r="5068" spans="8:8" x14ac:dyDescent="0.25">
      <c r="H5068" t="s">
        <v>145</v>
      </c>
    </row>
    <row r="5069" spans="8:8" x14ac:dyDescent="0.25">
      <c r="H5069" t="s">
        <v>5450</v>
      </c>
    </row>
    <row r="5070" spans="8:8" x14ac:dyDescent="0.25">
      <c r="H5070" t="s">
        <v>31</v>
      </c>
    </row>
    <row r="5071" spans="8:8" x14ac:dyDescent="0.25">
      <c r="H5071" t="s">
        <v>146</v>
      </c>
    </row>
    <row r="5072" spans="8:8" x14ac:dyDescent="0.25">
      <c r="H5072" t="s">
        <v>5451</v>
      </c>
    </row>
    <row r="5073" spans="8:8" x14ac:dyDescent="0.25">
      <c r="H5073" t="s">
        <v>31</v>
      </c>
    </row>
    <row r="5074" spans="8:8" x14ac:dyDescent="0.25">
      <c r="H5074" t="s">
        <v>147</v>
      </c>
    </row>
    <row r="5075" spans="8:8" x14ac:dyDescent="0.25">
      <c r="H5075" t="s">
        <v>5452</v>
      </c>
    </row>
    <row r="5076" spans="8:8" x14ac:dyDescent="0.25">
      <c r="H5076" t="s">
        <v>31</v>
      </c>
    </row>
    <row r="5077" spans="8:8" x14ac:dyDescent="0.25">
      <c r="H5077" t="s">
        <v>148</v>
      </c>
    </row>
    <row r="5078" spans="8:8" x14ac:dyDescent="0.25">
      <c r="H5078" t="s">
        <v>5453</v>
      </c>
    </row>
    <row r="5079" spans="8:8" x14ac:dyDescent="0.25">
      <c r="H5079" t="s">
        <v>31</v>
      </c>
    </row>
    <row r="5081" spans="8:8" x14ac:dyDescent="0.25">
      <c r="H5081" t="s">
        <v>3142</v>
      </c>
    </row>
    <row r="5082" spans="8:8" x14ac:dyDescent="0.25">
      <c r="H5082" t="s">
        <v>145</v>
      </c>
    </row>
    <row r="5083" spans="8:8" x14ac:dyDescent="0.25">
      <c r="H5083" t="s">
        <v>5454</v>
      </c>
    </row>
    <row r="5084" spans="8:8" x14ac:dyDescent="0.25">
      <c r="H5084" t="s">
        <v>31</v>
      </c>
    </row>
    <row r="5085" spans="8:8" x14ac:dyDescent="0.25">
      <c r="H5085" t="s">
        <v>146</v>
      </c>
    </row>
    <row r="5086" spans="8:8" x14ac:dyDescent="0.25">
      <c r="H5086" t="s">
        <v>5455</v>
      </c>
    </row>
    <row r="5087" spans="8:8" x14ac:dyDescent="0.25">
      <c r="H5087" t="s">
        <v>31</v>
      </c>
    </row>
    <row r="5088" spans="8:8" x14ac:dyDescent="0.25">
      <c r="H5088" t="s">
        <v>147</v>
      </c>
    </row>
    <row r="5089" spans="8:8" x14ac:dyDescent="0.25">
      <c r="H5089" t="s">
        <v>5456</v>
      </c>
    </row>
    <row r="5090" spans="8:8" x14ac:dyDescent="0.25">
      <c r="H5090" t="s">
        <v>31</v>
      </c>
    </row>
    <row r="5091" spans="8:8" x14ac:dyDescent="0.25">
      <c r="H5091" t="s">
        <v>148</v>
      </c>
    </row>
    <row r="5092" spans="8:8" x14ac:dyDescent="0.25">
      <c r="H5092" t="s">
        <v>5457</v>
      </c>
    </row>
    <row r="5093" spans="8:8" x14ac:dyDescent="0.25">
      <c r="H5093" t="s">
        <v>31</v>
      </c>
    </row>
    <row r="5095" spans="8:8" x14ac:dyDescent="0.25">
      <c r="H5095" t="s">
        <v>3147</v>
      </c>
    </row>
    <row r="5096" spans="8:8" x14ac:dyDescent="0.25">
      <c r="H5096" t="s">
        <v>145</v>
      </c>
    </row>
    <row r="5097" spans="8:8" x14ac:dyDescent="0.25">
      <c r="H5097" t="s">
        <v>5458</v>
      </c>
    </row>
    <row r="5098" spans="8:8" x14ac:dyDescent="0.25">
      <c r="H5098" t="s">
        <v>31</v>
      </c>
    </row>
    <row r="5099" spans="8:8" x14ac:dyDescent="0.25">
      <c r="H5099" t="s">
        <v>146</v>
      </c>
    </row>
    <row r="5100" spans="8:8" x14ac:dyDescent="0.25">
      <c r="H5100" t="s">
        <v>5459</v>
      </c>
    </row>
    <row r="5101" spans="8:8" x14ac:dyDescent="0.25">
      <c r="H5101" t="s">
        <v>31</v>
      </c>
    </row>
    <row r="5102" spans="8:8" x14ac:dyDescent="0.25">
      <c r="H5102" t="s">
        <v>147</v>
      </c>
    </row>
    <row r="5103" spans="8:8" x14ac:dyDescent="0.25">
      <c r="H5103" t="s">
        <v>5460</v>
      </c>
    </row>
    <row r="5104" spans="8:8" x14ac:dyDescent="0.25">
      <c r="H5104" t="s">
        <v>31</v>
      </c>
    </row>
    <row r="5105" spans="8:8" x14ac:dyDescent="0.25">
      <c r="H5105" t="s">
        <v>148</v>
      </c>
    </row>
    <row r="5106" spans="8:8" x14ac:dyDescent="0.25">
      <c r="H5106" t="s">
        <v>5461</v>
      </c>
    </row>
    <row r="5107" spans="8:8" x14ac:dyDescent="0.25">
      <c r="H5107" t="s">
        <v>31</v>
      </c>
    </row>
    <row r="5109" spans="8:8" x14ac:dyDescent="0.25">
      <c r="H5109" t="s">
        <v>3152</v>
      </c>
    </row>
    <row r="5110" spans="8:8" x14ac:dyDescent="0.25">
      <c r="H5110" t="s">
        <v>145</v>
      </c>
    </row>
    <row r="5111" spans="8:8" x14ac:dyDescent="0.25">
      <c r="H5111" t="s">
        <v>5462</v>
      </c>
    </row>
    <row r="5112" spans="8:8" x14ac:dyDescent="0.25">
      <c r="H5112" t="s">
        <v>31</v>
      </c>
    </row>
    <row r="5113" spans="8:8" x14ac:dyDescent="0.25">
      <c r="H5113" t="s">
        <v>146</v>
      </c>
    </row>
    <row r="5114" spans="8:8" x14ac:dyDescent="0.25">
      <c r="H5114" t="s">
        <v>5463</v>
      </c>
    </row>
    <row r="5115" spans="8:8" x14ac:dyDescent="0.25">
      <c r="H5115" t="s">
        <v>31</v>
      </c>
    </row>
    <row r="5116" spans="8:8" x14ac:dyDescent="0.25">
      <c r="H5116" t="s">
        <v>147</v>
      </c>
    </row>
    <row r="5117" spans="8:8" x14ac:dyDescent="0.25">
      <c r="H5117" t="s">
        <v>5464</v>
      </c>
    </row>
    <row r="5118" spans="8:8" x14ac:dyDescent="0.25">
      <c r="H5118" t="s">
        <v>31</v>
      </c>
    </row>
    <row r="5119" spans="8:8" x14ac:dyDescent="0.25">
      <c r="H5119" t="s">
        <v>148</v>
      </c>
    </row>
    <row r="5120" spans="8:8" x14ac:dyDescent="0.25">
      <c r="H5120" t="s">
        <v>5465</v>
      </c>
    </row>
    <row r="5121" spans="8:8" x14ac:dyDescent="0.25">
      <c r="H5121" t="s">
        <v>31</v>
      </c>
    </row>
    <row r="5123" spans="8:8" x14ac:dyDescent="0.25">
      <c r="H5123" t="s">
        <v>3157</v>
      </c>
    </row>
    <row r="5124" spans="8:8" x14ac:dyDescent="0.25">
      <c r="H5124" t="s">
        <v>145</v>
      </c>
    </row>
    <row r="5125" spans="8:8" x14ac:dyDescent="0.25">
      <c r="H5125" t="s">
        <v>5466</v>
      </c>
    </row>
    <row r="5126" spans="8:8" x14ac:dyDescent="0.25">
      <c r="H5126" t="s">
        <v>31</v>
      </c>
    </row>
    <row r="5127" spans="8:8" x14ac:dyDescent="0.25">
      <c r="H5127" t="s">
        <v>146</v>
      </c>
    </row>
    <row r="5128" spans="8:8" x14ac:dyDescent="0.25">
      <c r="H5128" t="s">
        <v>5467</v>
      </c>
    </row>
    <row r="5129" spans="8:8" x14ac:dyDescent="0.25">
      <c r="H5129" t="s">
        <v>31</v>
      </c>
    </row>
    <row r="5130" spans="8:8" x14ac:dyDescent="0.25">
      <c r="H5130" t="s">
        <v>147</v>
      </c>
    </row>
    <row r="5131" spans="8:8" x14ac:dyDescent="0.25">
      <c r="H5131" t="s">
        <v>5468</v>
      </c>
    </row>
    <row r="5132" spans="8:8" x14ac:dyDescent="0.25">
      <c r="H5132" t="s">
        <v>31</v>
      </c>
    </row>
    <row r="5133" spans="8:8" x14ac:dyDescent="0.25">
      <c r="H5133" t="s">
        <v>148</v>
      </c>
    </row>
    <row r="5134" spans="8:8" x14ac:dyDescent="0.25">
      <c r="H5134" t="s">
        <v>5469</v>
      </c>
    </row>
    <row r="5135" spans="8:8" x14ac:dyDescent="0.25">
      <c r="H5135" t="s">
        <v>31</v>
      </c>
    </row>
    <row r="5137" spans="8:8" x14ac:dyDescent="0.25">
      <c r="H5137" t="s">
        <v>3162</v>
      </c>
    </row>
    <row r="5138" spans="8:8" x14ac:dyDescent="0.25">
      <c r="H5138" t="s">
        <v>145</v>
      </c>
    </row>
    <row r="5139" spans="8:8" x14ac:dyDescent="0.25">
      <c r="H5139" t="s">
        <v>5470</v>
      </c>
    </row>
    <row r="5140" spans="8:8" x14ac:dyDescent="0.25">
      <c r="H5140" t="s">
        <v>31</v>
      </c>
    </row>
    <row r="5141" spans="8:8" x14ac:dyDescent="0.25">
      <c r="H5141" t="s">
        <v>146</v>
      </c>
    </row>
    <row r="5142" spans="8:8" x14ac:dyDescent="0.25">
      <c r="H5142" t="s">
        <v>5471</v>
      </c>
    </row>
    <row r="5143" spans="8:8" x14ac:dyDescent="0.25">
      <c r="H5143" t="s">
        <v>31</v>
      </c>
    </row>
    <row r="5144" spans="8:8" x14ac:dyDescent="0.25">
      <c r="H5144" t="s">
        <v>147</v>
      </c>
    </row>
    <row r="5145" spans="8:8" x14ac:dyDescent="0.25">
      <c r="H5145" t="s">
        <v>5472</v>
      </c>
    </row>
    <row r="5146" spans="8:8" x14ac:dyDescent="0.25">
      <c r="H5146" t="s">
        <v>31</v>
      </c>
    </row>
    <row r="5147" spans="8:8" x14ac:dyDescent="0.25">
      <c r="H5147" t="s">
        <v>148</v>
      </c>
    </row>
    <row r="5148" spans="8:8" x14ac:dyDescent="0.25">
      <c r="H5148" t="s">
        <v>5473</v>
      </c>
    </row>
    <row r="5149" spans="8:8" x14ac:dyDescent="0.25">
      <c r="H5149" t="s">
        <v>31</v>
      </c>
    </row>
    <row r="5151" spans="8:8" x14ac:dyDescent="0.25">
      <c r="H5151" t="s">
        <v>3167</v>
      </c>
    </row>
    <row r="5152" spans="8:8" x14ac:dyDescent="0.25">
      <c r="H5152" t="s">
        <v>145</v>
      </c>
    </row>
    <row r="5153" spans="8:8" x14ac:dyDescent="0.25">
      <c r="H5153" t="s">
        <v>5474</v>
      </c>
    </row>
    <row r="5154" spans="8:8" x14ac:dyDescent="0.25">
      <c r="H5154" t="s">
        <v>31</v>
      </c>
    </row>
    <row r="5155" spans="8:8" x14ac:dyDescent="0.25">
      <c r="H5155" t="s">
        <v>146</v>
      </c>
    </row>
    <row r="5156" spans="8:8" x14ac:dyDescent="0.25">
      <c r="H5156" t="s">
        <v>5475</v>
      </c>
    </row>
    <row r="5157" spans="8:8" x14ac:dyDescent="0.25">
      <c r="H5157" t="s">
        <v>31</v>
      </c>
    </row>
    <row r="5158" spans="8:8" x14ac:dyDescent="0.25">
      <c r="H5158" t="s">
        <v>147</v>
      </c>
    </row>
    <row r="5159" spans="8:8" x14ac:dyDescent="0.25">
      <c r="H5159" t="s">
        <v>5476</v>
      </c>
    </row>
    <row r="5160" spans="8:8" x14ac:dyDescent="0.25">
      <c r="H5160" t="s">
        <v>31</v>
      </c>
    </row>
    <row r="5161" spans="8:8" x14ac:dyDescent="0.25">
      <c r="H5161" t="s">
        <v>148</v>
      </c>
    </row>
    <row r="5162" spans="8:8" x14ac:dyDescent="0.25">
      <c r="H5162" t="s">
        <v>5477</v>
      </c>
    </row>
    <row r="5163" spans="8:8" x14ac:dyDescent="0.25">
      <c r="H5163" t="s">
        <v>31</v>
      </c>
    </row>
    <row r="5165" spans="8:8" x14ac:dyDescent="0.25">
      <c r="H5165" t="s">
        <v>3172</v>
      </c>
    </row>
    <row r="5166" spans="8:8" x14ac:dyDescent="0.25">
      <c r="H5166" t="s">
        <v>145</v>
      </c>
    </row>
    <row r="5167" spans="8:8" x14ac:dyDescent="0.25">
      <c r="H5167" t="s">
        <v>5478</v>
      </c>
    </row>
    <row r="5168" spans="8:8" x14ac:dyDescent="0.25">
      <c r="H5168" t="s">
        <v>31</v>
      </c>
    </row>
    <row r="5169" spans="8:8" x14ac:dyDescent="0.25">
      <c r="H5169" t="s">
        <v>146</v>
      </c>
    </row>
    <row r="5170" spans="8:8" x14ac:dyDescent="0.25">
      <c r="H5170" t="s">
        <v>5479</v>
      </c>
    </row>
    <row r="5171" spans="8:8" x14ac:dyDescent="0.25">
      <c r="H5171" t="s">
        <v>31</v>
      </c>
    </row>
    <row r="5172" spans="8:8" x14ac:dyDescent="0.25">
      <c r="H5172" t="s">
        <v>147</v>
      </c>
    </row>
    <row r="5173" spans="8:8" x14ac:dyDescent="0.25">
      <c r="H5173" t="s">
        <v>5480</v>
      </c>
    </row>
    <row r="5174" spans="8:8" x14ac:dyDescent="0.25">
      <c r="H5174" t="s">
        <v>31</v>
      </c>
    </row>
    <row r="5175" spans="8:8" x14ac:dyDescent="0.25">
      <c r="H5175" t="s">
        <v>148</v>
      </c>
    </row>
    <row r="5176" spans="8:8" x14ac:dyDescent="0.25">
      <c r="H5176" t="s">
        <v>5481</v>
      </c>
    </row>
    <row r="5177" spans="8:8" x14ac:dyDescent="0.25">
      <c r="H5177" t="s">
        <v>31</v>
      </c>
    </row>
    <row r="5179" spans="8:8" x14ac:dyDescent="0.25">
      <c r="H5179" t="s">
        <v>3177</v>
      </c>
    </row>
    <row r="5180" spans="8:8" x14ac:dyDescent="0.25">
      <c r="H5180" t="s">
        <v>145</v>
      </c>
    </row>
    <row r="5181" spans="8:8" x14ac:dyDescent="0.25">
      <c r="H5181" t="s">
        <v>5482</v>
      </c>
    </row>
    <row r="5182" spans="8:8" x14ac:dyDescent="0.25">
      <c r="H5182" t="s">
        <v>31</v>
      </c>
    </row>
    <row r="5183" spans="8:8" x14ac:dyDescent="0.25">
      <c r="H5183" t="s">
        <v>146</v>
      </c>
    </row>
    <row r="5184" spans="8:8" x14ac:dyDescent="0.25">
      <c r="H5184" t="s">
        <v>5483</v>
      </c>
    </row>
    <row r="5185" spans="8:8" x14ac:dyDescent="0.25">
      <c r="H5185" t="s">
        <v>31</v>
      </c>
    </row>
    <row r="5186" spans="8:8" x14ac:dyDescent="0.25">
      <c r="H5186" t="s">
        <v>147</v>
      </c>
    </row>
    <row r="5187" spans="8:8" x14ac:dyDescent="0.25">
      <c r="H5187" t="s">
        <v>5484</v>
      </c>
    </row>
    <row r="5188" spans="8:8" x14ac:dyDescent="0.25">
      <c r="H5188" t="s">
        <v>31</v>
      </c>
    </row>
    <row r="5189" spans="8:8" x14ac:dyDescent="0.25">
      <c r="H5189" t="s">
        <v>148</v>
      </c>
    </row>
    <row r="5190" spans="8:8" x14ac:dyDescent="0.25">
      <c r="H5190" t="s">
        <v>5485</v>
      </c>
    </row>
    <row r="5191" spans="8:8" x14ac:dyDescent="0.25">
      <c r="H5191" t="s">
        <v>31</v>
      </c>
    </row>
    <row r="5193" spans="8:8" x14ac:dyDescent="0.25">
      <c r="H5193" t="s">
        <v>3182</v>
      </c>
    </row>
    <row r="5194" spans="8:8" x14ac:dyDescent="0.25">
      <c r="H5194" t="s">
        <v>145</v>
      </c>
    </row>
    <row r="5195" spans="8:8" x14ac:dyDescent="0.25">
      <c r="H5195" t="s">
        <v>5486</v>
      </c>
    </row>
    <row r="5196" spans="8:8" x14ac:dyDescent="0.25">
      <c r="H5196" t="s">
        <v>31</v>
      </c>
    </row>
    <row r="5197" spans="8:8" x14ac:dyDescent="0.25">
      <c r="H5197" t="s">
        <v>146</v>
      </c>
    </row>
    <row r="5198" spans="8:8" x14ac:dyDescent="0.25">
      <c r="H5198" t="s">
        <v>5487</v>
      </c>
    </row>
    <row r="5199" spans="8:8" x14ac:dyDescent="0.25">
      <c r="H5199" t="s">
        <v>31</v>
      </c>
    </row>
    <row r="5200" spans="8:8" x14ac:dyDescent="0.25">
      <c r="H5200" t="s">
        <v>147</v>
      </c>
    </row>
    <row r="5201" spans="8:8" x14ac:dyDescent="0.25">
      <c r="H5201" t="s">
        <v>5488</v>
      </c>
    </row>
    <row r="5202" spans="8:8" x14ac:dyDescent="0.25">
      <c r="H5202" t="s">
        <v>31</v>
      </c>
    </row>
    <row r="5203" spans="8:8" x14ac:dyDescent="0.25">
      <c r="H5203" t="s">
        <v>148</v>
      </c>
    </row>
    <row r="5204" spans="8:8" x14ac:dyDescent="0.25">
      <c r="H5204" t="s">
        <v>5489</v>
      </c>
    </row>
    <row r="5205" spans="8:8" x14ac:dyDescent="0.25">
      <c r="H5205" t="s">
        <v>31</v>
      </c>
    </row>
    <row r="5207" spans="8:8" x14ac:dyDescent="0.25">
      <c r="H5207" t="s">
        <v>3187</v>
      </c>
    </row>
    <row r="5208" spans="8:8" x14ac:dyDescent="0.25">
      <c r="H5208" t="s">
        <v>145</v>
      </c>
    </row>
    <row r="5209" spans="8:8" x14ac:dyDescent="0.25">
      <c r="H5209" t="s">
        <v>5490</v>
      </c>
    </row>
    <row r="5210" spans="8:8" x14ac:dyDescent="0.25">
      <c r="H5210" t="s">
        <v>31</v>
      </c>
    </row>
    <row r="5211" spans="8:8" x14ac:dyDescent="0.25">
      <c r="H5211" t="s">
        <v>146</v>
      </c>
    </row>
    <row r="5212" spans="8:8" x14ac:dyDescent="0.25">
      <c r="H5212" t="s">
        <v>5491</v>
      </c>
    </row>
    <row r="5213" spans="8:8" x14ac:dyDescent="0.25">
      <c r="H5213" t="s">
        <v>31</v>
      </c>
    </row>
    <row r="5214" spans="8:8" x14ac:dyDescent="0.25">
      <c r="H5214" t="s">
        <v>147</v>
      </c>
    </row>
    <row r="5215" spans="8:8" x14ac:dyDescent="0.25">
      <c r="H5215" t="s">
        <v>5492</v>
      </c>
    </row>
    <row r="5216" spans="8:8" x14ac:dyDescent="0.25">
      <c r="H5216" t="s">
        <v>31</v>
      </c>
    </row>
    <row r="5217" spans="8:8" x14ac:dyDescent="0.25">
      <c r="H5217" t="s">
        <v>148</v>
      </c>
    </row>
    <row r="5218" spans="8:8" x14ac:dyDescent="0.25">
      <c r="H5218" t="s">
        <v>5493</v>
      </c>
    </row>
    <row r="5219" spans="8:8" x14ac:dyDescent="0.25">
      <c r="H5219" t="s">
        <v>31</v>
      </c>
    </row>
    <row r="5221" spans="8:8" x14ac:dyDescent="0.25">
      <c r="H5221" t="s">
        <v>3192</v>
      </c>
    </row>
    <row r="5222" spans="8:8" x14ac:dyDescent="0.25">
      <c r="H5222" t="s">
        <v>145</v>
      </c>
    </row>
    <row r="5223" spans="8:8" x14ac:dyDescent="0.25">
      <c r="H5223" t="s">
        <v>5494</v>
      </c>
    </row>
    <row r="5224" spans="8:8" x14ac:dyDescent="0.25">
      <c r="H5224" t="s">
        <v>31</v>
      </c>
    </row>
    <row r="5225" spans="8:8" x14ac:dyDescent="0.25">
      <c r="H5225" t="s">
        <v>146</v>
      </c>
    </row>
    <row r="5226" spans="8:8" x14ac:dyDescent="0.25">
      <c r="H5226" t="s">
        <v>5495</v>
      </c>
    </row>
    <row r="5227" spans="8:8" x14ac:dyDescent="0.25">
      <c r="H5227" t="s">
        <v>31</v>
      </c>
    </row>
    <row r="5228" spans="8:8" x14ac:dyDescent="0.25">
      <c r="H5228" t="s">
        <v>147</v>
      </c>
    </row>
    <row r="5229" spans="8:8" x14ac:dyDescent="0.25">
      <c r="H5229" t="s">
        <v>5496</v>
      </c>
    </row>
    <row r="5230" spans="8:8" x14ac:dyDescent="0.25">
      <c r="H5230" t="s">
        <v>31</v>
      </c>
    </row>
    <row r="5231" spans="8:8" x14ac:dyDescent="0.25">
      <c r="H5231" t="s">
        <v>148</v>
      </c>
    </row>
    <row r="5232" spans="8:8" x14ac:dyDescent="0.25">
      <c r="H5232" t="s">
        <v>5497</v>
      </c>
    </row>
    <row r="5233" spans="8:8" x14ac:dyDescent="0.25">
      <c r="H5233" t="s">
        <v>31</v>
      </c>
    </row>
    <row r="5235" spans="8:8" x14ac:dyDescent="0.25">
      <c r="H5235" t="s">
        <v>3197</v>
      </c>
    </row>
    <row r="5236" spans="8:8" x14ac:dyDescent="0.25">
      <c r="H5236" t="s">
        <v>145</v>
      </c>
    </row>
    <row r="5237" spans="8:8" x14ac:dyDescent="0.25">
      <c r="H5237" t="s">
        <v>5498</v>
      </c>
    </row>
    <row r="5238" spans="8:8" x14ac:dyDescent="0.25">
      <c r="H5238" t="s">
        <v>31</v>
      </c>
    </row>
    <row r="5239" spans="8:8" x14ac:dyDescent="0.25">
      <c r="H5239" t="s">
        <v>146</v>
      </c>
    </row>
    <row r="5240" spans="8:8" x14ac:dyDescent="0.25">
      <c r="H5240" t="s">
        <v>5499</v>
      </c>
    </row>
    <row r="5241" spans="8:8" x14ac:dyDescent="0.25">
      <c r="H5241" t="s">
        <v>31</v>
      </c>
    </row>
    <row r="5242" spans="8:8" x14ac:dyDescent="0.25">
      <c r="H5242" t="s">
        <v>147</v>
      </c>
    </row>
    <row r="5243" spans="8:8" x14ac:dyDescent="0.25">
      <c r="H5243" t="s">
        <v>5500</v>
      </c>
    </row>
    <row r="5244" spans="8:8" x14ac:dyDescent="0.25">
      <c r="H5244" t="s">
        <v>31</v>
      </c>
    </row>
    <row r="5245" spans="8:8" x14ac:dyDescent="0.25">
      <c r="H5245" t="s">
        <v>148</v>
      </c>
    </row>
    <row r="5246" spans="8:8" x14ac:dyDescent="0.25">
      <c r="H5246" t="s">
        <v>5501</v>
      </c>
    </row>
    <row r="5247" spans="8:8" x14ac:dyDescent="0.25">
      <c r="H5247" t="s">
        <v>31</v>
      </c>
    </row>
    <row r="5249" spans="8:8" x14ac:dyDescent="0.25">
      <c r="H5249" t="s">
        <v>3202</v>
      </c>
    </row>
    <row r="5250" spans="8:8" x14ac:dyDescent="0.25">
      <c r="H5250" t="s">
        <v>145</v>
      </c>
    </row>
    <row r="5251" spans="8:8" x14ac:dyDescent="0.25">
      <c r="H5251" t="s">
        <v>5502</v>
      </c>
    </row>
    <row r="5252" spans="8:8" x14ac:dyDescent="0.25">
      <c r="H5252" t="s">
        <v>31</v>
      </c>
    </row>
    <row r="5253" spans="8:8" x14ac:dyDescent="0.25">
      <c r="H5253" t="s">
        <v>146</v>
      </c>
    </row>
    <row r="5254" spans="8:8" x14ac:dyDescent="0.25">
      <c r="H5254" t="s">
        <v>5503</v>
      </c>
    </row>
    <row r="5255" spans="8:8" x14ac:dyDescent="0.25">
      <c r="H5255" t="s">
        <v>31</v>
      </c>
    </row>
    <row r="5256" spans="8:8" x14ac:dyDescent="0.25">
      <c r="H5256" t="s">
        <v>147</v>
      </c>
    </row>
    <row r="5257" spans="8:8" x14ac:dyDescent="0.25">
      <c r="H5257" t="s">
        <v>5504</v>
      </c>
    </row>
    <row r="5258" spans="8:8" x14ac:dyDescent="0.25">
      <c r="H5258" t="s">
        <v>31</v>
      </c>
    </row>
    <row r="5259" spans="8:8" x14ac:dyDescent="0.25">
      <c r="H5259" t="s">
        <v>148</v>
      </c>
    </row>
    <row r="5260" spans="8:8" x14ac:dyDescent="0.25">
      <c r="H5260" t="s">
        <v>5505</v>
      </c>
    </row>
    <row r="5261" spans="8:8" x14ac:dyDescent="0.25">
      <c r="H5261" t="s">
        <v>31</v>
      </c>
    </row>
    <row r="5263" spans="8:8" x14ac:dyDescent="0.25">
      <c r="H5263" t="s">
        <v>3207</v>
      </c>
    </row>
    <row r="5264" spans="8:8" x14ac:dyDescent="0.25">
      <c r="H5264" t="s">
        <v>145</v>
      </c>
    </row>
    <row r="5265" spans="8:8" x14ac:dyDescent="0.25">
      <c r="H5265" t="s">
        <v>5506</v>
      </c>
    </row>
    <row r="5266" spans="8:8" x14ac:dyDescent="0.25">
      <c r="H5266" t="s">
        <v>31</v>
      </c>
    </row>
    <row r="5267" spans="8:8" x14ac:dyDescent="0.25">
      <c r="H5267" t="s">
        <v>146</v>
      </c>
    </row>
    <row r="5268" spans="8:8" x14ac:dyDescent="0.25">
      <c r="H5268" t="s">
        <v>5507</v>
      </c>
    </row>
    <row r="5269" spans="8:8" x14ac:dyDescent="0.25">
      <c r="H5269" t="s">
        <v>31</v>
      </c>
    </row>
    <row r="5270" spans="8:8" x14ac:dyDescent="0.25">
      <c r="H5270" t="s">
        <v>147</v>
      </c>
    </row>
    <row r="5271" spans="8:8" x14ac:dyDescent="0.25">
      <c r="H5271" t="s">
        <v>5508</v>
      </c>
    </row>
    <row r="5272" spans="8:8" x14ac:dyDescent="0.25">
      <c r="H5272" t="s">
        <v>31</v>
      </c>
    </row>
    <row r="5273" spans="8:8" x14ac:dyDescent="0.25">
      <c r="H5273" t="s">
        <v>148</v>
      </c>
    </row>
    <row r="5274" spans="8:8" x14ac:dyDescent="0.25">
      <c r="H5274" t="s">
        <v>5509</v>
      </c>
    </row>
    <row r="5275" spans="8:8" x14ac:dyDescent="0.25">
      <c r="H5275" t="s">
        <v>31</v>
      </c>
    </row>
    <row r="5277" spans="8:8" x14ac:dyDescent="0.25">
      <c r="H5277" t="s">
        <v>3212</v>
      </c>
    </row>
    <row r="5278" spans="8:8" x14ac:dyDescent="0.25">
      <c r="H5278" t="s">
        <v>145</v>
      </c>
    </row>
    <row r="5279" spans="8:8" x14ac:dyDescent="0.25">
      <c r="H5279" t="s">
        <v>5510</v>
      </c>
    </row>
    <row r="5280" spans="8:8" x14ac:dyDescent="0.25">
      <c r="H5280" t="s">
        <v>31</v>
      </c>
    </row>
    <row r="5281" spans="8:8" x14ac:dyDescent="0.25">
      <c r="H5281" t="s">
        <v>146</v>
      </c>
    </row>
    <row r="5282" spans="8:8" x14ac:dyDescent="0.25">
      <c r="H5282" t="s">
        <v>5511</v>
      </c>
    </row>
    <row r="5283" spans="8:8" x14ac:dyDescent="0.25">
      <c r="H5283" t="s">
        <v>31</v>
      </c>
    </row>
    <row r="5284" spans="8:8" x14ac:dyDescent="0.25">
      <c r="H5284" t="s">
        <v>3897</v>
      </c>
    </row>
    <row r="5285" spans="8:8" x14ac:dyDescent="0.25">
      <c r="H5285" t="s">
        <v>147</v>
      </c>
    </row>
    <row r="5286" spans="8:8" x14ac:dyDescent="0.25">
      <c r="H5286" t="s">
        <v>5512</v>
      </c>
    </row>
    <row r="5287" spans="8:8" x14ac:dyDescent="0.25">
      <c r="H5287" t="s">
        <v>31</v>
      </c>
    </row>
    <row r="5289" spans="8:8" x14ac:dyDescent="0.25">
      <c r="H5289" t="s">
        <v>3217</v>
      </c>
    </row>
    <row r="5290" spans="8:8" x14ac:dyDescent="0.25">
      <c r="H5290" t="s">
        <v>145</v>
      </c>
    </row>
    <row r="5291" spans="8:8" x14ac:dyDescent="0.25">
      <c r="H5291" t="s">
        <v>5513</v>
      </c>
    </row>
    <row r="5292" spans="8:8" x14ac:dyDescent="0.25">
      <c r="H5292" t="s">
        <v>31</v>
      </c>
    </row>
    <row r="5294" spans="8:8" x14ac:dyDescent="0.25">
      <c r="H5294" t="s">
        <v>3222</v>
      </c>
    </row>
    <row r="5295" spans="8:8" x14ac:dyDescent="0.25">
      <c r="H5295" t="s">
        <v>145</v>
      </c>
    </row>
    <row r="5296" spans="8:8" x14ac:dyDescent="0.25">
      <c r="H5296" t="s">
        <v>5514</v>
      </c>
    </row>
    <row r="5297" spans="8:8" x14ac:dyDescent="0.25">
      <c r="H5297" t="s">
        <v>31</v>
      </c>
    </row>
    <row r="5299" spans="8:8" x14ac:dyDescent="0.25">
      <c r="H5299" t="s">
        <v>3227</v>
      </c>
    </row>
    <row r="5300" spans="8:8" x14ac:dyDescent="0.25">
      <c r="H5300" t="s">
        <v>145</v>
      </c>
    </row>
    <row r="5301" spans="8:8" x14ac:dyDescent="0.25">
      <c r="H5301" t="s">
        <v>5515</v>
      </c>
    </row>
    <row r="5302" spans="8:8" x14ac:dyDescent="0.25">
      <c r="H5302" t="s">
        <v>31</v>
      </c>
    </row>
    <row r="5304" spans="8:8" x14ac:dyDescent="0.25">
      <c r="H5304" t="s">
        <v>3232</v>
      </c>
    </row>
    <row r="5305" spans="8:8" x14ac:dyDescent="0.25">
      <c r="H5305" t="s">
        <v>145</v>
      </c>
    </row>
    <row r="5306" spans="8:8" x14ac:dyDescent="0.25">
      <c r="H5306" t="s">
        <v>5516</v>
      </c>
    </row>
    <row r="5307" spans="8:8" x14ac:dyDescent="0.25">
      <c r="H5307" t="s">
        <v>31</v>
      </c>
    </row>
    <row r="5309" spans="8:8" x14ac:dyDescent="0.25">
      <c r="H5309" t="s">
        <v>3237</v>
      </c>
    </row>
    <row r="5310" spans="8:8" x14ac:dyDescent="0.25">
      <c r="H5310" t="s">
        <v>145</v>
      </c>
    </row>
    <row r="5311" spans="8:8" x14ac:dyDescent="0.25">
      <c r="H5311" t="s">
        <v>5517</v>
      </c>
    </row>
    <row r="5312" spans="8:8" x14ac:dyDescent="0.25">
      <c r="H5312" t="s">
        <v>31</v>
      </c>
    </row>
    <row r="5314" spans="8:8" x14ac:dyDescent="0.25">
      <c r="H5314" t="s">
        <v>3242</v>
      </c>
    </row>
    <row r="5315" spans="8:8" x14ac:dyDescent="0.25">
      <c r="H5315" t="s">
        <v>145</v>
      </c>
    </row>
    <row r="5316" spans="8:8" x14ac:dyDescent="0.25">
      <c r="H5316" t="s">
        <v>5518</v>
      </c>
    </row>
    <row r="5317" spans="8:8" x14ac:dyDescent="0.25">
      <c r="H5317" t="s">
        <v>31</v>
      </c>
    </row>
    <row r="5319" spans="8:8" x14ac:dyDescent="0.25">
      <c r="H5319" t="s">
        <v>3247</v>
      </c>
    </row>
    <row r="5320" spans="8:8" x14ac:dyDescent="0.25">
      <c r="H5320" t="s">
        <v>145</v>
      </c>
    </row>
    <row r="5321" spans="8:8" x14ac:dyDescent="0.25">
      <c r="H5321" t="s">
        <v>5519</v>
      </c>
    </row>
    <row r="5322" spans="8:8" x14ac:dyDescent="0.25">
      <c r="H5322" t="s">
        <v>31</v>
      </c>
    </row>
    <row r="5324" spans="8:8" x14ac:dyDescent="0.25">
      <c r="H5324" t="s">
        <v>3252</v>
      </c>
    </row>
    <row r="5325" spans="8:8" x14ac:dyDescent="0.25">
      <c r="H5325" t="s">
        <v>145</v>
      </c>
    </row>
    <row r="5326" spans="8:8" x14ac:dyDescent="0.25">
      <c r="H5326" t="s">
        <v>5520</v>
      </c>
    </row>
    <row r="5327" spans="8:8" x14ac:dyDescent="0.25">
      <c r="H5327" t="s">
        <v>31</v>
      </c>
    </row>
    <row r="5329" spans="8:8" x14ac:dyDescent="0.25">
      <c r="H5329" t="s">
        <v>3257</v>
      </c>
    </row>
    <row r="5330" spans="8:8" x14ac:dyDescent="0.25">
      <c r="H5330" t="s">
        <v>145</v>
      </c>
    </row>
    <row r="5331" spans="8:8" x14ac:dyDescent="0.25">
      <c r="H5331" t="s">
        <v>5521</v>
      </c>
    </row>
    <row r="5332" spans="8:8" x14ac:dyDescent="0.25">
      <c r="H5332" t="s">
        <v>31</v>
      </c>
    </row>
    <row r="5334" spans="8:8" x14ac:dyDescent="0.25">
      <c r="H5334" t="s">
        <v>3262</v>
      </c>
    </row>
    <row r="5335" spans="8:8" x14ac:dyDescent="0.25">
      <c r="H5335" t="s">
        <v>145</v>
      </c>
    </row>
    <row r="5336" spans="8:8" x14ac:dyDescent="0.25">
      <c r="H5336" t="s">
        <v>5522</v>
      </c>
    </row>
    <row r="5337" spans="8:8" x14ac:dyDescent="0.25">
      <c r="H5337" t="s">
        <v>31</v>
      </c>
    </row>
    <row r="5339" spans="8:8" x14ac:dyDescent="0.25">
      <c r="H5339" t="s">
        <v>3267</v>
      </c>
    </row>
    <row r="5340" spans="8:8" x14ac:dyDescent="0.25">
      <c r="H5340" t="s">
        <v>145</v>
      </c>
    </row>
    <row r="5341" spans="8:8" x14ac:dyDescent="0.25">
      <c r="H5341" t="s">
        <v>5523</v>
      </c>
    </row>
    <row r="5342" spans="8:8" x14ac:dyDescent="0.25">
      <c r="H5342" t="s">
        <v>31</v>
      </c>
    </row>
    <row r="5344" spans="8:8" x14ac:dyDescent="0.25">
      <c r="H5344" t="s">
        <v>3272</v>
      </c>
    </row>
    <row r="5345" spans="8:8" x14ac:dyDescent="0.25">
      <c r="H5345" t="s">
        <v>145</v>
      </c>
    </row>
    <row r="5346" spans="8:8" x14ac:dyDescent="0.25">
      <c r="H5346" t="s">
        <v>5524</v>
      </c>
    </row>
    <row r="5347" spans="8:8" x14ac:dyDescent="0.25">
      <c r="H5347" t="s">
        <v>31</v>
      </c>
    </row>
    <row r="5348" spans="8:8" x14ac:dyDescent="0.25">
      <c r="H5348" t="s">
        <v>146</v>
      </c>
    </row>
    <row r="5349" spans="8:8" x14ac:dyDescent="0.25">
      <c r="H5349" t="s">
        <v>5525</v>
      </c>
    </row>
    <row r="5350" spans="8:8" x14ac:dyDescent="0.25">
      <c r="H5350" t="s">
        <v>31</v>
      </c>
    </row>
    <row r="5351" spans="8:8" x14ac:dyDescent="0.25">
      <c r="H5351" t="s">
        <v>147</v>
      </c>
    </row>
    <row r="5352" spans="8:8" x14ac:dyDescent="0.25">
      <c r="H5352" t="s">
        <v>5526</v>
      </c>
    </row>
    <row r="5353" spans="8:8" x14ac:dyDescent="0.25">
      <c r="H5353" t="s">
        <v>31</v>
      </c>
    </row>
    <row r="5354" spans="8:8" x14ac:dyDescent="0.25">
      <c r="H5354" t="s">
        <v>148</v>
      </c>
    </row>
    <row r="5355" spans="8:8" x14ac:dyDescent="0.25">
      <c r="H5355" t="s">
        <v>5527</v>
      </c>
    </row>
    <row r="5356" spans="8:8" x14ac:dyDescent="0.25">
      <c r="H5356" t="s">
        <v>31</v>
      </c>
    </row>
    <row r="5358" spans="8:8" x14ac:dyDescent="0.25">
      <c r="H5358" t="s">
        <v>3277</v>
      </c>
    </row>
    <row r="5359" spans="8:8" x14ac:dyDescent="0.25">
      <c r="H5359" t="s">
        <v>145</v>
      </c>
    </row>
    <row r="5360" spans="8:8" x14ac:dyDescent="0.25">
      <c r="H5360" t="s">
        <v>5528</v>
      </c>
    </row>
    <row r="5361" spans="8:8" x14ac:dyDescent="0.25">
      <c r="H5361" t="s">
        <v>31</v>
      </c>
    </row>
    <row r="5363" spans="8:8" x14ac:dyDescent="0.25">
      <c r="H5363" t="s">
        <v>3282</v>
      </c>
    </row>
    <row r="5364" spans="8:8" x14ac:dyDescent="0.25">
      <c r="H5364" t="s">
        <v>145</v>
      </c>
    </row>
    <row r="5365" spans="8:8" x14ac:dyDescent="0.25">
      <c r="H5365" t="s">
        <v>5529</v>
      </c>
    </row>
    <row r="5366" spans="8:8" x14ac:dyDescent="0.25">
      <c r="H5366" t="s">
        <v>31</v>
      </c>
    </row>
    <row r="5368" spans="8:8" x14ac:dyDescent="0.25">
      <c r="H5368" t="s">
        <v>3287</v>
      </c>
    </row>
    <row r="5369" spans="8:8" x14ac:dyDescent="0.25">
      <c r="H5369" t="s">
        <v>145</v>
      </c>
    </row>
    <row r="5370" spans="8:8" x14ac:dyDescent="0.25">
      <c r="H5370" t="s">
        <v>5530</v>
      </c>
    </row>
    <row r="5371" spans="8:8" x14ac:dyDescent="0.25">
      <c r="H5371" t="s">
        <v>31</v>
      </c>
    </row>
    <row r="5373" spans="8:8" x14ac:dyDescent="0.25">
      <c r="H5373" t="s">
        <v>3292</v>
      </c>
    </row>
    <row r="5374" spans="8:8" x14ac:dyDescent="0.25">
      <c r="H5374" t="s">
        <v>145</v>
      </c>
    </row>
    <row r="5375" spans="8:8" x14ac:dyDescent="0.25">
      <c r="H5375" t="s">
        <v>5531</v>
      </c>
    </row>
    <row r="5376" spans="8:8" x14ac:dyDescent="0.25">
      <c r="H5376" t="s">
        <v>31</v>
      </c>
    </row>
    <row r="5378" spans="8:8" x14ac:dyDescent="0.25">
      <c r="H5378" t="s">
        <v>3297</v>
      </c>
    </row>
    <row r="5379" spans="8:8" x14ac:dyDescent="0.25">
      <c r="H5379" t="s">
        <v>145</v>
      </c>
    </row>
    <row r="5380" spans="8:8" x14ac:dyDescent="0.25">
      <c r="H5380" t="s">
        <v>5532</v>
      </c>
    </row>
    <row r="5381" spans="8:8" x14ac:dyDescent="0.25">
      <c r="H5381" t="s">
        <v>31</v>
      </c>
    </row>
    <row r="5383" spans="8:8" x14ac:dyDescent="0.25">
      <c r="H5383" t="s">
        <v>3299</v>
      </c>
    </row>
    <row r="5384" spans="8:8" x14ac:dyDescent="0.25">
      <c r="H5384" t="s">
        <v>145</v>
      </c>
    </row>
    <row r="5385" spans="8:8" x14ac:dyDescent="0.25">
      <c r="H5385" t="s">
        <v>5533</v>
      </c>
    </row>
    <row r="5386" spans="8:8" x14ac:dyDescent="0.25">
      <c r="H5386" t="s">
        <v>31</v>
      </c>
    </row>
    <row r="5388" spans="8:8" x14ac:dyDescent="0.25">
      <c r="H5388" t="s">
        <v>3301</v>
      </c>
    </row>
    <row r="5389" spans="8:8" x14ac:dyDescent="0.25">
      <c r="H5389" t="s">
        <v>145</v>
      </c>
    </row>
    <row r="5390" spans="8:8" x14ac:dyDescent="0.25">
      <c r="H5390" t="s">
        <v>5534</v>
      </c>
    </row>
    <row r="5391" spans="8:8" x14ac:dyDescent="0.25">
      <c r="H5391" t="s">
        <v>31</v>
      </c>
    </row>
    <row r="5393" spans="8:8" x14ac:dyDescent="0.25">
      <c r="H5393" t="s">
        <v>3303</v>
      </c>
    </row>
    <row r="5394" spans="8:8" x14ac:dyDescent="0.25">
      <c r="H5394" t="s">
        <v>145</v>
      </c>
    </row>
    <row r="5395" spans="8:8" x14ac:dyDescent="0.25">
      <c r="H5395" t="s">
        <v>5535</v>
      </c>
    </row>
    <row r="5396" spans="8:8" x14ac:dyDescent="0.25">
      <c r="H5396" t="s">
        <v>31</v>
      </c>
    </row>
    <row r="5398" spans="8:8" x14ac:dyDescent="0.25">
      <c r="H5398" t="s">
        <v>3305</v>
      </c>
    </row>
    <row r="5399" spans="8:8" x14ac:dyDescent="0.25">
      <c r="H5399" t="s">
        <v>145</v>
      </c>
    </row>
    <row r="5400" spans="8:8" x14ac:dyDescent="0.25">
      <c r="H5400" t="s">
        <v>5536</v>
      </c>
    </row>
    <row r="5401" spans="8:8" x14ac:dyDescent="0.25">
      <c r="H5401" t="s">
        <v>31</v>
      </c>
    </row>
    <row r="5403" spans="8:8" x14ac:dyDescent="0.25">
      <c r="H5403" t="s">
        <v>3307</v>
      </c>
    </row>
    <row r="5404" spans="8:8" x14ac:dyDescent="0.25">
      <c r="H5404" t="s">
        <v>145</v>
      </c>
    </row>
    <row r="5405" spans="8:8" x14ac:dyDescent="0.25">
      <c r="H5405" t="s">
        <v>5537</v>
      </c>
    </row>
    <row r="5406" spans="8:8" x14ac:dyDescent="0.25">
      <c r="H5406" t="s">
        <v>31</v>
      </c>
    </row>
    <row r="5408" spans="8:8" x14ac:dyDescent="0.25">
      <c r="H5408" t="s">
        <v>3309</v>
      </c>
    </row>
    <row r="5409" spans="8:8" x14ac:dyDescent="0.25">
      <c r="H5409" t="s">
        <v>145</v>
      </c>
    </row>
    <row r="5410" spans="8:8" x14ac:dyDescent="0.25">
      <c r="H5410" t="s">
        <v>5538</v>
      </c>
    </row>
    <row r="5411" spans="8:8" x14ac:dyDescent="0.25">
      <c r="H5411" t="s">
        <v>31</v>
      </c>
    </row>
    <row r="5413" spans="8:8" x14ac:dyDescent="0.25">
      <c r="H5413" t="s">
        <v>3311</v>
      </c>
    </row>
    <row r="5414" spans="8:8" x14ac:dyDescent="0.25">
      <c r="H5414" t="s">
        <v>145</v>
      </c>
    </row>
    <row r="5415" spans="8:8" x14ac:dyDescent="0.25">
      <c r="H5415" t="s">
        <v>5539</v>
      </c>
    </row>
    <row r="5416" spans="8:8" x14ac:dyDescent="0.25">
      <c r="H5416" t="s">
        <v>31</v>
      </c>
    </row>
    <row r="5418" spans="8:8" x14ac:dyDescent="0.25">
      <c r="H5418" t="s">
        <v>3313</v>
      </c>
    </row>
    <row r="5419" spans="8:8" x14ac:dyDescent="0.25">
      <c r="H5419" t="s">
        <v>145</v>
      </c>
    </row>
    <row r="5420" spans="8:8" x14ac:dyDescent="0.25">
      <c r="H5420" t="s">
        <v>5540</v>
      </c>
    </row>
    <row r="5421" spans="8:8" x14ac:dyDescent="0.25">
      <c r="H5421" t="s">
        <v>31</v>
      </c>
    </row>
    <row r="5423" spans="8:8" x14ac:dyDescent="0.25">
      <c r="H5423" t="s">
        <v>3315</v>
      </c>
    </row>
    <row r="5424" spans="8:8" x14ac:dyDescent="0.25">
      <c r="H5424" t="s">
        <v>145</v>
      </c>
    </row>
    <row r="5425" spans="8:8" x14ac:dyDescent="0.25">
      <c r="H5425" t="s">
        <v>5541</v>
      </c>
    </row>
    <row r="5426" spans="8:8" x14ac:dyDescent="0.25">
      <c r="H5426" t="s">
        <v>31</v>
      </c>
    </row>
    <row r="5428" spans="8:8" x14ac:dyDescent="0.25">
      <c r="H5428" t="s">
        <v>3317</v>
      </c>
    </row>
    <row r="5429" spans="8:8" x14ac:dyDescent="0.25">
      <c r="H5429" t="s">
        <v>145</v>
      </c>
    </row>
    <row r="5430" spans="8:8" x14ac:dyDescent="0.25">
      <c r="H5430" t="s">
        <v>5542</v>
      </c>
    </row>
    <row r="5431" spans="8:8" x14ac:dyDescent="0.25">
      <c r="H5431" t="s">
        <v>31</v>
      </c>
    </row>
    <row r="5433" spans="8:8" x14ac:dyDescent="0.25">
      <c r="H5433" t="s">
        <v>3319</v>
      </c>
    </row>
    <row r="5434" spans="8:8" x14ac:dyDescent="0.25">
      <c r="H5434" t="s">
        <v>145</v>
      </c>
    </row>
    <row r="5435" spans="8:8" x14ac:dyDescent="0.25">
      <c r="H5435" t="s">
        <v>5543</v>
      </c>
    </row>
    <row r="5436" spans="8:8" x14ac:dyDescent="0.25">
      <c r="H5436" t="s">
        <v>31</v>
      </c>
    </row>
    <row r="5438" spans="8:8" x14ac:dyDescent="0.25">
      <c r="H5438" t="s">
        <v>3324</v>
      </c>
    </row>
    <row r="5439" spans="8:8" x14ac:dyDescent="0.25">
      <c r="H5439" t="s">
        <v>145</v>
      </c>
    </row>
    <row r="5440" spans="8:8" x14ac:dyDescent="0.25">
      <c r="H5440" t="s">
        <v>5544</v>
      </c>
    </row>
    <row r="5441" spans="8:8" x14ac:dyDescent="0.25">
      <c r="H5441" t="s">
        <v>31</v>
      </c>
    </row>
    <row r="5443" spans="8:8" x14ac:dyDescent="0.25">
      <c r="H5443" t="s">
        <v>3326</v>
      </c>
    </row>
    <row r="5444" spans="8:8" x14ac:dyDescent="0.25">
      <c r="H5444" t="s">
        <v>145</v>
      </c>
    </row>
    <row r="5445" spans="8:8" x14ac:dyDescent="0.25">
      <c r="H5445" t="s">
        <v>5545</v>
      </c>
    </row>
    <row r="5446" spans="8:8" x14ac:dyDescent="0.25">
      <c r="H5446" t="s">
        <v>31</v>
      </c>
    </row>
    <row r="5448" spans="8:8" x14ac:dyDescent="0.25">
      <c r="H5448" t="s">
        <v>3328</v>
      </c>
    </row>
    <row r="5449" spans="8:8" x14ac:dyDescent="0.25">
      <c r="H5449" t="s">
        <v>145</v>
      </c>
    </row>
    <row r="5450" spans="8:8" x14ac:dyDescent="0.25">
      <c r="H5450" t="s">
        <v>5546</v>
      </c>
    </row>
    <row r="5451" spans="8:8" x14ac:dyDescent="0.25">
      <c r="H5451" t="s">
        <v>31</v>
      </c>
    </row>
    <row r="5453" spans="8:8" x14ac:dyDescent="0.25">
      <c r="H5453" t="s">
        <v>3330</v>
      </c>
    </row>
    <row r="5454" spans="8:8" x14ac:dyDescent="0.25">
      <c r="H5454" t="s">
        <v>145</v>
      </c>
    </row>
    <row r="5455" spans="8:8" x14ac:dyDescent="0.25">
      <c r="H5455" t="s">
        <v>5547</v>
      </c>
    </row>
    <row r="5456" spans="8:8" x14ac:dyDescent="0.25">
      <c r="H5456" t="s">
        <v>31</v>
      </c>
    </row>
    <row r="5458" spans="8:8" x14ac:dyDescent="0.25">
      <c r="H5458" t="s">
        <v>3332</v>
      </c>
    </row>
    <row r="5459" spans="8:8" x14ac:dyDescent="0.25">
      <c r="H5459" t="s">
        <v>145</v>
      </c>
    </row>
    <row r="5460" spans="8:8" x14ac:dyDescent="0.25">
      <c r="H5460" t="s">
        <v>5548</v>
      </c>
    </row>
    <row r="5461" spans="8:8" x14ac:dyDescent="0.25">
      <c r="H5461" t="s">
        <v>31</v>
      </c>
    </row>
    <row r="5463" spans="8:8" x14ac:dyDescent="0.25">
      <c r="H5463" t="s">
        <v>3334</v>
      </c>
    </row>
    <row r="5464" spans="8:8" x14ac:dyDescent="0.25">
      <c r="H5464" t="s">
        <v>145</v>
      </c>
    </row>
    <row r="5465" spans="8:8" x14ac:dyDescent="0.25">
      <c r="H5465" t="s">
        <v>5549</v>
      </c>
    </row>
    <row r="5466" spans="8:8" x14ac:dyDescent="0.25">
      <c r="H5466" t="s">
        <v>31</v>
      </c>
    </row>
    <row r="5467" spans="8:8" x14ac:dyDescent="0.25">
      <c r="H5467" t="s">
        <v>147</v>
      </c>
    </row>
    <row r="5468" spans="8:8" x14ac:dyDescent="0.25">
      <c r="H5468" t="s">
        <v>5550</v>
      </c>
    </row>
    <row r="5469" spans="8:8" x14ac:dyDescent="0.25">
      <c r="H5469" t="s">
        <v>31</v>
      </c>
    </row>
    <row r="5470" spans="8:8" x14ac:dyDescent="0.25">
      <c r="H5470" t="s">
        <v>148</v>
      </c>
    </row>
    <row r="5471" spans="8:8" x14ac:dyDescent="0.25">
      <c r="H5471" t="s">
        <v>5551</v>
      </c>
    </row>
    <row r="5472" spans="8:8" x14ac:dyDescent="0.25">
      <c r="H5472" t="s">
        <v>31</v>
      </c>
    </row>
    <row r="5474" spans="8:8" x14ac:dyDescent="0.25">
      <c r="H5474" t="s">
        <v>3336</v>
      </c>
    </row>
    <row r="5475" spans="8:8" x14ac:dyDescent="0.25">
      <c r="H5475" t="s">
        <v>145</v>
      </c>
    </row>
    <row r="5476" spans="8:8" x14ac:dyDescent="0.25">
      <c r="H5476" t="s">
        <v>5552</v>
      </c>
    </row>
    <row r="5477" spans="8:8" x14ac:dyDescent="0.25">
      <c r="H5477" t="s">
        <v>31</v>
      </c>
    </row>
    <row r="5478" spans="8:8" x14ac:dyDescent="0.25">
      <c r="H5478" t="s">
        <v>146</v>
      </c>
    </row>
    <row r="5479" spans="8:8" x14ac:dyDescent="0.25">
      <c r="H5479" t="s">
        <v>5553</v>
      </c>
    </row>
    <row r="5480" spans="8:8" x14ac:dyDescent="0.25">
      <c r="H5480" t="s">
        <v>31</v>
      </c>
    </row>
    <row r="5481" spans="8:8" x14ac:dyDescent="0.25">
      <c r="H5481" t="s">
        <v>147</v>
      </c>
    </row>
    <row r="5482" spans="8:8" x14ac:dyDescent="0.25">
      <c r="H5482" t="s">
        <v>5554</v>
      </c>
    </row>
    <row r="5483" spans="8:8" x14ac:dyDescent="0.25">
      <c r="H5483" t="s">
        <v>31</v>
      </c>
    </row>
    <row r="5484" spans="8:8" x14ac:dyDescent="0.25">
      <c r="H5484" t="s">
        <v>148</v>
      </c>
    </row>
    <row r="5485" spans="8:8" x14ac:dyDescent="0.25">
      <c r="H5485" t="s">
        <v>5555</v>
      </c>
    </row>
    <row r="5486" spans="8:8" x14ac:dyDescent="0.25">
      <c r="H5486" t="s">
        <v>31</v>
      </c>
    </row>
    <row r="5488" spans="8:8" x14ac:dyDescent="0.25">
      <c r="H5488" t="s">
        <v>3338</v>
      </c>
    </row>
    <row r="5489" spans="8:8" x14ac:dyDescent="0.25">
      <c r="H5489" t="s">
        <v>145</v>
      </c>
    </row>
    <row r="5490" spans="8:8" x14ac:dyDescent="0.25">
      <c r="H5490" t="s">
        <v>5556</v>
      </c>
    </row>
    <row r="5491" spans="8:8" x14ac:dyDescent="0.25">
      <c r="H5491" t="s">
        <v>31</v>
      </c>
    </row>
    <row r="5493" spans="8:8" x14ac:dyDescent="0.25">
      <c r="H5493" t="s">
        <v>3340</v>
      </c>
    </row>
    <row r="5494" spans="8:8" x14ac:dyDescent="0.25">
      <c r="H5494" t="s">
        <v>145</v>
      </c>
    </row>
    <row r="5495" spans="8:8" x14ac:dyDescent="0.25">
      <c r="H5495" t="s">
        <v>5557</v>
      </c>
    </row>
    <row r="5496" spans="8:8" x14ac:dyDescent="0.25">
      <c r="H5496" t="s">
        <v>31</v>
      </c>
    </row>
    <row r="5498" spans="8:8" x14ac:dyDescent="0.25">
      <c r="H5498" t="s">
        <v>3342</v>
      </c>
    </row>
    <row r="5499" spans="8:8" x14ac:dyDescent="0.25">
      <c r="H5499" t="s">
        <v>145</v>
      </c>
    </row>
    <row r="5500" spans="8:8" x14ac:dyDescent="0.25">
      <c r="H5500" t="s">
        <v>5558</v>
      </c>
    </row>
    <row r="5501" spans="8:8" x14ac:dyDescent="0.25">
      <c r="H5501" t="s">
        <v>31</v>
      </c>
    </row>
    <row r="5503" spans="8:8" x14ac:dyDescent="0.25">
      <c r="H5503" t="s">
        <v>3344</v>
      </c>
    </row>
    <row r="5504" spans="8:8" x14ac:dyDescent="0.25">
      <c r="H5504" t="s">
        <v>145</v>
      </c>
    </row>
    <row r="5505" spans="8:8" x14ac:dyDescent="0.25">
      <c r="H5505" t="s">
        <v>5559</v>
      </c>
    </row>
    <row r="5506" spans="8:8" x14ac:dyDescent="0.25">
      <c r="H5506" t="s">
        <v>31</v>
      </c>
    </row>
    <row r="5508" spans="8:8" x14ac:dyDescent="0.25">
      <c r="H5508" t="s">
        <v>3346</v>
      </c>
    </row>
    <row r="5509" spans="8:8" x14ac:dyDescent="0.25">
      <c r="H5509" t="s">
        <v>145</v>
      </c>
    </row>
    <row r="5510" spans="8:8" x14ac:dyDescent="0.25">
      <c r="H5510" t="s">
        <v>5560</v>
      </c>
    </row>
    <row r="5511" spans="8:8" x14ac:dyDescent="0.25">
      <c r="H5511" t="s">
        <v>31</v>
      </c>
    </row>
    <row r="5513" spans="8:8" x14ac:dyDescent="0.25">
      <c r="H5513" t="s">
        <v>3348</v>
      </c>
    </row>
    <row r="5514" spans="8:8" x14ac:dyDescent="0.25">
      <c r="H5514" t="s">
        <v>145</v>
      </c>
    </row>
    <row r="5515" spans="8:8" x14ac:dyDescent="0.25">
      <c r="H5515" t="s">
        <v>5561</v>
      </c>
    </row>
    <row r="5516" spans="8:8" x14ac:dyDescent="0.25">
      <c r="H5516" t="s">
        <v>31</v>
      </c>
    </row>
    <row r="5518" spans="8:8" x14ac:dyDescent="0.25">
      <c r="H5518" t="s">
        <v>3350</v>
      </c>
    </row>
    <row r="5519" spans="8:8" x14ac:dyDescent="0.25">
      <c r="H5519" t="s">
        <v>145</v>
      </c>
    </row>
    <row r="5520" spans="8:8" x14ac:dyDescent="0.25">
      <c r="H5520" t="s">
        <v>5562</v>
      </c>
    </row>
    <row r="5521" spans="8:8" x14ac:dyDescent="0.25">
      <c r="H5521" t="s">
        <v>31</v>
      </c>
    </row>
    <row r="5522" spans="8:8" x14ac:dyDescent="0.25">
      <c r="H5522" t="s">
        <v>146</v>
      </c>
    </row>
    <row r="5523" spans="8:8" x14ac:dyDescent="0.25">
      <c r="H5523" t="s">
        <v>5563</v>
      </c>
    </row>
    <row r="5524" spans="8:8" x14ac:dyDescent="0.25">
      <c r="H5524" t="s">
        <v>31</v>
      </c>
    </row>
    <row r="5525" spans="8:8" x14ac:dyDescent="0.25">
      <c r="H5525" t="s">
        <v>147</v>
      </c>
    </row>
    <row r="5526" spans="8:8" x14ac:dyDescent="0.25">
      <c r="H5526" t="s">
        <v>5564</v>
      </c>
    </row>
    <row r="5527" spans="8:8" x14ac:dyDescent="0.25">
      <c r="H5527" t="s">
        <v>31</v>
      </c>
    </row>
    <row r="5528" spans="8:8" x14ac:dyDescent="0.25">
      <c r="H5528" t="s">
        <v>148</v>
      </c>
    </row>
    <row r="5529" spans="8:8" x14ac:dyDescent="0.25">
      <c r="H5529" t="s">
        <v>5565</v>
      </c>
    </row>
    <row r="5530" spans="8:8" x14ac:dyDescent="0.25">
      <c r="H5530" t="s">
        <v>31</v>
      </c>
    </row>
    <row r="5532" spans="8:8" x14ac:dyDescent="0.25">
      <c r="H5532" t="s">
        <v>3352</v>
      </c>
    </row>
    <row r="5533" spans="8:8" x14ac:dyDescent="0.25">
      <c r="H5533" t="s">
        <v>145</v>
      </c>
    </row>
    <row r="5534" spans="8:8" x14ac:dyDescent="0.25">
      <c r="H5534" t="s">
        <v>5566</v>
      </c>
    </row>
    <row r="5535" spans="8:8" x14ac:dyDescent="0.25">
      <c r="H5535" t="s">
        <v>31</v>
      </c>
    </row>
    <row r="5536" spans="8:8" x14ac:dyDescent="0.25">
      <c r="H5536" t="s">
        <v>146</v>
      </c>
    </row>
    <row r="5537" spans="8:8" x14ac:dyDescent="0.25">
      <c r="H5537" t="s">
        <v>5567</v>
      </c>
    </row>
    <row r="5538" spans="8:8" x14ac:dyDescent="0.25">
      <c r="H5538" t="s">
        <v>31</v>
      </c>
    </row>
    <row r="5539" spans="8:8" x14ac:dyDescent="0.25">
      <c r="H5539" t="s">
        <v>147</v>
      </c>
    </row>
    <row r="5540" spans="8:8" x14ac:dyDescent="0.25">
      <c r="H5540" t="s">
        <v>5568</v>
      </c>
    </row>
    <row r="5541" spans="8:8" x14ac:dyDescent="0.25">
      <c r="H5541" t="s">
        <v>31</v>
      </c>
    </row>
    <row r="5542" spans="8:8" x14ac:dyDescent="0.25">
      <c r="H5542" t="s">
        <v>148</v>
      </c>
    </row>
    <row r="5543" spans="8:8" x14ac:dyDescent="0.25">
      <c r="H5543" t="s">
        <v>5569</v>
      </c>
    </row>
    <row r="5544" spans="8:8" x14ac:dyDescent="0.25">
      <c r="H5544" t="s">
        <v>31</v>
      </c>
    </row>
    <row r="5546" spans="8:8" x14ac:dyDescent="0.25">
      <c r="H5546" t="s">
        <v>3354</v>
      </c>
    </row>
    <row r="5547" spans="8:8" x14ac:dyDescent="0.25">
      <c r="H5547" t="s">
        <v>145</v>
      </c>
    </row>
    <row r="5548" spans="8:8" x14ac:dyDescent="0.25">
      <c r="H5548" t="s">
        <v>5570</v>
      </c>
    </row>
    <row r="5549" spans="8:8" x14ac:dyDescent="0.25">
      <c r="H5549" t="s">
        <v>31</v>
      </c>
    </row>
    <row r="5550" spans="8:8" x14ac:dyDescent="0.25">
      <c r="H5550" t="s">
        <v>146</v>
      </c>
    </row>
    <row r="5551" spans="8:8" x14ac:dyDescent="0.25">
      <c r="H5551" t="s">
        <v>5571</v>
      </c>
    </row>
    <row r="5552" spans="8:8" x14ac:dyDescent="0.25">
      <c r="H5552" t="s">
        <v>31</v>
      </c>
    </row>
    <row r="5553" spans="8:8" x14ac:dyDescent="0.25">
      <c r="H5553" t="s">
        <v>147</v>
      </c>
    </row>
    <row r="5554" spans="8:8" x14ac:dyDescent="0.25">
      <c r="H5554" t="s">
        <v>5572</v>
      </c>
    </row>
    <row r="5555" spans="8:8" x14ac:dyDescent="0.25">
      <c r="H5555" t="s">
        <v>31</v>
      </c>
    </row>
    <row r="5556" spans="8:8" x14ac:dyDescent="0.25">
      <c r="H5556" t="s">
        <v>148</v>
      </c>
    </row>
    <row r="5557" spans="8:8" x14ac:dyDescent="0.25">
      <c r="H5557" t="s">
        <v>5573</v>
      </c>
    </row>
    <row r="5558" spans="8:8" x14ac:dyDescent="0.25">
      <c r="H5558" t="s">
        <v>31</v>
      </c>
    </row>
    <row r="5560" spans="8:8" x14ac:dyDescent="0.25">
      <c r="H5560" t="s">
        <v>3356</v>
      </c>
    </row>
    <row r="5561" spans="8:8" x14ac:dyDescent="0.25">
      <c r="H5561" t="s">
        <v>145</v>
      </c>
    </row>
    <row r="5562" spans="8:8" x14ac:dyDescent="0.25">
      <c r="H5562" t="s">
        <v>5574</v>
      </c>
    </row>
    <row r="5563" spans="8:8" x14ac:dyDescent="0.25">
      <c r="H5563" t="s">
        <v>31</v>
      </c>
    </row>
    <row r="5564" spans="8:8" x14ac:dyDescent="0.25">
      <c r="H5564" t="s">
        <v>146</v>
      </c>
    </row>
    <row r="5565" spans="8:8" x14ac:dyDescent="0.25">
      <c r="H5565" t="s">
        <v>5575</v>
      </c>
    </row>
    <row r="5566" spans="8:8" x14ac:dyDescent="0.25">
      <c r="H5566" t="s">
        <v>31</v>
      </c>
    </row>
    <row r="5567" spans="8:8" x14ac:dyDescent="0.25">
      <c r="H5567" t="s">
        <v>147</v>
      </c>
    </row>
    <row r="5568" spans="8:8" x14ac:dyDescent="0.25">
      <c r="H5568" t="s">
        <v>5576</v>
      </c>
    </row>
    <row r="5569" spans="8:8" x14ac:dyDescent="0.25">
      <c r="H5569" t="s">
        <v>31</v>
      </c>
    </row>
    <row r="5570" spans="8:8" x14ac:dyDescent="0.25">
      <c r="H5570" t="s">
        <v>148</v>
      </c>
    </row>
    <row r="5571" spans="8:8" x14ac:dyDescent="0.25">
      <c r="H5571" t="s">
        <v>5577</v>
      </c>
    </row>
    <row r="5572" spans="8:8" x14ac:dyDescent="0.25">
      <c r="H5572" t="s">
        <v>31</v>
      </c>
    </row>
    <row r="5574" spans="8:8" x14ac:dyDescent="0.25">
      <c r="H5574" t="s">
        <v>3358</v>
      </c>
    </row>
    <row r="5575" spans="8:8" x14ac:dyDescent="0.25">
      <c r="H5575" t="s">
        <v>3964</v>
      </c>
    </row>
    <row r="5576" spans="8:8" x14ac:dyDescent="0.25">
      <c r="H5576" t="s">
        <v>145</v>
      </c>
    </row>
    <row r="5577" spans="8:8" x14ac:dyDescent="0.25">
      <c r="H5577" t="s">
        <v>5578</v>
      </c>
    </row>
    <row r="5578" spans="8:8" x14ac:dyDescent="0.25">
      <c r="H5578" t="s">
        <v>31</v>
      </c>
    </row>
    <row r="5580" spans="8:8" x14ac:dyDescent="0.25">
      <c r="H5580" t="s">
        <v>3360</v>
      </c>
    </row>
    <row r="5581" spans="8:8" x14ac:dyDescent="0.25">
      <c r="H5581" t="s">
        <v>145</v>
      </c>
    </row>
    <row r="5582" spans="8:8" x14ac:dyDescent="0.25">
      <c r="H5582" t="s">
        <v>5579</v>
      </c>
    </row>
    <row r="5583" spans="8:8" x14ac:dyDescent="0.25">
      <c r="H5583" t="s">
        <v>31</v>
      </c>
    </row>
    <row r="5585" spans="8:8" x14ac:dyDescent="0.25">
      <c r="H5585" t="s">
        <v>3362</v>
      </c>
    </row>
    <row r="5586" spans="8:8" x14ac:dyDescent="0.25">
      <c r="H5586" t="s">
        <v>145</v>
      </c>
    </row>
    <row r="5587" spans="8:8" x14ac:dyDescent="0.25">
      <c r="H5587" t="s">
        <v>5580</v>
      </c>
    </row>
    <row r="5588" spans="8:8" x14ac:dyDescent="0.25">
      <c r="H5588" t="s">
        <v>31</v>
      </c>
    </row>
    <row r="5590" spans="8:8" x14ac:dyDescent="0.25">
      <c r="H5590" t="s">
        <v>3364</v>
      </c>
    </row>
    <row r="5591" spans="8:8" x14ac:dyDescent="0.25">
      <c r="H5591" t="s">
        <v>145</v>
      </c>
    </row>
    <row r="5592" spans="8:8" x14ac:dyDescent="0.25">
      <c r="H5592" t="s">
        <v>5581</v>
      </c>
    </row>
    <row r="5593" spans="8:8" x14ac:dyDescent="0.25">
      <c r="H5593" t="s">
        <v>31</v>
      </c>
    </row>
    <row r="5595" spans="8:8" x14ac:dyDescent="0.25">
      <c r="H5595" t="s">
        <v>3366</v>
      </c>
    </row>
    <row r="5596" spans="8:8" x14ac:dyDescent="0.25">
      <c r="H5596" t="s">
        <v>145</v>
      </c>
    </row>
    <row r="5597" spans="8:8" x14ac:dyDescent="0.25">
      <c r="H5597" t="s">
        <v>5582</v>
      </c>
    </row>
    <row r="5598" spans="8:8" x14ac:dyDescent="0.25">
      <c r="H5598" t="s">
        <v>31</v>
      </c>
    </row>
    <row r="5600" spans="8:8" x14ac:dyDescent="0.25">
      <c r="H5600" t="s">
        <v>3370</v>
      </c>
    </row>
    <row r="5601" spans="8:8" x14ac:dyDescent="0.25">
      <c r="H5601" t="s">
        <v>145</v>
      </c>
    </row>
    <row r="5602" spans="8:8" x14ac:dyDescent="0.25">
      <c r="H5602" t="s">
        <v>5583</v>
      </c>
    </row>
    <row r="5603" spans="8:8" x14ac:dyDescent="0.25">
      <c r="H5603" t="s">
        <v>31</v>
      </c>
    </row>
    <row r="5605" spans="8:8" x14ac:dyDescent="0.25">
      <c r="H5605" t="s">
        <v>3375</v>
      </c>
    </row>
    <row r="5606" spans="8:8" x14ac:dyDescent="0.25">
      <c r="H5606" t="s">
        <v>145</v>
      </c>
    </row>
    <row r="5607" spans="8:8" x14ac:dyDescent="0.25">
      <c r="H5607" t="s">
        <v>5584</v>
      </c>
    </row>
    <row r="5608" spans="8:8" x14ac:dyDescent="0.25">
      <c r="H5608" t="s">
        <v>31</v>
      </c>
    </row>
    <row r="5610" spans="8:8" x14ac:dyDescent="0.25">
      <c r="H5610" t="s">
        <v>3377</v>
      </c>
    </row>
    <row r="5611" spans="8:8" x14ac:dyDescent="0.25">
      <c r="H5611" t="s">
        <v>145</v>
      </c>
    </row>
    <row r="5612" spans="8:8" x14ac:dyDescent="0.25">
      <c r="H5612" t="s">
        <v>5585</v>
      </c>
    </row>
    <row r="5613" spans="8:8" x14ac:dyDescent="0.25">
      <c r="H5613" t="s">
        <v>31</v>
      </c>
    </row>
    <row r="5615" spans="8:8" x14ac:dyDescent="0.25">
      <c r="H5615" t="s">
        <v>3379</v>
      </c>
    </row>
    <row r="5616" spans="8:8" x14ac:dyDescent="0.25">
      <c r="H5616" t="s">
        <v>145</v>
      </c>
    </row>
    <row r="5617" spans="8:8" x14ac:dyDescent="0.25">
      <c r="H5617" t="s">
        <v>5586</v>
      </c>
    </row>
    <row r="5618" spans="8:8" x14ac:dyDescent="0.25">
      <c r="H5618" t="s">
        <v>31</v>
      </c>
    </row>
    <row r="5620" spans="8:8" x14ac:dyDescent="0.25">
      <c r="H5620" t="s">
        <v>3381</v>
      </c>
    </row>
    <row r="5621" spans="8:8" x14ac:dyDescent="0.25">
      <c r="H5621" t="s">
        <v>145</v>
      </c>
    </row>
    <row r="5622" spans="8:8" x14ac:dyDescent="0.25">
      <c r="H5622" t="s">
        <v>5587</v>
      </c>
    </row>
    <row r="5623" spans="8:8" x14ac:dyDescent="0.25">
      <c r="H5623" t="s">
        <v>31</v>
      </c>
    </row>
    <row r="5625" spans="8:8" x14ac:dyDescent="0.25">
      <c r="H5625" t="s">
        <v>3383</v>
      </c>
    </row>
    <row r="5626" spans="8:8" x14ac:dyDescent="0.25">
      <c r="H5626" t="s">
        <v>145</v>
      </c>
    </row>
    <row r="5627" spans="8:8" x14ac:dyDescent="0.25">
      <c r="H5627" t="s">
        <v>5588</v>
      </c>
    </row>
    <row r="5628" spans="8:8" x14ac:dyDescent="0.25">
      <c r="H5628" t="s">
        <v>31</v>
      </c>
    </row>
    <row r="5630" spans="8:8" x14ac:dyDescent="0.25">
      <c r="H5630" t="s">
        <v>3385</v>
      </c>
    </row>
    <row r="5631" spans="8:8" x14ac:dyDescent="0.25">
      <c r="H5631" t="s">
        <v>145</v>
      </c>
    </row>
    <row r="5632" spans="8:8" x14ac:dyDescent="0.25">
      <c r="H5632" t="s">
        <v>5589</v>
      </c>
    </row>
    <row r="5633" spans="8:8" x14ac:dyDescent="0.25">
      <c r="H5633" t="s">
        <v>31</v>
      </c>
    </row>
    <row r="5635" spans="8:8" x14ac:dyDescent="0.25">
      <c r="H5635" t="s">
        <v>3387</v>
      </c>
    </row>
    <row r="5636" spans="8:8" x14ac:dyDescent="0.25">
      <c r="H5636" t="s">
        <v>145</v>
      </c>
    </row>
    <row r="5637" spans="8:8" x14ac:dyDescent="0.25">
      <c r="H5637" t="s">
        <v>5590</v>
      </c>
    </row>
    <row r="5638" spans="8:8" x14ac:dyDescent="0.25">
      <c r="H5638" t="s">
        <v>31</v>
      </c>
    </row>
    <row r="5640" spans="8:8" x14ac:dyDescent="0.25">
      <c r="H5640" t="s">
        <v>3392</v>
      </c>
    </row>
    <row r="5641" spans="8:8" x14ac:dyDescent="0.25">
      <c r="H5641" t="s">
        <v>145</v>
      </c>
    </row>
    <row r="5642" spans="8:8" x14ac:dyDescent="0.25">
      <c r="H5642" t="s">
        <v>5591</v>
      </c>
    </row>
    <row r="5643" spans="8:8" x14ac:dyDescent="0.25">
      <c r="H5643" t="s">
        <v>31</v>
      </c>
    </row>
    <row r="5645" spans="8:8" x14ac:dyDescent="0.25">
      <c r="H5645" t="s">
        <v>3397</v>
      </c>
    </row>
    <row r="5646" spans="8:8" x14ac:dyDescent="0.25">
      <c r="H5646" t="s">
        <v>145</v>
      </c>
    </row>
    <row r="5647" spans="8:8" x14ac:dyDescent="0.25">
      <c r="H5647" t="s">
        <v>5592</v>
      </c>
    </row>
    <row r="5648" spans="8:8" x14ac:dyDescent="0.25">
      <c r="H5648" t="s">
        <v>31</v>
      </c>
    </row>
    <row r="5650" spans="8:8" x14ac:dyDescent="0.25">
      <c r="H5650" t="s">
        <v>3402</v>
      </c>
    </row>
    <row r="5651" spans="8:8" x14ac:dyDescent="0.25">
      <c r="H5651" t="s">
        <v>145</v>
      </c>
    </row>
    <row r="5652" spans="8:8" x14ac:dyDescent="0.25">
      <c r="H5652" t="s">
        <v>5593</v>
      </c>
    </row>
    <row r="5653" spans="8:8" x14ac:dyDescent="0.25">
      <c r="H5653" t="s">
        <v>31</v>
      </c>
    </row>
    <row r="5655" spans="8:8" x14ac:dyDescent="0.25">
      <c r="H5655" t="s">
        <v>3407</v>
      </c>
    </row>
    <row r="5656" spans="8:8" x14ac:dyDescent="0.25">
      <c r="H5656" t="s">
        <v>145</v>
      </c>
    </row>
    <row r="5657" spans="8:8" x14ac:dyDescent="0.25">
      <c r="H5657" t="s">
        <v>5594</v>
      </c>
    </row>
    <row r="5658" spans="8:8" x14ac:dyDescent="0.25">
      <c r="H5658" t="s">
        <v>31</v>
      </c>
    </row>
    <row r="5660" spans="8:8" x14ac:dyDescent="0.25">
      <c r="H5660" t="s">
        <v>3410</v>
      </c>
    </row>
    <row r="5661" spans="8:8" x14ac:dyDescent="0.25">
      <c r="H5661" t="s">
        <v>145</v>
      </c>
    </row>
    <row r="5662" spans="8:8" x14ac:dyDescent="0.25">
      <c r="H5662" t="s">
        <v>5595</v>
      </c>
    </row>
    <row r="5663" spans="8:8" x14ac:dyDescent="0.25">
      <c r="H5663" t="s">
        <v>31</v>
      </c>
    </row>
    <row r="5665" spans="8:8" x14ac:dyDescent="0.25">
      <c r="H5665" t="s">
        <v>3412</v>
      </c>
    </row>
    <row r="5666" spans="8:8" x14ac:dyDescent="0.25">
      <c r="H5666" t="s">
        <v>145</v>
      </c>
    </row>
    <row r="5667" spans="8:8" x14ac:dyDescent="0.25">
      <c r="H5667" t="s">
        <v>5596</v>
      </c>
    </row>
    <row r="5668" spans="8:8" x14ac:dyDescent="0.25">
      <c r="H5668" t="s">
        <v>31</v>
      </c>
    </row>
    <row r="5670" spans="8:8" x14ac:dyDescent="0.25">
      <c r="H5670" t="s">
        <v>3414</v>
      </c>
    </row>
    <row r="5671" spans="8:8" x14ac:dyDescent="0.25">
      <c r="H5671" t="s">
        <v>145</v>
      </c>
    </row>
    <row r="5672" spans="8:8" x14ac:dyDescent="0.25">
      <c r="H5672" t="s">
        <v>5597</v>
      </c>
    </row>
    <row r="5673" spans="8:8" x14ac:dyDescent="0.25">
      <c r="H5673" t="s">
        <v>31</v>
      </c>
    </row>
    <row r="5675" spans="8:8" x14ac:dyDescent="0.25">
      <c r="H5675" t="s">
        <v>3416</v>
      </c>
    </row>
    <row r="5676" spans="8:8" x14ac:dyDescent="0.25">
      <c r="H5676" t="s">
        <v>145</v>
      </c>
    </row>
    <row r="5677" spans="8:8" x14ac:dyDescent="0.25">
      <c r="H5677" t="s">
        <v>5598</v>
      </c>
    </row>
    <row r="5678" spans="8:8" x14ac:dyDescent="0.25">
      <c r="H5678" t="s">
        <v>31</v>
      </c>
    </row>
    <row r="5680" spans="8:8" x14ac:dyDescent="0.25">
      <c r="H5680" t="s">
        <v>3418</v>
      </c>
    </row>
    <row r="5681" spans="8:8" x14ac:dyDescent="0.25">
      <c r="H5681" t="s">
        <v>145</v>
      </c>
    </row>
    <row r="5682" spans="8:8" x14ac:dyDescent="0.25">
      <c r="H5682" t="s">
        <v>5599</v>
      </c>
    </row>
    <row r="5683" spans="8:8" x14ac:dyDescent="0.25">
      <c r="H5683" t="s">
        <v>31</v>
      </c>
    </row>
    <row r="5685" spans="8:8" x14ac:dyDescent="0.25">
      <c r="H5685" t="s">
        <v>3420</v>
      </c>
    </row>
    <row r="5686" spans="8:8" x14ac:dyDescent="0.25">
      <c r="H5686" t="s">
        <v>145</v>
      </c>
    </row>
    <row r="5687" spans="8:8" x14ac:dyDescent="0.25">
      <c r="H5687" t="s">
        <v>5600</v>
      </c>
    </row>
    <row r="5688" spans="8:8" x14ac:dyDescent="0.25">
      <c r="H5688" t="s">
        <v>31</v>
      </c>
    </row>
    <row r="5690" spans="8:8" x14ac:dyDescent="0.25">
      <c r="H5690" t="s">
        <v>3422</v>
      </c>
    </row>
    <row r="5691" spans="8:8" x14ac:dyDescent="0.25">
      <c r="H5691" t="s">
        <v>145</v>
      </c>
    </row>
    <row r="5692" spans="8:8" x14ac:dyDescent="0.25">
      <c r="H5692" t="s">
        <v>5601</v>
      </c>
    </row>
    <row r="5693" spans="8:8" x14ac:dyDescent="0.25">
      <c r="H5693" t="s">
        <v>31</v>
      </c>
    </row>
    <row r="5695" spans="8:8" x14ac:dyDescent="0.25">
      <c r="H5695" t="s">
        <v>3424</v>
      </c>
    </row>
    <row r="5696" spans="8:8" x14ac:dyDescent="0.25">
      <c r="H5696" t="s">
        <v>145</v>
      </c>
    </row>
    <row r="5697" spans="8:8" x14ac:dyDescent="0.25">
      <c r="H5697" t="s">
        <v>5602</v>
      </c>
    </row>
    <row r="5698" spans="8:8" x14ac:dyDescent="0.25">
      <c r="H5698" t="s">
        <v>31</v>
      </c>
    </row>
    <row r="5700" spans="8:8" x14ac:dyDescent="0.25">
      <c r="H5700" t="s">
        <v>3426</v>
      </c>
    </row>
    <row r="5701" spans="8:8" x14ac:dyDescent="0.25">
      <c r="H5701" t="s">
        <v>145</v>
      </c>
    </row>
    <row r="5702" spans="8:8" x14ac:dyDescent="0.25">
      <c r="H5702" t="s">
        <v>5603</v>
      </c>
    </row>
    <row r="5703" spans="8:8" x14ac:dyDescent="0.25">
      <c r="H5703" t="s">
        <v>31</v>
      </c>
    </row>
    <row r="5705" spans="8:8" x14ac:dyDescent="0.25">
      <c r="H5705" t="s">
        <v>3428</v>
      </c>
    </row>
    <row r="5706" spans="8:8" x14ac:dyDescent="0.25">
      <c r="H5706" t="s">
        <v>145</v>
      </c>
    </row>
    <row r="5707" spans="8:8" x14ac:dyDescent="0.25">
      <c r="H5707" t="s">
        <v>5604</v>
      </c>
    </row>
    <row r="5708" spans="8:8" x14ac:dyDescent="0.25">
      <c r="H5708" t="s">
        <v>31</v>
      </c>
    </row>
    <row r="5710" spans="8:8" x14ac:dyDescent="0.25">
      <c r="H5710" t="s">
        <v>3430</v>
      </c>
    </row>
    <row r="5711" spans="8:8" x14ac:dyDescent="0.25">
      <c r="H5711" t="s">
        <v>145</v>
      </c>
    </row>
    <row r="5712" spans="8:8" x14ac:dyDescent="0.25">
      <c r="H5712" t="s">
        <v>5605</v>
      </c>
    </row>
    <row r="5713" spans="8:8" x14ac:dyDescent="0.25">
      <c r="H5713" t="s">
        <v>31</v>
      </c>
    </row>
    <row r="5715" spans="8:8" x14ac:dyDescent="0.25">
      <c r="H5715" t="s">
        <v>3432</v>
      </c>
    </row>
    <row r="5716" spans="8:8" x14ac:dyDescent="0.25">
      <c r="H5716" t="s">
        <v>145</v>
      </c>
    </row>
    <row r="5717" spans="8:8" x14ac:dyDescent="0.25">
      <c r="H5717" t="s">
        <v>5606</v>
      </c>
    </row>
    <row r="5718" spans="8:8" x14ac:dyDescent="0.25">
      <c r="H5718" t="s">
        <v>31</v>
      </c>
    </row>
    <row r="5720" spans="8:8" x14ac:dyDescent="0.25">
      <c r="H5720" t="s">
        <v>3434</v>
      </c>
    </row>
    <row r="5721" spans="8:8" x14ac:dyDescent="0.25">
      <c r="H5721" t="s">
        <v>145</v>
      </c>
    </row>
    <row r="5722" spans="8:8" x14ac:dyDescent="0.25">
      <c r="H5722" t="s">
        <v>5607</v>
      </c>
    </row>
    <row r="5723" spans="8:8" x14ac:dyDescent="0.25">
      <c r="H5723" t="s">
        <v>31</v>
      </c>
    </row>
    <row r="5725" spans="8:8" x14ac:dyDescent="0.25">
      <c r="H5725" t="s">
        <v>3436</v>
      </c>
    </row>
    <row r="5726" spans="8:8" x14ac:dyDescent="0.25">
      <c r="H5726" t="s">
        <v>145</v>
      </c>
    </row>
    <row r="5727" spans="8:8" x14ac:dyDescent="0.25">
      <c r="H5727" t="s">
        <v>5608</v>
      </c>
    </row>
    <row r="5728" spans="8:8" x14ac:dyDescent="0.25">
      <c r="H5728" t="s">
        <v>31</v>
      </c>
    </row>
    <row r="5730" spans="8:8" x14ac:dyDescent="0.25">
      <c r="H5730" t="s">
        <v>3438</v>
      </c>
    </row>
    <row r="5731" spans="8:8" x14ac:dyDescent="0.25">
      <c r="H5731" t="s">
        <v>145</v>
      </c>
    </row>
    <row r="5732" spans="8:8" x14ac:dyDescent="0.25">
      <c r="H5732" t="s">
        <v>5609</v>
      </c>
    </row>
    <row r="5733" spans="8:8" x14ac:dyDescent="0.25">
      <c r="H5733" t="s">
        <v>31</v>
      </c>
    </row>
    <row r="5735" spans="8:8" x14ac:dyDescent="0.25">
      <c r="H5735" t="s">
        <v>3440</v>
      </c>
    </row>
    <row r="5736" spans="8:8" x14ac:dyDescent="0.25">
      <c r="H5736" t="s">
        <v>145</v>
      </c>
    </row>
    <row r="5737" spans="8:8" x14ac:dyDescent="0.25">
      <c r="H5737" t="s">
        <v>5610</v>
      </c>
    </row>
    <row r="5738" spans="8:8" x14ac:dyDescent="0.25">
      <c r="H5738" t="s">
        <v>31</v>
      </c>
    </row>
    <row r="5740" spans="8:8" x14ac:dyDescent="0.25">
      <c r="H5740" t="s">
        <v>3442</v>
      </c>
    </row>
    <row r="5741" spans="8:8" x14ac:dyDescent="0.25">
      <c r="H5741" t="s">
        <v>145</v>
      </c>
    </row>
    <row r="5742" spans="8:8" x14ac:dyDescent="0.25">
      <c r="H5742" t="s">
        <v>5611</v>
      </c>
    </row>
    <row r="5743" spans="8:8" x14ac:dyDescent="0.25">
      <c r="H5743" t="s">
        <v>31</v>
      </c>
    </row>
    <row r="5745" spans="8:8" x14ac:dyDescent="0.25">
      <c r="H5745" t="s">
        <v>3444</v>
      </c>
    </row>
    <row r="5746" spans="8:8" x14ac:dyDescent="0.25">
      <c r="H5746" t="s">
        <v>145</v>
      </c>
    </row>
    <row r="5747" spans="8:8" x14ac:dyDescent="0.25">
      <c r="H5747" t="s">
        <v>5612</v>
      </c>
    </row>
    <row r="5748" spans="8:8" x14ac:dyDescent="0.25">
      <c r="H5748" t="s">
        <v>31</v>
      </c>
    </row>
    <row r="5750" spans="8:8" x14ac:dyDescent="0.25">
      <c r="H5750" t="s">
        <v>3446</v>
      </c>
    </row>
    <row r="5751" spans="8:8" x14ac:dyDescent="0.25">
      <c r="H5751" t="s">
        <v>145</v>
      </c>
    </row>
    <row r="5752" spans="8:8" x14ac:dyDescent="0.25">
      <c r="H5752" t="s">
        <v>5613</v>
      </c>
    </row>
    <row r="5753" spans="8:8" x14ac:dyDescent="0.25">
      <c r="H5753" t="s">
        <v>31</v>
      </c>
    </row>
    <row r="5755" spans="8:8" x14ac:dyDescent="0.25">
      <c r="H5755" t="s">
        <v>3448</v>
      </c>
    </row>
    <row r="5756" spans="8:8" x14ac:dyDescent="0.25">
      <c r="H5756" t="s">
        <v>145</v>
      </c>
    </row>
    <row r="5757" spans="8:8" x14ac:dyDescent="0.25">
      <c r="H5757" t="s">
        <v>5614</v>
      </c>
    </row>
    <row r="5758" spans="8:8" x14ac:dyDescent="0.25">
      <c r="H5758" t="s">
        <v>31</v>
      </c>
    </row>
    <row r="5760" spans="8:8" x14ac:dyDescent="0.25">
      <c r="H5760" t="s">
        <v>3450</v>
      </c>
    </row>
    <row r="5761" spans="8:8" x14ac:dyDescent="0.25">
      <c r="H5761" t="s">
        <v>145</v>
      </c>
    </row>
    <row r="5762" spans="8:8" x14ac:dyDescent="0.25">
      <c r="H5762" t="s">
        <v>5615</v>
      </c>
    </row>
    <row r="5763" spans="8:8" x14ac:dyDescent="0.25">
      <c r="H5763" t="s">
        <v>31</v>
      </c>
    </row>
    <row r="5765" spans="8:8" x14ac:dyDescent="0.25">
      <c r="H5765" t="s">
        <v>3452</v>
      </c>
    </row>
    <row r="5766" spans="8:8" x14ac:dyDescent="0.25">
      <c r="H5766" t="s">
        <v>145</v>
      </c>
    </row>
    <row r="5767" spans="8:8" x14ac:dyDescent="0.25">
      <c r="H5767" t="s">
        <v>5616</v>
      </c>
    </row>
    <row r="5768" spans="8:8" x14ac:dyDescent="0.25">
      <c r="H5768" t="s">
        <v>31</v>
      </c>
    </row>
    <row r="5770" spans="8:8" x14ac:dyDescent="0.25">
      <c r="H5770" t="s">
        <v>3454</v>
      </c>
    </row>
    <row r="5771" spans="8:8" x14ac:dyDescent="0.25">
      <c r="H5771" t="s">
        <v>145</v>
      </c>
    </row>
    <row r="5772" spans="8:8" x14ac:dyDescent="0.25">
      <c r="H5772" t="s">
        <v>5617</v>
      </c>
    </row>
    <row r="5773" spans="8:8" x14ac:dyDescent="0.25">
      <c r="H5773" t="s">
        <v>31</v>
      </c>
    </row>
    <row r="5775" spans="8:8" x14ac:dyDescent="0.25">
      <c r="H5775" t="s">
        <v>3456</v>
      </c>
    </row>
    <row r="5776" spans="8:8" x14ac:dyDescent="0.25">
      <c r="H5776" t="s">
        <v>145</v>
      </c>
    </row>
    <row r="5777" spans="8:8" x14ac:dyDescent="0.25">
      <c r="H5777" t="s">
        <v>5618</v>
      </c>
    </row>
    <row r="5778" spans="8:8" x14ac:dyDescent="0.25">
      <c r="H5778" t="s">
        <v>31</v>
      </c>
    </row>
    <row r="5780" spans="8:8" x14ac:dyDescent="0.25">
      <c r="H5780" t="s">
        <v>3458</v>
      </c>
    </row>
    <row r="5781" spans="8:8" x14ac:dyDescent="0.25">
      <c r="H5781" t="s">
        <v>145</v>
      </c>
    </row>
    <row r="5782" spans="8:8" x14ac:dyDescent="0.25">
      <c r="H5782" t="s">
        <v>5619</v>
      </c>
    </row>
    <row r="5783" spans="8:8" x14ac:dyDescent="0.25">
      <c r="H5783" t="s">
        <v>31</v>
      </c>
    </row>
    <row r="5785" spans="8:8" x14ac:dyDescent="0.25">
      <c r="H5785" t="s">
        <v>3460</v>
      </c>
    </row>
    <row r="5786" spans="8:8" x14ac:dyDescent="0.25">
      <c r="H5786" t="s">
        <v>145</v>
      </c>
    </row>
    <row r="5787" spans="8:8" x14ac:dyDescent="0.25">
      <c r="H5787" t="s">
        <v>5620</v>
      </c>
    </row>
    <row r="5788" spans="8:8" x14ac:dyDescent="0.25">
      <c r="H5788" t="s">
        <v>31</v>
      </c>
    </row>
    <row r="5790" spans="8:8" x14ac:dyDescent="0.25">
      <c r="H5790" t="s">
        <v>3462</v>
      </c>
    </row>
    <row r="5791" spans="8:8" x14ac:dyDescent="0.25">
      <c r="H5791" t="s">
        <v>145</v>
      </c>
    </row>
    <row r="5792" spans="8:8" x14ac:dyDescent="0.25">
      <c r="H5792" t="s">
        <v>5621</v>
      </c>
    </row>
    <row r="5793" spans="8:8" x14ac:dyDescent="0.25">
      <c r="H5793" t="s">
        <v>31</v>
      </c>
    </row>
    <row r="5795" spans="8:8" x14ac:dyDescent="0.25">
      <c r="H5795" t="s">
        <v>3464</v>
      </c>
    </row>
    <row r="5796" spans="8:8" x14ac:dyDescent="0.25">
      <c r="H5796" t="s">
        <v>145</v>
      </c>
    </row>
    <row r="5797" spans="8:8" x14ac:dyDescent="0.25">
      <c r="H5797" t="s">
        <v>5622</v>
      </c>
    </row>
    <row r="5798" spans="8:8" x14ac:dyDescent="0.25">
      <c r="H5798" t="s">
        <v>31</v>
      </c>
    </row>
    <row r="5800" spans="8:8" x14ac:dyDescent="0.25">
      <c r="H5800" t="s">
        <v>3466</v>
      </c>
    </row>
    <row r="5801" spans="8:8" x14ac:dyDescent="0.25">
      <c r="H5801" t="s">
        <v>145</v>
      </c>
    </row>
    <row r="5802" spans="8:8" x14ac:dyDescent="0.25">
      <c r="H5802" t="s">
        <v>5623</v>
      </c>
    </row>
    <row r="5803" spans="8:8" x14ac:dyDescent="0.25">
      <c r="H5803" t="s">
        <v>31</v>
      </c>
    </row>
    <row r="5805" spans="8:8" x14ac:dyDescent="0.25">
      <c r="H5805" t="s">
        <v>3468</v>
      </c>
    </row>
    <row r="5806" spans="8:8" x14ac:dyDescent="0.25">
      <c r="H5806" t="s">
        <v>145</v>
      </c>
    </row>
    <row r="5807" spans="8:8" x14ac:dyDescent="0.25">
      <c r="H5807" t="s">
        <v>5624</v>
      </c>
    </row>
    <row r="5808" spans="8:8" x14ac:dyDescent="0.25">
      <c r="H5808" t="s">
        <v>31</v>
      </c>
    </row>
    <row r="5810" spans="8:8" x14ac:dyDescent="0.25">
      <c r="H5810" t="s">
        <v>3470</v>
      </c>
    </row>
    <row r="5811" spans="8:8" x14ac:dyDescent="0.25">
      <c r="H5811" t="s">
        <v>145</v>
      </c>
    </row>
    <row r="5812" spans="8:8" x14ac:dyDescent="0.25">
      <c r="H5812" t="s">
        <v>5625</v>
      </c>
    </row>
    <row r="5813" spans="8:8" x14ac:dyDescent="0.25">
      <c r="H5813" t="s">
        <v>31</v>
      </c>
    </row>
    <row r="5815" spans="8:8" x14ac:dyDescent="0.25">
      <c r="H5815" t="s">
        <v>3472</v>
      </c>
    </row>
    <row r="5816" spans="8:8" x14ac:dyDescent="0.25">
      <c r="H5816" t="s">
        <v>145</v>
      </c>
    </row>
    <row r="5817" spans="8:8" x14ac:dyDescent="0.25">
      <c r="H5817" t="s">
        <v>5626</v>
      </c>
    </row>
    <row r="5818" spans="8:8" x14ac:dyDescent="0.25">
      <c r="H5818" t="s">
        <v>31</v>
      </c>
    </row>
    <row r="5820" spans="8:8" x14ac:dyDescent="0.25">
      <c r="H5820" t="s">
        <v>3474</v>
      </c>
    </row>
    <row r="5821" spans="8:8" x14ac:dyDescent="0.25">
      <c r="H5821" t="s">
        <v>145</v>
      </c>
    </row>
    <row r="5822" spans="8:8" x14ac:dyDescent="0.25">
      <c r="H5822" t="s">
        <v>5627</v>
      </c>
    </row>
    <row r="5823" spans="8:8" x14ac:dyDescent="0.25">
      <c r="H5823" t="s">
        <v>31</v>
      </c>
    </row>
    <row r="5825" spans="8:8" x14ac:dyDescent="0.25">
      <c r="H5825" t="s">
        <v>3476</v>
      </c>
    </row>
    <row r="5826" spans="8:8" x14ac:dyDescent="0.25">
      <c r="H5826" t="s">
        <v>145</v>
      </c>
    </row>
    <row r="5827" spans="8:8" x14ac:dyDescent="0.25">
      <c r="H5827" t="s">
        <v>5628</v>
      </c>
    </row>
    <row r="5828" spans="8:8" x14ac:dyDescent="0.25">
      <c r="H5828" t="s">
        <v>31</v>
      </c>
    </row>
    <row r="5830" spans="8:8" x14ac:dyDescent="0.25">
      <c r="H5830" t="s">
        <v>3478</v>
      </c>
    </row>
    <row r="5831" spans="8:8" x14ac:dyDescent="0.25">
      <c r="H5831" t="s">
        <v>145</v>
      </c>
    </row>
    <row r="5832" spans="8:8" x14ac:dyDescent="0.25">
      <c r="H5832" t="s">
        <v>5629</v>
      </c>
    </row>
    <row r="5833" spans="8:8" x14ac:dyDescent="0.25">
      <c r="H5833" t="s">
        <v>31</v>
      </c>
    </row>
    <row r="5835" spans="8:8" x14ac:dyDescent="0.25">
      <c r="H5835" t="s">
        <v>3480</v>
      </c>
    </row>
    <row r="5836" spans="8:8" x14ac:dyDescent="0.25">
      <c r="H5836" t="s">
        <v>145</v>
      </c>
    </row>
    <row r="5837" spans="8:8" x14ac:dyDescent="0.25">
      <c r="H5837" t="s">
        <v>5630</v>
      </c>
    </row>
    <row r="5838" spans="8:8" x14ac:dyDescent="0.25">
      <c r="H5838" t="s">
        <v>31</v>
      </c>
    </row>
    <row r="5840" spans="8:8" x14ac:dyDescent="0.25">
      <c r="H5840" t="s">
        <v>3482</v>
      </c>
    </row>
    <row r="5841" spans="8:8" x14ac:dyDescent="0.25">
      <c r="H5841" t="s">
        <v>145</v>
      </c>
    </row>
    <row r="5842" spans="8:8" x14ac:dyDescent="0.25">
      <c r="H5842" t="s">
        <v>5631</v>
      </c>
    </row>
    <row r="5843" spans="8:8" x14ac:dyDescent="0.25">
      <c r="H5843" t="s">
        <v>31</v>
      </c>
    </row>
    <row r="5845" spans="8:8" x14ac:dyDescent="0.25">
      <c r="H5845" t="s">
        <v>3484</v>
      </c>
    </row>
    <row r="5846" spans="8:8" x14ac:dyDescent="0.25">
      <c r="H5846" t="s">
        <v>145</v>
      </c>
    </row>
    <row r="5847" spans="8:8" x14ac:dyDescent="0.25">
      <c r="H5847" t="s">
        <v>5632</v>
      </c>
    </row>
    <row r="5848" spans="8:8" x14ac:dyDescent="0.25">
      <c r="H5848" t="s">
        <v>31</v>
      </c>
    </row>
    <row r="5850" spans="8:8" x14ac:dyDescent="0.25">
      <c r="H5850" t="s">
        <v>3486</v>
      </c>
    </row>
    <row r="5851" spans="8:8" x14ac:dyDescent="0.25">
      <c r="H5851" t="s">
        <v>145</v>
      </c>
    </row>
    <row r="5852" spans="8:8" x14ac:dyDescent="0.25">
      <c r="H5852" t="s">
        <v>5633</v>
      </c>
    </row>
    <row r="5853" spans="8:8" x14ac:dyDescent="0.25">
      <c r="H5853" t="s">
        <v>31</v>
      </c>
    </row>
    <row r="5855" spans="8:8" x14ac:dyDescent="0.25">
      <c r="H5855" t="s">
        <v>3488</v>
      </c>
    </row>
    <row r="5856" spans="8:8" x14ac:dyDescent="0.25">
      <c r="H5856" t="s">
        <v>145</v>
      </c>
    </row>
    <row r="5857" spans="8:8" x14ac:dyDescent="0.25">
      <c r="H5857" t="s">
        <v>5634</v>
      </c>
    </row>
    <row r="5858" spans="8:8" x14ac:dyDescent="0.25">
      <c r="H5858" t="s">
        <v>31</v>
      </c>
    </row>
    <row r="5860" spans="8:8" x14ac:dyDescent="0.25">
      <c r="H5860" t="s">
        <v>3490</v>
      </c>
    </row>
    <row r="5861" spans="8:8" x14ac:dyDescent="0.25">
      <c r="H5861" t="s">
        <v>145</v>
      </c>
    </row>
    <row r="5862" spans="8:8" x14ac:dyDescent="0.25">
      <c r="H5862" t="s">
        <v>5635</v>
      </c>
    </row>
    <row r="5863" spans="8:8" x14ac:dyDescent="0.25">
      <c r="H5863" t="s">
        <v>31</v>
      </c>
    </row>
    <row r="5865" spans="8:8" x14ac:dyDescent="0.25">
      <c r="H5865" t="s">
        <v>3492</v>
      </c>
    </row>
    <row r="5866" spans="8:8" x14ac:dyDescent="0.25">
      <c r="H5866" t="s">
        <v>145</v>
      </c>
    </row>
    <row r="5867" spans="8:8" x14ac:dyDescent="0.25">
      <c r="H5867" t="s">
        <v>5636</v>
      </c>
    </row>
    <row r="5868" spans="8:8" x14ac:dyDescent="0.25">
      <c r="H5868" t="s">
        <v>31</v>
      </c>
    </row>
    <row r="5870" spans="8:8" x14ac:dyDescent="0.25">
      <c r="H5870" t="s">
        <v>3494</v>
      </c>
    </row>
    <row r="5871" spans="8:8" x14ac:dyDescent="0.25">
      <c r="H5871" t="s">
        <v>145</v>
      </c>
    </row>
    <row r="5872" spans="8:8" x14ac:dyDescent="0.25">
      <c r="H5872" t="s">
        <v>5637</v>
      </c>
    </row>
    <row r="5873" spans="8:8" x14ac:dyDescent="0.25">
      <c r="H5873" t="s">
        <v>31</v>
      </c>
    </row>
    <row r="5875" spans="8:8" x14ac:dyDescent="0.25">
      <c r="H5875" t="s">
        <v>3496</v>
      </c>
    </row>
    <row r="5876" spans="8:8" x14ac:dyDescent="0.25">
      <c r="H5876" t="s">
        <v>145</v>
      </c>
    </row>
    <row r="5877" spans="8:8" x14ac:dyDescent="0.25">
      <c r="H5877" t="s">
        <v>5638</v>
      </c>
    </row>
    <row r="5878" spans="8:8" x14ac:dyDescent="0.25">
      <c r="H5878" t="s">
        <v>31</v>
      </c>
    </row>
    <row r="5880" spans="8:8" x14ac:dyDescent="0.25">
      <c r="H5880" t="s">
        <v>3498</v>
      </c>
    </row>
    <row r="5881" spans="8:8" x14ac:dyDescent="0.25">
      <c r="H5881" t="s">
        <v>145</v>
      </c>
    </row>
    <row r="5882" spans="8:8" x14ac:dyDescent="0.25">
      <c r="H5882" t="s">
        <v>5639</v>
      </c>
    </row>
    <row r="5883" spans="8:8" x14ac:dyDescent="0.25">
      <c r="H5883" t="s">
        <v>31</v>
      </c>
    </row>
    <row r="5885" spans="8:8" x14ac:dyDescent="0.25">
      <c r="H5885" t="s">
        <v>3500</v>
      </c>
    </row>
    <row r="5886" spans="8:8" x14ac:dyDescent="0.25">
      <c r="H5886" t="s">
        <v>145</v>
      </c>
    </row>
    <row r="5887" spans="8:8" x14ac:dyDescent="0.25">
      <c r="H5887" t="s">
        <v>5640</v>
      </c>
    </row>
    <row r="5888" spans="8:8" x14ac:dyDescent="0.25">
      <c r="H5888" t="s">
        <v>31</v>
      </c>
    </row>
    <row r="5890" spans="8:8" x14ac:dyDescent="0.25">
      <c r="H5890" t="s">
        <v>3502</v>
      </c>
    </row>
    <row r="5891" spans="8:8" x14ac:dyDescent="0.25">
      <c r="H5891" t="s">
        <v>145</v>
      </c>
    </row>
    <row r="5892" spans="8:8" x14ac:dyDescent="0.25">
      <c r="H5892" t="s">
        <v>5641</v>
      </c>
    </row>
    <row r="5893" spans="8:8" x14ac:dyDescent="0.25">
      <c r="H5893" t="s">
        <v>31</v>
      </c>
    </row>
    <row r="5895" spans="8:8" x14ac:dyDescent="0.25">
      <c r="H5895" t="s">
        <v>3504</v>
      </c>
    </row>
    <row r="5896" spans="8:8" x14ac:dyDescent="0.25">
      <c r="H5896" t="s">
        <v>145</v>
      </c>
    </row>
    <row r="5897" spans="8:8" x14ac:dyDescent="0.25">
      <c r="H5897" t="s">
        <v>5642</v>
      </c>
    </row>
    <row r="5898" spans="8:8" x14ac:dyDescent="0.25">
      <c r="H5898" t="s">
        <v>31</v>
      </c>
    </row>
    <row r="5900" spans="8:8" x14ac:dyDescent="0.25">
      <c r="H5900" t="s">
        <v>3506</v>
      </c>
    </row>
    <row r="5901" spans="8:8" x14ac:dyDescent="0.25">
      <c r="H5901" t="s">
        <v>145</v>
      </c>
    </row>
    <row r="5902" spans="8:8" x14ac:dyDescent="0.25">
      <c r="H5902" t="s">
        <v>5643</v>
      </c>
    </row>
    <row r="5903" spans="8:8" x14ac:dyDescent="0.25">
      <c r="H5903" t="s">
        <v>31</v>
      </c>
    </row>
    <row r="5905" spans="8:8" x14ac:dyDescent="0.25">
      <c r="H5905" t="s">
        <v>3508</v>
      </c>
    </row>
    <row r="5906" spans="8:8" x14ac:dyDescent="0.25">
      <c r="H5906" t="s">
        <v>145</v>
      </c>
    </row>
    <row r="5907" spans="8:8" x14ac:dyDescent="0.25">
      <c r="H5907" t="s">
        <v>5644</v>
      </c>
    </row>
    <row r="5908" spans="8:8" x14ac:dyDescent="0.25">
      <c r="H5908" t="s">
        <v>31</v>
      </c>
    </row>
    <row r="5910" spans="8:8" x14ac:dyDescent="0.25">
      <c r="H5910" t="s">
        <v>3510</v>
      </c>
    </row>
    <row r="5911" spans="8:8" x14ac:dyDescent="0.25">
      <c r="H5911" t="s">
        <v>145</v>
      </c>
    </row>
    <row r="5912" spans="8:8" x14ac:dyDescent="0.25">
      <c r="H5912" t="s">
        <v>5645</v>
      </c>
    </row>
    <row r="5913" spans="8:8" x14ac:dyDescent="0.25">
      <c r="H5913" t="s">
        <v>31</v>
      </c>
    </row>
    <row r="5915" spans="8:8" x14ac:dyDescent="0.25">
      <c r="H5915" t="s">
        <v>3512</v>
      </c>
    </row>
    <row r="5916" spans="8:8" x14ac:dyDescent="0.25">
      <c r="H5916" t="s">
        <v>145</v>
      </c>
    </row>
    <row r="5917" spans="8:8" x14ac:dyDescent="0.25">
      <c r="H5917" t="s">
        <v>5646</v>
      </c>
    </row>
    <row r="5918" spans="8:8" x14ac:dyDescent="0.25">
      <c r="H5918" t="s">
        <v>31</v>
      </c>
    </row>
    <row r="5920" spans="8:8" x14ac:dyDescent="0.25">
      <c r="H5920" t="s">
        <v>3514</v>
      </c>
    </row>
    <row r="5921" spans="8:8" x14ac:dyDescent="0.25">
      <c r="H5921" t="s">
        <v>145</v>
      </c>
    </row>
    <row r="5922" spans="8:8" x14ac:dyDescent="0.25">
      <c r="H5922" t="s">
        <v>5647</v>
      </c>
    </row>
    <row r="5923" spans="8:8" x14ac:dyDescent="0.25">
      <c r="H5923" t="s">
        <v>31</v>
      </c>
    </row>
    <row r="5925" spans="8:8" x14ac:dyDescent="0.25">
      <c r="H5925" t="s">
        <v>3516</v>
      </c>
    </row>
    <row r="5926" spans="8:8" x14ac:dyDescent="0.25">
      <c r="H5926" t="s">
        <v>145</v>
      </c>
    </row>
    <row r="5927" spans="8:8" x14ac:dyDescent="0.25">
      <c r="H5927" t="s">
        <v>5648</v>
      </c>
    </row>
    <row r="5928" spans="8:8" x14ac:dyDescent="0.25">
      <c r="H5928" t="s">
        <v>31</v>
      </c>
    </row>
    <row r="5930" spans="8:8" x14ac:dyDescent="0.25">
      <c r="H5930" t="s">
        <v>3518</v>
      </c>
    </row>
    <row r="5931" spans="8:8" x14ac:dyDescent="0.25">
      <c r="H5931" t="s">
        <v>145</v>
      </c>
    </row>
    <row r="5932" spans="8:8" x14ac:dyDescent="0.25">
      <c r="H5932" t="s">
        <v>5649</v>
      </c>
    </row>
    <row r="5933" spans="8:8" x14ac:dyDescent="0.25">
      <c r="H5933" t="s">
        <v>31</v>
      </c>
    </row>
    <row r="5935" spans="8:8" x14ac:dyDescent="0.25">
      <c r="H5935" t="s">
        <v>3520</v>
      </c>
    </row>
    <row r="5936" spans="8:8" x14ac:dyDescent="0.25">
      <c r="H5936" t="s">
        <v>145</v>
      </c>
    </row>
    <row r="5937" spans="8:8" x14ac:dyDescent="0.25">
      <c r="H5937" t="s">
        <v>5650</v>
      </c>
    </row>
    <row r="5938" spans="8:8" x14ac:dyDescent="0.25">
      <c r="H5938" t="s">
        <v>31</v>
      </c>
    </row>
    <row r="5940" spans="8:8" x14ac:dyDescent="0.25">
      <c r="H5940" t="s">
        <v>3522</v>
      </c>
    </row>
    <row r="5941" spans="8:8" x14ac:dyDescent="0.25">
      <c r="H5941" t="s">
        <v>145</v>
      </c>
    </row>
    <row r="5942" spans="8:8" x14ac:dyDescent="0.25">
      <c r="H5942" t="s">
        <v>5651</v>
      </c>
    </row>
    <row r="5943" spans="8:8" x14ac:dyDescent="0.25">
      <c r="H5943" t="s">
        <v>31</v>
      </c>
    </row>
    <row r="5945" spans="8:8" x14ac:dyDescent="0.25">
      <c r="H5945" t="s">
        <v>3524</v>
      </c>
    </row>
    <row r="5946" spans="8:8" x14ac:dyDescent="0.25">
      <c r="H5946" t="s">
        <v>145</v>
      </c>
    </row>
    <row r="5947" spans="8:8" x14ac:dyDescent="0.25">
      <c r="H5947" t="s">
        <v>5652</v>
      </c>
    </row>
    <row r="5948" spans="8:8" x14ac:dyDescent="0.25">
      <c r="H5948" t="s">
        <v>31</v>
      </c>
    </row>
    <row r="5950" spans="8:8" x14ac:dyDescent="0.25">
      <c r="H5950" t="s">
        <v>3526</v>
      </c>
    </row>
    <row r="5951" spans="8:8" x14ac:dyDescent="0.25">
      <c r="H5951" t="s">
        <v>145</v>
      </c>
    </row>
    <row r="5952" spans="8:8" x14ac:dyDescent="0.25">
      <c r="H5952" t="s">
        <v>5653</v>
      </c>
    </row>
    <row r="5953" spans="8:8" x14ac:dyDescent="0.25">
      <c r="H5953" t="s">
        <v>31</v>
      </c>
    </row>
    <row r="5955" spans="8:8" x14ac:dyDescent="0.25">
      <c r="H5955" t="s">
        <v>3528</v>
      </c>
    </row>
    <row r="5956" spans="8:8" x14ac:dyDescent="0.25">
      <c r="H5956" t="s">
        <v>145</v>
      </c>
    </row>
    <row r="5957" spans="8:8" x14ac:dyDescent="0.25">
      <c r="H5957" t="s">
        <v>5654</v>
      </c>
    </row>
    <row r="5958" spans="8:8" x14ac:dyDescent="0.25">
      <c r="H5958" t="s">
        <v>31</v>
      </c>
    </row>
    <row r="5960" spans="8:8" x14ac:dyDescent="0.25">
      <c r="H5960" t="s">
        <v>3530</v>
      </c>
    </row>
    <row r="5961" spans="8:8" x14ac:dyDescent="0.25">
      <c r="H5961" t="s">
        <v>145</v>
      </c>
    </row>
    <row r="5962" spans="8:8" x14ac:dyDescent="0.25">
      <c r="H5962" t="s">
        <v>5655</v>
      </c>
    </row>
    <row r="5963" spans="8:8" x14ac:dyDescent="0.25">
      <c r="H5963" t="s">
        <v>31</v>
      </c>
    </row>
    <row r="5965" spans="8:8" x14ac:dyDescent="0.25">
      <c r="H5965" t="s">
        <v>3532</v>
      </c>
    </row>
    <row r="5966" spans="8:8" x14ac:dyDescent="0.25">
      <c r="H5966" t="s">
        <v>145</v>
      </c>
    </row>
    <row r="5967" spans="8:8" x14ac:dyDescent="0.25">
      <c r="H5967" t="s">
        <v>5656</v>
      </c>
    </row>
    <row r="5968" spans="8:8" x14ac:dyDescent="0.25">
      <c r="H5968" t="s">
        <v>31</v>
      </c>
    </row>
    <row r="5970" spans="8:8" x14ac:dyDescent="0.25">
      <c r="H5970" t="s">
        <v>3534</v>
      </c>
    </row>
    <row r="5971" spans="8:8" x14ac:dyDescent="0.25">
      <c r="H5971" t="s">
        <v>145</v>
      </c>
    </row>
    <row r="5972" spans="8:8" x14ac:dyDescent="0.25">
      <c r="H5972" t="s">
        <v>5657</v>
      </c>
    </row>
    <row r="5973" spans="8:8" x14ac:dyDescent="0.25">
      <c r="H5973" t="s">
        <v>31</v>
      </c>
    </row>
    <row r="5975" spans="8:8" x14ac:dyDescent="0.25">
      <c r="H5975" t="s">
        <v>3536</v>
      </c>
    </row>
    <row r="5976" spans="8:8" x14ac:dyDescent="0.25">
      <c r="H5976" t="s">
        <v>145</v>
      </c>
    </row>
    <row r="5977" spans="8:8" x14ac:dyDescent="0.25">
      <c r="H5977" t="s">
        <v>5658</v>
      </c>
    </row>
    <row r="5978" spans="8:8" x14ac:dyDescent="0.25">
      <c r="H5978" t="s">
        <v>31</v>
      </c>
    </row>
    <row r="5980" spans="8:8" x14ac:dyDescent="0.25">
      <c r="H5980" t="s">
        <v>3538</v>
      </c>
    </row>
    <row r="5981" spans="8:8" x14ac:dyDescent="0.25">
      <c r="H5981" t="s">
        <v>145</v>
      </c>
    </row>
    <row r="5982" spans="8:8" x14ac:dyDescent="0.25">
      <c r="H5982" t="s">
        <v>5659</v>
      </c>
    </row>
    <row r="5983" spans="8:8" x14ac:dyDescent="0.25">
      <c r="H5983" t="s">
        <v>31</v>
      </c>
    </row>
    <row r="5985" spans="8:8" x14ac:dyDescent="0.25">
      <c r="H5985" t="s">
        <v>3540</v>
      </c>
    </row>
    <row r="5986" spans="8:8" x14ac:dyDescent="0.25">
      <c r="H5986" t="s">
        <v>145</v>
      </c>
    </row>
    <row r="5987" spans="8:8" x14ac:dyDescent="0.25">
      <c r="H5987" t="s">
        <v>5660</v>
      </c>
    </row>
    <row r="5988" spans="8:8" x14ac:dyDescent="0.25">
      <c r="H5988" t="s">
        <v>31</v>
      </c>
    </row>
    <row r="5990" spans="8:8" x14ac:dyDescent="0.25">
      <c r="H5990" t="s">
        <v>3542</v>
      </c>
    </row>
    <row r="5991" spans="8:8" x14ac:dyDescent="0.25">
      <c r="H5991" t="s">
        <v>145</v>
      </c>
    </row>
    <row r="5992" spans="8:8" x14ac:dyDescent="0.25">
      <c r="H5992" t="s">
        <v>5661</v>
      </c>
    </row>
    <row r="5993" spans="8:8" x14ac:dyDescent="0.25">
      <c r="H5993" t="s">
        <v>31</v>
      </c>
    </row>
    <row r="5995" spans="8:8" x14ac:dyDescent="0.25">
      <c r="H5995" t="s">
        <v>3544</v>
      </c>
    </row>
    <row r="5996" spans="8:8" x14ac:dyDescent="0.25">
      <c r="H5996" t="s">
        <v>145</v>
      </c>
    </row>
    <row r="5997" spans="8:8" x14ac:dyDescent="0.25">
      <c r="H5997" t="s">
        <v>5662</v>
      </c>
    </row>
    <row r="5998" spans="8:8" x14ac:dyDescent="0.25">
      <c r="H5998" t="s">
        <v>31</v>
      </c>
    </row>
    <row r="6000" spans="8:8" x14ac:dyDescent="0.25">
      <c r="H6000" t="s">
        <v>3546</v>
      </c>
    </row>
    <row r="6001" spans="8:8" x14ac:dyDescent="0.25">
      <c r="H6001" t="s">
        <v>145</v>
      </c>
    </row>
    <row r="6002" spans="8:8" x14ac:dyDescent="0.25">
      <c r="H6002" t="s">
        <v>5663</v>
      </c>
    </row>
    <row r="6003" spans="8:8" x14ac:dyDescent="0.25">
      <c r="H6003" t="s">
        <v>31</v>
      </c>
    </row>
    <row r="6005" spans="8:8" x14ac:dyDescent="0.25">
      <c r="H6005" t="s">
        <v>3548</v>
      </c>
    </row>
    <row r="6006" spans="8:8" x14ac:dyDescent="0.25">
      <c r="H6006" t="s">
        <v>145</v>
      </c>
    </row>
    <row r="6007" spans="8:8" x14ac:dyDescent="0.25">
      <c r="H6007" t="s">
        <v>5664</v>
      </c>
    </row>
    <row r="6008" spans="8:8" x14ac:dyDescent="0.25">
      <c r="H6008" t="s">
        <v>31</v>
      </c>
    </row>
    <row r="6010" spans="8:8" x14ac:dyDescent="0.25">
      <c r="H6010" t="s">
        <v>3550</v>
      </c>
    </row>
    <row r="6011" spans="8:8" x14ac:dyDescent="0.25">
      <c r="H6011" t="s">
        <v>145</v>
      </c>
    </row>
    <row r="6012" spans="8:8" x14ac:dyDescent="0.25">
      <c r="H6012" t="s">
        <v>5665</v>
      </c>
    </row>
    <row r="6013" spans="8:8" x14ac:dyDescent="0.25">
      <c r="H6013" t="s">
        <v>31</v>
      </c>
    </row>
    <row r="6015" spans="8:8" x14ac:dyDescent="0.25">
      <c r="H6015" t="s">
        <v>3552</v>
      </c>
    </row>
    <row r="6016" spans="8:8" x14ac:dyDescent="0.25">
      <c r="H6016" t="s">
        <v>145</v>
      </c>
    </row>
    <row r="6017" spans="8:8" x14ac:dyDescent="0.25">
      <c r="H6017" t="s">
        <v>5666</v>
      </c>
    </row>
    <row r="6018" spans="8:8" x14ac:dyDescent="0.25">
      <c r="H6018" t="s">
        <v>31</v>
      </c>
    </row>
    <row r="6020" spans="8:8" x14ac:dyDescent="0.25">
      <c r="H6020" t="s">
        <v>3554</v>
      </c>
    </row>
    <row r="6021" spans="8:8" x14ac:dyDescent="0.25">
      <c r="H6021" t="s">
        <v>145</v>
      </c>
    </row>
    <row r="6022" spans="8:8" x14ac:dyDescent="0.25">
      <c r="H6022" t="s">
        <v>5667</v>
      </c>
    </row>
    <row r="6023" spans="8:8" x14ac:dyDescent="0.25">
      <c r="H6023" t="s">
        <v>31</v>
      </c>
    </row>
    <row r="6025" spans="8:8" x14ac:dyDescent="0.25">
      <c r="H6025" t="s">
        <v>3556</v>
      </c>
    </row>
    <row r="6026" spans="8:8" x14ac:dyDescent="0.25">
      <c r="H6026" t="s">
        <v>145</v>
      </c>
    </row>
    <row r="6027" spans="8:8" x14ac:dyDescent="0.25">
      <c r="H6027" t="s">
        <v>5668</v>
      </c>
    </row>
    <row r="6028" spans="8:8" x14ac:dyDescent="0.25">
      <c r="H6028" t="s">
        <v>31</v>
      </c>
    </row>
    <row r="6030" spans="8:8" x14ac:dyDescent="0.25">
      <c r="H6030" t="s">
        <v>3558</v>
      </c>
    </row>
    <row r="6031" spans="8:8" x14ac:dyDescent="0.25">
      <c r="H6031" t="s">
        <v>145</v>
      </c>
    </row>
    <row r="6032" spans="8:8" x14ac:dyDescent="0.25">
      <c r="H6032" t="s">
        <v>5669</v>
      </c>
    </row>
    <row r="6033" spans="8:8" x14ac:dyDescent="0.25">
      <c r="H6033" t="s">
        <v>31</v>
      </c>
    </row>
    <row r="6035" spans="8:8" x14ac:dyDescent="0.25">
      <c r="H6035" t="s">
        <v>3560</v>
      </c>
    </row>
    <row r="6036" spans="8:8" x14ac:dyDescent="0.25">
      <c r="H6036" t="s">
        <v>145</v>
      </c>
    </row>
    <row r="6037" spans="8:8" x14ac:dyDescent="0.25">
      <c r="H6037" t="s">
        <v>5670</v>
      </c>
    </row>
    <row r="6038" spans="8:8" x14ac:dyDescent="0.25">
      <c r="H6038" t="s">
        <v>31</v>
      </c>
    </row>
    <row r="6040" spans="8:8" x14ac:dyDescent="0.25">
      <c r="H6040" t="s">
        <v>3562</v>
      </c>
    </row>
    <row r="6041" spans="8:8" x14ac:dyDescent="0.25">
      <c r="H6041" t="s">
        <v>145</v>
      </c>
    </row>
    <row r="6042" spans="8:8" x14ac:dyDescent="0.25">
      <c r="H6042" t="s">
        <v>5671</v>
      </c>
    </row>
    <row r="6043" spans="8:8" x14ac:dyDescent="0.25">
      <c r="H6043" t="s">
        <v>31</v>
      </c>
    </row>
    <row r="6045" spans="8:8" x14ac:dyDescent="0.25">
      <c r="H6045" t="s">
        <v>3564</v>
      </c>
    </row>
    <row r="6046" spans="8:8" x14ac:dyDescent="0.25">
      <c r="H6046" t="s">
        <v>145</v>
      </c>
    </row>
    <row r="6047" spans="8:8" x14ac:dyDescent="0.25">
      <c r="H6047" t="s">
        <v>5672</v>
      </c>
    </row>
    <row r="6048" spans="8:8" x14ac:dyDescent="0.25">
      <c r="H6048" t="s">
        <v>31</v>
      </c>
    </row>
    <row r="6050" spans="8:8" x14ac:dyDescent="0.25">
      <c r="H6050" t="s">
        <v>3566</v>
      </c>
    </row>
    <row r="6051" spans="8:8" x14ac:dyDescent="0.25">
      <c r="H6051" t="s">
        <v>145</v>
      </c>
    </row>
    <row r="6052" spans="8:8" x14ac:dyDescent="0.25">
      <c r="H6052" t="s">
        <v>5673</v>
      </c>
    </row>
    <row r="6053" spans="8:8" x14ac:dyDescent="0.25">
      <c r="H6053" t="s">
        <v>31</v>
      </c>
    </row>
    <row r="6055" spans="8:8" x14ac:dyDescent="0.25">
      <c r="H6055" t="s">
        <v>3568</v>
      </c>
    </row>
    <row r="6056" spans="8:8" x14ac:dyDescent="0.25">
      <c r="H6056" t="s">
        <v>145</v>
      </c>
    </row>
    <row r="6057" spans="8:8" x14ac:dyDescent="0.25">
      <c r="H6057" t="s">
        <v>5674</v>
      </c>
    </row>
    <row r="6058" spans="8:8" x14ac:dyDescent="0.25">
      <c r="H6058" t="s">
        <v>31</v>
      </c>
    </row>
    <row r="6060" spans="8:8" x14ac:dyDescent="0.25">
      <c r="H6060" t="s">
        <v>3570</v>
      </c>
    </row>
    <row r="6061" spans="8:8" x14ac:dyDescent="0.25">
      <c r="H6061" t="s">
        <v>145</v>
      </c>
    </row>
    <row r="6062" spans="8:8" x14ac:dyDescent="0.25">
      <c r="H6062" t="s">
        <v>5675</v>
      </c>
    </row>
    <row r="6063" spans="8:8" x14ac:dyDescent="0.25">
      <c r="H6063" t="s">
        <v>31</v>
      </c>
    </row>
    <row r="6065" spans="8:8" x14ac:dyDescent="0.25">
      <c r="H6065" t="s">
        <v>3572</v>
      </c>
    </row>
    <row r="6066" spans="8:8" x14ac:dyDescent="0.25">
      <c r="H6066" t="s">
        <v>145</v>
      </c>
    </row>
    <row r="6067" spans="8:8" x14ac:dyDescent="0.25">
      <c r="H6067" t="s">
        <v>5676</v>
      </c>
    </row>
    <row r="6068" spans="8:8" x14ac:dyDescent="0.25">
      <c r="H6068" t="s">
        <v>31</v>
      </c>
    </row>
    <row r="6070" spans="8:8" x14ac:dyDescent="0.25">
      <c r="H6070" t="s">
        <v>3574</v>
      </c>
    </row>
    <row r="6071" spans="8:8" x14ac:dyDescent="0.25">
      <c r="H6071" t="s">
        <v>145</v>
      </c>
    </row>
    <row r="6072" spans="8:8" x14ac:dyDescent="0.25">
      <c r="H6072" t="s">
        <v>5677</v>
      </c>
    </row>
    <row r="6073" spans="8:8" x14ac:dyDescent="0.25">
      <c r="H6073" t="s">
        <v>31</v>
      </c>
    </row>
    <row r="6075" spans="8:8" x14ac:dyDescent="0.25">
      <c r="H6075" t="s">
        <v>3576</v>
      </c>
    </row>
    <row r="6076" spans="8:8" x14ac:dyDescent="0.25">
      <c r="H6076" t="s">
        <v>145</v>
      </c>
    </row>
    <row r="6077" spans="8:8" x14ac:dyDescent="0.25">
      <c r="H6077" t="s">
        <v>5678</v>
      </c>
    </row>
    <row r="6078" spans="8:8" x14ac:dyDescent="0.25">
      <c r="H6078" t="s">
        <v>31</v>
      </c>
    </row>
    <row r="6080" spans="8:8" x14ac:dyDescent="0.25">
      <c r="H6080" t="s">
        <v>3578</v>
      </c>
    </row>
    <row r="6081" spans="8:8" x14ac:dyDescent="0.25">
      <c r="H6081" t="s">
        <v>145</v>
      </c>
    </row>
    <row r="6082" spans="8:8" x14ac:dyDescent="0.25">
      <c r="H6082" t="s">
        <v>5679</v>
      </c>
    </row>
    <row r="6083" spans="8:8" x14ac:dyDescent="0.25">
      <c r="H6083" t="s">
        <v>31</v>
      </c>
    </row>
    <row r="6085" spans="8:8" x14ac:dyDescent="0.25">
      <c r="H6085" t="s">
        <v>3580</v>
      </c>
    </row>
    <row r="6086" spans="8:8" x14ac:dyDescent="0.25">
      <c r="H6086" t="s">
        <v>145</v>
      </c>
    </row>
    <row r="6087" spans="8:8" x14ac:dyDescent="0.25">
      <c r="H6087" t="s">
        <v>5680</v>
      </c>
    </row>
    <row r="6088" spans="8:8" x14ac:dyDescent="0.25">
      <c r="H6088" t="s">
        <v>31</v>
      </c>
    </row>
    <row r="6090" spans="8:8" x14ac:dyDescent="0.25">
      <c r="H6090" t="s">
        <v>3582</v>
      </c>
    </row>
    <row r="6091" spans="8:8" x14ac:dyDescent="0.25">
      <c r="H6091" t="s">
        <v>145</v>
      </c>
    </row>
    <row r="6092" spans="8:8" x14ac:dyDescent="0.25">
      <c r="H6092" t="s">
        <v>5681</v>
      </c>
    </row>
    <row r="6093" spans="8:8" x14ac:dyDescent="0.25">
      <c r="H6093" t="s">
        <v>31</v>
      </c>
    </row>
    <row r="6095" spans="8:8" x14ac:dyDescent="0.25">
      <c r="H6095" t="s">
        <v>3584</v>
      </c>
    </row>
    <row r="6096" spans="8:8" x14ac:dyDescent="0.25">
      <c r="H6096" t="s">
        <v>145</v>
      </c>
    </row>
    <row r="6097" spans="8:8" x14ac:dyDescent="0.25">
      <c r="H6097" t="s">
        <v>5682</v>
      </c>
    </row>
    <row r="6098" spans="8:8" x14ac:dyDescent="0.25">
      <c r="H6098" t="s">
        <v>31</v>
      </c>
    </row>
    <row r="6100" spans="8:8" x14ac:dyDescent="0.25">
      <c r="H6100" t="s">
        <v>3586</v>
      </c>
    </row>
    <row r="6101" spans="8:8" x14ac:dyDescent="0.25">
      <c r="H6101" t="s">
        <v>145</v>
      </c>
    </row>
    <row r="6102" spans="8:8" x14ac:dyDescent="0.25">
      <c r="H6102" t="s">
        <v>5683</v>
      </c>
    </row>
    <row r="6103" spans="8:8" x14ac:dyDescent="0.25">
      <c r="H6103" t="s">
        <v>31</v>
      </c>
    </row>
    <row r="6105" spans="8:8" x14ac:dyDescent="0.25">
      <c r="H6105" t="s">
        <v>3588</v>
      </c>
    </row>
    <row r="6106" spans="8:8" x14ac:dyDescent="0.25">
      <c r="H6106" t="s">
        <v>145</v>
      </c>
    </row>
    <row r="6107" spans="8:8" x14ac:dyDescent="0.25">
      <c r="H6107" t="s">
        <v>5684</v>
      </c>
    </row>
    <row r="6108" spans="8:8" x14ac:dyDescent="0.25">
      <c r="H6108" t="s">
        <v>31</v>
      </c>
    </row>
    <row r="6110" spans="8:8" x14ac:dyDescent="0.25">
      <c r="H6110" t="s">
        <v>3590</v>
      </c>
    </row>
    <row r="6111" spans="8:8" x14ac:dyDescent="0.25">
      <c r="H6111" t="s">
        <v>145</v>
      </c>
    </row>
    <row r="6112" spans="8:8" x14ac:dyDescent="0.25">
      <c r="H6112" t="s">
        <v>5685</v>
      </c>
    </row>
    <row r="6113" spans="8:8" x14ac:dyDescent="0.25">
      <c r="H6113" t="s">
        <v>31</v>
      </c>
    </row>
    <row r="6115" spans="8:8" x14ac:dyDescent="0.25">
      <c r="H6115" t="s">
        <v>3592</v>
      </c>
    </row>
    <row r="6116" spans="8:8" x14ac:dyDescent="0.25">
      <c r="H6116" t="s">
        <v>145</v>
      </c>
    </row>
    <row r="6117" spans="8:8" x14ac:dyDescent="0.25">
      <c r="H6117" t="s">
        <v>5686</v>
      </c>
    </row>
    <row r="6118" spans="8:8" x14ac:dyDescent="0.25">
      <c r="H6118" t="s">
        <v>31</v>
      </c>
    </row>
    <row r="6120" spans="8:8" x14ac:dyDescent="0.25">
      <c r="H6120" t="s">
        <v>3594</v>
      </c>
    </row>
    <row r="6121" spans="8:8" x14ac:dyDescent="0.25">
      <c r="H6121" t="s">
        <v>145</v>
      </c>
    </row>
    <row r="6122" spans="8:8" x14ac:dyDescent="0.25">
      <c r="H6122" t="s">
        <v>5687</v>
      </c>
    </row>
    <row r="6123" spans="8:8" x14ac:dyDescent="0.25">
      <c r="H6123" t="s">
        <v>31</v>
      </c>
    </row>
    <row r="6125" spans="8:8" x14ac:dyDescent="0.25">
      <c r="H6125" t="s">
        <v>3596</v>
      </c>
    </row>
    <row r="6126" spans="8:8" x14ac:dyDescent="0.25">
      <c r="H6126" t="s">
        <v>145</v>
      </c>
    </row>
    <row r="6127" spans="8:8" x14ac:dyDescent="0.25">
      <c r="H6127" t="s">
        <v>5688</v>
      </c>
    </row>
    <row r="6128" spans="8:8" x14ac:dyDescent="0.25">
      <c r="H6128" t="s">
        <v>31</v>
      </c>
    </row>
    <row r="6130" spans="8:8" x14ac:dyDescent="0.25">
      <c r="H6130" t="s">
        <v>3598</v>
      </c>
    </row>
    <row r="6131" spans="8:8" x14ac:dyDescent="0.25">
      <c r="H6131" t="s">
        <v>145</v>
      </c>
    </row>
    <row r="6132" spans="8:8" x14ac:dyDescent="0.25">
      <c r="H6132" t="s">
        <v>5689</v>
      </c>
    </row>
    <row r="6133" spans="8:8" x14ac:dyDescent="0.25">
      <c r="H6133" t="s">
        <v>31</v>
      </c>
    </row>
    <row r="6135" spans="8:8" x14ac:dyDescent="0.25">
      <c r="H6135" t="s">
        <v>3600</v>
      </c>
    </row>
    <row r="6136" spans="8:8" x14ac:dyDescent="0.25">
      <c r="H6136" t="s">
        <v>145</v>
      </c>
    </row>
    <row r="6137" spans="8:8" x14ac:dyDescent="0.25">
      <c r="H6137" t="s">
        <v>5690</v>
      </c>
    </row>
    <row r="6138" spans="8:8" x14ac:dyDescent="0.25">
      <c r="H6138" t="s">
        <v>31</v>
      </c>
    </row>
    <row r="6140" spans="8:8" x14ac:dyDescent="0.25">
      <c r="H6140" t="s">
        <v>3602</v>
      </c>
    </row>
    <row r="6141" spans="8:8" x14ac:dyDescent="0.25">
      <c r="H6141" t="s">
        <v>145</v>
      </c>
    </row>
    <row r="6142" spans="8:8" x14ac:dyDescent="0.25">
      <c r="H6142" t="s">
        <v>5691</v>
      </c>
    </row>
    <row r="6143" spans="8:8" x14ac:dyDescent="0.25">
      <c r="H6143" t="s">
        <v>31</v>
      </c>
    </row>
    <row r="6145" spans="8:8" x14ac:dyDescent="0.25">
      <c r="H6145" t="s">
        <v>3604</v>
      </c>
    </row>
    <row r="6146" spans="8:8" x14ac:dyDescent="0.25">
      <c r="H6146" t="s">
        <v>145</v>
      </c>
    </row>
    <row r="6147" spans="8:8" x14ac:dyDescent="0.25">
      <c r="H6147" t="s">
        <v>5692</v>
      </c>
    </row>
    <row r="6148" spans="8:8" x14ac:dyDescent="0.25">
      <c r="H6148" t="s">
        <v>31</v>
      </c>
    </row>
    <row r="6150" spans="8:8" x14ac:dyDescent="0.25">
      <c r="H6150" t="s">
        <v>3606</v>
      </c>
    </row>
    <row r="6151" spans="8:8" x14ac:dyDescent="0.25">
      <c r="H6151" t="s">
        <v>145</v>
      </c>
    </row>
    <row r="6152" spans="8:8" x14ac:dyDescent="0.25">
      <c r="H6152" t="s">
        <v>5693</v>
      </c>
    </row>
    <row r="6153" spans="8:8" x14ac:dyDescent="0.25">
      <c r="H6153" t="s">
        <v>31</v>
      </c>
    </row>
    <row r="6155" spans="8:8" x14ac:dyDescent="0.25">
      <c r="H6155" t="s">
        <v>3608</v>
      </c>
    </row>
    <row r="6156" spans="8:8" x14ac:dyDescent="0.25">
      <c r="H6156" t="s">
        <v>145</v>
      </c>
    </row>
    <row r="6157" spans="8:8" x14ac:dyDescent="0.25">
      <c r="H6157" t="s">
        <v>5694</v>
      </c>
    </row>
    <row r="6158" spans="8:8" x14ac:dyDescent="0.25">
      <c r="H6158" t="s">
        <v>31</v>
      </c>
    </row>
    <row r="6160" spans="8:8" x14ac:dyDescent="0.25">
      <c r="H6160" t="s">
        <v>3610</v>
      </c>
    </row>
    <row r="6161" spans="8:8" x14ac:dyDescent="0.25">
      <c r="H6161" t="s">
        <v>145</v>
      </c>
    </row>
    <row r="6162" spans="8:8" x14ac:dyDescent="0.25">
      <c r="H6162" t="s">
        <v>5695</v>
      </c>
    </row>
    <row r="6163" spans="8:8" x14ac:dyDescent="0.25">
      <c r="H6163" t="s">
        <v>31</v>
      </c>
    </row>
    <row r="6165" spans="8:8" x14ac:dyDescent="0.25">
      <c r="H6165" t="s">
        <v>3612</v>
      </c>
    </row>
    <row r="6166" spans="8:8" x14ac:dyDescent="0.25">
      <c r="H6166" t="s">
        <v>145</v>
      </c>
    </row>
    <row r="6167" spans="8:8" x14ac:dyDescent="0.25">
      <c r="H6167" t="s">
        <v>5696</v>
      </c>
    </row>
    <row r="6168" spans="8:8" x14ac:dyDescent="0.25">
      <c r="H6168" t="s">
        <v>31</v>
      </c>
    </row>
    <row r="6170" spans="8:8" x14ac:dyDescent="0.25">
      <c r="H6170" t="s">
        <v>3614</v>
      </c>
    </row>
    <row r="6171" spans="8:8" x14ac:dyDescent="0.25">
      <c r="H6171" t="s">
        <v>145</v>
      </c>
    </row>
    <row r="6172" spans="8:8" x14ac:dyDescent="0.25">
      <c r="H6172" t="s">
        <v>5697</v>
      </c>
    </row>
    <row r="6173" spans="8:8" x14ac:dyDescent="0.25">
      <c r="H6173" t="s">
        <v>31</v>
      </c>
    </row>
    <row r="6175" spans="8:8" x14ac:dyDescent="0.25">
      <c r="H6175" t="s">
        <v>3616</v>
      </c>
    </row>
    <row r="6176" spans="8:8" x14ac:dyDescent="0.25">
      <c r="H6176" t="s">
        <v>145</v>
      </c>
    </row>
    <row r="6177" spans="8:8" x14ac:dyDescent="0.25">
      <c r="H6177" t="s">
        <v>5698</v>
      </c>
    </row>
    <row r="6178" spans="8:8" x14ac:dyDescent="0.25">
      <c r="H6178" t="s">
        <v>31</v>
      </c>
    </row>
    <row r="6180" spans="8:8" x14ac:dyDescent="0.25">
      <c r="H6180" t="s">
        <v>3618</v>
      </c>
    </row>
    <row r="6181" spans="8:8" x14ac:dyDescent="0.25">
      <c r="H6181" t="s">
        <v>145</v>
      </c>
    </row>
    <row r="6182" spans="8:8" x14ac:dyDescent="0.25">
      <c r="H6182" t="s">
        <v>5699</v>
      </c>
    </row>
    <row r="6183" spans="8:8" x14ac:dyDescent="0.25">
      <c r="H6183" t="s">
        <v>31</v>
      </c>
    </row>
    <row r="6185" spans="8:8" x14ac:dyDescent="0.25">
      <c r="H6185" t="s">
        <v>3620</v>
      </c>
    </row>
    <row r="6186" spans="8:8" x14ac:dyDescent="0.25">
      <c r="H6186" t="s">
        <v>145</v>
      </c>
    </row>
    <row r="6187" spans="8:8" x14ac:dyDescent="0.25">
      <c r="H6187" t="s">
        <v>5700</v>
      </c>
    </row>
    <row r="6188" spans="8:8" x14ac:dyDescent="0.25">
      <c r="H6188" t="s">
        <v>31</v>
      </c>
    </row>
    <row r="6190" spans="8:8" x14ac:dyDescent="0.25">
      <c r="H6190" t="s">
        <v>3622</v>
      </c>
    </row>
    <row r="6191" spans="8:8" x14ac:dyDescent="0.25">
      <c r="H6191" t="s">
        <v>145</v>
      </c>
    </row>
    <row r="6192" spans="8:8" x14ac:dyDescent="0.25">
      <c r="H6192" t="s">
        <v>5701</v>
      </c>
    </row>
    <row r="6193" spans="8:8" x14ac:dyDescent="0.25">
      <c r="H6193" t="s">
        <v>31</v>
      </c>
    </row>
    <row r="6195" spans="8:8" x14ac:dyDescent="0.25">
      <c r="H6195" t="s">
        <v>3624</v>
      </c>
    </row>
    <row r="6196" spans="8:8" x14ac:dyDescent="0.25">
      <c r="H6196" t="s">
        <v>145</v>
      </c>
    </row>
    <row r="6197" spans="8:8" x14ac:dyDescent="0.25">
      <c r="H6197" t="s">
        <v>5702</v>
      </c>
    </row>
    <row r="6198" spans="8:8" x14ac:dyDescent="0.25">
      <c r="H6198" t="s">
        <v>31</v>
      </c>
    </row>
    <row r="6200" spans="8:8" x14ac:dyDescent="0.25">
      <c r="H6200" t="s">
        <v>3626</v>
      </c>
    </row>
    <row r="6201" spans="8:8" x14ac:dyDescent="0.25">
      <c r="H6201" t="s">
        <v>145</v>
      </c>
    </row>
    <row r="6202" spans="8:8" x14ac:dyDescent="0.25">
      <c r="H6202" t="s">
        <v>5703</v>
      </c>
    </row>
    <row r="6203" spans="8:8" x14ac:dyDescent="0.25">
      <c r="H6203" t="s">
        <v>31</v>
      </c>
    </row>
    <row r="6205" spans="8:8" x14ac:dyDescent="0.25">
      <c r="H6205" t="s">
        <v>3628</v>
      </c>
    </row>
    <row r="6206" spans="8:8" x14ac:dyDescent="0.25">
      <c r="H6206" t="s">
        <v>145</v>
      </c>
    </row>
    <row r="6207" spans="8:8" x14ac:dyDescent="0.25">
      <c r="H6207" t="s">
        <v>5704</v>
      </c>
    </row>
    <row r="6208" spans="8:8" x14ac:dyDescent="0.25">
      <c r="H6208" t="s">
        <v>31</v>
      </c>
    </row>
    <row r="6210" spans="8:8" x14ac:dyDescent="0.25">
      <c r="H6210" t="s">
        <v>3630</v>
      </c>
    </row>
    <row r="6211" spans="8:8" x14ac:dyDescent="0.25">
      <c r="H6211" t="s">
        <v>145</v>
      </c>
    </row>
    <row r="6212" spans="8:8" x14ac:dyDescent="0.25">
      <c r="H6212" t="s">
        <v>5705</v>
      </c>
    </row>
    <row r="6213" spans="8:8" x14ac:dyDescent="0.25">
      <c r="H6213" t="s">
        <v>31</v>
      </c>
    </row>
    <row r="6215" spans="8:8" x14ac:dyDescent="0.25">
      <c r="H6215" t="s">
        <v>3632</v>
      </c>
    </row>
    <row r="6216" spans="8:8" x14ac:dyDescent="0.25">
      <c r="H6216" t="s">
        <v>145</v>
      </c>
    </row>
    <row r="6217" spans="8:8" x14ac:dyDescent="0.25">
      <c r="H6217" t="s">
        <v>5706</v>
      </c>
    </row>
    <row r="6218" spans="8:8" x14ac:dyDescent="0.25">
      <c r="H6218" t="s">
        <v>31</v>
      </c>
    </row>
    <row r="6220" spans="8:8" x14ac:dyDescent="0.25">
      <c r="H6220" t="s">
        <v>3634</v>
      </c>
    </row>
    <row r="6221" spans="8:8" x14ac:dyDescent="0.25">
      <c r="H6221" t="s">
        <v>145</v>
      </c>
    </row>
    <row r="6222" spans="8:8" x14ac:dyDescent="0.25">
      <c r="H6222" t="s">
        <v>5707</v>
      </c>
    </row>
    <row r="6223" spans="8:8" x14ac:dyDescent="0.25">
      <c r="H6223" t="s">
        <v>31</v>
      </c>
    </row>
    <row r="6225" spans="8:8" x14ac:dyDescent="0.25">
      <c r="H6225" t="s">
        <v>3636</v>
      </c>
    </row>
    <row r="6226" spans="8:8" x14ac:dyDescent="0.25">
      <c r="H6226" t="s">
        <v>145</v>
      </c>
    </row>
    <row r="6227" spans="8:8" x14ac:dyDescent="0.25">
      <c r="H6227" t="s">
        <v>5708</v>
      </c>
    </row>
    <row r="6228" spans="8:8" x14ac:dyDescent="0.25">
      <c r="H6228" t="s">
        <v>31</v>
      </c>
    </row>
    <row r="6229" spans="8:8" x14ac:dyDescent="0.25">
      <c r="H6229" t="s">
        <v>146</v>
      </c>
    </row>
    <row r="6230" spans="8:8" x14ac:dyDescent="0.25">
      <c r="H6230" t="s">
        <v>5709</v>
      </c>
    </row>
    <row r="6231" spans="8:8" x14ac:dyDescent="0.25">
      <c r="H6231" t="s">
        <v>31</v>
      </c>
    </row>
    <row r="6232" spans="8:8" x14ac:dyDescent="0.25">
      <c r="H6232" t="s">
        <v>147</v>
      </c>
    </row>
    <row r="6233" spans="8:8" x14ac:dyDescent="0.25">
      <c r="H6233" t="s">
        <v>5710</v>
      </c>
    </row>
    <row r="6234" spans="8:8" x14ac:dyDescent="0.25">
      <c r="H6234" t="s">
        <v>31</v>
      </c>
    </row>
    <row r="6236" spans="8:8" x14ac:dyDescent="0.25">
      <c r="H6236" t="s">
        <v>3638</v>
      </c>
    </row>
    <row r="6237" spans="8:8" x14ac:dyDescent="0.25">
      <c r="H6237" t="s">
        <v>145</v>
      </c>
    </row>
    <row r="6238" spans="8:8" x14ac:dyDescent="0.25">
      <c r="H6238" t="s">
        <v>5711</v>
      </c>
    </row>
    <row r="6239" spans="8:8" x14ac:dyDescent="0.25">
      <c r="H6239" t="s">
        <v>31</v>
      </c>
    </row>
    <row r="6240" spans="8:8" x14ac:dyDescent="0.25">
      <c r="H6240" t="s">
        <v>146</v>
      </c>
    </row>
    <row r="6241" spans="8:8" x14ac:dyDescent="0.25">
      <c r="H6241" t="s">
        <v>5712</v>
      </c>
    </row>
    <row r="6242" spans="8:8" x14ac:dyDescent="0.25">
      <c r="H6242" t="s">
        <v>31</v>
      </c>
    </row>
    <row r="6243" spans="8:8" x14ac:dyDescent="0.25">
      <c r="H6243" t="s">
        <v>147</v>
      </c>
    </row>
    <row r="6244" spans="8:8" x14ac:dyDescent="0.25">
      <c r="H6244" t="s">
        <v>5713</v>
      </c>
    </row>
    <row r="6245" spans="8:8" x14ac:dyDescent="0.25">
      <c r="H6245" t="s">
        <v>31</v>
      </c>
    </row>
    <row r="6246" spans="8:8" x14ac:dyDescent="0.25">
      <c r="H6246" t="s">
        <v>148</v>
      </c>
    </row>
    <row r="6247" spans="8:8" x14ac:dyDescent="0.25">
      <c r="H6247" t="s">
        <v>5714</v>
      </c>
    </row>
    <row r="6248" spans="8:8" x14ac:dyDescent="0.25">
      <c r="H6248" t="s">
        <v>31</v>
      </c>
    </row>
    <row r="6250" spans="8:8" x14ac:dyDescent="0.25">
      <c r="H6250" t="s">
        <v>3640</v>
      </c>
    </row>
    <row r="6251" spans="8:8" x14ac:dyDescent="0.25">
      <c r="H6251" t="s">
        <v>145</v>
      </c>
    </row>
    <row r="6252" spans="8:8" x14ac:dyDescent="0.25">
      <c r="H6252" t="s">
        <v>5715</v>
      </c>
    </row>
    <row r="6253" spans="8:8" x14ac:dyDescent="0.25">
      <c r="H6253" t="s">
        <v>31</v>
      </c>
    </row>
    <row r="6254" spans="8:8" x14ac:dyDescent="0.25">
      <c r="H6254" t="s">
        <v>147</v>
      </c>
    </row>
    <row r="6255" spans="8:8" x14ac:dyDescent="0.25">
      <c r="H6255" t="s">
        <v>5716</v>
      </c>
    </row>
    <row r="6256" spans="8:8" x14ac:dyDescent="0.25">
      <c r="H6256" t="s">
        <v>31</v>
      </c>
    </row>
    <row r="6257" spans="8:8" x14ac:dyDescent="0.25">
      <c r="H6257" t="s">
        <v>148</v>
      </c>
    </row>
    <row r="6258" spans="8:8" x14ac:dyDescent="0.25">
      <c r="H6258" t="s">
        <v>5717</v>
      </c>
    </row>
    <row r="6259" spans="8:8" x14ac:dyDescent="0.25">
      <c r="H6259" t="s">
        <v>31</v>
      </c>
    </row>
    <row r="6261" spans="8:8" x14ac:dyDescent="0.25">
      <c r="H6261" t="s">
        <v>3642</v>
      </c>
    </row>
    <row r="6262" spans="8:8" x14ac:dyDescent="0.25">
      <c r="H6262" t="s">
        <v>145</v>
      </c>
    </row>
    <row r="6263" spans="8:8" x14ac:dyDescent="0.25">
      <c r="H6263" t="s">
        <v>5718</v>
      </c>
    </row>
    <row r="6264" spans="8:8" x14ac:dyDescent="0.25">
      <c r="H6264" t="s">
        <v>31</v>
      </c>
    </row>
    <row r="6266" spans="8:8" x14ac:dyDescent="0.25">
      <c r="H6266" t="s">
        <v>3644</v>
      </c>
    </row>
    <row r="6267" spans="8:8" x14ac:dyDescent="0.25">
      <c r="H6267" t="s">
        <v>145</v>
      </c>
    </row>
    <row r="6268" spans="8:8" x14ac:dyDescent="0.25">
      <c r="H6268" t="s">
        <v>5719</v>
      </c>
    </row>
    <row r="6269" spans="8:8" x14ac:dyDescent="0.25">
      <c r="H6269" t="s">
        <v>31</v>
      </c>
    </row>
    <row r="6271" spans="8:8" x14ac:dyDescent="0.25">
      <c r="H6271" t="s">
        <v>3646</v>
      </c>
    </row>
    <row r="6272" spans="8:8" x14ac:dyDescent="0.25">
      <c r="H6272" t="s">
        <v>145</v>
      </c>
    </row>
    <row r="6273" spans="8:8" x14ac:dyDescent="0.25">
      <c r="H6273" t="s">
        <v>5720</v>
      </c>
    </row>
    <row r="6274" spans="8:8" x14ac:dyDescent="0.25">
      <c r="H6274" t="s">
        <v>31</v>
      </c>
    </row>
    <row r="6275" spans="8:8" x14ac:dyDescent="0.25">
      <c r="H6275" t="s">
        <v>146</v>
      </c>
    </row>
    <row r="6276" spans="8:8" x14ac:dyDescent="0.25">
      <c r="H6276" t="s">
        <v>5721</v>
      </c>
    </row>
    <row r="6277" spans="8:8" x14ac:dyDescent="0.25">
      <c r="H6277" t="s">
        <v>31</v>
      </c>
    </row>
    <row r="6279" spans="8:8" x14ac:dyDescent="0.25">
      <c r="H6279" t="s">
        <v>3648</v>
      </c>
    </row>
    <row r="6280" spans="8:8" x14ac:dyDescent="0.25">
      <c r="H6280" t="s">
        <v>145</v>
      </c>
    </row>
    <row r="6281" spans="8:8" x14ac:dyDescent="0.25">
      <c r="H6281" t="s">
        <v>5722</v>
      </c>
    </row>
    <row r="6282" spans="8:8" x14ac:dyDescent="0.25">
      <c r="H6282" t="s">
        <v>31</v>
      </c>
    </row>
    <row r="6284" spans="8:8" x14ac:dyDescent="0.25">
      <c r="H6284" t="s">
        <v>3650</v>
      </c>
    </row>
    <row r="6285" spans="8:8" x14ac:dyDescent="0.25">
      <c r="H6285" t="s">
        <v>145</v>
      </c>
    </row>
    <row r="6286" spans="8:8" x14ac:dyDescent="0.25">
      <c r="H6286" t="s">
        <v>5723</v>
      </c>
    </row>
    <row r="6287" spans="8:8" x14ac:dyDescent="0.25">
      <c r="H6287" t="s">
        <v>31</v>
      </c>
    </row>
    <row r="6289" spans="8:8" x14ac:dyDescent="0.25">
      <c r="H6289" t="s">
        <v>3652</v>
      </c>
    </row>
    <row r="6290" spans="8:8" x14ac:dyDescent="0.25">
      <c r="H6290" t="s">
        <v>145</v>
      </c>
    </row>
    <row r="6291" spans="8:8" x14ac:dyDescent="0.25">
      <c r="H6291" t="s">
        <v>5724</v>
      </c>
    </row>
    <row r="6292" spans="8:8" x14ac:dyDescent="0.25">
      <c r="H6292" t="s">
        <v>31</v>
      </c>
    </row>
    <row r="6293" spans="8:8" x14ac:dyDescent="0.25">
      <c r="H6293" t="s">
        <v>146</v>
      </c>
    </row>
    <row r="6294" spans="8:8" x14ac:dyDescent="0.25">
      <c r="H6294" t="s">
        <v>5725</v>
      </c>
    </row>
    <row r="6295" spans="8:8" x14ac:dyDescent="0.25">
      <c r="H6295" t="s">
        <v>31</v>
      </c>
    </row>
    <row r="6297" spans="8:8" x14ac:dyDescent="0.25">
      <c r="H6297" t="s">
        <v>3654</v>
      </c>
    </row>
    <row r="6298" spans="8:8" x14ac:dyDescent="0.25">
      <c r="H6298" t="s">
        <v>145</v>
      </c>
    </row>
    <row r="6299" spans="8:8" x14ac:dyDescent="0.25">
      <c r="H6299" t="s">
        <v>5726</v>
      </c>
    </row>
    <row r="6300" spans="8:8" x14ac:dyDescent="0.25">
      <c r="H6300" t="s">
        <v>31</v>
      </c>
    </row>
    <row r="6302" spans="8:8" x14ac:dyDescent="0.25">
      <c r="H6302" t="s">
        <v>3656</v>
      </c>
    </row>
    <row r="6303" spans="8:8" x14ac:dyDescent="0.25">
      <c r="H6303" t="s">
        <v>145</v>
      </c>
    </row>
    <row r="6304" spans="8:8" x14ac:dyDescent="0.25">
      <c r="H6304" t="s">
        <v>5727</v>
      </c>
    </row>
    <row r="6305" spans="8:8" x14ac:dyDescent="0.25">
      <c r="H6305" t="s">
        <v>31</v>
      </c>
    </row>
    <row r="6307" spans="8:8" x14ac:dyDescent="0.25">
      <c r="H6307" t="s">
        <v>3658</v>
      </c>
    </row>
    <row r="6308" spans="8:8" x14ac:dyDescent="0.25">
      <c r="H6308" t="s">
        <v>145</v>
      </c>
    </row>
    <row r="6309" spans="8:8" x14ac:dyDescent="0.25">
      <c r="H6309" t="s">
        <v>5728</v>
      </c>
    </row>
    <row r="6310" spans="8:8" x14ac:dyDescent="0.25">
      <c r="H6310" t="s">
        <v>31</v>
      </c>
    </row>
    <row r="6311" spans="8:8" x14ac:dyDescent="0.25">
      <c r="H6311" t="s">
        <v>146</v>
      </c>
    </row>
    <row r="6312" spans="8:8" x14ac:dyDescent="0.25">
      <c r="H6312" t="s">
        <v>5729</v>
      </c>
    </row>
    <row r="6313" spans="8:8" x14ac:dyDescent="0.25">
      <c r="H6313" t="s">
        <v>31</v>
      </c>
    </row>
    <row r="6315" spans="8:8" x14ac:dyDescent="0.25">
      <c r="H6315" t="s">
        <v>3660</v>
      </c>
    </row>
    <row r="6316" spans="8:8" x14ac:dyDescent="0.25">
      <c r="H6316" t="s">
        <v>145</v>
      </c>
    </row>
    <row r="6317" spans="8:8" x14ac:dyDescent="0.25">
      <c r="H6317" t="s">
        <v>5730</v>
      </c>
    </row>
    <row r="6318" spans="8:8" x14ac:dyDescent="0.25">
      <c r="H6318" t="s">
        <v>31</v>
      </c>
    </row>
    <row r="6320" spans="8:8" x14ac:dyDescent="0.25">
      <c r="H6320" t="s">
        <v>3662</v>
      </c>
    </row>
    <row r="6321" spans="8:8" x14ac:dyDescent="0.25">
      <c r="H6321" t="s">
        <v>145</v>
      </c>
    </row>
    <row r="6322" spans="8:8" x14ac:dyDescent="0.25">
      <c r="H6322" t="s">
        <v>5731</v>
      </c>
    </row>
    <row r="6323" spans="8:8" x14ac:dyDescent="0.25">
      <c r="H6323" t="s">
        <v>31</v>
      </c>
    </row>
    <row r="6325" spans="8:8" x14ac:dyDescent="0.25">
      <c r="H6325" t="s">
        <v>3664</v>
      </c>
    </row>
    <row r="6326" spans="8:8" x14ac:dyDescent="0.25">
      <c r="H6326" t="s">
        <v>145</v>
      </c>
    </row>
    <row r="6327" spans="8:8" x14ac:dyDescent="0.25">
      <c r="H6327" t="s">
        <v>5732</v>
      </c>
    </row>
    <row r="6328" spans="8:8" x14ac:dyDescent="0.25">
      <c r="H6328" t="s">
        <v>31</v>
      </c>
    </row>
    <row r="6329" spans="8:8" x14ac:dyDescent="0.25">
      <c r="H6329" t="s">
        <v>146</v>
      </c>
    </row>
    <row r="6330" spans="8:8" x14ac:dyDescent="0.25">
      <c r="H6330" t="s">
        <v>5733</v>
      </c>
    </row>
    <row r="6331" spans="8:8" x14ac:dyDescent="0.25">
      <c r="H6331" t="s">
        <v>31</v>
      </c>
    </row>
    <row r="6332" spans="8:8" x14ac:dyDescent="0.25">
      <c r="H6332" t="s">
        <v>147</v>
      </c>
    </row>
    <row r="6333" spans="8:8" x14ac:dyDescent="0.25">
      <c r="H6333" t="s">
        <v>5734</v>
      </c>
    </row>
    <row r="6334" spans="8:8" x14ac:dyDescent="0.25">
      <c r="H6334" t="s">
        <v>31</v>
      </c>
    </row>
    <row r="6335" spans="8:8" x14ac:dyDescent="0.25">
      <c r="H6335" t="s">
        <v>148</v>
      </c>
    </row>
    <row r="6336" spans="8:8" x14ac:dyDescent="0.25">
      <c r="H6336" t="s">
        <v>5735</v>
      </c>
    </row>
    <row r="6337" spans="8:8" x14ac:dyDescent="0.25">
      <c r="H6337" t="s">
        <v>31</v>
      </c>
    </row>
    <row r="6339" spans="8:8" x14ac:dyDescent="0.25">
      <c r="H6339" t="s">
        <v>3666</v>
      </c>
    </row>
    <row r="6340" spans="8:8" x14ac:dyDescent="0.25">
      <c r="H6340" t="s">
        <v>145</v>
      </c>
    </row>
    <row r="6341" spans="8:8" x14ac:dyDescent="0.25">
      <c r="H6341" t="s">
        <v>5736</v>
      </c>
    </row>
    <row r="6342" spans="8:8" x14ac:dyDescent="0.25">
      <c r="H6342" t="s">
        <v>31</v>
      </c>
    </row>
    <row r="6344" spans="8:8" x14ac:dyDescent="0.25">
      <c r="H6344" t="s">
        <v>3668</v>
      </c>
    </row>
    <row r="6345" spans="8:8" x14ac:dyDescent="0.25">
      <c r="H6345" t="s">
        <v>145</v>
      </c>
    </row>
    <row r="6346" spans="8:8" x14ac:dyDescent="0.25">
      <c r="H6346" t="s">
        <v>5737</v>
      </c>
    </row>
    <row r="6347" spans="8:8" x14ac:dyDescent="0.25">
      <c r="H6347" t="s">
        <v>31</v>
      </c>
    </row>
    <row r="6348" spans="8:8" x14ac:dyDescent="0.25">
      <c r="H6348" t="s">
        <v>146</v>
      </c>
    </row>
    <row r="6349" spans="8:8" x14ac:dyDescent="0.25">
      <c r="H6349" t="s">
        <v>5738</v>
      </c>
    </row>
    <row r="6350" spans="8:8" x14ac:dyDescent="0.25">
      <c r="H6350" t="s">
        <v>31</v>
      </c>
    </row>
    <row r="6351" spans="8:8" x14ac:dyDescent="0.25">
      <c r="H6351" t="s">
        <v>147</v>
      </c>
    </row>
    <row r="6352" spans="8:8" x14ac:dyDescent="0.25">
      <c r="H6352" t="s">
        <v>5739</v>
      </c>
    </row>
    <row r="6353" spans="8:8" x14ac:dyDescent="0.25">
      <c r="H6353" t="s">
        <v>31</v>
      </c>
    </row>
    <row r="6354" spans="8:8" x14ac:dyDescent="0.25">
      <c r="H6354" t="s">
        <v>148</v>
      </c>
    </row>
    <row r="6355" spans="8:8" x14ac:dyDescent="0.25">
      <c r="H6355" t="s">
        <v>5740</v>
      </c>
    </row>
    <row r="6356" spans="8:8" x14ac:dyDescent="0.25">
      <c r="H6356" t="s">
        <v>31</v>
      </c>
    </row>
    <row r="6358" spans="8:8" x14ac:dyDescent="0.25">
      <c r="H6358" t="s">
        <v>3672</v>
      </c>
    </row>
    <row r="6359" spans="8:8" x14ac:dyDescent="0.25">
      <c r="H6359" t="s">
        <v>145</v>
      </c>
    </row>
    <row r="6360" spans="8:8" x14ac:dyDescent="0.25">
      <c r="H6360" t="s">
        <v>5741</v>
      </c>
    </row>
    <row r="6361" spans="8:8" x14ac:dyDescent="0.25">
      <c r="H6361" t="s">
        <v>31</v>
      </c>
    </row>
    <row r="6362" spans="8:8" x14ac:dyDescent="0.25">
      <c r="H6362" t="s">
        <v>146</v>
      </c>
    </row>
    <row r="6363" spans="8:8" x14ac:dyDescent="0.25">
      <c r="H6363" t="s">
        <v>5742</v>
      </c>
    </row>
    <row r="6364" spans="8:8" x14ac:dyDescent="0.25">
      <c r="H6364" t="s">
        <v>31</v>
      </c>
    </row>
    <row r="6365" spans="8:8" x14ac:dyDescent="0.25">
      <c r="H6365" t="s">
        <v>4130</v>
      </c>
    </row>
    <row r="6366" spans="8:8" x14ac:dyDescent="0.25">
      <c r="H6366" t="s">
        <v>147</v>
      </c>
    </row>
    <row r="6367" spans="8:8" x14ac:dyDescent="0.25">
      <c r="H6367" t="s">
        <v>5743</v>
      </c>
    </row>
    <row r="6368" spans="8:8" x14ac:dyDescent="0.25">
      <c r="H6368" t="s">
        <v>31</v>
      </c>
    </row>
    <row r="6370" spans="8:8" x14ac:dyDescent="0.25">
      <c r="H6370" t="s">
        <v>3677</v>
      </c>
    </row>
    <row r="6371" spans="8:8" x14ac:dyDescent="0.25">
      <c r="H6371" t="s">
        <v>145</v>
      </c>
    </row>
    <row r="6372" spans="8:8" x14ac:dyDescent="0.25">
      <c r="H6372" t="s">
        <v>5744</v>
      </c>
    </row>
    <row r="6373" spans="8:8" x14ac:dyDescent="0.25">
      <c r="H6373" t="s">
        <v>31</v>
      </c>
    </row>
    <row r="6375" spans="8:8" x14ac:dyDescent="0.25">
      <c r="H6375" t="s">
        <v>3681</v>
      </c>
    </row>
    <row r="6376" spans="8:8" x14ac:dyDescent="0.25">
      <c r="H6376" t="s">
        <v>145</v>
      </c>
    </row>
    <row r="6377" spans="8:8" x14ac:dyDescent="0.25">
      <c r="H6377" t="s">
        <v>5745</v>
      </c>
    </row>
    <row r="6378" spans="8:8" x14ac:dyDescent="0.25">
      <c r="H6378" t="s">
        <v>31</v>
      </c>
    </row>
    <row r="6380" spans="8:8" x14ac:dyDescent="0.25">
      <c r="H6380" t="s">
        <v>3683</v>
      </c>
    </row>
    <row r="6381" spans="8:8" x14ac:dyDescent="0.25">
      <c r="H6381" t="s">
        <v>145</v>
      </c>
    </row>
    <row r="6382" spans="8:8" x14ac:dyDescent="0.25">
      <c r="H6382" t="s">
        <v>5746</v>
      </c>
    </row>
    <row r="6383" spans="8:8" x14ac:dyDescent="0.25">
      <c r="H6383" t="s">
        <v>31</v>
      </c>
    </row>
    <row r="6385" spans="8:8" x14ac:dyDescent="0.25">
      <c r="H6385" t="s">
        <v>3685</v>
      </c>
    </row>
    <row r="6386" spans="8:8" x14ac:dyDescent="0.25">
      <c r="H6386" t="s">
        <v>145</v>
      </c>
    </row>
    <row r="6387" spans="8:8" x14ac:dyDescent="0.25">
      <c r="H6387" t="s">
        <v>5747</v>
      </c>
    </row>
    <row r="6388" spans="8:8" x14ac:dyDescent="0.25">
      <c r="H6388" t="s">
        <v>31</v>
      </c>
    </row>
    <row r="6390" spans="8:8" x14ac:dyDescent="0.25">
      <c r="H6390" t="s">
        <v>3688</v>
      </c>
    </row>
    <row r="6391" spans="8:8" x14ac:dyDescent="0.25">
      <c r="H6391" t="s">
        <v>145</v>
      </c>
    </row>
    <row r="6392" spans="8:8" x14ac:dyDescent="0.25">
      <c r="H6392" t="s">
        <v>5748</v>
      </c>
    </row>
    <row r="6393" spans="8:8" x14ac:dyDescent="0.25">
      <c r="H6393" t="s">
        <v>31</v>
      </c>
    </row>
    <row r="6395" spans="8:8" x14ac:dyDescent="0.25">
      <c r="H6395" t="s">
        <v>3690</v>
      </c>
    </row>
    <row r="6396" spans="8:8" x14ac:dyDescent="0.25">
      <c r="H6396" t="s">
        <v>145</v>
      </c>
    </row>
    <row r="6397" spans="8:8" x14ac:dyDescent="0.25">
      <c r="H6397" t="s">
        <v>5749</v>
      </c>
    </row>
    <row r="6398" spans="8:8" x14ac:dyDescent="0.25">
      <c r="H6398" t="s">
        <v>31</v>
      </c>
    </row>
    <row r="6400" spans="8:8" x14ac:dyDescent="0.25">
      <c r="H6400" t="s">
        <v>3692</v>
      </c>
    </row>
    <row r="6401" spans="8:8" x14ac:dyDescent="0.25">
      <c r="H6401" t="s">
        <v>145</v>
      </c>
    </row>
    <row r="6402" spans="8:8" x14ac:dyDescent="0.25">
      <c r="H6402" t="s">
        <v>5750</v>
      </c>
    </row>
    <row r="6403" spans="8:8" x14ac:dyDescent="0.25">
      <c r="H6403" t="s">
        <v>31</v>
      </c>
    </row>
    <row r="6405" spans="8:8" x14ac:dyDescent="0.25">
      <c r="H6405" t="s">
        <v>3695</v>
      </c>
    </row>
    <row r="6406" spans="8:8" x14ac:dyDescent="0.25">
      <c r="H6406" t="s">
        <v>145</v>
      </c>
    </row>
    <row r="6407" spans="8:8" x14ac:dyDescent="0.25">
      <c r="H6407" t="s">
        <v>5751</v>
      </c>
    </row>
    <row r="6408" spans="8:8" x14ac:dyDescent="0.25">
      <c r="H6408" t="s">
        <v>31</v>
      </c>
    </row>
    <row r="6410" spans="8:8" x14ac:dyDescent="0.25">
      <c r="H6410" t="s">
        <v>3697</v>
      </c>
    </row>
    <row r="6411" spans="8:8" x14ac:dyDescent="0.25">
      <c r="H6411" t="s">
        <v>145</v>
      </c>
    </row>
    <row r="6412" spans="8:8" x14ac:dyDescent="0.25">
      <c r="H6412" t="s">
        <v>5752</v>
      </c>
    </row>
    <row r="6413" spans="8:8" x14ac:dyDescent="0.25">
      <c r="H6413" t="s">
        <v>31</v>
      </c>
    </row>
    <row r="6415" spans="8:8" x14ac:dyDescent="0.25">
      <c r="H6415" t="s">
        <v>3699</v>
      </c>
    </row>
    <row r="6416" spans="8:8" x14ac:dyDescent="0.25">
      <c r="H6416" t="s">
        <v>145</v>
      </c>
    </row>
    <row r="6417" spans="8:8" x14ac:dyDescent="0.25">
      <c r="H6417" t="s">
        <v>5753</v>
      </c>
    </row>
    <row r="6418" spans="8:8" x14ac:dyDescent="0.25">
      <c r="H6418" t="s">
        <v>31</v>
      </c>
    </row>
    <row r="6420" spans="8:8" x14ac:dyDescent="0.25">
      <c r="H6420" t="s">
        <v>3702</v>
      </c>
    </row>
    <row r="6421" spans="8:8" x14ac:dyDescent="0.25">
      <c r="H6421" t="s">
        <v>145</v>
      </c>
    </row>
    <row r="6422" spans="8:8" x14ac:dyDescent="0.25">
      <c r="H6422" t="s">
        <v>5754</v>
      </c>
    </row>
    <row r="6423" spans="8:8" x14ac:dyDescent="0.25">
      <c r="H6423" t="s">
        <v>31</v>
      </c>
    </row>
    <row r="6425" spans="8:8" x14ac:dyDescent="0.25">
      <c r="H6425" t="s">
        <v>3704</v>
      </c>
    </row>
    <row r="6426" spans="8:8" x14ac:dyDescent="0.25">
      <c r="H6426" t="s">
        <v>145</v>
      </c>
    </row>
    <row r="6427" spans="8:8" x14ac:dyDescent="0.25">
      <c r="H6427" t="s">
        <v>5755</v>
      </c>
    </row>
    <row r="6428" spans="8:8" x14ac:dyDescent="0.25">
      <c r="H6428" t="s">
        <v>31</v>
      </c>
    </row>
    <row r="6430" spans="8:8" x14ac:dyDescent="0.25">
      <c r="H6430" t="s">
        <v>3706</v>
      </c>
    </row>
    <row r="6431" spans="8:8" x14ac:dyDescent="0.25">
      <c r="H6431" t="s">
        <v>145</v>
      </c>
    </row>
    <row r="6432" spans="8:8" x14ac:dyDescent="0.25">
      <c r="H6432" t="s">
        <v>5756</v>
      </c>
    </row>
    <row r="6433" spans="8:8" x14ac:dyDescent="0.25">
      <c r="H6433" t="s">
        <v>31</v>
      </c>
    </row>
    <row r="6435" spans="8:8" x14ac:dyDescent="0.25">
      <c r="H6435" t="s">
        <v>3711</v>
      </c>
    </row>
    <row r="6436" spans="8:8" x14ac:dyDescent="0.25">
      <c r="H6436" t="s">
        <v>145</v>
      </c>
    </row>
    <row r="6437" spans="8:8" x14ac:dyDescent="0.25">
      <c r="H6437" t="s">
        <v>5757</v>
      </c>
    </row>
    <row r="6438" spans="8:8" x14ac:dyDescent="0.25">
      <c r="H6438" t="s">
        <v>31</v>
      </c>
    </row>
    <row r="6440" spans="8:8" x14ac:dyDescent="0.25">
      <c r="H6440" t="s">
        <v>3713</v>
      </c>
    </row>
    <row r="6441" spans="8:8" x14ac:dyDescent="0.25">
      <c r="H6441" t="s">
        <v>145</v>
      </c>
    </row>
    <row r="6442" spans="8:8" x14ac:dyDescent="0.25">
      <c r="H6442" t="s">
        <v>5758</v>
      </c>
    </row>
    <row r="6443" spans="8:8" x14ac:dyDescent="0.25">
      <c r="H6443" t="s">
        <v>31</v>
      </c>
    </row>
    <row r="6444" spans="8:8" x14ac:dyDescent="0.25">
      <c r="H6444" t="s">
        <v>146</v>
      </c>
    </row>
    <row r="6445" spans="8:8" x14ac:dyDescent="0.25">
      <c r="H6445" t="s">
        <v>5759</v>
      </c>
    </row>
    <row r="6446" spans="8:8" x14ac:dyDescent="0.25">
      <c r="H6446" t="s">
        <v>31</v>
      </c>
    </row>
    <row r="6448" spans="8:8" x14ac:dyDescent="0.25">
      <c r="H6448" t="s">
        <v>3718</v>
      </c>
    </row>
    <row r="6449" spans="8:8" x14ac:dyDescent="0.25">
      <c r="H6449" t="s">
        <v>145</v>
      </c>
    </row>
    <row r="6450" spans="8:8" x14ac:dyDescent="0.25">
      <c r="H6450" t="s">
        <v>5760</v>
      </c>
    </row>
    <row r="6451" spans="8:8" x14ac:dyDescent="0.25">
      <c r="H6451" t="s">
        <v>31</v>
      </c>
    </row>
    <row r="6452" spans="8:8" x14ac:dyDescent="0.25">
      <c r="H6452" t="s">
        <v>146</v>
      </c>
    </row>
    <row r="6453" spans="8:8" x14ac:dyDescent="0.25">
      <c r="H6453" t="s">
        <v>5761</v>
      </c>
    </row>
    <row r="6454" spans="8:8" x14ac:dyDescent="0.25">
      <c r="H6454" t="s">
        <v>31</v>
      </c>
    </row>
    <row r="6455" spans="8:8" x14ac:dyDescent="0.25">
      <c r="H6455" t="s">
        <v>147</v>
      </c>
    </row>
    <row r="6456" spans="8:8" x14ac:dyDescent="0.25">
      <c r="H6456" t="s">
        <v>5762</v>
      </c>
    </row>
    <row r="6457" spans="8:8" x14ac:dyDescent="0.25">
      <c r="H6457" t="s">
        <v>31</v>
      </c>
    </row>
    <row r="6458" spans="8:8" x14ac:dyDescent="0.25">
      <c r="H6458" t="s">
        <v>148</v>
      </c>
    </row>
    <row r="6459" spans="8:8" x14ac:dyDescent="0.25">
      <c r="H6459" t="s">
        <v>5763</v>
      </c>
    </row>
    <row r="6460" spans="8:8" x14ac:dyDescent="0.25">
      <c r="H6460" t="s">
        <v>31</v>
      </c>
    </row>
    <row r="6462" spans="8:8" x14ac:dyDescent="0.25">
      <c r="H6462" t="s">
        <v>3723</v>
      </c>
    </row>
    <row r="6463" spans="8:8" x14ac:dyDescent="0.25">
      <c r="H6463" t="s">
        <v>145</v>
      </c>
    </row>
    <row r="6464" spans="8:8" x14ac:dyDescent="0.25">
      <c r="H6464" t="s">
        <v>5764</v>
      </c>
    </row>
    <row r="6465" spans="8:8" x14ac:dyDescent="0.25">
      <c r="H6465" t="s">
        <v>31</v>
      </c>
    </row>
    <row r="6466" spans="8:8" x14ac:dyDescent="0.25">
      <c r="H6466" t="s">
        <v>146</v>
      </c>
    </row>
    <row r="6467" spans="8:8" x14ac:dyDescent="0.25">
      <c r="H6467" t="s">
        <v>5765</v>
      </c>
    </row>
    <row r="6468" spans="8:8" x14ac:dyDescent="0.25">
      <c r="H6468" t="s">
        <v>31</v>
      </c>
    </row>
    <row r="6469" spans="8:8" x14ac:dyDescent="0.25">
      <c r="H6469" t="s">
        <v>147</v>
      </c>
    </row>
    <row r="6470" spans="8:8" x14ac:dyDescent="0.25">
      <c r="H6470" t="s">
        <v>5766</v>
      </c>
    </row>
    <row r="6471" spans="8:8" x14ac:dyDescent="0.25">
      <c r="H6471" t="s">
        <v>31</v>
      </c>
    </row>
    <row r="6472" spans="8:8" x14ac:dyDescent="0.25">
      <c r="H6472" t="s">
        <v>148</v>
      </c>
    </row>
    <row r="6473" spans="8:8" x14ac:dyDescent="0.25">
      <c r="H6473" t="s">
        <v>5767</v>
      </c>
    </row>
    <row r="6474" spans="8:8" x14ac:dyDescent="0.25">
      <c r="H6474" t="s">
        <v>31</v>
      </c>
    </row>
    <row r="6476" spans="8:8" x14ac:dyDescent="0.25">
      <c r="H6476" t="s">
        <v>3725</v>
      </c>
    </row>
    <row r="6477" spans="8:8" x14ac:dyDescent="0.25">
      <c r="H6477" t="s">
        <v>145</v>
      </c>
    </row>
    <row r="6478" spans="8:8" x14ac:dyDescent="0.25">
      <c r="H6478" t="s">
        <v>5768</v>
      </c>
    </row>
    <row r="6479" spans="8:8" x14ac:dyDescent="0.25">
      <c r="H6479" t="s">
        <v>31</v>
      </c>
    </row>
    <row r="6480" spans="8:8" x14ac:dyDescent="0.25">
      <c r="H6480" t="s">
        <v>146</v>
      </c>
    </row>
    <row r="6481" spans="8:8" x14ac:dyDescent="0.25">
      <c r="H6481" t="s">
        <v>5769</v>
      </c>
    </row>
    <row r="6482" spans="8:8" x14ac:dyDescent="0.25">
      <c r="H6482" t="s">
        <v>31</v>
      </c>
    </row>
    <row r="6483" spans="8:8" x14ac:dyDescent="0.25">
      <c r="H6483" t="s">
        <v>147</v>
      </c>
    </row>
    <row r="6484" spans="8:8" x14ac:dyDescent="0.25">
      <c r="H6484" t="s">
        <v>5770</v>
      </c>
    </row>
    <row r="6485" spans="8:8" x14ac:dyDescent="0.25">
      <c r="H6485" t="s">
        <v>31</v>
      </c>
    </row>
    <row r="6486" spans="8:8" x14ac:dyDescent="0.25">
      <c r="H6486" t="s">
        <v>148</v>
      </c>
    </row>
    <row r="6487" spans="8:8" x14ac:dyDescent="0.25">
      <c r="H6487" t="s">
        <v>5771</v>
      </c>
    </row>
    <row r="6488" spans="8:8" x14ac:dyDescent="0.25">
      <c r="H6488" t="s">
        <v>31</v>
      </c>
    </row>
    <row r="6490" spans="8:8" x14ac:dyDescent="0.25">
      <c r="H6490" t="s">
        <v>3727</v>
      </c>
    </row>
    <row r="6491" spans="8:8" x14ac:dyDescent="0.25">
      <c r="H6491" t="s">
        <v>145</v>
      </c>
    </row>
    <row r="6492" spans="8:8" x14ac:dyDescent="0.25">
      <c r="H6492" t="s">
        <v>5772</v>
      </c>
    </row>
    <row r="6493" spans="8:8" x14ac:dyDescent="0.25">
      <c r="H6493" t="s">
        <v>31</v>
      </c>
    </row>
    <row r="6494" spans="8:8" x14ac:dyDescent="0.25">
      <c r="H6494" t="s">
        <v>146</v>
      </c>
    </row>
    <row r="6495" spans="8:8" x14ac:dyDescent="0.25">
      <c r="H6495" t="s">
        <v>5773</v>
      </c>
    </row>
    <row r="6496" spans="8:8" x14ac:dyDescent="0.25">
      <c r="H6496" t="s">
        <v>31</v>
      </c>
    </row>
    <row r="6497" spans="8:8" x14ac:dyDescent="0.25">
      <c r="H6497" t="s">
        <v>147</v>
      </c>
    </row>
    <row r="6498" spans="8:8" x14ac:dyDescent="0.25">
      <c r="H6498" t="s">
        <v>5774</v>
      </c>
    </row>
    <row r="6499" spans="8:8" x14ac:dyDescent="0.25">
      <c r="H6499" t="s">
        <v>31</v>
      </c>
    </row>
    <row r="6500" spans="8:8" x14ac:dyDescent="0.25">
      <c r="H6500" t="s">
        <v>148</v>
      </c>
    </row>
    <row r="6501" spans="8:8" x14ac:dyDescent="0.25">
      <c r="H6501" t="s">
        <v>5775</v>
      </c>
    </row>
    <row r="6502" spans="8:8" x14ac:dyDescent="0.25">
      <c r="H6502" t="s">
        <v>31</v>
      </c>
    </row>
    <row r="6504" spans="8:8" x14ac:dyDescent="0.25">
      <c r="H6504" t="s">
        <v>3729</v>
      </c>
    </row>
    <row r="6505" spans="8:8" x14ac:dyDescent="0.25">
      <c r="H6505" t="s">
        <v>145</v>
      </c>
    </row>
    <row r="6506" spans="8:8" x14ac:dyDescent="0.25">
      <c r="H6506" t="s">
        <v>5776</v>
      </c>
    </row>
    <row r="6507" spans="8:8" x14ac:dyDescent="0.25">
      <c r="H6507" t="s">
        <v>31</v>
      </c>
    </row>
    <row r="6508" spans="8:8" x14ac:dyDescent="0.25">
      <c r="H6508" t="s">
        <v>146</v>
      </c>
    </row>
    <row r="6509" spans="8:8" x14ac:dyDescent="0.25">
      <c r="H6509" t="s">
        <v>5777</v>
      </c>
    </row>
    <row r="6510" spans="8:8" x14ac:dyDescent="0.25">
      <c r="H6510" t="s">
        <v>31</v>
      </c>
    </row>
    <row r="6511" spans="8:8" x14ac:dyDescent="0.25">
      <c r="H6511" t="s">
        <v>147</v>
      </c>
    </row>
    <row r="6512" spans="8:8" x14ac:dyDescent="0.25">
      <c r="H6512" t="s">
        <v>5778</v>
      </c>
    </row>
    <row r="6513" spans="8:8" x14ac:dyDescent="0.25">
      <c r="H6513" t="s">
        <v>31</v>
      </c>
    </row>
    <row r="6514" spans="8:8" x14ac:dyDescent="0.25">
      <c r="H6514" t="s">
        <v>148</v>
      </c>
    </row>
    <row r="6515" spans="8:8" x14ac:dyDescent="0.25">
      <c r="H6515" t="s">
        <v>5779</v>
      </c>
    </row>
    <row r="6516" spans="8:8" x14ac:dyDescent="0.25">
      <c r="H6516" t="s">
        <v>31</v>
      </c>
    </row>
    <row r="6518" spans="8:8" x14ac:dyDescent="0.25">
      <c r="H6518" t="s">
        <v>3731</v>
      </c>
    </row>
    <row r="6519" spans="8:8" x14ac:dyDescent="0.25">
      <c r="H6519" t="s">
        <v>145</v>
      </c>
    </row>
    <row r="6520" spans="8:8" x14ac:dyDescent="0.25">
      <c r="H6520" t="s">
        <v>5780</v>
      </c>
    </row>
    <row r="6521" spans="8:8" x14ac:dyDescent="0.25">
      <c r="H6521" t="s">
        <v>31</v>
      </c>
    </row>
    <row r="6522" spans="8:8" x14ac:dyDescent="0.25">
      <c r="H6522" t="s">
        <v>146</v>
      </c>
    </row>
    <row r="6523" spans="8:8" x14ac:dyDescent="0.25">
      <c r="H6523" t="s">
        <v>5781</v>
      </c>
    </row>
    <row r="6524" spans="8:8" x14ac:dyDescent="0.25">
      <c r="H6524" t="s">
        <v>31</v>
      </c>
    </row>
    <row r="6525" spans="8:8" x14ac:dyDescent="0.25">
      <c r="H6525" t="s">
        <v>147</v>
      </c>
    </row>
    <row r="6526" spans="8:8" x14ac:dyDescent="0.25">
      <c r="H6526" t="s">
        <v>5782</v>
      </c>
    </row>
    <row r="6527" spans="8:8" x14ac:dyDescent="0.25">
      <c r="H6527" t="s">
        <v>31</v>
      </c>
    </row>
    <row r="6528" spans="8:8" x14ac:dyDescent="0.25">
      <c r="H6528" t="s">
        <v>148</v>
      </c>
    </row>
    <row r="6529" spans="8:8" x14ac:dyDescent="0.25">
      <c r="H6529" t="s">
        <v>5783</v>
      </c>
    </row>
    <row r="6530" spans="8:8" x14ac:dyDescent="0.25">
      <c r="H6530" t="s">
        <v>31</v>
      </c>
    </row>
    <row r="6532" spans="8:8" x14ac:dyDescent="0.25">
      <c r="H6532" t="s">
        <v>3733</v>
      </c>
    </row>
    <row r="6533" spans="8:8" x14ac:dyDescent="0.25">
      <c r="H6533" t="s">
        <v>145</v>
      </c>
    </row>
    <row r="6534" spans="8:8" x14ac:dyDescent="0.25">
      <c r="H6534" t="s">
        <v>5784</v>
      </c>
    </row>
    <row r="6535" spans="8:8" x14ac:dyDescent="0.25">
      <c r="H6535" t="s">
        <v>31</v>
      </c>
    </row>
    <row r="6536" spans="8:8" x14ac:dyDescent="0.25">
      <c r="H6536" t="s">
        <v>146</v>
      </c>
    </row>
    <row r="6537" spans="8:8" x14ac:dyDescent="0.25">
      <c r="H6537" t="s">
        <v>5785</v>
      </c>
    </row>
    <row r="6538" spans="8:8" x14ac:dyDescent="0.25">
      <c r="H6538" t="s">
        <v>31</v>
      </c>
    </row>
    <row r="6539" spans="8:8" x14ac:dyDescent="0.25">
      <c r="H6539" t="s">
        <v>147</v>
      </c>
    </row>
    <row r="6540" spans="8:8" x14ac:dyDescent="0.25">
      <c r="H6540" t="s">
        <v>5786</v>
      </c>
    </row>
    <row r="6541" spans="8:8" x14ac:dyDescent="0.25">
      <c r="H6541" t="s">
        <v>31</v>
      </c>
    </row>
    <row r="6542" spans="8:8" x14ac:dyDescent="0.25">
      <c r="H6542" t="s">
        <v>148</v>
      </c>
    </row>
    <row r="6543" spans="8:8" x14ac:dyDescent="0.25">
      <c r="H6543" t="s">
        <v>5787</v>
      </c>
    </row>
    <row r="6544" spans="8:8" x14ac:dyDescent="0.25">
      <c r="H6544" t="s">
        <v>31</v>
      </c>
    </row>
    <row r="6546" spans="8:8" x14ac:dyDescent="0.25">
      <c r="H6546" t="s">
        <v>3735</v>
      </c>
    </row>
    <row r="6547" spans="8:8" x14ac:dyDescent="0.25">
      <c r="H6547" t="s">
        <v>145</v>
      </c>
    </row>
    <row r="6548" spans="8:8" x14ac:dyDescent="0.25">
      <c r="H6548" t="s">
        <v>5788</v>
      </c>
    </row>
    <row r="6549" spans="8:8" x14ac:dyDescent="0.25">
      <c r="H6549" t="s">
        <v>31</v>
      </c>
    </row>
    <row r="6550" spans="8:8" x14ac:dyDescent="0.25">
      <c r="H6550" t="s">
        <v>146</v>
      </c>
    </row>
    <row r="6551" spans="8:8" x14ac:dyDescent="0.25">
      <c r="H6551" t="s">
        <v>5789</v>
      </c>
    </row>
    <row r="6552" spans="8:8" x14ac:dyDescent="0.25">
      <c r="H6552" t="s">
        <v>31</v>
      </c>
    </row>
    <row r="6553" spans="8:8" x14ac:dyDescent="0.25">
      <c r="H6553" t="s">
        <v>147</v>
      </c>
    </row>
    <row r="6554" spans="8:8" x14ac:dyDescent="0.25">
      <c r="H6554" t="s">
        <v>5790</v>
      </c>
    </row>
    <row r="6555" spans="8:8" x14ac:dyDescent="0.25">
      <c r="H6555" t="s">
        <v>31</v>
      </c>
    </row>
    <row r="6556" spans="8:8" x14ac:dyDescent="0.25">
      <c r="H6556" t="s">
        <v>148</v>
      </c>
    </row>
    <row r="6557" spans="8:8" x14ac:dyDescent="0.25">
      <c r="H6557" t="s">
        <v>5791</v>
      </c>
    </row>
    <row r="6558" spans="8:8" x14ac:dyDescent="0.25">
      <c r="H6558" t="s">
        <v>31</v>
      </c>
    </row>
    <row r="6560" spans="8:8" x14ac:dyDescent="0.25">
      <c r="H6560" t="s">
        <v>3737</v>
      </c>
    </row>
    <row r="6561" spans="8:8" x14ac:dyDescent="0.25">
      <c r="H6561" t="s">
        <v>145</v>
      </c>
    </row>
    <row r="6562" spans="8:8" x14ac:dyDescent="0.25">
      <c r="H6562" t="s">
        <v>5792</v>
      </c>
    </row>
    <row r="6563" spans="8:8" x14ac:dyDescent="0.25">
      <c r="H6563" t="s">
        <v>31</v>
      </c>
    </row>
    <row r="6564" spans="8:8" x14ac:dyDescent="0.25">
      <c r="H6564" t="s">
        <v>146</v>
      </c>
    </row>
    <row r="6565" spans="8:8" x14ac:dyDescent="0.25">
      <c r="H6565" t="s">
        <v>5793</v>
      </c>
    </row>
    <row r="6566" spans="8:8" x14ac:dyDescent="0.25">
      <c r="H6566" t="s">
        <v>31</v>
      </c>
    </row>
    <row r="6567" spans="8:8" x14ac:dyDescent="0.25">
      <c r="H6567" t="s">
        <v>147</v>
      </c>
    </row>
    <row r="6568" spans="8:8" x14ac:dyDescent="0.25">
      <c r="H6568" t="s">
        <v>5794</v>
      </c>
    </row>
    <row r="6569" spans="8:8" x14ac:dyDescent="0.25">
      <c r="H6569" t="s">
        <v>31</v>
      </c>
    </row>
    <row r="6570" spans="8:8" x14ac:dyDescent="0.25">
      <c r="H6570" t="s">
        <v>148</v>
      </c>
    </row>
    <row r="6571" spans="8:8" x14ac:dyDescent="0.25">
      <c r="H6571" t="s">
        <v>5795</v>
      </c>
    </row>
    <row r="6572" spans="8:8" x14ac:dyDescent="0.25">
      <c r="H6572" t="s">
        <v>31</v>
      </c>
    </row>
    <row r="6574" spans="8:8" x14ac:dyDescent="0.25">
      <c r="H6574" t="s">
        <v>3739</v>
      </c>
    </row>
    <row r="6575" spans="8:8" x14ac:dyDescent="0.25">
      <c r="H6575" t="s">
        <v>145</v>
      </c>
    </row>
    <row r="6576" spans="8:8" x14ac:dyDescent="0.25">
      <c r="H6576" t="s">
        <v>5796</v>
      </c>
    </row>
    <row r="6577" spans="8:8" x14ac:dyDescent="0.25">
      <c r="H6577" t="s">
        <v>31</v>
      </c>
    </row>
    <row r="6578" spans="8:8" x14ac:dyDescent="0.25">
      <c r="H6578" t="s">
        <v>146</v>
      </c>
    </row>
    <row r="6579" spans="8:8" x14ac:dyDescent="0.25">
      <c r="H6579" t="s">
        <v>5797</v>
      </c>
    </row>
    <row r="6580" spans="8:8" x14ac:dyDescent="0.25">
      <c r="H6580" t="s">
        <v>31</v>
      </c>
    </row>
    <row r="6581" spans="8:8" x14ac:dyDescent="0.25">
      <c r="H6581" t="s">
        <v>147</v>
      </c>
    </row>
    <row r="6582" spans="8:8" x14ac:dyDescent="0.25">
      <c r="H6582" t="s">
        <v>5798</v>
      </c>
    </row>
    <row r="6583" spans="8:8" x14ac:dyDescent="0.25">
      <c r="H6583" t="s">
        <v>31</v>
      </c>
    </row>
    <row r="6584" spans="8:8" x14ac:dyDescent="0.25">
      <c r="H6584" t="s">
        <v>148</v>
      </c>
    </row>
    <row r="6585" spans="8:8" x14ac:dyDescent="0.25">
      <c r="H6585" t="s">
        <v>5799</v>
      </c>
    </row>
    <row r="6586" spans="8:8" x14ac:dyDescent="0.25">
      <c r="H6586" t="s">
        <v>31</v>
      </c>
    </row>
    <row r="6588" spans="8:8" x14ac:dyDescent="0.25">
      <c r="H6588" t="s">
        <v>3741</v>
      </c>
    </row>
    <row r="6589" spans="8:8" x14ac:dyDescent="0.25">
      <c r="H6589" t="s">
        <v>145</v>
      </c>
    </row>
    <row r="6590" spans="8:8" x14ac:dyDescent="0.25">
      <c r="H6590" t="s">
        <v>5800</v>
      </c>
    </row>
    <row r="6591" spans="8:8" x14ac:dyDescent="0.25">
      <c r="H6591" t="s">
        <v>31</v>
      </c>
    </row>
    <row r="6592" spans="8:8" x14ac:dyDescent="0.25">
      <c r="H6592" t="s">
        <v>146</v>
      </c>
    </row>
    <row r="6593" spans="8:8" x14ac:dyDescent="0.25">
      <c r="H6593" t="s">
        <v>5801</v>
      </c>
    </row>
    <row r="6594" spans="8:8" x14ac:dyDescent="0.25">
      <c r="H6594" t="s">
        <v>31</v>
      </c>
    </row>
    <row r="6595" spans="8:8" x14ac:dyDescent="0.25">
      <c r="H6595" t="s">
        <v>147</v>
      </c>
    </row>
    <row r="6596" spans="8:8" x14ac:dyDescent="0.25">
      <c r="H6596" t="s">
        <v>5802</v>
      </c>
    </row>
    <row r="6597" spans="8:8" x14ac:dyDescent="0.25">
      <c r="H6597" t="s">
        <v>31</v>
      </c>
    </row>
    <row r="6598" spans="8:8" x14ac:dyDescent="0.25">
      <c r="H6598" t="s">
        <v>148</v>
      </c>
    </row>
    <row r="6599" spans="8:8" x14ac:dyDescent="0.25">
      <c r="H6599" t="s">
        <v>5803</v>
      </c>
    </row>
    <row r="6600" spans="8:8" x14ac:dyDescent="0.25">
      <c r="H6600" t="s">
        <v>31</v>
      </c>
    </row>
    <row r="6602" spans="8:8" x14ac:dyDescent="0.25">
      <c r="H6602" t="s">
        <v>3743</v>
      </c>
    </row>
    <row r="6603" spans="8:8" x14ac:dyDescent="0.25">
      <c r="H6603" t="s">
        <v>145</v>
      </c>
    </row>
    <row r="6604" spans="8:8" x14ac:dyDescent="0.25">
      <c r="H6604" t="s">
        <v>5804</v>
      </c>
    </row>
    <row r="6605" spans="8:8" x14ac:dyDescent="0.25">
      <c r="H6605" t="s">
        <v>31</v>
      </c>
    </row>
    <row r="6606" spans="8:8" x14ac:dyDescent="0.25">
      <c r="H6606" t="s">
        <v>146</v>
      </c>
    </row>
    <row r="6607" spans="8:8" x14ac:dyDescent="0.25">
      <c r="H6607" t="s">
        <v>5805</v>
      </c>
    </row>
    <row r="6608" spans="8:8" x14ac:dyDescent="0.25">
      <c r="H6608" t="s">
        <v>31</v>
      </c>
    </row>
    <row r="6609" spans="8:8" x14ac:dyDescent="0.25">
      <c r="H6609" t="s">
        <v>147</v>
      </c>
    </row>
    <row r="6610" spans="8:8" x14ac:dyDescent="0.25">
      <c r="H6610" t="s">
        <v>5806</v>
      </c>
    </row>
    <row r="6611" spans="8:8" x14ac:dyDescent="0.25">
      <c r="H6611" t="s">
        <v>31</v>
      </c>
    </row>
    <row r="6612" spans="8:8" x14ac:dyDescent="0.25">
      <c r="H6612" t="s">
        <v>148</v>
      </c>
    </row>
    <row r="6613" spans="8:8" x14ac:dyDescent="0.25">
      <c r="H6613" t="s">
        <v>5807</v>
      </c>
    </row>
    <row r="6614" spans="8:8" x14ac:dyDescent="0.25">
      <c r="H6614" t="s">
        <v>31</v>
      </c>
    </row>
    <row r="6616" spans="8:8" x14ac:dyDescent="0.25">
      <c r="H6616" t="s">
        <v>3745</v>
      </c>
    </row>
    <row r="6617" spans="8:8" x14ac:dyDescent="0.25">
      <c r="H6617" t="s">
        <v>145</v>
      </c>
    </row>
    <row r="6618" spans="8:8" x14ac:dyDescent="0.25">
      <c r="H6618" t="s">
        <v>5808</v>
      </c>
    </row>
    <row r="6619" spans="8:8" x14ac:dyDescent="0.25">
      <c r="H6619" t="s">
        <v>31</v>
      </c>
    </row>
    <row r="6620" spans="8:8" x14ac:dyDescent="0.25">
      <c r="H6620" t="s">
        <v>146</v>
      </c>
    </row>
    <row r="6621" spans="8:8" x14ac:dyDescent="0.25">
      <c r="H6621" t="s">
        <v>5809</v>
      </c>
    </row>
    <row r="6622" spans="8:8" x14ac:dyDescent="0.25">
      <c r="H6622" t="s">
        <v>31</v>
      </c>
    </row>
    <row r="6623" spans="8:8" x14ac:dyDescent="0.25">
      <c r="H6623" t="s">
        <v>147</v>
      </c>
    </row>
    <row r="6624" spans="8:8" x14ac:dyDescent="0.25">
      <c r="H6624" t="s">
        <v>5810</v>
      </c>
    </row>
    <row r="6625" spans="8:8" x14ac:dyDescent="0.25">
      <c r="H6625" t="s">
        <v>31</v>
      </c>
    </row>
    <row r="6626" spans="8:8" x14ac:dyDescent="0.25">
      <c r="H6626" t="s">
        <v>148</v>
      </c>
    </row>
    <row r="6627" spans="8:8" x14ac:dyDescent="0.25">
      <c r="H6627" t="s">
        <v>5811</v>
      </c>
    </row>
    <row r="6628" spans="8:8" x14ac:dyDescent="0.25">
      <c r="H6628" t="s">
        <v>31</v>
      </c>
    </row>
    <row r="6630" spans="8:8" x14ac:dyDescent="0.25">
      <c r="H6630" t="s">
        <v>3747</v>
      </c>
    </row>
    <row r="6631" spans="8:8" x14ac:dyDescent="0.25">
      <c r="H6631" t="s">
        <v>145</v>
      </c>
    </row>
    <row r="6632" spans="8:8" x14ac:dyDescent="0.25">
      <c r="H6632" t="s">
        <v>5812</v>
      </c>
    </row>
    <row r="6633" spans="8:8" x14ac:dyDescent="0.25">
      <c r="H6633" t="s">
        <v>31</v>
      </c>
    </row>
    <row r="6634" spans="8:8" x14ac:dyDescent="0.25">
      <c r="H6634" t="s">
        <v>146</v>
      </c>
    </row>
    <row r="6635" spans="8:8" x14ac:dyDescent="0.25">
      <c r="H6635" t="s">
        <v>5813</v>
      </c>
    </row>
    <row r="6636" spans="8:8" x14ac:dyDescent="0.25">
      <c r="H6636" t="s">
        <v>31</v>
      </c>
    </row>
    <row r="6637" spans="8:8" x14ac:dyDescent="0.25">
      <c r="H6637" t="s">
        <v>147</v>
      </c>
    </row>
    <row r="6638" spans="8:8" x14ac:dyDescent="0.25">
      <c r="H6638" t="s">
        <v>5814</v>
      </c>
    </row>
    <row r="6639" spans="8:8" x14ac:dyDescent="0.25">
      <c r="H6639" t="s">
        <v>31</v>
      </c>
    </row>
    <row r="6640" spans="8:8" x14ac:dyDescent="0.25">
      <c r="H6640" t="s">
        <v>148</v>
      </c>
    </row>
    <row r="6641" spans="8:8" x14ac:dyDescent="0.25">
      <c r="H6641" t="s">
        <v>5815</v>
      </c>
    </row>
    <row r="6642" spans="8:8" x14ac:dyDescent="0.25">
      <c r="H6642" t="s">
        <v>31</v>
      </c>
    </row>
    <row r="6644" spans="8:8" x14ac:dyDescent="0.25">
      <c r="H6644" t="s">
        <v>3749</v>
      </c>
    </row>
    <row r="6645" spans="8:8" x14ac:dyDescent="0.25">
      <c r="H6645" t="s">
        <v>145</v>
      </c>
    </row>
    <row r="6646" spans="8:8" x14ac:dyDescent="0.25">
      <c r="H6646" t="s">
        <v>5816</v>
      </c>
    </row>
    <row r="6647" spans="8:8" x14ac:dyDescent="0.25">
      <c r="H6647" t="s">
        <v>31</v>
      </c>
    </row>
    <row r="6648" spans="8:8" x14ac:dyDescent="0.25">
      <c r="H6648" t="s">
        <v>146</v>
      </c>
    </row>
    <row r="6649" spans="8:8" x14ac:dyDescent="0.25">
      <c r="H6649" t="s">
        <v>5817</v>
      </c>
    </row>
    <row r="6650" spans="8:8" x14ac:dyDescent="0.25">
      <c r="H6650" t="s">
        <v>31</v>
      </c>
    </row>
    <row r="6651" spans="8:8" x14ac:dyDescent="0.25">
      <c r="H6651" t="s">
        <v>147</v>
      </c>
    </row>
    <row r="6652" spans="8:8" x14ac:dyDescent="0.25">
      <c r="H6652" t="s">
        <v>5818</v>
      </c>
    </row>
    <row r="6653" spans="8:8" x14ac:dyDescent="0.25">
      <c r="H6653" t="s">
        <v>31</v>
      </c>
    </row>
    <row r="6654" spans="8:8" x14ac:dyDescent="0.25">
      <c r="H6654" t="s">
        <v>148</v>
      </c>
    </row>
    <row r="6655" spans="8:8" x14ac:dyDescent="0.25">
      <c r="H6655" t="s">
        <v>5819</v>
      </c>
    </row>
    <row r="6656" spans="8:8" x14ac:dyDescent="0.25">
      <c r="H6656" t="s">
        <v>31</v>
      </c>
    </row>
    <row r="6658" spans="8:8" x14ac:dyDescent="0.25">
      <c r="H6658" t="s">
        <v>3751</v>
      </c>
    </row>
    <row r="6659" spans="8:8" x14ac:dyDescent="0.25">
      <c r="H6659" t="s">
        <v>145</v>
      </c>
    </row>
    <row r="6660" spans="8:8" x14ac:dyDescent="0.25">
      <c r="H6660" t="s">
        <v>5820</v>
      </c>
    </row>
    <row r="6661" spans="8:8" x14ac:dyDescent="0.25">
      <c r="H6661" t="s">
        <v>31</v>
      </c>
    </row>
    <row r="6662" spans="8:8" x14ac:dyDescent="0.25">
      <c r="H6662" t="s">
        <v>146</v>
      </c>
    </row>
    <row r="6663" spans="8:8" x14ac:dyDescent="0.25">
      <c r="H6663" t="s">
        <v>5821</v>
      </c>
    </row>
    <row r="6664" spans="8:8" x14ac:dyDescent="0.25">
      <c r="H6664" t="s">
        <v>31</v>
      </c>
    </row>
    <row r="6665" spans="8:8" x14ac:dyDescent="0.25">
      <c r="H6665" t="s">
        <v>147</v>
      </c>
    </row>
    <row r="6666" spans="8:8" x14ac:dyDescent="0.25">
      <c r="H6666" t="s">
        <v>5822</v>
      </c>
    </row>
    <row r="6667" spans="8:8" x14ac:dyDescent="0.25">
      <c r="H6667" t="s">
        <v>31</v>
      </c>
    </row>
    <row r="6668" spans="8:8" x14ac:dyDescent="0.25">
      <c r="H6668" t="s">
        <v>148</v>
      </c>
    </row>
    <row r="6669" spans="8:8" x14ac:dyDescent="0.25">
      <c r="H6669" t="s">
        <v>5823</v>
      </c>
    </row>
    <row r="6670" spans="8:8" x14ac:dyDescent="0.25">
      <c r="H6670" t="s">
        <v>31</v>
      </c>
    </row>
    <row r="6672" spans="8:8" x14ac:dyDescent="0.25">
      <c r="H6672" t="s">
        <v>3754</v>
      </c>
    </row>
    <row r="6673" spans="8:8" x14ac:dyDescent="0.25">
      <c r="H6673" t="s">
        <v>145</v>
      </c>
    </row>
    <row r="6674" spans="8:8" x14ac:dyDescent="0.25">
      <c r="H6674" t="s">
        <v>5824</v>
      </c>
    </row>
    <row r="6675" spans="8:8" x14ac:dyDescent="0.25">
      <c r="H6675" t="s">
        <v>31</v>
      </c>
    </row>
    <row r="6676" spans="8:8" x14ac:dyDescent="0.25">
      <c r="H6676" t="s">
        <v>146</v>
      </c>
    </row>
    <row r="6677" spans="8:8" x14ac:dyDescent="0.25">
      <c r="H6677" t="s">
        <v>5825</v>
      </c>
    </row>
    <row r="6678" spans="8:8" x14ac:dyDescent="0.25">
      <c r="H6678" t="s">
        <v>31</v>
      </c>
    </row>
    <row r="6679" spans="8:8" x14ac:dyDescent="0.25">
      <c r="H6679" t="s">
        <v>147</v>
      </c>
    </row>
    <row r="6680" spans="8:8" x14ac:dyDescent="0.25">
      <c r="H6680" t="s">
        <v>5826</v>
      </c>
    </row>
    <row r="6681" spans="8:8" x14ac:dyDescent="0.25">
      <c r="H6681" t="s">
        <v>31</v>
      </c>
    </row>
    <row r="6682" spans="8:8" x14ac:dyDescent="0.25">
      <c r="H6682" t="s">
        <v>148</v>
      </c>
    </row>
    <row r="6683" spans="8:8" x14ac:dyDescent="0.25">
      <c r="H6683" t="s">
        <v>5827</v>
      </c>
    </row>
    <row r="6684" spans="8:8" x14ac:dyDescent="0.25">
      <c r="H6684" t="s">
        <v>31</v>
      </c>
    </row>
    <row r="6686" spans="8:8" x14ac:dyDescent="0.25">
      <c r="H6686" t="s">
        <v>3759</v>
      </c>
    </row>
    <row r="6687" spans="8:8" x14ac:dyDescent="0.25">
      <c r="H6687" t="s">
        <v>145</v>
      </c>
    </row>
    <row r="6688" spans="8:8" x14ac:dyDescent="0.25">
      <c r="H6688" t="s">
        <v>5828</v>
      </c>
    </row>
    <row r="6689" spans="8:8" x14ac:dyDescent="0.25">
      <c r="H6689" t="s">
        <v>31</v>
      </c>
    </row>
    <row r="6690" spans="8:8" x14ac:dyDescent="0.25">
      <c r="H6690" t="s">
        <v>146</v>
      </c>
    </row>
    <row r="6691" spans="8:8" x14ac:dyDescent="0.25">
      <c r="H6691" t="s">
        <v>5829</v>
      </c>
    </row>
    <row r="6692" spans="8:8" x14ac:dyDescent="0.25">
      <c r="H6692" t="s">
        <v>31</v>
      </c>
    </row>
    <row r="6693" spans="8:8" x14ac:dyDescent="0.25">
      <c r="H6693" t="s">
        <v>147</v>
      </c>
    </row>
    <row r="6694" spans="8:8" x14ac:dyDescent="0.25">
      <c r="H6694" t="s">
        <v>5830</v>
      </c>
    </row>
    <row r="6695" spans="8:8" x14ac:dyDescent="0.25">
      <c r="H6695" t="s">
        <v>31</v>
      </c>
    </row>
    <row r="6696" spans="8:8" x14ac:dyDescent="0.25">
      <c r="H6696" t="s">
        <v>148</v>
      </c>
    </row>
    <row r="6697" spans="8:8" x14ac:dyDescent="0.25">
      <c r="H6697" t="s">
        <v>5831</v>
      </c>
    </row>
    <row r="6698" spans="8:8" x14ac:dyDescent="0.25">
      <c r="H6698" t="s">
        <v>31</v>
      </c>
    </row>
    <row r="6700" spans="8:8" x14ac:dyDescent="0.25">
      <c r="H6700" t="s">
        <v>3764</v>
      </c>
    </row>
    <row r="6701" spans="8:8" x14ac:dyDescent="0.25">
      <c r="H6701" t="s">
        <v>145</v>
      </c>
    </row>
    <row r="6702" spans="8:8" x14ac:dyDescent="0.25">
      <c r="H6702" t="s">
        <v>5832</v>
      </c>
    </row>
    <row r="6703" spans="8:8" x14ac:dyDescent="0.25">
      <c r="H6703" t="s">
        <v>31</v>
      </c>
    </row>
    <row r="6704" spans="8:8" x14ac:dyDescent="0.25">
      <c r="H6704" t="s">
        <v>146</v>
      </c>
    </row>
    <row r="6705" spans="8:8" x14ac:dyDescent="0.25">
      <c r="H6705" t="s">
        <v>5833</v>
      </c>
    </row>
    <row r="6706" spans="8:8" x14ac:dyDescent="0.25">
      <c r="H6706" t="s">
        <v>31</v>
      </c>
    </row>
    <row r="6707" spans="8:8" x14ac:dyDescent="0.25">
      <c r="H6707" t="s">
        <v>147</v>
      </c>
    </row>
    <row r="6708" spans="8:8" x14ac:dyDescent="0.25">
      <c r="H6708" t="s">
        <v>5834</v>
      </c>
    </row>
    <row r="6709" spans="8:8" x14ac:dyDescent="0.25">
      <c r="H6709" t="s">
        <v>31</v>
      </c>
    </row>
    <row r="6710" spans="8:8" x14ac:dyDescent="0.25">
      <c r="H6710" t="s">
        <v>148</v>
      </c>
    </row>
    <row r="6711" spans="8:8" x14ac:dyDescent="0.25">
      <c r="H6711" t="s">
        <v>5835</v>
      </c>
    </row>
    <row r="6712" spans="8:8" x14ac:dyDescent="0.25">
      <c r="H6712" t="s">
        <v>31</v>
      </c>
    </row>
    <row r="6714" spans="8:8" x14ac:dyDescent="0.25">
      <c r="H6714" t="s">
        <v>3769</v>
      </c>
    </row>
    <row r="6715" spans="8:8" x14ac:dyDescent="0.25">
      <c r="H6715" t="s">
        <v>145</v>
      </c>
    </row>
    <row r="6716" spans="8:8" x14ac:dyDescent="0.25">
      <c r="H6716" t="s">
        <v>5836</v>
      </c>
    </row>
    <row r="6717" spans="8:8" x14ac:dyDescent="0.25">
      <c r="H6717" t="s">
        <v>31</v>
      </c>
    </row>
    <row r="6718" spans="8:8" x14ac:dyDescent="0.25">
      <c r="H6718" t="s">
        <v>146</v>
      </c>
    </row>
    <row r="6719" spans="8:8" x14ac:dyDescent="0.25">
      <c r="H6719" t="s">
        <v>5837</v>
      </c>
    </row>
    <row r="6720" spans="8:8" x14ac:dyDescent="0.25">
      <c r="H6720" t="s">
        <v>31</v>
      </c>
    </row>
    <row r="6721" spans="8:8" x14ac:dyDescent="0.25">
      <c r="H6721" t="s">
        <v>147</v>
      </c>
    </row>
    <row r="6722" spans="8:8" x14ac:dyDescent="0.25">
      <c r="H6722" t="s">
        <v>5838</v>
      </c>
    </row>
    <row r="6723" spans="8:8" x14ac:dyDescent="0.25">
      <c r="H6723" t="s">
        <v>31</v>
      </c>
    </row>
    <row r="6724" spans="8:8" x14ac:dyDescent="0.25">
      <c r="H6724" t="s">
        <v>148</v>
      </c>
    </row>
    <row r="6725" spans="8:8" x14ac:dyDescent="0.25">
      <c r="H6725" t="s">
        <v>5839</v>
      </c>
    </row>
    <row r="6726" spans="8:8" x14ac:dyDescent="0.25">
      <c r="H6726" t="s">
        <v>31</v>
      </c>
    </row>
    <row r="6728" spans="8:8" x14ac:dyDescent="0.25">
      <c r="H6728" t="s">
        <v>3774</v>
      </c>
    </row>
    <row r="6729" spans="8:8" x14ac:dyDescent="0.25">
      <c r="H6729" t="s">
        <v>145</v>
      </c>
    </row>
    <row r="6730" spans="8:8" x14ac:dyDescent="0.25">
      <c r="H6730" t="s">
        <v>5840</v>
      </c>
    </row>
    <row r="6731" spans="8:8" x14ac:dyDescent="0.25">
      <c r="H6731" t="s">
        <v>31</v>
      </c>
    </row>
    <row r="6732" spans="8:8" x14ac:dyDescent="0.25">
      <c r="H6732" t="s">
        <v>146</v>
      </c>
    </row>
    <row r="6733" spans="8:8" x14ac:dyDescent="0.25">
      <c r="H6733" t="s">
        <v>5841</v>
      </c>
    </row>
    <row r="6734" spans="8:8" x14ac:dyDescent="0.25">
      <c r="H6734" t="s">
        <v>31</v>
      </c>
    </row>
    <row r="6735" spans="8:8" x14ac:dyDescent="0.25">
      <c r="H6735" t="s">
        <v>147</v>
      </c>
    </row>
    <row r="6736" spans="8:8" x14ac:dyDescent="0.25">
      <c r="H6736" t="s">
        <v>5842</v>
      </c>
    </row>
    <row r="6737" spans="8:8" x14ac:dyDescent="0.25">
      <c r="H6737" t="s">
        <v>31</v>
      </c>
    </row>
    <row r="6738" spans="8:8" x14ac:dyDescent="0.25">
      <c r="H6738" t="s">
        <v>148</v>
      </c>
    </row>
    <row r="6739" spans="8:8" x14ac:dyDescent="0.25">
      <c r="H6739" t="s">
        <v>5843</v>
      </c>
    </row>
    <row r="6740" spans="8:8" x14ac:dyDescent="0.25">
      <c r="H6740" t="s">
        <v>31</v>
      </c>
    </row>
    <row r="6742" spans="8:8" x14ac:dyDescent="0.25">
      <c r="H6742" t="s">
        <v>3779</v>
      </c>
    </row>
    <row r="6743" spans="8:8" x14ac:dyDescent="0.25">
      <c r="H6743" t="s">
        <v>145</v>
      </c>
    </row>
    <row r="6744" spans="8:8" x14ac:dyDescent="0.25">
      <c r="H6744" t="s">
        <v>5844</v>
      </c>
    </row>
    <row r="6745" spans="8:8" x14ac:dyDescent="0.25">
      <c r="H6745" t="s">
        <v>31</v>
      </c>
    </row>
    <row r="6746" spans="8:8" x14ac:dyDescent="0.25">
      <c r="H6746" t="s">
        <v>146</v>
      </c>
    </row>
    <row r="6747" spans="8:8" x14ac:dyDescent="0.25">
      <c r="H6747" t="s">
        <v>5845</v>
      </c>
    </row>
    <row r="6748" spans="8:8" x14ac:dyDescent="0.25">
      <c r="H6748" t="s">
        <v>31</v>
      </c>
    </row>
    <row r="6749" spans="8:8" x14ac:dyDescent="0.25">
      <c r="H6749" t="s">
        <v>147</v>
      </c>
    </row>
    <row r="6750" spans="8:8" x14ac:dyDescent="0.25">
      <c r="H6750" t="s">
        <v>5846</v>
      </c>
    </row>
    <row r="6751" spans="8:8" x14ac:dyDescent="0.25">
      <c r="H6751" t="s">
        <v>31</v>
      </c>
    </row>
    <row r="6752" spans="8:8" x14ac:dyDescent="0.25">
      <c r="H6752" t="s">
        <v>148</v>
      </c>
    </row>
    <row r="6753" spans="8:8" x14ac:dyDescent="0.25">
      <c r="H6753" t="s">
        <v>5847</v>
      </c>
    </row>
    <row r="6754" spans="8:8" x14ac:dyDescent="0.25">
      <c r="H6754" t="s">
        <v>31</v>
      </c>
    </row>
    <row r="6756" spans="8:8" x14ac:dyDescent="0.25">
      <c r="H6756" t="s">
        <v>3784</v>
      </c>
    </row>
    <row r="6757" spans="8:8" x14ac:dyDescent="0.25">
      <c r="H6757" t="s">
        <v>145</v>
      </c>
    </row>
    <row r="6758" spans="8:8" x14ac:dyDescent="0.25">
      <c r="H6758" t="s">
        <v>5848</v>
      </c>
    </row>
    <row r="6759" spans="8:8" x14ac:dyDescent="0.25">
      <c r="H6759" t="s">
        <v>31</v>
      </c>
    </row>
    <row r="6760" spans="8:8" x14ac:dyDescent="0.25">
      <c r="H6760" t="s">
        <v>146</v>
      </c>
    </row>
    <row r="6761" spans="8:8" x14ac:dyDescent="0.25">
      <c r="H6761" t="s">
        <v>5849</v>
      </c>
    </row>
    <row r="6762" spans="8:8" x14ac:dyDescent="0.25">
      <c r="H6762" t="s">
        <v>31</v>
      </c>
    </row>
    <row r="6763" spans="8:8" x14ac:dyDescent="0.25">
      <c r="H6763" t="s">
        <v>147</v>
      </c>
    </row>
    <row r="6764" spans="8:8" x14ac:dyDescent="0.25">
      <c r="H6764" t="s">
        <v>5850</v>
      </c>
    </row>
    <row r="6765" spans="8:8" x14ac:dyDescent="0.25">
      <c r="H6765" t="s">
        <v>31</v>
      </c>
    </row>
    <row r="6766" spans="8:8" x14ac:dyDescent="0.25">
      <c r="H6766" t="s">
        <v>148</v>
      </c>
    </row>
    <row r="6767" spans="8:8" x14ac:dyDescent="0.25">
      <c r="H6767" t="s">
        <v>5851</v>
      </c>
    </row>
    <row r="6768" spans="8:8" x14ac:dyDescent="0.25">
      <c r="H6768" t="s">
        <v>31</v>
      </c>
    </row>
    <row r="6770" spans="8:8" x14ac:dyDescent="0.25">
      <c r="H6770" t="s">
        <v>3789</v>
      </c>
    </row>
    <row r="6771" spans="8:8" x14ac:dyDescent="0.25">
      <c r="H6771" t="s">
        <v>145</v>
      </c>
    </row>
    <row r="6772" spans="8:8" x14ac:dyDescent="0.25">
      <c r="H6772" t="s">
        <v>5852</v>
      </c>
    </row>
    <row r="6773" spans="8:8" x14ac:dyDescent="0.25">
      <c r="H6773" t="s">
        <v>31</v>
      </c>
    </row>
    <row r="6774" spans="8:8" x14ac:dyDescent="0.25">
      <c r="H6774" t="s">
        <v>146</v>
      </c>
    </row>
    <row r="6775" spans="8:8" x14ac:dyDescent="0.25">
      <c r="H6775" t="s">
        <v>5853</v>
      </c>
    </row>
    <row r="6776" spans="8:8" x14ac:dyDescent="0.25">
      <c r="H6776" t="s">
        <v>31</v>
      </c>
    </row>
    <row r="6777" spans="8:8" x14ac:dyDescent="0.25">
      <c r="H6777" t="s">
        <v>147</v>
      </c>
    </row>
    <row r="6778" spans="8:8" x14ac:dyDescent="0.25">
      <c r="H6778" t="s">
        <v>5854</v>
      </c>
    </row>
    <row r="6779" spans="8:8" x14ac:dyDescent="0.25">
      <c r="H6779" t="s">
        <v>31</v>
      </c>
    </row>
    <row r="6780" spans="8:8" x14ac:dyDescent="0.25">
      <c r="H6780" t="s">
        <v>148</v>
      </c>
    </row>
    <row r="6781" spans="8:8" x14ac:dyDescent="0.25">
      <c r="H6781" t="s">
        <v>5855</v>
      </c>
    </row>
    <row r="6782" spans="8:8" x14ac:dyDescent="0.25">
      <c r="H6782" t="s">
        <v>31</v>
      </c>
    </row>
    <row r="6784" spans="8:8" x14ac:dyDescent="0.25">
      <c r="H6784" t="s">
        <v>3794</v>
      </c>
    </row>
    <row r="6785" spans="8:8" x14ac:dyDescent="0.25">
      <c r="H6785" t="s">
        <v>145</v>
      </c>
    </row>
    <row r="6786" spans="8:8" x14ac:dyDescent="0.25">
      <c r="H6786" t="s">
        <v>5856</v>
      </c>
    </row>
    <row r="6787" spans="8:8" x14ac:dyDescent="0.25">
      <c r="H6787" t="s">
        <v>31</v>
      </c>
    </row>
    <row r="6788" spans="8:8" x14ac:dyDescent="0.25">
      <c r="H6788" t="s">
        <v>146</v>
      </c>
    </row>
    <row r="6789" spans="8:8" x14ac:dyDescent="0.25">
      <c r="H6789" t="s">
        <v>5857</v>
      </c>
    </row>
    <row r="6790" spans="8:8" x14ac:dyDescent="0.25">
      <c r="H6790" t="s">
        <v>31</v>
      </c>
    </row>
    <row r="6791" spans="8:8" x14ac:dyDescent="0.25">
      <c r="H6791" t="s">
        <v>147</v>
      </c>
    </row>
    <row r="6792" spans="8:8" x14ac:dyDescent="0.25">
      <c r="H6792" t="s">
        <v>5858</v>
      </c>
    </row>
    <row r="6793" spans="8:8" x14ac:dyDescent="0.25">
      <c r="H6793" t="s">
        <v>31</v>
      </c>
    </row>
    <row r="6794" spans="8:8" x14ac:dyDescent="0.25">
      <c r="H6794" t="s">
        <v>148</v>
      </c>
    </row>
    <row r="6795" spans="8:8" x14ac:dyDescent="0.25">
      <c r="H6795" t="s">
        <v>5859</v>
      </c>
    </row>
    <row r="6796" spans="8:8" x14ac:dyDescent="0.25">
      <c r="H6796" t="s">
        <v>31</v>
      </c>
    </row>
    <row r="6798" spans="8:8" x14ac:dyDescent="0.25">
      <c r="H6798" t="s">
        <v>3799</v>
      </c>
    </row>
    <row r="6799" spans="8:8" x14ac:dyDescent="0.25">
      <c r="H6799" t="s">
        <v>145</v>
      </c>
    </row>
    <row r="6800" spans="8:8" x14ac:dyDescent="0.25">
      <c r="H6800" t="s">
        <v>5860</v>
      </c>
    </row>
    <row r="6801" spans="8:8" x14ac:dyDescent="0.25">
      <c r="H6801" t="s">
        <v>31</v>
      </c>
    </row>
    <row r="6802" spans="8:8" x14ac:dyDescent="0.25">
      <c r="H6802" t="s">
        <v>146</v>
      </c>
    </row>
    <row r="6803" spans="8:8" x14ac:dyDescent="0.25">
      <c r="H6803" t="s">
        <v>5861</v>
      </c>
    </row>
    <row r="6804" spans="8:8" x14ac:dyDescent="0.25">
      <c r="H6804" t="s">
        <v>31</v>
      </c>
    </row>
    <row r="6805" spans="8:8" x14ac:dyDescent="0.25">
      <c r="H6805" t="s">
        <v>147</v>
      </c>
    </row>
    <row r="6806" spans="8:8" x14ac:dyDescent="0.25">
      <c r="H6806" t="s">
        <v>5862</v>
      </c>
    </row>
    <row r="6807" spans="8:8" x14ac:dyDescent="0.25">
      <c r="H6807" t="s">
        <v>31</v>
      </c>
    </row>
    <row r="6808" spans="8:8" x14ac:dyDescent="0.25">
      <c r="H6808" t="s">
        <v>148</v>
      </c>
    </row>
    <row r="6809" spans="8:8" x14ac:dyDescent="0.25">
      <c r="H6809" t="s">
        <v>5863</v>
      </c>
    </row>
    <row r="6810" spans="8:8" x14ac:dyDescent="0.25">
      <c r="H6810" t="s">
        <v>31</v>
      </c>
    </row>
    <row r="6812" spans="8:8" x14ac:dyDescent="0.25">
      <c r="H6812" t="s">
        <v>3804</v>
      </c>
    </row>
    <row r="6813" spans="8:8" x14ac:dyDescent="0.25">
      <c r="H6813" t="s">
        <v>145</v>
      </c>
    </row>
    <row r="6814" spans="8:8" x14ac:dyDescent="0.25">
      <c r="H6814" t="s">
        <v>5864</v>
      </c>
    </row>
    <row r="6815" spans="8:8" x14ac:dyDescent="0.25">
      <c r="H6815" t="s">
        <v>31</v>
      </c>
    </row>
    <row r="6816" spans="8:8" x14ac:dyDescent="0.25">
      <c r="H6816" t="s">
        <v>146</v>
      </c>
    </row>
    <row r="6817" spans="8:8" x14ac:dyDescent="0.25">
      <c r="H6817" t="s">
        <v>5865</v>
      </c>
    </row>
    <row r="6818" spans="8:8" x14ac:dyDescent="0.25">
      <c r="H6818" t="s">
        <v>31</v>
      </c>
    </row>
    <row r="6819" spans="8:8" x14ac:dyDescent="0.25">
      <c r="H6819" t="s">
        <v>147</v>
      </c>
    </row>
    <row r="6820" spans="8:8" x14ac:dyDescent="0.25">
      <c r="H6820" t="s">
        <v>5866</v>
      </c>
    </row>
    <row r="6821" spans="8:8" x14ac:dyDescent="0.25">
      <c r="H6821" t="s">
        <v>31</v>
      </c>
    </row>
    <row r="6822" spans="8:8" x14ac:dyDescent="0.25">
      <c r="H6822" t="s">
        <v>148</v>
      </c>
    </row>
    <row r="6823" spans="8:8" x14ac:dyDescent="0.25">
      <c r="H6823" t="s">
        <v>5867</v>
      </c>
    </row>
    <row r="6824" spans="8:8" x14ac:dyDescent="0.25">
      <c r="H6824" t="s">
        <v>31</v>
      </c>
    </row>
    <row r="6826" spans="8:8" x14ac:dyDescent="0.25">
      <c r="H6826" t="s">
        <v>3809</v>
      </c>
    </row>
    <row r="6827" spans="8:8" x14ac:dyDescent="0.25">
      <c r="H6827" t="s">
        <v>145</v>
      </c>
    </row>
    <row r="6828" spans="8:8" x14ac:dyDescent="0.25">
      <c r="H6828" t="s">
        <v>5868</v>
      </c>
    </row>
    <row r="6829" spans="8:8" x14ac:dyDescent="0.25">
      <c r="H6829" t="s">
        <v>31</v>
      </c>
    </row>
    <row r="6830" spans="8:8" x14ac:dyDescent="0.25">
      <c r="H6830" t="s">
        <v>146</v>
      </c>
    </row>
    <row r="6831" spans="8:8" x14ac:dyDescent="0.25">
      <c r="H6831" t="s">
        <v>5869</v>
      </c>
    </row>
    <row r="6832" spans="8:8" x14ac:dyDescent="0.25">
      <c r="H6832" t="s">
        <v>31</v>
      </c>
    </row>
    <row r="6833" spans="8:8" x14ac:dyDescent="0.25">
      <c r="H6833" t="s">
        <v>147</v>
      </c>
    </row>
    <row r="6834" spans="8:8" x14ac:dyDescent="0.25">
      <c r="H6834" t="s">
        <v>5870</v>
      </c>
    </row>
    <row r="6835" spans="8:8" x14ac:dyDescent="0.25">
      <c r="H6835" t="s">
        <v>31</v>
      </c>
    </row>
    <row r="6836" spans="8:8" x14ac:dyDescent="0.25">
      <c r="H6836" t="s">
        <v>148</v>
      </c>
    </row>
    <row r="6837" spans="8:8" x14ac:dyDescent="0.25">
      <c r="H6837" t="s">
        <v>5871</v>
      </c>
    </row>
    <row r="6838" spans="8:8" x14ac:dyDescent="0.25">
      <c r="H6838" t="s">
        <v>31</v>
      </c>
    </row>
    <row r="6840" spans="8:8" x14ac:dyDescent="0.25">
      <c r="H6840" t="s">
        <v>3814</v>
      </c>
    </row>
    <row r="6841" spans="8:8" x14ac:dyDescent="0.25">
      <c r="H6841" t="s">
        <v>145</v>
      </c>
    </row>
    <row r="6842" spans="8:8" x14ac:dyDescent="0.25">
      <c r="H6842" t="s">
        <v>5872</v>
      </c>
    </row>
    <row r="6843" spans="8:8" x14ac:dyDescent="0.25">
      <c r="H6843" t="s">
        <v>31</v>
      </c>
    </row>
    <row r="6844" spans="8:8" x14ac:dyDescent="0.25">
      <c r="H6844" t="s">
        <v>146</v>
      </c>
    </row>
    <row r="6845" spans="8:8" x14ac:dyDescent="0.25">
      <c r="H6845" t="s">
        <v>5873</v>
      </c>
    </row>
    <row r="6846" spans="8:8" x14ac:dyDescent="0.25">
      <c r="H6846" t="s">
        <v>31</v>
      </c>
    </row>
    <row r="6847" spans="8:8" x14ac:dyDescent="0.25">
      <c r="H6847" t="s">
        <v>147</v>
      </c>
    </row>
    <row r="6848" spans="8:8" x14ac:dyDescent="0.25">
      <c r="H6848" t="s">
        <v>5874</v>
      </c>
    </row>
    <row r="6849" spans="8:8" x14ac:dyDescent="0.25">
      <c r="H6849" t="s">
        <v>31</v>
      </c>
    </row>
    <row r="6850" spans="8:8" x14ac:dyDescent="0.25">
      <c r="H6850" t="s">
        <v>148</v>
      </c>
    </row>
    <row r="6851" spans="8:8" x14ac:dyDescent="0.25">
      <c r="H6851" t="s">
        <v>5875</v>
      </c>
    </row>
    <row r="6852" spans="8:8" x14ac:dyDescent="0.25">
      <c r="H6852" t="s">
        <v>31</v>
      </c>
    </row>
    <row r="6854" spans="8:8" x14ac:dyDescent="0.25">
      <c r="H6854" t="s">
        <v>3819</v>
      </c>
    </row>
    <row r="6855" spans="8:8" x14ac:dyDescent="0.25">
      <c r="H6855" t="s">
        <v>145</v>
      </c>
    </row>
    <row r="6856" spans="8:8" x14ac:dyDescent="0.25">
      <c r="H6856" t="s">
        <v>5876</v>
      </c>
    </row>
    <row r="6857" spans="8:8" x14ac:dyDescent="0.25">
      <c r="H6857" t="s">
        <v>31</v>
      </c>
    </row>
    <row r="6858" spans="8:8" x14ac:dyDescent="0.25">
      <c r="H6858" t="s">
        <v>146</v>
      </c>
    </row>
    <row r="6859" spans="8:8" x14ac:dyDescent="0.25">
      <c r="H6859" t="s">
        <v>5877</v>
      </c>
    </row>
    <row r="6860" spans="8:8" x14ac:dyDescent="0.25">
      <c r="H6860" t="s">
        <v>31</v>
      </c>
    </row>
    <row r="6861" spans="8:8" x14ac:dyDescent="0.25">
      <c r="H6861" t="s">
        <v>147</v>
      </c>
    </row>
    <row r="6862" spans="8:8" x14ac:dyDescent="0.25">
      <c r="H6862" t="s">
        <v>5878</v>
      </c>
    </row>
    <row r="6863" spans="8:8" x14ac:dyDescent="0.25">
      <c r="H6863" t="s">
        <v>31</v>
      </c>
    </row>
    <row r="6864" spans="8:8" x14ac:dyDescent="0.25">
      <c r="H6864" t="s">
        <v>148</v>
      </c>
    </row>
    <row r="6865" spans="8:8" x14ac:dyDescent="0.25">
      <c r="H6865" t="s">
        <v>5879</v>
      </c>
    </row>
    <row r="6866" spans="8:8" x14ac:dyDescent="0.25">
      <c r="H6866" t="s">
        <v>31</v>
      </c>
    </row>
    <row r="6868" spans="8:8" x14ac:dyDescent="0.25">
      <c r="H6868" t="s">
        <v>3824</v>
      </c>
    </row>
    <row r="6869" spans="8:8" x14ac:dyDescent="0.25">
      <c r="H6869" t="s">
        <v>145</v>
      </c>
    </row>
    <row r="6870" spans="8:8" x14ac:dyDescent="0.25">
      <c r="H6870" t="s">
        <v>5880</v>
      </c>
    </row>
    <row r="6871" spans="8:8" x14ac:dyDescent="0.25">
      <c r="H6871" t="s">
        <v>31</v>
      </c>
    </row>
    <row r="6872" spans="8:8" x14ac:dyDescent="0.25">
      <c r="H6872" t="s">
        <v>146</v>
      </c>
    </row>
    <row r="6873" spans="8:8" x14ac:dyDescent="0.25">
      <c r="H6873" t="s">
        <v>5881</v>
      </c>
    </row>
    <row r="6874" spans="8:8" x14ac:dyDescent="0.25">
      <c r="H6874" t="s">
        <v>31</v>
      </c>
    </row>
    <row r="6875" spans="8:8" x14ac:dyDescent="0.25">
      <c r="H6875" t="s">
        <v>147</v>
      </c>
    </row>
    <row r="6876" spans="8:8" x14ac:dyDescent="0.25">
      <c r="H6876" t="s">
        <v>5882</v>
      </c>
    </row>
    <row r="6877" spans="8:8" x14ac:dyDescent="0.25">
      <c r="H6877" t="s">
        <v>31</v>
      </c>
    </row>
    <row r="6878" spans="8:8" x14ac:dyDescent="0.25">
      <c r="H6878" t="s">
        <v>148</v>
      </c>
    </row>
    <row r="6879" spans="8:8" x14ac:dyDescent="0.25">
      <c r="H6879" t="s">
        <v>5883</v>
      </c>
    </row>
    <row r="6880" spans="8:8" x14ac:dyDescent="0.25">
      <c r="H6880" t="s">
        <v>31</v>
      </c>
    </row>
    <row r="6882" spans="8:8" x14ac:dyDescent="0.25">
      <c r="H6882" t="s">
        <v>3829</v>
      </c>
    </row>
    <row r="6883" spans="8:8" x14ac:dyDescent="0.25">
      <c r="H6883" t="s">
        <v>145</v>
      </c>
    </row>
    <row r="6884" spans="8:8" x14ac:dyDescent="0.25">
      <c r="H6884" t="s">
        <v>5884</v>
      </c>
    </row>
    <row r="6885" spans="8:8" x14ac:dyDescent="0.25">
      <c r="H6885" t="s">
        <v>31</v>
      </c>
    </row>
    <row r="6886" spans="8:8" x14ac:dyDescent="0.25">
      <c r="H6886" t="s">
        <v>146</v>
      </c>
    </row>
    <row r="6887" spans="8:8" x14ac:dyDescent="0.25">
      <c r="H6887" t="s">
        <v>5885</v>
      </c>
    </row>
    <row r="6888" spans="8:8" x14ac:dyDescent="0.25">
      <c r="H6888" t="s">
        <v>31</v>
      </c>
    </row>
    <row r="6890" spans="8:8" x14ac:dyDescent="0.25">
      <c r="H6890" t="s">
        <v>29</v>
      </c>
    </row>
    <row r="6891" spans="8:8" x14ac:dyDescent="0.25">
      <c r="H6891" t="s">
        <v>122</v>
      </c>
    </row>
    <row r="6892" spans="8:8" x14ac:dyDescent="0.25">
      <c r="H6892" t="s">
        <v>39</v>
      </c>
    </row>
    <row r="6894" spans="8:8" x14ac:dyDescent="0.25">
      <c r="H6894" t="s">
        <v>30</v>
      </c>
    </row>
    <row r="6895" spans="8:8" x14ac:dyDescent="0.25">
      <c r="H6895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73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5886</v>
      </c>
      <c r="I5" s="7" t="s">
        <v>85</v>
      </c>
    </row>
    <row r="6" spans="2:9" x14ac:dyDescent="0.25">
      <c r="B6" t="s">
        <v>129</v>
      </c>
      <c r="H6" t="s">
        <v>5887</v>
      </c>
    </row>
    <row r="7" spans="2:9" x14ac:dyDescent="0.25">
      <c r="H7" t="s">
        <v>5886</v>
      </c>
    </row>
    <row r="8" spans="2:9" x14ac:dyDescent="0.25">
      <c r="B8" s="1" t="s">
        <v>20</v>
      </c>
      <c r="H8" t="s">
        <v>5888</v>
      </c>
    </row>
    <row r="9" spans="2:9" x14ac:dyDescent="0.25">
      <c r="B9" t="s">
        <v>130</v>
      </c>
      <c r="H9" t="s">
        <v>5886</v>
      </c>
    </row>
    <row r="10" spans="2:9" x14ac:dyDescent="0.25">
      <c r="H10" t="s">
        <v>5889</v>
      </c>
    </row>
    <row r="11" spans="2:9" x14ac:dyDescent="0.25">
      <c r="B11" s="1" t="s">
        <v>13</v>
      </c>
      <c r="H11" t="s">
        <v>5886</v>
      </c>
    </row>
    <row r="12" spans="2:9" x14ac:dyDescent="0.25">
      <c r="B12" t="s">
        <v>15</v>
      </c>
      <c r="H12" t="s">
        <v>5890</v>
      </c>
    </row>
    <row r="13" spans="2:9" x14ac:dyDescent="0.25">
      <c r="H13" t="s">
        <v>5886</v>
      </c>
    </row>
    <row r="14" spans="2:9" x14ac:dyDescent="0.25">
      <c r="B14" s="1" t="s">
        <v>36</v>
      </c>
      <c r="H14" t="s">
        <v>5891</v>
      </c>
    </row>
    <row r="15" spans="2:9" x14ac:dyDescent="0.25">
      <c r="B15" t="s">
        <v>35</v>
      </c>
      <c r="H15" t="s">
        <v>5886</v>
      </c>
    </row>
    <row r="16" spans="2:9" x14ac:dyDescent="0.25">
      <c r="H16" t="s">
        <v>5892</v>
      </c>
    </row>
    <row r="17" spans="2:8" x14ac:dyDescent="0.25">
      <c r="B17" s="1" t="s">
        <v>21</v>
      </c>
      <c r="H17" t="s">
        <v>5886</v>
      </c>
    </row>
    <row r="18" spans="2:8" x14ac:dyDescent="0.25">
      <c r="B18" t="s">
        <v>133</v>
      </c>
      <c r="H18" t="s">
        <v>5893</v>
      </c>
    </row>
    <row r="19" spans="2:8" x14ac:dyDescent="0.25">
      <c r="H19" t="s">
        <v>5886</v>
      </c>
    </row>
    <row r="20" spans="2:8" x14ac:dyDescent="0.25">
      <c r="B20" s="1"/>
      <c r="H20" t="s">
        <v>5894</v>
      </c>
    </row>
    <row r="21" spans="2:8" x14ac:dyDescent="0.25">
      <c r="H21" t="s">
        <v>5895</v>
      </c>
    </row>
    <row r="22" spans="2:8" x14ac:dyDescent="0.25">
      <c r="H22" t="s">
        <v>5896</v>
      </c>
    </row>
    <row r="23" spans="2:8" x14ac:dyDescent="0.25">
      <c r="H23" t="s">
        <v>5895</v>
      </c>
    </row>
    <row r="24" spans="2:8" x14ac:dyDescent="0.25">
      <c r="H24" t="s">
        <v>5897</v>
      </c>
    </row>
    <row r="25" spans="2:8" x14ac:dyDescent="0.25">
      <c r="H25" t="s">
        <v>5895</v>
      </c>
    </row>
    <row r="26" spans="2:8" x14ac:dyDescent="0.25">
      <c r="H26" t="s">
        <v>5898</v>
      </c>
    </row>
    <row r="27" spans="2:8" x14ac:dyDescent="0.25">
      <c r="H27" t="s">
        <v>5895</v>
      </c>
    </row>
    <row r="28" spans="2:8" x14ac:dyDescent="0.25">
      <c r="H28" t="s">
        <v>5899</v>
      </c>
    </row>
    <row r="29" spans="2:8" x14ac:dyDescent="0.25">
      <c r="H29" t="s">
        <v>5895</v>
      </c>
    </row>
    <row r="30" spans="2:8" x14ac:dyDescent="0.25">
      <c r="H30" t="s">
        <v>5900</v>
      </c>
    </row>
    <row r="31" spans="2:8" x14ac:dyDescent="0.25">
      <c r="H31" t="s">
        <v>5895</v>
      </c>
    </row>
    <row r="32" spans="2:8" x14ac:dyDescent="0.25">
      <c r="H32" t="s">
        <v>5901</v>
      </c>
    </row>
    <row r="33" spans="8:8" x14ac:dyDescent="0.25">
      <c r="H33" t="s">
        <v>5895</v>
      </c>
    </row>
    <row r="34" spans="8:8" x14ac:dyDescent="0.25">
      <c r="H34" t="s">
        <v>5902</v>
      </c>
    </row>
    <row r="35" spans="8:8" x14ac:dyDescent="0.25">
      <c r="H35" t="s">
        <v>5895</v>
      </c>
    </row>
    <row r="36" spans="8:8" x14ac:dyDescent="0.25">
      <c r="H36" t="s">
        <v>5903</v>
      </c>
    </row>
    <row r="37" spans="8:8" x14ac:dyDescent="0.25">
      <c r="H37" t="s">
        <v>5895</v>
      </c>
    </row>
    <row r="38" spans="8:8" x14ac:dyDescent="0.25">
      <c r="H38" t="s">
        <v>5904</v>
      </c>
    </row>
    <row r="39" spans="8:8" x14ac:dyDescent="0.25">
      <c r="H39" t="s">
        <v>5895</v>
      </c>
    </row>
    <row r="40" spans="8:8" x14ac:dyDescent="0.25">
      <c r="H40" t="s">
        <v>5905</v>
      </c>
    </row>
    <row r="41" spans="8:8" x14ac:dyDescent="0.25">
      <c r="H41" t="s">
        <v>5895</v>
      </c>
    </row>
    <row r="42" spans="8:8" x14ac:dyDescent="0.25">
      <c r="H42" t="s">
        <v>5906</v>
      </c>
    </row>
    <row r="43" spans="8:8" x14ac:dyDescent="0.25">
      <c r="H43" t="s">
        <v>5895</v>
      </c>
    </row>
    <row r="44" spans="8:8" x14ac:dyDescent="0.25">
      <c r="H44" t="s">
        <v>5907</v>
      </c>
    </row>
    <row r="45" spans="8:8" x14ac:dyDescent="0.25">
      <c r="H45" t="s">
        <v>5895</v>
      </c>
    </row>
    <row r="46" spans="8:8" x14ac:dyDescent="0.25">
      <c r="H46" t="s">
        <v>5908</v>
      </c>
    </row>
    <row r="47" spans="8:8" x14ac:dyDescent="0.25">
      <c r="H47" t="s">
        <v>5895</v>
      </c>
    </row>
    <row r="48" spans="8:8" x14ac:dyDescent="0.25">
      <c r="H48" t="s">
        <v>5909</v>
      </c>
    </row>
    <row r="49" spans="8:8" x14ac:dyDescent="0.25">
      <c r="H49" t="s">
        <v>5895</v>
      </c>
    </row>
    <row r="50" spans="8:8" x14ac:dyDescent="0.25">
      <c r="H50" t="s">
        <v>5910</v>
      </c>
    </row>
    <row r="51" spans="8:8" x14ac:dyDescent="0.25">
      <c r="H51" t="s">
        <v>5895</v>
      </c>
    </row>
    <row r="52" spans="8:8" x14ac:dyDescent="0.25">
      <c r="H52" t="s">
        <v>5911</v>
      </c>
    </row>
    <row r="53" spans="8:8" x14ac:dyDescent="0.25">
      <c r="H53" t="s">
        <v>5895</v>
      </c>
    </row>
    <row r="54" spans="8:8" x14ac:dyDescent="0.25">
      <c r="H54" t="s">
        <v>5912</v>
      </c>
    </row>
    <row r="55" spans="8:8" x14ac:dyDescent="0.25">
      <c r="H55" t="s">
        <v>5895</v>
      </c>
    </row>
    <row r="56" spans="8:8" x14ac:dyDescent="0.25">
      <c r="H56" t="s">
        <v>5913</v>
      </c>
    </row>
    <row r="57" spans="8:8" x14ac:dyDescent="0.25">
      <c r="H57" t="s">
        <v>5895</v>
      </c>
    </row>
    <row r="58" spans="8:8" x14ac:dyDescent="0.25">
      <c r="H58" t="s">
        <v>5914</v>
      </c>
    </row>
    <row r="59" spans="8:8" x14ac:dyDescent="0.25">
      <c r="H59" t="s">
        <v>5895</v>
      </c>
    </row>
    <row r="60" spans="8:8" x14ac:dyDescent="0.25">
      <c r="H60" t="s">
        <v>5915</v>
      </c>
    </row>
    <row r="61" spans="8:8" x14ac:dyDescent="0.25">
      <c r="H61" t="s">
        <v>5895</v>
      </c>
    </row>
    <row r="62" spans="8:8" x14ac:dyDescent="0.25">
      <c r="H62" t="s">
        <v>5916</v>
      </c>
    </row>
    <row r="63" spans="8:8" x14ac:dyDescent="0.25">
      <c r="H63" t="s">
        <v>5895</v>
      </c>
    </row>
    <row r="64" spans="8:8" x14ac:dyDescent="0.25">
      <c r="H64" t="s">
        <v>5917</v>
      </c>
    </row>
    <row r="65" spans="8:8" x14ac:dyDescent="0.25">
      <c r="H65" t="s">
        <v>5895</v>
      </c>
    </row>
    <row r="66" spans="8:8" x14ac:dyDescent="0.25">
      <c r="H66" t="s">
        <v>5918</v>
      </c>
    </row>
    <row r="67" spans="8:8" x14ac:dyDescent="0.25">
      <c r="H67" t="s">
        <v>5895</v>
      </c>
    </row>
    <row r="68" spans="8:8" x14ac:dyDescent="0.25">
      <c r="H68" t="s">
        <v>5919</v>
      </c>
    </row>
    <row r="69" spans="8:8" x14ac:dyDescent="0.25">
      <c r="H69" t="s">
        <v>5895</v>
      </c>
    </row>
    <row r="70" spans="8:8" x14ac:dyDescent="0.25">
      <c r="H70" t="s">
        <v>5920</v>
      </c>
    </row>
    <row r="71" spans="8:8" x14ac:dyDescent="0.25">
      <c r="H71" t="s">
        <v>5895</v>
      </c>
    </row>
    <row r="72" spans="8:8" x14ac:dyDescent="0.25">
      <c r="H72" t="s">
        <v>5921</v>
      </c>
    </row>
    <row r="73" spans="8:8" x14ac:dyDescent="0.25">
      <c r="H73" t="s">
        <v>5895</v>
      </c>
    </row>
    <row r="74" spans="8:8" x14ac:dyDescent="0.25">
      <c r="H74" t="s">
        <v>5922</v>
      </c>
    </row>
    <row r="75" spans="8:8" x14ac:dyDescent="0.25">
      <c r="H75" t="s">
        <v>5895</v>
      </c>
    </row>
    <row r="76" spans="8:8" x14ac:dyDescent="0.25">
      <c r="H76" t="s">
        <v>5923</v>
      </c>
    </row>
    <row r="77" spans="8:8" x14ac:dyDescent="0.25">
      <c r="H77" t="s">
        <v>5895</v>
      </c>
    </row>
    <row r="78" spans="8:8" x14ac:dyDescent="0.25">
      <c r="H78" t="s">
        <v>5924</v>
      </c>
    </row>
    <row r="79" spans="8:8" x14ac:dyDescent="0.25">
      <c r="H79" t="s">
        <v>5895</v>
      </c>
    </row>
    <row r="80" spans="8:8" x14ac:dyDescent="0.25">
      <c r="H80" t="s">
        <v>5925</v>
      </c>
    </row>
    <row r="81" spans="8:8" x14ac:dyDescent="0.25">
      <c r="H81" t="s">
        <v>5895</v>
      </c>
    </row>
    <row r="82" spans="8:8" x14ac:dyDescent="0.25">
      <c r="H82" t="s">
        <v>5926</v>
      </c>
    </row>
    <row r="83" spans="8:8" x14ac:dyDescent="0.25">
      <c r="H83" t="s">
        <v>5895</v>
      </c>
    </row>
    <row r="84" spans="8:8" x14ac:dyDescent="0.25">
      <c r="H84" t="s">
        <v>5927</v>
      </c>
    </row>
    <row r="85" spans="8:8" x14ac:dyDescent="0.25">
      <c r="H85" t="s">
        <v>5895</v>
      </c>
    </row>
    <row r="86" spans="8:8" x14ac:dyDescent="0.25">
      <c r="H86" t="s">
        <v>5928</v>
      </c>
    </row>
    <row r="87" spans="8:8" x14ac:dyDescent="0.25">
      <c r="H87" t="s">
        <v>5895</v>
      </c>
    </row>
    <row r="88" spans="8:8" x14ac:dyDescent="0.25">
      <c r="H88" t="s">
        <v>5929</v>
      </c>
    </row>
    <row r="89" spans="8:8" x14ac:dyDescent="0.25">
      <c r="H89" t="s">
        <v>5895</v>
      </c>
    </row>
    <row r="90" spans="8:8" x14ac:dyDescent="0.25">
      <c r="H90" t="s">
        <v>5930</v>
      </c>
    </row>
    <row r="91" spans="8:8" x14ac:dyDescent="0.25">
      <c r="H91" t="s">
        <v>5895</v>
      </c>
    </row>
    <row r="92" spans="8:8" x14ac:dyDescent="0.25">
      <c r="H92" t="s">
        <v>5931</v>
      </c>
    </row>
    <row r="93" spans="8:8" x14ac:dyDescent="0.25">
      <c r="H93" t="s">
        <v>5932</v>
      </c>
    </row>
    <row r="94" spans="8:8" x14ac:dyDescent="0.25">
      <c r="H94" t="s">
        <v>5933</v>
      </c>
    </row>
    <row r="95" spans="8:8" x14ac:dyDescent="0.25">
      <c r="H95" t="s">
        <v>5932</v>
      </c>
    </row>
    <row r="96" spans="8:8" x14ac:dyDescent="0.25">
      <c r="H96" t="s">
        <v>5934</v>
      </c>
    </row>
    <row r="97" spans="8:8" x14ac:dyDescent="0.25">
      <c r="H97" t="s">
        <v>5932</v>
      </c>
    </row>
    <row r="98" spans="8:8" x14ac:dyDescent="0.25">
      <c r="H98" t="s">
        <v>5935</v>
      </c>
    </row>
    <row r="99" spans="8:8" x14ac:dyDescent="0.25">
      <c r="H99" t="s">
        <v>5932</v>
      </c>
    </row>
    <row r="100" spans="8:8" x14ac:dyDescent="0.25">
      <c r="H100" t="s">
        <v>5936</v>
      </c>
    </row>
    <row r="101" spans="8:8" x14ac:dyDescent="0.25">
      <c r="H101" t="s">
        <v>5932</v>
      </c>
    </row>
    <row r="102" spans="8:8" x14ac:dyDescent="0.25">
      <c r="H102" t="s">
        <v>5937</v>
      </c>
    </row>
    <row r="103" spans="8:8" x14ac:dyDescent="0.25">
      <c r="H103" t="s">
        <v>5932</v>
      </c>
    </row>
    <row r="104" spans="8:8" x14ac:dyDescent="0.25">
      <c r="H104" t="s">
        <v>5938</v>
      </c>
    </row>
    <row r="105" spans="8:8" x14ac:dyDescent="0.25">
      <c r="H105" t="s">
        <v>5932</v>
      </c>
    </row>
    <row r="106" spans="8:8" x14ac:dyDescent="0.25">
      <c r="H106" t="s">
        <v>5939</v>
      </c>
    </row>
    <row r="107" spans="8:8" x14ac:dyDescent="0.25">
      <c r="H107" t="s">
        <v>5932</v>
      </c>
    </row>
    <row r="108" spans="8:8" x14ac:dyDescent="0.25">
      <c r="H108" t="s">
        <v>5940</v>
      </c>
    </row>
    <row r="109" spans="8:8" x14ac:dyDescent="0.25">
      <c r="H109" t="s">
        <v>5932</v>
      </c>
    </row>
    <row r="110" spans="8:8" x14ac:dyDescent="0.25">
      <c r="H110" t="s">
        <v>5941</v>
      </c>
    </row>
    <row r="111" spans="8:8" x14ac:dyDescent="0.25">
      <c r="H111" t="s">
        <v>5932</v>
      </c>
    </row>
    <row r="112" spans="8:8" x14ac:dyDescent="0.25">
      <c r="H112" t="s">
        <v>5942</v>
      </c>
    </row>
    <row r="113" spans="8:8" x14ac:dyDescent="0.25">
      <c r="H113" t="s">
        <v>5932</v>
      </c>
    </row>
    <row r="114" spans="8:8" x14ac:dyDescent="0.25">
      <c r="H114" t="s">
        <v>5943</v>
      </c>
    </row>
    <row r="115" spans="8:8" x14ac:dyDescent="0.25">
      <c r="H115" t="s">
        <v>5932</v>
      </c>
    </row>
    <row r="116" spans="8:8" x14ac:dyDescent="0.25">
      <c r="H116" t="s">
        <v>5944</v>
      </c>
    </row>
    <row r="117" spans="8:8" x14ac:dyDescent="0.25">
      <c r="H117" t="s">
        <v>5932</v>
      </c>
    </row>
    <row r="118" spans="8:8" x14ac:dyDescent="0.25">
      <c r="H118" t="s">
        <v>5945</v>
      </c>
    </row>
    <row r="119" spans="8:8" x14ac:dyDescent="0.25">
      <c r="H119" t="s">
        <v>5932</v>
      </c>
    </row>
    <row r="120" spans="8:8" x14ac:dyDescent="0.25">
      <c r="H120" t="s">
        <v>5946</v>
      </c>
    </row>
    <row r="121" spans="8:8" x14ac:dyDescent="0.25">
      <c r="H121" t="s">
        <v>5932</v>
      </c>
    </row>
    <row r="122" spans="8:8" x14ac:dyDescent="0.25">
      <c r="H122" t="s">
        <v>5947</v>
      </c>
    </row>
    <row r="123" spans="8:8" x14ac:dyDescent="0.25">
      <c r="H123" t="s">
        <v>5932</v>
      </c>
    </row>
    <row r="124" spans="8:8" x14ac:dyDescent="0.25">
      <c r="H124" t="s">
        <v>5948</v>
      </c>
    </row>
    <row r="125" spans="8:8" x14ac:dyDescent="0.25">
      <c r="H125" t="s">
        <v>5932</v>
      </c>
    </row>
    <row r="126" spans="8:8" x14ac:dyDescent="0.25">
      <c r="H126" t="s">
        <v>5949</v>
      </c>
    </row>
    <row r="127" spans="8:8" x14ac:dyDescent="0.25">
      <c r="H127" t="s">
        <v>5932</v>
      </c>
    </row>
    <row r="128" spans="8:8" x14ac:dyDescent="0.25">
      <c r="H128" t="s">
        <v>5950</v>
      </c>
    </row>
    <row r="129" spans="8:8" x14ac:dyDescent="0.25">
      <c r="H129" t="s">
        <v>5932</v>
      </c>
    </row>
    <row r="130" spans="8:8" x14ac:dyDescent="0.25">
      <c r="H130" t="s">
        <v>5951</v>
      </c>
    </row>
    <row r="131" spans="8:8" x14ac:dyDescent="0.25">
      <c r="H131" t="s">
        <v>5932</v>
      </c>
    </row>
    <row r="132" spans="8:8" x14ac:dyDescent="0.25">
      <c r="H132" t="s">
        <v>5952</v>
      </c>
    </row>
    <row r="133" spans="8:8" x14ac:dyDescent="0.25">
      <c r="H133" t="s">
        <v>5932</v>
      </c>
    </row>
    <row r="134" spans="8:8" x14ac:dyDescent="0.25">
      <c r="H134" t="s">
        <v>5953</v>
      </c>
    </row>
    <row r="135" spans="8:8" x14ac:dyDescent="0.25">
      <c r="H135" t="s">
        <v>5932</v>
      </c>
    </row>
    <row r="136" spans="8:8" x14ac:dyDescent="0.25">
      <c r="H136" t="s">
        <v>5954</v>
      </c>
    </row>
    <row r="137" spans="8:8" x14ac:dyDescent="0.25">
      <c r="H137" t="s">
        <v>5932</v>
      </c>
    </row>
    <row r="138" spans="8:8" x14ac:dyDescent="0.25">
      <c r="H138" t="s">
        <v>5955</v>
      </c>
    </row>
    <row r="139" spans="8:8" x14ac:dyDescent="0.25">
      <c r="H139" t="s">
        <v>5932</v>
      </c>
    </row>
    <row r="140" spans="8:8" x14ac:dyDescent="0.25">
      <c r="H140" t="s">
        <v>5956</v>
      </c>
    </row>
    <row r="141" spans="8:8" x14ac:dyDescent="0.25">
      <c r="H141" t="s">
        <v>5932</v>
      </c>
    </row>
    <row r="142" spans="8:8" x14ac:dyDescent="0.25">
      <c r="H142" t="s">
        <v>5957</v>
      </c>
    </row>
    <row r="143" spans="8:8" x14ac:dyDescent="0.25">
      <c r="H143" t="s">
        <v>5932</v>
      </c>
    </row>
    <row r="144" spans="8:8" x14ac:dyDescent="0.25">
      <c r="H144" t="s">
        <v>5958</v>
      </c>
    </row>
    <row r="145" spans="8:8" x14ac:dyDescent="0.25">
      <c r="H145" t="s">
        <v>5932</v>
      </c>
    </row>
    <row r="146" spans="8:8" x14ac:dyDescent="0.25">
      <c r="H146" t="s">
        <v>5959</v>
      </c>
    </row>
    <row r="147" spans="8:8" x14ac:dyDescent="0.25">
      <c r="H147" t="s">
        <v>5932</v>
      </c>
    </row>
    <row r="148" spans="8:8" x14ac:dyDescent="0.25">
      <c r="H148" t="s">
        <v>5960</v>
      </c>
    </row>
    <row r="149" spans="8:8" x14ac:dyDescent="0.25">
      <c r="H149" t="s">
        <v>5932</v>
      </c>
    </row>
    <row r="150" spans="8:8" x14ac:dyDescent="0.25">
      <c r="H150" t="s">
        <v>5961</v>
      </c>
    </row>
    <row r="151" spans="8:8" x14ac:dyDescent="0.25">
      <c r="H151" t="s">
        <v>5932</v>
      </c>
    </row>
    <row r="152" spans="8:8" x14ac:dyDescent="0.25">
      <c r="H152" t="s">
        <v>5962</v>
      </c>
    </row>
    <row r="153" spans="8:8" x14ac:dyDescent="0.25">
      <c r="H153" t="s">
        <v>5932</v>
      </c>
    </row>
    <row r="154" spans="8:8" x14ac:dyDescent="0.25">
      <c r="H154" t="s">
        <v>5963</v>
      </c>
    </row>
    <row r="155" spans="8:8" x14ac:dyDescent="0.25">
      <c r="H155" t="s">
        <v>5932</v>
      </c>
    </row>
    <row r="156" spans="8:8" x14ac:dyDescent="0.25">
      <c r="H156" t="s">
        <v>5964</v>
      </c>
    </row>
    <row r="157" spans="8:8" x14ac:dyDescent="0.25">
      <c r="H157" t="s">
        <v>5932</v>
      </c>
    </row>
    <row r="158" spans="8:8" x14ac:dyDescent="0.25">
      <c r="H158" t="s">
        <v>5965</v>
      </c>
    </row>
    <row r="159" spans="8:8" x14ac:dyDescent="0.25">
      <c r="H159" t="s">
        <v>5932</v>
      </c>
    </row>
    <row r="160" spans="8:8" x14ac:dyDescent="0.25">
      <c r="H160" t="s">
        <v>5966</v>
      </c>
    </row>
    <row r="161" spans="8:8" x14ac:dyDescent="0.25">
      <c r="H161" t="s">
        <v>5932</v>
      </c>
    </row>
    <row r="162" spans="8:8" x14ac:dyDescent="0.25">
      <c r="H162" t="s">
        <v>5967</v>
      </c>
    </row>
    <row r="163" spans="8:8" x14ac:dyDescent="0.25">
      <c r="H163" t="s">
        <v>5932</v>
      </c>
    </row>
    <row r="164" spans="8:8" x14ac:dyDescent="0.25">
      <c r="H164" t="s">
        <v>5968</v>
      </c>
    </row>
    <row r="165" spans="8:8" x14ac:dyDescent="0.25">
      <c r="H165" t="s">
        <v>5932</v>
      </c>
    </row>
    <row r="166" spans="8:8" x14ac:dyDescent="0.25">
      <c r="H166" t="s">
        <v>5969</v>
      </c>
    </row>
    <row r="167" spans="8:8" x14ac:dyDescent="0.25">
      <c r="H167" t="s">
        <v>5932</v>
      </c>
    </row>
    <row r="168" spans="8:8" x14ac:dyDescent="0.25">
      <c r="H168" t="s">
        <v>5970</v>
      </c>
    </row>
    <row r="169" spans="8:8" x14ac:dyDescent="0.25">
      <c r="H169" t="s">
        <v>5971</v>
      </c>
    </row>
    <row r="170" spans="8:8" x14ac:dyDescent="0.25">
      <c r="H170" t="s">
        <v>5972</v>
      </c>
    </row>
    <row r="171" spans="8:8" x14ac:dyDescent="0.25">
      <c r="H171" t="s">
        <v>5971</v>
      </c>
    </row>
    <row r="172" spans="8:8" x14ac:dyDescent="0.25">
      <c r="H172" t="s">
        <v>5973</v>
      </c>
    </row>
    <row r="173" spans="8:8" x14ac:dyDescent="0.25">
      <c r="H173" t="s">
        <v>5971</v>
      </c>
    </row>
    <row r="174" spans="8:8" x14ac:dyDescent="0.25">
      <c r="H174" t="s">
        <v>5974</v>
      </c>
    </row>
    <row r="175" spans="8:8" x14ac:dyDescent="0.25">
      <c r="H175" t="s">
        <v>5971</v>
      </c>
    </row>
    <row r="176" spans="8:8" x14ac:dyDescent="0.25">
      <c r="H176" t="s">
        <v>5975</v>
      </c>
    </row>
    <row r="177" spans="8:8" x14ac:dyDescent="0.25">
      <c r="H177" t="s">
        <v>5971</v>
      </c>
    </row>
    <row r="178" spans="8:8" x14ac:dyDescent="0.25">
      <c r="H178" t="s">
        <v>5976</v>
      </c>
    </row>
    <row r="179" spans="8:8" x14ac:dyDescent="0.25">
      <c r="H179" t="s">
        <v>5971</v>
      </c>
    </row>
    <row r="180" spans="8:8" x14ac:dyDescent="0.25">
      <c r="H180" t="s">
        <v>5977</v>
      </c>
    </row>
    <row r="181" spans="8:8" x14ac:dyDescent="0.25">
      <c r="H181" t="s">
        <v>5971</v>
      </c>
    </row>
    <row r="182" spans="8:8" x14ac:dyDescent="0.25">
      <c r="H182" t="s">
        <v>5978</v>
      </c>
    </row>
    <row r="183" spans="8:8" x14ac:dyDescent="0.25">
      <c r="H183" t="s">
        <v>5971</v>
      </c>
    </row>
    <row r="184" spans="8:8" x14ac:dyDescent="0.25">
      <c r="H184" t="s">
        <v>5979</v>
      </c>
    </row>
    <row r="185" spans="8:8" x14ac:dyDescent="0.25">
      <c r="H185" t="s">
        <v>5971</v>
      </c>
    </row>
    <row r="186" spans="8:8" x14ac:dyDescent="0.25">
      <c r="H186" t="s">
        <v>5980</v>
      </c>
    </row>
    <row r="187" spans="8:8" x14ac:dyDescent="0.25">
      <c r="H187" t="s">
        <v>5971</v>
      </c>
    </row>
    <row r="188" spans="8:8" x14ac:dyDescent="0.25">
      <c r="H188" t="s">
        <v>5981</v>
      </c>
    </row>
    <row r="189" spans="8:8" x14ac:dyDescent="0.25">
      <c r="H189" t="s">
        <v>5971</v>
      </c>
    </row>
    <row r="190" spans="8:8" x14ac:dyDescent="0.25">
      <c r="H190" t="s">
        <v>5982</v>
      </c>
    </row>
    <row r="191" spans="8:8" x14ac:dyDescent="0.25">
      <c r="H191" t="s">
        <v>5971</v>
      </c>
    </row>
    <row r="192" spans="8:8" x14ac:dyDescent="0.25">
      <c r="H192" t="s">
        <v>5983</v>
      </c>
    </row>
    <row r="193" spans="8:8" x14ac:dyDescent="0.25">
      <c r="H193" t="s">
        <v>5971</v>
      </c>
    </row>
    <row r="194" spans="8:8" x14ac:dyDescent="0.25">
      <c r="H194" t="s">
        <v>5984</v>
      </c>
    </row>
    <row r="195" spans="8:8" x14ac:dyDescent="0.25">
      <c r="H195" t="s">
        <v>5971</v>
      </c>
    </row>
    <row r="196" spans="8:8" x14ac:dyDescent="0.25">
      <c r="H196" t="s">
        <v>5985</v>
      </c>
    </row>
    <row r="197" spans="8:8" x14ac:dyDescent="0.25">
      <c r="H197" t="s">
        <v>5971</v>
      </c>
    </row>
    <row r="198" spans="8:8" x14ac:dyDescent="0.25">
      <c r="H198" t="s">
        <v>5986</v>
      </c>
    </row>
    <row r="199" spans="8:8" x14ac:dyDescent="0.25">
      <c r="H199" t="s">
        <v>5971</v>
      </c>
    </row>
    <row r="200" spans="8:8" x14ac:dyDescent="0.25">
      <c r="H200" t="s">
        <v>5987</v>
      </c>
    </row>
    <row r="201" spans="8:8" x14ac:dyDescent="0.25">
      <c r="H201" t="s">
        <v>5971</v>
      </c>
    </row>
    <row r="202" spans="8:8" x14ac:dyDescent="0.25">
      <c r="H202" t="s">
        <v>5988</v>
      </c>
    </row>
    <row r="203" spans="8:8" x14ac:dyDescent="0.25">
      <c r="H203" t="s">
        <v>5971</v>
      </c>
    </row>
    <row r="204" spans="8:8" x14ac:dyDescent="0.25">
      <c r="H204" t="s">
        <v>5989</v>
      </c>
    </row>
    <row r="205" spans="8:8" x14ac:dyDescent="0.25">
      <c r="H205" t="s">
        <v>5971</v>
      </c>
    </row>
    <row r="206" spans="8:8" x14ac:dyDescent="0.25">
      <c r="H206" t="s">
        <v>5990</v>
      </c>
    </row>
    <row r="207" spans="8:8" x14ac:dyDescent="0.25">
      <c r="H207" t="s">
        <v>5971</v>
      </c>
    </row>
    <row r="208" spans="8:8" x14ac:dyDescent="0.25">
      <c r="H208" t="s">
        <v>5991</v>
      </c>
    </row>
    <row r="209" spans="8:8" x14ac:dyDescent="0.25">
      <c r="H209" t="s">
        <v>5971</v>
      </c>
    </row>
    <row r="210" spans="8:8" x14ac:dyDescent="0.25">
      <c r="H210" t="s">
        <v>5992</v>
      </c>
    </row>
    <row r="211" spans="8:8" x14ac:dyDescent="0.25">
      <c r="H211" t="s">
        <v>5971</v>
      </c>
    </row>
    <row r="212" spans="8:8" x14ac:dyDescent="0.25">
      <c r="H212" t="s">
        <v>5993</v>
      </c>
    </row>
    <row r="213" spans="8:8" x14ac:dyDescent="0.25">
      <c r="H213" t="s">
        <v>5971</v>
      </c>
    </row>
    <row r="214" spans="8:8" x14ac:dyDescent="0.25">
      <c r="H214" t="s">
        <v>5994</v>
      </c>
    </row>
    <row r="215" spans="8:8" x14ac:dyDescent="0.25">
      <c r="H215" t="s">
        <v>5971</v>
      </c>
    </row>
    <row r="216" spans="8:8" x14ac:dyDescent="0.25">
      <c r="H216" t="s">
        <v>5995</v>
      </c>
    </row>
    <row r="217" spans="8:8" x14ac:dyDescent="0.25">
      <c r="H217" t="s">
        <v>5971</v>
      </c>
    </row>
    <row r="218" spans="8:8" x14ac:dyDescent="0.25">
      <c r="H218" t="s">
        <v>5996</v>
      </c>
    </row>
    <row r="219" spans="8:8" x14ac:dyDescent="0.25">
      <c r="H219" t="s">
        <v>5971</v>
      </c>
    </row>
    <row r="220" spans="8:8" x14ac:dyDescent="0.25">
      <c r="H220" t="s">
        <v>5997</v>
      </c>
    </row>
    <row r="221" spans="8:8" x14ac:dyDescent="0.25">
      <c r="H221" t="s">
        <v>5971</v>
      </c>
    </row>
    <row r="222" spans="8:8" x14ac:dyDescent="0.25">
      <c r="H222" t="s">
        <v>5998</v>
      </c>
    </row>
    <row r="223" spans="8:8" x14ac:dyDescent="0.25">
      <c r="H223" t="s">
        <v>5971</v>
      </c>
    </row>
    <row r="224" spans="8:8" x14ac:dyDescent="0.25">
      <c r="H224" t="s">
        <v>5999</v>
      </c>
    </row>
    <row r="225" spans="8:8" x14ac:dyDescent="0.25">
      <c r="H225" t="s">
        <v>5971</v>
      </c>
    </row>
    <row r="226" spans="8:8" x14ac:dyDescent="0.25">
      <c r="H226" t="s">
        <v>6000</v>
      </c>
    </row>
    <row r="227" spans="8:8" x14ac:dyDescent="0.25">
      <c r="H227" t="s">
        <v>5971</v>
      </c>
    </row>
    <row r="228" spans="8:8" x14ac:dyDescent="0.25">
      <c r="H228" t="s">
        <v>6001</v>
      </c>
    </row>
    <row r="229" spans="8:8" x14ac:dyDescent="0.25">
      <c r="H229" t="s">
        <v>5971</v>
      </c>
    </row>
    <row r="230" spans="8:8" x14ac:dyDescent="0.25">
      <c r="H230" t="s">
        <v>6002</v>
      </c>
    </row>
    <row r="231" spans="8:8" x14ac:dyDescent="0.25">
      <c r="H231" t="s">
        <v>5971</v>
      </c>
    </row>
    <row r="232" spans="8:8" x14ac:dyDescent="0.25">
      <c r="H232" t="s">
        <v>6003</v>
      </c>
    </row>
    <row r="233" spans="8:8" x14ac:dyDescent="0.25">
      <c r="H233" t="s">
        <v>5971</v>
      </c>
    </row>
    <row r="234" spans="8:8" x14ac:dyDescent="0.25">
      <c r="H234" t="s">
        <v>6004</v>
      </c>
    </row>
    <row r="235" spans="8:8" x14ac:dyDescent="0.25">
      <c r="H235" t="s">
        <v>5971</v>
      </c>
    </row>
    <row r="236" spans="8:8" x14ac:dyDescent="0.25">
      <c r="H236" t="s">
        <v>6005</v>
      </c>
    </row>
    <row r="237" spans="8:8" x14ac:dyDescent="0.25">
      <c r="H237" t="s">
        <v>5971</v>
      </c>
    </row>
    <row r="238" spans="8:8" x14ac:dyDescent="0.25">
      <c r="H238" t="s">
        <v>6006</v>
      </c>
    </row>
    <row r="239" spans="8:8" x14ac:dyDescent="0.25">
      <c r="H239" t="s">
        <v>5971</v>
      </c>
    </row>
    <row r="240" spans="8:8" x14ac:dyDescent="0.25">
      <c r="H240" t="s">
        <v>6007</v>
      </c>
    </row>
    <row r="241" spans="8:8" x14ac:dyDescent="0.25">
      <c r="H241" t="s">
        <v>5971</v>
      </c>
    </row>
    <row r="242" spans="8:8" x14ac:dyDescent="0.25">
      <c r="H242" t="s">
        <v>6008</v>
      </c>
    </row>
    <row r="243" spans="8:8" x14ac:dyDescent="0.25">
      <c r="H243" t="s">
        <v>5971</v>
      </c>
    </row>
    <row r="244" spans="8:8" x14ac:dyDescent="0.25">
      <c r="H244" t="s">
        <v>6009</v>
      </c>
    </row>
    <row r="245" spans="8:8" x14ac:dyDescent="0.25">
      <c r="H245" t="s">
        <v>5971</v>
      </c>
    </row>
    <row r="246" spans="8:8" x14ac:dyDescent="0.25">
      <c r="H246" t="s">
        <v>6010</v>
      </c>
    </row>
    <row r="247" spans="8:8" x14ac:dyDescent="0.25">
      <c r="H247" t="s">
        <v>5971</v>
      </c>
    </row>
    <row r="248" spans="8:8" x14ac:dyDescent="0.25">
      <c r="H248" t="s">
        <v>6011</v>
      </c>
    </row>
    <row r="249" spans="8:8" x14ac:dyDescent="0.25">
      <c r="H249" t="s">
        <v>5971</v>
      </c>
    </row>
    <row r="250" spans="8:8" x14ac:dyDescent="0.25">
      <c r="H250" t="s">
        <v>6012</v>
      </c>
    </row>
    <row r="251" spans="8:8" x14ac:dyDescent="0.25">
      <c r="H251" t="s">
        <v>5971</v>
      </c>
    </row>
    <row r="252" spans="8:8" x14ac:dyDescent="0.25">
      <c r="H252" t="s">
        <v>6013</v>
      </c>
    </row>
    <row r="253" spans="8:8" x14ac:dyDescent="0.25">
      <c r="H253" t="s">
        <v>5971</v>
      </c>
    </row>
    <row r="254" spans="8:8" x14ac:dyDescent="0.25">
      <c r="H254" t="s">
        <v>6014</v>
      </c>
    </row>
    <row r="255" spans="8:8" x14ac:dyDescent="0.25">
      <c r="H255" t="s">
        <v>5971</v>
      </c>
    </row>
    <row r="256" spans="8:8" x14ac:dyDescent="0.25">
      <c r="H256" t="s">
        <v>6015</v>
      </c>
    </row>
    <row r="257" spans="8:8" x14ac:dyDescent="0.25">
      <c r="H257" t="s">
        <v>5971</v>
      </c>
    </row>
    <row r="258" spans="8:8" x14ac:dyDescent="0.25">
      <c r="H258" t="s">
        <v>6016</v>
      </c>
    </row>
    <row r="259" spans="8:8" x14ac:dyDescent="0.25">
      <c r="H259" t="s">
        <v>5971</v>
      </c>
    </row>
    <row r="260" spans="8:8" x14ac:dyDescent="0.25">
      <c r="H260" t="s">
        <v>6017</v>
      </c>
    </row>
    <row r="261" spans="8:8" x14ac:dyDescent="0.25">
      <c r="H261" t="s">
        <v>5971</v>
      </c>
    </row>
    <row r="262" spans="8:8" x14ac:dyDescent="0.25">
      <c r="H262" t="s">
        <v>6018</v>
      </c>
    </row>
    <row r="263" spans="8:8" x14ac:dyDescent="0.25">
      <c r="H263" t="s">
        <v>5971</v>
      </c>
    </row>
    <row r="264" spans="8:8" x14ac:dyDescent="0.25">
      <c r="H264" t="s">
        <v>6019</v>
      </c>
    </row>
    <row r="265" spans="8:8" x14ac:dyDescent="0.25">
      <c r="H265" t="s">
        <v>5971</v>
      </c>
    </row>
    <row r="266" spans="8:8" x14ac:dyDescent="0.25">
      <c r="H266" t="s">
        <v>6020</v>
      </c>
    </row>
    <row r="267" spans="8:8" x14ac:dyDescent="0.25">
      <c r="H267" t="s">
        <v>5971</v>
      </c>
    </row>
    <row r="268" spans="8:8" x14ac:dyDescent="0.25">
      <c r="H268" t="s">
        <v>6021</v>
      </c>
    </row>
    <row r="269" spans="8:8" x14ac:dyDescent="0.25">
      <c r="H269" t="s">
        <v>5971</v>
      </c>
    </row>
    <row r="270" spans="8:8" x14ac:dyDescent="0.25">
      <c r="H270" t="s">
        <v>6022</v>
      </c>
    </row>
    <row r="271" spans="8:8" x14ac:dyDescent="0.25">
      <c r="H271" t="s">
        <v>5971</v>
      </c>
    </row>
    <row r="272" spans="8:8" x14ac:dyDescent="0.25">
      <c r="H272" t="s">
        <v>6023</v>
      </c>
    </row>
    <row r="273" spans="8:8" x14ac:dyDescent="0.25">
      <c r="H273" t="s">
        <v>5971</v>
      </c>
    </row>
    <row r="274" spans="8:8" x14ac:dyDescent="0.25">
      <c r="H274" t="s">
        <v>6024</v>
      </c>
    </row>
    <row r="275" spans="8:8" x14ac:dyDescent="0.25">
      <c r="H275" t="s">
        <v>5971</v>
      </c>
    </row>
    <row r="276" spans="8:8" x14ac:dyDescent="0.25">
      <c r="H276" t="s">
        <v>6025</v>
      </c>
    </row>
    <row r="277" spans="8:8" x14ac:dyDescent="0.25">
      <c r="H277" t="s">
        <v>5971</v>
      </c>
    </row>
    <row r="278" spans="8:8" x14ac:dyDescent="0.25">
      <c r="H278" t="s">
        <v>6026</v>
      </c>
    </row>
    <row r="279" spans="8:8" x14ac:dyDescent="0.25">
      <c r="H279" t="s">
        <v>5971</v>
      </c>
    </row>
    <row r="280" spans="8:8" x14ac:dyDescent="0.25">
      <c r="H280" t="s">
        <v>6027</v>
      </c>
    </row>
    <row r="281" spans="8:8" x14ac:dyDescent="0.25">
      <c r="H281" t="s">
        <v>5971</v>
      </c>
    </row>
    <row r="282" spans="8:8" x14ac:dyDescent="0.25">
      <c r="H282" t="s">
        <v>6028</v>
      </c>
    </row>
    <row r="283" spans="8:8" x14ac:dyDescent="0.25">
      <c r="H283" t="s">
        <v>5971</v>
      </c>
    </row>
    <row r="284" spans="8:8" x14ac:dyDescent="0.25">
      <c r="H284" t="s">
        <v>6029</v>
      </c>
    </row>
    <row r="285" spans="8:8" x14ac:dyDescent="0.25">
      <c r="H285" t="s">
        <v>6030</v>
      </c>
    </row>
    <row r="286" spans="8:8" x14ac:dyDescent="0.25">
      <c r="H286" t="s">
        <v>6031</v>
      </c>
    </row>
    <row r="287" spans="8:8" x14ac:dyDescent="0.25">
      <c r="H287" t="s">
        <v>6030</v>
      </c>
    </row>
    <row r="288" spans="8:8" x14ac:dyDescent="0.25">
      <c r="H288" t="s">
        <v>6032</v>
      </c>
    </row>
    <row r="289" spans="8:8" x14ac:dyDescent="0.25">
      <c r="H289" t="s">
        <v>6030</v>
      </c>
    </row>
    <row r="290" spans="8:8" x14ac:dyDescent="0.25">
      <c r="H290" t="s">
        <v>6033</v>
      </c>
    </row>
    <row r="291" spans="8:8" x14ac:dyDescent="0.25">
      <c r="H291" t="s">
        <v>6030</v>
      </c>
    </row>
    <row r="292" spans="8:8" x14ac:dyDescent="0.25">
      <c r="H292" t="s">
        <v>6034</v>
      </c>
    </row>
    <row r="293" spans="8:8" x14ac:dyDescent="0.25">
      <c r="H293" t="s">
        <v>6030</v>
      </c>
    </row>
    <row r="294" spans="8:8" x14ac:dyDescent="0.25">
      <c r="H294" t="s">
        <v>6035</v>
      </c>
    </row>
    <row r="295" spans="8:8" x14ac:dyDescent="0.25">
      <c r="H295" t="s">
        <v>6030</v>
      </c>
    </row>
    <row r="296" spans="8:8" x14ac:dyDescent="0.25">
      <c r="H296" t="s">
        <v>6036</v>
      </c>
    </row>
    <row r="297" spans="8:8" x14ac:dyDescent="0.25">
      <c r="H297" t="s">
        <v>6030</v>
      </c>
    </row>
    <row r="298" spans="8:8" x14ac:dyDescent="0.25">
      <c r="H298" t="s">
        <v>6037</v>
      </c>
    </row>
    <row r="299" spans="8:8" x14ac:dyDescent="0.25">
      <c r="H299" t="s">
        <v>6030</v>
      </c>
    </row>
    <row r="300" spans="8:8" x14ac:dyDescent="0.25">
      <c r="H300" t="s">
        <v>6038</v>
      </c>
    </row>
    <row r="301" spans="8:8" x14ac:dyDescent="0.25">
      <c r="H301" t="s">
        <v>6030</v>
      </c>
    </row>
    <row r="302" spans="8:8" x14ac:dyDescent="0.25">
      <c r="H302" t="s">
        <v>6039</v>
      </c>
    </row>
    <row r="303" spans="8:8" x14ac:dyDescent="0.25">
      <c r="H303" t="s">
        <v>6030</v>
      </c>
    </row>
    <row r="304" spans="8:8" x14ac:dyDescent="0.25">
      <c r="H304" t="s">
        <v>6040</v>
      </c>
    </row>
    <row r="305" spans="8:8" x14ac:dyDescent="0.25">
      <c r="H305" t="s">
        <v>6030</v>
      </c>
    </row>
    <row r="306" spans="8:8" x14ac:dyDescent="0.25">
      <c r="H306" t="s">
        <v>6041</v>
      </c>
    </row>
    <row r="307" spans="8:8" x14ac:dyDescent="0.25">
      <c r="H307" t="s">
        <v>6030</v>
      </c>
    </row>
    <row r="308" spans="8:8" x14ac:dyDescent="0.25">
      <c r="H308" t="s">
        <v>6042</v>
      </c>
    </row>
    <row r="309" spans="8:8" x14ac:dyDescent="0.25">
      <c r="H309" t="s">
        <v>6030</v>
      </c>
    </row>
    <row r="310" spans="8:8" x14ac:dyDescent="0.25">
      <c r="H310" t="s">
        <v>6043</v>
      </c>
    </row>
    <row r="311" spans="8:8" x14ac:dyDescent="0.25">
      <c r="H311" t="s">
        <v>6030</v>
      </c>
    </row>
    <row r="312" spans="8:8" x14ac:dyDescent="0.25">
      <c r="H312" t="s">
        <v>6044</v>
      </c>
    </row>
    <row r="313" spans="8:8" x14ac:dyDescent="0.25">
      <c r="H313" t="s">
        <v>6030</v>
      </c>
    </row>
    <row r="314" spans="8:8" x14ac:dyDescent="0.25">
      <c r="H314" t="s">
        <v>6045</v>
      </c>
    </row>
    <row r="315" spans="8:8" x14ac:dyDescent="0.25">
      <c r="H315" t="s">
        <v>6030</v>
      </c>
    </row>
    <row r="316" spans="8:8" x14ac:dyDescent="0.25">
      <c r="H316" t="s">
        <v>6046</v>
      </c>
    </row>
    <row r="317" spans="8:8" x14ac:dyDescent="0.25">
      <c r="H317" t="s">
        <v>6030</v>
      </c>
    </row>
    <row r="318" spans="8:8" x14ac:dyDescent="0.25">
      <c r="H318" t="s">
        <v>6047</v>
      </c>
    </row>
    <row r="319" spans="8:8" x14ac:dyDescent="0.25">
      <c r="H319" t="s">
        <v>6030</v>
      </c>
    </row>
    <row r="320" spans="8:8" x14ac:dyDescent="0.25">
      <c r="H320" t="s">
        <v>6048</v>
      </c>
    </row>
    <row r="321" spans="8:8" x14ac:dyDescent="0.25">
      <c r="H321" t="s">
        <v>6030</v>
      </c>
    </row>
    <row r="322" spans="8:8" x14ac:dyDescent="0.25">
      <c r="H322" t="s">
        <v>6049</v>
      </c>
    </row>
    <row r="323" spans="8:8" x14ac:dyDescent="0.25">
      <c r="H323" t="s">
        <v>6030</v>
      </c>
    </row>
    <row r="324" spans="8:8" x14ac:dyDescent="0.25">
      <c r="H324" t="s">
        <v>6050</v>
      </c>
    </row>
    <row r="325" spans="8:8" x14ac:dyDescent="0.25">
      <c r="H325" t="s">
        <v>6030</v>
      </c>
    </row>
    <row r="326" spans="8:8" x14ac:dyDescent="0.25">
      <c r="H326" t="s">
        <v>6051</v>
      </c>
    </row>
    <row r="327" spans="8:8" x14ac:dyDescent="0.25">
      <c r="H327" t="s">
        <v>6030</v>
      </c>
    </row>
    <row r="328" spans="8:8" x14ac:dyDescent="0.25">
      <c r="H328" t="s">
        <v>6052</v>
      </c>
    </row>
    <row r="329" spans="8:8" x14ac:dyDescent="0.25">
      <c r="H329" t="s">
        <v>6030</v>
      </c>
    </row>
    <row r="330" spans="8:8" x14ac:dyDescent="0.25">
      <c r="H330" t="s">
        <v>6053</v>
      </c>
    </row>
    <row r="331" spans="8:8" x14ac:dyDescent="0.25">
      <c r="H331" t="s">
        <v>6030</v>
      </c>
    </row>
    <row r="332" spans="8:8" x14ac:dyDescent="0.25">
      <c r="H332" t="s">
        <v>6054</v>
      </c>
    </row>
    <row r="333" spans="8:8" x14ac:dyDescent="0.25">
      <c r="H333" t="s">
        <v>6030</v>
      </c>
    </row>
    <row r="334" spans="8:8" x14ac:dyDescent="0.25">
      <c r="H334" t="s">
        <v>6055</v>
      </c>
    </row>
    <row r="335" spans="8:8" x14ac:dyDescent="0.25">
      <c r="H335" t="s">
        <v>6030</v>
      </c>
    </row>
    <row r="336" spans="8:8" x14ac:dyDescent="0.25">
      <c r="H336" t="s">
        <v>6056</v>
      </c>
    </row>
    <row r="337" spans="8:8" x14ac:dyDescent="0.25">
      <c r="H337" t="s">
        <v>6030</v>
      </c>
    </row>
    <row r="338" spans="8:8" x14ac:dyDescent="0.25">
      <c r="H338" t="s">
        <v>6057</v>
      </c>
    </row>
    <row r="339" spans="8:8" x14ac:dyDescent="0.25">
      <c r="H339" t="s">
        <v>6030</v>
      </c>
    </row>
    <row r="340" spans="8:8" x14ac:dyDescent="0.25">
      <c r="H340" t="s">
        <v>6058</v>
      </c>
    </row>
    <row r="341" spans="8:8" x14ac:dyDescent="0.25">
      <c r="H341" t="s">
        <v>6030</v>
      </c>
    </row>
    <row r="342" spans="8:8" x14ac:dyDescent="0.25">
      <c r="H342" t="s">
        <v>6059</v>
      </c>
    </row>
    <row r="343" spans="8:8" x14ac:dyDescent="0.25">
      <c r="H343" t="s">
        <v>6030</v>
      </c>
    </row>
    <row r="344" spans="8:8" x14ac:dyDescent="0.25">
      <c r="H344" t="s">
        <v>6060</v>
      </c>
    </row>
    <row r="345" spans="8:8" x14ac:dyDescent="0.25">
      <c r="H345" t="s">
        <v>6030</v>
      </c>
    </row>
    <row r="346" spans="8:8" x14ac:dyDescent="0.25">
      <c r="H346" t="s">
        <v>6061</v>
      </c>
    </row>
    <row r="347" spans="8:8" x14ac:dyDescent="0.25">
      <c r="H347" t="s">
        <v>6030</v>
      </c>
    </row>
    <row r="348" spans="8:8" x14ac:dyDescent="0.25">
      <c r="H348" t="s">
        <v>6062</v>
      </c>
    </row>
    <row r="349" spans="8:8" x14ac:dyDescent="0.25">
      <c r="H349" t="s">
        <v>6030</v>
      </c>
    </row>
    <row r="350" spans="8:8" x14ac:dyDescent="0.25">
      <c r="H350" t="s">
        <v>6063</v>
      </c>
    </row>
    <row r="351" spans="8:8" x14ac:dyDescent="0.25">
      <c r="H351" t="s">
        <v>6030</v>
      </c>
    </row>
    <row r="352" spans="8:8" x14ac:dyDescent="0.25">
      <c r="H352" t="s">
        <v>6064</v>
      </c>
    </row>
    <row r="353" spans="8:8" x14ac:dyDescent="0.25">
      <c r="H353" t="s">
        <v>6030</v>
      </c>
    </row>
    <row r="354" spans="8:8" x14ac:dyDescent="0.25">
      <c r="H354" t="s">
        <v>6065</v>
      </c>
    </row>
    <row r="355" spans="8:8" x14ac:dyDescent="0.25">
      <c r="H355" t="s">
        <v>6030</v>
      </c>
    </row>
    <row r="356" spans="8:8" x14ac:dyDescent="0.25">
      <c r="H356" t="s">
        <v>6066</v>
      </c>
    </row>
    <row r="357" spans="8:8" x14ac:dyDescent="0.25">
      <c r="H357" t="s">
        <v>6030</v>
      </c>
    </row>
    <row r="358" spans="8:8" x14ac:dyDescent="0.25">
      <c r="H358" t="s">
        <v>6067</v>
      </c>
    </row>
    <row r="359" spans="8:8" x14ac:dyDescent="0.25">
      <c r="H359" t="s">
        <v>6030</v>
      </c>
    </row>
    <row r="360" spans="8:8" x14ac:dyDescent="0.25">
      <c r="H360" t="s">
        <v>6068</v>
      </c>
    </row>
    <row r="361" spans="8:8" x14ac:dyDescent="0.25">
      <c r="H361" t="s">
        <v>6030</v>
      </c>
    </row>
    <row r="362" spans="8:8" x14ac:dyDescent="0.25">
      <c r="H362" t="s">
        <v>6069</v>
      </c>
    </row>
    <row r="363" spans="8:8" x14ac:dyDescent="0.25">
      <c r="H363" t="s">
        <v>6030</v>
      </c>
    </row>
    <row r="364" spans="8:8" x14ac:dyDescent="0.25">
      <c r="H364" t="s">
        <v>6070</v>
      </c>
    </row>
    <row r="365" spans="8:8" x14ac:dyDescent="0.25">
      <c r="H365" t="s">
        <v>6030</v>
      </c>
    </row>
    <row r="366" spans="8:8" x14ac:dyDescent="0.25">
      <c r="H366" t="s">
        <v>6071</v>
      </c>
    </row>
    <row r="367" spans="8:8" x14ac:dyDescent="0.25">
      <c r="H367" t="s">
        <v>6030</v>
      </c>
    </row>
    <row r="368" spans="8:8" x14ac:dyDescent="0.25">
      <c r="H368" t="s">
        <v>6072</v>
      </c>
    </row>
    <row r="369" spans="8:8" x14ac:dyDescent="0.25">
      <c r="H369" t="s">
        <v>6030</v>
      </c>
    </row>
    <row r="370" spans="8:8" x14ac:dyDescent="0.25">
      <c r="H370" t="s">
        <v>6073</v>
      </c>
    </row>
    <row r="371" spans="8:8" x14ac:dyDescent="0.25">
      <c r="H371" t="s">
        <v>6030</v>
      </c>
    </row>
    <row r="372" spans="8:8" x14ac:dyDescent="0.25">
      <c r="H372" t="s">
        <v>6074</v>
      </c>
    </row>
    <row r="373" spans="8:8" x14ac:dyDescent="0.25">
      <c r="H373" t="s">
        <v>6030</v>
      </c>
    </row>
    <row r="374" spans="8:8" x14ac:dyDescent="0.25">
      <c r="H374" t="s">
        <v>6075</v>
      </c>
    </row>
    <row r="375" spans="8:8" x14ac:dyDescent="0.25">
      <c r="H375" t="s">
        <v>6030</v>
      </c>
    </row>
    <row r="376" spans="8:8" x14ac:dyDescent="0.25">
      <c r="H376" t="s">
        <v>6076</v>
      </c>
    </row>
    <row r="377" spans="8:8" x14ac:dyDescent="0.25">
      <c r="H377" t="s">
        <v>6030</v>
      </c>
    </row>
    <row r="378" spans="8:8" x14ac:dyDescent="0.25">
      <c r="H378" t="s">
        <v>6077</v>
      </c>
    </row>
    <row r="379" spans="8:8" x14ac:dyDescent="0.25">
      <c r="H379" t="s">
        <v>6030</v>
      </c>
    </row>
    <row r="380" spans="8:8" x14ac:dyDescent="0.25">
      <c r="H380" t="s">
        <v>6078</v>
      </c>
    </row>
    <row r="381" spans="8:8" x14ac:dyDescent="0.25">
      <c r="H381" t="s">
        <v>6030</v>
      </c>
    </row>
    <row r="382" spans="8:8" x14ac:dyDescent="0.25">
      <c r="H382" t="s">
        <v>6079</v>
      </c>
    </row>
    <row r="383" spans="8:8" x14ac:dyDescent="0.25">
      <c r="H383" t="s">
        <v>6030</v>
      </c>
    </row>
    <row r="384" spans="8:8" x14ac:dyDescent="0.25">
      <c r="H384" t="s">
        <v>6080</v>
      </c>
    </row>
    <row r="385" spans="8:8" x14ac:dyDescent="0.25">
      <c r="H385" t="s">
        <v>6030</v>
      </c>
    </row>
    <row r="386" spans="8:8" x14ac:dyDescent="0.25">
      <c r="H386" t="s">
        <v>6081</v>
      </c>
    </row>
    <row r="387" spans="8:8" x14ac:dyDescent="0.25">
      <c r="H387" t="s">
        <v>6030</v>
      </c>
    </row>
    <row r="388" spans="8:8" x14ac:dyDescent="0.25">
      <c r="H388" t="s">
        <v>6082</v>
      </c>
    </row>
    <row r="389" spans="8:8" x14ac:dyDescent="0.25">
      <c r="H389" t="s">
        <v>6030</v>
      </c>
    </row>
    <row r="390" spans="8:8" x14ac:dyDescent="0.25">
      <c r="H390" t="s">
        <v>6083</v>
      </c>
    </row>
    <row r="391" spans="8:8" x14ac:dyDescent="0.25">
      <c r="H391" t="s">
        <v>6030</v>
      </c>
    </row>
    <row r="392" spans="8:8" x14ac:dyDescent="0.25">
      <c r="H392" t="s">
        <v>6084</v>
      </c>
    </row>
    <row r="393" spans="8:8" x14ac:dyDescent="0.25">
      <c r="H393" t="s">
        <v>6030</v>
      </c>
    </row>
    <row r="394" spans="8:8" x14ac:dyDescent="0.25">
      <c r="H394" t="s">
        <v>6085</v>
      </c>
    </row>
    <row r="395" spans="8:8" x14ac:dyDescent="0.25">
      <c r="H395" t="s">
        <v>6030</v>
      </c>
    </row>
    <row r="396" spans="8:8" x14ac:dyDescent="0.25">
      <c r="H396" t="s">
        <v>6086</v>
      </c>
    </row>
    <row r="397" spans="8:8" x14ac:dyDescent="0.25">
      <c r="H397" t="s">
        <v>6030</v>
      </c>
    </row>
    <row r="398" spans="8:8" x14ac:dyDescent="0.25">
      <c r="H398" t="s">
        <v>6087</v>
      </c>
    </row>
    <row r="399" spans="8:8" x14ac:dyDescent="0.25">
      <c r="H399" t="s">
        <v>6030</v>
      </c>
    </row>
    <row r="400" spans="8:8" x14ac:dyDescent="0.25">
      <c r="H400" t="s">
        <v>6088</v>
      </c>
    </row>
    <row r="401" spans="8:8" x14ac:dyDescent="0.25">
      <c r="H401" t="s">
        <v>6030</v>
      </c>
    </row>
    <row r="402" spans="8:8" x14ac:dyDescent="0.25">
      <c r="H402" t="s">
        <v>6089</v>
      </c>
    </row>
    <row r="403" spans="8:8" x14ac:dyDescent="0.25">
      <c r="H403" t="s">
        <v>6030</v>
      </c>
    </row>
    <row r="404" spans="8:8" x14ac:dyDescent="0.25">
      <c r="H404" t="s">
        <v>6090</v>
      </c>
    </row>
    <row r="405" spans="8:8" x14ac:dyDescent="0.25">
      <c r="H405" t="s">
        <v>6030</v>
      </c>
    </row>
    <row r="406" spans="8:8" x14ac:dyDescent="0.25">
      <c r="H406" t="s">
        <v>6091</v>
      </c>
    </row>
    <row r="407" spans="8:8" x14ac:dyDescent="0.25">
      <c r="H407" t="s">
        <v>6030</v>
      </c>
    </row>
    <row r="408" spans="8:8" x14ac:dyDescent="0.25">
      <c r="H408" t="s">
        <v>6092</v>
      </c>
    </row>
    <row r="409" spans="8:8" x14ac:dyDescent="0.25">
      <c r="H409" t="s">
        <v>6030</v>
      </c>
    </row>
    <row r="410" spans="8:8" x14ac:dyDescent="0.25">
      <c r="H410" t="s">
        <v>6093</v>
      </c>
    </row>
    <row r="411" spans="8:8" x14ac:dyDescent="0.25">
      <c r="H411" t="s">
        <v>6030</v>
      </c>
    </row>
    <row r="412" spans="8:8" x14ac:dyDescent="0.25">
      <c r="H412" t="s">
        <v>6094</v>
      </c>
    </row>
    <row r="413" spans="8:8" x14ac:dyDescent="0.25">
      <c r="H413" t="s">
        <v>6030</v>
      </c>
    </row>
    <row r="414" spans="8:8" x14ac:dyDescent="0.25">
      <c r="H414" t="s">
        <v>6095</v>
      </c>
    </row>
    <row r="415" spans="8:8" x14ac:dyDescent="0.25">
      <c r="H415" t="s">
        <v>6030</v>
      </c>
    </row>
    <row r="416" spans="8:8" x14ac:dyDescent="0.25">
      <c r="H416" t="s">
        <v>6096</v>
      </c>
    </row>
    <row r="417" spans="8:8" x14ac:dyDescent="0.25">
      <c r="H417" t="s">
        <v>6030</v>
      </c>
    </row>
    <row r="418" spans="8:8" x14ac:dyDescent="0.25">
      <c r="H418" t="s">
        <v>6097</v>
      </c>
    </row>
    <row r="419" spans="8:8" x14ac:dyDescent="0.25">
      <c r="H419" t="s">
        <v>6030</v>
      </c>
    </row>
    <row r="420" spans="8:8" x14ac:dyDescent="0.25">
      <c r="H420" t="s">
        <v>6098</v>
      </c>
    </row>
    <row r="421" spans="8:8" x14ac:dyDescent="0.25">
      <c r="H421" t="s">
        <v>6030</v>
      </c>
    </row>
    <row r="422" spans="8:8" x14ac:dyDescent="0.25">
      <c r="H422" t="s">
        <v>6099</v>
      </c>
    </row>
    <row r="423" spans="8:8" x14ac:dyDescent="0.25">
      <c r="H423" t="s">
        <v>6030</v>
      </c>
    </row>
    <row r="424" spans="8:8" x14ac:dyDescent="0.25">
      <c r="H424" t="s">
        <v>6100</v>
      </c>
    </row>
    <row r="425" spans="8:8" x14ac:dyDescent="0.25">
      <c r="H425" t="s">
        <v>6030</v>
      </c>
    </row>
    <row r="426" spans="8:8" x14ac:dyDescent="0.25">
      <c r="H426" t="s">
        <v>6101</v>
      </c>
    </row>
    <row r="427" spans="8:8" x14ac:dyDescent="0.25">
      <c r="H427" t="s">
        <v>6030</v>
      </c>
    </row>
    <row r="428" spans="8:8" x14ac:dyDescent="0.25">
      <c r="H428" t="s">
        <v>6102</v>
      </c>
    </row>
    <row r="429" spans="8:8" x14ac:dyDescent="0.25">
      <c r="H429" t="s">
        <v>6030</v>
      </c>
    </row>
    <row r="430" spans="8:8" x14ac:dyDescent="0.25">
      <c r="H430" t="s">
        <v>6103</v>
      </c>
    </row>
    <row r="431" spans="8:8" x14ac:dyDescent="0.25">
      <c r="H431" t="s">
        <v>6030</v>
      </c>
    </row>
    <row r="432" spans="8:8" x14ac:dyDescent="0.25">
      <c r="H432" t="s">
        <v>6104</v>
      </c>
    </row>
    <row r="433" spans="8:8" x14ac:dyDescent="0.25">
      <c r="H433" t="s">
        <v>6030</v>
      </c>
    </row>
    <row r="434" spans="8:8" x14ac:dyDescent="0.25">
      <c r="H434" t="s">
        <v>6105</v>
      </c>
    </row>
    <row r="435" spans="8:8" x14ac:dyDescent="0.25">
      <c r="H435" t="s">
        <v>6030</v>
      </c>
    </row>
    <row r="436" spans="8:8" x14ac:dyDescent="0.25">
      <c r="H436" t="s">
        <v>6106</v>
      </c>
    </row>
    <row r="437" spans="8:8" x14ac:dyDescent="0.25">
      <c r="H437" t="s">
        <v>6030</v>
      </c>
    </row>
    <row r="438" spans="8:8" x14ac:dyDescent="0.25">
      <c r="H438" t="s">
        <v>6107</v>
      </c>
    </row>
    <row r="439" spans="8:8" x14ac:dyDescent="0.25">
      <c r="H439" t="s">
        <v>6030</v>
      </c>
    </row>
    <row r="440" spans="8:8" x14ac:dyDescent="0.25">
      <c r="H440" t="s">
        <v>6108</v>
      </c>
    </row>
    <row r="441" spans="8:8" x14ac:dyDescent="0.25">
      <c r="H441" t="s">
        <v>6030</v>
      </c>
    </row>
    <row r="442" spans="8:8" x14ac:dyDescent="0.25">
      <c r="H442" t="s">
        <v>6109</v>
      </c>
    </row>
    <row r="443" spans="8:8" x14ac:dyDescent="0.25">
      <c r="H443" t="s">
        <v>6030</v>
      </c>
    </row>
    <row r="444" spans="8:8" x14ac:dyDescent="0.25">
      <c r="H444" t="s">
        <v>6110</v>
      </c>
    </row>
    <row r="445" spans="8:8" x14ac:dyDescent="0.25">
      <c r="H445" t="s">
        <v>6030</v>
      </c>
    </row>
    <row r="446" spans="8:8" x14ac:dyDescent="0.25">
      <c r="H446" t="s">
        <v>6111</v>
      </c>
    </row>
    <row r="447" spans="8:8" x14ac:dyDescent="0.25">
      <c r="H447" t="s">
        <v>6030</v>
      </c>
    </row>
    <row r="448" spans="8:8" x14ac:dyDescent="0.25">
      <c r="H448" t="s">
        <v>6112</v>
      </c>
    </row>
    <row r="449" spans="8:8" x14ac:dyDescent="0.25">
      <c r="H449" t="s">
        <v>6030</v>
      </c>
    </row>
    <row r="450" spans="8:8" x14ac:dyDescent="0.25">
      <c r="H450" t="s">
        <v>6113</v>
      </c>
    </row>
    <row r="451" spans="8:8" x14ac:dyDescent="0.25">
      <c r="H451" t="s">
        <v>6030</v>
      </c>
    </row>
    <row r="452" spans="8:8" x14ac:dyDescent="0.25">
      <c r="H452" t="s">
        <v>6114</v>
      </c>
    </row>
    <row r="453" spans="8:8" x14ac:dyDescent="0.25">
      <c r="H453" t="s">
        <v>6030</v>
      </c>
    </row>
    <row r="454" spans="8:8" x14ac:dyDescent="0.25">
      <c r="H454" t="s">
        <v>6115</v>
      </c>
    </row>
    <row r="455" spans="8:8" x14ac:dyDescent="0.25">
      <c r="H455" t="s">
        <v>6030</v>
      </c>
    </row>
    <row r="456" spans="8:8" x14ac:dyDescent="0.25">
      <c r="H456" t="s">
        <v>6116</v>
      </c>
    </row>
    <row r="457" spans="8:8" x14ac:dyDescent="0.25">
      <c r="H457" t="s">
        <v>6030</v>
      </c>
    </row>
    <row r="458" spans="8:8" x14ac:dyDescent="0.25">
      <c r="H458" t="s">
        <v>6117</v>
      </c>
    </row>
    <row r="459" spans="8:8" x14ac:dyDescent="0.25">
      <c r="H459" t="s">
        <v>6030</v>
      </c>
    </row>
    <row r="460" spans="8:8" x14ac:dyDescent="0.25">
      <c r="H460" t="s">
        <v>6118</v>
      </c>
    </row>
    <row r="461" spans="8:8" x14ac:dyDescent="0.25">
      <c r="H461" t="s">
        <v>6030</v>
      </c>
    </row>
    <row r="462" spans="8:8" x14ac:dyDescent="0.25">
      <c r="H462" t="s">
        <v>6119</v>
      </c>
    </row>
    <row r="463" spans="8:8" x14ac:dyDescent="0.25">
      <c r="H463" t="s">
        <v>6030</v>
      </c>
    </row>
    <row r="464" spans="8:8" x14ac:dyDescent="0.25">
      <c r="H464" t="s">
        <v>6120</v>
      </c>
    </row>
    <row r="465" spans="8:8" x14ac:dyDescent="0.25">
      <c r="H465" t="s">
        <v>6030</v>
      </c>
    </row>
    <row r="466" spans="8:8" x14ac:dyDescent="0.25">
      <c r="H466" t="s">
        <v>6121</v>
      </c>
    </row>
    <row r="467" spans="8:8" x14ac:dyDescent="0.25">
      <c r="H467" t="s">
        <v>6030</v>
      </c>
    </row>
    <row r="468" spans="8:8" x14ac:dyDescent="0.25">
      <c r="H468" t="s">
        <v>6122</v>
      </c>
    </row>
    <row r="469" spans="8:8" x14ac:dyDescent="0.25">
      <c r="H469" t="s">
        <v>6030</v>
      </c>
    </row>
    <row r="470" spans="8:8" x14ac:dyDescent="0.25">
      <c r="H470" t="s">
        <v>6123</v>
      </c>
    </row>
    <row r="471" spans="8:8" x14ac:dyDescent="0.25">
      <c r="H471" t="s">
        <v>6030</v>
      </c>
    </row>
    <row r="472" spans="8:8" x14ac:dyDescent="0.25">
      <c r="H472" t="s">
        <v>6124</v>
      </c>
    </row>
    <row r="473" spans="8:8" x14ac:dyDescent="0.25">
      <c r="H473" t="s">
        <v>6030</v>
      </c>
    </row>
    <row r="474" spans="8:8" x14ac:dyDescent="0.25">
      <c r="H474" t="s">
        <v>6125</v>
      </c>
    </row>
    <row r="475" spans="8:8" x14ac:dyDescent="0.25">
      <c r="H475" t="s">
        <v>6030</v>
      </c>
    </row>
    <row r="476" spans="8:8" x14ac:dyDescent="0.25">
      <c r="H476" t="s">
        <v>6126</v>
      </c>
    </row>
    <row r="477" spans="8:8" x14ac:dyDescent="0.25">
      <c r="H477" t="s">
        <v>6030</v>
      </c>
    </row>
    <row r="478" spans="8:8" x14ac:dyDescent="0.25">
      <c r="H478" t="s">
        <v>6127</v>
      </c>
    </row>
    <row r="479" spans="8:8" x14ac:dyDescent="0.25">
      <c r="H479" t="s">
        <v>6030</v>
      </c>
    </row>
    <row r="480" spans="8:8" x14ac:dyDescent="0.25">
      <c r="H480" t="s">
        <v>6128</v>
      </c>
    </row>
    <row r="481" spans="8:8" x14ac:dyDescent="0.25">
      <c r="H481" t="s">
        <v>6030</v>
      </c>
    </row>
    <row r="482" spans="8:8" x14ac:dyDescent="0.25">
      <c r="H482" t="s">
        <v>6129</v>
      </c>
    </row>
    <row r="483" spans="8:8" x14ac:dyDescent="0.25">
      <c r="H483" t="s">
        <v>6030</v>
      </c>
    </row>
    <row r="484" spans="8:8" x14ac:dyDescent="0.25">
      <c r="H484" t="s">
        <v>6130</v>
      </c>
    </row>
    <row r="485" spans="8:8" x14ac:dyDescent="0.25">
      <c r="H485" t="s">
        <v>6030</v>
      </c>
    </row>
    <row r="486" spans="8:8" x14ac:dyDescent="0.25">
      <c r="H486" t="s">
        <v>6131</v>
      </c>
    </row>
    <row r="487" spans="8:8" x14ac:dyDescent="0.25">
      <c r="H487" t="s">
        <v>6030</v>
      </c>
    </row>
    <row r="488" spans="8:8" x14ac:dyDescent="0.25">
      <c r="H488" t="s">
        <v>6132</v>
      </c>
    </row>
    <row r="489" spans="8:8" x14ac:dyDescent="0.25">
      <c r="H489" t="s">
        <v>6030</v>
      </c>
    </row>
    <row r="490" spans="8:8" x14ac:dyDescent="0.25">
      <c r="H490" t="s">
        <v>6133</v>
      </c>
    </row>
    <row r="491" spans="8:8" x14ac:dyDescent="0.25">
      <c r="H491" t="s">
        <v>6030</v>
      </c>
    </row>
    <row r="492" spans="8:8" x14ac:dyDescent="0.25">
      <c r="H492" t="s">
        <v>6134</v>
      </c>
    </row>
    <row r="493" spans="8:8" x14ac:dyDescent="0.25">
      <c r="H493" t="s">
        <v>6030</v>
      </c>
    </row>
    <row r="494" spans="8:8" x14ac:dyDescent="0.25">
      <c r="H494" t="s">
        <v>6135</v>
      </c>
    </row>
    <row r="495" spans="8:8" x14ac:dyDescent="0.25">
      <c r="H495" t="s">
        <v>6030</v>
      </c>
    </row>
    <row r="496" spans="8:8" x14ac:dyDescent="0.25">
      <c r="H496" t="s">
        <v>6136</v>
      </c>
    </row>
    <row r="497" spans="8:8" x14ac:dyDescent="0.25">
      <c r="H497" t="s">
        <v>6030</v>
      </c>
    </row>
    <row r="498" spans="8:8" x14ac:dyDescent="0.25">
      <c r="H498" t="s">
        <v>6137</v>
      </c>
    </row>
    <row r="499" spans="8:8" x14ac:dyDescent="0.25">
      <c r="H499" t="s">
        <v>6030</v>
      </c>
    </row>
    <row r="500" spans="8:8" x14ac:dyDescent="0.25">
      <c r="H500" t="s">
        <v>6138</v>
      </c>
    </row>
    <row r="501" spans="8:8" x14ac:dyDescent="0.25">
      <c r="H501" t="s">
        <v>6030</v>
      </c>
    </row>
    <row r="502" spans="8:8" x14ac:dyDescent="0.25">
      <c r="H502" t="s">
        <v>6139</v>
      </c>
    </row>
    <row r="503" spans="8:8" x14ac:dyDescent="0.25">
      <c r="H503" t="s">
        <v>6030</v>
      </c>
    </row>
    <row r="504" spans="8:8" x14ac:dyDescent="0.25">
      <c r="H504" t="s">
        <v>6140</v>
      </c>
    </row>
    <row r="505" spans="8:8" x14ac:dyDescent="0.25">
      <c r="H505" t="s">
        <v>6030</v>
      </c>
    </row>
    <row r="506" spans="8:8" x14ac:dyDescent="0.25">
      <c r="H506" t="s">
        <v>6141</v>
      </c>
    </row>
    <row r="507" spans="8:8" x14ac:dyDescent="0.25">
      <c r="H507" t="s">
        <v>6030</v>
      </c>
    </row>
    <row r="508" spans="8:8" x14ac:dyDescent="0.25">
      <c r="H508" t="s">
        <v>6142</v>
      </c>
    </row>
    <row r="509" spans="8:8" x14ac:dyDescent="0.25">
      <c r="H509" t="s">
        <v>6030</v>
      </c>
    </row>
    <row r="510" spans="8:8" x14ac:dyDescent="0.25">
      <c r="H510" t="s">
        <v>6143</v>
      </c>
    </row>
    <row r="511" spans="8:8" x14ac:dyDescent="0.25">
      <c r="H511" t="s">
        <v>6030</v>
      </c>
    </row>
    <row r="512" spans="8:8" x14ac:dyDescent="0.25">
      <c r="H512" t="s">
        <v>6144</v>
      </c>
    </row>
    <row r="513" spans="8:8" x14ac:dyDescent="0.25">
      <c r="H513" t="s">
        <v>6030</v>
      </c>
    </row>
    <row r="514" spans="8:8" x14ac:dyDescent="0.25">
      <c r="H514" t="s">
        <v>6145</v>
      </c>
    </row>
    <row r="515" spans="8:8" x14ac:dyDescent="0.25">
      <c r="H515" t="s">
        <v>6030</v>
      </c>
    </row>
    <row r="516" spans="8:8" x14ac:dyDescent="0.25">
      <c r="H516" t="s">
        <v>6146</v>
      </c>
    </row>
    <row r="517" spans="8:8" x14ac:dyDescent="0.25">
      <c r="H517" t="s">
        <v>6030</v>
      </c>
    </row>
    <row r="518" spans="8:8" x14ac:dyDescent="0.25">
      <c r="H518" t="s">
        <v>6147</v>
      </c>
    </row>
    <row r="519" spans="8:8" x14ac:dyDescent="0.25">
      <c r="H519" t="s">
        <v>6030</v>
      </c>
    </row>
    <row r="520" spans="8:8" x14ac:dyDescent="0.25">
      <c r="H520" t="s">
        <v>6148</v>
      </c>
    </row>
    <row r="521" spans="8:8" x14ac:dyDescent="0.25">
      <c r="H521" t="s">
        <v>6030</v>
      </c>
    </row>
    <row r="522" spans="8:8" x14ac:dyDescent="0.25">
      <c r="H522" t="s">
        <v>6149</v>
      </c>
    </row>
    <row r="523" spans="8:8" x14ac:dyDescent="0.25">
      <c r="H523" t="s">
        <v>6030</v>
      </c>
    </row>
    <row r="524" spans="8:8" x14ac:dyDescent="0.25">
      <c r="H524" t="s">
        <v>6150</v>
      </c>
    </row>
    <row r="525" spans="8:8" x14ac:dyDescent="0.25">
      <c r="H525" t="s">
        <v>6030</v>
      </c>
    </row>
    <row r="526" spans="8:8" x14ac:dyDescent="0.25">
      <c r="H526" t="s">
        <v>6151</v>
      </c>
    </row>
    <row r="527" spans="8:8" x14ac:dyDescent="0.25">
      <c r="H527" t="s">
        <v>6030</v>
      </c>
    </row>
    <row r="528" spans="8:8" x14ac:dyDescent="0.25">
      <c r="H528" t="s">
        <v>6152</v>
      </c>
    </row>
    <row r="529" spans="8:8" x14ac:dyDescent="0.25">
      <c r="H529" t="s">
        <v>6030</v>
      </c>
    </row>
    <row r="530" spans="8:8" x14ac:dyDescent="0.25">
      <c r="H530" t="s">
        <v>6153</v>
      </c>
    </row>
    <row r="531" spans="8:8" x14ac:dyDescent="0.25">
      <c r="H531" t="s">
        <v>6030</v>
      </c>
    </row>
    <row r="532" spans="8:8" x14ac:dyDescent="0.25">
      <c r="H532" t="s">
        <v>6154</v>
      </c>
    </row>
    <row r="533" spans="8:8" x14ac:dyDescent="0.25">
      <c r="H533" t="s">
        <v>6030</v>
      </c>
    </row>
    <row r="534" spans="8:8" x14ac:dyDescent="0.25">
      <c r="H534" t="s">
        <v>6155</v>
      </c>
    </row>
    <row r="535" spans="8:8" x14ac:dyDescent="0.25">
      <c r="H535" t="s">
        <v>6030</v>
      </c>
    </row>
    <row r="536" spans="8:8" x14ac:dyDescent="0.25">
      <c r="H536" t="s">
        <v>6156</v>
      </c>
    </row>
    <row r="537" spans="8:8" x14ac:dyDescent="0.25">
      <c r="H537" t="s">
        <v>6030</v>
      </c>
    </row>
    <row r="538" spans="8:8" x14ac:dyDescent="0.25">
      <c r="H538" t="s">
        <v>6157</v>
      </c>
    </row>
    <row r="539" spans="8:8" x14ac:dyDescent="0.25">
      <c r="H539" t="s">
        <v>6030</v>
      </c>
    </row>
    <row r="540" spans="8:8" x14ac:dyDescent="0.25">
      <c r="H540" t="s">
        <v>6158</v>
      </c>
    </row>
    <row r="541" spans="8:8" x14ac:dyDescent="0.25">
      <c r="H541" t="s">
        <v>6030</v>
      </c>
    </row>
    <row r="542" spans="8:8" x14ac:dyDescent="0.25">
      <c r="H542" t="s">
        <v>6159</v>
      </c>
    </row>
    <row r="543" spans="8:8" x14ac:dyDescent="0.25">
      <c r="H543" t="s">
        <v>6030</v>
      </c>
    </row>
    <row r="544" spans="8:8" x14ac:dyDescent="0.25">
      <c r="H544" t="s">
        <v>6160</v>
      </c>
    </row>
    <row r="545" spans="8:8" x14ac:dyDescent="0.25">
      <c r="H545" t="s">
        <v>6030</v>
      </c>
    </row>
    <row r="546" spans="8:8" x14ac:dyDescent="0.25">
      <c r="H546" t="s">
        <v>6161</v>
      </c>
    </row>
    <row r="547" spans="8:8" x14ac:dyDescent="0.25">
      <c r="H547" t="s">
        <v>6030</v>
      </c>
    </row>
    <row r="548" spans="8:8" x14ac:dyDescent="0.25">
      <c r="H548" t="s">
        <v>6162</v>
      </c>
    </row>
    <row r="549" spans="8:8" x14ac:dyDescent="0.25">
      <c r="H549" t="s">
        <v>6030</v>
      </c>
    </row>
    <row r="550" spans="8:8" x14ac:dyDescent="0.25">
      <c r="H550" t="s">
        <v>6163</v>
      </c>
    </row>
    <row r="551" spans="8:8" x14ac:dyDescent="0.25">
      <c r="H551" t="s">
        <v>6030</v>
      </c>
    </row>
    <row r="552" spans="8:8" x14ac:dyDescent="0.25">
      <c r="H552" t="s">
        <v>6164</v>
      </c>
    </row>
    <row r="553" spans="8:8" x14ac:dyDescent="0.25">
      <c r="H553" t="s">
        <v>6030</v>
      </c>
    </row>
    <row r="554" spans="8:8" x14ac:dyDescent="0.25">
      <c r="H554" t="s">
        <v>6165</v>
      </c>
    </row>
    <row r="555" spans="8:8" x14ac:dyDescent="0.25">
      <c r="H555" t="s">
        <v>6030</v>
      </c>
    </row>
    <row r="556" spans="8:8" x14ac:dyDescent="0.25">
      <c r="H556" t="s">
        <v>6166</v>
      </c>
    </row>
    <row r="557" spans="8:8" x14ac:dyDescent="0.25">
      <c r="H557" t="s">
        <v>6030</v>
      </c>
    </row>
    <row r="558" spans="8:8" x14ac:dyDescent="0.25">
      <c r="H558" t="s">
        <v>6167</v>
      </c>
    </row>
    <row r="559" spans="8:8" x14ac:dyDescent="0.25">
      <c r="H559" t="s">
        <v>6030</v>
      </c>
    </row>
    <row r="560" spans="8:8" x14ac:dyDescent="0.25">
      <c r="H560" t="s">
        <v>6168</v>
      </c>
    </row>
    <row r="561" spans="8:8" x14ac:dyDescent="0.25">
      <c r="H561" t="s">
        <v>6030</v>
      </c>
    </row>
    <row r="562" spans="8:8" x14ac:dyDescent="0.25">
      <c r="H562" t="s">
        <v>6169</v>
      </c>
    </row>
    <row r="563" spans="8:8" x14ac:dyDescent="0.25">
      <c r="H563" t="s">
        <v>6030</v>
      </c>
    </row>
    <row r="564" spans="8:8" x14ac:dyDescent="0.25">
      <c r="H564" t="s">
        <v>6170</v>
      </c>
    </row>
    <row r="565" spans="8:8" x14ac:dyDescent="0.25">
      <c r="H565" t="s">
        <v>6030</v>
      </c>
    </row>
    <row r="566" spans="8:8" x14ac:dyDescent="0.25">
      <c r="H566" t="s">
        <v>6171</v>
      </c>
    </row>
    <row r="567" spans="8:8" x14ac:dyDescent="0.25">
      <c r="H567" t="s">
        <v>6030</v>
      </c>
    </row>
    <row r="568" spans="8:8" x14ac:dyDescent="0.25">
      <c r="H568" t="s">
        <v>6172</v>
      </c>
    </row>
    <row r="569" spans="8:8" x14ac:dyDescent="0.25">
      <c r="H569" t="s">
        <v>6030</v>
      </c>
    </row>
    <row r="570" spans="8:8" x14ac:dyDescent="0.25">
      <c r="H570" t="s">
        <v>6173</v>
      </c>
    </row>
    <row r="571" spans="8:8" x14ac:dyDescent="0.25">
      <c r="H571" t="s">
        <v>6030</v>
      </c>
    </row>
    <row r="572" spans="8:8" x14ac:dyDescent="0.25">
      <c r="H572" t="s">
        <v>6174</v>
      </c>
    </row>
    <row r="573" spans="8:8" x14ac:dyDescent="0.25">
      <c r="H573" t="s">
        <v>6030</v>
      </c>
    </row>
    <row r="574" spans="8:8" x14ac:dyDescent="0.25">
      <c r="H574" t="s">
        <v>6175</v>
      </c>
    </row>
    <row r="575" spans="8:8" x14ac:dyDescent="0.25">
      <c r="H575" t="s">
        <v>6030</v>
      </c>
    </row>
    <row r="576" spans="8:8" x14ac:dyDescent="0.25">
      <c r="H576" t="s">
        <v>6176</v>
      </c>
    </row>
    <row r="577" spans="8:8" x14ac:dyDescent="0.25">
      <c r="H577" t="s">
        <v>6030</v>
      </c>
    </row>
    <row r="578" spans="8:8" x14ac:dyDescent="0.25">
      <c r="H578" t="s">
        <v>6177</v>
      </c>
    </row>
    <row r="579" spans="8:8" x14ac:dyDescent="0.25">
      <c r="H579" t="s">
        <v>6030</v>
      </c>
    </row>
    <row r="580" spans="8:8" x14ac:dyDescent="0.25">
      <c r="H580" t="s">
        <v>6178</v>
      </c>
    </row>
    <row r="581" spans="8:8" x14ac:dyDescent="0.25">
      <c r="H581" t="s">
        <v>6030</v>
      </c>
    </row>
    <row r="582" spans="8:8" x14ac:dyDescent="0.25">
      <c r="H582" t="s">
        <v>6179</v>
      </c>
    </row>
    <row r="583" spans="8:8" x14ac:dyDescent="0.25">
      <c r="H583" t="s">
        <v>6030</v>
      </c>
    </row>
    <row r="584" spans="8:8" x14ac:dyDescent="0.25">
      <c r="H584" t="s">
        <v>6180</v>
      </c>
    </row>
    <row r="585" spans="8:8" x14ac:dyDescent="0.25">
      <c r="H585" t="s">
        <v>6030</v>
      </c>
    </row>
    <row r="586" spans="8:8" x14ac:dyDescent="0.25">
      <c r="H586" t="s">
        <v>6181</v>
      </c>
    </row>
    <row r="587" spans="8:8" x14ac:dyDescent="0.25">
      <c r="H587" t="s">
        <v>6030</v>
      </c>
    </row>
    <row r="588" spans="8:8" x14ac:dyDescent="0.25">
      <c r="H588" t="s">
        <v>6182</v>
      </c>
    </row>
    <row r="589" spans="8:8" x14ac:dyDescent="0.25">
      <c r="H589" t="s">
        <v>6030</v>
      </c>
    </row>
    <row r="590" spans="8:8" x14ac:dyDescent="0.25">
      <c r="H590" t="s">
        <v>6183</v>
      </c>
    </row>
    <row r="591" spans="8:8" x14ac:dyDescent="0.25">
      <c r="H591" t="s">
        <v>6030</v>
      </c>
    </row>
    <row r="592" spans="8:8" x14ac:dyDescent="0.25">
      <c r="H592" t="s">
        <v>6184</v>
      </c>
    </row>
    <row r="593" spans="8:8" x14ac:dyDescent="0.25">
      <c r="H593" t="s">
        <v>6185</v>
      </c>
    </row>
    <row r="594" spans="8:8" x14ac:dyDescent="0.25">
      <c r="H594" t="s">
        <v>6186</v>
      </c>
    </row>
    <row r="595" spans="8:8" x14ac:dyDescent="0.25">
      <c r="H595" t="s">
        <v>6185</v>
      </c>
    </row>
    <row r="596" spans="8:8" x14ac:dyDescent="0.25">
      <c r="H596" t="s">
        <v>6187</v>
      </c>
    </row>
    <row r="597" spans="8:8" x14ac:dyDescent="0.25">
      <c r="H597" t="s">
        <v>6185</v>
      </c>
    </row>
    <row r="598" spans="8:8" x14ac:dyDescent="0.25">
      <c r="H598" t="s">
        <v>6188</v>
      </c>
    </row>
    <row r="599" spans="8:8" x14ac:dyDescent="0.25">
      <c r="H599" t="s">
        <v>6185</v>
      </c>
    </row>
    <row r="600" spans="8:8" x14ac:dyDescent="0.25">
      <c r="H600" t="s">
        <v>6189</v>
      </c>
    </row>
    <row r="601" spans="8:8" x14ac:dyDescent="0.25">
      <c r="H601" t="s">
        <v>6185</v>
      </c>
    </row>
    <row r="602" spans="8:8" x14ac:dyDescent="0.25">
      <c r="H602" t="s">
        <v>6190</v>
      </c>
    </row>
    <row r="603" spans="8:8" x14ac:dyDescent="0.25">
      <c r="H603" t="s">
        <v>6185</v>
      </c>
    </row>
    <row r="604" spans="8:8" x14ac:dyDescent="0.25">
      <c r="H604" t="s">
        <v>6191</v>
      </c>
    </row>
    <row r="605" spans="8:8" x14ac:dyDescent="0.25">
      <c r="H605" t="s">
        <v>6185</v>
      </c>
    </row>
    <row r="606" spans="8:8" x14ac:dyDescent="0.25">
      <c r="H606" t="s">
        <v>6192</v>
      </c>
    </row>
    <row r="607" spans="8:8" x14ac:dyDescent="0.25">
      <c r="H607" t="s">
        <v>6185</v>
      </c>
    </row>
    <row r="608" spans="8:8" x14ac:dyDescent="0.25">
      <c r="H608" t="s">
        <v>6193</v>
      </c>
    </row>
    <row r="609" spans="8:8" x14ac:dyDescent="0.25">
      <c r="H609" t="s">
        <v>6185</v>
      </c>
    </row>
    <row r="610" spans="8:8" x14ac:dyDescent="0.25">
      <c r="H610" t="s">
        <v>6194</v>
      </c>
    </row>
    <row r="611" spans="8:8" x14ac:dyDescent="0.25">
      <c r="H611" t="s">
        <v>6185</v>
      </c>
    </row>
    <row r="612" spans="8:8" x14ac:dyDescent="0.25">
      <c r="H612" t="s">
        <v>6195</v>
      </c>
    </row>
    <row r="613" spans="8:8" x14ac:dyDescent="0.25">
      <c r="H613" t="s">
        <v>6185</v>
      </c>
    </row>
    <row r="614" spans="8:8" x14ac:dyDescent="0.25">
      <c r="H614" t="s">
        <v>6196</v>
      </c>
    </row>
    <row r="615" spans="8:8" x14ac:dyDescent="0.25">
      <c r="H615" t="s">
        <v>6185</v>
      </c>
    </row>
    <row r="616" spans="8:8" x14ac:dyDescent="0.25">
      <c r="H616" t="s">
        <v>6197</v>
      </c>
    </row>
    <row r="617" spans="8:8" x14ac:dyDescent="0.25">
      <c r="H617" t="s">
        <v>6185</v>
      </c>
    </row>
    <row r="618" spans="8:8" x14ac:dyDescent="0.25">
      <c r="H618" t="s">
        <v>6198</v>
      </c>
    </row>
    <row r="619" spans="8:8" x14ac:dyDescent="0.25">
      <c r="H619" t="s">
        <v>6185</v>
      </c>
    </row>
    <row r="620" spans="8:8" x14ac:dyDescent="0.25">
      <c r="H620" t="s">
        <v>6199</v>
      </c>
    </row>
    <row r="621" spans="8:8" x14ac:dyDescent="0.25">
      <c r="H621" t="s">
        <v>6185</v>
      </c>
    </row>
    <row r="622" spans="8:8" x14ac:dyDescent="0.25">
      <c r="H622" t="s">
        <v>6200</v>
      </c>
    </row>
    <row r="623" spans="8:8" x14ac:dyDescent="0.25">
      <c r="H623" t="s">
        <v>6185</v>
      </c>
    </row>
    <row r="624" spans="8:8" x14ac:dyDescent="0.25">
      <c r="H624" t="s">
        <v>6201</v>
      </c>
    </row>
    <row r="625" spans="8:8" x14ac:dyDescent="0.25">
      <c r="H625" t="s">
        <v>6185</v>
      </c>
    </row>
    <row r="626" spans="8:8" x14ac:dyDescent="0.25">
      <c r="H626" t="s">
        <v>6202</v>
      </c>
    </row>
    <row r="627" spans="8:8" x14ac:dyDescent="0.25">
      <c r="H627" t="s">
        <v>6185</v>
      </c>
    </row>
    <row r="628" spans="8:8" x14ac:dyDescent="0.25">
      <c r="H628" t="s">
        <v>6203</v>
      </c>
    </row>
    <row r="629" spans="8:8" x14ac:dyDescent="0.25">
      <c r="H629" t="s">
        <v>6185</v>
      </c>
    </row>
    <row r="630" spans="8:8" x14ac:dyDescent="0.25">
      <c r="H630" t="s">
        <v>6204</v>
      </c>
    </row>
    <row r="631" spans="8:8" x14ac:dyDescent="0.25">
      <c r="H631" t="s">
        <v>6185</v>
      </c>
    </row>
    <row r="632" spans="8:8" x14ac:dyDescent="0.25">
      <c r="H632" t="s">
        <v>6205</v>
      </c>
    </row>
    <row r="633" spans="8:8" x14ac:dyDescent="0.25">
      <c r="H633" t="s">
        <v>6185</v>
      </c>
    </row>
    <row r="634" spans="8:8" x14ac:dyDescent="0.25">
      <c r="H634" t="s">
        <v>6206</v>
      </c>
    </row>
    <row r="635" spans="8:8" x14ac:dyDescent="0.25">
      <c r="H635" t="s">
        <v>6185</v>
      </c>
    </row>
    <row r="636" spans="8:8" x14ac:dyDescent="0.25">
      <c r="H636" t="s">
        <v>6207</v>
      </c>
    </row>
    <row r="637" spans="8:8" x14ac:dyDescent="0.25">
      <c r="H637" t="s">
        <v>6185</v>
      </c>
    </row>
    <row r="638" spans="8:8" x14ac:dyDescent="0.25">
      <c r="H638" t="s">
        <v>6208</v>
      </c>
    </row>
    <row r="639" spans="8:8" x14ac:dyDescent="0.25">
      <c r="H639" t="s">
        <v>6185</v>
      </c>
    </row>
    <row r="640" spans="8:8" x14ac:dyDescent="0.25">
      <c r="H640" t="s">
        <v>6209</v>
      </c>
    </row>
    <row r="641" spans="8:8" x14ac:dyDescent="0.25">
      <c r="H641" t="s">
        <v>6185</v>
      </c>
    </row>
    <row r="642" spans="8:8" x14ac:dyDescent="0.25">
      <c r="H642" t="s">
        <v>6210</v>
      </c>
    </row>
    <row r="643" spans="8:8" x14ac:dyDescent="0.25">
      <c r="H643" t="s">
        <v>6185</v>
      </c>
    </row>
    <row r="644" spans="8:8" x14ac:dyDescent="0.25">
      <c r="H644" t="s">
        <v>6211</v>
      </c>
    </row>
    <row r="645" spans="8:8" x14ac:dyDescent="0.25">
      <c r="H645" t="s">
        <v>6185</v>
      </c>
    </row>
    <row r="646" spans="8:8" x14ac:dyDescent="0.25">
      <c r="H646" t="s">
        <v>6212</v>
      </c>
    </row>
    <row r="647" spans="8:8" x14ac:dyDescent="0.25">
      <c r="H647" t="s">
        <v>6185</v>
      </c>
    </row>
    <row r="648" spans="8:8" x14ac:dyDescent="0.25">
      <c r="H648" t="s">
        <v>6213</v>
      </c>
    </row>
    <row r="649" spans="8:8" x14ac:dyDescent="0.25">
      <c r="H649" t="s">
        <v>6185</v>
      </c>
    </row>
    <row r="650" spans="8:8" x14ac:dyDescent="0.25">
      <c r="H650" t="s">
        <v>6214</v>
      </c>
    </row>
    <row r="651" spans="8:8" x14ac:dyDescent="0.25">
      <c r="H651" t="s">
        <v>6185</v>
      </c>
    </row>
    <row r="652" spans="8:8" x14ac:dyDescent="0.25">
      <c r="H652" t="s">
        <v>6215</v>
      </c>
    </row>
    <row r="653" spans="8:8" x14ac:dyDescent="0.25">
      <c r="H653" t="s">
        <v>6185</v>
      </c>
    </row>
    <row r="654" spans="8:8" x14ac:dyDescent="0.25">
      <c r="H654" t="s">
        <v>6216</v>
      </c>
    </row>
    <row r="655" spans="8:8" x14ac:dyDescent="0.25">
      <c r="H655" t="s">
        <v>6185</v>
      </c>
    </row>
    <row r="656" spans="8:8" x14ac:dyDescent="0.25">
      <c r="H656" t="s">
        <v>6217</v>
      </c>
    </row>
    <row r="657" spans="8:8" x14ac:dyDescent="0.25">
      <c r="H657" t="s">
        <v>6185</v>
      </c>
    </row>
    <row r="658" spans="8:8" x14ac:dyDescent="0.25">
      <c r="H658" t="s">
        <v>6218</v>
      </c>
    </row>
    <row r="659" spans="8:8" x14ac:dyDescent="0.25">
      <c r="H659" t="s">
        <v>6185</v>
      </c>
    </row>
    <row r="660" spans="8:8" x14ac:dyDescent="0.25">
      <c r="H660" t="s">
        <v>6219</v>
      </c>
    </row>
    <row r="661" spans="8:8" x14ac:dyDescent="0.25">
      <c r="H661" t="s">
        <v>6185</v>
      </c>
    </row>
    <row r="662" spans="8:8" x14ac:dyDescent="0.25">
      <c r="H662" t="s">
        <v>6220</v>
      </c>
    </row>
    <row r="663" spans="8:8" x14ac:dyDescent="0.25">
      <c r="H663" t="s">
        <v>6185</v>
      </c>
    </row>
    <row r="664" spans="8:8" x14ac:dyDescent="0.25">
      <c r="H664" t="s">
        <v>6221</v>
      </c>
    </row>
    <row r="665" spans="8:8" x14ac:dyDescent="0.25">
      <c r="H665" t="s">
        <v>6185</v>
      </c>
    </row>
    <row r="666" spans="8:8" x14ac:dyDescent="0.25">
      <c r="H666" t="s">
        <v>6222</v>
      </c>
    </row>
    <row r="667" spans="8:8" x14ac:dyDescent="0.25">
      <c r="H667" t="s">
        <v>6185</v>
      </c>
    </row>
    <row r="668" spans="8:8" x14ac:dyDescent="0.25">
      <c r="H668" t="s">
        <v>6223</v>
      </c>
    </row>
    <row r="669" spans="8:8" x14ac:dyDescent="0.25">
      <c r="H669" t="s">
        <v>6185</v>
      </c>
    </row>
    <row r="670" spans="8:8" x14ac:dyDescent="0.25">
      <c r="H670" t="s">
        <v>6224</v>
      </c>
    </row>
    <row r="671" spans="8:8" x14ac:dyDescent="0.25">
      <c r="H671" t="s">
        <v>6185</v>
      </c>
    </row>
    <row r="672" spans="8:8" x14ac:dyDescent="0.25">
      <c r="H672" t="s">
        <v>6225</v>
      </c>
    </row>
    <row r="673" spans="8:8" x14ac:dyDescent="0.25">
      <c r="H673" t="s">
        <v>6185</v>
      </c>
    </row>
    <row r="674" spans="8:8" x14ac:dyDescent="0.25">
      <c r="H674" t="s">
        <v>6226</v>
      </c>
    </row>
    <row r="675" spans="8:8" x14ac:dyDescent="0.25">
      <c r="H675" t="s">
        <v>6185</v>
      </c>
    </row>
    <row r="676" spans="8:8" x14ac:dyDescent="0.25">
      <c r="H676" t="s">
        <v>6227</v>
      </c>
    </row>
    <row r="677" spans="8:8" x14ac:dyDescent="0.25">
      <c r="H677" t="s">
        <v>6185</v>
      </c>
    </row>
    <row r="678" spans="8:8" x14ac:dyDescent="0.25">
      <c r="H678" t="s">
        <v>6228</v>
      </c>
    </row>
    <row r="679" spans="8:8" x14ac:dyDescent="0.25">
      <c r="H679" t="s">
        <v>6185</v>
      </c>
    </row>
    <row r="680" spans="8:8" x14ac:dyDescent="0.25">
      <c r="H680" t="s">
        <v>6229</v>
      </c>
    </row>
    <row r="681" spans="8:8" x14ac:dyDescent="0.25">
      <c r="H681" t="s">
        <v>6185</v>
      </c>
    </row>
    <row r="682" spans="8:8" x14ac:dyDescent="0.25">
      <c r="H682" t="s">
        <v>6230</v>
      </c>
    </row>
    <row r="683" spans="8:8" x14ac:dyDescent="0.25">
      <c r="H683" t="s">
        <v>6185</v>
      </c>
    </row>
    <row r="684" spans="8:8" x14ac:dyDescent="0.25">
      <c r="H684" t="s">
        <v>6231</v>
      </c>
    </row>
    <row r="685" spans="8:8" x14ac:dyDescent="0.25">
      <c r="H685" t="s">
        <v>6185</v>
      </c>
    </row>
    <row r="686" spans="8:8" x14ac:dyDescent="0.25">
      <c r="H686" t="s">
        <v>6232</v>
      </c>
    </row>
    <row r="687" spans="8:8" x14ac:dyDescent="0.25">
      <c r="H687" t="s">
        <v>6185</v>
      </c>
    </row>
    <row r="688" spans="8:8" x14ac:dyDescent="0.25">
      <c r="H688" t="s">
        <v>6233</v>
      </c>
    </row>
    <row r="689" spans="8:8" x14ac:dyDescent="0.25">
      <c r="H689" t="s">
        <v>6185</v>
      </c>
    </row>
    <row r="690" spans="8:8" x14ac:dyDescent="0.25">
      <c r="H690" t="s">
        <v>6234</v>
      </c>
    </row>
    <row r="691" spans="8:8" x14ac:dyDescent="0.25">
      <c r="H691" t="s">
        <v>6185</v>
      </c>
    </row>
    <row r="692" spans="8:8" x14ac:dyDescent="0.25">
      <c r="H692" t="s">
        <v>6235</v>
      </c>
    </row>
    <row r="693" spans="8:8" x14ac:dyDescent="0.25">
      <c r="H693" t="s">
        <v>6185</v>
      </c>
    </row>
    <row r="694" spans="8:8" x14ac:dyDescent="0.25">
      <c r="H694" t="s">
        <v>6236</v>
      </c>
    </row>
    <row r="695" spans="8:8" x14ac:dyDescent="0.25">
      <c r="H695" t="s">
        <v>6237</v>
      </c>
    </row>
    <row r="696" spans="8:8" x14ac:dyDescent="0.25">
      <c r="H696" t="s">
        <v>6238</v>
      </c>
    </row>
    <row r="697" spans="8:8" x14ac:dyDescent="0.25">
      <c r="H697" t="s">
        <v>6237</v>
      </c>
    </row>
    <row r="698" spans="8:8" x14ac:dyDescent="0.25">
      <c r="H698" t="s">
        <v>6239</v>
      </c>
    </row>
    <row r="699" spans="8:8" x14ac:dyDescent="0.25">
      <c r="H699" t="s">
        <v>6237</v>
      </c>
    </row>
    <row r="700" spans="8:8" x14ac:dyDescent="0.25">
      <c r="H700" t="s">
        <v>6240</v>
      </c>
    </row>
    <row r="701" spans="8:8" x14ac:dyDescent="0.25">
      <c r="H701" t="s">
        <v>6237</v>
      </c>
    </row>
    <row r="702" spans="8:8" x14ac:dyDescent="0.25">
      <c r="H702" t="s">
        <v>6241</v>
      </c>
    </row>
    <row r="703" spans="8:8" x14ac:dyDescent="0.25">
      <c r="H703" t="s">
        <v>6237</v>
      </c>
    </row>
    <row r="704" spans="8:8" x14ac:dyDescent="0.25">
      <c r="H704" t="s">
        <v>6242</v>
      </c>
    </row>
    <row r="705" spans="8:8" x14ac:dyDescent="0.25">
      <c r="H705" t="s">
        <v>6237</v>
      </c>
    </row>
    <row r="706" spans="8:8" x14ac:dyDescent="0.25">
      <c r="H706" t="s">
        <v>6243</v>
      </c>
    </row>
    <row r="707" spans="8:8" x14ac:dyDescent="0.25">
      <c r="H707" t="s">
        <v>6237</v>
      </c>
    </row>
    <row r="708" spans="8:8" x14ac:dyDescent="0.25">
      <c r="H708" t="s">
        <v>6244</v>
      </c>
    </row>
    <row r="709" spans="8:8" x14ac:dyDescent="0.25">
      <c r="H709" t="s">
        <v>6237</v>
      </c>
    </row>
    <row r="710" spans="8:8" x14ac:dyDescent="0.25">
      <c r="H710" t="s">
        <v>6245</v>
      </c>
    </row>
    <row r="711" spans="8:8" x14ac:dyDescent="0.25">
      <c r="H711" t="s">
        <v>6237</v>
      </c>
    </row>
    <row r="712" spans="8:8" x14ac:dyDescent="0.25">
      <c r="H712" t="s">
        <v>6246</v>
      </c>
    </row>
    <row r="713" spans="8:8" x14ac:dyDescent="0.25">
      <c r="H713" t="s">
        <v>6237</v>
      </c>
    </row>
    <row r="714" spans="8:8" x14ac:dyDescent="0.25">
      <c r="H714" t="s">
        <v>6247</v>
      </c>
    </row>
    <row r="715" spans="8:8" x14ac:dyDescent="0.25">
      <c r="H715" t="s">
        <v>6237</v>
      </c>
    </row>
    <row r="716" spans="8:8" x14ac:dyDescent="0.25">
      <c r="H716" t="s">
        <v>6248</v>
      </c>
    </row>
    <row r="717" spans="8:8" x14ac:dyDescent="0.25">
      <c r="H717" t="s">
        <v>6237</v>
      </c>
    </row>
    <row r="718" spans="8:8" x14ac:dyDescent="0.25">
      <c r="H718" t="s">
        <v>6249</v>
      </c>
    </row>
    <row r="719" spans="8:8" x14ac:dyDescent="0.25">
      <c r="H719" t="s">
        <v>6237</v>
      </c>
    </row>
    <row r="720" spans="8:8" x14ac:dyDescent="0.25">
      <c r="H720" t="s">
        <v>6250</v>
      </c>
    </row>
    <row r="721" spans="8:8" x14ac:dyDescent="0.25">
      <c r="H721" t="s">
        <v>6237</v>
      </c>
    </row>
    <row r="722" spans="8:8" x14ac:dyDescent="0.25">
      <c r="H722" t="s">
        <v>6251</v>
      </c>
    </row>
    <row r="723" spans="8:8" x14ac:dyDescent="0.25">
      <c r="H723" t="s">
        <v>6237</v>
      </c>
    </row>
    <row r="724" spans="8:8" x14ac:dyDescent="0.25">
      <c r="H724" t="s">
        <v>6252</v>
      </c>
    </row>
    <row r="725" spans="8:8" x14ac:dyDescent="0.25">
      <c r="H725" t="s">
        <v>6237</v>
      </c>
    </row>
    <row r="726" spans="8:8" x14ac:dyDescent="0.25">
      <c r="H726" t="s">
        <v>6253</v>
      </c>
    </row>
    <row r="727" spans="8:8" x14ac:dyDescent="0.25">
      <c r="H727" t="s">
        <v>6237</v>
      </c>
    </row>
    <row r="728" spans="8:8" x14ac:dyDescent="0.25">
      <c r="H728" t="s">
        <v>6254</v>
      </c>
    </row>
    <row r="729" spans="8:8" x14ac:dyDescent="0.25">
      <c r="H729" t="s">
        <v>6237</v>
      </c>
    </row>
    <row r="730" spans="8:8" x14ac:dyDescent="0.25">
      <c r="H730" t="s">
        <v>6255</v>
      </c>
    </row>
    <row r="731" spans="8:8" x14ac:dyDescent="0.25">
      <c r="H731" t="s">
        <v>6237</v>
      </c>
    </row>
    <row r="732" spans="8:8" x14ac:dyDescent="0.25">
      <c r="H732" t="s">
        <v>6256</v>
      </c>
    </row>
    <row r="733" spans="8:8" x14ac:dyDescent="0.25">
      <c r="H733" t="s">
        <v>6237</v>
      </c>
    </row>
    <row r="734" spans="8:8" x14ac:dyDescent="0.25">
      <c r="H734" t="s">
        <v>6257</v>
      </c>
    </row>
    <row r="735" spans="8:8" x14ac:dyDescent="0.25">
      <c r="H735" t="s">
        <v>6237</v>
      </c>
    </row>
    <row r="736" spans="8:8" x14ac:dyDescent="0.25">
      <c r="H736" t="s">
        <v>6258</v>
      </c>
    </row>
    <row r="737" spans="8:8" x14ac:dyDescent="0.25">
      <c r="H737" t="s">
        <v>6237</v>
      </c>
    </row>
    <row r="738" spans="8:8" x14ac:dyDescent="0.25">
      <c r="H738" t="s">
        <v>6259</v>
      </c>
    </row>
    <row r="739" spans="8:8" x14ac:dyDescent="0.25">
      <c r="H739" t="s">
        <v>6237</v>
      </c>
    </row>
    <row r="740" spans="8:8" x14ac:dyDescent="0.25">
      <c r="H740" t="s">
        <v>6260</v>
      </c>
    </row>
    <row r="741" spans="8:8" x14ac:dyDescent="0.25">
      <c r="H741" t="s">
        <v>6237</v>
      </c>
    </row>
    <row r="742" spans="8:8" x14ac:dyDescent="0.25">
      <c r="H742" t="s">
        <v>6261</v>
      </c>
    </row>
    <row r="743" spans="8:8" x14ac:dyDescent="0.25">
      <c r="H743" t="s">
        <v>6237</v>
      </c>
    </row>
    <row r="744" spans="8:8" x14ac:dyDescent="0.25">
      <c r="H744" t="s">
        <v>6262</v>
      </c>
    </row>
    <row r="745" spans="8:8" x14ac:dyDescent="0.25">
      <c r="H745" t="s">
        <v>6237</v>
      </c>
    </row>
    <row r="746" spans="8:8" x14ac:dyDescent="0.25">
      <c r="H746" t="s">
        <v>6263</v>
      </c>
    </row>
    <row r="747" spans="8:8" x14ac:dyDescent="0.25">
      <c r="H747" t="s">
        <v>6237</v>
      </c>
    </row>
    <row r="748" spans="8:8" x14ac:dyDescent="0.25">
      <c r="H748" t="s">
        <v>6264</v>
      </c>
    </row>
    <row r="749" spans="8:8" x14ac:dyDescent="0.25">
      <c r="H749" t="s">
        <v>6237</v>
      </c>
    </row>
    <row r="750" spans="8:8" x14ac:dyDescent="0.25">
      <c r="H750" t="s">
        <v>6265</v>
      </c>
    </row>
    <row r="751" spans="8:8" x14ac:dyDescent="0.25">
      <c r="H751" t="s">
        <v>6237</v>
      </c>
    </row>
    <row r="752" spans="8:8" x14ac:dyDescent="0.25">
      <c r="H752" t="s">
        <v>6266</v>
      </c>
    </row>
    <row r="753" spans="8:8" x14ac:dyDescent="0.25">
      <c r="H753" t="s">
        <v>6237</v>
      </c>
    </row>
    <row r="754" spans="8:8" x14ac:dyDescent="0.25">
      <c r="H754" t="s">
        <v>6267</v>
      </c>
    </row>
    <row r="755" spans="8:8" x14ac:dyDescent="0.25">
      <c r="H755" t="s">
        <v>6237</v>
      </c>
    </row>
    <row r="756" spans="8:8" x14ac:dyDescent="0.25">
      <c r="H756" t="s">
        <v>6268</v>
      </c>
    </row>
    <row r="757" spans="8:8" x14ac:dyDescent="0.25">
      <c r="H757" t="s">
        <v>6237</v>
      </c>
    </row>
    <row r="758" spans="8:8" x14ac:dyDescent="0.25">
      <c r="H758" t="s">
        <v>6269</v>
      </c>
    </row>
    <row r="759" spans="8:8" x14ac:dyDescent="0.25">
      <c r="H759" t="s">
        <v>6237</v>
      </c>
    </row>
    <row r="760" spans="8:8" x14ac:dyDescent="0.25">
      <c r="H760" t="s">
        <v>6270</v>
      </c>
    </row>
    <row r="761" spans="8:8" x14ac:dyDescent="0.25">
      <c r="H761" t="s">
        <v>6237</v>
      </c>
    </row>
    <row r="762" spans="8:8" x14ac:dyDescent="0.25">
      <c r="H762" t="s">
        <v>6271</v>
      </c>
    </row>
    <row r="763" spans="8:8" x14ac:dyDescent="0.25">
      <c r="H763" t="s">
        <v>6237</v>
      </c>
    </row>
    <row r="764" spans="8:8" x14ac:dyDescent="0.25">
      <c r="H764" t="s">
        <v>6272</v>
      </c>
    </row>
    <row r="765" spans="8:8" x14ac:dyDescent="0.25">
      <c r="H765" t="s">
        <v>6237</v>
      </c>
    </row>
    <row r="766" spans="8:8" x14ac:dyDescent="0.25">
      <c r="H766" t="s">
        <v>6273</v>
      </c>
    </row>
    <row r="767" spans="8:8" x14ac:dyDescent="0.25">
      <c r="H767" t="s">
        <v>6237</v>
      </c>
    </row>
    <row r="768" spans="8:8" x14ac:dyDescent="0.25">
      <c r="H768" t="s">
        <v>6274</v>
      </c>
    </row>
    <row r="769" spans="8:8" x14ac:dyDescent="0.25">
      <c r="H769" t="s">
        <v>6237</v>
      </c>
    </row>
    <row r="770" spans="8:8" x14ac:dyDescent="0.25">
      <c r="H770" t="s">
        <v>6275</v>
      </c>
    </row>
    <row r="771" spans="8:8" x14ac:dyDescent="0.25">
      <c r="H771" t="s">
        <v>6237</v>
      </c>
    </row>
    <row r="772" spans="8:8" x14ac:dyDescent="0.25">
      <c r="H772" t="s">
        <v>6276</v>
      </c>
    </row>
    <row r="773" spans="8:8" x14ac:dyDescent="0.25">
      <c r="H773" t="s">
        <v>6237</v>
      </c>
    </row>
    <row r="774" spans="8:8" x14ac:dyDescent="0.25">
      <c r="H774" t="s">
        <v>6277</v>
      </c>
    </row>
    <row r="775" spans="8:8" x14ac:dyDescent="0.25">
      <c r="H775" t="s">
        <v>6237</v>
      </c>
    </row>
    <row r="776" spans="8:8" x14ac:dyDescent="0.25">
      <c r="H776" t="s">
        <v>6278</v>
      </c>
    </row>
    <row r="777" spans="8:8" x14ac:dyDescent="0.25">
      <c r="H777" t="s">
        <v>6237</v>
      </c>
    </row>
    <row r="778" spans="8:8" x14ac:dyDescent="0.25">
      <c r="H778" t="s">
        <v>6279</v>
      </c>
    </row>
    <row r="779" spans="8:8" x14ac:dyDescent="0.25">
      <c r="H779" t="s">
        <v>6237</v>
      </c>
    </row>
    <row r="780" spans="8:8" x14ac:dyDescent="0.25">
      <c r="H780" t="s">
        <v>6280</v>
      </c>
    </row>
    <row r="781" spans="8:8" x14ac:dyDescent="0.25">
      <c r="H781" t="s">
        <v>6237</v>
      </c>
    </row>
    <row r="782" spans="8:8" x14ac:dyDescent="0.25">
      <c r="H782" t="s">
        <v>6281</v>
      </c>
    </row>
    <row r="783" spans="8:8" x14ac:dyDescent="0.25">
      <c r="H783" t="s">
        <v>6237</v>
      </c>
    </row>
    <row r="784" spans="8:8" x14ac:dyDescent="0.25">
      <c r="H784" t="s">
        <v>6282</v>
      </c>
    </row>
    <row r="785" spans="8:8" x14ac:dyDescent="0.25">
      <c r="H785" t="s">
        <v>6237</v>
      </c>
    </row>
    <row r="786" spans="8:8" x14ac:dyDescent="0.25">
      <c r="H786" t="s">
        <v>6283</v>
      </c>
    </row>
    <row r="787" spans="8:8" x14ac:dyDescent="0.25">
      <c r="H787" t="s">
        <v>6237</v>
      </c>
    </row>
    <row r="788" spans="8:8" x14ac:dyDescent="0.25">
      <c r="H788" t="s">
        <v>6284</v>
      </c>
    </row>
    <row r="789" spans="8:8" x14ac:dyDescent="0.25">
      <c r="H789" t="s">
        <v>6237</v>
      </c>
    </row>
    <row r="790" spans="8:8" x14ac:dyDescent="0.25">
      <c r="H790" t="s">
        <v>6285</v>
      </c>
    </row>
    <row r="791" spans="8:8" x14ac:dyDescent="0.25">
      <c r="H791" t="s">
        <v>6237</v>
      </c>
    </row>
    <row r="792" spans="8:8" x14ac:dyDescent="0.25">
      <c r="H792" t="s">
        <v>6286</v>
      </c>
    </row>
    <row r="793" spans="8:8" x14ac:dyDescent="0.25">
      <c r="H793" t="s">
        <v>6237</v>
      </c>
    </row>
    <row r="794" spans="8:8" x14ac:dyDescent="0.25">
      <c r="H794" t="s">
        <v>6287</v>
      </c>
    </row>
    <row r="795" spans="8:8" x14ac:dyDescent="0.25">
      <c r="H795" t="s">
        <v>6237</v>
      </c>
    </row>
    <row r="796" spans="8:8" x14ac:dyDescent="0.25">
      <c r="H796" t="s">
        <v>6288</v>
      </c>
    </row>
    <row r="797" spans="8:8" x14ac:dyDescent="0.25">
      <c r="H797" t="s">
        <v>6237</v>
      </c>
    </row>
    <row r="798" spans="8:8" x14ac:dyDescent="0.25">
      <c r="H798" t="s">
        <v>6289</v>
      </c>
    </row>
    <row r="799" spans="8:8" x14ac:dyDescent="0.25">
      <c r="H799" t="s">
        <v>6237</v>
      </c>
    </row>
    <row r="800" spans="8:8" x14ac:dyDescent="0.25">
      <c r="H800" t="s">
        <v>6290</v>
      </c>
    </row>
    <row r="801" spans="8:8" x14ac:dyDescent="0.25">
      <c r="H801" t="s">
        <v>6237</v>
      </c>
    </row>
    <row r="802" spans="8:8" x14ac:dyDescent="0.25">
      <c r="H802" t="s">
        <v>6291</v>
      </c>
    </row>
    <row r="803" spans="8:8" x14ac:dyDescent="0.25">
      <c r="H803" t="s">
        <v>6237</v>
      </c>
    </row>
    <row r="804" spans="8:8" x14ac:dyDescent="0.25">
      <c r="H804" t="s">
        <v>6292</v>
      </c>
    </row>
    <row r="805" spans="8:8" x14ac:dyDescent="0.25">
      <c r="H805" t="s">
        <v>6237</v>
      </c>
    </row>
    <row r="806" spans="8:8" x14ac:dyDescent="0.25">
      <c r="H806" t="s">
        <v>6293</v>
      </c>
    </row>
    <row r="807" spans="8:8" x14ac:dyDescent="0.25">
      <c r="H807" t="s">
        <v>6237</v>
      </c>
    </row>
    <row r="808" spans="8:8" x14ac:dyDescent="0.25">
      <c r="H808" t="s">
        <v>6294</v>
      </c>
    </row>
    <row r="809" spans="8:8" x14ac:dyDescent="0.25">
      <c r="H809" t="s">
        <v>6237</v>
      </c>
    </row>
    <row r="810" spans="8:8" x14ac:dyDescent="0.25">
      <c r="H810" t="s">
        <v>6295</v>
      </c>
    </row>
    <row r="811" spans="8:8" x14ac:dyDescent="0.25">
      <c r="H811" t="s">
        <v>6296</v>
      </c>
    </row>
    <row r="812" spans="8:8" x14ac:dyDescent="0.25">
      <c r="H812" t="s">
        <v>6297</v>
      </c>
    </row>
    <row r="813" spans="8:8" x14ac:dyDescent="0.25">
      <c r="H813" t="s">
        <v>6296</v>
      </c>
    </row>
    <row r="814" spans="8:8" x14ac:dyDescent="0.25">
      <c r="H814" t="s">
        <v>6298</v>
      </c>
    </row>
    <row r="815" spans="8:8" x14ac:dyDescent="0.25">
      <c r="H815" t="s">
        <v>6296</v>
      </c>
    </row>
    <row r="816" spans="8:8" x14ac:dyDescent="0.25">
      <c r="H816" t="s">
        <v>6299</v>
      </c>
    </row>
    <row r="817" spans="8:8" x14ac:dyDescent="0.25">
      <c r="H817" t="s">
        <v>6296</v>
      </c>
    </row>
    <row r="818" spans="8:8" x14ac:dyDescent="0.25">
      <c r="H818" t="s">
        <v>6300</v>
      </c>
    </row>
    <row r="819" spans="8:8" x14ac:dyDescent="0.25">
      <c r="H819" t="s">
        <v>6296</v>
      </c>
    </row>
    <row r="820" spans="8:8" x14ac:dyDescent="0.25">
      <c r="H820" t="s">
        <v>6301</v>
      </c>
    </row>
    <row r="821" spans="8:8" x14ac:dyDescent="0.25">
      <c r="H821" t="s">
        <v>6296</v>
      </c>
    </row>
    <row r="822" spans="8:8" x14ac:dyDescent="0.25">
      <c r="H822" t="s">
        <v>6302</v>
      </c>
    </row>
    <row r="823" spans="8:8" x14ac:dyDescent="0.25">
      <c r="H823" t="s">
        <v>6296</v>
      </c>
    </row>
    <row r="824" spans="8:8" x14ac:dyDescent="0.25">
      <c r="H824" t="s">
        <v>6303</v>
      </c>
    </row>
    <row r="825" spans="8:8" x14ac:dyDescent="0.25">
      <c r="H825" t="s">
        <v>6296</v>
      </c>
    </row>
    <row r="826" spans="8:8" x14ac:dyDescent="0.25">
      <c r="H826" t="s">
        <v>6304</v>
      </c>
    </row>
    <row r="827" spans="8:8" x14ac:dyDescent="0.25">
      <c r="H827" t="s">
        <v>6296</v>
      </c>
    </row>
    <row r="828" spans="8:8" x14ac:dyDescent="0.25">
      <c r="H828" t="s">
        <v>6305</v>
      </c>
    </row>
    <row r="829" spans="8:8" x14ac:dyDescent="0.25">
      <c r="H829" t="s">
        <v>6296</v>
      </c>
    </row>
    <row r="830" spans="8:8" x14ac:dyDescent="0.25">
      <c r="H830" t="s">
        <v>6306</v>
      </c>
    </row>
    <row r="831" spans="8:8" x14ac:dyDescent="0.25">
      <c r="H831" t="s">
        <v>6296</v>
      </c>
    </row>
    <row r="832" spans="8:8" x14ac:dyDescent="0.25">
      <c r="H832" t="s">
        <v>6307</v>
      </c>
    </row>
    <row r="833" spans="8:8" x14ac:dyDescent="0.25">
      <c r="H833" t="s">
        <v>6296</v>
      </c>
    </row>
    <row r="834" spans="8:8" x14ac:dyDescent="0.25">
      <c r="H834" t="s">
        <v>6308</v>
      </c>
    </row>
    <row r="835" spans="8:8" x14ac:dyDescent="0.25">
      <c r="H835" t="s">
        <v>6296</v>
      </c>
    </row>
    <row r="836" spans="8:8" x14ac:dyDescent="0.25">
      <c r="H836" t="s">
        <v>6309</v>
      </c>
    </row>
    <row r="837" spans="8:8" x14ac:dyDescent="0.25">
      <c r="H837" t="s">
        <v>6296</v>
      </c>
    </row>
    <row r="838" spans="8:8" x14ac:dyDescent="0.25">
      <c r="H838" t="s">
        <v>6310</v>
      </c>
    </row>
    <row r="839" spans="8:8" x14ac:dyDescent="0.25">
      <c r="H839" t="s">
        <v>6296</v>
      </c>
    </row>
    <row r="840" spans="8:8" x14ac:dyDescent="0.25">
      <c r="H840" t="s">
        <v>6311</v>
      </c>
    </row>
    <row r="841" spans="8:8" x14ac:dyDescent="0.25">
      <c r="H841" t="s">
        <v>6296</v>
      </c>
    </row>
    <row r="842" spans="8:8" x14ac:dyDescent="0.25">
      <c r="H842" t="s">
        <v>6312</v>
      </c>
    </row>
    <row r="843" spans="8:8" x14ac:dyDescent="0.25">
      <c r="H843" t="s">
        <v>6296</v>
      </c>
    </row>
    <row r="844" spans="8:8" x14ac:dyDescent="0.25">
      <c r="H844" t="s">
        <v>6313</v>
      </c>
    </row>
    <row r="845" spans="8:8" x14ac:dyDescent="0.25">
      <c r="H845" t="s">
        <v>6296</v>
      </c>
    </row>
    <row r="846" spans="8:8" x14ac:dyDescent="0.25">
      <c r="H846" t="s">
        <v>6314</v>
      </c>
    </row>
    <row r="847" spans="8:8" x14ac:dyDescent="0.25">
      <c r="H847" t="s">
        <v>6296</v>
      </c>
    </row>
    <row r="848" spans="8:8" x14ac:dyDescent="0.25">
      <c r="H848" t="s">
        <v>6315</v>
      </c>
    </row>
    <row r="849" spans="8:8" x14ac:dyDescent="0.25">
      <c r="H849" t="s">
        <v>6296</v>
      </c>
    </row>
    <row r="850" spans="8:8" x14ac:dyDescent="0.25">
      <c r="H850" t="s">
        <v>6316</v>
      </c>
    </row>
    <row r="851" spans="8:8" x14ac:dyDescent="0.25">
      <c r="H851" t="s">
        <v>6296</v>
      </c>
    </row>
    <row r="852" spans="8:8" x14ac:dyDescent="0.25">
      <c r="H852" t="s">
        <v>6317</v>
      </c>
    </row>
    <row r="853" spans="8:8" x14ac:dyDescent="0.25">
      <c r="H853" t="s">
        <v>6296</v>
      </c>
    </row>
    <row r="854" spans="8:8" x14ac:dyDescent="0.25">
      <c r="H854" t="s">
        <v>6318</v>
      </c>
    </row>
    <row r="855" spans="8:8" x14ac:dyDescent="0.25">
      <c r="H855" t="s">
        <v>6296</v>
      </c>
    </row>
    <row r="856" spans="8:8" x14ac:dyDescent="0.25">
      <c r="H856" t="s">
        <v>6319</v>
      </c>
    </row>
    <row r="857" spans="8:8" x14ac:dyDescent="0.25">
      <c r="H857" t="s">
        <v>6296</v>
      </c>
    </row>
    <row r="858" spans="8:8" x14ac:dyDescent="0.25">
      <c r="H858" t="s">
        <v>6320</v>
      </c>
    </row>
    <row r="859" spans="8:8" x14ac:dyDescent="0.25">
      <c r="H859" t="s">
        <v>6296</v>
      </c>
    </row>
    <row r="860" spans="8:8" x14ac:dyDescent="0.25">
      <c r="H860" t="s">
        <v>6321</v>
      </c>
    </row>
    <row r="861" spans="8:8" x14ac:dyDescent="0.25">
      <c r="H861" t="s">
        <v>6296</v>
      </c>
    </row>
    <row r="862" spans="8:8" x14ac:dyDescent="0.25">
      <c r="H862" t="s">
        <v>6322</v>
      </c>
    </row>
    <row r="863" spans="8:8" x14ac:dyDescent="0.25">
      <c r="H863" t="s">
        <v>6296</v>
      </c>
    </row>
    <row r="864" spans="8:8" x14ac:dyDescent="0.25">
      <c r="H864" t="s">
        <v>6323</v>
      </c>
    </row>
    <row r="865" spans="8:8" x14ac:dyDescent="0.25">
      <c r="H865" t="s">
        <v>6296</v>
      </c>
    </row>
    <row r="866" spans="8:8" x14ac:dyDescent="0.25">
      <c r="H866" t="s">
        <v>6324</v>
      </c>
    </row>
    <row r="867" spans="8:8" x14ac:dyDescent="0.25">
      <c r="H867" t="s">
        <v>6296</v>
      </c>
    </row>
    <row r="868" spans="8:8" x14ac:dyDescent="0.25">
      <c r="H868" t="s">
        <v>6325</v>
      </c>
    </row>
    <row r="869" spans="8:8" x14ac:dyDescent="0.25">
      <c r="H869" t="s">
        <v>6296</v>
      </c>
    </row>
    <row r="870" spans="8:8" x14ac:dyDescent="0.25">
      <c r="H870" t="s">
        <v>6326</v>
      </c>
    </row>
    <row r="871" spans="8:8" x14ac:dyDescent="0.25">
      <c r="H871" t="s">
        <v>6296</v>
      </c>
    </row>
    <row r="872" spans="8:8" x14ac:dyDescent="0.25">
      <c r="H872" t="s">
        <v>6327</v>
      </c>
    </row>
    <row r="873" spans="8:8" x14ac:dyDescent="0.25">
      <c r="H873" t="s">
        <v>6296</v>
      </c>
    </row>
    <row r="874" spans="8:8" x14ac:dyDescent="0.25">
      <c r="H874" t="s">
        <v>6328</v>
      </c>
    </row>
    <row r="875" spans="8:8" x14ac:dyDescent="0.25">
      <c r="H875" t="s">
        <v>6296</v>
      </c>
    </row>
    <row r="876" spans="8:8" x14ac:dyDescent="0.25">
      <c r="H876" t="s">
        <v>6329</v>
      </c>
    </row>
    <row r="877" spans="8:8" x14ac:dyDescent="0.25">
      <c r="H877" t="s">
        <v>6296</v>
      </c>
    </row>
    <row r="878" spans="8:8" x14ac:dyDescent="0.25">
      <c r="H878" t="s">
        <v>6330</v>
      </c>
    </row>
    <row r="879" spans="8:8" x14ac:dyDescent="0.25">
      <c r="H879" t="s">
        <v>6296</v>
      </c>
    </row>
    <row r="880" spans="8:8" x14ac:dyDescent="0.25">
      <c r="H880" t="s">
        <v>6331</v>
      </c>
    </row>
    <row r="881" spans="8:8" x14ac:dyDescent="0.25">
      <c r="H881" t="s">
        <v>6296</v>
      </c>
    </row>
    <row r="882" spans="8:8" x14ac:dyDescent="0.25">
      <c r="H882" t="s">
        <v>6332</v>
      </c>
    </row>
    <row r="883" spans="8:8" x14ac:dyDescent="0.25">
      <c r="H883" t="s">
        <v>6296</v>
      </c>
    </row>
    <row r="884" spans="8:8" x14ac:dyDescent="0.25">
      <c r="H884" t="s">
        <v>6333</v>
      </c>
    </row>
    <row r="885" spans="8:8" x14ac:dyDescent="0.25">
      <c r="H885" t="s">
        <v>6296</v>
      </c>
    </row>
    <row r="886" spans="8:8" x14ac:dyDescent="0.25">
      <c r="H886" t="s">
        <v>6334</v>
      </c>
    </row>
    <row r="887" spans="8:8" x14ac:dyDescent="0.25">
      <c r="H887" t="s">
        <v>6296</v>
      </c>
    </row>
    <row r="888" spans="8:8" x14ac:dyDescent="0.25">
      <c r="H888" t="s">
        <v>6335</v>
      </c>
    </row>
    <row r="889" spans="8:8" x14ac:dyDescent="0.25">
      <c r="H889" t="s">
        <v>6296</v>
      </c>
    </row>
    <row r="890" spans="8:8" x14ac:dyDescent="0.25">
      <c r="H890" t="s">
        <v>6336</v>
      </c>
    </row>
    <row r="891" spans="8:8" x14ac:dyDescent="0.25">
      <c r="H891" t="s">
        <v>6296</v>
      </c>
    </row>
    <row r="892" spans="8:8" x14ac:dyDescent="0.25">
      <c r="H892" t="s">
        <v>6337</v>
      </c>
    </row>
    <row r="893" spans="8:8" x14ac:dyDescent="0.25">
      <c r="H893" t="s">
        <v>6296</v>
      </c>
    </row>
    <row r="894" spans="8:8" x14ac:dyDescent="0.25">
      <c r="H894" t="s">
        <v>6338</v>
      </c>
    </row>
    <row r="895" spans="8:8" x14ac:dyDescent="0.25">
      <c r="H895" t="s">
        <v>6296</v>
      </c>
    </row>
    <row r="896" spans="8:8" x14ac:dyDescent="0.25">
      <c r="H896" t="s">
        <v>6339</v>
      </c>
    </row>
    <row r="897" spans="8:8" x14ac:dyDescent="0.25">
      <c r="H897" t="s">
        <v>6296</v>
      </c>
    </row>
    <row r="898" spans="8:8" x14ac:dyDescent="0.25">
      <c r="H898" t="s">
        <v>6340</v>
      </c>
    </row>
    <row r="899" spans="8:8" x14ac:dyDescent="0.25">
      <c r="H899" t="s">
        <v>6296</v>
      </c>
    </row>
    <row r="900" spans="8:8" x14ac:dyDescent="0.25">
      <c r="H900" t="s">
        <v>6341</v>
      </c>
    </row>
    <row r="901" spans="8:8" x14ac:dyDescent="0.25">
      <c r="H901" t="s">
        <v>6296</v>
      </c>
    </row>
    <row r="902" spans="8:8" x14ac:dyDescent="0.25">
      <c r="H902" t="s">
        <v>6342</v>
      </c>
    </row>
    <row r="903" spans="8:8" x14ac:dyDescent="0.25">
      <c r="H903" t="s">
        <v>6296</v>
      </c>
    </row>
    <row r="904" spans="8:8" x14ac:dyDescent="0.25">
      <c r="H904" t="s">
        <v>6343</v>
      </c>
    </row>
    <row r="905" spans="8:8" x14ac:dyDescent="0.25">
      <c r="H905" t="s">
        <v>6296</v>
      </c>
    </row>
    <row r="906" spans="8:8" x14ac:dyDescent="0.25">
      <c r="H906" t="s">
        <v>6344</v>
      </c>
    </row>
    <row r="907" spans="8:8" x14ac:dyDescent="0.25">
      <c r="H907" t="s">
        <v>6296</v>
      </c>
    </row>
    <row r="908" spans="8:8" x14ac:dyDescent="0.25">
      <c r="H908" t="s">
        <v>6345</v>
      </c>
    </row>
    <row r="909" spans="8:8" x14ac:dyDescent="0.25">
      <c r="H909" t="s">
        <v>6296</v>
      </c>
    </row>
    <row r="910" spans="8:8" x14ac:dyDescent="0.25">
      <c r="H910" t="s">
        <v>6346</v>
      </c>
    </row>
    <row r="911" spans="8:8" x14ac:dyDescent="0.25">
      <c r="H911" t="s">
        <v>6296</v>
      </c>
    </row>
    <row r="912" spans="8:8" x14ac:dyDescent="0.25">
      <c r="H912" t="s">
        <v>6347</v>
      </c>
    </row>
    <row r="913" spans="8:8" x14ac:dyDescent="0.25">
      <c r="H913" t="s">
        <v>6296</v>
      </c>
    </row>
    <row r="914" spans="8:8" x14ac:dyDescent="0.25">
      <c r="H914" t="s">
        <v>6348</v>
      </c>
    </row>
    <row r="915" spans="8:8" x14ac:dyDescent="0.25">
      <c r="H915" t="s">
        <v>6296</v>
      </c>
    </row>
    <row r="916" spans="8:8" x14ac:dyDescent="0.25">
      <c r="H916" t="s">
        <v>6349</v>
      </c>
    </row>
    <row r="917" spans="8:8" x14ac:dyDescent="0.25">
      <c r="H917" t="s">
        <v>6296</v>
      </c>
    </row>
    <row r="918" spans="8:8" x14ac:dyDescent="0.25">
      <c r="H918" t="s">
        <v>6350</v>
      </c>
    </row>
    <row r="919" spans="8:8" x14ac:dyDescent="0.25">
      <c r="H919" t="s">
        <v>6296</v>
      </c>
    </row>
    <row r="920" spans="8:8" x14ac:dyDescent="0.25">
      <c r="H920" t="s">
        <v>6351</v>
      </c>
    </row>
    <row r="921" spans="8:8" x14ac:dyDescent="0.25">
      <c r="H921" t="s">
        <v>6296</v>
      </c>
    </row>
    <row r="922" spans="8:8" x14ac:dyDescent="0.25">
      <c r="H922" t="s">
        <v>6352</v>
      </c>
    </row>
    <row r="923" spans="8:8" x14ac:dyDescent="0.25">
      <c r="H923" t="s">
        <v>6296</v>
      </c>
    </row>
    <row r="924" spans="8:8" x14ac:dyDescent="0.25">
      <c r="H924" t="s">
        <v>6353</v>
      </c>
    </row>
    <row r="925" spans="8:8" x14ac:dyDescent="0.25">
      <c r="H925" t="s">
        <v>6296</v>
      </c>
    </row>
    <row r="926" spans="8:8" x14ac:dyDescent="0.25">
      <c r="H926" t="s">
        <v>6354</v>
      </c>
    </row>
    <row r="927" spans="8:8" x14ac:dyDescent="0.25">
      <c r="H927" t="s">
        <v>6296</v>
      </c>
    </row>
    <row r="928" spans="8:8" x14ac:dyDescent="0.25">
      <c r="H928" t="s">
        <v>6355</v>
      </c>
    </row>
    <row r="929" spans="8:8" x14ac:dyDescent="0.25">
      <c r="H929" t="s">
        <v>6296</v>
      </c>
    </row>
    <row r="930" spans="8:8" x14ac:dyDescent="0.25">
      <c r="H930" t="s">
        <v>6356</v>
      </c>
    </row>
    <row r="931" spans="8:8" x14ac:dyDescent="0.25">
      <c r="H931" t="s">
        <v>6296</v>
      </c>
    </row>
    <row r="932" spans="8:8" x14ac:dyDescent="0.25">
      <c r="H932" t="s">
        <v>6357</v>
      </c>
    </row>
    <row r="933" spans="8:8" x14ac:dyDescent="0.25">
      <c r="H933" t="s">
        <v>6296</v>
      </c>
    </row>
    <row r="934" spans="8:8" x14ac:dyDescent="0.25">
      <c r="H934" t="s">
        <v>6358</v>
      </c>
    </row>
    <row r="935" spans="8:8" x14ac:dyDescent="0.25">
      <c r="H935" t="s">
        <v>6296</v>
      </c>
    </row>
    <row r="936" spans="8:8" x14ac:dyDescent="0.25">
      <c r="H936" t="s">
        <v>6359</v>
      </c>
    </row>
    <row r="937" spans="8:8" x14ac:dyDescent="0.25">
      <c r="H937" t="s">
        <v>6296</v>
      </c>
    </row>
    <row r="938" spans="8:8" x14ac:dyDescent="0.25">
      <c r="H938" t="s">
        <v>6360</v>
      </c>
    </row>
    <row r="939" spans="8:8" x14ac:dyDescent="0.25">
      <c r="H939" t="s">
        <v>6296</v>
      </c>
    </row>
    <row r="940" spans="8:8" x14ac:dyDescent="0.25">
      <c r="H940" t="s">
        <v>6361</v>
      </c>
    </row>
    <row r="941" spans="8:8" x14ac:dyDescent="0.25">
      <c r="H941" t="s">
        <v>6296</v>
      </c>
    </row>
    <row r="942" spans="8:8" x14ac:dyDescent="0.25">
      <c r="H942" t="s">
        <v>6362</v>
      </c>
    </row>
    <row r="943" spans="8:8" x14ac:dyDescent="0.25">
      <c r="H943" t="s">
        <v>6296</v>
      </c>
    </row>
    <row r="944" spans="8:8" x14ac:dyDescent="0.25">
      <c r="H944" t="s">
        <v>6363</v>
      </c>
    </row>
    <row r="945" spans="8:8" x14ac:dyDescent="0.25">
      <c r="H945" t="s">
        <v>6296</v>
      </c>
    </row>
    <row r="946" spans="8:8" x14ac:dyDescent="0.25">
      <c r="H946" t="s">
        <v>6364</v>
      </c>
    </row>
    <row r="947" spans="8:8" x14ac:dyDescent="0.25">
      <c r="H947" t="s">
        <v>6296</v>
      </c>
    </row>
    <row r="948" spans="8:8" x14ac:dyDescent="0.25">
      <c r="H948" t="s">
        <v>6365</v>
      </c>
    </row>
    <row r="949" spans="8:8" x14ac:dyDescent="0.25">
      <c r="H949" t="s">
        <v>6296</v>
      </c>
    </row>
    <row r="950" spans="8:8" x14ac:dyDescent="0.25">
      <c r="H950" t="s">
        <v>6366</v>
      </c>
    </row>
    <row r="951" spans="8:8" x14ac:dyDescent="0.25">
      <c r="H951" t="s">
        <v>6296</v>
      </c>
    </row>
    <row r="952" spans="8:8" x14ac:dyDescent="0.25">
      <c r="H952" t="s">
        <v>6367</v>
      </c>
    </row>
    <row r="953" spans="8:8" x14ac:dyDescent="0.25">
      <c r="H953" t="s">
        <v>6296</v>
      </c>
    </row>
    <row r="954" spans="8:8" x14ac:dyDescent="0.25">
      <c r="H954" t="s">
        <v>6368</v>
      </c>
    </row>
    <row r="955" spans="8:8" x14ac:dyDescent="0.25">
      <c r="H955" t="s">
        <v>6296</v>
      </c>
    </row>
    <row r="956" spans="8:8" x14ac:dyDescent="0.25">
      <c r="H956" t="s">
        <v>6369</v>
      </c>
    </row>
    <row r="957" spans="8:8" x14ac:dyDescent="0.25">
      <c r="H957" t="s">
        <v>6296</v>
      </c>
    </row>
    <row r="958" spans="8:8" x14ac:dyDescent="0.25">
      <c r="H958" t="s">
        <v>6370</v>
      </c>
    </row>
    <row r="959" spans="8:8" x14ac:dyDescent="0.25">
      <c r="H959" t="s">
        <v>6296</v>
      </c>
    </row>
    <row r="960" spans="8:8" x14ac:dyDescent="0.25">
      <c r="H960" t="s">
        <v>6371</v>
      </c>
    </row>
    <row r="961" spans="8:8" x14ac:dyDescent="0.25">
      <c r="H961" t="s">
        <v>6296</v>
      </c>
    </row>
    <row r="962" spans="8:8" x14ac:dyDescent="0.25">
      <c r="H962" t="s">
        <v>6372</v>
      </c>
    </row>
    <row r="963" spans="8:8" x14ac:dyDescent="0.25">
      <c r="H963" t="s">
        <v>6296</v>
      </c>
    </row>
    <row r="964" spans="8:8" x14ac:dyDescent="0.25">
      <c r="H964" t="s">
        <v>6373</v>
      </c>
    </row>
    <row r="965" spans="8:8" x14ac:dyDescent="0.25">
      <c r="H965" t="s">
        <v>6296</v>
      </c>
    </row>
    <row r="966" spans="8:8" x14ac:dyDescent="0.25">
      <c r="H966" t="s">
        <v>6374</v>
      </c>
    </row>
    <row r="967" spans="8:8" x14ac:dyDescent="0.25">
      <c r="H967" t="s">
        <v>6296</v>
      </c>
    </row>
    <row r="968" spans="8:8" x14ac:dyDescent="0.25">
      <c r="H968" t="s">
        <v>6375</v>
      </c>
    </row>
    <row r="969" spans="8:8" x14ac:dyDescent="0.25">
      <c r="H969" t="s">
        <v>6296</v>
      </c>
    </row>
    <row r="970" spans="8:8" x14ac:dyDescent="0.25">
      <c r="H970" t="s">
        <v>6376</v>
      </c>
    </row>
    <row r="971" spans="8:8" x14ac:dyDescent="0.25">
      <c r="H971" t="s">
        <v>6296</v>
      </c>
    </row>
    <row r="972" spans="8:8" x14ac:dyDescent="0.25">
      <c r="H972" t="s">
        <v>6377</v>
      </c>
    </row>
    <row r="973" spans="8:8" x14ac:dyDescent="0.25">
      <c r="H973" t="s">
        <v>6296</v>
      </c>
    </row>
    <row r="974" spans="8:8" x14ac:dyDescent="0.25">
      <c r="H974" t="s">
        <v>6378</v>
      </c>
    </row>
    <row r="975" spans="8:8" x14ac:dyDescent="0.25">
      <c r="H975" t="s">
        <v>6296</v>
      </c>
    </row>
    <row r="976" spans="8:8" x14ac:dyDescent="0.25">
      <c r="H976" t="s">
        <v>6379</v>
      </c>
    </row>
    <row r="977" spans="8:8" x14ac:dyDescent="0.25">
      <c r="H977" t="s">
        <v>6296</v>
      </c>
    </row>
    <row r="978" spans="8:8" x14ac:dyDescent="0.25">
      <c r="H978" t="s">
        <v>6380</v>
      </c>
    </row>
    <row r="979" spans="8:8" x14ac:dyDescent="0.25">
      <c r="H979" t="s">
        <v>6296</v>
      </c>
    </row>
    <row r="980" spans="8:8" x14ac:dyDescent="0.25">
      <c r="H980" t="s">
        <v>6381</v>
      </c>
    </row>
    <row r="981" spans="8:8" x14ac:dyDescent="0.25">
      <c r="H981" t="s">
        <v>6296</v>
      </c>
    </row>
    <row r="982" spans="8:8" x14ac:dyDescent="0.25">
      <c r="H982" t="s">
        <v>6382</v>
      </c>
    </row>
    <row r="983" spans="8:8" x14ac:dyDescent="0.25">
      <c r="H983" t="s">
        <v>6296</v>
      </c>
    </row>
    <row r="984" spans="8:8" x14ac:dyDescent="0.25">
      <c r="H984" t="s">
        <v>6383</v>
      </c>
    </row>
    <row r="985" spans="8:8" x14ac:dyDescent="0.25">
      <c r="H985" t="s">
        <v>6296</v>
      </c>
    </row>
    <row r="986" spans="8:8" x14ac:dyDescent="0.25">
      <c r="H986" t="s">
        <v>6384</v>
      </c>
    </row>
    <row r="987" spans="8:8" x14ac:dyDescent="0.25">
      <c r="H987" t="s">
        <v>6296</v>
      </c>
    </row>
    <row r="988" spans="8:8" x14ac:dyDescent="0.25">
      <c r="H988" t="s">
        <v>6385</v>
      </c>
    </row>
    <row r="989" spans="8:8" x14ac:dyDescent="0.25">
      <c r="H989" t="s">
        <v>6296</v>
      </c>
    </row>
    <row r="990" spans="8:8" x14ac:dyDescent="0.25">
      <c r="H990" t="s">
        <v>6386</v>
      </c>
    </row>
    <row r="991" spans="8:8" x14ac:dyDescent="0.25">
      <c r="H991" t="s">
        <v>6296</v>
      </c>
    </row>
    <row r="992" spans="8:8" x14ac:dyDescent="0.25">
      <c r="H992" t="s">
        <v>6387</v>
      </c>
    </row>
    <row r="993" spans="8:8" x14ac:dyDescent="0.25">
      <c r="H993" t="s">
        <v>6296</v>
      </c>
    </row>
    <row r="994" spans="8:8" x14ac:dyDescent="0.25">
      <c r="H994" t="s">
        <v>6388</v>
      </c>
    </row>
    <row r="995" spans="8:8" x14ac:dyDescent="0.25">
      <c r="H995" t="s">
        <v>6296</v>
      </c>
    </row>
    <row r="996" spans="8:8" x14ac:dyDescent="0.25">
      <c r="H996" t="s">
        <v>6389</v>
      </c>
    </row>
    <row r="997" spans="8:8" x14ac:dyDescent="0.25">
      <c r="H997" t="s">
        <v>6296</v>
      </c>
    </row>
    <row r="998" spans="8:8" x14ac:dyDescent="0.25">
      <c r="H998" t="s">
        <v>6390</v>
      </c>
    </row>
    <row r="999" spans="8:8" x14ac:dyDescent="0.25">
      <c r="H999" t="s">
        <v>6296</v>
      </c>
    </row>
    <row r="1000" spans="8:8" x14ac:dyDescent="0.25">
      <c r="H1000" t="s">
        <v>6391</v>
      </c>
    </row>
    <row r="1001" spans="8:8" x14ac:dyDescent="0.25">
      <c r="H1001" t="s">
        <v>6296</v>
      </c>
    </row>
    <row r="1002" spans="8:8" x14ac:dyDescent="0.25">
      <c r="H1002" t="s">
        <v>6392</v>
      </c>
    </row>
    <row r="1003" spans="8:8" x14ac:dyDescent="0.25">
      <c r="H1003" t="s">
        <v>6296</v>
      </c>
    </row>
    <row r="1004" spans="8:8" x14ac:dyDescent="0.25">
      <c r="H1004" t="s">
        <v>6393</v>
      </c>
    </row>
    <row r="1005" spans="8:8" x14ac:dyDescent="0.25">
      <c r="H1005" t="s">
        <v>6296</v>
      </c>
    </row>
    <row r="1006" spans="8:8" x14ac:dyDescent="0.25">
      <c r="H1006" t="s">
        <v>6394</v>
      </c>
    </row>
    <row r="1007" spans="8:8" x14ac:dyDescent="0.25">
      <c r="H1007" t="s">
        <v>6296</v>
      </c>
    </row>
    <row r="1008" spans="8:8" x14ac:dyDescent="0.25">
      <c r="H1008" t="s">
        <v>6395</v>
      </c>
    </row>
    <row r="1009" spans="8:8" x14ac:dyDescent="0.25">
      <c r="H1009" t="s">
        <v>6296</v>
      </c>
    </row>
    <row r="1010" spans="8:8" x14ac:dyDescent="0.25">
      <c r="H1010" t="s">
        <v>6396</v>
      </c>
    </row>
    <row r="1011" spans="8:8" x14ac:dyDescent="0.25">
      <c r="H1011" t="s">
        <v>6296</v>
      </c>
    </row>
    <row r="1012" spans="8:8" x14ac:dyDescent="0.25">
      <c r="H1012" t="s">
        <v>6397</v>
      </c>
    </row>
    <row r="1013" spans="8:8" x14ac:dyDescent="0.25">
      <c r="H1013" t="s">
        <v>6296</v>
      </c>
    </row>
    <row r="1014" spans="8:8" x14ac:dyDescent="0.25">
      <c r="H1014" t="s">
        <v>6398</v>
      </c>
    </row>
    <row r="1015" spans="8:8" x14ac:dyDescent="0.25">
      <c r="H1015" t="s">
        <v>6296</v>
      </c>
    </row>
    <row r="1016" spans="8:8" x14ac:dyDescent="0.25">
      <c r="H1016" t="s">
        <v>6399</v>
      </c>
    </row>
    <row r="1017" spans="8:8" x14ac:dyDescent="0.25">
      <c r="H1017" t="s">
        <v>6296</v>
      </c>
    </row>
    <row r="1018" spans="8:8" x14ac:dyDescent="0.25">
      <c r="H1018" t="s">
        <v>6400</v>
      </c>
    </row>
    <row r="1019" spans="8:8" x14ac:dyDescent="0.25">
      <c r="H1019" t="s">
        <v>6296</v>
      </c>
    </row>
    <row r="1020" spans="8:8" x14ac:dyDescent="0.25">
      <c r="H1020" t="s">
        <v>6401</v>
      </c>
    </row>
    <row r="1021" spans="8:8" x14ac:dyDescent="0.25">
      <c r="H1021" t="s">
        <v>6296</v>
      </c>
    </row>
    <row r="1022" spans="8:8" x14ac:dyDescent="0.25">
      <c r="H1022" t="s">
        <v>6402</v>
      </c>
    </row>
    <row r="1023" spans="8:8" x14ac:dyDescent="0.25">
      <c r="H1023" t="s">
        <v>6296</v>
      </c>
    </row>
    <row r="1024" spans="8:8" x14ac:dyDescent="0.25">
      <c r="H1024" t="s">
        <v>6403</v>
      </c>
    </row>
    <row r="1025" spans="8:8" x14ac:dyDescent="0.25">
      <c r="H1025" t="s">
        <v>6296</v>
      </c>
    </row>
    <row r="1026" spans="8:8" x14ac:dyDescent="0.25">
      <c r="H1026" t="s">
        <v>6404</v>
      </c>
    </row>
    <row r="1027" spans="8:8" x14ac:dyDescent="0.25">
      <c r="H1027" t="s">
        <v>6296</v>
      </c>
    </row>
    <row r="1028" spans="8:8" x14ac:dyDescent="0.25">
      <c r="H1028" t="s">
        <v>6405</v>
      </c>
    </row>
    <row r="1029" spans="8:8" x14ac:dyDescent="0.25">
      <c r="H1029" t="s">
        <v>6296</v>
      </c>
    </row>
    <row r="1030" spans="8:8" x14ac:dyDescent="0.25">
      <c r="H1030" t="s">
        <v>6406</v>
      </c>
    </row>
    <row r="1031" spans="8:8" x14ac:dyDescent="0.25">
      <c r="H1031" t="s">
        <v>6296</v>
      </c>
    </row>
    <row r="1032" spans="8:8" x14ac:dyDescent="0.25">
      <c r="H1032" t="s">
        <v>6407</v>
      </c>
    </row>
    <row r="1033" spans="8:8" x14ac:dyDescent="0.25">
      <c r="H1033" t="s">
        <v>6296</v>
      </c>
    </row>
    <row r="1034" spans="8:8" x14ac:dyDescent="0.25">
      <c r="H1034" t="s">
        <v>6408</v>
      </c>
    </row>
    <row r="1035" spans="8:8" x14ac:dyDescent="0.25">
      <c r="H1035" t="s">
        <v>6296</v>
      </c>
    </row>
    <row r="1036" spans="8:8" x14ac:dyDescent="0.25">
      <c r="H1036" t="s">
        <v>6409</v>
      </c>
    </row>
    <row r="1037" spans="8:8" x14ac:dyDescent="0.25">
      <c r="H1037" t="s">
        <v>6296</v>
      </c>
    </row>
    <row r="1038" spans="8:8" x14ac:dyDescent="0.25">
      <c r="H1038" t="s">
        <v>6410</v>
      </c>
    </row>
    <row r="1039" spans="8:8" x14ac:dyDescent="0.25">
      <c r="H1039" t="s">
        <v>6296</v>
      </c>
    </row>
    <row r="1040" spans="8:8" x14ac:dyDescent="0.25">
      <c r="H1040" t="s">
        <v>6411</v>
      </c>
    </row>
    <row r="1041" spans="8:8" x14ac:dyDescent="0.25">
      <c r="H1041" t="s">
        <v>6296</v>
      </c>
    </row>
    <row r="1042" spans="8:8" x14ac:dyDescent="0.25">
      <c r="H1042" t="s">
        <v>6412</v>
      </c>
    </row>
    <row r="1043" spans="8:8" x14ac:dyDescent="0.25">
      <c r="H1043" t="s">
        <v>6296</v>
      </c>
    </row>
    <row r="1044" spans="8:8" x14ac:dyDescent="0.25">
      <c r="H1044" t="s">
        <v>6413</v>
      </c>
    </row>
    <row r="1045" spans="8:8" x14ac:dyDescent="0.25">
      <c r="H1045" t="s">
        <v>6296</v>
      </c>
    </row>
    <row r="1046" spans="8:8" x14ac:dyDescent="0.25">
      <c r="H1046" t="s">
        <v>6414</v>
      </c>
    </row>
    <row r="1047" spans="8:8" x14ac:dyDescent="0.25">
      <c r="H1047" t="s">
        <v>6296</v>
      </c>
    </row>
    <row r="1048" spans="8:8" x14ac:dyDescent="0.25">
      <c r="H1048" t="s">
        <v>6415</v>
      </c>
    </row>
    <row r="1049" spans="8:8" x14ac:dyDescent="0.25">
      <c r="H1049" t="s">
        <v>6296</v>
      </c>
    </row>
    <row r="1050" spans="8:8" x14ac:dyDescent="0.25">
      <c r="H1050" t="s">
        <v>6416</v>
      </c>
    </row>
    <row r="1051" spans="8:8" x14ac:dyDescent="0.25">
      <c r="H1051" t="s">
        <v>6296</v>
      </c>
    </row>
    <row r="1052" spans="8:8" x14ac:dyDescent="0.25">
      <c r="H1052" t="s">
        <v>6417</v>
      </c>
    </row>
    <row r="1053" spans="8:8" x14ac:dyDescent="0.25">
      <c r="H1053" t="s">
        <v>6296</v>
      </c>
    </row>
    <row r="1054" spans="8:8" x14ac:dyDescent="0.25">
      <c r="H1054" t="s">
        <v>6418</v>
      </c>
    </row>
    <row r="1055" spans="8:8" x14ac:dyDescent="0.25">
      <c r="H1055" t="s">
        <v>6296</v>
      </c>
    </row>
    <row r="1056" spans="8:8" x14ac:dyDescent="0.25">
      <c r="H1056" t="s">
        <v>6419</v>
      </c>
    </row>
    <row r="1057" spans="8:8" x14ac:dyDescent="0.25">
      <c r="H1057" t="s">
        <v>6296</v>
      </c>
    </row>
    <row r="1058" spans="8:8" x14ac:dyDescent="0.25">
      <c r="H1058" t="s">
        <v>6420</v>
      </c>
    </row>
    <row r="1059" spans="8:8" x14ac:dyDescent="0.25">
      <c r="H1059" t="s">
        <v>6296</v>
      </c>
    </row>
    <row r="1060" spans="8:8" x14ac:dyDescent="0.25">
      <c r="H1060" t="s">
        <v>6421</v>
      </c>
    </row>
    <row r="1061" spans="8:8" x14ac:dyDescent="0.25">
      <c r="H1061" t="s">
        <v>6296</v>
      </c>
    </row>
    <row r="1062" spans="8:8" x14ac:dyDescent="0.25">
      <c r="H1062" t="s">
        <v>6422</v>
      </c>
    </row>
    <row r="1063" spans="8:8" x14ac:dyDescent="0.25">
      <c r="H1063" t="s">
        <v>6296</v>
      </c>
    </row>
    <row r="1064" spans="8:8" x14ac:dyDescent="0.25">
      <c r="H1064" t="s">
        <v>6423</v>
      </c>
    </row>
    <row r="1065" spans="8:8" x14ac:dyDescent="0.25">
      <c r="H1065" t="s">
        <v>6296</v>
      </c>
    </row>
    <row r="1066" spans="8:8" x14ac:dyDescent="0.25">
      <c r="H1066" t="s">
        <v>6424</v>
      </c>
    </row>
    <row r="1067" spans="8:8" x14ac:dyDescent="0.25">
      <c r="H1067" t="s">
        <v>6296</v>
      </c>
    </row>
    <row r="1068" spans="8:8" x14ac:dyDescent="0.25">
      <c r="H1068" t="s">
        <v>6425</v>
      </c>
    </row>
    <row r="1069" spans="8:8" x14ac:dyDescent="0.25">
      <c r="H1069" t="s">
        <v>6296</v>
      </c>
    </row>
    <row r="1070" spans="8:8" x14ac:dyDescent="0.25">
      <c r="H1070" t="s">
        <v>6426</v>
      </c>
    </row>
    <row r="1071" spans="8:8" x14ac:dyDescent="0.25">
      <c r="H1071" t="s">
        <v>6296</v>
      </c>
    </row>
    <row r="1072" spans="8:8" x14ac:dyDescent="0.25">
      <c r="H1072" t="s">
        <v>6427</v>
      </c>
    </row>
    <row r="1073" spans="8:8" x14ac:dyDescent="0.25">
      <c r="H1073" t="s">
        <v>6296</v>
      </c>
    </row>
    <row r="1074" spans="8:8" x14ac:dyDescent="0.25">
      <c r="H1074" t="s">
        <v>6428</v>
      </c>
    </row>
    <row r="1075" spans="8:8" x14ac:dyDescent="0.25">
      <c r="H1075" t="s">
        <v>6296</v>
      </c>
    </row>
    <row r="1076" spans="8:8" x14ac:dyDescent="0.25">
      <c r="H1076" t="s">
        <v>6429</v>
      </c>
    </row>
    <row r="1077" spans="8:8" x14ac:dyDescent="0.25">
      <c r="H1077" t="s">
        <v>6296</v>
      </c>
    </row>
    <row r="1078" spans="8:8" x14ac:dyDescent="0.25">
      <c r="H1078" t="s">
        <v>6430</v>
      </c>
    </row>
    <row r="1079" spans="8:8" x14ac:dyDescent="0.25">
      <c r="H1079" t="s">
        <v>6296</v>
      </c>
    </row>
    <row r="1080" spans="8:8" x14ac:dyDescent="0.25">
      <c r="H1080" t="s">
        <v>6431</v>
      </c>
    </row>
    <row r="1081" spans="8:8" x14ac:dyDescent="0.25">
      <c r="H1081" t="s">
        <v>6296</v>
      </c>
    </row>
    <row r="1082" spans="8:8" x14ac:dyDescent="0.25">
      <c r="H1082" t="s">
        <v>6432</v>
      </c>
    </row>
    <row r="1083" spans="8:8" x14ac:dyDescent="0.25">
      <c r="H1083" t="s">
        <v>6296</v>
      </c>
    </row>
    <row r="1084" spans="8:8" x14ac:dyDescent="0.25">
      <c r="H1084" t="s">
        <v>6433</v>
      </c>
    </row>
    <row r="1085" spans="8:8" x14ac:dyDescent="0.25">
      <c r="H1085" t="s">
        <v>6296</v>
      </c>
    </row>
    <row r="1086" spans="8:8" x14ac:dyDescent="0.25">
      <c r="H1086" t="s">
        <v>6434</v>
      </c>
    </row>
    <row r="1087" spans="8:8" x14ac:dyDescent="0.25">
      <c r="H1087" t="s">
        <v>6296</v>
      </c>
    </row>
    <row r="1088" spans="8:8" x14ac:dyDescent="0.25">
      <c r="H1088" t="s">
        <v>6435</v>
      </c>
    </row>
    <row r="1089" spans="8:8" x14ac:dyDescent="0.25">
      <c r="H1089" t="s">
        <v>6296</v>
      </c>
    </row>
    <row r="1090" spans="8:8" x14ac:dyDescent="0.25">
      <c r="H1090" t="s">
        <v>6436</v>
      </c>
    </row>
    <row r="1091" spans="8:8" x14ac:dyDescent="0.25">
      <c r="H1091" t="s">
        <v>6296</v>
      </c>
    </row>
    <row r="1092" spans="8:8" x14ac:dyDescent="0.25">
      <c r="H1092" t="s">
        <v>6437</v>
      </c>
    </row>
    <row r="1093" spans="8:8" x14ac:dyDescent="0.25">
      <c r="H1093" t="s">
        <v>6296</v>
      </c>
    </row>
    <row r="1094" spans="8:8" x14ac:dyDescent="0.25">
      <c r="H1094" t="s">
        <v>6438</v>
      </c>
    </row>
    <row r="1095" spans="8:8" x14ac:dyDescent="0.25">
      <c r="H1095" t="s">
        <v>6296</v>
      </c>
    </row>
    <row r="1096" spans="8:8" x14ac:dyDescent="0.25">
      <c r="H1096" t="s">
        <v>6439</v>
      </c>
    </row>
    <row r="1097" spans="8:8" x14ac:dyDescent="0.25">
      <c r="H1097" t="s">
        <v>6296</v>
      </c>
    </row>
    <row r="1098" spans="8:8" x14ac:dyDescent="0.25">
      <c r="H1098" t="s">
        <v>6440</v>
      </c>
    </row>
    <row r="1099" spans="8:8" x14ac:dyDescent="0.25">
      <c r="H1099" t="s">
        <v>6296</v>
      </c>
    </row>
    <row r="1100" spans="8:8" x14ac:dyDescent="0.25">
      <c r="H1100" t="s">
        <v>6441</v>
      </c>
    </row>
    <row r="1101" spans="8:8" x14ac:dyDescent="0.25">
      <c r="H1101" t="s">
        <v>6296</v>
      </c>
    </row>
    <row r="1102" spans="8:8" x14ac:dyDescent="0.25">
      <c r="H1102" t="s">
        <v>6442</v>
      </c>
    </row>
    <row r="1103" spans="8:8" x14ac:dyDescent="0.25">
      <c r="H1103" t="s">
        <v>6296</v>
      </c>
    </row>
    <row r="1104" spans="8:8" x14ac:dyDescent="0.25">
      <c r="H1104" t="s">
        <v>6443</v>
      </c>
    </row>
    <row r="1105" spans="8:8" x14ac:dyDescent="0.25">
      <c r="H1105" t="s">
        <v>6296</v>
      </c>
    </row>
    <row r="1106" spans="8:8" x14ac:dyDescent="0.25">
      <c r="H1106" t="s">
        <v>6444</v>
      </c>
    </row>
    <row r="1107" spans="8:8" x14ac:dyDescent="0.25">
      <c r="H1107" t="s">
        <v>6296</v>
      </c>
    </row>
    <row r="1108" spans="8:8" x14ac:dyDescent="0.25">
      <c r="H1108" t="s">
        <v>6445</v>
      </c>
    </row>
    <row r="1109" spans="8:8" x14ac:dyDescent="0.25">
      <c r="H1109" t="s">
        <v>6296</v>
      </c>
    </row>
    <row r="1110" spans="8:8" x14ac:dyDescent="0.25">
      <c r="H1110" t="s">
        <v>6446</v>
      </c>
    </row>
    <row r="1111" spans="8:8" x14ac:dyDescent="0.25">
      <c r="H1111" t="s">
        <v>6296</v>
      </c>
    </row>
    <row r="1112" spans="8:8" x14ac:dyDescent="0.25">
      <c r="H1112" t="s">
        <v>6447</v>
      </c>
    </row>
    <row r="1113" spans="8:8" x14ac:dyDescent="0.25">
      <c r="H1113" t="s">
        <v>6296</v>
      </c>
    </row>
    <row r="1114" spans="8:8" x14ac:dyDescent="0.25">
      <c r="H1114" t="s">
        <v>6448</v>
      </c>
    </row>
    <row r="1115" spans="8:8" x14ac:dyDescent="0.25">
      <c r="H1115" t="s">
        <v>6296</v>
      </c>
    </row>
    <row r="1116" spans="8:8" x14ac:dyDescent="0.25">
      <c r="H1116" t="s">
        <v>6449</v>
      </c>
    </row>
    <row r="1117" spans="8:8" x14ac:dyDescent="0.25">
      <c r="H1117" t="s">
        <v>6296</v>
      </c>
    </row>
    <row r="1118" spans="8:8" x14ac:dyDescent="0.25">
      <c r="H1118" t="s">
        <v>6450</v>
      </c>
    </row>
    <row r="1119" spans="8:8" x14ac:dyDescent="0.25">
      <c r="H1119" t="s">
        <v>6451</v>
      </c>
    </row>
    <row r="1120" spans="8:8" x14ac:dyDescent="0.25">
      <c r="H1120" t="s">
        <v>6452</v>
      </c>
    </row>
    <row r="1121" spans="8:8" x14ac:dyDescent="0.25">
      <c r="H1121" t="s">
        <v>6451</v>
      </c>
    </row>
    <row r="1122" spans="8:8" x14ac:dyDescent="0.25">
      <c r="H1122" t="s">
        <v>6453</v>
      </c>
    </row>
    <row r="1123" spans="8:8" x14ac:dyDescent="0.25">
      <c r="H1123" t="s">
        <v>6451</v>
      </c>
    </row>
    <row r="1124" spans="8:8" x14ac:dyDescent="0.25">
      <c r="H1124" t="s">
        <v>6454</v>
      </c>
    </row>
    <row r="1125" spans="8:8" x14ac:dyDescent="0.25">
      <c r="H1125" t="s">
        <v>6451</v>
      </c>
    </row>
    <row r="1126" spans="8:8" x14ac:dyDescent="0.25">
      <c r="H1126" t="s">
        <v>6455</v>
      </c>
    </row>
    <row r="1127" spans="8:8" x14ac:dyDescent="0.25">
      <c r="H1127" t="s">
        <v>6451</v>
      </c>
    </row>
    <row r="1128" spans="8:8" x14ac:dyDescent="0.25">
      <c r="H1128" t="s">
        <v>6456</v>
      </c>
    </row>
    <row r="1129" spans="8:8" x14ac:dyDescent="0.25">
      <c r="H1129" t="s">
        <v>6451</v>
      </c>
    </row>
    <row r="1130" spans="8:8" x14ac:dyDescent="0.25">
      <c r="H1130" t="s">
        <v>6457</v>
      </c>
    </row>
    <row r="1131" spans="8:8" x14ac:dyDescent="0.25">
      <c r="H1131" t="s">
        <v>6451</v>
      </c>
    </row>
    <row r="1132" spans="8:8" x14ac:dyDescent="0.25">
      <c r="H1132" t="s">
        <v>6458</v>
      </c>
    </row>
    <row r="1133" spans="8:8" x14ac:dyDescent="0.25">
      <c r="H1133" t="s">
        <v>6451</v>
      </c>
    </row>
    <row r="1134" spans="8:8" x14ac:dyDescent="0.25">
      <c r="H1134" t="s">
        <v>6459</v>
      </c>
    </row>
    <row r="1135" spans="8:8" x14ac:dyDescent="0.25">
      <c r="H1135" t="s">
        <v>6451</v>
      </c>
    </row>
    <row r="1136" spans="8:8" x14ac:dyDescent="0.25">
      <c r="H1136" t="s">
        <v>6460</v>
      </c>
    </row>
    <row r="1137" spans="8:8" x14ac:dyDescent="0.25">
      <c r="H1137" t="s">
        <v>6451</v>
      </c>
    </row>
    <row r="1138" spans="8:8" x14ac:dyDescent="0.25">
      <c r="H1138" t="s">
        <v>6461</v>
      </c>
    </row>
    <row r="1139" spans="8:8" x14ac:dyDescent="0.25">
      <c r="H1139" t="s">
        <v>6451</v>
      </c>
    </row>
    <row r="1140" spans="8:8" x14ac:dyDescent="0.25">
      <c r="H1140" t="s">
        <v>6462</v>
      </c>
    </row>
    <row r="1141" spans="8:8" x14ac:dyDescent="0.25">
      <c r="H1141" t="s">
        <v>6451</v>
      </c>
    </row>
    <row r="1142" spans="8:8" x14ac:dyDescent="0.25">
      <c r="H1142" t="s">
        <v>6463</v>
      </c>
    </row>
    <row r="1143" spans="8:8" x14ac:dyDescent="0.25">
      <c r="H1143" t="s">
        <v>6451</v>
      </c>
    </row>
    <row r="1144" spans="8:8" x14ac:dyDescent="0.25">
      <c r="H1144" t="s">
        <v>6464</v>
      </c>
    </row>
    <row r="1145" spans="8:8" x14ac:dyDescent="0.25">
      <c r="H1145" t="s">
        <v>6451</v>
      </c>
    </row>
    <row r="1146" spans="8:8" x14ac:dyDescent="0.25">
      <c r="H1146" t="s">
        <v>6465</v>
      </c>
    </row>
    <row r="1147" spans="8:8" x14ac:dyDescent="0.25">
      <c r="H1147" t="s">
        <v>6451</v>
      </c>
    </row>
    <row r="1148" spans="8:8" x14ac:dyDescent="0.25">
      <c r="H1148" t="s">
        <v>6466</v>
      </c>
    </row>
    <row r="1149" spans="8:8" x14ac:dyDescent="0.25">
      <c r="H1149" t="s">
        <v>6451</v>
      </c>
    </row>
    <row r="1150" spans="8:8" x14ac:dyDescent="0.25">
      <c r="H1150" t="s">
        <v>6467</v>
      </c>
    </row>
    <row r="1151" spans="8:8" x14ac:dyDescent="0.25">
      <c r="H1151" t="s">
        <v>6451</v>
      </c>
    </row>
    <row r="1152" spans="8:8" x14ac:dyDescent="0.25">
      <c r="H1152" t="s">
        <v>6468</v>
      </c>
    </row>
    <row r="1153" spans="8:8" x14ac:dyDescent="0.25">
      <c r="H1153" t="s">
        <v>6451</v>
      </c>
    </row>
    <row r="1154" spans="8:8" x14ac:dyDescent="0.25">
      <c r="H1154" t="s">
        <v>6469</v>
      </c>
    </row>
    <row r="1155" spans="8:8" x14ac:dyDescent="0.25">
      <c r="H1155" t="s">
        <v>6451</v>
      </c>
    </row>
    <row r="1156" spans="8:8" x14ac:dyDescent="0.25">
      <c r="H1156" t="s">
        <v>6470</v>
      </c>
    </row>
    <row r="1157" spans="8:8" x14ac:dyDescent="0.25">
      <c r="H1157" t="s">
        <v>6451</v>
      </c>
    </row>
    <row r="1158" spans="8:8" x14ac:dyDescent="0.25">
      <c r="H1158" t="s">
        <v>6471</v>
      </c>
    </row>
    <row r="1159" spans="8:8" x14ac:dyDescent="0.25">
      <c r="H1159" t="s">
        <v>6451</v>
      </c>
    </row>
    <row r="1160" spans="8:8" x14ac:dyDescent="0.25">
      <c r="H1160" t="s">
        <v>6472</v>
      </c>
    </row>
    <row r="1161" spans="8:8" x14ac:dyDescent="0.25">
      <c r="H1161" t="s">
        <v>6451</v>
      </c>
    </row>
    <row r="1162" spans="8:8" x14ac:dyDescent="0.25">
      <c r="H1162" t="s">
        <v>6473</v>
      </c>
    </row>
    <row r="1163" spans="8:8" x14ac:dyDescent="0.25">
      <c r="H1163" t="s">
        <v>6451</v>
      </c>
    </row>
    <row r="1164" spans="8:8" x14ac:dyDescent="0.25">
      <c r="H1164" t="s">
        <v>6474</v>
      </c>
    </row>
    <row r="1165" spans="8:8" x14ac:dyDescent="0.25">
      <c r="H1165" t="s">
        <v>6451</v>
      </c>
    </row>
    <row r="1166" spans="8:8" x14ac:dyDescent="0.25">
      <c r="H1166" t="s">
        <v>6475</v>
      </c>
    </row>
    <row r="1167" spans="8:8" x14ac:dyDescent="0.25">
      <c r="H1167" t="s">
        <v>6451</v>
      </c>
    </row>
    <row r="1168" spans="8:8" x14ac:dyDescent="0.25">
      <c r="H1168" t="s">
        <v>6476</v>
      </c>
    </row>
    <row r="1169" spans="8:8" x14ac:dyDescent="0.25">
      <c r="H1169" t="s">
        <v>6451</v>
      </c>
    </row>
    <row r="1170" spans="8:8" x14ac:dyDescent="0.25">
      <c r="H1170" t="s">
        <v>6477</v>
      </c>
    </row>
    <row r="1171" spans="8:8" x14ac:dyDescent="0.25">
      <c r="H1171" t="s">
        <v>6451</v>
      </c>
    </row>
    <row r="1172" spans="8:8" x14ac:dyDescent="0.25">
      <c r="H1172" t="s">
        <v>6478</v>
      </c>
    </row>
    <row r="1173" spans="8:8" x14ac:dyDescent="0.25">
      <c r="H1173" t="s">
        <v>6451</v>
      </c>
    </row>
    <row r="1174" spans="8:8" x14ac:dyDescent="0.25">
      <c r="H1174" t="s">
        <v>6479</v>
      </c>
    </row>
    <row r="1175" spans="8:8" x14ac:dyDescent="0.25">
      <c r="H1175" t="s">
        <v>6451</v>
      </c>
    </row>
    <row r="1176" spans="8:8" x14ac:dyDescent="0.25">
      <c r="H1176" t="s">
        <v>6480</v>
      </c>
    </row>
    <row r="1177" spans="8:8" x14ac:dyDescent="0.25">
      <c r="H1177" t="s">
        <v>6451</v>
      </c>
    </row>
    <row r="1178" spans="8:8" x14ac:dyDescent="0.25">
      <c r="H1178" t="s">
        <v>6481</v>
      </c>
    </row>
    <row r="1179" spans="8:8" x14ac:dyDescent="0.25">
      <c r="H1179" t="s">
        <v>6451</v>
      </c>
    </row>
    <row r="1180" spans="8:8" x14ac:dyDescent="0.25">
      <c r="H1180" t="s">
        <v>6482</v>
      </c>
    </row>
    <row r="1181" spans="8:8" x14ac:dyDescent="0.25">
      <c r="H1181" t="s">
        <v>6451</v>
      </c>
    </row>
    <row r="1182" spans="8:8" x14ac:dyDescent="0.25">
      <c r="H1182" t="s">
        <v>6483</v>
      </c>
    </row>
    <row r="1183" spans="8:8" x14ac:dyDescent="0.25">
      <c r="H1183" t="s">
        <v>6451</v>
      </c>
    </row>
    <row r="1184" spans="8:8" x14ac:dyDescent="0.25">
      <c r="H1184" t="s">
        <v>6484</v>
      </c>
    </row>
    <row r="1185" spans="8:8" x14ac:dyDescent="0.25">
      <c r="H1185" t="s">
        <v>6451</v>
      </c>
    </row>
    <row r="1186" spans="8:8" x14ac:dyDescent="0.25">
      <c r="H1186" t="s">
        <v>6485</v>
      </c>
    </row>
    <row r="1187" spans="8:8" x14ac:dyDescent="0.25">
      <c r="H1187" t="s">
        <v>6451</v>
      </c>
    </row>
    <row r="1188" spans="8:8" x14ac:dyDescent="0.25">
      <c r="H1188" t="s">
        <v>6486</v>
      </c>
    </row>
    <row r="1189" spans="8:8" x14ac:dyDescent="0.25">
      <c r="H1189" t="s">
        <v>6451</v>
      </c>
    </row>
    <row r="1190" spans="8:8" x14ac:dyDescent="0.25">
      <c r="H1190" t="s">
        <v>6487</v>
      </c>
    </row>
    <row r="1191" spans="8:8" x14ac:dyDescent="0.25">
      <c r="H1191" t="s">
        <v>6451</v>
      </c>
    </row>
    <row r="1192" spans="8:8" x14ac:dyDescent="0.25">
      <c r="H1192" t="s">
        <v>6488</v>
      </c>
    </row>
    <row r="1193" spans="8:8" x14ac:dyDescent="0.25">
      <c r="H1193" t="s">
        <v>6451</v>
      </c>
    </row>
    <row r="1194" spans="8:8" x14ac:dyDescent="0.25">
      <c r="H1194" t="s">
        <v>6489</v>
      </c>
    </row>
    <row r="1195" spans="8:8" x14ac:dyDescent="0.25">
      <c r="H1195" t="s">
        <v>6451</v>
      </c>
    </row>
    <row r="1196" spans="8:8" x14ac:dyDescent="0.25">
      <c r="H1196" t="s">
        <v>6490</v>
      </c>
    </row>
    <row r="1197" spans="8:8" x14ac:dyDescent="0.25">
      <c r="H1197" t="s">
        <v>6451</v>
      </c>
    </row>
    <row r="1198" spans="8:8" x14ac:dyDescent="0.25">
      <c r="H1198" t="s">
        <v>6491</v>
      </c>
    </row>
    <row r="1199" spans="8:8" x14ac:dyDescent="0.25">
      <c r="H1199" t="s">
        <v>6451</v>
      </c>
    </row>
    <row r="1200" spans="8:8" x14ac:dyDescent="0.25">
      <c r="H1200" t="s">
        <v>6492</v>
      </c>
    </row>
    <row r="1201" spans="8:8" x14ac:dyDescent="0.25">
      <c r="H1201" t="s">
        <v>6451</v>
      </c>
    </row>
    <row r="1202" spans="8:8" x14ac:dyDescent="0.25">
      <c r="H1202" t="s">
        <v>6493</v>
      </c>
    </row>
    <row r="1203" spans="8:8" x14ac:dyDescent="0.25">
      <c r="H1203" t="s">
        <v>6451</v>
      </c>
    </row>
    <row r="1204" spans="8:8" x14ac:dyDescent="0.25">
      <c r="H1204" t="s">
        <v>6494</v>
      </c>
    </row>
    <row r="1205" spans="8:8" x14ac:dyDescent="0.25">
      <c r="H1205" t="s">
        <v>6451</v>
      </c>
    </row>
    <row r="1206" spans="8:8" x14ac:dyDescent="0.25">
      <c r="H1206" t="s">
        <v>6495</v>
      </c>
    </row>
    <row r="1207" spans="8:8" x14ac:dyDescent="0.25">
      <c r="H1207" t="s">
        <v>6451</v>
      </c>
    </row>
    <row r="1208" spans="8:8" x14ac:dyDescent="0.25">
      <c r="H1208" t="s">
        <v>6496</v>
      </c>
    </row>
    <row r="1209" spans="8:8" x14ac:dyDescent="0.25">
      <c r="H1209" t="s">
        <v>6451</v>
      </c>
    </row>
    <row r="1210" spans="8:8" x14ac:dyDescent="0.25">
      <c r="H1210" t="s">
        <v>6497</v>
      </c>
    </row>
    <row r="1211" spans="8:8" x14ac:dyDescent="0.25">
      <c r="H1211" t="s">
        <v>6451</v>
      </c>
    </row>
    <row r="1212" spans="8:8" x14ac:dyDescent="0.25">
      <c r="H1212" t="s">
        <v>6498</v>
      </c>
    </row>
    <row r="1213" spans="8:8" x14ac:dyDescent="0.25">
      <c r="H1213" t="s">
        <v>6451</v>
      </c>
    </row>
    <row r="1214" spans="8:8" x14ac:dyDescent="0.25">
      <c r="H1214" t="s">
        <v>6499</v>
      </c>
    </row>
    <row r="1215" spans="8:8" x14ac:dyDescent="0.25">
      <c r="H1215" t="s">
        <v>6451</v>
      </c>
    </row>
    <row r="1216" spans="8:8" x14ac:dyDescent="0.25">
      <c r="H1216" t="s">
        <v>6500</v>
      </c>
    </row>
    <row r="1217" spans="8:8" x14ac:dyDescent="0.25">
      <c r="H1217" t="s">
        <v>6451</v>
      </c>
    </row>
    <row r="1218" spans="8:8" x14ac:dyDescent="0.25">
      <c r="H1218" t="s">
        <v>6501</v>
      </c>
    </row>
    <row r="1219" spans="8:8" x14ac:dyDescent="0.25">
      <c r="H1219" t="s">
        <v>6451</v>
      </c>
    </row>
    <row r="1220" spans="8:8" x14ac:dyDescent="0.25">
      <c r="H1220" t="s">
        <v>6502</v>
      </c>
    </row>
    <row r="1221" spans="8:8" x14ac:dyDescent="0.25">
      <c r="H1221" t="s">
        <v>6503</v>
      </c>
    </row>
    <row r="1222" spans="8:8" x14ac:dyDescent="0.25">
      <c r="H1222" t="s">
        <v>6504</v>
      </c>
    </row>
    <row r="1223" spans="8:8" x14ac:dyDescent="0.25">
      <c r="H1223" t="s">
        <v>6503</v>
      </c>
    </row>
    <row r="1224" spans="8:8" x14ac:dyDescent="0.25">
      <c r="H1224" t="s">
        <v>6505</v>
      </c>
    </row>
    <row r="1225" spans="8:8" x14ac:dyDescent="0.25">
      <c r="H1225" t="s">
        <v>6503</v>
      </c>
    </row>
    <row r="1226" spans="8:8" x14ac:dyDescent="0.25">
      <c r="H1226" t="s">
        <v>6506</v>
      </c>
    </row>
    <row r="1227" spans="8:8" x14ac:dyDescent="0.25">
      <c r="H1227" t="s">
        <v>6503</v>
      </c>
    </row>
    <row r="1228" spans="8:8" x14ac:dyDescent="0.25">
      <c r="H1228" t="s">
        <v>6507</v>
      </c>
    </row>
    <row r="1229" spans="8:8" x14ac:dyDescent="0.25">
      <c r="H1229" t="s">
        <v>6503</v>
      </c>
    </row>
    <row r="1230" spans="8:8" x14ac:dyDescent="0.25">
      <c r="H1230" t="s">
        <v>6508</v>
      </c>
    </row>
    <row r="1231" spans="8:8" x14ac:dyDescent="0.25">
      <c r="H1231" t="s">
        <v>6503</v>
      </c>
    </row>
    <row r="1232" spans="8:8" x14ac:dyDescent="0.25">
      <c r="H1232" t="s">
        <v>6509</v>
      </c>
    </row>
    <row r="1233" spans="8:8" x14ac:dyDescent="0.25">
      <c r="H1233" t="s">
        <v>6503</v>
      </c>
    </row>
    <row r="1234" spans="8:8" x14ac:dyDescent="0.25">
      <c r="H1234" t="s">
        <v>6510</v>
      </c>
    </row>
    <row r="1235" spans="8:8" x14ac:dyDescent="0.25">
      <c r="H1235" t="s">
        <v>6503</v>
      </c>
    </row>
    <row r="1236" spans="8:8" x14ac:dyDescent="0.25">
      <c r="H1236" t="s">
        <v>6511</v>
      </c>
    </row>
    <row r="1237" spans="8:8" x14ac:dyDescent="0.25">
      <c r="H1237" t="s">
        <v>6503</v>
      </c>
    </row>
    <row r="1238" spans="8:8" x14ac:dyDescent="0.25">
      <c r="H1238" t="s">
        <v>6512</v>
      </c>
    </row>
    <row r="1239" spans="8:8" x14ac:dyDescent="0.25">
      <c r="H1239" t="s">
        <v>6503</v>
      </c>
    </row>
    <row r="1240" spans="8:8" x14ac:dyDescent="0.25">
      <c r="H1240" t="s">
        <v>6513</v>
      </c>
    </row>
    <row r="1241" spans="8:8" x14ac:dyDescent="0.25">
      <c r="H1241" t="s">
        <v>6503</v>
      </c>
    </row>
    <row r="1242" spans="8:8" x14ac:dyDescent="0.25">
      <c r="H1242" t="s">
        <v>6514</v>
      </c>
    </row>
    <row r="1243" spans="8:8" x14ac:dyDescent="0.25">
      <c r="H1243" t="s">
        <v>6503</v>
      </c>
    </row>
    <row r="1244" spans="8:8" x14ac:dyDescent="0.25">
      <c r="H1244" t="s">
        <v>6515</v>
      </c>
    </row>
    <row r="1245" spans="8:8" x14ac:dyDescent="0.25">
      <c r="H1245" t="s">
        <v>6503</v>
      </c>
    </row>
    <row r="1246" spans="8:8" x14ac:dyDescent="0.25">
      <c r="H1246" t="s">
        <v>6516</v>
      </c>
    </row>
    <row r="1247" spans="8:8" x14ac:dyDescent="0.25">
      <c r="H1247" t="s">
        <v>6503</v>
      </c>
    </row>
    <row r="1248" spans="8:8" x14ac:dyDescent="0.25">
      <c r="H1248" t="s">
        <v>6517</v>
      </c>
    </row>
    <row r="1249" spans="8:8" x14ac:dyDescent="0.25">
      <c r="H1249" t="s">
        <v>6503</v>
      </c>
    </row>
    <row r="1250" spans="8:8" x14ac:dyDescent="0.25">
      <c r="H1250" t="s">
        <v>6518</v>
      </c>
    </row>
    <row r="1251" spans="8:8" x14ac:dyDescent="0.25">
      <c r="H1251" t="s">
        <v>6503</v>
      </c>
    </row>
    <row r="1252" spans="8:8" x14ac:dyDescent="0.25">
      <c r="H1252" t="s">
        <v>6519</v>
      </c>
    </row>
    <row r="1253" spans="8:8" x14ac:dyDescent="0.25">
      <c r="H1253" t="s">
        <v>6503</v>
      </c>
    </row>
    <row r="1254" spans="8:8" x14ac:dyDescent="0.25">
      <c r="H1254" t="s">
        <v>6520</v>
      </c>
    </row>
    <row r="1255" spans="8:8" x14ac:dyDescent="0.25">
      <c r="H1255" t="s">
        <v>6503</v>
      </c>
    </row>
    <row r="1256" spans="8:8" x14ac:dyDescent="0.25">
      <c r="H1256" t="s">
        <v>6521</v>
      </c>
    </row>
    <row r="1257" spans="8:8" x14ac:dyDescent="0.25">
      <c r="H1257" t="s">
        <v>6503</v>
      </c>
    </row>
    <row r="1258" spans="8:8" x14ac:dyDescent="0.25">
      <c r="H1258" t="s">
        <v>6522</v>
      </c>
    </row>
    <row r="1259" spans="8:8" x14ac:dyDescent="0.25">
      <c r="H1259" t="s">
        <v>6503</v>
      </c>
    </row>
    <row r="1260" spans="8:8" x14ac:dyDescent="0.25">
      <c r="H1260" t="s">
        <v>6523</v>
      </c>
    </row>
    <row r="1261" spans="8:8" x14ac:dyDescent="0.25">
      <c r="H1261" t="s">
        <v>6503</v>
      </c>
    </row>
    <row r="1262" spans="8:8" x14ac:dyDescent="0.25">
      <c r="H1262" t="s">
        <v>6524</v>
      </c>
    </row>
    <row r="1263" spans="8:8" x14ac:dyDescent="0.25">
      <c r="H1263" t="s">
        <v>6503</v>
      </c>
    </row>
    <row r="1264" spans="8:8" x14ac:dyDescent="0.25">
      <c r="H1264" t="s">
        <v>6525</v>
      </c>
    </row>
    <row r="1265" spans="8:8" x14ac:dyDescent="0.25">
      <c r="H1265" t="s">
        <v>6503</v>
      </c>
    </row>
    <row r="1266" spans="8:8" x14ac:dyDescent="0.25">
      <c r="H1266" t="s">
        <v>6526</v>
      </c>
    </row>
    <row r="1267" spans="8:8" x14ac:dyDescent="0.25">
      <c r="H1267" t="s">
        <v>6503</v>
      </c>
    </row>
    <row r="1268" spans="8:8" x14ac:dyDescent="0.25">
      <c r="H1268" t="s">
        <v>6527</v>
      </c>
    </row>
    <row r="1269" spans="8:8" x14ac:dyDescent="0.25">
      <c r="H1269" t="s">
        <v>6503</v>
      </c>
    </row>
    <row r="1270" spans="8:8" x14ac:dyDescent="0.25">
      <c r="H1270" t="s">
        <v>6528</v>
      </c>
    </row>
    <row r="1271" spans="8:8" x14ac:dyDescent="0.25">
      <c r="H1271" t="s">
        <v>6503</v>
      </c>
    </row>
    <row r="1272" spans="8:8" x14ac:dyDescent="0.25">
      <c r="H1272" t="s">
        <v>6529</v>
      </c>
    </row>
    <row r="1273" spans="8:8" x14ac:dyDescent="0.25">
      <c r="H1273" t="s">
        <v>6503</v>
      </c>
    </row>
    <row r="1274" spans="8:8" x14ac:dyDescent="0.25">
      <c r="H1274" t="s">
        <v>6530</v>
      </c>
    </row>
    <row r="1275" spans="8:8" x14ac:dyDescent="0.25">
      <c r="H1275" t="s">
        <v>6503</v>
      </c>
    </row>
    <row r="1276" spans="8:8" x14ac:dyDescent="0.25">
      <c r="H1276" t="s">
        <v>6531</v>
      </c>
    </row>
    <row r="1277" spans="8:8" x14ac:dyDescent="0.25">
      <c r="H1277" t="s">
        <v>6503</v>
      </c>
    </row>
    <row r="1278" spans="8:8" x14ac:dyDescent="0.25">
      <c r="H1278" t="s">
        <v>6532</v>
      </c>
    </row>
    <row r="1279" spans="8:8" x14ac:dyDescent="0.25">
      <c r="H1279" t="s">
        <v>6503</v>
      </c>
    </row>
    <row r="1280" spans="8:8" x14ac:dyDescent="0.25">
      <c r="H1280" t="s">
        <v>6533</v>
      </c>
    </row>
    <row r="1281" spans="8:8" x14ac:dyDescent="0.25">
      <c r="H1281" t="s">
        <v>6503</v>
      </c>
    </row>
    <row r="1282" spans="8:8" x14ac:dyDescent="0.25">
      <c r="H1282" t="s">
        <v>6534</v>
      </c>
    </row>
    <row r="1283" spans="8:8" x14ac:dyDescent="0.25">
      <c r="H1283" t="s">
        <v>6503</v>
      </c>
    </row>
    <row r="1284" spans="8:8" x14ac:dyDescent="0.25">
      <c r="H1284" t="s">
        <v>6535</v>
      </c>
    </row>
    <row r="1285" spans="8:8" x14ac:dyDescent="0.25">
      <c r="H1285" t="s">
        <v>6503</v>
      </c>
    </row>
    <row r="1286" spans="8:8" x14ac:dyDescent="0.25">
      <c r="H1286" t="s">
        <v>6536</v>
      </c>
    </row>
    <row r="1287" spans="8:8" x14ac:dyDescent="0.25">
      <c r="H1287" t="s">
        <v>6503</v>
      </c>
    </row>
    <row r="1288" spans="8:8" x14ac:dyDescent="0.25">
      <c r="H1288" t="s">
        <v>6537</v>
      </c>
    </row>
    <row r="1289" spans="8:8" x14ac:dyDescent="0.25">
      <c r="H1289" t="s">
        <v>6503</v>
      </c>
    </row>
    <row r="1290" spans="8:8" x14ac:dyDescent="0.25">
      <c r="H1290" t="s">
        <v>6538</v>
      </c>
    </row>
    <row r="1291" spans="8:8" x14ac:dyDescent="0.25">
      <c r="H1291" t="s">
        <v>6503</v>
      </c>
    </row>
    <row r="1292" spans="8:8" x14ac:dyDescent="0.25">
      <c r="H1292" t="s">
        <v>6539</v>
      </c>
    </row>
    <row r="1293" spans="8:8" x14ac:dyDescent="0.25">
      <c r="H1293" t="s">
        <v>6503</v>
      </c>
    </row>
    <row r="1294" spans="8:8" x14ac:dyDescent="0.25">
      <c r="H1294" t="s">
        <v>6540</v>
      </c>
    </row>
    <row r="1295" spans="8:8" x14ac:dyDescent="0.25">
      <c r="H1295" t="s">
        <v>6503</v>
      </c>
    </row>
    <row r="1296" spans="8:8" x14ac:dyDescent="0.25">
      <c r="H1296" t="s">
        <v>6541</v>
      </c>
    </row>
    <row r="1297" spans="8:8" x14ac:dyDescent="0.25">
      <c r="H1297" t="s">
        <v>6503</v>
      </c>
    </row>
    <row r="1298" spans="8:8" x14ac:dyDescent="0.25">
      <c r="H1298" t="s">
        <v>6542</v>
      </c>
    </row>
    <row r="1299" spans="8:8" x14ac:dyDescent="0.25">
      <c r="H1299" t="s">
        <v>6503</v>
      </c>
    </row>
    <row r="1300" spans="8:8" x14ac:dyDescent="0.25">
      <c r="H1300" t="s">
        <v>6543</v>
      </c>
    </row>
    <row r="1301" spans="8:8" x14ac:dyDescent="0.25">
      <c r="H1301" t="s">
        <v>6503</v>
      </c>
    </row>
    <row r="1302" spans="8:8" x14ac:dyDescent="0.25">
      <c r="H1302" t="s">
        <v>6544</v>
      </c>
    </row>
    <row r="1303" spans="8:8" x14ac:dyDescent="0.25">
      <c r="H1303" t="s">
        <v>6503</v>
      </c>
    </row>
    <row r="1304" spans="8:8" x14ac:dyDescent="0.25">
      <c r="H1304" t="s">
        <v>6545</v>
      </c>
    </row>
    <row r="1305" spans="8:8" x14ac:dyDescent="0.25">
      <c r="H1305" t="s">
        <v>6503</v>
      </c>
    </row>
    <row r="1306" spans="8:8" x14ac:dyDescent="0.25">
      <c r="H1306" t="s">
        <v>6546</v>
      </c>
    </row>
    <row r="1307" spans="8:8" x14ac:dyDescent="0.25">
      <c r="H1307" t="s">
        <v>6503</v>
      </c>
    </row>
    <row r="1308" spans="8:8" x14ac:dyDescent="0.25">
      <c r="H1308" t="s">
        <v>6547</v>
      </c>
    </row>
    <row r="1309" spans="8:8" x14ac:dyDescent="0.25">
      <c r="H1309" t="s">
        <v>6503</v>
      </c>
    </row>
    <row r="1310" spans="8:8" x14ac:dyDescent="0.25">
      <c r="H1310" t="s">
        <v>6548</v>
      </c>
    </row>
    <row r="1311" spans="8:8" x14ac:dyDescent="0.25">
      <c r="H1311" t="s">
        <v>6503</v>
      </c>
    </row>
    <row r="1312" spans="8:8" x14ac:dyDescent="0.25">
      <c r="H1312" t="s">
        <v>6549</v>
      </c>
    </row>
    <row r="1313" spans="8:8" x14ac:dyDescent="0.25">
      <c r="H1313" t="s">
        <v>6503</v>
      </c>
    </row>
    <row r="1314" spans="8:8" x14ac:dyDescent="0.25">
      <c r="H1314" t="s">
        <v>6550</v>
      </c>
    </row>
    <row r="1315" spans="8:8" x14ac:dyDescent="0.25">
      <c r="H1315" t="s">
        <v>6503</v>
      </c>
    </row>
    <row r="1316" spans="8:8" x14ac:dyDescent="0.25">
      <c r="H1316" t="s">
        <v>6551</v>
      </c>
    </row>
    <row r="1317" spans="8:8" x14ac:dyDescent="0.25">
      <c r="H1317" t="s">
        <v>6503</v>
      </c>
    </row>
    <row r="1318" spans="8:8" x14ac:dyDescent="0.25">
      <c r="H1318" t="s">
        <v>6552</v>
      </c>
    </row>
    <row r="1319" spans="8:8" x14ac:dyDescent="0.25">
      <c r="H1319" t="s">
        <v>6503</v>
      </c>
    </row>
    <row r="1320" spans="8:8" x14ac:dyDescent="0.25">
      <c r="H1320" t="s">
        <v>6553</v>
      </c>
    </row>
    <row r="1321" spans="8:8" x14ac:dyDescent="0.25">
      <c r="H1321" t="s">
        <v>6503</v>
      </c>
    </row>
    <row r="1322" spans="8:8" x14ac:dyDescent="0.25">
      <c r="H1322" t="s">
        <v>6554</v>
      </c>
    </row>
    <row r="1323" spans="8:8" x14ac:dyDescent="0.25">
      <c r="H1323" t="s">
        <v>6503</v>
      </c>
    </row>
    <row r="1324" spans="8:8" x14ac:dyDescent="0.25">
      <c r="H1324" t="s">
        <v>6555</v>
      </c>
    </row>
    <row r="1325" spans="8:8" x14ac:dyDescent="0.25">
      <c r="H1325" t="s">
        <v>6503</v>
      </c>
    </row>
    <row r="1326" spans="8:8" x14ac:dyDescent="0.25">
      <c r="H1326" t="s">
        <v>6556</v>
      </c>
    </row>
    <row r="1327" spans="8:8" x14ac:dyDescent="0.25">
      <c r="H1327" t="s">
        <v>6503</v>
      </c>
    </row>
    <row r="1328" spans="8:8" x14ac:dyDescent="0.25">
      <c r="H1328" t="s">
        <v>6557</v>
      </c>
    </row>
    <row r="1329" spans="8:8" x14ac:dyDescent="0.25">
      <c r="H1329" t="s">
        <v>6503</v>
      </c>
    </row>
    <row r="1330" spans="8:8" x14ac:dyDescent="0.25">
      <c r="H1330" t="s">
        <v>6558</v>
      </c>
    </row>
    <row r="1331" spans="8:8" x14ac:dyDescent="0.25">
      <c r="H1331" t="s">
        <v>6503</v>
      </c>
    </row>
    <row r="1332" spans="8:8" x14ac:dyDescent="0.25">
      <c r="H1332" t="s">
        <v>6559</v>
      </c>
    </row>
    <row r="1333" spans="8:8" x14ac:dyDescent="0.25">
      <c r="H1333" t="s">
        <v>6503</v>
      </c>
    </row>
    <row r="1334" spans="8:8" x14ac:dyDescent="0.25">
      <c r="H1334" t="s">
        <v>6560</v>
      </c>
    </row>
    <row r="1335" spans="8:8" x14ac:dyDescent="0.25">
      <c r="H1335" t="s">
        <v>6503</v>
      </c>
    </row>
    <row r="1336" spans="8:8" x14ac:dyDescent="0.25">
      <c r="H1336" t="s">
        <v>6561</v>
      </c>
    </row>
    <row r="1337" spans="8:8" x14ac:dyDescent="0.25">
      <c r="H1337" t="s">
        <v>6562</v>
      </c>
    </row>
    <row r="1338" spans="8:8" x14ac:dyDescent="0.25">
      <c r="H1338" t="s">
        <v>6563</v>
      </c>
    </row>
    <row r="1339" spans="8:8" x14ac:dyDescent="0.25">
      <c r="H1339" t="s">
        <v>6562</v>
      </c>
    </row>
    <row r="1340" spans="8:8" x14ac:dyDescent="0.25">
      <c r="H1340" t="s">
        <v>6564</v>
      </c>
    </row>
    <row r="1341" spans="8:8" x14ac:dyDescent="0.25">
      <c r="H1341" t="s">
        <v>6562</v>
      </c>
    </row>
    <row r="1342" spans="8:8" x14ac:dyDescent="0.25">
      <c r="H1342" t="s">
        <v>6565</v>
      </c>
    </row>
    <row r="1343" spans="8:8" x14ac:dyDescent="0.25">
      <c r="H1343" t="s">
        <v>6562</v>
      </c>
    </row>
    <row r="1344" spans="8:8" x14ac:dyDescent="0.25">
      <c r="H1344" t="s">
        <v>6566</v>
      </c>
    </row>
    <row r="1345" spans="8:8" x14ac:dyDescent="0.25">
      <c r="H1345" t="s">
        <v>6562</v>
      </c>
    </row>
    <row r="1346" spans="8:8" x14ac:dyDescent="0.25">
      <c r="H1346" t="s">
        <v>6567</v>
      </c>
    </row>
    <row r="1347" spans="8:8" x14ac:dyDescent="0.25">
      <c r="H1347" t="s">
        <v>6562</v>
      </c>
    </row>
    <row r="1348" spans="8:8" x14ac:dyDescent="0.25">
      <c r="H1348" t="s">
        <v>6568</v>
      </c>
    </row>
    <row r="1349" spans="8:8" x14ac:dyDescent="0.25">
      <c r="H1349" t="s">
        <v>6562</v>
      </c>
    </row>
    <row r="1350" spans="8:8" x14ac:dyDescent="0.25">
      <c r="H1350" t="s">
        <v>6569</v>
      </c>
    </row>
    <row r="1351" spans="8:8" x14ac:dyDescent="0.25">
      <c r="H1351" t="s">
        <v>6562</v>
      </c>
    </row>
    <row r="1352" spans="8:8" x14ac:dyDescent="0.25">
      <c r="H1352" t="s">
        <v>6570</v>
      </c>
    </row>
    <row r="1353" spans="8:8" x14ac:dyDescent="0.25">
      <c r="H1353" t="s">
        <v>6562</v>
      </c>
    </row>
    <row r="1354" spans="8:8" x14ac:dyDescent="0.25">
      <c r="H1354" t="s">
        <v>6571</v>
      </c>
    </row>
    <row r="1355" spans="8:8" x14ac:dyDescent="0.25">
      <c r="H1355" t="s">
        <v>6562</v>
      </c>
    </row>
    <row r="1356" spans="8:8" x14ac:dyDescent="0.25">
      <c r="H1356" t="s">
        <v>6572</v>
      </c>
    </row>
    <row r="1357" spans="8:8" x14ac:dyDescent="0.25">
      <c r="H1357" t="s">
        <v>6562</v>
      </c>
    </row>
    <row r="1358" spans="8:8" x14ac:dyDescent="0.25">
      <c r="H1358" t="s">
        <v>6573</v>
      </c>
    </row>
    <row r="1359" spans="8:8" x14ac:dyDescent="0.25">
      <c r="H1359" t="s">
        <v>6562</v>
      </c>
    </row>
    <row r="1360" spans="8:8" x14ac:dyDescent="0.25">
      <c r="H1360" t="s">
        <v>6574</v>
      </c>
    </row>
    <row r="1361" spans="8:8" x14ac:dyDescent="0.25">
      <c r="H1361" t="s">
        <v>6562</v>
      </c>
    </row>
    <row r="1362" spans="8:8" x14ac:dyDescent="0.25">
      <c r="H1362" t="s">
        <v>6575</v>
      </c>
    </row>
    <row r="1363" spans="8:8" x14ac:dyDescent="0.25">
      <c r="H1363" t="s">
        <v>6562</v>
      </c>
    </row>
    <row r="1364" spans="8:8" x14ac:dyDescent="0.25">
      <c r="H1364" t="s">
        <v>6576</v>
      </c>
    </row>
    <row r="1365" spans="8:8" x14ac:dyDescent="0.25">
      <c r="H1365" t="s">
        <v>6562</v>
      </c>
    </row>
    <row r="1366" spans="8:8" x14ac:dyDescent="0.25">
      <c r="H1366" t="s">
        <v>6577</v>
      </c>
    </row>
    <row r="1367" spans="8:8" x14ac:dyDescent="0.25">
      <c r="H1367" t="s">
        <v>6562</v>
      </c>
    </row>
    <row r="1368" spans="8:8" x14ac:dyDescent="0.25">
      <c r="H1368" t="s">
        <v>6578</v>
      </c>
    </row>
    <row r="1369" spans="8:8" x14ac:dyDescent="0.25">
      <c r="H1369" t="s">
        <v>6562</v>
      </c>
    </row>
    <row r="1370" spans="8:8" x14ac:dyDescent="0.25">
      <c r="H1370" t="s">
        <v>6579</v>
      </c>
    </row>
    <row r="1371" spans="8:8" x14ac:dyDescent="0.25">
      <c r="H1371" t="s">
        <v>6562</v>
      </c>
    </row>
    <row r="1372" spans="8:8" x14ac:dyDescent="0.25">
      <c r="H1372" t="s">
        <v>6580</v>
      </c>
    </row>
    <row r="1373" spans="8:8" x14ac:dyDescent="0.25">
      <c r="H1373" t="s">
        <v>6562</v>
      </c>
    </row>
    <row r="1374" spans="8:8" x14ac:dyDescent="0.25">
      <c r="H1374" t="s">
        <v>6581</v>
      </c>
    </row>
    <row r="1375" spans="8:8" x14ac:dyDescent="0.25">
      <c r="H1375" t="s">
        <v>6562</v>
      </c>
    </row>
    <row r="1376" spans="8:8" x14ac:dyDescent="0.25">
      <c r="H1376" t="s">
        <v>6582</v>
      </c>
    </row>
    <row r="1377" spans="8:8" x14ac:dyDescent="0.25">
      <c r="H1377" t="s">
        <v>6562</v>
      </c>
    </row>
    <row r="1378" spans="8:8" x14ac:dyDescent="0.25">
      <c r="H1378" t="s">
        <v>6583</v>
      </c>
    </row>
    <row r="1379" spans="8:8" x14ac:dyDescent="0.25">
      <c r="H1379" t="s">
        <v>6562</v>
      </c>
    </row>
    <row r="1380" spans="8:8" x14ac:dyDescent="0.25">
      <c r="H1380" t="s">
        <v>6584</v>
      </c>
    </row>
    <row r="1381" spans="8:8" x14ac:dyDescent="0.25">
      <c r="H1381" t="s">
        <v>6562</v>
      </c>
    </row>
    <row r="1382" spans="8:8" x14ac:dyDescent="0.25">
      <c r="H1382" t="s">
        <v>6585</v>
      </c>
    </row>
    <row r="1383" spans="8:8" x14ac:dyDescent="0.25">
      <c r="H1383" t="s">
        <v>6562</v>
      </c>
    </row>
    <row r="1384" spans="8:8" x14ac:dyDescent="0.25">
      <c r="H1384" t="s">
        <v>6586</v>
      </c>
    </row>
    <row r="1385" spans="8:8" x14ac:dyDescent="0.25">
      <c r="H1385" t="s">
        <v>6562</v>
      </c>
    </row>
    <row r="1386" spans="8:8" x14ac:dyDescent="0.25">
      <c r="H1386" t="s">
        <v>6587</v>
      </c>
    </row>
    <row r="1387" spans="8:8" x14ac:dyDescent="0.25">
      <c r="H1387" t="s">
        <v>6562</v>
      </c>
    </row>
    <row r="1388" spans="8:8" x14ac:dyDescent="0.25">
      <c r="H1388" t="s">
        <v>6588</v>
      </c>
    </row>
    <row r="1389" spans="8:8" x14ac:dyDescent="0.25">
      <c r="H1389" t="s">
        <v>6562</v>
      </c>
    </row>
    <row r="1390" spans="8:8" x14ac:dyDescent="0.25">
      <c r="H1390" t="s">
        <v>6589</v>
      </c>
    </row>
    <row r="1391" spans="8:8" x14ac:dyDescent="0.25">
      <c r="H1391" t="s">
        <v>6562</v>
      </c>
    </row>
    <row r="1392" spans="8:8" x14ac:dyDescent="0.25">
      <c r="H1392" t="s">
        <v>6590</v>
      </c>
    </row>
    <row r="1393" spans="8:8" x14ac:dyDescent="0.25">
      <c r="H1393" t="s">
        <v>6562</v>
      </c>
    </row>
    <row r="1394" spans="8:8" x14ac:dyDescent="0.25">
      <c r="H1394" t="s">
        <v>6591</v>
      </c>
    </row>
    <row r="1395" spans="8:8" x14ac:dyDescent="0.25">
      <c r="H1395" t="s">
        <v>6562</v>
      </c>
    </row>
    <row r="1396" spans="8:8" x14ac:dyDescent="0.25">
      <c r="H1396" t="s">
        <v>6592</v>
      </c>
    </row>
    <row r="1397" spans="8:8" x14ac:dyDescent="0.25">
      <c r="H1397" t="s">
        <v>6562</v>
      </c>
    </row>
    <row r="1398" spans="8:8" x14ac:dyDescent="0.25">
      <c r="H1398" t="s">
        <v>6593</v>
      </c>
    </row>
    <row r="1399" spans="8:8" x14ac:dyDescent="0.25">
      <c r="H1399" t="s">
        <v>6562</v>
      </c>
    </row>
    <row r="1400" spans="8:8" x14ac:dyDescent="0.25">
      <c r="H1400" t="s">
        <v>6594</v>
      </c>
    </row>
    <row r="1401" spans="8:8" x14ac:dyDescent="0.25">
      <c r="H1401" t="s">
        <v>6562</v>
      </c>
    </row>
    <row r="1402" spans="8:8" x14ac:dyDescent="0.25">
      <c r="H1402" t="s">
        <v>6595</v>
      </c>
    </row>
    <row r="1403" spans="8:8" x14ac:dyDescent="0.25">
      <c r="H1403" t="s">
        <v>6562</v>
      </c>
    </row>
    <row r="1404" spans="8:8" x14ac:dyDescent="0.25">
      <c r="H1404" t="s">
        <v>6596</v>
      </c>
    </row>
    <row r="1405" spans="8:8" x14ac:dyDescent="0.25">
      <c r="H1405" t="s">
        <v>6562</v>
      </c>
    </row>
    <row r="1406" spans="8:8" x14ac:dyDescent="0.25">
      <c r="H1406" t="s">
        <v>6597</v>
      </c>
    </row>
    <row r="1407" spans="8:8" x14ac:dyDescent="0.25">
      <c r="H1407" t="s">
        <v>6562</v>
      </c>
    </row>
    <row r="1408" spans="8:8" x14ac:dyDescent="0.25">
      <c r="H1408" t="s">
        <v>6598</v>
      </c>
    </row>
    <row r="1409" spans="8:8" x14ac:dyDescent="0.25">
      <c r="H1409" t="s">
        <v>6562</v>
      </c>
    </row>
    <row r="1410" spans="8:8" x14ac:dyDescent="0.25">
      <c r="H1410" t="s">
        <v>6599</v>
      </c>
    </row>
    <row r="1411" spans="8:8" x14ac:dyDescent="0.25">
      <c r="H1411" t="s">
        <v>6562</v>
      </c>
    </row>
    <row r="1412" spans="8:8" x14ac:dyDescent="0.25">
      <c r="H1412" t="s">
        <v>6600</v>
      </c>
    </row>
    <row r="1413" spans="8:8" x14ac:dyDescent="0.25">
      <c r="H1413" t="s">
        <v>6562</v>
      </c>
    </row>
    <row r="1414" spans="8:8" x14ac:dyDescent="0.25">
      <c r="H1414" t="s">
        <v>6601</v>
      </c>
    </row>
    <row r="1415" spans="8:8" x14ac:dyDescent="0.25">
      <c r="H1415" t="s">
        <v>6562</v>
      </c>
    </row>
    <row r="1416" spans="8:8" x14ac:dyDescent="0.25">
      <c r="H1416" t="s">
        <v>6602</v>
      </c>
    </row>
    <row r="1417" spans="8:8" x14ac:dyDescent="0.25">
      <c r="H1417" t="s">
        <v>6562</v>
      </c>
    </row>
    <row r="1418" spans="8:8" x14ac:dyDescent="0.25">
      <c r="H1418" t="s">
        <v>6603</v>
      </c>
    </row>
    <row r="1419" spans="8:8" x14ac:dyDescent="0.25">
      <c r="H1419" t="s">
        <v>6562</v>
      </c>
    </row>
    <row r="1420" spans="8:8" x14ac:dyDescent="0.25">
      <c r="H1420" t="s">
        <v>6604</v>
      </c>
    </row>
    <row r="1421" spans="8:8" x14ac:dyDescent="0.25">
      <c r="H1421" t="s">
        <v>6562</v>
      </c>
    </row>
    <row r="1422" spans="8:8" x14ac:dyDescent="0.25">
      <c r="H1422" t="s">
        <v>6605</v>
      </c>
    </row>
    <row r="1423" spans="8:8" x14ac:dyDescent="0.25">
      <c r="H1423" t="s">
        <v>6562</v>
      </c>
    </row>
    <row r="1424" spans="8:8" x14ac:dyDescent="0.25">
      <c r="H1424" t="s">
        <v>6606</v>
      </c>
    </row>
    <row r="1425" spans="8:8" x14ac:dyDescent="0.25">
      <c r="H1425" t="s">
        <v>6562</v>
      </c>
    </row>
    <row r="1426" spans="8:8" x14ac:dyDescent="0.25">
      <c r="H1426" t="s">
        <v>6607</v>
      </c>
    </row>
    <row r="1427" spans="8:8" x14ac:dyDescent="0.25">
      <c r="H1427" t="s">
        <v>6562</v>
      </c>
    </row>
    <row r="1428" spans="8:8" x14ac:dyDescent="0.25">
      <c r="H1428" t="s">
        <v>6608</v>
      </c>
    </row>
    <row r="1429" spans="8:8" x14ac:dyDescent="0.25">
      <c r="H1429" t="s">
        <v>6562</v>
      </c>
    </row>
    <row r="1430" spans="8:8" x14ac:dyDescent="0.25">
      <c r="H1430" t="s">
        <v>6609</v>
      </c>
    </row>
    <row r="1431" spans="8:8" x14ac:dyDescent="0.25">
      <c r="H1431" t="s">
        <v>6562</v>
      </c>
    </row>
    <row r="1432" spans="8:8" x14ac:dyDescent="0.25">
      <c r="H1432" t="s">
        <v>6610</v>
      </c>
    </row>
    <row r="1433" spans="8:8" x14ac:dyDescent="0.25">
      <c r="H1433" t="s">
        <v>6562</v>
      </c>
    </row>
    <row r="1434" spans="8:8" x14ac:dyDescent="0.25">
      <c r="H1434" t="s">
        <v>6611</v>
      </c>
    </row>
    <row r="1435" spans="8:8" x14ac:dyDescent="0.25">
      <c r="H1435" t="s">
        <v>6562</v>
      </c>
    </row>
    <row r="1436" spans="8:8" x14ac:dyDescent="0.25">
      <c r="H1436" t="s">
        <v>6612</v>
      </c>
    </row>
    <row r="1437" spans="8:8" x14ac:dyDescent="0.25">
      <c r="H1437" t="s">
        <v>6562</v>
      </c>
    </row>
    <row r="1438" spans="8:8" x14ac:dyDescent="0.25">
      <c r="H1438" t="s">
        <v>6613</v>
      </c>
    </row>
    <row r="1439" spans="8:8" x14ac:dyDescent="0.25">
      <c r="H1439" t="s">
        <v>6562</v>
      </c>
    </row>
    <row r="1440" spans="8:8" x14ac:dyDescent="0.25">
      <c r="H1440" t="s">
        <v>6614</v>
      </c>
    </row>
    <row r="1441" spans="8:8" x14ac:dyDescent="0.25">
      <c r="H1441" t="s">
        <v>6562</v>
      </c>
    </row>
    <row r="1442" spans="8:8" x14ac:dyDescent="0.25">
      <c r="H1442" t="s">
        <v>6615</v>
      </c>
    </row>
    <row r="1443" spans="8:8" x14ac:dyDescent="0.25">
      <c r="H1443" t="s">
        <v>6562</v>
      </c>
    </row>
    <row r="1444" spans="8:8" x14ac:dyDescent="0.25">
      <c r="H1444" t="s">
        <v>6616</v>
      </c>
    </row>
    <row r="1445" spans="8:8" x14ac:dyDescent="0.25">
      <c r="H1445" t="s">
        <v>6562</v>
      </c>
    </row>
    <row r="1446" spans="8:8" x14ac:dyDescent="0.25">
      <c r="H1446" t="s">
        <v>6617</v>
      </c>
    </row>
    <row r="1447" spans="8:8" x14ac:dyDescent="0.25">
      <c r="H1447" t="s">
        <v>6562</v>
      </c>
    </row>
    <row r="1448" spans="8:8" x14ac:dyDescent="0.25">
      <c r="H1448" t="s">
        <v>6618</v>
      </c>
    </row>
    <row r="1449" spans="8:8" x14ac:dyDescent="0.25">
      <c r="H1449" t="s">
        <v>6562</v>
      </c>
    </row>
    <row r="1450" spans="8:8" x14ac:dyDescent="0.25">
      <c r="H1450" t="s">
        <v>6619</v>
      </c>
    </row>
    <row r="1451" spans="8:8" x14ac:dyDescent="0.25">
      <c r="H1451" t="s">
        <v>6562</v>
      </c>
    </row>
    <row r="1452" spans="8:8" x14ac:dyDescent="0.25">
      <c r="H1452" t="s">
        <v>6620</v>
      </c>
    </row>
    <row r="1453" spans="8:8" x14ac:dyDescent="0.25">
      <c r="H1453" t="s">
        <v>6562</v>
      </c>
    </row>
    <row r="1454" spans="8:8" x14ac:dyDescent="0.25">
      <c r="H1454" t="s">
        <v>6621</v>
      </c>
    </row>
    <row r="1455" spans="8:8" x14ac:dyDescent="0.25">
      <c r="H1455" t="s">
        <v>6562</v>
      </c>
    </row>
    <row r="1456" spans="8:8" x14ac:dyDescent="0.25">
      <c r="H1456" t="s">
        <v>6622</v>
      </c>
    </row>
    <row r="1457" spans="8:8" x14ac:dyDescent="0.25">
      <c r="H1457" t="s">
        <v>6562</v>
      </c>
    </row>
    <row r="1458" spans="8:8" x14ac:dyDescent="0.25">
      <c r="H1458" t="s">
        <v>6623</v>
      </c>
    </row>
    <row r="1459" spans="8:8" x14ac:dyDescent="0.25">
      <c r="H1459" t="s">
        <v>6562</v>
      </c>
    </row>
    <row r="1460" spans="8:8" x14ac:dyDescent="0.25">
      <c r="H1460" t="s">
        <v>6624</v>
      </c>
    </row>
    <row r="1461" spans="8:8" x14ac:dyDescent="0.25">
      <c r="H1461" t="s">
        <v>6562</v>
      </c>
    </row>
    <row r="1462" spans="8:8" x14ac:dyDescent="0.25">
      <c r="H1462" t="s">
        <v>6625</v>
      </c>
    </row>
    <row r="1463" spans="8:8" x14ac:dyDescent="0.25">
      <c r="H1463" t="s">
        <v>6562</v>
      </c>
    </row>
    <row r="1464" spans="8:8" x14ac:dyDescent="0.25">
      <c r="H1464" t="s">
        <v>6626</v>
      </c>
    </row>
    <row r="1465" spans="8:8" x14ac:dyDescent="0.25">
      <c r="H1465" t="s">
        <v>6562</v>
      </c>
    </row>
    <row r="1466" spans="8:8" x14ac:dyDescent="0.25">
      <c r="H1466" t="s">
        <v>6627</v>
      </c>
    </row>
    <row r="1467" spans="8:8" x14ac:dyDescent="0.25">
      <c r="H1467" t="s">
        <v>6562</v>
      </c>
    </row>
    <row r="1468" spans="8:8" x14ac:dyDescent="0.25">
      <c r="H1468" t="s">
        <v>6628</v>
      </c>
    </row>
    <row r="1469" spans="8:8" x14ac:dyDescent="0.25">
      <c r="H1469" t="s">
        <v>6562</v>
      </c>
    </row>
    <row r="1470" spans="8:8" x14ac:dyDescent="0.25">
      <c r="H1470" t="s">
        <v>6629</v>
      </c>
    </row>
    <row r="1471" spans="8:8" x14ac:dyDescent="0.25">
      <c r="H1471" t="s">
        <v>6562</v>
      </c>
    </row>
    <row r="1472" spans="8:8" x14ac:dyDescent="0.25">
      <c r="H1472" t="s">
        <v>6630</v>
      </c>
    </row>
    <row r="1473" spans="8:8" x14ac:dyDescent="0.25">
      <c r="H1473" t="s">
        <v>6562</v>
      </c>
    </row>
    <row r="1474" spans="8:8" x14ac:dyDescent="0.25">
      <c r="H1474" t="s">
        <v>6631</v>
      </c>
    </row>
    <row r="1475" spans="8:8" x14ac:dyDescent="0.25">
      <c r="H1475" t="s">
        <v>6562</v>
      </c>
    </row>
    <row r="1476" spans="8:8" x14ac:dyDescent="0.25">
      <c r="H1476" t="s">
        <v>6632</v>
      </c>
    </row>
    <row r="1477" spans="8:8" x14ac:dyDescent="0.25">
      <c r="H1477" t="s">
        <v>6562</v>
      </c>
    </row>
    <row r="1478" spans="8:8" x14ac:dyDescent="0.25">
      <c r="H1478" t="s">
        <v>6633</v>
      </c>
    </row>
    <row r="1479" spans="8:8" x14ac:dyDescent="0.25">
      <c r="H1479" t="s">
        <v>6562</v>
      </c>
    </row>
    <row r="1480" spans="8:8" x14ac:dyDescent="0.25">
      <c r="H1480" t="s">
        <v>6634</v>
      </c>
    </row>
    <row r="1481" spans="8:8" x14ac:dyDescent="0.25">
      <c r="H1481" t="s">
        <v>6562</v>
      </c>
    </row>
    <row r="1482" spans="8:8" x14ac:dyDescent="0.25">
      <c r="H1482" t="s">
        <v>6635</v>
      </c>
    </row>
    <row r="1483" spans="8:8" x14ac:dyDescent="0.25">
      <c r="H1483" t="s">
        <v>6562</v>
      </c>
    </row>
    <row r="1484" spans="8:8" x14ac:dyDescent="0.25">
      <c r="H1484" t="s">
        <v>6636</v>
      </c>
    </row>
    <row r="1485" spans="8:8" x14ac:dyDescent="0.25">
      <c r="H1485" t="s">
        <v>6562</v>
      </c>
    </row>
    <row r="1486" spans="8:8" x14ac:dyDescent="0.25">
      <c r="H1486" t="s">
        <v>6637</v>
      </c>
    </row>
    <row r="1487" spans="8:8" x14ac:dyDescent="0.25">
      <c r="H1487" t="s">
        <v>6562</v>
      </c>
    </row>
    <row r="1488" spans="8:8" x14ac:dyDescent="0.25">
      <c r="H1488" t="s">
        <v>6638</v>
      </c>
    </row>
    <row r="1489" spans="8:8" x14ac:dyDescent="0.25">
      <c r="H1489" t="s">
        <v>6562</v>
      </c>
    </row>
    <row r="1490" spans="8:8" x14ac:dyDescent="0.25">
      <c r="H1490" t="s">
        <v>6639</v>
      </c>
    </row>
    <row r="1491" spans="8:8" x14ac:dyDescent="0.25">
      <c r="H1491" t="s">
        <v>6562</v>
      </c>
    </row>
    <row r="1492" spans="8:8" x14ac:dyDescent="0.25">
      <c r="H1492" t="s">
        <v>6640</v>
      </c>
    </row>
    <row r="1493" spans="8:8" x14ac:dyDescent="0.25">
      <c r="H1493" t="s">
        <v>6562</v>
      </c>
    </row>
    <row r="1494" spans="8:8" x14ac:dyDescent="0.25">
      <c r="H1494" t="s">
        <v>6641</v>
      </c>
    </row>
    <row r="1495" spans="8:8" x14ac:dyDescent="0.25">
      <c r="H1495" t="s">
        <v>6562</v>
      </c>
    </row>
    <row r="1496" spans="8:8" x14ac:dyDescent="0.25">
      <c r="H1496" t="s">
        <v>6642</v>
      </c>
    </row>
    <row r="1497" spans="8:8" x14ac:dyDescent="0.25">
      <c r="H1497" t="s">
        <v>6562</v>
      </c>
    </row>
    <row r="1498" spans="8:8" x14ac:dyDescent="0.25">
      <c r="H1498" t="s">
        <v>6643</v>
      </c>
    </row>
    <row r="1499" spans="8:8" x14ac:dyDescent="0.25">
      <c r="H1499" t="s">
        <v>6562</v>
      </c>
    </row>
    <row r="1500" spans="8:8" x14ac:dyDescent="0.25">
      <c r="H1500" t="s">
        <v>6644</v>
      </c>
    </row>
    <row r="1501" spans="8:8" x14ac:dyDescent="0.25">
      <c r="H1501" t="s">
        <v>6562</v>
      </c>
    </row>
    <row r="1502" spans="8:8" x14ac:dyDescent="0.25">
      <c r="H1502" t="s">
        <v>6645</v>
      </c>
    </row>
    <row r="1503" spans="8:8" x14ac:dyDescent="0.25">
      <c r="H1503" t="s">
        <v>6562</v>
      </c>
    </row>
    <row r="1504" spans="8:8" x14ac:dyDescent="0.25">
      <c r="H1504" t="s">
        <v>6646</v>
      </c>
    </row>
    <row r="1505" spans="8:8" x14ac:dyDescent="0.25">
      <c r="H1505" t="s">
        <v>6562</v>
      </c>
    </row>
    <row r="1506" spans="8:8" x14ac:dyDescent="0.25">
      <c r="H1506" t="s">
        <v>6647</v>
      </c>
    </row>
    <row r="1507" spans="8:8" x14ac:dyDescent="0.25">
      <c r="H1507" t="s">
        <v>6562</v>
      </c>
    </row>
    <row r="1508" spans="8:8" x14ac:dyDescent="0.25">
      <c r="H1508" t="s">
        <v>6648</v>
      </c>
    </row>
    <row r="1509" spans="8:8" x14ac:dyDescent="0.25">
      <c r="H1509" t="s">
        <v>6562</v>
      </c>
    </row>
    <row r="1510" spans="8:8" x14ac:dyDescent="0.25">
      <c r="H1510" t="s">
        <v>6649</v>
      </c>
    </row>
    <row r="1511" spans="8:8" x14ac:dyDescent="0.25">
      <c r="H1511" t="s">
        <v>6562</v>
      </c>
    </row>
    <row r="1512" spans="8:8" x14ac:dyDescent="0.25">
      <c r="H1512" t="s">
        <v>6650</v>
      </c>
    </row>
    <row r="1513" spans="8:8" x14ac:dyDescent="0.25">
      <c r="H1513" t="s">
        <v>6562</v>
      </c>
    </row>
    <row r="1514" spans="8:8" x14ac:dyDescent="0.25">
      <c r="H1514" t="s">
        <v>6651</v>
      </c>
    </row>
    <row r="1515" spans="8:8" x14ac:dyDescent="0.25">
      <c r="H1515" t="s">
        <v>6562</v>
      </c>
    </row>
    <row r="1516" spans="8:8" x14ac:dyDescent="0.25">
      <c r="H1516" t="s">
        <v>6652</v>
      </c>
    </row>
    <row r="1517" spans="8:8" x14ac:dyDescent="0.25">
      <c r="H1517" t="s">
        <v>6562</v>
      </c>
    </row>
    <row r="1518" spans="8:8" x14ac:dyDescent="0.25">
      <c r="H1518" t="s">
        <v>6653</v>
      </c>
    </row>
    <row r="1519" spans="8:8" x14ac:dyDescent="0.25">
      <c r="H1519" t="s">
        <v>6562</v>
      </c>
    </row>
    <row r="1520" spans="8:8" x14ac:dyDescent="0.25">
      <c r="H1520" t="s">
        <v>6654</v>
      </c>
    </row>
    <row r="1521" spans="8:8" x14ac:dyDescent="0.25">
      <c r="H1521" t="s">
        <v>6562</v>
      </c>
    </row>
    <row r="1522" spans="8:8" x14ac:dyDescent="0.25">
      <c r="H1522" t="s">
        <v>6655</v>
      </c>
    </row>
    <row r="1523" spans="8:8" x14ac:dyDescent="0.25">
      <c r="H1523" t="s">
        <v>6562</v>
      </c>
    </row>
    <row r="1524" spans="8:8" x14ac:dyDescent="0.25">
      <c r="H1524" t="s">
        <v>6656</v>
      </c>
    </row>
    <row r="1525" spans="8:8" x14ac:dyDescent="0.25">
      <c r="H1525" t="s">
        <v>6562</v>
      </c>
    </row>
    <row r="1526" spans="8:8" x14ac:dyDescent="0.25">
      <c r="H1526" t="s">
        <v>6657</v>
      </c>
    </row>
    <row r="1527" spans="8:8" x14ac:dyDescent="0.25">
      <c r="H1527" t="s">
        <v>6562</v>
      </c>
    </row>
    <row r="1528" spans="8:8" x14ac:dyDescent="0.25">
      <c r="H1528" t="s">
        <v>6658</v>
      </c>
    </row>
    <row r="1529" spans="8:8" x14ac:dyDescent="0.25">
      <c r="H1529" t="s">
        <v>6562</v>
      </c>
    </row>
    <row r="1530" spans="8:8" x14ac:dyDescent="0.25">
      <c r="H1530" t="s">
        <v>6659</v>
      </c>
    </row>
    <row r="1531" spans="8:8" x14ac:dyDescent="0.25">
      <c r="H1531" t="s">
        <v>6562</v>
      </c>
    </row>
    <row r="1532" spans="8:8" x14ac:dyDescent="0.25">
      <c r="H1532" t="s">
        <v>6660</v>
      </c>
    </row>
    <row r="1533" spans="8:8" x14ac:dyDescent="0.25">
      <c r="H1533" t="s">
        <v>6562</v>
      </c>
    </row>
    <row r="1534" spans="8:8" x14ac:dyDescent="0.25">
      <c r="H1534" t="s">
        <v>6661</v>
      </c>
    </row>
    <row r="1535" spans="8:8" x14ac:dyDescent="0.25">
      <c r="H1535" t="s">
        <v>6562</v>
      </c>
    </row>
    <row r="1536" spans="8:8" x14ac:dyDescent="0.25">
      <c r="H1536" t="s">
        <v>6662</v>
      </c>
    </row>
    <row r="1537" spans="8:8" x14ac:dyDescent="0.25">
      <c r="H1537" t="s">
        <v>6562</v>
      </c>
    </row>
    <row r="1538" spans="8:8" x14ac:dyDescent="0.25">
      <c r="H1538" t="s">
        <v>6663</v>
      </c>
    </row>
    <row r="1539" spans="8:8" x14ac:dyDescent="0.25">
      <c r="H1539" t="s">
        <v>6562</v>
      </c>
    </row>
    <row r="1540" spans="8:8" x14ac:dyDescent="0.25">
      <c r="H1540" t="s">
        <v>6664</v>
      </c>
    </row>
    <row r="1541" spans="8:8" x14ac:dyDescent="0.25">
      <c r="H1541" t="s">
        <v>6562</v>
      </c>
    </row>
    <row r="1542" spans="8:8" x14ac:dyDescent="0.25">
      <c r="H1542" t="s">
        <v>6665</v>
      </c>
    </row>
    <row r="1543" spans="8:8" x14ac:dyDescent="0.25">
      <c r="H1543" t="s">
        <v>6562</v>
      </c>
    </row>
    <row r="1544" spans="8:8" x14ac:dyDescent="0.25">
      <c r="H1544" t="s">
        <v>6666</v>
      </c>
    </row>
    <row r="1545" spans="8:8" x14ac:dyDescent="0.25">
      <c r="H1545" t="s">
        <v>6562</v>
      </c>
    </row>
    <row r="1546" spans="8:8" x14ac:dyDescent="0.25">
      <c r="H1546" t="s">
        <v>6667</v>
      </c>
    </row>
    <row r="1547" spans="8:8" x14ac:dyDescent="0.25">
      <c r="H1547" t="s">
        <v>6562</v>
      </c>
    </row>
    <row r="1548" spans="8:8" x14ac:dyDescent="0.25">
      <c r="H1548" t="s">
        <v>6668</v>
      </c>
    </row>
    <row r="1549" spans="8:8" x14ac:dyDescent="0.25">
      <c r="H1549" t="s">
        <v>6562</v>
      </c>
    </row>
    <row r="1550" spans="8:8" x14ac:dyDescent="0.25">
      <c r="H1550" t="s">
        <v>6669</v>
      </c>
    </row>
    <row r="1551" spans="8:8" x14ac:dyDescent="0.25">
      <c r="H1551" t="s">
        <v>6562</v>
      </c>
    </row>
    <row r="1552" spans="8:8" x14ac:dyDescent="0.25">
      <c r="H1552" t="s">
        <v>6670</v>
      </c>
    </row>
    <row r="1553" spans="8:8" x14ac:dyDescent="0.25">
      <c r="H1553" t="s">
        <v>6562</v>
      </c>
    </row>
    <row r="1554" spans="8:8" x14ac:dyDescent="0.25">
      <c r="H1554" t="s">
        <v>6671</v>
      </c>
    </row>
    <row r="1555" spans="8:8" x14ac:dyDescent="0.25">
      <c r="H1555" t="s">
        <v>6562</v>
      </c>
    </row>
    <row r="1556" spans="8:8" x14ac:dyDescent="0.25">
      <c r="H1556" t="s">
        <v>6672</v>
      </c>
    </row>
    <row r="1557" spans="8:8" x14ac:dyDescent="0.25">
      <c r="H1557" t="s">
        <v>6562</v>
      </c>
    </row>
    <row r="1558" spans="8:8" x14ac:dyDescent="0.25">
      <c r="H1558" t="s">
        <v>6673</v>
      </c>
    </row>
    <row r="1559" spans="8:8" x14ac:dyDescent="0.25">
      <c r="H1559" t="s">
        <v>6562</v>
      </c>
    </row>
    <row r="1560" spans="8:8" x14ac:dyDescent="0.25">
      <c r="H1560" t="s">
        <v>6674</v>
      </c>
    </row>
    <row r="1561" spans="8:8" x14ac:dyDescent="0.25">
      <c r="H1561" t="s">
        <v>6562</v>
      </c>
    </row>
    <row r="1562" spans="8:8" x14ac:dyDescent="0.25">
      <c r="H1562" t="s">
        <v>6675</v>
      </c>
    </row>
    <row r="1563" spans="8:8" x14ac:dyDescent="0.25">
      <c r="H1563" t="s">
        <v>6562</v>
      </c>
    </row>
    <row r="1564" spans="8:8" x14ac:dyDescent="0.25">
      <c r="H1564" t="s">
        <v>6676</v>
      </c>
    </row>
    <row r="1565" spans="8:8" x14ac:dyDescent="0.25">
      <c r="H1565" t="s">
        <v>6562</v>
      </c>
    </row>
    <row r="1566" spans="8:8" x14ac:dyDescent="0.25">
      <c r="H1566" t="s">
        <v>6677</v>
      </c>
    </row>
    <row r="1567" spans="8:8" x14ac:dyDescent="0.25">
      <c r="H1567" t="s">
        <v>6562</v>
      </c>
    </row>
    <row r="1568" spans="8:8" x14ac:dyDescent="0.25">
      <c r="H1568" t="s">
        <v>6678</v>
      </c>
    </row>
    <row r="1569" spans="8:8" x14ac:dyDescent="0.25">
      <c r="H1569" t="s">
        <v>6562</v>
      </c>
    </row>
    <row r="1570" spans="8:8" x14ac:dyDescent="0.25">
      <c r="H1570" t="s">
        <v>6679</v>
      </c>
    </row>
    <row r="1571" spans="8:8" x14ac:dyDescent="0.25">
      <c r="H1571" t="s">
        <v>6562</v>
      </c>
    </row>
    <row r="1572" spans="8:8" x14ac:dyDescent="0.25">
      <c r="H1572" t="s">
        <v>6680</v>
      </c>
    </row>
    <row r="1573" spans="8:8" x14ac:dyDescent="0.25">
      <c r="H1573" t="s">
        <v>6562</v>
      </c>
    </row>
    <row r="1574" spans="8:8" x14ac:dyDescent="0.25">
      <c r="H1574" t="s">
        <v>6681</v>
      </c>
    </row>
    <row r="1575" spans="8:8" x14ac:dyDescent="0.25">
      <c r="H1575" t="s">
        <v>6562</v>
      </c>
    </row>
    <row r="1576" spans="8:8" x14ac:dyDescent="0.25">
      <c r="H1576" t="s">
        <v>6682</v>
      </c>
    </row>
    <row r="1577" spans="8:8" x14ac:dyDescent="0.25">
      <c r="H1577" t="s">
        <v>6562</v>
      </c>
    </row>
    <row r="1578" spans="8:8" x14ac:dyDescent="0.25">
      <c r="H1578" t="s">
        <v>6683</v>
      </c>
    </row>
    <row r="1579" spans="8:8" x14ac:dyDescent="0.25">
      <c r="H1579" t="s">
        <v>6562</v>
      </c>
    </row>
    <row r="1580" spans="8:8" x14ac:dyDescent="0.25">
      <c r="H1580" t="s">
        <v>6684</v>
      </c>
    </row>
    <row r="1581" spans="8:8" x14ac:dyDescent="0.25">
      <c r="H1581" t="s">
        <v>6562</v>
      </c>
    </row>
    <row r="1582" spans="8:8" x14ac:dyDescent="0.25">
      <c r="H1582" t="s">
        <v>6685</v>
      </c>
    </row>
    <row r="1583" spans="8:8" x14ac:dyDescent="0.25">
      <c r="H1583" t="s">
        <v>6562</v>
      </c>
    </row>
    <row r="1584" spans="8:8" x14ac:dyDescent="0.25">
      <c r="H1584" t="s">
        <v>6686</v>
      </c>
    </row>
    <row r="1585" spans="8:8" x14ac:dyDescent="0.25">
      <c r="H1585" t="s">
        <v>6562</v>
      </c>
    </row>
    <row r="1586" spans="8:8" x14ac:dyDescent="0.25">
      <c r="H1586" t="s">
        <v>6687</v>
      </c>
    </row>
    <row r="1587" spans="8:8" x14ac:dyDescent="0.25">
      <c r="H1587" t="s">
        <v>6562</v>
      </c>
    </row>
    <row r="1588" spans="8:8" x14ac:dyDescent="0.25">
      <c r="H1588" t="s">
        <v>6688</v>
      </c>
    </row>
    <row r="1589" spans="8:8" x14ac:dyDescent="0.25">
      <c r="H1589" t="s">
        <v>6562</v>
      </c>
    </row>
    <row r="1590" spans="8:8" x14ac:dyDescent="0.25">
      <c r="H1590" t="s">
        <v>6689</v>
      </c>
    </row>
    <row r="1591" spans="8:8" x14ac:dyDescent="0.25">
      <c r="H1591" t="s">
        <v>6562</v>
      </c>
    </row>
    <row r="1592" spans="8:8" x14ac:dyDescent="0.25">
      <c r="H1592" t="s">
        <v>6690</v>
      </c>
    </row>
    <row r="1593" spans="8:8" x14ac:dyDescent="0.25">
      <c r="H1593" t="s">
        <v>6562</v>
      </c>
    </row>
    <row r="1594" spans="8:8" x14ac:dyDescent="0.25">
      <c r="H1594" t="s">
        <v>6691</v>
      </c>
    </row>
    <row r="1595" spans="8:8" x14ac:dyDescent="0.25">
      <c r="H1595" t="s">
        <v>6562</v>
      </c>
    </row>
    <row r="1596" spans="8:8" x14ac:dyDescent="0.25">
      <c r="H1596" t="s">
        <v>6692</v>
      </c>
    </row>
    <row r="1597" spans="8:8" x14ac:dyDescent="0.25">
      <c r="H1597" t="s">
        <v>6562</v>
      </c>
    </row>
    <row r="1598" spans="8:8" x14ac:dyDescent="0.25">
      <c r="H1598" t="s">
        <v>6693</v>
      </c>
    </row>
    <row r="1599" spans="8:8" x14ac:dyDescent="0.25">
      <c r="H1599" t="s">
        <v>6562</v>
      </c>
    </row>
    <row r="1600" spans="8:8" x14ac:dyDescent="0.25">
      <c r="H1600" t="s">
        <v>6694</v>
      </c>
    </row>
    <row r="1601" spans="8:8" x14ac:dyDescent="0.25">
      <c r="H1601" t="s">
        <v>6562</v>
      </c>
    </row>
    <row r="1602" spans="8:8" x14ac:dyDescent="0.25">
      <c r="H1602" t="s">
        <v>6695</v>
      </c>
    </row>
    <row r="1603" spans="8:8" x14ac:dyDescent="0.25">
      <c r="H1603" t="s">
        <v>6562</v>
      </c>
    </row>
    <row r="1604" spans="8:8" x14ac:dyDescent="0.25">
      <c r="H1604" t="s">
        <v>6696</v>
      </c>
    </row>
    <row r="1605" spans="8:8" x14ac:dyDescent="0.25">
      <c r="H1605" t="s">
        <v>6562</v>
      </c>
    </row>
    <row r="1606" spans="8:8" x14ac:dyDescent="0.25">
      <c r="H1606" t="s">
        <v>6697</v>
      </c>
    </row>
    <row r="1607" spans="8:8" x14ac:dyDescent="0.25">
      <c r="H1607" t="s">
        <v>6562</v>
      </c>
    </row>
    <row r="1608" spans="8:8" x14ac:dyDescent="0.25">
      <c r="H1608" t="s">
        <v>6698</v>
      </c>
    </row>
    <row r="1609" spans="8:8" x14ac:dyDescent="0.25">
      <c r="H1609" t="s">
        <v>6562</v>
      </c>
    </row>
    <row r="1610" spans="8:8" x14ac:dyDescent="0.25">
      <c r="H1610" t="s">
        <v>6699</v>
      </c>
    </row>
    <row r="1611" spans="8:8" x14ac:dyDescent="0.25">
      <c r="H1611" t="s">
        <v>6562</v>
      </c>
    </row>
    <row r="1612" spans="8:8" x14ac:dyDescent="0.25">
      <c r="H1612" t="s">
        <v>6700</v>
      </c>
    </row>
    <row r="1613" spans="8:8" x14ac:dyDescent="0.25">
      <c r="H1613" t="s">
        <v>6562</v>
      </c>
    </row>
    <row r="1614" spans="8:8" x14ac:dyDescent="0.25">
      <c r="H1614" t="s">
        <v>6701</v>
      </c>
    </row>
    <row r="1615" spans="8:8" x14ac:dyDescent="0.25">
      <c r="H1615" t="s">
        <v>6562</v>
      </c>
    </row>
    <row r="1616" spans="8:8" x14ac:dyDescent="0.25">
      <c r="H1616" t="s">
        <v>6702</v>
      </c>
    </row>
    <row r="1617" spans="8:8" x14ac:dyDescent="0.25">
      <c r="H1617" t="s">
        <v>6562</v>
      </c>
    </row>
    <row r="1618" spans="8:8" x14ac:dyDescent="0.25">
      <c r="H1618" t="s">
        <v>6703</v>
      </c>
    </row>
    <row r="1619" spans="8:8" x14ac:dyDescent="0.25">
      <c r="H1619" t="s">
        <v>6562</v>
      </c>
    </row>
    <row r="1620" spans="8:8" x14ac:dyDescent="0.25">
      <c r="H1620" t="s">
        <v>6704</v>
      </c>
    </row>
    <row r="1621" spans="8:8" x14ac:dyDescent="0.25">
      <c r="H1621" t="s">
        <v>6562</v>
      </c>
    </row>
    <row r="1622" spans="8:8" x14ac:dyDescent="0.25">
      <c r="H1622" t="s">
        <v>6705</v>
      </c>
    </row>
    <row r="1623" spans="8:8" x14ac:dyDescent="0.25">
      <c r="H1623" t="s">
        <v>6562</v>
      </c>
    </row>
    <row r="1624" spans="8:8" x14ac:dyDescent="0.25">
      <c r="H1624" t="s">
        <v>6706</v>
      </c>
    </row>
    <row r="1625" spans="8:8" x14ac:dyDescent="0.25">
      <c r="H1625" t="s">
        <v>6562</v>
      </c>
    </row>
    <row r="1626" spans="8:8" x14ac:dyDescent="0.25">
      <c r="H1626" t="s">
        <v>6707</v>
      </c>
    </row>
    <row r="1627" spans="8:8" x14ac:dyDescent="0.25">
      <c r="H1627" t="s">
        <v>6562</v>
      </c>
    </row>
    <row r="1628" spans="8:8" x14ac:dyDescent="0.25">
      <c r="H1628" t="s">
        <v>6708</v>
      </c>
    </row>
    <row r="1629" spans="8:8" x14ac:dyDescent="0.25">
      <c r="H1629" t="s">
        <v>6562</v>
      </c>
    </row>
    <row r="1630" spans="8:8" x14ac:dyDescent="0.25">
      <c r="H1630" t="s">
        <v>6709</v>
      </c>
    </row>
    <row r="1631" spans="8:8" x14ac:dyDescent="0.25">
      <c r="H1631" t="s">
        <v>6562</v>
      </c>
    </row>
    <row r="1632" spans="8:8" x14ac:dyDescent="0.25">
      <c r="H1632" t="s">
        <v>6710</v>
      </c>
    </row>
    <row r="1633" spans="8:8" x14ac:dyDescent="0.25">
      <c r="H1633" t="s">
        <v>6562</v>
      </c>
    </row>
    <row r="1634" spans="8:8" x14ac:dyDescent="0.25">
      <c r="H1634" t="s">
        <v>6711</v>
      </c>
    </row>
    <row r="1635" spans="8:8" x14ac:dyDescent="0.25">
      <c r="H1635" t="s">
        <v>6562</v>
      </c>
    </row>
    <row r="1636" spans="8:8" x14ac:dyDescent="0.25">
      <c r="H1636" t="s">
        <v>6712</v>
      </c>
    </row>
    <row r="1637" spans="8:8" x14ac:dyDescent="0.25">
      <c r="H1637" t="s">
        <v>6562</v>
      </c>
    </row>
    <row r="1638" spans="8:8" x14ac:dyDescent="0.25">
      <c r="H1638" t="s">
        <v>6713</v>
      </c>
    </row>
    <row r="1639" spans="8:8" x14ac:dyDescent="0.25">
      <c r="H1639" t="s">
        <v>6562</v>
      </c>
    </row>
    <row r="1640" spans="8:8" x14ac:dyDescent="0.25">
      <c r="H1640" t="s">
        <v>6714</v>
      </c>
    </row>
    <row r="1641" spans="8:8" x14ac:dyDescent="0.25">
      <c r="H1641" t="s">
        <v>6562</v>
      </c>
    </row>
    <row r="1642" spans="8:8" x14ac:dyDescent="0.25">
      <c r="H1642" t="s">
        <v>6715</v>
      </c>
    </row>
    <row r="1643" spans="8:8" x14ac:dyDescent="0.25">
      <c r="H1643" t="s">
        <v>6562</v>
      </c>
    </row>
    <row r="1644" spans="8:8" x14ac:dyDescent="0.25">
      <c r="H1644" t="s">
        <v>6716</v>
      </c>
    </row>
    <row r="1645" spans="8:8" x14ac:dyDescent="0.25">
      <c r="H1645" t="s">
        <v>6717</v>
      </c>
    </row>
    <row r="1646" spans="8:8" x14ac:dyDescent="0.25">
      <c r="H1646" t="s">
        <v>6718</v>
      </c>
    </row>
    <row r="1647" spans="8:8" x14ac:dyDescent="0.25">
      <c r="H1647" t="s">
        <v>6717</v>
      </c>
    </row>
    <row r="1648" spans="8:8" x14ac:dyDescent="0.25">
      <c r="H1648" t="s">
        <v>6719</v>
      </c>
    </row>
    <row r="1649" spans="8:8" x14ac:dyDescent="0.25">
      <c r="H1649" t="s">
        <v>6717</v>
      </c>
    </row>
    <row r="1650" spans="8:8" x14ac:dyDescent="0.25">
      <c r="H1650" t="s">
        <v>6720</v>
      </c>
    </row>
    <row r="1651" spans="8:8" x14ac:dyDescent="0.25">
      <c r="H1651" t="s">
        <v>6717</v>
      </c>
    </row>
    <row r="1652" spans="8:8" x14ac:dyDescent="0.25">
      <c r="H1652" t="s">
        <v>6721</v>
      </c>
    </row>
    <row r="1653" spans="8:8" x14ac:dyDescent="0.25">
      <c r="H1653" t="s">
        <v>6717</v>
      </c>
    </row>
    <row r="1654" spans="8:8" x14ac:dyDescent="0.25">
      <c r="H1654" t="s">
        <v>6722</v>
      </c>
    </row>
    <row r="1655" spans="8:8" x14ac:dyDescent="0.25">
      <c r="H1655" t="s">
        <v>6717</v>
      </c>
    </row>
    <row r="1656" spans="8:8" x14ac:dyDescent="0.25">
      <c r="H1656" t="s">
        <v>6723</v>
      </c>
    </row>
    <row r="1657" spans="8:8" x14ac:dyDescent="0.25">
      <c r="H1657" t="s">
        <v>6717</v>
      </c>
    </row>
    <row r="1658" spans="8:8" x14ac:dyDescent="0.25">
      <c r="H1658" t="s">
        <v>6724</v>
      </c>
    </row>
    <row r="1659" spans="8:8" x14ac:dyDescent="0.25">
      <c r="H1659" t="s">
        <v>6717</v>
      </c>
    </row>
    <row r="1660" spans="8:8" x14ac:dyDescent="0.25">
      <c r="H1660" t="s">
        <v>6725</v>
      </c>
    </row>
    <row r="1661" spans="8:8" x14ac:dyDescent="0.25">
      <c r="H1661" t="s">
        <v>6717</v>
      </c>
    </row>
    <row r="1662" spans="8:8" x14ac:dyDescent="0.25">
      <c r="H1662" t="s">
        <v>6726</v>
      </c>
    </row>
    <row r="1663" spans="8:8" x14ac:dyDescent="0.25">
      <c r="H1663" t="s">
        <v>6717</v>
      </c>
    </row>
    <row r="1664" spans="8:8" x14ac:dyDescent="0.25">
      <c r="H1664" t="s">
        <v>6727</v>
      </c>
    </row>
    <row r="1665" spans="8:8" x14ac:dyDescent="0.25">
      <c r="H1665" t="s">
        <v>6717</v>
      </c>
    </row>
    <row r="1666" spans="8:8" x14ac:dyDescent="0.25">
      <c r="H1666" t="s">
        <v>6728</v>
      </c>
    </row>
    <row r="1667" spans="8:8" x14ac:dyDescent="0.25">
      <c r="H1667" t="s">
        <v>6717</v>
      </c>
    </row>
    <row r="1668" spans="8:8" x14ac:dyDescent="0.25">
      <c r="H1668" t="s">
        <v>6729</v>
      </c>
    </row>
    <row r="1669" spans="8:8" x14ac:dyDescent="0.25">
      <c r="H1669" t="s">
        <v>6717</v>
      </c>
    </row>
    <row r="1670" spans="8:8" x14ac:dyDescent="0.25">
      <c r="H1670" t="s">
        <v>6730</v>
      </c>
    </row>
    <row r="1671" spans="8:8" x14ac:dyDescent="0.25">
      <c r="H1671" t="s">
        <v>6717</v>
      </c>
    </row>
    <row r="1672" spans="8:8" x14ac:dyDescent="0.25">
      <c r="H1672" t="s">
        <v>6731</v>
      </c>
    </row>
    <row r="1673" spans="8:8" x14ac:dyDescent="0.25">
      <c r="H1673" t="s">
        <v>6717</v>
      </c>
    </row>
    <row r="1674" spans="8:8" x14ac:dyDescent="0.25">
      <c r="H1674" t="s">
        <v>6732</v>
      </c>
    </row>
    <row r="1675" spans="8:8" x14ac:dyDescent="0.25">
      <c r="H1675" t="s">
        <v>6717</v>
      </c>
    </row>
    <row r="1676" spans="8:8" x14ac:dyDescent="0.25">
      <c r="H1676" t="s">
        <v>6733</v>
      </c>
    </row>
    <row r="1677" spans="8:8" x14ac:dyDescent="0.25">
      <c r="H1677" t="s">
        <v>6717</v>
      </c>
    </row>
    <row r="1678" spans="8:8" x14ac:dyDescent="0.25">
      <c r="H1678" t="s">
        <v>6734</v>
      </c>
    </row>
    <row r="1679" spans="8:8" x14ac:dyDescent="0.25">
      <c r="H1679" t="s">
        <v>6717</v>
      </c>
    </row>
    <row r="1680" spans="8:8" x14ac:dyDescent="0.25">
      <c r="H1680" t="s">
        <v>6735</v>
      </c>
    </row>
    <row r="1681" spans="8:8" x14ac:dyDescent="0.25">
      <c r="H1681" t="s">
        <v>6717</v>
      </c>
    </row>
    <row r="1682" spans="8:8" x14ac:dyDescent="0.25">
      <c r="H1682" t="s">
        <v>6736</v>
      </c>
    </row>
    <row r="1683" spans="8:8" x14ac:dyDescent="0.25">
      <c r="H1683" t="s">
        <v>6717</v>
      </c>
    </row>
    <row r="1684" spans="8:8" x14ac:dyDescent="0.25">
      <c r="H1684" t="s">
        <v>6737</v>
      </c>
    </row>
    <row r="1685" spans="8:8" x14ac:dyDescent="0.25">
      <c r="H1685" t="s">
        <v>6717</v>
      </c>
    </row>
    <row r="1686" spans="8:8" x14ac:dyDescent="0.25">
      <c r="H1686" t="s">
        <v>6738</v>
      </c>
    </row>
    <row r="1687" spans="8:8" x14ac:dyDescent="0.25">
      <c r="H1687" t="s">
        <v>6717</v>
      </c>
    </row>
    <row r="1688" spans="8:8" x14ac:dyDescent="0.25">
      <c r="H1688" t="s">
        <v>6739</v>
      </c>
    </row>
    <row r="1689" spans="8:8" x14ac:dyDescent="0.25">
      <c r="H1689" t="s">
        <v>6717</v>
      </c>
    </row>
    <row r="1690" spans="8:8" x14ac:dyDescent="0.25">
      <c r="H1690" t="s">
        <v>6740</v>
      </c>
    </row>
    <row r="1691" spans="8:8" x14ac:dyDescent="0.25">
      <c r="H1691" t="s">
        <v>6717</v>
      </c>
    </row>
    <row r="1692" spans="8:8" x14ac:dyDescent="0.25">
      <c r="H1692" t="s">
        <v>6741</v>
      </c>
    </row>
    <row r="1693" spans="8:8" x14ac:dyDescent="0.25">
      <c r="H1693" t="s">
        <v>6717</v>
      </c>
    </row>
    <row r="1694" spans="8:8" x14ac:dyDescent="0.25">
      <c r="H1694" t="s">
        <v>6742</v>
      </c>
    </row>
    <row r="1695" spans="8:8" x14ac:dyDescent="0.25">
      <c r="H1695" t="s">
        <v>6717</v>
      </c>
    </row>
    <row r="1696" spans="8:8" x14ac:dyDescent="0.25">
      <c r="H1696" t="s">
        <v>6743</v>
      </c>
    </row>
    <row r="1697" spans="8:8" x14ac:dyDescent="0.25">
      <c r="H1697" t="s">
        <v>6717</v>
      </c>
    </row>
    <row r="1698" spans="8:8" x14ac:dyDescent="0.25">
      <c r="H1698" t="s">
        <v>6744</v>
      </c>
    </row>
    <row r="1699" spans="8:8" x14ac:dyDescent="0.25">
      <c r="H1699" t="s">
        <v>6717</v>
      </c>
    </row>
    <row r="1700" spans="8:8" x14ac:dyDescent="0.25">
      <c r="H1700" t="s">
        <v>6745</v>
      </c>
    </row>
    <row r="1701" spans="8:8" x14ac:dyDescent="0.25">
      <c r="H1701" t="s">
        <v>6717</v>
      </c>
    </row>
    <row r="1702" spans="8:8" x14ac:dyDescent="0.25">
      <c r="H1702" t="s">
        <v>6746</v>
      </c>
    </row>
    <row r="1703" spans="8:8" x14ac:dyDescent="0.25">
      <c r="H1703" t="s">
        <v>6717</v>
      </c>
    </row>
    <row r="1704" spans="8:8" x14ac:dyDescent="0.25">
      <c r="H1704" t="s">
        <v>6747</v>
      </c>
    </row>
    <row r="1705" spans="8:8" x14ac:dyDescent="0.25">
      <c r="H1705" t="s">
        <v>6717</v>
      </c>
    </row>
    <row r="1706" spans="8:8" x14ac:dyDescent="0.25">
      <c r="H1706" t="s">
        <v>6748</v>
      </c>
    </row>
    <row r="1707" spans="8:8" x14ac:dyDescent="0.25">
      <c r="H1707" t="s">
        <v>6717</v>
      </c>
    </row>
    <row r="1708" spans="8:8" x14ac:dyDescent="0.25">
      <c r="H1708" t="s">
        <v>6749</v>
      </c>
    </row>
    <row r="1709" spans="8:8" x14ac:dyDescent="0.25">
      <c r="H1709" t="s">
        <v>6717</v>
      </c>
    </row>
    <row r="1710" spans="8:8" x14ac:dyDescent="0.25">
      <c r="H1710" t="s">
        <v>6750</v>
      </c>
    </row>
    <row r="1711" spans="8:8" x14ac:dyDescent="0.25">
      <c r="H1711" t="s">
        <v>6717</v>
      </c>
    </row>
    <row r="1712" spans="8:8" x14ac:dyDescent="0.25">
      <c r="H1712" t="s">
        <v>6751</v>
      </c>
    </row>
    <row r="1713" spans="8:8" x14ac:dyDescent="0.25">
      <c r="H1713" t="s">
        <v>6717</v>
      </c>
    </row>
    <row r="1714" spans="8:8" x14ac:dyDescent="0.25">
      <c r="H1714" t="s">
        <v>6752</v>
      </c>
    </row>
    <row r="1715" spans="8:8" x14ac:dyDescent="0.25">
      <c r="H1715" t="s">
        <v>6717</v>
      </c>
    </row>
    <row r="1716" spans="8:8" x14ac:dyDescent="0.25">
      <c r="H1716" t="s">
        <v>6753</v>
      </c>
    </row>
    <row r="1717" spans="8:8" x14ac:dyDescent="0.25">
      <c r="H1717" t="s">
        <v>6717</v>
      </c>
    </row>
    <row r="1718" spans="8:8" x14ac:dyDescent="0.25">
      <c r="H1718" t="s">
        <v>6754</v>
      </c>
    </row>
    <row r="1719" spans="8:8" x14ac:dyDescent="0.25">
      <c r="H1719" t="s">
        <v>6717</v>
      </c>
    </row>
    <row r="1720" spans="8:8" x14ac:dyDescent="0.25">
      <c r="H1720" t="s">
        <v>6755</v>
      </c>
    </row>
    <row r="1721" spans="8:8" x14ac:dyDescent="0.25">
      <c r="H1721" t="s">
        <v>6717</v>
      </c>
    </row>
    <row r="1722" spans="8:8" x14ac:dyDescent="0.25">
      <c r="H1722" t="s">
        <v>6756</v>
      </c>
    </row>
    <row r="1723" spans="8:8" x14ac:dyDescent="0.25">
      <c r="H1723" t="s">
        <v>6717</v>
      </c>
    </row>
    <row r="1724" spans="8:8" x14ac:dyDescent="0.25">
      <c r="H1724" t="s">
        <v>6757</v>
      </c>
    </row>
    <row r="1725" spans="8:8" x14ac:dyDescent="0.25">
      <c r="H1725" t="s">
        <v>6717</v>
      </c>
    </row>
    <row r="1726" spans="8:8" x14ac:dyDescent="0.25">
      <c r="H1726" t="s">
        <v>6758</v>
      </c>
    </row>
    <row r="1727" spans="8:8" x14ac:dyDescent="0.25">
      <c r="H1727" t="s">
        <v>6717</v>
      </c>
    </row>
    <row r="1728" spans="8:8" x14ac:dyDescent="0.25">
      <c r="H1728" t="s">
        <v>6759</v>
      </c>
    </row>
    <row r="1729" spans="8:8" x14ac:dyDescent="0.25">
      <c r="H1729" t="s">
        <v>6717</v>
      </c>
    </row>
    <row r="1730" spans="8:8" x14ac:dyDescent="0.25">
      <c r="H1730" t="s">
        <v>6760</v>
      </c>
    </row>
    <row r="1731" spans="8:8" x14ac:dyDescent="0.25">
      <c r="H1731" t="s">
        <v>6717</v>
      </c>
    </row>
    <row r="1732" spans="8:8" x14ac:dyDescent="0.25">
      <c r="H1732" t="s">
        <v>6761</v>
      </c>
    </row>
    <row r="1733" spans="8:8" x14ac:dyDescent="0.25">
      <c r="H1733" t="s">
        <v>6717</v>
      </c>
    </row>
    <row r="1734" spans="8:8" x14ac:dyDescent="0.25">
      <c r="H1734" t="s">
        <v>6762</v>
      </c>
    </row>
    <row r="1735" spans="8:8" x14ac:dyDescent="0.25">
      <c r="H1735" t="s">
        <v>6717</v>
      </c>
    </row>
    <row r="1736" spans="8:8" x14ac:dyDescent="0.25">
      <c r="H1736" t="s">
        <v>6763</v>
      </c>
    </row>
    <row r="1737" spans="8:8" x14ac:dyDescent="0.25">
      <c r="H1737" t="s">
        <v>6717</v>
      </c>
    </row>
    <row r="1738" spans="8:8" x14ac:dyDescent="0.25">
      <c r="H1738" t="s">
        <v>6764</v>
      </c>
    </row>
    <row r="1739" spans="8:8" x14ac:dyDescent="0.25">
      <c r="H1739" t="s">
        <v>6717</v>
      </c>
    </row>
    <row r="1740" spans="8:8" x14ac:dyDescent="0.25">
      <c r="H1740" t="s">
        <v>6765</v>
      </c>
    </row>
    <row r="1741" spans="8:8" x14ac:dyDescent="0.25">
      <c r="H1741" t="s">
        <v>6717</v>
      </c>
    </row>
    <row r="1742" spans="8:8" x14ac:dyDescent="0.25">
      <c r="H1742" t="s">
        <v>6766</v>
      </c>
    </row>
    <row r="1743" spans="8:8" x14ac:dyDescent="0.25">
      <c r="H1743" t="s">
        <v>6717</v>
      </c>
    </row>
    <row r="1744" spans="8:8" x14ac:dyDescent="0.25">
      <c r="H1744" t="s">
        <v>6767</v>
      </c>
    </row>
    <row r="1745" spans="8:8" x14ac:dyDescent="0.25">
      <c r="H1745" t="s">
        <v>6717</v>
      </c>
    </row>
    <row r="1746" spans="8:8" x14ac:dyDescent="0.25">
      <c r="H1746" t="s">
        <v>6768</v>
      </c>
    </row>
    <row r="1747" spans="8:8" x14ac:dyDescent="0.25">
      <c r="H1747" t="s">
        <v>6769</v>
      </c>
    </row>
    <row r="1748" spans="8:8" x14ac:dyDescent="0.25">
      <c r="H1748" t="s">
        <v>6770</v>
      </c>
    </row>
    <row r="1749" spans="8:8" x14ac:dyDescent="0.25">
      <c r="H1749" t="s">
        <v>6769</v>
      </c>
    </row>
    <row r="1750" spans="8:8" x14ac:dyDescent="0.25">
      <c r="H1750" t="s">
        <v>6771</v>
      </c>
    </row>
    <row r="1751" spans="8:8" x14ac:dyDescent="0.25">
      <c r="H1751" t="s">
        <v>6769</v>
      </c>
    </row>
    <row r="1752" spans="8:8" x14ac:dyDescent="0.25">
      <c r="H1752" t="s">
        <v>6772</v>
      </c>
    </row>
    <row r="1753" spans="8:8" x14ac:dyDescent="0.25">
      <c r="H1753" t="s">
        <v>6769</v>
      </c>
    </row>
    <row r="1754" spans="8:8" x14ac:dyDescent="0.25">
      <c r="H1754" t="s">
        <v>6773</v>
      </c>
    </row>
    <row r="1755" spans="8:8" x14ac:dyDescent="0.25">
      <c r="H1755" t="s">
        <v>6769</v>
      </c>
    </row>
    <row r="1756" spans="8:8" x14ac:dyDescent="0.25">
      <c r="H1756" t="s">
        <v>6774</v>
      </c>
    </row>
    <row r="1757" spans="8:8" x14ac:dyDescent="0.25">
      <c r="H1757" t="s">
        <v>6769</v>
      </c>
    </row>
    <row r="1758" spans="8:8" x14ac:dyDescent="0.25">
      <c r="H1758" t="s">
        <v>6775</v>
      </c>
    </row>
    <row r="1759" spans="8:8" x14ac:dyDescent="0.25">
      <c r="H1759" t="s">
        <v>6769</v>
      </c>
    </row>
    <row r="1760" spans="8:8" x14ac:dyDescent="0.25">
      <c r="H1760" t="s">
        <v>6776</v>
      </c>
    </row>
    <row r="1761" spans="8:8" x14ac:dyDescent="0.25">
      <c r="H1761" t="s">
        <v>6769</v>
      </c>
    </row>
    <row r="1762" spans="8:8" x14ac:dyDescent="0.25">
      <c r="H1762" t="s">
        <v>6777</v>
      </c>
    </row>
    <row r="1763" spans="8:8" x14ac:dyDescent="0.25">
      <c r="H1763" t="s">
        <v>6769</v>
      </c>
    </row>
    <row r="1764" spans="8:8" x14ac:dyDescent="0.25">
      <c r="H1764" t="s">
        <v>6778</v>
      </c>
    </row>
    <row r="1765" spans="8:8" x14ac:dyDescent="0.25">
      <c r="H1765" t="s">
        <v>6769</v>
      </c>
    </row>
    <row r="1766" spans="8:8" x14ac:dyDescent="0.25">
      <c r="H1766" t="s">
        <v>6779</v>
      </c>
    </row>
    <row r="1767" spans="8:8" x14ac:dyDescent="0.25">
      <c r="H1767" t="s">
        <v>6769</v>
      </c>
    </row>
    <row r="1768" spans="8:8" x14ac:dyDescent="0.25">
      <c r="H1768" t="s">
        <v>6780</v>
      </c>
    </row>
    <row r="1769" spans="8:8" x14ac:dyDescent="0.25">
      <c r="H1769" t="s">
        <v>6769</v>
      </c>
    </row>
    <row r="1770" spans="8:8" x14ac:dyDescent="0.25">
      <c r="H1770" t="s">
        <v>6781</v>
      </c>
    </row>
    <row r="1771" spans="8:8" x14ac:dyDescent="0.25">
      <c r="H1771" t="s">
        <v>6769</v>
      </c>
    </row>
    <row r="1772" spans="8:8" x14ac:dyDescent="0.25">
      <c r="H1772" t="s">
        <v>6782</v>
      </c>
    </row>
    <row r="1773" spans="8:8" x14ac:dyDescent="0.25">
      <c r="H1773" t="s">
        <v>6769</v>
      </c>
    </row>
    <row r="1774" spans="8:8" x14ac:dyDescent="0.25">
      <c r="H1774" t="s">
        <v>6783</v>
      </c>
    </row>
    <row r="1775" spans="8:8" x14ac:dyDescent="0.25">
      <c r="H1775" t="s">
        <v>6769</v>
      </c>
    </row>
    <row r="1776" spans="8:8" x14ac:dyDescent="0.25">
      <c r="H1776" t="s">
        <v>6784</v>
      </c>
    </row>
    <row r="1777" spans="8:8" x14ac:dyDescent="0.25">
      <c r="H1777" t="s">
        <v>6769</v>
      </c>
    </row>
    <row r="1778" spans="8:8" x14ac:dyDescent="0.25">
      <c r="H1778" t="s">
        <v>6785</v>
      </c>
    </row>
    <row r="1779" spans="8:8" x14ac:dyDescent="0.25">
      <c r="H1779" t="s">
        <v>6769</v>
      </c>
    </row>
    <row r="1780" spans="8:8" x14ac:dyDescent="0.25">
      <c r="H1780" t="s">
        <v>6786</v>
      </c>
    </row>
    <row r="1781" spans="8:8" x14ac:dyDescent="0.25">
      <c r="H1781" t="s">
        <v>6769</v>
      </c>
    </row>
    <row r="1782" spans="8:8" x14ac:dyDescent="0.25">
      <c r="H1782" t="s">
        <v>6787</v>
      </c>
    </row>
    <row r="1783" spans="8:8" x14ac:dyDescent="0.25">
      <c r="H1783" t="s">
        <v>6769</v>
      </c>
    </row>
    <row r="1784" spans="8:8" x14ac:dyDescent="0.25">
      <c r="H1784" t="s">
        <v>6788</v>
      </c>
    </row>
    <row r="1785" spans="8:8" x14ac:dyDescent="0.25">
      <c r="H1785" t="s">
        <v>6769</v>
      </c>
    </row>
    <row r="1786" spans="8:8" x14ac:dyDescent="0.25">
      <c r="H1786" t="s">
        <v>6789</v>
      </c>
    </row>
    <row r="1787" spans="8:8" x14ac:dyDescent="0.25">
      <c r="H1787" t="s">
        <v>6769</v>
      </c>
    </row>
    <row r="1788" spans="8:8" x14ac:dyDescent="0.25">
      <c r="H1788" t="s">
        <v>6790</v>
      </c>
    </row>
    <row r="1789" spans="8:8" x14ac:dyDescent="0.25">
      <c r="H1789" t="s">
        <v>6769</v>
      </c>
    </row>
    <row r="1790" spans="8:8" x14ac:dyDescent="0.25">
      <c r="H1790" t="s">
        <v>6791</v>
      </c>
    </row>
    <row r="1791" spans="8:8" x14ac:dyDescent="0.25">
      <c r="H1791" t="s">
        <v>6769</v>
      </c>
    </row>
    <row r="1792" spans="8:8" x14ac:dyDescent="0.25">
      <c r="H1792" t="s">
        <v>6792</v>
      </c>
    </row>
    <row r="1793" spans="8:8" x14ac:dyDescent="0.25">
      <c r="H1793" t="s">
        <v>6769</v>
      </c>
    </row>
    <row r="1794" spans="8:8" x14ac:dyDescent="0.25">
      <c r="H1794" t="s">
        <v>6793</v>
      </c>
    </row>
    <row r="1795" spans="8:8" x14ac:dyDescent="0.25">
      <c r="H1795" t="s">
        <v>6769</v>
      </c>
    </row>
    <row r="1796" spans="8:8" x14ac:dyDescent="0.25">
      <c r="H1796" t="s">
        <v>6794</v>
      </c>
    </row>
    <row r="1797" spans="8:8" x14ac:dyDescent="0.25">
      <c r="H1797" t="s">
        <v>6769</v>
      </c>
    </row>
    <row r="1798" spans="8:8" x14ac:dyDescent="0.25">
      <c r="H1798" t="s">
        <v>6795</v>
      </c>
    </row>
    <row r="1799" spans="8:8" x14ac:dyDescent="0.25">
      <c r="H1799" t="s">
        <v>6769</v>
      </c>
    </row>
    <row r="1800" spans="8:8" x14ac:dyDescent="0.25">
      <c r="H1800" t="s">
        <v>6796</v>
      </c>
    </row>
    <row r="1801" spans="8:8" x14ac:dyDescent="0.25">
      <c r="H1801" t="s">
        <v>6769</v>
      </c>
    </row>
    <row r="1802" spans="8:8" x14ac:dyDescent="0.25">
      <c r="H1802" t="s">
        <v>6797</v>
      </c>
    </row>
    <row r="1803" spans="8:8" x14ac:dyDescent="0.25">
      <c r="H1803" t="s">
        <v>6769</v>
      </c>
    </row>
    <row r="1804" spans="8:8" x14ac:dyDescent="0.25">
      <c r="H1804" t="s">
        <v>6798</v>
      </c>
    </row>
    <row r="1805" spans="8:8" x14ac:dyDescent="0.25">
      <c r="H1805" t="s">
        <v>6769</v>
      </c>
    </row>
    <row r="1806" spans="8:8" x14ac:dyDescent="0.25">
      <c r="H1806" t="s">
        <v>6799</v>
      </c>
    </row>
    <row r="1807" spans="8:8" x14ac:dyDescent="0.25">
      <c r="H1807" t="s">
        <v>6769</v>
      </c>
    </row>
    <row r="1808" spans="8:8" x14ac:dyDescent="0.25">
      <c r="H1808" t="s">
        <v>6800</v>
      </c>
    </row>
    <row r="1809" spans="8:8" x14ac:dyDescent="0.25">
      <c r="H1809" t="s">
        <v>6769</v>
      </c>
    </row>
    <row r="1810" spans="8:8" x14ac:dyDescent="0.25">
      <c r="H1810" t="s">
        <v>6801</v>
      </c>
    </row>
    <row r="1811" spans="8:8" x14ac:dyDescent="0.25">
      <c r="H1811" t="s">
        <v>6769</v>
      </c>
    </row>
    <row r="1812" spans="8:8" x14ac:dyDescent="0.25">
      <c r="H1812" t="s">
        <v>6802</v>
      </c>
    </row>
    <row r="1813" spans="8:8" x14ac:dyDescent="0.25">
      <c r="H1813" t="s">
        <v>6769</v>
      </c>
    </row>
    <row r="1814" spans="8:8" x14ac:dyDescent="0.25">
      <c r="H1814" t="s">
        <v>6803</v>
      </c>
    </row>
    <row r="1815" spans="8:8" x14ac:dyDescent="0.25">
      <c r="H1815" t="s">
        <v>6769</v>
      </c>
    </row>
    <row r="1816" spans="8:8" x14ac:dyDescent="0.25">
      <c r="H1816" t="s">
        <v>6804</v>
      </c>
    </row>
    <row r="1817" spans="8:8" x14ac:dyDescent="0.25">
      <c r="H1817" t="s">
        <v>6769</v>
      </c>
    </row>
    <row r="1818" spans="8:8" x14ac:dyDescent="0.25">
      <c r="H1818" t="s">
        <v>6805</v>
      </c>
    </row>
    <row r="1819" spans="8:8" x14ac:dyDescent="0.25">
      <c r="H1819" t="s">
        <v>6769</v>
      </c>
    </row>
    <row r="1820" spans="8:8" x14ac:dyDescent="0.25">
      <c r="H1820" t="s">
        <v>6806</v>
      </c>
    </row>
    <row r="1821" spans="8:8" x14ac:dyDescent="0.25">
      <c r="H1821" t="s">
        <v>6769</v>
      </c>
    </row>
    <row r="1822" spans="8:8" x14ac:dyDescent="0.25">
      <c r="H1822" t="s">
        <v>6807</v>
      </c>
    </row>
    <row r="1823" spans="8:8" x14ac:dyDescent="0.25">
      <c r="H1823" t="s">
        <v>6769</v>
      </c>
    </row>
    <row r="1824" spans="8:8" x14ac:dyDescent="0.25">
      <c r="H1824" t="s">
        <v>6808</v>
      </c>
    </row>
    <row r="1825" spans="8:8" x14ac:dyDescent="0.25">
      <c r="H1825" t="s">
        <v>6769</v>
      </c>
    </row>
    <row r="1826" spans="8:8" x14ac:dyDescent="0.25">
      <c r="H1826" t="s">
        <v>6809</v>
      </c>
    </row>
    <row r="1827" spans="8:8" x14ac:dyDescent="0.25">
      <c r="H1827" t="s">
        <v>6769</v>
      </c>
    </row>
    <row r="1828" spans="8:8" x14ac:dyDescent="0.25">
      <c r="H1828" t="s">
        <v>6810</v>
      </c>
    </row>
    <row r="1829" spans="8:8" x14ac:dyDescent="0.25">
      <c r="H1829" t="s">
        <v>6769</v>
      </c>
    </row>
    <row r="1830" spans="8:8" x14ac:dyDescent="0.25">
      <c r="H1830" t="s">
        <v>6811</v>
      </c>
    </row>
    <row r="1831" spans="8:8" x14ac:dyDescent="0.25">
      <c r="H1831" t="s">
        <v>6769</v>
      </c>
    </row>
    <row r="1832" spans="8:8" x14ac:dyDescent="0.25">
      <c r="H1832" t="s">
        <v>6812</v>
      </c>
    </row>
    <row r="1833" spans="8:8" x14ac:dyDescent="0.25">
      <c r="H1833" t="s">
        <v>6769</v>
      </c>
    </row>
    <row r="1834" spans="8:8" x14ac:dyDescent="0.25">
      <c r="H1834" t="s">
        <v>6813</v>
      </c>
    </row>
    <row r="1835" spans="8:8" x14ac:dyDescent="0.25">
      <c r="H1835" t="s">
        <v>6769</v>
      </c>
    </row>
    <row r="1836" spans="8:8" x14ac:dyDescent="0.25">
      <c r="H1836" t="s">
        <v>6814</v>
      </c>
    </row>
    <row r="1837" spans="8:8" x14ac:dyDescent="0.25">
      <c r="H1837" t="s">
        <v>6769</v>
      </c>
    </row>
    <row r="1838" spans="8:8" x14ac:dyDescent="0.25">
      <c r="H1838" t="s">
        <v>6815</v>
      </c>
    </row>
    <row r="1839" spans="8:8" x14ac:dyDescent="0.25">
      <c r="H1839" t="s">
        <v>6769</v>
      </c>
    </row>
    <row r="1840" spans="8:8" x14ac:dyDescent="0.25">
      <c r="H1840" t="s">
        <v>6816</v>
      </c>
    </row>
    <row r="1841" spans="8:8" x14ac:dyDescent="0.25">
      <c r="H1841" t="s">
        <v>6769</v>
      </c>
    </row>
    <row r="1842" spans="8:8" x14ac:dyDescent="0.25">
      <c r="H1842" t="s">
        <v>6817</v>
      </c>
    </row>
    <row r="1843" spans="8:8" x14ac:dyDescent="0.25">
      <c r="H1843" t="s">
        <v>6769</v>
      </c>
    </row>
    <row r="1844" spans="8:8" x14ac:dyDescent="0.25">
      <c r="H1844" t="s">
        <v>6818</v>
      </c>
    </row>
    <row r="1845" spans="8:8" x14ac:dyDescent="0.25">
      <c r="H1845" t="s">
        <v>6769</v>
      </c>
    </row>
    <row r="1846" spans="8:8" x14ac:dyDescent="0.25">
      <c r="H1846" t="s">
        <v>6819</v>
      </c>
    </row>
    <row r="1847" spans="8:8" x14ac:dyDescent="0.25">
      <c r="H1847" t="s">
        <v>6769</v>
      </c>
    </row>
    <row r="1848" spans="8:8" x14ac:dyDescent="0.25">
      <c r="H1848" t="s">
        <v>6820</v>
      </c>
    </row>
    <row r="1849" spans="8:8" x14ac:dyDescent="0.25">
      <c r="H1849" t="s">
        <v>6769</v>
      </c>
    </row>
    <row r="1850" spans="8:8" x14ac:dyDescent="0.25">
      <c r="H1850" t="s">
        <v>6821</v>
      </c>
    </row>
    <row r="1851" spans="8:8" x14ac:dyDescent="0.25">
      <c r="H1851" t="s">
        <v>6769</v>
      </c>
    </row>
    <row r="1852" spans="8:8" x14ac:dyDescent="0.25">
      <c r="H1852" t="s">
        <v>6822</v>
      </c>
    </row>
    <row r="1853" spans="8:8" x14ac:dyDescent="0.25">
      <c r="H1853" t="s">
        <v>6769</v>
      </c>
    </row>
    <row r="1854" spans="8:8" x14ac:dyDescent="0.25">
      <c r="H1854" t="s">
        <v>6823</v>
      </c>
    </row>
    <row r="1855" spans="8:8" x14ac:dyDescent="0.25">
      <c r="H1855" t="s">
        <v>6769</v>
      </c>
    </row>
    <row r="1856" spans="8:8" x14ac:dyDescent="0.25">
      <c r="H1856" t="s">
        <v>6824</v>
      </c>
    </row>
    <row r="1857" spans="8:8" x14ac:dyDescent="0.25">
      <c r="H1857" t="s">
        <v>6769</v>
      </c>
    </row>
    <row r="1858" spans="8:8" x14ac:dyDescent="0.25">
      <c r="H1858" t="s">
        <v>6825</v>
      </c>
    </row>
    <row r="1859" spans="8:8" x14ac:dyDescent="0.25">
      <c r="H1859" t="s">
        <v>6769</v>
      </c>
    </row>
    <row r="1860" spans="8:8" x14ac:dyDescent="0.25">
      <c r="H1860" t="s">
        <v>6826</v>
      </c>
    </row>
    <row r="1861" spans="8:8" x14ac:dyDescent="0.25">
      <c r="H1861" t="s">
        <v>6769</v>
      </c>
    </row>
    <row r="1862" spans="8:8" x14ac:dyDescent="0.25">
      <c r="H1862" t="s">
        <v>6827</v>
      </c>
    </row>
    <row r="1863" spans="8:8" x14ac:dyDescent="0.25">
      <c r="H1863" t="s">
        <v>6828</v>
      </c>
    </row>
    <row r="1864" spans="8:8" x14ac:dyDescent="0.25">
      <c r="H1864" t="s">
        <v>6829</v>
      </c>
    </row>
    <row r="1865" spans="8:8" x14ac:dyDescent="0.25">
      <c r="H1865" t="s">
        <v>6828</v>
      </c>
    </row>
    <row r="1866" spans="8:8" x14ac:dyDescent="0.25">
      <c r="H1866" t="s">
        <v>6830</v>
      </c>
    </row>
    <row r="1867" spans="8:8" x14ac:dyDescent="0.25">
      <c r="H1867" t="s">
        <v>6828</v>
      </c>
    </row>
    <row r="1868" spans="8:8" x14ac:dyDescent="0.25">
      <c r="H1868" t="s">
        <v>6831</v>
      </c>
    </row>
    <row r="1869" spans="8:8" x14ac:dyDescent="0.25">
      <c r="H1869" t="s">
        <v>6828</v>
      </c>
    </row>
    <row r="1870" spans="8:8" x14ac:dyDescent="0.25">
      <c r="H1870" t="s">
        <v>6832</v>
      </c>
    </row>
    <row r="1871" spans="8:8" x14ac:dyDescent="0.25">
      <c r="H1871" t="s">
        <v>6828</v>
      </c>
    </row>
    <row r="1872" spans="8:8" x14ac:dyDescent="0.25">
      <c r="H1872" t="s">
        <v>6833</v>
      </c>
    </row>
    <row r="1873" spans="8:8" x14ac:dyDescent="0.25">
      <c r="H1873" t="s">
        <v>6828</v>
      </c>
    </row>
    <row r="1874" spans="8:8" x14ac:dyDescent="0.25">
      <c r="H1874" t="s">
        <v>6834</v>
      </c>
    </row>
    <row r="1875" spans="8:8" x14ac:dyDescent="0.25">
      <c r="H1875" t="s">
        <v>6828</v>
      </c>
    </row>
    <row r="1876" spans="8:8" x14ac:dyDescent="0.25">
      <c r="H1876" t="s">
        <v>6835</v>
      </c>
    </row>
    <row r="1877" spans="8:8" x14ac:dyDescent="0.25">
      <c r="H1877" t="s">
        <v>6828</v>
      </c>
    </row>
    <row r="1878" spans="8:8" x14ac:dyDescent="0.25">
      <c r="H1878" t="s">
        <v>6836</v>
      </c>
    </row>
    <row r="1879" spans="8:8" x14ac:dyDescent="0.25">
      <c r="H1879" t="s">
        <v>6828</v>
      </c>
    </row>
    <row r="1880" spans="8:8" x14ac:dyDescent="0.25">
      <c r="H1880" t="s">
        <v>6837</v>
      </c>
    </row>
    <row r="1881" spans="8:8" x14ac:dyDescent="0.25">
      <c r="H1881" t="s">
        <v>6828</v>
      </c>
    </row>
    <row r="1882" spans="8:8" x14ac:dyDescent="0.25">
      <c r="H1882" t="s">
        <v>6838</v>
      </c>
    </row>
    <row r="1883" spans="8:8" x14ac:dyDescent="0.25">
      <c r="H1883" t="s">
        <v>6828</v>
      </c>
    </row>
    <row r="1884" spans="8:8" x14ac:dyDescent="0.25">
      <c r="H1884" t="s">
        <v>6839</v>
      </c>
    </row>
    <row r="1885" spans="8:8" x14ac:dyDescent="0.25">
      <c r="H1885" t="s">
        <v>6828</v>
      </c>
    </row>
    <row r="1886" spans="8:8" x14ac:dyDescent="0.25">
      <c r="H1886" t="s">
        <v>6840</v>
      </c>
    </row>
    <row r="1887" spans="8:8" x14ac:dyDescent="0.25">
      <c r="H1887" t="s">
        <v>6828</v>
      </c>
    </row>
    <row r="1888" spans="8:8" x14ac:dyDescent="0.25">
      <c r="H1888" t="s">
        <v>6841</v>
      </c>
    </row>
    <row r="1889" spans="8:8" x14ac:dyDescent="0.25">
      <c r="H1889" t="s">
        <v>6828</v>
      </c>
    </row>
    <row r="1890" spans="8:8" x14ac:dyDescent="0.25">
      <c r="H1890" t="s">
        <v>6842</v>
      </c>
    </row>
    <row r="1891" spans="8:8" x14ac:dyDescent="0.25">
      <c r="H1891" t="s">
        <v>6828</v>
      </c>
    </row>
    <row r="1892" spans="8:8" x14ac:dyDescent="0.25">
      <c r="H1892" t="s">
        <v>6843</v>
      </c>
    </row>
    <row r="1893" spans="8:8" x14ac:dyDescent="0.25">
      <c r="H1893" t="s">
        <v>6828</v>
      </c>
    </row>
    <row r="1894" spans="8:8" x14ac:dyDescent="0.25">
      <c r="H1894" t="s">
        <v>6844</v>
      </c>
    </row>
    <row r="1895" spans="8:8" x14ac:dyDescent="0.25">
      <c r="H1895" t="s">
        <v>6828</v>
      </c>
    </row>
    <row r="1896" spans="8:8" x14ac:dyDescent="0.25">
      <c r="H1896" t="s">
        <v>6845</v>
      </c>
    </row>
    <row r="1897" spans="8:8" x14ac:dyDescent="0.25">
      <c r="H1897" t="s">
        <v>6828</v>
      </c>
    </row>
    <row r="1898" spans="8:8" x14ac:dyDescent="0.25">
      <c r="H1898" t="s">
        <v>6846</v>
      </c>
    </row>
    <row r="1899" spans="8:8" x14ac:dyDescent="0.25">
      <c r="H1899" t="s">
        <v>6828</v>
      </c>
    </row>
    <row r="1900" spans="8:8" x14ac:dyDescent="0.25">
      <c r="H1900" t="s">
        <v>6847</v>
      </c>
    </row>
    <row r="1901" spans="8:8" x14ac:dyDescent="0.25">
      <c r="H1901" t="s">
        <v>6828</v>
      </c>
    </row>
    <row r="1902" spans="8:8" x14ac:dyDescent="0.25">
      <c r="H1902" t="s">
        <v>6848</v>
      </c>
    </row>
    <row r="1903" spans="8:8" x14ac:dyDescent="0.25">
      <c r="H1903" t="s">
        <v>6828</v>
      </c>
    </row>
    <row r="1904" spans="8:8" x14ac:dyDescent="0.25">
      <c r="H1904" t="s">
        <v>6849</v>
      </c>
    </row>
    <row r="1905" spans="8:8" x14ac:dyDescent="0.25">
      <c r="H1905" t="s">
        <v>6828</v>
      </c>
    </row>
    <row r="1906" spans="8:8" x14ac:dyDescent="0.25">
      <c r="H1906" t="s">
        <v>6850</v>
      </c>
    </row>
    <row r="1907" spans="8:8" x14ac:dyDescent="0.25">
      <c r="H1907" t="s">
        <v>6828</v>
      </c>
    </row>
    <row r="1908" spans="8:8" x14ac:dyDescent="0.25">
      <c r="H1908" t="s">
        <v>6851</v>
      </c>
    </row>
    <row r="1909" spans="8:8" x14ac:dyDescent="0.25">
      <c r="H1909" t="s">
        <v>6828</v>
      </c>
    </row>
    <row r="1910" spans="8:8" x14ac:dyDescent="0.25">
      <c r="H1910" t="s">
        <v>6852</v>
      </c>
    </row>
    <row r="1911" spans="8:8" x14ac:dyDescent="0.25">
      <c r="H1911" t="s">
        <v>6828</v>
      </c>
    </row>
    <row r="1912" spans="8:8" x14ac:dyDescent="0.25">
      <c r="H1912" t="s">
        <v>6853</v>
      </c>
    </row>
    <row r="1913" spans="8:8" x14ac:dyDescent="0.25">
      <c r="H1913" t="s">
        <v>6828</v>
      </c>
    </row>
    <row r="1914" spans="8:8" x14ac:dyDescent="0.25">
      <c r="H1914" t="s">
        <v>6854</v>
      </c>
    </row>
    <row r="1915" spans="8:8" x14ac:dyDescent="0.25">
      <c r="H1915" t="s">
        <v>6828</v>
      </c>
    </row>
    <row r="1916" spans="8:8" x14ac:dyDescent="0.25">
      <c r="H1916" t="s">
        <v>6855</v>
      </c>
    </row>
    <row r="1917" spans="8:8" x14ac:dyDescent="0.25">
      <c r="H1917" t="s">
        <v>6828</v>
      </c>
    </row>
    <row r="1918" spans="8:8" x14ac:dyDescent="0.25">
      <c r="H1918" t="s">
        <v>6856</v>
      </c>
    </row>
    <row r="1919" spans="8:8" x14ac:dyDescent="0.25">
      <c r="H1919" t="s">
        <v>6828</v>
      </c>
    </row>
    <row r="1920" spans="8:8" x14ac:dyDescent="0.25">
      <c r="H1920" t="s">
        <v>6857</v>
      </c>
    </row>
    <row r="1921" spans="8:8" x14ac:dyDescent="0.25">
      <c r="H1921" t="s">
        <v>6828</v>
      </c>
    </row>
    <row r="1922" spans="8:8" x14ac:dyDescent="0.25">
      <c r="H1922" t="s">
        <v>6858</v>
      </c>
    </row>
    <row r="1923" spans="8:8" x14ac:dyDescent="0.25">
      <c r="H1923" t="s">
        <v>6828</v>
      </c>
    </row>
    <row r="1924" spans="8:8" x14ac:dyDescent="0.25">
      <c r="H1924" t="s">
        <v>6859</v>
      </c>
    </row>
    <row r="1925" spans="8:8" x14ac:dyDescent="0.25">
      <c r="H1925" t="s">
        <v>6828</v>
      </c>
    </row>
    <row r="1926" spans="8:8" x14ac:dyDescent="0.25">
      <c r="H1926" t="s">
        <v>6860</v>
      </c>
    </row>
    <row r="1927" spans="8:8" x14ac:dyDescent="0.25">
      <c r="H1927" t="s">
        <v>6828</v>
      </c>
    </row>
    <row r="1928" spans="8:8" x14ac:dyDescent="0.25">
      <c r="H1928" t="s">
        <v>6861</v>
      </c>
    </row>
    <row r="1929" spans="8:8" x14ac:dyDescent="0.25">
      <c r="H1929" t="s">
        <v>6828</v>
      </c>
    </row>
    <row r="1930" spans="8:8" x14ac:dyDescent="0.25">
      <c r="H1930" t="s">
        <v>6862</v>
      </c>
    </row>
    <row r="1931" spans="8:8" x14ac:dyDescent="0.25">
      <c r="H1931" t="s">
        <v>6828</v>
      </c>
    </row>
    <row r="1932" spans="8:8" x14ac:dyDescent="0.25">
      <c r="H1932" t="s">
        <v>6863</v>
      </c>
    </row>
    <row r="1933" spans="8:8" x14ac:dyDescent="0.25">
      <c r="H1933" t="s">
        <v>6828</v>
      </c>
    </row>
    <row r="1934" spans="8:8" x14ac:dyDescent="0.25">
      <c r="H1934" t="s">
        <v>6864</v>
      </c>
    </row>
    <row r="1935" spans="8:8" x14ac:dyDescent="0.25">
      <c r="H1935" t="s">
        <v>6828</v>
      </c>
    </row>
    <row r="1936" spans="8:8" x14ac:dyDescent="0.25">
      <c r="H1936" t="s">
        <v>6865</v>
      </c>
    </row>
    <row r="1937" spans="8:8" x14ac:dyDescent="0.25">
      <c r="H1937" t="s">
        <v>6828</v>
      </c>
    </row>
    <row r="1938" spans="8:8" x14ac:dyDescent="0.25">
      <c r="H1938" t="s">
        <v>6866</v>
      </c>
    </row>
    <row r="1939" spans="8:8" x14ac:dyDescent="0.25">
      <c r="H1939" t="s">
        <v>6828</v>
      </c>
    </row>
    <row r="1940" spans="8:8" x14ac:dyDescent="0.25">
      <c r="H1940" t="s">
        <v>6867</v>
      </c>
    </row>
    <row r="1941" spans="8:8" x14ac:dyDescent="0.25">
      <c r="H1941" t="s">
        <v>6828</v>
      </c>
    </row>
    <row r="1942" spans="8:8" x14ac:dyDescent="0.25">
      <c r="H1942" t="s">
        <v>6868</v>
      </c>
    </row>
    <row r="1943" spans="8:8" x14ac:dyDescent="0.25">
      <c r="H1943" t="s">
        <v>6828</v>
      </c>
    </row>
    <row r="1944" spans="8:8" x14ac:dyDescent="0.25">
      <c r="H1944" t="s">
        <v>6869</v>
      </c>
    </row>
    <row r="1945" spans="8:8" x14ac:dyDescent="0.25">
      <c r="H1945" t="s">
        <v>6828</v>
      </c>
    </row>
    <row r="1946" spans="8:8" x14ac:dyDescent="0.25">
      <c r="H1946" t="s">
        <v>6870</v>
      </c>
    </row>
    <row r="1947" spans="8:8" x14ac:dyDescent="0.25">
      <c r="H1947" t="s">
        <v>6828</v>
      </c>
    </row>
    <row r="1948" spans="8:8" x14ac:dyDescent="0.25">
      <c r="H1948" t="s">
        <v>6871</v>
      </c>
    </row>
    <row r="1949" spans="8:8" x14ac:dyDescent="0.25">
      <c r="H1949" t="s">
        <v>6828</v>
      </c>
    </row>
    <row r="1950" spans="8:8" x14ac:dyDescent="0.25">
      <c r="H1950" t="s">
        <v>6872</v>
      </c>
    </row>
    <row r="1951" spans="8:8" x14ac:dyDescent="0.25">
      <c r="H1951" t="s">
        <v>6828</v>
      </c>
    </row>
    <row r="1952" spans="8:8" x14ac:dyDescent="0.25">
      <c r="H1952" t="s">
        <v>6873</v>
      </c>
    </row>
    <row r="1953" spans="8:8" x14ac:dyDescent="0.25">
      <c r="H1953" t="s">
        <v>6828</v>
      </c>
    </row>
    <row r="1954" spans="8:8" x14ac:dyDescent="0.25">
      <c r="H1954" t="s">
        <v>6874</v>
      </c>
    </row>
    <row r="1955" spans="8:8" x14ac:dyDescent="0.25">
      <c r="H1955" t="s">
        <v>6828</v>
      </c>
    </row>
    <row r="1956" spans="8:8" x14ac:dyDescent="0.25">
      <c r="H1956" t="s">
        <v>6875</v>
      </c>
    </row>
    <row r="1957" spans="8:8" x14ac:dyDescent="0.25">
      <c r="H1957" t="s">
        <v>6828</v>
      </c>
    </row>
    <row r="1958" spans="8:8" x14ac:dyDescent="0.25">
      <c r="H1958" t="s">
        <v>6876</v>
      </c>
    </row>
    <row r="1959" spans="8:8" x14ac:dyDescent="0.25">
      <c r="H1959" t="s">
        <v>6828</v>
      </c>
    </row>
    <row r="1960" spans="8:8" x14ac:dyDescent="0.25">
      <c r="H1960" t="s">
        <v>6877</v>
      </c>
    </row>
    <row r="1961" spans="8:8" x14ac:dyDescent="0.25">
      <c r="H1961" t="s">
        <v>6828</v>
      </c>
    </row>
    <row r="1962" spans="8:8" x14ac:dyDescent="0.25">
      <c r="H1962" t="s">
        <v>6878</v>
      </c>
    </row>
    <row r="1963" spans="8:8" x14ac:dyDescent="0.25">
      <c r="H1963" t="s">
        <v>6828</v>
      </c>
    </row>
    <row r="1964" spans="8:8" x14ac:dyDescent="0.25">
      <c r="H1964" t="s">
        <v>6879</v>
      </c>
    </row>
    <row r="1965" spans="8:8" x14ac:dyDescent="0.25">
      <c r="H1965" t="s">
        <v>6828</v>
      </c>
    </row>
    <row r="1966" spans="8:8" x14ac:dyDescent="0.25">
      <c r="H1966" t="s">
        <v>6880</v>
      </c>
    </row>
    <row r="1967" spans="8:8" x14ac:dyDescent="0.25">
      <c r="H1967" t="s">
        <v>6828</v>
      </c>
    </row>
    <row r="1968" spans="8:8" x14ac:dyDescent="0.25">
      <c r="H1968" t="s">
        <v>6881</v>
      </c>
    </row>
    <row r="1969" spans="8:8" x14ac:dyDescent="0.25">
      <c r="H1969" t="s">
        <v>6828</v>
      </c>
    </row>
    <row r="1970" spans="8:8" x14ac:dyDescent="0.25">
      <c r="H1970" t="s">
        <v>6882</v>
      </c>
    </row>
    <row r="1971" spans="8:8" x14ac:dyDescent="0.25">
      <c r="H1971" t="s">
        <v>6828</v>
      </c>
    </row>
    <row r="1972" spans="8:8" x14ac:dyDescent="0.25">
      <c r="H1972" t="s">
        <v>6883</v>
      </c>
    </row>
    <row r="1973" spans="8:8" x14ac:dyDescent="0.25">
      <c r="H1973" t="s">
        <v>6828</v>
      </c>
    </row>
    <row r="1974" spans="8:8" x14ac:dyDescent="0.25">
      <c r="H1974" t="s">
        <v>6884</v>
      </c>
    </row>
    <row r="1975" spans="8:8" x14ac:dyDescent="0.25">
      <c r="H1975" t="s">
        <v>6828</v>
      </c>
    </row>
    <row r="1976" spans="8:8" x14ac:dyDescent="0.25">
      <c r="H1976" t="s">
        <v>6885</v>
      </c>
    </row>
    <row r="1977" spans="8:8" x14ac:dyDescent="0.25">
      <c r="H1977" t="s">
        <v>6828</v>
      </c>
    </row>
    <row r="1978" spans="8:8" x14ac:dyDescent="0.25">
      <c r="H1978" t="s">
        <v>6886</v>
      </c>
    </row>
    <row r="1979" spans="8:8" x14ac:dyDescent="0.25">
      <c r="H1979" t="s">
        <v>6828</v>
      </c>
    </row>
    <row r="1980" spans="8:8" x14ac:dyDescent="0.25">
      <c r="H1980" t="s">
        <v>6887</v>
      </c>
    </row>
    <row r="1981" spans="8:8" x14ac:dyDescent="0.25">
      <c r="H1981" t="s">
        <v>6828</v>
      </c>
    </row>
    <row r="1982" spans="8:8" x14ac:dyDescent="0.25">
      <c r="H1982" t="s">
        <v>6888</v>
      </c>
    </row>
    <row r="1983" spans="8:8" x14ac:dyDescent="0.25">
      <c r="H1983" t="s">
        <v>6828</v>
      </c>
    </row>
    <row r="1984" spans="8:8" x14ac:dyDescent="0.25">
      <c r="H1984" t="s">
        <v>6889</v>
      </c>
    </row>
    <row r="1985" spans="8:8" x14ac:dyDescent="0.25">
      <c r="H1985" t="s">
        <v>6828</v>
      </c>
    </row>
    <row r="1986" spans="8:8" x14ac:dyDescent="0.25">
      <c r="H1986" t="s">
        <v>6890</v>
      </c>
    </row>
    <row r="1987" spans="8:8" x14ac:dyDescent="0.25">
      <c r="H1987" t="s">
        <v>6828</v>
      </c>
    </row>
    <row r="1988" spans="8:8" x14ac:dyDescent="0.25">
      <c r="H1988" t="s">
        <v>6891</v>
      </c>
    </row>
    <row r="1989" spans="8:8" x14ac:dyDescent="0.25">
      <c r="H1989" t="s">
        <v>6828</v>
      </c>
    </row>
    <row r="1990" spans="8:8" x14ac:dyDescent="0.25">
      <c r="H1990" t="s">
        <v>6892</v>
      </c>
    </row>
    <row r="1991" spans="8:8" x14ac:dyDescent="0.25">
      <c r="H1991" t="s">
        <v>6828</v>
      </c>
    </row>
    <row r="1992" spans="8:8" x14ac:dyDescent="0.25">
      <c r="H1992" t="s">
        <v>6893</v>
      </c>
    </row>
    <row r="1993" spans="8:8" x14ac:dyDescent="0.25">
      <c r="H1993" t="s">
        <v>6828</v>
      </c>
    </row>
    <row r="1994" spans="8:8" x14ac:dyDescent="0.25">
      <c r="H1994" t="s">
        <v>6894</v>
      </c>
    </row>
    <row r="1995" spans="8:8" x14ac:dyDescent="0.25">
      <c r="H1995" t="s">
        <v>6828</v>
      </c>
    </row>
    <row r="1996" spans="8:8" x14ac:dyDescent="0.25">
      <c r="H1996" t="s">
        <v>6895</v>
      </c>
    </row>
    <row r="1997" spans="8:8" x14ac:dyDescent="0.25">
      <c r="H1997" t="s">
        <v>6828</v>
      </c>
    </row>
    <row r="1998" spans="8:8" x14ac:dyDescent="0.25">
      <c r="H1998" t="s">
        <v>6896</v>
      </c>
    </row>
    <row r="1999" spans="8:8" x14ac:dyDescent="0.25">
      <c r="H1999" t="s">
        <v>6828</v>
      </c>
    </row>
    <row r="2000" spans="8:8" x14ac:dyDescent="0.25">
      <c r="H2000" t="s">
        <v>6897</v>
      </c>
    </row>
    <row r="2001" spans="8:8" x14ac:dyDescent="0.25">
      <c r="H2001" t="s">
        <v>6828</v>
      </c>
    </row>
    <row r="2002" spans="8:8" x14ac:dyDescent="0.25">
      <c r="H2002" t="s">
        <v>6898</v>
      </c>
    </row>
    <row r="2003" spans="8:8" x14ac:dyDescent="0.25">
      <c r="H2003" t="s">
        <v>6828</v>
      </c>
    </row>
    <row r="2004" spans="8:8" x14ac:dyDescent="0.25">
      <c r="H2004" t="s">
        <v>6899</v>
      </c>
    </row>
    <row r="2005" spans="8:8" x14ac:dyDescent="0.25">
      <c r="H2005" t="s">
        <v>6828</v>
      </c>
    </row>
    <row r="2006" spans="8:8" x14ac:dyDescent="0.25">
      <c r="H2006" t="s">
        <v>6900</v>
      </c>
    </row>
    <row r="2007" spans="8:8" x14ac:dyDescent="0.25">
      <c r="H2007" t="s">
        <v>6828</v>
      </c>
    </row>
    <row r="2008" spans="8:8" x14ac:dyDescent="0.25">
      <c r="H2008" t="s">
        <v>6901</v>
      </c>
    </row>
    <row r="2009" spans="8:8" x14ac:dyDescent="0.25">
      <c r="H2009" t="s">
        <v>6828</v>
      </c>
    </row>
    <row r="2010" spans="8:8" x14ac:dyDescent="0.25">
      <c r="H2010" t="s">
        <v>6902</v>
      </c>
    </row>
    <row r="2011" spans="8:8" x14ac:dyDescent="0.25">
      <c r="H2011" t="s">
        <v>6828</v>
      </c>
    </row>
    <row r="2012" spans="8:8" x14ac:dyDescent="0.25">
      <c r="H2012" t="s">
        <v>6903</v>
      </c>
    </row>
    <row r="2013" spans="8:8" x14ac:dyDescent="0.25">
      <c r="H2013" t="s">
        <v>6828</v>
      </c>
    </row>
    <row r="2014" spans="8:8" x14ac:dyDescent="0.25">
      <c r="H2014" t="s">
        <v>6904</v>
      </c>
    </row>
    <row r="2015" spans="8:8" x14ac:dyDescent="0.25">
      <c r="H2015" t="s">
        <v>6828</v>
      </c>
    </row>
    <row r="2016" spans="8:8" x14ac:dyDescent="0.25">
      <c r="H2016" t="s">
        <v>6905</v>
      </c>
    </row>
    <row r="2017" spans="8:8" x14ac:dyDescent="0.25">
      <c r="H2017" t="s">
        <v>6828</v>
      </c>
    </row>
    <row r="2018" spans="8:8" x14ac:dyDescent="0.25">
      <c r="H2018" t="s">
        <v>6906</v>
      </c>
    </row>
    <row r="2019" spans="8:8" x14ac:dyDescent="0.25">
      <c r="H2019" t="s">
        <v>6828</v>
      </c>
    </row>
    <row r="2020" spans="8:8" x14ac:dyDescent="0.25">
      <c r="H2020" t="s">
        <v>6907</v>
      </c>
    </row>
    <row r="2021" spans="8:8" x14ac:dyDescent="0.25">
      <c r="H2021" t="s">
        <v>6828</v>
      </c>
    </row>
    <row r="2022" spans="8:8" x14ac:dyDescent="0.25">
      <c r="H2022" t="s">
        <v>6908</v>
      </c>
    </row>
    <row r="2023" spans="8:8" x14ac:dyDescent="0.25">
      <c r="H2023" t="s">
        <v>6828</v>
      </c>
    </row>
    <row r="2024" spans="8:8" x14ac:dyDescent="0.25">
      <c r="H2024" t="s">
        <v>6909</v>
      </c>
    </row>
    <row r="2025" spans="8:8" x14ac:dyDescent="0.25">
      <c r="H2025" t="s">
        <v>6828</v>
      </c>
    </row>
    <row r="2026" spans="8:8" x14ac:dyDescent="0.25">
      <c r="H2026" t="s">
        <v>6910</v>
      </c>
    </row>
    <row r="2027" spans="8:8" x14ac:dyDescent="0.25">
      <c r="H2027" t="s">
        <v>6828</v>
      </c>
    </row>
    <row r="2028" spans="8:8" x14ac:dyDescent="0.25">
      <c r="H2028" t="s">
        <v>6911</v>
      </c>
    </row>
    <row r="2029" spans="8:8" x14ac:dyDescent="0.25">
      <c r="H2029" t="s">
        <v>6828</v>
      </c>
    </row>
    <row r="2030" spans="8:8" x14ac:dyDescent="0.25">
      <c r="H2030" t="s">
        <v>6912</v>
      </c>
    </row>
    <row r="2031" spans="8:8" x14ac:dyDescent="0.25">
      <c r="H2031" t="s">
        <v>6828</v>
      </c>
    </row>
    <row r="2032" spans="8:8" x14ac:dyDescent="0.25">
      <c r="H2032" t="s">
        <v>6913</v>
      </c>
    </row>
    <row r="2033" spans="8:8" x14ac:dyDescent="0.25">
      <c r="H2033" t="s">
        <v>6828</v>
      </c>
    </row>
    <row r="2034" spans="8:8" x14ac:dyDescent="0.25">
      <c r="H2034" t="s">
        <v>6914</v>
      </c>
    </row>
    <row r="2035" spans="8:8" x14ac:dyDescent="0.25">
      <c r="H2035" t="s">
        <v>6828</v>
      </c>
    </row>
    <row r="2036" spans="8:8" x14ac:dyDescent="0.25">
      <c r="H2036" t="s">
        <v>6915</v>
      </c>
    </row>
    <row r="2037" spans="8:8" x14ac:dyDescent="0.25">
      <c r="H2037" t="s">
        <v>6828</v>
      </c>
    </row>
    <row r="2038" spans="8:8" x14ac:dyDescent="0.25">
      <c r="H2038" t="s">
        <v>6916</v>
      </c>
    </row>
    <row r="2039" spans="8:8" x14ac:dyDescent="0.25">
      <c r="H2039" t="s">
        <v>6828</v>
      </c>
    </row>
    <row r="2040" spans="8:8" x14ac:dyDescent="0.25">
      <c r="H2040" t="s">
        <v>6917</v>
      </c>
    </row>
    <row r="2041" spans="8:8" x14ac:dyDescent="0.25">
      <c r="H2041" t="s">
        <v>6828</v>
      </c>
    </row>
    <row r="2042" spans="8:8" x14ac:dyDescent="0.25">
      <c r="H2042" t="s">
        <v>6918</v>
      </c>
    </row>
    <row r="2043" spans="8:8" x14ac:dyDescent="0.25">
      <c r="H2043" t="s">
        <v>6828</v>
      </c>
    </row>
    <row r="2044" spans="8:8" x14ac:dyDescent="0.25">
      <c r="H2044" t="s">
        <v>6919</v>
      </c>
    </row>
    <row r="2045" spans="8:8" x14ac:dyDescent="0.25">
      <c r="H2045" t="s">
        <v>6828</v>
      </c>
    </row>
    <row r="2046" spans="8:8" x14ac:dyDescent="0.25">
      <c r="H2046" t="s">
        <v>6920</v>
      </c>
    </row>
    <row r="2047" spans="8:8" x14ac:dyDescent="0.25">
      <c r="H2047" t="s">
        <v>6828</v>
      </c>
    </row>
    <row r="2048" spans="8:8" x14ac:dyDescent="0.25">
      <c r="H2048" t="s">
        <v>6921</v>
      </c>
    </row>
    <row r="2049" spans="8:8" x14ac:dyDescent="0.25">
      <c r="H2049" t="s">
        <v>6828</v>
      </c>
    </row>
    <row r="2050" spans="8:8" x14ac:dyDescent="0.25">
      <c r="H2050" t="s">
        <v>6922</v>
      </c>
    </row>
    <row r="2051" spans="8:8" x14ac:dyDescent="0.25">
      <c r="H2051" t="s">
        <v>6828</v>
      </c>
    </row>
    <row r="2052" spans="8:8" x14ac:dyDescent="0.25">
      <c r="H2052" t="s">
        <v>6923</v>
      </c>
    </row>
    <row r="2053" spans="8:8" x14ac:dyDescent="0.25">
      <c r="H2053" t="s">
        <v>6828</v>
      </c>
    </row>
    <row r="2054" spans="8:8" x14ac:dyDescent="0.25">
      <c r="H2054" t="s">
        <v>6924</v>
      </c>
    </row>
    <row r="2055" spans="8:8" x14ac:dyDescent="0.25">
      <c r="H2055" t="s">
        <v>6828</v>
      </c>
    </row>
    <row r="2056" spans="8:8" x14ac:dyDescent="0.25">
      <c r="H2056" t="s">
        <v>6925</v>
      </c>
    </row>
    <row r="2057" spans="8:8" x14ac:dyDescent="0.25">
      <c r="H2057" t="s">
        <v>6828</v>
      </c>
    </row>
    <row r="2058" spans="8:8" x14ac:dyDescent="0.25">
      <c r="H2058" t="s">
        <v>6926</v>
      </c>
    </row>
    <row r="2059" spans="8:8" x14ac:dyDescent="0.25">
      <c r="H2059" t="s">
        <v>6828</v>
      </c>
    </row>
    <row r="2060" spans="8:8" x14ac:dyDescent="0.25">
      <c r="H2060" t="s">
        <v>6927</v>
      </c>
    </row>
    <row r="2061" spans="8:8" x14ac:dyDescent="0.25">
      <c r="H2061" t="s">
        <v>6828</v>
      </c>
    </row>
    <row r="2062" spans="8:8" x14ac:dyDescent="0.25">
      <c r="H2062" t="s">
        <v>6928</v>
      </c>
    </row>
    <row r="2063" spans="8:8" x14ac:dyDescent="0.25">
      <c r="H2063" t="s">
        <v>6828</v>
      </c>
    </row>
    <row r="2064" spans="8:8" x14ac:dyDescent="0.25">
      <c r="H2064" t="s">
        <v>6929</v>
      </c>
    </row>
    <row r="2065" spans="8:8" x14ac:dyDescent="0.25">
      <c r="H2065" t="s">
        <v>6828</v>
      </c>
    </row>
    <row r="2066" spans="8:8" x14ac:dyDescent="0.25">
      <c r="H2066" t="s">
        <v>6930</v>
      </c>
    </row>
    <row r="2067" spans="8:8" x14ac:dyDescent="0.25">
      <c r="H2067" t="s">
        <v>6828</v>
      </c>
    </row>
    <row r="2068" spans="8:8" x14ac:dyDescent="0.25">
      <c r="H2068" t="s">
        <v>6931</v>
      </c>
    </row>
    <row r="2069" spans="8:8" x14ac:dyDescent="0.25">
      <c r="H2069" t="s">
        <v>6828</v>
      </c>
    </row>
    <row r="2070" spans="8:8" x14ac:dyDescent="0.25">
      <c r="H2070" t="s">
        <v>6932</v>
      </c>
    </row>
    <row r="2071" spans="8:8" x14ac:dyDescent="0.25">
      <c r="H2071" t="s">
        <v>6828</v>
      </c>
    </row>
    <row r="2072" spans="8:8" x14ac:dyDescent="0.25">
      <c r="H2072" t="s">
        <v>6933</v>
      </c>
    </row>
    <row r="2073" spans="8:8" x14ac:dyDescent="0.25">
      <c r="H2073" t="s">
        <v>6828</v>
      </c>
    </row>
    <row r="2074" spans="8:8" x14ac:dyDescent="0.25">
      <c r="H2074" t="s">
        <v>6934</v>
      </c>
    </row>
    <row r="2075" spans="8:8" x14ac:dyDescent="0.25">
      <c r="H2075" t="s">
        <v>6828</v>
      </c>
    </row>
    <row r="2076" spans="8:8" x14ac:dyDescent="0.25">
      <c r="H2076" t="s">
        <v>6935</v>
      </c>
    </row>
    <row r="2077" spans="8:8" x14ac:dyDescent="0.25">
      <c r="H2077" t="s">
        <v>6828</v>
      </c>
    </row>
    <row r="2078" spans="8:8" x14ac:dyDescent="0.25">
      <c r="H2078" t="s">
        <v>6936</v>
      </c>
    </row>
    <row r="2079" spans="8:8" x14ac:dyDescent="0.25">
      <c r="H2079" t="s">
        <v>6828</v>
      </c>
    </row>
    <row r="2080" spans="8:8" x14ac:dyDescent="0.25">
      <c r="H2080" t="s">
        <v>6937</v>
      </c>
    </row>
    <row r="2081" spans="8:8" x14ac:dyDescent="0.25">
      <c r="H2081" t="s">
        <v>6828</v>
      </c>
    </row>
    <row r="2082" spans="8:8" x14ac:dyDescent="0.25">
      <c r="H2082" t="s">
        <v>6938</v>
      </c>
    </row>
    <row r="2083" spans="8:8" x14ac:dyDescent="0.25">
      <c r="H2083" t="s">
        <v>6828</v>
      </c>
    </row>
    <row r="2084" spans="8:8" x14ac:dyDescent="0.25">
      <c r="H2084" t="s">
        <v>6939</v>
      </c>
    </row>
    <row r="2085" spans="8:8" x14ac:dyDescent="0.25">
      <c r="H2085" t="s">
        <v>6828</v>
      </c>
    </row>
    <row r="2086" spans="8:8" x14ac:dyDescent="0.25">
      <c r="H2086" t="s">
        <v>6940</v>
      </c>
    </row>
    <row r="2087" spans="8:8" x14ac:dyDescent="0.25">
      <c r="H2087" t="s">
        <v>6828</v>
      </c>
    </row>
    <row r="2088" spans="8:8" x14ac:dyDescent="0.25">
      <c r="H2088" t="s">
        <v>6941</v>
      </c>
    </row>
    <row r="2089" spans="8:8" x14ac:dyDescent="0.25">
      <c r="H2089" t="s">
        <v>6828</v>
      </c>
    </row>
    <row r="2090" spans="8:8" x14ac:dyDescent="0.25">
      <c r="H2090" t="s">
        <v>6942</v>
      </c>
    </row>
    <row r="2091" spans="8:8" x14ac:dyDescent="0.25">
      <c r="H2091" t="s">
        <v>6828</v>
      </c>
    </row>
    <row r="2092" spans="8:8" x14ac:dyDescent="0.25">
      <c r="H2092" t="s">
        <v>6943</v>
      </c>
    </row>
    <row r="2093" spans="8:8" x14ac:dyDescent="0.25">
      <c r="H2093" t="s">
        <v>6828</v>
      </c>
    </row>
    <row r="2094" spans="8:8" x14ac:dyDescent="0.25">
      <c r="H2094" t="s">
        <v>6944</v>
      </c>
    </row>
    <row r="2095" spans="8:8" x14ac:dyDescent="0.25">
      <c r="H2095" t="s">
        <v>6828</v>
      </c>
    </row>
    <row r="2096" spans="8:8" x14ac:dyDescent="0.25">
      <c r="H2096" t="s">
        <v>6945</v>
      </c>
    </row>
    <row r="2097" spans="8:8" x14ac:dyDescent="0.25">
      <c r="H2097" t="s">
        <v>6828</v>
      </c>
    </row>
    <row r="2098" spans="8:8" x14ac:dyDescent="0.25">
      <c r="H2098" t="s">
        <v>6946</v>
      </c>
    </row>
    <row r="2099" spans="8:8" x14ac:dyDescent="0.25">
      <c r="H2099" t="s">
        <v>6828</v>
      </c>
    </row>
    <row r="2100" spans="8:8" x14ac:dyDescent="0.25">
      <c r="H2100" t="s">
        <v>6947</v>
      </c>
    </row>
    <row r="2101" spans="8:8" x14ac:dyDescent="0.25">
      <c r="H2101" t="s">
        <v>6828</v>
      </c>
    </row>
    <row r="2102" spans="8:8" x14ac:dyDescent="0.25">
      <c r="H2102" t="s">
        <v>6948</v>
      </c>
    </row>
    <row r="2103" spans="8:8" x14ac:dyDescent="0.25">
      <c r="H2103" t="s">
        <v>6828</v>
      </c>
    </row>
    <row r="2104" spans="8:8" x14ac:dyDescent="0.25">
      <c r="H2104" t="s">
        <v>6949</v>
      </c>
    </row>
    <row r="2105" spans="8:8" x14ac:dyDescent="0.25">
      <c r="H2105" t="s">
        <v>6828</v>
      </c>
    </row>
    <row r="2106" spans="8:8" x14ac:dyDescent="0.25">
      <c r="H2106" t="s">
        <v>6950</v>
      </c>
    </row>
    <row r="2107" spans="8:8" x14ac:dyDescent="0.25">
      <c r="H2107" t="s">
        <v>6828</v>
      </c>
    </row>
    <row r="2108" spans="8:8" x14ac:dyDescent="0.25">
      <c r="H2108" t="s">
        <v>6951</v>
      </c>
    </row>
    <row r="2109" spans="8:8" x14ac:dyDescent="0.25">
      <c r="H2109" t="s">
        <v>6828</v>
      </c>
    </row>
    <row r="2110" spans="8:8" x14ac:dyDescent="0.25">
      <c r="H2110" t="s">
        <v>6952</v>
      </c>
    </row>
    <row r="2111" spans="8:8" x14ac:dyDescent="0.25">
      <c r="H2111" t="s">
        <v>6828</v>
      </c>
    </row>
    <row r="2112" spans="8:8" x14ac:dyDescent="0.25">
      <c r="H2112" t="s">
        <v>6953</v>
      </c>
    </row>
    <row r="2113" spans="8:8" x14ac:dyDescent="0.25">
      <c r="H2113" t="s">
        <v>6828</v>
      </c>
    </row>
    <row r="2114" spans="8:8" x14ac:dyDescent="0.25">
      <c r="H2114" t="s">
        <v>6954</v>
      </c>
    </row>
    <row r="2115" spans="8:8" x14ac:dyDescent="0.25">
      <c r="H2115" t="s">
        <v>6828</v>
      </c>
    </row>
    <row r="2116" spans="8:8" x14ac:dyDescent="0.25">
      <c r="H2116" t="s">
        <v>6955</v>
      </c>
    </row>
    <row r="2117" spans="8:8" x14ac:dyDescent="0.25">
      <c r="H2117" t="s">
        <v>6828</v>
      </c>
    </row>
    <row r="2118" spans="8:8" x14ac:dyDescent="0.25">
      <c r="H2118" t="s">
        <v>6956</v>
      </c>
    </row>
    <row r="2119" spans="8:8" x14ac:dyDescent="0.25">
      <c r="H2119" t="s">
        <v>6828</v>
      </c>
    </row>
    <row r="2120" spans="8:8" x14ac:dyDescent="0.25">
      <c r="H2120" t="s">
        <v>6957</v>
      </c>
    </row>
    <row r="2121" spans="8:8" x14ac:dyDescent="0.25">
      <c r="H2121" t="s">
        <v>6828</v>
      </c>
    </row>
    <row r="2122" spans="8:8" x14ac:dyDescent="0.25">
      <c r="H2122" t="s">
        <v>6958</v>
      </c>
    </row>
    <row r="2123" spans="8:8" x14ac:dyDescent="0.25">
      <c r="H2123" t="s">
        <v>6828</v>
      </c>
    </row>
    <row r="2124" spans="8:8" x14ac:dyDescent="0.25">
      <c r="H2124" t="s">
        <v>6959</v>
      </c>
    </row>
    <row r="2125" spans="8:8" x14ac:dyDescent="0.25">
      <c r="H2125" t="s">
        <v>6828</v>
      </c>
    </row>
    <row r="2126" spans="8:8" x14ac:dyDescent="0.25">
      <c r="H2126" t="s">
        <v>6960</v>
      </c>
    </row>
    <row r="2127" spans="8:8" x14ac:dyDescent="0.25">
      <c r="H2127" t="s">
        <v>6828</v>
      </c>
    </row>
    <row r="2128" spans="8:8" x14ac:dyDescent="0.25">
      <c r="H2128" t="s">
        <v>6961</v>
      </c>
    </row>
    <row r="2129" spans="8:8" x14ac:dyDescent="0.25">
      <c r="H2129" t="s">
        <v>6828</v>
      </c>
    </row>
    <row r="2130" spans="8:8" x14ac:dyDescent="0.25">
      <c r="H2130" t="s">
        <v>6962</v>
      </c>
    </row>
    <row r="2131" spans="8:8" x14ac:dyDescent="0.25">
      <c r="H2131" t="s">
        <v>6828</v>
      </c>
    </row>
    <row r="2132" spans="8:8" x14ac:dyDescent="0.25">
      <c r="H2132" t="s">
        <v>6963</v>
      </c>
    </row>
    <row r="2133" spans="8:8" x14ac:dyDescent="0.25">
      <c r="H2133" t="s">
        <v>6828</v>
      </c>
    </row>
    <row r="2134" spans="8:8" x14ac:dyDescent="0.25">
      <c r="H2134" t="s">
        <v>6964</v>
      </c>
    </row>
    <row r="2135" spans="8:8" x14ac:dyDescent="0.25">
      <c r="H2135" t="s">
        <v>6828</v>
      </c>
    </row>
    <row r="2136" spans="8:8" x14ac:dyDescent="0.25">
      <c r="H2136" t="s">
        <v>6965</v>
      </c>
    </row>
    <row r="2137" spans="8:8" x14ac:dyDescent="0.25">
      <c r="H2137" t="s">
        <v>6828</v>
      </c>
    </row>
    <row r="2138" spans="8:8" x14ac:dyDescent="0.25">
      <c r="H2138" t="s">
        <v>6966</v>
      </c>
    </row>
    <row r="2139" spans="8:8" x14ac:dyDescent="0.25">
      <c r="H2139" t="s">
        <v>6828</v>
      </c>
    </row>
    <row r="2140" spans="8:8" x14ac:dyDescent="0.25">
      <c r="H2140" t="s">
        <v>6967</v>
      </c>
    </row>
    <row r="2141" spans="8:8" x14ac:dyDescent="0.25">
      <c r="H2141" t="s">
        <v>6828</v>
      </c>
    </row>
    <row r="2142" spans="8:8" x14ac:dyDescent="0.25">
      <c r="H2142" t="s">
        <v>6968</v>
      </c>
    </row>
    <row r="2143" spans="8:8" x14ac:dyDescent="0.25">
      <c r="H2143" t="s">
        <v>6828</v>
      </c>
    </row>
    <row r="2144" spans="8:8" x14ac:dyDescent="0.25">
      <c r="H2144" t="s">
        <v>6969</v>
      </c>
    </row>
    <row r="2145" spans="8:8" x14ac:dyDescent="0.25">
      <c r="H2145" t="s">
        <v>6828</v>
      </c>
    </row>
    <row r="2146" spans="8:8" x14ac:dyDescent="0.25">
      <c r="H2146" t="s">
        <v>6970</v>
      </c>
    </row>
    <row r="2147" spans="8:8" x14ac:dyDescent="0.25">
      <c r="H2147" t="s">
        <v>6828</v>
      </c>
    </row>
    <row r="2148" spans="8:8" x14ac:dyDescent="0.25">
      <c r="H2148" t="s">
        <v>6971</v>
      </c>
    </row>
    <row r="2149" spans="8:8" x14ac:dyDescent="0.25">
      <c r="H2149" t="s">
        <v>6828</v>
      </c>
    </row>
    <row r="2150" spans="8:8" x14ac:dyDescent="0.25">
      <c r="H2150" t="s">
        <v>6972</v>
      </c>
    </row>
    <row r="2151" spans="8:8" x14ac:dyDescent="0.25">
      <c r="H2151" t="s">
        <v>6828</v>
      </c>
    </row>
    <row r="2152" spans="8:8" x14ac:dyDescent="0.25">
      <c r="H2152" t="s">
        <v>6973</v>
      </c>
    </row>
    <row r="2153" spans="8:8" x14ac:dyDescent="0.25">
      <c r="H2153" t="s">
        <v>6828</v>
      </c>
    </row>
    <row r="2154" spans="8:8" x14ac:dyDescent="0.25">
      <c r="H2154" t="s">
        <v>6974</v>
      </c>
    </row>
    <row r="2155" spans="8:8" x14ac:dyDescent="0.25">
      <c r="H2155" t="s">
        <v>6828</v>
      </c>
    </row>
    <row r="2156" spans="8:8" x14ac:dyDescent="0.25">
      <c r="H2156" t="s">
        <v>6975</v>
      </c>
    </row>
    <row r="2157" spans="8:8" x14ac:dyDescent="0.25">
      <c r="H2157" t="s">
        <v>6828</v>
      </c>
    </row>
    <row r="2158" spans="8:8" x14ac:dyDescent="0.25">
      <c r="H2158" t="s">
        <v>6976</v>
      </c>
    </row>
    <row r="2159" spans="8:8" x14ac:dyDescent="0.25">
      <c r="H2159" t="s">
        <v>6828</v>
      </c>
    </row>
    <row r="2160" spans="8:8" x14ac:dyDescent="0.25">
      <c r="H2160" t="s">
        <v>6977</v>
      </c>
    </row>
    <row r="2161" spans="8:8" x14ac:dyDescent="0.25">
      <c r="H2161" t="s">
        <v>6828</v>
      </c>
    </row>
    <row r="2162" spans="8:8" x14ac:dyDescent="0.25">
      <c r="H2162" t="s">
        <v>6978</v>
      </c>
    </row>
    <row r="2163" spans="8:8" x14ac:dyDescent="0.25">
      <c r="H2163" t="s">
        <v>6828</v>
      </c>
    </row>
    <row r="2164" spans="8:8" x14ac:dyDescent="0.25">
      <c r="H2164" t="s">
        <v>6979</v>
      </c>
    </row>
    <row r="2165" spans="8:8" x14ac:dyDescent="0.25">
      <c r="H2165" t="s">
        <v>6828</v>
      </c>
    </row>
    <row r="2166" spans="8:8" x14ac:dyDescent="0.25">
      <c r="H2166" t="s">
        <v>6980</v>
      </c>
    </row>
    <row r="2167" spans="8:8" x14ac:dyDescent="0.25">
      <c r="H2167" t="s">
        <v>6828</v>
      </c>
    </row>
    <row r="2168" spans="8:8" x14ac:dyDescent="0.25">
      <c r="H2168" t="s">
        <v>6981</v>
      </c>
    </row>
    <row r="2169" spans="8:8" x14ac:dyDescent="0.25">
      <c r="H2169" t="s">
        <v>6828</v>
      </c>
    </row>
    <row r="2170" spans="8:8" x14ac:dyDescent="0.25">
      <c r="H2170" t="s">
        <v>6982</v>
      </c>
    </row>
    <row r="2171" spans="8:8" x14ac:dyDescent="0.25">
      <c r="H2171" t="s">
        <v>6983</v>
      </c>
    </row>
    <row r="2172" spans="8:8" x14ac:dyDescent="0.25">
      <c r="H2172" t="s">
        <v>6984</v>
      </c>
    </row>
    <row r="2173" spans="8:8" x14ac:dyDescent="0.25">
      <c r="H2173" t="s">
        <v>6983</v>
      </c>
    </row>
    <row r="2174" spans="8:8" x14ac:dyDescent="0.25">
      <c r="H2174" t="s">
        <v>6985</v>
      </c>
    </row>
    <row r="2175" spans="8:8" x14ac:dyDescent="0.25">
      <c r="H2175" t="s">
        <v>6983</v>
      </c>
    </row>
    <row r="2176" spans="8:8" x14ac:dyDescent="0.25">
      <c r="H2176" t="s">
        <v>6986</v>
      </c>
    </row>
    <row r="2177" spans="8:8" x14ac:dyDescent="0.25">
      <c r="H2177" t="s">
        <v>6983</v>
      </c>
    </row>
    <row r="2178" spans="8:8" x14ac:dyDescent="0.25">
      <c r="H2178" t="s">
        <v>6987</v>
      </c>
    </row>
    <row r="2179" spans="8:8" x14ac:dyDescent="0.25">
      <c r="H2179" t="s">
        <v>6983</v>
      </c>
    </row>
    <row r="2180" spans="8:8" x14ac:dyDescent="0.25">
      <c r="H2180" t="s">
        <v>6988</v>
      </c>
    </row>
    <row r="2181" spans="8:8" x14ac:dyDescent="0.25">
      <c r="H2181" t="s">
        <v>6983</v>
      </c>
    </row>
    <row r="2182" spans="8:8" x14ac:dyDescent="0.25">
      <c r="H2182" t="s">
        <v>6989</v>
      </c>
    </row>
    <row r="2183" spans="8:8" x14ac:dyDescent="0.25">
      <c r="H2183" t="s">
        <v>6983</v>
      </c>
    </row>
    <row r="2184" spans="8:8" x14ac:dyDescent="0.25">
      <c r="H2184" t="s">
        <v>6990</v>
      </c>
    </row>
    <row r="2185" spans="8:8" x14ac:dyDescent="0.25">
      <c r="H2185" t="s">
        <v>6983</v>
      </c>
    </row>
    <row r="2186" spans="8:8" x14ac:dyDescent="0.25">
      <c r="H2186" t="s">
        <v>6991</v>
      </c>
    </row>
    <row r="2187" spans="8:8" x14ac:dyDescent="0.25">
      <c r="H2187" t="s">
        <v>6983</v>
      </c>
    </row>
    <row r="2188" spans="8:8" x14ac:dyDescent="0.25">
      <c r="H2188" t="s">
        <v>6992</v>
      </c>
    </row>
    <row r="2189" spans="8:8" x14ac:dyDescent="0.25">
      <c r="H2189" t="s">
        <v>6983</v>
      </c>
    </row>
    <row r="2190" spans="8:8" x14ac:dyDescent="0.25">
      <c r="H2190" t="s">
        <v>6993</v>
      </c>
    </row>
    <row r="2191" spans="8:8" x14ac:dyDescent="0.25">
      <c r="H2191" t="s">
        <v>6983</v>
      </c>
    </row>
    <row r="2192" spans="8:8" x14ac:dyDescent="0.25">
      <c r="H2192" t="s">
        <v>6994</v>
      </c>
    </row>
    <row r="2193" spans="8:8" x14ac:dyDescent="0.25">
      <c r="H2193" t="s">
        <v>6983</v>
      </c>
    </row>
    <row r="2194" spans="8:8" x14ac:dyDescent="0.25">
      <c r="H2194" t="s">
        <v>6995</v>
      </c>
    </row>
    <row r="2195" spans="8:8" x14ac:dyDescent="0.25">
      <c r="H2195" t="s">
        <v>6983</v>
      </c>
    </row>
    <row r="2196" spans="8:8" x14ac:dyDescent="0.25">
      <c r="H2196" t="s">
        <v>6996</v>
      </c>
    </row>
    <row r="2197" spans="8:8" x14ac:dyDescent="0.25">
      <c r="H2197" t="s">
        <v>6983</v>
      </c>
    </row>
    <row r="2198" spans="8:8" x14ac:dyDescent="0.25">
      <c r="H2198" t="s">
        <v>6997</v>
      </c>
    </row>
    <row r="2199" spans="8:8" x14ac:dyDescent="0.25">
      <c r="H2199" t="s">
        <v>6983</v>
      </c>
    </row>
    <row r="2200" spans="8:8" x14ac:dyDescent="0.25">
      <c r="H2200" t="s">
        <v>6998</v>
      </c>
    </row>
    <row r="2201" spans="8:8" x14ac:dyDescent="0.25">
      <c r="H2201" t="s">
        <v>6983</v>
      </c>
    </row>
    <row r="2202" spans="8:8" x14ac:dyDescent="0.25">
      <c r="H2202" t="s">
        <v>6999</v>
      </c>
    </row>
    <row r="2203" spans="8:8" x14ac:dyDescent="0.25">
      <c r="H2203" t="s">
        <v>6983</v>
      </c>
    </row>
    <row r="2204" spans="8:8" x14ac:dyDescent="0.25">
      <c r="H2204" t="s">
        <v>7000</v>
      </c>
    </row>
    <row r="2205" spans="8:8" x14ac:dyDescent="0.25">
      <c r="H2205" t="s">
        <v>6983</v>
      </c>
    </row>
    <row r="2206" spans="8:8" x14ac:dyDescent="0.25">
      <c r="H2206" t="s">
        <v>7001</v>
      </c>
    </row>
    <row r="2207" spans="8:8" x14ac:dyDescent="0.25">
      <c r="H2207" t="s">
        <v>6983</v>
      </c>
    </row>
    <row r="2208" spans="8:8" x14ac:dyDescent="0.25">
      <c r="H2208" t="s">
        <v>7002</v>
      </c>
    </row>
    <row r="2209" spans="8:8" x14ac:dyDescent="0.25">
      <c r="H2209" t="s">
        <v>6983</v>
      </c>
    </row>
    <row r="2210" spans="8:8" x14ac:dyDescent="0.25">
      <c r="H2210" t="s">
        <v>7003</v>
      </c>
    </row>
    <row r="2211" spans="8:8" x14ac:dyDescent="0.25">
      <c r="H2211" t="s">
        <v>6983</v>
      </c>
    </row>
    <row r="2212" spans="8:8" x14ac:dyDescent="0.25">
      <c r="H2212" t="s">
        <v>7004</v>
      </c>
    </row>
    <row r="2213" spans="8:8" x14ac:dyDescent="0.25">
      <c r="H2213" t="s">
        <v>6983</v>
      </c>
    </row>
    <row r="2214" spans="8:8" x14ac:dyDescent="0.25">
      <c r="H2214" t="s">
        <v>7005</v>
      </c>
    </row>
    <row r="2215" spans="8:8" x14ac:dyDescent="0.25">
      <c r="H2215" t="s">
        <v>6983</v>
      </c>
    </row>
    <row r="2216" spans="8:8" x14ac:dyDescent="0.25">
      <c r="H2216" t="s">
        <v>7006</v>
      </c>
    </row>
    <row r="2217" spans="8:8" x14ac:dyDescent="0.25">
      <c r="H2217" t="s">
        <v>6983</v>
      </c>
    </row>
    <row r="2218" spans="8:8" x14ac:dyDescent="0.25">
      <c r="H2218" t="s">
        <v>7007</v>
      </c>
    </row>
    <row r="2219" spans="8:8" x14ac:dyDescent="0.25">
      <c r="H2219" t="s">
        <v>6983</v>
      </c>
    </row>
    <row r="2220" spans="8:8" x14ac:dyDescent="0.25">
      <c r="H2220" t="s">
        <v>7008</v>
      </c>
    </row>
    <row r="2221" spans="8:8" x14ac:dyDescent="0.25">
      <c r="H2221" t="s">
        <v>6983</v>
      </c>
    </row>
    <row r="2222" spans="8:8" x14ac:dyDescent="0.25">
      <c r="H2222" t="s">
        <v>7009</v>
      </c>
    </row>
    <row r="2223" spans="8:8" x14ac:dyDescent="0.25">
      <c r="H2223" t="s">
        <v>6983</v>
      </c>
    </row>
    <row r="2224" spans="8:8" x14ac:dyDescent="0.25">
      <c r="H2224" t="s">
        <v>7010</v>
      </c>
    </row>
    <row r="2225" spans="8:8" x14ac:dyDescent="0.25">
      <c r="H2225" t="s">
        <v>6983</v>
      </c>
    </row>
    <row r="2226" spans="8:8" x14ac:dyDescent="0.25">
      <c r="H2226" t="s">
        <v>7011</v>
      </c>
    </row>
    <row r="2227" spans="8:8" x14ac:dyDescent="0.25">
      <c r="H2227" t="s">
        <v>6983</v>
      </c>
    </row>
    <row r="2228" spans="8:8" x14ac:dyDescent="0.25">
      <c r="H2228" t="s">
        <v>7012</v>
      </c>
    </row>
    <row r="2229" spans="8:8" x14ac:dyDescent="0.25">
      <c r="H2229" t="s">
        <v>6983</v>
      </c>
    </row>
    <row r="2230" spans="8:8" x14ac:dyDescent="0.25">
      <c r="H2230" t="s">
        <v>7013</v>
      </c>
    </row>
    <row r="2231" spans="8:8" x14ac:dyDescent="0.25">
      <c r="H2231" t="s">
        <v>6983</v>
      </c>
    </row>
    <row r="2232" spans="8:8" x14ac:dyDescent="0.25">
      <c r="H2232" t="s">
        <v>7014</v>
      </c>
    </row>
    <row r="2233" spans="8:8" x14ac:dyDescent="0.25">
      <c r="H2233" t="s">
        <v>6983</v>
      </c>
    </row>
    <row r="2234" spans="8:8" x14ac:dyDescent="0.25">
      <c r="H2234" t="s">
        <v>7015</v>
      </c>
    </row>
    <row r="2235" spans="8:8" x14ac:dyDescent="0.25">
      <c r="H2235" t="s">
        <v>6983</v>
      </c>
    </row>
    <row r="2236" spans="8:8" x14ac:dyDescent="0.25">
      <c r="H2236" t="s">
        <v>7016</v>
      </c>
    </row>
    <row r="2237" spans="8:8" x14ac:dyDescent="0.25">
      <c r="H2237" t="s">
        <v>6983</v>
      </c>
    </row>
    <row r="2238" spans="8:8" x14ac:dyDescent="0.25">
      <c r="H2238" t="s">
        <v>7017</v>
      </c>
    </row>
    <row r="2239" spans="8:8" x14ac:dyDescent="0.25">
      <c r="H2239" t="s">
        <v>6983</v>
      </c>
    </row>
    <row r="2240" spans="8:8" x14ac:dyDescent="0.25">
      <c r="H2240" t="s">
        <v>7018</v>
      </c>
    </row>
    <row r="2241" spans="8:8" x14ac:dyDescent="0.25">
      <c r="H2241" t="s">
        <v>6983</v>
      </c>
    </row>
    <row r="2242" spans="8:8" x14ac:dyDescent="0.25">
      <c r="H2242" t="s">
        <v>7019</v>
      </c>
    </row>
    <row r="2243" spans="8:8" x14ac:dyDescent="0.25">
      <c r="H2243" t="s">
        <v>6983</v>
      </c>
    </row>
    <row r="2244" spans="8:8" x14ac:dyDescent="0.25">
      <c r="H2244" t="s">
        <v>7020</v>
      </c>
    </row>
    <row r="2245" spans="8:8" x14ac:dyDescent="0.25">
      <c r="H2245" t="s">
        <v>6983</v>
      </c>
    </row>
    <row r="2246" spans="8:8" x14ac:dyDescent="0.25">
      <c r="H2246" t="s">
        <v>7021</v>
      </c>
    </row>
    <row r="2247" spans="8:8" x14ac:dyDescent="0.25">
      <c r="H2247" t="s">
        <v>6983</v>
      </c>
    </row>
    <row r="2248" spans="8:8" x14ac:dyDescent="0.25">
      <c r="H2248" t="s">
        <v>7022</v>
      </c>
    </row>
    <row r="2249" spans="8:8" x14ac:dyDescent="0.25">
      <c r="H2249" t="s">
        <v>6983</v>
      </c>
    </row>
    <row r="2250" spans="8:8" x14ac:dyDescent="0.25">
      <c r="H2250" t="s">
        <v>7023</v>
      </c>
    </row>
    <row r="2251" spans="8:8" x14ac:dyDescent="0.25">
      <c r="H2251" t="s">
        <v>6983</v>
      </c>
    </row>
    <row r="2252" spans="8:8" x14ac:dyDescent="0.25">
      <c r="H2252" t="s">
        <v>7024</v>
      </c>
    </row>
    <row r="2253" spans="8:8" x14ac:dyDescent="0.25">
      <c r="H2253" t="s">
        <v>6983</v>
      </c>
    </row>
    <row r="2254" spans="8:8" x14ac:dyDescent="0.25">
      <c r="H2254" t="s">
        <v>7025</v>
      </c>
    </row>
    <row r="2255" spans="8:8" x14ac:dyDescent="0.25">
      <c r="H2255" t="s">
        <v>6983</v>
      </c>
    </row>
    <row r="2256" spans="8:8" x14ac:dyDescent="0.25">
      <c r="H2256" t="s">
        <v>7026</v>
      </c>
    </row>
    <row r="2257" spans="8:8" x14ac:dyDescent="0.25">
      <c r="H2257" t="s">
        <v>6983</v>
      </c>
    </row>
    <row r="2258" spans="8:8" x14ac:dyDescent="0.25">
      <c r="H2258" t="s">
        <v>7027</v>
      </c>
    </row>
    <row r="2259" spans="8:8" x14ac:dyDescent="0.25">
      <c r="H2259" t="s">
        <v>6983</v>
      </c>
    </row>
    <row r="2260" spans="8:8" x14ac:dyDescent="0.25">
      <c r="H2260" t="s">
        <v>7028</v>
      </c>
    </row>
    <row r="2261" spans="8:8" x14ac:dyDescent="0.25">
      <c r="H2261" t="s">
        <v>6983</v>
      </c>
    </row>
    <row r="2262" spans="8:8" x14ac:dyDescent="0.25">
      <c r="H2262" t="s">
        <v>7029</v>
      </c>
    </row>
    <row r="2263" spans="8:8" x14ac:dyDescent="0.25">
      <c r="H2263" t="s">
        <v>6983</v>
      </c>
    </row>
    <row r="2264" spans="8:8" x14ac:dyDescent="0.25">
      <c r="H2264" t="s">
        <v>7030</v>
      </c>
    </row>
    <row r="2265" spans="8:8" x14ac:dyDescent="0.25">
      <c r="H2265" t="s">
        <v>6983</v>
      </c>
    </row>
    <row r="2266" spans="8:8" x14ac:dyDescent="0.25">
      <c r="H2266" t="s">
        <v>7031</v>
      </c>
    </row>
    <row r="2267" spans="8:8" x14ac:dyDescent="0.25">
      <c r="H2267" t="s">
        <v>6983</v>
      </c>
    </row>
    <row r="2268" spans="8:8" x14ac:dyDescent="0.25">
      <c r="H2268" t="s">
        <v>7032</v>
      </c>
    </row>
    <row r="2269" spans="8:8" x14ac:dyDescent="0.25">
      <c r="H2269" t="s">
        <v>6983</v>
      </c>
    </row>
    <row r="2270" spans="8:8" x14ac:dyDescent="0.25">
      <c r="H2270" t="s">
        <v>7033</v>
      </c>
    </row>
    <row r="2271" spans="8:8" x14ac:dyDescent="0.25">
      <c r="H2271" t="s">
        <v>6983</v>
      </c>
    </row>
    <row r="2272" spans="8:8" x14ac:dyDescent="0.25">
      <c r="H2272" t="s">
        <v>7034</v>
      </c>
    </row>
    <row r="2273" spans="8:8" x14ac:dyDescent="0.25">
      <c r="H2273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2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7035</v>
      </c>
    </row>
    <row r="4" spans="2:8" x14ac:dyDescent="0.25">
      <c r="H4" t="s">
        <v>7036</v>
      </c>
    </row>
    <row r="5" spans="2:8" x14ac:dyDescent="0.25">
      <c r="B5" s="1"/>
      <c r="H5" t="s">
        <v>7037</v>
      </c>
    </row>
    <row r="6" spans="2:8" x14ac:dyDescent="0.25">
      <c r="H6" t="s">
        <v>7038</v>
      </c>
    </row>
    <row r="7" spans="2:8" x14ac:dyDescent="0.25">
      <c r="H7" t="s">
        <v>7039</v>
      </c>
    </row>
    <row r="8" spans="2:8" x14ac:dyDescent="0.25">
      <c r="B8" s="1"/>
      <c r="H8" t="s">
        <v>7040</v>
      </c>
    </row>
    <row r="9" spans="2:8" x14ac:dyDescent="0.25">
      <c r="H9" t="s">
        <v>7041</v>
      </c>
    </row>
    <row r="10" spans="2:8" x14ac:dyDescent="0.25">
      <c r="H10" t="s">
        <v>7042</v>
      </c>
    </row>
    <row r="11" spans="2:8" x14ac:dyDescent="0.25">
      <c r="B11" s="1"/>
      <c r="H11" t="s">
        <v>7043</v>
      </c>
    </row>
    <row r="12" spans="2:8" x14ac:dyDescent="0.25">
      <c r="H12" t="s">
        <v>7044</v>
      </c>
    </row>
    <row r="13" spans="2:8" x14ac:dyDescent="0.25">
      <c r="H13" t="s">
        <v>7045</v>
      </c>
    </row>
    <row r="14" spans="2:8" x14ac:dyDescent="0.25">
      <c r="B14" s="1"/>
    </row>
    <row r="15" spans="2:8" x14ac:dyDescent="0.25">
      <c r="H15" t="s">
        <v>7046</v>
      </c>
    </row>
    <row r="16" spans="2:8" x14ac:dyDescent="0.25">
      <c r="H16" t="s">
        <v>7047</v>
      </c>
    </row>
    <row r="17" spans="2:8" x14ac:dyDescent="0.25">
      <c r="B17" s="1"/>
      <c r="H17" t="s">
        <v>7048</v>
      </c>
    </row>
    <row r="18" spans="2:8" x14ac:dyDescent="0.25">
      <c r="H18" t="s">
        <v>7049</v>
      </c>
    </row>
    <row r="19" spans="2:8" x14ac:dyDescent="0.25">
      <c r="H19" t="s">
        <v>7050</v>
      </c>
    </row>
    <row r="20" spans="2:8" x14ac:dyDescent="0.25">
      <c r="B20" s="1"/>
      <c r="H20" t="s">
        <v>7051</v>
      </c>
    </row>
    <row r="21" spans="2:8" x14ac:dyDescent="0.25">
      <c r="H21" t="s">
        <v>7052</v>
      </c>
    </row>
    <row r="22" spans="2:8" x14ac:dyDescent="0.25">
      <c r="H22" t="s">
        <v>7053</v>
      </c>
    </row>
    <row r="23" spans="2:8" x14ac:dyDescent="0.25">
      <c r="H23" t="s">
        <v>7054</v>
      </c>
    </row>
    <row r="24" spans="2:8" x14ac:dyDescent="0.25">
      <c r="H24" t="s">
        <v>7055</v>
      </c>
    </row>
    <row r="25" spans="2:8" x14ac:dyDescent="0.25">
      <c r="H25" t="s">
        <v>7056</v>
      </c>
    </row>
    <row r="26" spans="2:8" x14ac:dyDescent="0.25">
      <c r="H26" t="s">
        <v>7057</v>
      </c>
    </row>
    <row r="27" spans="2:8" x14ac:dyDescent="0.25">
      <c r="H27" t="s">
        <v>7058</v>
      </c>
    </row>
    <row r="28" spans="2:8" x14ac:dyDescent="0.25">
      <c r="H28" t="s">
        <v>7059</v>
      </c>
    </row>
    <row r="29" spans="2:8" x14ac:dyDescent="0.25">
      <c r="H29" t="s">
        <v>7060</v>
      </c>
    </row>
    <row r="30" spans="2:8" x14ac:dyDescent="0.25">
      <c r="H30" t="s">
        <v>7061</v>
      </c>
    </row>
    <row r="31" spans="2:8" x14ac:dyDescent="0.25">
      <c r="H31" t="s">
        <v>7062</v>
      </c>
    </row>
    <row r="32" spans="2:8" x14ac:dyDescent="0.25">
      <c r="H32" t="s">
        <v>7063</v>
      </c>
    </row>
    <row r="33" spans="8:8" x14ac:dyDescent="0.25">
      <c r="H33" t="s">
        <v>7064</v>
      </c>
    </row>
    <row r="34" spans="8:8" x14ac:dyDescent="0.25">
      <c r="H34" t="s">
        <v>7065</v>
      </c>
    </row>
    <row r="35" spans="8:8" x14ac:dyDescent="0.25">
      <c r="H35" t="s">
        <v>7066</v>
      </c>
    </row>
    <row r="36" spans="8:8" x14ac:dyDescent="0.25">
      <c r="H36" t="s">
        <v>7067</v>
      </c>
    </row>
    <row r="37" spans="8:8" x14ac:dyDescent="0.25">
      <c r="H37" t="s">
        <v>7068</v>
      </c>
    </row>
    <row r="38" spans="8:8" x14ac:dyDescent="0.25">
      <c r="H38" t="s">
        <v>7069</v>
      </c>
    </row>
    <row r="39" spans="8:8" x14ac:dyDescent="0.25">
      <c r="H39" t="s">
        <v>7070</v>
      </c>
    </row>
    <row r="40" spans="8:8" x14ac:dyDescent="0.25">
      <c r="H40" t="s">
        <v>7071</v>
      </c>
    </row>
    <row r="41" spans="8:8" x14ac:dyDescent="0.25">
      <c r="H41" t="s">
        <v>7072</v>
      </c>
    </row>
    <row r="42" spans="8:8" x14ac:dyDescent="0.25">
      <c r="H42" t="s">
        <v>7073</v>
      </c>
    </row>
    <row r="43" spans="8:8" x14ac:dyDescent="0.25">
      <c r="H43" t="s">
        <v>7074</v>
      </c>
    </row>
    <row r="44" spans="8:8" x14ac:dyDescent="0.25">
      <c r="H44" t="s">
        <v>7075</v>
      </c>
    </row>
    <row r="45" spans="8:8" x14ac:dyDescent="0.25">
      <c r="H45" t="s">
        <v>7076</v>
      </c>
    </row>
    <row r="46" spans="8:8" x14ac:dyDescent="0.25">
      <c r="H46" t="s">
        <v>7077</v>
      </c>
    </row>
    <row r="47" spans="8:8" x14ac:dyDescent="0.25">
      <c r="H47" t="s">
        <v>7078</v>
      </c>
    </row>
    <row r="48" spans="8:8" x14ac:dyDescent="0.25">
      <c r="H48" t="s">
        <v>7079</v>
      </c>
    </row>
    <row r="49" spans="8:8" x14ac:dyDescent="0.25">
      <c r="H49" t="s">
        <v>7080</v>
      </c>
    </row>
    <row r="50" spans="8:8" x14ac:dyDescent="0.25">
      <c r="H50" t="s">
        <v>7081</v>
      </c>
    </row>
    <row r="51" spans="8:8" x14ac:dyDescent="0.25">
      <c r="H51" t="s">
        <v>7082</v>
      </c>
    </row>
    <row r="52" spans="8:8" x14ac:dyDescent="0.25">
      <c r="H52" t="s">
        <v>7083</v>
      </c>
    </row>
    <row r="53" spans="8:8" x14ac:dyDescent="0.25">
      <c r="H53" t="s">
        <v>7084</v>
      </c>
    </row>
    <row r="55" spans="8:8" x14ac:dyDescent="0.25">
      <c r="H55" t="s">
        <v>7085</v>
      </c>
    </row>
    <row r="56" spans="8:8" x14ac:dyDescent="0.25">
      <c r="H56" t="s">
        <v>7086</v>
      </c>
    </row>
    <row r="57" spans="8:8" x14ac:dyDescent="0.25">
      <c r="H57" t="s">
        <v>7049</v>
      </c>
    </row>
    <row r="58" spans="8:8" x14ac:dyDescent="0.25">
      <c r="H58" t="s">
        <v>7087</v>
      </c>
    </row>
    <row r="59" spans="8:8" x14ac:dyDescent="0.25">
      <c r="H59" t="s">
        <v>7088</v>
      </c>
    </row>
    <row r="60" spans="8:8" x14ac:dyDescent="0.25">
      <c r="H60" t="s">
        <v>7089</v>
      </c>
    </row>
    <row r="61" spans="8:8" x14ac:dyDescent="0.25">
      <c r="H61" t="s">
        <v>7090</v>
      </c>
    </row>
    <row r="62" spans="8:8" x14ac:dyDescent="0.25">
      <c r="H62" t="s">
        <v>7091</v>
      </c>
    </row>
    <row r="63" spans="8:8" x14ac:dyDescent="0.25">
      <c r="H63" t="s">
        <v>7092</v>
      </c>
    </row>
    <row r="64" spans="8:8" x14ac:dyDescent="0.25">
      <c r="H64" t="s">
        <v>7093</v>
      </c>
    </row>
    <row r="65" spans="8:8" x14ac:dyDescent="0.25">
      <c r="H65" t="s">
        <v>7094</v>
      </c>
    </row>
    <row r="66" spans="8:8" x14ac:dyDescent="0.25">
      <c r="H66" t="s">
        <v>7095</v>
      </c>
    </row>
    <row r="67" spans="8:8" x14ac:dyDescent="0.25">
      <c r="H67" t="s">
        <v>7096</v>
      </c>
    </row>
    <row r="68" spans="8:8" x14ac:dyDescent="0.25">
      <c r="H68" t="s">
        <v>7097</v>
      </c>
    </row>
    <row r="69" spans="8:8" x14ac:dyDescent="0.25">
      <c r="H69" t="s">
        <v>7098</v>
      </c>
    </row>
    <row r="70" spans="8:8" x14ac:dyDescent="0.25">
      <c r="H70" t="s">
        <v>7099</v>
      </c>
    </row>
    <row r="71" spans="8:8" x14ac:dyDescent="0.25">
      <c r="H71" t="s">
        <v>7100</v>
      </c>
    </row>
    <row r="72" spans="8:8" x14ac:dyDescent="0.25">
      <c r="H72" t="s">
        <v>7101</v>
      </c>
    </row>
    <row r="73" spans="8:8" x14ac:dyDescent="0.25">
      <c r="H73" t="s">
        <v>7102</v>
      </c>
    </row>
    <row r="74" spans="8:8" x14ac:dyDescent="0.25">
      <c r="H74" t="s">
        <v>7103</v>
      </c>
    </row>
    <row r="75" spans="8:8" x14ac:dyDescent="0.25">
      <c r="H75" t="s">
        <v>7104</v>
      </c>
    </row>
    <row r="76" spans="8:8" x14ac:dyDescent="0.25">
      <c r="H76" t="s">
        <v>7105</v>
      </c>
    </row>
    <row r="77" spans="8:8" x14ac:dyDescent="0.25">
      <c r="H77" t="s">
        <v>7106</v>
      </c>
    </row>
    <row r="78" spans="8:8" x14ac:dyDescent="0.25">
      <c r="H78" t="s">
        <v>7107</v>
      </c>
    </row>
    <row r="79" spans="8:8" x14ac:dyDescent="0.25">
      <c r="H79" t="s">
        <v>7108</v>
      </c>
    </row>
    <row r="80" spans="8:8" x14ac:dyDescent="0.25">
      <c r="H80" t="s">
        <v>7109</v>
      </c>
    </row>
    <row r="81" spans="8:8" x14ac:dyDescent="0.25">
      <c r="H81" t="s">
        <v>7110</v>
      </c>
    </row>
    <row r="82" spans="8:8" x14ac:dyDescent="0.25">
      <c r="H82" t="s">
        <v>7111</v>
      </c>
    </row>
    <row r="83" spans="8:8" x14ac:dyDescent="0.25">
      <c r="H83" t="s">
        <v>7112</v>
      </c>
    </row>
    <row r="84" spans="8:8" x14ac:dyDescent="0.25">
      <c r="H84" t="s">
        <v>7113</v>
      </c>
    </row>
    <row r="85" spans="8:8" x14ac:dyDescent="0.25">
      <c r="H85" t="s">
        <v>7114</v>
      </c>
    </row>
    <row r="86" spans="8:8" x14ac:dyDescent="0.25">
      <c r="H86" t="s">
        <v>7115</v>
      </c>
    </row>
    <row r="87" spans="8:8" x14ac:dyDescent="0.25">
      <c r="H87" t="s">
        <v>7116</v>
      </c>
    </row>
    <row r="88" spans="8:8" x14ac:dyDescent="0.25">
      <c r="H88" t="s">
        <v>7117</v>
      </c>
    </row>
    <row r="89" spans="8:8" x14ac:dyDescent="0.25">
      <c r="H89" t="s">
        <v>7118</v>
      </c>
    </row>
    <row r="90" spans="8:8" x14ac:dyDescent="0.25">
      <c r="H90" t="s">
        <v>7119</v>
      </c>
    </row>
    <row r="91" spans="8:8" x14ac:dyDescent="0.25">
      <c r="H91" t="s">
        <v>7120</v>
      </c>
    </row>
    <row r="92" spans="8:8" x14ac:dyDescent="0.25">
      <c r="H92" t="s">
        <v>7121</v>
      </c>
    </row>
    <row r="93" spans="8:8" x14ac:dyDescent="0.25">
      <c r="H93" t="s">
        <v>7122</v>
      </c>
    </row>
    <row r="94" spans="8:8" x14ac:dyDescent="0.25">
      <c r="H94" t="s">
        <v>7123</v>
      </c>
    </row>
    <row r="95" spans="8:8" x14ac:dyDescent="0.25">
      <c r="H95" t="s">
        <v>7124</v>
      </c>
    </row>
    <row r="97" spans="8:8" x14ac:dyDescent="0.25">
      <c r="H97" t="s">
        <v>7125</v>
      </c>
    </row>
    <row r="98" spans="8:8" x14ac:dyDescent="0.25">
      <c r="H98" t="s">
        <v>7126</v>
      </c>
    </row>
    <row r="99" spans="8:8" x14ac:dyDescent="0.25">
      <c r="H99" t="s">
        <v>7127</v>
      </c>
    </row>
    <row r="100" spans="8:8" x14ac:dyDescent="0.25">
      <c r="H100" t="s">
        <v>7128</v>
      </c>
    </row>
    <row r="101" spans="8:8" x14ac:dyDescent="0.25">
      <c r="H101" t="s">
        <v>7129</v>
      </c>
    </row>
    <row r="102" spans="8:8" x14ac:dyDescent="0.25">
      <c r="H102" t="s">
        <v>7130</v>
      </c>
    </row>
    <row r="103" spans="8:8" x14ac:dyDescent="0.25">
      <c r="H103" t="s">
        <v>7131</v>
      </c>
    </row>
    <row r="104" spans="8:8" x14ac:dyDescent="0.25">
      <c r="H104" t="s">
        <v>7132</v>
      </c>
    </row>
    <row r="105" spans="8:8" x14ac:dyDescent="0.25">
      <c r="H105" t="s">
        <v>7133</v>
      </c>
    </row>
    <row r="106" spans="8:8" x14ac:dyDescent="0.25">
      <c r="H106" t="s">
        <v>7134</v>
      </c>
    </row>
    <row r="107" spans="8:8" x14ac:dyDescent="0.25">
      <c r="H107" t="s">
        <v>7135</v>
      </c>
    </row>
    <row r="108" spans="8:8" x14ac:dyDescent="0.25">
      <c r="H108" t="s">
        <v>7136</v>
      </c>
    </row>
    <row r="109" spans="8:8" x14ac:dyDescent="0.25">
      <c r="H109" t="s">
        <v>7137</v>
      </c>
    </row>
    <row r="110" spans="8:8" x14ac:dyDescent="0.25">
      <c r="H110" t="s">
        <v>7138</v>
      </c>
    </row>
    <row r="111" spans="8:8" x14ac:dyDescent="0.25">
      <c r="H111" t="s">
        <v>7139</v>
      </c>
    </row>
    <row r="112" spans="8:8" x14ac:dyDescent="0.25">
      <c r="H112" t="s">
        <v>7140</v>
      </c>
    </row>
    <row r="113" spans="8:8" x14ac:dyDescent="0.25">
      <c r="H113" t="s">
        <v>7141</v>
      </c>
    </row>
    <row r="114" spans="8:8" x14ac:dyDescent="0.25">
      <c r="H114" t="s">
        <v>7142</v>
      </c>
    </row>
    <row r="115" spans="8:8" x14ac:dyDescent="0.25">
      <c r="H115" t="s">
        <v>7143</v>
      </c>
    </row>
    <row r="116" spans="8:8" x14ac:dyDescent="0.25">
      <c r="H116" t="s">
        <v>7144</v>
      </c>
    </row>
    <row r="117" spans="8:8" x14ac:dyDescent="0.25">
      <c r="H117" t="s">
        <v>7145</v>
      </c>
    </row>
    <row r="118" spans="8:8" x14ac:dyDescent="0.25">
      <c r="H118" t="s">
        <v>7146</v>
      </c>
    </row>
    <row r="119" spans="8:8" x14ac:dyDescent="0.25">
      <c r="H119" t="s">
        <v>7147</v>
      </c>
    </row>
    <row r="120" spans="8:8" x14ac:dyDescent="0.25">
      <c r="H120" t="s">
        <v>7148</v>
      </c>
    </row>
    <row r="121" spans="8:8" x14ac:dyDescent="0.25">
      <c r="H121" t="s">
        <v>7149</v>
      </c>
    </row>
    <row r="122" spans="8:8" x14ac:dyDescent="0.25">
      <c r="H122" t="s">
        <v>7150</v>
      </c>
    </row>
    <row r="123" spans="8:8" x14ac:dyDescent="0.25">
      <c r="H123" t="s">
        <v>7151</v>
      </c>
    </row>
    <row r="124" spans="8:8" x14ac:dyDescent="0.25">
      <c r="H124" t="s">
        <v>7152</v>
      </c>
    </row>
    <row r="125" spans="8:8" x14ac:dyDescent="0.25">
      <c r="H125" t="s">
        <v>7153</v>
      </c>
    </row>
    <row r="126" spans="8:8" x14ac:dyDescent="0.25">
      <c r="H126" t="s">
        <v>7154</v>
      </c>
    </row>
    <row r="127" spans="8:8" x14ac:dyDescent="0.25">
      <c r="H127" t="s">
        <v>7155</v>
      </c>
    </row>
    <row r="128" spans="8:8" x14ac:dyDescent="0.25">
      <c r="H128" t="s">
        <v>7156</v>
      </c>
    </row>
    <row r="129" spans="8:8" x14ac:dyDescent="0.25">
      <c r="H129" t="s">
        <v>7157</v>
      </c>
    </row>
    <row r="130" spans="8:8" x14ac:dyDescent="0.25">
      <c r="H130" t="s">
        <v>7158</v>
      </c>
    </row>
    <row r="131" spans="8:8" x14ac:dyDescent="0.25">
      <c r="H131" t="s">
        <v>7159</v>
      </c>
    </row>
    <row r="132" spans="8:8" x14ac:dyDescent="0.25">
      <c r="H132" t="s">
        <v>7160</v>
      </c>
    </row>
    <row r="133" spans="8:8" x14ac:dyDescent="0.25">
      <c r="H133" t="s">
        <v>7161</v>
      </c>
    </row>
    <row r="134" spans="8:8" x14ac:dyDescent="0.25">
      <c r="H134" t="s">
        <v>7162</v>
      </c>
    </row>
    <row r="135" spans="8:8" x14ac:dyDescent="0.25">
      <c r="H135" t="s">
        <v>7163</v>
      </c>
    </row>
    <row r="136" spans="8:8" x14ac:dyDescent="0.25">
      <c r="H136" t="s">
        <v>7164</v>
      </c>
    </row>
    <row r="137" spans="8:8" x14ac:dyDescent="0.25">
      <c r="H137" t="s">
        <v>7165</v>
      </c>
    </row>
    <row r="138" spans="8:8" x14ac:dyDescent="0.25">
      <c r="H138" t="s">
        <v>7166</v>
      </c>
    </row>
    <row r="139" spans="8:8" x14ac:dyDescent="0.25">
      <c r="H139" t="s">
        <v>7167</v>
      </c>
    </row>
    <row r="140" spans="8:8" x14ac:dyDescent="0.25">
      <c r="H140" t="s">
        <v>7168</v>
      </c>
    </row>
    <row r="141" spans="8:8" x14ac:dyDescent="0.25">
      <c r="H141" t="s">
        <v>7169</v>
      </c>
    </row>
    <row r="142" spans="8:8" x14ac:dyDescent="0.25">
      <c r="H142" t="s">
        <v>7170</v>
      </c>
    </row>
    <row r="143" spans="8:8" x14ac:dyDescent="0.25">
      <c r="H143" t="s">
        <v>7171</v>
      </c>
    </row>
    <row r="144" spans="8:8" x14ac:dyDescent="0.25">
      <c r="H144" t="s">
        <v>7172</v>
      </c>
    </row>
    <row r="145" spans="8:8" x14ac:dyDescent="0.25">
      <c r="H145" t="s">
        <v>7173</v>
      </c>
    </row>
    <row r="146" spans="8:8" x14ac:dyDescent="0.25">
      <c r="H146" t="s">
        <v>7174</v>
      </c>
    </row>
    <row r="147" spans="8:8" x14ac:dyDescent="0.25">
      <c r="H147" t="s">
        <v>7175</v>
      </c>
    </row>
    <row r="148" spans="8:8" x14ac:dyDescent="0.25">
      <c r="H148" t="s">
        <v>7176</v>
      </c>
    </row>
    <row r="149" spans="8:8" x14ac:dyDescent="0.25">
      <c r="H149" t="s">
        <v>7177</v>
      </c>
    </row>
    <row r="150" spans="8:8" x14ac:dyDescent="0.25">
      <c r="H150" t="s">
        <v>7178</v>
      </c>
    </row>
    <row r="151" spans="8:8" x14ac:dyDescent="0.25">
      <c r="H151" t="s">
        <v>7179</v>
      </c>
    </row>
    <row r="152" spans="8:8" x14ac:dyDescent="0.25">
      <c r="H152" t="s">
        <v>7180</v>
      </c>
    </row>
    <row r="153" spans="8:8" x14ac:dyDescent="0.25">
      <c r="H153" t="s">
        <v>7181</v>
      </c>
    </row>
    <row r="154" spans="8:8" x14ac:dyDescent="0.25">
      <c r="H154" t="s">
        <v>7182</v>
      </c>
    </row>
    <row r="155" spans="8:8" x14ac:dyDescent="0.25">
      <c r="H155" t="s">
        <v>7183</v>
      </c>
    </row>
    <row r="156" spans="8:8" x14ac:dyDescent="0.25">
      <c r="H156" t="s">
        <v>7184</v>
      </c>
    </row>
    <row r="157" spans="8:8" x14ac:dyDescent="0.25">
      <c r="H157" t="s">
        <v>7185</v>
      </c>
    </row>
    <row r="159" spans="8:8" x14ac:dyDescent="0.25">
      <c r="H159" t="s">
        <v>7186</v>
      </c>
    </row>
    <row r="160" spans="8:8" x14ac:dyDescent="0.25">
      <c r="H160" t="s">
        <v>7187</v>
      </c>
    </row>
    <row r="161" spans="8:8" x14ac:dyDescent="0.25">
      <c r="H161" t="s">
        <v>7188</v>
      </c>
    </row>
    <row r="162" spans="8:8" x14ac:dyDescent="0.25">
      <c r="H162" t="s">
        <v>7189</v>
      </c>
    </row>
    <row r="163" spans="8:8" x14ac:dyDescent="0.25">
      <c r="H163" t="s">
        <v>7190</v>
      </c>
    </row>
    <row r="164" spans="8:8" x14ac:dyDescent="0.25">
      <c r="H164" t="s">
        <v>7191</v>
      </c>
    </row>
    <row r="165" spans="8:8" x14ac:dyDescent="0.25">
      <c r="H165" t="s">
        <v>7192</v>
      </c>
    </row>
    <row r="166" spans="8:8" x14ac:dyDescent="0.25">
      <c r="H166" t="s">
        <v>7193</v>
      </c>
    </row>
    <row r="167" spans="8:8" x14ac:dyDescent="0.25">
      <c r="H167" t="s">
        <v>7194</v>
      </c>
    </row>
    <row r="168" spans="8:8" x14ac:dyDescent="0.25">
      <c r="H168" t="s">
        <v>7195</v>
      </c>
    </row>
    <row r="169" spans="8:8" x14ac:dyDescent="0.25">
      <c r="H169" t="s">
        <v>7196</v>
      </c>
    </row>
    <row r="170" spans="8:8" x14ac:dyDescent="0.25">
      <c r="H170" t="s">
        <v>7197</v>
      </c>
    </row>
    <row r="171" spans="8:8" x14ac:dyDescent="0.25">
      <c r="H171" t="s">
        <v>7198</v>
      </c>
    </row>
    <row r="172" spans="8:8" x14ac:dyDescent="0.25">
      <c r="H172" t="s">
        <v>7199</v>
      </c>
    </row>
    <row r="173" spans="8:8" x14ac:dyDescent="0.25">
      <c r="H173" t="s">
        <v>7200</v>
      </c>
    </row>
    <row r="174" spans="8:8" x14ac:dyDescent="0.25">
      <c r="H174" t="s">
        <v>7201</v>
      </c>
    </row>
    <row r="175" spans="8:8" x14ac:dyDescent="0.25">
      <c r="H175" t="s">
        <v>7202</v>
      </c>
    </row>
    <row r="176" spans="8:8" x14ac:dyDescent="0.25">
      <c r="H176" t="s">
        <v>7203</v>
      </c>
    </row>
    <row r="177" spans="8:8" x14ac:dyDescent="0.25">
      <c r="H177" t="s">
        <v>7204</v>
      </c>
    </row>
    <row r="178" spans="8:8" x14ac:dyDescent="0.25">
      <c r="H178" t="s">
        <v>7205</v>
      </c>
    </row>
    <row r="179" spans="8:8" x14ac:dyDescent="0.25">
      <c r="H179" t="s">
        <v>7206</v>
      </c>
    </row>
    <row r="180" spans="8:8" x14ac:dyDescent="0.25">
      <c r="H180" t="s">
        <v>7207</v>
      </c>
    </row>
    <row r="181" spans="8:8" x14ac:dyDescent="0.25">
      <c r="H181" t="s">
        <v>7208</v>
      </c>
    </row>
    <row r="182" spans="8:8" x14ac:dyDescent="0.25">
      <c r="H182" t="s">
        <v>7209</v>
      </c>
    </row>
    <row r="183" spans="8:8" x14ac:dyDescent="0.25">
      <c r="H183" t="s">
        <v>7210</v>
      </c>
    </row>
    <row r="184" spans="8:8" x14ac:dyDescent="0.25">
      <c r="H184" t="s">
        <v>7211</v>
      </c>
    </row>
    <row r="185" spans="8:8" x14ac:dyDescent="0.25">
      <c r="H185" t="s">
        <v>7212</v>
      </c>
    </row>
    <row r="186" spans="8:8" x14ac:dyDescent="0.25">
      <c r="H186" t="s">
        <v>7213</v>
      </c>
    </row>
    <row r="187" spans="8:8" x14ac:dyDescent="0.25">
      <c r="H187" t="s">
        <v>7214</v>
      </c>
    </row>
    <row r="188" spans="8:8" x14ac:dyDescent="0.25">
      <c r="H188" t="s">
        <v>7215</v>
      </c>
    </row>
    <row r="189" spans="8:8" x14ac:dyDescent="0.25">
      <c r="H189" t="s">
        <v>7216</v>
      </c>
    </row>
    <row r="190" spans="8:8" x14ac:dyDescent="0.25">
      <c r="H190" t="s">
        <v>7217</v>
      </c>
    </row>
    <row r="191" spans="8:8" x14ac:dyDescent="0.25">
      <c r="H191" t="s">
        <v>7218</v>
      </c>
    </row>
    <row r="192" spans="8:8" x14ac:dyDescent="0.25">
      <c r="H192" t="s">
        <v>7219</v>
      </c>
    </row>
    <row r="193" spans="8:8" x14ac:dyDescent="0.25">
      <c r="H193" t="s">
        <v>7220</v>
      </c>
    </row>
    <row r="194" spans="8:8" x14ac:dyDescent="0.25">
      <c r="H194" t="s">
        <v>7221</v>
      </c>
    </row>
    <row r="195" spans="8:8" x14ac:dyDescent="0.25">
      <c r="H195" t="s">
        <v>7222</v>
      </c>
    </row>
    <row r="196" spans="8:8" x14ac:dyDescent="0.25">
      <c r="H196" t="s">
        <v>7223</v>
      </c>
    </row>
    <row r="197" spans="8:8" x14ac:dyDescent="0.25">
      <c r="H197" t="s">
        <v>7224</v>
      </c>
    </row>
    <row r="198" spans="8:8" x14ac:dyDescent="0.25">
      <c r="H198" t="s">
        <v>7225</v>
      </c>
    </row>
    <row r="199" spans="8:8" x14ac:dyDescent="0.25">
      <c r="H199" t="s">
        <v>7226</v>
      </c>
    </row>
    <row r="200" spans="8:8" x14ac:dyDescent="0.25">
      <c r="H200" t="s">
        <v>7227</v>
      </c>
    </row>
    <row r="201" spans="8:8" x14ac:dyDescent="0.25">
      <c r="H201" t="s">
        <v>7228</v>
      </c>
    </row>
    <row r="202" spans="8:8" x14ac:dyDescent="0.25">
      <c r="H202" t="s">
        <v>7229</v>
      </c>
    </row>
    <row r="203" spans="8:8" x14ac:dyDescent="0.25">
      <c r="H203" t="s">
        <v>7230</v>
      </c>
    </row>
    <row r="204" spans="8:8" x14ac:dyDescent="0.25">
      <c r="H204" t="s">
        <v>7231</v>
      </c>
    </row>
    <row r="205" spans="8:8" x14ac:dyDescent="0.25">
      <c r="H205" t="s">
        <v>7232</v>
      </c>
    </row>
    <row r="206" spans="8:8" x14ac:dyDescent="0.25">
      <c r="H206" t="s">
        <v>7233</v>
      </c>
    </row>
    <row r="207" spans="8:8" x14ac:dyDescent="0.25">
      <c r="H207" t="s">
        <v>7234</v>
      </c>
    </row>
    <row r="208" spans="8:8" x14ac:dyDescent="0.25">
      <c r="H208" t="s">
        <v>7235</v>
      </c>
    </row>
    <row r="209" spans="8:8" x14ac:dyDescent="0.25">
      <c r="H209" t="s">
        <v>7236</v>
      </c>
    </row>
    <row r="210" spans="8:8" x14ac:dyDescent="0.25">
      <c r="H210" t="s">
        <v>7237</v>
      </c>
    </row>
    <row r="211" spans="8:8" x14ac:dyDescent="0.25">
      <c r="H211" t="s">
        <v>7238</v>
      </c>
    </row>
    <row r="212" spans="8:8" x14ac:dyDescent="0.25">
      <c r="H212" t="s">
        <v>7239</v>
      </c>
    </row>
    <row r="213" spans="8:8" x14ac:dyDescent="0.25">
      <c r="H213" t="s">
        <v>7240</v>
      </c>
    </row>
    <row r="214" spans="8:8" x14ac:dyDescent="0.25">
      <c r="H214" t="s">
        <v>7241</v>
      </c>
    </row>
    <row r="215" spans="8:8" x14ac:dyDescent="0.25">
      <c r="H215" t="s">
        <v>7242</v>
      </c>
    </row>
    <row r="216" spans="8:8" x14ac:dyDescent="0.25">
      <c r="H216" t="s">
        <v>7243</v>
      </c>
    </row>
    <row r="217" spans="8:8" x14ac:dyDescent="0.25">
      <c r="H217" t="s">
        <v>7244</v>
      </c>
    </row>
    <row r="218" spans="8:8" x14ac:dyDescent="0.25">
      <c r="H218" t="s">
        <v>7245</v>
      </c>
    </row>
    <row r="219" spans="8:8" x14ac:dyDescent="0.25">
      <c r="H219" t="s">
        <v>7246</v>
      </c>
    </row>
    <row r="220" spans="8:8" x14ac:dyDescent="0.25">
      <c r="H220" t="s">
        <v>7247</v>
      </c>
    </row>
    <row r="221" spans="8:8" x14ac:dyDescent="0.25">
      <c r="H221" t="s">
        <v>7248</v>
      </c>
    </row>
    <row r="222" spans="8:8" x14ac:dyDescent="0.25">
      <c r="H222" t="s">
        <v>7249</v>
      </c>
    </row>
    <row r="223" spans="8:8" x14ac:dyDescent="0.25">
      <c r="H223" t="s">
        <v>7250</v>
      </c>
    </row>
    <row r="224" spans="8:8" x14ac:dyDescent="0.25">
      <c r="H224" t="s">
        <v>7251</v>
      </c>
    </row>
    <row r="225" spans="8:8" x14ac:dyDescent="0.25">
      <c r="H225" t="s">
        <v>7252</v>
      </c>
    </row>
    <row r="226" spans="8:8" x14ac:dyDescent="0.25">
      <c r="H226" t="s">
        <v>7253</v>
      </c>
    </row>
    <row r="227" spans="8:8" x14ac:dyDescent="0.25">
      <c r="H227" t="s">
        <v>7254</v>
      </c>
    </row>
    <row r="228" spans="8:8" x14ac:dyDescent="0.25">
      <c r="H228" t="s">
        <v>7255</v>
      </c>
    </row>
    <row r="229" spans="8:8" x14ac:dyDescent="0.25">
      <c r="H229" t="s">
        <v>7256</v>
      </c>
    </row>
    <row r="230" spans="8:8" x14ac:dyDescent="0.25">
      <c r="H230" t="s">
        <v>7257</v>
      </c>
    </row>
    <row r="231" spans="8:8" x14ac:dyDescent="0.25">
      <c r="H231" t="s">
        <v>7258</v>
      </c>
    </row>
    <row r="232" spans="8:8" x14ac:dyDescent="0.25">
      <c r="H232" t="s">
        <v>7259</v>
      </c>
    </row>
    <row r="233" spans="8:8" x14ac:dyDescent="0.25">
      <c r="H233" t="s">
        <v>7260</v>
      </c>
    </row>
    <row r="234" spans="8:8" x14ac:dyDescent="0.25">
      <c r="H234" t="s">
        <v>7261</v>
      </c>
    </row>
    <row r="235" spans="8:8" x14ac:dyDescent="0.25">
      <c r="H235" t="s">
        <v>7262</v>
      </c>
    </row>
    <row r="236" spans="8:8" x14ac:dyDescent="0.25">
      <c r="H236" t="s">
        <v>7263</v>
      </c>
    </row>
    <row r="237" spans="8:8" x14ac:dyDescent="0.25">
      <c r="H237" t="s">
        <v>7264</v>
      </c>
    </row>
    <row r="238" spans="8:8" x14ac:dyDescent="0.25">
      <c r="H238" t="s">
        <v>7265</v>
      </c>
    </row>
    <row r="239" spans="8:8" x14ac:dyDescent="0.25">
      <c r="H239" t="s">
        <v>7266</v>
      </c>
    </row>
    <row r="240" spans="8:8" x14ac:dyDescent="0.25">
      <c r="H240" t="s">
        <v>7267</v>
      </c>
    </row>
    <row r="241" spans="8:8" x14ac:dyDescent="0.25">
      <c r="H241" t="s">
        <v>7268</v>
      </c>
    </row>
    <row r="242" spans="8:8" x14ac:dyDescent="0.25">
      <c r="H242" t="s">
        <v>7269</v>
      </c>
    </row>
    <row r="243" spans="8:8" x14ac:dyDescent="0.25">
      <c r="H243" t="s">
        <v>7270</v>
      </c>
    </row>
    <row r="244" spans="8:8" x14ac:dyDescent="0.25">
      <c r="H244" t="s">
        <v>7271</v>
      </c>
    </row>
    <row r="245" spans="8:8" x14ac:dyDescent="0.25">
      <c r="H245" t="s">
        <v>7272</v>
      </c>
    </row>
    <row r="246" spans="8:8" x14ac:dyDescent="0.25">
      <c r="H246" t="s">
        <v>7273</v>
      </c>
    </row>
    <row r="247" spans="8:8" x14ac:dyDescent="0.25">
      <c r="H247" t="s">
        <v>7274</v>
      </c>
    </row>
    <row r="248" spans="8:8" x14ac:dyDescent="0.25">
      <c r="H248" t="s">
        <v>7275</v>
      </c>
    </row>
    <row r="249" spans="8:8" x14ac:dyDescent="0.25">
      <c r="H249" t="s">
        <v>7276</v>
      </c>
    </row>
    <row r="250" spans="8:8" x14ac:dyDescent="0.25">
      <c r="H250" t="s">
        <v>7277</v>
      </c>
    </row>
    <row r="251" spans="8:8" x14ac:dyDescent="0.25">
      <c r="H251" t="s">
        <v>7278</v>
      </c>
    </row>
    <row r="252" spans="8:8" x14ac:dyDescent="0.25">
      <c r="H252" t="s">
        <v>7279</v>
      </c>
    </row>
    <row r="253" spans="8:8" x14ac:dyDescent="0.25">
      <c r="H253" t="s">
        <v>7280</v>
      </c>
    </row>
    <row r="254" spans="8:8" x14ac:dyDescent="0.25">
      <c r="H254" t="s">
        <v>7281</v>
      </c>
    </row>
    <row r="255" spans="8:8" x14ac:dyDescent="0.25">
      <c r="H255" t="s">
        <v>7282</v>
      </c>
    </row>
    <row r="256" spans="8:8" x14ac:dyDescent="0.25">
      <c r="H256" t="s">
        <v>7283</v>
      </c>
    </row>
    <row r="257" spans="8:8" x14ac:dyDescent="0.25">
      <c r="H257" t="s">
        <v>7284</v>
      </c>
    </row>
    <row r="258" spans="8:8" x14ac:dyDescent="0.25">
      <c r="H258" t="s">
        <v>7285</v>
      </c>
    </row>
    <row r="259" spans="8:8" x14ac:dyDescent="0.25">
      <c r="H259" t="s">
        <v>7286</v>
      </c>
    </row>
    <row r="260" spans="8:8" x14ac:dyDescent="0.25">
      <c r="H260" t="s">
        <v>7287</v>
      </c>
    </row>
    <row r="261" spans="8:8" x14ac:dyDescent="0.25">
      <c r="H261" t="s">
        <v>7288</v>
      </c>
    </row>
    <row r="262" spans="8:8" x14ac:dyDescent="0.25">
      <c r="H262" t="s">
        <v>7289</v>
      </c>
    </row>
    <row r="263" spans="8:8" x14ac:dyDescent="0.25">
      <c r="H263" t="s">
        <v>7290</v>
      </c>
    </row>
    <row r="264" spans="8:8" x14ac:dyDescent="0.25">
      <c r="H264" t="s">
        <v>7291</v>
      </c>
    </row>
    <row r="265" spans="8:8" x14ac:dyDescent="0.25">
      <c r="H265" t="s">
        <v>7292</v>
      </c>
    </row>
    <row r="266" spans="8:8" x14ac:dyDescent="0.25">
      <c r="H266" t="s">
        <v>7293</v>
      </c>
    </row>
    <row r="267" spans="8:8" x14ac:dyDescent="0.25">
      <c r="H267" t="s">
        <v>7294</v>
      </c>
    </row>
    <row r="268" spans="8:8" x14ac:dyDescent="0.25">
      <c r="H268" t="s">
        <v>7295</v>
      </c>
    </row>
    <row r="269" spans="8:8" x14ac:dyDescent="0.25">
      <c r="H269" t="s">
        <v>7296</v>
      </c>
    </row>
    <row r="270" spans="8:8" x14ac:dyDescent="0.25">
      <c r="H270" t="s">
        <v>7297</v>
      </c>
    </row>
    <row r="271" spans="8:8" x14ac:dyDescent="0.25">
      <c r="H271" t="s">
        <v>7298</v>
      </c>
    </row>
    <row r="272" spans="8:8" x14ac:dyDescent="0.25">
      <c r="H272" t="s">
        <v>7299</v>
      </c>
    </row>
    <row r="273" spans="8:8" x14ac:dyDescent="0.25">
      <c r="H273" t="s">
        <v>7300</v>
      </c>
    </row>
    <row r="274" spans="8:8" x14ac:dyDescent="0.25">
      <c r="H274" t="s">
        <v>7301</v>
      </c>
    </row>
    <row r="275" spans="8:8" x14ac:dyDescent="0.25">
      <c r="H275" t="s">
        <v>7302</v>
      </c>
    </row>
    <row r="276" spans="8:8" x14ac:dyDescent="0.25">
      <c r="H276" t="s">
        <v>7303</v>
      </c>
    </row>
    <row r="277" spans="8:8" x14ac:dyDescent="0.25">
      <c r="H277" t="s">
        <v>7304</v>
      </c>
    </row>
    <row r="278" spans="8:8" x14ac:dyDescent="0.25">
      <c r="H278" t="s">
        <v>7305</v>
      </c>
    </row>
    <row r="279" spans="8:8" x14ac:dyDescent="0.25">
      <c r="H279" t="s">
        <v>7306</v>
      </c>
    </row>
    <row r="280" spans="8:8" x14ac:dyDescent="0.25">
      <c r="H280" t="s">
        <v>7307</v>
      </c>
    </row>
    <row r="281" spans="8:8" x14ac:dyDescent="0.25">
      <c r="H281" t="s">
        <v>7308</v>
      </c>
    </row>
    <row r="282" spans="8:8" x14ac:dyDescent="0.25">
      <c r="H282" t="s">
        <v>7309</v>
      </c>
    </row>
    <row r="283" spans="8:8" x14ac:dyDescent="0.25">
      <c r="H283" t="s">
        <v>7310</v>
      </c>
    </row>
    <row r="284" spans="8:8" x14ac:dyDescent="0.25">
      <c r="H284" t="s">
        <v>7311</v>
      </c>
    </row>
    <row r="285" spans="8:8" x14ac:dyDescent="0.25">
      <c r="H285" t="s">
        <v>7312</v>
      </c>
    </row>
    <row r="286" spans="8:8" x14ac:dyDescent="0.25">
      <c r="H286" t="s">
        <v>7313</v>
      </c>
    </row>
    <row r="287" spans="8:8" x14ac:dyDescent="0.25">
      <c r="H287" t="s">
        <v>7314</v>
      </c>
    </row>
    <row r="288" spans="8:8" x14ac:dyDescent="0.25">
      <c r="H288" t="s">
        <v>7315</v>
      </c>
    </row>
    <row r="289" spans="8:8" x14ac:dyDescent="0.25">
      <c r="H289" t="s">
        <v>7316</v>
      </c>
    </row>
    <row r="290" spans="8:8" x14ac:dyDescent="0.25">
      <c r="H290" t="s">
        <v>7317</v>
      </c>
    </row>
    <row r="291" spans="8:8" x14ac:dyDescent="0.25">
      <c r="H291" t="s">
        <v>7318</v>
      </c>
    </row>
    <row r="292" spans="8:8" x14ac:dyDescent="0.25">
      <c r="H292" t="s">
        <v>7319</v>
      </c>
    </row>
    <row r="293" spans="8:8" x14ac:dyDescent="0.25">
      <c r="H293" t="s">
        <v>7320</v>
      </c>
    </row>
    <row r="294" spans="8:8" x14ac:dyDescent="0.25">
      <c r="H294" t="s">
        <v>7321</v>
      </c>
    </row>
    <row r="295" spans="8:8" x14ac:dyDescent="0.25">
      <c r="H295" t="s">
        <v>7322</v>
      </c>
    </row>
    <row r="296" spans="8:8" x14ac:dyDescent="0.25">
      <c r="H296" t="s">
        <v>7323</v>
      </c>
    </row>
    <row r="297" spans="8:8" x14ac:dyDescent="0.25">
      <c r="H297" t="s">
        <v>7324</v>
      </c>
    </row>
    <row r="298" spans="8:8" x14ac:dyDescent="0.25">
      <c r="H298" t="s">
        <v>7325</v>
      </c>
    </row>
    <row r="299" spans="8:8" x14ac:dyDescent="0.25">
      <c r="H299" t="s">
        <v>7326</v>
      </c>
    </row>
    <row r="300" spans="8:8" x14ac:dyDescent="0.25">
      <c r="H300" t="s">
        <v>7327</v>
      </c>
    </row>
    <row r="301" spans="8:8" x14ac:dyDescent="0.25">
      <c r="H301" t="s">
        <v>7328</v>
      </c>
    </row>
    <row r="302" spans="8:8" x14ac:dyDescent="0.25">
      <c r="H302" t="s">
        <v>7329</v>
      </c>
    </row>
    <row r="303" spans="8:8" x14ac:dyDescent="0.25">
      <c r="H303" t="s">
        <v>7330</v>
      </c>
    </row>
    <row r="304" spans="8:8" x14ac:dyDescent="0.25">
      <c r="H304" t="s">
        <v>7331</v>
      </c>
    </row>
    <row r="305" spans="8:8" x14ac:dyDescent="0.25">
      <c r="H305" t="s">
        <v>7332</v>
      </c>
    </row>
    <row r="306" spans="8:8" x14ac:dyDescent="0.25">
      <c r="H306" t="s">
        <v>7333</v>
      </c>
    </row>
    <row r="307" spans="8:8" x14ac:dyDescent="0.25">
      <c r="H307" t="s">
        <v>7334</v>
      </c>
    </row>
    <row r="308" spans="8:8" x14ac:dyDescent="0.25">
      <c r="H308" t="s">
        <v>7335</v>
      </c>
    </row>
    <row r="309" spans="8:8" x14ac:dyDescent="0.25">
      <c r="H309" t="s">
        <v>7336</v>
      </c>
    </row>
    <row r="310" spans="8:8" x14ac:dyDescent="0.25">
      <c r="H310" t="s">
        <v>7337</v>
      </c>
    </row>
    <row r="311" spans="8:8" x14ac:dyDescent="0.25">
      <c r="H311" t="s">
        <v>7338</v>
      </c>
    </row>
    <row r="312" spans="8:8" x14ac:dyDescent="0.25">
      <c r="H312" t="s">
        <v>7339</v>
      </c>
    </row>
    <row r="313" spans="8:8" x14ac:dyDescent="0.25">
      <c r="H313" t="s">
        <v>7340</v>
      </c>
    </row>
    <row r="314" spans="8:8" x14ac:dyDescent="0.25">
      <c r="H314" t="s">
        <v>7341</v>
      </c>
    </row>
    <row r="315" spans="8:8" x14ac:dyDescent="0.25">
      <c r="H315" t="s">
        <v>7342</v>
      </c>
    </row>
    <row r="317" spans="8:8" x14ac:dyDescent="0.25">
      <c r="H317" t="s">
        <v>7343</v>
      </c>
    </row>
    <row r="318" spans="8:8" x14ac:dyDescent="0.25">
      <c r="H318" t="s">
        <v>7344</v>
      </c>
    </row>
    <row r="319" spans="8:8" x14ac:dyDescent="0.25">
      <c r="H319" t="s">
        <v>7345</v>
      </c>
    </row>
    <row r="320" spans="8:8" x14ac:dyDescent="0.25">
      <c r="H320" t="s">
        <v>7346</v>
      </c>
    </row>
    <row r="321" spans="8:8" x14ac:dyDescent="0.25">
      <c r="H321" t="s">
        <v>7347</v>
      </c>
    </row>
    <row r="322" spans="8:8" x14ac:dyDescent="0.25">
      <c r="H322" t="s">
        <v>7348</v>
      </c>
    </row>
    <row r="323" spans="8:8" x14ac:dyDescent="0.25">
      <c r="H323" t="s">
        <v>7349</v>
      </c>
    </row>
    <row r="324" spans="8:8" x14ac:dyDescent="0.25">
      <c r="H324" t="s">
        <v>7350</v>
      </c>
    </row>
    <row r="325" spans="8:8" x14ac:dyDescent="0.25">
      <c r="H325" t="s">
        <v>7351</v>
      </c>
    </row>
    <row r="326" spans="8:8" x14ac:dyDescent="0.25">
      <c r="H326" t="s">
        <v>7352</v>
      </c>
    </row>
    <row r="327" spans="8:8" x14ac:dyDescent="0.25">
      <c r="H327" t="s">
        <v>7353</v>
      </c>
    </row>
    <row r="328" spans="8:8" x14ac:dyDescent="0.25">
      <c r="H328" t="s">
        <v>7354</v>
      </c>
    </row>
    <row r="329" spans="8:8" x14ac:dyDescent="0.25">
      <c r="H329" t="s">
        <v>7355</v>
      </c>
    </row>
    <row r="330" spans="8:8" x14ac:dyDescent="0.25">
      <c r="H330" t="s">
        <v>7132</v>
      </c>
    </row>
    <row r="331" spans="8:8" x14ac:dyDescent="0.25">
      <c r="H331" t="s">
        <v>7131</v>
      </c>
    </row>
    <row r="332" spans="8:8" x14ac:dyDescent="0.25">
      <c r="H332" t="s">
        <v>7356</v>
      </c>
    </row>
    <row r="333" spans="8:8" x14ac:dyDescent="0.25">
      <c r="H333" t="s">
        <v>7357</v>
      </c>
    </row>
    <row r="334" spans="8:8" x14ac:dyDescent="0.25">
      <c r="H334" t="s">
        <v>7358</v>
      </c>
    </row>
    <row r="335" spans="8:8" x14ac:dyDescent="0.25">
      <c r="H335" t="s">
        <v>7359</v>
      </c>
    </row>
    <row r="336" spans="8:8" x14ac:dyDescent="0.25">
      <c r="H336" t="s">
        <v>7360</v>
      </c>
    </row>
    <row r="337" spans="8:8" x14ac:dyDescent="0.25">
      <c r="H337" t="s">
        <v>7361</v>
      </c>
    </row>
    <row r="338" spans="8:8" x14ac:dyDescent="0.25">
      <c r="H338" t="s">
        <v>7362</v>
      </c>
    </row>
    <row r="339" spans="8:8" x14ac:dyDescent="0.25">
      <c r="H339" t="s">
        <v>7363</v>
      </c>
    </row>
    <row r="340" spans="8:8" x14ac:dyDescent="0.25">
      <c r="H340" t="s">
        <v>7364</v>
      </c>
    </row>
    <row r="341" spans="8:8" x14ac:dyDescent="0.25">
      <c r="H341" t="s">
        <v>7365</v>
      </c>
    </row>
    <row r="342" spans="8:8" x14ac:dyDescent="0.25">
      <c r="H342" t="s">
        <v>7366</v>
      </c>
    </row>
    <row r="343" spans="8:8" x14ac:dyDescent="0.25">
      <c r="H343" t="s">
        <v>7367</v>
      </c>
    </row>
    <row r="344" spans="8:8" x14ac:dyDescent="0.25">
      <c r="H344" t="s">
        <v>7368</v>
      </c>
    </row>
    <row r="345" spans="8:8" x14ac:dyDescent="0.25">
      <c r="H345" t="s">
        <v>7369</v>
      </c>
    </row>
    <row r="346" spans="8:8" x14ac:dyDescent="0.25">
      <c r="H346" t="s">
        <v>7370</v>
      </c>
    </row>
    <row r="347" spans="8:8" x14ac:dyDescent="0.25">
      <c r="H347" t="s">
        <v>7371</v>
      </c>
    </row>
    <row r="348" spans="8:8" x14ac:dyDescent="0.25">
      <c r="H348" t="s">
        <v>7372</v>
      </c>
    </row>
    <row r="349" spans="8:8" x14ac:dyDescent="0.25">
      <c r="H349" t="s">
        <v>7373</v>
      </c>
    </row>
    <row r="350" spans="8:8" x14ac:dyDescent="0.25">
      <c r="H350" t="s">
        <v>7374</v>
      </c>
    </row>
    <row r="351" spans="8:8" x14ac:dyDescent="0.25">
      <c r="H351" t="s">
        <v>7375</v>
      </c>
    </row>
    <row r="352" spans="8:8" x14ac:dyDescent="0.25">
      <c r="H352" t="s">
        <v>7376</v>
      </c>
    </row>
    <row r="353" spans="8:8" x14ac:dyDescent="0.25">
      <c r="H353" t="s">
        <v>7377</v>
      </c>
    </row>
    <row r="354" spans="8:8" x14ac:dyDescent="0.25">
      <c r="H354" t="s">
        <v>7378</v>
      </c>
    </row>
    <row r="355" spans="8:8" x14ac:dyDescent="0.25">
      <c r="H355" t="s">
        <v>7379</v>
      </c>
    </row>
    <row r="356" spans="8:8" x14ac:dyDescent="0.25">
      <c r="H356" t="s">
        <v>7380</v>
      </c>
    </row>
    <row r="357" spans="8:8" x14ac:dyDescent="0.25">
      <c r="H357" t="s">
        <v>7381</v>
      </c>
    </row>
    <row r="358" spans="8:8" x14ac:dyDescent="0.25">
      <c r="H358" t="s">
        <v>7382</v>
      </c>
    </row>
    <row r="359" spans="8:8" x14ac:dyDescent="0.25">
      <c r="H359" t="s">
        <v>7383</v>
      </c>
    </row>
    <row r="360" spans="8:8" x14ac:dyDescent="0.25">
      <c r="H360" t="s">
        <v>7384</v>
      </c>
    </row>
    <row r="361" spans="8:8" x14ac:dyDescent="0.25">
      <c r="H361" t="s">
        <v>7385</v>
      </c>
    </row>
    <row r="362" spans="8:8" x14ac:dyDescent="0.25">
      <c r="H362" t="s">
        <v>7386</v>
      </c>
    </row>
    <row r="363" spans="8:8" x14ac:dyDescent="0.25">
      <c r="H363" t="s">
        <v>7387</v>
      </c>
    </row>
    <row r="364" spans="8:8" x14ac:dyDescent="0.25">
      <c r="H364" t="s">
        <v>7388</v>
      </c>
    </row>
    <row r="365" spans="8:8" x14ac:dyDescent="0.25">
      <c r="H365" t="s">
        <v>7389</v>
      </c>
    </row>
    <row r="366" spans="8:8" x14ac:dyDescent="0.25">
      <c r="H366" t="s">
        <v>7390</v>
      </c>
    </row>
    <row r="367" spans="8:8" x14ac:dyDescent="0.25">
      <c r="H367" t="s">
        <v>7391</v>
      </c>
    </row>
    <row r="368" spans="8:8" x14ac:dyDescent="0.25">
      <c r="H368" t="s">
        <v>7392</v>
      </c>
    </row>
    <row r="369" spans="8:8" x14ac:dyDescent="0.25">
      <c r="H369" t="s">
        <v>7393</v>
      </c>
    </row>
    <row r="370" spans="8:8" x14ac:dyDescent="0.25">
      <c r="H370" t="s">
        <v>7394</v>
      </c>
    </row>
    <row r="372" spans="8:8" x14ac:dyDescent="0.25">
      <c r="H372" t="s">
        <v>7395</v>
      </c>
    </row>
    <row r="373" spans="8:8" x14ac:dyDescent="0.25">
      <c r="H373" t="s">
        <v>7396</v>
      </c>
    </row>
    <row r="374" spans="8:8" x14ac:dyDescent="0.25">
      <c r="H374" t="s">
        <v>7127</v>
      </c>
    </row>
    <row r="375" spans="8:8" x14ac:dyDescent="0.25">
      <c r="H375" t="s">
        <v>7128</v>
      </c>
    </row>
    <row r="376" spans="8:8" x14ac:dyDescent="0.25">
      <c r="H376" t="s">
        <v>7129</v>
      </c>
    </row>
    <row r="377" spans="8:8" x14ac:dyDescent="0.25">
      <c r="H377" t="s">
        <v>7130</v>
      </c>
    </row>
    <row r="378" spans="8:8" x14ac:dyDescent="0.25">
      <c r="H378" t="s">
        <v>7131</v>
      </c>
    </row>
    <row r="379" spans="8:8" x14ac:dyDescent="0.25">
      <c r="H379" t="s">
        <v>7132</v>
      </c>
    </row>
    <row r="380" spans="8:8" x14ac:dyDescent="0.25">
      <c r="H380" t="s">
        <v>7133</v>
      </c>
    </row>
    <row r="381" spans="8:8" x14ac:dyDescent="0.25">
      <c r="H381" t="s">
        <v>7134</v>
      </c>
    </row>
    <row r="382" spans="8:8" x14ac:dyDescent="0.25">
      <c r="H382" t="s">
        <v>7135</v>
      </c>
    </row>
    <row r="383" spans="8:8" x14ac:dyDescent="0.25">
      <c r="H383" t="s">
        <v>7136</v>
      </c>
    </row>
    <row r="384" spans="8:8" x14ac:dyDescent="0.25">
      <c r="H384" t="s">
        <v>7137</v>
      </c>
    </row>
    <row r="385" spans="8:8" x14ac:dyDescent="0.25">
      <c r="H385" t="s">
        <v>7138</v>
      </c>
    </row>
    <row r="386" spans="8:8" x14ac:dyDescent="0.25">
      <c r="H386" t="s">
        <v>7139</v>
      </c>
    </row>
    <row r="387" spans="8:8" x14ac:dyDescent="0.25">
      <c r="H387" t="s">
        <v>7140</v>
      </c>
    </row>
    <row r="388" spans="8:8" x14ac:dyDescent="0.25">
      <c r="H388" t="s">
        <v>7141</v>
      </c>
    </row>
    <row r="389" spans="8:8" x14ac:dyDescent="0.25">
      <c r="H389" t="s">
        <v>7142</v>
      </c>
    </row>
    <row r="390" spans="8:8" x14ac:dyDescent="0.25">
      <c r="H390" t="s">
        <v>7143</v>
      </c>
    </row>
    <row r="391" spans="8:8" x14ac:dyDescent="0.25">
      <c r="H391" t="s">
        <v>7144</v>
      </c>
    </row>
    <row r="392" spans="8:8" x14ac:dyDescent="0.25">
      <c r="H392" t="s">
        <v>7145</v>
      </c>
    </row>
    <row r="393" spans="8:8" x14ac:dyDescent="0.25">
      <c r="H393" t="s">
        <v>7146</v>
      </c>
    </row>
    <row r="394" spans="8:8" x14ac:dyDescent="0.25">
      <c r="H394" t="s">
        <v>7147</v>
      </c>
    </row>
    <row r="395" spans="8:8" x14ac:dyDescent="0.25">
      <c r="H395" t="s">
        <v>7148</v>
      </c>
    </row>
    <row r="396" spans="8:8" x14ac:dyDescent="0.25">
      <c r="H396" t="s">
        <v>7149</v>
      </c>
    </row>
    <row r="397" spans="8:8" x14ac:dyDescent="0.25">
      <c r="H397" t="s">
        <v>7150</v>
      </c>
    </row>
    <row r="398" spans="8:8" x14ac:dyDescent="0.25">
      <c r="H398" t="s">
        <v>7151</v>
      </c>
    </row>
    <row r="399" spans="8:8" x14ac:dyDescent="0.25">
      <c r="H399" t="s">
        <v>7152</v>
      </c>
    </row>
    <row r="400" spans="8:8" x14ac:dyDescent="0.25">
      <c r="H400" t="s">
        <v>7153</v>
      </c>
    </row>
    <row r="401" spans="8:8" x14ac:dyDescent="0.25">
      <c r="H401" t="s">
        <v>7154</v>
      </c>
    </row>
    <row r="402" spans="8:8" x14ac:dyDescent="0.25">
      <c r="H402" t="s">
        <v>7155</v>
      </c>
    </row>
    <row r="403" spans="8:8" x14ac:dyDescent="0.25">
      <c r="H403" t="s">
        <v>7156</v>
      </c>
    </row>
    <row r="404" spans="8:8" x14ac:dyDescent="0.25">
      <c r="H404" t="s">
        <v>7157</v>
      </c>
    </row>
    <row r="405" spans="8:8" x14ac:dyDescent="0.25">
      <c r="H405" t="s">
        <v>7158</v>
      </c>
    </row>
    <row r="406" spans="8:8" x14ac:dyDescent="0.25">
      <c r="H406" t="s">
        <v>7159</v>
      </c>
    </row>
    <row r="407" spans="8:8" x14ac:dyDescent="0.25">
      <c r="H407" t="s">
        <v>7160</v>
      </c>
    </row>
    <row r="408" spans="8:8" x14ac:dyDescent="0.25">
      <c r="H408" t="s">
        <v>7161</v>
      </c>
    </row>
    <row r="409" spans="8:8" x14ac:dyDescent="0.25">
      <c r="H409" t="s">
        <v>7162</v>
      </c>
    </row>
    <row r="410" spans="8:8" x14ac:dyDescent="0.25">
      <c r="H410" t="s">
        <v>7163</v>
      </c>
    </row>
    <row r="411" spans="8:8" x14ac:dyDescent="0.25">
      <c r="H411" t="s">
        <v>7164</v>
      </c>
    </row>
    <row r="412" spans="8:8" x14ac:dyDescent="0.25">
      <c r="H412" t="s">
        <v>7165</v>
      </c>
    </row>
    <row r="413" spans="8:8" x14ac:dyDescent="0.25">
      <c r="H413" t="s">
        <v>7166</v>
      </c>
    </row>
    <row r="414" spans="8:8" x14ac:dyDescent="0.25">
      <c r="H414" t="s">
        <v>7167</v>
      </c>
    </row>
    <row r="415" spans="8:8" x14ac:dyDescent="0.25">
      <c r="H415" t="s">
        <v>7168</v>
      </c>
    </row>
    <row r="416" spans="8:8" x14ac:dyDescent="0.25">
      <c r="H416" t="s">
        <v>7169</v>
      </c>
    </row>
    <row r="417" spans="8:8" x14ac:dyDescent="0.25">
      <c r="H417" t="s">
        <v>7170</v>
      </c>
    </row>
    <row r="418" spans="8:8" x14ac:dyDescent="0.25">
      <c r="H418" t="s">
        <v>7171</v>
      </c>
    </row>
    <row r="419" spans="8:8" x14ac:dyDescent="0.25">
      <c r="H419" t="s">
        <v>7172</v>
      </c>
    </row>
    <row r="420" spans="8:8" x14ac:dyDescent="0.25">
      <c r="H420" t="s">
        <v>7173</v>
      </c>
    </row>
    <row r="421" spans="8:8" x14ac:dyDescent="0.25">
      <c r="H421" t="s">
        <v>7174</v>
      </c>
    </row>
    <row r="422" spans="8:8" x14ac:dyDescent="0.25">
      <c r="H422" t="s">
        <v>7175</v>
      </c>
    </row>
    <row r="423" spans="8:8" x14ac:dyDescent="0.25">
      <c r="H423" t="s">
        <v>7176</v>
      </c>
    </row>
    <row r="424" spans="8:8" x14ac:dyDescent="0.25">
      <c r="H424" t="s">
        <v>7177</v>
      </c>
    </row>
    <row r="425" spans="8:8" x14ac:dyDescent="0.25">
      <c r="H425" t="s">
        <v>7178</v>
      </c>
    </row>
    <row r="426" spans="8:8" x14ac:dyDescent="0.25">
      <c r="H426" t="s">
        <v>7179</v>
      </c>
    </row>
    <row r="427" spans="8:8" x14ac:dyDescent="0.25">
      <c r="H427" t="s">
        <v>7180</v>
      </c>
    </row>
    <row r="428" spans="8:8" x14ac:dyDescent="0.25">
      <c r="H428" t="s">
        <v>7181</v>
      </c>
    </row>
    <row r="429" spans="8:8" x14ac:dyDescent="0.25">
      <c r="H429" t="s">
        <v>7182</v>
      </c>
    </row>
    <row r="430" spans="8:8" x14ac:dyDescent="0.25">
      <c r="H430" t="s">
        <v>7183</v>
      </c>
    </row>
    <row r="431" spans="8:8" x14ac:dyDescent="0.25">
      <c r="H431" t="s">
        <v>7184</v>
      </c>
    </row>
    <row r="432" spans="8:8" x14ac:dyDescent="0.25">
      <c r="H432" t="s">
        <v>7397</v>
      </c>
    </row>
    <row r="434" spans="8:8" x14ac:dyDescent="0.25">
      <c r="H434" t="s">
        <v>7398</v>
      </c>
    </row>
    <row r="435" spans="8:8" x14ac:dyDescent="0.25">
      <c r="H435" t="s">
        <v>7399</v>
      </c>
    </row>
    <row r="436" spans="8:8" x14ac:dyDescent="0.25">
      <c r="H436" t="s">
        <v>7188</v>
      </c>
    </row>
    <row r="437" spans="8:8" x14ac:dyDescent="0.25">
      <c r="H437" t="s">
        <v>7189</v>
      </c>
    </row>
    <row r="438" spans="8:8" x14ac:dyDescent="0.25">
      <c r="H438" t="s">
        <v>7190</v>
      </c>
    </row>
    <row r="439" spans="8:8" x14ac:dyDescent="0.25">
      <c r="H439" t="s">
        <v>7191</v>
      </c>
    </row>
    <row r="440" spans="8:8" x14ac:dyDescent="0.25">
      <c r="H440" t="s">
        <v>7192</v>
      </c>
    </row>
    <row r="441" spans="8:8" x14ac:dyDescent="0.25">
      <c r="H441" t="s">
        <v>7193</v>
      </c>
    </row>
    <row r="442" spans="8:8" x14ac:dyDescent="0.25">
      <c r="H442" t="s">
        <v>7194</v>
      </c>
    </row>
    <row r="443" spans="8:8" x14ac:dyDescent="0.25">
      <c r="H443" t="s">
        <v>7195</v>
      </c>
    </row>
    <row r="444" spans="8:8" x14ac:dyDescent="0.25">
      <c r="H444" t="s">
        <v>7196</v>
      </c>
    </row>
    <row r="445" spans="8:8" x14ac:dyDescent="0.25">
      <c r="H445" t="s">
        <v>7197</v>
      </c>
    </row>
    <row r="446" spans="8:8" x14ac:dyDescent="0.25">
      <c r="H446" t="s">
        <v>7198</v>
      </c>
    </row>
    <row r="447" spans="8:8" x14ac:dyDescent="0.25">
      <c r="H447" t="s">
        <v>7199</v>
      </c>
    </row>
    <row r="448" spans="8:8" x14ac:dyDescent="0.25">
      <c r="H448" t="s">
        <v>7200</v>
      </c>
    </row>
    <row r="449" spans="8:8" x14ac:dyDescent="0.25">
      <c r="H449" t="s">
        <v>7201</v>
      </c>
    </row>
    <row r="450" spans="8:8" x14ac:dyDescent="0.25">
      <c r="H450" t="s">
        <v>7202</v>
      </c>
    </row>
    <row r="451" spans="8:8" x14ac:dyDescent="0.25">
      <c r="H451" t="s">
        <v>7203</v>
      </c>
    </row>
    <row r="452" spans="8:8" x14ac:dyDescent="0.25">
      <c r="H452" t="s">
        <v>7204</v>
      </c>
    </row>
    <row r="453" spans="8:8" x14ac:dyDescent="0.25">
      <c r="H453" t="s">
        <v>7205</v>
      </c>
    </row>
    <row r="454" spans="8:8" x14ac:dyDescent="0.25">
      <c r="H454" t="s">
        <v>7206</v>
      </c>
    </row>
    <row r="455" spans="8:8" x14ac:dyDescent="0.25">
      <c r="H455" t="s">
        <v>7207</v>
      </c>
    </row>
    <row r="456" spans="8:8" x14ac:dyDescent="0.25">
      <c r="H456" t="s">
        <v>7208</v>
      </c>
    </row>
    <row r="457" spans="8:8" x14ac:dyDescent="0.25">
      <c r="H457" t="s">
        <v>7209</v>
      </c>
    </row>
    <row r="458" spans="8:8" x14ac:dyDescent="0.25">
      <c r="H458" t="s">
        <v>7210</v>
      </c>
    </row>
    <row r="459" spans="8:8" x14ac:dyDescent="0.25">
      <c r="H459" t="s">
        <v>7211</v>
      </c>
    </row>
    <row r="460" spans="8:8" x14ac:dyDescent="0.25">
      <c r="H460" t="s">
        <v>7212</v>
      </c>
    </row>
    <row r="461" spans="8:8" x14ac:dyDescent="0.25">
      <c r="H461" t="s">
        <v>7213</v>
      </c>
    </row>
    <row r="462" spans="8:8" x14ac:dyDescent="0.25">
      <c r="H462" t="s">
        <v>7214</v>
      </c>
    </row>
    <row r="463" spans="8:8" x14ac:dyDescent="0.25">
      <c r="H463" t="s">
        <v>7215</v>
      </c>
    </row>
    <row r="464" spans="8:8" x14ac:dyDescent="0.25">
      <c r="H464" t="s">
        <v>7216</v>
      </c>
    </row>
    <row r="465" spans="8:8" x14ac:dyDescent="0.25">
      <c r="H465" t="s">
        <v>7217</v>
      </c>
    </row>
    <row r="466" spans="8:8" x14ac:dyDescent="0.25">
      <c r="H466" t="s">
        <v>7218</v>
      </c>
    </row>
    <row r="467" spans="8:8" x14ac:dyDescent="0.25">
      <c r="H467" t="s">
        <v>7219</v>
      </c>
    </row>
    <row r="468" spans="8:8" x14ac:dyDescent="0.25">
      <c r="H468" t="s">
        <v>7220</v>
      </c>
    </row>
    <row r="469" spans="8:8" x14ac:dyDescent="0.25">
      <c r="H469" t="s">
        <v>7221</v>
      </c>
    </row>
    <row r="470" spans="8:8" x14ac:dyDescent="0.25">
      <c r="H470" t="s">
        <v>7222</v>
      </c>
    </row>
    <row r="471" spans="8:8" x14ac:dyDescent="0.25">
      <c r="H471" t="s">
        <v>7223</v>
      </c>
    </row>
    <row r="472" spans="8:8" x14ac:dyDescent="0.25">
      <c r="H472" t="s">
        <v>7224</v>
      </c>
    </row>
    <row r="473" spans="8:8" x14ac:dyDescent="0.25">
      <c r="H473" t="s">
        <v>7225</v>
      </c>
    </row>
    <row r="474" spans="8:8" x14ac:dyDescent="0.25">
      <c r="H474" t="s">
        <v>7226</v>
      </c>
    </row>
    <row r="475" spans="8:8" x14ac:dyDescent="0.25">
      <c r="H475" t="s">
        <v>7227</v>
      </c>
    </row>
    <row r="476" spans="8:8" x14ac:dyDescent="0.25">
      <c r="H476" t="s">
        <v>7228</v>
      </c>
    </row>
    <row r="477" spans="8:8" x14ac:dyDescent="0.25">
      <c r="H477" t="s">
        <v>7229</v>
      </c>
    </row>
    <row r="478" spans="8:8" x14ac:dyDescent="0.25">
      <c r="H478" t="s">
        <v>7230</v>
      </c>
    </row>
    <row r="479" spans="8:8" x14ac:dyDescent="0.25">
      <c r="H479" t="s">
        <v>7231</v>
      </c>
    </row>
    <row r="480" spans="8:8" x14ac:dyDescent="0.25">
      <c r="H480" t="s">
        <v>7232</v>
      </c>
    </row>
    <row r="481" spans="8:8" x14ac:dyDescent="0.25">
      <c r="H481" t="s">
        <v>7233</v>
      </c>
    </row>
    <row r="482" spans="8:8" x14ac:dyDescent="0.25">
      <c r="H482" t="s">
        <v>7234</v>
      </c>
    </row>
    <row r="483" spans="8:8" x14ac:dyDescent="0.25">
      <c r="H483" t="s">
        <v>7235</v>
      </c>
    </row>
    <row r="484" spans="8:8" x14ac:dyDescent="0.25">
      <c r="H484" t="s">
        <v>7236</v>
      </c>
    </row>
    <row r="485" spans="8:8" x14ac:dyDescent="0.25">
      <c r="H485" t="s">
        <v>7237</v>
      </c>
    </row>
    <row r="486" spans="8:8" x14ac:dyDescent="0.25">
      <c r="H486" t="s">
        <v>7238</v>
      </c>
    </row>
    <row r="487" spans="8:8" x14ac:dyDescent="0.25">
      <c r="H487" t="s">
        <v>7239</v>
      </c>
    </row>
    <row r="488" spans="8:8" x14ac:dyDescent="0.25">
      <c r="H488" t="s">
        <v>7240</v>
      </c>
    </row>
    <row r="489" spans="8:8" x14ac:dyDescent="0.25">
      <c r="H489" t="s">
        <v>7241</v>
      </c>
    </row>
    <row r="490" spans="8:8" x14ac:dyDescent="0.25">
      <c r="H490" t="s">
        <v>7242</v>
      </c>
    </row>
    <row r="491" spans="8:8" x14ac:dyDescent="0.25">
      <c r="H491" t="s">
        <v>7243</v>
      </c>
    </row>
    <row r="492" spans="8:8" x14ac:dyDescent="0.25">
      <c r="H492" t="s">
        <v>7244</v>
      </c>
    </row>
    <row r="493" spans="8:8" x14ac:dyDescent="0.25">
      <c r="H493" t="s">
        <v>7245</v>
      </c>
    </row>
    <row r="494" spans="8:8" x14ac:dyDescent="0.25">
      <c r="H494" t="s">
        <v>7246</v>
      </c>
    </row>
    <row r="495" spans="8:8" x14ac:dyDescent="0.25">
      <c r="H495" t="s">
        <v>7247</v>
      </c>
    </row>
    <row r="496" spans="8:8" x14ac:dyDescent="0.25">
      <c r="H496" t="s">
        <v>7248</v>
      </c>
    </row>
    <row r="497" spans="8:8" x14ac:dyDescent="0.25">
      <c r="H497" t="s">
        <v>7249</v>
      </c>
    </row>
    <row r="498" spans="8:8" x14ac:dyDescent="0.25">
      <c r="H498" t="s">
        <v>7250</v>
      </c>
    </row>
    <row r="499" spans="8:8" x14ac:dyDescent="0.25">
      <c r="H499" t="s">
        <v>7251</v>
      </c>
    </row>
    <row r="500" spans="8:8" x14ac:dyDescent="0.25">
      <c r="H500" t="s">
        <v>7252</v>
      </c>
    </row>
    <row r="501" spans="8:8" x14ac:dyDescent="0.25">
      <c r="H501" t="s">
        <v>7253</v>
      </c>
    </row>
    <row r="502" spans="8:8" x14ac:dyDescent="0.25">
      <c r="H502" t="s">
        <v>7254</v>
      </c>
    </row>
    <row r="503" spans="8:8" x14ac:dyDescent="0.25">
      <c r="H503" t="s">
        <v>7255</v>
      </c>
    </row>
    <row r="504" spans="8:8" x14ac:dyDescent="0.25">
      <c r="H504" t="s">
        <v>7256</v>
      </c>
    </row>
    <row r="505" spans="8:8" x14ac:dyDescent="0.25">
      <c r="H505" t="s">
        <v>7257</v>
      </c>
    </row>
    <row r="506" spans="8:8" x14ac:dyDescent="0.25">
      <c r="H506" t="s">
        <v>7258</v>
      </c>
    </row>
    <row r="507" spans="8:8" x14ac:dyDescent="0.25">
      <c r="H507" t="s">
        <v>7259</v>
      </c>
    </row>
    <row r="508" spans="8:8" x14ac:dyDescent="0.25">
      <c r="H508" t="s">
        <v>7260</v>
      </c>
    </row>
    <row r="509" spans="8:8" x14ac:dyDescent="0.25">
      <c r="H509" t="s">
        <v>7261</v>
      </c>
    </row>
    <row r="510" spans="8:8" x14ac:dyDescent="0.25">
      <c r="H510" t="s">
        <v>7262</v>
      </c>
    </row>
    <row r="511" spans="8:8" x14ac:dyDescent="0.25">
      <c r="H511" t="s">
        <v>7263</v>
      </c>
    </row>
    <row r="512" spans="8:8" x14ac:dyDescent="0.25">
      <c r="H512" t="s">
        <v>7264</v>
      </c>
    </row>
    <row r="513" spans="8:8" x14ac:dyDescent="0.25">
      <c r="H513" t="s">
        <v>7265</v>
      </c>
    </row>
    <row r="514" spans="8:8" x14ac:dyDescent="0.25">
      <c r="H514" t="s">
        <v>7266</v>
      </c>
    </row>
    <row r="515" spans="8:8" x14ac:dyDescent="0.25">
      <c r="H515" t="s">
        <v>7267</v>
      </c>
    </row>
    <row r="516" spans="8:8" x14ac:dyDescent="0.25">
      <c r="H516" t="s">
        <v>7268</v>
      </c>
    </row>
    <row r="517" spans="8:8" x14ac:dyDescent="0.25">
      <c r="H517" t="s">
        <v>7269</v>
      </c>
    </row>
    <row r="518" spans="8:8" x14ac:dyDescent="0.25">
      <c r="H518" t="s">
        <v>7270</v>
      </c>
    </row>
    <row r="519" spans="8:8" x14ac:dyDescent="0.25">
      <c r="H519" t="s">
        <v>7271</v>
      </c>
    </row>
    <row r="520" spans="8:8" x14ac:dyDescent="0.25">
      <c r="H520" t="s">
        <v>7272</v>
      </c>
    </row>
    <row r="521" spans="8:8" x14ac:dyDescent="0.25">
      <c r="H521" t="s">
        <v>7273</v>
      </c>
    </row>
    <row r="522" spans="8:8" x14ac:dyDescent="0.25">
      <c r="H522" t="s">
        <v>7274</v>
      </c>
    </row>
    <row r="523" spans="8:8" x14ac:dyDescent="0.25">
      <c r="H523" t="s">
        <v>7275</v>
      </c>
    </row>
    <row r="524" spans="8:8" x14ac:dyDescent="0.25">
      <c r="H524" t="s">
        <v>7276</v>
      </c>
    </row>
    <row r="525" spans="8:8" x14ac:dyDescent="0.25">
      <c r="H525" t="s">
        <v>7277</v>
      </c>
    </row>
    <row r="526" spans="8:8" x14ac:dyDescent="0.25">
      <c r="H526" t="s">
        <v>7278</v>
      </c>
    </row>
    <row r="527" spans="8:8" x14ac:dyDescent="0.25">
      <c r="H527" t="s">
        <v>7279</v>
      </c>
    </row>
    <row r="528" spans="8:8" x14ac:dyDescent="0.25">
      <c r="H528" t="s">
        <v>7280</v>
      </c>
    </row>
    <row r="529" spans="8:8" x14ac:dyDescent="0.25">
      <c r="H529" t="s">
        <v>7281</v>
      </c>
    </row>
    <row r="530" spans="8:8" x14ac:dyDescent="0.25">
      <c r="H530" t="s">
        <v>7282</v>
      </c>
    </row>
    <row r="531" spans="8:8" x14ac:dyDescent="0.25">
      <c r="H531" t="s">
        <v>7283</v>
      </c>
    </row>
    <row r="532" spans="8:8" x14ac:dyDescent="0.25">
      <c r="H532" t="s">
        <v>7284</v>
      </c>
    </row>
    <row r="533" spans="8:8" x14ac:dyDescent="0.25">
      <c r="H533" t="s">
        <v>7285</v>
      </c>
    </row>
    <row r="534" spans="8:8" x14ac:dyDescent="0.25">
      <c r="H534" t="s">
        <v>7286</v>
      </c>
    </row>
    <row r="535" spans="8:8" x14ac:dyDescent="0.25">
      <c r="H535" t="s">
        <v>7287</v>
      </c>
    </row>
    <row r="536" spans="8:8" x14ac:dyDescent="0.25">
      <c r="H536" t="s">
        <v>7288</v>
      </c>
    </row>
    <row r="537" spans="8:8" x14ac:dyDescent="0.25">
      <c r="H537" t="s">
        <v>7289</v>
      </c>
    </row>
    <row r="538" spans="8:8" x14ac:dyDescent="0.25">
      <c r="H538" t="s">
        <v>7290</v>
      </c>
    </row>
    <row r="539" spans="8:8" x14ac:dyDescent="0.25">
      <c r="H539" t="s">
        <v>7291</v>
      </c>
    </row>
    <row r="540" spans="8:8" x14ac:dyDescent="0.25">
      <c r="H540" t="s">
        <v>7292</v>
      </c>
    </row>
    <row r="541" spans="8:8" x14ac:dyDescent="0.25">
      <c r="H541" t="s">
        <v>7293</v>
      </c>
    </row>
    <row r="542" spans="8:8" x14ac:dyDescent="0.25">
      <c r="H542" t="s">
        <v>7294</v>
      </c>
    </row>
    <row r="543" spans="8:8" x14ac:dyDescent="0.25">
      <c r="H543" t="s">
        <v>7295</v>
      </c>
    </row>
    <row r="544" spans="8:8" x14ac:dyDescent="0.25">
      <c r="H544" t="s">
        <v>7296</v>
      </c>
    </row>
    <row r="545" spans="8:8" x14ac:dyDescent="0.25">
      <c r="H545" t="s">
        <v>7297</v>
      </c>
    </row>
    <row r="546" spans="8:8" x14ac:dyDescent="0.25">
      <c r="H546" t="s">
        <v>7298</v>
      </c>
    </row>
    <row r="547" spans="8:8" x14ac:dyDescent="0.25">
      <c r="H547" t="s">
        <v>7299</v>
      </c>
    </row>
    <row r="548" spans="8:8" x14ac:dyDescent="0.25">
      <c r="H548" t="s">
        <v>7300</v>
      </c>
    </row>
    <row r="549" spans="8:8" x14ac:dyDescent="0.25">
      <c r="H549" t="s">
        <v>7301</v>
      </c>
    </row>
    <row r="550" spans="8:8" x14ac:dyDescent="0.25">
      <c r="H550" t="s">
        <v>7302</v>
      </c>
    </row>
    <row r="551" spans="8:8" x14ac:dyDescent="0.25">
      <c r="H551" t="s">
        <v>7303</v>
      </c>
    </row>
    <row r="552" spans="8:8" x14ac:dyDescent="0.25">
      <c r="H552" t="s">
        <v>7304</v>
      </c>
    </row>
    <row r="553" spans="8:8" x14ac:dyDescent="0.25">
      <c r="H553" t="s">
        <v>7305</v>
      </c>
    </row>
    <row r="554" spans="8:8" x14ac:dyDescent="0.25">
      <c r="H554" t="s">
        <v>7306</v>
      </c>
    </row>
    <row r="555" spans="8:8" x14ac:dyDescent="0.25">
      <c r="H555" t="s">
        <v>7307</v>
      </c>
    </row>
    <row r="556" spans="8:8" x14ac:dyDescent="0.25">
      <c r="H556" t="s">
        <v>7308</v>
      </c>
    </row>
    <row r="557" spans="8:8" x14ac:dyDescent="0.25">
      <c r="H557" t="s">
        <v>7309</v>
      </c>
    </row>
    <row r="558" spans="8:8" x14ac:dyDescent="0.25">
      <c r="H558" t="s">
        <v>7310</v>
      </c>
    </row>
    <row r="559" spans="8:8" x14ac:dyDescent="0.25">
      <c r="H559" t="s">
        <v>7311</v>
      </c>
    </row>
    <row r="560" spans="8:8" x14ac:dyDescent="0.25">
      <c r="H560" t="s">
        <v>7312</v>
      </c>
    </row>
    <row r="561" spans="8:8" x14ac:dyDescent="0.25">
      <c r="H561" t="s">
        <v>7313</v>
      </c>
    </row>
    <row r="562" spans="8:8" x14ac:dyDescent="0.25">
      <c r="H562" t="s">
        <v>7314</v>
      </c>
    </row>
    <row r="563" spans="8:8" x14ac:dyDescent="0.25">
      <c r="H563" t="s">
        <v>7315</v>
      </c>
    </row>
    <row r="564" spans="8:8" x14ac:dyDescent="0.25">
      <c r="H564" t="s">
        <v>7316</v>
      </c>
    </row>
    <row r="565" spans="8:8" x14ac:dyDescent="0.25">
      <c r="H565" t="s">
        <v>7317</v>
      </c>
    </row>
    <row r="566" spans="8:8" x14ac:dyDescent="0.25">
      <c r="H566" t="s">
        <v>7318</v>
      </c>
    </row>
    <row r="567" spans="8:8" x14ac:dyDescent="0.25">
      <c r="H567" t="s">
        <v>7319</v>
      </c>
    </row>
    <row r="568" spans="8:8" x14ac:dyDescent="0.25">
      <c r="H568" t="s">
        <v>7320</v>
      </c>
    </row>
    <row r="569" spans="8:8" x14ac:dyDescent="0.25">
      <c r="H569" t="s">
        <v>7321</v>
      </c>
    </row>
    <row r="570" spans="8:8" x14ac:dyDescent="0.25">
      <c r="H570" t="s">
        <v>7322</v>
      </c>
    </row>
    <row r="571" spans="8:8" x14ac:dyDescent="0.25">
      <c r="H571" t="s">
        <v>7323</v>
      </c>
    </row>
    <row r="572" spans="8:8" x14ac:dyDescent="0.25">
      <c r="H572" t="s">
        <v>7324</v>
      </c>
    </row>
    <row r="573" spans="8:8" x14ac:dyDescent="0.25">
      <c r="H573" t="s">
        <v>7325</v>
      </c>
    </row>
    <row r="574" spans="8:8" x14ac:dyDescent="0.25">
      <c r="H574" t="s">
        <v>7326</v>
      </c>
    </row>
    <row r="575" spans="8:8" x14ac:dyDescent="0.25">
      <c r="H575" t="s">
        <v>7327</v>
      </c>
    </row>
    <row r="576" spans="8:8" x14ac:dyDescent="0.25">
      <c r="H576" t="s">
        <v>7328</v>
      </c>
    </row>
    <row r="577" spans="8:8" x14ac:dyDescent="0.25">
      <c r="H577" t="s">
        <v>7329</v>
      </c>
    </row>
    <row r="578" spans="8:8" x14ac:dyDescent="0.25">
      <c r="H578" t="s">
        <v>7330</v>
      </c>
    </row>
    <row r="579" spans="8:8" x14ac:dyDescent="0.25">
      <c r="H579" t="s">
        <v>7331</v>
      </c>
    </row>
    <row r="580" spans="8:8" x14ac:dyDescent="0.25">
      <c r="H580" t="s">
        <v>7332</v>
      </c>
    </row>
    <row r="581" spans="8:8" x14ac:dyDescent="0.25">
      <c r="H581" t="s">
        <v>7333</v>
      </c>
    </row>
    <row r="582" spans="8:8" x14ac:dyDescent="0.25">
      <c r="H582" t="s">
        <v>7334</v>
      </c>
    </row>
    <row r="583" spans="8:8" x14ac:dyDescent="0.25">
      <c r="H583" t="s">
        <v>7335</v>
      </c>
    </row>
    <row r="584" spans="8:8" x14ac:dyDescent="0.25">
      <c r="H584" t="s">
        <v>7336</v>
      </c>
    </row>
    <row r="585" spans="8:8" x14ac:dyDescent="0.25">
      <c r="H585" t="s">
        <v>7337</v>
      </c>
    </row>
    <row r="586" spans="8:8" x14ac:dyDescent="0.25">
      <c r="H586" t="s">
        <v>7338</v>
      </c>
    </row>
    <row r="587" spans="8:8" x14ac:dyDescent="0.25">
      <c r="H587" t="s">
        <v>7339</v>
      </c>
    </row>
    <row r="588" spans="8:8" x14ac:dyDescent="0.25">
      <c r="H588" t="s">
        <v>7340</v>
      </c>
    </row>
    <row r="589" spans="8:8" x14ac:dyDescent="0.25">
      <c r="H589" t="s">
        <v>7341</v>
      </c>
    </row>
    <row r="590" spans="8:8" x14ac:dyDescent="0.25">
      <c r="H590" t="s">
        <v>7400</v>
      </c>
    </row>
    <row r="592" spans="8:8" x14ac:dyDescent="0.25">
      <c r="H592" t="s">
        <v>7401</v>
      </c>
    </row>
    <row r="593" spans="8:8" x14ac:dyDescent="0.25">
      <c r="H593" t="s">
        <v>7402</v>
      </c>
    </row>
    <row r="594" spans="8:8" x14ac:dyDescent="0.25">
      <c r="H594" t="s">
        <v>7345</v>
      </c>
    </row>
    <row r="595" spans="8:8" x14ac:dyDescent="0.25">
      <c r="H595" t="s">
        <v>7346</v>
      </c>
    </row>
    <row r="596" spans="8:8" x14ac:dyDescent="0.25">
      <c r="H596" t="s">
        <v>7347</v>
      </c>
    </row>
    <row r="597" spans="8:8" x14ac:dyDescent="0.25">
      <c r="H597" t="s">
        <v>7348</v>
      </c>
    </row>
    <row r="598" spans="8:8" x14ac:dyDescent="0.25">
      <c r="H598" t="s">
        <v>7349</v>
      </c>
    </row>
    <row r="599" spans="8:8" x14ac:dyDescent="0.25">
      <c r="H599" t="s">
        <v>7350</v>
      </c>
    </row>
    <row r="600" spans="8:8" x14ac:dyDescent="0.25">
      <c r="H600" t="s">
        <v>7351</v>
      </c>
    </row>
    <row r="601" spans="8:8" x14ac:dyDescent="0.25">
      <c r="H601" t="s">
        <v>7352</v>
      </c>
    </row>
    <row r="602" spans="8:8" x14ac:dyDescent="0.25">
      <c r="H602" t="s">
        <v>7353</v>
      </c>
    </row>
    <row r="603" spans="8:8" x14ac:dyDescent="0.25">
      <c r="H603" t="s">
        <v>7354</v>
      </c>
    </row>
    <row r="604" spans="8:8" x14ac:dyDescent="0.25">
      <c r="H604" t="s">
        <v>7355</v>
      </c>
    </row>
    <row r="605" spans="8:8" x14ac:dyDescent="0.25">
      <c r="H605" t="s">
        <v>7132</v>
      </c>
    </row>
    <row r="606" spans="8:8" x14ac:dyDescent="0.25">
      <c r="H606" t="s">
        <v>7131</v>
      </c>
    </row>
    <row r="607" spans="8:8" x14ac:dyDescent="0.25">
      <c r="H607" t="s">
        <v>7356</v>
      </c>
    </row>
    <row r="608" spans="8:8" x14ac:dyDescent="0.25">
      <c r="H608" t="s">
        <v>7357</v>
      </c>
    </row>
    <row r="609" spans="8:8" x14ac:dyDescent="0.25">
      <c r="H609" t="s">
        <v>7358</v>
      </c>
    </row>
    <row r="610" spans="8:8" x14ac:dyDescent="0.25">
      <c r="H610" t="s">
        <v>7359</v>
      </c>
    </row>
    <row r="611" spans="8:8" x14ac:dyDescent="0.25">
      <c r="H611" t="s">
        <v>7360</v>
      </c>
    </row>
    <row r="612" spans="8:8" x14ac:dyDescent="0.25">
      <c r="H612" t="s">
        <v>7361</v>
      </c>
    </row>
    <row r="613" spans="8:8" x14ac:dyDescent="0.25">
      <c r="H613" t="s">
        <v>7362</v>
      </c>
    </row>
    <row r="614" spans="8:8" x14ac:dyDescent="0.25">
      <c r="H614" t="s">
        <v>7363</v>
      </c>
    </row>
    <row r="615" spans="8:8" x14ac:dyDescent="0.25">
      <c r="H615" t="s">
        <v>7364</v>
      </c>
    </row>
    <row r="616" spans="8:8" x14ac:dyDescent="0.25">
      <c r="H616" t="s">
        <v>7365</v>
      </c>
    </row>
    <row r="617" spans="8:8" x14ac:dyDescent="0.25">
      <c r="H617" t="s">
        <v>7366</v>
      </c>
    </row>
    <row r="618" spans="8:8" x14ac:dyDescent="0.25">
      <c r="H618" t="s">
        <v>7367</v>
      </c>
    </row>
    <row r="619" spans="8:8" x14ac:dyDescent="0.25">
      <c r="H619" t="s">
        <v>7368</v>
      </c>
    </row>
    <row r="620" spans="8:8" x14ac:dyDescent="0.25">
      <c r="H620" t="s">
        <v>7369</v>
      </c>
    </row>
    <row r="621" spans="8:8" x14ac:dyDescent="0.25">
      <c r="H621" t="s">
        <v>7370</v>
      </c>
    </row>
    <row r="622" spans="8:8" x14ac:dyDescent="0.25">
      <c r="H622" t="s">
        <v>7371</v>
      </c>
    </row>
    <row r="623" spans="8:8" x14ac:dyDescent="0.25">
      <c r="H623" t="s">
        <v>7372</v>
      </c>
    </row>
    <row r="624" spans="8:8" x14ac:dyDescent="0.25">
      <c r="H624" t="s">
        <v>7373</v>
      </c>
    </row>
    <row r="625" spans="8:8" x14ac:dyDescent="0.25">
      <c r="H625" t="s">
        <v>7374</v>
      </c>
    </row>
    <row r="626" spans="8:8" x14ac:dyDescent="0.25">
      <c r="H626" t="s">
        <v>7375</v>
      </c>
    </row>
    <row r="627" spans="8:8" x14ac:dyDescent="0.25">
      <c r="H627" t="s">
        <v>7376</v>
      </c>
    </row>
    <row r="628" spans="8:8" x14ac:dyDescent="0.25">
      <c r="H628" t="s">
        <v>7377</v>
      </c>
    </row>
    <row r="629" spans="8:8" x14ac:dyDescent="0.25">
      <c r="H629" t="s">
        <v>7378</v>
      </c>
    </row>
    <row r="630" spans="8:8" x14ac:dyDescent="0.25">
      <c r="H630" t="s">
        <v>7379</v>
      </c>
    </row>
    <row r="631" spans="8:8" x14ac:dyDescent="0.25">
      <c r="H631" t="s">
        <v>7380</v>
      </c>
    </row>
    <row r="632" spans="8:8" x14ac:dyDescent="0.25">
      <c r="H632" t="s">
        <v>7381</v>
      </c>
    </row>
    <row r="633" spans="8:8" x14ac:dyDescent="0.25">
      <c r="H633" t="s">
        <v>7382</v>
      </c>
    </row>
    <row r="634" spans="8:8" x14ac:dyDescent="0.25">
      <c r="H634" t="s">
        <v>7383</v>
      </c>
    </row>
    <row r="635" spans="8:8" x14ac:dyDescent="0.25">
      <c r="H635" t="s">
        <v>7384</v>
      </c>
    </row>
    <row r="636" spans="8:8" x14ac:dyDescent="0.25">
      <c r="H636" t="s">
        <v>7385</v>
      </c>
    </row>
    <row r="637" spans="8:8" x14ac:dyDescent="0.25">
      <c r="H637" t="s">
        <v>7386</v>
      </c>
    </row>
    <row r="638" spans="8:8" x14ac:dyDescent="0.25">
      <c r="H638" t="s">
        <v>7387</v>
      </c>
    </row>
    <row r="639" spans="8:8" x14ac:dyDescent="0.25">
      <c r="H639" t="s">
        <v>7388</v>
      </c>
    </row>
    <row r="640" spans="8:8" x14ac:dyDescent="0.25">
      <c r="H640" t="s">
        <v>7389</v>
      </c>
    </row>
    <row r="641" spans="8:8" x14ac:dyDescent="0.25">
      <c r="H641" t="s">
        <v>7390</v>
      </c>
    </row>
    <row r="642" spans="8:8" x14ac:dyDescent="0.25">
      <c r="H642" t="s">
        <v>7391</v>
      </c>
    </row>
    <row r="643" spans="8:8" x14ac:dyDescent="0.25">
      <c r="H643" t="s">
        <v>7392</v>
      </c>
    </row>
    <row r="644" spans="8:8" x14ac:dyDescent="0.25">
      <c r="H644" t="s">
        <v>7393</v>
      </c>
    </row>
    <row r="645" spans="8:8" x14ac:dyDescent="0.25">
      <c r="H645" t="s">
        <v>7403</v>
      </c>
    </row>
    <row r="647" spans="8:8" x14ac:dyDescent="0.25">
      <c r="H647" t="s">
        <v>7404</v>
      </c>
    </row>
    <row r="648" spans="8:8" x14ac:dyDescent="0.25">
      <c r="H648" t="s">
        <v>7405</v>
      </c>
    </row>
    <row r="649" spans="8:8" x14ac:dyDescent="0.25">
      <c r="H649" t="s">
        <v>7127</v>
      </c>
    </row>
    <row r="650" spans="8:8" x14ac:dyDescent="0.25">
      <c r="H650" t="s">
        <v>7128</v>
      </c>
    </row>
    <row r="651" spans="8:8" x14ac:dyDescent="0.25">
      <c r="H651" t="s">
        <v>7129</v>
      </c>
    </row>
    <row r="652" spans="8:8" x14ac:dyDescent="0.25">
      <c r="H652" t="s">
        <v>7130</v>
      </c>
    </row>
    <row r="653" spans="8:8" x14ac:dyDescent="0.25">
      <c r="H653" t="s">
        <v>7131</v>
      </c>
    </row>
    <row r="654" spans="8:8" x14ac:dyDescent="0.25">
      <c r="H654" t="s">
        <v>7132</v>
      </c>
    </row>
    <row r="655" spans="8:8" x14ac:dyDescent="0.25">
      <c r="H655" t="s">
        <v>7133</v>
      </c>
    </row>
    <row r="656" spans="8:8" x14ac:dyDescent="0.25">
      <c r="H656" t="s">
        <v>7134</v>
      </c>
    </row>
    <row r="657" spans="8:8" x14ac:dyDescent="0.25">
      <c r="H657" t="s">
        <v>7135</v>
      </c>
    </row>
    <row r="658" spans="8:8" x14ac:dyDescent="0.25">
      <c r="H658" t="s">
        <v>7136</v>
      </c>
    </row>
    <row r="659" spans="8:8" x14ac:dyDescent="0.25">
      <c r="H659" t="s">
        <v>7137</v>
      </c>
    </row>
    <row r="660" spans="8:8" x14ac:dyDescent="0.25">
      <c r="H660" t="s">
        <v>7138</v>
      </c>
    </row>
    <row r="661" spans="8:8" x14ac:dyDescent="0.25">
      <c r="H661" t="s">
        <v>7139</v>
      </c>
    </row>
    <row r="662" spans="8:8" x14ac:dyDescent="0.25">
      <c r="H662" t="s">
        <v>7140</v>
      </c>
    </row>
    <row r="663" spans="8:8" x14ac:dyDescent="0.25">
      <c r="H663" t="s">
        <v>7141</v>
      </c>
    </row>
    <row r="664" spans="8:8" x14ac:dyDescent="0.25">
      <c r="H664" t="s">
        <v>7142</v>
      </c>
    </row>
    <row r="665" spans="8:8" x14ac:dyDescent="0.25">
      <c r="H665" t="s">
        <v>7143</v>
      </c>
    </row>
    <row r="666" spans="8:8" x14ac:dyDescent="0.25">
      <c r="H666" t="s">
        <v>7144</v>
      </c>
    </row>
    <row r="667" spans="8:8" x14ac:dyDescent="0.25">
      <c r="H667" t="s">
        <v>7145</v>
      </c>
    </row>
    <row r="668" spans="8:8" x14ac:dyDescent="0.25">
      <c r="H668" t="s">
        <v>7146</v>
      </c>
    </row>
    <row r="669" spans="8:8" x14ac:dyDescent="0.25">
      <c r="H669" t="s">
        <v>7147</v>
      </c>
    </row>
    <row r="670" spans="8:8" x14ac:dyDescent="0.25">
      <c r="H670" t="s">
        <v>7148</v>
      </c>
    </row>
    <row r="671" spans="8:8" x14ac:dyDescent="0.25">
      <c r="H671" t="s">
        <v>7149</v>
      </c>
    </row>
    <row r="672" spans="8:8" x14ac:dyDescent="0.25">
      <c r="H672" t="s">
        <v>7150</v>
      </c>
    </row>
    <row r="673" spans="8:8" x14ac:dyDescent="0.25">
      <c r="H673" t="s">
        <v>7151</v>
      </c>
    </row>
    <row r="674" spans="8:8" x14ac:dyDescent="0.25">
      <c r="H674" t="s">
        <v>7152</v>
      </c>
    </row>
    <row r="675" spans="8:8" x14ac:dyDescent="0.25">
      <c r="H675" t="s">
        <v>7153</v>
      </c>
    </row>
    <row r="676" spans="8:8" x14ac:dyDescent="0.25">
      <c r="H676" t="s">
        <v>7154</v>
      </c>
    </row>
    <row r="677" spans="8:8" x14ac:dyDescent="0.25">
      <c r="H677" t="s">
        <v>7155</v>
      </c>
    </row>
    <row r="678" spans="8:8" x14ac:dyDescent="0.25">
      <c r="H678" t="s">
        <v>7156</v>
      </c>
    </row>
    <row r="679" spans="8:8" x14ac:dyDescent="0.25">
      <c r="H679" t="s">
        <v>7157</v>
      </c>
    </row>
    <row r="680" spans="8:8" x14ac:dyDescent="0.25">
      <c r="H680" t="s">
        <v>7158</v>
      </c>
    </row>
    <row r="681" spans="8:8" x14ac:dyDescent="0.25">
      <c r="H681" t="s">
        <v>7159</v>
      </c>
    </row>
    <row r="682" spans="8:8" x14ac:dyDescent="0.25">
      <c r="H682" t="s">
        <v>7160</v>
      </c>
    </row>
    <row r="683" spans="8:8" x14ac:dyDescent="0.25">
      <c r="H683" t="s">
        <v>7161</v>
      </c>
    </row>
    <row r="684" spans="8:8" x14ac:dyDescent="0.25">
      <c r="H684" t="s">
        <v>7162</v>
      </c>
    </row>
    <row r="685" spans="8:8" x14ac:dyDescent="0.25">
      <c r="H685" t="s">
        <v>7163</v>
      </c>
    </row>
    <row r="686" spans="8:8" x14ac:dyDescent="0.25">
      <c r="H686" t="s">
        <v>7164</v>
      </c>
    </row>
    <row r="687" spans="8:8" x14ac:dyDescent="0.25">
      <c r="H687" t="s">
        <v>7165</v>
      </c>
    </row>
    <row r="688" spans="8:8" x14ac:dyDescent="0.25">
      <c r="H688" t="s">
        <v>7166</v>
      </c>
    </row>
    <row r="689" spans="8:8" x14ac:dyDescent="0.25">
      <c r="H689" t="s">
        <v>7167</v>
      </c>
    </row>
    <row r="690" spans="8:8" x14ac:dyDescent="0.25">
      <c r="H690" t="s">
        <v>7168</v>
      </c>
    </row>
    <row r="691" spans="8:8" x14ac:dyDescent="0.25">
      <c r="H691" t="s">
        <v>7169</v>
      </c>
    </row>
    <row r="692" spans="8:8" x14ac:dyDescent="0.25">
      <c r="H692" t="s">
        <v>7170</v>
      </c>
    </row>
    <row r="693" spans="8:8" x14ac:dyDescent="0.25">
      <c r="H693" t="s">
        <v>7171</v>
      </c>
    </row>
    <row r="694" spans="8:8" x14ac:dyDescent="0.25">
      <c r="H694" t="s">
        <v>7172</v>
      </c>
    </row>
    <row r="695" spans="8:8" x14ac:dyDescent="0.25">
      <c r="H695" t="s">
        <v>7173</v>
      </c>
    </row>
    <row r="696" spans="8:8" x14ac:dyDescent="0.25">
      <c r="H696" t="s">
        <v>7174</v>
      </c>
    </row>
    <row r="697" spans="8:8" x14ac:dyDescent="0.25">
      <c r="H697" t="s">
        <v>7175</v>
      </c>
    </row>
    <row r="698" spans="8:8" x14ac:dyDescent="0.25">
      <c r="H698" t="s">
        <v>7176</v>
      </c>
    </row>
    <row r="699" spans="8:8" x14ac:dyDescent="0.25">
      <c r="H699" t="s">
        <v>7177</v>
      </c>
    </row>
    <row r="700" spans="8:8" x14ac:dyDescent="0.25">
      <c r="H700" t="s">
        <v>7178</v>
      </c>
    </row>
    <row r="701" spans="8:8" x14ac:dyDescent="0.25">
      <c r="H701" t="s">
        <v>7179</v>
      </c>
    </row>
    <row r="702" spans="8:8" x14ac:dyDescent="0.25">
      <c r="H702" t="s">
        <v>7180</v>
      </c>
    </row>
    <row r="703" spans="8:8" x14ac:dyDescent="0.25">
      <c r="H703" t="s">
        <v>7181</v>
      </c>
    </row>
    <row r="704" spans="8:8" x14ac:dyDescent="0.25">
      <c r="H704" t="s">
        <v>7182</v>
      </c>
    </row>
    <row r="705" spans="8:8" x14ac:dyDescent="0.25">
      <c r="H705" t="s">
        <v>7183</v>
      </c>
    </row>
    <row r="706" spans="8:8" x14ac:dyDescent="0.25">
      <c r="H706" t="s">
        <v>7184</v>
      </c>
    </row>
    <row r="707" spans="8:8" x14ac:dyDescent="0.25">
      <c r="H707" t="s">
        <v>7406</v>
      </c>
    </row>
    <row r="709" spans="8:8" x14ac:dyDescent="0.25">
      <c r="H709" t="s">
        <v>7407</v>
      </c>
    </row>
    <row r="710" spans="8:8" x14ac:dyDescent="0.25">
      <c r="H710" t="s">
        <v>7408</v>
      </c>
    </row>
    <row r="711" spans="8:8" x14ac:dyDescent="0.25">
      <c r="H711" t="s">
        <v>7188</v>
      </c>
    </row>
    <row r="712" spans="8:8" x14ac:dyDescent="0.25">
      <c r="H712" t="s">
        <v>7189</v>
      </c>
    </row>
    <row r="713" spans="8:8" x14ac:dyDescent="0.25">
      <c r="H713" t="s">
        <v>7190</v>
      </c>
    </row>
    <row r="714" spans="8:8" x14ac:dyDescent="0.25">
      <c r="H714" t="s">
        <v>7191</v>
      </c>
    </row>
    <row r="715" spans="8:8" x14ac:dyDescent="0.25">
      <c r="H715" t="s">
        <v>7192</v>
      </c>
    </row>
    <row r="716" spans="8:8" x14ac:dyDescent="0.25">
      <c r="H716" t="s">
        <v>7193</v>
      </c>
    </row>
    <row r="717" spans="8:8" x14ac:dyDescent="0.25">
      <c r="H717" t="s">
        <v>7194</v>
      </c>
    </row>
    <row r="718" spans="8:8" x14ac:dyDescent="0.25">
      <c r="H718" t="s">
        <v>7195</v>
      </c>
    </row>
    <row r="719" spans="8:8" x14ac:dyDescent="0.25">
      <c r="H719" t="s">
        <v>7196</v>
      </c>
    </row>
    <row r="720" spans="8:8" x14ac:dyDescent="0.25">
      <c r="H720" t="s">
        <v>7197</v>
      </c>
    </row>
    <row r="721" spans="8:8" x14ac:dyDescent="0.25">
      <c r="H721" t="s">
        <v>7198</v>
      </c>
    </row>
    <row r="722" spans="8:8" x14ac:dyDescent="0.25">
      <c r="H722" t="s">
        <v>7199</v>
      </c>
    </row>
    <row r="723" spans="8:8" x14ac:dyDescent="0.25">
      <c r="H723" t="s">
        <v>7200</v>
      </c>
    </row>
    <row r="724" spans="8:8" x14ac:dyDescent="0.25">
      <c r="H724" t="s">
        <v>7201</v>
      </c>
    </row>
    <row r="725" spans="8:8" x14ac:dyDescent="0.25">
      <c r="H725" t="s">
        <v>7202</v>
      </c>
    </row>
    <row r="726" spans="8:8" x14ac:dyDescent="0.25">
      <c r="H726" t="s">
        <v>7203</v>
      </c>
    </row>
    <row r="727" spans="8:8" x14ac:dyDescent="0.25">
      <c r="H727" t="s">
        <v>7204</v>
      </c>
    </row>
    <row r="728" spans="8:8" x14ac:dyDescent="0.25">
      <c r="H728" t="s">
        <v>7205</v>
      </c>
    </row>
    <row r="729" spans="8:8" x14ac:dyDescent="0.25">
      <c r="H729" t="s">
        <v>7206</v>
      </c>
    </row>
    <row r="730" spans="8:8" x14ac:dyDescent="0.25">
      <c r="H730" t="s">
        <v>7207</v>
      </c>
    </row>
    <row r="731" spans="8:8" x14ac:dyDescent="0.25">
      <c r="H731" t="s">
        <v>7208</v>
      </c>
    </row>
    <row r="732" spans="8:8" x14ac:dyDescent="0.25">
      <c r="H732" t="s">
        <v>7209</v>
      </c>
    </row>
    <row r="733" spans="8:8" x14ac:dyDescent="0.25">
      <c r="H733" t="s">
        <v>7210</v>
      </c>
    </row>
    <row r="734" spans="8:8" x14ac:dyDescent="0.25">
      <c r="H734" t="s">
        <v>7211</v>
      </c>
    </row>
    <row r="735" spans="8:8" x14ac:dyDescent="0.25">
      <c r="H735" t="s">
        <v>7212</v>
      </c>
    </row>
    <row r="736" spans="8:8" x14ac:dyDescent="0.25">
      <c r="H736" t="s">
        <v>7213</v>
      </c>
    </row>
    <row r="737" spans="8:8" x14ac:dyDescent="0.25">
      <c r="H737" t="s">
        <v>7214</v>
      </c>
    </row>
    <row r="738" spans="8:8" x14ac:dyDescent="0.25">
      <c r="H738" t="s">
        <v>7215</v>
      </c>
    </row>
    <row r="739" spans="8:8" x14ac:dyDescent="0.25">
      <c r="H739" t="s">
        <v>7216</v>
      </c>
    </row>
    <row r="740" spans="8:8" x14ac:dyDescent="0.25">
      <c r="H740" t="s">
        <v>7217</v>
      </c>
    </row>
    <row r="741" spans="8:8" x14ac:dyDescent="0.25">
      <c r="H741" t="s">
        <v>7218</v>
      </c>
    </row>
    <row r="742" spans="8:8" x14ac:dyDescent="0.25">
      <c r="H742" t="s">
        <v>7219</v>
      </c>
    </row>
    <row r="743" spans="8:8" x14ac:dyDescent="0.25">
      <c r="H743" t="s">
        <v>7220</v>
      </c>
    </row>
    <row r="744" spans="8:8" x14ac:dyDescent="0.25">
      <c r="H744" t="s">
        <v>7221</v>
      </c>
    </row>
    <row r="745" spans="8:8" x14ac:dyDescent="0.25">
      <c r="H745" t="s">
        <v>7222</v>
      </c>
    </row>
    <row r="746" spans="8:8" x14ac:dyDescent="0.25">
      <c r="H746" t="s">
        <v>7223</v>
      </c>
    </row>
    <row r="747" spans="8:8" x14ac:dyDescent="0.25">
      <c r="H747" t="s">
        <v>7224</v>
      </c>
    </row>
    <row r="748" spans="8:8" x14ac:dyDescent="0.25">
      <c r="H748" t="s">
        <v>7225</v>
      </c>
    </row>
    <row r="749" spans="8:8" x14ac:dyDescent="0.25">
      <c r="H749" t="s">
        <v>7226</v>
      </c>
    </row>
    <row r="750" spans="8:8" x14ac:dyDescent="0.25">
      <c r="H750" t="s">
        <v>7227</v>
      </c>
    </row>
    <row r="751" spans="8:8" x14ac:dyDescent="0.25">
      <c r="H751" t="s">
        <v>7228</v>
      </c>
    </row>
    <row r="752" spans="8:8" x14ac:dyDescent="0.25">
      <c r="H752" t="s">
        <v>7229</v>
      </c>
    </row>
    <row r="753" spans="8:8" x14ac:dyDescent="0.25">
      <c r="H753" t="s">
        <v>7230</v>
      </c>
    </row>
    <row r="754" spans="8:8" x14ac:dyDescent="0.25">
      <c r="H754" t="s">
        <v>7231</v>
      </c>
    </row>
    <row r="755" spans="8:8" x14ac:dyDescent="0.25">
      <c r="H755" t="s">
        <v>7232</v>
      </c>
    </row>
    <row r="756" spans="8:8" x14ac:dyDescent="0.25">
      <c r="H756" t="s">
        <v>7233</v>
      </c>
    </row>
    <row r="757" spans="8:8" x14ac:dyDescent="0.25">
      <c r="H757" t="s">
        <v>7234</v>
      </c>
    </row>
    <row r="758" spans="8:8" x14ac:dyDescent="0.25">
      <c r="H758" t="s">
        <v>7235</v>
      </c>
    </row>
    <row r="759" spans="8:8" x14ac:dyDescent="0.25">
      <c r="H759" t="s">
        <v>7236</v>
      </c>
    </row>
    <row r="760" spans="8:8" x14ac:dyDescent="0.25">
      <c r="H760" t="s">
        <v>7237</v>
      </c>
    </row>
    <row r="761" spans="8:8" x14ac:dyDescent="0.25">
      <c r="H761" t="s">
        <v>7238</v>
      </c>
    </row>
    <row r="762" spans="8:8" x14ac:dyDescent="0.25">
      <c r="H762" t="s">
        <v>7239</v>
      </c>
    </row>
    <row r="763" spans="8:8" x14ac:dyDescent="0.25">
      <c r="H763" t="s">
        <v>7240</v>
      </c>
    </row>
    <row r="764" spans="8:8" x14ac:dyDescent="0.25">
      <c r="H764" t="s">
        <v>7241</v>
      </c>
    </row>
    <row r="765" spans="8:8" x14ac:dyDescent="0.25">
      <c r="H765" t="s">
        <v>7242</v>
      </c>
    </row>
    <row r="766" spans="8:8" x14ac:dyDescent="0.25">
      <c r="H766" t="s">
        <v>7243</v>
      </c>
    </row>
    <row r="767" spans="8:8" x14ac:dyDescent="0.25">
      <c r="H767" t="s">
        <v>7244</v>
      </c>
    </row>
    <row r="768" spans="8:8" x14ac:dyDescent="0.25">
      <c r="H768" t="s">
        <v>7245</v>
      </c>
    </row>
    <row r="769" spans="8:8" x14ac:dyDescent="0.25">
      <c r="H769" t="s">
        <v>7246</v>
      </c>
    </row>
    <row r="770" spans="8:8" x14ac:dyDescent="0.25">
      <c r="H770" t="s">
        <v>7247</v>
      </c>
    </row>
    <row r="771" spans="8:8" x14ac:dyDescent="0.25">
      <c r="H771" t="s">
        <v>7248</v>
      </c>
    </row>
    <row r="772" spans="8:8" x14ac:dyDescent="0.25">
      <c r="H772" t="s">
        <v>7249</v>
      </c>
    </row>
    <row r="773" spans="8:8" x14ac:dyDescent="0.25">
      <c r="H773" t="s">
        <v>7250</v>
      </c>
    </row>
    <row r="774" spans="8:8" x14ac:dyDescent="0.25">
      <c r="H774" t="s">
        <v>7251</v>
      </c>
    </row>
    <row r="775" spans="8:8" x14ac:dyDescent="0.25">
      <c r="H775" t="s">
        <v>7252</v>
      </c>
    </row>
    <row r="776" spans="8:8" x14ac:dyDescent="0.25">
      <c r="H776" t="s">
        <v>7253</v>
      </c>
    </row>
    <row r="777" spans="8:8" x14ac:dyDescent="0.25">
      <c r="H777" t="s">
        <v>7254</v>
      </c>
    </row>
    <row r="778" spans="8:8" x14ac:dyDescent="0.25">
      <c r="H778" t="s">
        <v>7255</v>
      </c>
    </row>
    <row r="779" spans="8:8" x14ac:dyDescent="0.25">
      <c r="H779" t="s">
        <v>7256</v>
      </c>
    </row>
    <row r="780" spans="8:8" x14ac:dyDescent="0.25">
      <c r="H780" t="s">
        <v>7257</v>
      </c>
    </row>
    <row r="781" spans="8:8" x14ac:dyDescent="0.25">
      <c r="H781" t="s">
        <v>7258</v>
      </c>
    </row>
    <row r="782" spans="8:8" x14ac:dyDescent="0.25">
      <c r="H782" t="s">
        <v>7259</v>
      </c>
    </row>
    <row r="783" spans="8:8" x14ac:dyDescent="0.25">
      <c r="H783" t="s">
        <v>7260</v>
      </c>
    </row>
    <row r="784" spans="8:8" x14ac:dyDescent="0.25">
      <c r="H784" t="s">
        <v>7261</v>
      </c>
    </row>
    <row r="785" spans="8:8" x14ac:dyDescent="0.25">
      <c r="H785" t="s">
        <v>7262</v>
      </c>
    </row>
    <row r="786" spans="8:8" x14ac:dyDescent="0.25">
      <c r="H786" t="s">
        <v>7263</v>
      </c>
    </row>
    <row r="787" spans="8:8" x14ac:dyDescent="0.25">
      <c r="H787" t="s">
        <v>7264</v>
      </c>
    </row>
    <row r="788" spans="8:8" x14ac:dyDescent="0.25">
      <c r="H788" t="s">
        <v>7265</v>
      </c>
    </row>
    <row r="789" spans="8:8" x14ac:dyDescent="0.25">
      <c r="H789" t="s">
        <v>7266</v>
      </c>
    </row>
    <row r="790" spans="8:8" x14ac:dyDescent="0.25">
      <c r="H790" t="s">
        <v>7267</v>
      </c>
    </row>
    <row r="791" spans="8:8" x14ac:dyDescent="0.25">
      <c r="H791" t="s">
        <v>7268</v>
      </c>
    </row>
    <row r="792" spans="8:8" x14ac:dyDescent="0.25">
      <c r="H792" t="s">
        <v>7269</v>
      </c>
    </row>
    <row r="793" spans="8:8" x14ac:dyDescent="0.25">
      <c r="H793" t="s">
        <v>7270</v>
      </c>
    </row>
    <row r="794" spans="8:8" x14ac:dyDescent="0.25">
      <c r="H794" t="s">
        <v>7271</v>
      </c>
    </row>
    <row r="795" spans="8:8" x14ac:dyDescent="0.25">
      <c r="H795" t="s">
        <v>7272</v>
      </c>
    </row>
    <row r="796" spans="8:8" x14ac:dyDescent="0.25">
      <c r="H796" t="s">
        <v>7273</v>
      </c>
    </row>
    <row r="797" spans="8:8" x14ac:dyDescent="0.25">
      <c r="H797" t="s">
        <v>7274</v>
      </c>
    </row>
    <row r="798" spans="8:8" x14ac:dyDescent="0.25">
      <c r="H798" t="s">
        <v>7275</v>
      </c>
    </row>
    <row r="799" spans="8:8" x14ac:dyDescent="0.25">
      <c r="H799" t="s">
        <v>7276</v>
      </c>
    </row>
    <row r="800" spans="8:8" x14ac:dyDescent="0.25">
      <c r="H800" t="s">
        <v>7277</v>
      </c>
    </row>
    <row r="801" spans="8:8" x14ac:dyDescent="0.25">
      <c r="H801" t="s">
        <v>7278</v>
      </c>
    </row>
    <row r="802" spans="8:8" x14ac:dyDescent="0.25">
      <c r="H802" t="s">
        <v>7279</v>
      </c>
    </row>
    <row r="803" spans="8:8" x14ac:dyDescent="0.25">
      <c r="H803" t="s">
        <v>7280</v>
      </c>
    </row>
    <row r="804" spans="8:8" x14ac:dyDescent="0.25">
      <c r="H804" t="s">
        <v>7281</v>
      </c>
    </row>
    <row r="805" spans="8:8" x14ac:dyDescent="0.25">
      <c r="H805" t="s">
        <v>7282</v>
      </c>
    </row>
    <row r="806" spans="8:8" x14ac:dyDescent="0.25">
      <c r="H806" t="s">
        <v>7283</v>
      </c>
    </row>
    <row r="807" spans="8:8" x14ac:dyDescent="0.25">
      <c r="H807" t="s">
        <v>7284</v>
      </c>
    </row>
    <row r="808" spans="8:8" x14ac:dyDescent="0.25">
      <c r="H808" t="s">
        <v>7285</v>
      </c>
    </row>
    <row r="809" spans="8:8" x14ac:dyDescent="0.25">
      <c r="H809" t="s">
        <v>7286</v>
      </c>
    </row>
    <row r="810" spans="8:8" x14ac:dyDescent="0.25">
      <c r="H810" t="s">
        <v>7287</v>
      </c>
    </row>
    <row r="811" spans="8:8" x14ac:dyDescent="0.25">
      <c r="H811" t="s">
        <v>7288</v>
      </c>
    </row>
    <row r="812" spans="8:8" x14ac:dyDescent="0.25">
      <c r="H812" t="s">
        <v>7289</v>
      </c>
    </row>
    <row r="813" spans="8:8" x14ac:dyDescent="0.25">
      <c r="H813" t="s">
        <v>7290</v>
      </c>
    </row>
    <row r="814" spans="8:8" x14ac:dyDescent="0.25">
      <c r="H814" t="s">
        <v>7291</v>
      </c>
    </row>
    <row r="815" spans="8:8" x14ac:dyDescent="0.25">
      <c r="H815" t="s">
        <v>7292</v>
      </c>
    </row>
    <row r="816" spans="8:8" x14ac:dyDescent="0.25">
      <c r="H816" t="s">
        <v>7293</v>
      </c>
    </row>
    <row r="817" spans="8:8" x14ac:dyDescent="0.25">
      <c r="H817" t="s">
        <v>7294</v>
      </c>
    </row>
    <row r="818" spans="8:8" x14ac:dyDescent="0.25">
      <c r="H818" t="s">
        <v>7295</v>
      </c>
    </row>
    <row r="819" spans="8:8" x14ac:dyDescent="0.25">
      <c r="H819" t="s">
        <v>7296</v>
      </c>
    </row>
    <row r="820" spans="8:8" x14ac:dyDescent="0.25">
      <c r="H820" t="s">
        <v>7297</v>
      </c>
    </row>
    <row r="821" spans="8:8" x14ac:dyDescent="0.25">
      <c r="H821" t="s">
        <v>7298</v>
      </c>
    </row>
    <row r="822" spans="8:8" x14ac:dyDescent="0.25">
      <c r="H822" t="s">
        <v>7299</v>
      </c>
    </row>
    <row r="823" spans="8:8" x14ac:dyDescent="0.25">
      <c r="H823" t="s">
        <v>7300</v>
      </c>
    </row>
    <row r="824" spans="8:8" x14ac:dyDescent="0.25">
      <c r="H824" t="s">
        <v>7301</v>
      </c>
    </row>
    <row r="825" spans="8:8" x14ac:dyDescent="0.25">
      <c r="H825" t="s">
        <v>7302</v>
      </c>
    </row>
    <row r="826" spans="8:8" x14ac:dyDescent="0.25">
      <c r="H826" t="s">
        <v>7303</v>
      </c>
    </row>
    <row r="827" spans="8:8" x14ac:dyDescent="0.25">
      <c r="H827" t="s">
        <v>7304</v>
      </c>
    </row>
    <row r="828" spans="8:8" x14ac:dyDescent="0.25">
      <c r="H828" t="s">
        <v>7305</v>
      </c>
    </row>
    <row r="829" spans="8:8" x14ac:dyDescent="0.25">
      <c r="H829" t="s">
        <v>7306</v>
      </c>
    </row>
    <row r="830" spans="8:8" x14ac:dyDescent="0.25">
      <c r="H830" t="s">
        <v>7307</v>
      </c>
    </row>
    <row r="831" spans="8:8" x14ac:dyDescent="0.25">
      <c r="H831" t="s">
        <v>7308</v>
      </c>
    </row>
    <row r="832" spans="8:8" x14ac:dyDescent="0.25">
      <c r="H832" t="s">
        <v>7309</v>
      </c>
    </row>
    <row r="833" spans="8:8" x14ac:dyDescent="0.25">
      <c r="H833" t="s">
        <v>7310</v>
      </c>
    </row>
    <row r="834" spans="8:8" x14ac:dyDescent="0.25">
      <c r="H834" t="s">
        <v>7311</v>
      </c>
    </row>
    <row r="835" spans="8:8" x14ac:dyDescent="0.25">
      <c r="H835" t="s">
        <v>7312</v>
      </c>
    </row>
    <row r="836" spans="8:8" x14ac:dyDescent="0.25">
      <c r="H836" t="s">
        <v>7313</v>
      </c>
    </row>
    <row r="837" spans="8:8" x14ac:dyDescent="0.25">
      <c r="H837" t="s">
        <v>7314</v>
      </c>
    </row>
    <row r="838" spans="8:8" x14ac:dyDescent="0.25">
      <c r="H838" t="s">
        <v>7315</v>
      </c>
    </row>
    <row r="839" spans="8:8" x14ac:dyDescent="0.25">
      <c r="H839" t="s">
        <v>7316</v>
      </c>
    </row>
    <row r="840" spans="8:8" x14ac:dyDescent="0.25">
      <c r="H840" t="s">
        <v>7317</v>
      </c>
    </row>
    <row r="841" spans="8:8" x14ac:dyDescent="0.25">
      <c r="H841" t="s">
        <v>7318</v>
      </c>
    </row>
    <row r="842" spans="8:8" x14ac:dyDescent="0.25">
      <c r="H842" t="s">
        <v>7319</v>
      </c>
    </row>
    <row r="843" spans="8:8" x14ac:dyDescent="0.25">
      <c r="H843" t="s">
        <v>7320</v>
      </c>
    </row>
    <row r="844" spans="8:8" x14ac:dyDescent="0.25">
      <c r="H844" t="s">
        <v>7321</v>
      </c>
    </row>
    <row r="845" spans="8:8" x14ac:dyDescent="0.25">
      <c r="H845" t="s">
        <v>7322</v>
      </c>
    </row>
    <row r="846" spans="8:8" x14ac:dyDescent="0.25">
      <c r="H846" t="s">
        <v>7323</v>
      </c>
    </row>
    <row r="847" spans="8:8" x14ac:dyDescent="0.25">
      <c r="H847" t="s">
        <v>7324</v>
      </c>
    </row>
    <row r="848" spans="8:8" x14ac:dyDescent="0.25">
      <c r="H848" t="s">
        <v>7325</v>
      </c>
    </row>
    <row r="849" spans="8:8" x14ac:dyDescent="0.25">
      <c r="H849" t="s">
        <v>7326</v>
      </c>
    </row>
    <row r="850" spans="8:8" x14ac:dyDescent="0.25">
      <c r="H850" t="s">
        <v>7327</v>
      </c>
    </row>
    <row r="851" spans="8:8" x14ac:dyDescent="0.25">
      <c r="H851" t="s">
        <v>7328</v>
      </c>
    </row>
    <row r="852" spans="8:8" x14ac:dyDescent="0.25">
      <c r="H852" t="s">
        <v>7329</v>
      </c>
    </row>
    <row r="853" spans="8:8" x14ac:dyDescent="0.25">
      <c r="H853" t="s">
        <v>7330</v>
      </c>
    </row>
    <row r="854" spans="8:8" x14ac:dyDescent="0.25">
      <c r="H854" t="s">
        <v>7331</v>
      </c>
    </row>
    <row r="855" spans="8:8" x14ac:dyDescent="0.25">
      <c r="H855" t="s">
        <v>7332</v>
      </c>
    </row>
    <row r="856" spans="8:8" x14ac:dyDescent="0.25">
      <c r="H856" t="s">
        <v>7333</v>
      </c>
    </row>
    <row r="857" spans="8:8" x14ac:dyDescent="0.25">
      <c r="H857" t="s">
        <v>7334</v>
      </c>
    </row>
    <row r="858" spans="8:8" x14ac:dyDescent="0.25">
      <c r="H858" t="s">
        <v>7335</v>
      </c>
    </row>
    <row r="859" spans="8:8" x14ac:dyDescent="0.25">
      <c r="H859" t="s">
        <v>7336</v>
      </c>
    </row>
    <row r="860" spans="8:8" x14ac:dyDescent="0.25">
      <c r="H860" t="s">
        <v>7337</v>
      </c>
    </row>
    <row r="861" spans="8:8" x14ac:dyDescent="0.25">
      <c r="H861" t="s">
        <v>7338</v>
      </c>
    </row>
    <row r="862" spans="8:8" x14ac:dyDescent="0.25">
      <c r="H862" t="s">
        <v>7339</v>
      </c>
    </row>
    <row r="863" spans="8:8" x14ac:dyDescent="0.25">
      <c r="H863" t="s">
        <v>7340</v>
      </c>
    </row>
    <row r="864" spans="8:8" x14ac:dyDescent="0.25">
      <c r="H864" t="s">
        <v>7341</v>
      </c>
    </row>
    <row r="865" spans="8:8" x14ac:dyDescent="0.25">
      <c r="H865" t="s">
        <v>7409</v>
      </c>
    </row>
    <row r="867" spans="8:8" x14ac:dyDescent="0.25">
      <c r="H867" t="s">
        <v>7410</v>
      </c>
    </row>
    <row r="868" spans="8:8" x14ac:dyDescent="0.25">
      <c r="H868" t="s">
        <v>7411</v>
      </c>
    </row>
    <row r="869" spans="8:8" x14ac:dyDescent="0.25">
      <c r="H869" t="s">
        <v>7345</v>
      </c>
    </row>
    <row r="870" spans="8:8" x14ac:dyDescent="0.25">
      <c r="H870" t="s">
        <v>7346</v>
      </c>
    </row>
    <row r="871" spans="8:8" x14ac:dyDescent="0.25">
      <c r="H871" t="s">
        <v>7347</v>
      </c>
    </row>
    <row r="872" spans="8:8" x14ac:dyDescent="0.25">
      <c r="H872" t="s">
        <v>7348</v>
      </c>
    </row>
    <row r="873" spans="8:8" x14ac:dyDescent="0.25">
      <c r="H873" t="s">
        <v>7349</v>
      </c>
    </row>
    <row r="874" spans="8:8" x14ac:dyDescent="0.25">
      <c r="H874" t="s">
        <v>7350</v>
      </c>
    </row>
    <row r="875" spans="8:8" x14ac:dyDescent="0.25">
      <c r="H875" t="s">
        <v>7351</v>
      </c>
    </row>
    <row r="876" spans="8:8" x14ac:dyDescent="0.25">
      <c r="H876" t="s">
        <v>7352</v>
      </c>
    </row>
    <row r="877" spans="8:8" x14ac:dyDescent="0.25">
      <c r="H877" t="s">
        <v>7353</v>
      </c>
    </row>
    <row r="878" spans="8:8" x14ac:dyDescent="0.25">
      <c r="H878" t="s">
        <v>7354</v>
      </c>
    </row>
    <row r="879" spans="8:8" x14ac:dyDescent="0.25">
      <c r="H879" t="s">
        <v>7355</v>
      </c>
    </row>
    <row r="880" spans="8:8" x14ac:dyDescent="0.25">
      <c r="H880" t="s">
        <v>7132</v>
      </c>
    </row>
    <row r="881" spans="8:8" x14ac:dyDescent="0.25">
      <c r="H881" t="s">
        <v>7131</v>
      </c>
    </row>
    <row r="882" spans="8:8" x14ac:dyDescent="0.25">
      <c r="H882" t="s">
        <v>7356</v>
      </c>
    </row>
    <row r="883" spans="8:8" x14ac:dyDescent="0.25">
      <c r="H883" t="s">
        <v>7357</v>
      </c>
    </row>
    <row r="884" spans="8:8" x14ac:dyDescent="0.25">
      <c r="H884" t="s">
        <v>7358</v>
      </c>
    </row>
    <row r="885" spans="8:8" x14ac:dyDescent="0.25">
      <c r="H885" t="s">
        <v>7359</v>
      </c>
    </row>
    <row r="886" spans="8:8" x14ac:dyDescent="0.25">
      <c r="H886" t="s">
        <v>7360</v>
      </c>
    </row>
    <row r="887" spans="8:8" x14ac:dyDescent="0.25">
      <c r="H887" t="s">
        <v>7361</v>
      </c>
    </row>
    <row r="888" spans="8:8" x14ac:dyDescent="0.25">
      <c r="H888" t="s">
        <v>7362</v>
      </c>
    </row>
    <row r="889" spans="8:8" x14ac:dyDescent="0.25">
      <c r="H889" t="s">
        <v>7363</v>
      </c>
    </row>
    <row r="890" spans="8:8" x14ac:dyDescent="0.25">
      <c r="H890" t="s">
        <v>7364</v>
      </c>
    </row>
    <row r="891" spans="8:8" x14ac:dyDescent="0.25">
      <c r="H891" t="s">
        <v>7365</v>
      </c>
    </row>
    <row r="892" spans="8:8" x14ac:dyDescent="0.25">
      <c r="H892" t="s">
        <v>7366</v>
      </c>
    </row>
    <row r="893" spans="8:8" x14ac:dyDescent="0.25">
      <c r="H893" t="s">
        <v>7367</v>
      </c>
    </row>
    <row r="894" spans="8:8" x14ac:dyDescent="0.25">
      <c r="H894" t="s">
        <v>7368</v>
      </c>
    </row>
    <row r="895" spans="8:8" x14ac:dyDescent="0.25">
      <c r="H895" t="s">
        <v>7369</v>
      </c>
    </row>
    <row r="896" spans="8:8" x14ac:dyDescent="0.25">
      <c r="H896" t="s">
        <v>7370</v>
      </c>
    </row>
    <row r="897" spans="8:8" x14ac:dyDescent="0.25">
      <c r="H897" t="s">
        <v>7371</v>
      </c>
    </row>
    <row r="898" spans="8:8" x14ac:dyDescent="0.25">
      <c r="H898" t="s">
        <v>7372</v>
      </c>
    </row>
    <row r="899" spans="8:8" x14ac:dyDescent="0.25">
      <c r="H899" t="s">
        <v>7373</v>
      </c>
    </row>
    <row r="900" spans="8:8" x14ac:dyDescent="0.25">
      <c r="H900" t="s">
        <v>7374</v>
      </c>
    </row>
    <row r="901" spans="8:8" x14ac:dyDescent="0.25">
      <c r="H901" t="s">
        <v>7375</v>
      </c>
    </row>
    <row r="902" spans="8:8" x14ac:dyDescent="0.25">
      <c r="H902" t="s">
        <v>7376</v>
      </c>
    </row>
    <row r="903" spans="8:8" x14ac:dyDescent="0.25">
      <c r="H903" t="s">
        <v>7377</v>
      </c>
    </row>
    <row r="904" spans="8:8" x14ac:dyDescent="0.25">
      <c r="H904" t="s">
        <v>7378</v>
      </c>
    </row>
    <row r="905" spans="8:8" x14ac:dyDescent="0.25">
      <c r="H905" t="s">
        <v>7379</v>
      </c>
    </row>
    <row r="906" spans="8:8" x14ac:dyDescent="0.25">
      <c r="H906" t="s">
        <v>7380</v>
      </c>
    </row>
    <row r="907" spans="8:8" x14ac:dyDescent="0.25">
      <c r="H907" t="s">
        <v>7381</v>
      </c>
    </row>
    <row r="908" spans="8:8" x14ac:dyDescent="0.25">
      <c r="H908" t="s">
        <v>7382</v>
      </c>
    </row>
    <row r="909" spans="8:8" x14ac:dyDescent="0.25">
      <c r="H909" t="s">
        <v>7383</v>
      </c>
    </row>
    <row r="910" spans="8:8" x14ac:dyDescent="0.25">
      <c r="H910" t="s">
        <v>7384</v>
      </c>
    </row>
    <row r="911" spans="8:8" x14ac:dyDescent="0.25">
      <c r="H911" t="s">
        <v>7385</v>
      </c>
    </row>
    <row r="912" spans="8:8" x14ac:dyDescent="0.25">
      <c r="H912" t="s">
        <v>7386</v>
      </c>
    </row>
    <row r="913" spans="8:8" x14ac:dyDescent="0.25">
      <c r="H913" t="s">
        <v>7387</v>
      </c>
    </row>
    <row r="914" spans="8:8" x14ac:dyDescent="0.25">
      <c r="H914" t="s">
        <v>7388</v>
      </c>
    </row>
    <row r="915" spans="8:8" x14ac:dyDescent="0.25">
      <c r="H915" t="s">
        <v>7389</v>
      </c>
    </row>
    <row r="916" spans="8:8" x14ac:dyDescent="0.25">
      <c r="H916" t="s">
        <v>7390</v>
      </c>
    </row>
    <row r="917" spans="8:8" x14ac:dyDescent="0.25">
      <c r="H917" t="s">
        <v>7391</v>
      </c>
    </row>
    <row r="918" spans="8:8" x14ac:dyDescent="0.25">
      <c r="H918" t="s">
        <v>7392</v>
      </c>
    </row>
    <row r="919" spans="8:8" x14ac:dyDescent="0.25">
      <c r="H919" t="s">
        <v>7393</v>
      </c>
    </row>
    <row r="920" spans="8:8" x14ac:dyDescent="0.25">
      <c r="H920" t="s">
        <v>7412</v>
      </c>
    </row>
    <row r="922" spans="8:8" x14ac:dyDescent="0.25">
      <c r="H922" t="s">
        <v>7413</v>
      </c>
    </row>
    <row r="923" spans="8:8" x14ac:dyDescent="0.25">
      <c r="H923" t="s">
        <v>7414</v>
      </c>
    </row>
    <row r="924" spans="8:8" x14ac:dyDescent="0.25">
      <c r="H924" t="s">
        <v>7127</v>
      </c>
    </row>
    <row r="925" spans="8:8" x14ac:dyDescent="0.25">
      <c r="H925" t="s">
        <v>7128</v>
      </c>
    </row>
    <row r="926" spans="8:8" x14ac:dyDescent="0.25">
      <c r="H926" t="s">
        <v>7129</v>
      </c>
    </row>
    <row r="927" spans="8:8" x14ac:dyDescent="0.25">
      <c r="H927" t="s">
        <v>7130</v>
      </c>
    </row>
    <row r="928" spans="8:8" x14ac:dyDescent="0.25">
      <c r="H928" t="s">
        <v>7131</v>
      </c>
    </row>
    <row r="929" spans="8:8" x14ac:dyDescent="0.25">
      <c r="H929" t="s">
        <v>7132</v>
      </c>
    </row>
    <row r="930" spans="8:8" x14ac:dyDescent="0.25">
      <c r="H930" t="s">
        <v>7133</v>
      </c>
    </row>
    <row r="931" spans="8:8" x14ac:dyDescent="0.25">
      <c r="H931" t="s">
        <v>7134</v>
      </c>
    </row>
    <row r="932" spans="8:8" x14ac:dyDescent="0.25">
      <c r="H932" t="s">
        <v>7135</v>
      </c>
    </row>
    <row r="933" spans="8:8" x14ac:dyDescent="0.25">
      <c r="H933" t="s">
        <v>7136</v>
      </c>
    </row>
    <row r="934" spans="8:8" x14ac:dyDescent="0.25">
      <c r="H934" t="s">
        <v>7137</v>
      </c>
    </row>
    <row r="935" spans="8:8" x14ac:dyDescent="0.25">
      <c r="H935" t="s">
        <v>7138</v>
      </c>
    </row>
    <row r="936" spans="8:8" x14ac:dyDescent="0.25">
      <c r="H936" t="s">
        <v>7139</v>
      </c>
    </row>
    <row r="937" spans="8:8" x14ac:dyDescent="0.25">
      <c r="H937" t="s">
        <v>7140</v>
      </c>
    </row>
    <row r="938" spans="8:8" x14ac:dyDescent="0.25">
      <c r="H938" t="s">
        <v>7141</v>
      </c>
    </row>
    <row r="939" spans="8:8" x14ac:dyDescent="0.25">
      <c r="H939" t="s">
        <v>7142</v>
      </c>
    </row>
    <row r="940" spans="8:8" x14ac:dyDescent="0.25">
      <c r="H940" t="s">
        <v>7143</v>
      </c>
    </row>
    <row r="941" spans="8:8" x14ac:dyDescent="0.25">
      <c r="H941" t="s">
        <v>7144</v>
      </c>
    </row>
    <row r="942" spans="8:8" x14ac:dyDescent="0.25">
      <c r="H942" t="s">
        <v>7145</v>
      </c>
    </row>
    <row r="943" spans="8:8" x14ac:dyDescent="0.25">
      <c r="H943" t="s">
        <v>7146</v>
      </c>
    </row>
    <row r="944" spans="8:8" x14ac:dyDescent="0.25">
      <c r="H944" t="s">
        <v>7147</v>
      </c>
    </row>
    <row r="945" spans="8:8" x14ac:dyDescent="0.25">
      <c r="H945" t="s">
        <v>7148</v>
      </c>
    </row>
    <row r="946" spans="8:8" x14ac:dyDescent="0.25">
      <c r="H946" t="s">
        <v>7149</v>
      </c>
    </row>
    <row r="947" spans="8:8" x14ac:dyDescent="0.25">
      <c r="H947" t="s">
        <v>7150</v>
      </c>
    </row>
    <row r="948" spans="8:8" x14ac:dyDescent="0.25">
      <c r="H948" t="s">
        <v>7151</v>
      </c>
    </row>
    <row r="949" spans="8:8" x14ac:dyDescent="0.25">
      <c r="H949" t="s">
        <v>7152</v>
      </c>
    </row>
    <row r="950" spans="8:8" x14ac:dyDescent="0.25">
      <c r="H950" t="s">
        <v>7153</v>
      </c>
    </row>
    <row r="951" spans="8:8" x14ac:dyDescent="0.25">
      <c r="H951" t="s">
        <v>7154</v>
      </c>
    </row>
    <row r="952" spans="8:8" x14ac:dyDescent="0.25">
      <c r="H952" t="s">
        <v>7155</v>
      </c>
    </row>
    <row r="953" spans="8:8" x14ac:dyDescent="0.25">
      <c r="H953" t="s">
        <v>7156</v>
      </c>
    </row>
    <row r="954" spans="8:8" x14ac:dyDescent="0.25">
      <c r="H954" t="s">
        <v>7157</v>
      </c>
    </row>
    <row r="955" spans="8:8" x14ac:dyDescent="0.25">
      <c r="H955" t="s">
        <v>7158</v>
      </c>
    </row>
    <row r="956" spans="8:8" x14ac:dyDescent="0.25">
      <c r="H956" t="s">
        <v>7159</v>
      </c>
    </row>
    <row r="957" spans="8:8" x14ac:dyDescent="0.25">
      <c r="H957" t="s">
        <v>7160</v>
      </c>
    </row>
    <row r="958" spans="8:8" x14ac:dyDescent="0.25">
      <c r="H958" t="s">
        <v>7161</v>
      </c>
    </row>
    <row r="959" spans="8:8" x14ac:dyDescent="0.25">
      <c r="H959" t="s">
        <v>7162</v>
      </c>
    </row>
    <row r="960" spans="8:8" x14ac:dyDescent="0.25">
      <c r="H960" t="s">
        <v>7163</v>
      </c>
    </row>
    <row r="961" spans="8:8" x14ac:dyDescent="0.25">
      <c r="H961" t="s">
        <v>7164</v>
      </c>
    </row>
    <row r="962" spans="8:8" x14ac:dyDescent="0.25">
      <c r="H962" t="s">
        <v>7165</v>
      </c>
    </row>
    <row r="963" spans="8:8" x14ac:dyDescent="0.25">
      <c r="H963" t="s">
        <v>7166</v>
      </c>
    </row>
    <row r="964" spans="8:8" x14ac:dyDescent="0.25">
      <c r="H964" t="s">
        <v>7167</v>
      </c>
    </row>
    <row r="965" spans="8:8" x14ac:dyDescent="0.25">
      <c r="H965" t="s">
        <v>7168</v>
      </c>
    </row>
    <row r="966" spans="8:8" x14ac:dyDescent="0.25">
      <c r="H966" t="s">
        <v>7169</v>
      </c>
    </row>
    <row r="967" spans="8:8" x14ac:dyDescent="0.25">
      <c r="H967" t="s">
        <v>7170</v>
      </c>
    </row>
    <row r="968" spans="8:8" x14ac:dyDescent="0.25">
      <c r="H968" t="s">
        <v>7171</v>
      </c>
    </row>
    <row r="969" spans="8:8" x14ac:dyDescent="0.25">
      <c r="H969" t="s">
        <v>7172</v>
      </c>
    </row>
    <row r="970" spans="8:8" x14ac:dyDescent="0.25">
      <c r="H970" t="s">
        <v>7173</v>
      </c>
    </row>
    <row r="971" spans="8:8" x14ac:dyDescent="0.25">
      <c r="H971" t="s">
        <v>7174</v>
      </c>
    </row>
    <row r="972" spans="8:8" x14ac:dyDescent="0.25">
      <c r="H972" t="s">
        <v>7175</v>
      </c>
    </row>
    <row r="973" spans="8:8" x14ac:dyDescent="0.25">
      <c r="H973" t="s">
        <v>7176</v>
      </c>
    </row>
    <row r="974" spans="8:8" x14ac:dyDescent="0.25">
      <c r="H974" t="s">
        <v>7177</v>
      </c>
    </row>
    <row r="975" spans="8:8" x14ac:dyDescent="0.25">
      <c r="H975" t="s">
        <v>7178</v>
      </c>
    </row>
    <row r="976" spans="8:8" x14ac:dyDescent="0.25">
      <c r="H976" t="s">
        <v>7179</v>
      </c>
    </row>
    <row r="977" spans="8:8" x14ac:dyDescent="0.25">
      <c r="H977" t="s">
        <v>7180</v>
      </c>
    </row>
    <row r="978" spans="8:8" x14ac:dyDescent="0.25">
      <c r="H978" t="s">
        <v>7181</v>
      </c>
    </row>
    <row r="979" spans="8:8" x14ac:dyDescent="0.25">
      <c r="H979" t="s">
        <v>7182</v>
      </c>
    </row>
    <row r="980" spans="8:8" x14ac:dyDescent="0.25">
      <c r="H980" t="s">
        <v>7183</v>
      </c>
    </row>
    <row r="981" spans="8:8" x14ac:dyDescent="0.25">
      <c r="H981" t="s">
        <v>7184</v>
      </c>
    </row>
    <row r="982" spans="8:8" x14ac:dyDescent="0.25">
      <c r="H982" t="s">
        <v>7415</v>
      </c>
    </row>
    <row r="984" spans="8:8" x14ac:dyDescent="0.25">
      <c r="H984" t="s">
        <v>7416</v>
      </c>
    </row>
    <row r="985" spans="8:8" x14ac:dyDescent="0.25">
      <c r="H985" t="s">
        <v>7417</v>
      </c>
    </row>
    <row r="986" spans="8:8" x14ac:dyDescent="0.25">
      <c r="H986" t="s">
        <v>7188</v>
      </c>
    </row>
    <row r="987" spans="8:8" x14ac:dyDescent="0.25">
      <c r="H987" t="s">
        <v>7189</v>
      </c>
    </row>
    <row r="988" spans="8:8" x14ac:dyDescent="0.25">
      <c r="H988" t="s">
        <v>7190</v>
      </c>
    </row>
    <row r="989" spans="8:8" x14ac:dyDescent="0.25">
      <c r="H989" t="s">
        <v>7191</v>
      </c>
    </row>
    <row r="990" spans="8:8" x14ac:dyDescent="0.25">
      <c r="H990" t="s">
        <v>7192</v>
      </c>
    </row>
    <row r="991" spans="8:8" x14ac:dyDescent="0.25">
      <c r="H991" t="s">
        <v>7193</v>
      </c>
    </row>
    <row r="992" spans="8:8" x14ac:dyDescent="0.25">
      <c r="H992" t="s">
        <v>7194</v>
      </c>
    </row>
    <row r="993" spans="8:8" x14ac:dyDescent="0.25">
      <c r="H993" t="s">
        <v>7195</v>
      </c>
    </row>
    <row r="994" spans="8:8" x14ac:dyDescent="0.25">
      <c r="H994" t="s">
        <v>7196</v>
      </c>
    </row>
    <row r="995" spans="8:8" x14ac:dyDescent="0.25">
      <c r="H995" t="s">
        <v>7197</v>
      </c>
    </row>
    <row r="996" spans="8:8" x14ac:dyDescent="0.25">
      <c r="H996" t="s">
        <v>7198</v>
      </c>
    </row>
    <row r="997" spans="8:8" x14ac:dyDescent="0.25">
      <c r="H997" t="s">
        <v>7199</v>
      </c>
    </row>
    <row r="998" spans="8:8" x14ac:dyDescent="0.25">
      <c r="H998" t="s">
        <v>7200</v>
      </c>
    </row>
    <row r="999" spans="8:8" x14ac:dyDescent="0.25">
      <c r="H999" t="s">
        <v>7201</v>
      </c>
    </row>
    <row r="1000" spans="8:8" x14ac:dyDescent="0.25">
      <c r="H1000" t="s">
        <v>7202</v>
      </c>
    </row>
    <row r="1001" spans="8:8" x14ac:dyDescent="0.25">
      <c r="H1001" t="s">
        <v>7203</v>
      </c>
    </row>
    <row r="1002" spans="8:8" x14ac:dyDescent="0.25">
      <c r="H1002" t="s">
        <v>7204</v>
      </c>
    </row>
    <row r="1003" spans="8:8" x14ac:dyDescent="0.25">
      <c r="H1003" t="s">
        <v>7205</v>
      </c>
    </row>
    <row r="1004" spans="8:8" x14ac:dyDescent="0.25">
      <c r="H1004" t="s">
        <v>7206</v>
      </c>
    </row>
    <row r="1005" spans="8:8" x14ac:dyDescent="0.25">
      <c r="H1005" t="s">
        <v>7207</v>
      </c>
    </row>
    <row r="1006" spans="8:8" x14ac:dyDescent="0.25">
      <c r="H1006" t="s">
        <v>7208</v>
      </c>
    </row>
    <row r="1007" spans="8:8" x14ac:dyDescent="0.25">
      <c r="H1007" t="s">
        <v>7209</v>
      </c>
    </row>
    <row r="1008" spans="8:8" x14ac:dyDescent="0.25">
      <c r="H1008" t="s">
        <v>7210</v>
      </c>
    </row>
    <row r="1009" spans="8:8" x14ac:dyDescent="0.25">
      <c r="H1009" t="s">
        <v>7211</v>
      </c>
    </row>
    <row r="1010" spans="8:8" x14ac:dyDescent="0.25">
      <c r="H1010" t="s">
        <v>7212</v>
      </c>
    </row>
    <row r="1011" spans="8:8" x14ac:dyDescent="0.25">
      <c r="H1011" t="s">
        <v>7213</v>
      </c>
    </row>
    <row r="1012" spans="8:8" x14ac:dyDescent="0.25">
      <c r="H1012" t="s">
        <v>7214</v>
      </c>
    </row>
    <row r="1013" spans="8:8" x14ac:dyDescent="0.25">
      <c r="H1013" t="s">
        <v>7215</v>
      </c>
    </row>
    <row r="1014" spans="8:8" x14ac:dyDescent="0.25">
      <c r="H1014" t="s">
        <v>7216</v>
      </c>
    </row>
    <row r="1015" spans="8:8" x14ac:dyDescent="0.25">
      <c r="H1015" t="s">
        <v>7217</v>
      </c>
    </row>
    <row r="1016" spans="8:8" x14ac:dyDescent="0.25">
      <c r="H1016" t="s">
        <v>7218</v>
      </c>
    </row>
    <row r="1017" spans="8:8" x14ac:dyDescent="0.25">
      <c r="H1017" t="s">
        <v>7219</v>
      </c>
    </row>
    <row r="1018" spans="8:8" x14ac:dyDescent="0.25">
      <c r="H1018" t="s">
        <v>7220</v>
      </c>
    </row>
    <row r="1019" spans="8:8" x14ac:dyDescent="0.25">
      <c r="H1019" t="s">
        <v>7221</v>
      </c>
    </row>
    <row r="1020" spans="8:8" x14ac:dyDescent="0.25">
      <c r="H1020" t="s">
        <v>7222</v>
      </c>
    </row>
    <row r="1021" spans="8:8" x14ac:dyDescent="0.25">
      <c r="H1021" t="s">
        <v>7223</v>
      </c>
    </row>
    <row r="1022" spans="8:8" x14ac:dyDescent="0.25">
      <c r="H1022" t="s">
        <v>7224</v>
      </c>
    </row>
    <row r="1023" spans="8:8" x14ac:dyDescent="0.25">
      <c r="H1023" t="s">
        <v>7225</v>
      </c>
    </row>
    <row r="1024" spans="8:8" x14ac:dyDescent="0.25">
      <c r="H1024" t="s">
        <v>7226</v>
      </c>
    </row>
    <row r="1025" spans="8:8" x14ac:dyDescent="0.25">
      <c r="H1025" t="s">
        <v>7227</v>
      </c>
    </row>
    <row r="1026" spans="8:8" x14ac:dyDescent="0.25">
      <c r="H1026" t="s">
        <v>7228</v>
      </c>
    </row>
    <row r="1027" spans="8:8" x14ac:dyDescent="0.25">
      <c r="H1027" t="s">
        <v>7229</v>
      </c>
    </row>
    <row r="1028" spans="8:8" x14ac:dyDescent="0.25">
      <c r="H1028" t="s">
        <v>7230</v>
      </c>
    </row>
    <row r="1029" spans="8:8" x14ac:dyDescent="0.25">
      <c r="H1029" t="s">
        <v>7231</v>
      </c>
    </row>
    <row r="1030" spans="8:8" x14ac:dyDescent="0.25">
      <c r="H1030" t="s">
        <v>7232</v>
      </c>
    </row>
    <row r="1031" spans="8:8" x14ac:dyDescent="0.25">
      <c r="H1031" t="s">
        <v>7233</v>
      </c>
    </row>
    <row r="1032" spans="8:8" x14ac:dyDescent="0.25">
      <c r="H1032" t="s">
        <v>7234</v>
      </c>
    </row>
    <row r="1033" spans="8:8" x14ac:dyDescent="0.25">
      <c r="H1033" t="s">
        <v>7235</v>
      </c>
    </row>
    <row r="1034" spans="8:8" x14ac:dyDescent="0.25">
      <c r="H1034" t="s">
        <v>7236</v>
      </c>
    </row>
    <row r="1035" spans="8:8" x14ac:dyDescent="0.25">
      <c r="H1035" t="s">
        <v>7237</v>
      </c>
    </row>
    <row r="1036" spans="8:8" x14ac:dyDescent="0.25">
      <c r="H1036" t="s">
        <v>7238</v>
      </c>
    </row>
    <row r="1037" spans="8:8" x14ac:dyDescent="0.25">
      <c r="H1037" t="s">
        <v>7239</v>
      </c>
    </row>
    <row r="1038" spans="8:8" x14ac:dyDescent="0.25">
      <c r="H1038" t="s">
        <v>7240</v>
      </c>
    </row>
    <row r="1039" spans="8:8" x14ac:dyDescent="0.25">
      <c r="H1039" t="s">
        <v>7241</v>
      </c>
    </row>
    <row r="1040" spans="8:8" x14ac:dyDescent="0.25">
      <c r="H1040" t="s">
        <v>7242</v>
      </c>
    </row>
    <row r="1041" spans="8:8" x14ac:dyDescent="0.25">
      <c r="H1041" t="s">
        <v>7243</v>
      </c>
    </row>
    <row r="1042" spans="8:8" x14ac:dyDescent="0.25">
      <c r="H1042" t="s">
        <v>7244</v>
      </c>
    </row>
    <row r="1043" spans="8:8" x14ac:dyDescent="0.25">
      <c r="H1043" t="s">
        <v>7245</v>
      </c>
    </row>
    <row r="1044" spans="8:8" x14ac:dyDescent="0.25">
      <c r="H1044" t="s">
        <v>7246</v>
      </c>
    </row>
    <row r="1045" spans="8:8" x14ac:dyDescent="0.25">
      <c r="H1045" t="s">
        <v>7247</v>
      </c>
    </row>
    <row r="1046" spans="8:8" x14ac:dyDescent="0.25">
      <c r="H1046" t="s">
        <v>7248</v>
      </c>
    </row>
    <row r="1047" spans="8:8" x14ac:dyDescent="0.25">
      <c r="H1047" t="s">
        <v>7249</v>
      </c>
    </row>
    <row r="1048" spans="8:8" x14ac:dyDescent="0.25">
      <c r="H1048" t="s">
        <v>7250</v>
      </c>
    </row>
    <row r="1049" spans="8:8" x14ac:dyDescent="0.25">
      <c r="H1049" t="s">
        <v>7251</v>
      </c>
    </row>
    <row r="1050" spans="8:8" x14ac:dyDescent="0.25">
      <c r="H1050" t="s">
        <v>7252</v>
      </c>
    </row>
    <row r="1051" spans="8:8" x14ac:dyDescent="0.25">
      <c r="H1051" t="s">
        <v>7253</v>
      </c>
    </row>
    <row r="1052" spans="8:8" x14ac:dyDescent="0.25">
      <c r="H1052" t="s">
        <v>7254</v>
      </c>
    </row>
    <row r="1053" spans="8:8" x14ac:dyDescent="0.25">
      <c r="H1053" t="s">
        <v>7255</v>
      </c>
    </row>
    <row r="1054" spans="8:8" x14ac:dyDescent="0.25">
      <c r="H1054" t="s">
        <v>7256</v>
      </c>
    </row>
    <row r="1055" spans="8:8" x14ac:dyDescent="0.25">
      <c r="H1055" t="s">
        <v>7257</v>
      </c>
    </row>
    <row r="1056" spans="8:8" x14ac:dyDescent="0.25">
      <c r="H1056" t="s">
        <v>7258</v>
      </c>
    </row>
    <row r="1057" spans="8:8" x14ac:dyDescent="0.25">
      <c r="H1057" t="s">
        <v>7259</v>
      </c>
    </row>
    <row r="1058" spans="8:8" x14ac:dyDescent="0.25">
      <c r="H1058" t="s">
        <v>7260</v>
      </c>
    </row>
    <row r="1059" spans="8:8" x14ac:dyDescent="0.25">
      <c r="H1059" t="s">
        <v>7261</v>
      </c>
    </row>
    <row r="1060" spans="8:8" x14ac:dyDescent="0.25">
      <c r="H1060" t="s">
        <v>7262</v>
      </c>
    </row>
    <row r="1061" spans="8:8" x14ac:dyDescent="0.25">
      <c r="H1061" t="s">
        <v>7263</v>
      </c>
    </row>
    <row r="1062" spans="8:8" x14ac:dyDescent="0.25">
      <c r="H1062" t="s">
        <v>7264</v>
      </c>
    </row>
    <row r="1063" spans="8:8" x14ac:dyDescent="0.25">
      <c r="H1063" t="s">
        <v>7265</v>
      </c>
    </row>
    <row r="1064" spans="8:8" x14ac:dyDescent="0.25">
      <c r="H1064" t="s">
        <v>7266</v>
      </c>
    </row>
    <row r="1065" spans="8:8" x14ac:dyDescent="0.25">
      <c r="H1065" t="s">
        <v>7267</v>
      </c>
    </row>
    <row r="1066" spans="8:8" x14ac:dyDescent="0.25">
      <c r="H1066" t="s">
        <v>7268</v>
      </c>
    </row>
    <row r="1067" spans="8:8" x14ac:dyDescent="0.25">
      <c r="H1067" t="s">
        <v>7269</v>
      </c>
    </row>
    <row r="1068" spans="8:8" x14ac:dyDescent="0.25">
      <c r="H1068" t="s">
        <v>7270</v>
      </c>
    </row>
    <row r="1069" spans="8:8" x14ac:dyDescent="0.25">
      <c r="H1069" t="s">
        <v>7271</v>
      </c>
    </row>
    <row r="1070" spans="8:8" x14ac:dyDescent="0.25">
      <c r="H1070" t="s">
        <v>7272</v>
      </c>
    </row>
    <row r="1071" spans="8:8" x14ac:dyDescent="0.25">
      <c r="H1071" t="s">
        <v>7273</v>
      </c>
    </row>
    <row r="1072" spans="8:8" x14ac:dyDescent="0.25">
      <c r="H1072" t="s">
        <v>7274</v>
      </c>
    </row>
    <row r="1073" spans="8:8" x14ac:dyDescent="0.25">
      <c r="H1073" t="s">
        <v>7275</v>
      </c>
    </row>
    <row r="1074" spans="8:8" x14ac:dyDescent="0.25">
      <c r="H1074" t="s">
        <v>7276</v>
      </c>
    </row>
    <row r="1075" spans="8:8" x14ac:dyDescent="0.25">
      <c r="H1075" t="s">
        <v>7277</v>
      </c>
    </row>
    <row r="1076" spans="8:8" x14ac:dyDescent="0.25">
      <c r="H1076" t="s">
        <v>7278</v>
      </c>
    </row>
    <row r="1077" spans="8:8" x14ac:dyDescent="0.25">
      <c r="H1077" t="s">
        <v>7279</v>
      </c>
    </row>
    <row r="1078" spans="8:8" x14ac:dyDescent="0.25">
      <c r="H1078" t="s">
        <v>7280</v>
      </c>
    </row>
    <row r="1079" spans="8:8" x14ac:dyDescent="0.25">
      <c r="H1079" t="s">
        <v>7281</v>
      </c>
    </row>
    <row r="1080" spans="8:8" x14ac:dyDescent="0.25">
      <c r="H1080" t="s">
        <v>7282</v>
      </c>
    </row>
    <row r="1081" spans="8:8" x14ac:dyDescent="0.25">
      <c r="H1081" t="s">
        <v>7283</v>
      </c>
    </row>
    <row r="1082" spans="8:8" x14ac:dyDescent="0.25">
      <c r="H1082" t="s">
        <v>7284</v>
      </c>
    </row>
    <row r="1083" spans="8:8" x14ac:dyDescent="0.25">
      <c r="H1083" t="s">
        <v>7285</v>
      </c>
    </row>
    <row r="1084" spans="8:8" x14ac:dyDescent="0.25">
      <c r="H1084" t="s">
        <v>7286</v>
      </c>
    </row>
    <row r="1085" spans="8:8" x14ac:dyDescent="0.25">
      <c r="H1085" t="s">
        <v>7287</v>
      </c>
    </row>
    <row r="1086" spans="8:8" x14ac:dyDescent="0.25">
      <c r="H1086" t="s">
        <v>7288</v>
      </c>
    </row>
    <row r="1087" spans="8:8" x14ac:dyDescent="0.25">
      <c r="H1087" t="s">
        <v>7289</v>
      </c>
    </row>
    <row r="1088" spans="8:8" x14ac:dyDescent="0.25">
      <c r="H1088" t="s">
        <v>7290</v>
      </c>
    </row>
    <row r="1089" spans="8:8" x14ac:dyDescent="0.25">
      <c r="H1089" t="s">
        <v>7291</v>
      </c>
    </row>
    <row r="1090" spans="8:8" x14ac:dyDescent="0.25">
      <c r="H1090" t="s">
        <v>7292</v>
      </c>
    </row>
    <row r="1091" spans="8:8" x14ac:dyDescent="0.25">
      <c r="H1091" t="s">
        <v>7293</v>
      </c>
    </row>
    <row r="1092" spans="8:8" x14ac:dyDescent="0.25">
      <c r="H1092" t="s">
        <v>7294</v>
      </c>
    </row>
    <row r="1093" spans="8:8" x14ac:dyDescent="0.25">
      <c r="H1093" t="s">
        <v>7295</v>
      </c>
    </row>
    <row r="1094" spans="8:8" x14ac:dyDescent="0.25">
      <c r="H1094" t="s">
        <v>7296</v>
      </c>
    </row>
    <row r="1095" spans="8:8" x14ac:dyDescent="0.25">
      <c r="H1095" t="s">
        <v>7297</v>
      </c>
    </row>
    <row r="1096" spans="8:8" x14ac:dyDescent="0.25">
      <c r="H1096" t="s">
        <v>7298</v>
      </c>
    </row>
    <row r="1097" spans="8:8" x14ac:dyDescent="0.25">
      <c r="H1097" t="s">
        <v>7299</v>
      </c>
    </row>
    <row r="1098" spans="8:8" x14ac:dyDescent="0.25">
      <c r="H1098" t="s">
        <v>7300</v>
      </c>
    </row>
    <row r="1099" spans="8:8" x14ac:dyDescent="0.25">
      <c r="H1099" t="s">
        <v>7301</v>
      </c>
    </row>
    <row r="1100" spans="8:8" x14ac:dyDescent="0.25">
      <c r="H1100" t="s">
        <v>7302</v>
      </c>
    </row>
    <row r="1101" spans="8:8" x14ac:dyDescent="0.25">
      <c r="H1101" t="s">
        <v>7303</v>
      </c>
    </row>
    <row r="1102" spans="8:8" x14ac:dyDescent="0.25">
      <c r="H1102" t="s">
        <v>7304</v>
      </c>
    </row>
    <row r="1103" spans="8:8" x14ac:dyDescent="0.25">
      <c r="H1103" t="s">
        <v>7305</v>
      </c>
    </row>
    <row r="1104" spans="8:8" x14ac:dyDescent="0.25">
      <c r="H1104" t="s">
        <v>7306</v>
      </c>
    </row>
    <row r="1105" spans="8:8" x14ac:dyDescent="0.25">
      <c r="H1105" t="s">
        <v>7307</v>
      </c>
    </row>
    <row r="1106" spans="8:8" x14ac:dyDescent="0.25">
      <c r="H1106" t="s">
        <v>7308</v>
      </c>
    </row>
    <row r="1107" spans="8:8" x14ac:dyDescent="0.25">
      <c r="H1107" t="s">
        <v>7309</v>
      </c>
    </row>
    <row r="1108" spans="8:8" x14ac:dyDescent="0.25">
      <c r="H1108" t="s">
        <v>7310</v>
      </c>
    </row>
    <row r="1109" spans="8:8" x14ac:dyDescent="0.25">
      <c r="H1109" t="s">
        <v>7311</v>
      </c>
    </row>
    <row r="1110" spans="8:8" x14ac:dyDescent="0.25">
      <c r="H1110" t="s">
        <v>7312</v>
      </c>
    </row>
    <row r="1111" spans="8:8" x14ac:dyDescent="0.25">
      <c r="H1111" t="s">
        <v>7313</v>
      </c>
    </row>
    <row r="1112" spans="8:8" x14ac:dyDescent="0.25">
      <c r="H1112" t="s">
        <v>7314</v>
      </c>
    </row>
    <row r="1113" spans="8:8" x14ac:dyDescent="0.25">
      <c r="H1113" t="s">
        <v>7315</v>
      </c>
    </row>
    <row r="1114" spans="8:8" x14ac:dyDescent="0.25">
      <c r="H1114" t="s">
        <v>7316</v>
      </c>
    </row>
    <row r="1115" spans="8:8" x14ac:dyDescent="0.25">
      <c r="H1115" t="s">
        <v>7317</v>
      </c>
    </row>
    <row r="1116" spans="8:8" x14ac:dyDescent="0.25">
      <c r="H1116" t="s">
        <v>7318</v>
      </c>
    </row>
    <row r="1117" spans="8:8" x14ac:dyDescent="0.25">
      <c r="H1117" t="s">
        <v>7319</v>
      </c>
    </row>
    <row r="1118" spans="8:8" x14ac:dyDescent="0.25">
      <c r="H1118" t="s">
        <v>7320</v>
      </c>
    </row>
    <row r="1119" spans="8:8" x14ac:dyDescent="0.25">
      <c r="H1119" t="s">
        <v>7321</v>
      </c>
    </row>
    <row r="1120" spans="8:8" x14ac:dyDescent="0.25">
      <c r="H1120" t="s">
        <v>7322</v>
      </c>
    </row>
    <row r="1121" spans="8:8" x14ac:dyDescent="0.25">
      <c r="H1121" t="s">
        <v>7323</v>
      </c>
    </row>
    <row r="1122" spans="8:8" x14ac:dyDescent="0.25">
      <c r="H1122" t="s">
        <v>7324</v>
      </c>
    </row>
    <row r="1123" spans="8:8" x14ac:dyDescent="0.25">
      <c r="H1123" t="s">
        <v>7325</v>
      </c>
    </row>
    <row r="1124" spans="8:8" x14ac:dyDescent="0.25">
      <c r="H1124" t="s">
        <v>7326</v>
      </c>
    </row>
    <row r="1125" spans="8:8" x14ac:dyDescent="0.25">
      <c r="H1125" t="s">
        <v>7327</v>
      </c>
    </row>
    <row r="1126" spans="8:8" x14ac:dyDescent="0.25">
      <c r="H1126" t="s">
        <v>7328</v>
      </c>
    </row>
    <row r="1127" spans="8:8" x14ac:dyDescent="0.25">
      <c r="H1127" t="s">
        <v>7329</v>
      </c>
    </row>
    <row r="1128" spans="8:8" x14ac:dyDescent="0.25">
      <c r="H1128" t="s">
        <v>7330</v>
      </c>
    </row>
    <row r="1129" spans="8:8" x14ac:dyDescent="0.25">
      <c r="H1129" t="s">
        <v>7331</v>
      </c>
    </row>
    <row r="1130" spans="8:8" x14ac:dyDescent="0.25">
      <c r="H1130" t="s">
        <v>7332</v>
      </c>
    </row>
    <row r="1131" spans="8:8" x14ac:dyDescent="0.25">
      <c r="H1131" t="s">
        <v>7333</v>
      </c>
    </row>
    <row r="1132" spans="8:8" x14ac:dyDescent="0.25">
      <c r="H1132" t="s">
        <v>7334</v>
      </c>
    </row>
    <row r="1133" spans="8:8" x14ac:dyDescent="0.25">
      <c r="H1133" t="s">
        <v>7335</v>
      </c>
    </row>
    <row r="1134" spans="8:8" x14ac:dyDescent="0.25">
      <c r="H1134" t="s">
        <v>7336</v>
      </c>
    </row>
    <row r="1135" spans="8:8" x14ac:dyDescent="0.25">
      <c r="H1135" t="s">
        <v>7337</v>
      </c>
    </row>
    <row r="1136" spans="8:8" x14ac:dyDescent="0.25">
      <c r="H1136" t="s">
        <v>7338</v>
      </c>
    </row>
    <row r="1137" spans="8:8" x14ac:dyDescent="0.25">
      <c r="H1137" t="s">
        <v>7339</v>
      </c>
    </row>
    <row r="1138" spans="8:8" x14ac:dyDescent="0.25">
      <c r="H1138" t="s">
        <v>7340</v>
      </c>
    </row>
    <row r="1139" spans="8:8" x14ac:dyDescent="0.25">
      <c r="H1139" t="s">
        <v>7341</v>
      </c>
    </row>
    <row r="1140" spans="8:8" x14ac:dyDescent="0.25">
      <c r="H1140" t="s">
        <v>7418</v>
      </c>
    </row>
    <row r="1142" spans="8:8" x14ac:dyDescent="0.25">
      <c r="H1142" t="s">
        <v>7419</v>
      </c>
    </row>
    <row r="1143" spans="8:8" x14ac:dyDescent="0.25">
      <c r="H1143" t="s">
        <v>7420</v>
      </c>
    </row>
    <row r="1144" spans="8:8" x14ac:dyDescent="0.25">
      <c r="H1144" t="s">
        <v>7345</v>
      </c>
    </row>
    <row r="1145" spans="8:8" x14ac:dyDescent="0.25">
      <c r="H1145" t="s">
        <v>7346</v>
      </c>
    </row>
    <row r="1146" spans="8:8" x14ac:dyDescent="0.25">
      <c r="H1146" t="s">
        <v>7347</v>
      </c>
    </row>
    <row r="1147" spans="8:8" x14ac:dyDescent="0.25">
      <c r="H1147" t="s">
        <v>7348</v>
      </c>
    </row>
    <row r="1148" spans="8:8" x14ac:dyDescent="0.25">
      <c r="H1148" t="s">
        <v>7349</v>
      </c>
    </row>
    <row r="1149" spans="8:8" x14ac:dyDescent="0.25">
      <c r="H1149" t="s">
        <v>7350</v>
      </c>
    </row>
    <row r="1150" spans="8:8" x14ac:dyDescent="0.25">
      <c r="H1150" t="s">
        <v>7351</v>
      </c>
    </row>
    <row r="1151" spans="8:8" x14ac:dyDescent="0.25">
      <c r="H1151" t="s">
        <v>7352</v>
      </c>
    </row>
    <row r="1152" spans="8:8" x14ac:dyDescent="0.25">
      <c r="H1152" t="s">
        <v>7353</v>
      </c>
    </row>
    <row r="1153" spans="8:8" x14ac:dyDescent="0.25">
      <c r="H1153" t="s">
        <v>7354</v>
      </c>
    </row>
    <row r="1154" spans="8:8" x14ac:dyDescent="0.25">
      <c r="H1154" t="s">
        <v>7355</v>
      </c>
    </row>
    <row r="1155" spans="8:8" x14ac:dyDescent="0.25">
      <c r="H1155" t="s">
        <v>7132</v>
      </c>
    </row>
    <row r="1156" spans="8:8" x14ac:dyDescent="0.25">
      <c r="H1156" t="s">
        <v>7131</v>
      </c>
    </row>
    <row r="1157" spans="8:8" x14ac:dyDescent="0.25">
      <c r="H1157" t="s">
        <v>7356</v>
      </c>
    </row>
    <row r="1158" spans="8:8" x14ac:dyDescent="0.25">
      <c r="H1158" t="s">
        <v>7357</v>
      </c>
    </row>
    <row r="1159" spans="8:8" x14ac:dyDescent="0.25">
      <c r="H1159" t="s">
        <v>7358</v>
      </c>
    </row>
    <row r="1160" spans="8:8" x14ac:dyDescent="0.25">
      <c r="H1160" t="s">
        <v>7359</v>
      </c>
    </row>
    <row r="1161" spans="8:8" x14ac:dyDescent="0.25">
      <c r="H1161" t="s">
        <v>7360</v>
      </c>
    </row>
    <row r="1162" spans="8:8" x14ac:dyDescent="0.25">
      <c r="H1162" t="s">
        <v>7361</v>
      </c>
    </row>
    <row r="1163" spans="8:8" x14ac:dyDescent="0.25">
      <c r="H1163" t="s">
        <v>7362</v>
      </c>
    </row>
    <row r="1164" spans="8:8" x14ac:dyDescent="0.25">
      <c r="H1164" t="s">
        <v>7363</v>
      </c>
    </row>
    <row r="1165" spans="8:8" x14ac:dyDescent="0.25">
      <c r="H1165" t="s">
        <v>7364</v>
      </c>
    </row>
    <row r="1166" spans="8:8" x14ac:dyDescent="0.25">
      <c r="H1166" t="s">
        <v>7365</v>
      </c>
    </row>
    <row r="1167" spans="8:8" x14ac:dyDescent="0.25">
      <c r="H1167" t="s">
        <v>7366</v>
      </c>
    </row>
    <row r="1168" spans="8:8" x14ac:dyDescent="0.25">
      <c r="H1168" t="s">
        <v>7367</v>
      </c>
    </row>
    <row r="1169" spans="8:8" x14ac:dyDescent="0.25">
      <c r="H1169" t="s">
        <v>7368</v>
      </c>
    </row>
    <row r="1170" spans="8:8" x14ac:dyDescent="0.25">
      <c r="H1170" t="s">
        <v>7369</v>
      </c>
    </row>
    <row r="1171" spans="8:8" x14ac:dyDescent="0.25">
      <c r="H1171" t="s">
        <v>7370</v>
      </c>
    </row>
    <row r="1172" spans="8:8" x14ac:dyDescent="0.25">
      <c r="H1172" t="s">
        <v>7371</v>
      </c>
    </row>
    <row r="1173" spans="8:8" x14ac:dyDescent="0.25">
      <c r="H1173" t="s">
        <v>7372</v>
      </c>
    </row>
    <row r="1174" spans="8:8" x14ac:dyDescent="0.25">
      <c r="H1174" t="s">
        <v>7373</v>
      </c>
    </row>
    <row r="1175" spans="8:8" x14ac:dyDescent="0.25">
      <c r="H1175" t="s">
        <v>7374</v>
      </c>
    </row>
    <row r="1176" spans="8:8" x14ac:dyDescent="0.25">
      <c r="H1176" t="s">
        <v>7375</v>
      </c>
    </row>
    <row r="1177" spans="8:8" x14ac:dyDescent="0.25">
      <c r="H1177" t="s">
        <v>7376</v>
      </c>
    </row>
    <row r="1178" spans="8:8" x14ac:dyDescent="0.25">
      <c r="H1178" t="s">
        <v>7377</v>
      </c>
    </row>
    <row r="1179" spans="8:8" x14ac:dyDescent="0.25">
      <c r="H1179" t="s">
        <v>7378</v>
      </c>
    </row>
    <row r="1180" spans="8:8" x14ac:dyDescent="0.25">
      <c r="H1180" t="s">
        <v>7379</v>
      </c>
    </row>
    <row r="1181" spans="8:8" x14ac:dyDescent="0.25">
      <c r="H1181" t="s">
        <v>7380</v>
      </c>
    </row>
    <row r="1182" spans="8:8" x14ac:dyDescent="0.25">
      <c r="H1182" t="s">
        <v>7381</v>
      </c>
    </row>
    <row r="1183" spans="8:8" x14ac:dyDescent="0.25">
      <c r="H1183" t="s">
        <v>7382</v>
      </c>
    </row>
    <row r="1184" spans="8:8" x14ac:dyDescent="0.25">
      <c r="H1184" t="s">
        <v>7383</v>
      </c>
    </row>
    <row r="1185" spans="8:8" x14ac:dyDescent="0.25">
      <c r="H1185" t="s">
        <v>7384</v>
      </c>
    </row>
    <row r="1186" spans="8:8" x14ac:dyDescent="0.25">
      <c r="H1186" t="s">
        <v>7385</v>
      </c>
    </row>
    <row r="1187" spans="8:8" x14ac:dyDescent="0.25">
      <c r="H1187" t="s">
        <v>7386</v>
      </c>
    </row>
    <row r="1188" spans="8:8" x14ac:dyDescent="0.25">
      <c r="H1188" t="s">
        <v>7387</v>
      </c>
    </row>
    <row r="1189" spans="8:8" x14ac:dyDescent="0.25">
      <c r="H1189" t="s">
        <v>7388</v>
      </c>
    </row>
    <row r="1190" spans="8:8" x14ac:dyDescent="0.25">
      <c r="H1190" t="s">
        <v>7389</v>
      </c>
    </row>
    <row r="1191" spans="8:8" x14ac:dyDescent="0.25">
      <c r="H1191" t="s">
        <v>7390</v>
      </c>
    </row>
    <row r="1192" spans="8:8" x14ac:dyDescent="0.25">
      <c r="H1192" t="s">
        <v>7391</v>
      </c>
    </row>
    <row r="1193" spans="8:8" x14ac:dyDescent="0.25">
      <c r="H1193" t="s">
        <v>7392</v>
      </c>
    </row>
    <row r="1194" spans="8:8" x14ac:dyDescent="0.25">
      <c r="H1194" t="s">
        <v>7393</v>
      </c>
    </row>
    <row r="1195" spans="8:8" x14ac:dyDescent="0.25">
      <c r="H1195" t="s">
        <v>7421</v>
      </c>
    </row>
    <row r="1197" spans="8:8" x14ac:dyDescent="0.25">
      <c r="H1197" t="s">
        <v>7422</v>
      </c>
    </row>
    <row r="1198" spans="8:8" x14ac:dyDescent="0.25">
      <c r="H1198" t="s">
        <v>7423</v>
      </c>
    </row>
    <row r="1199" spans="8:8" x14ac:dyDescent="0.25">
      <c r="H1199" t="s">
        <v>7424</v>
      </c>
    </row>
    <row r="1200" spans="8:8" x14ac:dyDescent="0.25">
      <c r="H1200" t="s">
        <v>7425</v>
      </c>
    </row>
    <row r="1202" spans="8:8" x14ac:dyDescent="0.25">
      <c r="H1202" t="s">
        <v>123</v>
      </c>
    </row>
    <row r="1203" spans="8:8" x14ac:dyDescent="0.25">
      <c r="H1203" t="s">
        <v>150</v>
      </c>
    </row>
    <row r="1204" spans="8:8" x14ac:dyDescent="0.25">
      <c r="H1204" t="s">
        <v>7426</v>
      </c>
    </row>
    <row r="1205" spans="8:8" x14ac:dyDescent="0.25">
      <c r="H1205" t="s">
        <v>7427</v>
      </c>
    </row>
    <row r="1206" spans="8:8" x14ac:dyDescent="0.25">
      <c r="H1206" t="s">
        <v>7428</v>
      </c>
    </row>
    <row r="1207" spans="8:8" x14ac:dyDescent="0.25">
      <c r="H1207" t="s">
        <v>7429</v>
      </c>
    </row>
    <row r="1208" spans="8:8" x14ac:dyDescent="0.25">
      <c r="H1208" t="s">
        <v>7430</v>
      </c>
    </row>
    <row r="1209" spans="8:8" x14ac:dyDescent="0.25">
      <c r="H1209" t="s">
        <v>7431</v>
      </c>
    </row>
    <row r="1210" spans="8:8" x14ac:dyDescent="0.25">
      <c r="H1210" t="s">
        <v>7432</v>
      </c>
    </row>
    <row r="1211" spans="8:8" x14ac:dyDescent="0.25">
      <c r="H1211" t="s">
        <v>7433</v>
      </c>
    </row>
    <row r="1212" spans="8:8" x14ac:dyDescent="0.25">
      <c r="H1212" t="s">
        <v>7434</v>
      </c>
    </row>
    <row r="1213" spans="8:8" x14ac:dyDescent="0.25">
      <c r="H1213" t="s">
        <v>7435</v>
      </c>
    </row>
    <row r="1214" spans="8:8" x14ac:dyDescent="0.25">
      <c r="H1214" t="s">
        <v>7436</v>
      </c>
    </row>
    <row r="1215" spans="8:8" x14ac:dyDescent="0.25">
      <c r="H1215" t="s">
        <v>7437</v>
      </c>
    </row>
    <row r="1216" spans="8:8" x14ac:dyDescent="0.25">
      <c r="H1216" t="s">
        <v>7438</v>
      </c>
    </row>
    <row r="1217" spans="8:8" x14ac:dyDescent="0.25">
      <c r="H1217" t="s">
        <v>7439</v>
      </c>
    </row>
    <row r="1218" spans="8:8" x14ac:dyDescent="0.25">
      <c r="H1218" t="s">
        <v>7440</v>
      </c>
    </row>
    <row r="1219" spans="8:8" x14ac:dyDescent="0.25">
      <c r="H1219" t="s">
        <v>7441</v>
      </c>
    </row>
    <row r="1220" spans="8:8" x14ac:dyDescent="0.25">
      <c r="H1220" t="s">
        <v>151</v>
      </c>
    </row>
    <row r="1221" spans="8:8" x14ac:dyDescent="0.25">
      <c r="H1221" s="7" t="s">
        <v>103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topLeftCell="A259" workbookViewId="0">
      <selection activeCell="B4" sqref="B4:AH1138"/>
    </sheetView>
  </sheetViews>
  <sheetFormatPr defaultRowHeight="15" x14ac:dyDescent="0.25"/>
  <sheetData/>
  <sortState xmlns:xlrd2="http://schemas.microsoft.com/office/spreadsheetml/2017/richdata2" ref="B4:AH113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2020-01-13T05:28:04Z</dcterms:modified>
</cp:coreProperties>
</file>