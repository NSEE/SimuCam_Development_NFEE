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05FDE9C3-DC74-4AFE-9A90-7AFC910DA14D}" xr6:coauthVersionLast="44" xr6:coauthVersionMax="44" xr10:uidLastSave="{00000000-0000-0000-0000-000000000000}"/>
  <bookViews>
    <workbookView xWindow="-108" yWindow="-108" windowWidth="23256" windowHeight="12576" activeTab="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" i="1" l="1"/>
  <c r="AI4" i="1" s="1"/>
  <c r="Z4" i="1"/>
  <c r="AH4" i="1" s="1"/>
  <c r="Y4" i="1" l="1"/>
  <c r="AD4" i="1"/>
  <c r="AE4" i="1"/>
  <c r="X4" i="1" l="1"/>
  <c r="AC4" i="1"/>
  <c r="AG4" i="1"/>
  <c r="AF4" i="1" l="1"/>
  <c r="AB4" i="1"/>
  <c r="Q84" i="1" l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85" i="1" l="1"/>
  <c r="Q86" i="1"/>
  <c r="Q87" i="1"/>
  <c r="Q5" i="1"/>
  <c r="Q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4" i="1" l="1"/>
  <c r="U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80" i="1" l="1"/>
  <c r="R78" i="1"/>
  <c r="R48" i="1"/>
  <c r="R30" i="1"/>
  <c r="R20" i="1"/>
  <c r="R10" i="1"/>
  <c r="R79" i="1"/>
  <c r="R77" i="1"/>
  <c r="R47" i="1"/>
  <c r="R29" i="1"/>
  <c r="R21" i="1"/>
  <c r="R70" i="1"/>
  <c r="R66" i="1"/>
  <c r="R64" i="1"/>
  <c r="R46" i="1"/>
  <c r="R22" i="1"/>
  <c r="R6" i="1"/>
  <c r="R71" i="1"/>
  <c r="R65" i="1"/>
  <c r="R63" i="1"/>
  <c r="R45" i="1"/>
  <c r="R4" i="1"/>
  <c r="R68" i="1"/>
  <c r="R62" i="1"/>
  <c r="R60" i="1"/>
  <c r="R58" i="1"/>
  <c r="R56" i="1"/>
  <c r="R54" i="1"/>
  <c r="R52" i="1"/>
  <c r="R50" i="1"/>
  <c r="R44" i="1"/>
  <c r="R42" i="1"/>
  <c r="R40" i="1"/>
  <c r="R38" i="1"/>
  <c r="R36" i="1"/>
  <c r="R34" i="1"/>
  <c r="R32" i="1"/>
  <c r="R28" i="1"/>
  <c r="R26" i="1"/>
  <c r="R24" i="1"/>
  <c r="R18" i="1"/>
  <c r="R16" i="1"/>
  <c r="R14" i="1"/>
  <c r="R12" i="1"/>
  <c r="R8" i="1"/>
  <c r="R69" i="1"/>
  <c r="R67" i="1"/>
  <c r="R61" i="1"/>
  <c r="R59" i="1"/>
  <c r="R57" i="1"/>
  <c r="R55" i="1"/>
  <c r="R53" i="1"/>
  <c r="R51" i="1"/>
  <c r="R49" i="1"/>
  <c r="R43" i="1"/>
  <c r="R41" i="1"/>
  <c r="R39" i="1"/>
  <c r="R37" i="1"/>
  <c r="R35" i="1"/>
  <c r="R33" i="1"/>
  <c r="R31" i="1"/>
  <c r="R27" i="1"/>
  <c r="R25" i="1"/>
  <c r="R23" i="1"/>
  <c r="R19" i="1"/>
  <c r="R17" i="1"/>
  <c r="R15" i="1"/>
  <c r="R13" i="1"/>
  <c r="R11" i="1"/>
  <c r="R9" i="1"/>
  <c r="R7" i="1"/>
  <c r="R5" i="1"/>
  <c r="R84" i="1"/>
  <c r="R82" i="1"/>
  <c r="R76" i="1"/>
  <c r="R74" i="1"/>
  <c r="R72" i="1"/>
  <c r="R83" i="1"/>
  <c r="R81" i="1"/>
  <c r="R75" i="1"/>
  <c r="R73" i="1"/>
  <c r="R85" i="1"/>
  <c r="R87" i="1"/>
  <c r="R86" i="1"/>
  <c r="S5" i="1" l="1"/>
  <c r="AA5" i="1" l="1"/>
  <c r="T5" i="1"/>
  <c r="U5" i="1" s="1"/>
  <c r="S6" i="1"/>
  <c r="V5" i="1"/>
  <c r="W5" i="1" s="1"/>
  <c r="AA6" i="1" l="1"/>
  <c r="T6" i="1"/>
  <c r="S7" i="1"/>
  <c r="Z6" i="1"/>
  <c r="AI5" i="1"/>
  <c r="AE5" i="1"/>
  <c r="Z5" i="1"/>
  <c r="AD6" i="1" l="1"/>
  <c r="AH6" i="1"/>
  <c r="AA7" i="1"/>
  <c r="Y7" i="1"/>
  <c r="Z7" i="1"/>
  <c r="S8" i="1"/>
  <c r="T7" i="1"/>
  <c r="U7" i="1" s="1"/>
  <c r="V6" i="1"/>
  <c r="W6" i="1" s="1"/>
  <c r="U6" i="1"/>
  <c r="AH5" i="1"/>
  <c r="AD5" i="1"/>
  <c r="Y5" i="1"/>
  <c r="Y6" i="1"/>
  <c r="AI6" i="1"/>
  <c r="AE6" i="1"/>
  <c r="AC7" i="1" l="1"/>
  <c r="AG7" i="1"/>
  <c r="X7" i="1"/>
  <c r="AE7" i="1"/>
  <c r="AI7" i="1"/>
  <c r="AG6" i="1"/>
  <c r="AC6" i="1"/>
  <c r="X6" i="1"/>
  <c r="AG5" i="1"/>
  <c r="AC5" i="1"/>
  <c r="X5" i="1"/>
  <c r="Z8" i="1"/>
  <c r="S9" i="1"/>
  <c r="AA8" i="1"/>
  <c r="T8" i="1"/>
  <c r="U8" i="1" s="1"/>
  <c r="V8" i="1"/>
  <c r="W8" i="1" s="1"/>
  <c r="V7" i="1"/>
  <c r="W7" i="1" s="1"/>
  <c r="AD7" i="1"/>
  <c r="AH7" i="1"/>
  <c r="AB5" i="1" l="1"/>
  <c r="AF5" i="1"/>
  <c r="AD8" i="1"/>
  <c r="AH8" i="1"/>
  <c r="Y8" i="1"/>
  <c r="AB6" i="1"/>
  <c r="AF6" i="1"/>
  <c r="AB7" i="1"/>
  <c r="AF7" i="1"/>
  <c r="AE8" i="1"/>
  <c r="AI8" i="1"/>
  <c r="S10" i="1"/>
  <c r="AA9" i="1"/>
  <c r="Z9" i="1"/>
  <c r="Y9" i="1"/>
  <c r="T9" i="1"/>
  <c r="U9" i="1" s="1"/>
  <c r="V9" i="1"/>
  <c r="W9" i="1" s="1"/>
  <c r="S11" i="1" l="1"/>
  <c r="AA10" i="1"/>
  <c r="Z10" i="1"/>
  <c r="Y10" i="1" s="1"/>
  <c r="T10" i="1"/>
  <c r="U10" i="1" s="1"/>
  <c r="V10" i="1"/>
  <c r="W10" i="1" s="1"/>
  <c r="AC9" i="1"/>
  <c r="AG9" i="1"/>
  <c r="AD9" i="1"/>
  <c r="AH9" i="1"/>
  <c r="X9" i="1"/>
  <c r="AE9" i="1"/>
  <c r="AI9" i="1"/>
  <c r="AC8" i="1"/>
  <c r="AG8" i="1"/>
  <c r="X8" i="1"/>
  <c r="AC10" i="1" l="1"/>
  <c r="AG10" i="1"/>
  <c r="X10" i="1"/>
  <c r="AF9" i="1"/>
  <c r="AB9" i="1"/>
  <c r="AH10" i="1"/>
  <c r="AD10" i="1"/>
  <c r="AI10" i="1"/>
  <c r="AE10" i="1"/>
  <c r="AB8" i="1"/>
  <c r="AF8" i="1"/>
  <c r="S12" i="1"/>
  <c r="AA11" i="1"/>
  <c r="Z11" i="1"/>
  <c r="T11" i="1"/>
  <c r="U11" i="1" s="1"/>
  <c r="S13" i="1" l="1"/>
  <c r="AA12" i="1"/>
  <c r="Z12" i="1" s="1"/>
  <c r="T12" i="1"/>
  <c r="U12" i="1" s="1"/>
  <c r="V12" i="1"/>
  <c r="W12" i="1" s="1"/>
  <c r="AD11" i="1"/>
  <c r="AH11" i="1"/>
  <c r="AB10" i="1"/>
  <c r="AF10" i="1"/>
  <c r="V11" i="1"/>
  <c r="W11" i="1" s="1"/>
  <c r="AE11" i="1"/>
  <c r="AI11" i="1"/>
  <c r="Y11" i="1"/>
  <c r="AD12" i="1" l="1"/>
  <c r="AH12" i="1"/>
  <c r="Y12" i="1"/>
  <c r="AC11" i="1"/>
  <c r="AG11" i="1"/>
  <c r="X11" i="1"/>
  <c r="AE12" i="1"/>
  <c r="AI12" i="1"/>
  <c r="S14" i="1"/>
  <c r="AA13" i="1"/>
  <c r="Z13" i="1"/>
  <c r="T13" i="1"/>
  <c r="U13" i="1" s="1"/>
  <c r="V13" i="1"/>
  <c r="W13" i="1" s="1"/>
  <c r="AD13" i="1" l="1"/>
  <c r="AH13" i="1"/>
  <c r="Y13" i="1"/>
  <c r="AC12" i="1"/>
  <c r="AG12" i="1"/>
  <c r="X12" i="1"/>
  <c r="AB11" i="1"/>
  <c r="AF11" i="1"/>
  <c r="AI13" i="1"/>
  <c r="AE13" i="1"/>
  <c r="S15" i="1"/>
  <c r="AA14" i="1"/>
  <c r="T14" i="1"/>
  <c r="U14" i="1" s="1"/>
  <c r="V14" i="1"/>
  <c r="W14" i="1" s="1"/>
  <c r="AI14" i="1" l="1"/>
  <c r="AE14" i="1"/>
  <c r="AC13" i="1"/>
  <c r="AG13" i="1"/>
  <c r="X13" i="1"/>
  <c r="AF12" i="1"/>
  <c r="AB12" i="1"/>
  <c r="S16" i="1"/>
  <c r="AA15" i="1"/>
  <c r="Z15" i="1"/>
  <c r="T15" i="1"/>
  <c r="U15" i="1" s="1"/>
  <c r="V15" i="1"/>
  <c r="W15" i="1" s="1"/>
  <c r="Z14" i="1"/>
  <c r="S17" i="1" l="1"/>
  <c r="AA16" i="1"/>
  <c r="T16" i="1"/>
  <c r="U16" i="1" s="1"/>
  <c r="AD15" i="1"/>
  <c r="AH15" i="1"/>
  <c r="Y15" i="1"/>
  <c r="AD14" i="1"/>
  <c r="AH14" i="1"/>
  <c r="Y14" i="1"/>
  <c r="AE15" i="1"/>
  <c r="AI15" i="1"/>
  <c r="AB13" i="1"/>
  <c r="AF13" i="1"/>
  <c r="AC15" i="1" l="1"/>
  <c r="AG15" i="1"/>
  <c r="X15" i="1"/>
  <c r="V16" i="1"/>
  <c r="W16" i="1" s="1"/>
  <c r="AE16" i="1"/>
  <c r="AI16" i="1"/>
  <c r="Z16" i="1"/>
  <c r="AC14" i="1"/>
  <c r="AG14" i="1"/>
  <c r="X14" i="1"/>
  <c r="S18" i="1"/>
  <c r="AA17" i="1"/>
  <c r="T17" i="1"/>
  <c r="U17" i="1" s="1"/>
  <c r="AE17" i="1" l="1"/>
  <c r="AI17" i="1"/>
  <c r="AB15" i="1"/>
  <c r="AF15" i="1"/>
  <c r="S19" i="1"/>
  <c r="AA18" i="1"/>
  <c r="Z18" i="1"/>
  <c r="Y18" i="1" s="1"/>
  <c r="T18" i="1"/>
  <c r="U18" i="1" s="1"/>
  <c r="V18" i="1"/>
  <c r="W18" i="1" s="1"/>
  <c r="AB14" i="1"/>
  <c r="AF14" i="1"/>
  <c r="AD16" i="1"/>
  <c r="AH16" i="1"/>
  <c r="Y16" i="1"/>
  <c r="V17" i="1"/>
  <c r="W17" i="1" s="1"/>
  <c r="Z17" i="1"/>
  <c r="AC18" i="1" l="1"/>
  <c r="AG18" i="1"/>
  <c r="X18" i="1"/>
  <c r="AG16" i="1"/>
  <c r="AC16" i="1"/>
  <c r="X16" i="1"/>
  <c r="AD18" i="1"/>
  <c r="AH18" i="1"/>
  <c r="AH17" i="1"/>
  <c r="AD17" i="1"/>
  <c r="Y17" i="1"/>
  <c r="AI18" i="1"/>
  <c r="AE18" i="1"/>
  <c r="S20" i="1"/>
  <c r="AA19" i="1"/>
  <c r="Z19" i="1" s="1"/>
  <c r="T19" i="1"/>
  <c r="U19" i="1" s="1"/>
  <c r="V19" i="1"/>
  <c r="W19" i="1" s="1"/>
  <c r="AH19" i="1" l="1"/>
  <c r="AD19" i="1"/>
  <c r="Y19" i="1"/>
  <c r="AG17" i="1"/>
  <c r="AC17" i="1"/>
  <c r="X17" i="1"/>
  <c r="AF18" i="1"/>
  <c r="AB18" i="1"/>
  <c r="AB16" i="1"/>
  <c r="AF16" i="1"/>
  <c r="AI19" i="1"/>
  <c r="AE19" i="1"/>
  <c r="S21" i="1"/>
  <c r="AA20" i="1"/>
  <c r="Z20" i="1"/>
  <c r="Y20" i="1" s="1"/>
  <c r="T20" i="1"/>
  <c r="U20" i="1" s="1"/>
  <c r="V20" i="1"/>
  <c r="W20" i="1" s="1"/>
  <c r="AG20" i="1" l="1"/>
  <c r="AC20" i="1"/>
  <c r="X20" i="1"/>
  <c r="AD20" i="1"/>
  <c r="AH20" i="1"/>
  <c r="AC19" i="1"/>
  <c r="AG19" i="1"/>
  <c r="X19" i="1"/>
  <c r="AE20" i="1"/>
  <c r="AI20" i="1"/>
  <c r="AB17" i="1"/>
  <c r="AF17" i="1"/>
  <c r="S22" i="1"/>
  <c r="AA21" i="1"/>
  <c r="Z21" i="1"/>
  <c r="Y21" i="1" s="1"/>
  <c r="T21" i="1"/>
  <c r="U21" i="1" s="1"/>
  <c r="V21" i="1"/>
  <c r="W21" i="1" s="1"/>
  <c r="AC21" i="1" l="1"/>
  <c r="AG21" i="1"/>
  <c r="X21" i="1"/>
  <c r="AB19" i="1"/>
  <c r="AF19" i="1"/>
  <c r="AB20" i="1"/>
  <c r="AF20" i="1"/>
  <c r="AD21" i="1"/>
  <c r="AH21" i="1"/>
  <c r="AE21" i="1"/>
  <c r="AI21" i="1"/>
  <c r="S23" i="1"/>
  <c r="AA22" i="1"/>
  <c r="Z22" i="1"/>
  <c r="Y22" i="1"/>
  <c r="X22" i="1"/>
  <c r="T22" i="1"/>
  <c r="U22" i="1" s="1"/>
  <c r="V22" i="1"/>
  <c r="W22" i="1" s="1"/>
  <c r="AB21" i="1" l="1"/>
  <c r="AF21" i="1"/>
  <c r="AC22" i="1"/>
  <c r="AG22" i="1"/>
  <c r="AD22" i="1"/>
  <c r="AH22" i="1"/>
  <c r="AF22" i="1"/>
  <c r="AB22" i="1"/>
  <c r="S24" i="1"/>
  <c r="AA23" i="1"/>
  <c r="T23" i="1"/>
  <c r="U23" i="1" s="1"/>
  <c r="AI22" i="1"/>
  <c r="AE22" i="1"/>
  <c r="Z23" i="1" l="1"/>
  <c r="AI23" i="1"/>
  <c r="AE23" i="1"/>
  <c r="V23" i="1"/>
  <c r="W23" i="1" s="1"/>
  <c r="S25" i="1"/>
  <c r="AA24" i="1"/>
  <c r="Z24" i="1"/>
  <c r="Y24" i="1"/>
  <c r="T24" i="1"/>
  <c r="U24" i="1" s="1"/>
  <c r="V24" i="1"/>
  <c r="W24" i="1" s="1"/>
  <c r="AG24" i="1" l="1"/>
  <c r="AC24" i="1"/>
  <c r="AD24" i="1"/>
  <c r="AH24" i="1"/>
  <c r="AI24" i="1"/>
  <c r="AE24" i="1"/>
  <c r="X24" i="1"/>
  <c r="S26" i="1"/>
  <c r="AA25" i="1"/>
  <c r="T25" i="1"/>
  <c r="U25" i="1" s="1"/>
  <c r="V25" i="1"/>
  <c r="W25" i="1" s="1"/>
  <c r="AH23" i="1"/>
  <c r="AD23" i="1"/>
  <c r="Y23" i="1"/>
  <c r="S27" i="1" l="1"/>
  <c r="AA26" i="1"/>
  <c r="Z26" i="1"/>
  <c r="Y26" i="1" s="1"/>
  <c r="T26" i="1"/>
  <c r="U26" i="1" s="1"/>
  <c r="V26" i="1"/>
  <c r="W26" i="1" s="1"/>
  <c r="AF24" i="1"/>
  <c r="AB24" i="1"/>
  <c r="Z25" i="1"/>
  <c r="AE25" i="1"/>
  <c r="AI25" i="1"/>
  <c r="X23" i="1"/>
  <c r="AG23" i="1"/>
  <c r="AC23" i="1"/>
  <c r="AG26" i="1" l="1"/>
  <c r="AC26" i="1"/>
  <c r="X26" i="1"/>
  <c r="AD26" i="1"/>
  <c r="AH26" i="1"/>
  <c r="AH25" i="1"/>
  <c r="AD25" i="1"/>
  <c r="Y25" i="1"/>
  <c r="AI26" i="1"/>
  <c r="AE26" i="1"/>
  <c r="AF23" i="1"/>
  <c r="AB23" i="1"/>
  <c r="S28" i="1"/>
  <c r="AA27" i="1"/>
  <c r="T27" i="1"/>
  <c r="U27" i="1" s="1"/>
  <c r="X25" i="1" l="1"/>
  <c r="AC25" i="1"/>
  <c r="AG25" i="1"/>
  <c r="AF26" i="1"/>
  <c r="AB26" i="1"/>
  <c r="Z27" i="1"/>
  <c r="AE27" i="1"/>
  <c r="AI27" i="1"/>
  <c r="V27" i="1"/>
  <c r="W27" i="1" s="1"/>
  <c r="S29" i="1"/>
  <c r="AA28" i="1"/>
  <c r="Z28" i="1"/>
  <c r="T28" i="1"/>
  <c r="U28" i="1" s="1"/>
  <c r="V28" i="1"/>
  <c r="W28" i="1" s="1"/>
  <c r="AD28" i="1" l="1"/>
  <c r="AH28" i="1"/>
  <c r="AE28" i="1"/>
  <c r="AI28" i="1"/>
  <c r="S30" i="1"/>
  <c r="AA29" i="1"/>
  <c r="T29" i="1"/>
  <c r="U29" i="1" s="1"/>
  <c r="AH27" i="1"/>
  <c r="AD27" i="1"/>
  <c r="Y27" i="1"/>
  <c r="Y28" i="1"/>
  <c r="AF25" i="1"/>
  <c r="AB25" i="1"/>
  <c r="X27" i="1" l="1"/>
  <c r="AG27" i="1"/>
  <c r="AC27" i="1"/>
  <c r="Z29" i="1"/>
  <c r="AE29" i="1"/>
  <c r="AI29" i="1"/>
  <c r="AG28" i="1"/>
  <c r="AC28" i="1"/>
  <c r="X28" i="1"/>
  <c r="V29" i="1"/>
  <c r="W29" i="1" s="1"/>
  <c r="S31" i="1"/>
  <c r="AA30" i="1"/>
  <c r="T30" i="1"/>
  <c r="U30" i="1" s="1"/>
  <c r="V30" i="1"/>
  <c r="W30" i="1" s="1"/>
  <c r="AI30" i="1" l="1"/>
  <c r="AE30" i="1"/>
  <c r="AH29" i="1"/>
  <c r="AD29" i="1"/>
  <c r="Y29" i="1"/>
  <c r="S32" i="1"/>
  <c r="Z31" i="1"/>
  <c r="AA31" i="1"/>
  <c r="T31" i="1"/>
  <c r="U31" i="1" s="1"/>
  <c r="AB28" i="1"/>
  <c r="AF28" i="1"/>
  <c r="AF27" i="1"/>
  <c r="AB27" i="1"/>
  <c r="V31" i="1" l="1"/>
  <c r="W31" i="1" s="1"/>
  <c r="AI31" i="1"/>
  <c r="AE31" i="1"/>
  <c r="AH31" i="1"/>
  <c r="AD31" i="1"/>
  <c r="S33" i="1"/>
  <c r="AA32" i="1"/>
  <c r="Z32" i="1"/>
  <c r="T32" i="1"/>
  <c r="U32" i="1" s="1"/>
  <c r="V32" i="1"/>
  <c r="W32" i="1" s="1"/>
  <c r="Y31" i="1"/>
  <c r="X29" i="1"/>
  <c r="AG29" i="1"/>
  <c r="AC29" i="1"/>
  <c r="AH32" i="1" l="1"/>
  <c r="AD32" i="1"/>
  <c r="AI32" i="1"/>
  <c r="AE32" i="1"/>
  <c r="AB29" i="1"/>
  <c r="AF29" i="1"/>
  <c r="Z30" i="1"/>
  <c r="Y30" i="1"/>
  <c r="S34" i="1"/>
  <c r="Z33" i="1"/>
  <c r="Y33" i="1"/>
  <c r="X33" i="1" s="1"/>
  <c r="AA33" i="1"/>
  <c r="T33" i="1"/>
  <c r="U33" i="1" s="1"/>
  <c r="V33" i="1"/>
  <c r="W33" i="1" s="1"/>
  <c r="AC31" i="1"/>
  <c r="AG31" i="1"/>
  <c r="X31" i="1"/>
  <c r="Y32" i="1"/>
  <c r="AB33" i="1" l="1"/>
  <c r="AF33" i="1"/>
  <c r="AG30" i="1"/>
  <c r="AC30" i="1"/>
  <c r="AH30" i="1"/>
  <c r="AD30" i="1"/>
  <c r="AG32" i="1"/>
  <c r="AC32" i="1"/>
  <c r="X32" i="1"/>
  <c r="S35" i="1"/>
  <c r="AA34" i="1"/>
  <c r="Z34" i="1"/>
  <c r="T34" i="1"/>
  <c r="U34" i="1" s="1"/>
  <c r="V34" i="1"/>
  <c r="W34" i="1" s="1"/>
  <c r="AC33" i="1"/>
  <c r="AG33" i="1"/>
  <c r="AB31" i="1"/>
  <c r="AF31" i="1"/>
  <c r="AH33" i="1"/>
  <c r="AD33" i="1"/>
  <c r="AI33" i="1"/>
  <c r="AE33" i="1"/>
  <c r="X30" i="1"/>
  <c r="AD34" i="1" l="1"/>
  <c r="AH34" i="1"/>
  <c r="AI34" i="1"/>
  <c r="AE34" i="1"/>
  <c r="S36" i="1"/>
  <c r="AA35" i="1"/>
  <c r="Z35" i="1"/>
  <c r="Y35" i="1"/>
  <c r="T35" i="1"/>
  <c r="U35" i="1" s="1"/>
  <c r="V35" i="1"/>
  <c r="W35" i="1" s="1"/>
  <c r="AB30" i="1"/>
  <c r="AF30" i="1"/>
  <c r="Y34" i="1"/>
  <c r="AF32" i="1"/>
  <c r="AB32" i="1"/>
  <c r="AC35" i="1" l="1"/>
  <c r="AG35" i="1"/>
  <c r="AD35" i="1"/>
  <c r="AH35" i="1"/>
  <c r="AG34" i="1"/>
  <c r="AC34" i="1"/>
  <c r="X34" i="1"/>
  <c r="AI35" i="1"/>
  <c r="AE35" i="1"/>
  <c r="X35" i="1"/>
  <c r="S37" i="1"/>
  <c r="AA36" i="1"/>
  <c r="Z36" i="1"/>
  <c r="Y36" i="1"/>
  <c r="T36" i="1"/>
  <c r="U36" i="1" s="1"/>
  <c r="V36" i="1"/>
  <c r="W36" i="1" s="1"/>
  <c r="AG36" i="1" l="1"/>
  <c r="AC36" i="1"/>
  <c r="AI36" i="1"/>
  <c r="AE36" i="1"/>
  <c r="X36" i="1"/>
  <c r="AF34" i="1"/>
  <c r="AB34" i="1"/>
  <c r="S38" i="1"/>
  <c r="AA37" i="1"/>
  <c r="Z37" i="1" s="1"/>
  <c r="T37" i="1"/>
  <c r="U37" i="1" s="1"/>
  <c r="V37" i="1"/>
  <c r="W37" i="1" s="1"/>
  <c r="AB35" i="1"/>
  <c r="AF35" i="1"/>
  <c r="AD36" i="1"/>
  <c r="AH36" i="1"/>
  <c r="AH37" i="1" l="1"/>
  <c r="AD37" i="1"/>
  <c r="Y37" i="1"/>
  <c r="S39" i="1"/>
  <c r="Z38" i="1"/>
  <c r="AA38" i="1"/>
  <c r="Y38" i="1"/>
  <c r="T38" i="1"/>
  <c r="U38" i="1" s="1"/>
  <c r="V38" i="1"/>
  <c r="W38" i="1" s="1"/>
  <c r="AI37" i="1"/>
  <c r="AE37" i="1"/>
  <c r="AF36" i="1"/>
  <c r="AB36" i="1"/>
  <c r="S40" i="1" l="1"/>
  <c r="AA39" i="1"/>
  <c r="Z39" i="1"/>
  <c r="Y39" i="1" s="1"/>
  <c r="T39" i="1"/>
  <c r="U39" i="1" s="1"/>
  <c r="V39" i="1"/>
  <c r="W39" i="1" s="1"/>
  <c r="AC37" i="1"/>
  <c r="AG37" i="1"/>
  <c r="X37" i="1"/>
  <c r="X38" i="1"/>
  <c r="AC38" i="1"/>
  <c r="AG38" i="1"/>
  <c r="AI38" i="1"/>
  <c r="AE38" i="1"/>
  <c r="AH38" i="1"/>
  <c r="AD38" i="1"/>
  <c r="AG39" i="1" l="1"/>
  <c r="AC39" i="1"/>
  <c r="X39" i="1"/>
  <c r="AD39" i="1"/>
  <c r="AH39" i="1"/>
  <c r="AB37" i="1"/>
  <c r="AF37" i="1"/>
  <c r="AI39" i="1"/>
  <c r="AE39" i="1"/>
  <c r="AF38" i="1"/>
  <c r="AB38" i="1"/>
  <c r="S41" i="1"/>
  <c r="AA40" i="1"/>
  <c r="Z40" i="1"/>
  <c r="Y40" i="1"/>
  <c r="X40" i="1" s="1"/>
  <c r="T40" i="1"/>
  <c r="U40" i="1" s="1"/>
  <c r="V40" i="1"/>
  <c r="W40" i="1" s="1"/>
  <c r="AF40" i="1" l="1"/>
  <c r="AB40" i="1"/>
  <c r="S42" i="1"/>
  <c r="AA41" i="1"/>
  <c r="Z41" i="1"/>
  <c r="T41" i="1"/>
  <c r="U41" i="1" s="1"/>
  <c r="AC40" i="1"/>
  <c r="AG40" i="1"/>
  <c r="AF39" i="1"/>
  <c r="AB39" i="1"/>
  <c r="AH40" i="1"/>
  <c r="AD40" i="1"/>
  <c r="AI40" i="1"/>
  <c r="AE40" i="1"/>
  <c r="V41" i="1" l="1"/>
  <c r="W41" i="1" s="1"/>
  <c r="AI41" i="1"/>
  <c r="AE41" i="1"/>
  <c r="S43" i="1"/>
  <c r="AA42" i="1"/>
  <c r="Z42" i="1"/>
  <c r="Y42" i="1"/>
  <c r="X42" i="1" s="1"/>
  <c r="T42" i="1"/>
  <c r="U42" i="1" s="1"/>
  <c r="V42" i="1"/>
  <c r="W42" i="1" s="1"/>
  <c r="Y41" i="1"/>
  <c r="AD41" i="1"/>
  <c r="AH41" i="1"/>
  <c r="AB42" i="1" l="1"/>
  <c r="AF42" i="1"/>
  <c r="S44" i="1"/>
  <c r="AA43" i="1"/>
  <c r="T43" i="1"/>
  <c r="U43" i="1" s="1"/>
  <c r="AC42" i="1"/>
  <c r="AG42" i="1"/>
  <c r="AG41" i="1"/>
  <c r="AC41" i="1"/>
  <c r="X41" i="1"/>
  <c r="AH42" i="1"/>
  <c r="AD42" i="1"/>
  <c r="AI42" i="1"/>
  <c r="AE42" i="1"/>
  <c r="AI43" i="1" l="1"/>
  <c r="AE43" i="1"/>
  <c r="S45" i="1"/>
  <c r="Y44" i="1"/>
  <c r="AA44" i="1"/>
  <c r="Z44" i="1"/>
  <c r="T44" i="1"/>
  <c r="U44" i="1" s="1"/>
  <c r="V44" i="1"/>
  <c r="W44" i="1" s="1"/>
  <c r="AB41" i="1"/>
  <c r="AF41" i="1"/>
  <c r="V43" i="1"/>
  <c r="W43" i="1" s="1"/>
  <c r="Z43" i="1"/>
  <c r="X44" i="1" l="1"/>
  <c r="AG44" i="1"/>
  <c r="AC44" i="1"/>
  <c r="AD43" i="1"/>
  <c r="AH43" i="1"/>
  <c r="Y43" i="1"/>
  <c r="S46" i="1"/>
  <c r="AA45" i="1"/>
  <c r="Z45" i="1"/>
  <c r="Y45" i="1"/>
  <c r="X45" i="1" s="1"/>
  <c r="T45" i="1"/>
  <c r="U45" i="1" s="1"/>
  <c r="V45" i="1"/>
  <c r="W45" i="1" s="1"/>
  <c r="AD44" i="1"/>
  <c r="AH44" i="1"/>
  <c r="AI44" i="1"/>
  <c r="AE44" i="1"/>
  <c r="AF45" i="1" l="1"/>
  <c r="AB45" i="1"/>
  <c r="AI45" i="1"/>
  <c r="AE45" i="1"/>
  <c r="S47" i="1"/>
  <c r="AA46" i="1"/>
  <c r="Z46" i="1"/>
  <c r="T46" i="1"/>
  <c r="U46" i="1" s="1"/>
  <c r="AC45" i="1"/>
  <c r="AG45" i="1"/>
  <c r="AG43" i="1"/>
  <c r="AC43" i="1"/>
  <c r="X43" i="1"/>
  <c r="AD45" i="1"/>
  <c r="AH45" i="1"/>
  <c r="AF44" i="1"/>
  <c r="AB44" i="1"/>
  <c r="Y46" i="1" l="1"/>
  <c r="AD46" i="1"/>
  <c r="AH46" i="1"/>
  <c r="AI46" i="1"/>
  <c r="AE46" i="1"/>
  <c r="AB43" i="1"/>
  <c r="AF43" i="1"/>
  <c r="V46" i="1"/>
  <c r="W46" i="1" s="1"/>
  <c r="S48" i="1"/>
  <c r="AA47" i="1"/>
  <c r="Z47" i="1"/>
  <c r="Y47" i="1"/>
  <c r="T47" i="1"/>
  <c r="U47" i="1" s="1"/>
  <c r="V47" i="1"/>
  <c r="W47" i="1" s="1"/>
  <c r="AC47" i="1" l="1"/>
  <c r="AG47" i="1"/>
  <c r="AH47" i="1"/>
  <c r="AD47" i="1"/>
  <c r="AI47" i="1"/>
  <c r="AE47" i="1"/>
  <c r="X47" i="1"/>
  <c r="S49" i="1"/>
  <c r="AA48" i="1"/>
  <c r="Z48" i="1"/>
  <c r="Y48" i="1"/>
  <c r="X48" i="1" s="1"/>
  <c r="T48" i="1"/>
  <c r="U48" i="1" s="1"/>
  <c r="V48" i="1"/>
  <c r="W48" i="1" s="1"/>
  <c r="AG46" i="1"/>
  <c r="AC46" i="1"/>
  <c r="X46" i="1"/>
  <c r="AF48" i="1" l="1"/>
  <c r="AB48" i="1"/>
  <c r="S50" i="1"/>
  <c r="AA49" i="1"/>
  <c r="T49" i="1"/>
  <c r="U49" i="1" s="1"/>
  <c r="AG48" i="1"/>
  <c r="AC48" i="1"/>
  <c r="AB47" i="1"/>
  <c r="AF47" i="1"/>
  <c r="AD48" i="1"/>
  <c r="AH48" i="1"/>
  <c r="AB46" i="1"/>
  <c r="AF46" i="1"/>
  <c r="AI48" i="1"/>
  <c r="AE48" i="1"/>
  <c r="AI49" i="1" l="1"/>
  <c r="AE49" i="1"/>
  <c r="S51" i="1"/>
  <c r="AA50" i="1"/>
  <c r="Z50" i="1"/>
  <c r="Y50" i="1"/>
  <c r="X50" i="1"/>
  <c r="T50" i="1"/>
  <c r="U50" i="1" s="1"/>
  <c r="V50" i="1"/>
  <c r="W50" i="1" s="1"/>
  <c r="V49" i="1"/>
  <c r="W49" i="1" s="1"/>
  <c r="Z49" i="1"/>
  <c r="AD49" i="1" l="1"/>
  <c r="AH49" i="1"/>
  <c r="Y49" i="1"/>
  <c r="AI50" i="1"/>
  <c r="AE50" i="1"/>
  <c r="AB50" i="1"/>
  <c r="AF50" i="1"/>
  <c r="S52" i="1"/>
  <c r="AA51" i="1"/>
  <c r="Z51" i="1"/>
  <c r="T51" i="1"/>
  <c r="U51" i="1" s="1"/>
  <c r="AG50" i="1"/>
  <c r="AC50" i="1"/>
  <c r="AH50" i="1"/>
  <c r="AD50" i="1"/>
  <c r="S53" i="1" l="1"/>
  <c r="Z52" i="1"/>
  <c r="Y52" i="1" s="1"/>
  <c r="AA52" i="1"/>
  <c r="T52" i="1"/>
  <c r="U52" i="1" s="1"/>
  <c r="AG49" i="1"/>
  <c r="AC49" i="1"/>
  <c r="X49" i="1"/>
  <c r="Y51" i="1"/>
  <c r="AD51" i="1"/>
  <c r="AH51" i="1"/>
  <c r="V51" i="1"/>
  <c r="W51" i="1" s="1"/>
  <c r="AI51" i="1"/>
  <c r="AE51" i="1"/>
  <c r="AG52" i="1" l="1"/>
  <c r="AC52" i="1"/>
  <c r="X52" i="1"/>
  <c r="AF49" i="1"/>
  <c r="AB49" i="1"/>
  <c r="AG51" i="1"/>
  <c r="AC51" i="1"/>
  <c r="X51" i="1"/>
  <c r="V52" i="1"/>
  <c r="W52" i="1" s="1"/>
  <c r="AI52" i="1"/>
  <c r="AE52" i="1"/>
  <c r="AD52" i="1"/>
  <c r="AH52" i="1"/>
  <c r="S54" i="1"/>
  <c r="AA53" i="1"/>
  <c r="Z53" i="1"/>
  <c r="Y53" i="1"/>
  <c r="X53" i="1" s="1"/>
  <c r="T53" i="1"/>
  <c r="U53" i="1" s="1"/>
  <c r="V53" i="1"/>
  <c r="W53" i="1" s="1"/>
  <c r="AB53" i="1" l="1"/>
  <c r="AF53" i="1"/>
  <c r="AH53" i="1"/>
  <c r="AD53" i="1"/>
  <c r="AF51" i="1"/>
  <c r="AB51" i="1"/>
  <c r="AI53" i="1"/>
  <c r="AE53" i="1"/>
  <c r="AB52" i="1"/>
  <c r="AF52" i="1"/>
  <c r="S55" i="1"/>
  <c r="AA54" i="1"/>
  <c r="T54" i="1"/>
  <c r="U54" i="1" s="1"/>
  <c r="V54" i="1"/>
  <c r="W54" i="1" s="1"/>
  <c r="AG53" i="1"/>
  <c r="AC53" i="1"/>
  <c r="AI54" i="1" l="1"/>
  <c r="AE54" i="1"/>
  <c r="S56" i="1"/>
  <c r="AA55" i="1"/>
  <c r="T55" i="1"/>
  <c r="U55" i="1" s="1"/>
  <c r="Z54" i="1"/>
  <c r="S57" i="1" l="1"/>
  <c r="AA56" i="1"/>
  <c r="Z56" i="1"/>
  <c r="T56" i="1"/>
  <c r="U56" i="1" s="1"/>
  <c r="AI55" i="1"/>
  <c r="AE55" i="1"/>
  <c r="Y54" i="1"/>
  <c r="AH54" i="1"/>
  <c r="AD54" i="1"/>
  <c r="V55" i="1"/>
  <c r="W55" i="1" s="1"/>
  <c r="Z55" i="1"/>
  <c r="AH55" i="1" l="1"/>
  <c r="AD55" i="1"/>
  <c r="Y55" i="1"/>
  <c r="Y56" i="1"/>
  <c r="AH56" i="1"/>
  <c r="AD56" i="1"/>
  <c r="V56" i="1"/>
  <c r="W56" i="1" s="1"/>
  <c r="AI56" i="1"/>
  <c r="AE56" i="1"/>
  <c r="AG54" i="1"/>
  <c r="AC54" i="1"/>
  <c r="X54" i="1"/>
  <c r="S58" i="1"/>
  <c r="AA57" i="1"/>
  <c r="Z57" i="1" s="1"/>
  <c r="T57" i="1"/>
  <c r="U57" i="1" s="1"/>
  <c r="V57" i="1"/>
  <c r="W57" i="1" s="1"/>
  <c r="AD57" i="1" l="1"/>
  <c r="AH57" i="1"/>
  <c r="Y57" i="1"/>
  <c r="AF54" i="1"/>
  <c r="AB54" i="1"/>
  <c r="AG55" i="1"/>
  <c r="AC55" i="1"/>
  <c r="X55" i="1"/>
  <c r="AG56" i="1"/>
  <c r="AC56" i="1"/>
  <c r="X56" i="1"/>
  <c r="AI57" i="1"/>
  <c r="AE57" i="1"/>
  <c r="S59" i="1"/>
  <c r="AA58" i="1"/>
  <c r="Z58" i="1"/>
  <c r="T58" i="1"/>
  <c r="U58" i="1" s="1"/>
  <c r="V58" i="1"/>
  <c r="W58" i="1" s="1"/>
  <c r="AF56" i="1" l="1"/>
  <c r="AB56" i="1"/>
  <c r="AG57" i="1"/>
  <c r="AC57" i="1"/>
  <c r="X57" i="1"/>
  <c r="AF55" i="1"/>
  <c r="AB55" i="1"/>
  <c r="AI58" i="1"/>
  <c r="AE58" i="1"/>
  <c r="AH58" i="1"/>
  <c r="AD58" i="1"/>
  <c r="S60" i="1"/>
  <c r="AA59" i="1"/>
  <c r="Z59" i="1" s="1"/>
  <c r="T59" i="1"/>
  <c r="U59" i="1" s="1"/>
  <c r="Y58" i="1"/>
  <c r="Y59" i="1" l="1"/>
  <c r="AD59" i="1"/>
  <c r="AH59" i="1"/>
  <c r="S61" i="1"/>
  <c r="AA60" i="1"/>
  <c r="Z60" i="1" s="1"/>
  <c r="T60" i="1"/>
  <c r="U60" i="1" s="1"/>
  <c r="AG58" i="1"/>
  <c r="AC58" i="1"/>
  <c r="X58" i="1"/>
  <c r="V59" i="1"/>
  <c r="W59" i="1" s="1"/>
  <c r="AI59" i="1"/>
  <c r="AE59" i="1"/>
  <c r="AB57" i="1"/>
  <c r="AF57" i="1"/>
  <c r="AH60" i="1" l="1"/>
  <c r="AD60" i="1"/>
  <c r="Y60" i="1"/>
  <c r="S62" i="1"/>
  <c r="AA61" i="1"/>
  <c r="Z61" i="1"/>
  <c r="Y61" i="1"/>
  <c r="X61" i="1"/>
  <c r="T61" i="1"/>
  <c r="U61" i="1" s="1"/>
  <c r="V61" i="1"/>
  <c r="W61" i="1" s="1"/>
  <c r="V60" i="1"/>
  <c r="W60" i="1" s="1"/>
  <c r="AF58" i="1"/>
  <c r="AB58" i="1"/>
  <c r="AI60" i="1"/>
  <c r="AE60" i="1"/>
  <c r="AG59" i="1"/>
  <c r="AC59" i="1"/>
  <c r="X59" i="1"/>
  <c r="AB61" i="1" l="1"/>
  <c r="AF61" i="1"/>
  <c r="AG61" i="1"/>
  <c r="AC61" i="1"/>
  <c r="AF59" i="1"/>
  <c r="AB59" i="1"/>
  <c r="S63" i="1"/>
  <c r="AA62" i="1"/>
  <c r="Z62" i="1"/>
  <c r="T62" i="1"/>
  <c r="U62" i="1" s="1"/>
  <c r="V62" i="1"/>
  <c r="W62" i="1" s="1"/>
  <c r="AC60" i="1"/>
  <c r="AG60" i="1"/>
  <c r="X60" i="1"/>
  <c r="AD61" i="1"/>
  <c r="AH61" i="1"/>
  <c r="AI61" i="1"/>
  <c r="AE61" i="1"/>
  <c r="AF60" i="1" l="1"/>
  <c r="AB60" i="1"/>
  <c r="S64" i="1"/>
  <c r="AA63" i="1"/>
  <c r="T63" i="1"/>
  <c r="U63" i="1" s="1"/>
  <c r="Y62" i="1"/>
  <c r="AD62" i="1"/>
  <c r="AH62" i="1"/>
  <c r="AI62" i="1"/>
  <c r="AE62" i="1"/>
  <c r="S65" i="1" l="1"/>
  <c r="AA64" i="1"/>
  <c r="Z64" i="1"/>
  <c r="Y64" i="1"/>
  <c r="T64" i="1"/>
  <c r="U64" i="1" s="1"/>
  <c r="V64" i="1"/>
  <c r="W64" i="1" s="1"/>
  <c r="AG62" i="1"/>
  <c r="AC62" i="1"/>
  <c r="X62" i="1"/>
  <c r="AI63" i="1"/>
  <c r="AE63" i="1"/>
  <c r="V63" i="1"/>
  <c r="W63" i="1" s="1"/>
  <c r="Z63" i="1"/>
  <c r="AG64" i="1" l="1"/>
  <c r="AC64" i="1"/>
  <c r="AH64" i="1"/>
  <c r="AD64" i="1"/>
  <c r="AB62" i="1"/>
  <c r="AF62" i="1"/>
  <c r="AI64" i="1"/>
  <c r="AE64" i="1"/>
  <c r="AH63" i="1"/>
  <c r="AD63" i="1"/>
  <c r="Y63" i="1"/>
  <c r="X64" i="1"/>
  <c r="S66" i="1"/>
  <c r="AA65" i="1"/>
  <c r="Z65" i="1"/>
  <c r="Y65" i="1"/>
  <c r="T65" i="1"/>
  <c r="U65" i="1" s="1"/>
  <c r="V65" i="1"/>
  <c r="W65" i="1" s="1"/>
  <c r="AG65" i="1" l="1"/>
  <c r="AC65" i="1"/>
  <c r="AH65" i="1"/>
  <c r="AD65" i="1"/>
  <c r="AG63" i="1"/>
  <c r="AC63" i="1"/>
  <c r="X63" i="1"/>
  <c r="AI65" i="1"/>
  <c r="AE65" i="1"/>
  <c r="AF64" i="1"/>
  <c r="AB64" i="1"/>
  <c r="X65" i="1"/>
  <c r="S67" i="1"/>
  <c r="AA66" i="1"/>
  <c r="Z66" i="1"/>
  <c r="Y66" i="1"/>
  <c r="T66" i="1"/>
  <c r="U66" i="1" s="1"/>
  <c r="V66" i="1"/>
  <c r="W66" i="1" s="1"/>
  <c r="AH66" i="1" l="1"/>
  <c r="AD66" i="1"/>
  <c r="AF63" i="1"/>
  <c r="AB63" i="1"/>
  <c r="AI66" i="1"/>
  <c r="AE66" i="1"/>
  <c r="AC66" i="1"/>
  <c r="AG66" i="1"/>
  <c r="AB65" i="1"/>
  <c r="AF65" i="1"/>
  <c r="X66" i="1"/>
  <c r="S68" i="1"/>
  <c r="AA67" i="1"/>
  <c r="Z67" i="1"/>
  <c r="Y67" i="1"/>
  <c r="X67" i="1"/>
  <c r="T67" i="1"/>
  <c r="U67" i="1" s="1"/>
  <c r="V67" i="1"/>
  <c r="W67" i="1" s="1"/>
  <c r="AB66" i="1" l="1"/>
  <c r="AF66" i="1"/>
  <c r="AF67" i="1"/>
  <c r="AB67" i="1"/>
  <c r="S69" i="1"/>
  <c r="Z68" i="1"/>
  <c r="Y68" i="1" s="1"/>
  <c r="AA68" i="1"/>
  <c r="T68" i="1"/>
  <c r="U68" i="1" s="1"/>
  <c r="AG67" i="1"/>
  <c r="AC67" i="1"/>
  <c r="AH67" i="1"/>
  <c r="AD67" i="1"/>
  <c r="AI67" i="1"/>
  <c r="AE67" i="1"/>
  <c r="AC68" i="1" l="1"/>
  <c r="AG68" i="1"/>
  <c r="X68" i="1"/>
  <c r="V68" i="1"/>
  <c r="W68" i="1" s="1"/>
  <c r="AI68" i="1"/>
  <c r="AE68" i="1"/>
  <c r="AH68" i="1"/>
  <c r="AD68" i="1"/>
  <c r="S70" i="1"/>
  <c r="AA69" i="1"/>
  <c r="T69" i="1"/>
  <c r="U69" i="1" s="1"/>
  <c r="V69" i="1"/>
  <c r="W69" i="1" s="1"/>
  <c r="AI69" i="1" l="1"/>
  <c r="AE69" i="1"/>
  <c r="AB68" i="1"/>
  <c r="AF68" i="1"/>
  <c r="Z69" i="1"/>
  <c r="S71" i="1"/>
  <c r="AA70" i="1"/>
  <c r="Z70" i="1"/>
  <c r="T70" i="1"/>
  <c r="U70" i="1" s="1"/>
  <c r="V70" i="1"/>
  <c r="W70" i="1" s="1"/>
  <c r="AI70" i="1" l="1"/>
  <c r="AE70" i="1"/>
  <c r="S72" i="1"/>
  <c r="AA71" i="1"/>
  <c r="T71" i="1"/>
  <c r="U71" i="1" s="1"/>
  <c r="AH70" i="1"/>
  <c r="AD70" i="1"/>
  <c r="Y70" i="1"/>
  <c r="AH69" i="1"/>
  <c r="AD69" i="1"/>
  <c r="Y69" i="1"/>
  <c r="S73" i="1" l="1"/>
  <c r="AA72" i="1"/>
  <c r="Z72" i="1"/>
  <c r="Y72" i="1"/>
  <c r="T72" i="1"/>
  <c r="U72" i="1" s="1"/>
  <c r="V72" i="1"/>
  <c r="W72" i="1" s="1"/>
  <c r="AI71" i="1"/>
  <c r="AE71" i="1"/>
  <c r="AC69" i="1"/>
  <c r="AG69" i="1"/>
  <c r="X69" i="1"/>
  <c r="AC70" i="1"/>
  <c r="AG70" i="1"/>
  <c r="X70" i="1"/>
  <c r="V71" i="1"/>
  <c r="W71" i="1" s="1"/>
  <c r="Z71" i="1"/>
  <c r="AH71" i="1" l="1"/>
  <c r="AD71" i="1"/>
  <c r="Y71" i="1"/>
  <c r="AF69" i="1"/>
  <c r="AB69" i="1"/>
  <c r="AC72" i="1"/>
  <c r="AG72" i="1"/>
  <c r="AB70" i="1"/>
  <c r="AF70" i="1"/>
  <c r="AH72" i="1"/>
  <c r="AD72" i="1"/>
  <c r="AI72" i="1"/>
  <c r="AE72" i="1"/>
  <c r="X72" i="1"/>
  <c r="S74" i="1"/>
  <c r="AA73" i="1"/>
  <c r="T73" i="1"/>
  <c r="U73" i="1" s="1"/>
  <c r="V73" i="1"/>
  <c r="W73" i="1" s="1"/>
  <c r="S75" i="1" l="1"/>
  <c r="AA74" i="1"/>
  <c r="Z74" i="1"/>
  <c r="Y74" i="1"/>
  <c r="T74" i="1"/>
  <c r="U74" i="1" s="1"/>
  <c r="V74" i="1"/>
  <c r="W74" i="1" s="1"/>
  <c r="AF72" i="1"/>
  <c r="AB72" i="1"/>
  <c r="AI73" i="1"/>
  <c r="AE73" i="1"/>
  <c r="AG71" i="1"/>
  <c r="AC71" i="1"/>
  <c r="X71" i="1"/>
  <c r="Z73" i="1"/>
  <c r="AG74" i="1" l="1"/>
  <c r="AC74" i="1"/>
  <c r="Y73" i="1"/>
  <c r="AH73" i="1"/>
  <c r="AD73" i="1"/>
  <c r="AH74" i="1"/>
  <c r="AD74" i="1"/>
  <c r="AB71" i="1"/>
  <c r="AF71" i="1"/>
  <c r="AI74" i="1"/>
  <c r="AE74" i="1"/>
  <c r="X74" i="1"/>
  <c r="Z75" i="1" s="1"/>
  <c r="S76" i="1"/>
  <c r="AA75" i="1"/>
  <c r="T75" i="1"/>
  <c r="U75" i="1" s="1"/>
  <c r="V75" i="1"/>
  <c r="W75" i="1" s="1"/>
  <c r="AD75" i="1" l="1"/>
  <c r="AH75" i="1"/>
  <c r="AF74" i="1"/>
  <c r="AB74" i="1"/>
  <c r="AC73" i="1"/>
  <c r="AG73" i="1"/>
  <c r="X73" i="1"/>
  <c r="AI75" i="1"/>
  <c r="AE75" i="1"/>
  <c r="Y75" i="1"/>
  <c r="S77" i="1"/>
  <c r="AA76" i="1"/>
  <c r="T76" i="1"/>
  <c r="U76" i="1" s="1"/>
  <c r="S78" i="1" l="1"/>
  <c r="AA77" i="1"/>
  <c r="T77" i="1"/>
  <c r="U77" i="1" s="1"/>
  <c r="AI76" i="1"/>
  <c r="AE76" i="1"/>
  <c r="AF73" i="1"/>
  <c r="AB73" i="1"/>
  <c r="AG75" i="1"/>
  <c r="AC75" i="1"/>
  <c r="X75" i="1"/>
  <c r="V76" i="1"/>
  <c r="W76" i="1" s="1"/>
  <c r="Z76" i="1"/>
  <c r="V77" i="1" l="1"/>
  <c r="W77" i="1" s="1"/>
  <c r="AI77" i="1"/>
  <c r="AE77" i="1"/>
  <c r="AH76" i="1"/>
  <c r="AD76" i="1"/>
  <c r="Y76" i="1"/>
  <c r="AB75" i="1"/>
  <c r="AF75" i="1"/>
  <c r="S79" i="1"/>
  <c r="AA78" i="1"/>
  <c r="T78" i="1"/>
  <c r="U78" i="1" s="1"/>
  <c r="V78" i="1"/>
  <c r="W78" i="1" s="1"/>
  <c r="AI78" i="1" l="1"/>
  <c r="AE78" i="1"/>
  <c r="AG76" i="1"/>
  <c r="AC76" i="1"/>
  <c r="X76" i="1"/>
  <c r="S80" i="1"/>
  <c r="AA79" i="1"/>
  <c r="Z79" i="1"/>
  <c r="T79" i="1"/>
  <c r="U79" i="1" s="1"/>
  <c r="V79" i="1"/>
  <c r="W79" i="1" s="1"/>
  <c r="AH79" i="1" l="1"/>
  <c r="AD79" i="1"/>
  <c r="S81" i="1"/>
  <c r="AA80" i="1"/>
  <c r="T80" i="1"/>
  <c r="U80" i="1" s="1"/>
  <c r="V80" i="1"/>
  <c r="W80" i="1" s="1"/>
  <c r="AI79" i="1"/>
  <c r="AE79" i="1"/>
  <c r="Y79" i="1"/>
  <c r="AB76" i="1"/>
  <c r="AF76" i="1"/>
  <c r="Z77" i="1"/>
  <c r="Y77" i="1"/>
  <c r="AG77" i="1" l="1"/>
  <c r="AC77" i="1"/>
  <c r="S82" i="1"/>
  <c r="AA81" i="1"/>
  <c r="T81" i="1"/>
  <c r="U81" i="1" s="1"/>
  <c r="V81" i="1"/>
  <c r="W81" i="1" s="1"/>
  <c r="AH77" i="1"/>
  <c r="AD77" i="1"/>
  <c r="AG79" i="1"/>
  <c r="AC79" i="1"/>
  <c r="X79" i="1"/>
  <c r="AI80" i="1"/>
  <c r="AE80" i="1"/>
  <c r="X77" i="1"/>
  <c r="AF77" i="1" l="1"/>
  <c r="AB77" i="1"/>
  <c r="Y78" i="1"/>
  <c r="Z78" i="1"/>
  <c r="S83" i="1"/>
  <c r="AA82" i="1"/>
  <c r="Z82" i="1"/>
  <c r="Y82" i="1"/>
  <c r="T82" i="1"/>
  <c r="U82" i="1" s="1"/>
  <c r="V82" i="1"/>
  <c r="W82" i="1" s="1"/>
  <c r="AI81" i="1"/>
  <c r="AE81" i="1"/>
  <c r="AF79" i="1"/>
  <c r="AB79" i="1"/>
  <c r="Z80" i="1"/>
  <c r="AG82" i="1" l="1"/>
  <c r="AC82" i="1"/>
  <c r="AH78" i="1"/>
  <c r="AD78" i="1"/>
  <c r="X78" i="1"/>
  <c r="AG78" i="1"/>
  <c r="AC78" i="1"/>
  <c r="Y80" i="1"/>
  <c r="AH80" i="1"/>
  <c r="AD80" i="1"/>
  <c r="AH82" i="1"/>
  <c r="AD82" i="1"/>
  <c r="AI82" i="1"/>
  <c r="AE82" i="1"/>
  <c r="X82" i="1"/>
  <c r="Z83" i="1" s="1"/>
  <c r="S84" i="1"/>
  <c r="AA83" i="1"/>
  <c r="T83" i="1"/>
  <c r="U83" i="1" s="1"/>
  <c r="V83" i="1"/>
  <c r="W83" i="1" s="1"/>
  <c r="AH83" i="1" l="1"/>
  <c r="AD83" i="1"/>
  <c r="Y83" i="1"/>
  <c r="X80" i="1"/>
  <c r="AC80" i="1"/>
  <c r="AG80" i="1"/>
  <c r="S85" i="1"/>
  <c r="AA84" i="1"/>
  <c r="T84" i="1"/>
  <c r="U84" i="1" s="1"/>
  <c r="AB82" i="1"/>
  <c r="AF82" i="1"/>
  <c r="AI83" i="1"/>
  <c r="AE83" i="1"/>
  <c r="AF78" i="1"/>
  <c r="AB78" i="1"/>
  <c r="AI84" i="1" l="1"/>
  <c r="AE84" i="1"/>
  <c r="X83" i="1"/>
  <c r="AC83" i="1"/>
  <c r="AG83" i="1"/>
  <c r="AB80" i="1"/>
  <c r="AF80" i="1"/>
  <c r="Z81" i="1"/>
  <c r="S86" i="1"/>
  <c r="AA85" i="1"/>
  <c r="T85" i="1"/>
  <c r="U85" i="1" s="1"/>
  <c r="V85" i="1"/>
  <c r="W85" i="1" s="1"/>
  <c r="V84" i="1"/>
  <c r="W84" i="1" s="1"/>
  <c r="Z84" i="1"/>
  <c r="AH84" i="1" l="1"/>
  <c r="AD84" i="1"/>
  <c r="Y84" i="1"/>
  <c r="AF83" i="1"/>
  <c r="AB83" i="1"/>
  <c r="Y81" i="1"/>
  <c r="AD81" i="1"/>
  <c r="AH81" i="1"/>
  <c r="AI85" i="1"/>
  <c r="AE85" i="1"/>
  <c r="S87" i="1"/>
  <c r="AA86" i="1"/>
  <c r="Z86" i="1"/>
  <c r="T86" i="1"/>
  <c r="U86" i="1" s="1"/>
  <c r="V86" i="1"/>
  <c r="W86" i="1" s="1"/>
  <c r="AH86" i="1" l="1"/>
  <c r="AD86" i="1"/>
  <c r="AA87" i="1"/>
  <c r="T87" i="1"/>
  <c r="U87" i="1" s="1"/>
  <c r="V87" i="1"/>
  <c r="W87" i="1" s="1"/>
  <c r="AG84" i="1"/>
  <c r="AC84" i="1"/>
  <c r="X84" i="1"/>
  <c r="AI86" i="1"/>
  <c r="AE86" i="1"/>
  <c r="Y86" i="1"/>
  <c r="X81" i="1"/>
  <c r="AG81" i="1"/>
  <c r="AC81" i="1"/>
  <c r="AB81" i="1" l="1"/>
  <c r="AF81" i="1"/>
  <c r="AI87" i="1"/>
  <c r="AE87" i="1"/>
  <c r="AF84" i="1"/>
  <c r="AB84" i="1"/>
  <c r="Z85" i="1"/>
  <c r="AG86" i="1"/>
  <c r="AC86" i="1"/>
  <c r="X86" i="1"/>
  <c r="Y85" i="1" l="1"/>
  <c r="AH85" i="1"/>
  <c r="AD85" i="1"/>
  <c r="AF86" i="1"/>
  <c r="AB86" i="1"/>
  <c r="Z87" i="1"/>
  <c r="AD87" i="1" l="1"/>
  <c r="AH87" i="1"/>
  <c r="Y87" i="1"/>
  <c r="X85" i="1"/>
  <c r="AC85" i="1"/>
  <c r="AG85" i="1"/>
  <c r="AF85" i="1" l="1"/>
  <c r="AB85" i="1"/>
  <c r="X87" i="1"/>
  <c r="AC87" i="1"/>
  <c r="AG87" i="1"/>
  <c r="AB87" i="1" l="1"/>
  <c r="AF87" i="1"/>
</calcChain>
</file>

<file path=xl/sharedStrings.xml><?xml version="1.0" encoding="utf-8"?>
<sst xmlns="http://schemas.openxmlformats.org/spreadsheetml/2006/main" count="2672" uniqueCount="1306">
  <si>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</si>
  <si>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</si>
  <si>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</si>
  <si>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</si>
  <si>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</si>
  <si>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</si>
  <si>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</si>
  <si>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</si>
  <si>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</si>
  <si>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</si>
  <si>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</si>
  <si>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</si>
  <si>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</si>
  <si>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</si>
  <si>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</si>
  <si>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</si>
  <si>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</si>
  <si>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</si>
  <si>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</si>
  <si>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</si>
  <si>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</si>
  <si>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</si>
  <si>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</si>
  <si>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</si>
  <si>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</si>
  <si>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</si>
  <si>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</si>
  <si>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</si>
  <si>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</si>
  <si>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</si>
  <si>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</si>
  <si>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</si>
  <si>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</si>
  <si>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</si>
  <si>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</si>
  <si>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</si>
  <si>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</si>
  <si>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</si>
  <si>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</si>
  <si>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</si>
  <si>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</si>
  <si>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</si>
  <si>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</si>
  <si>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</si>
  <si>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</si>
  <si>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</si>
  <si>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</si>
  <si>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</si>
  <si>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</si>
  <si>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</si>
  <si>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</si>
  <si>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</si>
  <si>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</si>
  <si>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</si>
  <si>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</si>
  <si>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</si>
  <si>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</si>
  <si>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</si>
  <si>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</si>
  <si>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</si>
  <si>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</si>
  <si>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</si>
  <si>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</si>
  <si>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</si>
  <si>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</si>
  <si>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</si>
  <si>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</si>
  <si>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</si>
  <si>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</si>
  <si>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</si>
  <si>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</si>
  <si>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</si>
  <si>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</si>
  <si>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</si>
  <si>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</si>
  <si>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</si>
  <si>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</si>
  <si>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</si>
  <si>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</si>
  <si>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</si>
  <si>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</si>
  <si>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</si>
  <si>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</si>
  <si>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</si>
  <si>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</si>
  <si>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</si>
  <si>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</si>
  <si>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</si>
  <si>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</si>
  <si>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</si>
  <si>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</si>
  <si>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</si>
  <si>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 xml:space="preserve">  when (16#35#) =&gt;</t>
  </si>
  <si>
    <t>Output Write Case</t>
  </si>
  <si>
    <t>-</t>
  </si>
  <si>
    <t>spw_lnkcfg_disconnect</t>
  </si>
  <si>
    <t>std_logic</t>
  </si>
  <si>
    <t>spw_lnkcfg_linkstart</t>
  </si>
  <si>
    <t>spw_lnkcfg_autostart</t>
  </si>
  <si>
    <t>spw_lnkcfg_txdivcnt</t>
  </si>
  <si>
    <t>spw_link_running</t>
  </si>
  <si>
    <t>spw_link_connecting</t>
  </si>
  <si>
    <t>spw_link_started</t>
  </si>
  <si>
    <t>spw_err_disconnect</t>
  </si>
  <si>
    <t>spw_err_parity</t>
  </si>
  <si>
    <t>spw_err_escape</t>
  </si>
  <si>
    <t>spw_err_credit</t>
  </si>
  <si>
    <t>t_comm_spw_timecode_wr_reg</t>
  </si>
  <si>
    <t>timecode_clear</t>
  </si>
  <si>
    <t>t_comm_spw_timecode_rd_reg</t>
  </si>
  <si>
    <t>timecode_time</t>
  </si>
  <si>
    <t>timecode_control</t>
  </si>
  <si>
    <t>fee_machine_clear</t>
  </si>
  <si>
    <t>fee_machine_stop</t>
  </si>
  <si>
    <t>fee_machine_start</t>
  </si>
  <si>
    <t>fee_right_machine_busy</t>
  </si>
  <si>
    <t>fee_left_machine_busy</t>
  </si>
  <si>
    <t>t_comm_rmap_codec_config_wr_reg</t>
  </si>
  <si>
    <t>rmap_target_logical_addr</t>
  </si>
  <si>
    <t>rmap_target_key</t>
  </si>
  <si>
    <t>t_comm_rmap_codec_status_rd_reg</t>
  </si>
  <si>
    <t>rmap_stat_command_received</t>
  </si>
  <si>
    <t>rmap_stat_write_requested</t>
  </si>
  <si>
    <t>rmap_stat_write_authorized</t>
  </si>
  <si>
    <t>rmap_stat_read_requested</t>
  </si>
  <si>
    <t>rmap_stat_read_authorized</t>
  </si>
  <si>
    <t>rmap_stat_reply_sended</t>
  </si>
  <si>
    <t>rmap_stat_discarded_package</t>
  </si>
  <si>
    <t>rmap_err_early_eop</t>
  </si>
  <si>
    <t>rmap_err_eep</t>
  </si>
  <si>
    <t>rmap_err_header_crc</t>
  </si>
  <si>
    <t>rmap_err_invalid_command_code</t>
  </si>
  <si>
    <t>rmap_err_too_much_data</t>
  </si>
  <si>
    <t>rmap_err_invalid_data_crc</t>
  </si>
  <si>
    <t>rmap_last_write_addr</t>
  </si>
  <si>
    <t>rmap_last_read_addr</t>
  </si>
  <si>
    <t>t_comm_data_packet_config_wr_reg</t>
  </si>
  <si>
    <t>data_pkt_ccd_x_size</t>
  </si>
  <si>
    <t>data_pkt_ccd_y_size</t>
  </si>
  <si>
    <t>data_pkt_data_y_size</t>
  </si>
  <si>
    <t>data_pkt_overscan_y_size</t>
  </si>
  <si>
    <t>data_pkt_packet_length</t>
  </si>
  <si>
    <t>data_pkt_logical_addr</t>
  </si>
  <si>
    <t>data_pkt_protocol_id</t>
  </si>
  <si>
    <t>data_pkt_fee_mode</t>
  </si>
  <si>
    <t>data_pkt_ccd_number</t>
  </si>
  <si>
    <t>t_comm_data_packet_header_rd_reg</t>
  </si>
  <si>
    <t>data_pkt_header_length</t>
  </si>
  <si>
    <t>data_pkt_header_frame_counter</t>
  </si>
  <si>
    <t>data_pkt_header_sequence_counter</t>
  </si>
  <si>
    <t>t_comm_data_packet_pixel_delay_wr_reg</t>
  </si>
  <si>
    <t>data_pkt_line_delay</t>
  </si>
  <si>
    <t>data_pkt_column_delay</t>
  </si>
  <si>
    <t>data_pkt_adc_delay</t>
  </si>
  <si>
    <t>t_comm_comm_irq_control_wr_reg</t>
  </si>
  <si>
    <t>comm_global_irq_en</t>
  </si>
  <si>
    <t>t_windowing_write_registers</t>
  </si>
  <si>
    <t>rmap_codec_config_reg</t>
  </si>
  <si>
    <t>data_packet_config_reg</t>
  </si>
  <si>
    <t>data_packet_pixel_delay_reg</t>
  </si>
  <si>
    <t>comm_irq_control_reg</t>
  </si>
  <si>
    <t>t_windowing_read_registers</t>
  </si>
  <si>
    <t>rmap_codec_status_reg</t>
  </si>
  <si>
    <t>data_packet_header_reg</t>
  </si>
  <si>
    <t>Field Type</t>
  </si>
  <si>
    <t>General Register Type</t>
  </si>
  <si>
    <t>fee_right_buffer_size</t>
  </si>
  <si>
    <t>fee_left_buffer_size</t>
  </si>
  <si>
    <t>RMAP Codec Config Register</t>
  </si>
  <si>
    <t>RMAP Codec Status Register</t>
  </si>
  <si>
    <t>Data Packet Config Register</t>
  </si>
  <si>
    <t>Data Packet Header Register</t>
  </si>
  <si>
    <t>Data Packet Pixel Delay Register</t>
  </si>
  <si>
    <t>Comm IRQ Control Register</t>
  </si>
  <si>
    <t>SpaceWire Link Config Disconnect</t>
  </si>
  <si>
    <t>SpaceWire Link Config Linkstart</t>
  </si>
  <si>
    <t>SpaceWire Link Config Autostart</t>
  </si>
  <si>
    <t>SpaceWire Link Config TxDivCnt</t>
  </si>
  <si>
    <t>SpaceWire Link Running</t>
  </si>
  <si>
    <t>SpaceWire Link Connecting</t>
  </si>
  <si>
    <t>SpaceWire Link Started</t>
  </si>
  <si>
    <t>SpaceWire Error Disconnect</t>
  </si>
  <si>
    <t>SpaceWire Error Parity</t>
  </si>
  <si>
    <t>SpaceWire Error Escape</t>
  </si>
  <si>
    <t>SpaceWire Error Credit</t>
  </si>
  <si>
    <t>SpaceWire Timecode Clear</t>
  </si>
  <si>
    <t>SpaceWire Timecode Time</t>
  </si>
  <si>
    <t>SpaceWire Timecode Control</t>
  </si>
  <si>
    <t>FEE Machine Clear</t>
  </si>
  <si>
    <t>FEE Machine Stop</t>
  </si>
  <si>
    <t>FEE Machine Start</t>
  </si>
  <si>
    <t>Windowing Right Buffer Size Config</t>
  </si>
  <si>
    <t>Windowing Left Buffer Size Config</t>
  </si>
  <si>
    <t>Windowing Right Buffer Empty</t>
  </si>
  <si>
    <t>Windowing Left Buffer Empty</t>
  </si>
  <si>
    <t>FEE Right Machine Busy</t>
  </si>
  <si>
    <t>FEE Left Machine Busy</t>
  </si>
  <si>
    <t>RMAP Target Logical Address</t>
  </si>
  <si>
    <t>RMAP Target Key</t>
  </si>
  <si>
    <t>RMAP Status Command Received</t>
  </si>
  <si>
    <t>RMAP Status Write Requested</t>
  </si>
  <si>
    <t>RMAP Status Write Authorized</t>
  </si>
  <si>
    <t>RMAP Status Read Requested</t>
  </si>
  <si>
    <t>RMAP Status Read Authorized</t>
  </si>
  <si>
    <t>RMAP Status Reply Sended</t>
  </si>
  <si>
    <t>RMAP Status Discarded Package</t>
  </si>
  <si>
    <t>RMAP Error Early EOP</t>
  </si>
  <si>
    <t>RMAP Error EEP</t>
  </si>
  <si>
    <t>RMAP Error Header CRC</t>
  </si>
  <si>
    <t>rmap_err_unused_packet_type</t>
  </si>
  <si>
    <t>RMAP Error Unused Packet Type</t>
  </si>
  <si>
    <t>RMAP Error Invalid Command Code</t>
  </si>
  <si>
    <t>RMAP Error Invalid Data CRC</t>
  </si>
  <si>
    <t>RMAP Error Too Much Data</t>
  </si>
  <si>
    <t>RMAP Last Write Address</t>
  </si>
  <si>
    <t>RMAP Last Read Address</t>
  </si>
  <si>
    <t>Data Packet CCD X Size</t>
  </si>
  <si>
    <t>Data Packet CCD Y Size</t>
  </si>
  <si>
    <t>Data Packet Data Y Size</t>
  </si>
  <si>
    <t>Data Packet Overscan Y Size</t>
  </si>
  <si>
    <t>Data Packet Packet Length</t>
  </si>
  <si>
    <t>Data Packet Logical Address</t>
  </si>
  <si>
    <t>Data Packet Protocol ID</t>
  </si>
  <si>
    <t>Data Packet FEE Mode</t>
  </si>
  <si>
    <t>Data Packet CCD Number</t>
  </si>
  <si>
    <t>Data Packet Header Length</t>
  </si>
  <si>
    <t>data_pkt_header_type</t>
  </si>
  <si>
    <t>Data Packet Header Type</t>
  </si>
  <si>
    <t>Data Packet Header Frame Counter</t>
  </si>
  <si>
    <t>Data Packet Header Sequence Counter</t>
  </si>
  <si>
    <t>Data Packet Line Delay</t>
  </si>
  <si>
    <t>Data Packet Column Delay</t>
  </si>
  <si>
    <t>Data Packet ADC Delay</t>
  </si>
  <si>
    <t>Comm Global IRQ Enable</t>
  </si>
  <si>
    <t>API C Struct</t>
  </si>
  <si>
    <t>API C Field</t>
  </si>
  <si>
    <t>API Field Type</t>
  </si>
  <si>
    <t>SpwcLinkConfig</t>
  </si>
  <si>
    <t>bAutostart</t>
  </si>
  <si>
    <t>bLinkStart</t>
  </si>
  <si>
    <t>bDisconnect</t>
  </si>
  <si>
    <t>ucTxDivCnt</t>
  </si>
  <si>
    <t>alt_u8</t>
  </si>
  <si>
    <t>SpwcLinkError</t>
  </si>
  <si>
    <t>bParity</t>
  </si>
  <si>
    <t>bEscape</t>
  </si>
  <si>
    <t>bCredit</t>
  </si>
  <si>
    <t>SpwcLinkStatus</t>
  </si>
  <si>
    <t>bStarted</t>
  </si>
  <si>
    <t>bConnecting</t>
  </si>
  <si>
    <t>bRunning</t>
  </si>
  <si>
    <t>ucControl</t>
  </si>
  <si>
    <t>RmapCodecConfig</t>
  </si>
  <si>
    <t>ucKey</t>
  </si>
  <si>
    <t>ucLogicalAddress</t>
  </si>
  <si>
    <t>RmapCodecStatus</t>
  </si>
  <si>
    <t>bCommandReceived</t>
  </si>
  <si>
    <t>bWriteRequested</t>
  </si>
  <si>
    <t>bWriteAuthorized</t>
  </si>
  <si>
    <t>bReadRequested</t>
  </si>
  <si>
    <t>bReadAuthorized</t>
  </si>
  <si>
    <t>bReplySended</t>
  </si>
  <si>
    <t>bDiscardedPackage</t>
  </si>
  <si>
    <t>RmapCodecError</t>
  </si>
  <si>
    <t>bEarlyEop</t>
  </si>
  <si>
    <t>bEep</t>
  </si>
  <si>
    <t>bHeaderCRC</t>
  </si>
  <si>
    <t>bUnusedPacketType</t>
  </si>
  <si>
    <t>bInvalidCommandCode</t>
  </si>
  <si>
    <t>bTooMuchData</t>
  </si>
  <si>
    <t>bInvalidDataCrc</t>
  </si>
  <si>
    <t>RmapIrqControl</t>
  </si>
  <si>
    <t>bWriteCmdEn</t>
  </si>
  <si>
    <t>RmapIrqFlag</t>
  </si>
  <si>
    <t>bWriteCmdFlag</t>
  </si>
  <si>
    <t>RmapMemConfigStat</t>
  </si>
  <si>
    <t>uliLastWriteAddress</t>
  </si>
  <si>
    <t>alt_u32</t>
  </si>
  <si>
    <t>uliLastReadAddress</t>
  </si>
  <si>
    <t>FeebIrqControl</t>
  </si>
  <si>
    <t>bLeftBufferEmptyEn</t>
  </si>
  <si>
    <t>bRightBufferEmptyEn</t>
  </si>
  <si>
    <t>FeebIrqFlag</t>
  </si>
  <si>
    <t>bLeftBufferEmpty0Flag</t>
  </si>
  <si>
    <t>bLeftBufferEmpty1Flag</t>
  </si>
  <si>
    <t>bRightBufferEmpty0Flag</t>
  </si>
  <si>
    <t>bRightBufferEmpty1Flag</t>
  </si>
  <si>
    <t>FeebBufferStatus</t>
  </si>
  <si>
    <t>bLeftBufferEmpty</t>
  </si>
  <si>
    <t>bRightBufferEmpty</t>
  </si>
  <si>
    <t>bLeftFeeBusy</t>
  </si>
  <si>
    <t>bRightFeeBusy</t>
  </si>
  <si>
    <t>ucLeftBufferSize</t>
  </si>
  <si>
    <t>ucRightBufferSize</t>
  </si>
  <si>
    <t>DpktDataPacketConfig</t>
  </si>
  <si>
    <t>usiCcdXSize</t>
  </si>
  <si>
    <t>alt_u16</t>
  </si>
  <si>
    <t>usiCcdYSize</t>
  </si>
  <si>
    <t>usiDataYSize</t>
  </si>
  <si>
    <t>usiOverscanYSize</t>
  </si>
  <si>
    <t>usiPacketLength</t>
  </si>
  <si>
    <t>ucFeeMode</t>
  </si>
  <si>
    <t>ucCcdNumber</t>
  </si>
  <si>
    <t>ucProtocolId</t>
  </si>
  <si>
    <t>ucLogicalAddr</t>
  </si>
  <si>
    <t>DpktDataPacketHeader</t>
  </si>
  <si>
    <t>usiLength</t>
  </si>
  <si>
    <t>usiType</t>
  </si>
  <si>
    <t>usiFrameCounter</t>
  </si>
  <si>
    <t>usiSequenceCounter</t>
  </si>
  <si>
    <t>DpktPixelDelay</t>
  </si>
  <si>
    <t>usiLineDelay</t>
  </si>
  <si>
    <t>usiColumnDelay</t>
  </si>
  <si>
    <t>usiAdcDelay</t>
  </si>
  <si>
    <t>ucTime</t>
  </si>
  <si>
    <t>bClear</t>
  </si>
  <si>
    <t>bStop</t>
  </si>
  <si>
    <t>bStart</t>
  </si>
  <si>
    <t>RMAP IRQ Control Register</t>
  </si>
  <si>
    <t>RMAP IRQ Flags Register</t>
  </si>
  <si>
    <t>RMAP IRQ Flags Clear Register</t>
  </si>
  <si>
    <t>RMAP Write Command IRQ Enable</t>
  </si>
  <si>
    <t>RMAP Write Command IRQ Flag</t>
  </si>
  <si>
    <t>RMAP Write Command IRQ Flag Clear</t>
  </si>
  <si>
    <t>rmap_irq_control_reg</t>
  </si>
  <si>
    <t>rmap_irq_flags_reg</t>
  </si>
  <si>
    <t>rmap_irq_flags_clear_reg</t>
  </si>
  <si>
    <t>t_comm_rmap_irq_control_wr_reg</t>
  </si>
  <si>
    <t>t_comm_rmap_irq_flags_rd_reg</t>
  </si>
  <si>
    <t>t_comm_rmap_irq_flags_clear_wr_reg</t>
  </si>
  <si>
    <t>rmap_write_command_en</t>
  </si>
  <si>
    <t>rmap_write_command_flag</t>
  </si>
  <si>
    <t>rmap_write_command_flag_clear</t>
  </si>
  <si>
    <t>RmapIrqFlagClr</t>
  </si>
  <si>
    <t>bWriteCmdFlagClr</t>
  </si>
  <si>
    <t>FeebIrqFlagClr</t>
  </si>
  <si>
    <t>bRightBufferEmpty0FlagClr</t>
  </si>
  <si>
    <t>bRightBufferEmpty1FlagClr</t>
  </si>
  <si>
    <t>bLeftBufferEmpty0FlagClr</t>
  </si>
  <si>
    <t>bLeftBufferEmpty1FlagClr</t>
  </si>
  <si>
    <t>FeebMachineControl</t>
  </si>
  <si>
    <t>fee_right_buffer_empty_en</t>
  </si>
  <si>
    <t>fee_left_buffer_empty_en</t>
  </si>
  <si>
    <t>fee_right_buffer_0_empty_flag</t>
  </si>
  <si>
    <t>fee_right_buffer_1_empty_flag</t>
  </si>
  <si>
    <t>fee_left_buffer_0_empty_flag</t>
  </si>
  <si>
    <t>fee_left_buffer_1_empty_flag</t>
  </si>
  <si>
    <t>fee_right_buffer_0_empty_flag_clear</t>
  </si>
  <si>
    <t>fee_right_buffer_1_empty_flag_clear</t>
  </si>
  <si>
    <t>fee_left_buffer_0_empty_flag_clear</t>
  </si>
  <si>
    <t>fee_left_buffer_1_empty_flag_clear</t>
  </si>
  <si>
    <t>FEE Right Buffer Empty IRQ Enable</t>
  </si>
  <si>
    <t>FEE Left Buffer Empty IRQ Enable</t>
  </si>
  <si>
    <t>FEE Right Buffer 0 Empty IRQ Flag</t>
  </si>
  <si>
    <t>FEE Right Buffer 1 Empty IRQ Flag</t>
  </si>
  <si>
    <t>FEE Left Buffer 0 Empty IRQ Flag</t>
  </si>
  <si>
    <t>FEE Left Buffer 1 Empty IRQ Flag</t>
  </si>
  <si>
    <t>FEE Right Buffer 0 Empty IRQ Flag Clear</t>
  </si>
  <si>
    <t>FEE Right Buffer 1 Empty IRQ Flag Clear</t>
  </si>
  <si>
    <t>FEE Left Buffer 0 Empty IRQ Flag Clear</t>
  </si>
  <si>
    <t>FEE Left Buffer 1 Empty IRQ Flag Clear</t>
  </si>
  <si>
    <t>FEE Buffers IRQ Control Register</t>
  </si>
  <si>
    <t>FEE Buffers IRQ Flags Register</t>
  </si>
  <si>
    <t>FEE Buffers IRQ Flags Clear Register</t>
  </si>
  <si>
    <t>FEE Buffers Config Register</t>
  </si>
  <si>
    <t>fee_right_buffer_empty</t>
  </si>
  <si>
    <t>fee_left_buffer_empty</t>
  </si>
  <si>
    <t>t_comm_fee_buffers_config_wr_reg</t>
  </si>
  <si>
    <t>t_comm_fee_buffers_status_rd_reg</t>
  </si>
  <si>
    <t>t_comm_fee_buffers_irq_control_wr_reg</t>
  </si>
  <si>
    <t>t_comm_fee_buffers_irq_flags_rd_reg</t>
  </si>
  <si>
    <t>t_comm_fee_buffers_irq_flags_clear_wr_reg</t>
  </si>
  <si>
    <t>fee_buffers_config_reg</t>
  </si>
  <si>
    <t>fee_buffers_status_reg</t>
  </si>
  <si>
    <t>fee_buffers_irq_control_reg</t>
  </si>
  <si>
    <t>fee_buffers_irq_flags_reg</t>
  </si>
  <si>
    <t>fee_buffers_irq_flags_clear_reg</t>
  </si>
  <si>
    <t>FEE Buffers Status Register</t>
  </si>
  <si>
    <t>CommIrqControl</t>
  </si>
  <si>
    <t>bGlobalIrqEn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</si>
  <si>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</si>
  <si>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</si>
  <si>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</si>
  <si>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</si>
  <si>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</si>
  <si>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</si>
  <si>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</si>
  <si>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</si>
  <si>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</si>
  <si>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</si>
  <si>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</si>
  <si>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</si>
  <si>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</si>
  <si>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</si>
  <si>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</si>
  <si>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</si>
  <si>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</si>
  <si>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</si>
  <si>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</si>
  <si>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</si>
  <si>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</si>
  <si>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</si>
  <si>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</si>
  <si>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</si>
  <si>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</si>
  <si>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</si>
  <si>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</si>
  <si>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</si>
  <si>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</si>
  <si>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</si>
  <si>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</si>
  <si>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</si>
  <si>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</si>
  <si>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</si>
  <si>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</si>
  <si>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x"51"</t>
  </si>
  <si>
    <t>x"D1"</t>
  </si>
  <si>
    <t>std_logic_vector(to_unsigned(2295, 16))</t>
  </si>
  <si>
    <t>std_logic_vector(to_unsigned(4540, 16))</t>
  </si>
  <si>
    <t>std_logic_vector(to_unsigned(4510, 16))</t>
  </si>
  <si>
    <t>std_logic_vector(to_unsigned(30, 16))</t>
  </si>
  <si>
    <t>std_logic_vector(to_unsigned(32768, 16))</t>
  </si>
  <si>
    <t>std_logic_vector(to_unsigned(1, 4))</t>
  </si>
  <si>
    <t>std_logic_vector(to_unsigned(0, 2))</t>
  </si>
  <si>
    <t>x"F0"</t>
  </si>
  <si>
    <t>x"50"</t>
  </si>
  <si>
    <t>std_logic_vector(to_unsigned(900, 16))</t>
  </si>
  <si>
    <t>std_logic_vector(to_unsigned(33, 16))</t>
  </si>
  <si>
    <t>std_logic_vector(to_unsigned(0, 16))</t>
  </si>
  <si>
    <t>(others =&gt; '1')</t>
  </si>
  <si>
    <t>API C General Struct</t>
  </si>
  <si>
    <t>FeebChannel</t>
  </si>
  <si>
    <t>DpktChannel</t>
  </si>
  <si>
    <t>SpwcChannel</t>
  </si>
  <si>
    <t>RmapChannel</t>
  </si>
  <si>
    <t>CommChannel</t>
  </si>
  <si>
    <t xml:space="preserve">      -- FEE Buffers Config Register : Windowing Right Buffer Size Config</t>
  </si>
  <si>
    <t xml:space="preserve">      -- FEE Buffers Config Register : Windowing Left Buffer Size Config</t>
  </si>
  <si>
    <t xml:space="preserve">      -- FEE Buffers Status Register : Windowing Right Buffer Empty</t>
  </si>
  <si>
    <t xml:space="preserve">      -- FEE Buffers Status Register : Windowing Left Buffer Empty</t>
  </si>
  <si>
    <t xml:space="preserve">      -- FEE Buffers Status Register : FEE Right Machine Busy</t>
  </si>
  <si>
    <t xml:space="preserve">      -- FEE Buffers Status Register : FEE Left Machine Busy</t>
  </si>
  <si>
    <t xml:space="preserve">      -- FEE Buffers IRQ Control Register : FEE Right Buffer Empty IRQ Enable</t>
  </si>
  <si>
    <t xml:space="preserve">      -- FEE Buffers IRQ Control Register : FEE Left Buffer Empty IRQ Enable</t>
  </si>
  <si>
    <t xml:space="preserve">      -- FEE Buffers IRQ Flags Register : FEE Right Buffer 0 Empty IRQ Flag</t>
  </si>
  <si>
    <t xml:space="preserve">      -- FEE Buffers IRQ Flags Register : FEE Right Buffer 1 Empty IRQ Flag</t>
  </si>
  <si>
    <t xml:space="preserve">      -- FEE Buffers IRQ Flags Register : FEE Left Buffer 0 Empty IRQ Flag</t>
  </si>
  <si>
    <t xml:space="preserve">      -- FEE Buffers IRQ Flags Register : FEE Left Buffer 1 Empty IRQ Flag</t>
  </si>
  <si>
    <t xml:space="preserve">      -- FEE Buffers IRQ Flags Clear Register : FEE Right Buffer 0 Empty IRQ Flag Clear</t>
  </si>
  <si>
    <t xml:space="preserve">      -- FEE Buffers IRQ Flags Clear Register : FEE Right Buffer 1 Empty IRQ Flag Clear</t>
  </si>
  <si>
    <t xml:space="preserve">      -- FEE Buffers IRQ Flags Clear Register : FEE Left Buffer 0 Empty IRQ Flag Clear</t>
  </si>
  <si>
    <t xml:space="preserve">      -- FEE Buffers IRQ Flags Clear Register : FEE Left Buffer 1 Empty IRQ Flag Clear</t>
  </si>
  <si>
    <t xml:space="preserve">      -- RMAP Codec Config Register : RMAP Target Logical Address</t>
  </si>
  <si>
    <t xml:space="preserve">      -- RMAP Codec Config Register : RMAP Target Key</t>
  </si>
  <si>
    <t xml:space="preserve">      -- RMAP Codec Status Register : RMAP Status Command Received</t>
  </si>
  <si>
    <t xml:space="preserve">      -- RMAP Codec Status Register : RMAP Status Write Requested</t>
  </si>
  <si>
    <t xml:space="preserve">      -- RMAP Codec Status Register : RMAP Status Write Authorized</t>
  </si>
  <si>
    <t xml:space="preserve">      -- RMAP Codec Status Register : RMAP Status Read Requested</t>
  </si>
  <si>
    <t xml:space="preserve">      -- RMAP Codec Status Register : RMAP Status Read Authorized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</si>
  <si>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</si>
  <si>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</si>
  <si>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</si>
  <si>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</si>
  <si>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</si>
  <si>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</si>
  <si>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</si>
  <si>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</si>
  <si>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</si>
  <si>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>EoT</t>
  </si>
  <si>
    <t xml:space="preserve">      -- RMAP IRQ Control Register : RMAP Write Command IRQ Enable</t>
  </si>
  <si>
    <t xml:space="preserve">      -- RMAP IRQ Flags Register : RMAP Write Command IRQ Flag</t>
  </si>
  <si>
    <t xml:space="preserve">      -- RMAP IRQ Flags Clear Register : RMAP Write Command IRQ Flag Clear</t>
  </si>
  <si>
    <t xml:space="preserve">      -- Data Packet Config Register : Data Packet CCD X Size</t>
  </si>
  <si>
    <t xml:space="preserve">      -- Data Packet Config Register : Data Packet CCD Y Size</t>
  </si>
  <si>
    <t xml:space="preserve">      -- Data Packet Config Register : Data Packet Data Y Size</t>
  </si>
  <si>
    <t xml:space="preserve">      -- Data Packet Config Register : Data Packet Overscan Y Size</t>
  </si>
  <si>
    <t xml:space="preserve">  when (16#36#) =&gt;</t>
  </si>
  <si>
    <t xml:space="preserve">      -- Data Packet Config Register : Data Packet Packet Length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</si>
  <si>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</si>
  <si>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</si>
  <si>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(16#37#) =&gt;</t>
  </si>
  <si>
    <t xml:space="preserve">      -- Data Packet Config Register : Data Packet FEE Mode</t>
  </si>
  <si>
    <t xml:space="preserve">      -- Data Packet Config Register : Data Packet CCD Number</t>
  </si>
  <si>
    <t xml:space="preserve">      -- Data Packet Header Register : Data Packet Header Length</t>
  </si>
  <si>
    <t xml:space="preserve">  when (16#38#)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</si>
  <si>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</si>
  <si>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</si>
  <si>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(16#39#)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</si>
  <si>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</si>
  <si>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</si>
  <si>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(16#3A#) =&gt;</t>
  </si>
  <si>
    <t xml:space="preserve">      -- Data Packet Pixel Delay Register : Data Packet Column Delay</t>
  </si>
  <si>
    <t xml:space="preserve">      -- Data Packet Pixel Delay Register : Data Packet ADC Delay</t>
  </si>
  <si>
    <t xml:space="preserve">  when (16#3B#) =&gt;</t>
  </si>
  <si>
    <t xml:space="preserve">      -- Comm IRQ Control Register : Comm Global IRQ Enable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</si>
  <si>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</si>
  <si>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</si>
  <si>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</si>
  <si>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</si>
  <si>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</si>
  <si>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</si>
  <si>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</si>
  <si>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</si>
  <si>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</si>
  <si>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</si>
  <si>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</si>
  <si>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</si>
  <si>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</si>
  <si>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</si>
  <si>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</si>
  <si>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</si>
  <si>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</si>
  <si>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</si>
  <si>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</si>
  <si>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typedef struct SpwcLinkConfig {</t>
  </si>
  <si>
    <t>typedef struct SpwcLinkStatus {</t>
  </si>
  <si>
    <t>typedef struct SpwcLinkError {</t>
  </si>
  <si>
    <t>typedef struct FeebMachineControl {</t>
  </si>
  <si>
    <t>typedef struct FeebBufferStatus {</t>
  </si>
  <si>
    <t>typedef struct FeebIrqControl {</t>
  </si>
  <si>
    <t>typedef struct FeebIrqFlag {</t>
  </si>
  <si>
    <t>typedef struct FeebIrqFlagClr {</t>
  </si>
  <si>
    <t>typedef struct RmapCodecConfig {</t>
  </si>
  <si>
    <t>typedef struct RmapCodecStatus {</t>
  </si>
  <si>
    <t>typedef struct RmapCodecError {</t>
  </si>
  <si>
    <t>typedef struct RmapMemConfigStat {</t>
  </si>
  <si>
    <t>typedef struct RmapIrqControl {</t>
  </si>
  <si>
    <t>typedef struct RmapIrqFlag {</t>
  </si>
  <si>
    <t>typedef struct RmapIrqFlagClr {</t>
  </si>
  <si>
    <t>typedef struct DpktDataPacketConfig {</t>
  </si>
  <si>
    <t>typedef struct DpktDataPacketHeader {</t>
  </si>
  <si>
    <t>typedef struct DpktPixelDelay {</t>
  </si>
  <si>
    <t>typedef struct CommIrqControl {</t>
  </si>
  <si>
    <t>} TSpwcLinkConfig;</t>
  </si>
  <si>
    <t>} TSpwcLinkStatus;</t>
  </si>
  <si>
    <t>} TSpwcLinkError;</t>
  </si>
  <si>
    <t>} TFeebMachineControl;</t>
  </si>
  <si>
    <t>} TFeebBufferStatus;</t>
  </si>
  <si>
    <t>} TFeebIrqControl;</t>
  </si>
  <si>
    <t>} TFeebIrqFlag;</t>
  </si>
  <si>
    <t>} TFeebIrqFlagClr;</t>
  </si>
  <si>
    <t>} TRmapCodecConfig;</t>
  </si>
  <si>
    <t>} TRmapCodecStatus;</t>
  </si>
  <si>
    <t>} TRmapCodecError;</t>
  </si>
  <si>
    <t>} TRmapMemConfigStat;</t>
  </si>
  <si>
    <t>} TRmapIrqControl;</t>
  </si>
  <si>
    <t>} TRmapIrqFlag;</t>
  </si>
  <si>
    <t>} TRmapIrqFlagClr;</t>
  </si>
  <si>
    <t>} TDpktDataPacketConfig;</t>
  </si>
  <si>
    <t>} TDpktDataPacketHeader;</t>
  </si>
  <si>
    <t>} TDpktPixelDelay;</t>
  </si>
  <si>
    <t>} TCommIrqControl;</t>
  </si>
  <si>
    <t>typedef struct SpwcChannel {</t>
  </si>
  <si>
    <t xml:space="preserve">  TSpwcLinkConfig xSpwcLinkConfig;</t>
  </si>
  <si>
    <t xml:space="preserve">  TSpwcLinkStatus xSpwcLinkStatus;</t>
  </si>
  <si>
    <t xml:space="preserve">  TSpwcLinkError xSpwcLinkError;</t>
  </si>
  <si>
    <t>} TSpwcChannel;</t>
  </si>
  <si>
    <t>typedef struct FeebChannel {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</si>
  <si>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</si>
  <si>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</si>
  <si>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</si>
  <si>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</si>
  <si>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</si>
  <si>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>} TFeebChannel;</t>
  </si>
  <si>
    <t>typedef struct RmapChannel {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</si>
  <si>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</si>
  <si>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</si>
  <si>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</si>
  <si>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</si>
  <si>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TRmapIrqControl xRmapIrqControl;</t>
  </si>
  <si>
    <t xml:space="preserve">  TRmapIrqFlag xRmapIrqFlag;</t>
  </si>
  <si>
    <t xml:space="preserve">  TRmapIrqFlagClr xRmapIrqFlagClr;</t>
  </si>
  <si>
    <t>} TRmapChannel;</t>
  </si>
  <si>
    <t>typedef struct DpktChannel {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</si>
  <si>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</si>
  <si>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</si>
  <si>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</si>
  <si>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</si>
  <si>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typedef struct CommChannel {</t>
  </si>
  <si>
    <t xml:space="preserve">  TCommIrqControl xCommIrqControl;</t>
  </si>
  <si>
    <t>} TCommChannel;</t>
  </si>
  <si>
    <t>/* EoT */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</si>
  <si>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</si>
  <si>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</si>
  <si>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</si>
  <si>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</si>
  <si>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</si>
  <si>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</si>
  <si>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</si>
  <si>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</si>
  <si>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</si>
  <si>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</si>
  <si>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</si>
  <si>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 xml:space="preserve">  bool bClear; /* SpaceWire Timecode Clear */</t>
  </si>
  <si>
    <t xml:space="preserve">  alt_u8 ucTime; /* SpaceWire Timecode Time */</t>
  </si>
  <si>
    <t xml:space="preserve">  alt_u8 ucControl; /* SpaceWire Timecode Control */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</si>
  <si>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</si>
  <si>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</si>
  <si>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</si>
  <si>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</si>
  <si>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</si>
  <si>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</si>
  <si>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</si>
  <si>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</si>
  <si>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</si>
  <si>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 xml:space="preserve">  bool bRightBufferEmptyEn; /* FEE Right Buffer Empty IRQ Enable */</t>
  </si>
  <si>
    <t xml:space="preserve">  bool bLeftBufferEmptyEn; /* FEE Left Buffer Empty IRQ Enable */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</si>
  <si>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</si>
  <si>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</si>
  <si>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</si>
  <si>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</si>
  <si>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</si>
  <si>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</si>
  <si>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</si>
  <si>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</si>
  <si>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 xml:space="preserve">  alt_u8 ucLogicalAddress; /* RMAP Target Logical Address */</t>
  </si>
  <si>
    <t xml:space="preserve">  alt_u8 ucKey; /* RMAP Target Key */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</si>
  <si>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</si>
  <si>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</si>
  <si>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</si>
  <si>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</si>
  <si>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</si>
  <si>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</si>
  <si>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</si>
  <si>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</si>
  <si>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</si>
  <si>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</si>
  <si>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</si>
  <si>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</si>
  <si>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</si>
  <si>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</si>
  <si>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 xml:space="preserve">  alt_u32 uliLastWriteAddress; /* RMAP Last Write Address */</t>
  </si>
  <si>
    <t xml:space="preserve">  alt_u32 uliLastReadAddress; /* RMAP Last Read Address */</t>
  </si>
  <si>
    <t xml:space="preserve">  bool bWriteCmdEn; /* RMAP Write Command IRQ Enable */</t>
  </si>
  <si>
    <t xml:space="preserve">  bool bWriteCmdFlag; /* RMAP Write Command IRQ Flag */</t>
  </si>
  <si>
    <t xml:space="preserve">  bool bWriteCmdFlagClr; /* RMAP Write Command IRQ Flag Clear */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</si>
  <si>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</si>
  <si>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</si>
  <si>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</si>
  <si>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</si>
  <si>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</si>
  <si>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</si>
  <si>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</si>
  <si>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</si>
  <si>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</si>
  <si>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</si>
  <si>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</si>
  <si>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</si>
  <si>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</si>
  <si>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 xml:space="preserve">  alt_u16 usiLineDelay; /* Data Packet Line Delay */</t>
  </si>
  <si>
    <t xml:space="preserve">  alt_u16 usiColumnDelay; /* Data Packet Column Delay */</t>
  </si>
  <si>
    <t xml:space="preserve">  alt_u16 usiAdcDelay; /* Data Packet ADC Delay */</t>
  </si>
  <si>
    <t xml:space="preserve">  bool bGlobalIrqEn; /* Comm Global IRQ Enable */</t>
  </si>
  <si>
    <t>Output Records Definitions</t>
  </si>
  <si>
    <t>type t_comm_spw_timecode_wr_reg is record</t>
  </si>
  <si>
    <t>end record t_comm_spw_timecode_wr_reg;</t>
  </si>
  <si>
    <t>type t_comm_spw_timecode_rd_reg is record</t>
  </si>
  <si>
    <t>end record t_comm_spw_timecode_rd_reg;</t>
  </si>
  <si>
    <t>type t_comm_fee_buffers_config_wr_reg is record</t>
  </si>
  <si>
    <t>end record t_comm_fee_buffers_config_wr_reg;</t>
  </si>
  <si>
    <t>type t_comm_fee_buffers_status_rd_reg is record</t>
  </si>
  <si>
    <t>end record t_comm_fee_buffers_status_rd_reg;</t>
  </si>
  <si>
    <t>type t_comm_fee_buffers_irq_control_wr_reg is record</t>
  </si>
  <si>
    <t>end record t_comm_fee_buffers_irq_control_wr_reg;</t>
  </si>
  <si>
    <t>type t_comm_fee_buffers_irq_flags_rd_reg is record</t>
  </si>
  <si>
    <t>end record t_comm_fee_buffers_irq_flags_rd_reg;</t>
  </si>
  <si>
    <t>type t_comm_fee_buffers_irq_flags_clear_wr_reg is record</t>
  </si>
  <si>
    <t>end record t_comm_fee_buffers_irq_flags_clear_wr_reg;</t>
  </si>
  <si>
    <t>type t_comm_rmap_codec_config_wr_reg is record</t>
  </si>
  <si>
    <t>end record t_comm_rmap_codec_config_wr_reg;</t>
  </si>
  <si>
    <t>type t_comm_rmap_codec_status_rd_reg is record</t>
  </si>
  <si>
    <t>end record t_comm_rmap_codec_status_rd_reg;</t>
  </si>
  <si>
    <t>type t_comm_rmap_irq_control_wr_reg is record</t>
  </si>
  <si>
    <t>end record t_comm_rmap_irq_control_wr_reg;</t>
  </si>
  <si>
    <t>type t_comm_rmap_irq_flags_rd_reg is record</t>
  </si>
  <si>
    <t>end record t_comm_rmap_irq_flags_rd_reg;</t>
  </si>
  <si>
    <t>type t_comm_rmap_irq_flags_clear_wr_reg is record</t>
  </si>
  <si>
    <t>end record t_comm_rmap_irq_flags_clear_wr_reg;</t>
  </si>
  <si>
    <t>type t_comm_data_packet_config_wr_reg is record</t>
  </si>
  <si>
    <t>end record t_comm_data_packet_config_wr_reg;</t>
  </si>
  <si>
    <t>type t_comm_data_packet_header_rd_reg is record</t>
  </si>
  <si>
    <t>end record t_comm_data_packet_header_rd_reg;</t>
  </si>
  <si>
    <t>type t_comm_data_packet_pixel_delay_wr_reg is record</t>
  </si>
  <si>
    <t>end record t_comm_data_packet_pixel_delay_wr_reg;</t>
  </si>
  <si>
    <t>type t_comm_comm_irq_control_wr_reg is record</t>
  </si>
  <si>
    <t>type t_windowing_write_registers is record</t>
  </si>
  <si>
    <t>end record t_windowing_write_registers;</t>
  </si>
  <si>
    <t>type t_windowing_read_registers is record</t>
  </si>
  <si>
    <t>end record t_windowing_read_registers;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</si>
  <si>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</si>
  <si>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</si>
  <si>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</si>
  <si>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</si>
  <si>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</si>
  <si>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</si>
  <si>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</si>
  <si>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</si>
  <si>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</si>
  <si>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</si>
  <si>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 xml:space="preserve">  timecode_clear : std_logic; -- SpaceWire Timecode Clear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</si>
  <si>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</si>
  <si>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</si>
  <si>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</si>
  <si>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</si>
  <si>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</si>
  <si>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</si>
  <si>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</si>
  <si>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 xml:space="preserve">  fee_right_buffer_empty_en : std_logic; -- FEE Right Buffer Empty IRQ Enable</t>
  </si>
  <si>
    <t xml:space="preserve">  fee_left_buffer_empty_en : std_logic; -- FEE Left Buffer Empty IRQ Enable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</si>
  <si>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</si>
  <si>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</si>
  <si>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</si>
  <si>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</si>
  <si>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</si>
  <si>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</si>
  <si>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</si>
  <si>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</si>
  <si>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</si>
  <si>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</si>
  <si>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</si>
  <si>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</si>
  <si>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</si>
  <si>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</si>
  <si>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</si>
  <si>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</si>
  <si>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</si>
  <si>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</si>
  <si>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</si>
  <si>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</si>
  <si>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</si>
  <si>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</si>
  <si>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rmap_write_command_en : std_logic; -- RMAP Write Command IRQ Enable</t>
  </si>
  <si>
    <t xml:space="preserve">  rmap_write_command_flag : std_logic; -- RMAP Write Command IRQ Flag</t>
  </si>
  <si>
    <t xml:space="preserve">  rmap_write_command_flag_clear : std_logic; -- RMAP Write Command IRQ Flag Clear</t>
  </si>
  <si>
    <t xml:space="preserve">  comm_global_irq_en : std_logic; -- Comm Global IRQ Enable</t>
  </si>
  <si>
    <t>-- Registers Types</t>
  </si>
  <si>
    <t>end record t_comm_comm_irq_control_wr_reg;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</si>
  <si>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</si>
  <si>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</si>
  <si>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rmap_codec_status_reg : t_comm_rmap_codec_status_rd_reg; -- RMAP Codec Status Register</t>
  </si>
  <si>
    <t xml:space="preserve">  rmap_irq_flags_reg : t_comm_rmap_irq_flags_rd_reg; -- RMAP IRQ Flags Register</t>
  </si>
  <si>
    <t xml:space="preserve">  data_packet_header_reg : t_comm_data_packet_header_rd_reg; -- Data Packet Header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</si>
  <si>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</si>
  <si>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</si>
  <si>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</si>
  <si>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</si>
  <si>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</si>
  <si>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</si>
  <si>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</si>
  <si>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</si>
  <si>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 xml:space="preserve">  comm_irq_control_reg : t_comm_comm_irq_control_wr_reg; -- Comm IRQ Control Register</t>
  </si>
  <si>
    <t>-- FEE Buffers Config Register</t>
  </si>
  <si>
    <t>-- FEE Buffers Status Register</t>
  </si>
  <si>
    <t>-- FEE Buffers IRQ Control Register</t>
  </si>
  <si>
    <t>-- FEE Buffers IRQ Flags Register</t>
  </si>
  <si>
    <t>-- FEE Buffers IRQ Flags Clear Register</t>
  </si>
  <si>
    <t>-- RMAP Codec Config Register</t>
  </si>
  <si>
    <t>-- RMAP Codec Status Register</t>
  </si>
  <si>
    <t>-- RMAP IRQ Control Register</t>
  </si>
  <si>
    <t>-- RMAP IRQ Flags Register</t>
  </si>
  <si>
    <t>-- RMAP IRQ Flags Clear Register</t>
  </si>
  <si>
    <t>-- Data Packet Config Register</t>
  </si>
  <si>
    <t>-- Data Packet Header Register</t>
  </si>
  <si>
    <t>-- Data Packet Pixel Delay Register</t>
  </si>
  <si>
    <t>-- Comm IRQ Control Register</t>
  </si>
  <si>
    <t>-- Avalon MM Types</t>
  </si>
  <si>
    <t>-- Avalon MM Read/Write Registers</t>
  </si>
  <si>
    <t>-- Avalon MM Read-Only Registers</t>
  </si>
  <si>
    <t>Comm Device Base Address</t>
  </si>
  <si>
    <t>Comm Device Address Register</t>
  </si>
  <si>
    <t>comm_dev_addr_reg</t>
  </si>
  <si>
    <t>comm_dev_base_addr</t>
  </si>
  <si>
    <t>t_comm_comm_dev_addr_wr_reg</t>
  </si>
  <si>
    <t>(others =&gt; '0')</t>
  </si>
  <si>
    <t>CommDevAddr</t>
  </si>
  <si>
    <t>uliDevBaseAddr</t>
  </si>
  <si>
    <t>-- Comm Device Address Register</t>
  </si>
  <si>
    <t>type t_comm_comm_dev_addr_wr_reg is record</t>
  </si>
  <si>
    <t>end record t_comm_comm_dev_addr_wr_reg;</t>
  </si>
  <si>
    <t xml:space="preserve">  comm_dev_addr_reg : t_comm_comm_dev_addr_wr_reg; -- Comm Device Address Register</t>
  </si>
  <si>
    <t xml:space="preserve">  when (16#3C#) =&gt;</t>
  </si>
  <si>
    <t xml:space="preserve">      -- Comm Device Address Register : Comm Device Base Address</t>
  </si>
  <si>
    <t>typedef struct CommDevAddr {</t>
  </si>
  <si>
    <t xml:space="preserve">  alt_u32 uliDevBaseAddr; /* Comm Device Base Address */</t>
  </si>
  <si>
    <t>} TCommDevAddr;</t>
  </si>
  <si>
    <t xml:space="preserve">  TCommDevAddr xCommDevAddr;</t>
  </si>
  <si>
    <t>avalon_mm_spacewire_i</t>
  </si>
  <si>
    <t>avalon_mm_spacewire_o</t>
  </si>
  <si>
    <t>write_address_i</t>
  </si>
  <si>
    <t>spacewire_write_registers_o</t>
  </si>
  <si>
    <t>spacewire_read_registers_i</t>
  </si>
  <si>
    <t>spacewire_write_registers_i</t>
  </si>
  <si>
    <t>read_address_i</t>
  </si>
  <si>
    <t>case (read_address_i) is</t>
  </si>
  <si>
    <t xml:space="preserve">    if (avalon_mm_spacewire_i.byteenable(0) = '1') then</t>
  </si>
  <si>
    <t xml:space="preserve">    if (avalon_mm_spacewire_i.byteenable(1) = '1') then</t>
  </si>
  <si>
    <t xml:space="preserve">      avalon_mm_spacewire_o.readdata(3 downto 0) &lt;= spacewire_write_registers_i.fee_buffers_config_reg.fee_right_buffer_size;</t>
  </si>
  <si>
    <t xml:space="preserve">      avalon_mm_spacewire_o.readdata(11 downto 8) &lt;= spacewire_write_registers_i.fee_buffers_config_reg.fee_left_buffer_size;</t>
  </si>
  <si>
    <t xml:space="preserve">      avalon_mm_spacewire_o.readdata(0) &lt;= spacewire_read_registers_i.fee_buffers_status_reg.fee_right_buffer_empty;</t>
  </si>
  <si>
    <t xml:space="preserve">      avalon_mm_spacewire_o.readdata(0) &lt;= spacewire_read_registers_i.fee_buffers_status_reg.fee_left_buffer_empty;</t>
  </si>
  <si>
    <t xml:space="preserve">      avalon_mm_spacewire_o.readdata(0) &lt;= spacewire_read_registers_i.fee_buffers_status_reg.fee_right_machine_busy;</t>
  </si>
  <si>
    <t xml:space="preserve">      avalon_mm_spacewire_o.readdata(0) &lt;= spacewire_read_registers_i.fee_buffers_status_reg.fee_left_machine_busy;</t>
  </si>
  <si>
    <t xml:space="preserve">      avalon_mm_spacewire_o.readdata(0) &lt;= spacewire_write_registers_i.fee_buffers_irq_control_reg.fee_right_buffer_empty_en;</t>
  </si>
  <si>
    <t xml:space="preserve">      avalon_mm_spacewire_o.readdata(0) &lt;= spacewire_write_registers_i.fee_buffers_irq_control_reg.fee_left_buffer_empty_en;</t>
  </si>
  <si>
    <t xml:space="preserve">      avalon_mm_spacewire_o.readdata(0) &lt;= spacewire_read_registers_i.fee_buffers_irq_flags_reg.fee_right_buffer_0_empty_flag;</t>
  </si>
  <si>
    <t xml:space="preserve">      avalon_mm_spacewire_o.readdata(0) &lt;= spacewire_read_registers_i.fee_buffers_irq_flags_reg.fee_right_buffer_1_empty_flag;</t>
  </si>
  <si>
    <t xml:space="preserve">      avalon_mm_spacewire_o.readdata(0) &lt;= spacewire_read_registers_i.fee_buffers_irq_flags_reg.fee_left_buffer_0_empty_flag;</t>
  </si>
  <si>
    <t xml:space="preserve">      avalon_mm_spacewire_o.readdata(0) &lt;= spacewire_read_registers_i.fee_buffers_irq_flags_reg.fee_left_buffer_1_empty_flag;</t>
  </si>
  <si>
    <t xml:space="preserve">      avalon_mm_spacewire_o.readdata(0) &lt;= spacewire_write_registers_i.fee_buffers_irq_flags_clear_reg.fee_right_buffer_0_empty_flag_clear;</t>
  </si>
  <si>
    <t xml:space="preserve">      avalon_mm_spacewire_o.readdata(0) &lt;= spacewire_write_registers_i.fee_buffers_irq_flags_clear_reg.fee_right_buffer_1_empty_flag_clear;</t>
  </si>
  <si>
    <t xml:space="preserve">      avalon_mm_spacewire_o.readdata(0) &lt;= spacewire_write_registers_i.fee_buffers_irq_flags_clear_reg.fee_left_buffer_0_empty_flag_clear;</t>
  </si>
  <si>
    <t xml:space="preserve">      avalon_mm_spacewire_o.readdata(0) &lt;= spacewire_write_registers_i.fee_buffers_irq_flags_clear_reg.fee_left_buffer_1_empty_flag_clear;</t>
  </si>
  <si>
    <t xml:space="preserve">      avalon_mm_spacewire_o.readdata(7 downto 0) &lt;= spacewire_write_registers_i.rmap_codec_config_reg.rmap_target_logical_addr;</t>
  </si>
  <si>
    <t xml:space="preserve">      avalon_mm_spacewire_o.readdata(15 downto 8) &lt;= spacewire_write_registers_i.rmap_codec_config_reg.rmap_target_key;</t>
  </si>
  <si>
    <t xml:space="preserve">      avalon_mm_spacewire_o.readdata(0) &lt;= spacewire_read_registers_i.rmap_codec_status_reg.rmap_stat_command_received;</t>
  </si>
  <si>
    <t xml:space="preserve">      avalon_mm_spacewire_o.readdata(0) &lt;= spacewire_read_registers_i.rmap_codec_status_reg.rmap_stat_write_requested;</t>
  </si>
  <si>
    <t xml:space="preserve">      avalon_mm_spacewire_o.readdata(0) &lt;= spacewire_read_registers_i.rmap_codec_status_reg.rmap_stat_write_authorized;</t>
  </si>
  <si>
    <t xml:space="preserve">      avalon_mm_spacewire_o.readdata(0) &lt;= spacewire_read_registers_i.rmap_codec_status_reg.rmap_stat_read_requested;</t>
  </si>
  <si>
    <t xml:space="preserve">      avalon_mm_spacewire_o.readdata(0) &lt;= spacewire_read_registers_i.rmap_codec_status_reg.rmap_stat_read_authorized;</t>
  </si>
  <si>
    <t xml:space="preserve">      avalon_mm_spacewire_o.readdata(0) &lt;= spacewire_read_registers_i.rmap_codec_status_reg.rmap_stat_reply_sended;</t>
  </si>
  <si>
    <t xml:space="preserve">      avalon_mm_spacewire_o.readdata(0) &lt;= spacewire_read_registers_i.rmap_codec_status_reg.rmap_stat_discarded_package;</t>
  </si>
  <si>
    <t xml:space="preserve">      avalon_mm_spacewire_o.readdata(0) &lt;= spacewire_read_registers_i.rmap_codec_status_reg.rmap_err_early_eop;</t>
  </si>
  <si>
    <t xml:space="preserve">      avalon_mm_spacewire_o.readdata(0) &lt;= spacewire_read_registers_i.rmap_codec_status_reg.rmap_err_eep;</t>
  </si>
  <si>
    <t xml:space="preserve">      avalon_mm_spacewire_o.readdata(0) &lt;= spacewire_read_registers_i.rmap_codec_status_reg.rmap_err_header_crc;</t>
  </si>
  <si>
    <t xml:space="preserve">      avalon_mm_spacewire_o.readdata(0) &lt;= spacewire_read_registers_i.rmap_codec_status_reg.rmap_err_unused_packet_type;</t>
  </si>
  <si>
    <t xml:space="preserve">      avalon_mm_spacewire_o.readdata(0) &lt;= spacewire_read_registers_i.rmap_codec_status_reg.rmap_err_invalid_command_code;</t>
  </si>
  <si>
    <t xml:space="preserve">      avalon_mm_spacewire_o.readdata(0) &lt;= spacewire_read_registers_i.rmap_codec_status_reg.rmap_err_too_much_data;</t>
  </si>
  <si>
    <t xml:space="preserve">      avalon_mm_spacewire_o.readdata(0) &lt;= spacewire_read_registers_i.rmap_codec_status_reg.rmap_err_invalid_data_crc;</t>
  </si>
  <si>
    <t xml:space="preserve">    if (avalon_mm_spacewire_i.byteenable(2) = '1') then</t>
  </si>
  <si>
    <t xml:space="preserve">    if (avalon_mm_spacewire_i.byteenable(3) = '1') then</t>
  </si>
  <si>
    <t xml:space="preserve">      avalon_mm_spacewire_o.readdata(0) &lt;= spacewire_write_registers_i.rmap_irq_control_reg.rmap_write_command_en;</t>
  </si>
  <si>
    <t xml:space="preserve">      avalon_mm_spacewire_o.readdata(0) &lt;= spacewire_read_registers_i.rmap_irq_flags_reg.rmap_write_command_flag;</t>
  </si>
  <si>
    <t xml:space="preserve">      avalon_mm_spacewire_o.readdata(0) &lt;= spacewire_write_registers_i.rmap_irq_flags_clear_reg.rmap_write_command_flag_clear;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</si>
  <si>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</si>
  <si>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</si>
  <si>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</si>
  <si>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</si>
  <si>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</si>
  <si>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</si>
  <si>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</si>
  <si>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</si>
  <si>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</si>
  <si>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</si>
  <si>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avalon_mm_spacewire_o.readdata(23 downto 16) &lt;= spacewire_write_registers_i.data_packet_config_reg.data_pkt_logical_addr;</t>
  </si>
  <si>
    <t xml:space="preserve">      avalon_mm_spacewire_o.readdata(31 downto 24) &lt;= spacewire_write_registers_i.data_packet_config_reg.data_pkt_protocol_id;</t>
  </si>
  <si>
    <t xml:space="preserve">      avalon_mm_spacewire_o.readdata(3 downto 0) &lt;= spacewire_write_registers_i.data_packet_config_reg.data_pkt_fee_mode;</t>
  </si>
  <si>
    <t xml:space="preserve">      avalon_mm_spacewire_o.readdata(9 downto 8) &lt;= spacewire_write_registers_i.data_packet_config_reg.data_pkt_ccd_number;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</si>
  <si>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</si>
  <si>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</si>
  <si>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</si>
  <si>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</si>
  <si>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</si>
  <si>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</si>
  <si>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</si>
  <si>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</si>
  <si>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avalon_mm_spacewire_o.readdata(23 downto 16) &lt;= spacewire_write_registers_i.data_packet_pixel_delay_reg.data_pkt_line_delay(7 downto 0);</t>
  </si>
  <si>
    <t xml:space="preserve">      avalon_mm_spacewire_o.readdata(31 downto 24) &lt;= spacewire_write_registers_i.data_packet_pixel_delay_reg.data_pkt_line_delay(15 downto 8);</t>
  </si>
  <si>
    <t xml:space="preserve">      avalon_mm_spacewire_o.readdata(7 downto 0) &lt;= spacewire_write_registers_i.data_packet_pixel_delay_reg.data_pkt_column_delay(7 downto 0);</t>
  </si>
  <si>
    <t xml:space="preserve">      avalon_mm_spacewire_o.readdata(15 downto 8) &lt;= spacewire_write_registers_i.data_packet_pixel_delay_reg.data_pkt_column_delay(15 downto 8);</t>
  </si>
  <si>
    <t xml:space="preserve">      avalon_mm_spacewire_o.readdata(23 downto 16) &lt;= spacewire_write_registers_i.data_packet_pixel_delay_reg.data_pkt_adc_delay(7 downto 0);</t>
  </si>
  <si>
    <t xml:space="preserve">      avalon_mm_spacewire_o.readdata(31 downto 24) &lt;= spacewire_write_registers_i.data_packet_pixel_delay_reg.data_pkt_adc_delay(15 downto 8);</t>
  </si>
  <si>
    <t xml:space="preserve">      avalon_mm_spacewire_o.readdata(0) &lt;= spacewire_write_registers_i.comm_irq_control_reg.comm_global_irq_en;</t>
  </si>
  <si>
    <t xml:space="preserve">    avalon_mm_spacewire_o.readdata &lt;= (others =&gt; '0');</t>
  </si>
  <si>
    <t>case (write_address_i) is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</si>
  <si>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</si>
  <si>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</si>
  <si>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</si>
  <si>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</si>
  <si>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</si>
  <si>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</si>
  <si>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</si>
  <si>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</si>
  <si>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</si>
  <si>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</si>
  <si>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</si>
  <si>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</si>
  <si>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</si>
  <si>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</si>
  <si>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</si>
  <si>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</si>
  <si>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</si>
  <si>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</si>
  <si>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</si>
  <si>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</si>
  <si>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</si>
  <si>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</si>
  <si>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</si>
  <si>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</si>
  <si>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</si>
  <si>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</si>
  <si>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 xml:space="preserve">      spacewire_write_registers_o.data_packet_pixel_delay_reg.data_pkt_line_delay(7 downto 0) &lt;= avalon_mm_spacewire_i.writedata(23 downto 16);</t>
  </si>
  <si>
    <t xml:space="preserve">      spacewire_write_registers_o.data_packet_pixel_delay_reg.data_pkt_line_delay(15 downto 8) &lt;= avalon_mm_spacewire_i.writedata(31 downto 24);</t>
  </si>
  <si>
    <t xml:space="preserve">      spacewire_write_registers_o.data_packet_pixel_delay_reg.data_pkt_column_delay(7 downto 0) &lt;= avalon_mm_spacewire_i.writedata(7 downto 0);</t>
  </si>
  <si>
    <t xml:space="preserve">      spacewire_write_registers_o.data_packet_pixel_delay_reg.data_pkt_column_delay(15 downto 8) &lt;= avalon_mm_spacewire_i.writedata(15 downto 8);</t>
  </si>
  <si>
    <t xml:space="preserve">      spacewire_write_registers_o.data_packet_pixel_delay_reg.data_pkt_adc_delay(7 downto 0) &lt;= avalon_mm_spacewire_i.writedata(23 downto 16);</t>
  </si>
  <si>
    <t xml:space="preserve">      spacewire_write_registers_o.data_packet_pixel_delay_reg.data_pkt_adc_delay(15 downto 8) &lt;= avalon_mm_spacewire_i.writedata(31 downto 24);</t>
  </si>
  <si>
    <t xml:space="preserve">      spacewire_write_registers_o.comm_irq_control_reg.comm_global_irq_en &lt;= avalon_mm_spacewire_i.writedata(0);</t>
  </si>
  <si>
    <t>spacewire_write_registers_o.fee_buffers_config_reg.fee_right_buffer_size &lt;= (others =&gt; '1');</t>
  </si>
  <si>
    <t>spacewire_write_registers_o.fee_buffers_config_reg.fee_left_buffer_size &lt;= (others =&gt; '1');</t>
  </si>
  <si>
    <t>spacewire_write_registers_o.fee_buffers_irq_control_reg.fee_right_buffer_empty_en &lt;= '0';</t>
  </si>
  <si>
    <t>spacewire_write_registers_o.fee_buffers_irq_control_reg.fee_left_buffer_empty_en &lt;= '0';</t>
  </si>
  <si>
    <t>spacewire_write_registers_o.fee_buffers_irq_flags_clear_reg.fee_right_buffer_0_empty_flag_clear &lt;= '0';</t>
  </si>
  <si>
    <t>spacewire_write_registers_o.fee_buffers_irq_flags_clear_reg.fee_right_buffer_1_empty_flag_clear &lt;= '0';</t>
  </si>
  <si>
    <t>spacewire_write_registers_o.fee_buffers_irq_flags_clear_reg.fee_left_buffer_0_empty_flag_clear &lt;= '0';</t>
  </si>
  <si>
    <t>spacewire_write_registers_o.fee_buffers_irq_flags_clear_reg.fee_left_buffer_1_empty_flag_clear &lt;= '0';</t>
  </si>
  <si>
    <t>spacewire_write_registers_o.rmap_codec_config_reg.rmap_target_logical_addr &lt;= x"51";</t>
  </si>
  <si>
    <t>spacewire_write_registers_o.rmap_codec_config_reg.rmap_target_key &lt;= x"D1";</t>
  </si>
  <si>
    <t>spacewire_write_registers_o.rmap_irq_control_reg.rmap_write_command_en &lt;= '0';</t>
  </si>
  <si>
    <t>spacewire_write_registers_o.rmap_irq_flags_clear_reg.rmap_write_command_flag_clear &lt;= '0';</t>
  </si>
  <si>
    <t>spacewire_write_registers_o.data_packet_config_reg.data_pkt_ccd_x_size &lt;= std_logic_vector(to_unsigned(2295, 16));</t>
  </si>
  <si>
    <t>spacewire_write_registers_o.data_packet_config_reg.data_pkt_ccd_y_size &lt;= std_logic_vector(to_unsigned(4540, 16));</t>
  </si>
  <si>
    <t>spacewire_write_registers_o.data_packet_config_reg.data_pkt_data_y_size &lt;= std_logic_vector(to_unsigned(4510, 16));</t>
  </si>
  <si>
    <t>spacewire_write_registers_o.data_packet_config_reg.data_pkt_overscan_y_size &lt;= std_logic_vector(to_unsigned(30, 16));</t>
  </si>
  <si>
    <t>spacewire_write_registers_o.data_packet_config_reg.data_pkt_packet_length &lt;= std_logic_vector(to_unsigned(32768, 16));</t>
  </si>
  <si>
    <t>spacewire_write_registers_o.data_packet_config_reg.data_pkt_logical_addr &lt;= x"50";</t>
  </si>
  <si>
    <t>spacewire_write_registers_o.data_packet_config_reg.data_pkt_protocol_id &lt;= x"F0";</t>
  </si>
  <si>
    <t>spacewire_write_registers_o.data_packet_config_reg.data_pkt_fee_mode &lt;= std_logic_vector(to_unsigned(1, 4));</t>
  </si>
  <si>
    <t>spacewire_write_registers_o.data_packet_config_reg.data_pkt_ccd_number &lt;= std_logic_vector(to_unsigned(0, 2));</t>
  </si>
  <si>
    <t>spacewire_write_registers_o.data_packet_pixel_delay_reg.data_pkt_line_delay &lt;= std_logic_vector(to_unsigned(900, 16));</t>
  </si>
  <si>
    <t>spacewire_write_registers_o.data_packet_pixel_delay_reg.data_pkt_column_delay &lt;= std_logic_vector(to_unsigned(0, 16));</t>
  </si>
  <si>
    <t>spacewire_write_registers_o.data_packet_pixel_delay_reg.data_pkt_adc_delay &lt;= std_logic_vector(to_unsigned(33, 16));</t>
  </si>
  <si>
    <t>spacewire_write_registers_o.comm_irq_control_reg.comm_global_irq_en &lt;= '0';</t>
  </si>
  <si>
    <t>spacewire_write_registers_o.comm_dev_addr_reg.comm_dev_base_addr &lt;= (others =&gt; '0');</t>
  </si>
  <si>
    <t>SpaceWire Timecode Enable</t>
  </si>
  <si>
    <t>timecode_en</t>
  </si>
  <si>
    <t>bEnable</t>
  </si>
  <si>
    <t xml:space="preserve">  timecode_en : std_logic; -- SpaceWire Timecode Enable</t>
  </si>
  <si>
    <t xml:space="preserve">  when (16#3D#) =&gt;</t>
  </si>
  <si>
    <t xml:space="preserve">  bool bEnable; /* SpaceWire Timecode Enable */</t>
  </si>
  <si>
    <t xml:space="preserve">  spw_lnkcfg_txdivcnt : std_logic_vector(7 downto 0); -- SpaceWire Link Config TxDivCnt</t>
  </si>
  <si>
    <t xml:space="preserve">  timecode_time : std_logic_vector(5 downto 0); -- SpaceWire Timecode Time</t>
  </si>
  <si>
    <t xml:space="preserve">  timecode_control : std_logic_vector(1 downto 0); -- SpaceWire Timecode Control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</si>
  <si>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</si>
  <si>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</si>
  <si>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 xml:space="preserve">  rmap_target_logical_addr : std_logic_vector(7 downto 0); -- RMAP Target Logical Address</t>
  </si>
  <si>
    <t xml:space="preserve">  rmap_target_key : std_logic_vector(7 downto 0); -- RMAP Target Key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</si>
  <si>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</si>
  <si>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</si>
  <si>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</si>
  <si>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</si>
  <si>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</si>
  <si>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</si>
  <si>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</si>
  <si>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</si>
  <si>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</si>
  <si>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</si>
  <si>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</si>
  <si>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</si>
  <si>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</si>
  <si>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</si>
  <si>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</si>
  <si>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 xml:space="preserve">  data_pkt_line_delay : std_logic_vector(15 downto 0); -- Data Packet Line Delay</t>
  </si>
  <si>
    <t xml:space="preserve">  data_pkt_column_delay : std_logic_vector(15 downto 0); -- Data Packet Column Delay</t>
  </si>
  <si>
    <t xml:space="preserve">  data_pkt_adc_delay : std_logic_vector(15 downto 0); -- Data Packet ADC Delay</t>
  </si>
  <si>
    <t xml:space="preserve">  comm_dev_base_addr : std_logic_vector(31 downto 0); -- Comm Device Base Address</t>
  </si>
  <si>
    <t>x"01"</t>
  </si>
  <si>
    <t>Allowed Addresses Range</t>
  </si>
  <si>
    <t>Allowed Addresses Max Name</t>
  </si>
  <si>
    <t>Allowed Addresses Min Name</t>
  </si>
  <si>
    <t>c_AVALON_MM_SPACEWIRE_MIN_ADDR</t>
  </si>
  <si>
    <t>c_AVALON_MM_SPACEWIRE_MAX_ADDR</t>
  </si>
  <si>
    <t>-- Address Constants</t>
  </si>
  <si>
    <t>-- Allowed Addresses</t>
  </si>
  <si>
    <t>constant c_AVALON_MM_SPACEWIRE_MAX_ADDR : natural range 0 to 255 := 16#00#;</t>
  </si>
  <si>
    <t>SpaceWire Timecode Config Register</t>
  </si>
  <si>
    <t>SpaceWire Timecode Status Register</t>
  </si>
  <si>
    <t>spw_timecode_config_reg</t>
  </si>
  <si>
    <t>spw_timecode_status_reg</t>
  </si>
  <si>
    <t>spw_link_config_reg</t>
  </si>
  <si>
    <t>spw_link_status_reg</t>
  </si>
  <si>
    <t>FEE Windowing Enable</t>
  </si>
  <si>
    <t>fee_windowing_en</t>
  </si>
  <si>
    <t>FEE Data Controller Enable</t>
  </si>
  <si>
    <t>FEE Digitalise Enable</t>
  </si>
  <si>
    <t>FEE Machine Config Register</t>
  </si>
  <si>
    <t>fee_machine_config_reg</t>
  </si>
  <si>
    <t>t_comm_fee_machine_config_wr_reg</t>
  </si>
  <si>
    <t>fee_data_controller_en</t>
  </si>
  <si>
    <t>fee_digitalise_en</t>
  </si>
  <si>
    <t>SpwcTimecodeConfig</t>
  </si>
  <si>
    <t>SpwcTimecodeStatus</t>
  </si>
  <si>
    <t>bDataControllerEn</t>
  </si>
  <si>
    <t>bDigitaliseEn</t>
  </si>
  <si>
    <t>bWindowingEn</t>
  </si>
  <si>
    <t>t_comm_spw_link_config_wr_reg</t>
  </si>
  <si>
    <t>t_comm_spw_link_status_rd_reg</t>
  </si>
  <si>
    <t>rmap_memory_status_reg</t>
  </si>
  <si>
    <t>t_comm_rmap_memory_status_rd_reg</t>
  </si>
  <si>
    <t>RMAP Memory Status Register</t>
  </si>
  <si>
    <t>SpaceWire Link Config Register</t>
  </si>
  <si>
    <t>SpaceWire Link Status Register</t>
  </si>
  <si>
    <t>RMAP Memory Area Address Register</t>
  </si>
  <si>
    <t>RMAP Config Memory Area Base Address</t>
  </si>
  <si>
    <t>RMAP HouseKeeping Memory Area Base Address</t>
  </si>
  <si>
    <t>rmap_mem_area_addr_reg</t>
  </si>
  <si>
    <t>spw_dev_addr_reg</t>
  </si>
  <si>
    <t>SpaceWire Device Address Register</t>
  </si>
  <si>
    <t>RMAP Device Address Register</t>
  </si>
  <si>
    <t>FEE Buffers Device Address Register</t>
  </si>
  <si>
    <t>SpaceWire Device Base Address</t>
  </si>
  <si>
    <t>FEE Buffers Device Base Address</t>
  </si>
  <si>
    <t>RMAP Device Base Address</t>
  </si>
  <si>
    <t>Data Packet Device Base Address</t>
  </si>
  <si>
    <t>fee_buffers_dev_addr_reg</t>
  </si>
  <si>
    <t>data_packet_dev_addr_reg</t>
  </si>
  <si>
    <t>rmap_dev_addr_reg</t>
  </si>
  <si>
    <t>t_comm_rmap_mem_area_addr_wr_reg</t>
  </si>
  <si>
    <t>t_comm_spw_dev_addr_wr_reg</t>
  </si>
  <si>
    <t>t_comm_fee_buffers_dev_addr_wr_reg</t>
  </si>
  <si>
    <t>t_comm_rmap_dev_addr_wr_reg</t>
  </si>
  <si>
    <t>t_comm_data_packet_dev_addr_wr_reg</t>
  </si>
  <si>
    <t>rmap_mem_area_config_base_addr</t>
  </si>
  <si>
    <t>rmap_mem_area_hk_base_addr</t>
  </si>
  <si>
    <t>spw_dev_base_addr</t>
  </si>
  <si>
    <t>fee_buffers_dev_base_addr</t>
  </si>
  <si>
    <t>rmap_dev_base_addr</t>
  </si>
  <si>
    <t>data_packet_dev_base_addr</t>
  </si>
  <si>
    <t>FEE Buffers IRQ Number Register</t>
  </si>
  <si>
    <t>RMAP IRQ Number Register</t>
  </si>
  <si>
    <t>FEE Buffers IRQ Number/ID</t>
  </si>
  <si>
    <t>RMAP IRQ Number/ID</t>
  </si>
  <si>
    <t>fee_buffers_irq_number_reg</t>
  </si>
  <si>
    <t>rmap_irq_number_reg</t>
  </si>
  <si>
    <t>t_comm_fee_buffers_number_rd_reg</t>
  </si>
  <si>
    <t>t_comm_rmap_irq_number_rd_reg</t>
  </si>
  <si>
    <t>fee_buffers_irq_number</t>
  </si>
  <si>
    <t>rmap_irq_number</t>
  </si>
  <si>
    <t>SpwcDevAddr</t>
  </si>
  <si>
    <t>FeebDevAddr</t>
  </si>
  <si>
    <t>RmapDevAddr</t>
  </si>
  <si>
    <t>RmapMemAreaAddr</t>
  </si>
  <si>
    <t>RmapIrqNumber</t>
  </si>
  <si>
    <t>DpktDevAddr</t>
  </si>
  <si>
    <t>FeebIrqNumber</t>
  </si>
  <si>
    <t>uliSpwcBaseAddr</t>
  </si>
  <si>
    <t>uliFeebBaseAddr</t>
  </si>
  <si>
    <t>uliRmapBaseAddr</t>
  </si>
  <si>
    <t>uliDpktBaseAddr</t>
  </si>
  <si>
    <t>uliBuffersEmptyIrqId</t>
  </si>
  <si>
    <t>uliWriteCmdIrqId</t>
  </si>
  <si>
    <t>uliConfigAreaBaseAddr</t>
  </si>
  <si>
    <t>uliHkAreaBaseAddr</t>
  </si>
  <si>
    <t>Dword Range</t>
  </si>
  <si>
    <t>constant c_AVALON_MM_SPACEWIRE_MIN_ADDR : natural range 0 to 255 := 16#47#;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</si>
  <si>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</si>
  <si>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</si>
  <si>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</si>
  <si>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</si>
  <si>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</si>
  <si>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</si>
  <si>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>end record t_comm_spw_link_config_wr_reg;</t>
  </si>
  <si>
    <t>-- SpaceWire Link Status Register</t>
  </si>
  <si>
    <t>type t_comm_spw_link_status_rd_reg is record</t>
  </si>
  <si>
    <t>end record t_comm_spw_link_status_rd_reg;</t>
  </si>
  <si>
    <t>-- SpaceWire Timecode Config Register</t>
  </si>
  <si>
    <t>-- SpaceWire Timecode Status Register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</si>
  <si>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</si>
  <si>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</si>
  <si>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</si>
  <si>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</si>
  <si>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</si>
  <si>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</si>
  <si>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fee_data_controller_en : std_logic; -- FEE Data Controller Enable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</si>
  <si>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</si>
  <si>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</si>
  <si>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</si>
  <si>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</si>
  <si>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</si>
  <si>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</si>
  <si>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</si>
  <si>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</si>
  <si>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</si>
  <si>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</si>
  <si>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</si>
  <si>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Memory Status Register</t>
  </si>
  <si>
    <t>type t_comm_rmap_memory_status_rd_reg is record</t>
  </si>
  <si>
    <t>end record t_comm_rmap_memory_status_rd_reg;</t>
  </si>
  <si>
    <t>-- RMAP Memory Area Address Register</t>
  </si>
  <si>
    <t>type t_comm_rmap_mem_area_addr_wr_reg is record</t>
  </si>
  <si>
    <t xml:space="preserve">  rmap_mem_area_config_base_addr : std_logic_vector(31 downto 0); -- RMAP Config Memory Area Base Address</t>
  </si>
  <si>
    <t xml:space="preserve">  rmap_mem_area_hk_base_addr : std_logic_vector(31 downto 0); -- RMAP HouseKeeping Memory Area Base Address</t>
  </si>
  <si>
    <t>end record t_comm_rmap_mem_area_addr_wr_reg;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</si>
  <si>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</si>
  <si>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</si>
  <si>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</si>
  <si>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</si>
  <si>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</si>
  <si>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</si>
  <si>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</si>
  <si>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</si>
  <si>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</si>
  <si>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</si>
  <si>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</si>
  <si>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</si>
  <si>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rmap_dev_addr_reg : t_comm_rmap_dev_addr_wr_reg; -- RMAP Device Address Register</t>
  </si>
  <si>
    <t xml:space="preserve">  rmap_mem_area_addr_reg : t_comm_rmap_mem_area_addr_wr_reg; -- RMAP Memory Area Address Register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</si>
  <si>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</si>
  <si>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</si>
  <si>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fee_buffers_irq_number_reg : t_comm_fee_buffers_number_rd_reg; -- FEE Buffers IRQ Number Register</t>
  </si>
  <si>
    <t xml:space="preserve">  rmap_memory_status_reg : t_comm_rmap_memory_status_rd_reg; -- RMAP Memory Status Register</t>
  </si>
  <si>
    <t xml:space="preserve">  rmap_irq_number_reg : t_comm_rmap_irq_number_rd_reg; -- RMAP IRQ Number Register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</si>
  <si>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</si>
  <si>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</si>
  <si>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</si>
  <si>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</si>
  <si>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</si>
  <si>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</si>
  <si>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</si>
  <si>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</si>
  <si>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</si>
  <si>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</si>
  <si>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</si>
  <si>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</si>
  <si>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</si>
  <si>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</si>
  <si>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</si>
  <si>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</si>
  <si>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</si>
  <si>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</si>
  <si>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</si>
  <si>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</si>
  <si>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</si>
  <si>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</si>
  <si>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</si>
  <si>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</si>
  <si>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</si>
  <si>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</si>
  <si>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</si>
  <si>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</si>
  <si>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</si>
  <si>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</si>
  <si>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</si>
  <si>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</si>
  <si>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</si>
  <si>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</si>
  <si>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</si>
  <si>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</si>
  <si>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</si>
  <si>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</si>
  <si>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</si>
  <si>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</si>
  <si>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</si>
  <si>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</si>
  <si>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</si>
  <si>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</si>
  <si>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</si>
  <si>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</si>
  <si>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    -- FEE Machine Config Register : FEE Data Controller Enable</t>
  </si>
  <si>
    <t xml:space="preserve">      avalon_mm_spacewire_o.readdata(0) &lt;= spacewire_write_registers_i.fee_machine_config_reg.fee_data_controller_en;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</si>
  <si>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</si>
  <si>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</si>
  <si>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</si>
  <si>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</si>
  <si>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</si>
  <si>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</si>
  <si>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</si>
  <si>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</si>
  <si>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</si>
  <si>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</si>
  <si>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</si>
  <si>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</si>
  <si>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</si>
  <si>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</si>
  <si>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</si>
  <si>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</si>
  <si>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</si>
  <si>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</si>
  <si>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</si>
  <si>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</si>
  <si>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</si>
  <si>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</si>
  <si>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</si>
  <si>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</si>
  <si>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    -- RMAP Memory Area Address Register : RMAP Config Memory Area Base Address</t>
  </si>
  <si>
    <t xml:space="preserve">      avalon_mm_spacewire_o.readdata(7 downto 0) &lt;= spacewire_write_registers_i.rmap_mem_area_addr_reg.rmap_mem_area_config_base_addr(7 downto 0);</t>
  </si>
  <si>
    <t xml:space="preserve">      avalon_mm_spacewire_o.readdata(15 downto 8) &lt;= spacewire_write_registers_i.rmap_mem_area_addr_reg.rmap_mem_area_config_base_addr(15 downto 8);</t>
  </si>
  <si>
    <t xml:space="preserve">      avalon_mm_spacewire_o.readdata(23 downto 16) &lt;= spacewire_write_registers_i.rmap_mem_area_addr_reg.rmap_mem_area_config_base_addr(23 downto 16);</t>
  </si>
  <si>
    <t xml:space="preserve">      avalon_mm_spacewire_o.readdata(31 downto 24) &lt;= spacewire_write_registers_i.rmap_mem_area_addr_reg.rmap_mem_area_config_base_addr(31 downto 24);</t>
  </si>
  <si>
    <t xml:space="preserve">      -- RMAP Memory Area Address Register : RMAP HouseKeeping Memory Area Base Address</t>
  </si>
  <si>
    <t xml:space="preserve">      avalon_mm_spacewire_o.readdata(7 downto 0) &lt;= spacewire_write_registers_i.rmap_mem_area_addr_reg.rmap_mem_area_hk_base_addr(7 downto 0);</t>
  </si>
  <si>
    <t xml:space="preserve">      avalon_mm_spacewire_o.readdata(15 downto 8) &lt;= spacewire_write_registers_i.rmap_mem_area_addr_reg.rmap_mem_area_hk_base_addr(15 downto 8);</t>
  </si>
  <si>
    <t xml:space="preserve">      avalon_mm_spacewire_o.readdata(23 downto 16) &lt;= spacewire_write_registers_i.rmap_mem_area_addr_reg.rmap_mem_area_hk_base_addr(23 downto 16);</t>
  </si>
  <si>
    <t xml:space="preserve">      avalon_mm_spacewire_o.readdata(31 downto 24) &lt;= spacewire_write_registers_i.rmap_mem_area_addr_reg.rmap_mem_area_hk_base_addr(31 downto 24);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</si>
  <si>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</si>
  <si>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</si>
  <si>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</si>
  <si>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</si>
  <si>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</si>
  <si>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</si>
  <si>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</si>
  <si>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</si>
  <si>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</si>
  <si>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</si>
  <si>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</si>
  <si>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</si>
  <si>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</si>
  <si>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</si>
  <si>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</si>
  <si>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</si>
  <si>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</si>
  <si>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</si>
  <si>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</si>
  <si>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</si>
  <si>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</si>
  <si>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</si>
  <si>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</si>
  <si>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</si>
  <si>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</si>
  <si>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</si>
  <si>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</si>
  <si>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</si>
  <si>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</si>
  <si>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</si>
  <si>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</si>
  <si>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</si>
  <si>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</si>
  <si>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</si>
  <si>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</si>
  <si>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</si>
  <si>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spacewire_write_registers_o.fee_machine_config_reg.fee_data_controller_en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</si>
  <si>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</si>
  <si>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</si>
  <si>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</si>
  <si>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</si>
  <si>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</si>
  <si>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</si>
  <si>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spacewire_write_registers_o.rmap_mem_area_addr_reg.rmap_mem_area_config_base_addr(7 downto 0) &lt;= avalon_mm_spacewire_i.writedata(7 downto 0);</t>
  </si>
  <si>
    <t xml:space="preserve">      spacewire_write_registers_o.rmap_mem_area_addr_reg.rmap_mem_area_config_base_addr(15 downto 8) &lt;= avalon_mm_spacewire_i.writedata(15 downto 8);</t>
  </si>
  <si>
    <t xml:space="preserve">      spacewire_write_registers_o.rmap_mem_area_addr_reg.rmap_mem_area_config_base_addr(23 downto 16) &lt;= avalon_mm_spacewire_i.writedata(23 downto 16);</t>
  </si>
  <si>
    <t xml:space="preserve">      spacewire_write_registers_o.rmap_mem_area_addr_reg.rmap_mem_area_config_base_addr(31 downto 24) &lt;= avalon_mm_spacewire_i.writedata(31 downto 24);</t>
  </si>
  <si>
    <t xml:space="preserve">      spacewire_write_registers_o.rmap_mem_area_addr_reg.rmap_mem_area_hk_base_addr(7 downto 0) &lt;= avalon_mm_spacewire_i.writedata(7 downto 0);</t>
  </si>
  <si>
    <t xml:space="preserve">      spacewire_write_registers_o.rmap_mem_area_addr_reg.rmap_mem_area_hk_base_addr(15 downto 8) &lt;= avalon_mm_spacewire_i.writedata(15 downto 8);</t>
  </si>
  <si>
    <t xml:space="preserve">      spacewire_write_registers_o.rmap_mem_area_addr_reg.rmap_mem_area_hk_base_addr(23 downto 16) &lt;= avalon_mm_spacewire_i.writedata(23 downto 16);</t>
  </si>
  <si>
    <t xml:space="preserve">      spacewire_write_registers_o.rmap_mem_area_addr_reg.rmap_mem_area_hk_base_addr(31 downto 24) &lt;= avalon_mm_spacewire_i.writedata(31 downto 24);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</si>
  <si>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</si>
  <si>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</si>
  <si>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</si>
  <si>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</si>
  <si>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>spacewire_write_registers_o.spw_dev_addr_reg.spw_dev_base_addr &lt;= (others =&gt; '0');</t>
  </si>
  <si>
    <t>spacewire_write_registers_o.spw_link_config_reg.spw_lnkcfg_disconnect &lt;= '0';</t>
  </si>
  <si>
    <t>spacewire_write_registers_o.spw_link_config_reg.spw_lnkcfg_linkstart &lt;= '0';</t>
  </si>
  <si>
    <t>spacewire_write_registers_o.spw_link_config_reg.spw_lnkcfg_autostart &lt;= '0';</t>
  </si>
  <si>
    <t>spacewire_write_registers_o.spw_link_config_reg.spw_lnkcfg_txdivcnt &lt;= x"01";</t>
  </si>
  <si>
    <t>spacewire_write_registers_o.spw_timecode_config_reg.timecode_clear &lt;= '0';</t>
  </si>
  <si>
    <t>spacewire_write_registers_o.spw_timecode_config_reg.timecode_en &lt;= '1';</t>
  </si>
  <si>
    <t>spacewire_write_registers_o.fee_buffers_dev_addr_reg.fee_buffers_dev_base_addr &lt;= (others =&gt; '0');</t>
  </si>
  <si>
    <t>spacewire_write_registers_o.fee_machine_config_reg.fee_machine_clear &lt;= '0';</t>
  </si>
  <si>
    <t>spacewire_write_registers_o.fee_machine_config_reg.fee_machine_stop &lt;= '0';</t>
  </si>
  <si>
    <t>spacewire_write_registers_o.fee_machine_config_reg.fee_machine_start &lt;= '0';</t>
  </si>
  <si>
    <t>spacewire_write_registers_o.fee_machine_config_reg.fee_data_controller_en &lt;= '1';</t>
  </si>
  <si>
    <t>spacewire_write_registers_o.fee_machine_config_reg.fee_digitalise_en &lt;= '0';</t>
  </si>
  <si>
    <t>spacewire_write_registers_o.fee_machine_config_reg.fee_windowing_en &lt;= '1';</t>
  </si>
  <si>
    <t>spacewire_write_registers_o.rmap_dev_addr_reg.rmap_dev_base_addr &lt;= (others =&gt; '0');</t>
  </si>
  <si>
    <t>spacewire_write_registers_o.rmap_mem_area_addr_reg.rmap_mem_area_config_base_addr &lt;= (others =&gt; '0');</t>
  </si>
  <si>
    <t>spacewire_write_registers_o.rmap_mem_area_addr_reg.rmap_mem_area_hk_base_addr &lt;= (others =&gt; '0');</t>
  </si>
  <si>
    <t>spacewire_write_registers_o.data_packet_dev_addr_reg.data_packet_dev_base_addr &lt;= (others =&gt; '0');</t>
  </si>
  <si>
    <t>typedef struct SpwcDevAddr {</t>
  </si>
  <si>
    <t xml:space="preserve">  alt_u32 uliSpwcBaseAddr; /* SpaceWire Device Base Address */</t>
  </si>
  <si>
    <t>} TSpwcDevAddr;</t>
  </si>
  <si>
    <t>typedef struct SpwcTimecodeConfig {</t>
  </si>
  <si>
    <t>} TSpwcTimecodeConfig;</t>
  </si>
  <si>
    <t>typedef struct SpwcTimecodeStatus {</t>
  </si>
  <si>
    <t>} TSpwcTimecodeStatus;</t>
  </si>
  <si>
    <t>typedef struct FeebDevAddr {</t>
  </si>
  <si>
    <t xml:space="preserve">  alt_u32 uliFeebBaseAddr; /* FEE Buffers Device Base Address */</t>
  </si>
  <si>
    <t>} TFeebDevAddr;</t>
  </si>
  <si>
    <t xml:space="preserve">  bool bDataControllerEn; /* FEE Data Controller Enable */</t>
  </si>
  <si>
    <t xml:space="preserve">  bool bDigitaliseEn; /* FEE Digitalise Enable */</t>
  </si>
  <si>
    <t xml:space="preserve">  bool bWindowingEn; /* FEE Windowing Enable */</t>
  </si>
  <si>
    <t>typedef struct FeebIrqNumber {</t>
  </si>
  <si>
    <t xml:space="preserve">  alt_u32 uliBuffersEmptyIrqId; /* FEE Buffers IRQ Number/ID */</t>
  </si>
  <si>
    <t>} TFeebIrqNumber;</t>
  </si>
  <si>
    <t>typedef struct RmapDevAddr {</t>
  </si>
  <si>
    <t xml:space="preserve">  alt_u32 uliRmapBaseAddr; /* RMAP Device Base Address */</t>
  </si>
  <si>
    <t>} TRmapDevAddr;</t>
  </si>
  <si>
    <t>typedef struct RmapMemAreaAddr {</t>
  </si>
  <si>
    <t xml:space="preserve">  alt_u32 uliConfigAreaBaseAddr; /* RMAP Config Memory Area Base Address */</t>
  </si>
  <si>
    <t xml:space="preserve">  alt_u32 uliHkAreaBaseAddr; /* RMAP HouseKeeping Memory Area Base Address */</t>
  </si>
  <si>
    <t>} TRmapMemAreaAddr;</t>
  </si>
  <si>
    <t>typedef struct RmapIrqNumber {</t>
  </si>
  <si>
    <t xml:space="preserve">  alt_u32 uliWriteCmdIrqId; /* RMAP IRQ Number/ID */</t>
  </si>
  <si>
    <t>} TRmapIrqNumber;</t>
  </si>
  <si>
    <t>typedef struct DpktDevAddr {</t>
  </si>
  <si>
    <t xml:space="preserve">  alt_u32 uliDpktBaseAddr; /* Data Packet Device Base Address */</t>
  </si>
  <si>
    <t>} TDpktDevAddr;</t>
  </si>
  <si>
    <t xml:space="preserve">  TSpwcDevAddr xSpwcDevAddr;</t>
  </si>
  <si>
    <t xml:space="preserve">  TSpwcTimecodeConfig xSpwcTimecodeConfig;</t>
  </si>
  <si>
    <t xml:space="preserve">  TSpwcTimecodeStatus xSpwcTimecodeStatus;</t>
  </si>
  <si>
    <t xml:space="preserve">  TFeebDevAddr xFeebDevAddr;</t>
  </si>
  <si>
    <t xml:space="preserve">  TFeebIrqNumber xFeebIrqNumber;</t>
  </si>
  <si>
    <t xml:space="preserve">  TRmapDevAddr xRmapDevAddr;</t>
  </si>
  <si>
    <t xml:space="preserve">  TRmapMemAreaAddr xRmapMemAreaAddr;</t>
  </si>
  <si>
    <t xml:space="preserve">  TRmapIrqNumber xRmapIrqNumber;</t>
  </si>
  <si>
    <t xml:space="preserve">  TDpktDevAddr xDpktDevAddr;</t>
  </si>
  <si>
    <t xml:space="preserve">      avalon_mm_spacewire_o.readdata(7 downto 0) &lt;= spacewire_write_registers_i.comm_dev_addr_reg.comm_dev_base_addr(7 downto 0);</t>
  </si>
  <si>
    <t xml:space="preserve">      avalon_mm_spacewire_o.readdata(15 downto 8) &lt;= spacewire_write_registers_i.comm_dev_addr_reg.comm_dev_base_addr(15 downto 8);</t>
  </si>
  <si>
    <t xml:space="preserve">      avalon_mm_spacewire_o.readdata(23 downto 16) &lt;= spacewire_write_registers_i.comm_dev_addr_reg.comm_dev_base_addr(23 downto 16);</t>
  </si>
  <si>
    <t xml:space="preserve">      avalon_mm_spacewire_o.readdata(31 downto 24) &lt;= spacewire_write_registers_i.comm_dev_addr_reg.comm_dev_base_addr(31 downto 24);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</si>
  <si>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</si>
  <si>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</si>
  <si>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</si>
  <si>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</si>
  <si>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>Data Packet Device Channel Address Register</t>
  </si>
  <si>
    <t>-- Data Packet Device Channel Address Register</t>
  </si>
  <si>
    <t xml:space="preserve">  data_packet_dev_addr_reg : t_comm_data_packet_dev_addr_wr_reg; -- Data Packet Device Channel Address Register</t>
  </si>
  <si>
    <t xml:space="preserve">      -- Data Packet Device Channel Address Register : Data Packet Device Base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</si>
</sst>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87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35.44140625" style="3" bestFit="1" customWidth="1"/>
    <col min="3" max="3" width="35.88671875" style="3" bestFit="1" customWidth="1"/>
    <col min="4" max="4" width="6.33203125" style="3" bestFit="1" customWidth="1"/>
    <col min="5" max="5" width="27.5546875" style="3" bestFit="1" customWidth="1"/>
    <col min="6" max="6" width="31.33203125" style="3" bestFit="1" customWidth="1"/>
    <col min="7" max="7" width="41.5546875" style="3" bestFit="1" customWidth="1"/>
    <col min="8" max="8" width="34.88671875" style="3" bestFit="1" customWidth="1"/>
    <col min="9" max="9" width="10.109375" style="3" customWidth="1"/>
    <col min="10" max="10" width="9.44140625" style="3" customWidth="1"/>
    <col min="11" max="11" width="38.33203125" style="3" customWidth="1"/>
    <col min="12" max="12" width="12" style="3" customWidth="1"/>
    <col min="13" max="13" width="19" style="3" bestFit="1" customWidth="1"/>
    <col min="14" max="14" width="21.88671875" style="3" bestFit="1" customWidth="1"/>
    <col min="15" max="15" width="25.33203125" style="3" bestFit="1" customWidth="1"/>
    <col min="16" max="16" width="13.6640625" style="3" bestFit="1" customWidth="1"/>
    <col min="17" max="17" width="18.33203125" style="3" bestFit="1" customWidth="1"/>
    <col min="18" max="18" width="19.88671875" style="3" bestFit="1" customWidth="1"/>
    <col min="19" max="19" width="14.5546875" style="3" bestFit="1" customWidth="1"/>
    <col min="20" max="20" width="16.6640625" style="3" bestFit="1" customWidth="1"/>
    <col min="21" max="21" width="19.88671875" style="3" bestFit="1" customWidth="1"/>
    <col min="22" max="22" width="14.88671875" style="3" bestFit="1" customWidth="1"/>
    <col min="23" max="23" width="15" style="3" bestFit="1" customWidth="1"/>
    <col min="24" max="27" width="10.109375" style="3" bestFit="1" customWidth="1"/>
    <col min="28" max="29" width="18.88671875" style="4" bestFit="1" customWidth="1"/>
    <col min="30" max="30" width="17.88671875" style="4" bestFit="1" customWidth="1"/>
    <col min="31" max="31" width="16.6640625" style="4" bestFit="1" customWidth="1"/>
    <col min="32" max="33" width="18.88671875" style="4" bestFit="1" customWidth="1"/>
    <col min="34" max="34" width="17.88671875" style="4" bestFit="1" customWidth="1"/>
    <col min="35" max="35" width="16.6640625" style="4" bestFit="1" customWidth="1"/>
  </cols>
  <sheetData>
    <row r="1" spans="1:36" x14ac:dyDescent="0.3">
      <c r="A1" s="3"/>
      <c r="C1"/>
      <c r="P1"/>
      <c r="T1"/>
      <c r="X1"/>
      <c r="Z1"/>
    </row>
    <row r="2" spans="1:36" x14ac:dyDescent="0.3">
      <c r="A2" s="3"/>
      <c r="B2" s="2" t="s">
        <v>82</v>
      </c>
      <c r="C2" s="2" t="s">
        <v>83</v>
      </c>
      <c r="D2" s="2" t="s">
        <v>1</v>
      </c>
      <c r="E2" s="6" t="s">
        <v>165</v>
      </c>
      <c r="F2" s="6" t="s">
        <v>2</v>
      </c>
      <c r="G2" s="6" t="s">
        <v>4</v>
      </c>
      <c r="H2" s="6" t="s">
        <v>3</v>
      </c>
      <c r="I2" s="16" t="s">
        <v>164</v>
      </c>
      <c r="J2" s="2" t="s">
        <v>84</v>
      </c>
      <c r="K2" s="6" t="s">
        <v>411</v>
      </c>
      <c r="L2" s="7" t="s">
        <v>412</v>
      </c>
      <c r="M2" s="7" t="s">
        <v>430</v>
      </c>
      <c r="N2" s="6" t="s">
        <v>234</v>
      </c>
      <c r="O2" s="6" t="s">
        <v>235</v>
      </c>
      <c r="P2" s="2" t="s">
        <v>236</v>
      </c>
      <c r="Q2" s="6" t="s">
        <v>403</v>
      </c>
      <c r="R2" s="6" t="s">
        <v>404</v>
      </c>
      <c r="S2" s="6" t="s">
        <v>405</v>
      </c>
      <c r="T2" s="6" t="s">
        <v>406</v>
      </c>
      <c r="U2" s="2" t="s">
        <v>408</v>
      </c>
      <c r="V2" s="6" t="s">
        <v>407</v>
      </c>
      <c r="W2" s="6" t="s">
        <v>410</v>
      </c>
      <c r="X2" s="20" t="s">
        <v>8</v>
      </c>
      <c r="Y2" s="20"/>
      <c r="Z2" s="20"/>
      <c r="AA2" s="20"/>
      <c r="AB2" s="21" t="s">
        <v>1042</v>
      </c>
      <c r="AC2" s="21"/>
      <c r="AD2" s="21"/>
      <c r="AE2" s="21"/>
      <c r="AF2" s="21" t="s">
        <v>23</v>
      </c>
      <c r="AG2" s="21"/>
      <c r="AH2" s="21"/>
      <c r="AI2" s="21"/>
      <c r="AJ2" s="11" t="s">
        <v>468</v>
      </c>
    </row>
    <row r="3" spans="1:36" x14ac:dyDescent="0.3">
      <c r="A3" s="3"/>
      <c r="B3" s="6" t="s">
        <v>94</v>
      </c>
      <c r="C3" s="6" t="s">
        <v>94</v>
      </c>
      <c r="D3" s="6" t="s">
        <v>94</v>
      </c>
      <c r="E3" s="6" t="s">
        <v>94</v>
      </c>
      <c r="F3" s="6" t="s">
        <v>94</v>
      </c>
      <c r="G3" s="6" t="s">
        <v>94</v>
      </c>
      <c r="H3" s="6" t="s">
        <v>94</v>
      </c>
      <c r="I3" s="16" t="s">
        <v>94</v>
      </c>
      <c r="J3" s="6" t="s">
        <v>94</v>
      </c>
      <c r="K3" s="6" t="s">
        <v>94</v>
      </c>
      <c r="L3" s="7" t="s">
        <v>94</v>
      </c>
      <c r="M3" s="7" t="s">
        <v>94</v>
      </c>
      <c r="N3" s="6" t="s">
        <v>94</v>
      </c>
      <c r="O3" s="6" t="s">
        <v>94</v>
      </c>
      <c r="P3" s="6" t="s">
        <v>94</v>
      </c>
      <c r="Q3" s="6" t="s">
        <v>94</v>
      </c>
      <c r="R3" s="6" t="s">
        <v>94</v>
      </c>
      <c r="S3" s="6" t="s">
        <v>94</v>
      </c>
      <c r="T3" s="6" t="s">
        <v>94</v>
      </c>
      <c r="U3" s="6" t="s">
        <v>94</v>
      </c>
      <c r="V3" s="6" t="s">
        <v>94</v>
      </c>
      <c r="W3" s="6" t="s">
        <v>94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s="18" customFormat="1" x14ac:dyDescent="0.3">
      <c r="B4" s="10" t="s">
        <v>769</v>
      </c>
      <c r="C4" s="10" t="s">
        <v>768</v>
      </c>
      <c r="D4" s="10" t="s">
        <v>1</v>
      </c>
      <c r="E4" s="10" t="s">
        <v>156</v>
      </c>
      <c r="F4" s="10" t="s">
        <v>770</v>
      </c>
      <c r="G4" s="10" t="s">
        <v>772</v>
      </c>
      <c r="H4" s="10" t="s">
        <v>771</v>
      </c>
      <c r="I4" s="10" t="s">
        <v>96</v>
      </c>
      <c r="J4" s="10">
        <v>32</v>
      </c>
      <c r="K4" s="10" t="s">
        <v>773</v>
      </c>
      <c r="L4" s="10" t="s">
        <v>94</v>
      </c>
      <c r="M4" s="10" t="s">
        <v>435</v>
      </c>
      <c r="N4" s="3" t="s">
        <v>774</v>
      </c>
      <c r="O4" s="10" t="s">
        <v>775</v>
      </c>
      <c r="P4" s="10" t="s">
        <v>277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 t="s">
        <v>409</v>
      </c>
      <c r="T4" s="3">
        <v>0</v>
      </c>
      <c r="U4" s="3" t="str">
        <f>DEC2HEX($T4,2)</f>
        <v>00</v>
      </c>
      <c r="V4" s="3">
        <v>0</v>
      </c>
      <c r="W4" s="3" t="str">
        <f>DEC2HEX($V4,3)</f>
        <v>000</v>
      </c>
      <c r="X4" s="3" t="str">
        <f t="shared" ref="X4:X69" si="0">IF($S4="x",IF(($J4-COUNTIF($Y4:$AA4,"X")*8)&gt;=1,"X",""),IF(COUNTIF($X3,"X"),"",IF(COUNTIF($Y4:$AA4,"X"),IF(($J4-COUNTIF($Y4:$AA4,"X")*8)&gt;=1,"X",""),"X")))</f>
        <v>X</v>
      </c>
      <c r="Y4" s="3" t="str">
        <f t="shared" ref="Y4:Y69" si="1">IF($S4="x",IF(($J4-COUNTIF($Z4:$AA4,"X")*8)&gt;=1,"X",""),IF(COUNTIF($X3:$Y3,"X"),"",IF(COUNTIF($Z4:$AA4,"X"),IF(($J4-COUNTIF($Z4:$AA4,"X")*8)&gt;=1,"X",""),"X")))</f>
        <v>X</v>
      </c>
      <c r="Z4" s="3" t="str">
        <f t="shared" ref="Z4:Z69" si="2">IF($S4="x",IF(($J4-COUNTIF($AA4,"X")*8)&gt;=1,"X",""),IF(COUNTIF($X3:$Z3,"X"),"",IF(COUNTIF($AA4,"X"),IF(($J4-COUNTIF($AA4,"X")*8)&gt;=1,"X",""),"X")))</f>
        <v>X</v>
      </c>
      <c r="AA4" s="3" t="str">
        <f t="shared" ref="AA4:AA69" si="3">IF($S4="x","X","")</f>
        <v>X</v>
      </c>
      <c r="AB4" s="3" t="str">
        <f t="shared" ref="AB4:AB5" si="4">IF(X4="","",CONCATENATE("(",IF(($J4-COUNTIF($Y4:$AA4,"X")*8)=1,"24)",CONCATENATE(IF(($J4-COUNTIF($Y4:$AA4,"X")*8)&gt;=8,32,($J4-COUNTIF($Y4:$AA4,"X")*8)+24)-1," downto 24)"))))</f>
        <v>(31 downto 24)</v>
      </c>
      <c r="AC4" s="3" t="str">
        <f t="shared" ref="AC4:AC5" si="5">IF(Y4="","",CONCATENATE("(",IF(($J4-COUNTIF($Z4:$AA4,"X")*8)=1,"16)",CONCATENATE(IF(($J4-COUNTIF($Z4:$AA4,"X")*8)&gt;=8,24,($J4-COUNTIF($Z4:$AA4,"X")*8)+16)-1," downto 16)"))))</f>
        <v>(23 downto 16)</v>
      </c>
      <c r="AD4" s="3" t="str">
        <f t="shared" ref="AD4:AD5" si="6">IF(Z4="","",CONCATENATE("(",IF(($J4-COUNTIF($AA4,"X")*8)=1,"8)",CONCATENATE(IF(($J4-COUNTIF($AA4,"X")*8)&gt;=8,16,($J4-COUNTIF($AA4,"X")*8)+8)-1," downto 8)"))))</f>
        <v>(15 downto 8)</v>
      </c>
      <c r="AE4" s="3" t="str">
        <f t="shared" ref="AE4:AE5" si="7">IF(AA4="","",CONCATENATE("(",IF($J4=1,"0)",CONCATENATE(IF($J4&gt;=8,8,$J4)-1," downto 0)"))))</f>
        <v>(7 downto 0)</v>
      </c>
      <c r="AF4" s="3" t="str">
        <f t="shared" ref="AF4:AF5" si="8">IF(X4="","",IF($J4&lt;=8,"",IF(($J4-COUNTIF($Y4:$AA4,"X")*8)=1,CONCATENATE("(",($J4-1),")"),CONCATENATE("(",IF(($J4-COUNTIF($Y4:$AA4,"X")*8)&gt;=8,COUNTIF($Y4:$AA4,"X")*8+7,$J4-COUNTIF($Y4:$AA4,"X")*8-1)," downto ",COUNTIF($Y4:$AA4,"X")*8,")"))))</f>
        <v>(31 downto 24)</v>
      </c>
      <c r="AG4" s="3" t="str">
        <f t="shared" ref="AG4:AG5" si="9">IF(Y4="","",IF($J4&lt;=8,"",IF(($J4-COUNTIF($Z4:$AA4,"X")*8)=1,CONCATENATE("(",($J4-1),")"),CONCATENATE("(",IF(($J4-COUNTIF($Z4:$AA4,"X")*8)&gt;=8,COUNTIF($Z4:$AA4,"X")*8+7,$J4-COUNTIF($Z4:$AA4,"X")*8-1)," downto ",COUNTIF($Z4:$AA4,"X")*8,")"))))</f>
        <v>(23 downto 16)</v>
      </c>
      <c r="AH4" s="3" t="str">
        <f t="shared" ref="AH4:AH5" si="10">IF(Z4="","",IF($J4&lt;=8,"",IF(($J4-COUNTIF($AA4,"X")*8)=1,CONCATENATE("(",($J4-1),")"),CONCATENATE("(",IF(($J4-COUNTIF($AA4,"X")*8)&gt;=8,COUNTIF($AA4,"X")*8+7,$J4-COUNTIF($AA4,"X")*8-1)," downto ",COUNTIF($AA4,"X")*8,")"))))</f>
        <v>(15 downto 8)</v>
      </c>
      <c r="AI4" s="3" t="str">
        <f t="shared" ref="AI4:AI5" si="11">IF(AA4="","",IF($J4&lt;=8,"",CONCATENATE("(",IF($J4&gt;=8,7,$J4-1)," downto ",0,")")))</f>
        <v>(7 downto 0)</v>
      </c>
    </row>
    <row r="5" spans="1:36" x14ac:dyDescent="0.3">
      <c r="B5" s="3" t="s">
        <v>173</v>
      </c>
      <c r="C5" s="3" t="s">
        <v>233</v>
      </c>
      <c r="D5" s="3" t="s">
        <v>1</v>
      </c>
      <c r="E5" s="3" t="s">
        <v>156</v>
      </c>
      <c r="F5" s="3" t="s">
        <v>160</v>
      </c>
      <c r="G5" s="3" t="s">
        <v>154</v>
      </c>
      <c r="H5" s="3" t="s">
        <v>155</v>
      </c>
      <c r="I5" s="3" t="s">
        <v>96</v>
      </c>
      <c r="J5" s="3">
        <v>1</v>
      </c>
      <c r="K5" s="9" t="s">
        <v>414</v>
      </c>
      <c r="L5" s="3" t="s">
        <v>94</v>
      </c>
      <c r="M5" s="10" t="s">
        <v>435</v>
      </c>
      <c r="N5" s="3" t="s">
        <v>378</v>
      </c>
      <c r="O5" s="3" t="s">
        <v>379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 t="str">
        <f>IF(IF($S4="x",SUM($R4:$R5))&gt;4,"x","")</f>
        <v>x</v>
      </c>
      <c r="T5" s="3">
        <f>IF($S5="x",$T4+1,$T4)</f>
        <v>1</v>
      </c>
      <c r="U5" s="3" t="str">
        <f t="shared" ref="U5:U68" si="12">DEC2HEX($T5,2)</f>
        <v>01</v>
      </c>
      <c r="V5" s="3">
        <f>IF($S5="x",$T5*4,$V4+1)</f>
        <v>4</v>
      </c>
      <c r="W5" s="3" t="str">
        <f>DEC2HEX($V5,3)</f>
        <v>004</v>
      </c>
      <c r="X5" s="3" t="str">
        <f t="shared" si="0"/>
        <v/>
      </c>
      <c r="Y5" s="3" t="str">
        <f t="shared" si="1"/>
        <v/>
      </c>
      <c r="Z5" s="3" t="str">
        <f t="shared" si="2"/>
        <v/>
      </c>
      <c r="AA5" s="3" t="str">
        <f t="shared" si="3"/>
        <v>X</v>
      </c>
      <c r="AB5" s="3" t="str">
        <f t="shared" si="4"/>
        <v/>
      </c>
      <c r="AC5" s="3" t="str">
        <f t="shared" si="5"/>
        <v/>
      </c>
      <c r="AD5" s="3" t="str">
        <f t="shared" si="6"/>
        <v/>
      </c>
      <c r="AE5" s="3" t="str">
        <f t="shared" si="7"/>
        <v>(0)</v>
      </c>
      <c r="AF5" s="3" t="str">
        <f t="shared" si="8"/>
        <v/>
      </c>
      <c r="AG5" s="3" t="str">
        <f t="shared" si="9"/>
        <v/>
      </c>
      <c r="AH5" s="3" t="str">
        <f t="shared" si="10"/>
        <v/>
      </c>
      <c r="AI5" s="3" t="str">
        <f t="shared" si="11"/>
        <v/>
      </c>
    </row>
    <row r="6" spans="1:36" x14ac:dyDescent="0.3">
      <c r="B6" s="10" t="s">
        <v>996</v>
      </c>
      <c r="C6" s="3" t="s">
        <v>999</v>
      </c>
      <c r="D6" s="10" t="s">
        <v>1</v>
      </c>
      <c r="E6" s="10" t="s">
        <v>156</v>
      </c>
      <c r="F6" s="10" t="s">
        <v>995</v>
      </c>
      <c r="G6" s="3" t="s">
        <v>1007</v>
      </c>
      <c r="H6" s="3" t="s">
        <v>1013</v>
      </c>
      <c r="I6" s="10" t="s">
        <v>96</v>
      </c>
      <c r="J6" s="10">
        <v>32</v>
      </c>
      <c r="K6" s="10" t="s">
        <v>773</v>
      </c>
      <c r="L6" s="10" t="s">
        <v>94</v>
      </c>
      <c r="M6" s="3" t="s">
        <v>433</v>
      </c>
      <c r="N6" s="3" t="s">
        <v>1027</v>
      </c>
      <c r="O6" s="3" t="s">
        <v>1034</v>
      </c>
      <c r="P6" s="10" t="s">
        <v>277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 t="str">
        <f>IF(IF($S5="x",SUM($R5:$R6),IF($S4="x",SUM($R4:$R6),))&gt;4,"x","")</f>
        <v>x</v>
      </c>
      <c r="T6" s="3">
        <f t="shared" ref="T6:T69" si="13">IF($S6="x",$T5+1,$T5)</f>
        <v>2</v>
      </c>
      <c r="U6" s="3" t="str">
        <f t="shared" si="12"/>
        <v>02</v>
      </c>
      <c r="V6" s="3">
        <f t="shared" ref="V6:V69" si="14">IF($S6="x",$T6*4,$V5+1)</f>
        <v>8</v>
      </c>
      <c r="W6" s="3" t="str">
        <f t="shared" ref="W6:W69" si="15">DEC2HEX($V6,3)</f>
        <v>008</v>
      </c>
      <c r="X6" s="3" t="str">
        <f t="shared" si="0"/>
        <v>X</v>
      </c>
      <c r="Y6" s="3" t="str">
        <f t="shared" si="1"/>
        <v>X</v>
      </c>
      <c r="Z6" s="3" t="str">
        <f t="shared" si="2"/>
        <v>X</v>
      </c>
      <c r="AA6" s="3" t="str">
        <f t="shared" si="3"/>
        <v>X</v>
      </c>
      <c r="AB6" s="3" t="str">
        <f t="shared" ref="AB6:AB69" si="16">IF(X6="","",CONCATENATE("(",IF(($J6-COUNTIF($Y6:$AA6,"X")*8)=1,"24)",CONCATENATE(IF(($J6-COUNTIF($Y6:$AA6,"X")*8)&gt;=8,32,($J6-COUNTIF($Y6:$AA6,"X")*8)+24)-1," downto 24)"))))</f>
        <v>(31 downto 24)</v>
      </c>
      <c r="AC6" s="3" t="str">
        <f t="shared" ref="AC6:AC69" si="17">IF(Y6="","",CONCATENATE("(",IF(($J6-COUNTIF($Z6:$AA6,"X")*8)=1,"16)",CONCATENATE(IF(($J6-COUNTIF($Z6:$AA6,"X")*8)&gt;=8,24,($J6-COUNTIF($Z6:$AA6,"X")*8)+16)-1," downto 16)"))))</f>
        <v>(23 downto 16)</v>
      </c>
      <c r="AD6" s="3" t="str">
        <f t="shared" ref="AD6:AD69" si="18">IF(Z6="","",CONCATENATE("(",IF(($J6-COUNTIF($AA6,"X")*8)=1,"8)",CONCATENATE(IF(($J6-COUNTIF($AA6,"X")*8)&gt;=8,16,($J6-COUNTIF($AA6,"X")*8)+8)-1," downto 8)"))))</f>
        <v>(15 downto 8)</v>
      </c>
      <c r="AE6" s="3" t="str">
        <f t="shared" ref="AE6:AE69" si="19">IF(AA6="","",CONCATENATE("(",IF($J6=1,"0)",CONCATENATE(IF($J6&gt;=8,8,$J6)-1," downto 0)"))))</f>
        <v>(7 downto 0)</v>
      </c>
      <c r="AF6" s="3" t="str">
        <f t="shared" ref="AF6:AF69" si="20">IF(X6="","",IF($J6&lt;=8,"",IF(($J6-COUNTIF($Y6:$AA6,"X")*8)=1,CONCATENATE("(",($J6-1),")"),CONCATENATE("(",IF(($J6-COUNTIF($Y6:$AA6,"X")*8)&gt;=8,COUNTIF($Y6:$AA6,"X")*8+7,$J6-COUNTIF($Y6:$AA6,"X")*8-1)," downto ",COUNTIF($Y6:$AA6,"X")*8,")"))))</f>
        <v>(31 downto 24)</v>
      </c>
      <c r="AG6" s="3" t="str">
        <f t="shared" ref="AG6:AG69" si="21">IF(Y6="","",IF($J6&lt;=8,"",IF(($J6-COUNTIF($Z6:$AA6,"X")*8)=1,CONCATENATE("(",($J6-1),")"),CONCATENATE("(",IF(($J6-COUNTIF($Z6:$AA6,"X")*8)&gt;=8,COUNTIF($Z6:$AA6,"X")*8+7,$J6-COUNTIF($Z6:$AA6,"X")*8-1)," downto ",COUNTIF($Z6:$AA6,"X")*8,")"))))</f>
        <v>(23 downto 16)</v>
      </c>
      <c r="AH6" s="3" t="str">
        <f t="shared" ref="AH6:AH69" si="22">IF(Z6="","",IF($J6&lt;=8,"",IF(($J6-COUNTIF($AA6,"X")*8)=1,CONCATENATE("(",($J6-1),")"),CONCATENATE("(",IF(($J6-COUNTIF($AA6,"X")*8)&gt;=8,COUNTIF($AA6,"X")*8+7,$J6-COUNTIF($AA6,"X")*8-1)," downto ",COUNTIF($AA6,"X")*8,")"))))</f>
        <v>(15 downto 8)</v>
      </c>
      <c r="AI6" s="3" t="str">
        <f t="shared" ref="AI6:AI69" si="23">IF(AA6="","",IF($J6&lt;=8,"",CONCATENATE("(",IF($J6&gt;=8,7,$J6-1)," downto ",0,")")))</f>
        <v>(7 downto 0)</v>
      </c>
    </row>
    <row r="7" spans="1:36" x14ac:dyDescent="0.3">
      <c r="A7" s="18"/>
      <c r="B7" s="3" t="s">
        <v>989</v>
      </c>
      <c r="C7" s="3" t="s">
        <v>174</v>
      </c>
      <c r="D7" s="3" t="s">
        <v>1</v>
      </c>
      <c r="E7" s="3" t="s">
        <v>156</v>
      </c>
      <c r="F7" s="3" t="s">
        <v>968</v>
      </c>
      <c r="G7" s="3" t="s">
        <v>984</v>
      </c>
      <c r="H7" s="3" t="s">
        <v>95</v>
      </c>
      <c r="I7" s="3" t="s">
        <v>96</v>
      </c>
      <c r="J7" s="3">
        <v>1</v>
      </c>
      <c r="K7" s="9" t="s">
        <v>414</v>
      </c>
      <c r="L7" s="3" t="s">
        <v>94</v>
      </c>
      <c r="M7" s="3" t="s">
        <v>433</v>
      </c>
      <c r="N7" s="3" t="s">
        <v>237</v>
      </c>
      <c r="O7" s="3" t="s">
        <v>240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 t="str">
        <f>IF(IF($S6="x",SUM($R6:$R7),IF($S5="x",SUM($R5:$R7),IF($S4="x",SUM($R4:$R7))))&gt;4,"x","")</f>
        <v>x</v>
      </c>
      <c r="T7" s="3">
        <f t="shared" si="13"/>
        <v>3</v>
      </c>
      <c r="U7" s="3" t="str">
        <f t="shared" si="12"/>
        <v>03</v>
      </c>
      <c r="V7" s="3">
        <f t="shared" si="14"/>
        <v>12</v>
      </c>
      <c r="W7" s="3" t="str">
        <f t="shared" si="15"/>
        <v>00C</v>
      </c>
      <c r="X7" s="3" t="str">
        <f t="shared" si="0"/>
        <v/>
      </c>
      <c r="Y7" s="3" t="str">
        <f t="shared" si="1"/>
        <v/>
      </c>
      <c r="Z7" s="3" t="str">
        <f t="shared" si="2"/>
        <v/>
      </c>
      <c r="AA7" s="3" t="str">
        <f t="shared" si="3"/>
        <v>X</v>
      </c>
      <c r="AB7" s="3" t="str">
        <f t="shared" si="16"/>
        <v/>
      </c>
      <c r="AC7" s="3" t="str">
        <f t="shared" si="17"/>
        <v/>
      </c>
      <c r="AD7" s="3" t="str">
        <f t="shared" si="18"/>
        <v/>
      </c>
      <c r="AE7" s="3" t="str">
        <f t="shared" si="19"/>
        <v>(0)</v>
      </c>
      <c r="AF7" s="3" t="str">
        <f t="shared" si="20"/>
        <v/>
      </c>
      <c r="AG7" s="3" t="str">
        <f t="shared" si="21"/>
        <v/>
      </c>
      <c r="AH7" s="3" t="str">
        <f t="shared" si="22"/>
        <v/>
      </c>
      <c r="AI7" s="3" t="str">
        <f t="shared" si="23"/>
        <v/>
      </c>
    </row>
    <row r="8" spans="1:36" x14ac:dyDescent="0.3">
      <c r="B8" s="3" t="s">
        <v>989</v>
      </c>
      <c r="C8" s="3" t="s">
        <v>175</v>
      </c>
      <c r="D8" s="3" t="s">
        <v>1</v>
      </c>
      <c r="E8" s="3" t="s">
        <v>156</v>
      </c>
      <c r="F8" s="3" t="s">
        <v>968</v>
      </c>
      <c r="G8" s="3" t="s">
        <v>984</v>
      </c>
      <c r="H8" s="3" t="s">
        <v>97</v>
      </c>
      <c r="I8" s="3" t="s">
        <v>96</v>
      </c>
      <c r="J8" s="3">
        <v>1</v>
      </c>
      <c r="K8" s="9" t="s">
        <v>414</v>
      </c>
      <c r="L8" s="3" t="s">
        <v>94</v>
      </c>
      <c r="M8" s="3" t="s">
        <v>433</v>
      </c>
      <c r="N8" s="3" t="s">
        <v>237</v>
      </c>
      <c r="O8" s="3" t="s">
        <v>239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 t="str">
        <f>IF(IF($S7="x",SUM($R7:$R8),IF($S6="x",SUM($R6:$R8),IF($S5="x",SUM($R5:$R8),IF($S4="x",SUM($R4:$R8),0))))&gt;4,"x","")</f>
        <v>x</v>
      </c>
      <c r="T8" s="3">
        <f t="shared" si="13"/>
        <v>4</v>
      </c>
      <c r="U8" s="3" t="str">
        <f t="shared" si="12"/>
        <v>04</v>
      </c>
      <c r="V8" s="3">
        <f t="shared" si="14"/>
        <v>16</v>
      </c>
      <c r="W8" s="3" t="str">
        <f t="shared" si="15"/>
        <v>010</v>
      </c>
      <c r="X8" s="3" t="str">
        <f t="shared" si="0"/>
        <v/>
      </c>
      <c r="Y8" s="3" t="str">
        <f t="shared" si="1"/>
        <v/>
      </c>
      <c r="Z8" s="3" t="str">
        <f t="shared" si="2"/>
        <v/>
      </c>
      <c r="AA8" s="3" t="str">
        <f t="shared" si="3"/>
        <v>X</v>
      </c>
      <c r="AB8" s="3" t="str">
        <f t="shared" si="16"/>
        <v/>
      </c>
      <c r="AC8" s="3" t="str">
        <f t="shared" si="17"/>
        <v/>
      </c>
      <c r="AD8" s="3" t="str">
        <f t="shared" si="18"/>
        <v/>
      </c>
      <c r="AE8" s="3" t="str">
        <f t="shared" si="19"/>
        <v>(0)</v>
      </c>
      <c r="AF8" s="3" t="str">
        <f t="shared" si="20"/>
        <v/>
      </c>
      <c r="AG8" s="3" t="str">
        <f t="shared" si="21"/>
        <v/>
      </c>
      <c r="AH8" s="3" t="str">
        <f t="shared" si="22"/>
        <v/>
      </c>
      <c r="AI8" s="3" t="str">
        <f t="shared" si="23"/>
        <v/>
      </c>
    </row>
    <row r="9" spans="1:36" x14ac:dyDescent="0.3">
      <c r="B9" s="3" t="s">
        <v>989</v>
      </c>
      <c r="C9" s="3" t="s">
        <v>176</v>
      </c>
      <c r="D9" s="3" t="s">
        <v>1</v>
      </c>
      <c r="E9" s="3" t="s">
        <v>156</v>
      </c>
      <c r="F9" s="3" t="s">
        <v>968</v>
      </c>
      <c r="G9" s="3" t="s">
        <v>984</v>
      </c>
      <c r="H9" s="3" t="s">
        <v>98</v>
      </c>
      <c r="I9" s="3" t="s">
        <v>96</v>
      </c>
      <c r="J9" s="3">
        <v>1</v>
      </c>
      <c r="K9" s="9" t="s">
        <v>414</v>
      </c>
      <c r="L9" s="3" t="s">
        <v>94</v>
      </c>
      <c r="M9" s="3" t="s">
        <v>433</v>
      </c>
      <c r="N9" s="3" t="s">
        <v>237</v>
      </c>
      <c r="O9" s="3" t="s">
        <v>238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 t="str">
        <f t="shared" ref="S9:S72" si="24">IF(IF($S8="x",SUM($R8:$R9),IF($S7="x",SUM($R7:$R9),IF($S6="x",SUM($R6:$R9),IF($S5="x",SUM($R5:$R9),0))))&gt;4,"x","")</f>
        <v>x</v>
      </c>
      <c r="T9" s="3">
        <f t="shared" si="13"/>
        <v>5</v>
      </c>
      <c r="U9" s="3" t="str">
        <f t="shared" si="12"/>
        <v>05</v>
      </c>
      <c r="V9" s="3">
        <f t="shared" si="14"/>
        <v>20</v>
      </c>
      <c r="W9" s="3" t="str">
        <f t="shared" si="15"/>
        <v>014</v>
      </c>
      <c r="X9" s="3" t="str">
        <f t="shared" si="0"/>
        <v/>
      </c>
      <c r="Y9" s="3" t="str">
        <f t="shared" si="1"/>
        <v/>
      </c>
      <c r="Z9" s="3" t="str">
        <f t="shared" si="2"/>
        <v/>
      </c>
      <c r="AA9" s="3" t="str">
        <f t="shared" si="3"/>
        <v>X</v>
      </c>
      <c r="AB9" s="3" t="str">
        <f t="shared" si="16"/>
        <v/>
      </c>
      <c r="AC9" s="3" t="str">
        <f t="shared" si="17"/>
        <v/>
      </c>
      <c r="AD9" s="3" t="str">
        <f t="shared" si="18"/>
        <v/>
      </c>
      <c r="AE9" s="3" t="str">
        <f t="shared" si="19"/>
        <v>(0)</v>
      </c>
      <c r="AF9" s="3" t="str">
        <f t="shared" si="20"/>
        <v/>
      </c>
      <c r="AG9" s="3" t="str">
        <f t="shared" si="21"/>
        <v/>
      </c>
      <c r="AH9" s="3" t="str">
        <f t="shared" si="22"/>
        <v/>
      </c>
      <c r="AI9" s="3" t="str">
        <f t="shared" si="23"/>
        <v/>
      </c>
    </row>
    <row r="10" spans="1:36" x14ac:dyDescent="0.3">
      <c r="B10" s="3" t="s">
        <v>989</v>
      </c>
      <c r="C10" s="3" t="s">
        <v>177</v>
      </c>
      <c r="D10" s="3" t="s">
        <v>1</v>
      </c>
      <c r="E10" s="3" t="s">
        <v>156</v>
      </c>
      <c r="F10" s="3" t="s">
        <v>968</v>
      </c>
      <c r="G10" s="3" t="s">
        <v>984</v>
      </c>
      <c r="H10" s="3" t="s">
        <v>99</v>
      </c>
      <c r="I10" s="3" t="s">
        <v>96</v>
      </c>
      <c r="J10" s="3">
        <v>8</v>
      </c>
      <c r="K10" s="9" t="s">
        <v>955</v>
      </c>
      <c r="L10" s="3" t="s">
        <v>94</v>
      </c>
      <c r="M10" s="3" t="s">
        <v>433</v>
      </c>
      <c r="N10" s="3" t="s">
        <v>237</v>
      </c>
      <c r="O10" s="3" t="s">
        <v>241</v>
      </c>
      <c r="P10" s="3" t="s">
        <v>242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 t="str">
        <f t="shared" si="24"/>
        <v>x</v>
      </c>
      <c r="T10" s="3">
        <f t="shared" si="13"/>
        <v>6</v>
      </c>
      <c r="U10" s="3" t="str">
        <f t="shared" si="12"/>
        <v>06</v>
      </c>
      <c r="V10" s="3">
        <f t="shared" si="14"/>
        <v>24</v>
      </c>
      <c r="W10" s="3" t="str">
        <f t="shared" si="15"/>
        <v>018</v>
      </c>
      <c r="X10" s="3" t="str">
        <f t="shared" si="0"/>
        <v/>
      </c>
      <c r="Y10" s="3" t="str">
        <f t="shared" si="1"/>
        <v/>
      </c>
      <c r="Z10" s="3" t="str">
        <f t="shared" si="2"/>
        <v/>
      </c>
      <c r="AA10" s="3" t="str">
        <f t="shared" si="3"/>
        <v>X</v>
      </c>
      <c r="AB10" s="3" t="str">
        <f t="shared" si="16"/>
        <v/>
      </c>
      <c r="AC10" s="3" t="str">
        <f t="shared" si="17"/>
        <v/>
      </c>
      <c r="AD10" s="3" t="str">
        <f t="shared" si="18"/>
        <v/>
      </c>
      <c r="AE10" s="3" t="str">
        <f t="shared" si="19"/>
        <v>(7 downto 0)</v>
      </c>
      <c r="AF10" s="3" t="str">
        <f t="shared" si="20"/>
        <v/>
      </c>
      <c r="AG10" s="3" t="str">
        <f t="shared" si="21"/>
        <v/>
      </c>
      <c r="AH10" s="3" t="str">
        <f t="shared" si="22"/>
        <v/>
      </c>
      <c r="AI10" s="3" t="str">
        <f t="shared" si="23"/>
        <v/>
      </c>
    </row>
    <row r="11" spans="1:36" x14ac:dyDescent="0.3">
      <c r="B11" s="3" t="s">
        <v>990</v>
      </c>
      <c r="C11" s="3" t="s">
        <v>178</v>
      </c>
      <c r="D11" s="3" t="s">
        <v>0</v>
      </c>
      <c r="E11" s="3" t="s">
        <v>161</v>
      </c>
      <c r="F11" s="3" t="s">
        <v>969</v>
      </c>
      <c r="G11" s="3" t="s">
        <v>985</v>
      </c>
      <c r="H11" s="3" t="s">
        <v>100</v>
      </c>
      <c r="I11" s="3" t="s">
        <v>96</v>
      </c>
      <c r="J11" s="3">
        <v>1</v>
      </c>
      <c r="K11" s="3" t="s">
        <v>94</v>
      </c>
      <c r="L11" s="3" t="s">
        <v>94</v>
      </c>
      <c r="M11" s="3" t="s">
        <v>433</v>
      </c>
      <c r="N11" s="3" t="s">
        <v>247</v>
      </c>
      <c r="O11" s="3" t="s">
        <v>250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 t="str">
        <f t="shared" si="24"/>
        <v>x</v>
      </c>
      <c r="T11" s="3">
        <f t="shared" si="13"/>
        <v>7</v>
      </c>
      <c r="U11" s="3" t="str">
        <f t="shared" si="12"/>
        <v>07</v>
      </c>
      <c r="V11" s="3">
        <f t="shared" si="14"/>
        <v>28</v>
      </c>
      <c r="W11" s="3" t="str">
        <f t="shared" si="15"/>
        <v>01C</v>
      </c>
      <c r="X11" s="3" t="str">
        <f t="shared" si="0"/>
        <v/>
      </c>
      <c r="Y11" s="3" t="str">
        <f t="shared" si="1"/>
        <v/>
      </c>
      <c r="Z11" s="3" t="str">
        <f t="shared" si="2"/>
        <v/>
      </c>
      <c r="AA11" s="3" t="str">
        <f t="shared" si="3"/>
        <v>X</v>
      </c>
      <c r="AB11" s="3" t="str">
        <f t="shared" si="16"/>
        <v/>
      </c>
      <c r="AC11" s="3" t="str">
        <f t="shared" si="17"/>
        <v/>
      </c>
      <c r="AD11" s="3" t="str">
        <f t="shared" si="18"/>
        <v/>
      </c>
      <c r="AE11" s="3" t="str">
        <f t="shared" si="19"/>
        <v>(0)</v>
      </c>
      <c r="AF11" s="3" t="str">
        <f t="shared" si="20"/>
        <v/>
      </c>
      <c r="AG11" s="3" t="str">
        <f t="shared" si="21"/>
        <v/>
      </c>
      <c r="AH11" s="3" t="str">
        <f t="shared" si="22"/>
        <v/>
      </c>
      <c r="AI11" s="3" t="str">
        <f t="shared" si="23"/>
        <v/>
      </c>
    </row>
    <row r="12" spans="1:36" x14ac:dyDescent="0.3">
      <c r="B12" s="3" t="s">
        <v>990</v>
      </c>
      <c r="C12" s="3" t="s">
        <v>179</v>
      </c>
      <c r="D12" s="3" t="s">
        <v>0</v>
      </c>
      <c r="E12" s="3" t="s">
        <v>161</v>
      </c>
      <c r="F12" s="3" t="s">
        <v>969</v>
      </c>
      <c r="G12" s="3" t="s">
        <v>985</v>
      </c>
      <c r="H12" s="3" t="s">
        <v>101</v>
      </c>
      <c r="I12" s="3" t="s">
        <v>96</v>
      </c>
      <c r="J12" s="3">
        <v>1</v>
      </c>
      <c r="K12" s="3" t="s">
        <v>94</v>
      </c>
      <c r="L12" s="3" t="s">
        <v>94</v>
      </c>
      <c r="M12" s="3" t="s">
        <v>433</v>
      </c>
      <c r="N12" s="3" t="s">
        <v>247</v>
      </c>
      <c r="O12" s="3" t="s">
        <v>249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 t="str">
        <f t="shared" si="24"/>
        <v>x</v>
      </c>
      <c r="T12" s="3">
        <f t="shared" si="13"/>
        <v>8</v>
      </c>
      <c r="U12" s="3" t="str">
        <f t="shared" si="12"/>
        <v>08</v>
      </c>
      <c r="V12" s="3">
        <f t="shared" si="14"/>
        <v>32</v>
      </c>
      <c r="W12" s="3" t="str">
        <f t="shared" si="15"/>
        <v>020</v>
      </c>
      <c r="X12" s="3" t="str">
        <f t="shared" si="0"/>
        <v/>
      </c>
      <c r="Y12" s="3" t="str">
        <f t="shared" si="1"/>
        <v/>
      </c>
      <c r="Z12" s="3" t="str">
        <f t="shared" si="2"/>
        <v/>
      </c>
      <c r="AA12" s="3" t="str">
        <f t="shared" si="3"/>
        <v>X</v>
      </c>
      <c r="AB12" s="3" t="str">
        <f t="shared" si="16"/>
        <v/>
      </c>
      <c r="AC12" s="3" t="str">
        <f t="shared" si="17"/>
        <v/>
      </c>
      <c r="AD12" s="3" t="str">
        <f t="shared" si="18"/>
        <v/>
      </c>
      <c r="AE12" s="3" t="str">
        <f t="shared" si="19"/>
        <v>(0)</v>
      </c>
      <c r="AF12" s="3" t="str">
        <f t="shared" si="20"/>
        <v/>
      </c>
      <c r="AG12" s="3" t="str">
        <f t="shared" si="21"/>
        <v/>
      </c>
      <c r="AH12" s="3" t="str">
        <f t="shared" si="22"/>
        <v/>
      </c>
      <c r="AI12" s="3" t="str">
        <f t="shared" si="23"/>
        <v/>
      </c>
    </row>
    <row r="13" spans="1:36" x14ac:dyDescent="0.3">
      <c r="B13" s="3" t="s">
        <v>990</v>
      </c>
      <c r="C13" s="3" t="s">
        <v>180</v>
      </c>
      <c r="D13" s="3" t="s">
        <v>0</v>
      </c>
      <c r="E13" s="3" t="s">
        <v>161</v>
      </c>
      <c r="F13" s="3" t="s">
        <v>969</v>
      </c>
      <c r="G13" s="3" t="s">
        <v>985</v>
      </c>
      <c r="H13" s="3" t="s">
        <v>102</v>
      </c>
      <c r="I13" s="3" t="s">
        <v>96</v>
      </c>
      <c r="J13" s="3">
        <v>1</v>
      </c>
      <c r="K13" s="3" t="s">
        <v>94</v>
      </c>
      <c r="L13" s="3" t="s">
        <v>94</v>
      </c>
      <c r="M13" s="3" t="s">
        <v>433</v>
      </c>
      <c r="N13" s="3" t="s">
        <v>247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 t="str">
        <f t="shared" si="24"/>
        <v>x</v>
      </c>
      <c r="T13" s="3">
        <f t="shared" si="13"/>
        <v>9</v>
      </c>
      <c r="U13" s="3" t="str">
        <f t="shared" si="12"/>
        <v>09</v>
      </c>
      <c r="V13" s="3">
        <f t="shared" si="14"/>
        <v>36</v>
      </c>
      <c r="W13" s="3" t="str">
        <f t="shared" si="15"/>
        <v>024</v>
      </c>
      <c r="X13" s="3" t="str">
        <f t="shared" si="0"/>
        <v/>
      </c>
      <c r="Y13" s="3" t="str">
        <f t="shared" si="1"/>
        <v/>
      </c>
      <c r="Z13" s="3" t="str">
        <f t="shared" si="2"/>
        <v/>
      </c>
      <c r="AA13" s="3" t="str">
        <f t="shared" si="3"/>
        <v>X</v>
      </c>
      <c r="AB13" s="3" t="str">
        <f t="shared" si="16"/>
        <v/>
      </c>
      <c r="AC13" s="3" t="str">
        <f t="shared" si="17"/>
        <v/>
      </c>
      <c r="AD13" s="3" t="str">
        <f t="shared" si="18"/>
        <v/>
      </c>
      <c r="AE13" s="3" t="str">
        <f t="shared" si="19"/>
        <v>(0)</v>
      </c>
      <c r="AF13" s="3" t="str">
        <f t="shared" si="20"/>
        <v/>
      </c>
      <c r="AG13" s="3" t="str">
        <f t="shared" si="21"/>
        <v/>
      </c>
      <c r="AH13" s="3" t="str">
        <f t="shared" si="22"/>
        <v/>
      </c>
      <c r="AI13" s="3" t="str">
        <f t="shared" si="23"/>
        <v/>
      </c>
    </row>
    <row r="14" spans="1:36" x14ac:dyDescent="0.3">
      <c r="B14" s="3" t="s">
        <v>990</v>
      </c>
      <c r="C14" s="3" t="s">
        <v>181</v>
      </c>
      <c r="D14" s="3" t="s">
        <v>0</v>
      </c>
      <c r="E14" s="3" t="s">
        <v>161</v>
      </c>
      <c r="F14" s="3" t="s">
        <v>969</v>
      </c>
      <c r="G14" s="3" t="s">
        <v>985</v>
      </c>
      <c r="H14" s="3" t="s">
        <v>103</v>
      </c>
      <c r="I14" s="3" t="s">
        <v>96</v>
      </c>
      <c r="J14" s="3">
        <v>1</v>
      </c>
      <c r="K14" s="3" t="s">
        <v>94</v>
      </c>
      <c r="L14" s="3" t="s">
        <v>94</v>
      </c>
      <c r="M14" s="3" t="s">
        <v>433</v>
      </c>
      <c r="N14" s="3" t="s">
        <v>243</v>
      </c>
      <c r="O14" s="3" t="s">
        <v>240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 t="str">
        <f t="shared" si="24"/>
        <v>x</v>
      </c>
      <c r="T14" s="3">
        <f t="shared" si="13"/>
        <v>10</v>
      </c>
      <c r="U14" s="3" t="str">
        <f t="shared" si="12"/>
        <v>0A</v>
      </c>
      <c r="V14" s="3">
        <f t="shared" si="14"/>
        <v>40</v>
      </c>
      <c r="W14" s="3" t="str">
        <f t="shared" si="15"/>
        <v>028</v>
      </c>
      <c r="X14" s="3" t="str">
        <f t="shared" si="0"/>
        <v/>
      </c>
      <c r="Y14" s="3" t="str">
        <f t="shared" si="1"/>
        <v/>
      </c>
      <c r="Z14" s="3" t="str">
        <f t="shared" si="2"/>
        <v/>
      </c>
      <c r="AA14" s="3" t="str">
        <f t="shared" si="3"/>
        <v>X</v>
      </c>
      <c r="AB14" s="3" t="str">
        <f t="shared" si="16"/>
        <v/>
      </c>
      <c r="AC14" s="3" t="str">
        <f t="shared" si="17"/>
        <v/>
      </c>
      <c r="AD14" s="3" t="str">
        <f t="shared" si="18"/>
        <v/>
      </c>
      <c r="AE14" s="3" t="str">
        <f t="shared" si="19"/>
        <v>(0)</v>
      </c>
      <c r="AF14" s="3" t="str">
        <f t="shared" si="20"/>
        <v/>
      </c>
      <c r="AG14" s="3" t="str">
        <f t="shared" si="21"/>
        <v/>
      </c>
      <c r="AH14" s="3" t="str">
        <f t="shared" si="22"/>
        <v/>
      </c>
      <c r="AI14" s="3" t="str">
        <f t="shared" si="23"/>
        <v/>
      </c>
    </row>
    <row r="15" spans="1:36" x14ac:dyDescent="0.3">
      <c r="B15" s="3" t="s">
        <v>990</v>
      </c>
      <c r="C15" s="3" t="s">
        <v>182</v>
      </c>
      <c r="D15" s="3" t="s">
        <v>0</v>
      </c>
      <c r="E15" s="3" t="s">
        <v>161</v>
      </c>
      <c r="F15" s="3" t="s">
        <v>969</v>
      </c>
      <c r="G15" s="3" t="s">
        <v>985</v>
      </c>
      <c r="H15" s="3" t="s">
        <v>104</v>
      </c>
      <c r="I15" s="3" t="s">
        <v>96</v>
      </c>
      <c r="J15" s="3">
        <v>1</v>
      </c>
      <c r="K15" s="3" t="s">
        <v>94</v>
      </c>
      <c r="L15" s="3" t="s">
        <v>94</v>
      </c>
      <c r="M15" s="3" t="s">
        <v>433</v>
      </c>
      <c r="N15" s="3" t="s">
        <v>243</v>
      </c>
      <c r="O15" s="3" t="s">
        <v>244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 t="str">
        <f t="shared" si="24"/>
        <v>x</v>
      </c>
      <c r="T15" s="3">
        <f t="shared" si="13"/>
        <v>11</v>
      </c>
      <c r="U15" s="3" t="str">
        <f t="shared" si="12"/>
        <v>0B</v>
      </c>
      <c r="V15" s="3">
        <f t="shared" si="14"/>
        <v>44</v>
      </c>
      <c r="W15" s="3" t="str">
        <f t="shared" si="15"/>
        <v>02C</v>
      </c>
      <c r="X15" s="3" t="str">
        <f t="shared" si="0"/>
        <v/>
      </c>
      <c r="Y15" s="3" t="str">
        <f t="shared" si="1"/>
        <v/>
      </c>
      <c r="Z15" s="3" t="str">
        <f t="shared" si="2"/>
        <v/>
      </c>
      <c r="AA15" s="3" t="str">
        <f t="shared" si="3"/>
        <v>X</v>
      </c>
      <c r="AB15" s="3" t="str">
        <f t="shared" si="16"/>
        <v/>
      </c>
      <c r="AC15" s="3" t="str">
        <f t="shared" si="17"/>
        <v/>
      </c>
      <c r="AD15" s="3" t="str">
        <f t="shared" si="18"/>
        <v/>
      </c>
      <c r="AE15" s="3" t="str">
        <f t="shared" si="19"/>
        <v>(0)</v>
      </c>
      <c r="AF15" s="3" t="str">
        <f t="shared" si="20"/>
        <v/>
      </c>
      <c r="AG15" s="3" t="str">
        <f t="shared" si="21"/>
        <v/>
      </c>
      <c r="AH15" s="3" t="str">
        <f t="shared" si="22"/>
        <v/>
      </c>
      <c r="AI15" s="3" t="str">
        <f t="shared" si="23"/>
        <v/>
      </c>
    </row>
    <row r="16" spans="1:36" x14ac:dyDescent="0.3">
      <c r="B16" s="3" t="s">
        <v>990</v>
      </c>
      <c r="C16" s="3" t="s">
        <v>183</v>
      </c>
      <c r="D16" s="3" t="s">
        <v>0</v>
      </c>
      <c r="E16" s="3" t="s">
        <v>161</v>
      </c>
      <c r="F16" s="3" t="s">
        <v>969</v>
      </c>
      <c r="G16" s="3" t="s">
        <v>985</v>
      </c>
      <c r="H16" s="3" t="s">
        <v>105</v>
      </c>
      <c r="I16" s="3" t="s">
        <v>96</v>
      </c>
      <c r="J16" s="3">
        <v>1</v>
      </c>
      <c r="K16" s="3" t="s">
        <v>94</v>
      </c>
      <c r="L16" s="3" t="s">
        <v>94</v>
      </c>
      <c r="M16" s="3" t="s">
        <v>433</v>
      </c>
      <c r="N16" s="3" t="s">
        <v>243</v>
      </c>
      <c r="O16" s="3" t="s">
        <v>245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24"/>
        <v>x</v>
      </c>
      <c r="T16" s="3">
        <f t="shared" si="13"/>
        <v>12</v>
      </c>
      <c r="U16" s="3" t="str">
        <f t="shared" si="12"/>
        <v>0C</v>
      </c>
      <c r="V16" s="3">
        <f t="shared" si="14"/>
        <v>48</v>
      </c>
      <c r="W16" s="3" t="str">
        <f t="shared" si="15"/>
        <v>030</v>
      </c>
      <c r="X16" s="3" t="str">
        <f t="shared" si="0"/>
        <v/>
      </c>
      <c r="Y16" s="3" t="str">
        <f t="shared" si="1"/>
        <v/>
      </c>
      <c r="Z16" s="3" t="str">
        <f t="shared" si="2"/>
        <v/>
      </c>
      <c r="AA16" s="3" t="str">
        <f t="shared" si="3"/>
        <v>X</v>
      </c>
      <c r="AB16" s="3" t="str">
        <f t="shared" si="16"/>
        <v/>
      </c>
      <c r="AC16" s="3" t="str">
        <f t="shared" si="17"/>
        <v/>
      </c>
      <c r="AD16" s="3" t="str">
        <f t="shared" si="18"/>
        <v/>
      </c>
      <c r="AE16" s="3" t="str">
        <f t="shared" si="19"/>
        <v>(0)</v>
      </c>
      <c r="AF16" s="3" t="str">
        <f t="shared" si="20"/>
        <v/>
      </c>
      <c r="AG16" s="3" t="str">
        <f t="shared" si="21"/>
        <v/>
      </c>
      <c r="AH16" s="3" t="str">
        <f t="shared" si="22"/>
        <v/>
      </c>
      <c r="AI16" s="3" t="str">
        <f t="shared" si="23"/>
        <v/>
      </c>
    </row>
    <row r="17" spans="2:35" x14ac:dyDescent="0.3">
      <c r="B17" s="3" t="s">
        <v>990</v>
      </c>
      <c r="C17" s="3" t="s">
        <v>184</v>
      </c>
      <c r="D17" s="3" t="s">
        <v>0</v>
      </c>
      <c r="E17" s="3" t="s">
        <v>161</v>
      </c>
      <c r="F17" s="3" t="s">
        <v>969</v>
      </c>
      <c r="G17" s="3" t="s">
        <v>985</v>
      </c>
      <c r="H17" s="3" t="s">
        <v>106</v>
      </c>
      <c r="I17" s="3" t="s">
        <v>96</v>
      </c>
      <c r="J17" s="3">
        <v>1</v>
      </c>
      <c r="K17" s="3" t="s">
        <v>94</v>
      </c>
      <c r="L17" s="3" t="s">
        <v>94</v>
      </c>
      <c r="M17" s="3" t="s">
        <v>433</v>
      </c>
      <c r="N17" s="3" t="s">
        <v>243</v>
      </c>
      <c r="O17" s="3" t="s">
        <v>246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 t="str">
        <f t="shared" si="24"/>
        <v>x</v>
      </c>
      <c r="T17" s="3">
        <f t="shared" si="13"/>
        <v>13</v>
      </c>
      <c r="U17" s="3" t="str">
        <f t="shared" si="12"/>
        <v>0D</v>
      </c>
      <c r="V17" s="3">
        <f t="shared" si="14"/>
        <v>52</v>
      </c>
      <c r="W17" s="3" t="str">
        <f t="shared" si="15"/>
        <v>034</v>
      </c>
      <c r="X17" s="3" t="str">
        <f t="shared" si="0"/>
        <v/>
      </c>
      <c r="Y17" s="3" t="str">
        <f t="shared" si="1"/>
        <v/>
      </c>
      <c r="Z17" s="3" t="str">
        <f t="shared" si="2"/>
        <v/>
      </c>
      <c r="AA17" s="3" t="str">
        <f t="shared" si="3"/>
        <v>X</v>
      </c>
      <c r="AB17" s="3" t="str">
        <f t="shared" si="16"/>
        <v/>
      </c>
      <c r="AC17" s="3" t="str">
        <f t="shared" si="17"/>
        <v/>
      </c>
      <c r="AD17" s="3" t="str">
        <f t="shared" si="18"/>
        <v/>
      </c>
      <c r="AE17" s="3" t="str">
        <f t="shared" si="19"/>
        <v>(0)</v>
      </c>
      <c r="AF17" s="3" t="str">
        <f t="shared" si="20"/>
        <v/>
      </c>
      <c r="AG17" s="3" t="str">
        <f t="shared" si="21"/>
        <v/>
      </c>
      <c r="AH17" s="3" t="str">
        <f t="shared" si="22"/>
        <v/>
      </c>
      <c r="AI17" s="3" t="str">
        <f t="shared" si="23"/>
        <v/>
      </c>
    </row>
    <row r="18" spans="2:35" x14ac:dyDescent="0.3">
      <c r="B18" s="3" t="s">
        <v>964</v>
      </c>
      <c r="C18" s="3" t="s">
        <v>185</v>
      </c>
      <c r="D18" s="3" t="s">
        <v>1</v>
      </c>
      <c r="E18" s="3" t="s">
        <v>156</v>
      </c>
      <c r="F18" s="3" t="s">
        <v>966</v>
      </c>
      <c r="G18" s="3" t="s">
        <v>107</v>
      </c>
      <c r="H18" s="3" t="s">
        <v>108</v>
      </c>
      <c r="I18" s="3" t="s">
        <v>96</v>
      </c>
      <c r="J18" s="3">
        <v>1</v>
      </c>
      <c r="K18" s="9" t="s">
        <v>414</v>
      </c>
      <c r="L18" s="9" t="s">
        <v>414</v>
      </c>
      <c r="M18" s="3" t="s">
        <v>433</v>
      </c>
      <c r="N18" s="3" t="s">
        <v>979</v>
      </c>
      <c r="O18" s="3" t="s">
        <v>315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 t="str">
        <f t="shared" si="24"/>
        <v>x</v>
      </c>
      <c r="T18" s="3">
        <f t="shared" si="13"/>
        <v>14</v>
      </c>
      <c r="U18" s="3" t="str">
        <f t="shared" si="12"/>
        <v>0E</v>
      </c>
      <c r="V18" s="3">
        <f t="shared" si="14"/>
        <v>56</v>
      </c>
      <c r="W18" s="3" t="str">
        <f t="shared" si="15"/>
        <v>038</v>
      </c>
      <c r="X18" s="3" t="str">
        <f t="shared" si="0"/>
        <v/>
      </c>
      <c r="Y18" s="3" t="str">
        <f t="shared" si="1"/>
        <v/>
      </c>
      <c r="Z18" s="3" t="str">
        <f t="shared" si="2"/>
        <v/>
      </c>
      <c r="AA18" s="3" t="str">
        <f t="shared" si="3"/>
        <v>X</v>
      </c>
      <c r="AB18" s="3" t="str">
        <f t="shared" si="16"/>
        <v/>
      </c>
      <c r="AC18" s="3" t="str">
        <f t="shared" si="17"/>
        <v/>
      </c>
      <c r="AD18" s="3" t="str">
        <f t="shared" si="18"/>
        <v/>
      </c>
      <c r="AE18" s="3" t="str">
        <f t="shared" si="19"/>
        <v>(0)</v>
      </c>
      <c r="AF18" s="3" t="str">
        <f t="shared" si="20"/>
        <v/>
      </c>
      <c r="AG18" s="3" t="str">
        <f t="shared" si="21"/>
        <v/>
      </c>
      <c r="AH18" s="3" t="str">
        <f t="shared" si="22"/>
        <v/>
      </c>
      <c r="AI18" s="3" t="str">
        <f t="shared" si="23"/>
        <v/>
      </c>
    </row>
    <row r="19" spans="2:35" x14ac:dyDescent="0.3">
      <c r="B19" s="3" t="s">
        <v>964</v>
      </c>
      <c r="C19" s="3" t="s">
        <v>923</v>
      </c>
      <c r="D19" s="3" t="s">
        <v>1</v>
      </c>
      <c r="E19" s="3" t="s">
        <v>156</v>
      </c>
      <c r="F19" s="3" t="s">
        <v>966</v>
      </c>
      <c r="G19" s="3" t="s">
        <v>107</v>
      </c>
      <c r="H19" s="3" t="s">
        <v>924</v>
      </c>
      <c r="I19" s="3" t="s">
        <v>96</v>
      </c>
      <c r="J19" s="3">
        <v>1</v>
      </c>
      <c r="K19" s="9" t="s">
        <v>413</v>
      </c>
      <c r="L19" s="9" t="s">
        <v>94</v>
      </c>
      <c r="M19" s="3" t="s">
        <v>433</v>
      </c>
      <c r="N19" s="3" t="s">
        <v>979</v>
      </c>
      <c r="O19" s="3" t="s">
        <v>925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24"/>
        <v>x</v>
      </c>
      <c r="T19" s="3">
        <f t="shared" si="13"/>
        <v>15</v>
      </c>
      <c r="U19" s="3" t="str">
        <f t="shared" si="12"/>
        <v>0F</v>
      </c>
      <c r="V19" s="3">
        <f t="shared" si="14"/>
        <v>60</v>
      </c>
      <c r="W19" s="3" t="str">
        <f t="shared" si="15"/>
        <v>03C</v>
      </c>
      <c r="X19" s="3" t="str">
        <f t="shared" si="0"/>
        <v/>
      </c>
      <c r="Y19" s="3" t="str">
        <f t="shared" si="1"/>
        <v/>
      </c>
      <c r="Z19" s="3" t="str">
        <f t="shared" si="2"/>
        <v/>
      </c>
      <c r="AA19" s="3" t="str">
        <f t="shared" si="3"/>
        <v>X</v>
      </c>
      <c r="AB19" s="3" t="str">
        <f t="shared" si="16"/>
        <v/>
      </c>
      <c r="AC19" s="3" t="str">
        <f t="shared" si="17"/>
        <v/>
      </c>
      <c r="AD19" s="3" t="str">
        <f t="shared" si="18"/>
        <v/>
      </c>
      <c r="AE19" s="3" t="str">
        <f t="shared" si="19"/>
        <v>(0)</v>
      </c>
      <c r="AF19" s="3" t="str">
        <f t="shared" si="20"/>
        <v/>
      </c>
      <c r="AG19" s="3" t="str">
        <f t="shared" si="21"/>
        <v/>
      </c>
      <c r="AH19" s="3" t="str">
        <f t="shared" si="22"/>
        <v/>
      </c>
      <c r="AI19" s="3" t="str">
        <f t="shared" si="23"/>
        <v/>
      </c>
    </row>
    <row r="20" spans="2:35" x14ac:dyDescent="0.3">
      <c r="B20" s="3" t="s">
        <v>965</v>
      </c>
      <c r="C20" s="3" t="s">
        <v>186</v>
      </c>
      <c r="D20" s="3" t="s">
        <v>0</v>
      </c>
      <c r="E20" s="3" t="s">
        <v>161</v>
      </c>
      <c r="F20" s="3" t="s">
        <v>967</v>
      </c>
      <c r="G20" s="3" t="s">
        <v>109</v>
      </c>
      <c r="H20" s="3" t="s">
        <v>110</v>
      </c>
      <c r="I20" s="3" t="s">
        <v>96</v>
      </c>
      <c r="J20" s="3">
        <v>6</v>
      </c>
      <c r="K20" s="3" t="s">
        <v>94</v>
      </c>
      <c r="L20" s="3" t="s">
        <v>94</v>
      </c>
      <c r="M20" s="3" t="s">
        <v>433</v>
      </c>
      <c r="N20" s="3" t="s">
        <v>980</v>
      </c>
      <c r="O20" s="3" t="s">
        <v>314</v>
      </c>
      <c r="P20" s="3" t="s">
        <v>242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 t="str">
        <f t="shared" si="24"/>
        <v>x</v>
      </c>
      <c r="T20" s="3">
        <f t="shared" si="13"/>
        <v>16</v>
      </c>
      <c r="U20" s="3" t="str">
        <f t="shared" si="12"/>
        <v>10</v>
      </c>
      <c r="V20" s="3">
        <f t="shared" si="14"/>
        <v>64</v>
      </c>
      <c r="W20" s="3" t="str">
        <f t="shared" si="15"/>
        <v>040</v>
      </c>
      <c r="X20" s="3" t="str">
        <f t="shared" si="0"/>
        <v/>
      </c>
      <c r="Y20" s="3" t="str">
        <f t="shared" si="1"/>
        <v/>
      </c>
      <c r="Z20" s="3" t="str">
        <f t="shared" si="2"/>
        <v/>
      </c>
      <c r="AA20" s="3" t="str">
        <f t="shared" si="3"/>
        <v>X</v>
      </c>
      <c r="AB20" s="3" t="str">
        <f t="shared" si="16"/>
        <v/>
      </c>
      <c r="AC20" s="3" t="str">
        <f t="shared" si="17"/>
        <v/>
      </c>
      <c r="AD20" s="3" t="str">
        <f t="shared" si="18"/>
        <v/>
      </c>
      <c r="AE20" s="3" t="str">
        <f t="shared" si="19"/>
        <v>(5 downto 0)</v>
      </c>
      <c r="AF20" s="3" t="str">
        <f t="shared" si="20"/>
        <v/>
      </c>
      <c r="AG20" s="3" t="str">
        <f t="shared" si="21"/>
        <v/>
      </c>
      <c r="AH20" s="3" t="str">
        <f t="shared" si="22"/>
        <v/>
      </c>
      <c r="AI20" s="3" t="str">
        <f t="shared" si="23"/>
        <v/>
      </c>
    </row>
    <row r="21" spans="2:35" x14ac:dyDescent="0.3">
      <c r="B21" s="3" t="s">
        <v>965</v>
      </c>
      <c r="C21" s="3" t="s">
        <v>187</v>
      </c>
      <c r="D21" s="3" t="s">
        <v>0</v>
      </c>
      <c r="E21" s="3" t="s">
        <v>161</v>
      </c>
      <c r="F21" s="3" t="s">
        <v>967</v>
      </c>
      <c r="G21" s="3" t="s">
        <v>109</v>
      </c>
      <c r="H21" s="3" t="s">
        <v>111</v>
      </c>
      <c r="I21" s="3" t="s">
        <v>96</v>
      </c>
      <c r="J21" s="3">
        <v>2</v>
      </c>
      <c r="K21" s="3" t="s">
        <v>94</v>
      </c>
      <c r="L21" s="3" t="s">
        <v>94</v>
      </c>
      <c r="M21" s="3" t="s">
        <v>433</v>
      </c>
      <c r="N21" s="3" t="s">
        <v>980</v>
      </c>
      <c r="O21" s="3" t="s">
        <v>251</v>
      </c>
      <c r="P21" s="3" t="s">
        <v>242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 t="str">
        <f t="shared" si="24"/>
        <v/>
      </c>
      <c r="T21" s="3">
        <f t="shared" si="13"/>
        <v>16</v>
      </c>
      <c r="U21" s="3" t="str">
        <f t="shared" si="12"/>
        <v>10</v>
      </c>
      <c r="V21" s="3">
        <f t="shared" si="14"/>
        <v>65</v>
      </c>
      <c r="W21" s="3" t="str">
        <f t="shared" si="15"/>
        <v>041</v>
      </c>
      <c r="X21" s="3" t="str">
        <f t="shared" si="0"/>
        <v/>
      </c>
      <c r="Y21" s="3" t="str">
        <f t="shared" si="1"/>
        <v/>
      </c>
      <c r="Z21" s="3" t="str">
        <f t="shared" si="2"/>
        <v>X</v>
      </c>
      <c r="AA21" s="3" t="str">
        <f t="shared" si="3"/>
        <v/>
      </c>
      <c r="AB21" s="3" t="str">
        <f t="shared" si="16"/>
        <v/>
      </c>
      <c r="AC21" s="3" t="str">
        <f t="shared" si="17"/>
        <v/>
      </c>
      <c r="AD21" s="3" t="str">
        <f t="shared" si="18"/>
        <v>(9 downto 8)</v>
      </c>
      <c r="AE21" s="3" t="str">
        <f t="shared" si="19"/>
        <v/>
      </c>
      <c r="AF21" s="3" t="str">
        <f t="shared" si="20"/>
        <v/>
      </c>
      <c r="AG21" s="3" t="str">
        <f t="shared" si="21"/>
        <v/>
      </c>
      <c r="AH21" s="3" t="str">
        <f t="shared" si="22"/>
        <v/>
      </c>
      <c r="AI21" s="3" t="str">
        <f t="shared" si="23"/>
        <v/>
      </c>
    </row>
    <row r="22" spans="2:35" x14ac:dyDescent="0.3">
      <c r="B22" s="10" t="s">
        <v>998</v>
      </c>
      <c r="C22" s="10" t="s">
        <v>1000</v>
      </c>
      <c r="D22" s="10" t="s">
        <v>1</v>
      </c>
      <c r="E22" s="10" t="s">
        <v>156</v>
      </c>
      <c r="F22" s="3" t="s">
        <v>1003</v>
      </c>
      <c r="G22" s="3" t="s">
        <v>1008</v>
      </c>
      <c r="H22" s="3" t="s">
        <v>1014</v>
      </c>
      <c r="I22" s="10" t="s">
        <v>96</v>
      </c>
      <c r="J22" s="10">
        <v>32</v>
      </c>
      <c r="K22" s="10" t="s">
        <v>773</v>
      </c>
      <c r="L22" s="10" t="s">
        <v>94</v>
      </c>
      <c r="M22" s="10" t="s">
        <v>431</v>
      </c>
      <c r="N22" s="3" t="s">
        <v>1028</v>
      </c>
      <c r="O22" s="3" t="s">
        <v>1035</v>
      </c>
      <c r="P22" s="10" t="s">
        <v>277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24"/>
        <v>x</v>
      </c>
      <c r="T22" s="3">
        <f t="shared" si="13"/>
        <v>17</v>
      </c>
      <c r="U22" s="3" t="str">
        <f t="shared" si="12"/>
        <v>11</v>
      </c>
      <c r="V22" s="3">
        <f t="shared" si="14"/>
        <v>68</v>
      </c>
      <c r="W22" s="3" t="str">
        <f t="shared" si="15"/>
        <v>044</v>
      </c>
      <c r="X22" s="3" t="str">
        <f t="shared" si="0"/>
        <v>X</v>
      </c>
      <c r="Y22" s="3" t="str">
        <f t="shared" si="1"/>
        <v>X</v>
      </c>
      <c r="Z22" s="3" t="str">
        <f t="shared" si="2"/>
        <v>X</v>
      </c>
      <c r="AA22" s="3" t="str">
        <f t="shared" si="3"/>
        <v>X</v>
      </c>
      <c r="AB22" s="3" t="str">
        <f t="shared" si="16"/>
        <v>(31 downto 24)</v>
      </c>
      <c r="AC22" s="3" t="str">
        <f t="shared" si="17"/>
        <v>(23 downto 16)</v>
      </c>
      <c r="AD22" s="3" t="str">
        <f t="shared" si="18"/>
        <v>(15 downto 8)</v>
      </c>
      <c r="AE22" s="3" t="str">
        <f t="shared" si="19"/>
        <v>(7 downto 0)</v>
      </c>
      <c r="AF22" s="3" t="str">
        <f t="shared" si="20"/>
        <v>(31 downto 24)</v>
      </c>
      <c r="AG22" s="3" t="str">
        <f t="shared" si="21"/>
        <v>(23 downto 16)</v>
      </c>
      <c r="AH22" s="3" t="str">
        <f t="shared" si="22"/>
        <v>(15 downto 8)</v>
      </c>
      <c r="AI22" s="3" t="str">
        <f t="shared" si="23"/>
        <v>(7 downto 0)</v>
      </c>
    </row>
    <row r="23" spans="2:35" x14ac:dyDescent="0.3">
      <c r="B23" s="3" t="s">
        <v>974</v>
      </c>
      <c r="C23" s="3" t="s">
        <v>188</v>
      </c>
      <c r="D23" s="3" t="s">
        <v>1</v>
      </c>
      <c r="E23" s="3" t="s">
        <v>156</v>
      </c>
      <c r="F23" s="3" t="s">
        <v>975</v>
      </c>
      <c r="G23" s="3" t="s">
        <v>976</v>
      </c>
      <c r="H23" s="3" t="s">
        <v>112</v>
      </c>
      <c r="I23" s="3" t="s">
        <v>96</v>
      </c>
      <c r="J23" s="3">
        <v>1</v>
      </c>
      <c r="K23" s="9" t="s">
        <v>414</v>
      </c>
      <c r="L23" s="9" t="s">
        <v>414</v>
      </c>
      <c r="M23" s="10" t="s">
        <v>431</v>
      </c>
      <c r="N23" s="3" t="s">
        <v>340</v>
      </c>
      <c r="O23" s="3" t="s">
        <v>315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 t="str">
        <f t="shared" si="24"/>
        <v>x</v>
      </c>
      <c r="T23" s="3">
        <f t="shared" si="13"/>
        <v>18</v>
      </c>
      <c r="U23" s="3" t="str">
        <f t="shared" si="12"/>
        <v>12</v>
      </c>
      <c r="V23" s="3">
        <f t="shared" si="14"/>
        <v>72</v>
      </c>
      <c r="W23" s="3" t="str">
        <f t="shared" si="15"/>
        <v>048</v>
      </c>
      <c r="X23" s="3" t="str">
        <f t="shared" si="0"/>
        <v/>
      </c>
      <c r="Y23" s="3" t="str">
        <f t="shared" si="1"/>
        <v/>
      </c>
      <c r="Z23" s="3" t="str">
        <f t="shared" si="2"/>
        <v/>
      </c>
      <c r="AA23" s="3" t="str">
        <f t="shared" si="3"/>
        <v>X</v>
      </c>
      <c r="AB23" s="3" t="str">
        <f t="shared" si="16"/>
        <v/>
      </c>
      <c r="AC23" s="3" t="str">
        <f t="shared" si="17"/>
        <v/>
      </c>
      <c r="AD23" s="3" t="str">
        <f t="shared" si="18"/>
        <v/>
      </c>
      <c r="AE23" s="3" t="str">
        <f t="shared" si="19"/>
        <v>(0)</v>
      </c>
      <c r="AF23" s="3" t="str">
        <f t="shared" si="20"/>
        <v/>
      </c>
      <c r="AG23" s="3" t="str">
        <f t="shared" si="21"/>
        <v/>
      </c>
      <c r="AH23" s="3" t="str">
        <f t="shared" si="22"/>
        <v/>
      </c>
      <c r="AI23" s="3" t="str">
        <f t="shared" si="23"/>
        <v/>
      </c>
    </row>
    <row r="24" spans="2:35" x14ac:dyDescent="0.3">
      <c r="B24" s="3" t="s">
        <v>974</v>
      </c>
      <c r="C24" s="3" t="s">
        <v>189</v>
      </c>
      <c r="D24" s="3" t="s">
        <v>1</v>
      </c>
      <c r="E24" s="3" t="s">
        <v>156</v>
      </c>
      <c r="F24" s="3" t="s">
        <v>975</v>
      </c>
      <c r="G24" s="3" t="s">
        <v>976</v>
      </c>
      <c r="H24" s="3" t="s">
        <v>113</v>
      </c>
      <c r="I24" s="3" t="s">
        <v>96</v>
      </c>
      <c r="J24" s="3">
        <v>1</v>
      </c>
      <c r="K24" s="9" t="s">
        <v>414</v>
      </c>
      <c r="L24" s="9" t="s">
        <v>414</v>
      </c>
      <c r="M24" s="10" t="s">
        <v>431</v>
      </c>
      <c r="N24" s="3" t="s">
        <v>340</v>
      </c>
      <c r="O24" s="3" t="s">
        <v>316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 t="str">
        <f t="shared" si="24"/>
        <v>x</v>
      </c>
      <c r="T24" s="3">
        <f t="shared" si="13"/>
        <v>19</v>
      </c>
      <c r="U24" s="3" t="str">
        <f t="shared" si="12"/>
        <v>13</v>
      </c>
      <c r="V24" s="3">
        <f t="shared" si="14"/>
        <v>76</v>
      </c>
      <c r="W24" s="3" t="str">
        <f t="shared" si="15"/>
        <v>04C</v>
      </c>
      <c r="X24" s="3" t="str">
        <f t="shared" si="0"/>
        <v/>
      </c>
      <c r="Y24" s="3" t="str">
        <f t="shared" si="1"/>
        <v/>
      </c>
      <c r="Z24" s="3" t="str">
        <f t="shared" si="2"/>
        <v/>
      </c>
      <c r="AA24" s="3" t="str">
        <f t="shared" si="3"/>
        <v>X</v>
      </c>
      <c r="AB24" s="3" t="str">
        <f t="shared" si="16"/>
        <v/>
      </c>
      <c r="AC24" s="3" t="str">
        <f t="shared" si="17"/>
        <v/>
      </c>
      <c r="AD24" s="3" t="str">
        <f t="shared" si="18"/>
        <v/>
      </c>
      <c r="AE24" s="3" t="str">
        <f t="shared" si="19"/>
        <v>(0)</v>
      </c>
      <c r="AF24" s="3" t="str">
        <f t="shared" si="20"/>
        <v/>
      </c>
      <c r="AG24" s="3" t="str">
        <f t="shared" si="21"/>
        <v/>
      </c>
      <c r="AH24" s="3" t="str">
        <f t="shared" si="22"/>
        <v/>
      </c>
      <c r="AI24" s="3" t="str">
        <f t="shared" si="23"/>
        <v/>
      </c>
    </row>
    <row r="25" spans="2:35" x14ac:dyDescent="0.3">
      <c r="B25" s="3" t="s">
        <v>974</v>
      </c>
      <c r="C25" s="3" t="s">
        <v>190</v>
      </c>
      <c r="D25" s="3" t="s">
        <v>1</v>
      </c>
      <c r="E25" s="3" t="s">
        <v>156</v>
      </c>
      <c r="F25" s="3" t="s">
        <v>975</v>
      </c>
      <c r="G25" s="3" t="s">
        <v>976</v>
      </c>
      <c r="H25" s="3" t="s">
        <v>114</v>
      </c>
      <c r="I25" s="3" t="s">
        <v>96</v>
      </c>
      <c r="J25" s="3">
        <v>1</v>
      </c>
      <c r="K25" s="9" t="s">
        <v>414</v>
      </c>
      <c r="L25" s="9" t="s">
        <v>414</v>
      </c>
      <c r="M25" s="10" t="s">
        <v>431</v>
      </c>
      <c r="N25" s="3" t="s">
        <v>340</v>
      </c>
      <c r="O25" s="3" t="s">
        <v>317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 t="str">
        <f t="shared" si="24"/>
        <v>x</v>
      </c>
      <c r="T25" s="3">
        <f t="shared" si="13"/>
        <v>20</v>
      </c>
      <c r="U25" s="3" t="str">
        <f t="shared" si="12"/>
        <v>14</v>
      </c>
      <c r="V25" s="3">
        <f t="shared" si="14"/>
        <v>80</v>
      </c>
      <c r="W25" s="3" t="str">
        <f t="shared" si="15"/>
        <v>050</v>
      </c>
      <c r="X25" s="3" t="str">
        <f t="shared" si="0"/>
        <v/>
      </c>
      <c r="Y25" s="3" t="str">
        <f t="shared" si="1"/>
        <v/>
      </c>
      <c r="Z25" s="3" t="str">
        <f t="shared" si="2"/>
        <v/>
      </c>
      <c r="AA25" s="3" t="str">
        <f t="shared" si="3"/>
        <v>X</v>
      </c>
      <c r="AB25" s="3" t="str">
        <f t="shared" si="16"/>
        <v/>
      </c>
      <c r="AC25" s="3" t="str">
        <f t="shared" si="17"/>
        <v/>
      </c>
      <c r="AD25" s="3" t="str">
        <f t="shared" si="18"/>
        <v/>
      </c>
      <c r="AE25" s="3" t="str">
        <f t="shared" si="19"/>
        <v>(0)</v>
      </c>
      <c r="AF25" s="3" t="str">
        <f t="shared" si="20"/>
        <v/>
      </c>
      <c r="AG25" s="3" t="str">
        <f t="shared" si="21"/>
        <v/>
      </c>
      <c r="AH25" s="3" t="str">
        <f t="shared" si="22"/>
        <v/>
      </c>
      <c r="AI25" s="3" t="str">
        <f t="shared" si="23"/>
        <v/>
      </c>
    </row>
    <row r="26" spans="2:35" x14ac:dyDescent="0.3">
      <c r="B26" s="3" t="s">
        <v>974</v>
      </c>
      <c r="C26" s="3" t="s">
        <v>972</v>
      </c>
      <c r="D26" s="3" t="s">
        <v>1</v>
      </c>
      <c r="E26" s="3" t="s">
        <v>156</v>
      </c>
      <c r="F26" s="3" t="s">
        <v>975</v>
      </c>
      <c r="G26" s="3" t="s">
        <v>976</v>
      </c>
      <c r="H26" s="3" t="s">
        <v>977</v>
      </c>
      <c r="I26" s="3" t="s">
        <v>96</v>
      </c>
      <c r="J26" s="3">
        <v>1</v>
      </c>
      <c r="K26" s="9" t="s">
        <v>413</v>
      </c>
      <c r="L26" s="3" t="s">
        <v>94</v>
      </c>
      <c r="M26" s="10" t="s">
        <v>431</v>
      </c>
      <c r="N26" s="3" t="s">
        <v>340</v>
      </c>
      <c r="O26" s="3" t="s">
        <v>981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 t="str">
        <f t="shared" si="24"/>
        <v>x</v>
      </c>
      <c r="T26" s="3">
        <f t="shared" si="13"/>
        <v>21</v>
      </c>
      <c r="U26" s="3" t="str">
        <f t="shared" si="12"/>
        <v>15</v>
      </c>
      <c r="V26" s="3">
        <f t="shared" si="14"/>
        <v>84</v>
      </c>
      <c r="W26" s="3" t="str">
        <f t="shared" si="15"/>
        <v>054</v>
      </c>
      <c r="X26" s="3" t="str">
        <f t="shared" si="0"/>
        <v/>
      </c>
      <c r="Y26" s="3" t="str">
        <f t="shared" si="1"/>
        <v/>
      </c>
      <c r="Z26" s="3" t="str">
        <f t="shared" si="2"/>
        <v/>
      </c>
      <c r="AA26" s="3" t="str">
        <f t="shared" si="3"/>
        <v>X</v>
      </c>
      <c r="AB26" s="3" t="str">
        <f t="shared" si="16"/>
        <v/>
      </c>
      <c r="AC26" s="3" t="str">
        <f t="shared" si="17"/>
        <v/>
      </c>
      <c r="AD26" s="3" t="str">
        <f t="shared" si="18"/>
        <v/>
      </c>
      <c r="AE26" s="3" t="str">
        <f t="shared" si="19"/>
        <v>(0)</v>
      </c>
      <c r="AF26" s="3" t="str">
        <f t="shared" si="20"/>
        <v/>
      </c>
      <c r="AG26" s="3" t="str">
        <f t="shared" si="21"/>
        <v/>
      </c>
      <c r="AH26" s="3" t="str">
        <f t="shared" si="22"/>
        <v/>
      </c>
      <c r="AI26" s="3" t="str">
        <f t="shared" si="23"/>
        <v/>
      </c>
    </row>
    <row r="27" spans="2:35" x14ac:dyDescent="0.3">
      <c r="B27" s="3" t="s">
        <v>974</v>
      </c>
      <c r="C27" s="3" t="s">
        <v>973</v>
      </c>
      <c r="D27" s="3" t="s">
        <v>1</v>
      </c>
      <c r="E27" s="3" t="s">
        <v>156</v>
      </c>
      <c r="F27" s="3" t="s">
        <v>975</v>
      </c>
      <c r="G27" s="3" t="s">
        <v>976</v>
      </c>
      <c r="H27" s="3" t="s">
        <v>978</v>
      </c>
      <c r="I27" s="3" t="s">
        <v>96</v>
      </c>
      <c r="J27" s="3">
        <v>1</v>
      </c>
      <c r="K27" s="9" t="s">
        <v>414</v>
      </c>
      <c r="L27" s="3" t="s">
        <v>94</v>
      </c>
      <c r="M27" s="10" t="s">
        <v>431</v>
      </c>
      <c r="N27" s="3" t="s">
        <v>340</v>
      </c>
      <c r="O27" s="3" t="s">
        <v>982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 t="str">
        <f t="shared" si="24"/>
        <v>x</v>
      </c>
      <c r="T27" s="3">
        <f t="shared" si="13"/>
        <v>22</v>
      </c>
      <c r="U27" s="3" t="str">
        <f t="shared" si="12"/>
        <v>16</v>
      </c>
      <c r="V27" s="3">
        <f t="shared" si="14"/>
        <v>88</v>
      </c>
      <c r="W27" s="3" t="str">
        <f t="shared" si="15"/>
        <v>058</v>
      </c>
      <c r="X27" s="3" t="str">
        <f t="shared" si="0"/>
        <v/>
      </c>
      <c r="Y27" s="3" t="str">
        <f t="shared" si="1"/>
        <v/>
      </c>
      <c r="Z27" s="3" t="str">
        <f t="shared" si="2"/>
        <v/>
      </c>
      <c r="AA27" s="3" t="str">
        <f t="shared" si="3"/>
        <v>X</v>
      </c>
      <c r="AB27" s="3" t="str">
        <f t="shared" si="16"/>
        <v/>
      </c>
      <c r="AC27" s="3" t="str">
        <f t="shared" si="17"/>
        <v/>
      </c>
      <c r="AD27" s="3" t="str">
        <f t="shared" si="18"/>
        <v/>
      </c>
      <c r="AE27" s="3" t="str">
        <f t="shared" si="19"/>
        <v>(0)</v>
      </c>
      <c r="AF27" s="3" t="str">
        <f t="shared" si="20"/>
        <v/>
      </c>
      <c r="AG27" s="3" t="str">
        <f t="shared" si="21"/>
        <v/>
      </c>
      <c r="AH27" s="3" t="str">
        <f t="shared" si="22"/>
        <v/>
      </c>
      <c r="AI27" s="3" t="str">
        <f t="shared" si="23"/>
        <v/>
      </c>
    </row>
    <row r="28" spans="2:35" x14ac:dyDescent="0.3">
      <c r="B28" s="3" t="s">
        <v>974</v>
      </c>
      <c r="C28" s="3" t="s">
        <v>970</v>
      </c>
      <c r="D28" s="3" t="s">
        <v>1</v>
      </c>
      <c r="E28" s="3" t="s">
        <v>156</v>
      </c>
      <c r="F28" s="3" t="s">
        <v>975</v>
      </c>
      <c r="G28" s="3" t="s">
        <v>976</v>
      </c>
      <c r="H28" s="3" t="s">
        <v>971</v>
      </c>
      <c r="I28" s="3" t="s">
        <v>96</v>
      </c>
      <c r="J28" s="3">
        <v>1</v>
      </c>
      <c r="K28" s="9" t="s">
        <v>413</v>
      </c>
      <c r="L28" s="3" t="s">
        <v>94</v>
      </c>
      <c r="M28" s="10" t="s">
        <v>431</v>
      </c>
      <c r="N28" s="3" t="s">
        <v>340</v>
      </c>
      <c r="O28" s="3" t="s">
        <v>983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 t="str">
        <f t="shared" si="24"/>
        <v>x</v>
      </c>
      <c r="T28" s="3">
        <f t="shared" si="13"/>
        <v>23</v>
      </c>
      <c r="U28" s="3" t="str">
        <f t="shared" si="12"/>
        <v>17</v>
      </c>
      <c r="V28" s="3">
        <f t="shared" si="14"/>
        <v>92</v>
      </c>
      <c r="W28" s="3" t="str">
        <f t="shared" si="15"/>
        <v>05C</v>
      </c>
      <c r="X28" s="3" t="str">
        <f t="shared" si="0"/>
        <v/>
      </c>
      <c r="Y28" s="3" t="str">
        <f t="shared" si="1"/>
        <v/>
      </c>
      <c r="Z28" s="3" t="str">
        <f t="shared" si="2"/>
        <v/>
      </c>
      <c r="AA28" s="3" t="str">
        <f t="shared" si="3"/>
        <v>X</v>
      </c>
      <c r="AB28" s="3" t="str">
        <f t="shared" si="16"/>
        <v/>
      </c>
      <c r="AC28" s="3" t="str">
        <f t="shared" si="17"/>
        <v/>
      </c>
      <c r="AD28" s="3" t="str">
        <f t="shared" si="18"/>
        <v/>
      </c>
      <c r="AE28" s="3" t="str">
        <f t="shared" si="19"/>
        <v>(0)</v>
      </c>
      <c r="AF28" s="3" t="str">
        <f t="shared" si="20"/>
        <v/>
      </c>
      <c r="AG28" s="3" t="str">
        <f t="shared" si="21"/>
        <v/>
      </c>
      <c r="AH28" s="3" t="str">
        <f t="shared" si="22"/>
        <v/>
      </c>
      <c r="AI28" s="3" t="str">
        <f t="shared" si="23"/>
        <v/>
      </c>
    </row>
    <row r="29" spans="2:35" x14ac:dyDescent="0.3">
      <c r="B29" s="3" t="s">
        <v>364</v>
      </c>
      <c r="C29" s="3" t="s">
        <v>191</v>
      </c>
      <c r="D29" s="3" t="s">
        <v>1</v>
      </c>
      <c r="E29" s="3" t="s">
        <v>156</v>
      </c>
      <c r="F29" s="3" t="s">
        <v>372</v>
      </c>
      <c r="G29" s="3" t="s">
        <v>367</v>
      </c>
      <c r="H29" s="3" t="s">
        <v>166</v>
      </c>
      <c r="I29" s="3" t="s">
        <v>96</v>
      </c>
      <c r="J29" s="3">
        <v>4</v>
      </c>
      <c r="K29" s="3" t="s">
        <v>429</v>
      </c>
      <c r="L29" s="3" t="s">
        <v>94</v>
      </c>
      <c r="M29" s="10" t="s">
        <v>431</v>
      </c>
      <c r="N29" s="3" t="s">
        <v>287</v>
      </c>
      <c r="O29" s="3" t="s">
        <v>293</v>
      </c>
      <c r="P29" s="3" t="s">
        <v>242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 t="str">
        <f t="shared" si="24"/>
        <v>x</v>
      </c>
      <c r="T29" s="3">
        <f t="shared" si="13"/>
        <v>24</v>
      </c>
      <c r="U29" s="3" t="str">
        <f t="shared" si="12"/>
        <v>18</v>
      </c>
      <c r="V29" s="3">
        <f t="shared" si="14"/>
        <v>96</v>
      </c>
      <c r="W29" s="3" t="str">
        <f t="shared" si="15"/>
        <v>060</v>
      </c>
      <c r="X29" s="3" t="str">
        <f t="shared" si="0"/>
        <v/>
      </c>
      <c r="Y29" s="3" t="str">
        <f t="shared" si="1"/>
        <v/>
      </c>
      <c r="Z29" s="3" t="str">
        <f t="shared" si="2"/>
        <v/>
      </c>
      <c r="AA29" s="3" t="str">
        <f t="shared" si="3"/>
        <v>X</v>
      </c>
      <c r="AB29" s="3" t="str">
        <f t="shared" si="16"/>
        <v/>
      </c>
      <c r="AC29" s="3" t="str">
        <f t="shared" si="17"/>
        <v/>
      </c>
      <c r="AD29" s="3" t="str">
        <f t="shared" si="18"/>
        <v/>
      </c>
      <c r="AE29" s="3" t="str">
        <f t="shared" si="19"/>
        <v>(3 downto 0)</v>
      </c>
      <c r="AF29" s="3" t="str">
        <f t="shared" si="20"/>
        <v/>
      </c>
      <c r="AG29" s="3" t="str">
        <f t="shared" si="21"/>
        <v/>
      </c>
      <c r="AH29" s="3" t="str">
        <f t="shared" si="22"/>
        <v/>
      </c>
      <c r="AI29" s="3" t="str">
        <f t="shared" si="23"/>
        <v/>
      </c>
    </row>
    <row r="30" spans="2:35" x14ac:dyDescent="0.3">
      <c r="B30" s="3" t="s">
        <v>364</v>
      </c>
      <c r="C30" s="3" t="s">
        <v>192</v>
      </c>
      <c r="D30" s="3" t="s">
        <v>1</v>
      </c>
      <c r="E30" s="3" t="s">
        <v>156</v>
      </c>
      <c r="F30" s="3" t="s">
        <v>372</v>
      </c>
      <c r="G30" s="3" t="s">
        <v>367</v>
      </c>
      <c r="H30" s="3" t="s">
        <v>167</v>
      </c>
      <c r="I30" s="3" t="s">
        <v>96</v>
      </c>
      <c r="J30" s="3">
        <v>4</v>
      </c>
      <c r="K30" s="3" t="s">
        <v>429</v>
      </c>
      <c r="L30" s="3" t="s">
        <v>94</v>
      </c>
      <c r="M30" s="10" t="s">
        <v>431</v>
      </c>
      <c r="N30" s="3" t="s">
        <v>287</v>
      </c>
      <c r="O30" s="3" t="s">
        <v>292</v>
      </c>
      <c r="P30" s="3" t="s">
        <v>242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 t="str">
        <f t="shared" si="24"/>
        <v/>
      </c>
      <c r="T30" s="3">
        <f t="shared" si="13"/>
        <v>24</v>
      </c>
      <c r="U30" s="3" t="str">
        <f t="shared" si="12"/>
        <v>18</v>
      </c>
      <c r="V30" s="3">
        <f t="shared" si="14"/>
        <v>97</v>
      </c>
      <c r="W30" s="3" t="str">
        <f t="shared" si="15"/>
        <v>061</v>
      </c>
      <c r="X30" s="3" t="str">
        <f t="shared" si="0"/>
        <v/>
      </c>
      <c r="Y30" s="3" t="str">
        <f t="shared" si="1"/>
        <v/>
      </c>
      <c r="Z30" s="3" t="str">
        <f t="shared" si="2"/>
        <v>X</v>
      </c>
      <c r="AA30" s="3" t="str">
        <f t="shared" si="3"/>
        <v/>
      </c>
      <c r="AB30" s="3" t="str">
        <f t="shared" si="16"/>
        <v/>
      </c>
      <c r="AC30" s="3" t="str">
        <f t="shared" si="17"/>
        <v/>
      </c>
      <c r="AD30" s="3" t="str">
        <f t="shared" si="18"/>
        <v>(11 downto 8)</v>
      </c>
      <c r="AE30" s="3" t="str">
        <f t="shared" si="19"/>
        <v/>
      </c>
      <c r="AF30" s="3" t="str">
        <f t="shared" si="20"/>
        <v/>
      </c>
      <c r="AG30" s="3" t="str">
        <f t="shared" si="21"/>
        <v/>
      </c>
      <c r="AH30" s="3" t="str">
        <f t="shared" si="22"/>
        <v/>
      </c>
      <c r="AI30" s="3" t="str">
        <f t="shared" si="23"/>
        <v/>
      </c>
    </row>
    <row r="31" spans="2:35" x14ac:dyDescent="0.3">
      <c r="B31" s="3" t="s">
        <v>377</v>
      </c>
      <c r="C31" s="3" t="s">
        <v>193</v>
      </c>
      <c r="D31" s="3" t="s">
        <v>0</v>
      </c>
      <c r="E31" s="3" t="s">
        <v>161</v>
      </c>
      <c r="F31" s="3" t="s">
        <v>373</v>
      </c>
      <c r="G31" s="3" t="s">
        <v>368</v>
      </c>
      <c r="H31" s="3" t="s">
        <v>365</v>
      </c>
      <c r="I31" s="3" t="s">
        <v>96</v>
      </c>
      <c r="J31" s="3">
        <v>1</v>
      </c>
      <c r="K31" s="3" t="s">
        <v>94</v>
      </c>
      <c r="L31" s="3" t="s">
        <v>94</v>
      </c>
      <c r="M31" s="10" t="s">
        <v>431</v>
      </c>
      <c r="N31" s="3" t="s">
        <v>287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 t="str">
        <f t="shared" si="24"/>
        <v>x</v>
      </c>
      <c r="T31" s="3">
        <f t="shared" si="13"/>
        <v>25</v>
      </c>
      <c r="U31" s="3" t="str">
        <f t="shared" si="12"/>
        <v>19</v>
      </c>
      <c r="V31" s="3">
        <f t="shared" si="14"/>
        <v>100</v>
      </c>
      <c r="W31" s="3" t="str">
        <f t="shared" si="15"/>
        <v>064</v>
      </c>
      <c r="X31" s="3" t="str">
        <f t="shared" si="0"/>
        <v/>
      </c>
      <c r="Y31" s="3" t="str">
        <f t="shared" si="1"/>
        <v/>
      </c>
      <c r="Z31" s="3" t="str">
        <f t="shared" si="2"/>
        <v/>
      </c>
      <c r="AA31" s="3" t="str">
        <f t="shared" si="3"/>
        <v>X</v>
      </c>
      <c r="AB31" s="3" t="str">
        <f t="shared" si="16"/>
        <v/>
      </c>
      <c r="AC31" s="3" t="str">
        <f t="shared" si="17"/>
        <v/>
      </c>
      <c r="AD31" s="3" t="str">
        <f t="shared" si="18"/>
        <v/>
      </c>
      <c r="AE31" s="3" t="str">
        <f t="shared" si="19"/>
        <v>(0)</v>
      </c>
      <c r="AF31" s="3" t="str">
        <f t="shared" si="20"/>
        <v/>
      </c>
      <c r="AG31" s="3" t="str">
        <f t="shared" si="21"/>
        <v/>
      </c>
      <c r="AH31" s="3" t="str">
        <f t="shared" si="22"/>
        <v/>
      </c>
      <c r="AI31" s="3" t="str">
        <f t="shared" si="23"/>
        <v/>
      </c>
    </row>
    <row r="32" spans="2:35" x14ac:dyDescent="0.3">
      <c r="B32" s="3" t="s">
        <v>377</v>
      </c>
      <c r="C32" s="3" t="s">
        <v>194</v>
      </c>
      <c r="D32" s="3" t="s">
        <v>0</v>
      </c>
      <c r="E32" s="3" t="s">
        <v>161</v>
      </c>
      <c r="F32" s="3" t="s">
        <v>373</v>
      </c>
      <c r="G32" s="3" t="s">
        <v>368</v>
      </c>
      <c r="H32" s="3" t="s">
        <v>366</v>
      </c>
      <c r="I32" s="3" t="s">
        <v>96</v>
      </c>
      <c r="J32" s="3">
        <v>1</v>
      </c>
      <c r="K32" s="3" t="s">
        <v>94</v>
      </c>
      <c r="L32" s="3" t="s">
        <v>94</v>
      </c>
      <c r="M32" s="10" t="s">
        <v>431</v>
      </c>
      <c r="N32" s="3" t="s">
        <v>287</v>
      </c>
      <c r="O32" s="3" t="s">
        <v>288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 t="str">
        <f t="shared" si="24"/>
        <v>x</v>
      </c>
      <c r="T32" s="3">
        <f t="shared" si="13"/>
        <v>26</v>
      </c>
      <c r="U32" s="3" t="str">
        <f t="shared" si="12"/>
        <v>1A</v>
      </c>
      <c r="V32" s="3">
        <f t="shared" si="14"/>
        <v>104</v>
      </c>
      <c r="W32" s="3" t="str">
        <f t="shared" si="15"/>
        <v>068</v>
      </c>
      <c r="X32" s="3" t="str">
        <f t="shared" si="0"/>
        <v/>
      </c>
      <c r="Y32" s="3" t="str">
        <f t="shared" si="1"/>
        <v/>
      </c>
      <c r="Z32" s="3" t="str">
        <f t="shared" si="2"/>
        <v/>
      </c>
      <c r="AA32" s="3" t="str">
        <f t="shared" si="3"/>
        <v>X</v>
      </c>
      <c r="AB32" s="3" t="str">
        <f t="shared" si="16"/>
        <v/>
      </c>
      <c r="AC32" s="3" t="str">
        <f t="shared" si="17"/>
        <v/>
      </c>
      <c r="AD32" s="3" t="str">
        <f t="shared" si="18"/>
        <v/>
      </c>
      <c r="AE32" s="3" t="str">
        <f t="shared" si="19"/>
        <v>(0)</v>
      </c>
      <c r="AF32" s="3" t="str">
        <f t="shared" si="20"/>
        <v/>
      </c>
      <c r="AG32" s="3" t="str">
        <f t="shared" si="21"/>
        <v/>
      </c>
      <c r="AH32" s="3" t="str">
        <f t="shared" si="22"/>
        <v/>
      </c>
      <c r="AI32" s="3" t="str">
        <f t="shared" si="23"/>
        <v/>
      </c>
    </row>
    <row r="33" spans="2:35" x14ac:dyDescent="0.3">
      <c r="B33" s="3" t="s">
        <v>377</v>
      </c>
      <c r="C33" s="3" t="s">
        <v>195</v>
      </c>
      <c r="D33" s="3" t="s">
        <v>0</v>
      </c>
      <c r="E33" s="3" t="s">
        <v>161</v>
      </c>
      <c r="F33" s="3" t="s">
        <v>373</v>
      </c>
      <c r="G33" s="3" t="s">
        <v>368</v>
      </c>
      <c r="H33" s="3" t="s">
        <v>115</v>
      </c>
      <c r="I33" s="3" t="s">
        <v>96</v>
      </c>
      <c r="J33" s="3">
        <v>1</v>
      </c>
      <c r="K33" s="3" t="s">
        <v>94</v>
      </c>
      <c r="L33" s="3" t="s">
        <v>94</v>
      </c>
      <c r="M33" s="10" t="s">
        <v>431</v>
      </c>
      <c r="N33" s="3" t="s">
        <v>287</v>
      </c>
      <c r="O33" s="3" t="s">
        <v>291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 t="str">
        <f t="shared" si="24"/>
        <v>x</v>
      </c>
      <c r="T33" s="3">
        <f t="shared" si="13"/>
        <v>27</v>
      </c>
      <c r="U33" s="3" t="str">
        <f t="shared" si="12"/>
        <v>1B</v>
      </c>
      <c r="V33" s="3">
        <f t="shared" si="14"/>
        <v>108</v>
      </c>
      <c r="W33" s="3" t="str">
        <f t="shared" si="15"/>
        <v>06C</v>
      </c>
      <c r="X33" s="3" t="str">
        <f t="shared" si="0"/>
        <v/>
      </c>
      <c r="Y33" s="3" t="str">
        <f t="shared" si="1"/>
        <v/>
      </c>
      <c r="Z33" s="3" t="str">
        <f t="shared" si="2"/>
        <v/>
      </c>
      <c r="AA33" s="3" t="str">
        <f t="shared" si="3"/>
        <v>X</v>
      </c>
      <c r="AB33" s="3" t="str">
        <f t="shared" si="16"/>
        <v/>
      </c>
      <c r="AC33" s="3" t="str">
        <f t="shared" si="17"/>
        <v/>
      </c>
      <c r="AD33" s="3" t="str">
        <f t="shared" si="18"/>
        <v/>
      </c>
      <c r="AE33" s="3" t="str">
        <f t="shared" si="19"/>
        <v>(0)</v>
      </c>
      <c r="AF33" s="3" t="str">
        <f t="shared" si="20"/>
        <v/>
      </c>
      <c r="AG33" s="3" t="str">
        <f t="shared" si="21"/>
        <v/>
      </c>
      <c r="AH33" s="3" t="str">
        <f t="shared" si="22"/>
        <v/>
      </c>
      <c r="AI33" s="3" t="str">
        <f t="shared" si="23"/>
        <v/>
      </c>
    </row>
    <row r="34" spans="2:35" x14ac:dyDescent="0.3">
      <c r="B34" s="3" t="s">
        <v>377</v>
      </c>
      <c r="C34" s="3" t="s">
        <v>196</v>
      </c>
      <c r="D34" s="3" t="s">
        <v>0</v>
      </c>
      <c r="E34" s="3" t="s">
        <v>161</v>
      </c>
      <c r="F34" s="3" t="s">
        <v>373</v>
      </c>
      <c r="G34" s="3" t="s">
        <v>368</v>
      </c>
      <c r="H34" s="3" t="s">
        <v>116</v>
      </c>
      <c r="I34" s="3" t="s">
        <v>96</v>
      </c>
      <c r="J34" s="3">
        <v>1</v>
      </c>
      <c r="K34" s="3" t="s">
        <v>94</v>
      </c>
      <c r="L34" s="3" t="s">
        <v>94</v>
      </c>
      <c r="M34" s="10" t="s">
        <v>431</v>
      </c>
      <c r="N34" s="3" t="s">
        <v>287</v>
      </c>
      <c r="O34" s="3" t="s">
        <v>290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 t="str">
        <f t="shared" si="24"/>
        <v>x</v>
      </c>
      <c r="T34" s="3">
        <f t="shared" si="13"/>
        <v>28</v>
      </c>
      <c r="U34" s="3" t="str">
        <f t="shared" si="12"/>
        <v>1C</v>
      </c>
      <c r="V34" s="3">
        <f t="shared" si="14"/>
        <v>112</v>
      </c>
      <c r="W34" s="3" t="str">
        <f t="shared" si="15"/>
        <v>070</v>
      </c>
      <c r="X34" s="3" t="str">
        <f t="shared" si="0"/>
        <v/>
      </c>
      <c r="Y34" s="3" t="str">
        <f t="shared" si="1"/>
        <v/>
      </c>
      <c r="Z34" s="3" t="str">
        <f t="shared" si="2"/>
        <v/>
      </c>
      <c r="AA34" s="3" t="str">
        <f t="shared" si="3"/>
        <v>X</v>
      </c>
      <c r="AB34" s="3" t="str">
        <f t="shared" si="16"/>
        <v/>
      </c>
      <c r="AC34" s="3" t="str">
        <f t="shared" si="17"/>
        <v/>
      </c>
      <c r="AD34" s="3" t="str">
        <f t="shared" si="18"/>
        <v/>
      </c>
      <c r="AE34" s="3" t="str">
        <f t="shared" si="19"/>
        <v>(0)</v>
      </c>
      <c r="AF34" s="3" t="str">
        <f t="shared" si="20"/>
        <v/>
      </c>
      <c r="AG34" s="3" t="str">
        <f t="shared" si="21"/>
        <v/>
      </c>
      <c r="AH34" s="3" t="str">
        <f t="shared" si="22"/>
        <v/>
      </c>
      <c r="AI34" s="3" t="str">
        <f t="shared" si="23"/>
        <v/>
      </c>
    </row>
    <row r="35" spans="2:35" x14ac:dyDescent="0.3">
      <c r="B35" s="3" t="s">
        <v>361</v>
      </c>
      <c r="C35" s="3" t="s">
        <v>351</v>
      </c>
      <c r="D35" s="3" t="s">
        <v>1</v>
      </c>
      <c r="E35" s="3" t="s">
        <v>156</v>
      </c>
      <c r="F35" s="3" t="s">
        <v>374</v>
      </c>
      <c r="G35" s="3" t="s">
        <v>369</v>
      </c>
      <c r="H35" s="3" t="s">
        <v>341</v>
      </c>
      <c r="I35" s="3" t="s">
        <v>96</v>
      </c>
      <c r="J35" s="3">
        <v>1</v>
      </c>
      <c r="K35" s="9" t="s">
        <v>414</v>
      </c>
      <c r="L35" s="3" t="s">
        <v>94</v>
      </c>
      <c r="M35" s="10" t="s">
        <v>431</v>
      </c>
      <c r="N35" s="3" t="s">
        <v>279</v>
      </c>
      <c r="O35" s="3" t="s">
        <v>281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 t="str">
        <f t="shared" si="24"/>
        <v>x</v>
      </c>
      <c r="T35" s="3">
        <f t="shared" si="13"/>
        <v>29</v>
      </c>
      <c r="U35" s="3" t="str">
        <f t="shared" si="12"/>
        <v>1D</v>
      </c>
      <c r="V35" s="3">
        <f t="shared" si="14"/>
        <v>116</v>
      </c>
      <c r="W35" s="3" t="str">
        <f t="shared" si="15"/>
        <v>074</v>
      </c>
      <c r="X35" s="3" t="str">
        <f t="shared" si="0"/>
        <v/>
      </c>
      <c r="Y35" s="3" t="str">
        <f t="shared" si="1"/>
        <v/>
      </c>
      <c r="Z35" s="3" t="str">
        <f t="shared" si="2"/>
        <v/>
      </c>
      <c r="AA35" s="3" t="str">
        <f t="shared" si="3"/>
        <v>X</v>
      </c>
      <c r="AB35" s="3" t="str">
        <f t="shared" si="16"/>
        <v/>
      </c>
      <c r="AC35" s="3" t="str">
        <f t="shared" si="17"/>
        <v/>
      </c>
      <c r="AD35" s="3" t="str">
        <f t="shared" si="18"/>
        <v/>
      </c>
      <c r="AE35" s="3" t="str">
        <f t="shared" si="19"/>
        <v>(0)</v>
      </c>
      <c r="AF35" s="3" t="str">
        <f t="shared" si="20"/>
        <v/>
      </c>
      <c r="AG35" s="3" t="str">
        <f t="shared" si="21"/>
        <v/>
      </c>
      <c r="AH35" s="3" t="str">
        <f t="shared" si="22"/>
        <v/>
      </c>
      <c r="AI35" s="3" t="str">
        <f t="shared" si="23"/>
        <v/>
      </c>
    </row>
    <row r="36" spans="2:35" x14ac:dyDescent="0.3">
      <c r="B36" s="3" t="s">
        <v>361</v>
      </c>
      <c r="C36" s="3" t="s">
        <v>352</v>
      </c>
      <c r="D36" s="3" t="s">
        <v>1</v>
      </c>
      <c r="E36" s="3" t="s">
        <v>156</v>
      </c>
      <c r="F36" s="3" t="s">
        <v>374</v>
      </c>
      <c r="G36" s="3" t="s">
        <v>369</v>
      </c>
      <c r="H36" s="3" t="s">
        <v>342</v>
      </c>
      <c r="I36" s="3" t="s">
        <v>96</v>
      </c>
      <c r="J36" s="3">
        <v>1</v>
      </c>
      <c r="K36" s="9" t="s">
        <v>414</v>
      </c>
      <c r="L36" s="3" t="s">
        <v>94</v>
      </c>
      <c r="M36" s="10" t="s">
        <v>431</v>
      </c>
      <c r="N36" s="3" t="s">
        <v>279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 t="str">
        <f t="shared" si="24"/>
        <v>x</v>
      </c>
      <c r="T36" s="3">
        <f t="shared" si="13"/>
        <v>30</v>
      </c>
      <c r="U36" s="3" t="str">
        <f t="shared" si="12"/>
        <v>1E</v>
      </c>
      <c r="V36" s="3">
        <f t="shared" si="14"/>
        <v>120</v>
      </c>
      <c r="W36" s="3" t="str">
        <f t="shared" si="15"/>
        <v>078</v>
      </c>
      <c r="X36" s="3" t="str">
        <f t="shared" si="0"/>
        <v/>
      </c>
      <c r="Y36" s="3" t="str">
        <f t="shared" si="1"/>
        <v/>
      </c>
      <c r="Z36" s="3" t="str">
        <f t="shared" si="2"/>
        <v/>
      </c>
      <c r="AA36" s="3" t="str">
        <f t="shared" si="3"/>
        <v>X</v>
      </c>
      <c r="AB36" s="3" t="str">
        <f t="shared" si="16"/>
        <v/>
      </c>
      <c r="AC36" s="3" t="str">
        <f t="shared" si="17"/>
        <v/>
      </c>
      <c r="AD36" s="3" t="str">
        <f t="shared" si="18"/>
        <v/>
      </c>
      <c r="AE36" s="3" t="str">
        <f t="shared" si="19"/>
        <v>(0)</v>
      </c>
      <c r="AF36" s="3" t="str">
        <f t="shared" si="20"/>
        <v/>
      </c>
      <c r="AG36" s="3" t="str">
        <f t="shared" si="21"/>
        <v/>
      </c>
      <c r="AH36" s="3" t="str">
        <f t="shared" si="22"/>
        <v/>
      </c>
      <c r="AI36" s="3" t="str">
        <f t="shared" si="23"/>
        <v/>
      </c>
    </row>
    <row r="37" spans="2:35" x14ac:dyDescent="0.3">
      <c r="B37" s="3" t="s">
        <v>362</v>
      </c>
      <c r="C37" s="3" t="s">
        <v>353</v>
      </c>
      <c r="D37" s="3" t="s">
        <v>0</v>
      </c>
      <c r="E37" s="3" t="s">
        <v>161</v>
      </c>
      <c r="F37" s="3" t="s">
        <v>375</v>
      </c>
      <c r="G37" s="3" t="s">
        <v>370</v>
      </c>
      <c r="H37" s="3" t="s">
        <v>343</v>
      </c>
      <c r="I37" s="3" t="s">
        <v>96</v>
      </c>
      <c r="J37" s="3">
        <v>1</v>
      </c>
      <c r="K37" s="3" t="s">
        <v>94</v>
      </c>
      <c r="L37" s="3" t="s">
        <v>94</v>
      </c>
      <c r="M37" s="10" t="s">
        <v>431</v>
      </c>
      <c r="N37" s="3" t="s">
        <v>282</v>
      </c>
      <c r="O37" s="3" t="s">
        <v>285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 t="str">
        <f t="shared" si="24"/>
        <v>x</v>
      </c>
      <c r="T37" s="3">
        <f t="shared" si="13"/>
        <v>31</v>
      </c>
      <c r="U37" s="3" t="str">
        <f t="shared" si="12"/>
        <v>1F</v>
      </c>
      <c r="V37" s="3">
        <f t="shared" si="14"/>
        <v>124</v>
      </c>
      <c r="W37" s="3" t="str">
        <f t="shared" si="15"/>
        <v>07C</v>
      </c>
      <c r="X37" s="3" t="str">
        <f t="shared" si="0"/>
        <v/>
      </c>
      <c r="Y37" s="3" t="str">
        <f t="shared" si="1"/>
        <v/>
      </c>
      <c r="Z37" s="3" t="str">
        <f t="shared" si="2"/>
        <v/>
      </c>
      <c r="AA37" s="3" t="str">
        <f t="shared" si="3"/>
        <v>X</v>
      </c>
      <c r="AB37" s="3" t="str">
        <f t="shared" si="16"/>
        <v/>
      </c>
      <c r="AC37" s="3" t="str">
        <f t="shared" si="17"/>
        <v/>
      </c>
      <c r="AD37" s="3" t="str">
        <f t="shared" si="18"/>
        <v/>
      </c>
      <c r="AE37" s="3" t="str">
        <f t="shared" si="19"/>
        <v>(0)</v>
      </c>
      <c r="AF37" s="3" t="str">
        <f t="shared" si="20"/>
        <v/>
      </c>
      <c r="AG37" s="3" t="str">
        <f t="shared" si="21"/>
        <v/>
      </c>
      <c r="AH37" s="3" t="str">
        <f t="shared" si="22"/>
        <v/>
      </c>
      <c r="AI37" s="3" t="str">
        <f t="shared" si="23"/>
        <v/>
      </c>
    </row>
    <row r="38" spans="2:35" x14ac:dyDescent="0.3">
      <c r="B38" s="3" t="s">
        <v>362</v>
      </c>
      <c r="C38" s="3" t="s">
        <v>354</v>
      </c>
      <c r="D38" s="3" t="s">
        <v>0</v>
      </c>
      <c r="E38" s="3" t="s">
        <v>161</v>
      </c>
      <c r="F38" s="3" t="s">
        <v>375</v>
      </c>
      <c r="G38" s="3" t="s">
        <v>370</v>
      </c>
      <c r="H38" s="3" t="s">
        <v>344</v>
      </c>
      <c r="I38" s="3" t="s">
        <v>96</v>
      </c>
      <c r="J38" s="3">
        <v>1</v>
      </c>
      <c r="K38" s="3" t="s">
        <v>94</v>
      </c>
      <c r="L38" s="3" t="s">
        <v>94</v>
      </c>
      <c r="M38" s="10" t="s">
        <v>431</v>
      </c>
      <c r="N38" s="3" t="s">
        <v>282</v>
      </c>
      <c r="O38" s="3" t="s">
        <v>286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 t="str">
        <f t="shared" si="24"/>
        <v>x</v>
      </c>
      <c r="T38" s="3">
        <f t="shared" si="13"/>
        <v>32</v>
      </c>
      <c r="U38" s="3" t="str">
        <f t="shared" si="12"/>
        <v>20</v>
      </c>
      <c r="V38" s="3">
        <f t="shared" si="14"/>
        <v>128</v>
      </c>
      <c r="W38" s="3" t="str">
        <f t="shared" si="15"/>
        <v>080</v>
      </c>
      <c r="X38" s="3" t="str">
        <f t="shared" si="0"/>
        <v/>
      </c>
      <c r="Y38" s="3" t="str">
        <f t="shared" si="1"/>
        <v/>
      </c>
      <c r="Z38" s="3" t="str">
        <f t="shared" si="2"/>
        <v/>
      </c>
      <c r="AA38" s="3" t="str">
        <f t="shared" si="3"/>
        <v>X</v>
      </c>
      <c r="AB38" s="3" t="str">
        <f t="shared" si="16"/>
        <v/>
      </c>
      <c r="AC38" s="3" t="str">
        <f t="shared" si="17"/>
        <v/>
      </c>
      <c r="AD38" s="3" t="str">
        <f t="shared" si="18"/>
        <v/>
      </c>
      <c r="AE38" s="3" t="str">
        <f t="shared" si="19"/>
        <v>(0)</v>
      </c>
      <c r="AF38" s="3" t="str">
        <f t="shared" si="20"/>
        <v/>
      </c>
      <c r="AG38" s="3" t="str">
        <f t="shared" si="21"/>
        <v/>
      </c>
      <c r="AH38" s="3" t="str">
        <f t="shared" si="22"/>
        <v/>
      </c>
      <c r="AI38" s="3" t="str">
        <f t="shared" si="23"/>
        <v/>
      </c>
    </row>
    <row r="39" spans="2:35" x14ac:dyDescent="0.3">
      <c r="B39" s="3" t="s">
        <v>362</v>
      </c>
      <c r="C39" s="3" t="s">
        <v>355</v>
      </c>
      <c r="D39" s="3" t="s">
        <v>0</v>
      </c>
      <c r="E39" s="3" t="s">
        <v>161</v>
      </c>
      <c r="F39" s="3" t="s">
        <v>375</v>
      </c>
      <c r="G39" s="3" t="s">
        <v>370</v>
      </c>
      <c r="H39" s="3" t="s">
        <v>345</v>
      </c>
      <c r="I39" s="3" t="s">
        <v>96</v>
      </c>
      <c r="J39" s="3">
        <v>1</v>
      </c>
      <c r="K39" s="3" t="s">
        <v>94</v>
      </c>
      <c r="L39" s="3" t="s">
        <v>94</v>
      </c>
      <c r="M39" s="10" t="s">
        <v>431</v>
      </c>
      <c r="N39" s="3" t="s">
        <v>282</v>
      </c>
      <c r="O39" s="3" t="s">
        <v>283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 t="str">
        <f t="shared" si="24"/>
        <v>x</v>
      </c>
      <c r="T39" s="3">
        <f t="shared" si="13"/>
        <v>33</v>
      </c>
      <c r="U39" s="3" t="str">
        <f t="shared" si="12"/>
        <v>21</v>
      </c>
      <c r="V39" s="3">
        <f t="shared" si="14"/>
        <v>132</v>
      </c>
      <c r="W39" s="3" t="str">
        <f t="shared" si="15"/>
        <v>084</v>
      </c>
      <c r="X39" s="3" t="str">
        <f t="shared" si="0"/>
        <v/>
      </c>
      <c r="Y39" s="3" t="str">
        <f t="shared" si="1"/>
        <v/>
      </c>
      <c r="Z39" s="3" t="str">
        <f t="shared" si="2"/>
        <v/>
      </c>
      <c r="AA39" s="3" t="str">
        <f t="shared" si="3"/>
        <v>X</v>
      </c>
      <c r="AB39" s="3" t="str">
        <f t="shared" si="16"/>
        <v/>
      </c>
      <c r="AC39" s="3" t="str">
        <f t="shared" si="17"/>
        <v/>
      </c>
      <c r="AD39" s="3" t="str">
        <f t="shared" si="18"/>
        <v/>
      </c>
      <c r="AE39" s="3" t="str">
        <f t="shared" si="19"/>
        <v>(0)</v>
      </c>
      <c r="AF39" s="3" t="str">
        <f t="shared" si="20"/>
        <v/>
      </c>
      <c r="AG39" s="3" t="str">
        <f t="shared" si="21"/>
        <v/>
      </c>
      <c r="AH39" s="3" t="str">
        <f t="shared" si="22"/>
        <v/>
      </c>
      <c r="AI39" s="3" t="str">
        <f t="shared" si="23"/>
        <v/>
      </c>
    </row>
    <row r="40" spans="2:35" x14ac:dyDescent="0.3">
      <c r="B40" s="3" t="s">
        <v>362</v>
      </c>
      <c r="C40" s="3" t="s">
        <v>356</v>
      </c>
      <c r="D40" s="3" t="s">
        <v>0</v>
      </c>
      <c r="E40" s="3" t="s">
        <v>161</v>
      </c>
      <c r="F40" s="3" t="s">
        <v>375</v>
      </c>
      <c r="G40" s="3" t="s">
        <v>370</v>
      </c>
      <c r="H40" s="3" t="s">
        <v>346</v>
      </c>
      <c r="I40" s="3" t="s">
        <v>96</v>
      </c>
      <c r="J40" s="3">
        <v>1</v>
      </c>
      <c r="K40" s="3" t="s">
        <v>94</v>
      </c>
      <c r="L40" s="3" t="s">
        <v>94</v>
      </c>
      <c r="M40" s="10" t="s">
        <v>431</v>
      </c>
      <c r="N40" s="3" t="s">
        <v>282</v>
      </c>
      <c r="O40" s="3" t="s">
        <v>284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 t="str">
        <f t="shared" si="24"/>
        <v>x</v>
      </c>
      <c r="T40" s="3">
        <f t="shared" si="13"/>
        <v>34</v>
      </c>
      <c r="U40" s="3" t="str">
        <f t="shared" si="12"/>
        <v>22</v>
      </c>
      <c r="V40" s="3">
        <f t="shared" si="14"/>
        <v>136</v>
      </c>
      <c r="W40" s="3" t="str">
        <f t="shared" si="15"/>
        <v>088</v>
      </c>
      <c r="X40" s="3" t="str">
        <f t="shared" si="0"/>
        <v/>
      </c>
      <c r="Y40" s="3" t="str">
        <f t="shared" si="1"/>
        <v/>
      </c>
      <c r="Z40" s="3" t="str">
        <f t="shared" si="2"/>
        <v/>
      </c>
      <c r="AA40" s="3" t="str">
        <f t="shared" si="3"/>
        <v>X</v>
      </c>
      <c r="AB40" s="3" t="str">
        <f t="shared" si="16"/>
        <v/>
      </c>
      <c r="AC40" s="3" t="str">
        <f t="shared" si="17"/>
        <v/>
      </c>
      <c r="AD40" s="3" t="str">
        <f t="shared" si="18"/>
        <v/>
      </c>
      <c r="AE40" s="3" t="str">
        <f t="shared" si="19"/>
        <v>(0)</v>
      </c>
      <c r="AF40" s="3" t="str">
        <f t="shared" si="20"/>
        <v/>
      </c>
      <c r="AG40" s="3" t="str">
        <f t="shared" si="21"/>
        <v/>
      </c>
      <c r="AH40" s="3" t="str">
        <f t="shared" si="22"/>
        <v/>
      </c>
      <c r="AI40" s="3" t="str">
        <f t="shared" si="23"/>
        <v/>
      </c>
    </row>
    <row r="41" spans="2:35" x14ac:dyDescent="0.3">
      <c r="B41" s="3" t="s">
        <v>363</v>
      </c>
      <c r="C41" s="3" t="s">
        <v>357</v>
      </c>
      <c r="D41" s="3" t="s">
        <v>1</v>
      </c>
      <c r="E41" s="3" t="s">
        <v>156</v>
      </c>
      <c r="F41" s="3" t="s">
        <v>376</v>
      </c>
      <c r="G41" s="3" t="s">
        <v>371</v>
      </c>
      <c r="H41" s="3" t="s">
        <v>347</v>
      </c>
      <c r="I41" s="3" t="s">
        <v>96</v>
      </c>
      <c r="J41" s="3">
        <v>1</v>
      </c>
      <c r="K41" s="9" t="s">
        <v>414</v>
      </c>
      <c r="L41" s="9" t="s">
        <v>414</v>
      </c>
      <c r="M41" s="10" t="s">
        <v>431</v>
      </c>
      <c r="N41" s="3" t="s">
        <v>335</v>
      </c>
      <c r="O41" s="3" t="s">
        <v>336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 t="str">
        <f t="shared" si="24"/>
        <v>x</v>
      </c>
      <c r="T41" s="3">
        <f t="shared" si="13"/>
        <v>35</v>
      </c>
      <c r="U41" s="3" t="str">
        <f t="shared" si="12"/>
        <v>23</v>
      </c>
      <c r="V41" s="3">
        <f t="shared" si="14"/>
        <v>140</v>
      </c>
      <c r="W41" s="3" t="str">
        <f t="shared" si="15"/>
        <v>08C</v>
      </c>
      <c r="X41" s="3" t="str">
        <f t="shared" si="0"/>
        <v/>
      </c>
      <c r="Y41" s="3" t="str">
        <f t="shared" si="1"/>
        <v/>
      </c>
      <c r="Z41" s="3" t="str">
        <f t="shared" si="2"/>
        <v/>
      </c>
      <c r="AA41" s="3" t="str">
        <f t="shared" si="3"/>
        <v>X</v>
      </c>
      <c r="AB41" s="3" t="str">
        <f t="shared" si="16"/>
        <v/>
      </c>
      <c r="AC41" s="3" t="str">
        <f t="shared" si="17"/>
        <v/>
      </c>
      <c r="AD41" s="3" t="str">
        <f t="shared" si="18"/>
        <v/>
      </c>
      <c r="AE41" s="3" t="str">
        <f t="shared" si="19"/>
        <v>(0)</v>
      </c>
      <c r="AF41" s="3" t="str">
        <f t="shared" si="20"/>
        <v/>
      </c>
      <c r="AG41" s="3" t="str">
        <f t="shared" si="21"/>
        <v/>
      </c>
      <c r="AH41" s="3" t="str">
        <f t="shared" si="22"/>
        <v/>
      </c>
      <c r="AI41" s="3" t="str">
        <f t="shared" si="23"/>
        <v/>
      </c>
    </row>
    <row r="42" spans="2:35" x14ac:dyDescent="0.3">
      <c r="B42" s="3" t="s">
        <v>363</v>
      </c>
      <c r="C42" s="3" t="s">
        <v>358</v>
      </c>
      <c r="D42" s="3" t="s">
        <v>1</v>
      </c>
      <c r="E42" s="3" t="s">
        <v>156</v>
      </c>
      <c r="F42" s="3" t="s">
        <v>376</v>
      </c>
      <c r="G42" s="3" t="s">
        <v>371</v>
      </c>
      <c r="H42" s="3" t="s">
        <v>348</v>
      </c>
      <c r="I42" s="3" t="s">
        <v>96</v>
      </c>
      <c r="J42" s="3">
        <v>1</v>
      </c>
      <c r="K42" s="9" t="s">
        <v>414</v>
      </c>
      <c r="L42" s="9" t="s">
        <v>414</v>
      </c>
      <c r="M42" s="10" t="s">
        <v>431</v>
      </c>
      <c r="N42" s="3" t="s">
        <v>335</v>
      </c>
      <c r="O42" s="3" t="s">
        <v>337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 t="str">
        <f t="shared" si="24"/>
        <v>x</v>
      </c>
      <c r="T42" s="3">
        <f t="shared" si="13"/>
        <v>36</v>
      </c>
      <c r="U42" s="3" t="str">
        <f t="shared" si="12"/>
        <v>24</v>
      </c>
      <c r="V42" s="3">
        <f t="shared" si="14"/>
        <v>144</v>
      </c>
      <c r="W42" s="3" t="str">
        <f t="shared" si="15"/>
        <v>090</v>
      </c>
      <c r="X42" s="3" t="str">
        <f t="shared" si="0"/>
        <v/>
      </c>
      <c r="Y42" s="3" t="str">
        <f t="shared" si="1"/>
        <v/>
      </c>
      <c r="Z42" s="3" t="str">
        <f t="shared" si="2"/>
        <v/>
      </c>
      <c r="AA42" s="3" t="str">
        <f t="shared" si="3"/>
        <v>X</v>
      </c>
      <c r="AB42" s="3" t="str">
        <f t="shared" si="16"/>
        <v/>
      </c>
      <c r="AC42" s="3" t="str">
        <f t="shared" si="17"/>
        <v/>
      </c>
      <c r="AD42" s="3" t="str">
        <f t="shared" si="18"/>
        <v/>
      </c>
      <c r="AE42" s="3" t="str">
        <f t="shared" si="19"/>
        <v>(0)</v>
      </c>
      <c r="AF42" s="3" t="str">
        <f t="shared" si="20"/>
        <v/>
      </c>
      <c r="AG42" s="3" t="str">
        <f t="shared" si="21"/>
        <v/>
      </c>
      <c r="AH42" s="3" t="str">
        <f t="shared" si="22"/>
        <v/>
      </c>
      <c r="AI42" s="3" t="str">
        <f t="shared" si="23"/>
        <v/>
      </c>
    </row>
    <row r="43" spans="2:35" x14ac:dyDescent="0.3">
      <c r="B43" s="3" t="s">
        <v>363</v>
      </c>
      <c r="C43" s="3" t="s">
        <v>359</v>
      </c>
      <c r="D43" s="3" t="s">
        <v>1</v>
      </c>
      <c r="E43" s="3" t="s">
        <v>156</v>
      </c>
      <c r="F43" s="3" t="s">
        <v>376</v>
      </c>
      <c r="G43" s="3" t="s">
        <v>371</v>
      </c>
      <c r="H43" s="3" t="s">
        <v>349</v>
      </c>
      <c r="I43" s="3" t="s">
        <v>96</v>
      </c>
      <c r="J43" s="3">
        <v>1</v>
      </c>
      <c r="K43" s="9" t="s">
        <v>414</v>
      </c>
      <c r="L43" s="9" t="s">
        <v>414</v>
      </c>
      <c r="M43" s="10" t="s">
        <v>431</v>
      </c>
      <c r="N43" s="3" t="s">
        <v>335</v>
      </c>
      <c r="O43" s="3" t="s">
        <v>338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 t="str">
        <f t="shared" si="24"/>
        <v>x</v>
      </c>
      <c r="T43" s="3">
        <f t="shared" si="13"/>
        <v>37</v>
      </c>
      <c r="U43" s="3" t="str">
        <f t="shared" si="12"/>
        <v>25</v>
      </c>
      <c r="V43" s="3">
        <f t="shared" si="14"/>
        <v>148</v>
      </c>
      <c r="W43" s="3" t="str">
        <f t="shared" si="15"/>
        <v>094</v>
      </c>
      <c r="X43" s="3" t="str">
        <f t="shared" si="0"/>
        <v/>
      </c>
      <c r="Y43" s="3" t="str">
        <f t="shared" si="1"/>
        <v/>
      </c>
      <c r="Z43" s="3" t="str">
        <f t="shared" si="2"/>
        <v/>
      </c>
      <c r="AA43" s="3" t="str">
        <f t="shared" si="3"/>
        <v>X</v>
      </c>
      <c r="AB43" s="3" t="str">
        <f t="shared" si="16"/>
        <v/>
      </c>
      <c r="AC43" s="3" t="str">
        <f t="shared" si="17"/>
        <v/>
      </c>
      <c r="AD43" s="3" t="str">
        <f t="shared" si="18"/>
        <v/>
      </c>
      <c r="AE43" s="3" t="str">
        <f t="shared" si="19"/>
        <v>(0)</v>
      </c>
      <c r="AF43" s="3" t="str">
        <f t="shared" si="20"/>
        <v/>
      </c>
      <c r="AG43" s="3" t="str">
        <f t="shared" si="21"/>
        <v/>
      </c>
      <c r="AH43" s="3" t="str">
        <f t="shared" si="22"/>
        <v/>
      </c>
      <c r="AI43" s="3" t="str">
        <f t="shared" si="23"/>
        <v/>
      </c>
    </row>
    <row r="44" spans="2:35" x14ac:dyDescent="0.3">
      <c r="B44" s="3" t="s">
        <v>363</v>
      </c>
      <c r="C44" s="3" t="s">
        <v>360</v>
      </c>
      <c r="D44" s="3" t="s">
        <v>1</v>
      </c>
      <c r="E44" s="3" t="s">
        <v>156</v>
      </c>
      <c r="F44" s="3" t="s">
        <v>376</v>
      </c>
      <c r="G44" s="3" t="s">
        <v>371</v>
      </c>
      <c r="H44" s="3" t="s">
        <v>350</v>
      </c>
      <c r="I44" s="3" t="s">
        <v>96</v>
      </c>
      <c r="J44" s="3">
        <v>1</v>
      </c>
      <c r="K44" s="9" t="s">
        <v>414</v>
      </c>
      <c r="L44" s="9" t="s">
        <v>414</v>
      </c>
      <c r="M44" s="10" t="s">
        <v>431</v>
      </c>
      <c r="N44" s="3" t="s">
        <v>335</v>
      </c>
      <c r="O44" s="3" t="s">
        <v>339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 t="str">
        <f t="shared" si="24"/>
        <v>x</v>
      </c>
      <c r="T44" s="3">
        <f t="shared" si="13"/>
        <v>38</v>
      </c>
      <c r="U44" s="3" t="str">
        <f t="shared" si="12"/>
        <v>26</v>
      </c>
      <c r="V44" s="3">
        <f t="shared" si="14"/>
        <v>152</v>
      </c>
      <c r="W44" s="3" t="str">
        <f t="shared" si="15"/>
        <v>098</v>
      </c>
      <c r="X44" s="3" t="str">
        <f t="shared" si="0"/>
        <v/>
      </c>
      <c r="Y44" s="3" t="str">
        <f t="shared" si="1"/>
        <v/>
      </c>
      <c r="Z44" s="3" t="str">
        <f t="shared" si="2"/>
        <v/>
      </c>
      <c r="AA44" s="3" t="str">
        <f t="shared" si="3"/>
        <v>X</v>
      </c>
      <c r="AB44" s="3" t="str">
        <f t="shared" si="16"/>
        <v/>
      </c>
      <c r="AC44" s="3" t="str">
        <f t="shared" si="17"/>
        <v/>
      </c>
      <c r="AD44" s="3" t="str">
        <f t="shared" si="18"/>
        <v/>
      </c>
      <c r="AE44" s="3" t="str">
        <f t="shared" si="19"/>
        <v>(0)</v>
      </c>
      <c r="AF44" s="3" t="str">
        <f t="shared" si="20"/>
        <v/>
      </c>
      <c r="AG44" s="3" t="str">
        <f t="shared" si="21"/>
        <v/>
      </c>
      <c r="AH44" s="3" t="str">
        <f t="shared" si="22"/>
        <v/>
      </c>
      <c r="AI44" s="3" t="str">
        <f t="shared" si="23"/>
        <v/>
      </c>
    </row>
    <row r="45" spans="2:35" x14ac:dyDescent="0.3">
      <c r="B45" s="3" t="s">
        <v>1017</v>
      </c>
      <c r="C45" s="3" t="s">
        <v>1019</v>
      </c>
      <c r="D45" s="3" t="s">
        <v>0</v>
      </c>
      <c r="E45" s="3" t="s">
        <v>161</v>
      </c>
      <c r="F45" s="3" t="s">
        <v>1021</v>
      </c>
      <c r="G45" s="3" t="s">
        <v>1023</v>
      </c>
      <c r="H45" s="3" t="s">
        <v>1025</v>
      </c>
      <c r="I45" s="3" t="s">
        <v>96</v>
      </c>
      <c r="J45" s="10">
        <v>32</v>
      </c>
      <c r="K45" s="10" t="s">
        <v>94</v>
      </c>
      <c r="L45" s="10" t="s">
        <v>94</v>
      </c>
      <c r="M45" s="10" t="s">
        <v>431</v>
      </c>
      <c r="N45" s="3" t="s">
        <v>1033</v>
      </c>
      <c r="O45" s="3" t="s">
        <v>1038</v>
      </c>
      <c r="P45" s="3" t="s">
        <v>277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 t="str">
        <f t="shared" si="24"/>
        <v>x</v>
      </c>
      <c r="T45" s="3">
        <f t="shared" si="13"/>
        <v>39</v>
      </c>
      <c r="U45" s="3" t="str">
        <f t="shared" si="12"/>
        <v>27</v>
      </c>
      <c r="V45" s="3">
        <f t="shared" si="14"/>
        <v>156</v>
      </c>
      <c r="W45" s="3" t="str">
        <f t="shared" si="15"/>
        <v>09C</v>
      </c>
      <c r="X45" s="3" t="str">
        <f t="shared" si="0"/>
        <v>X</v>
      </c>
      <c r="Y45" s="3" t="str">
        <f t="shared" si="1"/>
        <v>X</v>
      </c>
      <c r="Z45" s="3" t="str">
        <f t="shared" si="2"/>
        <v>X</v>
      </c>
      <c r="AA45" s="3" t="str">
        <f t="shared" si="3"/>
        <v>X</v>
      </c>
      <c r="AB45" s="3" t="str">
        <f t="shared" si="16"/>
        <v>(31 downto 24)</v>
      </c>
      <c r="AC45" s="3" t="str">
        <f t="shared" si="17"/>
        <v>(23 downto 16)</v>
      </c>
      <c r="AD45" s="3" t="str">
        <f t="shared" si="18"/>
        <v>(15 downto 8)</v>
      </c>
      <c r="AE45" s="3" t="str">
        <f t="shared" si="19"/>
        <v>(7 downto 0)</v>
      </c>
      <c r="AF45" s="3" t="str">
        <f t="shared" si="20"/>
        <v>(31 downto 24)</v>
      </c>
      <c r="AG45" s="3" t="str">
        <f t="shared" si="21"/>
        <v>(23 downto 16)</v>
      </c>
      <c r="AH45" s="3" t="str">
        <f t="shared" si="22"/>
        <v>(15 downto 8)</v>
      </c>
      <c r="AI45" s="3" t="str">
        <f t="shared" si="23"/>
        <v>(7 downto 0)</v>
      </c>
    </row>
    <row r="46" spans="2:35" x14ac:dyDescent="0.3">
      <c r="B46" s="10" t="s">
        <v>997</v>
      </c>
      <c r="C46" s="10" t="s">
        <v>1001</v>
      </c>
      <c r="D46" s="10" t="s">
        <v>1</v>
      </c>
      <c r="E46" s="10" t="s">
        <v>156</v>
      </c>
      <c r="F46" s="3" t="s">
        <v>1005</v>
      </c>
      <c r="G46" s="3" t="s">
        <v>1009</v>
      </c>
      <c r="H46" s="3" t="s">
        <v>1015</v>
      </c>
      <c r="I46" s="10" t="s">
        <v>96</v>
      </c>
      <c r="J46" s="10">
        <v>32</v>
      </c>
      <c r="K46" s="10" t="s">
        <v>773</v>
      </c>
      <c r="L46" s="10" t="s">
        <v>94</v>
      </c>
      <c r="M46" s="3" t="s">
        <v>434</v>
      </c>
      <c r="N46" s="3" t="s">
        <v>1029</v>
      </c>
      <c r="O46" s="3" t="s">
        <v>1036</v>
      </c>
      <c r="P46" s="10" t="s">
        <v>277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 t="str">
        <f t="shared" si="24"/>
        <v>x</v>
      </c>
      <c r="T46" s="3">
        <f t="shared" si="13"/>
        <v>40</v>
      </c>
      <c r="U46" s="3" t="str">
        <f t="shared" si="12"/>
        <v>28</v>
      </c>
      <c r="V46" s="3">
        <f t="shared" si="14"/>
        <v>160</v>
      </c>
      <c r="W46" s="3" t="str">
        <f t="shared" si="15"/>
        <v>0A0</v>
      </c>
      <c r="X46" s="3" t="str">
        <f t="shared" si="0"/>
        <v>X</v>
      </c>
      <c r="Y46" s="3" t="str">
        <f t="shared" si="1"/>
        <v>X</v>
      </c>
      <c r="Z46" s="3" t="str">
        <f t="shared" si="2"/>
        <v>X</v>
      </c>
      <c r="AA46" s="3" t="str">
        <f t="shared" si="3"/>
        <v>X</v>
      </c>
      <c r="AB46" s="3" t="str">
        <f t="shared" si="16"/>
        <v>(31 downto 24)</v>
      </c>
      <c r="AC46" s="3" t="str">
        <f t="shared" si="17"/>
        <v>(23 downto 16)</v>
      </c>
      <c r="AD46" s="3" t="str">
        <f t="shared" si="18"/>
        <v>(15 downto 8)</v>
      </c>
      <c r="AE46" s="3" t="str">
        <f t="shared" si="19"/>
        <v>(7 downto 0)</v>
      </c>
      <c r="AF46" s="3" t="str">
        <f t="shared" si="20"/>
        <v>(31 downto 24)</v>
      </c>
      <c r="AG46" s="3" t="str">
        <f t="shared" si="21"/>
        <v>(23 downto 16)</v>
      </c>
      <c r="AH46" s="3" t="str">
        <f t="shared" si="22"/>
        <v>(15 downto 8)</v>
      </c>
      <c r="AI46" s="3" t="str">
        <f t="shared" si="23"/>
        <v>(7 downto 0)</v>
      </c>
    </row>
    <row r="47" spans="2:35" x14ac:dyDescent="0.3">
      <c r="B47" s="3" t="s">
        <v>168</v>
      </c>
      <c r="C47" s="3" t="s">
        <v>197</v>
      </c>
      <c r="D47" s="3" t="s">
        <v>1</v>
      </c>
      <c r="E47" s="3" t="s">
        <v>156</v>
      </c>
      <c r="F47" s="3" t="s">
        <v>157</v>
      </c>
      <c r="G47" s="3" t="s">
        <v>117</v>
      </c>
      <c r="H47" s="3" t="s">
        <v>118</v>
      </c>
      <c r="I47" s="3" t="s">
        <v>96</v>
      </c>
      <c r="J47" s="3">
        <v>8</v>
      </c>
      <c r="K47" s="3" t="s">
        <v>415</v>
      </c>
      <c r="L47" s="3" t="s">
        <v>94</v>
      </c>
      <c r="M47" s="3" t="s">
        <v>434</v>
      </c>
      <c r="N47" s="3" t="s">
        <v>252</v>
      </c>
      <c r="O47" s="3" t="s">
        <v>254</v>
      </c>
      <c r="P47" s="3" t="s">
        <v>242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 t="str">
        <f t="shared" si="24"/>
        <v>x</v>
      </c>
      <c r="T47" s="3">
        <f t="shared" si="13"/>
        <v>41</v>
      </c>
      <c r="U47" s="3" t="str">
        <f t="shared" si="12"/>
        <v>29</v>
      </c>
      <c r="V47" s="3">
        <f t="shared" si="14"/>
        <v>164</v>
      </c>
      <c r="W47" s="3" t="str">
        <f t="shared" si="15"/>
        <v>0A4</v>
      </c>
      <c r="X47" s="3" t="str">
        <f t="shared" si="0"/>
        <v/>
      </c>
      <c r="Y47" s="3" t="str">
        <f t="shared" si="1"/>
        <v/>
      </c>
      <c r="Z47" s="3" t="str">
        <f t="shared" si="2"/>
        <v/>
      </c>
      <c r="AA47" s="3" t="str">
        <f t="shared" si="3"/>
        <v>X</v>
      </c>
      <c r="AB47" s="3" t="str">
        <f t="shared" si="16"/>
        <v/>
      </c>
      <c r="AC47" s="3" t="str">
        <f t="shared" si="17"/>
        <v/>
      </c>
      <c r="AD47" s="3" t="str">
        <f t="shared" si="18"/>
        <v/>
      </c>
      <c r="AE47" s="3" t="str">
        <f t="shared" si="19"/>
        <v>(7 downto 0)</v>
      </c>
      <c r="AF47" s="3" t="str">
        <f t="shared" si="20"/>
        <v/>
      </c>
      <c r="AG47" s="3" t="str">
        <f t="shared" si="21"/>
        <v/>
      </c>
      <c r="AH47" s="3" t="str">
        <f t="shared" si="22"/>
        <v/>
      </c>
      <c r="AI47" s="3" t="str">
        <f t="shared" si="23"/>
        <v/>
      </c>
    </row>
    <row r="48" spans="2:35" x14ac:dyDescent="0.3">
      <c r="B48" s="3" t="s">
        <v>168</v>
      </c>
      <c r="C48" s="3" t="s">
        <v>198</v>
      </c>
      <c r="D48" s="3" t="s">
        <v>1</v>
      </c>
      <c r="E48" s="3" t="s">
        <v>156</v>
      </c>
      <c r="F48" s="3" t="s">
        <v>157</v>
      </c>
      <c r="G48" s="3" t="s">
        <v>117</v>
      </c>
      <c r="H48" s="3" t="s">
        <v>119</v>
      </c>
      <c r="I48" s="3" t="s">
        <v>96</v>
      </c>
      <c r="J48" s="3">
        <v>8</v>
      </c>
      <c r="K48" s="3" t="s">
        <v>416</v>
      </c>
      <c r="L48" s="3" t="s">
        <v>94</v>
      </c>
      <c r="M48" s="3" t="s">
        <v>434</v>
      </c>
      <c r="N48" s="3" t="s">
        <v>252</v>
      </c>
      <c r="O48" s="3" t="s">
        <v>253</v>
      </c>
      <c r="P48" s="3" t="s">
        <v>242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 t="str">
        <f t="shared" si="24"/>
        <v/>
      </c>
      <c r="T48" s="3">
        <f t="shared" si="13"/>
        <v>41</v>
      </c>
      <c r="U48" s="3" t="str">
        <f t="shared" si="12"/>
        <v>29</v>
      </c>
      <c r="V48" s="3">
        <f t="shared" si="14"/>
        <v>165</v>
      </c>
      <c r="W48" s="3" t="str">
        <f t="shared" si="15"/>
        <v>0A5</v>
      </c>
      <c r="X48" s="3" t="str">
        <f t="shared" si="0"/>
        <v/>
      </c>
      <c r="Y48" s="3" t="str">
        <f t="shared" si="1"/>
        <v/>
      </c>
      <c r="Z48" s="3" t="str">
        <f t="shared" si="2"/>
        <v>X</v>
      </c>
      <c r="AA48" s="3" t="str">
        <f t="shared" si="3"/>
        <v/>
      </c>
      <c r="AB48" s="3" t="str">
        <f t="shared" si="16"/>
        <v/>
      </c>
      <c r="AC48" s="3" t="str">
        <f t="shared" si="17"/>
        <v/>
      </c>
      <c r="AD48" s="3" t="str">
        <f t="shared" si="18"/>
        <v>(15 downto 8)</v>
      </c>
      <c r="AE48" s="3" t="str">
        <f t="shared" si="19"/>
        <v/>
      </c>
      <c r="AF48" s="3" t="str">
        <f t="shared" si="20"/>
        <v/>
      </c>
      <c r="AG48" s="3" t="str">
        <f t="shared" si="21"/>
        <v/>
      </c>
      <c r="AH48" s="3" t="str">
        <f t="shared" si="22"/>
        <v/>
      </c>
      <c r="AI48" s="3" t="str">
        <f t="shared" si="23"/>
        <v/>
      </c>
    </row>
    <row r="49" spans="2:35" x14ac:dyDescent="0.3">
      <c r="B49" s="3" t="s">
        <v>169</v>
      </c>
      <c r="C49" s="3" t="s">
        <v>199</v>
      </c>
      <c r="D49" s="3" t="s">
        <v>0</v>
      </c>
      <c r="E49" s="3" t="s">
        <v>161</v>
      </c>
      <c r="F49" s="3" t="s">
        <v>162</v>
      </c>
      <c r="G49" s="3" t="s">
        <v>120</v>
      </c>
      <c r="H49" s="3" t="s">
        <v>121</v>
      </c>
      <c r="I49" s="3" t="s">
        <v>96</v>
      </c>
      <c r="J49" s="3">
        <v>1</v>
      </c>
      <c r="K49" s="3" t="s">
        <v>94</v>
      </c>
      <c r="L49" s="3" t="s">
        <v>94</v>
      </c>
      <c r="M49" s="3" t="s">
        <v>434</v>
      </c>
      <c r="N49" s="3" t="s">
        <v>255</v>
      </c>
      <c r="O49" s="3" t="s">
        <v>256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 t="str">
        <f t="shared" si="24"/>
        <v>x</v>
      </c>
      <c r="T49" s="3">
        <f t="shared" si="13"/>
        <v>42</v>
      </c>
      <c r="U49" s="3" t="str">
        <f t="shared" si="12"/>
        <v>2A</v>
      </c>
      <c r="V49" s="3">
        <f t="shared" si="14"/>
        <v>168</v>
      </c>
      <c r="W49" s="3" t="str">
        <f t="shared" si="15"/>
        <v>0A8</v>
      </c>
      <c r="X49" s="3" t="str">
        <f t="shared" si="0"/>
        <v/>
      </c>
      <c r="Y49" s="3" t="str">
        <f t="shared" si="1"/>
        <v/>
      </c>
      <c r="Z49" s="3" t="str">
        <f t="shared" si="2"/>
        <v/>
      </c>
      <c r="AA49" s="3" t="str">
        <f t="shared" si="3"/>
        <v>X</v>
      </c>
      <c r="AB49" s="3" t="str">
        <f t="shared" si="16"/>
        <v/>
      </c>
      <c r="AC49" s="3" t="str">
        <f t="shared" si="17"/>
        <v/>
      </c>
      <c r="AD49" s="3" t="str">
        <f t="shared" si="18"/>
        <v/>
      </c>
      <c r="AE49" s="3" t="str">
        <f t="shared" si="19"/>
        <v>(0)</v>
      </c>
      <c r="AF49" s="3" t="str">
        <f t="shared" si="20"/>
        <v/>
      </c>
      <c r="AG49" s="3" t="str">
        <f t="shared" si="21"/>
        <v/>
      </c>
      <c r="AH49" s="3" t="str">
        <f t="shared" si="22"/>
        <v/>
      </c>
      <c r="AI49" s="3" t="str">
        <f t="shared" si="23"/>
        <v/>
      </c>
    </row>
    <row r="50" spans="2:35" x14ac:dyDescent="0.3">
      <c r="B50" s="3" t="s">
        <v>169</v>
      </c>
      <c r="C50" s="3" t="s">
        <v>200</v>
      </c>
      <c r="D50" s="3" t="s">
        <v>0</v>
      </c>
      <c r="E50" s="3" t="s">
        <v>161</v>
      </c>
      <c r="F50" s="3" t="s">
        <v>162</v>
      </c>
      <c r="G50" s="3" t="s">
        <v>120</v>
      </c>
      <c r="H50" s="3" t="s">
        <v>122</v>
      </c>
      <c r="I50" s="3" t="s">
        <v>96</v>
      </c>
      <c r="J50" s="3">
        <v>1</v>
      </c>
      <c r="K50" s="3" t="s">
        <v>94</v>
      </c>
      <c r="L50" s="3" t="s">
        <v>94</v>
      </c>
      <c r="M50" s="3" t="s">
        <v>434</v>
      </c>
      <c r="N50" s="3" t="s">
        <v>255</v>
      </c>
      <c r="O50" s="3" t="s">
        <v>257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 t="str">
        <f t="shared" si="24"/>
        <v>x</v>
      </c>
      <c r="T50" s="3">
        <f t="shared" si="13"/>
        <v>43</v>
      </c>
      <c r="U50" s="3" t="str">
        <f t="shared" si="12"/>
        <v>2B</v>
      </c>
      <c r="V50" s="3">
        <f t="shared" si="14"/>
        <v>172</v>
      </c>
      <c r="W50" s="3" t="str">
        <f t="shared" si="15"/>
        <v>0AC</v>
      </c>
      <c r="X50" s="3" t="str">
        <f t="shared" si="0"/>
        <v/>
      </c>
      <c r="Y50" s="3" t="str">
        <f t="shared" si="1"/>
        <v/>
      </c>
      <c r="Z50" s="3" t="str">
        <f t="shared" si="2"/>
        <v/>
      </c>
      <c r="AA50" s="3" t="str">
        <f t="shared" si="3"/>
        <v>X</v>
      </c>
      <c r="AB50" s="3" t="str">
        <f t="shared" si="16"/>
        <v/>
      </c>
      <c r="AC50" s="3" t="str">
        <f t="shared" si="17"/>
        <v/>
      </c>
      <c r="AD50" s="3" t="str">
        <f t="shared" si="18"/>
        <v/>
      </c>
      <c r="AE50" s="3" t="str">
        <f t="shared" si="19"/>
        <v>(0)</v>
      </c>
      <c r="AF50" s="3" t="str">
        <f t="shared" si="20"/>
        <v/>
      </c>
      <c r="AG50" s="3" t="str">
        <f t="shared" si="21"/>
        <v/>
      </c>
      <c r="AH50" s="3" t="str">
        <f t="shared" si="22"/>
        <v/>
      </c>
      <c r="AI50" s="3" t="str">
        <f t="shared" si="23"/>
        <v/>
      </c>
    </row>
    <row r="51" spans="2:35" x14ac:dyDescent="0.3">
      <c r="B51" s="3" t="s">
        <v>169</v>
      </c>
      <c r="C51" s="3" t="s">
        <v>201</v>
      </c>
      <c r="D51" s="3" t="s">
        <v>0</v>
      </c>
      <c r="E51" s="3" t="s">
        <v>161</v>
      </c>
      <c r="F51" s="3" t="s">
        <v>162</v>
      </c>
      <c r="G51" s="3" t="s">
        <v>120</v>
      </c>
      <c r="H51" s="3" t="s">
        <v>123</v>
      </c>
      <c r="I51" s="3" t="s">
        <v>96</v>
      </c>
      <c r="J51" s="3">
        <v>1</v>
      </c>
      <c r="K51" s="3" t="s">
        <v>94</v>
      </c>
      <c r="L51" s="3" t="s">
        <v>94</v>
      </c>
      <c r="M51" s="3" t="s">
        <v>434</v>
      </c>
      <c r="N51" s="3" t="s">
        <v>255</v>
      </c>
      <c r="O51" s="3" t="s">
        <v>258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 t="str">
        <f t="shared" si="24"/>
        <v>x</v>
      </c>
      <c r="T51" s="3">
        <f t="shared" si="13"/>
        <v>44</v>
      </c>
      <c r="U51" s="3" t="str">
        <f t="shared" si="12"/>
        <v>2C</v>
      </c>
      <c r="V51" s="3">
        <f t="shared" si="14"/>
        <v>176</v>
      </c>
      <c r="W51" s="3" t="str">
        <f t="shared" si="15"/>
        <v>0B0</v>
      </c>
      <c r="X51" s="3" t="str">
        <f t="shared" si="0"/>
        <v/>
      </c>
      <c r="Y51" s="3" t="str">
        <f t="shared" si="1"/>
        <v/>
      </c>
      <c r="Z51" s="3" t="str">
        <f t="shared" si="2"/>
        <v/>
      </c>
      <c r="AA51" s="3" t="str">
        <f t="shared" si="3"/>
        <v>X</v>
      </c>
      <c r="AB51" s="3" t="str">
        <f t="shared" si="16"/>
        <v/>
      </c>
      <c r="AC51" s="3" t="str">
        <f t="shared" si="17"/>
        <v/>
      </c>
      <c r="AD51" s="3" t="str">
        <f t="shared" si="18"/>
        <v/>
      </c>
      <c r="AE51" s="3" t="str">
        <f t="shared" si="19"/>
        <v>(0)</v>
      </c>
      <c r="AF51" s="3" t="str">
        <f t="shared" si="20"/>
        <v/>
      </c>
      <c r="AG51" s="3" t="str">
        <f t="shared" si="21"/>
        <v/>
      </c>
      <c r="AH51" s="3" t="str">
        <f t="shared" si="22"/>
        <v/>
      </c>
      <c r="AI51" s="3" t="str">
        <f t="shared" si="23"/>
        <v/>
      </c>
    </row>
    <row r="52" spans="2:35" x14ac:dyDescent="0.3">
      <c r="B52" s="3" t="s">
        <v>169</v>
      </c>
      <c r="C52" s="3" t="s">
        <v>202</v>
      </c>
      <c r="D52" s="3" t="s">
        <v>0</v>
      </c>
      <c r="E52" s="3" t="s">
        <v>161</v>
      </c>
      <c r="F52" s="3" t="s">
        <v>162</v>
      </c>
      <c r="G52" s="3" t="s">
        <v>120</v>
      </c>
      <c r="H52" s="3" t="s">
        <v>124</v>
      </c>
      <c r="I52" s="3" t="s">
        <v>96</v>
      </c>
      <c r="J52" s="3">
        <v>1</v>
      </c>
      <c r="K52" s="3" t="s">
        <v>94</v>
      </c>
      <c r="L52" s="3" t="s">
        <v>94</v>
      </c>
      <c r="M52" s="3" t="s">
        <v>434</v>
      </c>
      <c r="N52" s="3" t="s">
        <v>255</v>
      </c>
      <c r="O52" s="3" t="s">
        <v>259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 t="str">
        <f t="shared" si="24"/>
        <v>x</v>
      </c>
      <c r="T52" s="3">
        <f t="shared" si="13"/>
        <v>45</v>
      </c>
      <c r="U52" s="3" t="str">
        <f t="shared" si="12"/>
        <v>2D</v>
      </c>
      <c r="V52" s="3">
        <f t="shared" si="14"/>
        <v>180</v>
      </c>
      <c r="W52" s="3" t="str">
        <f t="shared" si="15"/>
        <v>0B4</v>
      </c>
      <c r="X52" s="3" t="str">
        <f t="shared" si="0"/>
        <v/>
      </c>
      <c r="Y52" s="3" t="str">
        <f t="shared" si="1"/>
        <v/>
      </c>
      <c r="Z52" s="3" t="str">
        <f t="shared" si="2"/>
        <v/>
      </c>
      <c r="AA52" s="3" t="str">
        <f t="shared" si="3"/>
        <v>X</v>
      </c>
      <c r="AB52" s="3" t="str">
        <f t="shared" si="16"/>
        <v/>
      </c>
      <c r="AC52" s="3" t="str">
        <f t="shared" si="17"/>
        <v/>
      </c>
      <c r="AD52" s="3" t="str">
        <f t="shared" si="18"/>
        <v/>
      </c>
      <c r="AE52" s="3" t="str">
        <f t="shared" si="19"/>
        <v>(0)</v>
      </c>
      <c r="AF52" s="3" t="str">
        <f t="shared" si="20"/>
        <v/>
      </c>
      <c r="AG52" s="3" t="str">
        <f t="shared" si="21"/>
        <v/>
      </c>
      <c r="AH52" s="3" t="str">
        <f t="shared" si="22"/>
        <v/>
      </c>
      <c r="AI52" s="3" t="str">
        <f t="shared" si="23"/>
        <v/>
      </c>
    </row>
    <row r="53" spans="2:35" x14ac:dyDescent="0.3">
      <c r="B53" s="3" t="s">
        <v>169</v>
      </c>
      <c r="C53" s="3" t="s">
        <v>203</v>
      </c>
      <c r="D53" s="3" t="s">
        <v>0</v>
      </c>
      <c r="E53" s="3" t="s">
        <v>161</v>
      </c>
      <c r="F53" s="3" t="s">
        <v>162</v>
      </c>
      <c r="G53" s="3" t="s">
        <v>120</v>
      </c>
      <c r="H53" s="3" t="s">
        <v>125</v>
      </c>
      <c r="I53" s="3" t="s">
        <v>96</v>
      </c>
      <c r="J53" s="3">
        <v>1</v>
      </c>
      <c r="K53" s="3" t="s">
        <v>94</v>
      </c>
      <c r="L53" s="3" t="s">
        <v>94</v>
      </c>
      <c r="M53" s="3" t="s">
        <v>434</v>
      </c>
      <c r="N53" s="3" t="s">
        <v>255</v>
      </c>
      <c r="O53" s="3" t="s">
        <v>260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 t="str">
        <f t="shared" si="24"/>
        <v>x</v>
      </c>
      <c r="T53" s="3">
        <f t="shared" si="13"/>
        <v>46</v>
      </c>
      <c r="U53" s="3" t="str">
        <f t="shared" si="12"/>
        <v>2E</v>
      </c>
      <c r="V53" s="3">
        <f t="shared" si="14"/>
        <v>184</v>
      </c>
      <c r="W53" s="3" t="str">
        <f t="shared" si="15"/>
        <v>0B8</v>
      </c>
      <c r="X53" s="3" t="str">
        <f t="shared" si="0"/>
        <v/>
      </c>
      <c r="Y53" s="3" t="str">
        <f t="shared" si="1"/>
        <v/>
      </c>
      <c r="Z53" s="3" t="str">
        <f t="shared" si="2"/>
        <v/>
      </c>
      <c r="AA53" s="3" t="str">
        <f t="shared" si="3"/>
        <v>X</v>
      </c>
      <c r="AB53" s="3" t="str">
        <f t="shared" si="16"/>
        <v/>
      </c>
      <c r="AC53" s="3" t="str">
        <f t="shared" si="17"/>
        <v/>
      </c>
      <c r="AD53" s="3" t="str">
        <f t="shared" si="18"/>
        <v/>
      </c>
      <c r="AE53" s="3" t="str">
        <f t="shared" si="19"/>
        <v>(0)</v>
      </c>
      <c r="AF53" s="3" t="str">
        <f t="shared" si="20"/>
        <v/>
      </c>
      <c r="AG53" s="3" t="str">
        <f t="shared" si="21"/>
        <v/>
      </c>
      <c r="AH53" s="3" t="str">
        <f t="shared" si="22"/>
        <v/>
      </c>
      <c r="AI53" s="3" t="str">
        <f t="shared" si="23"/>
        <v/>
      </c>
    </row>
    <row r="54" spans="2:35" x14ac:dyDescent="0.3">
      <c r="B54" s="3" t="s">
        <v>169</v>
      </c>
      <c r="C54" s="3" t="s">
        <v>204</v>
      </c>
      <c r="D54" s="3" t="s">
        <v>0</v>
      </c>
      <c r="E54" s="3" t="s">
        <v>161</v>
      </c>
      <c r="F54" s="3" t="s">
        <v>162</v>
      </c>
      <c r="G54" s="3" t="s">
        <v>120</v>
      </c>
      <c r="H54" s="3" t="s">
        <v>126</v>
      </c>
      <c r="I54" s="3" t="s">
        <v>96</v>
      </c>
      <c r="J54" s="3">
        <v>1</v>
      </c>
      <c r="K54" s="3" t="s">
        <v>94</v>
      </c>
      <c r="L54" s="3" t="s">
        <v>94</v>
      </c>
      <c r="M54" s="3" t="s">
        <v>434</v>
      </c>
      <c r="N54" s="3" t="s">
        <v>255</v>
      </c>
      <c r="O54" s="3" t="s">
        <v>261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 t="str">
        <f t="shared" si="24"/>
        <v>x</v>
      </c>
      <c r="T54" s="3">
        <f t="shared" si="13"/>
        <v>47</v>
      </c>
      <c r="U54" s="3" t="str">
        <f t="shared" si="12"/>
        <v>2F</v>
      </c>
      <c r="V54" s="3">
        <f t="shared" si="14"/>
        <v>188</v>
      </c>
      <c r="W54" s="3" t="str">
        <f t="shared" si="15"/>
        <v>0BC</v>
      </c>
      <c r="X54" s="3" t="str">
        <f t="shared" si="0"/>
        <v/>
      </c>
      <c r="Y54" s="3" t="str">
        <f t="shared" si="1"/>
        <v/>
      </c>
      <c r="Z54" s="3" t="str">
        <f t="shared" si="2"/>
        <v/>
      </c>
      <c r="AA54" s="3" t="str">
        <f t="shared" si="3"/>
        <v>X</v>
      </c>
      <c r="AB54" s="3" t="str">
        <f t="shared" si="16"/>
        <v/>
      </c>
      <c r="AC54" s="3" t="str">
        <f t="shared" si="17"/>
        <v/>
      </c>
      <c r="AD54" s="3" t="str">
        <f t="shared" si="18"/>
        <v/>
      </c>
      <c r="AE54" s="3" t="str">
        <f t="shared" si="19"/>
        <v>(0)</v>
      </c>
      <c r="AF54" s="3" t="str">
        <f t="shared" si="20"/>
        <v/>
      </c>
      <c r="AG54" s="3" t="str">
        <f t="shared" si="21"/>
        <v/>
      </c>
      <c r="AH54" s="3" t="str">
        <f t="shared" si="22"/>
        <v/>
      </c>
      <c r="AI54" s="3" t="str">
        <f t="shared" si="23"/>
        <v/>
      </c>
    </row>
    <row r="55" spans="2:35" x14ac:dyDescent="0.3">
      <c r="B55" s="3" t="s">
        <v>169</v>
      </c>
      <c r="C55" s="3" t="s">
        <v>205</v>
      </c>
      <c r="D55" s="3" t="s">
        <v>0</v>
      </c>
      <c r="E55" s="3" t="s">
        <v>161</v>
      </c>
      <c r="F55" s="3" t="s">
        <v>162</v>
      </c>
      <c r="G55" s="3" t="s">
        <v>120</v>
      </c>
      <c r="H55" s="3" t="s">
        <v>127</v>
      </c>
      <c r="I55" s="3" t="s">
        <v>96</v>
      </c>
      <c r="J55" s="3">
        <v>1</v>
      </c>
      <c r="K55" s="3" t="s">
        <v>94</v>
      </c>
      <c r="L55" s="3" t="s">
        <v>94</v>
      </c>
      <c r="M55" s="3" t="s">
        <v>434</v>
      </c>
      <c r="N55" s="3" t="s">
        <v>255</v>
      </c>
      <c r="O55" s="3" t="s">
        <v>262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 t="str">
        <f t="shared" si="24"/>
        <v>x</v>
      </c>
      <c r="T55" s="3">
        <f t="shared" si="13"/>
        <v>48</v>
      </c>
      <c r="U55" s="3" t="str">
        <f t="shared" si="12"/>
        <v>30</v>
      </c>
      <c r="V55" s="3">
        <f t="shared" si="14"/>
        <v>192</v>
      </c>
      <c r="W55" s="3" t="str">
        <f t="shared" si="15"/>
        <v>0C0</v>
      </c>
      <c r="X55" s="3" t="str">
        <f t="shared" si="0"/>
        <v/>
      </c>
      <c r="Y55" s="3" t="str">
        <f t="shared" si="1"/>
        <v/>
      </c>
      <c r="Z55" s="3" t="str">
        <f t="shared" si="2"/>
        <v/>
      </c>
      <c r="AA55" s="3" t="str">
        <f t="shared" si="3"/>
        <v>X</v>
      </c>
      <c r="AB55" s="3" t="str">
        <f t="shared" si="16"/>
        <v/>
      </c>
      <c r="AC55" s="3" t="str">
        <f t="shared" si="17"/>
        <v/>
      </c>
      <c r="AD55" s="3" t="str">
        <f t="shared" si="18"/>
        <v/>
      </c>
      <c r="AE55" s="3" t="str">
        <f t="shared" si="19"/>
        <v>(0)</v>
      </c>
      <c r="AF55" s="3" t="str">
        <f t="shared" si="20"/>
        <v/>
      </c>
      <c r="AG55" s="3" t="str">
        <f t="shared" si="21"/>
        <v/>
      </c>
      <c r="AH55" s="3" t="str">
        <f t="shared" si="22"/>
        <v/>
      </c>
      <c r="AI55" s="3" t="str">
        <f t="shared" si="23"/>
        <v/>
      </c>
    </row>
    <row r="56" spans="2:35" x14ac:dyDescent="0.3">
      <c r="B56" s="3" t="s">
        <v>169</v>
      </c>
      <c r="C56" s="3" t="s">
        <v>206</v>
      </c>
      <c r="D56" s="3" t="s">
        <v>0</v>
      </c>
      <c r="E56" s="3" t="s">
        <v>161</v>
      </c>
      <c r="F56" s="3" t="s">
        <v>162</v>
      </c>
      <c r="G56" s="3" t="s">
        <v>120</v>
      </c>
      <c r="H56" s="3" t="s">
        <v>128</v>
      </c>
      <c r="I56" s="3" t="s">
        <v>96</v>
      </c>
      <c r="J56" s="3">
        <v>1</v>
      </c>
      <c r="K56" s="3" t="s">
        <v>94</v>
      </c>
      <c r="L56" s="3" t="s">
        <v>94</v>
      </c>
      <c r="M56" s="3" t="s">
        <v>434</v>
      </c>
      <c r="N56" s="3" t="s">
        <v>263</v>
      </c>
      <c r="O56" s="3" t="s">
        <v>264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 t="str">
        <f t="shared" si="24"/>
        <v>x</v>
      </c>
      <c r="T56" s="3">
        <f t="shared" si="13"/>
        <v>49</v>
      </c>
      <c r="U56" s="3" t="str">
        <f t="shared" si="12"/>
        <v>31</v>
      </c>
      <c r="V56" s="3">
        <f t="shared" si="14"/>
        <v>196</v>
      </c>
      <c r="W56" s="3" t="str">
        <f t="shared" si="15"/>
        <v>0C4</v>
      </c>
      <c r="X56" s="3" t="str">
        <f t="shared" si="0"/>
        <v/>
      </c>
      <c r="Y56" s="3" t="str">
        <f t="shared" si="1"/>
        <v/>
      </c>
      <c r="Z56" s="3" t="str">
        <f t="shared" si="2"/>
        <v/>
      </c>
      <c r="AA56" s="3" t="str">
        <f t="shared" si="3"/>
        <v>X</v>
      </c>
      <c r="AB56" s="3" t="str">
        <f t="shared" si="16"/>
        <v/>
      </c>
      <c r="AC56" s="3" t="str">
        <f t="shared" si="17"/>
        <v/>
      </c>
      <c r="AD56" s="3" t="str">
        <f t="shared" si="18"/>
        <v/>
      </c>
      <c r="AE56" s="3" t="str">
        <f t="shared" si="19"/>
        <v>(0)</v>
      </c>
      <c r="AF56" s="3" t="str">
        <f t="shared" si="20"/>
        <v/>
      </c>
      <c r="AG56" s="3" t="str">
        <f t="shared" si="21"/>
        <v/>
      </c>
      <c r="AH56" s="3" t="str">
        <f t="shared" si="22"/>
        <v/>
      </c>
      <c r="AI56" s="3" t="str">
        <f t="shared" si="23"/>
        <v/>
      </c>
    </row>
    <row r="57" spans="2:35" x14ac:dyDescent="0.3">
      <c r="B57" s="3" t="s">
        <v>169</v>
      </c>
      <c r="C57" s="3" t="s">
        <v>207</v>
      </c>
      <c r="D57" s="3" t="s">
        <v>0</v>
      </c>
      <c r="E57" s="3" t="s">
        <v>161</v>
      </c>
      <c r="F57" s="3" t="s">
        <v>162</v>
      </c>
      <c r="G57" s="3" t="s">
        <v>120</v>
      </c>
      <c r="H57" s="3" t="s">
        <v>129</v>
      </c>
      <c r="I57" s="3" t="s">
        <v>96</v>
      </c>
      <c r="J57" s="3">
        <v>1</v>
      </c>
      <c r="K57" s="3" t="s">
        <v>94</v>
      </c>
      <c r="L57" s="3" t="s">
        <v>94</v>
      </c>
      <c r="M57" s="3" t="s">
        <v>434</v>
      </c>
      <c r="N57" s="3" t="s">
        <v>263</v>
      </c>
      <c r="O57" s="3" t="s">
        <v>265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 t="str">
        <f t="shared" si="24"/>
        <v>x</v>
      </c>
      <c r="T57" s="3">
        <f t="shared" si="13"/>
        <v>50</v>
      </c>
      <c r="U57" s="3" t="str">
        <f t="shared" si="12"/>
        <v>32</v>
      </c>
      <c r="V57" s="3">
        <f t="shared" si="14"/>
        <v>200</v>
      </c>
      <c r="W57" s="3" t="str">
        <f t="shared" si="15"/>
        <v>0C8</v>
      </c>
      <c r="X57" s="3" t="str">
        <f t="shared" si="0"/>
        <v/>
      </c>
      <c r="Y57" s="3" t="str">
        <f t="shared" si="1"/>
        <v/>
      </c>
      <c r="Z57" s="3" t="str">
        <f t="shared" si="2"/>
        <v/>
      </c>
      <c r="AA57" s="3" t="str">
        <f t="shared" si="3"/>
        <v>X</v>
      </c>
      <c r="AB57" s="3" t="str">
        <f t="shared" si="16"/>
        <v/>
      </c>
      <c r="AC57" s="3" t="str">
        <f t="shared" si="17"/>
        <v/>
      </c>
      <c r="AD57" s="3" t="str">
        <f t="shared" si="18"/>
        <v/>
      </c>
      <c r="AE57" s="3" t="str">
        <f t="shared" si="19"/>
        <v>(0)</v>
      </c>
      <c r="AF57" s="3" t="str">
        <f t="shared" si="20"/>
        <v/>
      </c>
      <c r="AG57" s="3" t="str">
        <f t="shared" si="21"/>
        <v/>
      </c>
      <c r="AH57" s="3" t="str">
        <f t="shared" si="22"/>
        <v/>
      </c>
      <c r="AI57" s="3" t="str">
        <f t="shared" si="23"/>
        <v/>
      </c>
    </row>
    <row r="58" spans="2:35" x14ac:dyDescent="0.3">
      <c r="B58" s="3" t="s">
        <v>169</v>
      </c>
      <c r="C58" s="3" t="s">
        <v>208</v>
      </c>
      <c r="D58" s="3" t="s">
        <v>0</v>
      </c>
      <c r="E58" s="3" t="s">
        <v>161</v>
      </c>
      <c r="F58" s="3" t="s">
        <v>162</v>
      </c>
      <c r="G58" s="3" t="s">
        <v>120</v>
      </c>
      <c r="H58" s="3" t="s">
        <v>130</v>
      </c>
      <c r="I58" s="3" t="s">
        <v>96</v>
      </c>
      <c r="J58" s="3">
        <v>1</v>
      </c>
      <c r="K58" s="3" t="s">
        <v>94</v>
      </c>
      <c r="L58" s="3" t="s">
        <v>94</v>
      </c>
      <c r="M58" s="3" t="s">
        <v>434</v>
      </c>
      <c r="N58" s="3" t="s">
        <v>263</v>
      </c>
      <c r="O58" s="3" t="s">
        <v>266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 t="str">
        <f t="shared" si="24"/>
        <v>x</v>
      </c>
      <c r="T58" s="3">
        <f t="shared" si="13"/>
        <v>51</v>
      </c>
      <c r="U58" s="3" t="str">
        <f t="shared" si="12"/>
        <v>33</v>
      </c>
      <c r="V58" s="3">
        <f t="shared" si="14"/>
        <v>204</v>
      </c>
      <c r="W58" s="3" t="str">
        <f t="shared" si="15"/>
        <v>0CC</v>
      </c>
      <c r="X58" s="3" t="str">
        <f t="shared" si="0"/>
        <v/>
      </c>
      <c r="Y58" s="3" t="str">
        <f t="shared" si="1"/>
        <v/>
      </c>
      <c r="Z58" s="3" t="str">
        <f t="shared" si="2"/>
        <v/>
      </c>
      <c r="AA58" s="3" t="str">
        <f t="shared" si="3"/>
        <v>X</v>
      </c>
      <c r="AB58" s="3" t="str">
        <f t="shared" si="16"/>
        <v/>
      </c>
      <c r="AC58" s="3" t="str">
        <f t="shared" si="17"/>
        <v/>
      </c>
      <c r="AD58" s="3" t="str">
        <f t="shared" si="18"/>
        <v/>
      </c>
      <c r="AE58" s="3" t="str">
        <f t="shared" si="19"/>
        <v>(0)</v>
      </c>
      <c r="AF58" s="3" t="str">
        <f t="shared" si="20"/>
        <v/>
      </c>
      <c r="AG58" s="3" t="str">
        <f t="shared" si="21"/>
        <v/>
      </c>
      <c r="AH58" s="3" t="str">
        <f t="shared" si="22"/>
        <v/>
      </c>
      <c r="AI58" s="3" t="str">
        <f t="shared" si="23"/>
        <v/>
      </c>
    </row>
    <row r="59" spans="2:35" x14ac:dyDescent="0.3">
      <c r="B59" s="3" t="s">
        <v>169</v>
      </c>
      <c r="C59" s="3" t="s">
        <v>210</v>
      </c>
      <c r="D59" s="3" t="s">
        <v>0</v>
      </c>
      <c r="E59" s="3" t="s">
        <v>161</v>
      </c>
      <c r="F59" s="3" t="s">
        <v>162</v>
      </c>
      <c r="G59" s="3" t="s">
        <v>120</v>
      </c>
      <c r="H59" s="3" t="s">
        <v>209</v>
      </c>
      <c r="I59" s="3" t="s">
        <v>96</v>
      </c>
      <c r="J59" s="3">
        <v>1</v>
      </c>
      <c r="K59" s="3" t="s">
        <v>94</v>
      </c>
      <c r="L59" s="3" t="s">
        <v>94</v>
      </c>
      <c r="M59" s="3" t="s">
        <v>434</v>
      </c>
      <c r="N59" s="3" t="s">
        <v>263</v>
      </c>
      <c r="O59" s="3" t="s">
        <v>267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 t="str">
        <f t="shared" si="24"/>
        <v>x</v>
      </c>
      <c r="T59" s="3">
        <f t="shared" si="13"/>
        <v>52</v>
      </c>
      <c r="U59" s="3" t="str">
        <f t="shared" si="12"/>
        <v>34</v>
      </c>
      <c r="V59" s="3">
        <f t="shared" si="14"/>
        <v>208</v>
      </c>
      <c r="W59" s="3" t="str">
        <f t="shared" si="15"/>
        <v>0D0</v>
      </c>
      <c r="X59" s="3" t="str">
        <f t="shared" si="0"/>
        <v/>
      </c>
      <c r="Y59" s="3" t="str">
        <f t="shared" si="1"/>
        <v/>
      </c>
      <c r="Z59" s="3" t="str">
        <f t="shared" si="2"/>
        <v/>
      </c>
      <c r="AA59" s="3" t="str">
        <f t="shared" si="3"/>
        <v>X</v>
      </c>
      <c r="AB59" s="3" t="str">
        <f t="shared" si="16"/>
        <v/>
      </c>
      <c r="AC59" s="3" t="str">
        <f t="shared" si="17"/>
        <v/>
      </c>
      <c r="AD59" s="3" t="str">
        <f t="shared" si="18"/>
        <v/>
      </c>
      <c r="AE59" s="3" t="str">
        <f t="shared" si="19"/>
        <v>(0)</v>
      </c>
      <c r="AF59" s="3" t="str">
        <f t="shared" si="20"/>
        <v/>
      </c>
      <c r="AG59" s="3" t="str">
        <f t="shared" si="21"/>
        <v/>
      </c>
      <c r="AH59" s="3" t="str">
        <f t="shared" si="22"/>
        <v/>
      </c>
      <c r="AI59" s="3" t="str">
        <f t="shared" si="23"/>
        <v/>
      </c>
    </row>
    <row r="60" spans="2:35" x14ac:dyDescent="0.3">
      <c r="B60" s="3" t="s">
        <v>169</v>
      </c>
      <c r="C60" s="3" t="s">
        <v>211</v>
      </c>
      <c r="D60" s="3" t="s">
        <v>0</v>
      </c>
      <c r="E60" s="3" t="s">
        <v>161</v>
      </c>
      <c r="F60" s="3" t="s">
        <v>162</v>
      </c>
      <c r="G60" s="3" t="s">
        <v>120</v>
      </c>
      <c r="H60" s="3" t="s">
        <v>131</v>
      </c>
      <c r="I60" s="3" t="s">
        <v>96</v>
      </c>
      <c r="J60" s="3">
        <v>1</v>
      </c>
      <c r="K60" s="3" t="s">
        <v>94</v>
      </c>
      <c r="L60" s="3" t="s">
        <v>94</v>
      </c>
      <c r="M60" s="3" t="s">
        <v>434</v>
      </c>
      <c r="N60" s="3" t="s">
        <v>263</v>
      </c>
      <c r="O60" s="3" t="s">
        <v>268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 t="str">
        <f t="shared" si="24"/>
        <v>x</v>
      </c>
      <c r="T60" s="3">
        <f t="shared" si="13"/>
        <v>53</v>
      </c>
      <c r="U60" s="3" t="str">
        <f t="shared" si="12"/>
        <v>35</v>
      </c>
      <c r="V60" s="3">
        <f t="shared" si="14"/>
        <v>212</v>
      </c>
      <c r="W60" s="3" t="str">
        <f t="shared" si="15"/>
        <v>0D4</v>
      </c>
      <c r="X60" s="3" t="str">
        <f t="shared" si="0"/>
        <v/>
      </c>
      <c r="Y60" s="3" t="str">
        <f t="shared" si="1"/>
        <v/>
      </c>
      <c r="Z60" s="3" t="str">
        <f t="shared" si="2"/>
        <v/>
      </c>
      <c r="AA60" s="3" t="str">
        <f t="shared" si="3"/>
        <v>X</v>
      </c>
      <c r="AB60" s="3" t="str">
        <f t="shared" si="16"/>
        <v/>
      </c>
      <c r="AC60" s="3" t="str">
        <f t="shared" si="17"/>
        <v/>
      </c>
      <c r="AD60" s="3" t="str">
        <f t="shared" si="18"/>
        <v/>
      </c>
      <c r="AE60" s="3" t="str">
        <f t="shared" si="19"/>
        <v>(0)</v>
      </c>
      <c r="AF60" s="3" t="str">
        <f t="shared" si="20"/>
        <v/>
      </c>
      <c r="AG60" s="3" t="str">
        <f t="shared" si="21"/>
        <v/>
      </c>
      <c r="AH60" s="3" t="str">
        <f t="shared" si="22"/>
        <v/>
      </c>
      <c r="AI60" s="3" t="str">
        <f t="shared" si="23"/>
        <v/>
      </c>
    </row>
    <row r="61" spans="2:35" x14ac:dyDescent="0.3">
      <c r="B61" s="3" t="s">
        <v>169</v>
      </c>
      <c r="C61" s="3" t="s">
        <v>213</v>
      </c>
      <c r="D61" s="3" t="s">
        <v>0</v>
      </c>
      <c r="E61" s="3" t="s">
        <v>161</v>
      </c>
      <c r="F61" s="3" t="s">
        <v>162</v>
      </c>
      <c r="G61" s="3" t="s">
        <v>120</v>
      </c>
      <c r="H61" s="3" t="s">
        <v>132</v>
      </c>
      <c r="I61" s="3" t="s">
        <v>96</v>
      </c>
      <c r="J61" s="3">
        <v>1</v>
      </c>
      <c r="K61" s="3" t="s">
        <v>94</v>
      </c>
      <c r="L61" s="3" t="s">
        <v>94</v>
      </c>
      <c r="M61" s="3" t="s">
        <v>434</v>
      </c>
      <c r="N61" s="3" t="s">
        <v>263</v>
      </c>
      <c r="O61" s="3" t="s">
        <v>269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 t="str">
        <f t="shared" si="24"/>
        <v>x</v>
      </c>
      <c r="T61" s="3">
        <f t="shared" si="13"/>
        <v>54</v>
      </c>
      <c r="U61" s="3" t="str">
        <f t="shared" si="12"/>
        <v>36</v>
      </c>
      <c r="V61" s="3">
        <f t="shared" si="14"/>
        <v>216</v>
      </c>
      <c r="W61" s="3" t="str">
        <f t="shared" si="15"/>
        <v>0D8</v>
      </c>
      <c r="X61" s="3" t="str">
        <f t="shared" si="0"/>
        <v/>
      </c>
      <c r="Y61" s="3" t="str">
        <f t="shared" si="1"/>
        <v/>
      </c>
      <c r="Z61" s="3" t="str">
        <f t="shared" si="2"/>
        <v/>
      </c>
      <c r="AA61" s="3" t="str">
        <f t="shared" si="3"/>
        <v>X</v>
      </c>
      <c r="AB61" s="3" t="str">
        <f t="shared" si="16"/>
        <v/>
      </c>
      <c r="AC61" s="3" t="str">
        <f t="shared" si="17"/>
        <v/>
      </c>
      <c r="AD61" s="3" t="str">
        <f t="shared" si="18"/>
        <v/>
      </c>
      <c r="AE61" s="3" t="str">
        <f t="shared" si="19"/>
        <v>(0)</v>
      </c>
      <c r="AF61" s="3" t="str">
        <f t="shared" si="20"/>
        <v/>
      </c>
      <c r="AG61" s="3" t="str">
        <f t="shared" si="21"/>
        <v/>
      </c>
      <c r="AH61" s="3" t="str">
        <f t="shared" si="22"/>
        <v/>
      </c>
      <c r="AI61" s="3" t="str">
        <f t="shared" si="23"/>
        <v/>
      </c>
    </row>
    <row r="62" spans="2:35" x14ac:dyDescent="0.3">
      <c r="B62" s="3" t="s">
        <v>169</v>
      </c>
      <c r="C62" s="3" t="s">
        <v>212</v>
      </c>
      <c r="D62" s="3" t="s">
        <v>0</v>
      </c>
      <c r="E62" s="3" t="s">
        <v>161</v>
      </c>
      <c r="F62" s="3" t="s">
        <v>162</v>
      </c>
      <c r="G62" s="3" t="s">
        <v>120</v>
      </c>
      <c r="H62" s="3" t="s">
        <v>133</v>
      </c>
      <c r="I62" s="3" t="s">
        <v>96</v>
      </c>
      <c r="J62" s="3">
        <v>1</v>
      </c>
      <c r="K62" s="3" t="s">
        <v>94</v>
      </c>
      <c r="L62" s="3" t="s">
        <v>94</v>
      </c>
      <c r="M62" s="3" t="s">
        <v>434</v>
      </c>
      <c r="N62" s="3" t="s">
        <v>263</v>
      </c>
      <c r="O62" s="3" t="s">
        <v>270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 t="str">
        <f t="shared" si="24"/>
        <v>x</v>
      </c>
      <c r="T62" s="3">
        <f t="shared" si="13"/>
        <v>55</v>
      </c>
      <c r="U62" s="3" t="str">
        <f t="shared" si="12"/>
        <v>37</v>
      </c>
      <c r="V62" s="3">
        <f t="shared" si="14"/>
        <v>220</v>
      </c>
      <c r="W62" s="3" t="str">
        <f t="shared" si="15"/>
        <v>0DC</v>
      </c>
      <c r="X62" s="3" t="str">
        <f t="shared" si="0"/>
        <v/>
      </c>
      <c r="Y62" s="3" t="str">
        <f t="shared" si="1"/>
        <v/>
      </c>
      <c r="Z62" s="3" t="str">
        <f t="shared" si="2"/>
        <v/>
      </c>
      <c r="AA62" s="3" t="str">
        <f t="shared" si="3"/>
        <v>X</v>
      </c>
      <c r="AB62" s="3" t="str">
        <f t="shared" si="16"/>
        <v/>
      </c>
      <c r="AC62" s="3" t="str">
        <f t="shared" si="17"/>
        <v/>
      </c>
      <c r="AD62" s="3" t="str">
        <f t="shared" si="18"/>
        <v/>
      </c>
      <c r="AE62" s="3" t="str">
        <f t="shared" si="19"/>
        <v>(0)</v>
      </c>
      <c r="AF62" s="3" t="str">
        <f t="shared" si="20"/>
        <v/>
      </c>
      <c r="AG62" s="3" t="str">
        <f t="shared" si="21"/>
        <v/>
      </c>
      <c r="AH62" s="3" t="str">
        <f t="shared" si="22"/>
        <v/>
      </c>
      <c r="AI62" s="3" t="str">
        <f t="shared" si="23"/>
        <v/>
      </c>
    </row>
    <row r="63" spans="2:35" x14ac:dyDescent="0.3">
      <c r="B63" s="3" t="s">
        <v>988</v>
      </c>
      <c r="C63" s="3" t="s">
        <v>214</v>
      </c>
      <c r="D63" s="3" t="s">
        <v>0</v>
      </c>
      <c r="E63" s="3" t="s">
        <v>161</v>
      </c>
      <c r="F63" s="3" t="s">
        <v>986</v>
      </c>
      <c r="G63" s="3" t="s">
        <v>987</v>
      </c>
      <c r="H63" s="3" t="s">
        <v>134</v>
      </c>
      <c r="I63" s="3" t="s">
        <v>96</v>
      </c>
      <c r="J63" s="3">
        <v>32</v>
      </c>
      <c r="K63" s="3" t="s">
        <v>94</v>
      </c>
      <c r="L63" s="3" t="s">
        <v>94</v>
      </c>
      <c r="M63" s="3" t="s">
        <v>434</v>
      </c>
      <c r="N63" s="3" t="s">
        <v>275</v>
      </c>
      <c r="O63" s="3" t="s">
        <v>276</v>
      </c>
      <c r="P63" s="3" t="s">
        <v>277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 t="str">
        <f t="shared" si="24"/>
        <v>x</v>
      </c>
      <c r="T63" s="3">
        <f t="shared" si="13"/>
        <v>56</v>
      </c>
      <c r="U63" s="3" t="str">
        <f t="shared" si="12"/>
        <v>38</v>
      </c>
      <c r="V63" s="3">
        <f t="shared" si="14"/>
        <v>224</v>
      </c>
      <c r="W63" s="3" t="str">
        <f t="shared" si="15"/>
        <v>0E0</v>
      </c>
      <c r="X63" s="3" t="str">
        <f t="shared" si="0"/>
        <v>X</v>
      </c>
      <c r="Y63" s="3" t="str">
        <f t="shared" si="1"/>
        <v>X</v>
      </c>
      <c r="Z63" s="3" t="str">
        <f t="shared" si="2"/>
        <v>X</v>
      </c>
      <c r="AA63" s="3" t="str">
        <f t="shared" si="3"/>
        <v>X</v>
      </c>
      <c r="AB63" s="3" t="str">
        <f t="shared" si="16"/>
        <v>(31 downto 24)</v>
      </c>
      <c r="AC63" s="3" t="str">
        <f t="shared" si="17"/>
        <v>(23 downto 16)</v>
      </c>
      <c r="AD63" s="3" t="str">
        <f t="shared" si="18"/>
        <v>(15 downto 8)</v>
      </c>
      <c r="AE63" s="3" t="str">
        <f t="shared" si="19"/>
        <v>(7 downto 0)</v>
      </c>
      <c r="AF63" s="3" t="str">
        <f t="shared" si="20"/>
        <v>(31 downto 24)</v>
      </c>
      <c r="AG63" s="3" t="str">
        <f t="shared" si="21"/>
        <v>(23 downto 16)</v>
      </c>
      <c r="AH63" s="3" t="str">
        <f t="shared" si="22"/>
        <v>(15 downto 8)</v>
      </c>
      <c r="AI63" s="3" t="str">
        <f t="shared" si="23"/>
        <v>(7 downto 0)</v>
      </c>
    </row>
    <row r="64" spans="2:35" x14ac:dyDescent="0.3">
      <c r="B64" s="3" t="s">
        <v>988</v>
      </c>
      <c r="C64" s="3" t="s">
        <v>215</v>
      </c>
      <c r="D64" s="3" t="s">
        <v>0</v>
      </c>
      <c r="E64" s="3" t="s">
        <v>161</v>
      </c>
      <c r="F64" s="3" t="s">
        <v>986</v>
      </c>
      <c r="G64" s="3" t="s">
        <v>987</v>
      </c>
      <c r="H64" s="3" t="s">
        <v>135</v>
      </c>
      <c r="I64" s="3" t="s">
        <v>96</v>
      </c>
      <c r="J64" s="3">
        <v>32</v>
      </c>
      <c r="K64" s="3" t="s">
        <v>94</v>
      </c>
      <c r="L64" s="3" t="s">
        <v>94</v>
      </c>
      <c r="M64" s="3" t="s">
        <v>434</v>
      </c>
      <c r="N64" s="3" t="s">
        <v>275</v>
      </c>
      <c r="O64" s="3" t="s">
        <v>278</v>
      </c>
      <c r="P64" s="3" t="s">
        <v>277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 t="str">
        <f t="shared" si="24"/>
        <v>x</v>
      </c>
      <c r="T64" s="3">
        <f t="shared" si="13"/>
        <v>57</v>
      </c>
      <c r="U64" s="3" t="str">
        <f t="shared" si="12"/>
        <v>39</v>
      </c>
      <c r="V64" s="3">
        <f t="shared" si="14"/>
        <v>228</v>
      </c>
      <c r="W64" s="3" t="str">
        <f t="shared" si="15"/>
        <v>0E4</v>
      </c>
      <c r="X64" s="3" t="str">
        <f t="shared" si="0"/>
        <v>X</v>
      </c>
      <c r="Y64" s="3" t="str">
        <f t="shared" si="1"/>
        <v>X</v>
      </c>
      <c r="Z64" s="3" t="str">
        <f t="shared" si="2"/>
        <v>X</v>
      </c>
      <c r="AA64" s="3" t="str">
        <f t="shared" si="3"/>
        <v>X</v>
      </c>
      <c r="AB64" s="3" t="str">
        <f t="shared" si="16"/>
        <v>(31 downto 24)</v>
      </c>
      <c r="AC64" s="3" t="str">
        <f t="shared" si="17"/>
        <v>(23 downto 16)</v>
      </c>
      <c r="AD64" s="3" t="str">
        <f t="shared" si="18"/>
        <v>(15 downto 8)</v>
      </c>
      <c r="AE64" s="3" t="str">
        <f t="shared" si="19"/>
        <v>(7 downto 0)</v>
      </c>
      <c r="AF64" s="3" t="str">
        <f t="shared" si="20"/>
        <v>(31 downto 24)</v>
      </c>
      <c r="AG64" s="3" t="str">
        <f t="shared" si="21"/>
        <v>(23 downto 16)</v>
      </c>
      <c r="AH64" s="3" t="str">
        <f t="shared" si="22"/>
        <v>(15 downto 8)</v>
      </c>
      <c r="AI64" s="3" t="str">
        <f t="shared" si="23"/>
        <v>(7 downto 0)</v>
      </c>
    </row>
    <row r="65" spans="2:35" x14ac:dyDescent="0.3">
      <c r="B65" s="10" t="s">
        <v>991</v>
      </c>
      <c r="C65" s="3" t="s">
        <v>992</v>
      </c>
      <c r="D65" s="10" t="s">
        <v>1</v>
      </c>
      <c r="E65" s="10" t="s">
        <v>156</v>
      </c>
      <c r="F65" s="10" t="s">
        <v>994</v>
      </c>
      <c r="G65" s="3" t="s">
        <v>1006</v>
      </c>
      <c r="H65" s="3" t="s">
        <v>1011</v>
      </c>
      <c r="I65" s="10" t="s">
        <v>96</v>
      </c>
      <c r="J65" s="10">
        <v>32</v>
      </c>
      <c r="K65" s="10" t="s">
        <v>773</v>
      </c>
      <c r="L65" s="10" t="s">
        <v>94</v>
      </c>
      <c r="M65" s="3" t="s">
        <v>434</v>
      </c>
      <c r="N65" s="3" t="s">
        <v>1030</v>
      </c>
      <c r="O65" s="3" t="s">
        <v>1040</v>
      </c>
      <c r="P65" s="3" t="s">
        <v>277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 t="str">
        <f t="shared" si="24"/>
        <v>x</v>
      </c>
      <c r="T65" s="3">
        <f t="shared" si="13"/>
        <v>58</v>
      </c>
      <c r="U65" s="3" t="str">
        <f t="shared" si="12"/>
        <v>3A</v>
      </c>
      <c r="V65" s="3">
        <f t="shared" si="14"/>
        <v>232</v>
      </c>
      <c r="W65" s="3" t="str">
        <f t="shared" si="15"/>
        <v>0E8</v>
      </c>
      <c r="X65" s="3" t="str">
        <f t="shared" si="0"/>
        <v>X</v>
      </c>
      <c r="Y65" s="3" t="str">
        <f t="shared" si="1"/>
        <v>X</v>
      </c>
      <c r="Z65" s="3" t="str">
        <f t="shared" si="2"/>
        <v>X</v>
      </c>
      <c r="AA65" s="3" t="str">
        <f t="shared" si="3"/>
        <v>X</v>
      </c>
      <c r="AB65" s="3" t="str">
        <f t="shared" si="16"/>
        <v>(31 downto 24)</v>
      </c>
      <c r="AC65" s="3" t="str">
        <f t="shared" si="17"/>
        <v>(23 downto 16)</v>
      </c>
      <c r="AD65" s="3" t="str">
        <f t="shared" si="18"/>
        <v>(15 downto 8)</v>
      </c>
      <c r="AE65" s="3" t="str">
        <f t="shared" si="19"/>
        <v>(7 downto 0)</v>
      </c>
      <c r="AF65" s="3" t="str">
        <f t="shared" si="20"/>
        <v>(31 downto 24)</v>
      </c>
      <c r="AG65" s="3" t="str">
        <f t="shared" si="21"/>
        <v>(23 downto 16)</v>
      </c>
      <c r="AH65" s="3" t="str">
        <f t="shared" si="22"/>
        <v>(15 downto 8)</v>
      </c>
      <c r="AI65" s="3" t="str">
        <f t="shared" si="23"/>
        <v>(7 downto 0)</v>
      </c>
    </row>
    <row r="66" spans="2:35" x14ac:dyDescent="0.3">
      <c r="B66" s="10" t="s">
        <v>991</v>
      </c>
      <c r="C66" s="3" t="s">
        <v>993</v>
      </c>
      <c r="D66" s="10" t="s">
        <v>1</v>
      </c>
      <c r="E66" s="10" t="s">
        <v>156</v>
      </c>
      <c r="F66" s="10" t="s">
        <v>994</v>
      </c>
      <c r="G66" s="3" t="s">
        <v>1006</v>
      </c>
      <c r="H66" s="3" t="s">
        <v>1012</v>
      </c>
      <c r="I66" s="10" t="s">
        <v>96</v>
      </c>
      <c r="J66" s="10">
        <v>32</v>
      </c>
      <c r="K66" s="10" t="s">
        <v>773</v>
      </c>
      <c r="L66" s="10" t="s">
        <v>94</v>
      </c>
      <c r="M66" s="3" t="s">
        <v>434</v>
      </c>
      <c r="N66" s="3" t="s">
        <v>1030</v>
      </c>
      <c r="O66" s="3" t="s">
        <v>1041</v>
      </c>
      <c r="P66" s="3" t="s">
        <v>277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 t="str">
        <f t="shared" si="24"/>
        <v>x</v>
      </c>
      <c r="T66" s="3">
        <f t="shared" si="13"/>
        <v>59</v>
      </c>
      <c r="U66" s="3" t="str">
        <f t="shared" si="12"/>
        <v>3B</v>
      </c>
      <c r="V66" s="3">
        <f t="shared" si="14"/>
        <v>236</v>
      </c>
      <c r="W66" s="3" t="str">
        <f t="shared" si="15"/>
        <v>0EC</v>
      </c>
      <c r="X66" s="3" t="str">
        <f t="shared" si="0"/>
        <v>X</v>
      </c>
      <c r="Y66" s="3" t="str">
        <f t="shared" si="1"/>
        <v>X</v>
      </c>
      <c r="Z66" s="3" t="str">
        <f t="shared" si="2"/>
        <v>X</v>
      </c>
      <c r="AA66" s="3" t="str">
        <f t="shared" si="3"/>
        <v>X</v>
      </c>
      <c r="AB66" s="3" t="str">
        <f t="shared" si="16"/>
        <v>(31 downto 24)</v>
      </c>
      <c r="AC66" s="3" t="str">
        <f t="shared" si="17"/>
        <v>(23 downto 16)</v>
      </c>
      <c r="AD66" s="3" t="str">
        <f t="shared" si="18"/>
        <v>(15 downto 8)</v>
      </c>
      <c r="AE66" s="3" t="str">
        <f t="shared" si="19"/>
        <v>(7 downto 0)</v>
      </c>
      <c r="AF66" s="3" t="str">
        <f t="shared" si="20"/>
        <v>(31 downto 24)</v>
      </c>
      <c r="AG66" s="3" t="str">
        <f t="shared" si="21"/>
        <v>(23 downto 16)</v>
      </c>
      <c r="AH66" s="3" t="str">
        <f t="shared" si="22"/>
        <v>(15 downto 8)</v>
      </c>
      <c r="AI66" s="3" t="str">
        <f t="shared" si="23"/>
        <v>(7 downto 0)</v>
      </c>
    </row>
    <row r="67" spans="2:35" x14ac:dyDescent="0.3">
      <c r="B67" s="3" t="s">
        <v>318</v>
      </c>
      <c r="C67" s="3" t="s">
        <v>321</v>
      </c>
      <c r="D67" s="3" t="s">
        <v>1</v>
      </c>
      <c r="E67" s="3" t="s">
        <v>156</v>
      </c>
      <c r="F67" s="3" t="s">
        <v>324</v>
      </c>
      <c r="G67" s="3" t="s">
        <v>327</v>
      </c>
      <c r="H67" s="3" t="s">
        <v>330</v>
      </c>
      <c r="I67" s="3" t="s">
        <v>96</v>
      </c>
      <c r="J67" s="3">
        <v>1</v>
      </c>
      <c r="K67" s="9" t="s">
        <v>414</v>
      </c>
      <c r="L67" s="3" t="s">
        <v>94</v>
      </c>
      <c r="M67" s="3" t="s">
        <v>434</v>
      </c>
      <c r="N67" s="3" t="s">
        <v>271</v>
      </c>
      <c r="O67" s="3" t="s">
        <v>272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 t="str">
        <f t="shared" si="24"/>
        <v>x</v>
      </c>
      <c r="T67" s="3">
        <f t="shared" si="13"/>
        <v>60</v>
      </c>
      <c r="U67" s="3" t="str">
        <f t="shared" si="12"/>
        <v>3C</v>
      </c>
      <c r="V67" s="3">
        <f t="shared" si="14"/>
        <v>240</v>
      </c>
      <c r="W67" s="3" t="str">
        <f t="shared" si="15"/>
        <v>0F0</v>
      </c>
      <c r="X67" s="3" t="str">
        <f t="shared" si="0"/>
        <v/>
      </c>
      <c r="Y67" s="3" t="str">
        <f t="shared" si="1"/>
        <v/>
      </c>
      <c r="Z67" s="3" t="str">
        <f t="shared" si="2"/>
        <v/>
      </c>
      <c r="AA67" s="3" t="str">
        <f t="shared" si="3"/>
        <v>X</v>
      </c>
      <c r="AB67" s="3" t="str">
        <f t="shared" si="16"/>
        <v/>
      </c>
      <c r="AC67" s="3" t="str">
        <f t="shared" si="17"/>
        <v/>
      </c>
      <c r="AD67" s="3" t="str">
        <f t="shared" si="18"/>
        <v/>
      </c>
      <c r="AE67" s="3" t="str">
        <f t="shared" si="19"/>
        <v>(0)</v>
      </c>
      <c r="AF67" s="3" t="str">
        <f t="shared" si="20"/>
        <v/>
      </c>
      <c r="AG67" s="3" t="str">
        <f t="shared" si="21"/>
        <v/>
      </c>
      <c r="AH67" s="3" t="str">
        <f t="shared" si="22"/>
        <v/>
      </c>
      <c r="AI67" s="3" t="str">
        <f t="shared" si="23"/>
        <v/>
      </c>
    </row>
    <row r="68" spans="2:35" x14ac:dyDescent="0.3">
      <c r="B68" s="3" t="s">
        <v>319</v>
      </c>
      <c r="C68" s="3" t="s">
        <v>322</v>
      </c>
      <c r="D68" s="3" t="s">
        <v>0</v>
      </c>
      <c r="E68" s="3" t="s">
        <v>161</v>
      </c>
      <c r="F68" s="3" t="s">
        <v>325</v>
      </c>
      <c r="G68" s="3" t="s">
        <v>328</v>
      </c>
      <c r="H68" s="3" t="s">
        <v>331</v>
      </c>
      <c r="I68" s="3" t="s">
        <v>96</v>
      </c>
      <c r="J68" s="3">
        <v>1</v>
      </c>
      <c r="K68" s="3" t="s">
        <v>94</v>
      </c>
      <c r="L68" s="3" t="s">
        <v>94</v>
      </c>
      <c r="M68" s="3" t="s">
        <v>434</v>
      </c>
      <c r="N68" s="3" t="s">
        <v>273</v>
      </c>
      <c r="O68" s="3" t="s">
        <v>274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 t="str">
        <f t="shared" si="24"/>
        <v>x</v>
      </c>
      <c r="T68" s="3">
        <f t="shared" si="13"/>
        <v>61</v>
      </c>
      <c r="U68" s="3" t="str">
        <f t="shared" si="12"/>
        <v>3D</v>
      </c>
      <c r="V68" s="3">
        <f t="shared" si="14"/>
        <v>244</v>
      </c>
      <c r="W68" s="3" t="str">
        <f t="shared" si="15"/>
        <v>0F4</v>
      </c>
      <c r="X68" s="3" t="str">
        <f t="shared" si="0"/>
        <v/>
      </c>
      <c r="Y68" s="3" t="str">
        <f t="shared" si="1"/>
        <v/>
      </c>
      <c r="Z68" s="3" t="str">
        <f t="shared" si="2"/>
        <v/>
      </c>
      <c r="AA68" s="3" t="str">
        <f t="shared" si="3"/>
        <v>X</v>
      </c>
      <c r="AB68" s="3" t="str">
        <f t="shared" si="16"/>
        <v/>
      </c>
      <c r="AC68" s="3" t="str">
        <f t="shared" si="17"/>
        <v/>
      </c>
      <c r="AD68" s="3" t="str">
        <f t="shared" si="18"/>
        <v/>
      </c>
      <c r="AE68" s="3" t="str">
        <f t="shared" si="19"/>
        <v>(0)</v>
      </c>
      <c r="AF68" s="3" t="str">
        <f t="shared" si="20"/>
        <v/>
      </c>
      <c r="AG68" s="3" t="str">
        <f t="shared" si="21"/>
        <v/>
      </c>
      <c r="AH68" s="3" t="str">
        <f t="shared" si="22"/>
        <v/>
      </c>
      <c r="AI68" s="3" t="str">
        <f t="shared" si="23"/>
        <v/>
      </c>
    </row>
    <row r="69" spans="2:35" x14ac:dyDescent="0.3">
      <c r="B69" s="3" t="s">
        <v>320</v>
      </c>
      <c r="C69" s="3" t="s">
        <v>323</v>
      </c>
      <c r="D69" s="3" t="s">
        <v>1</v>
      </c>
      <c r="E69" s="3" t="s">
        <v>156</v>
      </c>
      <c r="F69" s="3" t="s">
        <v>326</v>
      </c>
      <c r="G69" s="3" t="s">
        <v>329</v>
      </c>
      <c r="H69" s="3" t="s">
        <v>332</v>
      </c>
      <c r="I69" s="3" t="s">
        <v>96</v>
      </c>
      <c r="J69" s="3">
        <v>1</v>
      </c>
      <c r="K69" s="9" t="s">
        <v>414</v>
      </c>
      <c r="L69" s="9" t="s">
        <v>414</v>
      </c>
      <c r="M69" s="3" t="s">
        <v>434</v>
      </c>
      <c r="N69" s="3" t="s">
        <v>333</v>
      </c>
      <c r="O69" s="3" t="s">
        <v>334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 t="str">
        <f t="shared" si="24"/>
        <v>x</v>
      </c>
      <c r="T69" s="3">
        <f t="shared" si="13"/>
        <v>62</v>
      </c>
      <c r="U69" s="3" t="str">
        <f t="shared" ref="U69:U87" si="25">DEC2HEX($T69,2)</f>
        <v>3E</v>
      </c>
      <c r="V69" s="3">
        <f t="shared" si="14"/>
        <v>248</v>
      </c>
      <c r="W69" s="3" t="str">
        <f t="shared" si="15"/>
        <v>0F8</v>
      </c>
      <c r="X69" s="3" t="str">
        <f t="shared" si="0"/>
        <v/>
      </c>
      <c r="Y69" s="3" t="str">
        <f t="shared" si="1"/>
        <v/>
      </c>
      <c r="Z69" s="3" t="str">
        <f t="shared" si="2"/>
        <v/>
      </c>
      <c r="AA69" s="3" t="str">
        <f t="shared" si="3"/>
        <v>X</v>
      </c>
      <c r="AB69" s="3" t="str">
        <f t="shared" si="16"/>
        <v/>
      </c>
      <c r="AC69" s="3" t="str">
        <f t="shared" si="17"/>
        <v/>
      </c>
      <c r="AD69" s="3" t="str">
        <f t="shared" si="18"/>
        <v/>
      </c>
      <c r="AE69" s="3" t="str">
        <f t="shared" si="19"/>
        <v>(0)</v>
      </c>
      <c r="AF69" s="3" t="str">
        <f t="shared" si="20"/>
        <v/>
      </c>
      <c r="AG69" s="3" t="str">
        <f t="shared" si="21"/>
        <v/>
      </c>
      <c r="AH69" s="3" t="str">
        <f t="shared" si="22"/>
        <v/>
      </c>
      <c r="AI69" s="3" t="str">
        <f t="shared" si="23"/>
        <v/>
      </c>
    </row>
    <row r="70" spans="2:35" x14ac:dyDescent="0.3">
      <c r="B70" s="3" t="s">
        <v>1018</v>
      </c>
      <c r="C70" s="3" t="s">
        <v>1020</v>
      </c>
      <c r="D70" s="3" t="s">
        <v>0</v>
      </c>
      <c r="E70" s="3" t="s">
        <v>161</v>
      </c>
      <c r="F70" s="3" t="s">
        <v>1022</v>
      </c>
      <c r="G70" s="3" t="s">
        <v>1024</v>
      </c>
      <c r="H70" s="3" t="s">
        <v>1026</v>
      </c>
      <c r="I70" s="3" t="s">
        <v>96</v>
      </c>
      <c r="J70" s="10">
        <v>32</v>
      </c>
      <c r="K70" s="10" t="s">
        <v>94</v>
      </c>
      <c r="L70" s="10" t="s">
        <v>94</v>
      </c>
      <c r="M70" s="3" t="s">
        <v>434</v>
      </c>
      <c r="N70" s="3" t="s">
        <v>1031</v>
      </c>
      <c r="O70" s="3" t="s">
        <v>1039</v>
      </c>
      <c r="P70" s="3" t="s">
        <v>277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 t="str">
        <f t="shared" si="24"/>
        <v>x</v>
      </c>
      <c r="T70" s="3">
        <f t="shared" ref="T70:T87" si="26">IF($S70="x",$T69+1,$T69)</f>
        <v>63</v>
      </c>
      <c r="U70" s="3" t="str">
        <f t="shared" si="25"/>
        <v>3F</v>
      </c>
      <c r="V70" s="3">
        <f t="shared" ref="V70:V87" si="27">IF($S70="x",$T70*4,$V69+1)</f>
        <v>252</v>
      </c>
      <c r="W70" s="3" t="str">
        <f t="shared" ref="W70:W87" si="28">DEC2HEX($V70,3)</f>
        <v>0FC</v>
      </c>
      <c r="X70" s="3" t="str">
        <f t="shared" ref="X70:X87" si="29">IF($S70="x",IF(($J70-COUNTIF($Y70:$AA70,"X")*8)&gt;=1,"X",""),IF(COUNTIF($X69,"X"),"",IF(COUNTIF($Y70:$AA70,"X"),IF(($J70-COUNTIF($Y70:$AA70,"X")*8)&gt;=1,"X",""),"X")))</f>
        <v>X</v>
      </c>
      <c r="Y70" s="3" t="str">
        <f t="shared" ref="Y70:Y87" si="30">IF($S70="x",IF(($J70-COUNTIF($Z70:$AA70,"X")*8)&gt;=1,"X",""),IF(COUNTIF($X69:$Y69,"X"),"",IF(COUNTIF($Z70:$AA70,"X"),IF(($J70-COUNTIF($Z70:$AA70,"X")*8)&gt;=1,"X",""),"X")))</f>
        <v>X</v>
      </c>
      <c r="Z70" s="3" t="str">
        <f t="shared" ref="Z70:Z87" si="31">IF($S70="x",IF(($J70-COUNTIF($AA70,"X")*8)&gt;=1,"X",""),IF(COUNTIF($X69:$Z69,"X"),"",IF(COUNTIF($AA70,"X"),IF(($J70-COUNTIF($AA70,"X")*8)&gt;=1,"X",""),"X")))</f>
        <v>X</v>
      </c>
      <c r="AA70" s="3" t="str">
        <f t="shared" ref="AA70:AA87" si="32">IF($S70="x","X","")</f>
        <v>X</v>
      </c>
      <c r="AB70" s="3" t="str">
        <f t="shared" ref="AB70:AB87" si="33">IF(X70="","",CONCATENATE("(",IF(($J70-COUNTIF($Y70:$AA70,"X")*8)=1,"24)",CONCATENATE(IF(($J70-COUNTIF($Y70:$AA70,"X")*8)&gt;=8,32,($J70-COUNTIF($Y70:$AA70,"X")*8)+24)-1," downto 24)"))))</f>
        <v>(31 downto 24)</v>
      </c>
      <c r="AC70" s="3" t="str">
        <f t="shared" ref="AC70:AC87" si="34">IF(Y70="","",CONCATENATE("(",IF(($J70-COUNTIF($Z70:$AA70,"X")*8)=1,"16)",CONCATENATE(IF(($J70-COUNTIF($Z70:$AA70,"X")*8)&gt;=8,24,($J70-COUNTIF($Z70:$AA70,"X")*8)+16)-1," downto 16)"))))</f>
        <v>(23 downto 16)</v>
      </c>
      <c r="AD70" s="3" t="str">
        <f t="shared" ref="AD70:AD87" si="35">IF(Z70="","",CONCATENATE("(",IF(($J70-COUNTIF($AA70,"X")*8)=1,"8)",CONCATENATE(IF(($J70-COUNTIF($AA70,"X")*8)&gt;=8,16,($J70-COUNTIF($AA70,"X")*8)+8)-1," downto 8)"))))</f>
        <v>(15 downto 8)</v>
      </c>
      <c r="AE70" s="3" t="str">
        <f t="shared" ref="AE70:AE87" si="36">IF(AA70="","",CONCATENATE("(",IF($J70=1,"0)",CONCATENATE(IF($J70&gt;=8,8,$J70)-1," downto 0)"))))</f>
        <v>(7 downto 0)</v>
      </c>
      <c r="AF70" s="3" t="str">
        <f t="shared" ref="AF70:AF87" si="37">IF(X70="","",IF($J70&lt;=8,"",IF(($J70-COUNTIF($Y70:$AA70,"X")*8)=1,CONCATENATE("(",($J70-1),")"),CONCATENATE("(",IF(($J70-COUNTIF($Y70:$AA70,"X")*8)&gt;=8,COUNTIF($Y70:$AA70,"X")*8+7,$J70-COUNTIF($Y70:$AA70,"X")*8-1)," downto ",COUNTIF($Y70:$AA70,"X")*8,")"))))</f>
        <v>(31 downto 24)</v>
      </c>
      <c r="AG70" s="3" t="str">
        <f t="shared" ref="AG70:AG87" si="38">IF(Y70="","",IF($J70&lt;=8,"",IF(($J70-COUNTIF($Z70:$AA70,"X")*8)=1,CONCATENATE("(",($J70-1),")"),CONCATENATE("(",IF(($J70-COUNTIF($Z70:$AA70,"X")*8)&gt;=8,COUNTIF($Z70:$AA70,"X")*8+7,$J70-COUNTIF($Z70:$AA70,"X")*8-1)," downto ",COUNTIF($Z70:$AA70,"X")*8,")"))))</f>
        <v>(23 downto 16)</v>
      </c>
      <c r="AH70" s="3" t="str">
        <f t="shared" ref="AH70:AH87" si="39">IF(Z70="","",IF($J70&lt;=8,"",IF(($J70-COUNTIF($AA70,"X")*8)=1,CONCATENATE("(",($J70-1),")"),CONCATENATE("(",IF(($J70-COUNTIF($AA70,"X")*8)&gt;=8,COUNTIF($AA70,"X")*8+7,$J70-COUNTIF($AA70,"X")*8-1)," downto ",COUNTIF($AA70,"X")*8,")"))))</f>
        <v>(15 downto 8)</v>
      </c>
      <c r="AI70" s="3" t="str">
        <f t="shared" ref="AI70:AI87" si="40">IF(AA70="","",IF($J70&lt;=8,"",CONCATENATE("(",IF($J70&gt;=8,7,$J70-1)," downto ",0,")")))</f>
        <v>(7 downto 0)</v>
      </c>
    </row>
    <row r="71" spans="2:35" x14ac:dyDescent="0.3">
      <c r="B71" s="3" t="s">
        <v>1302</v>
      </c>
      <c r="C71" s="3" t="s">
        <v>1002</v>
      </c>
      <c r="D71" s="10" t="s">
        <v>1</v>
      </c>
      <c r="E71" s="10" t="s">
        <v>156</v>
      </c>
      <c r="F71" s="3" t="s">
        <v>1004</v>
      </c>
      <c r="G71" s="3" t="s">
        <v>1010</v>
      </c>
      <c r="H71" s="3" t="s">
        <v>1016</v>
      </c>
      <c r="I71" s="10" t="s">
        <v>96</v>
      </c>
      <c r="J71" s="10">
        <v>32</v>
      </c>
      <c r="K71" s="10" t="s">
        <v>773</v>
      </c>
      <c r="L71" s="10" t="s">
        <v>94</v>
      </c>
      <c r="M71" s="3" t="s">
        <v>432</v>
      </c>
      <c r="N71" s="3" t="s">
        <v>1032</v>
      </c>
      <c r="O71" s="3" t="s">
        <v>1037</v>
      </c>
      <c r="P71" s="10" t="s">
        <v>277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 t="str">
        <f t="shared" si="24"/>
        <v>x</v>
      </c>
      <c r="T71" s="3">
        <f t="shared" si="26"/>
        <v>64</v>
      </c>
      <c r="U71" s="3" t="str">
        <f t="shared" si="25"/>
        <v>40</v>
      </c>
      <c r="V71" s="3">
        <f t="shared" si="27"/>
        <v>256</v>
      </c>
      <c r="W71" s="3" t="str">
        <f t="shared" si="28"/>
        <v>100</v>
      </c>
      <c r="X71" s="3" t="str">
        <f t="shared" si="29"/>
        <v>X</v>
      </c>
      <c r="Y71" s="3" t="str">
        <f t="shared" si="30"/>
        <v>X</v>
      </c>
      <c r="Z71" s="3" t="str">
        <f t="shared" si="31"/>
        <v>X</v>
      </c>
      <c r="AA71" s="3" t="str">
        <f t="shared" si="32"/>
        <v>X</v>
      </c>
      <c r="AB71" s="3" t="str">
        <f t="shared" si="33"/>
        <v>(31 downto 24)</v>
      </c>
      <c r="AC71" s="3" t="str">
        <f t="shared" si="34"/>
        <v>(23 downto 16)</v>
      </c>
      <c r="AD71" s="3" t="str">
        <f t="shared" si="35"/>
        <v>(15 downto 8)</v>
      </c>
      <c r="AE71" s="3" t="str">
        <f t="shared" si="36"/>
        <v>(7 downto 0)</v>
      </c>
      <c r="AF71" s="3" t="str">
        <f t="shared" si="37"/>
        <v>(31 downto 24)</v>
      </c>
      <c r="AG71" s="3" t="str">
        <f t="shared" si="38"/>
        <v>(23 downto 16)</v>
      </c>
      <c r="AH71" s="3" t="str">
        <f t="shared" si="39"/>
        <v>(15 downto 8)</v>
      </c>
      <c r="AI71" s="3" t="str">
        <f t="shared" si="40"/>
        <v>(7 downto 0)</v>
      </c>
    </row>
    <row r="72" spans="2:35" x14ac:dyDescent="0.3">
      <c r="B72" s="3" t="s">
        <v>170</v>
      </c>
      <c r="C72" s="3" t="s">
        <v>216</v>
      </c>
      <c r="D72" s="3" t="s">
        <v>1</v>
      </c>
      <c r="E72" s="3" t="s">
        <v>156</v>
      </c>
      <c r="F72" s="3" t="s">
        <v>158</v>
      </c>
      <c r="G72" s="3" t="s">
        <v>136</v>
      </c>
      <c r="H72" s="3" t="s">
        <v>137</v>
      </c>
      <c r="I72" s="3" t="s">
        <v>96</v>
      </c>
      <c r="J72" s="3">
        <v>16</v>
      </c>
      <c r="K72" s="3" t="s">
        <v>417</v>
      </c>
      <c r="L72" s="3" t="s">
        <v>94</v>
      </c>
      <c r="M72" s="3" t="s">
        <v>432</v>
      </c>
      <c r="N72" s="3" t="s">
        <v>294</v>
      </c>
      <c r="O72" s="3" t="s">
        <v>295</v>
      </c>
      <c r="P72" s="3" t="s">
        <v>296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 t="str">
        <f t="shared" si="24"/>
        <v>x</v>
      </c>
      <c r="T72" s="3">
        <f t="shared" si="26"/>
        <v>65</v>
      </c>
      <c r="U72" s="3" t="str">
        <f t="shared" si="25"/>
        <v>41</v>
      </c>
      <c r="V72" s="3">
        <f t="shared" si="27"/>
        <v>260</v>
      </c>
      <c r="W72" s="3" t="str">
        <f t="shared" si="28"/>
        <v>104</v>
      </c>
      <c r="X72" s="3" t="str">
        <f t="shared" si="29"/>
        <v/>
      </c>
      <c r="Y72" s="3" t="str">
        <f t="shared" si="30"/>
        <v/>
      </c>
      <c r="Z72" s="3" t="str">
        <f t="shared" si="31"/>
        <v>X</v>
      </c>
      <c r="AA72" s="3" t="str">
        <f t="shared" si="32"/>
        <v>X</v>
      </c>
      <c r="AB72" s="3" t="str">
        <f t="shared" si="33"/>
        <v/>
      </c>
      <c r="AC72" s="3" t="str">
        <f t="shared" si="34"/>
        <v/>
      </c>
      <c r="AD72" s="3" t="str">
        <f t="shared" si="35"/>
        <v>(15 downto 8)</v>
      </c>
      <c r="AE72" s="3" t="str">
        <f t="shared" si="36"/>
        <v>(7 downto 0)</v>
      </c>
      <c r="AF72" s="3" t="str">
        <f t="shared" si="37"/>
        <v/>
      </c>
      <c r="AG72" s="3" t="str">
        <f t="shared" si="38"/>
        <v/>
      </c>
      <c r="AH72" s="3" t="str">
        <f t="shared" si="39"/>
        <v>(15 downto 8)</v>
      </c>
      <c r="AI72" s="3" t="str">
        <f t="shared" si="40"/>
        <v>(7 downto 0)</v>
      </c>
    </row>
    <row r="73" spans="2:35" x14ac:dyDescent="0.3">
      <c r="B73" s="3" t="s">
        <v>170</v>
      </c>
      <c r="C73" s="3" t="s">
        <v>217</v>
      </c>
      <c r="D73" s="3" t="s">
        <v>1</v>
      </c>
      <c r="E73" s="3" t="s">
        <v>156</v>
      </c>
      <c r="F73" s="3" t="s">
        <v>158</v>
      </c>
      <c r="G73" s="3" t="s">
        <v>136</v>
      </c>
      <c r="H73" s="3" t="s">
        <v>138</v>
      </c>
      <c r="I73" s="3" t="s">
        <v>96</v>
      </c>
      <c r="J73" s="3">
        <v>16</v>
      </c>
      <c r="K73" s="3" t="s">
        <v>418</v>
      </c>
      <c r="L73" s="3" t="s">
        <v>94</v>
      </c>
      <c r="M73" s="3" t="s">
        <v>432</v>
      </c>
      <c r="N73" s="3" t="s">
        <v>294</v>
      </c>
      <c r="O73" s="3" t="s">
        <v>297</v>
      </c>
      <c r="P73" s="3" t="s">
        <v>296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 t="str">
        <f t="shared" ref="S73:S87" si="41">IF(IF($S72="x",SUM($R72:$R73),IF($S71="x",SUM($R71:$R73),IF($S70="x",SUM($R70:$R73),IF($S69="x",SUM($R69:$R73),0))))&gt;4,"x","")</f>
        <v/>
      </c>
      <c r="T73" s="3">
        <f t="shared" si="26"/>
        <v>65</v>
      </c>
      <c r="U73" s="3" t="str">
        <f t="shared" si="25"/>
        <v>41</v>
      </c>
      <c r="V73" s="3">
        <f t="shared" si="27"/>
        <v>261</v>
      </c>
      <c r="W73" s="3" t="str">
        <f t="shared" si="28"/>
        <v>105</v>
      </c>
      <c r="X73" s="3" t="str">
        <f t="shared" si="29"/>
        <v>X</v>
      </c>
      <c r="Y73" s="3" t="str">
        <f t="shared" si="30"/>
        <v>X</v>
      </c>
      <c r="Z73" s="3" t="str">
        <f t="shared" si="31"/>
        <v/>
      </c>
      <c r="AA73" s="3" t="str">
        <f t="shared" si="32"/>
        <v/>
      </c>
      <c r="AB73" s="3" t="str">
        <f t="shared" si="33"/>
        <v>(31 downto 24)</v>
      </c>
      <c r="AC73" s="3" t="str">
        <f t="shared" si="34"/>
        <v>(23 downto 16)</v>
      </c>
      <c r="AD73" s="3" t="str">
        <f t="shared" si="35"/>
        <v/>
      </c>
      <c r="AE73" s="3" t="str">
        <f t="shared" si="36"/>
        <v/>
      </c>
      <c r="AF73" s="3" t="str">
        <f t="shared" si="37"/>
        <v>(15 downto 8)</v>
      </c>
      <c r="AG73" s="3" t="str">
        <f t="shared" si="38"/>
        <v>(7 downto 0)</v>
      </c>
      <c r="AH73" s="3" t="str">
        <f t="shared" si="39"/>
        <v/>
      </c>
      <c r="AI73" s="3" t="str">
        <f t="shared" si="40"/>
        <v/>
      </c>
    </row>
    <row r="74" spans="2:35" x14ac:dyDescent="0.3">
      <c r="B74" s="3" t="s">
        <v>170</v>
      </c>
      <c r="C74" s="3" t="s">
        <v>218</v>
      </c>
      <c r="D74" s="3" t="s">
        <v>1</v>
      </c>
      <c r="E74" s="3" t="s">
        <v>156</v>
      </c>
      <c r="F74" s="3" t="s">
        <v>158</v>
      </c>
      <c r="G74" s="3" t="s">
        <v>136</v>
      </c>
      <c r="H74" s="3" t="s">
        <v>139</v>
      </c>
      <c r="I74" s="3" t="s">
        <v>96</v>
      </c>
      <c r="J74" s="3">
        <v>16</v>
      </c>
      <c r="K74" s="3" t="s">
        <v>419</v>
      </c>
      <c r="L74" s="3" t="s">
        <v>94</v>
      </c>
      <c r="M74" s="3" t="s">
        <v>432</v>
      </c>
      <c r="N74" s="3" t="s">
        <v>294</v>
      </c>
      <c r="O74" s="3" t="s">
        <v>298</v>
      </c>
      <c r="P74" s="3" t="s">
        <v>296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 t="str">
        <f t="shared" si="41"/>
        <v>x</v>
      </c>
      <c r="T74" s="3">
        <f t="shared" si="26"/>
        <v>66</v>
      </c>
      <c r="U74" s="3" t="str">
        <f t="shared" si="25"/>
        <v>42</v>
      </c>
      <c r="V74" s="3">
        <f t="shared" si="27"/>
        <v>264</v>
      </c>
      <c r="W74" s="3" t="str">
        <f t="shared" si="28"/>
        <v>108</v>
      </c>
      <c r="X74" s="3" t="str">
        <f t="shared" si="29"/>
        <v/>
      </c>
      <c r="Y74" s="3" t="str">
        <f t="shared" si="30"/>
        <v/>
      </c>
      <c r="Z74" s="3" t="str">
        <f t="shared" si="31"/>
        <v>X</v>
      </c>
      <c r="AA74" s="3" t="str">
        <f t="shared" si="32"/>
        <v>X</v>
      </c>
      <c r="AB74" s="3" t="str">
        <f t="shared" si="33"/>
        <v/>
      </c>
      <c r="AC74" s="3" t="str">
        <f t="shared" si="34"/>
        <v/>
      </c>
      <c r="AD74" s="3" t="str">
        <f t="shared" si="35"/>
        <v>(15 downto 8)</v>
      </c>
      <c r="AE74" s="3" t="str">
        <f t="shared" si="36"/>
        <v>(7 downto 0)</v>
      </c>
      <c r="AF74" s="3" t="str">
        <f t="shared" si="37"/>
        <v/>
      </c>
      <c r="AG74" s="3" t="str">
        <f t="shared" si="38"/>
        <v/>
      </c>
      <c r="AH74" s="3" t="str">
        <f t="shared" si="39"/>
        <v>(15 downto 8)</v>
      </c>
      <c r="AI74" s="3" t="str">
        <f t="shared" si="40"/>
        <v>(7 downto 0)</v>
      </c>
    </row>
    <row r="75" spans="2:35" x14ac:dyDescent="0.3">
      <c r="B75" s="3" t="s">
        <v>170</v>
      </c>
      <c r="C75" s="3" t="s">
        <v>219</v>
      </c>
      <c r="D75" s="3" t="s">
        <v>1</v>
      </c>
      <c r="E75" s="3" t="s">
        <v>156</v>
      </c>
      <c r="F75" s="3" t="s">
        <v>158</v>
      </c>
      <c r="G75" s="3" t="s">
        <v>136</v>
      </c>
      <c r="H75" s="3" t="s">
        <v>140</v>
      </c>
      <c r="I75" s="3" t="s">
        <v>96</v>
      </c>
      <c r="J75" s="3">
        <v>16</v>
      </c>
      <c r="K75" s="3" t="s">
        <v>420</v>
      </c>
      <c r="L75" s="3" t="s">
        <v>94</v>
      </c>
      <c r="M75" s="3" t="s">
        <v>432</v>
      </c>
      <c r="N75" s="3" t="s">
        <v>294</v>
      </c>
      <c r="O75" s="3" t="s">
        <v>299</v>
      </c>
      <c r="P75" s="3" t="s">
        <v>296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 t="str">
        <f t="shared" si="41"/>
        <v/>
      </c>
      <c r="T75" s="3">
        <f t="shared" si="26"/>
        <v>66</v>
      </c>
      <c r="U75" s="3" t="str">
        <f t="shared" si="25"/>
        <v>42</v>
      </c>
      <c r="V75" s="3">
        <f t="shared" si="27"/>
        <v>265</v>
      </c>
      <c r="W75" s="3" t="str">
        <f t="shared" si="28"/>
        <v>109</v>
      </c>
      <c r="X75" s="3" t="str">
        <f t="shared" si="29"/>
        <v>X</v>
      </c>
      <c r="Y75" s="3" t="str">
        <f t="shared" si="30"/>
        <v>X</v>
      </c>
      <c r="Z75" s="3" t="str">
        <f t="shared" si="31"/>
        <v/>
      </c>
      <c r="AA75" s="3" t="str">
        <f t="shared" si="32"/>
        <v/>
      </c>
      <c r="AB75" s="3" t="str">
        <f t="shared" si="33"/>
        <v>(31 downto 24)</v>
      </c>
      <c r="AC75" s="3" t="str">
        <f t="shared" si="34"/>
        <v>(23 downto 16)</v>
      </c>
      <c r="AD75" s="3" t="str">
        <f t="shared" si="35"/>
        <v/>
      </c>
      <c r="AE75" s="3" t="str">
        <f t="shared" si="36"/>
        <v/>
      </c>
      <c r="AF75" s="3" t="str">
        <f t="shared" si="37"/>
        <v>(15 downto 8)</v>
      </c>
      <c r="AG75" s="3" t="str">
        <f t="shared" si="38"/>
        <v>(7 downto 0)</v>
      </c>
      <c r="AH75" s="3" t="str">
        <f t="shared" si="39"/>
        <v/>
      </c>
      <c r="AI75" s="3" t="str">
        <f t="shared" si="40"/>
        <v/>
      </c>
    </row>
    <row r="76" spans="2:35" x14ac:dyDescent="0.3">
      <c r="B76" s="3" t="s">
        <v>170</v>
      </c>
      <c r="C76" s="3" t="s">
        <v>220</v>
      </c>
      <c r="D76" s="3" t="s">
        <v>1</v>
      </c>
      <c r="E76" s="3" t="s">
        <v>156</v>
      </c>
      <c r="F76" s="3" t="s">
        <v>158</v>
      </c>
      <c r="G76" s="3" t="s">
        <v>136</v>
      </c>
      <c r="H76" s="3" t="s">
        <v>141</v>
      </c>
      <c r="I76" s="3" t="s">
        <v>96</v>
      </c>
      <c r="J76" s="3">
        <v>16</v>
      </c>
      <c r="K76" s="3" t="s">
        <v>421</v>
      </c>
      <c r="L76" s="3" t="s">
        <v>94</v>
      </c>
      <c r="M76" s="3" t="s">
        <v>432</v>
      </c>
      <c r="N76" s="3" t="s">
        <v>294</v>
      </c>
      <c r="O76" s="3" t="s">
        <v>300</v>
      </c>
      <c r="P76" s="3" t="s">
        <v>296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 t="str">
        <f t="shared" si="41"/>
        <v>x</v>
      </c>
      <c r="T76" s="3">
        <f t="shared" si="26"/>
        <v>67</v>
      </c>
      <c r="U76" s="3" t="str">
        <f t="shared" si="25"/>
        <v>43</v>
      </c>
      <c r="V76" s="3">
        <f t="shared" si="27"/>
        <v>268</v>
      </c>
      <c r="W76" s="3" t="str">
        <f t="shared" si="28"/>
        <v>10C</v>
      </c>
      <c r="X76" s="3" t="str">
        <f t="shared" si="29"/>
        <v/>
      </c>
      <c r="Y76" s="3" t="str">
        <f t="shared" si="30"/>
        <v/>
      </c>
      <c r="Z76" s="3" t="str">
        <f t="shared" si="31"/>
        <v>X</v>
      </c>
      <c r="AA76" s="3" t="str">
        <f t="shared" si="32"/>
        <v>X</v>
      </c>
      <c r="AB76" s="3" t="str">
        <f t="shared" si="33"/>
        <v/>
      </c>
      <c r="AC76" s="3" t="str">
        <f t="shared" si="34"/>
        <v/>
      </c>
      <c r="AD76" s="3" t="str">
        <f t="shared" si="35"/>
        <v>(15 downto 8)</v>
      </c>
      <c r="AE76" s="3" t="str">
        <f t="shared" si="36"/>
        <v>(7 downto 0)</v>
      </c>
      <c r="AF76" s="3" t="str">
        <f t="shared" si="37"/>
        <v/>
      </c>
      <c r="AG76" s="3" t="str">
        <f t="shared" si="38"/>
        <v/>
      </c>
      <c r="AH76" s="3" t="str">
        <f t="shared" si="39"/>
        <v>(15 downto 8)</v>
      </c>
      <c r="AI76" s="3" t="str">
        <f t="shared" si="40"/>
        <v>(7 downto 0)</v>
      </c>
    </row>
    <row r="77" spans="2:35" x14ac:dyDescent="0.3">
      <c r="B77" s="3" t="s">
        <v>170</v>
      </c>
      <c r="C77" s="3" t="s">
        <v>221</v>
      </c>
      <c r="D77" s="3" t="s">
        <v>1</v>
      </c>
      <c r="E77" s="3" t="s">
        <v>156</v>
      </c>
      <c r="F77" s="3" t="s">
        <v>158</v>
      </c>
      <c r="G77" s="3" t="s">
        <v>136</v>
      </c>
      <c r="H77" s="3" t="s">
        <v>142</v>
      </c>
      <c r="I77" s="3" t="s">
        <v>96</v>
      </c>
      <c r="J77" s="3">
        <v>8</v>
      </c>
      <c r="K77" s="3" t="s">
        <v>425</v>
      </c>
      <c r="L77" s="3" t="s">
        <v>94</v>
      </c>
      <c r="M77" s="3" t="s">
        <v>432</v>
      </c>
      <c r="N77" s="3" t="s">
        <v>294</v>
      </c>
      <c r="O77" s="3" t="s">
        <v>304</v>
      </c>
      <c r="P77" s="3" t="s">
        <v>242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 t="str">
        <f t="shared" si="41"/>
        <v/>
      </c>
      <c r="T77" s="3">
        <f t="shared" si="26"/>
        <v>67</v>
      </c>
      <c r="U77" s="3" t="str">
        <f t="shared" si="25"/>
        <v>43</v>
      </c>
      <c r="V77" s="3">
        <f t="shared" si="27"/>
        <v>269</v>
      </c>
      <c r="W77" s="3" t="str">
        <f t="shared" si="28"/>
        <v>10D</v>
      </c>
      <c r="X77" s="3" t="str">
        <f t="shared" si="29"/>
        <v/>
      </c>
      <c r="Y77" s="3" t="str">
        <f t="shared" si="30"/>
        <v>X</v>
      </c>
      <c r="Z77" s="3" t="str">
        <f t="shared" si="31"/>
        <v/>
      </c>
      <c r="AA77" s="3" t="str">
        <f t="shared" si="32"/>
        <v/>
      </c>
      <c r="AB77" s="3" t="str">
        <f t="shared" si="33"/>
        <v/>
      </c>
      <c r="AC77" s="3" t="str">
        <f t="shared" si="34"/>
        <v>(23 downto 16)</v>
      </c>
      <c r="AD77" s="3" t="str">
        <f t="shared" si="35"/>
        <v/>
      </c>
      <c r="AE77" s="3" t="str">
        <f t="shared" si="36"/>
        <v/>
      </c>
      <c r="AF77" s="3" t="str">
        <f t="shared" si="37"/>
        <v/>
      </c>
      <c r="AG77" s="3" t="str">
        <f t="shared" si="38"/>
        <v/>
      </c>
      <c r="AH77" s="3" t="str">
        <f t="shared" si="39"/>
        <v/>
      </c>
      <c r="AI77" s="3" t="str">
        <f t="shared" si="40"/>
        <v/>
      </c>
    </row>
    <row r="78" spans="2:35" x14ac:dyDescent="0.3">
      <c r="B78" s="3" t="s">
        <v>170</v>
      </c>
      <c r="C78" s="3" t="s">
        <v>222</v>
      </c>
      <c r="D78" s="3" t="s">
        <v>1</v>
      </c>
      <c r="E78" s="3" t="s">
        <v>156</v>
      </c>
      <c r="F78" s="3" t="s">
        <v>158</v>
      </c>
      <c r="G78" s="3" t="s">
        <v>136</v>
      </c>
      <c r="H78" s="3" t="s">
        <v>143</v>
      </c>
      <c r="I78" s="3" t="s">
        <v>96</v>
      </c>
      <c r="J78" s="3">
        <v>8</v>
      </c>
      <c r="K78" s="3" t="s">
        <v>424</v>
      </c>
      <c r="L78" s="3" t="s">
        <v>94</v>
      </c>
      <c r="M78" s="3" t="s">
        <v>432</v>
      </c>
      <c r="N78" s="3" t="s">
        <v>294</v>
      </c>
      <c r="O78" s="3" t="s">
        <v>303</v>
      </c>
      <c r="P78" s="3" t="s">
        <v>242</v>
      </c>
      <c r="Q78" s="3">
        <f>INDEX(Tables!$C$4:$C$28,MATCH($P78,Tables!$B$4:$B$28,0))</f>
        <v>8</v>
      </c>
      <c r="R78" s="3">
        <f>INDEX(Tables!$D$4:$D$28,MATCH($P78,Tables!$B$4:$B$28,0))</f>
        <v>1</v>
      </c>
      <c r="S78" s="3" t="str">
        <f t="shared" si="41"/>
        <v/>
      </c>
      <c r="T78" s="3">
        <f t="shared" si="26"/>
        <v>67</v>
      </c>
      <c r="U78" s="3" t="str">
        <f t="shared" si="25"/>
        <v>43</v>
      </c>
      <c r="V78" s="3">
        <f t="shared" si="27"/>
        <v>270</v>
      </c>
      <c r="W78" s="3" t="str">
        <f t="shared" si="28"/>
        <v>10E</v>
      </c>
      <c r="X78" s="3" t="str">
        <f t="shared" si="29"/>
        <v>X</v>
      </c>
      <c r="Y78" s="3" t="str">
        <f t="shared" si="30"/>
        <v/>
      </c>
      <c r="Z78" s="3" t="str">
        <f t="shared" si="31"/>
        <v/>
      </c>
      <c r="AA78" s="3" t="str">
        <f t="shared" si="32"/>
        <v/>
      </c>
      <c r="AB78" s="3" t="str">
        <f t="shared" si="33"/>
        <v>(31 downto 24)</v>
      </c>
      <c r="AC78" s="3" t="str">
        <f t="shared" si="34"/>
        <v/>
      </c>
      <c r="AD78" s="3" t="str">
        <f t="shared" si="35"/>
        <v/>
      </c>
      <c r="AE78" s="3" t="str">
        <f t="shared" si="36"/>
        <v/>
      </c>
      <c r="AF78" s="3" t="str">
        <f t="shared" si="37"/>
        <v/>
      </c>
      <c r="AG78" s="3" t="str">
        <f t="shared" si="38"/>
        <v/>
      </c>
      <c r="AH78" s="3" t="str">
        <f t="shared" si="39"/>
        <v/>
      </c>
      <c r="AI78" s="3" t="str">
        <f t="shared" si="40"/>
        <v/>
      </c>
    </row>
    <row r="79" spans="2:35" x14ac:dyDescent="0.3">
      <c r="B79" s="3" t="s">
        <v>170</v>
      </c>
      <c r="C79" s="3" t="s">
        <v>223</v>
      </c>
      <c r="D79" s="3" t="s">
        <v>1</v>
      </c>
      <c r="E79" s="3" t="s">
        <v>156</v>
      </c>
      <c r="F79" s="3" t="s">
        <v>158</v>
      </c>
      <c r="G79" s="3" t="s">
        <v>136</v>
      </c>
      <c r="H79" s="3" t="s">
        <v>144</v>
      </c>
      <c r="I79" s="3" t="s">
        <v>96</v>
      </c>
      <c r="J79" s="3">
        <v>4</v>
      </c>
      <c r="K79" s="3" t="s">
        <v>422</v>
      </c>
      <c r="L79" s="3" t="s">
        <v>94</v>
      </c>
      <c r="M79" s="3" t="s">
        <v>432</v>
      </c>
      <c r="N79" s="3" t="s">
        <v>294</v>
      </c>
      <c r="O79" s="3" t="s">
        <v>301</v>
      </c>
      <c r="P79" s="3" t="s">
        <v>242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 t="str">
        <f t="shared" si="41"/>
        <v>x</v>
      </c>
      <c r="T79" s="3">
        <f t="shared" si="26"/>
        <v>68</v>
      </c>
      <c r="U79" s="3" t="str">
        <f t="shared" si="25"/>
        <v>44</v>
      </c>
      <c r="V79" s="3">
        <f t="shared" si="27"/>
        <v>272</v>
      </c>
      <c r="W79" s="3" t="str">
        <f t="shared" si="28"/>
        <v>110</v>
      </c>
      <c r="X79" s="3" t="str">
        <f t="shared" si="29"/>
        <v/>
      </c>
      <c r="Y79" s="3" t="str">
        <f t="shared" si="30"/>
        <v/>
      </c>
      <c r="Z79" s="3" t="str">
        <f t="shared" si="31"/>
        <v/>
      </c>
      <c r="AA79" s="3" t="str">
        <f t="shared" si="32"/>
        <v>X</v>
      </c>
      <c r="AB79" s="3" t="str">
        <f t="shared" si="33"/>
        <v/>
      </c>
      <c r="AC79" s="3" t="str">
        <f t="shared" si="34"/>
        <v/>
      </c>
      <c r="AD79" s="3" t="str">
        <f t="shared" si="35"/>
        <v/>
      </c>
      <c r="AE79" s="3" t="str">
        <f t="shared" si="36"/>
        <v>(3 downto 0)</v>
      </c>
      <c r="AF79" s="3" t="str">
        <f t="shared" si="37"/>
        <v/>
      </c>
      <c r="AG79" s="3" t="str">
        <f t="shared" si="38"/>
        <v/>
      </c>
      <c r="AH79" s="3" t="str">
        <f t="shared" si="39"/>
        <v/>
      </c>
      <c r="AI79" s="3" t="str">
        <f t="shared" si="40"/>
        <v/>
      </c>
    </row>
    <row r="80" spans="2:35" x14ac:dyDescent="0.3">
      <c r="B80" s="3" t="s">
        <v>170</v>
      </c>
      <c r="C80" s="3" t="s">
        <v>224</v>
      </c>
      <c r="D80" s="3" t="s">
        <v>1</v>
      </c>
      <c r="E80" s="3" t="s">
        <v>156</v>
      </c>
      <c r="F80" s="3" t="s">
        <v>158</v>
      </c>
      <c r="G80" s="3" t="s">
        <v>136</v>
      </c>
      <c r="H80" s="3" t="s">
        <v>145</v>
      </c>
      <c r="I80" s="3" t="s">
        <v>96</v>
      </c>
      <c r="J80" s="3">
        <v>2</v>
      </c>
      <c r="K80" s="3" t="s">
        <v>423</v>
      </c>
      <c r="L80" s="3" t="s">
        <v>94</v>
      </c>
      <c r="M80" s="3" t="s">
        <v>432</v>
      </c>
      <c r="N80" s="3" t="s">
        <v>294</v>
      </c>
      <c r="O80" s="3" t="s">
        <v>302</v>
      </c>
      <c r="P80" s="3" t="s">
        <v>242</v>
      </c>
      <c r="Q80" s="3">
        <f>INDEX(Tables!$C$4:$C$28,MATCH($P80,Tables!$B$4:$B$28,0))</f>
        <v>8</v>
      </c>
      <c r="R80" s="3">
        <f>INDEX(Tables!$D$4:$D$28,MATCH($P80,Tables!$B$4:$B$28,0))</f>
        <v>1</v>
      </c>
      <c r="S80" s="3" t="str">
        <f t="shared" si="41"/>
        <v/>
      </c>
      <c r="T80" s="3">
        <f t="shared" si="26"/>
        <v>68</v>
      </c>
      <c r="U80" s="3" t="str">
        <f t="shared" si="25"/>
        <v>44</v>
      </c>
      <c r="V80" s="3">
        <f t="shared" si="27"/>
        <v>273</v>
      </c>
      <c r="W80" s="3" t="str">
        <f t="shared" si="28"/>
        <v>111</v>
      </c>
      <c r="X80" s="3" t="str">
        <f t="shared" si="29"/>
        <v/>
      </c>
      <c r="Y80" s="3" t="str">
        <f t="shared" si="30"/>
        <v/>
      </c>
      <c r="Z80" s="3" t="str">
        <f t="shared" si="31"/>
        <v>X</v>
      </c>
      <c r="AA80" s="3" t="str">
        <f t="shared" si="32"/>
        <v/>
      </c>
      <c r="AB80" s="3" t="str">
        <f t="shared" si="33"/>
        <v/>
      </c>
      <c r="AC80" s="3" t="str">
        <f t="shared" si="34"/>
        <v/>
      </c>
      <c r="AD80" s="3" t="str">
        <f t="shared" si="35"/>
        <v>(9 downto 8)</v>
      </c>
      <c r="AE80" s="3" t="str">
        <f t="shared" si="36"/>
        <v/>
      </c>
      <c r="AF80" s="3" t="str">
        <f t="shared" si="37"/>
        <v/>
      </c>
      <c r="AG80" s="3" t="str">
        <f t="shared" si="38"/>
        <v/>
      </c>
      <c r="AH80" s="3" t="str">
        <f t="shared" si="39"/>
        <v/>
      </c>
      <c r="AI80" s="3" t="str">
        <f t="shared" si="40"/>
        <v/>
      </c>
    </row>
    <row r="81" spans="2:39" x14ac:dyDescent="0.3">
      <c r="B81" s="3" t="s">
        <v>171</v>
      </c>
      <c r="C81" s="3" t="s">
        <v>225</v>
      </c>
      <c r="D81" s="3" t="s">
        <v>0</v>
      </c>
      <c r="E81" s="3" t="s">
        <v>161</v>
      </c>
      <c r="F81" s="3" t="s">
        <v>163</v>
      </c>
      <c r="G81" s="3" t="s">
        <v>146</v>
      </c>
      <c r="H81" s="3" t="s">
        <v>147</v>
      </c>
      <c r="I81" s="3" t="s">
        <v>96</v>
      </c>
      <c r="J81" s="3">
        <v>16</v>
      </c>
      <c r="K81" s="3" t="s">
        <v>94</v>
      </c>
      <c r="L81" s="3" t="s">
        <v>94</v>
      </c>
      <c r="M81" s="3" t="s">
        <v>432</v>
      </c>
      <c r="N81" s="3" t="s">
        <v>305</v>
      </c>
      <c r="O81" s="3" t="s">
        <v>306</v>
      </c>
      <c r="P81" s="3" t="s">
        <v>296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 t="str">
        <f t="shared" si="41"/>
        <v/>
      </c>
      <c r="T81" s="3">
        <f t="shared" si="26"/>
        <v>68</v>
      </c>
      <c r="U81" s="3" t="str">
        <f t="shared" si="25"/>
        <v>44</v>
      </c>
      <c r="V81" s="3">
        <f t="shared" si="27"/>
        <v>274</v>
      </c>
      <c r="W81" s="3" t="str">
        <f t="shared" si="28"/>
        <v>112</v>
      </c>
      <c r="X81" s="3" t="str">
        <f t="shared" si="29"/>
        <v>X</v>
      </c>
      <c r="Y81" s="3" t="str">
        <f t="shared" si="30"/>
        <v>X</v>
      </c>
      <c r="Z81" s="3" t="str">
        <f t="shared" si="31"/>
        <v/>
      </c>
      <c r="AA81" s="3" t="str">
        <f t="shared" si="32"/>
        <v/>
      </c>
      <c r="AB81" s="3" t="str">
        <f t="shared" si="33"/>
        <v>(31 downto 24)</v>
      </c>
      <c r="AC81" s="3" t="str">
        <f t="shared" si="34"/>
        <v>(23 downto 16)</v>
      </c>
      <c r="AD81" s="3" t="str">
        <f t="shared" si="35"/>
        <v/>
      </c>
      <c r="AE81" s="3" t="str">
        <f t="shared" si="36"/>
        <v/>
      </c>
      <c r="AF81" s="3" t="str">
        <f t="shared" si="37"/>
        <v>(15 downto 8)</v>
      </c>
      <c r="AG81" s="3" t="str">
        <f t="shared" si="38"/>
        <v>(7 downto 0)</v>
      </c>
      <c r="AH81" s="3" t="str">
        <f t="shared" si="39"/>
        <v/>
      </c>
      <c r="AI81" s="3" t="str">
        <f t="shared" si="40"/>
        <v/>
      </c>
    </row>
    <row r="82" spans="2:39" x14ac:dyDescent="0.3">
      <c r="B82" s="3" t="s">
        <v>171</v>
      </c>
      <c r="C82" s="3" t="s">
        <v>227</v>
      </c>
      <c r="D82" s="3" t="s">
        <v>0</v>
      </c>
      <c r="E82" s="3" t="s">
        <v>161</v>
      </c>
      <c r="F82" s="3" t="s">
        <v>163</v>
      </c>
      <c r="G82" s="3" t="s">
        <v>146</v>
      </c>
      <c r="H82" s="3" t="s">
        <v>226</v>
      </c>
      <c r="I82" s="3" t="s">
        <v>96</v>
      </c>
      <c r="J82" s="3">
        <v>16</v>
      </c>
      <c r="K82" s="3" t="s">
        <v>94</v>
      </c>
      <c r="L82" s="3" t="s">
        <v>94</v>
      </c>
      <c r="M82" s="3" t="s">
        <v>432</v>
      </c>
      <c r="N82" s="3" t="s">
        <v>305</v>
      </c>
      <c r="O82" s="3" t="s">
        <v>307</v>
      </c>
      <c r="P82" s="3" t="s">
        <v>296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 t="str">
        <f t="shared" si="41"/>
        <v>x</v>
      </c>
      <c r="T82" s="3">
        <f t="shared" si="26"/>
        <v>69</v>
      </c>
      <c r="U82" s="3" t="str">
        <f t="shared" si="25"/>
        <v>45</v>
      </c>
      <c r="V82" s="3">
        <f t="shared" si="27"/>
        <v>276</v>
      </c>
      <c r="W82" s="3" t="str">
        <f t="shared" si="28"/>
        <v>114</v>
      </c>
      <c r="X82" s="3" t="str">
        <f t="shared" si="29"/>
        <v/>
      </c>
      <c r="Y82" s="3" t="str">
        <f t="shared" si="30"/>
        <v/>
      </c>
      <c r="Z82" s="3" t="str">
        <f t="shared" si="31"/>
        <v>X</v>
      </c>
      <c r="AA82" s="3" t="str">
        <f t="shared" si="32"/>
        <v>X</v>
      </c>
      <c r="AB82" s="3" t="str">
        <f t="shared" si="33"/>
        <v/>
      </c>
      <c r="AC82" s="3" t="str">
        <f t="shared" si="34"/>
        <v/>
      </c>
      <c r="AD82" s="3" t="str">
        <f t="shared" si="35"/>
        <v>(15 downto 8)</v>
      </c>
      <c r="AE82" s="3" t="str">
        <f t="shared" si="36"/>
        <v>(7 downto 0)</v>
      </c>
      <c r="AF82" s="3" t="str">
        <f t="shared" si="37"/>
        <v/>
      </c>
      <c r="AG82" s="3" t="str">
        <f t="shared" si="38"/>
        <v/>
      </c>
      <c r="AH82" s="3" t="str">
        <f t="shared" si="39"/>
        <v>(15 downto 8)</v>
      </c>
      <c r="AI82" s="3" t="str">
        <f t="shared" si="40"/>
        <v>(7 downto 0)</v>
      </c>
    </row>
    <row r="83" spans="2:39" x14ac:dyDescent="0.3">
      <c r="B83" s="3" t="s">
        <v>171</v>
      </c>
      <c r="C83" s="3" t="s">
        <v>228</v>
      </c>
      <c r="D83" s="3" t="s">
        <v>0</v>
      </c>
      <c r="E83" s="3" t="s">
        <v>161</v>
      </c>
      <c r="F83" s="3" t="s">
        <v>163</v>
      </c>
      <c r="G83" s="3" t="s">
        <v>146</v>
      </c>
      <c r="H83" s="3" t="s">
        <v>148</v>
      </c>
      <c r="I83" s="3" t="s">
        <v>96</v>
      </c>
      <c r="J83" s="3">
        <v>16</v>
      </c>
      <c r="K83" s="3" t="s">
        <v>94</v>
      </c>
      <c r="L83" s="3" t="s">
        <v>94</v>
      </c>
      <c r="M83" s="3" t="s">
        <v>432</v>
      </c>
      <c r="N83" s="3" t="s">
        <v>305</v>
      </c>
      <c r="O83" s="3" t="s">
        <v>308</v>
      </c>
      <c r="P83" s="3" t="s">
        <v>296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 t="str">
        <f t="shared" si="41"/>
        <v/>
      </c>
      <c r="T83" s="3">
        <f t="shared" si="26"/>
        <v>69</v>
      </c>
      <c r="U83" s="3" t="str">
        <f t="shared" si="25"/>
        <v>45</v>
      </c>
      <c r="V83" s="3">
        <f t="shared" si="27"/>
        <v>277</v>
      </c>
      <c r="W83" s="3" t="str">
        <f t="shared" si="28"/>
        <v>115</v>
      </c>
      <c r="X83" s="3" t="str">
        <f t="shared" si="29"/>
        <v>X</v>
      </c>
      <c r="Y83" s="3" t="str">
        <f t="shared" si="30"/>
        <v>X</v>
      </c>
      <c r="Z83" s="3" t="str">
        <f t="shared" si="31"/>
        <v/>
      </c>
      <c r="AA83" s="3" t="str">
        <f t="shared" si="32"/>
        <v/>
      </c>
      <c r="AB83" s="3" t="str">
        <f t="shared" si="33"/>
        <v>(31 downto 24)</v>
      </c>
      <c r="AC83" s="3" t="str">
        <f t="shared" si="34"/>
        <v>(23 downto 16)</v>
      </c>
      <c r="AD83" s="3" t="str">
        <f t="shared" si="35"/>
        <v/>
      </c>
      <c r="AE83" s="3" t="str">
        <f t="shared" si="36"/>
        <v/>
      </c>
      <c r="AF83" s="3" t="str">
        <f t="shared" si="37"/>
        <v>(15 downto 8)</v>
      </c>
      <c r="AG83" s="3" t="str">
        <f t="shared" si="38"/>
        <v>(7 downto 0)</v>
      </c>
      <c r="AH83" s="3" t="str">
        <f t="shared" si="39"/>
        <v/>
      </c>
      <c r="AI83" s="3" t="str">
        <f t="shared" si="40"/>
        <v/>
      </c>
    </row>
    <row r="84" spans="2:39" x14ac:dyDescent="0.3">
      <c r="B84" s="3" t="s">
        <v>171</v>
      </c>
      <c r="C84" s="3" t="s">
        <v>229</v>
      </c>
      <c r="D84" s="3" t="s">
        <v>0</v>
      </c>
      <c r="E84" s="3" t="s">
        <v>161</v>
      </c>
      <c r="F84" s="3" t="s">
        <v>163</v>
      </c>
      <c r="G84" s="3" t="s">
        <v>146</v>
      </c>
      <c r="H84" s="3" t="s">
        <v>149</v>
      </c>
      <c r="I84" s="3" t="s">
        <v>96</v>
      </c>
      <c r="J84" s="3">
        <v>16</v>
      </c>
      <c r="K84" s="3" t="s">
        <v>94</v>
      </c>
      <c r="L84" s="3" t="s">
        <v>94</v>
      </c>
      <c r="M84" s="3" t="s">
        <v>432</v>
      </c>
      <c r="N84" s="3" t="s">
        <v>305</v>
      </c>
      <c r="O84" s="3" t="s">
        <v>309</v>
      </c>
      <c r="P84" s="3" t="s">
        <v>296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 t="str">
        <f t="shared" si="41"/>
        <v>x</v>
      </c>
      <c r="T84" s="3">
        <f t="shared" si="26"/>
        <v>70</v>
      </c>
      <c r="U84" s="3" t="str">
        <f t="shared" si="25"/>
        <v>46</v>
      </c>
      <c r="V84" s="3">
        <f t="shared" si="27"/>
        <v>280</v>
      </c>
      <c r="W84" s="3" t="str">
        <f t="shared" si="28"/>
        <v>118</v>
      </c>
      <c r="X84" s="3" t="str">
        <f t="shared" si="29"/>
        <v/>
      </c>
      <c r="Y84" s="3" t="str">
        <f t="shared" si="30"/>
        <v/>
      </c>
      <c r="Z84" s="3" t="str">
        <f t="shared" si="31"/>
        <v>X</v>
      </c>
      <c r="AA84" s="3" t="str">
        <f t="shared" si="32"/>
        <v>X</v>
      </c>
      <c r="AB84" s="3" t="str">
        <f t="shared" si="33"/>
        <v/>
      </c>
      <c r="AC84" s="3" t="str">
        <f t="shared" si="34"/>
        <v/>
      </c>
      <c r="AD84" s="3" t="str">
        <f t="shared" si="35"/>
        <v>(15 downto 8)</v>
      </c>
      <c r="AE84" s="3" t="str">
        <f t="shared" si="36"/>
        <v>(7 downto 0)</v>
      </c>
      <c r="AF84" s="3" t="str">
        <f t="shared" si="37"/>
        <v/>
      </c>
      <c r="AG84" s="3" t="str">
        <f t="shared" si="38"/>
        <v/>
      </c>
      <c r="AH84" s="3" t="str">
        <f t="shared" si="39"/>
        <v>(15 downto 8)</v>
      </c>
      <c r="AI84" s="3" t="str">
        <f t="shared" si="40"/>
        <v>(7 downto 0)</v>
      </c>
    </row>
    <row r="85" spans="2:39" x14ac:dyDescent="0.3">
      <c r="B85" s="3" t="s">
        <v>172</v>
      </c>
      <c r="C85" s="3" t="s">
        <v>230</v>
      </c>
      <c r="D85" s="3" t="s">
        <v>1</v>
      </c>
      <c r="E85" s="3" t="s">
        <v>156</v>
      </c>
      <c r="F85" s="3" t="s">
        <v>159</v>
      </c>
      <c r="G85" s="3" t="s">
        <v>150</v>
      </c>
      <c r="H85" s="3" t="s">
        <v>151</v>
      </c>
      <c r="I85" s="3" t="s">
        <v>96</v>
      </c>
      <c r="J85" s="3">
        <v>16</v>
      </c>
      <c r="K85" s="3" t="s">
        <v>426</v>
      </c>
      <c r="L85" s="3" t="s">
        <v>94</v>
      </c>
      <c r="M85" s="3" t="s">
        <v>432</v>
      </c>
      <c r="N85" s="3" t="s">
        <v>310</v>
      </c>
      <c r="O85" s="3" t="s">
        <v>311</v>
      </c>
      <c r="P85" s="3" t="s">
        <v>296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 t="str">
        <f t="shared" si="41"/>
        <v/>
      </c>
      <c r="T85" s="3">
        <f t="shared" si="26"/>
        <v>70</v>
      </c>
      <c r="U85" s="3" t="str">
        <f t="shared" si="25"/>
        <v>46</v>
      </c>
      <c r="V85" s="3">
        <f t="shared" si="27"/>
        <v>281</v>
      </c>
      <c r="W85" s="3" t="str">
        <f t="shared" si="28"/>
        <v>119</v>
      </c>
      <c r="X85" s="3" t="str">
        <f t="shared" si="29"/>
        <v>X</v>
      </c>
      <c r="Y85" s="3" t="str">
        <f t="shared" si="30"/>
        <v>X</v>
      </c>
      <c r="Z85" s="3" t="str">
        <f t="shared" si="31"/>
        <v/>
      </c>
      <c r="AA85" s="3" t="str">
        <f t="shared" si="32"/>
        <v/>
      </c>
      <c r="AB85" s="3" t="str">
        <f t="shared" si="33"/>
        <v>(31 downto 24)</v>
      </c>
      <c r="AC85" s="3" t="str">
        <f t="shared" si="34"/>
        <v>(23 downto 16)</v>
      </c>
      <c r="AD85" s="3" t="str">
        <f t="shared" si="35"/>
        <v/>
      </c>
      <c r="AE85" s="3" t="str">
        <f t="shared" si="36"/>
        <v/>
      </c>
      <c r="AF85" s="3" t="str">
        <f t="shared" si="37"/>
        <v>(15 downto 8)</v>
      </c>
      <c r="AG85" s="3" t="str">
        <f t="shared" si="38"/>
        <v>(7 downto 0)</v>
      </c>
      <c r="AH85" s="3" t="str">
        <f t="shared" si="39"/>
        <v/>
      </c>
      <c r="AI85" s="3" t="str">
        <f t="shared" si="40"/>
        <v/>
      </c>
    </row>
    <row r="86" spans="2:39" x14ac:dyDescent="0.3">
      <c r="B86" s="3" t="s">
        <v>172</v>
      </c>
      <c r="C86" s="3" t="s">
        <v>231</v>
      </c>
      <c r="D86" s="3" t="s">
        <v>1</v>
      </c>
      <c r="E86" s="3" t="s">
        <v>156</v>
      </c>
      <c r="F86" s="3" t="s">
        <v>159</v>
      </c>
      <c r="G86" s="3" t="s">
        <v>150</v>
      </c>
      <c r="H86" s="3" t="s">
        <v>152</v>
      </c>
      <c r="I86" s="3" t="s">
        <v>96</v>
      </c>
      <c r="J86" s="3">
        <v>16</v>
      </c>
      <c r="K86" s="3" t="s">
        <v>428</v>
      </c>
      <c r="L86" s="3" t="s">
        <v>94</v>
      </c>
      <c r="M86" s="3" t="s">
        <v>432</v>
      </c>
      <c r="N86" s="3" t="s">
        <v>310</v>
      </c>
      <c r="O86" s="3" t="s">
        <v>312</v>
      </c>
      <c r="P86" s="3" t="s">
        <v>296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 t="str">
        <f t="shared" si="41"/>
        <v>x</v>
      </c>
      <c r="T86" s="3">
        <f t="shared" si="26"/>
        <v>71</v>
      </c>
      <c r="U86" s="3" t="str">
        <f t="shared" si="25"/>
        <v>47</v>
      </c>
      <c r="V86" s="3">
        <f t="shared" si="27"/>
        <v>284</v>
      </c>
      <c r="W86" s="3" t="str">
        <f t="shared" si="28"/>
        <v>11C</v>
      </c>
      <c r="X86" s="3" t="str">
        <f t="shared" si="29"/>
        <v/>
      </c>
      <c r="Y86" s="3" t="str">
        <f t="shared" si="30"/>
        <v/>
      </c>
      <c r="Z86" s="3" t="str">
        <f t="shared" si="31"/>
        <v>X</v>
      </c>
      <c r="AA86" s="3" t="str">
        <f t="shared" si="32"/>
        <v>X</v>
      </c>
      <c r="AB86" s="3" t="str">
        <f t="shared" si="33"/>
        <v/>
      </c>
      <c r="AC86" s="3" t="str">
        <f t="shared" si="34"/>
        <v/>
      </c>
      <c r="AD86" s="3" t="str">
        <f t="shared" si="35"/>
        <v>(15 downto 8)</v>
      </c>
      <c r="AE86" s="3" t="str">
        <f t="shared" si="36"/>
        <v>(7 downto 0)</v>
      </c>
      <c r="AF86" s="3" t="str">
        <f t="shared" si="37"/>
        <v/>
      </c>
      <c r="AG86" s="3" t="str">
        <f t="shared" si="38"/>
        <v/>
      </c>
      <c r="AH86" s="3" t="str">
        <f t="shared" si="39"/>
        <v>(15 downto 8)</v>
      </c>
      <c r="AI86" s="3" t="str">
        <f t="shared" si="40"/>
        <v>(7 downto 0)</v>
      </c>
      <c r="AJ86" s="8"/>
      <c r="AK86" s="8"/>
      <c r="AL86" s="8"/>
      <c r="AM86" s="8"/>
    </row>
    <row r="87" spans="2:39" x14ac:dyDescent="0.3">
      <c r="B87" s="3" t="s">
        <v>172</v>
      </c>
      <c r="C87" s="3" t="s">
        <v>232</v>
      </c>
      <c r="D87" s="3" t="s">
        <v>1</v>
      </c>
      <c r="E87" s="3" t="s">
        <v>156</v>
      </c>
      <c r="F87" s="3" t="s">
        <v>159</v>
      </c>
      <c r="G87" s="3" t="s">
        <v>150</v>
      </c>
      <c r="H87" s="3" t="s">
        <v>153</v>
      </c>
      <c r="I87" s="3" t="s">
        <v>96</v>
      </c>
      <c r="J87" s="3">
        <v>16</v>
      </c>
      <c r="K87" s="3" t="s">
        <v>427</v>
      </c>
      <c r="L87" s="3" t="s">
        <v>94</v>
      </c>
      <c r="M87" s="3" t="s">
        <v>432</v>
      </c>
      <c r="N87" s="3" t="s">
        <v>310</v>
      </c>
      <c r="O87" s="3" t="s">
        <v>313</v>
      </c>
      <c r="P87" s="3" t="s">
        <v>296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 t="str">
        <f t="shared" si="41"/>
        <v/>
      </c>
      <c r="T87" s="3">
        <f t="shared" si="26"/>
        <v>71</v>
      </c>
      <c r="U87" s="3" t="str">
        <f t="shared" si="25"/>
        <v>47</v>
      </c>
      <c r="V87" s="3">
        <f t="shared" si="27"/>
        <v>285</v>
      </c>
      <c r="W87" s="3" t="str">
        <f t="shared" si="28"/>
        <v>11D</v>
      </c>
      <c r="X87" s="3" t="str">
        <f t="shared" si="29"/>
        <v>X</v>
      </c>
      <c r="Y87" s="3" t="str">
        <f t="shared" si="30"/>
        <v>X</v>
      </c>
      <c r="Z87" s="3" t="str">
        <f t="shared" si="31"/>
        <v/>
      </c>
      <c r="AA87" s="3" t="str">
        <f t="shared" si="32"/>
        <v/>
      </c>
      <c r="AB87" s="3" t="str">
        <f t="shared" si="33"/>
        <v>(31 downto 24)</v>
      </c>
      <c r="AC87" s="3" t="str">
        <f t="shared" si="34"/>
        <v>(23 downto 16)</v>
      </c>
      <c r="AD87" s="3" t="str">
        <f t="shared" si="35"/>
        <v/>
      </c>
      <c r="AE87" s="3" t="str">
        <f t="shared" si="36"/>
        <v/>
      </c>
      <c r="AF87" s="3" t="str">
        <f t="shared" si="37"/>
        <v>(15 downto 8)</v>
      </c>
      <c r="AG87" s="3" t="str">
        <f t="shared" si="38"/>
        <v>(7 downto 0)</v>
      </c>
      <c r="AH87" s="3" t="str">
        <f t="shared" si="39"/>
        <v/>
      </c>
      <c r="AI87" s="3" t="str">
        <f t="shared" si="40"/>
        <v/>
      </c>
    </row>
  </sheetData>
  <autoFilter ref="B3:AI87" xr:uid="{00000000-0009-0000-0000-000000000000}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</cols>
  <sheetData>
    <row r="2" spans="2:10" x14ac:dyDescent="0.3">
      <c r="B2" s="20" t="s">
        <v>380</v>
      </c>
      <c r="C2" s="20"/>
      <c r="D2" s="20"/>
      <c r="F2" s="20" t="s">
        <v>503</v>
      </c>
      <c r="G2" s="20"/>
      <c r="H2" s="17"/>
      <c r="I2" s="20" t="s">
        <v>496</v>
      </c>
      <c r="J2" s="20"/>
    </row>
    <row r="3" spans="2:10" x14ac:dyDescent="0.3">
      <c r="B3" s="6" t="s">
        <v>381</v>
      </c>
      <c r="C3" s="6" t="s">
        <v>382</v>
      </c>
      <c r="D3" s="6" t="s">
        <v>383</v>
      </c>
      <c r="F3" s="15" t="s">
        <v>381</v>
      </c>
      <c r="G3" s="15" t="s">
        <v>504</v>
      </c>
      <c r="H3" s="15"/>
      <c r="I3" s="14" t="s">
        <v>497</v>
      </c>
      <c r="J3" s="14" t="s">
        <v>498</v>
      </c>
    </row>
    <row r="4" spans="2:10" x14ac:dyDescent="0.3">
      <c r="B4" s="3" t="s">
        <v>384</v>
      </c>
      <c r="C4" s="3">
        <v>8</v>
      </c>
      <c r="D4" s="3">
        <f>C4/8</f>
        <v>1</v>
      </c>
      <c r="F4" s="3" t="s">
        <v>384</v>
      </c>
      <c r="G4" s="3" t="s">
        <v>505</v>
      </c>
      <c r="I4" s="3" t="str">
        <f>Main!$B$2</f>
        <v>Register Comment</v>
      </c>
      <c r="J4" s="3">
        <f>MATCH($I4,Main!$B$2:$AI$2,0)+1</f>
        <v>2</v>
      </c>
    </row>
    <row r="5" spans="2:10" x14ac:dyDescent="0.3">
      <c r="B5" s="3" t="s">
        <v>385</v>
      </c>
      <c r="C5" s="3">
        <v>8</v>
      </c>
      <c r="D5" s="3">
        <f t="shared" ref="D5:D28" si="0">C5/8</f>
        <v>1</v>
      </c>
      <c r="F5" s="3" t="s">
        <v>385</v>
      </c>
      <c r="G5" s="3" t="s">
        <v>505</v>
      </c>
      <c r="I5" s="3" t="str">
        <f>Main!$C$2</f>
        <v>Field Comment</v>
      </c>
      <c r="J5" s="3">
        <f>MATCH($I5,Main!$B$2:$AI$2,0)+1</f>
        <v>3</v>
      </c>
    </row>
    <row r="6" spans="2:10" x14ac:dyDescent="0.3">
      <c r="B6" s="3" t="s">
        <v>386</v>
      </c>
      <c r="C6" s="3">
        <v>8</v>
      </c>
      <c r="D6" s="3">
        <f t="shared" si="0"/>
        <v>1</v>
      </c>
      <c r="F6" s="3" t="s">
        <v>386</v>
      </c>
      <c r="G6" s="3" t="s">
        <v>505</v>
      </c>
      <c r="I6" s="3" t="str">
        <f>Main!$D$2</f>
        <v>R/W</v>
      </c>
      <c r="J6" s="3">
        <f>MATCH($I6,Main!$B$2:$AI$2,0)+1</f>
        <v>4</v>
      </c>
    </row>
    <row r="7" spans="2:10" x14ac:dyDescent="0.3">
      <c r="B7" s="3" t="s">
        <v>387</v>
      </c>
      <c r="C7" s="3">
        <v>8</v>
      </c>
      <c r="D7" s="3">
        <f t="shared" si="0"/>
        <v>1</v>
      </c>
      <c r="F7" s="3" t="s">
        <v>387</v>
      </c>
      <c r="G7" s="3" t="s">
        <v>506</v>
      </c>
      <c r="I7" s="3" t="str">
        <f>Main!$E$2</f>
        <v>General Register Type</v>
      </c>
      <c r="J7" s="3">
        <f>MATCH($I7,Main!$B$2:$AI$2,0)+1</f>
        <v>5</v>
      </c>
    </row>
    <row r="8" spans="2:10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506</v>
      </c>
      <c r="I8" s="3" t="str">
        <f>Main!$F$2</f>
        <v>Register Name</v>
      </c>
      <c r="J8" s="3">
        <f>MATCH($I8,Main!$B$2:$AI$2,0)+1</f>
        <v>6</v>
      </c>
    </row>
    <row r="9" spans="2:10" x14ac:dyDescent="0.3">
      <c r="B9" s="3" t="s">
        <v>242</v>
      </c>
      <c r="C9" s="3">
        <v>8</v>
      </c>
      <c r="D9" s="3">
        <f t="shared" si="0"/>
        <v>1</v>
      </c>
      <c r="F9" s="3" t="s">
        <v>242</v>
      </c>
      <c r="G9" s="3" t="s">
        <v>506</v>
      </c>
      <c r="I9" s="3" t="str">
        <f>Main!$G$2</f>
        <v>Register Type</v>
      </c>
      <c r="J9" s="3">
        <f>MATCH($I9,Main!$B$2:$AI$2,0)+1</f>
        <v>7</v>
      </c>
    </row>
    <row r="10" spans="2:10" x14ac:dyDescent="0.3">
      <c r="B10" s="3" t="s">
        <v>388</v>
      </c>
      <c r="C10" s="3">
        <v>16</v>
      </c>
      <c r="D10" s="3">
        <f t="shared" si="0"/>
        <v>2</v>
      </c>
      <c r="F10" s="3" t="s">
        <v>388</v>
      </c>
      <c r="G10" s="3" t="s">
        <v>508</v>
      </c>
      <c r="I10" s="3" t="str">
        <f>Main!$H$2</f>
        <v>Field Name</v>
      </c>
      <c r="J10" s="3">
        <f>MATCH($I10,Main!$B$2:$AI$2,0)+1</f>
        <v>8</v>
      </c>
    </row>
    <row r="11" spans="2:10" x14ac:dyDescent="0.3">
      <c r="B11" s="3" t="s">
        <v>389</v>
      </c>
      <c r="C11" s="3">
        <v>16</v>
      </c>
      <c r="D11" s="3">
        <f t="shared" si="0"/>
        <v>2</v>
      </c>
      <c r="F11" s="3" t="s">
        <v>389</v>
      </c>
      <c r="G11" s="3" t="s">
        <v>508</v>
      </c>
      <c r="I11" s="3" t="str">
        <f>Main!$I$2</f>
        <v>Field Type</v>
      </c>
      <c r="J11" s="3">
        <f>MATCH($I11,Main!$B$2:$AI$2,0)+1</f>
        <v>9</v>
      </c>
    </row>
    <row r="12" spans="2:10" x14ac:dyDescent="0.3">
      <c r="B12" s="3" t="s">
        <v>390</v>
      </c>
      <c r="C12" s="3">
        <v>16</v>
      </c>
      <c r="D12" s="3">
        <f t="shared" si="0"/>
        <v>2</v>
      </c>
      <c r="F12" s="3" t="s">
        <v>390</v>
      </c>
      <c r="G12" s="3" t="s">
        <v>508</v>
      </c>
      <c r="I12" s="3" t="str">
        <f>Main!$J$2</f>
        <v>Field Size</v>
      </c>
      <c r="J12" s="3">
        <f>MATCH($I12,Main!$B$2:$AI$2,0)+1</f>
        <v>10</v>
      </c>
    </row>
    <row r="13" spans="2:10" x14ac:dyDescent="0.3">
      <c r="B13" s="3" t="s">
        <v>391</v>
      </c>
      <c r="C13" s="3">
        <v>16</v>
      </c>
      <c r="D13" s="3">
        <f t="shared" si="0"/>
        <v>2</v>
      </c>
      <c r="F13" s="3" t="s">
        <v>391</v>
      </c>
      <c r="G13" s="3" t="s">
        <v>507</v>
      </c>
      <c r="I13" s="3" t="str">
        <f>Main!$K$2</f>
        <v>Field Default</v>
      </c>
      <c r="J13" s="3">
        <f>MATCH($I13,Main!$B$2:$AI$2,0)+1</f>
        <v>11</v>
      </c>
    </row>
    <row r="14" spans="2:10" x14ac:dyDescent="0.3">
      <c r="B14" s="3" t="s">
        <v>392</v>
      </c>
      <c r="C14" s="3">
        <v>16</v>
      </c>
      <c r="D14" s="3">
        <f t="shared" si="0"/>
        <v>2</v>
      </c>
      <c r="F14" s="3" t="s">
        <v>392</v>
      </c>
      <c r="G14" s="3" t="s">
        <v>507</v>
      </c>
      <c r="I14" s="3" t="str">
        <f>Main!$L$2</f>
        <v>Field Trigger</v>
      </c>
      <c r="J14" s="3">
        <f>MATCH($I14,Main!$B$2:$AI$2,0)+1</f>
        <v>12</v>
      </c>
    </row>
    <row r="15" spans="2:10" x14ac:dyDescent="0.3">
      <c r="B15" s="3" t="s">
        <v>296</v>
      </c>
      <c r="C15" s="3">
        <v>16</v>
      </c>
      <c r="D15" s="3">
        <f t="shared" si="0"/>
        <v>2</v>
      </c>
      <c r="F15" s="3" t="s">
        <v>296</v>
      </c>
      <c r="G15" s="3" t="s">
        <v>507</v>
      </c>
      <c r="I15" s="3" t="str">
        <f>Main!$M$2</f>
        <v>API C General Struct</v>
      </c>
      <c r="J15" s="3">
        <f>MATCH($I15,Main!$B$2:$AI$2,0)+1</f>
        <v>13</v>
      </c>
    </row>
    <row r="16" spans="2:10" x14ac:dyDescent="0.3">
      <c r="B16" s="3" t="s">
        <v>393</v>
      </c>
      <c r="C16" s="3">
        <v>32</v>
      </c>
      <c r="D16" s="3">
        <f t="shared" si="0"/>
        <v>4</v>
      </c>
      <c r="F16" s="3" t="s">
        <v>393</v>
      </c>
      <c r="G16" s="3" t="s">
        <v>509</v>
      </c>
      <c r="I16" s="3" t="str">
        <f>Main!$N$2</f>
        <v>API C Struct</v>
      </c>
      <c r="J16" s="3">
        <f>MATCH($I16,Main!$B$2:$AI$2,0)+1</f>
        <v>14</v>
      </c>
    </row>
    <row r="17" spans="2:46" x14ac:dyDescent="0.3">
      <c r="B17" s="3" t="s">
        <v>394</v>
      </c>
      <c r="C17" s="3">
        <v>32</v>
      </c>
      <c r="D17" s="3">
        <f t="shared" si="0"/>
        <v>4</v>
      </c>
      <c r="F17" s="3" t="s">
        <v>394</v>
      </c>
      <c r="G17" s="3" t="s">
        <v>509</v>
      </c>
      <c r="I17" s="3" t="str">
        <f>Main!$O$2</f>
        <v>API C Field</v>
      </c>
      <c r="J17" s="3">
        <f>MATCH($I17,Main!$B$2:$AI$2,0)+1</f>
        <v>15</v>
      </c>
    </row>
    <row r="18" spans="2:46" x14ac:dyDescent="0.3">
      <c r="B18" s="3" t="s">
        <v>395</v>
      </c>
      <c r="C18" s="3">
        <v>32</v>
      </c>
      <c r="D18" s="3">
        <f t="shared" si="0"/>
        <v>4</v>
      </c>
      <c r="F18" s="3" t="s">
        <v>395</v>
      </c>
      <c r="G18" s="3" t="s">
        <v>509</v>
      </c>
      <c r="I18" s="3" t="str">
        <f>Main!$P$2</f>
        <v>API Field Type</v>
      </c>
      <c r="J18" s="3">
        <f>MATCH($I18,Main!$B$2:$AI$2,0)+1</f>
        <v>16</v>
      </c>
    </row>
    <row r="19" spans="2:46" x14ac:dyDescent="0.3">
      <c r="B19" s="3" t="s">
        <v>396</v>
      </c>
      <c r="C19" s="3">
        <v>32</v>
      </c>
      <c r="D19" s="3">
        <f t="shared" si="0"/>
        <v>4</v>
      </c>
      <c r="F19" s="3" t="s">
        <v>396</v>
      </c>
      <c r="G19" s="3" t="s">
        <v>510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510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3">
      <c r="B21" s="3" t="s">
        <v>277</v>
      </c>
      <c r="C21" s="3">
        <v>32</v>
      </c>
      <c r="D21" s="3">
        <f t="shared" si="0"/>
        <v>4</v>
      </c>
      <c r="F21" s="3" t="s">
        <v>277</v>
      </c>
      <c r="G21" s="3" t="s">
        <v>510</v>
      </c>
      <c r="I21" s="3" t="str">
        <f>Main!$S$2</f>
        <v>Adrr Increment</v>
      </c>
      <c r="J21" s="3">
        <f>MATCH($I21,Main!$B$2:$AI$2,0)+1</f>
        <v>19</v>
      </c>
    </row>
    <row r="22" spans="2:46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511</v>
      </c>
      <c r="I22" s="3" t="str">
        <f>Main!$T$2</f>
        <v>Dword Addr [dec]</v>
      </c>
      <c r="J22" s="3">
        <f>MATCH($I22,Main!$B$2:$AI$2,0)+1</f>
        <v>20</v>
      </c>
    </row>
    <row r="23" spans="2:46" x14ac:dyDescent="0.3">
      <c r="B23" s="3" t="s">
        <v>397</v>
      </c>
      <c r="C23" s="3">
        <v>64</v>
      </c>
      <c r="D23" s="3">
        <f t="shared" si="0"/>
        <v>8</v>
      </c>
      <c r="F23" s="3" t="s">
        <v>397</v>
      </c>
      <c r="G23" s="3" t="s">
        <v>512</v>
      </c>
      <c r="I23" s="3" t="str">
        <f>Main!$U$2</f>
        <v>Dword Address [hex]</v>
      </c>
      <c r="J23" s="3">
        <f>MATCH($I23,Main!$B$2:$AI$2,0)+1</f>
        <v>21</v>
      </c>
    </row>
    <row r="24" spans="2:46" x14ac:dyDescent="0.3">
      <c r="B24" s="3" t="s">
        <v>398</v>
      </c>
      <c r="C24" s="3">
        <v>64</v>
      </c>
      <c r="D24" s="3">
        <f t="shared" si="0"/>
        <v>8</v>
      </c>
      <c r="F24" s="3" t="s">
        <v>398</v>
      </c>
      <c r="G24" s="3" t="s">
        <v>512</v>
      </c>
      <c r="I24" s="3" t="str">
        <f>Main!$V$2</f>
        <v>Byte Addr [dec]</v>
      </c>
      <c r="J24" s="3">
        <f>MATCH($I24,Main!$B$2:$AI$2,0)+1</f>
        <v>22</v>
      </c>
    </row>
    <row r="25" spans="2:46" x14ac:dyDescent="0.3">
      <c r="B25" s="3" t="s">
        <v>399</v>
      </c>
      <c r="C25" s="3">
        <v>64</v>
      </c>
      <c r="D25" s="3">
        <f t="shared" si="0"/>
        <v>8</v>
      </c>
      <c r="F25" s="3" t="s">
        <v>399</v>
      </c>
      <c r="G25" s="3" t="s">
        <v>512</v>
      </c>
      <c r="I25" s="3" t="str">
        <f>Main!$W$2</f>
        <v>Byte Addr [hex]</v>
      </c>
      <c r="J25" s="3">
        <f>MATCH($I25,Main!$B$2:$AI$2,0)+1</f>
        <v>23</v>
      </c>
    </row>
    <row r="26" spans="2:46" x14ac:dyDescent="0.3">
      <c r="B26" s="3" t="s">
        <v>400</v>
      </c>
      <c r="C26" s="3">
        <v>64</v>
      </c>
      <c r="D26" s="3">
        <f t="shared" si="0"/>
        <v>8</v>
      </c>
      <c r="F26" s="3" t="s">
        <v>400</v>
      </c>
      <c r="G26" s="3" t="s">
        <v>513</v>
      </c>
      <c r="I26" s="3" t="str">
        <f>Main!$X$2</f>
        <v>Byte Enable</v>
      </c>
      <c r="J26" s="3">
        <f>MATCH($I26,Main!$B$2:$AI$2,0)+1</f>
        <v>24</v>
      </c>
    </row>
    <row r="27" spans="2:46" x14ac:dyDescent="0.3">
      <c r="B27" s="3" t="s">
        <v>401</v>
      </c>
      <c r="C27" s="3">
        <v>64</v>
      </c>
      <c r="D27" s="3">
        <f t="shared" si="0"/>
        <v>8</v>
      </c>
      <c r="F27" s="3" t="s">
        <v>401</v>
      </c>
      <c r="G27" s="3" t="s">
        <v>513</v>
      </c>
      <c r="I27" s="4" t="str">
        <f>Main!$AB$2</f>
        <v>Dword Range</v>
      </c>
      <c r="J27" s="3">
        <f>MATCH($I27,Main!$B$2:$AI$2,0)+1</f>
        <v>28</v>
      </c>
    </row>
    <row r="28" spans="2:46" x14ac:dyDescent="0.3">
      <c r="B28" s="3" t="s">
        <v>402</v>
      </c>
      <c r="C28" s="3">
        <v>64</v>
      </c>
      <c r="D28" s="3">
        <f t="shared" si="0"/>
        <v>8</v>
      </c>
      <c r="F28" s="3" t="s">
        <v>402</v>
      </c>
      <c r="G28" s="3" t="s">
        <v>513</v>
      </c>
      <c r="I28" s="4" t="str">
        <f>Main!$AF$2</f>
        <v>Field Range</v>
      </c>
      <c r="J28" s="3">
        <f>MATCH($I28,Main!$B$2:$AI$2,0)+1</f>
        <v>32</v>
      </c>
    </row>
    <row r="30" spans="2:46" x14ac:dyDescent="0.3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44"/>
  <sheetViews>
    <sheetView workbookViewId="0"/>
  </sheetViews>
  <sheetFormatPr defaultRowHeight="14.4" x14ac:dyDescent="0.3"/>
  <cols>
    <col min="2" max="2" width="24.6640625" style="3" bestFit="1" customWidth="1"/>
    <col min="8" max="8" width="125.6640625" customWidth="1"/>
  </cols>
  <sheetData>
    <row r="2" spans="2:8" x14ac:dyDescent="0.3">
      <c r="B2" s="19" t="s">
        <v>957</v>
      </c>
      <c r="H2" s="1" t="s">
        <v>653</v>
      </c>
    </row>
    <row r="3" spans="2:8" x14ac:dyDescent="0.3">
      <c r="B3" s="3" t="s">
        <v>959</v>
      </c>
      <c r="H3" t="s">
        <v>961</v>
      </c>
    </row>
    <row r="5" spans="2:8" x14ac:dyDescent="0.3">
      <c r="B5" s="19" t="s">
        <v>958</v>
      </c>
      <c r="H5" t="s">
        <v>962</v>
      </c>
    </row>
    <row r="6" spans="2:8" x14ac:dyDescent="0.3">
      <c r="B6" s="3" t="s">
        <v>960</v>
      </c>
      <c r="H6" t="s">
        <v>963</v>
      </c>
    </row>
    <row r="7" spans="2:8" x14ac:dyDescent="0.3">
      <c r="H7" t="s">
        <v>1043</v>
      </c>
    </row>
    <row r="8" spans="2:8" x14ac:dyDescent="0.3">
      <c r="B8" s="19" t="s">
        <v>956</v>
      </c>
    </row>
    <row r="9" spans="2:8" x14ac:dyDescent="0.3">
      <c r="B9" s="3">
        <v>256</v>
      </c>
      <c r="H9" t="s">
        <v>735</v>
      </c>
    </row>
    <row r="11" spans="2:8" x14ac:dyDescent="0.3">
      <c r="B11" s="19"/>
      <c r="H11" t="s">
        <v>776</v>
      </c>
    </row>
    <row r="12" spans="2:8" x14ac:dyDescent="0.3">
      <c r="H12" t="s">
        <v>777</v>
      </c>
    </row>
    <row r="13" spans="2:8" x14ac:dyDescent="0.3">
      <c r="H13" t="s">
        <v>954</v>
      </c>
    </row>
    <row r="14" spans="2:8" x14ac:dyDescent="0.3">
      <c r="B14" s="19"/>
      <c r="H14" t="s">
        <v>778</v>
      </c>
    </row>
    <row r="16" spans="2:8" x14ac:dyDescent="0.3">
      <c r="H16" t="s">
        <v>764</v>
      </c>
    </row>
    <row r="17" spans="2:8" x14ac:dyDescent="0.3">
      <c r="B17" s="19"/>
      <c r="H17" t="s">
        <v>684</v>
      </c>
    </row>
    <row r="18" spans="2:8" x14ac:dyDescent="0.3">
      <c r="H18" t="s">
        <v>734</v>
      </c>
    </row>
    <row r="19" spans="2:8" x14ac:dyDescent="0.3">
      <c r="H19" t="s">
        <v>736</v>
      </c>
    </row>
    <row r="20" spans="2:8" x14ac:dyDescent="0.3">
      <c r="B20" s="19"/>
    </row>
    <row r="21" spans="2:8" x14ac:dyDescent="0.3">
      <c r="H21" t="s">
        <v>1044</v>
      </c>
    </row>
    <row r="22" spans="2:8" x14ac:dyDescent="0.3">
      <c r="H22" t="s">
        <v>1045</v>
      </c>
    </row>
    <row r="23" spans="2:8" x14ac:dyDescent="0.3">
      <c r="H23" t="s">
        <v>1046</v>
      </c>
    </row>
    <row r="24" spans="2:8" x14ac:dyDescent="0.3">
      <c r="H24" t="s">
        <v>1047</v>
      </c>
    </row>
    <row r="26" spans="2:8" x14ac:dyDescent="0.3">
      <c r="H26" t="s">
        <v>1048</v>
      </c>
    </row>
    <row r="27" spans="2:8" x14ac:dyDescent="0.3">
      <c r="H27" t="s">
        <v>1049</v>
      </c>
    </row>
    <row r="28" spans="2:8" x14ac:dyDescent="0.3">
      <c r="H28" t="s">
        <v>689</v>
      </c>
    </row>
    <row r="29" spans="2:8" x14ac:dyDescent="0.3">
      <c r="H29" t="s">
        <v>690</v>
      </c>
    </row>
    <row r="30" spans="2:8" x14ac:dyDescent="0.3">
      <c r="H30" t="s">
        <v>691</v>
      </c>
    </row>
    <row r="31" spans="2:8" x14ac:dyDescent="0.3">
      <c r="H31" t="s">
        <v>929</v>
      </c>
    </row>
    <row r="32" spans="2:8" x14ac:dyDescent="0.3">
      <c r="H32" t="s">
        <v>1050</v>
      </c>
    </row>
    <row r="34" spans="8:8" x14ac:dyDescent="0.3">
      <c r="H34" t="s">
        <v>1051</v>
      </c>
    </row>
    <row r="35" spans="8:8" x14ac:dyDescent="0.3">
      <c r="H35" t="s">
        <v>1052</v>
      </c>
    </row>
    <row r="36" spans="8:8" x14ac:dyDescent="0.3">
      <c r="H36" t="s">
        <v>692</v>
      </c>
    </row>
    <row r="37" spans="8:8" x14ac:dyDescent="0.3">
      <c r="H37" t="s">
        <v>693</v>
      </c>
    </row>
    <row r="38" spans="8:8" x14ac:dyDescent="0.3">
      <c r="H38" t="s">
        <v>694</v>
      </c>
    </row>
    <row r="39" spans="8:8" x14ac:dyDescent="0.3">
      <c r="H39" t="s">
        <v>695</v>
      </c>
    </row>
    <row r="40" spans="8:8" x14ac:dyDescent="0.3">
      <c r="H40" t="s">
        <v>696</v>
      </c>
    </row>
    <row r="41" spans="8:8" x14ac:dyDescent="0.3">
      <c r="H41" t="s">
        <v>697</v>
      </c>
    </row>
    <row r="42" spans="8:8" x14ac:dyDescent="0.3">
      <c r="H42" t="s">
        <v>698</v>
      </c>
    </row>
    <row r="43" spans="8:8" x14ac:dyDescent="0.3">
      <c r="H43" t="s">
        <v>1053</v>
      </c>
    </row>
    <row r="45" spans="8:8" x14ac:dyDescent="0.3">
      <c r="H45" t="s">
        <v>1054</v>
      </c>
    </row>
    <row r="46" spans="8:8" x14ac:dyDescent="0.3">
      <c r="H46" t="s">
        <v>654</v>
      </c>
    </row>
    <row r="47" spans="8:8" x14ac:dyDescent="0.3">
      <c r="H47" t="s">
        <v>699</v>
      </c>
    </row>
    <row r="48" spans="8:8" x14ac:dyDescent="0.3">
      <c r="H48" t="s">
        <v>926</v>
      </c>
    </row>
    <row r="49" spans="8:8" x14ac:dyDescent="0.3">
      <c r="H49" t="s">
        <v>655</v>
      </c>
    </row>
    <row r="51" spans="8:8" x14ac:dyDescent="0.3">
      <c r="H51" t="s">
        <v>1055</v>
      </c>
    </row>
    <row r="52" spans="8:8" x14ac:dyDescent="0.3">
      <c r="H52" t="s">
        <v>656</v>
      </c>
    </row>
    <row r="53" spans="8:8" x14ac:dyDescent="0.3">
      <c r="H53" t="s">
        <v>930</v>
      </c>
    </row>
    <row r="54" spans="8:8" x14ac:dyDescent="0.3">
      <c r="H54" t="s">
        <v>931</v>
      </c>
    </row>
    <row r="55" spans="8:8" x14ac:dyDescent="0.3">
      <c r="H55" t="s">
        <v>657</v>
      </c>
    </row>
    <row r="57" spans="8:8" x14ac:dyDescent="0.3">
      <c r="H57" t="s">
        <v>1056</v>
      </c>
    </row>
    <row r="58" spans="8:8" x14ac:dyDescent="0.3">
      <c r="H58" t="s">
        <v>1057</v>
      </c>
    </row>
    <row r="59" spans="8:8" x14ac:dyDescent="0.3">
      <c r="H59" t="s">
        <v>1058</v>
      </c>
    </row>
    <row r="60" spans="8:8" x14ac:dyDescent="0.3">
      <c r="H60" t="s">
        <v>1059</v>
      </c>
    </row>
    <row r="62" spans="8:8" x14ac:dyDescent="0.3">
      <c r="H62" t="s">
        <v>1060</v>
      </c>
    </row>
    <row r="63" spans="8:8" x14ac:dyDescent="0.3">
      <c r="H63" t="s">
        <v>1061</v>
      </c>
    </row>
    <row r="64" spans="8:8" x14ac:dyDescent="0.3">
      <c r="H64" t="s">
        <v>700</v>
      </c>
    </row>
    <row r="65" spans="8:8" x14ac:dyDescent="0.3">
      <c r="H65" t="s">
        <v>701</v>
      </c>
    </row>
    <row r="66" spans="8:8" x14ac:dyDescent="0.3">
      <c r="H66" t="s">
        <v>702</v>
      </c>
    </row>
    <row r="67" spans="8:8" x14ac:dyDescent="0.3">
      <c r="H67" t="s">
        <v>1062</v>
      </c>
    </row>
    <row r="68" spans="8:8" x14ac:dyDescent="0.3">
      <c r="H68" t="s">
        <v>1063</v>
      </c>
    </row>
    <row r="69" spans="8:8" x14ac:dyDescent="0.3">
      <c r="H69" t="s">
        <v>1064</v>
      </c>
    </row>
    <row r="70" spans="8:8" x14ac:dyDescent="0.3">
      <c r="H70" t="s">
        <v>1065</v>
      </c>
    </row>
    <row r="72" spans="8:8" x14ac:dyDescent="0.3">
      <c r="H72" t="s">
        <v>751</v>
      </c>
    </row>
    <row r="73" spans="8:8" x14ac:dyDescent="0.3">
      <c r="H73" t="s">
        <v>658</v>
      </c>
    </row>
    <row r="74" spans="8:8" x14ac:dyDescent="0.3">
      <c r="H74" t="s">
        <v>932</v>
      </c>
    </row>
    <row r="75" spans="8:8" x14ac:dyDescent="0.3">
      <c r="H75" t="s">
        <v>933</v>
      </c>
    </row>
    <row r="76" spans="8:8" x14ac:dyDescent="0.3">
      <c r="H76" t="s">
        <v>659</v>
      </c>
    </row>
    <row r="78" spans="8:8" x14ac:dyDescent="0.3">
      <c r="H78" t="s">
        <v>752</v>
      </c>
    </row>
    <row r="79" spans="8:8" x14ac:dyDescent="0.3">
      <c r="H79" t="s">
        <v>660</v>
      </c>
    </row>
    <row r="80" spans="8:8" x14ac:dyDescent="0.3">
      <c r="H80" t="s">
        <v>703</v>
      </c>
    </row>
    <row r="81" spans="8:8" x14ac:dyDescent="0.3">
      <c r="H81" t="s">
        <v>704</v>
      </c>
    </row>
    <row r="82" spans="8:8" x14ac:dyDescent="0.3">
      <c r="H82" t="s">
        <v>705</v>
      </c>
    </row>
    <row r="83" spans="8:8" x14ac:dyDescent="0.3">
      <c r="H83" t="s">
        <v>706</v>
      </c>
    </row>
    <row r="84" spans="8:8" x14ac:dyDescent="0.3">
      <c r="H84" t="s">
        <v>661</v>
      </c>
    </row>
    <row r="86" spans="8:8" x14ac:dyDescent="0.3">
      <c r="H86" t="s">
        <v>753</v>
      </c>
    </row>
    <row r="87" spans="8:8" x14ac:dyDescent="0.3">
      <c r="H87" t="s">
        <v>662</v>
      </c>
    </row>
    <row r="88" spans="8:8" x14ac:dyDescent="0.3">
      <c r="H88" t="s">
        <v>707</v>
      </c>
    </row>
    <row r="89" spans="8:8" x14ac:dyDescent="0.3">
      <c r="H89" t="s">
        <v>708</v>
      </c>
    </row>
    <row r="90" spans="8:8" x14ac:dyDescent="0.3">
      <c r="H90" t="s">
        <v>663</v>
      </c>
    </row>
    <row r="92" spans="8:8" x14ac:dyDescent="0.3">
      <c r="H92" t="s">
        <v>754</v>
      </c>
    </row>
    <row r="93" spans="8:8" x14ac:dyDescent="0.3">
      <c r="H93" t="s">
        <v>664</v>
      </c>
    </row>
    <row r="94" spans="8:8" x14ac:dyDescent="0.3">
      <c r="H94" t="s">
        <v>709</v>
      </c>
    </row>
    <row r="95" spans="8:8" x14ac:dyDescent="0.3">
      <c r="H95" t="s">
        <v>710</v>
      </c>
    </row>
    <row r="96" spans="8:8" x14ac:dyDescent="0.3">
      <c r="H96" t="s">
        <v>711</v>
      </c>
    </row>
    <row r="97" spans="8:8" x14ac:dyDescent="0.3">
      <c r="H97" t="s">
        <v>712</v>
      </c>
    </row>
    <row r="98" spans="8:8" x14ac:dyDescent="0.3">
      <c r="H98" t="s">
        <v>665</v>
      </c>
    </row>
    <row r="100" spans="8:8" x14ac:dyDescent="0.3">
      <c r="H100" t="s">
        <v>755</v>
      </c>
    </row>
    <row r="101" spans="8:8" x14ac:dyDescent="0.3">
      <c r="H101" t="s">
        <v>666</v>
      </c>
    </row>
    <row r="102" spans="8:8" x14ac:dyDescent="0.3">
      <c r="H102" t="s">
        <v>713</v>
      </c>
    </row>
    <row r="103" spans="8:8" x14ac:dyDescent="0.3">
      <c r="H103" t="s">
        <v>714</v>
      </c>
    </row>
    <row r="104" spans="8:8" x14ac:dyDescent="0.3">
      <c r="H104" t="s">
        <v>715</v>
      </c>
    </row>
    <row r="105" spans="8:8" x14ac:dyDescent="0.3">
      <c r="H105" t="s">
        <v>716</v>
      </c>
    </row>
    <row r="106" spans="8:8" x14ac:dyDescent="0.3">
      <c r="H106" t="s">
        <v>667</v>
      </c>
    </row>
    <row r="108" spans="8:8" x14ac:dyDescent="0.3">
      <c r="H108" t="s">
        <v>1066</v>
      </c>
    </row>
    <row r="109" spans="8:8" x14ac:dyDescent="0.3">
      <c r="H109" t="s">
        <v>1067</v>
      </c>
    </row>
    <row r="110" spans="8:8" x14ac:dyDescent="0.3">
      <c r="H110" t="s">
        <v>1068</v>
      </c>
    </row>
    <row r="111" spans="8:8" x14ac:dyDescent="0.3">
      <c r="H111" t="s">
        <v>1069</v>
      </c>
    </row>
    <row r="113" spans="8:8" x14ac:dyDescent="0.3">
      <c r="H113" t="s">
        <v>1070</v>
      </c>
    </row>
    <row r="114" spans="8:8" x14ac:dyDescent="0.3">
      <c r="H114" t="s">
        <v>1071</v>
      </c>
    </row>
    <row r="115" spans="8:8" x14ac:dyDescent="0.3">
      <c r="H115" t="s">
        <v>1072</v>
      </c>
    </row>
    <row r="116" spans="8:8" x14ac:dyDescent="0.3">
      <c r="H116" t="s">
        <v>1073</v>
      </c>
    </row>
    <row r="118" spans="8:8" x14ac:dyDescent="0.3">
      <c r="H118" t="s">
        <v>756</v>
      </c>
    </row>
    <row r="119" spans="8:8" x14ac:dyDescent="0.3">
      <c r="H119" t="s">
        <v>668</v>
      </c>
    </row>
    <row r="120" spans="8:8" x14ac:dyDescent="0.3">
      <c r="H120" t="s">
        <v>934</v>
      </c>
    </row>
    <row r="121" spans="8:8" x14ac:dyDescent="0.3">
      <c r="H121" t="s">
        <v>935</v>
      </c>
    </row>
    <row r="122" spans="8:8" x14ac:dyDescent="0.3">
      <c r="H122" t="s">
        <v>669</v>
      </c>
    </row>
    <row r="124" spans="8:8" x14ac:dyDescent="0.3">
      <c r="H124" t="s">
        <v>757</v>
      </c>
    </row>
    <row r="125" spans="8:8" x14ac:dyDescent="0.3">
      <c r="H125" t="s">
        <v>670</v>
      </c>
    </row>
    <row r="126" spans="8:8" x14ac:dyDescent="0.3">
      <c r="H126" t="s">
        <v>717</v>
      </c>
    </row>
    <row r="127" spans="8:8" x14ac:dyDescent="0.3">
      <c r="H127" t="s">
        <v>718</v>
      </c>
    </row>
    <row r="128" spans="8:8" x14ac:dyDescent="0.3">
      <c r="H128" t="s">
        <v>719</v>
      </c>
    </row>
    <row r="129" spans="8:8" x14ac:dyDescent="0.3">
      <c r="H129" t="s">
        <v>720</v>
      </c>
    </row>
    <row r="130" spans="8:8" x14ac:dyDescent="0.3">
      <c r="H130" t="s">
        <v>721</v>
      </c>
    </row>
    <row r="131" spans="8:8" x14ac:dyDescent="0.3">
      <c r="H131" t="s">
        <v>722</v>
      </c>
    </row>
    <row r="132" spans="8:8" x14ac:dyDescent="0.3">
      <c r="H132" t="s">
        <v>723</v>
      </c>
    </row>
    <row r="133" spans="8:8" x14ac:dyDescent="0.3">
      <c r="H133" t="s">
        <v>724</v>
      </c>
    </row>
    <row r="134" spans="8:8" x14ac:dyDescent="0.3">
      <c r="H134" t="s">
        <v>725</v>
      </c>
    </row>
    <row r="135" spans="8:8" x14ac:dyDescent="0.3">
      <c r="H135" t="s">
        <v>726</v>
      </c>
    </row>
    <row r="136" spans="8:8" x14ac:dyDescent="0.3">
      <c r="H136" t="s">
        <v>727</v>
      </c>
    </row>
    <row r="137" spans="8:8" x14ac:dyDescent="0.3">
      <c r="H137" t="s">
        <v>728</v>
      </c>
    </row>
    <row r="138" spans="8:8" x14ac:dyDescent="0.3">
      <c r="H138" t="s">
        <v>729</v>
      </c>
    </row>
    <row r="139" spans="8:8" x14ac:dyDescent="0.3">
      <c r="H139" t="s">
        <v>730</v>
      </c>
    </row>
    <row r="140" spans="8:8" x14ac:dyDescent="0.3">
      <c r="H140" t="s">
        <v>671</v>
      </c>
    </row>
    <row r="142" spans="8:8" x14ac:dyDescent="0.3">
      <c r="H142" t="s">
        <v>1074</v>
      </c>
    </row>
    <row r="143" spans="8:8" x14ac:dyDescent="0.3">
      <c r="H143" t="s">
        <v>1075</v>
      </c>
    </row>
    <row r="144" spans="8:8" x14ac:dyDescent="0.3">
      <c r="H144" t="s">
        <v>936</v>
      </c>
    </row>
    <row r="145" spans="8:8" x14ac:dyDescent="0.3">
      <c r="H145" t="s">
        <v>937</v>
      </c>
    </row>
    <row r="146" spans="8:8" x14ac:dyDescent="0.3">
      <c r="H146" t="s">
        <v>1076</v>
      </c>
    </row>
    <row r="148" spans="8:8" x14ac:dyDescent="0.3">
      <c r="H148" t="s">
        <v>1077</v>
      </c>
    </row>
    <row r="149" spans="8:8" x14ac:dyDescent="0.3">
      <c r="H149" t="s">
        <v>1078</v>
      </c>
    </row>
    <row r="150" spans="8:8" x14ac:dyDescent="0.3">
      <c r="H150" t="s">
        <v>1079</v>
      </c>
    </row>
    <row r="151" spans="8:8" x14ac:dyDescent="0.3">
      <c r="H151" t="s">
        <v>1080</v>
      </c>
    </row>
    <row r="152" spans="8:8" x14ac:dyDescent="0.3">
      <c r="H152" t="s">
        <v>1081</v>
      </c>
    </row>
    <row r="154" spans="8:8" x14ac:dyDescent="0.3">
      <c r="H154" t="s">
        <v>758</v>
      </c>
    </row>
    <row r="155" spans="8:8" x14ac:dyDescent="0.3">
      <c r="H155" t="s">
        <v>672</v>
      </c>
    </row>
    <row r="156" spans="8:8" x14ac:dyDescent="0.3">
      <c r="H156" t="s">
        <v>731</v>
      </c>
    </row>
    <row r="157" spans="8:8" x14ac:dyDescent="0.3">
      <c r="H157" t="s">
        <v>673</v>
      </c>
    </row>
    <row r="159" spans="8:8" x14ac:dyDescent="0.3">
      <c r="H159" t="s">
        <v>759</v>
      </c>
    </row>
    <row r="160" spans="8:8" x14ac:dyDescent="0.3">
      <c r="H160" t="s">
        <v>674</v>
      </c>
    </row>
    <row r="161" spans="8:8" x14ac:dyDescent="0.3">
      <c r="H161" t="s">
        <v>732</v>
      </c>
    </row>
    <row r="162" spans="8:8" x14ac:dyDescent="0.3">
      <c r="H162" t="s">
        <v>675</v>
      </c>
    </row>
    <row r="164" spans="8:8" x14ac:dyDescent="0.3">
      <c r="H164" t="s">
        <v>760</v>
      </c>
    </row>
    <row r="165" spans="8:8" x14ac:dyDescent="0.3">
      <c r="H165" t="s">
        <v>676</v>
      </c>
    </row>
    <row r="166" spans="8:8" x14ac:dyDescent="0.3">
      <c r="H166" t="s">
        <v>733</v>
      </c>
    </row>
    <row r="167" spans="8:8" x14ac:dyDescent="0.3">
      <c r="H167" t="s">
        <v>677</v>
      </c>
    </row>
    <row r="169" spans="8:8" x14ac:dyDescent="0.3">
      <c r="H169" t="s">
        <v>1082</v>
      </c>
    </row>
    <row r="170" spans="8:8" x14ac:dyDescent="0.3">
      <c r="H170" t="s">
        <v>1083</v>
      </c>
    </row>
    <row r="171" spans="8:8" x14ac:dyDescent="0.3">
      <c r="H171" t="s">
        <v>1084</v>
      </c>
    </row>
    <row r="172" spans="8:8" x14ac:dyDescent="0.3">
      <c r="H172" t="s">
        <v>1085</v>
      </c>
    </row>
    <row r="174" spans="8:8" x14ac:dyDescent="0.3">
      <c r="H174" t="s">
        <v>1303</v>
      </c>
    </row>
    <row r="175" spans="8:8" x14ac:dyDescent="0.3">
      <c r="H175" t="s">
        <v>1086</v>
      </c>
    </row>
    <row r="176" spans="8:8" x14ac:dyDescent="0.3">
      <c r="H176" t="s">
        <v>1087</v>
      </c>
    </row>
    <row r="177" spans="8:8" x14ac:dyDescent="0.3">
      <c r="H177" t="s">
        <v>1088</v>
      </c>
    </row>
    <row r="179" spans="8:8" x14ac:dyDescent="0.3">
      <c r="H179" t="s">
        <v>761</v>
      </c>
    </row>
    <row r="180" spans="8:8" x14ac:dyDescent="0.3">
      <c r="H180" t="s">
        <v>678</v>
      </c>
    </row>
    <row r="181" spans="8:8" x14ac:dyDescent="0.3">
      <c r="H181" t="s">
        <v>938</v>
      </c>
    </row>
    <row r="182" spans="8:8" x14ac:dyDescent="0.3">
      <c r="H182" t="s">
        <v>939</v>
      </c>
    </row>
    <row r="183" spans="8:8" x14ac:dyDescent="0.3">
      <c r="H183" t="s">
        <v>940</v>
      </c>
    </row>
    <row r="184" spans="8:8" x14ac:dyDescent="0.3">
      <c r="H184" t="s">
        <v>941</v>
      </c>
    </row>
    <row r="185" spans="8:8" x14ac:dyDescent="0.3">
      <c r="H185" t="s">
        <v>942</v>
      </c>
    </row>
    <row r="186" spans="8:8" x14ac:dyDescent="0.3">
      <c r="H186" t="s">
        <v>943</v>
      </c>
    </row>
    <row r="187" spans="8:8" x14ac:dyDescent="0.3">
      <c r="H187" t="s">
        <v>944</v>
      </c>
    </row>
    <row r="188" spans="8:8" x14ac:dyDescent="0.3">
      <c r="H188" t="s">
        <v>945</v>
      </c>
    </row>
    <row r="189" spans="8:8" x14ac:dyDescent="0.3">
      <c r="H189" t="s">
        <v>946</v>
      </c>
    </row>
    <row r="190" spans="8:8" x14ac:dyDescent="0.3">
      <c r="H190" t="s">
        <v>679</v>
      </c>
    </row>
    <row r="192" spans="8:8" x14ac:dyDescent="0.3">
      <c r="H192" t="s">
        <v>762</v>
      </c>
    </row>
    <row r="193" spans="8:8" x14ac:dyDescent="0.3">
      <c r="H193" t="s">
        <v>680</v>
      </c>
    </row>
    <row r="194" spans="8:8" x14ac:dyDescent="0.3">
      <c r="H194" t="s">
        <v>947</v>
      </c>
    </row>
    <row r="195" spans="8:8" x14ac:dyDescent="0.3">
      <c r="H195" t="s">
        <v>948</v>
      </c>
    </row>
    <row r="196" spans="8:8" x14ac:dyDescent="0.3">
      <c r="H196" t="s">
        <v>949</v>
      </c>
    </row>
    <row r="197" spans="8:8" x14ac:dyDescent="0.3">
      <c r="H197" t="s">
        <v>950</v>
      </c>
    </row>
    <row r="198" spans="8:8" x14ac:dyDescent="0.3">
      <c r="H198" t="s">
        <v>681</v>
      </c>
    </row>
    <row r="200" spans="8:8" x14ac:dyDescent="0.3">
      <c r="H200" t="s">
        <v>763</v>
      </c>
    </row>
    <row r="201" spans="8:8" x14ac:dyDescent="0.3">
      <c r="H201" t="s">
        <v>682</v>
      </c>
    </row>
    <row r="202" spans="8:8" x14ac:dyDescent="0.3">
      <c r="H202" t="s">
        <v>951</v>
      </c>
    </row>
    <row r="203" spans="8:8" x14ac:dyDescent="0.3">
      <c r="H203" t="s">
        <v>952</v>
      </c>
    </row>
    <row r="204" spans="8:8" x14ac:dyDescent="0.3">
      <c r="H204" t="s">
        <v>953</v>
      </c>
    </row>
    <row r="205" spans="8:8" x14ac:dyDescent="0.3">
      <c r="H205" t="s">
        <v>683</v>
      </c>
    </row>
    <row r="207" spans="8:8" x14ac:dyDescent="0.3">
      <c r="H207" t="s">
        <v>765</v>
      </c>
    </row>
    <row r="209" spans="8:8" x14ac:dyDescent="0.3">
      <c r="H209" t="s">
        <v>766</v>
      </c>
    </row>
    <row r="210" spans="8:8" x14ac:dyDescent="0.3">
      <c r="H210" t="s">
        <v>685</v>
      </c>
    </row>
    <row r="211" spans="8:8" x14ac:dyDescent="0.3">
      <c r="H211" t="s">
        <v>779</v>
      </c>
    </row>
    <row r="212" spans="8:8" x14ac:dyDescent="0.3">
      <c r="H212" t="s">
        <v>750</v>
      </c>
    </row>
    <row r="213" spans="8:8" x14ac:dyDescent="0.3">
      <c r="H213" t="s">
        <v>1089</v>
      </c>
    </row>
    <row r="214" spans="8:8" x14ac:dyDescent="0.3">
      <c r="H214" t="s">
        <v>1090</v>
      </c>
    </row>
    <row r="215" spans="8:8" x14ac:dyDescent="0.3">
      <c r="H215" t="s">
        <v>1091</v>
      </c>
    </row>
    <row r="216" spans="8:8" x14ac:dyDescent="0.3">
      <c r="H216" t="s">
        <v>1092</v>
      </c>
    </row>
    <row r="217" spans="8:8" x14ac:dyDescent="0.3">
      <c r="H217" t="s">
        <v>1093</v>
      </c>
    </row>
    <row r="218" spans="8:8" x14ac:dyDescent="0.3">
      <c r="H218" t="s">
        <v>742</v>
      </c>
    </row>
    <row r="219" spans="8:8" x14ac:dyDescent="0.3">
      <c r="H219" t="s">
        <v>743</v>
      </c>
    </row>
    <row r="220" spans="8:8" x14ac:dyDescent="0.3">
      <c r="H220" t="s">
        <v>744</v>
      </c>
    </row>
    <row r="221" spans="8:8" x14ac:dyDescent="0.3">
      <c r="H221" t="s">
        <v>1094</v>
      </c>
    </row>
    <row r="222" spans="8:8" x14ac:dyDescent="0.3">
      <c r="H222" t="s">
        <v>745</v>
      </c>
    </row>
    <row r="223" spans="8:8" x14ac:dyDescent="0.3">
      <c r="H223" t="s">
        <v>1095</v>
      </c>
    </row>
    <row r="224" spans="8:8" x14ac:dyDescent="0.3">
      <c r="H224" t="s">
        <v>746</v>
      </c>
    </row>
    <row r="225" spans="8:8" x14ac:dyDescent="0.3">
      <c r="H225" t="s">
        <v>747</v>
      </c>
    </row>
    <row r="226" spans="8:8" x14ac:dyDescent="0.3">
      <c r="H226" t="s">
        <v>1304</v>
      </c>
    </row>
    <row r="227" spans="8:8" x14ac:dyDescent="0.3">
      <c r="H227" t="s">
        <v>748</v>
      </c>
    </row>
    <row r="228" spans="8:8" x14ac:dyDescent="0.3">
      <c r="H228" t="s">
        <v>749</v>
      </c>
    </row>
    <row r="229" spans="8:8" x14ac:dyDescent="0.3">
      <c r="H229" t="s">
        <v>686</v>
      </c>
    </row>
    <row r="231" spans="8:8" x14ac:dyDescent="0.3">
      <c r="H231" t="s">
        <v>767</v>
      </c>
    </row>
    <row r="232" spans="8:8" x14ac:dyDescent="0.3">
      <c r="H232" t="s">
        <v>687</v>
      </c>
    </row>
    <row r="233" spans="8:8" x14ac:dyDescent="0.3">
      <c r="H233" t="s">
        <v>1096</v>
      </c>
    </row>
    <row r="234" spans="8:8" x14ac:dyDescent="0.3">
      <c r="H234" t="s">
        <v>1097</v>
      </c>
    </row>
    <row r="235" spans="8:8" x14ac:dyDescent="0.3">
      <c r="H235" t="s">
        <v>737</v>
      </c>
    </row>
    <row r="236" spans="8:8" x14ac:dyDescent="0.3">
      <c r="H236" t="s">
        <v>738</v>
      </c>
    </row>
    <row r="237" spans="8:8" x14ac:dyDescent="0.3">
      <c r="H237" t="s">
        <v>1098</v>
      </c>
    </row>
    <row r="238" spans="8:8" x14ac:dyDescent="0.3">
      <c r="H238" t="s">
        <v>739</v>
      </c>
    </row>
    <row r="239" spans="8:8" x14ac:dyDescent="0.3">
      <c r="H239" t="s">
        <v>1099</v>
      </c>
    </row>
    <row r="240" spans="8:8" x14ac:dyDescent="0.3">
      <c r="H240" t="s">
        <v>740</v>
      </c>
    </row>
    <row r="241" spans="8:8" x14ac:dyDescent="0.3">
      <c r="H241" t="s">
        <v>1100</v>
      </c>
    </row>
    <row r="242" spans="8:8" x14ac:dyDescent="0.3">
      <c r="H242" t="s">
        <v>741</v>
      </c>
    </row>
    <row r="243" spans="8:8" x14ac:dyDescent="0.3">
      <c r="H243" t="s">
        <v>688</v>
      </c>
    </row>
    <row r="244" spans="8:8" x14ac:dyDescent="0.3">
      <c r="H244" s="13" t="s">
        <v>495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626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18</v>
      </c>
      <c r="H2" s="1" t="s">
        <v>17</v>
      </c>
      <c r="I2" s="1"/>
    </row>
    <row r="3" spans="2:9" ht="15" customHeight="1" x14ac:dyDescent="0.3">
      <c r="B3" t="s">
        <v>792</v>
      </c>
      <c r="H3" t="s">
        <v>87</v>
      </c>
      <c r="I3" s="12"/>
    </row>
    <row r="4" spans="2:9" x14ac:dyDescent="0.3">
      <c r="H4" t="s">
        <v>793</v>
      </c>
    </row>
    <row r="5" spans="2:9" x14ac:dyDescent="0.3">
      <c r="B5" s="1" t="s">
        <v>19</v>
      </c>
      <c r="H5" t="s">
        <v>28</v>
      </c>
    </row>
    <row r="6" spans="2:9" x14ac:dyDescent="0.3">
      <c r="B6" t="s">
        <v>786</v>
      </c>
    </row>
    <row r="7" spans="2:9" x14ac:dyDescent="0.3">
      <c r="H7" t="s">
        <v>499</v>
      </c>
    </row>
    <row r="8" spans="2:9" x14ac:dyDescent="0.3">
      <c r="B8" s="1" t="s">
        <v>20</v>
      </c>
      <c r="H8" t="s">
        <v>781</v>
      </c>
    </row>
    <row r="9" spans="2:9" x14ac:dyDescent="0.3">
      <c r="B9" t="s">
        <v>787</v>
      </c>
      <c r="H9" t="s">
        <v>794</v>
      </c>
    </row>
    <row r="10" spans="2:9" x14ac:dyDescent="0.3">
      <c r="H10" t="s">
        <v>1294</v>
      </c>
    </row>
    <row r="11" spans="2:9" x14ac:dyDescent="0.3">
      <c r="B11" s="1" t="s">
        <v>13</v>
      </c>
      <c r="H11" t="s">
        <v>32</v>
      </c>
    </row>
    <row r="12" spans="2:9" x14ac:dyDescent="0.3">
      <c r="B12" t="s">
        <v>15</v>
      </c>
      <c r="H12" t="s">
        <v>795</v>
      </c>
    </row>
    <row r="13" spans="2:9" x14ac:dyDescent="0.3">
      <c r="H13" t="s">
        <v>1295</v>
      </c>
    </row>
    <row r="14" spans="2:9" x14ac:dyDescent="0.3">
      <c r="B14" s="1" t="s">
        <v>14</v>
      </c>
      <c r="H14" t="s">
        <v>32</v>
      </c>
    </row>
    <row r="15" spans="2:9" x14ac:dyDescent="0.3">
      <c r="B15" t="s">
        <v>16</v>
      </c>
      <c r="H15" t="s">
        <v>828</v>
      </c>
    </row>
    <row r="16" spans="2:9" x14ac:dyDescent="0.3">
      <c r="H16" t="s">
        <v>1296</v>
      </c>
    </row>
    <row r="17" spans="2:8" x14ac:dyDescent="0.3">
      <c r="B17" s="1" t="s">
        <v>21</v>
      </c>
      <c r="H17" t="s">
        <v>32</v>
      </c>
    </row>
    <row r="18" spans="2:8" x14ac:dyDescent="0.3">
      <c r="B18" t="s">
        <v>791</v>
      </c>
      <c r="H18" t="s">
        <v>829</v>
      </c>
    </row>
    <row r="19" spans="2:8" x14ac:dyDescent="0.3">
      <c r="H19" t="s">
        <v>1297</v>
      </c>
    </row>
    <row r="20" spans="2:8" x14ac:dyDescent="0.3">
      <c r="B20" s="1" t="s">
        <v>22</v>
      </c>
      <c r="H20" t="s">
        <v>32</v>
      </c>
    </row>
    <row r="21" spans="2:8" x14ac:dyDescent="0.3">
      <c r="B21" t="s">
        <v>790</v>
      </c>
    </row>
    <row r="22" spans="2:8" x14ac:dyDescent="0.3">
      <c r="H22" t="s">
        <v>31</v>
      </c>
    </row>
    <row r="23" spans="2:8" x14ac:dyDescent="0.3">
      <c r="H23" t="s">
        <v>494</v>
      </c>
    </row>
    <row r="24" spans="2:8" x14ac:dyDescent="0.3">
      <c r="H24" t="s">
        <v>794</v>
      </c>
    </row>
    <row r="25" spans="2:8" x14ac:dyDescent="0.3">
      <c r="H25" t="s">
        <v>861</v>
      </c>
    </row>
    <row r="26" spans="2:8" x14ac:dyDescent="0.3">
      <c r="H26" t="s">
        <v>32</v>
      </c>
    </row>
    <row r="28" spans="2:8" x14ac:dyDescent="0.3">
      <c r="H28" t="s">
        <v>33</v>
      </c>
    </row>
    <row r="29" spans="2:8" x14ac:dyDescent="0.3">
      <c r="H29" t="s">
        <v>1101</v>
      </c>
    </row>
    <row r="30" spans="2:8" x14ac:dyDescent="0.3">
      <c r="H30" t="s">
        <v>794</v>
      </c>
    </row>
    <row r="31" spans="2:8" x14ac:dyDescent="0.3">
      <c r="H31" t="s">
        <v>1102</v>
      </c>
    </row>
    <row r="32" spans="2:8" x14ac:dyDescent="0.3">
      <c r="H32" t="s">
        <v>32</v>
      </c>
    </row>
    <row r="33" spans="8:8" x14ac:dyDescent="0.3">
      <c r="H33" t="s">
        <v>795</v>
      </c>
    </row>
    <row r="34" spans="8:8" x14ac:dyDescent="0.3">
      <c r="H34" t="s">
        <v>1103</v>
      </c>
    </row>
    <row r="35" spans="8:8" x14ac:dyDescent="0.3">
      <c r="H35" t="s">
        <v>32</v>
      </c>
    </row>
    <row r="36" spans="8:8" x14ac:dyDescent="0.3">
      <c r="H36" t="s">
        <v>828</v>
      </c>
    </row>
    <row r="37" spans="8:8" x14ac:dyDescent="0.3">
      <c r="H37" t="s">
        <v>1104</v>
      </c>
    </row>
    <row r="38" spans="8:8" x14ac:dyDescent="0.3">
      <c r="H38" t="s">
        <v>32</v>
      </c>
    </row>
    <row r="39" spans="8:8" x14ac:dyDescent="0.3">
      <c r="H39" t="s">
        <v>829</v>
      </c>
    </row>
    <row r="40" spans="8:8" x14ac:dyDescent="0.3">
      <c r="H40" t="s">
        <v>1105</v>
      </c>
    </row>
    <row r="41" spans="8:8" x14ac:dyDescent="0.3">
      <c r="H41" t="s">
        <v>32</v>
      </c>
    </row>
    <row r="43" spans="8:8" x14ac:dyDescent="0.3">
      <c r="H43" t="s">
        <v>34</v>
      </c>
    </row>
    <row r="44" spans="8:8" x14ac:dyDescent="0.3">
      <c r="H44" t="s">
        <v>1106</v>
      </c>
    </row>
    <row r="45" spans="8:8" x14ac:dyDescent="0.3">
      <c r="H45" t="s">
        <v>794</v>
      </c>
    </row>
    <row r="46" spans="8:8" x14ac:dyDescent="0.3">
      <c r="H46" t="s">
        <v>1107</v>
      </c>
    </row>
    <row r="47" spans="8:8" x14ac:dyDescent="0.3">
      <c r="H47" t="s">
        <v>32</v>
      </c>
    </row>
    <row r="49" spans="8:8" x14ac:dyDescent="0.3">
      <c r="H49" t="s">
        <v>35</v>
      </c>
    </row>
    <row r="50" spans="8:8" x14ac:dyDescent="0.3">
      <c r="H50" t="s">
        <v>1108</v>
      </c>
    </row>
    <row r="51" spans="8:8" x14ac:dyDescent="0.3">
      <c r="H51" t="s">
        <v>794</v>
      </c>
    </row>
    <row r="52" spans="8:8" x14ac:dyDescent="0.3">
      <c r="H52" t="s">
        <v>1109</v>
      </c>
    </row>
    <row r="53" spans="8:8" x14ac:dyDescent="0.3">
      <c r="H53" t="s">
        <v>32</v>
      </c>
    </row>
    <row r="55" spans="8:8" x14ac:dyDescent="0.3">
      <c r="H55" t="s">
        <v>36</v>
      </c>
    </row>
    <row r="56" spans="8:8" x14ac:dyDescent="0.3">
      <c r="H56" t="s">
        <v>1110</v>
      </c>
    </row>
    <row r="57" spans="8:8" x14ac:dyDescent="0.3">
      <c r="H57" t="s">
        <v>794</v>
      </c>
    </row>
    <row r="58" spans="8:8" x14ac:dyDescent="0.3">
      <c r="H58" t="s">
        <v>1111</v>
      </c>
    </row>
    <row r="59" spans="8:8" x14ac:dyDescent="0.3">
      <c r="H59" t="s">
        <v>32</v>
      </c>
    </row>
    <row r="61" spans="8:8" x14ac:dyDescent="0.3">
      <c r="H61" t="s">
        <v>37</v>
      </c>
    </row>
    <row r="62" spans="8:8" x14ac:dyDescent="0.3">
      <c r="H62" t="s">
        <v>1112</v>
      </c>
    </row>
    <row r="63" spans="8:8" x14ac:dyDescent="0.3">
      <c r="H63" t="s">
        <v>794</v>
      </c>
    </row>
    <row r="64" spans="8:8" x14ac:dyDescent="0.3">
      <c r="H64" t="s">
        <v>1113</v>
      </c>
    </row>
    <row r="65" spans="8:8" x14ac:dyDescent="0.3">
      <c r="H65" t="s">
        <v>32</v>
      </c>
    </row>
    <row r="67" spans="8:8" x14ac:dyDescent="0.3">
      <c r="H67" t="s">
        <v>38</v>
      </c>
    </row>
    <row r="68" spans="8:8" x14ac:dyDescent="0.3">
      <c r="H68" t="s">
        <v>1114</v>
      </c>
    </row>
    <row r="69" spans="8:8" x14ac:dyDescent="0.3">
      <c r="H69" t="s">
        <v>794</v>
      </c>
    </row>
    <row r="70" spans="8:8" x14ac:dyDescent="0.3">
      <c r="H70" t="s">
        <v>1115</v>
      </c>
    </row>
    <row r="71" spans="8:8" x14ac:dyDescent="0.3">
      <c r="H71" t="s">
        <v>32</v>
      </c>
    </row>
    <row r="73" spans="8:8" x14ac:dyDescent="0.3">
      <c r="H73" t="s">
        <v>39</v>
      </c>
    </row>
    <row r="74" spans="8:8" x14ac:dyDescent="0.3">
      <c r="H74" t="s">
        <v>1116</v>
      </c>
    </row>
    <row r="75" spans="8:8" x14ac:dyDescent="0.3">
      <c r="H75" t="s">
        <v>794</v>
      </c>
    </row>
    <row r="76" spans="8:8" x14ac:dyDescent="0.3">
      <c r="H76" t="s">
        <v>1117</v>
      </c>
    </row>
    <row r="77" spans="8:8" x14ac:dyDescent="0.3">
      <c r="H77" t="s">
        <v>32</v>
      </c>
    </row>
    <row r="79" spans="8:8" x14ac:dyDescent="0.3">
      <c r="H79" t="s">
        <v>40</v>
      </c>
    </row>
    <row r="80" spans="8:8" x14ac:dyDescent="0.3">
      <c r="H80" t="s">
        <v>1118</v>
      </c>
    </row>
    <row r="81" spans="8:8" x14ac:dyDescent="0.3">
      <c r="H81" t="s">
        <v>794</v>
      </c>
    </row>
    <row r="82" spans="8:8" x14ac:dyDescent="0.3">
      <c r="H82" t="s">
        <v>1119</v>
      </c>
    </row>
    <row r="83" spans="8:8" x14ac:dyDescent="0.3">
      <c r="H83" t="s">
        <v>32</v>
      </c>
    </row>
    <row r="85" spans="8:8" x14ac:dyDescent="0.3">
      <c r="H85" t="s">
        <v>41</v>
      </c>
    </row>
    <row r="86" spans="8:8" x14ac:dyDescent="0.3">
      <c r="H86" t="s">
        <v>1120</v>
      </c>
    </row>
    <row r="87" spans="8:8" x14ac:dyDescent="0.3">
      <c r="H87" t="s">
        <v>794</v>
      </c>
    </row>
    <row r="88" spans="8:8" x14ac:dyDescent="0.3">
      <c r="H88" t="s">
        <v>1121</v>
      </c>
    </row>
    <row r="89" spans="8:8" x14ac:dyDescent="0.3">
      <c r="H89" t="s">
        <v>32</v>
      </c>
    </row>
    <row r="91" spans="8:8" x14ac:dyDescent="0.3">
      <c r="H91" t="s">
        <v>42</v>
      </c>
    </row>
    <row r="92" spans="8:8" x14ac:dyDescent="0.3">
      <c r="H92" t="s">
        <v>1122</v>
      </c>
    </row>
    <row r="93" spans="8:8" x14ac:dyDescent="0.3">
      <c r="H93" t="s">
        <v>794</v>
      </c>
    </row>
    <row r="94" spans="8:8" x14ac:dyDescent="0.3">
      <c r="H94" t="s">
        <v>1123</v>
      </c>
    </row>
    <row r="95" spans="8:8" x14ac:dyDescent="0.3">
      <c r="H95" t="s">
        <v>32</v>
      </c>
    </row>
    <row r="97" spans="8:8" x14ac:dyDescent="0.3">
      <c r="H97" t="s">
        <v>43</v>
      </c>
    </row>
    <row r="98" spans="8:8" x14ac:dyDescent="0.3">
      <c r="H98" t="s">
        <v>1124</v>
      </c>
    </row>
    <row r="99" spans="8:8" x14ac:dyDescent="0.3">
      <c r="H99" t="s">
        <v>794</v>
      </c>
    </row>
    <row r="100" spans="8:8" x14ac:dyDescent="0.3">
      <c r="H100" t="s">
        <v>1125</v>
      </c>
    </row>
    <row r="101" spans="8:8" x14ac:dyDescent="0.3">
      <c r="H101" t="s">
        <v>32</v>
      </c>
    </row>
    <row r="103" spans="8:8" x14ac:dyDescent="0.3">
      <c r="H103" t="s">
        <v>44</v>
      </c>
    </row>
    <row r="104" spans="8:8" x14ac:dyDescent="0.3">
      <c r="H104" t="s">
        <v>1126</v>
      </c>
    </row>
    <row r="105" spans="8:8" x14ac:dyDescent="0.3">
      <c r="H105" t="s">
        <v>794</v>
      </c>
    </row>
    <row r="106" spans="8:8" x14ac:dyDescent="0.3">
      <c r="H106" t="s">
        <v>1127</v>
      </c>
    </row>
    <row r="107" spans="8:8" x14ac:dyDescent="0.3">
      <c r="H107" t="s">
        <v>32</v>
      </c>
    </row>
    <row r="109" spans="8:8" x14ac:dyDescent="0.3">
      <c r="H109" t="s">
        <v>45</v>
      </c>
    </row>
    <row r="110" spans="8:8" x14ac:dyDescent="0.3">
      <c r="H110" t="s">
        <v>1128</v>
      </c>
    </row>
    <row r="111" spans="8:8" x14ac:dyDescent="0.3">
      <c r="H111" t="s">
        <v>794</v>
      </c>
    </row>
    <row r="112" spans="8:8" x14ac:dyDescent="0.3">
      <c r="H112" t="s">
        <v>1129</v>
      </c>
    </row>
    <row r="113" spans="8:8" x14ac:dyDescent="0.3">
      <c r="H113" t="s">
        <v>32</v>
      </c>
    </row>
    <row r="115" spans="8:8" x14ac:dyDescent="0.3">
      <c r="H115" t="s">
        <v>46</v>
      </c>
    </row>
    <row r="116" spans="8:8" x14ac:dyDescent="0.3">
      <c r="H116" t="s">
        <v>1130</v>
      </c>
    </row>
    <row r="117" spans="8:8" x14ac:dyDescent="0.3">
      <c r="H117" t="s">
        <v>794</v>
      </c>
    </row>
    <row r="118" spans="8:8" x14ac:dyDescent="0.3">
      <c r="H118" t="s">
        <v>1131</v>
      </c>
    </row>
    <row r="119" spans="8:8" x14ac:dyDescent="0.3">
      <c r="H119" t="s">
        <v>32</v>
      </c>
    </row>
    <row r="121" spans="8:8" x14ac:dyDescent="0.3">
      <c r="H121" t="s">
        <v>47</v>
      </c>
    </row>
    <row r="122" spans="8:8" x14ac:dyDescent="0.3">
      <c r="H122" t="s">
        <v>1132</v>
      </c>
    </row>
    <row r="123" spans="8:8" x14ac:dyDescent="0.3">
      <c r="H123" t="s">
        <v>794</v>
      </c>
    </row>
    <row r="124" spans="8:8" x14ac:dyDescent="0.3">
      <c r="H124" t="s">
        <v>1133</v>
      </c>
    </row>
    <row r="125" spans="8:8" x14ac:dyDescent="0.3">
      <c r="H125" t="s">
        <v>32</v>
      </c>
    </row>
    <row r="126" spans="8:8" x14ac:dyDescent="0.3">
      <c r="H126" t="s">
        <v>1134</v>
      </c>
    </row>
    <row r="127" spans="8:8" x14ac:dyDescent="0.3">
      <c r="H127" t="s">
        <v>795</v>
      </c>
    </row>
    <row r="128" spans="8:8" x14ac:dyDescent="0.3">
      <c r="H128" t="s">
        <v>1135</v>
      </c>
    </row>
    <row r="129" spans="8:8" x14ac:dyDescent="0.3">
      <c r="H129" t="s">
        <v>32</v>
      </c>
    </row>
    <row r="131" spans="8:8" x14ac:dyDescent="0.3">
      <c r="H131" t="s">
        <v>48</v>
      </c>
    </row>
    <row r="132" spans="8:8" x14ac:dyDescent="0.3">
      <c r="H132" t="s">
        <v>1136</v>
      </c>
    </row>
    <row r="133" spans="8:8" x14ac:dyDescent="0.3">
      <c r="H133" t="s">
        <v>794</v>
      </c>
    </row>
    <row r="134" spans="8:8" x14ac:dyDescent="0.3">
      <c r="H134" t="s">
        <v>1137</v>
      </c>
    </row>
    <row r="135" spans="8:8" x14ac:dyDescent="0.3">
      <c r="H135" t="s">
        <v>32</v>
      </c>
    </row>
    <row r="136" spans="8:8" x14ac:dyDescent="0.3">
      <c r="H136" t="s">
        <v>795</v>
      </c>
    </row>
    <row r="137" spans="8:8" x14ac:dyDescent="0.3">
      <c r="H137" t="s">
        <v>1138</v>
      </c>
    </row>
    <row r="138" spans="8:8" x14ac:dyDescent="0.3">
      <c r="H138" t="s">
        <v>32</v>
      </c>
    </row>
    <row r="139" spans="8:8" x14ac:dyDescent="0.3">
      <c r="H139" t="s">
        <v>828</v>
      </c>
    </row>
    <row r="140" spans="8:8" x14ac:dyDescent="0.3">
      <c r="H140" t="s">
        <v>1139</v>
      </c>
    </row>
    <row r="141" spans="8:8" x14ac:dyDescent="0.3">
      <c r="H141" t="s">
        <v>32</v>
      </c>
    </row>
    <row r="142" spans="8:8" x14ac:dyDescent="0.3">
      <c r="H142" t="s">
        <v>829</v>
      </c>
    </row>
    <row r="143" spans="8:8" x14ac:dyDescent="0.3">
      <c r="H143" t="s">
        <v>1140</v>
      </c>
    </row>
    <row r="144" spans="8:8" x14ac:dyDescent="0.3">
      <c r="H144" t="s">
        <v>32</v>
      </c>
    </row>
    <row r="146" spans="8:8" x14ac:dyDescent="0.3">
      <c r="H146" t="s">
        <v>49</v>
      </c>
    </row>
    <row r="147" spans="8:8" x14ac:dyDescent="0.3">
      <c r="H147" t="s">
        <v>1141</v>
      </c>
    </row>
    <row r="148" spans="8:8" x14ac:dyDescent="0.3">
      <c r="H148" t="s">
        <v>794</v>
      </c>
    </row>
    <row r="149" spans="8:8" x14ac:dyDescent="0.3">
      <c r="H149" t="s">
        <v>1142</v>
      </c>
    </row>
    <row r="150" spans="8:8" x14ac:dyDescent="0.3">
      <c r="H150" t="s">
        <v>32</v>
      </c>
    </row>
    <row r="152" spans="8:8" x14ac:dyDescent="0.3">
      <c r="H152" t="s">
        <v>50</v>
      </c>
    </row>
    <row r="153" spans="8:8" x14ac:dyDescent="0.3">
      <c r="H153" t="s">
        <v>1143</v>
      </c>
    </row>
    <row r="154" spans="8:8" x14ac:dyDescent="0.3">
      <c r="H154" t="s">
        <v>794</v>
      </c>
    </row>
    <row r="155" spans="8:8" x14ac:dyDescent="0.3">
      <c r="H155" t="s">
        <v>1144</v>
      </c>
    </row>
    <row r="156" spans="8:8" x14ac:dyDescent="0.3">
      <c r="H156" t="s">
        <v>32</v>
      </c>
    </row>
    <row r="158" spans="8:8" x14ac:dyDescent="0.3">
      <c r="H158" t="s">
        <v>51</v>
      </c>
    </row>
    <row r="159" spans="8:8" x14ac:dyDescent="0.3">
      <c r="H159" t="s">
        <v>1145</v>
      </c>
    </row>
    <row r="160" spans="8:8" x14ac:dyDescent="0.3">
      <c r="H160" t="s">
        <v>794</v>
      </c>
    </row>
    <row r="161" spans="8:8" x14ac:dyDescent="0.3">
      <c r="H161" t="s">
        <v>1146</v>
      </c>
    </row>
    <row r="162" spans="8:8" x14ac:dyDescent="0.3">
      <c r="H162" t="s">
        <v>32</v>
      </c>
    </row>
    <row r="164" spans="8:8" x14ac:dyDescent="0.3">
      <c r="H164" t="s">
        <v>52</v>
      </c>
    </row>
    <row r="165" spans="8:8" x14ac:dyDescent="0.3">
      <c r="H165" t="s">
        <v>1147</v>
      </c>
    </row>
    <row r="166" spans="8:8" x14ac:dyDescent="0.3">
      <c r="H166" t="s">
        <v>794</v>
      </c>
    </row>
    <row r="167" spans="8:8" x14ac:dyDescent="0.3">
      <c r="H167" t="s">
        <v>1148</v>
      </c>
    </row>
    <row r="168" spans="8:8" x14ac:dyDescent="0.3">
      <c r="H168" t="s">
        <v>32</v>
      </c>
    </row>
    <row r="170" spans="8:8" x14ac:dyDescent="0.3">
      <c r="H170" t="s">
        <v>53</v>
      </c>
    </row>
    <row r="171" spans="8:8" x14ac:dyDescent="0.3">
      <c r="H171" t="s">
        <v>1149</v>
      </c>
    </row>
    <row r="172" spans="8:8" x14ac:dyDescent="0.3">
      <c r="H172" t="s">
        <v>794</v>
      </c>
    </row>
    <row r="173" spans="8:8" x14ac:dyDescent="0.3">
      <c r="H173" t="s">
        <v>1150</v>
      </c>
    </row>
    <row r="174" spans="8:8" x14ac:dyDescent="0.3">
      <c r="H174" t="s">
        <v>32</v>
      </c>
    </row>
    <row r="176" spans="8:8" x14ac:dyDescent="0.3">
      <c r="H176" t="s">
        <v>54</v>
      </c>
    </row>
    <row r="177" spans="8:8" x14ac:dyDescent="0.3">
      <c r="H177" t="s">
        <v>1151</v>
      </c>
    </row>
    <row r="178" spans="8:8" x14ac:dyDescent="0.3">
      <c r="H178" t="s">
        <v>794</v>
      </c>
    </row>
    <row r="179" spans="8:8" x14ac:dyDescent="0.3">
      <c r="H179" t="s">
        <v>1152</v>
      </c>
    </row>
    <row r="180" spans="8:8" x14ac:dyDescent="0.3">
      <c r="H180" t="s">
        <v>32</v>
      </c>
    </row>
    <row r="182" spans="8:8" x14ac:dyDescent="0.3">
      <c r="H182" t="s">
        <v>55</v>
      </c>
    </row>
    <row r="183" spans="8:8" x14ac:dyDescent="0.3">
      <c r="H183" t="s">
        <v>436</v>
      </c>
    </row>
    <row r="184" spans="8:8" x14ac:dyDescent="0.3">
      <c r="H184" t="s">
        <v>794</v>
      </c>
    </row>
    <row r="185" spans="8:8" x14ac:dyDescent="0.3">
      <c r="H185" t="s">
        <v>796</v>
      </c>
    </row>
    <row r="186" spans="8:8" x14ac:dyDescent="0.3">
      <c r="H186" t="s">
        <v>32</v>
      </c>
    </row>
    <row r="187" spans="8:8" x14ac:dyDescent="0.3">
      <c r="H187" t="s">
        <v>437</v>
      </c>
    </row>
    <row r="188" spans="8:8" x14ac:dyDescent="0.3">
      <c r="H188" t="s">
        <v>795</v>
      </c>
    </row>
    <row r="189" spans="8:8" x14ac:dyDescent="0.3">
      <c r="H189" t="s">
        <v>797</v>
      </c>
    </row>
    <row r="190" spans="8:8" x14ac:dyDescent="0.3">
      <c r="H190" t="s">
        <v>32</v>
      </c>
    </row>
    <row r="192" spans="8:8" x14ac:dyDescent="0.3">
      <c r="H192" t="s">
        <v>56</v>
      </c>
    </row>
    <row r="193" spans="8:8" x14ac:dyDescent="0.3">
      <c r="H193" t="s">
        <v>438</v>
      </c>
    </row>
    <row r="194" spans="8:8" x14ac:dyDescent="0.3">
      <c r="H194" t="s">
        <v>794</v>
      </c>
    </row>
    <row r="195" spans="8:8" x14ac:dyDescent="0.3">
      <c r="H195" t="s">
        <v>798</v>
      </c>
    </row>
    <row r="196" spans="8:8" x14ac:dyDescent="0.3">
      <c r="H196" t="s">
        <v>32</v>
      </c>
    </row>
    <row r="198" spans="8:8" x14ac:dyDescent="0.3">
      <c r="H198" t="s">
        <v>57</v>
      </c>
    </row>
    <row r="199" spans="8:8" x14ac:dyDescent="0.3">
      <c r="H199" t="s">
        <v>439</v>
      </c>
    </row>
    <row r="200" spans="8:8" x14ac:dyDescent="0.3">
      <c r="H200" t="s">
        <v>794</v>
      </c>
    </row>
    <row r="201" spans="8:8" x14ac:dyDescent="0.3">
      <c r="H201" t="s">
        <v>799</v>
      </c>
    </row>
    <row r="202" spans="8:8" x14ac:dyDescent="0.3">
      <c r="H202" t="s">
        <v>32</v>
      </c>
    </row>
    <row r="204" spans="8:8" x14ac:dyDescent="0.3">
      <c r="H204" t="s">
        <v>58</v>
      </c>
    </row>
    <row r="205" spans="8:8" x14ac:dyDescent="0.3">
      <c r="H205" t="s">
        <v>440</v>
      </c>
    </row>
    <row r="206" spans="8:8" x14ac:dyDescent="0.3">
      <c r="H206" t="s">
        <v>794</v>
      </c>
    </row>
    <row r="207" spans="8:8" x14ac:dyDescent="0.3">
      <c r="H207" t="s">
        <v>800</v>
      </c>
    </row>
    <row r="208" spans="8:8" x14ac:dyDescent="0.3">
      <c r="H208" t="s">
        <v>32</v>
      </c>
    </row>
    <row r="210" spans="8:8" x14ac:dyDescent="0.3">
      <c r="H210" t="s">
        <v>59</v>
      </c>
    </row>
    <row r="211" spans="8:8" x14ac:dyDescent="0.3">
      <c r="H211" t="s">
        <v>441</v>
      </c>
    </row>
    <row r="212" spans="8:8" x14ac:dyDescent="0.3">
      <c r="H212" t="s">
        <v>794</v>
      </c>
    </row>
    <row r="213" spans="8:8" x14ac:dyDescent="0.3">
      <c r="H213" t="s">
        <v>801</v>
      </c>
    </row>
    <row r="214" spans="8:8" x14ac:dyDescent="0.3">
      <c r="H214" t="s">
        <v>32</v>
      </c>
    </row>
    <row r="216" spans="8:8" x14ac:dyDescent="0.3">
      <c r="H216" t="s">
        <v>60</v>
      </c>
    </row>
    <row r="217" spans="8:8" x14ac:dyDescent="0.3">
      <c r="H217" t="s">
        <v>442</v>
      </c>
    </row>
    <row r="218" spans="8:8" x14ac:dyDescent="0.3">
      <c r="H218" t="s">
        <v>794</v>
      </c>
    </row>
    <row r="219" spans="8:8" x14ac:dyDescent="0.3">
      <c r="H219" t="s">
        <v>802</v>
      </c>
    </row>
    <row r="220" spans="8:8" x14ac:dyDescent="0.3">
      <c r="H220" t="s">
        <v>32</v>
      </c>
    </row>
    <row r="222" spans="8:8" x14ac:dyDescent="0.3">
      <c r="H222" t="s">
        <v>61</v>
      </c>
    </row>
    <row r="223" spans="8:8" x14ac:dyDescent="0.3">
      <c r="H223" t="s">
        <v>443</v>
      </c>
    </row>
    <row r="224" spans="8:8" x14ac:dyDescent="0.3">
      <c r="H224" t="s">
        <v>794</v>
      </c>
    </row>
    <row r="225" spans="8:8" x14ac:dyDescent="0.3">
      <c r="H225" t="s">
        <v>803</v>
      </c>
    </row>
    <row r="226" spans="8:8" x14ac:dyDescent="0.3">
      <c r="H226" t="s">
        <v>32</v>
      </c>
    </row>
    <row r="228" spans="8:8" x14ac:dyDescent="0.3">
      <c r="H228" t="s">
        <v>62</v>
      </c>
    </row>
    <row r="229" spans="8:8" x14ac:dyDescent="0.3">
      <c r="H229" t="s">
        <v>444</v>
      </c>
    </row>
    <row r="230" spans="8:8" x14ac:dyDescent="0.3">
      <c r="H230" t="s">
        <v>794</v>
      </c>
    </row>
    <row r="231" spans="8:8" x14ac:dyDescent="0.3">
      <c r="H231" t="s">
        <v>804</v>
      </c>
    </row>
    <row r="232" spans="8:8" x14ac:dyDescent="0.3">
      <c r="H232" t="s">
        <v>32</v>
      </c>
    </row>
    <row r="234" spans="8:8" x14ac:dyDescent="0.3">
      <c r="H234" t="s">
        <v>63</v>
      </c>
    </row>
    <row r="235" spans="8:8" x14ac:dyDescent="0.3">
      <c r="H235" t="s">
        <v>445</v>
      </c>
    </row>
    <row r="236" spans="8:8" x14ac:dyDescent="0.3">
      <c r="H236" t="s">
        <v>794</v>
      </c>
    </row>
    <row r="237" spans="8:8" x14ac:dyDescent="0.3">
      <c r="H237" t="s">
        <v>805</v>
      </c>
    </row>
    <row r="238" spans="8:8" x14ac:dyDescent="0.3">
      <c r="H238" t="s">
        <v>32</v>
      </c>
    </row>
    <row r="240" spans="8:8" x14ac:dyDescent="0.3">
      <c r="H240" t="s">
        <v>64</v>
      </c>
    </row>
    <row r="241" spans="8:8" x14ac:dyDescent="0.3">
      <c r="H241" t="s">
        <v>446</v>
      </c>
    </row>
    <row r="242" spans="8:8" x14ac:dyDescent="0.3">
      <c r="H242" t="s">
        <v>794</v>
      </c>
    </row>
    <row r="243" spans="8:8" x14ac:dyDescent="0.3">
      <c r="H243" t="s">
        <v>806</v>
      </c>
    </row>
    <row r="244" spans="8:8" x14ac:dyDescent="0.3">
      <c r="H244" t="s">
        <v>32</v>
      </c>
    </row>
    <row r="246" spans="8:8" x14ac:dyDescent="0.3">
      <c r="H246" t="s">
        <v>65</v>
      </c>
    </row>
    <row r="247" spans="8:8" x14ac:dyDescent="0.3">
      <c r="H247" t="s">
        <v>447</v>
      </c>
    </row>
    <row r="248" spans="8:8" x14ac:dyDescent="0.3">
      <c r="H248" t="s">
        <v>794</v>
      </c>
    </row>
    <row r="249" spans="8:8" x14ac:dyDescent="0.3">
      <c r="H249" t="s">
        <v>807</v>
      </c>
    </row>
    <row r="250" spans="8:8" x14ac:dyDescent="0.3">
      <c r="H250" t="s">
        <v>32</v>
      </c>
    </row>
    <row r="252" spans="8:8" x14ac:dyDescent="0.3">
      <c r="H252" t="s">
        <v>66</v>
      </c>
    </row>
    <row r="253" spans="8:8" x14ac:dyDescent="0.3">
      <c r="H253" t="s">
        <v>448</v>
      </c>
    </row>
    <row r="254" spans="8:8" x14ac:dyDescent="0.3">
      <c r="H254" t="s">
        <v>794</v>
      </c>
    </row>
    <row r="255" spans="8:8" x14ac:dyDescent="0.3">
      <c r="H255" t="s">
        <v>808</v>
      </c>
    </row>
    <row r="256" spans="8:8" x14ac:dyDescent="0.3">
      <c r="H256" t="s">
        <v>32</v>
      </c>
    </row>
    <row r="258" spans="8:8" x14ac:dyDescent="0.3">
      <c r="H258" t="s">
        <v>67</v>
      </c>
    </row>
    <row r="259" spans="8:8" x14ac:dyDescent="0.3">
      <c r="H259" t="s">
        <v>449</v>
      </c>
    </row>
    <row r="260" spans="8:8" x14ac:dyDescent="0.3">
      <c r="H260" t="s">
        <v>794</v>
      </c>
    </row>
    <row r="261" spans="8:8" x14ac:dyDescent="0.3">
      <c r="H261" t="s">
        <v>809</v>
      </c>
    </row>
    <row r="262" spans="8:8" x14ac:dyDescent="0.3">
      <c r="H262" t="s">
        <v>32</v>
      </c>
    </row>
    <row r="264" spans="8:8" x14ac:dyDescent="0.3">
      <c r="H264" t="s">
        <v>68</v>
      </c>
    </row>
    <row r="265" spans="8:8" x14ac:dyDescent="0.3">
      <c r="H265" t="s">
        <v>450</v>
      </c>
    </row>
    <row r="266" spans="8:8" x14ac:dyDescent="0.3">
      <c r="H266" t="s">
        <v>794</v>
      </c>
    </row>
    <row r="267" spans="8:8" x14ac:dyDescent="0.3">
      <c r="H267" t="s">
        <v>810</v>
      </c>
    </row>
    <row r="268" spans="8:8" x14ac:dyDescent="0.3">
      <c r="H268" t="s">
        <v>32</v>
      </c>
    </row>
    <row r="270" spans="8:8" x14ac:dyDescent="0.3">
      <c r="H270" t="s">
        <v>69</v>
      </c>
    </row>
    <row r="271" spans="8:8" x14ac:dyDescent="0.3">
      <c r="H271" t="s">
        <v>451</v>
      </c>
    </row>
    <row r="272" spans="8:8" x14ac:dyDescent="0.3">
      <c r="H272" t="s">
        <v>794</v>
      </c>
    </row>
    <row r="273" spans="8:8" x14ac:dyDescent="0.3">
      <c r="H273" t="s">
        <v>811</v>
      </c>
    </row>
    <row r="274" spans="8:8" x14ac:dyDescent="0.3">
      <c r="H274" t="s">
        <v>32</v>
      </c>
    </row>
    <row r="276" spans="8:8" x14ac:dyDescent="0.3">
      <c r="H276" t="s">
        <v>70</v>
      </c>
    </row>
    <row r="277" spans="8:8" x14ac:dyDescent="0.3">
      <c r="H277" t="s">
        <v>1153</v>
      </c>
    </row>
    <row r="278" spans="8:8" x14ac:dyDescent="0.3">
      <c r="H278" t="s">
        <v>794</v>
      </c>
    </row>
    <row r="279" spans="8:8" x14ac:dyDescent="0.3">
      <c r="H279" t="s">
        <v>1154</v>
      </c>
    </row>
    <row r="280" spans="8:8" x14ac:dyDescent="0.3">
      <c r="H280" t="s">
        <v>32</v>
      </c>
    </row>
    <row r="281" spans="8:8" x14ac:dyDescent="0.3">
      <c r="H281" t="s">
        <v>795</v>
      </c>
    </row>
    <row r="282" spans="8:8" x14ac:dyDescent="0.3">
      <c r="H282" t="s">
        <v>1155</v>
      </c>
    </row>
    <row r="283" spans="8:8" x14ac:dyDescent="0.3">
      <c r="H283" t="s">
        <v>32</v>
      </c>
    </row>
    <row r="284" spans="8:8" x14ac:dyDescent="0.3">
      <c r="H284" t="s">
        <v>828</v>
      </c>
    </row>
    <row r="285" spans="8:8" x14ac:dyDescent="0.3">
      <c r="H285" t="s">
        <v>1156</v>
      </c>
    </row>
    <row r="286" spans="8:8" x14ac:dyDescent="0.3">
      <c r="H286" t="s">
        <v>32</v>
      </c>
    </row>
    <row r="287" spans="8:8" x14ac:dyDescent="0.3">
      <c r="H287" t="s">
        <v>829</v>
      </c>
    </row>
    <row r="288" spans="8:8" x14ac:dyDescent="0.3">
      <c r="H288" t="s">
        <v>1157</v>
      </c>
    </row>
    <row r="289" spans="8:8" x14ac:dyDescent="0.3">
      <c r="H289" t="s">
        <v>32</v>
      </c>
    </row>
    <row r="291" spans="8:8" x14ac:dyDescent="0.3">
      <c r="H291" t="s">
        <v>71</v>
      </c>
    </row>
    <row r="292" spans="8:8" x14ac:dyDescent="0.3">
      <c r="H292" t="s">
        <v>1158</v>
      </c>
    </row>
    <row r="293" spans="8:8" x14ac:dyDescent="0.3">
      <c r="H293" t="s">
        <v>794</v>
      </c>
    </row>
    <row r="294" spans="8:8" x14ac:dyDescent="0.3">
      <c r="H294" t="s">
        <v>1159</v>
      </c>
    </row>
    <row r="295" spans="8:8" x14ac:dyDescent="0.3">
      <c r="H295" t="s">
        <v>32</v>
      </c>
    </row>
    <row r="296" spans="8:8" x14ac:dyDescent="0.3">
      <c r="H296" t="s">
        <v>795</v>
      </c>
    </row>
    <row r="297" spans="8:8" x14ac:dyDescent="0.3">
      <c r="H297" t="s">
        <v>1160</v>
      </c>
    </row>
    <row r="298" spans="8:8" x14ac:dyDescent="0.3">
      <c r="H298" t="s">
        <v>32</v>
      </c>
    </row>
    <row r="299" spans="8:8" x14ac:dyDescent="0.3">
      <c r="H299" t="s">
        <v>828</v>
      </c>
    </row>
    <row r="300" spans="8:8" x14ac:dyDescent="0.3">
      <c r="H300" t="s">
        <v>1161</v>
      </c>
    </row>
    <row r="301" spans="8:8" x14ac:dyDescent="0.3">
      <c r="H301" t="s">
        <v>32</v>
      </c>
    </row>
    <row r="302" spans="8:8" x14ac:dyDescent="0.3">
      <c r="H302" t="s">
        <v>829</v>
      </c>
    </row>
    <row r="303" spans="8:8" x14ac:dyDescent="0.3">
      <c r="H303" t="s">
        <v>1162</v>
      </c>
    </row>
    <row r="304" spans="8:8" x14ac:dyDescent="0.3">
      <c r="H304" t="s">
        <v>32</v>
      </c>
    </row>
    <row r="306" spans="8:8" x14ac:dyDescent="0.3">
      <c r="H306" t="s">
        <v>72</v>
      </c>
    </row>
    <row r="307" spans="8:8" x14ac:dyDescent="0.3">
      <c r="H307" t="s">
        <v>452</v>
      </c>
    </row>
    <row r="308" spans="8:8" x14ac:dyDescent="0.3">
      <c r="H308" t="s">
        <v>794</v>
      </c>
    </row>
    <row r="309" spans="8:8" x14ac:dyDescent="0.3">
      <c r="H309" t="s">
        <v>812</v>
      </c>
    </row>
    <row r="310" spans="8:8" x14ac:dyDescent="0.3">
      <c r="H310" t="s">
        <v>32</v>
      </c>
    </row>
    <row r="311" spans="8:8" x14ac:dyDescent="0.3">
      <c r="H311" t="s">
        <v>453</v>
      </c>
    </row>
    <row r="312" spans="8:8" x14ac:dyDescent="0.3">
      <c r="H312" t="s">
        <v>795</v>
      </c>
    </row>
    <row r="313" spans="8:8" x14ac:dyDescent="0.3">
      <c r="H313" t="s">
        <v>813</v>
      </c>
    </row>
    <row r="314" spans="8:8" x14ac:dyDescent="0.3">
      <c r="H314" t="s">
        <v>32</v>
      </c>
    </row>
    <row r="316" spans="8:8" x14ac:dyDescent="0.3">
      <c r="H316" t="s">
        <v>73</v>
      </c>
    </row>
    <row r="317" spans="8:8" x14ac:dyDescent="0.3">
      <c r="H317" t="s">
        <v>454</v>
      </c>
    </row>
    <row r="318" spans="8:8" x14ac:dyDescent="0.3">
      <c r="H318" t="s">
        <v>794</v>
      </c>
    </row>
    <row r="319" spans="8:8" x14ac:dyDescent="0.3">
      <c r="H319" t="s">
        <v>814</v>
      </c>
    </row>
    <row r="320" spans="8:8" x14ac:dyDescent="0.3">
      <c r="H320" t="s">
        <v>32</v>
      </c>
    </row>
    <row r="322" spans="8:8" x14ac:dyDescent="0.3">
      <c r="H322" t="s">
        <v>74</v>
      </c>
    </row>
    <row r="323" spans="8:8" x14ac:dyDescent="0.3">
      <c r="H323" t="s">
        <v>455</v>
      </c>
    </row>
    <row r="324" spans="8:8" x14ac:dyDescent="0.3">
      <c r="H324" t="s">
        <v>794</v>
      </c>
    </row>
    <row r="325" spans="8:8" x14ac:dyDescent="0.3">
      <c r="H325" t="s">
        <v>815</v>
      </c>
    </row>
    <row r="326" spans="8:8" x14ac:dyDescent="0.3">
      <c r="H326" t="s">
        <v>32</v>
      </c>
    </row>
    <row r="328" spans="8:8" x14ac:dyDescent="0.3">
      <c r="H328" t="s">
        <v>75</v>
      </c>
    </row>
    <row r="329" spans="8:8" x14ac:dyDescent="0.3">
      <c r="H329" t="s">
        <v>456</v>
      </c>
    </row>
    <row r="330" spans="8:8" x14ac:dyDescent="0.3">
      <c r="H330" t="s">
        <v>794</v>
      </c>
    </row>
    <row r="331" spans="8:8" x14ac:dyDescent="0.3">
      <c r="H331" t="s">
        <v>816</v>
      </c>
    </row>
    <row r="332" spans="8:8" x14ac:dyDescent="0.3">
      <c r="H332" t="s">
        <v>32</v>
      </c>
    </row>
    <row r="334" spans="8:8" x14ac:dyDescent="0.3">
      <c r="H334" t="s">
        <v>76</v>
      </c>
    </row>
    <row r="335" spans="8:8" x14ac:dyDescent="0.3">
      <c r="H335" t="s">
        <v>457</v>
      </c>
    </row>
    <row r="336" spans="8:8" x14ac:dyDescent="0.3">
      <c r="H336" t="s">
        <v>794</v>
      </c>
    </row>
    <row r="337" spans="8:8" x14ac:dyDescent="0.3">
      <c r="H337" t="s">
        <v>817</v>
      </c>
    </row>
    <row r="338" spans="8:8" x14ac:dyDescent="0.3">
      <c r="H338" t="s">
        <v>32</v>
      </c>
    </row>
    <row r="340" spans="8:8" x14ac:dyDescent="0.3">
      <c r="H340" t="s">
        <v>77</v>
      </c>
    </row>
    <row r="341" spans="8:8" x14ac:dyDescent="0.3">
      <c r="H341" t="s">
        <v>458</v>
      </c>
    </row>
    <row r="342" spans="8:8" x14ac:dyDescent="0.3">
      <c r="H342" t="s">
        <v>794</v>
      </c>
    </row>
    <row r="343" spans="8:8" x14ac:dyDescent="0.3">
      <c r="H343" t="s">
        <v>818</v>
      </c>
    </row>
    <row r="344" spans="8:8" x14ac:dyDescent="0.3">
      <c r="H344" t="s">
        <v>32</v>
      </c>
    </row>
    <row r="346" spans="8:8" x14ac:dyDescent="0.3">
      <c r="H346" t="s">
        <v>78</v>
      </c>
    </row>
    <row r="347" spans="8:8" x14ac:dyDescent="0.3">
      <c r="H347" t="s">
        <v>459</v>
      </c>
    </row>
    <row r="348" spans="8:8" x14ac:dyDescent="0.3">
      <c r="H348" t="s">
        <v>794</v>
      </c>
    </row>
    <row r="349" spans="8:8" x14ac:dyDescent="0.3">
      <c r="H349" t="s">
        <v>819</v>
      </c>
    </row>
    <row r="350" spans="8:8" x14ac:dyDescent="0.3">
      <c r="H350" t="s">
        <v>32</v>
      </c>
    </row>
    <row r="352" spans="8:8" x14ac:dyDescent="0.3">
      <c r="H352" t="s">
        <v>79</v>
      </c>
    </row>
    <row r="353" spans="8:8" x14ac:dyDescent="0.3">
      <c r="H353" t="s">
        <v>460</v>
      </c>
    </row>
    <row r="354" spans="8:8" x14ac:dyDescent="0.3">
      <c r="H354" t="s">
        <v>794</v>
      </c>
    </row>
    <row r="355" spans="8:8" x14ac:dyDescent="0.3">
      <c r="H355" t="s">
        <v>820</v>
      </c>
    </row>
    <row r="356" spans="8:8" x14ac:dyDescent="0.3">
      <c r="H356" t="s">
        <v>32</v>
      </c>
    </row>
    <row r="358" spans="8:8" x14ac:dyDescent="0.3">
      <c r="H358" t="s">
        <v>80</v>
      </c>
    </row>
    <row r="359" spans="8:8" x14ac:dyDescent="0.3">
      <c r="H359" t="s">
        <v>461</v>
      </c>
    </row>
    <row r="360" spans="8:8" x14ac:dyDescent="0.3">
      <c r="H360" t="s">
        <v>794</v>
      </c>
    </row>
    <row r="361" spans="8:8" x14ac:dyDescent="0.3">
      <c r="H361" t="s">
        <v>821</v>
      </c>
    </row>
    <row r="362" spans="8:8" x14ac:dyDescent="0.3">
      <c r="H362" t="s">
        <v>32</v>
      </c>
    </row>
    <row r="364" spans="8:8" x14ac:dyDescent="0.3">
      <c r="H364" t="s">
        <v>81</v>
      </c>
    </row>
    <row r="365" spans="8:8" x14ac:dyDescent="0.3">
      <c r="H365" t="s">
        <v>462</v>
      </c>
    </row>
    <row r="366" spans="8:8" x14ac:dyDescent="0.3">
      <c r="H366" t="s">
        <v>794</v>
      </c>
    </row>
    <row r="367" spans="8:8" x14ac:dyDescent="0.3">
      <c r="H367" t="s">
        <v>822</v>
      </c>
    </row>
    <row r="368" spans="8:8" x14ac:dyDescent="0.3">
      <c r="H368" t="s">
        <v>32</v>
      </c>
    </row>
    <row r="370" spans="8:8" x14ac:dyDescent="0.3">
      <c r="H370" t="s">
        <v>90</v>
      </c>
    </row>
    <row r="371" spans="8:8" x14ac:dyDescent="0.3">
      <c r="H371" t="s">
        <v>463</v>
      </c>
    </row>
    <row r="372" spans="8:8" x14ac:dyDescent="0.3">
      <c r="H372" t="s">
        <v>794</v>
      </c>
    </row>
    <row r="373" spans="8:8" x14ac:dyDescent="0.3">
      <c r="H373" t="s">
        <v>823</v>
      </c>
    </row>
    <row r="374" spans="8:8" x14ac:dyDescent="0.3">
      <c r="H374" t="s">
        <v>32</v>
      </c>
    </row>
    <row r="376" spans="8:8" x14ac:dyDescent="0.3">
      <c r="H376" t="s">
        <v>91</v>
      </c>
    </row>
    <row r="377" spans="8:8" x14ac:dyDescent="0.3">
      <c r="H377" t="s">
        <v>464</v>
      </c>
    </row>
    <row r="378" spans="8:8" x14ac:dyDescent="0.3">
      <c r="H378" t="s">
        <v>794</v>
      </c>
    </row>
    <row r="379" spans="8:8" x14ac:dyDescent="0.3">
      <c r="H379" t="s">
        <v>824</v>
      </c>
    </row>
    <row r="380" spans="8:8" x14ac:dyDescent="0.3">
      <c r="H380" t="s">
        <v>32</v>
      </c>
    </row>
    <row r="382" spans="8:8" x14ac:dyDescent="0.3">
      <c r="H382" t="s">
        <v>92</v>
      </c>
    </row>
    <row r="383" spans="8:8" x14ac:dyDescent="0.3">
      <c r="H383" t="s">
        <v>465</v>
      </c>
    </row>
    <row r="384" spans="8:8" x14ac:dyDescent="0.3">
      <c r="H384" t="s">
        <v>794</v>
      </c>
    </row>
    <row r="385" spans="8:8" x14ac:dyDescent="0.3">
      <c r="H385" t="s">
        <v>825</v>
      </c>
    </row>
    <row r="386" spans="8:8" x14ac:dyDescent="0.3">
      <c r="H386" t="s">
        <v>32</v>
      </c>
    </row>
    <row r="388" spans="8:8" x14ac:dyDescent="0.3">
      <c r="H388" t="s">
        <v>476</v>
      </c>
    </row>
    <row r="389" spans="8:8" x14ac:dyDescent="0.3">
      <c r="H389" t="s">
        <v>466</v>
      </c>
    </row>
    <row r="390" spans="8:8" x14ac:dyDescent="0.3">
      <c r="H390" t="s">
        <v>794</v>
      </c>
    </row>
    <row r="391" spans="8:8" x14ac:dyDescent="0.3">
      <c r="H391" t="s">
        <v>826</v>
      </c>
    </row>
    <row r="392" spans="8:8" x14ac:dyDescent="0.3">
      <c r="H392" t="s">
        <v>32</v>
      </c>
    </row>
    <row r="394" spans="8:8" x14ac:dyDescent="0.3">
      <c r="H394" t="s">
        <v>480</v>
      </c>
    </row>
    <row r="395" spans="8:8" x14ac:dyDescent="0.3">
      <c r="H395" t="s">
        <v>467</v>
      </c>
    </row>
    <row r="396" spans="8:8" x14ac:dyDescent="0.3">
      <c r="H396" t="s">
        <v>794</v>
      </c>
    </row>
    <row r="397" spans="8:8" x14ac:dyDescent="0.3">
      <c r="H397" t="s">
        <v>827</v>
      </c>
    </row>
    <row r="398" spans="8:8" x14ac:dyDescent="0.3">
      <c r="H398" t="s">
        <v>32</v>
      </c>
    </row>
    <row r="400" spans="8:8" x14ac:dyDescent="0.3">
      <c r="H400" t="s">
        <v>484</v>
      </c>
    </row>
    <row r="401" spans="8:8" x14ac:dyDescent="0.3">
      <c r="H401" t="s">
        <v>1163</v>
      </c>
    </row>
    <row r="402" spans="8:8" x14ac:dyDescent="0.3">
      <c r="H402" t="s">
        <v>794</v>
      </c>
    </row>
    <row r="403" spans="8:8" x14ac:dyDescent="0.3">
      <c r="H403" t="s">
        <v>1164</v>
      </c>
    </row>
    <row r="404" spans="8:8" x14ac:dyDescent="0.3">
      <c r="H404" t="s">
        <v>32</v>
      </c>
    </row>
    <row r="405" spans="8:8" x14ac:dyDescent="0.3">
      <c r="H405" t="s">
        <v>795</v>
      </c>
    </row>
    <row r="406" spans="8:8" x14ac:dyDescent="0.3">
      <c r="H406" t="s">
        <v>1165</v>
      </c>
    </row>
    <row r="407" spans="8:8" x14ac:dyDescent="0.3">
      <c r="H407" t="s">
        <v>32</v>
      </c>
    </row>
    <row r="408" spans="8:8" x14ac:dyDescent="0.3">
      <c r="H408" t="s">
        <v>828</v>
      </c>
    </row>
    <row r="409" spans="8:8" x14ac:dyDescent="0.3">
      <c r="H409" t="s">
        <v>1166</v>
      </c>
    </row>
    <row r="410" spans="8:8" x14ac:dyDescent="0.3">
      <c r="H410" t="s">
        <v>32</v>
      </c>
    </row>
    <row r="411" spans="8:8" x14ac:dyDescent="0.3">
      <c r="H411" t="s">
        <v>829</v>
      </c>
    </row>
    <row r="412" spans="8:8" x14ac:dyDescent="0.3">
      <c r="H412" t="s">
        <v>1167</v>
      </c>
    </row>
    <row r="413" spans="8:8" x14ac:dyDescent="0.3">
      <c r="H413" t="s">
        <v>32</v>
      </c>
    </row>
    <row r="415" spans="8:8" x14ac:dyDescent="0.3">
      <c r="H415" t="s">
        <v>487</v>
      </c>
    </row>
    <row r="416" spans="8:8" x14ac:dyDescent="0.3">
      <c r="H416" t="s">
        <v>1168</v>
      </c>
    </row>
    <row r="417" spans="8:8" x14ac:dyDescent="0.3">
      <c r="H417" t="s">
        <v>794</v>
      </c>
    </row>
    <row r="418" spans="8:8" x14ac:dyDescent="0.3">
      <c r="H418" t="s">
        <v>1169</v>
      </c>
    </row>
    <row r="419" spans="8:8" x14ac:dyDescent="0.3">
      <c r="H419" t="s">
        <v>32</v>
      </c>
    </row>
    <row r="420" spans="8:8" x14ac:dyDescent="0.3">
      <c r="H420" t="s">
        <v>795</v>
      </c>
    </row>
    <row r="421" spans="8:8" x14ac:dyDescent="0.3">
      <c r="H421" t="s">
        <v>1170</v>
      </c>
    </row>
    <row r="422" spans="8:8" x14ac:dyDescent="0.3">
      <c r="H422" t="s">
        <v>32</v>
      </c>
    </row>
    <row r="423" spans="8:8" x14ac:dyDescent="0.3">
      <c r="H423" t="s">
        <v>828</v>
      </c>
    </row>
    <row r="424" spans="8:8" x14ac:dyDescent="0.3">
      <c r="H424" t="s">
        <v>1171</v>
      </c>
    </row>
    <row r="425" spans="8:8" x14ac:dyDescent="0.3">
      <c r="H425" t="s">
        <v>32</v>
      </c>
    </row>
    <row r="426" spans="8:8" x14ac:dyDescent="0.3">
      <c r="H426" t="s">
        <v>829</v>
      </c>
    </row>
    <row r="427" spans="8:8" x14ac:dyDescent="0.3">
      <c r="H427" t="s">
        <v>1172</v>
      </c>
    </row>
    <row r="428" spans="8:8" x14ac:dyDescent="0.3">
      <c r="H428" t="s">
        <v>32</v>
      </c>
    </row>
    <row r="430" spans="8:8" x14ac:dyDescent="0.3">
      <c r="H430" t="s">
        <v>490</v>
      </c>
    </row>
    <row r="431" spans="8:8" x14ac:dyDescent="0.3">
      <c r="H431" t="s">
        <v>1173</v>
      </c>
    </row>
    <row r="432" spans="8:8" x14ac:dyDescent="0.3">
      <c r="H432" t="s">
        <v>794</v>
      </c>
    </row>
    <row r="433" spans="8:8" x14ac:dyDescent="0.3">
      <c r="H433" t="s">
        <v>1174</v>
      </c>
    </row>
    <row r="434" spans="8:8" x14ac:dyDescent="0.3">
      <c r="H434" t="s">
        <v>32</v>
      </c>
    </row>
    <row r="435" spans="8:8" x14ac:dyDescent="0.3">
      <c r="H435" t="s">
        <v>795</v>
      </c>
    </row>
    <row r="436" spans="8:8" x14ac:dyDescent="0.3">
      <c r="H436" t="s">
        <v>1175</v>
      </c>
    </row>
    <row r="437" spans="8:8" x14ac:dyDescent="0.3">
      <c r="H437" t="s">
        <v>32</v>
      </c>
    </row>
    <row r="438" spans="8:8" x14ac:dyDescent="0.3">
      <c r="H438" t="s">
        <v>828</v>
      </c>
    </row>
    <row r="439" spans="8:8" x14ac:dyDescent="0.3">
      <c r="H439" t="s">
        <v>1176</v>
      </c>
    </row>
    <row r="440" spans="8:8" x14ac:dyDescent="0.3">
      <c r="H440" t="s">
        <v>32</v>
      </c>
    </row>
    <row r="441" spans="8:8" x14ac:dyDescent="0.3">
      <c r="H441" t="s">
        <v>829</v>
      </c>
    </row>
    <row r="442" spans="8:8" x14ac:dyDescent="0.3">
      <c r="H442" t="s">
        <v>1177</v>
      </c>
    </row>
    <row r="443" spans="8:8" x14ac:dyDescent="0.3">
      <c r="H443" t="s">
        <v>32</v>
      </c>
    </row>
    <row r="445" spans="8:8" x14ac:dyDescent="0.3">
      <c r="H445" t="s">
        <v>493</v>
      </c>
    </row>
    <row r="446" spans="8:8" x14ac:dyDescent="0.3">
      <c r="H446" t="s">
        <v>1178</v>
      </c>
    </row>
    <row r="447" spans="8:8" x14ac:dyDescent="0.3">
      <c r="H447" t="s">
        <v>794</v>
      </c>
    </row>
    <row r="448" spans="8:8" x14ac:dyDescent="0.3">
      <c r="H448" t="s">
        <v>1179</v>
      </c>
    </row>
    <row r="449" spans="8:8" x14ac:dyDescent="0.3">
      <c r="H449" t="s">
        <v>32</v>
      </c>
    </row>
    <row r="450" spans="8:8" x14ac:dyDescent="0.3">
      <c r="H450" t="s">
        <v>795</v>
      </c>
    </row>
    <row r="451" spans="8:8" x14ac:dyDescent="0.3">
      <c r="H451" t="s">
        <v>1180</v>
      </c>
    </row>
    <row r="452" spans="8:8" x14ac:dyDescent="0.3">
      <c r="H452" t="s">
        <v>32</v>
      </c>
    </row>
    <row r="453" spans="8:8" x14ac:dyDescent="0.3">
      <c r="H453" t="s">
        <v>828</v>
      </c>
    </row>
    <row r="454" spans="8:8" x14ac:dyDescent="0.3">
      <c r="H454" t="s">
        <v>1181</v>
      </c>
    </row>
    <row r="455" spans="8:8" x14ac:dyDescent="0.3">
      <c r="H455" t="s">
        <v>32</v>
      </c>
    </row>
    <row r="456" spans="8:8" x14ac:dyDescent="0.3">
      <c r="H456" t="s">
        <v>829</v>
      </c>
    </row>
    <row r="457" spans="8:8" x14ac:dyDescent="0.3">
      <c r="H457" t="s">
        <v>1182</v>
      </c>
    </row>
    <row r="458" spans="8:8" x14ac:dyDescent="0.3">
      <c r="H458" t="s">
        <v>32</v>
      </c>
    </row>
    <row r="460" spans="8:8" x14ac:dyDescent="0.3">
      <c r="H460" t="s">
        <v>780</v>
      </c>
    </row>
    <row r="461" spans="8:8" x14ac:dyDescent="0.3">
      <c r="H461" t="s">
        <v>469</v>
      </c>
    </row>
    <row r="462" spans="8:8" x14ac:dyDescent="0.3">
      <c r="H462" t="s">
        <v>794</v>
      </c>
    </row>
    <row r="463" spans="8:8" x14ac:dyDescent="0.3">
      <c r="H463" t="s">
        <v>830</v>
      </c>
    </row>
    <row r="464" spans="8:8" x14ac:dyDescent="0.3">
      <c r="H464" t="s">
        <v>32</v>
      </c>
    </row>
    <row r="466" spans="8:8" x14ac:dyDescent="0.3">
      <c r="H466" t="s">
        <v>927</v>
      </c>
    </row>
    <row r="467" spans="8:8" x14ac:dyDescent="0.3">
      <c r="H467" t="s">
        <v>470</v>
      </c>
    </row>
    <row r="468" spans="8:8" x14ac:dyDescent="0.3">
      <c r="H468" t="s">
        <v>794</v>
      </c>
    </row>
    <row r="469" spans="8:8" x14ac:dyDescent="0.3">
      <c r="H469" t="s">
        <v>831</v>
      </c>
    </row>
    <row r="470" spans="8:8" x14ac:dyDescent="0.3">
      <c r="H470" t="s">
        <v>32</v>
      </c>
    </row>
    <row r="472" spans="8:8" x14ac:dyDescent="0.3">
      <c r="H472" t="s">
        <v>1183</v>
      </c>
    </row>
    <row r="473" spans="8:8" x14ac:dyDescent="0.3">
      <c r="H473" t="s">
        <v>471</v>
      </c>
    </row>
    <row r="474" spans="8:8" x14ac:dyDescent="0.3">
      <c r="H474" t="s">
        <v>794</v>
      </c>
    </row>
    <row r="475" spans="8:8" x14ac:dyDescent="0.3">
      <c r="H475" t="s">
        <v>832</v>
      </c>
    </row>
    <row r="476" spans="8:8" x14ac:dyDescent="0.3">
      <c r="H476" t="s">
        <v>32</v>
      </c>
    </row>
    <row r="478" spans="8:8" x14ac:dyDescent="0.3">
      <c r="H478" t="s">
        <v>1184</v>
      </c>
    </row>
    <row r="479" spans="8:8" x14ac:dyDescent="0.3">
      <c r="H479" t="s">
        <v>1185</v>
      </c>
    </row>
    <row r="480" spans="8:8" x14ac:dyDescent="0.3">
      <c r="H480" t="s">
        <v>794</v>
      </c>
    </row>
    <row r="481" spans="8:8" x14ac:dyDescent="0.3">
      <c r="H481" t="s">
        <v>1186</v>
      </c>
    </row>
    <row r="482" spans="8:8" x14ac:dyDescent="0.3">
      <c r="H482" t="s">
        <v>32</v>
      </c>
    </row>
    <row r="483" spans="8:8" x14ac:dyDescent="0.3">
      <c r="H483" t="s">
        <v>795</v>
      </c>
    </row>
    <row r="484" spans="8:8" x14ac:dyDescent="0.3">
      <c r="H484" t="s">
        <v>1187</v>
      </c>
    </row>
    <row r="485" spans="8:8" x14ac:dyDescent="0.3">
      <c r="H485" t="s">
        <v>32</v>
      </c>
    </row>
    <row r="486" spans="8:8" x14ac:dyDescent="0.3">
      <c r="H486" t="s">
        <v>828</v>
      </c>
    </row>
    <row r="487" spans="8:8" x14ac:dyDescent="0.3">
      <c r="H487" t="s">
        <v>1188</v>
      </c>
    </row>
    <row r="488" spans="8:8" x14ac:dyDescent="0.3">
      <c r="H488" t="s">
        <v>32</v>
      </c>
    </row>
    <row r="489" spans="8:8" x14ac:dyDescent="0.3">
      <c r="H489" t="s">
        <v>829</v>
      </c>
    </row>
    <row r="490" spans="8:8" x14ac:dyDescent="0.3">
      <c r="H490" t="s">
        <v>1189</v>
      </c>
    </row>
    <row r="491" spans="8:8" x14ac:dyDescent="0.3">
      <c r="H491" t="s">
        <v>32</v>
      </c>
    </row>
    <row r="493" spans="8:8" x14ac:dyDescent="0.3">
      <c r="H493" t="s">
        <v>1190</v>
      </c>
    </row>
    <row r="494" spans="8:8" x14ac:dyDescent="0.3">
      <c r="H494" t="s">
        <v>1305</v>
      </c>
    </row>
    <row r="495" spans="8:8" x14ac:dyDescent="0.3">
      <c r="H495" t="s">
        <v>794</v>
      </c>
    </row>
    <row r="496" spans="8:8" x14ac:dyDescent="0.3">
      <c r="H496" t="s">
        <v>1191</v>
      </c>
    </row>
    <row r="497" spans="8:8" x14ac:dyDescent="0.3">
      <c r="H497" t="s">
        <v>32</v>
      </c>
    </row>
    <row r="498" spans="8:8" x14ac:dyDescent="0.3">
      <c r="H498" t="s">
        <v>795</v>
      </c>
    </row>
    <row r="499" spans="8:8" x14ac:dyDescent="0.3">
      <c r="H499" t="s">
        <v>1192</v>
      </c>
    </row>
    <row r="500" spans="8:8" x14ac:dyDescent="0.3">
      <c r="H500" t="s">
        <v>32</v>
      </c>
    </row>
    <row r="501" spans="8:8" x14ac:dyDescent="0.3">
      <c r="H501" t="s">
        <v>828</v>
      </c>
    </row>
    <row r="502" spans="8:8" x14ac:dyDescent="0.3">
      <c r="H502" t="s">
        <v>1193</v>
      </c>
    </row>
    <row r="503" spans="8:8" x14ac:dyDescent="0.3">
      <c r="H503" t="s">
        <v>32</v>
      </c>
    </row>
    <row r="504" spans="8:8" x14ac:dyDescent="0.3">
      <c r="H504" t="s">
        <v>829</v>
      </c>
    </row>
    <row r="505" spans="8:8" x14ac:dyDescent="0.3">
      <c r="H505" t="s">
        <v>1194</v>
      </c>
    </row>
    <row r="506" spans="8:8" x14ac:dyDescent="0.3">
      <c r="H506" t="s">
        <v>32</v>
      </c>
    </row>
    <row r="508" spans="8:8" x14ac:dyDescent="0.3">
      <c r="H508" t="s">
        <v>1195</v>
      </c>
    </row>
    <row r="509" spans="8:8" x14ac:dyDescent="0.3">
      <c r="H509" t="s">
        <v>472</v>
      </c>
    </row>
    <row r="510" spans="8:8" x14ac:dyDescent="0.3">
      <c r="H510" t="s">
        <v>794</v>
      </c>
    </row>
    <row r="511" spans="8:8" x14ac:dyDescent="0.3">
      <c r="H511" t="s">
        <v>833</v>
      </c>
    </row>
    <row r="512" spans="8:8" x14ac:dyDescent="0.3">
      <c r="H512" t="s">
        <v>32</v>
      </c>
    </row>
    <row r="513" spans="8:8" x14ac:dyDescent="0.3">
      <c r="H513" t="s">
        <v>795</v>
      </c>
    </row>
    <row r="514" spans="8:8" x14ac:dyDescent="0.3">
      <c r="H514" t="s">
        <v>834</v>
      </c>
    </row>
    <row r="515" spans="8:8" x14ac:dyDescent="0.3">
      <c r="H515" t="s">
        <v>32</v>
      </c>
    </row>
    <row r="516" spans="8:8" x14ac:dyDescent="0.3">
      <c r="H516" t="s">
        <v>473</v>
      </c>
    </row>
    <row r="517" spans="8:8" x14ac:dyDescent="0.3">
      <c r="H517" t="s">
        <v>828</v>
      </c>
    </row>
    <row r="518" spans="8:8" x14ac:dyDescent="0.3">
      <c r="H518" t="s">
        <v>835</v>
      </c>
    </row>
    <row r="519" spans="8:8" x14ac:dyDescent="0.3">
      <c r="H519" t="s">
        <v>32</v>
      </c>
    </row>
    <row r="520" spans="8:8" x14ac:dyDescent="0.3">
      <c r="H520" t="s">
        <v>829</v>
      </c>
    </row>
    <row r="521" spans="8:8" x14ac:dyDescent="0.3">
      <c r="H521" t="s">
        <v>836</v>
      </c>
    </row>
    <row r="522" spans="8:8" x14ac:dyDescent="0.3">
      <c r="H522" t="s">
        <v>32</v>
      </c>
    </row>
    <row r="524" spans="8:8" x14ac:dyDescent="0.3">
      <c r="H524" t="s">
        <v>1196</v>
      </c>
    </row>
    <row r="525" spans="8:8" x14ac:dyDescent="0.3">
      <c r="H525" t="s">
        <v>474</v>
      </c>
    </row>
    <row r="526" spans="8:8" x14ac:dyDescent="0.3">
      <c r="H526" t="s">
        <v>794</v>
      </c>
    </row>
    <row r="527" spans="8:8" x14ac:dyDescent="0.3">
      <c r="H527" t="s">
        <v>837</v>
      </c>
    </row>
    <row r="528" spans="8:8" x14ac:dyDescent="0.3">
      <c r="H528" t="s">
        <v>32</v>
      </c>
    </row>
    <row r="529" spans="8:8" x14ac:dyDescent="0.3">
      <c r="H529" t="s">
        <v>795</v>
      </c>
    </row>
    <row r="530" spans="8:8" x14ac:dyDescent="0.3">
      <c r="H530" t="s">
        <v>838</v>
      </c>
    </row>
    <row r="531" spans="8:8" x14ac:dyDescent="0.3">
      <c r="H531" t="s">
        <v>32</v>
      </c>
    </row>
    <row r="532" spans="8:8" x14ac:dyDescent="0.3">
      <c r="H532" t="s">
        <v>475</v>
      </c>
    </row>
    <row r="533" spans="8:8" x14ac:dyDescent="0.3">
      <c r="H533" t="s">
        <v>828</v>
      </c>
    </row>
    <row r="534" spans="8:8" x14ac:dyDescent="0.3">
      <c r="H534" t="s">
        <v>839</v>
      </c>
    </row>
    <row r="535" spans="8:8" x14ac:dyDescent="0.3">
      <c r="H535" t="s">
        <v>32</v>
      </c>
    </row>
    <row r="536" spans="8:8" x14ac:dyDescent="0.3">
      <c r="H536" t="s">
        <v>829</v>
      </c>
    </row>
    <row r="537" spans="8:8" x14ac:dyDescent="0.3">
      <c r="H537" t="s">
        <v>840</v>
      </c>
    </row>
    <row r="538" spans="8:8" x14ac:dyDescent="0.3">
      <c r="H538" t="s">
        <v>32</v>
      </c>
    </row>
    <row r="540" spans="8:8" x14ac:dyDescent="0.3">
      <c r="H540" t="s">
        <v>1197</v>
      </c>
    </row>
    <row r="541" spans="8:8" x14ac:dyDescent="0.3">
      <c r="H541" t="s">
        <v>477</v>
      </c>
    </row>
    <row r="542" spans="8:8" x14ac:dyDescent="0.3">
      <c r="H542" t="s">
        <v>794</v>
      </c>
    </row>
    <row r="543" spans="8:8" x14ac:dyDescent="0.3">
      <c r="H543" t="s">
        <v>841</v>
      </c>
    </row>
    <row r="544" spans="8:8" x14ac:dyDescent="0.3">
      <c r="H544" t="s">
        <v>32</v>
      </c>
    </row>
    <row r="545" spans="8:8" x14ac:dyDescent="0.3">
      <c r="H545" t="s">
        <v>795</v>
      </c>
    </row>
    <row r="546" spans="8:8" x14ac:dyDescent="0.3">
      <c r="H546" t="s">
        <v>842</v>
      </c>
    </row>
    <row r="547" spans="8:8" x14ac:dyDescent="0.3">
      <c r="H547" t="s">
        <v>32</v>
      </c>
    </row>
    <row r="548" spans="8:8" x14ac:dyDescent="0.3">
      <c r="H548" t="s">
        <v>478</v>
      </c>
    </row>
    <row r="549" spans="8:8" x14ac:dyDescent="0.3">
      <c r="H549" t="s">
        <v>828</v>
      </c>
    </row>
    <row r="550" spans="8:8" x14ac:dyDescent="0.3">
      <c r="H550" t="s">
        <v>843</v>
      </c>
    </row>
    <row r="551" spans="8:8" x14ac:dyDescent="0.3">
      <c r="H551" t="s">
        <v>32</v>
      </c>
    </row>
    <row r="552" spans="8:8" x14ac:dyDescent="0.3">
      <c r="H552" t="s">
        <v>479</v>
      </c>
    </row>
    <row r="553" spans="8:8" x14ac:dyDescent="0.3">
      <c r="H553" t="s">
        <v>829</v>
      </c>
    </row>
    <row r="554" spans="8:8" x14ac:dyDescent="0.3">
      <c r="H554" t="s">
        <v>844</v>
      </c>
    </row>
    <row r="555" spans="8:8" x14ac:dyDescent="0.3">
      <c r="H555" t="s">
        <v>32</v>
      </c>
    </row>
    <row r="557" spans="8:8" x14ac:dyDescent="0.3">
      <c r="H557" t="s">
        <v>1198</v>
      </c>
    </row>
    <row r="558" spans="8:8" x14ac:dyDescent="0.3">
      <c r="H558" t="s">
        <v>481</v>
      </c>
    </row>
    <row r="559" spans="8:8" x14ac:dyDescent="0.3">
      <c r="H559" t="s">
        <v>794</v>
      </c>
    </row>
    <row r="560" spans="8:8" x14ac:dyDescent="0.3">
      <c r="H560" t="s">
        <v>845</v>
      </c>
    </row>
    <row r="561" spans="8:8" x14ac:dyDescent="0.3">
      <c r="H561" t="s">
        <v>32</v>
      </c>
    </row>
    <row r="562" spans="8:8" x14ac:dyDescent="0.3">
      <c r="H562" t="s">
        <v>482</v>
      </c>
    </row>
    <row r="563" spans="8:8" x14ac:dyDescent="0.3">
      <c r="H563" t="s">
        <v>795</v>
      </c>
    </row>
    <row r="564" spans="8:8" x14ac:dyDescent="0.3">
      <c r="H564" t="s">
        <v>846</v>
      </c>
    </row>
    <row r="565" spans="8:8" x14ac:dyDescent="0.3">
      <c r="H565" t="s">
        <v>32</v>
      </c>
    </row>
    <row r="566" spans="8:8" x14ac:dyDescent="0.3">
      <c r="H566" t="s">
        <v>483</v>
      </c>
    </row>
    <row r="567" spans="8:8" x14ac:dyDescent="0.3">
      <c r="H567" t="s">
        <v>828</v>
      </c>
    </row>
    <row r="568" spans="8:8" x14ac:dyDescent="0.3">
      <c r="H568" t="s">
        <v>847</v>
      </c>
    </row>
    <row r="569" spans="8:8" x14ac:dyDescent="0.3">
      <c r="H569" t="s">
        <v>32</v>
      </c>
    </row>
    <row r="570" spans="8:8" x14ac:dyDescent="0.3">
      <c r="H570" t="s">
        <v>829</v>
      </c>
    </row>
    <row r="571" spans="8:8" x14ac:dyDescent="0.3">
      <c r="H571" t="s">
        <v>848</v>
      </c>
    </row>
    <row r="572" spans="8:8" x14ac:dyDescent="0.3">
      <c r="H572" t="s">
        <v>32</v>
      </c>
    </row>
    <row r="574" spans="8:8" x14ac:dyDescent="0.3">
      <c r="H574" t="s">
        <v>1199</v>
      </c>
    </row>
    <row r="575" spans="8:8" x14ac:dyDescent="0.3">
      <c r="H575" t="s">
        <v>485</v>
      </c>
    </row>
    <row r="576" spans="8:8" x14ac:dyDescent="0.3">
      <c r="H576" t="s">
        <v>794</v>
      </c>
    </row>
    <row r="577" spans="8:8" x14ac:dyDescent="0.3">
      <c r="H577" t="s">
        <v>849</v>
      </c>
    </row>
    <row r="578" spans="8:8" x14ac:dyDescent="0.3">
      <c r="H578" t="s">
        <v>32</v>
      </c>
    </row>
    <row r="579" spans="8:8" x14ac:dyDescent="0.3">
      <c r="H579" t="s">
        <v>795</v>
      </c>
    </row>
    <row r="580" spans="8:8" x14ac:dyDescent="0.3">
      <c r="H580" t="s">
        <v>850</v>
      </c>
    </row>
    <row r="581" spans="8:8" x14ac:dyDescent="0.3">
      <c r="H581" t="s">
        <v>32</v>
      </c>
    </row>
    <row r="582" spans="8:8" x14ac:dyDescent="0.3">
      <c r="H582" t="s">
        <v>486</v>
      </c>
    </row>
    <row r="583" spans="8:8" x14ac:dyDescent="0.3">
      <c r="H583" t="s">
        <v>828</v>
      </c>
    </row>
    <row r="584" spans="8:8" x14ac:dyDescent="0.3">
      <c r="H584" t="s">
        <v>851</v>
      </c>
    </row>
    <row r="585" spans="8:8" x14ac:dyDescent="0.3">
      <c r="H585" t="s">
        <v>32</v>
      </c>
    </row>
    <row r="586" spans="8:8" x14ac:dyDescent="0.3">
      <c r="H586" t="s">
        <v>829</v>
      </c>
    </row>
    <row r="587" spans="8:8" x14ac:dyDescent="0.3">
      <c r="H587" t="s">
        <v>852</v>
      </c>
    </row>
    <row r="588" spans="8:8" x14ac:dyDescent="0.3">
      <c r="H588" t="s">
        <v>32</v>
      </c>
    </row>
    <row r="590" spans="8:8" x14ac:dyDescent="0.3">
      <c r="H590" t="s">
        <v>1200</v>
      </c>
    </row>
    <row r="591" spans="8:8" x14ac:dyDescent="0.3">
      <c r="H591" t="s">
        <v>488</v>
      </c>
    </row>
    <row r="592" spans="8:8" x14ac:dyDescent="0.3">
      <c r="H592" t="s">
        <v>794</v>
      </c>
    </row>
    <row r="593" spans="8:8" x14ac:dyDescent="0.3">
      <c r="H593" t="s">
        <v>853</v>
      </c>
    </row>
    <row r="594" spans="8:8" x14ac:dyDescent="0.3">
      <c r="H594" t="s">
        <v>32</v>
      </c>
    </row>
    <row r="595" spans="8:8" x14ac:dyDescent="0.3">
      <c r="H595" t="s">
        <v>795</v>
      </c>
    </row>
    <row r="596" spans="8:8" x14ac:dyDescent="0.3">
      <c r="H596" t="s">
        <v>854</v>
      </c>
    </row>
    <row r="597" spans="8:8" x14ac:dyDescent="0.3">
      <c r="H597" t="s">
        <v>32</v>
      </c>
    </row>
    <row r="598" spans="8:8" x14ac:dyDescent="0.3">
      <c r="H598" t="s">
        <v>489</v>
      </c>
    </row>
    <row r="599" spans="8:8" x14ac:dyDescent="0.3">
      <c r="H599" t="s">
        <v>828</v>
      </c>
    </row>
    <row r="600" spans="8:8" x14ac:dyDescent="0.3">
      <c r="H600" t="s">
        <v>855</v>
      </c>
    </row>
    <row r="601" spans="8:8" x14ac:dyDescent="0.3">
      <c r="H601" t="s">
        <v>32</v>
      </c>
    </row>
    <row r="602" spans="8:8" x14ac:dyDescent="0.3">
      <c r="H602" t="s">
        <v>829</v>
      </c>
    </row>
    <row r="603" spans="8:8" x14ac:dyDescent="0.3">
      <c r="H603" t="s">
        <v>856</v>
      </c>
    </row>
    <row r="604" spans="8:8" x14ac:dyDescent="0.3">
      <c r="H604" t="s">
        <v>32</v>
      </c>
    </row>
    <row r="606" spans="8:8" x14ac:dyDescent="0.3">
      <c r="H606" t="s">
        <v>1201</v>
      </c>
    </row>
    <row r="607" spans="8:8" x14ac:dyDescent="0.3">
      <c r="H607" t="s">
        <v>491</v>
      </c>
    </row>
    <row r="608" spans="8:8" x14ac:dyDescent="0.3">
      <c r="H608" t="s">
        <v>794</v>
      </c>
    </row>
    <row r="609" spans="8:8" x14ac:dyDescent="0.3">
      <c r="H609" t="s">
        <v>857</v>
      </c>
    </row>
    <row r="610" spans="8:8" x14ac:dyDescent="0.3">
      <c r="H610" t="s">
        <v>32</v>
      </c>
    </row>
    <row r="611" spans="8:8" x14ac:dyDescent="0.3">
      <c r="H611" t="s">
        <v>795</v>
      </c>
    </row>
    <row r="612" spans="8:8" x14ac:dyDescent="0.3">
      <c r="H612" t="s">
        <v>858</v>
      </c>
    </row>
    <row r="613" spans="8:8" x14ac:dyDescent="0.3">
      <c r="H613" t="s">
        <v>32</v>
      </c>
    </row>
    <row r="614" spans="8:8" x14ac:dyDescent="0.3">
      <c r="H614" t="s">
        <v>492</v>
      </c>
    </row>
    <row r="615" spans="8:8" x14ac:dyDescent="0.3">
      <c r="H615" t="s">
        <v>828</v>
      </c>
    </row>
    <row r="616" spans="8:8" x14ac:dyDescent="0.3">
      <c r="H616" t="s">
        <v>859</v>
      </c>
    </row>
    <row r="617" spans="8:8" x14ac:dyDescent="0.3">
      <c r="H617" t="s">
        <v>32</v>
      </c>
    </row>
    <row r="618" spans="8:8" x14ac:dyDescent="0.3">
      <c r="H618" t="s">
        <v>829</v>
      </c>
    </row>
    <row r="619" spans="8:8" x14ac:dyDescent="0.3">
      <c r="H619" t="s">
        <v>860</v>
      </c>
    </row>
    <row r="620" spans="8:8" x14ac:dyDescent="0.3">
      <c r="H620" t="s">
        <v>32</v>
      </c>
    </row>
    <row r="622" spans="8:8" x14ac:dyDescent="0.3">
      <c r="H622" t="s">
        <v>29</v>
      </c>
    </row>
    <row r="623" spans="8:8" x14ac:dyDescent="0.3">
      <c r="H623" t="s">
        <v>862</v>
      </c>
    </row>
    <row r="625" spans="8:8" x14ac:dyDescent="0.3">
      <c r="H625" t="s">
        <v>30</v>
      </c>
    </row>
    <row r="626" spans="8:8" x14ac:dyDescent="0.3">
      <c r="H626" s="13" t="s">
        <v>495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44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8"/>
    </row>
    <row r="2" spans="1:8" x14ac:dyDescent="0.3">
      <c r="B2" s="1" t="s">
        <v>18</v>
      </c>
      <c r="H2" s="1" t="s">
        <v>93</v>
      </c>
    </row>
    <row r="3" spans="1:8" x14ac:dyDescent="0.3">
      <c r="B3" t="s">
        <v>788</v>
      </c>
      <c r="H3" t="s">
        <v>88</v>
      </c>
    </row>
    <row r="4" spans="1:8" x14ac:dyDescent="0.3">
      <c r="H4" t="s">
        <v>863</v>
      </c>
    </row>
    <row r="5" spans="1:8" x14ac:dyDescent="0.3">
      <c r="B5" s="1" t="s">
        <v>19</v>
      </c>
      <c r="H5" t="s">
        <v>28</v>
      </c>
    </row>
    <row r="6" spans="1:8" x14ac:dyDescent="0.3">
      <c r="B6" t="s">
        <v>786</v>
      </c>
    </row>
    <row r="7" spans="1:8" x14ac:dyDescent="0.3">
      <c r="H7" t="s">
        <v>499</v>
      </c>
    </row>
    <row r="8" spans="1:8" x14ac:dyDescent="0.3">
      <c r="B8" s="1" t="s">
        <v>20</v>
      </c>
      <c r="H8" t="s">
        <v>781</v>
      </c>
    </row>
    <row r="9" spans="1:8" x14ac:dyDescent="0.3">
      <c r="B9" t="s">
        <v>787</v>
      </c>
      <c r="H9" t="s">
        <v>794</v>
      </c>
    </row>
    <row r="10" spans="1:8" x14ac:dyDescent="0.3">
      <c r="H10" t="s">
        <v>1298</v>
      </c>
    </row>
    <row r="11" spans="1:8" x14ac:dyDescent="0.3">
      <c r="B11" s="1" t="s">
        <v>13</v>
      </c>
      <c r="H11" t="s">
        <v>32</v>
      </c>
    </row>
    <row r="12" spans="1:8" x14ac:dyDescent="0.3">
      <c r="B12" t="s">
        <v>15</v>
      </c>
      <c r="H12" t="s">
        <v>795</v>
      </c>
    </row>
    <row r="13" spans="1:8" x14ac:dyDescent="0.3">
      <c r="H13" t="s">
        <v>1299</v>
      </c>
    </row>
    <row r="14" spans="1:8" x14ac:dyDescent="0.3">
      <c r="B14" s="1" t="s">
        <v>86</v>
      </c>
      <c r="H14" t="s">
        <v>32</v>
      </c>
    </row>
    <row r="15" spans="1:8" x14ac:dyDescent="0.3">
      <c r="B15" t="s">
        <v>85</v>
      </c>
      <c r="H15" t="s">
        <v>828</v>
      </c>
    </row>
    <row r="16" spans="1:8" x14ac:dyDescent="0.3">
      <c r="H16" t="s">
        <v>1300</v>
      </c>
    </row>
    <row r="17" spans="2:8" x14ac:dyDescent="0.3">
      <c r="B17" s="1" t="s">
        <v>21</v>
      </c>
      <c r="H17" t="s">
        <v>32</v>
      </c>
    </row>
    <row r="18" spans="2:8" x14ac:dyDescent="0.3">
      <c r="B18" t="s">
        <v>789</v>
      </c>
      <c r="H18" t="s">
        <v>829</v>
      </c>
    </row>
    <row r="19" spans="2:8" x14ac:dyDescent="0.3">
      <c r="H19" t="s">
        <v>1301</v>
      </c>
    </row>
    <row r="20" spans="2:8" x14ac:dyDescent="0.3">
      <c r="B20" s="1"/>
      <c r="H20" t="s">
        <v>32</v>
      </c>
    </row>
    <row r="22" spans="2:8" x14ac:dyDescent="0.3">
      <c r="H22" t="s">
        <v>31</v>
      </c>
    </row>
    <row r="23" spans="2:8" x14ac:dyDescent="0.3">
      <c r="H23" t="s">
        <v>494</v>
      </c>
    </row>
    <row r="24" spans="2:8" x14ac:dyDescent="0.3">
      <c r="H24" t="s">
        <v>794</v>
      </c>
    </row>
    <row r="25" spans="2:8" x14ac:dyDescent="0.3">
      <c r="H25" t="s">
        <v>896</v>
      </c>
    </row>
    <row r="26" spans="2:8" x14ac:dyDescent="0.3">
      <c r="H26" t="s">
        <v>32</v>
      </c>
    </row>
    <row r="28" spans="2:8" x14ac:dyDescent="0.3">
      <c r="H28" t="s">
        <v>33</v>
      </c>
    </row>
    <row r="29" spans="2:8" x14ac:dyDescent="0.3">
      <c r="H29" t="s">
        <v>1101</v>
      </c>
    </row>
    <row r="30" spans="2:8" x14ac:dyDescent="0.3">
      <c r="H30" t="s">
        <v>794</v>
      </c>
    </row>
    <row r="31" spans="2:8" x14ac:dyDescent="0.3">
      <c r="H31" t="s">
        <v>1202</v>
      </c>
    </row>
    <row r="32" spans="2:8" x14ac:dyDescent="0.3">
      <c r="H32" t="s">
        <v>32</v>
      </c>
    </row>
    <row r="33" spans="8:8" x14ac:dyDescent="0.3">
      <c r="H33" t="s">
        <v>795</v>
      </c>
    </row>
    <row r="34" spans="8:8" x14ac:dyDescent="0.3">
      <c r="H34" t="s">
        <v>1203</v>
      </c>
    </row>
    <row r="35" spans="8:8" x14ac:dyDescent="0.3">
      <c r="H35" t="s">
        <v>32</v>
      </c>
    </row>
    <row r="36" spans="8:8" x14ac:dyDescent="0.3">
      <c r="H36" t="s">
        <v>828</v>
      </c>
    </row>
    <row r="37" spans="8:8" x14ac:dyDescent="0.3">
      <c r="H37" t="s">
        <v>1204</v>
      </c>
    </row>
    <row r="38" spans="8:8" x14ac:dyDescent="0.3">
      <c r="H38" t="s">
        <v>32</v>
      </c>
    </row>
    <row r="39" spans="8:8" x14ac:dyDescent="0.3">
      <c r="H39" t="s">
        <v>829</v>
      </c>
    </row>
    <row r="40" spans="8:8" x14ac:dyDescent="0.3">
      <c r="H40" t="s">
        <v>1205</v>
      </c>
    </row>
    <row r="41" spans="8:8" x14ac:dyDescent="0.3">
      <c r="H41" t="s">
        <v>32</v>
      </c>
    </row>
    <row r="43" spans="8:8" x14ac:dyDescent="0.3">
      <c r="H43" t="s">
        <v>34</v>
      </c>
    </row>
    <row r="44" spans="8:8" x14ac:dyDescent="0.3">
      <c r="H44" t="s">
        <v>1106</v>
      </c>
    </row>
    <row r="45" spans="8:8" x14ac:dyDescent="0.3">
      <c r="H45" t="s">
        <v>794</v>
      </c>
    </row>
    <row r="46" spans="8:8" x14ac:dyDescent="0.3">
      <c r="H46" t="s">
        <v>1206</v>
      </c>
    </row>
    <row r="47" spans="8:8" x14ac:dyDescent="0.3">
      <c r="H47" t="s">
        <v>32</v>
      </c>
    </row>
    <row r="49" spans="8:8" x14ac:dyDescent="0.3">
      <c r="H49" t="s">
        <v>35</v>
      </c>
    </row>
    <row r="50" spans="8:8" x14ac:dyDescent="0.3">
      <c r="H50" t="s">
        <v>1108</v>
      </c>
    </row>
    <row r="51" spans="8:8" x14ac:dyDescent="0.3">
      <c r="H51" t="s">
        <v>794</v>
      </c>
    </row>
    <row r="52" spans="8:8" x14ac:dyDescent="0.3">
      <c r="H52" t="s">
        <v>1207</v>
      </c>
    </row>
    <row r="53" spans="8:8" x14ac:dyDescent="0.3">
      <c r="H53" t="s">
        <v>32</v>
      </c>
    </row>
    <row r="55" spans="8:8" x14ac:dyDescent="0.3">
      <c r="H55" t="s">
        <v>36</v>
      </c>
    </row>
    <row r="56" spans="8:8" x14ac:dyDescent="0.3">
      <c r="H56" t="s">
        <v>1110</v>
      </c>
    </row>
    <row r="57" spans="8:8" x14ac:dyDescent="0.3">
      <c r="H57" t="s">
        <v>794</v>
      </c>
    </row>
    <row r="58" spans="8:8" x14ac:dyDescent="0.3">
      <c r="H58" t="s">
        <v>1208</v>
      </c>
    </row>
    <row r="59" spans="8:8" x14ac:dyDescent="0.3">
      <c r="H59" t="s">
        <v>32</v>
      </c>
    </row>
    <row r="61" spans="8:8" x14ac:dyDescent="0.3">
      <c r="H61" t="s">
        <v>37</v>
      </c>
    </row>
    <row r="62" spans="8:8" x14ac:dyDescent="0.3">
      <c r="H62" t="s">
        <v>1112</v>
      </c>
    </row>
    <row r="63" spans="8:8" x14ac:dyDescent="0.3">
      <c r="H63" t="s">
        <v>794</v>
      </c>
    </row>
    <row r="64" spans="8:8" x14ac:dyDescent="0.3">
      <c r="H64" t="s">
        <v>1209</v>
      </c>
    </row>
    <row r="65" spans="8:8" x14ac:dyDescent="0.3">
      <c r="H65" t="s">
        <v>32</v>
      </c>
    </row>
    <row r="67" spans="8:8" x14ac:dyDescent="0.3">
      <c r="H67" t="s">
        <v>45</v>
      </c>
    </row>
    <row r="68" spans="8:8" x14ac:dyDescent="0.3">
      <c r="H68" t="s">
        <v>1128</v>
      </c>
    </row>
    <row r="69" spans="8:8" x14ac:dyDescent="0.3">
      <c r="H69" t="s">
        <v>794</v>
      </c>
    </row>
    <row r="70" spans="8:8" x14ac:dyDescent="0.3">
      <c r="H70" t="s">
        <v>1210</v>
      </c>
    </row>
    <row r="71" spans="8:8" x14ac:dyDescent="0.3">
      <c r="H71" t="s">
        <v>32</v>
      </c>
    </row>
    <row r="73" spans="8:8" x14ac:dyDescent="0.3">
      <c r="H73" t="s">
        <v>46</v>
      </c>
    </row>
    <row r="74" spans="8:8" x14ac:dyDescent="0.3">
      <c r="H74" t="s">
        <v>1130</v>
      </c>
    </row>
    <row r="75" spans="8:8" x14ac:dyDescent="0.3">
      <c r="H75" t="s">
        <v>794</v>
      </c>
    </row>
    <row r="76" spans="8:8" x14ac:dyDescent="0.3">
      <c r="H76" t="s">
        <v>1211</v>
      </c>
    </row>
    <row r="77" spans="8:8" x14ac:dyDescent="0.3">
      <c r="H77" t="s">
        <v>32</v>
      </c>
    </row>
    <row r="79" spans="8:8" x14ac:dyDescent="0.3">
      <c r="H79" t="s">
        <v>48</v>
      </c>
    </row>
    <row r="80" spans="8:8" x14ac:dyDescent="0.3">
      <c r="H80" t="s">
        <v>1136</v>
      </c>
    </row>
    <row r="81" spans="8:8" x14ac:dyDescent="0.3">
      <c r="H81" t="s">
        <v>794</v>
      </c>
    </row>
    <row r="82" spans="8:8" x14ac:dyDescent="0.3">
      <c r="H82" t="s">
        <v>1212</v>
      </c>
    </row>
    <row r="83" spans="8:8" x14ac:dyDescent="0.3">
      <c r="H83" t="s">
        <v>32</v>
      </c>
    </row>
    <row r="84" spans="8:8" x14ac:dyDescent="0.3">
      <c r="H84" t="s">
        <v>795</v>
      </c>
    </row>
    <row r="85" spans="8:8" x14ac:dyDescent="0.3">
      <c r="H85" t="s">
        <v>1213</v>
      </c>
    </row>
    <row r="86" spans="8:8" x14ac:dyDescent="0.3">
      <c r="H86" t="s">
        <v>32</v>
      </c>
    </row>
    <row r="87" spans="8:8" x14ac:dyDescent="0.3">
      <c r="H87" t="s">
        <v>828</v>
      </c>
    </row>
    <row r="88" spans="8:8" x14ac:dyDescent="0.3">
      <c r="H88" t="s">
        <v>1214</v>
      </c>
    </row>
    <row r="89" spans="8:8" x14ac:dyDescent="0.3">
      <c r="H89" t="s">
        <v>32</v>
      </c>
    </row>
    <row r="90" spans="8:8" x14ac:dyDescent="0.3">
      <c r="H90" t="s">
        <v>829</v>
      </c>
    </row>
    <row r="91" spans="8:8" x14ac:dyDescent="0.3">
      <c r="H91" t="s">
        <v>1215</v>
      </c>
    </row>
    <row r="92" spans="8:8" x14ac:dyDescent="0.3">
      <c r="H92" t="s">
        <v>32</v>
      </c>
    </row>
    <row r="94" spans="8:8" x14ac:dyDescent="0.3">
      <c r="H94" t="s">
        <v>49</v>
      </c>
    </row>
    <row r="95" spans="8:8" x14ac:dyDescent="0.3">
      <c r="H95" t="s">
        <v>1141</v>
      </c>
    </row>
    <row r="96" spans="8:8" x14ac:dyDescent="0.3">
      <c r="H96" t="s">
        <v>794</v>
      </c>
    </row>
    <row r="97" spans="8:8" x14ac:dyDescent="0.3">
      <c r="H97" t="s">
        <v>1216</v>
      </c>
    </row>
    <row r="98" spans="8:8" x14ac:dyDescent="0.3">
      <c r="H98" t="s">
        <v>32</v>
      </c>
    </row>
    <row r="100" spans="8:8" x14ac:dyDescent="0.3">
      <c r="H100" t="s">
        <v>50</v>
      </c>
    </row>
    <row r="101" spans="8:8" x14ac:dyDescent="0.3">
      <c r="H101" t="s">
        <v>1143</v>
      </c>
    </row>
    <row r="102" spans="8:8" x14ac:dyDescent="0.3">
      <c r="H102" t="s">
        <v>794</v>
      </c>
    </row>
    <row r="103" spans="8:8" x14ac:dyDescent="0.3">
      <c r="H103" t="s">
        <v>1217</v>
      </c>
    </row>
    <row r="104" spans="8:8" x14ac:dyDescent="0.3">
      <c r="H104" t="s">
        <v>32</v>
      </c>
    </row>
    <row r="106" spans="8:8" x14ac:dyDescent="0.3">
      <c r="H106" t="s">
        <v>51</v>
      </c>
    </row>
    <row r="107" spans="8:8" x14ac:dyDescent="0.3">
      <c r="H107" t="s">
        <v>1145</v>
      </c>
    </row>
    <row r="108" spans="8:8" x14ac:dyDescent="0.3">
      <c r="H108" t="s">
        <v>794</v>
      </c>
    </row>
    <row r="109" spans="8:8" x14ac:dyDescent="0.3">
      <c r="H109" t="s">
        <v>1218</v>
      </c>
    </row>
    <row r="110" spans="8:8" x14ac:dyDescent="0.3">
      <c r="H110" t="s">
        <v>32</v>
      </c>
    </row>
    <row r="112" spans="8:8" x14ac:dyDescent="0.3">
      <c r="H112" t="s">
        <v>52</v>
      </c>
    </row>
    <row r="113" spans="8:8" x14ac:dyDescent="0.3">
      <c r="H113" t="s">
        <v>1147</v>
      </c>
    </row>
    <row r="114" spans="8:8" x14ac:dyDescent="0.3">
      <c r="H114" t="s">
        <v>794</v>
      </c>
    </row>
    <row r="115" spans="8:8" x14ac:dyDescent="0.3">
      <c r="H115" t="s">
        <v>1219</v>
      </c>
    </row>
    <row r="116" spans="8:8" x14ac:dyDescent="0.3">
      <c r="H116" t="s">
        <v>32</v>
      </c>
    </row>
    <row r="118" spans="8:8" x14ac:dyDescent="0.3">
      <c r="H118" t="s">
        <v>53</v>
      </c>
    </row>
    <row r="119" spans="8:8" x14ac:dyDescent="0.3">
      <c r="H119" t="s">
        <v>1149</v>
      </c>
    </row>
    <row r="120" spans="8:8" x14ac:dyDescent="0.3">
      <c r="H120" t="s">
        <v>794</v>
      </c>
    </row>
    <row r="121" spans="8:8" x14ac:dyDescent="0.3">
      <c r="H121" t="s">
        <v>1220</v>
      </c>
    </row>
    <row r="122" spans="8:8" x14ac:dyDescent="0.3">
      <c r="H122" t="s">
        <v>32</v>
      </c>
    </row>
    <row r="124" spans="8:8" x14ac:dyDescent="0.3">
      <c r="H124" t="s">
        <v>54</v>
      </c>
    </row>
    <row r="125" spans="8:8" x14ac:dyDescent="0.3">
      <c r="H125" t="s">
        <v>1151</v>
      </c>
    </row>
    <row r="126" spans="8:8" x14ac:dyDescent="0.3">
      <c r="H126" t="s">
        <v>794</v>
      </c>
    </row>
    <row r="127" spans="8:8" x14ac:dyDescent="0.3">
      <c r="H127" t="s">
        <v>1221</v>
      </c>
    </row>
    <row r="128" spans="8:8" x14ac:dyDescent="0.3">
      <c r="H128" t="s">
        <v>32</v>
      </c>
    </row>
    <row r="130" spans="8:8" x14ac:dyDescent="0.3">
      <c r="H130" t="s">
        <v>55</v>
      </c>
    </row>
    <row r="131" spans="8:8" x14ac:dyDescent="0.3">
      <c r="H131" t="s">
        <v>436</v>
      </c>
    </row>
    <row r="132" spans="8:8" x14ac:dyDescent="0.3">
      <c r="H132" t="s">
        <v>794</v>
      </c>
    </row>
    <row r="133" spans="8:8" x14ac:dyDescent="0.3">
      <c r="H133" t="s">
        <v>864</v>
      </c>
    </row>
    <row r="134" spans="8:8" x14ac:dyDescent="0.3">
      <c r="H134" t="s">
        <v>32</v>
      </c>
    </row>
    <row r="135" spans="8:8" x14ac:dyDescent="0.3">
      <c r="H135" t="s">
        <v>437</v>
      </c>
    </row>
    <row r="136" spans="8:8" x14ac:dyDescent="0.3">
      <c r="H136" t="s">
        <v>795</v>
      </c>
    </row>
    <row r="137" spans="8:8" x14ac:dyDescent="0.3">
      <c r="H137" t="s">
        <v>865</v>
      </c>
    </row>
    <row r="138" spans="8:8" x14ac:dyDescent="0.3">
      <c r="H138" t="s">
        <v>32</v>
      </c>
    </row>
    <row r="140" spans="8:8" x14ac:dyDescent="0.3">
      <c r="H140" t="s">
        <v>60</v>
      </c>
    </row>
    <row r="141" spans="8:8" x14ac:dyDescent="0.3">
      <c r="H141" t="s">
        <v>442</v>
      </c>
    </row>
    <row r="142" spans="8:8" x14ac:dyDescent="0.3">
      <c r="H142" t="s">
        <v>794</v>
      </c>
    </row>
    <row r="143" spans="8:8" x14ac:dyDescent="0.3">
      <c r="H143" t="s">
        <v>866</v>
      </c>
    </row>
    <row r="144" spans="8:8" x14ac:dyDescent="0.3">
      <c r="H144" t="s">
        <v>32</v>
      </c>
    </row>
    <row r="146" spans="8:8" x14ac:dyDescent="0.3">
      <c r="H146" t="s">
        <v>61</v>
      </c>
    </row>
    <row r="147" spans="8:8" x14ac:dyDescent="0.3">
      <c r="H147" t="s">
        <v>443</v>
      </c>
    </row>
    <row r="148" spans="8:8" x14ac:dyDescent="0.3">
      <c r="H148" t="s">
        <v>794</v>
      </c>
    </row>
    <row r="149" spans="8:8" x14ac:dyDescent="0.3">
      <c r="H149" t="s">
        <v>867</v>
      </c>
    </row>
    <row r="150" spans="8:8" x14ac:dyDescent="0.3">
      <c r="H150" t="s">
        <v>32</v>
      </c>
    </row>
    <row r="152" spans="8:8" x14ac:dyDescent="0.3">
      <c r="H152" t="s">
        <v>66</v>
      </c>
    </row>
    <row r="153" spans="8:8" x14ac:dyDescent="0.3">
      <c r="H153" t="s">
        <v>448</v>
      </c>
    </row>
    <row r="154" spans="8:8" x14ac:dyDescent="0.3">
      <c r="H154" t="s">
        <v>794</v>
      </c>
    </row>
    <row r="155" spans="8:8" x14ac:dyDescent="0.3">
      <c r="H155" t="s">
        <v>868</v>
      </c>
    </row>
    <row r="156" spans="8:8" x14ac:dyDescent="0.3">
      <c r="H156" t="s">
        <v>32</v>
      </c>
    </row>
    <row r="158" spans="8:8" x14ac:dyDescent="0.3">
      <c r="H158" t="s">
        <v>67</v>
      </c>
    </row>
    <row r="159" spans="8:8" x14ac:dyDescent="0.3">
      <c r="H159" t="s">
        <v>449</v>
      </c>
    </row>
    <row r="160" spans="8:8" x14ac:dyDescent="0.3">
      <c r="H160" t="s">
        <v>794</v>
      </c>
    </row>
    <row r="161" spans="8:8" x14ac:dyDescent="0.3">
      <c r="H161" t="s">
        <v>869</v>
      </c>
    </row>
    <row r="162" spans="8:8" x14ac:dyDescent="0.3">
      <c r="H162" t="s">
        <v>32</v>
      </c>
    </row>
    <row r="164" spans="8:8" x14ac:dyDescent="0.3">
      <c r="H164" t="s">
        <v>68</v>
      </c>
    </row>
    <row r="165" spans="8:8" x14ac:dyDescent="0.3">
      <c r="H165" t="s">
        <v>450</v>
      </c>
    </row>
    <row r="166" spans="8:8" x14ac:dyDescent="0.3">
      <c r="H166" t="s">
        <v>794</v>
      </c>
    </row>
    <row r="167" spans="8:8" x14ac:dyDescent="0.3">
      <c r="H167" t="s">
        <v>870</v>
      </c>
    </row>
    <row r="168" spans="8:8" x14ac:dyDescent="0.3">
      <c r="H168" t="s">
        <v>32</v>
      </c>
    </row>
    <row r="170" spans="8:8" x14ac:dyDescent="0.3">
      <c r="H170" t="s">
        <v>69</v>
      </c>
    </row>
    <row r="171" spans="8:8" x14ac:dyDescent="0.3">
      <c r="H171" t="s">
        <v>451</v>
      </c>
    </row>
    <row r="172" spans="8:8" x14ac:dyDescent="0.3">
      <c r="H172" t="s">
        <v>794</v>
      </c>
    </row>
    <row r="173" spans="8:8" x14ac:dyDescent="0.3">
      <c r="H173" t="s">
        <v>871</v>
      </c>
    </row>
    <row r="174" spans="8:8" x14ac:dyDescent="0.3">
      <c r="H174" t="s">
        <v>32</v>
      </c>
    </row>
    <row r="176" spans="8:8" x14ac:dyDescent="0.3">
      <c r="H176" t="s">
        <v>71</v>
      </c>
    </row>
    <row r="177" spans="8:8" x14ac:dyDescent="0.3">
      <c r="H177" t="s">
        <v>1158</v>
      </c>
    </row>
    <row r="178" spans="8:8" x14ac:dyDescent="0.3">
      <c r="H178" t="s">
        <v>794</v>
      </c>
    </row>
    <row r="179" spans="8:8" x14ac:dyDescent="0.3">
      <c r="H179" t="s">
        <v>1222</v>
      </c>
    </row>
    <row r="180" spans="8:8" x14ac:dyDescent="0.3">
      <c r="H180" t="s">
        <v>32</v>
      </c>
    </row>
    <row r="181" spans="8:8" x14ac:dyDescent="0.3">
      <c r="H181" t="s">
        <v>795</v>
      </c>
    </row>
    <row r="182" spans="8:8" x14ac:dyDescent="0.3">
      <c r="H182" t="s">
        <v>1223</v>
      </c>
    </row>
    <row r="183" spans="8:8" x14ac:dyDescent="0.3">
      <c r="H183" t="s">
        <v>32</v>
      </c>
    </row>
    <row r="184" spans="8:8" x14ac:dyDescent="0.3">
      <c r="H184" t="s">
        <v>828</v>
      </c>
    </row>
    <row r="185" spans="8:8" x14ac:dyDescent="0.3">
      <c r="H185" t="s">
        <v>1224</v>
      </c>
    </row>
    <row r="186" spans="8:8" x14ac:dyDescent="0.3">
      <c r="H186" t="s">
        <v>32</v>
      </c>
    </row>
    <row r="187" spans="8:8" x14ac:dyDescent="0.3">
      <c r="H187" t="s">
        <v>829</v>
      </c>
    </row>
    <row r="188" spans="8:8" x14ac:dyDescent="0.3">
      <c r="H188" t="s">
        <v>1225</v>
      </c>
    </row>
    <row r="189" spans="8:8" x14ac:dyDescent="0.3">
      <c r="H189" t="s">
        <v>32</v>
      </c>
    </row>
    <row r="191" spans="8:8" x14ac:dyDescent="0.3">
      <c r="H191" t="s">
        <v>72</v>
      </c>
    </row>
    <row r="192" spans="8:8" x14ac:dyDescent="0.3">
      <c r="H192" t="s">
        <v>452</v>
      </c>
    </row>
    <row r="193" spans="8:8" x14ac:dyDescent="0.3">
      <c r="H193" t="s">
        <v>794</v>
      </c>
    </row>
    <row r="194" spans="8:8" x14ac:dyDescent="0.3">
      <c r="H194" t="s">
        <v>872</v>
      </c>
    </row>
    <row r="195" spans="8:8" x14ac:dyDescent="0.3">
      <c r="H195" t="s">
        <v>32</v>
      </c>
    </row>
    <row r="196" spans="8:8" x14ac:dyDescent="0.3">
      <c r="H196" t="s">
        <v>453</v>
      </c>
    </row>
    <row r="197" spans="8:8" x14ac:dyDescent="0.3">
      <c r="H197" t="s">
        <v>795</v>
      </c>
    </row>
    <row r="198" spans="8:8" x14ac:dyDescent="0.3">
      <c r="H198" t="s">
        <v>873</v>
      </c>
    </row>
    <row r="199" spans="8:8" x14ac:dyDescent="0.3">
      <c r="H199" t="s">
        <v>32</v>
      </c>
    </row>
    <row r="201" spans="8:8" x14ac:dyDescent="0.3">
      <c r="H201" t="s">
        <v>490</v>
      </c>
    </row>
    <row r="202" spans="8:8" x14ac:dyDescent="0.3">
      <c r="H202" t="s">
        <v>1173</v>
      </c>
    </row>
    <row r="203" spans="8:8" x14ac:dyDescent="0.3">
      <c r="H203" t="s">
        <v>794</v>
      </c>
    </row>
    <row r="204" spans="8:8" x14ac:dyDescent="0.3">
      <c r="H204" t="s">
        <v>1226</v>
      </c>
    </row>
    <row r="205" spans="8:8" x14ac:dyDescent="0.3">
      <c r="H205" t="s">
        <v>32</v>
      </c>
    </row>
    <row r="206" spans="8:8" x14ac:dyDescent="0.3">
      <c r="H206" t="s">
        <v>795</v>
      </c>
    </row>
    <row r="207" spans="8:8" x14ac:dyDescent="0.3">
      <c r="H207" t="s">
        <v>1227</v>
      </c>
    </row>
    <row r="208" spans="8:8" x14ac:dyDescent="0.3">
      <c r="H208" t="s">
        <v>32</v>
      </c>
    </row>
    <row r="209" spans="8:8" x14ac:dyDescent="0.3">
      <c r="H209" t="s">
        <v>828</v>
      </c>
    </row>
    <row r="210" spans="8:8" x14ac:dyDescent="0.3">
      <c r="H210" t="s">
        <v>1228</v>
      </c>
    </row>
    <row r="211" spans="8:8" x14ac:dyDescent="0.3">
      <c r="H211" t="s">
        <v>32</v>
      </c>
    </row>
    <row r="212" spans="8:8" x14ac:dyDescent="0.3">
      <c r="H212" t="s">
        <v>829</v>
      </c>
    </row>
    <row r="213" spans="8:8" x14ac:dyDescent="0.3">
      <c r="H213" t="s">
        <v>1229</v>
      </c>
    </row>
    <row r="214" spans="8:8" x14ac:dyDescent="0.3">
      <c r="H214" t="s">
        <v>32</v>
      </c>
    </row>
    <row r="216" spans="8:8" x14ac:dyDescent="0.3">
      <c r="H216" t="s">
        <v>493</v>
      </c>
    </row>
    <row r="217" spans="8:8" x14ac:dyDescent="0.3">
      <c r="H217" t="s">
        <v>1178</v>
      </c>
    </row>
    <row r="218" spans="8:8" x14ac:dyDescent="0.3">
      <c r="H218" t="s">
        <v>794</v>
      </c>
    </row>
    <row r="219" spans="8:8" x14ac:dyDescent="0.3">
      <c r="H219" t="s">
        <v>1230</v>
      </c>
    </row>
    <row r="220" spans="8:8" x14ac:dyDescent="0.3">
      <c r="H220" t="s">
        <v>32</v>
      </c>
    </row>
    <row r="221" spans="8:8" x14ac:dyDescent="0.3">
      <c r="H221" t="s">
        <v>795</v>
      </c>
    </row>
    <row r="222" spans="8:8" x14ac:dyDescent="0.3">
      <c r="H222" t="s">
        <v>1231</v>
      </c>
    </row>
    <row r="223" spans="8:8" x14ac:dyDescent="0.3">
      <c r="H223" t="s">
        <v>32</v>
      </c>
    </row>
    <row r="224" spans="8:8" x14ac:dyDescent="0.3">
      <c r="H224" t="s">
        <v>828</v>
      </c>
    </row>
    <row r="225" spans="8:8" x14ac:dyDescent="0.3">
      <c r="H225" t="s">
        <v>1232</v>
      </c>
    </row>
    <row r="226" spans="8:8" x14ac:dyDescent="0.3">
      <c r="H226" t="s">
        <v>32</v>
      </c>
    </row>
    <row r="227" spans="8:8" x14ac:dyDescent="0.3">
      <c r="H227" t="s">
        <v>829</v>
      </c>
    </row>
    <row r="228" spans="8:8" x14ac:dyDescent="0.3">
      <c r="H228" t="s">
        <v>1233</v>
      </c>
    </row>
    <row r="229" spans="8:8" x14ac:dyDescent="0.3">
      <c r="H229" t="s">
        <v>32</v>
      </c>
    </row>
    <row r="231" spans="8:8" x14ac:dyDescent="0.3">
      <c r="H231" t="s">
        <v>780</v>
      </c>
    </row>
    <row r="232" spans="8:8" x14ac:dyDescent="0.3">
      <c r="H232" t="s">
        <v>469</v>
      </c>
    </row>
    <row r="233" spans="8:8" x14ac:dyDescent="0.3">
      <c r="H233" t="s">
        <v>794</v>
      </c>
    </row>
    <row r="234" spans="8:8" x14ac:dyDescent="0.3">
      <c r="H234" t="s">
        <v>874</v>
      </c>
    </row>
    <row r="235" spans="8:8" x14ac:dyDescent="0.3">
      <c r="H235" t="s">
        <v>32</v>
      </c>
    </row>
    <row r="237" spans="8:8" x14ac:dyDescent="0.3">
      <c r="H237" t="s">
        <v>1183</v>
      </c>
    </row>
    <row r="238" spans="8:8" x14ac:dyDescent="0.3">
      <c r="H238" t="s">
        <v>471</v>
      </c>
    </row>
    <row r="239" spans="8:8" x14ac:dyDescent="0.3">
      <c r="H239" t="s">
        <v>794</v>
      </c>
    </row>
    <row r="240" spans="8:8" x14ac:dyDescent="0.3">
      <c r="H240" t="s">
        <v>875</v>
      </c>
    </row>
    <row r="241" spans="8:8" x14ac:dyDescent="0.3">
      <c r="H241" t="s">
        <v>32</v>
      </c>
    </row>
    <row r="243" spans="8:8" x14ac:dyDescent="0.3">
      <c r="H243" t="s">
        <v>1190</v>
      </c>
    </row>
    <row r="244" spans="8:8" x14ac:dyDescent="0.3">
      <c r="H244" t="s">
        <v>1305</v>
      </c>
    </row>
    <row r="245" spans="8:8" x14ac:dyDescent="0.3">
      <c r="H245" t="s">
        <v>794</v>
      </c>
    </row>
    <row r="246" spans="8:8" x14ac:dyDescent="0.3">
      <c r="H246" t="s">
        <v>1234</v>
      </c>
    </row>
    <row r="247" spans="8:8" x14ac:dyDescent="0.3">
      <c r="H247" t="s">
        <v>32</v>
      </c>
    </row>
    <row r="248" spans="8:8" x14ac:dyDescent="0.3">
      <c r="H248" t="s">
        <v>795</v>
      </c>
    </row>
    <row r="249" spans="8:8" x14ac:dyDescent="0.3">
      <c r="H249" t="s">
        <v>1235</v>
      </c>
    </row>
    <row r="250" spans="8:8" x14ac:dyDescent="0.3">
      <c r="H250" t="s">
        <v>32</v>
      </c>
    </row>
    <row r="251" spans="8:8" x14ac:dyDescent="0.3">
      <c r="H251" t="s">
        <v>828</v>
      </c>
    </row>
    <row r="252" spans="8:8" x14ac:dyDescent="0.3">
      <c r="H252" t="s">
        <v>1236</v>
      </c>
    </row>
    <row r="253" spans="8:8" x14ac:dyDescent="0.3">
      <c r="H253" t="s">
        <v>32</v>
      </c>
    </row>
    <row r="254" spans="8:8" x14ac:dyDescent="0.3">
      <c r="H254" t="s">
        <v>829</v>
      </c>
    </row>
    <row r="255" spans="8:8" x14ac:dyDescent="0.3">
      <c r="H255" t="s">
        <v>1237</v>
      </c>
    </row>
    <row r="256" spans="8:8" x14ac:dyDescent="0.3">
      <c r="H256" t="s">
        <v>32</v>
      </c>
    </row>
    <row r="258" spans="8:8" x14ac:dyDescent="0.3">
      <c r="H258" t="s">
        <v>1195</v>
      </c>
    </row>
    <row r="259" spans="8:8" x14ac:dyDescent="0.3">
      <c r="H259" t="s">
        <v>472</v>
      </c>
    </row>
    <row r="260" spans="8:8" x14ac:dyDescent="0.3">
      <c r="H260" t="s">
        <v>794</v>
      </c>
    </row>
    <row r="261" spans="8:8" x14ac:dyDescent="0.3">
      <c r="H261" t="s">
        <v>876</v>
      </c>
    </row>
    <row r="262" spans="8:8" x14ac:dyDescent="0.3">
      <c r="H262" t="s">
        <v>32</v>
      </c>
    </row>
    <row r="263" spans="8:8" x14ac:dyDescent="0.3">
      <c r="H263" t="s">
        <v>795</v>
      </c>
    </row>
    <row r="264" spans="8:8" x14ac:dyDescent="0.3">
      <c r="H264" t="s">
        <v>877</v>
      </c>
    </row>
    <row r="265" spans="8:8" x14ac:dyDescent="0.3">
      <c r="H265" t="s">
        <v>32</v>
      </c>
    </row>
    <row r="266" spans="8:8" x14ac:dyDescent="0.3">
      <c r="H266" t="s">
        <v>473</v>
      </c>
    </row>
    <row r="267" spans="8:8" x14ac:dyDescent="0.3">
      <c r="H267" t="s">
        <v>828</v>
      </c>
    </row>
    <row r="268" spans="8:8" x14ac:dyDescent="0.3">
      <c r="H268" t="s">
        <v>878</v>
      </c>
    </row>
    <row r="269" spans="8:8" x14ac:dyDescent="0.3">
      <c r="H269" t="s">
        <v>32</v>
      </c>
    </row>
    <row r="270" spans="8:8" x14ac:dyDescent="0.3">
      <c r="H270" t="s">
        <v>829</v>
      </c>
    </row>
    <row r="271" spans="8:8" x14ac:dyDescent="0.3">
      <c r="H271" t="s">
        <v>879</v>
      </c>
    </row>
    <row r="272" spans="8:8" x14ac:dyDescent="0.3">
      <c r="H272" t="s">
        <v>32</v>
      </c>
    </row>
    <row r="274" spans="8:8" x14ac:dyDescent="0.3">
      <c r="H274" t="s">
        <v>1196</v>
      </c>
    </row>
    <row r="275" spans="8:8" x14ac:dyDescent="0.3">
      <c r="H275" t="s">
        <v>474</v>
      </c>
    </row>
    <row r="276" spans="8:8" x14ac:dyDescent="0.3">
      <c r="H276" t="s">
        <v>794</v>
      </c>
    </row>
    <row r="277" spans="8:8" x14ac:dyDescent="0.3">
      <c r="H277" t="s">
        <v>880</v>
      </c>
    </row>
    <row r="278" spans="8:8" x14ac:dyDescent="0.3">
      <c r="H278" t="s">
        <v>32</v>
      </c>
    </row>
    <row r="279" spans="8:8" x14ac:dyDescent="0.3">
      <c r="H279" t="s">
        <v>795</v>
      </c>
    </row>
    <row r="280" spans="8:8" x14ac:dyDescent="0.3">
      <c r="H280" t="s">
        <v>881</v>
      </c>
    </row>
    <row r="281" spans="8:8" x14ac:dyDescent="0.3">
      <c r="H281" t="s">
        <v>32</v>
      </c>
    </row>
    <row r="282" spans="8:8" x14ac:dyDescent="0.3">
      <c r="H282" t="s">
        <v>475</v>
      </c>
    </row>
    <row r="283" spans="8:8" x14ac:dyDescent="0.3">
      <c r="H283" t="s">
        <v>828</v>
      </c>
    </row>
    <row r="284" spans="8:8" x14ac:dyDescent="0.3">
      <c r="H284" t="s">
        <v>882</v>
      </c>
    </row>
    <row r="285" spans="8:8" x14ac:dyDescent="0.3">
      <c r="H285" t="s">
        <v>32</v>
      </c>
    </row>
    <row r="286" spans="8:8" x14ac:dyDescent="0.3">
      <c r="H286" t="s">
        <v>829</v>
      </c>
    </row>
    <row r="287" spans="8:8" x14ac:dyDescent="0.3">
      <c r="H287" t="s">
        <v>883</v>
      </c>
    </row>
    <row r="288" spans="8:8" x14ac:dyDescent="0.3">
      <c r="H288" t="s">
        <v>32</v>
      </c>
    </row>
    <row r="290" spans="8:8" x14ac:dyDescent="0.3">
      <c r="H290" t="s">
        <v>1197</v>
      </c>
    </row>
    <row r="291" spans="8:8" x14ac:dyDescent="0.3">
      <c r="H291" t="s">
        <v>477</v>
      </c>
    </row>
    <row r="292" spans="8:8" x14ac:dyDescent="0.3">
      <c r="H292" t="s">
        <v>794</v>
      </c>
    </row>
    <row r="293" spans="8:8" x14ac:dyDescent="0.3">
      <c r="H293" t="s">
        <v>884</v>
      </c>
    </row>
    <row r="294" spans="8:8" x14ac:dyDescent="0.3">
      <c r="H294" t="s">
        <v>32</v>
      </c>
    </row>
    <row r="295" spans="8:8" x14ac:dyDescent="0.3">
      <c r="H295" t="s">
        <v>795</v>
      </c>
    </row>
    <row r="296" spans="8:8" x14ac:dyDescent="0.3">
      <c r="H296" t="s">
        <v>885</v>
      </c>
    </row>
    <row r="297" spans="8:8" x14ac:dyDescent="0.3">
      <c r="H297" t="s">
        <v>32</v>
      </c>
    </row>
    <row r="298" spans="8:8" x14ac:dyDescent="0.3">
      <c r="H298" t="s">
        <v>478</v>
      </c>
    </row>
    <row r="299" spans="8:8" x14ac:dyDescent="0.3">
      <c r="H299" t="s">
        <v>828</v>
      </c>
    </row>
    <row r="300" spans="8:8" x14ac:dyDescent="0.3">
      <c r="H300" t="s">
        <v>886</v>
      </c>
    </row>
    <row r="301" spans="8:8" x14ac:dyDescent="0.3">
      <c r="H301" t="s">
        <v>32</v>
      </c>
    </row>
    <row r="302" spans="8:8" x14ac:dyDescent="0.3">
      <c r="H302" t="s">
        <v>479</v>
      </c>
    </row>
    <row r="303" spans="8:8" x14ac:dyDescent="0.3">
      <c r="H303" t="s">
        <v>829</v>
      </c>
    </row>
    <row r="304" spans="8:8" x14ac:dyDescent="0.3">
      <c r="H304" t="s">
        <v>887</v>
      </c>
    </row>
    <row r="305" spans="8:8" x14ac:dyDescent="0.3">
      <c r="H305" t="s">
        <v>32</v>
      </c>
    </row>
    <row r="307" spans="8:8" x14ac:dyDescent="0.3">
      <c r="H307" t="s">
        <v>1198</v>
      </c>
    </row>
    <row r="308" spans="8:8" x14ac:dyDescent="0.3">
      <c r="H308" t="s">
        <v>481</v>
      </c>
    </row>
    <row r="309" spans="8:8" x14ac:dyDescent="0.3">
      <c r="H309" t="s">
        <v>794</v>
      </c>
    </row>
    <row r="310" spans="8:8" x14ac:dyDescent="0.3">
      <c r="H310" t="s">
        <v>888</v>
      </c>
    </row>
    <row r="311" spans="8:8" x14ac:dyDescent="0.3">
      <c r="H311" t="s">
        <v>32</v>
      </c>
    </row>
    <row r="312" spans="8:8" x14ac:dyDescent="0.3">
      <c r="H312" t="s">
        <v>482</v>
      </c>
    </row>
    <row r="313" spans="8:8" x14ac:dyDescent="0.3">
      <c r="H313" t="s">
        <v>795</v>
      </c>
    </row>
    <row r="314" spans="8:8" x14ac:dyDescent="0.3">
      <c r="H314" t="s">
        <v>889</v>
      </c>
    </row>
    <row r="315" spans="8:8" x14ac:dyDescent="0.3">
      <c r="H315" t="s">
        <v>32</v>
      </c>
    </row>
    <row r="316" spans="8:8" x14ac:dyDescent="0.3">
      <c r="H316" t="s">
        <v>489</v>
      </c>
    </row>
    <row r="317" spans="8:8" x14ac:dyDescent="0.3">
      <c r="H317" t="s">
        <v>828</v>
      </c>
    </row>
    <row r="318" spans="8:8" x14ac:dyDescent="0.3">
      <c r="H318" t="s">
        <v>890</v>
      </c>
    </row>
    <row r="319" spans="8:8" x14ac:dyDescent="0.3">
      <c r="H319" t="s">
        <v>32</v>
      </c>
    </row>
    <row r="320" spans="8:8" x14ac:dyDescent="0.3">
      <c r="H320" t="s">
        <v>829</v>
      </c>
    </row>
    <row r="321" spans="8:8" x14ac:dyDescent="0.3">
      <c r="H321" t="s">
        <v>891</v>
      </c>
    </row>
    <row r="322" spans="8:8" x14ac:dyDescent="0.3">
      <c r="H322" t="s">
        <v>32</v>
      </c>
    </row>
    <row r="324" spans="8:8" x14ac:dyDescent="0.3">
      <c r="H324" t="s">
        <v>1201</v>
      </c>
    </row>
    <row r="325" spans="8:8" x14ac:dyDescent="0.3">
      <c r="H325" t="s">
        <v>491</v>
      </c>
    </row>
    <row r="326" spans="8:8" x14ac:dyDescent="0.3">
      <c r="H326" t="s">
        <v>794</v>
      </c>
    </row>
    <row r="327" spans="8:8" x14ac:dyDescent="0.3">
      <c r="H327" t="s">
        <v>892</v>
      </c>
    </row>
    <row r="328" spans="8:8" x14ac:dyDescent="0.3">
      <c r="H328" t="s">
        <v>32</v>
      </c>
    </row>
    <row r="329" spans="8:8" x14ac:dyDescent="0.3">
      <c r="H329" t="s">
        <v>795</v>
      </c>
    </row>
    <row r="330" spans="8:8" x14ac:dyDescent="0.3">
      <c r="H330" t="s">
        <v>893</v>
      </c>
    </row>
    <row r="331" spans="8:8" x14ac:dyDescent="0.3">
      <c r="H331" t="s">
        <v>32</v>
      </c>
    </row>
    <row r="332" spans="8:8" x14ac:dyDescent="0.3">
      <c r="H332" t="s">
        <v>492</v>
      </c>
    </row>
    <row r="333" spans="8:8" x14ac:dyDescent="0.3">
      <c r="H333" t="s">
        <v>828</v>
      </c>
    </row>
    <row r="334" spans="8:8" x14ac:dyDescent="0.3">
      <c r="H334" t="s">
        <v>894</v>
      </c>
    </row>
    <row r="335" spans="8:8" x14ac:dyDescent="0.3">
      <c r="H335" t="s">
        <v>32</v>
      </c>
    </row>
    <row r="336" spans="8:8" x14ac:dyDescent="0.3">
      <c r="H336" t="s">
        <v>829</v>
      </c>
    </row>
    <row r="337" spans="8:8" x14ac:dyDescent="0.3">
      <c r="H337" t="s">
        <v>895</v>
      </c>
    </row>
    <row r="338" spans="8:8" x14ac:dyDescent="0.3">
      <c r="H338" t="s">
        <v>32</v>
      </c>
    </row>
    <row r="340" spans="8:8" x14ac:dyDescent="0.3">
      <c r="H340" t="s">
        <v>29</v>
      </c>
    </row>
    <row r="341" spans="8:8" x14ac:dyDescent="0.3">
      <c r="H341" t="s">
        <v>89</v>
      </c>
    </row>
    <row r="343" spans="8:8" x14ac:dyDescent="0.3">
      <c r="H343" t="s">
        <v>30</v>
      </c>
    </row>
    <row r="344" spans="8:8" x14ac:dyDescent="0.3">
      <c r="H344" s="13" t="s">
        <v>495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47"/>
  <sheetViews>
    <sheetView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18</v>
      </c>
      <c r="H2" s="1" t="s">
        <v>500</v>
      </c>
      <c r="I2" s="1" t="s">
        <v>501</v>
      </c>
    </row>
    <row r="3" spans="2:9" x14ac:dyDescent="0.3">
      <c r="B3" t="s">
        <v>788</v>
      </c>
      <c r="H3" t="s">
        <v>922</v>
      </c>
      <c r="I3" t="s">
        <v>1243</v>
      </c>
    </row>
    <row r="4" spans="2:9" x14ac:dyDescent="0.3">
      <c r="H4" t="s">
        <v>921</v>
      </c>
      <c r="I4" t="s">
        <v>1246</v>
      </c>
    </row>
    <row r="5" spans="2:9" x14ac:dyDescent="0.3">
      <c r="B5" s="1" t="s">
        <v>19</v>
      </c>
      <c r="H5" t="s">
        <v>1238</v>
      </c>
      <c r="I5" t="s">
        <v>1247</v>
      </c>
    </row>
    <row r="6" spans="2:9" x14ac:dyDescent="0.3">
      <c r="B6" t="s">
        <v>786</v>
      </c>
      <c r="H6" t="s">
        <v>1239</v>
      </c>
      <c r="I6" t="s">
        <v>1248</v>
      </c>
    </row>
    <row r="7" spans="2:9" x14ac:dyDescent="0.3">
      <c r="H7" t="s">
        <v>1240</v>
      </c>
      <c r="I7" t="s">
        <v>901</v>
      </c>
    </row>
    <row r="8" spans="2:9" x14ac:dyDescent="0.3">
      <c r="B8" s="1" t="s">
        <v>20</v>
      </c>
      <c r="H8" t="s">
        <v>1241</v>
      </c>
      <c r="I8" t="s">
        <v>902</v>
      </c>
    </row>
    <row r="9" spans="2:9" x14ac:dyDescent="0.3">
      <c r="B9" t="s">
        <v>787</v>
      </c>
      <c r="H9" t="s">
        <v>1242</v>
      </c>
      <c r="I9" t="s">
        <v>903</v>
      </c>
    </row>
    <row r="10" spans="2:9" x14ac:dyDescent="0.3">
      <c r="H10" t="s">
        <v>1243</v>
      </c>
      <c r="I10" t="s">
        <v>904</v>
      </c>
    </row>
    <row r="11" spans="2:9" x14ac:dyDescent="0.3">
      <c r="B11" s="1" t="s">
        <v>13</v>
      </c>
      <c r="H11" t="s">
        <v>1244</v>
      </c>
      <c r="I11" t="s">
        <v>908</v>
      </c>
    </row>
    <row r="12" spans="2:9" x14ac:dyDescent="0.3">
      <c r="B12" t="s">
        <v>15</v>
      </c>
      <c r="H12" t="s">
        <v>1245</v>
      </c>
      <c r="I12" s="13" t="s">
        <v>495</v>
      </c>
    </row>
    <row r="13" spans="2:9" x14ac:dyDescent="0.3">
      <c r="H13" t="s">
        <v>1246</v>
      </c>
    </row>
    <row r="14" spans="2:9" x14ac:dyDescent="0.3">
      <c r="B14" s="1" t="s">
        <v>86</v>
      </c>
      <c r="H14" t="s">
        <v>1247</v>
      </c>
    </row>
    <row r="15" spans="2:9" x14ac:dyDescent="0.3">
      <c r="B15" t="s">
        <v>85</v>
      </c>
      <c r="H15" t="s">
        <v>1248</v>
      </c>
    </row>
    <row r="16" spans="2:9" x14ac:dyDescent="0.3">
      <c r="H16" t="s">
        <v>1249</v>
      </c>
    </row>
    <row r="17" spans="2:8" x14ac:dyDescent="0.3">
      <c r="B17" s="1" t="s">
        <v>21</v>
      </c>
      <c r="H17" t="s">
        <v>1250</v>
      </c>
    </row>
    <row r="18" spans="2:8" x14ac:dyDescent="0.3">
      <c r="B18" t="s">
        <v>789</v>
      </c>
      <c r="H18" t="s">
        <v>1251</v>
      </c>
    </row>
    <row r="19" spans="2:8" x14ac:dyDescent="0.3">
      <c r="H19" t="s">
        <v>897</v>
      </c>
    </row>
    <row r="20" spans="2:8" x14ac:dyDescent="0.3">
      <c r="B20" s="1"/>
      <c r="H20" t="s">
        <v>898</v>
      </c>
    </row>
    <row r="21" spans="2:8" x14ac:dyDescent="0.3">
      <c r="H21" t="s">
        <v>899</v>
      </c>
    </row>
    <row r="22" spans="2:8" x14ac:dyDescent="0.3">
      <c r="H22" t="s">
        <v>900</v>
      </c>
    </row>
    <row r="23" spans="2:8" x14ac:dyDescent="0.3">
      <c r="H23" t="s">
        <v>901</v>
      </c>
    </row>
    <row r="24" spans="2:8" x14ac:dyDescent="0.3">
      <c r="H24" t="s">
        <v>902</v>
      </c>
    </row>
    <row r="25" spans="2:8" x14ac:dyDescent="0.3">
      <c r="H25" t="s">
        <v>903</v>
      </c>
    </row>
    <row r="26" spans="2:8" x14ac:dyDescent="0.3">
      <c r="H26" t="s">
        <v>904</v>
      </c>
    </row>
    <row r="27" spans="2:8" x14ac:dyDescent="0.3">
      <c r="H27" t="s">
        <v>1252</v>
      </c>
    </row>
    <row r="28" spans="2:8" x14ac:dyDescent="0.3">
      <c r="H28" t="s">
        <v>905</v>
      </c>
    </row>
    <row r="29" spans="2:8" x14ac:dyDescent="0.3">
      <c r="H29" t="s">
        <v>906</v>
      </c>
    </row>
    <row r="30" spans="2:8" x14ac:dyDescent="0.3">
      <c r="H30" t="s">
        <v>1253</v>
      </c>
    </row>
    <row r="31" spans="2:8" x14ac:dyDescent="0.3">
      <c r="H31" t="s">
        <v>1254</v>
      </c>
    </row>
    <row r="32" spans="2:8" x14ac:dyDescent="0.3">
      <c r="H32" t="s">
        <v>907</v>
      </c>
    </row>
    <row r="33" spans="8:8" x14ac:dyDescent="0.3">
      <c r="H33" t="s">
        <v>908</v>
      </c>
    </row>
    <row r="34" spans="8:8" x14ac:dyDescent="0.3">
      <c r="H34" t="s">
        <v>1255</v>
      </c>
    </row>
    <row r="35" spans="8:8" x14ac:dyDescent="0.3">
      <c r="H35" t="s">
        <v>909</v>
      </c>
    </row>
    <row r="36" spans="8:8" x14ac:dyDescent="0.3">
      <c r="H36" t="s">
        <v>910</v>
      </c>
    </row>
    <row r="37" spans="8:8" x14ac:dyDescent="0.3">
      <c r="H37" t="s">
        <v>911</v>
      </c>
    </row>
    <row r="38" spans="8:8" x14ac:dyDescent="0.3">
      <c r="H38" t="s">
        <v>912</v>
      </c>
    </row>
    <row r="39" spans="8:8" x14ac:dyDescent="0.3">
      <c r="H39" t="s">
        <v>913</v>
      </c>
    </row>
    <row r="40" spans="8:8" x14ac:dyDescent="0.3">
      <c r="H40" t="s">
        <v>914</v>
      </c>
    </row>
    <row r="41" spans="8:8" x14ac:dyDescent="0.3">
      <c r="H41" t="s">
        <v>915</v>
      </c>
    </row>
    <row r="42" spans="8:8" x14ac:dyDescent="0.3">
      <c r="H42" t="s">
        <v>916</v>
      </c>
    </row>
    <row r="43" spans="8:8" x14ac:dyDescent="0.3">
      <c r="H43" t="s">
        <v>917</v>
      </c>
    </row>
    <row r="44" spans="8:8" x14ac:dyDescent="0.3">
      <c r="H44" t="s">
        <v>918</v>
      </c>
    </row>
    <row r="45" spans="8:8" x14ac:dyDescent="0.3">
      <c r="H45" t="s">
        <v>919</v>
      </c>
    </row>
    <row r="46" spans="8:8" x14ac:dyDescent="0.3">
      <c r="H46" t="s">
        <v>920</v>
      </c>
    </row>
    <row r="47" spans="8:8" x14ac:dyDescent="0.3">
      <c r="H47" s="13" t="s">
        <v>495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17"/>
  <sheetViews>
    <sheetView tabSelected="1"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502</v>
      </c>
    </row>
    <row r="3" spans="2:8" x14ac:dyDescent="0.3">
      <c r="H3" t="s">
        <v>782</v>
      </c>
    </row>
    <row r="4" spans="2:8" x14ac:dyDescent="0.3">
      <c r="H4" t="s">
        <v>783</v>
      </c>
    </row>
    <row r="5" spans="2:8" x14ac:dyDescent="0.3">
      <c r="B5" s="1"/>
      <c r="H5" t="s">
        <v>784</v>
      </c>
    </row>
    <row r="7" spans="2:8" x14ac:dyDescent="0.3">
      <c r="H7" t="s">
        <v>532</v>
      </c>
    </row>
    <row r="8" spans="2:8" x14ac:dyDescent="0.3">
      <c r="B8" s="1"/>
      <c r="H8" t="s">
        <v>652</v>
      </c>
    </row>
    <row r="9" spans="2:8" x14ac:dyDescent="0.3">
      <c r="H9" t="s">
        <v>551</v>
      </c>
    </row>
    <row r="11" spans="2:8" x14ac:dyDescent="0.3">
      <c r="B11" s="1"/>
      <c r="H11" t="s">
        <v>1256</v>
      </c>
    </row>
    <row r="12" spans="2:8" x14ac:dyDescent="0.3">
      <c r="H12" t="s">
        <v>1257</v>
      </c>
    </row>
    <row r="13" spans="2:8" x14ac:dyDescent="0.3">
      <c r="H13" t="s">
        <v>1258</v>
      </c>
    </row>
    <row r="14" spans="2:8" x14ac:dyDescent="0.3">
      <c r="B14" s="1"/>
    </row>
    <row r="15" spans="2:8" x14ac:dyDescent="0.3">
      <c r="H15" t="s">
        <v>514</v>
      </c>
    </row>
    <row r="16" spans="2:8" x14ac:dyDescent="0.3">
      <c r="H16" t="s">
        <v>582</v>
      </c>
    </row>
    <row r="17" spans="2:8" x14ac:dyDescent="0.3">
      <c r="B17" s="1"/>
      <c r="H17" t="s">
        <v>583</v>
      </c>
    </row>
    <row r="18" spans="2:8" x14ac:dyDescent="0.3">
      <c r="H18" t="s">
        <v>584</v>
      </c>
    </row>
    <row r="19" spans="2:8" x14ac:dyDescent="0.3">
      <c r="H19" t="s">
        <v>585</v>
      </c>
    </row>
    <row r="20" spans="2:8" x14ac:dyDescent="0.3">
      <c r="B20" s="1"/>
      <c r="H20" t="s">
        <v>533</v>
      </c>
    </row>
    <row r="22" spans="2:8" x14ac:dyDescent="0.3">
      <c r="H22" t="s">
        <v>515</v>
      </c>
    </row>
    <row r="23" spans="2:8" x14ac:dyDescent="0.3">
      <c r="H23" t="s">
        <v>586</v>
      </c>
    </row>
    <row r="24" spans="2:8" x14ac:dyDescent="0.3">
      <c r="H24" t="s">
        <v>587</v>
      </c>
    </row>
    <row r="25" spans="2:8" x14ac:dyDescent="0.3">
      <c r="H25" t="s">
        <v>588</v>
      </c>
    </row>
    <row r="26" spans="2:8" x14ac:dyDescent="0.3">
      <c r="H26" t="s">
        <v>534</v>
      </c>
    </row>
    <row r="28" spans="2:8" x14ac:dyDescent="0.3">
      <c r="H28" t="s">
        <v>516</v>
      </c>
    </row>
    <row r="29" spans="2:8" x14ac:dyDescent="0.3">
      <c r="H29" t="s">
        <v>589</v>
      </c>
    </row>
    <row r="30" spans="2:8" x14ac:dyDescent="0.3">
      <c r="H30" t="s">
        <v>590</v>
      </c>
    </row>
    <row r="31" spans="2:8" x14ac:dyDescent="0.3">
      <c r="H31" t="s">
        <v>591</v>
      </c>
    </row>
    <row r="32" spans="2:8" x14ac:dyDescent="0.3">
      <c r="H32" t="s">
        <v>592</v>
      </c>
    </row>
    <row r="33" spans="8:8" x14ac:dyDescent="0.3">
      <c r="H33" t="s">
        <v>535</v>
      </c>
    </row>
    <row r="35" spans="8:8" x14ac:dyDescent="0.3">
      <c r="H35" t="s">
        <v>1259</v>
      </c>
    </row>
    <row r="36" spans="8:8" x14ac:dyDescent="0.3">
      <c r="H36" t="s">
        <v>593</v>
      </c>
    </row>
    <row r="37" spans="8:8" x14ac:dyDescent="0.3">
      <c r="H37" t="s">
        <v>928</v>
      </c>
    </row>
    <row r="38" spans="8:8" x14ac:dyDescent="0.3">
      <c r="H38" t="s">
        <v>1260</v>
      </c>
    </row>
    <row r="40" spans="8:8" x14ac:dyDescent="0.3">
      <c r="H40" t="s">
        <v>1261</v>
      </c>
    </row>
    <row r="41" spans="8:8" x14ac:dyDescent="0.3">
      <c r="H41" t="s">
        <v>594</v>
      </c>
    </row>
    <row r="42" spans="8:8" x14ac:dyDescent="0.3">
      <c r="H42" t="s">
        <v>595</v>
      </c>
    </row>
    <row r="43" spans="8:8" x14ac:dyDescent="0.3">
      <c r="H43" t="s">
        <v>1262</v>
      </c>
    </row>
    <row r="45" spans="8:8" x14ac:dyDescent="0.3">
      <c r="H45" t="s">
        <v>1263</v>
      </c>
    </row>
    <row r="46" spans="8:8" x14ac:dyDescent="0.3">
      <c r="H46" t="s">
        <v>1264</v>
      </c>
    </row>
    <row r="47" spans="8:8" x14ac:dyDescent="0.3">
      <c r="H47" t="s">
        <v>1265</v>
      </c>
    </row>
    <row r="49" spans="8:8" x14ac:dyDescent="0.3">
      <c r="H49" t="s">
        <v>517</v>
      </c>
    </row>
    <row r="50" spans="8:8" x14ac:dyDescent="0.3">
      <c r="H50" t="s">
        <v>596</v>
      </c>
    </row>
    <row r="51" spans="8:8" x14ac:dyDescent="0.3">
      <c r="H51" t="s">
        <v>597</v>
      </c>
    </row>
    <row r="52" spans="8:8" x14ac:dyDescent="0.3">
      <c r="H52" t="s">
        <v>598</v>
      </c>
    </row>
    <row r="53" spans="8:8" x14ac:dyDescent="0.3">
      <c r="H53" t="s">
        <v>1266</v>
      </c>
    </row>
    <row r="54" spans="8:8" x14ac:dyDescent="0.3">
      <c r="H54" t="s">
        <v>1267</v>
      </c>
    </row>
    <row r="55" spans="8:8" x14ac:dyDescent="0.3">
      <c r="H55" t="s">
        <v>1268</v>
      </c>
    </row>
    <row r="56" spans="8:8" x14ac:dyDescent="0.3">
      <c r="H56" t="s">
        <v>536</v>
      </c>
    </row>
    <row r="58" spans="8:8" x14ac:dyDescent="0.3">
      <c r="H58" t="s">
        <v>518</v>
      </c>
    </row>
    <row r="59" spans="8:8" x14ac:dyDescent="0.3">
      <c r="H59" t="s">
        <v>599</v>
      </c>
    </row>
    <row r="60" spans="8:8" x14ac:dyDescent="0.3">
      <c r="H60" t="s">
        <v>600</v>
      </c>
    </row>
    <row r="61" spans="8:8" x14ac:dyDescent="0.3">
      <c r="H61" t="s">
        <v>601</v>
      </c>
    </row>
    <row r="62" spans="8:8" x14ac:dyDescent="0.3">
      <c r="H62" t="s">
        <v>602</v>
      </c>
    </row>
    <row r="63" spans="8:8" x14ac:dyDescent="0.3">
      <c r="H63" t="s">
        <v>603</v>
      </c>
    </row>
    <row r="64" spans="8:8" x14ac:dyDescent="0.3">
      <c r="H64" t="s">
        <v>604</v>
      </c>
    </row>
    <row r="65" spans="8:8" x14ac:dyDescent="0.3">
      <c r="H65" t="s">
        <v>537</v>
      </c>
    </row>
    <row r="67" spans="8:8" x14ac:dyDescent="0.3">
      <c r="H67" t="s">
        <v>519</v>
      </c>
    </row>
    <row r="68" spans="8:8" x14ac:dyDescent="0.3">
      <c r="H68" t="s">
        <v>605</v>
      </c>
    </row>
    <row r="69" spans="8:8" x14ac:dyDescent="0.3">
      <c r="H69" t="s">
        <v>606</v>
      </c>
    </row>
    <row r="70" spans="8:8" x14ac:dyDescent="0.3">
      <c r="H70" t="s">
        <v>538</v>
      </c>
    </row>
    <row r="72" spans="8:8" x14ac:dyDescent="0.3">
      <c r="H72" t="s">
        <v>520</v>
      </c>
    </row>
    <row r="73" spans="8:8" x14ac:dyDescent="0.3">
      <c r="H73" t="s">
        <v>607</v>
      </c>
    </row>
    <row r="74" spans="8:8" x14ac:dyDescent="0.3">
      <c r="H74" t="s">
        <v>608</v>
      </c>
    </row>
    <row r="75" spans="8:8" x14ac:dyDescent="0.3">
      <c r="H75" t="s">
        <v>609</v>
      </c>
    </row>
    <row r="76" spans="8:8" x14ac:dyDescent="0.3">
      <c r="H76" t="s">
        <v>610</v>
      </c>
    </row>
    <row r="77" spans="8:8" x14ac:dyDescent="0.3">
      <c r="H77" t="s">
        <v>539</v>
      </c>
    </row>
    <row r="79" spans="8:8" x14ac:dyDescent="0.3">
      <c r="H79" t="s">
        <v>521</v>
      </c>
    </row>
    <row r="80" spans="8:8" x14ac:dyDescent="0.3">
      <c r="H80" t="s">
        <v>611</v>
      </c>
    </row>
    <row r="81" spans="8:8" x14ac:dyDescent="0.3">
      <c r="H81" t="s">
        <v>612</v>
      </c>
    </row>
    <row r="82" spans="8:8" x14ac:dyDescent="0.3">
      <c r="H82" t="s">
        <v>613</v>
      </c>
    </row>
    <row r="83" spans="8:8" x14ac:dyDescent="0.3">
      <c r="H83" t="s">
        <v>614</v>
      </c>
    </row>
    <row r="84" spans="8:8" x14ac:dyDescent="0.3">
      <c r="H84" t="s">
        <v>540</v>
      </c>
    </row>
    <row r="86" spans="8:8" x14ac:dyDescent="0.3">
      <c r="H86" t="s">
        <v>1269</v>
      </c>
    </row>
    <row r="87" spans="8:8" x14ac:dyDescent="0.3">
      <c r="H87" t="s">
        <v>1270</v>
      </c>
    </row>
    <row r="88" spans="8:8" x14ac:dyDescent="0.3">
      <c r="H88" t="s">
        <v>1271</v>
      </c>
    </row>
    <row r="90" spans="8:8" x14ac:dyDescent="0.3">
      <c r="H90" t="s">
        <v>1272</v>
      </c>
    </row>
    <row r="91" spans="8:8" x14ac:dyDescent="0.3">
      <c r="H91" t="s">
        <v>1273</v>
      </c>
    </row>
    <row r="92" spans="8:8" x14ac:dyDescent="0.3">
      <c r="H92" t="s">
        <v>1274</v>
      </c>
    </row>
    <row r="94" spans="8:8" x14ac:dyDescent="0.3">
      <c r="H94" t="s">
        <v>522</v>
      </c>
    </row>
    <row r="95" spans="8:8" x14ac:dyDescent="0.3">
      <c r="H95" t="s">
        <v>615</v>
      </c>
    </row>
    <row r="96" spans="8:8" x14ac:dyDescent="0.3">
      <c r="H96" t="s">
        <v>616</v>
      </c>
    </row>
    <row r="97" spans="8:8" x14ac:dyDescent="0.3">
      <c r="H97" t="s">
        <v>541</v>
      </c>
    </row>
    <row r="99" spans="8:8" x14ac:dyDescent="0.3">
      <c r="H99" t="s">
        <v>523</v>
      </c>
    </row>
    <row r="100" spans="8:8" x14ac:dyDescent="0.3">
      <c r="H100" t="s">
        <v>617</v>
      </c>
    </row>
    <row r="101" spans="8:8" x14ac:dyDescent="0.3">
      <c r="H101" t="s">
        <v>618</v>
      </c>
    </row>
    <row r="102" spans="8:8" x14ac:dyDescent="0.3">
      <c r="H102" t="s">
        <v>619</v>
      </c>
    </row>
    <row r="103" spans="8:8" x14ac:dyDescent="0.3">
      <c r="H103" t="s">
        <v>620</v>
      </c>
    </row>
    <row r="104" spans="8:8" x14ac:dyDescent="0.3">
      <c r="H104" t="s">
        <v>621</v>
      </c>
    </row>
    <row r="105" spans="8:8" x14ac:dyDescent="0.3">
      <c r="H105" t="s">
        <v>622</v>
      </c>
    </row>
    <row r="106" spans="8:8" x14ac:dyDescent="0.3">
      <c r="H106" t="s">
        <v>623</v>
      </c>
    </row>
    <row r="107" spans="8:8" x14ac:dyDescent="0.3">
      <c r="H107" t="s">
        <v>542</v>
      </c>
    </row>
    <row r="109" spans="8:8" x14ac:dyDescent="0.3">
      <c r="H109" t="s">
        <v>524</v>
      </c>
    </row>
    <row r="110" spans="8:8" x14ac:dyDescent="0.3">
      <c r="H110" t="s">
        <v>624</v>
      </c>
    </row>
    <row r="111" spans="8:8" x14ac:dyDescent="0.3">
      <c r="H111" t="s">
        <v>625</v>
      </c>
    </row>
    <row r="112" spans="8:8" x14ac:dyDescent="0.3">
      <c r="H112" t="s">
        <v>626</v>
      </c>
    </row>
    <row r="113" spans="8:8" x14ac:dyDescent="0.3">
      <c r="H113" t="s">
        <v>627</v>
      </c>
    </row>
    <row r="114" spans="8:8" x14ac:dyDescent="0.3">
      <c r="H114" t="s">
        <v>628</v>
      </c>
    </row>
    <row r="115" spans="8:8" x14ac:dyDescent="0.3">
      <c r="H115" t="s">
        <v>629</v>
      </c>
    </row>
    <row r="116" spans="8:8" x14ac:dyDescent="0.3">
      <c r="H116" t="s">
        <v>630</v>
      </c>
    </row>
    <row r="117" spans="8:8" x14ac:dyDescent="0.3">
      <c r="H117" t="s">
        <v>543</v>
      </c>
    </row>
    <row r="119" spans="8:8" x14ac:dyDescent="0.3">
      <c r="H119" t="s">
        <v>525</v>
      </c>
    </row>
    <row r="120" spans="8:8" x14ac:dyDescent="0.3">
      <c r="H120" t="s">
        <v>631</v>
      </c>
    </row>
    <row r="121" spans="8:8" x14ac:dyDescent="0.3">
      <c r="H121" t="s">
        <v>632</v>
      </c>
    </row>
    <row r="122" spans="8:8" x14ac:dyDescent="0.3">
      <c r="H122" t="s">
        <v>544</v>
      </c>
    </row>
    <row r="124" spans="8:8" x14ac:dyDescent="0.3">
      <c r="H124" t="s">
        <v>1275</v>
      </c>
    </row>
    <row r="125" spans="8:8" x14ac:dyDescent="0.3">
      <c r="H125" t="s">
        <v>1276</v>
      </c>
    </row>
    <row r="126" spans="8:8" x14ac:dyDescent="0.3">
      <c r="H126" t="s">
        <v>1277</v>
      </c>
    </row>
    <row r="127" spans="8:8" x14ac:dyDescent="0.3">
      <c r="H127" t="s">
        <v>1278</v>
      </c>
    </row>
    <row r="129" spans="8:8" x14ac:dyDescent="0.3">
      <c r="H129" t="s">
        <v>526</v>
      </c>
    </row>
    <row r="130" spans="8:8" x14ac:dyDescent="0.3">
      <c r="H130" t="s">
        <v>633</v>
      </c>
    </row>
    <row r="131" spans="8:8" x14ac:dyDescent="0.3">
      <c r="H131" t="s">
        <v>545</v>
      </c>
    </row>
    <row r="133" spans="8:8" x14ac:dyDescent="0.3">
      <c r="H133" t="s">
        <v>527</v>
      </c>
    </row>
    <row r="134" spans="8:8" x14ac:dyDescent="0.3">
      <c r="H134" t="s">
        <v>634</v>
      </c>
    </row>
    <row r="135" spans="8:8" x14ac:dyDescent="0.3">
      <c r="H135" t="s">
        <v>546</v>
      </c>
    </row>
    <row r="137" spans="8:8" x14ac:dyDescent="0.3">
      <c r="H137" t="s">
        <v>528</v>
      </c>
    </row>
    <row r="138" spans="8:8" x14ac:dyDescent="0.3">
      <c r="H138" t="s">
        <v>635</v>
      </c>
    </row>
    <row r="139" spans="8:8" x14ac:dyDescent="0.3">
      <c r="H139" t="s">
        <v>547</v>
      </c>
    </row>
    <row r="141" spans="8:8" x14ac:dyDescent="0.3">
      <c r="H141" t="s">
        <v>1279</v>
      </c>
    </row>
    <row r="142" spans="8:8" x14ac:dyDescent="0.3">
      <c r="H142" t="s">
        <v>1280</v>
      </c>
    </row>
    <row r="143" spans="8:8" x14ac:dyDescent="0.3">
      <c r="H143" t="s">
        <v>1281</v>
      </c>
    </row>
    <row r="145" spans="8:8" x14ac:dyDescent="0.3">
      <c r="H145" t="s">
        <v>1282</v>
      </c>
    </row>
    <row r="146" spans="8:8" x14ac:dyDescent="0.3">
      <c r="H146" t="s">
        <v>1283</v>
      </c>
    </row>
    <row r="147" spans="8:8" x14ac:dyDescent="0.3">
      <c r="H147" t="s">
        <v>1284</v>
      </c>
    </row>
    <row r="149" spans="8:8" x14ac:dyDescent="0.3">
      <c r="H149" t="s">
        <v>529</v>
      </c>
    </row>
    <row r="150" spans="8:8" x14ac:dyDescent="0.3">
      <c r="H150" t="s">
        <v>636</v>
      </c>
    </row>
    <row r="151" spans="8:8" x14ac:dyDescent="0.3">
      <c r="H151" t="s">
        <v>637</v>
      </c>
    </row>
    <row r="152" spans="8:8" x14ac:dyDescent="0.3">
      <c r="H152" t="s">
        <v>638</v>
      </c>
    </row>
    <row r="153" spans="8:8" x14ac:dyDescent="0.3">
      <c r="H153" t="s">
        <v>639</v>
      </c>
    </row>
    <row r="154" spans="8:8" x14ac:dyDescent="0.3">
      <c r="H154" t="s">
        <v>640</v>
      </c>
    </row>
    <row r="155" spans="8:8" x14ac:dyDescent="0.3">
      <c r="H155" t="s">
        <v>641</v>
      </c>
    </row>
    <row r="156" spans="8:8" x14ac:dyDescent="0.3">
      <c r="H156" t="s">
        <v>642</v>
      </c>
    </row>
    <row r="157" spans="8:8" x14ac:dyDescent="0.3">
      <c r="H157" t="s">
        <v>643</v>
      </c>
    </row>
    <row r="158" spans="8:8" x14ac:dyDescent="0.3">
      <c r="H158" t="s">
        <v>644</v>
      </c>
    </row>
    <row r="159" spans="8:8" x14ac:dyDescent="0.3">
      <c r="H159" t="s">
        <v>548</v>
      </c>
    </row>
    <row r="161" spans="8:8" x14ac:dyDescent="0.3">
      <c r="H161" t="s">
        <v>530</v>
      </c>
    </row>
    <row r="162" spans="8:8" x14ac:dyDescent="0.3">
      <c r="H162" t="s">
        <v>645</v>
      </c>
    </row>
    <row r="163" spans="8:8" x14ac:dyDescent="0.3">
      <c r="H163" t="s">
        <v>646</v>
      </c>
    </row>
    <row r="164" spans="8:8" x14ac:dyDescent="0.3">
      <c r="H164" t="s">
        <v>647</v>
      </c>
    </row>
    <row r="165" spans="8:8" x14ac:dyDescent="0.3">
      <c r="H165" t="s">
        <v>648</v>
      </c>
    </row>
    <row r="166" spans="8:8" x14ac:dyDescent="0.3">
      <c r="H166" t="s">
        <v>549</v>
      </c>
    </row>
    <row r="168" spans="8:8" x14ac:dyDescent="0.3">
      <c r="H168" t="s">
        <v>531</v>
      </c>
    </row>
    <row r="169" spans="8:8" x14ac:dyDescent="0.3">
      <c r="H169" t="s">
        <v>649</v>
      </c>
    </row>
    <row r="170" spans="8:8" x14ac:dyDescent="0.3">
      <c r="H170" t="s">
        <v>650</v>
      </c>
    </row>
    <row r="171" spans="8:8" x14ac:dyDescent="0.3">
      <c r="H171" t="s">
        <v>651</v>
      </c>
    </row>
    <row r="172" spans="8:8" x14ac:dyDescent="0.3">
      <c r="H172" t="s">
        <v>550</v>
      </c>
    </row>
    <row r="174" spans="8:8" x14ac:dyDescent="0.3">
      <c r="H174" t="s">
        <v>578</v>
      </c>
    </row>
    <row r="175" spans="8:8" x14ac:dyDescent="0.3">
      <c r="H175" t="s">
        <v>785</v>
      </c>
    </row>
    <row r="176" spans="8:8" x14ac:dyDescent="0.3">
      <c r="H176" t="s">
        <v>579</v>
      </c>
    </row>
    <row r="177" spans="8:8" x14ac:dyDescent="0.3">
      <c r="H177" t="s">
        <v>580</v>
      </c>
    </row>
    <row r="179" spans="8:8" x14ac:dyDescent="0.3">
      <c r="H179" t="s">
        <v>552</v>
      </c>
    </row>
    <row r="180" spans="8:8" x14ac:dyDescent="0.3">
      <c r="H180" t="s">
        <v>1285</v>
      </c>
    </row>
    <row r="181" spans="8:8" x14ac:dyDescent="0.3">
      <c r="H181" t="s">
        <v>553</v>
      </c>
    </row>
    <row r="182" spans="8:8" x14ac:dyDescent="0.3">
      <c r="H182" t="s">
        <v>554</v>
      </c>
    </row>
    <row r="183" spans="8:8" x14ac:dyDescent="0.3">
      <c r="H183" t="s">
        <v>555</v>
      </c>
    </row>
    <row r="184" spans="8:8" x14ac:dyDescent="0.3">
      <c r="H184" t="s">
        <v>1286</v>
      </c>
    </row>
    <row r="185" spans="8:8" x14ac:dyDescent="0.3">
      <c r="H185" t="s">
        <v>1287</v>
      </c>
    </row>
    <row r="186" spans="8:8" x14ac:dyDescent="0.3">
      <c r="H186" t="s">
        <v>556</v>
      </c>
    </row>
    <row r="188" spans="8:8" x14ac:dyDescent="0.3">
      <c r="H188" t="s">
        <v>557</v>
      </c>
    </row>
    <row r="189" spans="8:8" x14ac:dyDescent="0.3">
      <c r="H189" t="s">
        <v>1288</v>
      </c>
    </row>
    <row r="190" spans="8:8" x14ac:dyDescent="0.3">
      <c r="H190" t="s">
        <v>558</v>
      </c>
    </row>
    <row r="191" spans="8:8" x14ac:dyDescent="0.3">
      <c r="H191" t="s">
        <v>559</v>
      </c>
    </row>
    <row r="192" spans="8:8" x14ac:dyDescent="0.3">
      <c r="H192" t="s">
        <v>560</v>
      </c>
    </row>
    <row r="193" spans="8:8" x14ac:dyDescent="0.3">
      <c r="H193" t="s">
        <v>561</v>
      </c>
    </row>
    <row r="194" spans="8:8" x14ac:dyDescent="0.3">
      <c r="H194" t="s">
        <v>562</v>
      </c>
    </row>
    <row r="195" spans="8:8" x14ac:dyDescent="0.3">
      <c r="H195" t="s">
        <v>1289</v>
      </c>
    </row>
    <row r="196" spans="8:8" x14ac:dyDescent="0.3">
      <c r="H196" t="s">
        <v>563</v>
      </c>
    </row>
    <row r="198" spans="8:8" x14ac:dyDescent="0.3">
      <c r="H198" t="s">
        <v>564</v>
      </c>
    </row>
    <row r="199" spans="8:8" x14ac:dyDescent="0.3">
      <c r="H199" t="s">
        <v>1290</v>
      </c>
    </row>
    <row r="200" spans="8:8" x14ac:dyDescent="0.3">
      <c r="H200" t="s">
        <v>565</v>
      </c>
    </row>
    <row r="201" spans="8:8" x14ac:dyDescent="0.3">
      <c r="H201" t="s">
        <v>566</v>
      </c>
    </row>
    <row r="202" spans="8:8" x14ac:dyDescent="0.3">
      <c r="H202" t="s">
        <v>567</v>
      </c>
    </row>
    <row r="203" spans="8:8" x14ac:dyDescent="0.3">
      <c r="H203" t="s">
        <v>568</v>
      </c>
    </row>
    <row r="204" spans="8:8" x14ac:dyDescent="0.3">
      <c r="H204" t="s">
        <v>1291</v>
      </c>
    </row>
    <row r="205" spans="8:8" x14ac:dyDescent="0.3">
      <c r="H205" t="s">
        <v>569</v>
      </c>
    </row>
    <row r="206" spans="8:8" x14ac:dyDescent="0.3">
      <c r="H206" t="s">
        <v>570</v>
      </c>
    </row>
    <row r="207" spans="8:8" x14ac:dyDescent="0.3">
      <c r="H207" t="s">
        <v>571</v>
      </c>
    </row>
    <row r="208" spans="8:8" x14ac:dyDescent="0.3">
      <c r="H208" t="s">
        <v>1292</v>
      </c>
    </row>
    <row r="209" spans="8:8" x14ac:dyDescent="0.3">
      <c r="H209" t="s">
        <v>572</v>
      </c>
    </row>
    <row r="211" spans="8:8" x14ac:dyDescent="0.3">
      <c r="H211" t="s">
        <v>573</v>
      </c>
    </row>
    <row r="212" spans="8:8" x14ac:dyDescent="0.3">
      <c r="H212" t="s">
        <v>1293</v>
      </c>
    </row>
    <row r="213" spans="8:8" x14ac:dyDescent="0.3">
      <c r="H213" t="s">
        <v>574</v>
      </c>
    </row>
    <row r="214" spans="8:8" x14ac:dyDescent="0.3">
      <c r="H214" t="s">
        <v>575</v>
      </c>
    </row>
    <row r="215" spans="8:8" x14ac:dyDescent="0.3">
      <c r="H215" t="s">
        <v>576</v>
      </c>
    </row>
    <row r="216" spans="8:8" x14ac:dyDescent="0.3">
      <c r="H216" t="s">
        <v>577</v>
      </c>
    </row>
    <row r="217" spans="8:8" x14ac:dyDescent="0.3">
      <c r="H217" s="13" t="s">
        <v>581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2019-09-06T14:10:56Z</dcterms:modified>
</cp:coreProperties>
</file>