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\FPGA_Developments\RMAP_Memory_NFEE_Area\References\"/>
    </mc:Choice>
  </mc:AlternateContent>
  <xr:revisionPtr revIDLastSave="0" documentId="13_ncr:1_{6A573DD2-F3C1-4010-B0E4-7EE56CDF83ED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ad Case" sheetId="2" r:id="rId3"/>
    <sheet name="Write Case" sheetId="4" r:id="rId4"/>
    <sheet name="Temp" sheetId="6" state="hidden" r:id="rId5"/>
  </sheets>
  <definedNames>
    <definedName name="_xlnm._FilterDatabase" localSheetId="0">Main!$B$3:$BT$173</definedName>
    <definedName name="tableMainColumns">Tables!$I$4:$J$25</definedName>
    <definedName name="tableMainColumnsColumn">Tables!$J$4:$J$25</definedName>
    <definedName name="tableMainColumnsName">Tables!$I$4:$I$25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M27" i="1" l="1"/>
  <c r="AV170" i="1"/>
  <c r="AU170" i="1"/>
  <c r="AT170" i="1"/>
  <c r="AS170" i="1"/>
  <c r="AR170" i="1"/>
  <c r="AQ170" i="1"/>
  <c r="AP170" i="1"/>
  <c r="AO170" i="1"/>
  <c r="AZ170" i="1" s="1"/>
  <c r="AN170" i="1"/>
  <c r="AM170" i="1"/>
  <c r="AL170" i="1"/>
  <c r="AK170" i="1"/>
  <c r="AJ170" i="1"/>
  <c r="AI170" i="1"/>
  <c r="AH170" i="1"/>
  <c r="AG170" i="1"/>
  <c r="AY170" i="1" s="1"/>
  <c r="AF170" i="1"/>
  <c r="AE170" i="1"/>
  <c r="AD170" i="1"/>
  <c r="AC170" i="1"/>
  <c r="AB170" i="1"/>
  <c r="AA170" i="1"/>
  <c r="Z170" i="1"/>
  <c r="Y170" i="1"/>
  <c r="AX170" i="1" s="1"/>
  <c r="X170" i="1"/>
  <c r="W170" i="1"/>
  <c r="V170" i="1"/>
  <c r="U170" i="1"/>
  <c r="T170" i="1"/>
  <c r="S170" i="1"/>
  <c r="R170" i="1"/>
  <c r="Q170" i="1"/>
  <c r="AW170" i="1" s="1"/>
  <c r="AV169" i="1"/>
  <c r="AU169" i="1"/>
  <c r="AT169" i="1"/>
  <c r="AS169" i="1"/>
  <c r="AR169" i="1"/>
  <c r="AQ169" i="1"/>
  <c r="AP169" i="1"/>
  <c r="AO169" i="1"/>
  <c r="AZ169" i="1" s="1"/>
  <c r="AN169" i="1"/>
  <c r="AM169" i="1"/>
  <c r="AL169" i="1"/>
  <c r="AK169" i="1"/>
  <c r="AJ169" i="1"/>
  <c r="AI169" i="1"/>
  <c r="AH169" i="1"/>
  <c r="AG169" i="1"/>
  <c r="AY169" i="1" s="1"/>
  <c r="AF169" i="1"/>
  <c r="AE169" i="1"/>
  <c r="AD169" i="1"/>
  <c r="AC169" i="1"/>
  <c r="AB169" i="1"/>
  <c r="AA169" i="1"/>
  <c r="Z169" i="1"/>
  <c r="Y169" i="1"/>
  <c r="AX169" i="1" s="1"/>
  <c r="X169" i="1"/>
  <c r="W169" i="1"/>
  <c r="V169" i="1"/>
  <c r="U169" i="1"/>
  <c r="T169" i="1"/>
  <c r="S169" i="1"/>
  <c r="R169" i="1"/>
  <c r="Q169" i="1"/>
  <c r="AW169" i="1" s="1"/>
  <c r="AV168" i="1"/>
  <c r="AU168" i="1"/>
  <c r="AT168" i="1"/>
  <c r="AS168" i="1"/>
  <c r="AR168" i="1"/>
  <c r="AQ168" i="1"/>
  <c r="AP168" i="1"/>
  <c r="AO168" i="1"/>
  <c r="AZ168" i="1" s="1"/>
  <c r="AN168" i="1"/>
  <c r="AM168" i="1"/>
  <c r="AL168" i="1"/>
  <c r="AK168" i="1"/>
  <c r="AJ168" i="1"/>
  <c r="AI168" i="1"/>
  <c r="AH168" i="1"/>
  <c r="AG168" i="1"/>
  <c r="AY168" i="1" s="1"/>
  <c r="AF168" i="1"/>
  <c r="AE168" i="1"/>
  <c r="AD168" i="1"/>
  <c r="AC168" i="1"/>
  <c r="AB168" i="1"/>
  <c r="AA168" i="1"/>
  <c r="Z168" i="1"/>
  <c r="Y168" i="1"/>
  <c r="AX168" i="1" s="1"/>
  <c r="X168" i="1"/>
  <c r="W168" i="1"/>
  <c r="V168" i="1"/>
  <c r="U168" i="1"/>
  <c r="T168" i="1"/>
  <c r="S168" i="1"/>
  <c r="R168" i="1"/>
  <c r="Q168" i="1"/>
  <c r="AW168" i="1" s="1"/>
  <c r="AV167" i="1"/>
  <c r="AU167" i="1"/>
  <c r="AT167" i="1"/>
  <c r="AS167" i="1"/>
  <c r="AR167" i="1"/>
  <c r="AQ167" i="1"/>
  <c r="AP167" i="1"/>
  <c r="AO167" i="1"/>
  <c r="AZ167" i="1" s="1"/>
  <c r="AN167" i="1"/>
  <c r="AM167" i="1"/>
  <c r="AL167" i="1"/>
  <c r="AK167" i="1"/>
  <c r="AJ167" i="1"/>
  <c r="AI167" i="1"/>
  <c r="AH167" i="1"/>
  <c r="AG167" i="1"/>
  <c r="AY167" i="1" s="1"/>
  <c r="AF167" i="1"/>
  <c r="AE167" i="1"/>
  <c r="AD167" i="1"/>
  <c r="AC167" i="1"/>
  <c r="AB167" i="1"/>
  <c r="AA167" i="1"/>
  <c r="Z167" i="1"/>
  <c r="Y167" i="1"/>
  <c r="AX167" i="1" s="1"/>
  <c r="X167" i="1"/>
  <c r="W167" i="1"/>
  <c r="V167" i="1"/>
  <c r="U167" i="1"/>
  <c r="T167" i="1"/>
  <c r="S167" i="1"/>
  <c r="R167" i="1"/>
  <c r="Q167" i="1"/>
  <c r="AW167" i="1" s="1"/>
  <c r="AV166" i="1"/>
  <c r="AU166" i="1"/>
  <c r="AT166" i="1"/>
  <c r="AS166" i="1"/>
  <c r="AR166" i="1"/>
  <c r="AQ166" i="1"/>
  <c r="AP166" i="1"/>
  <c r="AO166" i="1"/>
  <c r="AZ166" i="1" s="1"/>
  <c r="AN166" i="1"/>
  <c r="AM166" i="1"/>
  <c r="AL166" i="1"/>
  <c r="AK166" i="1"/>
  <c r="AJ166" i="1"/>
  <c r="AI166" i="1"/>
  <c r="AH166" i="1"/>
  <c r="AG166" i="1"/>
  <c r="AY166" i="1" s="1"/>
  <c r="AF166" i="1"/>
  <c r="AE166" i="1"/>
  <c r="AD166" i="1"/>
  <c r="AC166" i="1"/>
  <c r="AB166" i="1"/>
  <c r="AA166" i="1"/>
  <c r="Z166" i="1"/>
  <c r="Y166" i="1"/>
  <c r="AX166" i="1" s="1"/>
  <c r="X166" i="1"/>
  <c r="W166" i="1"/>
  <c r="V166" i="1"/>
  <c r="U166" i="1"/>
  <c r="T166" i="1"/>
  <c r="S166" i="1"/>
  <c r="R166" i="1"/>
  <c r="Q166" i="1"/>
  <c r="AW166" i="1" s="1"/>
  <c r="AV165" i="1"/>
  <c r="AU165" i="1"/>
  <c r="AT165" i="1"/>
  <c r="AS165" i="1"/>
  <c r="AR165" i="1"/>
  <c r="AQ165" i="1"/>
  <c r="AP165" i="1"/>
  <c r="AO165" i="1"/>
  <c r="AZ165" i="1" s="1"/>
  <c r="AN165" i="1"/>
  <c r="AM165" i="1"/>
  <c r="AL165" i="1"/>
  <c r="AK165" i="1"/>
  <c r="AJ165" i="1"/>
  <c r="AI165" i="1"/>
  <c r="AH165" i="1"/>
  <c r="AG165" i="1"/>
  <c r="AY165" i="1" s="1"/>
  <c r="AF165" i="1"/>
  <c r="AE165" i="1"/>
  <c r="AD165" i="1"/>
  <c r="AC165" i="1"/>
  <c r="AB165" i="1"/>
  <c r="AA165" i="1"/>
  <c r="Z165" i="1"/>
  <c r="Y165" i="1"/>
  <c r="AX165" i="1" s="1"/>
  <c r="X165" i="1"/>
  <c r="W165" i="1"/>
  <c r="V165" i="1"/>
  <c r="U165" i="1"/>
  <c r="T165" i="1"/>
  <c r="S165" i="1"/>
  <c r="R165" i="1"/>
  <c r="Q165" i="1"/>
  <c r="AW165" i="1" s="1"/>
  <c r="AV164" i="1"/>
  <c r="AU164" i="1"/>
  <c r="AT164" i="1"/>
  <c r="AS164" i="1"/>
  <c r="AR164" i="1"/>
  <c r="AQ164" i="1"/>
  <c r="AP164" i="1"/>
  <c r="AO164" i="1"/>
  <c r="AZ164" i="1" s="1"/>
  <c r="AN164" i="1"/>
  <c r="AM164" i="1"/>
  <c r="AL164" i="1"/>
  <c r="AK164" i="1"/>
  <c r="AJ164" i="1"/>
  <c r="AI164" i="1"/>
  <c r="AH164" i="1"/>
  <c r="AG164" i="1"/>
  <c r="AY164" i="1" s="1"/>
  <c r="AF164" i="1"/>
  <c r="AE164" i="1"/>
  <c r="AD164" i="1"/>
  <c r="AC164" i="1"/>
  <c r="AB164" i="1"/>
  <c r="AA164" i="1"/>
  <c r="Z164" i="1"/>
  <c r="Y164" i="1"/>
  <c r="AX164" i="1" s="1"/>
  <c r="X164" i="1"/>
  <c r="W164" i="1"/>
  <c r="V164" i="1"/>
  <c r="U164" i="1"/>
  <c r="T164" i="1"/>
  <c r="S164" i="1"/>
  <c r="R164" i="1"/>
  <c r="Q164" i="1"/>
  <c r="AW164" i="1" s="1"/>
  <c r="AV163" i="1"/>
  <c r="AU163" i="1"/>
  <c r="AT163" i="1"/>
  <c r="AS163" i="1"/>
  <c r="AR163" i="1"/>
  <c r="AQ163" i="1"/>
  <c r="AP163" i="1"/>
  <c r="AO163" i="1"/>
  <c r="AZ163" i="1" s="1"/>
  <c r="AN163" i="1"/>
  <c r="AM163" i="1"/>
  <c r="AL163" i="1"/>
  <c r="AK163" i="1"/>
  <c r="AJ163" i="1"/>
  <c r="AI163" i="1"/>
  <c r="AH163" i="1"/>
  <c r="AG163" i="1"/>
  <c r="AY163" i="1" s="1"/>
  <c r="AF163" i="1"/>
  <c r="AE163" i="1"/>
  <c r="AD163" i="1"/>
  <c r="AC163" i="1"/>
  <c r="AB163" i="1"/>
  <c r="AA163" i="1"/>
  <c r="Z163" i="1"/>
  <c r="Y163" i="1"/>
  <c r="AX163" i="1" s="1"/>
  <c r="X163" i="1"/>
  <c r="W163" i="1"/>
  <c r="V163" i="1"/>
  <c r="U163" i="1"/>
  <c r="T163" i="1"/>
  <c r="S163" i="1"/>
  <c r="R163" i="1"/>
  <c r="Q163" i="1"/>
  <c r="AW163" i="1" s="1"/>
  <c r="AV162" i="1"/>
  <c r="AU162" i="1"/>
  <c r="AT162" i="1"/>
  <c r="AS162" i="1"/>
  <c r="AR162" i="1"/>
  <c r="AQ162" i="1"/>
  <c r="AP162" i="1"/>
  <c r="AO162" i="1"/>
  <c r="AZ162" i="1" s="1"/>
  <c r="AN162" i="1"/>
  <c r="AM162" i="1"/>
  <c r="AL162" i="1"/>
  <c r="AK162" i="1"/>
  <c r="AJ162" i="1"/>
  <c r="AI162" i="1"/>
  <c r="AH162" i="1"/>
  <c r="AG162" i="1"/>
  <c r="AY162" i="1" s="1"/>
  <c r="AF162" i="1"/>
  <c r="AE162" i="1"/>
  <c r="AD162" i="1"/>
  <c r="AC162" i="1"/>
  <c r="AB162" i="1"/>
  <c r="AA162" i="1"/>
  <c r="Z162" i="1"/>
  <c r="Y162" i="1"/>
  <c r="AX162" i="1" s="1"/>
  <c r="X162" i="1"/>
  <c r="W162" i="1"/>
  <c r="V162" i="1"/>
  <c r="U162" i="1"/>
  <c r="T162" i="1"/>
  <c r="S162" i="1"/>
  <c r="R162" i="1"/>
  <c r="Q162" i="1"/>
  <c r="AW162" i="1" s="1"/>
  <c r="AV161" i="1"/>
  <c r="AU161" i="1"/>
  <c r="AT161" i="1"/>
  <c r="AS161" i="1"/>
  <c r="AR161" i="1"/>
  <c r="AQ161" i="1"/>
  <c r="AP161" i="1"/>
  <c r="AO161" i="1"/>
  <c r="AZ161" i="1" s="1"/>
  <c r="AN161" i="1"/>
  <c r="AM161" i="1"/>
  <c r="AL161" i="1"/>
  <c r="AK161" i="1"/>
  <c r="AJ161" i="1"/>
  <c r="AI161" i="1"/>
  <c r="AH161" i="1"/>
  <c r="AG161" i="1"/>
  <c r="AY161" i="1" s="1"/>
  <c r="AF161" i="1"/>
  <c r="AE161" i="1"/>
  <c r="AD161" i="1"/>
  <c r="AC161" i="1"/>
  <c r="AB161" i="1"/>
  <c r="AA161" i="1"/>
  <c r="Z161" i="1"/>
  <c r="Y161" i="1"/>
  <c r="AX161" i="1" s="1"/>
  <c r="X161" i="1"/>
  <c r="W161" i="1"/>
  <c r="V161" i="1"/>
  <c r="U161" i="1"/>
  <c r="T161" i="1"/>
  <c r="S161" i="1"/>
  <c r="R161" i="1"/>
  <c r="Q161" i="1"/>
  <c r="AW161" i="1" s="1"/>
  <c r="AV160" i="1"/>
  <c r="AU160" i="1"/>
  <c r="AT160" i="1"/>
  <c r="AS160" i="1"/>
  <c r="AR160" i="1"/>
  <c r="AQ160" i="1"/>
  <c r="AP160" i="1"/>
  <c r="AO160" i="1"/>
  <c r="AZ160" i="1" s="1"/>
  <c r="AN160" i="1"/>
  <c r="AM160" i="1"/>
  <c r="AL160" i="1"/>
  <c r="AK160" i="1"/>
  <c r="AJ160" i="1"/>
  <c r="AI160" i="1"/>
  <c r="AH160" i="1"/>
  <c r="AG160" i="1"/>
  <c r="AY160" i="1" s="1"/>
  <c r="AF160" i="1"/>
  <c r="AE160" i="1"/>
  <c r="AD160" i="1"/>
  <c r="AC160" i="1"/>
  <c r="AB160" i="1"/>
  <c r="AA160" i="1"/>
  <c r="Z160" i="1"/>
  <c r="Y160" i="1"/>
  <c r="AX160" i="1" s="1"/>
  <c r="X160" i="1"/>
  <c r="W160" i="1"/>
  <c r="V160" i="1"/>
  <c r="U160" i="1"/>
  <c r="T160" i="1"/>
  <c r="S160" i="1"/>
  <c r="R160" i="1"/>
  <c r="Q160" i="1"/>
  <c r="AW160" i="1" s="1"/>
  <c r="AV159" i="1"/>
  <c r="AU159" i="1"/>
  <c r="AT159" i="1"/>
  <c r="AS159" i="1"/>
  <c r="AR159" i="1"/>
  <c r="AQ159" i="1"/>
  <c r="AP159" i="1"/>
  <c r="AO159" i="1"/>
  <c r="AZ159" i="1" s="1"/>
  <c r="AN159" i="1"/>
  <c r="AM159" i="1"/>
  <c r="AL159" i="1"/>
  <c r="AK159" i="1"/>
  <c r="AJ159" i="1"/>
  <c r="AI159" i="1"/>
  <c r="AH159" i="1"/>
  <c r="AG159" i="1"/>
  <c r="AY159" i="1" s="1"/>
  <c r="AF159" i="1"/>
  <c r="AE159" i="1"/>
  <c r="AD159" i="1"/>
  <c r="AC159" i="1"/>
  <c r="AB159" i="1"/>
  <c r="AA159" i="1"/>
  <c r="Z159" i="1"/>
  <c r="Y159" i="1"/>
  <c r="AX159" i="1" s="1"/>
  <c r="X159" i="1"/>
  <c r="W159" i="1"/>
  <c r="V159" i="1"/>
  <c r="U159" i="1"/>
  <c r="T159" i="1"/>
  <c r="S159" i="1"/>
  <c r="R159" i="1"/>
  <c r="Q159" i="1"/>
  <c r="AW159" i="1" s="1"/>
  <c r="AV158" i="1"/>
  <c r="AU158" i="1"/>
  <c r="AT158" i="1"/>
  <c r="AS158" i="1"/>
  <c r="AR158" i="1"/>
  <c r="AQ158" i="1"/>
  <c r="AP158" i="1"/>
  <c r="AO158" i="1"/>
  <c r="AZ158" i="1" s="1"/>
  <c r="AN158" i="1"/>
  <c r="AM158" i="1"/>
  <c r="AL158" i="1"/>
  <c r="AK158" i="1"/>
  <c r="AJ158" i="1"/>
  <c r="AI158" i="1"/>
  <c r="AH158" i="1"/>
  <c r="AG158" i="1"/>
  <c r="AY158" i="1" s="1"/>
  <c r="AF158" i="1"/>
  <c r="AE158" i="1"/>
  <c r="AD158" i="1"/>
  <c r="AC158" i="1"/>
  <c r="AB158" i="1"/>
  <c r="AA158" i="1"/>
  <c r="Z158" i="1"/>
  <c r="Y158" i="1"/>
  <c r="AX158" i="1" s="1"/>
  <c r="X158" i="1"/>
  <c r="W158" i="1"/>
  <c r="V158" i="1"/>
  <c r="U158" i="1"/>
  <c r="T158" i="1"/>
  <c r="S158" i="1"/>
  <c r="R158" i="1"/>
  <c r="Q158" i="1"/>
  <c r="AW158" i="1" s="1"/>
  <c r="AV157" i="1"/>
  <c r="AU157" i="1"/>
  <c r="AT157" i="1"/>
  <c r="AS157" i="1"/>
  <c r="AR157" i="1"/>
  <c r="AQ157" i="1"/>
  <c r="AP157" i="1"/>
  <c r="AO157" i="1"/>
  <c r="AZ157" i="1" s="1"/>
  <c r="AN157" i="1"/>
  <c r="AM157" i="1"/>
  <c r="AL157" i="1"/>
  <c r="AK157" i="1"/>
  <c r="AJ157" i="1"/>
  <c r="AI157" i="1"/>
  <c r="AH157" i="1"/>
  <c r="AG157" i="1"/>
  <c r="AY157" i="1" s="1"/>
  <c r="AF157" i="1"/>
  <c r="AE157" i="1"/>
  <c r="AD157" i="1"/>
  <c r="AC157" i="1"/>
  <c r="AB157" i="1"/>
  <c r="AA157" i="1"/>
  <c r="Z157" i="1"/>
  <c r="Y157" i="1"/>
  <c r="AX157" i="1" s="1"/>
  <c r="X157" i="1"/>
  <c r="W157" i="1"/>
  <c r="V157" i="1"/>
  <c r="U157" i="1"/>
  <c r="T157" i="1"/>
  <c r="S157" i="1"/>
  <c r="R157" i="1"/>
  <c r="Q157" i="1"/>
  <c r="AW157" i="1" s="1"/>
  <c r="AV156" i="1"/>
  <c r="AU156" i="1"/>
  <c r="AT156" i="1"/>
  <c r="AS156" i="1"/>
  <c r="AR156" i="1"/>
  <c r="AZ156" i="1" s="1"/>
  <c r="AQ156" i="1"/>
  <c r="AP156" i="1"/>
  <c r="AO156" i="1"/>
  <c r="AN156" i="1"/>
  <c r="AM156" i="1"/>
  <c r="AL156" i="1"/>
  <c r="AK156" i="1"/>
  <c r="AJ156" i="1"/>
  <c r="AI156" i="1"/>
  <c r="AH156" i="1"/>
  <c r="AG156" i="1"/>
  <c r="AF156" i="1"/>
  <c r="AE156" i="1"/>
  <c r="AD156" i="1"/>
  <c r="AC156" i="1"/>
  <c r="AB156" i="1"/>
  <c r="AA156" i="1"/>
  <c r="Z156" i="1"/>
  <c r="Y156" i="1"/>
  <c r="X156" i="1"/>
  <c r="W156" i="1"/>
  <c r="V156" i="1"/>
  <c r="U156" i="1"/>
  <c r="T156" i="1"/>
  <c r="S156" i="1"/>
  <c r="R156" i="1"/>
  <c r="Q156" i="1"/>
  <c r="AZ155" i="1"/>
  <c r="AV155" i="1"/>
  <c r="AU155" i="1"/>
  <c r="AT155" i="1"/>
  <c r="AS155" i="1"/>
  <c r="AR155" i="1"/>
  <c r="AQ155" i="1"/>
  <c r="AP155" i="1"/>
  <c r="AO155" i="1"/>
  <c r="AN155" i="1"/>
  <c r="AM155" i="1"/>
  <c r="AL155" i="1"/>
  <c r="AK155" i="1"/>
  <c r="AJ155" i="1"/>
  <c r="AI155" i="1"/>
  <c r="AH155" i="1"/>
  <c r="AG155" i="1"/>
  <c r="AY155" i="1" s="1"/>
  <c r="AF155" i="1"/>
  <c r="AE155" i="1"/>
  <c r="AD155" i="1"/>
  <c r="AC155" i="1"/>
  <c r="AB155" i="1"/>
  <c r="AA155" i="1"/>
  <c r="Z155" i="1"/>
  <c r="AX155" i="1" s="1"/>
  <c r="Y155" i="1"/>
  <c r="X155" i="1"/>
  <c r="W155" i="1"/>
  <c r="V155" i="1"/>
  <c r="U155" i="1"/>
  <c r="T155" i="1"/>
  <c r="S155" i="1"/>
  <c r="R155" i="1"/>
  <c r="Q155" i="1"/>
  <c r="AW155" i="1" s="1"/>
  <c r="AV154" i="1"/>
  <c r="AU154" i="1"/>
  <c r="AT154" i="1"/>
  <c r="AS154" i="1"/>
  <c r="AR154" i="1"/>
  <c r="AQ154" i="1"/>
  <c r="AP154" i="1"/>
  <c r="AZ154" i="1" s="1"/>
  <c r="AO154" i="1"/>
  <c r="AN154" i="1"/>
  <c r="AM154" i="1"/>
  <c r="AL154" i="1"/>
  <c r="AK154" i="1"/>
  <c r="AJ154" i="1"/>
  <c r="AI154" i="1"/>
  <c r="AH154" i="1"/>
  <c r="AG154" i="1"/>
  <c r="AY154" i="1" s="1"/>
  <c r="AF154" i="1"/>
  <c r="AE154" i="1"/>
  <c r="AD154" i="1"/>
  <c r="AC154" i="1"/>
  <c r="AB154" i="1"/>
  <c r="AA154" i="1"/>
  <c r="Z154" i="1"/>
  <c r="Y154" i="1"/>
  <c r="AX154" i="1" s="1"/>
  <c r="X154" i="1"/>
  <c r="W154" i="1"/>
  <c r="V154" i="1"/>
  <c r="U154" i="1"/>
  <c r="T154" i="1"/>
  <c r="S154" i="1"/>
  <c r="R154" i="1"/>
  <c r="Q154" i="1"/>
  <c r="AW154" i="1" s="1"/>
  <c r="BJ153" i="1"/>
  <c r="AZ153" i="1"/>
  <c r="AV153" i="1"/>
  <c r="AU153" i="1"/>
  <c r="AT153" i="1"/>
  <c r="AS153" i="1"/>
  <c r="AR153" i="1"/>
  <c r="AQ153" i="1"/>
  <c r="AP153" i="1"/>
  <c r="AO153" i="1"/>
  <c r="AN153" i="1"/>
  <c r="AM153" i="1"/>
  <c r="AL153" i="1"/>
  <c r="AK153" i="1"/>
  <c r="AJ153" i="1"/>
  <c r="AI153" i="1"/>
  <c r="AH153" i="1"/>
  <c r="AG153" i="1"/>
  <c r="AF153" i="1"/>
  <c r="AE153" i="1"/>
  <c r="AD153" i="1"/>
  <c r="AC153" i="1"/>
  <c r="AB153" i="1"/>
  <c r="AA153" i="1"/>
  <c r="Z153" i="1"/>
  <c r="Y153" i="1"/>
  <c r="AX153" i="1" s="1"/>
  <c r="X153" i="1"/>
  <c r="W153" i="1"/>
  <c r="V153" i="1"/>
  <c r="U153" i="1"/>
  <c r="T153" i="1"/>
  <c r="S153" i="1"/>
  <c r="R153" i="1"/>
  <c r="Q153" i="1"/>
  <c r="AW153" i="1" s="1"/>
  <c r="AV152" i="1"/>
  <c r="AU152" i="1"/>
  <c r="AT152" i="1"/>
  <c r="AS152" i="1"/>
  <c r="AR152" i="1"/>
  <c r="AQ152" i="1"/>
  <c r="AP152" i="1"/>
  <c r="AO152" i="1"/>
  <c r="AZ152" i="1" s="1"/>
  <c r="AN152" i="1"/>
  <c r="AM152" i="1"/>
  <c r="AL152" i="1"/>
  <c r="AK152" i="1"/>
  <c r="AJ152" i="1"/>
  <c r="AI152" i="1"/>
  <c r="AH152" i="1"/>
  <c r="AG152" i="1"/>
  <c r="AY152" i="1" s="1"/>
  <c r="AF152" i="1"/>
  <c r="AE152" i="1"/>
  <c r="AD152" i="1"/>
  <c r="AC152" i="1"/>
  <c r="AB152" i="1"/>
  <c r="AA152" i="1"/>
  <c r="Z152" i="1"/>
  <c r="Y152" i="1"/>
  <c r="AX152" i="1" s="1"/>
  <c r="X152" i="1"/>
  <c r="W152" i="1"/>
  <c r="V152" i="1"/>
  <c r="U152" i="1"/>
  <c r="T152" i="1"/>
  <c r="S152" i="1"/>
  <c r="R152" i="1"/>
  <c r="Q152" i="1"/>
  <c r="AW152" i="1" s="1"/>
  <c r="AZ151" i="1"/>
  <c r="AV151" i="1"/>
  <c r="AU151" i="1"/>
  <c r="AT151" i="1"/>
  <c r="AS151" i="1"/>
  <c r="AR151" i="1"/>
  <c r="AQ151" i="1"/>
  <c r="AP151" i="1"/>
  <c r="AO151" i="1"/>
  <c r="AN151" i="1"/>
  <c r="AM151" i="1"/>
  <c r="AL151" i="1"/>
  <c r="AK151" i="1"/>
  <c r="AJ151" i="1"/>
  <c r="AI151" i="1"/>
  <c r="AH151" i="1"/>
  <c r="AG151" i="1"/>
  <c r="AF151" i="1"/>
  <c r="AE151" i="1"/>
  <c r="AD151" i="1"/>
  <c r="AC151" i="1"/>
  <c r="AB151" i="1"/>
  <c r="AA151" i="1"/>
  <c r="Z151" i="1"/>
  <c r="Y151" i="1"/>
  <c r="AX151" i="1" s="1"/>
  <c r="X151" i="1"/>
  <c r="W151" i="1"/>
  <c r="V151" i="1"/>
  <c r="U151" i="1"/>
  <c r="T151" i="1"/>
  <c r="S151" i="1"/>
  <c r="R151" i="1"/>
  <c r="Q151" i="1"/>
  <c r="AW151" i="1" s="1"/>
  <c r="AV150" i="1"/>
  <c r="AU150" i="1"/>
  <c r="AT150" i="1"/>
  <c r="AS150" i="1"/>
  <c r="AR150" i="1"/>
  <c r="AQ150" i="1"/>
  <c r="AP150" i="1"/>
  <c r="AO150" i="1"/>
  <c r="AZ150" i="1" s="1"/>
  <c r="AN150" i="1"/>
  <c r="AM150" i="1"/>
  <c r="AL150" i="1"/>
  <c r="AK150" i="1"/>
  <c r="AJ150" i="1"/>
  <c r="AI150" i="1"/>
  <c r="AH150" i="1"/>
  <c r="AG150" i="1"/>
  <c r="AY150" i="1" s="1"/>
  <c r="AF150" i="1"/>
  <c r="AE150" i="1"/>
  <c r="AD150" i="1"/>
  <c r="AC150" i="1"/>
  <c r="AB150" i="1"/>
  <c r="AA150" i="1"/>
  <c r="Z150" i="1"/>
  <c r="Y150" i="1"/>
  <c r="AX150" i="1" s="1"/>
  <c r="X150" i="1"/>
  <c r="W150" i="1"/>
  <c r="V150" i="1"/>
  <c r="U150" i="1"/>
  <c r="T150" i="1"/>
  <c r="S150" i="1"/>
  <c r="R150" i="1"/>
  <c r="Q150" i="1"/>
  <c r="AW150" i="1" s="1"/>
  <c r="AZ149" i="1"/>
  <c r="AV149" i="1"/>
  <c r="AU149" i="1"/>
  <c r="AT149" i="1"/>
  <c r="AS149" i="1"/>
  <c r="AR149" i="1"/>
  <c r="AQ149" i="1"/>
  <c r="AP149" i="1"/>
  <c r="AO149" i="1"/>
  <c r="AN149" i="1"/>
  <c r="AM149" i="1"/>
  <c r="AL149" i="1"/>
  <c r="AK149" i="1"/>
  <c r="AJ149" i="1"/>
  <c r="AI149" i="1"/>
  <c r="AH149" i="1"/>
  <c r="AG149" i="1"/>
  <c r="AF149" i="1"/>
  <c r="AE149" i="1"/>
  <c r="AD149" i="1"/>
  <c r="AC149" i="1"/>
  <c r="AB149" i="1"/>
  <c r="AA149" i="1"/>
  <c r="Z149" i="1"/>
  <c r="AX149" i="1" s="1"/>
  <c r="Y149" i="1"/>
  <c r="X149" i="1"/>
  <c r="W149" i="1"/>
  <c r="V149" i="1"/>
  <c r="U149" i="1"/>
  <c r="T149" i="1"/>
  <c r="S149" i="1"/>
  <c r="R149" i="1"/>
  <c r="Q149" i="1"/>
  <c r="AW149" i="1" s="1"/>
  <c r="AV148" i="1"/>
  <c r="AU148" i="1"/>
  <c r="AT148" i="1"/>
  <c r="AS148" i="1"/>
  <c r="AR148" i="1"/>
  <c r="AQ148" i="1"/>
  <c r="AZ148" i="1" s="1"/>
  <c r="AP148" i="1"/>
  <c r="AO148" i="1"/>
  <c r="AN148" i="1"/>
  <c r="AM148" i="1"/>
  <c r="AL148" i="1"/>
  <c r="AK148" i="1"/>
  <c r="AJ148" i="1"/>
  <c r="AI148" i="1"/>
  <c r="AY148" i="1" s="1"/>
  <c r="AH148" i="1"/>
  <c r="AG148" i="1"/>
  <c r="AF148" i="1"/>
  <c r="AE148" i="1"/>
  <c r="AD148" i="1"/>
  <c r="AC148" i="1"/>
  <c r="AB148" i="1"/>
  <c r="AA148" i="1"/>
  <c r="Z148" i="1"/>
  <c r="Y148" i="1"/>
  <c r="X148" i="1"/>
  <c r="W148" i="1"/>
  <c r="V148" i="1"/>
  <c r="U148" i="1"/>
  <c r="T148" i="1"/>
  <c r="S148" i="1"/>
  <c r="R148" i="1"/>
  <c r="Q148" i="1"/>
  <c r="BK147" i="1"/>
  <c r="AY147" i="1"/>
  <c r="BS147" i="1" s="1"/>
  <c r="AV147" i="1"/>
  <c r="AU147" i="1"/>
  <c r="AT147" i="1"/>
  <c r="AS147" i="1"/>
  <c r="AR147" i="1"/>
  <c r="AQ147" i="1"/>
  <c r="AZ147" i="1" s="1"/>
  <c r="AP147" i="1"/>
  <c r="AO147" i="1"/>
  <c r="AN147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A147" i="1"/>
  <c r="Z147" i="1"/>
  <c r="Y147" i="1"/>
  <c r="AX147" i="1" s="1"/>
  <c r="X147" i="1"/>
  <c r="W147" i="1"/>
  <c r="V147" i="1"/>
  <c r="U147" i="1"/>
  <c r="T147" i="1"/>
  <c r="S147" i="1"/>
  <c r="R147" i="1"/>
  <c r="Q147" i="1"/>
  <c r="AW147" i="1" s="1"/>
  <c r="AV146" i="1"/>
  <c r="AU146" i="1"/>
  <c r="AT146" i="1"/>
  <c r="AS146" i="1"/>
  <c r="AR146" i="1"/>
  <c r="AQ146" i="1"/>
  <c r="AZ146" i="1" s="1"/>
  <c r="AP146" i="1"/>
  <c r="AO146" i="1"/>
  <c r="AN146" i="1"/>
  <c r="AM146" i="1"/>
  <c r="AL146" i="1"/>
  <c r="AK146" i="1"/>
  <c r="AJ146" i="1"/>
  <c r="AI146" i="1"/>
  <c r="AY146" i="1" s="1"/>
  <c r="AH146" i="1"/>
  <c r="AG146" i="1"/>
  <c r="AF146" i="1"/>
  <c r="AE146" i="1"/>
  <c r="AD146" i="1"/>
  <c r="AC146" i="1"/>
  <c r="AB146" i="1"/>
  <c r="AA146" i="1"/>
  <c r="Z146" i="1"/>
  <c r="Y146" i="1"/>
  <c r="X146" i="1"/>
  <c r="W146" i="1"/>
  <c r="V146" i="1"/>
  <c r="U146" i="1"/>
  <c r="T146" i="1"/>
  <c r="S146" i="1"/>
  <c r="R146" i="1"/>
  <c r="Q146" i="1"/>
  <c r="BK145" i="1"/>
  <c r="AY145" i="1"/>
  <c r="BS145" i="1" s="1"/>
  <c r="AV145" i="1"/>
  <c r="AU145" i="1"/>
  <c r="AT145" i="1"/>
  <c r="AS145" i="1"/>
  <c r="AR145" i="1"/>
  <c r="AQ145" i="1"/>
  <c r="AZ145" i="1" s="1"/>
  <c r="AP145" i="1"/>
  <c r="AO145" i="1"/>
  <c r="AN145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A145" i="1"/>
  <c r="Z145" i="1"/>
  <c r="Y145" i="1"/>
  <c r="AX145" i="1" s="1"/>
  <c r="X145" i="1"/>
  <c r="W145" i="1"/>
  <c r="V145" i="1"/>
  <c r="U145" i="1"/>
  <c r="T145" i="1"/>
  <c r="S145" i="1"/>
  <c r="R145" i="1"/>
  <c r="Q145" i="1"/>
  <c r="AW145" i="1" s="1"/>
  <c r="AV144" i="1"/>
  <c r="AU144" i="1"/>
  <c r="AT144" i="1"/>
  <c r="AS144" i="1"/>
  <c r="AR144" i="1"/>
  <c r="AQ144" i="1"/>
  <c r="AZ144" i="1" s="1"/>
  <c r="AP144" i="1"/>
  <c r="AO144" i="1"/>
  <c r="AN144" i="1"/>
  <c r="AM144" i="1"/>
  <c r="AL144" i="1"/>
  <c r="AK144" i="1"/>
  <c r="AJ144" i="1"/>
  <c r="AI144" i="1"/>
  <c r="AY144" i="1" s="1"/>
  <c r="AH144" i="1"/>
  <c r="AG144" i="1"/>
  <c r="AF144" i="1"/>
  <c r="AE144" i="1"/>
  <c r="AD144" i="1"/>
  <c r="AC144" i="1"/>
  <c r="AB144" i="1"/>
  <c r="AA144" i="1"/>
  <c r="Z144" i="1"/>
  <c r="Y144" i="1"/>
  <c r="X144" i="1"/>
  <c r="W144" i="1"/>
  <c r="V144" i="1"/>
  <c r="U144" i="1"/>
  <c r="T144" i="1"/>
  <c r="S144" i="1"/>
  <c r="R144" i="1"/>
  <c r="Q144" i="1"/>
  <c r="BK143" i="1"/>
  <c r="AY143" i="1"/>
  <c r="BS143" i="1" s="1"/>
  <c r="AV143" i="1"/>
  <c r="AU143" i="1"/>
  <c r="AT143" i="1"/>
  <c r="AS143" i="1"/>
  <c r="AR143" i="1"/>
  <c r="AQ143" i="1"/>
  <c r="AZ143" i="1" s="1"/>
  <c r="AP143" i="1"/>
  <c r="AO143" i="1"/>
  <c r="AN143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A143" i="1"/>
  <c r="Z143" i="1"/>
  <c r="Y143" i="1"/>
  <c r="AX143" i="1" s="1"/>
  <c r="X143" i="1"/>
  <c r="W143" i="1"/>
  <c r="V143" i="1"/>
  <c r="U143" i="1"/>
  <c r="T143" i="1"/>
  <c r="S143" i="1"/>
  <c r="R143" i="1"/>
  <c r="Q143" i="1"/>
  <c r="AW143" i="1" s="1"/>
  <c r="AV142" i="1"/>
  <c r="AU142" i="1"/>
  <c r="AT142" i="1"/>
  <c r="AS142" i="1"/>
  <c r="AR142" i="1"/>
  <c r="AQ142" i="1"/>
  <c r="AZ142" i="1" s="1"/>
  <c r="AP142" i="1"/>
  <c r="AO142" i="1"/>
  <c r="AN142" i="1"/>
  <c r="AM142" i="1"/>
  <c r="AL142" i="1"/>
  <c r="AK142" i="1"/>
  <c r="AJ142" i="1"/>
  <c r="AI142" i="1"/>
  <c r="AY142" i="1" s="1"/>
  <c r="AH142" i="1"/>
  <c r="AG142" i="1"/>
  <c r="AF142" i="1"/>
  <c r="AE142" i="1"/>
  <c r="AD142" i="1"/>
  <c r="AC142" i="1"/>
  <c r="AB142" i="1"/>
  <c r="AA142" i="1"/>
  <c r="Z142" i="1"/>
  <c r="Y142" i="1"/>
  <c r="X142" i="1"/>
  <c r="W142" i="1"/>
  <c r="V142" i="1"/>
  <c r="U142" i="1"/>
  <c r="T142" i="1"/>
  <c r="S142" i="1"/>
  <c r="R142" i="1"/>
  <c r="Q142" i="1"/>
  <c r="BK141" i="1"/>
  <c r="AZ141" i="1"/>
  <c r="AV141" i="1"/>
  <c r="AU141" i="1"/>
  <c r="AT141" i="1"/>
  <c r="AS141" i="1"/>
  <c r="AR141" i="1"/>
  <c r="AQ141" i="1"/>
  <c r="AP141" i="1"/>
  <c r="AO141" i="1"/>
  <c r="AN141" i="1"/>
  <c r="AM141" i="1"/>
  <c r="AL141" i="1"/>
  <c r="AK141" i="1"/>
  <c r="AJ141" i="1"/>
  <c r="AI141" i="1"/>
  <c r="AY141" i="1" s="1"/>
  <c r="AH141" i="1"/>
  <c r="AG141" i="1"/>
  <c r="AF141" i="1"/>
  <c r="AE141" i="1"/>
  <c r="AD141" i="1"/>
  <c r="AC141" i="1"/>
  <c r="AB141" i="1"/>
  <c r="AA141" i="1"/>
  <c r="Z141" i="1"/>
  <c r="Y141" i="1"/>
  <c r="X141" i="1"/>
  <c r="W141" i="1"/>
  <c r="V141" i="1"/>
  <c r="U141" i="1"/>
  <c r="T141" i="1"/>
  <c r="S141" i="1"/>
  <c r="R141" i="1"/>
  <c r="Q141" i="1"/>
  <c r="AZ140" i="1"/>
  <c r="AV140" i="1"/>
  <c r="AU140" i="1"/>
  <c r="AT140" i="1"/>
  <c r="AS140" i="1"/>
  <c r="AR140" i="1"/>
  <c r="AQ140" i="1"/>
  <c r="AP140" i="1"/>
  <c r="AO140" i="1"/>
  <c r="AN140" i="1"/>
  <c r="AM140" i="1"/>
  <c r="AL140" i="1"/>
  <c r="AK140" i="1"/>
  <c r="AJ140" i="1"/>
  <c r="AI140" i="1"/>
  <c r="AY140" i="1" s="1"/>
  <c r="AH140" i="1"/>
  <c r="AG140" i="1"/>
  <c r="AF140" i="1"/>
  <c r="AE140" i="1"/>
  <c r="AD140" i="1"/>
  <c r="AC140" i="1"/>
  <c r="AB140" i="1"/>
  <c r="AA140" i="1"/>
  <c r="Z140" i="1"/>
  <c r="Y140" i="1"/>
  <c r="X140" i="1"/>
  <c r="W140" i="1"/>
  <c r="V140" i="1"/>
  <c r="U140" i="1"/>
  <c r="T140" i="1"/>
  <c r="S140" i="1"/>
  <c r="R140" i="1"/>
  <c r="Q140" i="1"/>
  <c r="BP139" i="1"/>
  <c r="AZ139" i="1"/>
  <c r="AV139" i="1"/>
  <c r="AU139" i="1"/>
  <c r="AT139" i="1"/>
  <c r="AS139" i="1"/>
  <c r="AR139" i="1"/>
  <c r="AQ139" i="1"/>
  <c r="AP139" i="1"/>
  <c r="AO139" i="1"/>
  <c r="AN139" i="1"/>
  <c r="AM139" i="1"/>
  <c r="AL139" i="1"/>
  <c r="AK139" i="1"/>
  <c r="AJ139" i="1"/>
  <c r="AI139" i="1"/>
  <c r="AY139" i="1" s="1"/>
  <c r="AH139" i="1"/>
  <c r="AG139" i="1"/>
  <c r="AF139" i="1"/>
  <c r="AE139" i="1"/>
  <c r="AD139" i="1"/>
  <c r="AC139" i="1"/>
  <c r="AB139" i="1"/>
  <c r="AA139" i="1"/>
  <c r="Z139" i="1"/>
  <c r="Y139" i="1"/>
  <c r="X139" i="1"/>
  <c r="W139" i="1"/>
  <c r="V139" i="1"/>
  <c r="U139" i="1"/>
  <c r="T139" i="1"/>
  <c r="S139" i="1"/>
  <c r="R139" i="1"/>
  <c r="Q139" i="1"/>
  <c r="AZ138" i="1"/>
  <c r="AV138" i="1"/>
  <c r="AU138" i="1"/>
  <c r="AT138" i="1"/>
  <c r="AS138" i="1"/>
  <c r="AR138" i="1"/>
  <c r="AQ138" i="1"/>
  <c r="AP138" i="1"/>
  <c r="AO138" i="1"/>
  <c r="AN138" i="1"/>
  <c r="AM138" i="1"/>
  <c r="AL138" i="1"/>
  <c r="AK138" i="1"/>
  <c r="AJ138" i="1"/>
  <c r="AI138" i="1"/>
  <c r="AH138" i="1"/>
  <c r="AG138" i="1"/>
  <c r="AY138" i="1" s="1"/>
  <c r="AF138" i="1"/>
  <c r="AE138" i="1"/>
  <c r="AD138" i="1"/>
  <c r="AC138" i="1"/>
  <c r="AB138" i="1"/>
  <c r="AA138" i="1"/>
  <c r="Z138" i="1"/>
  <c r="Y138" i="1"/>
  <c r="X138" i="1"/>
  <c r="W138" i="1"/>
  <c r="V138" i="1"/>
  <c r="U138" i="1"/>
  <c r="T138" i="1"/>
  <c r="S138" i="1"/>
  <c r="R138" i="1"/>
  <c r="Q138" i="1"/>
  <c r="AV137" i="1"/>
  <c r="AU137" i="1"/>
  <c r="AT137" i="1"/>
  <c r="AS137" i="1"/>
  <c r="AR137" i="1"/>
  <c r="AQ137" i="1"/>
  <c r="AP137" i="1"/>
  <c r="AO137" i="1"/>
  <c r="AZ137" i="1" s="1"/>
  <c r="AN137" i="1"/>
  <c r="AM137" i="1"/>
  <c r="AL137" i="1"/>
  <c r="AK137" i="1"/>
  <c r="AJ137" i="1"/>
  <c r="AI137" i="1"/>
  <c r="AH137" i="1"/>
  <c r="AG137" i="1"/>
  <c r="AY137" i="1" s="1"/>
  <c r="AF137" i="1"/>
  <c r="AE137" i="1"/>
  <c r="AD137" i="1"/>
  <c r="AC137" i="1"/>
  <c r="AB137" i="1"/>
  <c r="AA137" i="1"/>
  <c r="Z137" i="1"/>
  <c r="Y137" i="1"/>
  <c r="X137" i="1"/>
  <c r="W137" i="1"/>
  <c r="V137" i="1"/>
  <c r="U137" i="1"/>
  <c r="T137" i="1"/>
  <c r="S137" i="1"/>
  <c r="R137" i="1"/>
  <c r="Q137" i="1"/>
  <c r="AW137" i="1" s="1"/>
  <c r="AV136" i="1"/>
  <c r="AU136" i="1"/>
  <c r="AT136" i="1"/>
  <c r="AS136" i="1"/>
  <c r="AR136" i="1"/>
  <c r="AZ136" i="1" s="1"/>
  <c r="AQ136" i="1"/>
  <c r="AP136" i="1"/>
  <c r="AO136" i="1"/>
  <c r="AN136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A136" i="1"/>
  <c r="Z136" i="1"/>
  <c r="Y136" i="1"/>
  <c r="X136" i="1"/>
  <c r="W136" i="1"/>
  <c r="V136" i="1"/>
  <c r="U136" i="1"/>
  <c r="T136" i="1"/>
  <c r="S136" i="1"/>
  <c r="R136" i="1"/>
  <c r="Q136" i="1"/>
  <c r="AZ135" i="1"/>
  <c r="AV135" i="1"/>
  <c r="AU135" i="1"/>
  <c r="AT135" i="1"/>
  <c r="AS135" i="1"/>
  <c r="AR135" i="1"/>
  <c r="AQ135" i="1"/>
  <c r="AP135" i="1"/>
  <c r="AO135" i="1"/>
  <c r="AN135" i="1"/>
  <c r="AM135" i="1"/>
  <c r="AL135" i="1"/>
  <c r="AK135" i="1"/>
  <c r="AJ135" i="1"/>
  <c r="AI135" i="1"/>
  <c r="AH135" i="1"/>
  <c r="AG135" i="1"/>
  <c r="AY135" i="1" s="1"/>
  <c r="AF135" i="1"/>
  <c r="AE135" i="1"/>
  <c r="AD135" i="1"/>
  <c r="AC135" i="1"/>
  <c r="AB135" i="1"/>
  <c r="AA135" i="1"/>
  <c r="Z135" i="1"/>
  <c r="Y135" i="1"/>
  <c r="AX135" i="1" s="1"/>
  <c r="X135" i="1"/>
  <c r="W135" i="1"/>
  <c r="V135" i="1"/>
  <c r="U135" i="1"/>
  <c r="T135" i="1"/>
  <c r="S135" i="1"/>
  <c r="R135" i="1"/>
  <c r="Q135" i="1"/>
  <c r="AW135" i="1" s="1"/>
  <c r="AV134" i="1"/>
  <c r="AU134" i="1"/>
  <c r="AT134" i="1"/>
  <c r="AS134" i="1"/>
  <c r="AR134" i="1"/>
  <c r="AZ134" i="1" s="1"/>
  <c r="AQ134" i="1"/>
  <c r="AP134" i="1"/>
  <c r="AO134" i="1"/>
  <c r="AN134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A134" i="1"/>
  <c r="Z134" i="1"/>
  <c r="Y134" i="1"/>
  <c r="X134" i="1"/>
  <c r="W134" i="1"/>
  <c r="V134" i="1"/>
  <c r="U134" i="1"/>
  <c r="T134" i="1"/>
  <c r="S134" i="1"/>
  <c r="R134" i="1"/>
  <c r="Q134" i="1"/>
  <c r="BP133" i="1"/>
  <c r="AZ133" i="1"/>
  <c r="AV133" i="1"/>
  <c r="AU133" i="1"/>
  <c r="AT133" i="1"/>
  <c r="AS133" i="1"/>
  <c r="AR133" i="1"/>
  <c r="AQ133" i="1"/>
  <c r="AP133" i="1"/>
  <c r="AO133" i="1"/>
  <c r="AN133" i="1"/>
  <c r="AM133" i="1"/>
  <c r="AL133" i="1"/>
  <c r="AK133" i="1"/>
  <c r="AJ133" i="1"/>
  <c r="AI133" i="1"/>
  <c r="AH133" i="1"/>
  <c r="AG133" i="1"/>
  <c r="AY133" i="1" s="1"/>
  <c r="AF133" i="1"/>
  <c r="AE133" i="1"/>
  <c r="AD133" i="1"/>
  <c r="AC133" i="1"/>
  <c r="AB133" i="1"/>
  <c r="AA133" i="1"/>
  <c r="Z133" i="1"/>
  <c r="Y133" i="1"/>
  <c r="AX133" i="1" s="1"/>
  <c r="X133" i="1"/>
  <c r="W133" i="1"/>
  <c r="V133" i="1"/>
  <c r="U133" i="1"/>
  <c r="T133" i="1"/>
  <c r="S133" i="1"/>
  <c r="R133" i="1"/>
  <c r="Q133" i="1"/>
  <c r="AW133" i="1" s="1"/>
  <c r="AV132" i="1"/>
  <c r="AU132" i="1"/>
  <c r="AT132" i="1"/>
  <c r="AS132" i="1"/>
  <c r="AR132" i="1"/>
  <c r="AZ132" i="1" s="1"/>
  <c r="AQ132" i="1"/>
  <c r="AP132" i="1"/>
  <c r="AO132" i="1"/>
  <c r="AN132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A132" i="1"/>
  <c r="Z132" i="1"/>
  <c r="Y132" i="1"/>
  <c r="X132" i="1"/>
  <c r="W132" i="1"/>
  <c r="V132" i="1"/>
  <c r="U132" i="1"/>
  <c r="T132" i="1"/>
  <c r="S132" i="1"/>
  <c r="R132" i="1"/>
  <c r="Q132" i="1"/>
  <c r="AV131" i="1"/>
  <c r="AU131" i="1"/>
  <c r="AT131" i="1"/>
  <c r="AS131" i="1"/>
  <c r="AR131" i="1"/>
  <c r="AZ131" i="1" s="1"/>
  <c r="AQ131" i="1"/>
  <c r="AP131" i="1"/>
  <c r="AO131" i="1"/>
  <c r="AN131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A131" i="1"/>
  <c r="Z131" i="1"/>
  <c r="Y131" i="1"/>
  <c r="X131" i="1"/>
  <c r="W131" i="1"/>
  <c r="V131" i="1"/>
  <c r="U131" i="1"/>
  <c r="T131" i="1"/>
  <c r="S131" i="1"/>
  <c r="R131" i="1"/>
  <c r="Q131" i="1"/>
  <c r="AW131" i="1" s="1"/>
  <c r="BM131" i="1" s="1"/>
  <c r="BQ130" i="1"/>
  <c r="AV130" i="1"/>
  <c r="AU130" i="1"/>
  <c r="AT130" i="1"/>
  <c r="AS130" i="1"/>
  <c r="AR130" i="1"/>
  <c r="AQ130" i="1"/>
  <c r="AP130" i="1"/>
  <c r="AO130" i="1"/>
  <c r="AZ130" i="1" s="1"/>
  <c r="AN130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A130" i="1"/>
  <c r="Z130" i="1"/>
  <c r="Y130" i="1"/>
  <c r="X130" i="1"/>
  <c r="W130" i="1"/>
  <c r="V130" i="1"/>
  <c r="U130" i="1"/>
  <c r="T130" i="1"/>
  <c r="S130" i="1"/>
  <c r="R130" i="1"/>
  <c r="Q130" i="1"/>
  <c r="AW130" i="1" s="1"/>
  <c r="BM130" i="1" s="1"/>
  <c r="BI129" i="1"/>
  <c r="AV129" i="1"/>
  <c r="AU129" i="1"/>
  <c r="AT129" i="1"/>
  <c r="AS129" i="1"/>
  <c r="AR129" i="1"/>
  <c r="AQ129" i="1"/>
  <c r="AP129" i="1"/>
  <c r="AO129" i="1"/>
  <c r="AZ129" i="1" s="1"/>
  <c r="AN129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A129" i="1"/>
  <c r="Z129" i="1"/>
  <c r="Y129" i="1"/>
  <c r="X129" i="1"/>
  <c r="W129" i="1"/>
  <c r="V129" i="1"/>
  <c r="U129" i="1"/>
  <c r="T129" i="1"/>
  <c r="S129" i="1"/>
  <c r="R129" i="1"/>
  <c r="Q129" i="1"/>
  <c r="AW129" i="1" s="1"/>
  <c r="BM129" i="1" s="1"/>
  <c r="AV128" i="1"/>
  <c r="AU128" i="1"/>
  <c r="AT128" i="1"/>
  <c r="AS128" i="1"/>
  <c r="AR128" i="1"/>
  <c r="AQ128" i="1"/>
  <c r="AP128" i="1"/>
  <c r="AO128" i="1"/>
  <c r="AZ128" i="1" s="1"/>
  <c r="AN128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A128" i="1"/>
  <c r="Z128" i="1"/>
  <c r="Y128" i="1"/>
  <c r="X128" i="1"/>
  <c r="W128" i="1"/>
  <c r="V128" i="1"/>
  <c r="U128" i="1"/>
  <c r="T128" i="1"/>
  <c r="S128" i="1"/>
  <c r="R128" i="1"/>
  <c r="Q128" i="1"/>
  <c r="AW128" i="1" s="1"/>
  <c r="AV127" i="1"/>
  <c r="AU127" i="1"/>
  <c r="AT127" i="1"/>
  <c r="AS127" i="1"/>
  <c r="AR127" i="1"/>
  <c r="AQ127" i="1"/>
  <c r="AP127" i="1"/>
  <c r="AO127" i="1"/>
  <c r="AZ127" i="1" s="1"/>
  <c r="AN127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A127" i="1"/>
  <c r="Z127" i="1"/>
  <c r="Y127" i="1"/>
  <c r="X127" i="1"/>
  <c r="W127" i="1"/>
  <c r="V127" i="1"/>
  <c r="U127" i="1"/>
  <c r="T127" i="1"/>
  <c r="S127" i="1"/>
  <c r="R127" i="1"/>
  <c r="Q127" i="1"/>
  <c r="AW127" i="1" s="1"/>
  <c r="BM127" i="1" s="1"/>
  <c r="BQ126" i="1"/>
  <c r="AV126" i="1"/>
  <c r="AU126" i="1"/>
  <c r="AT126" i="1"/>
  <c r="AS126" i="1"/>
  <c r="AR126" i="1"/>
  <c r="AQ126" i="1"/>
  <c r="AP126" i="1"/>
  <c r="AO126" i="1"/>
  <c r="AZ126" i="1" s="1"/>
  <c r="AN126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A126" i="1"/>
  <c r="Z126" i="1"/>
  <c r="Y126" i="1"/>
  <c r="X126" i="1"/>
  <c r="W126" i="1"/>
  <c r="V126" i="1"/>
  <c r="U126" i="1"/>
  <c r="T126" i="1"/>
  <c r="S126" i="1"/>
  <c r="R126" i="1"/>
  <c r="Q126" i="1"/>
  <c r="AW126" i="1" s="1"/>
  <c r="BM126" i="1" s="1"/>
  <c r="BI125" i="1"/>
  <c r="AV125" i="1"/>
  <c r="AU125" i="1"/>
  <c r="AT125" i="1"/>
  <c r="AS125" i="1"/>
  <c r="AR125" i="1"/>
  <c r="AQ125" i="1"/>
  <c r="AP125" i="1"/>
  <c r="AO125" i="1"/>
  <c r="AZ125" i="1" s="1"/>
  <c r="AN125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A125" i="1"/>
  <c r="Z125" i="1"/>
  <c r="Y125" i="1"/>
  <c r="X125" i="1"/>
  <c r="W125" i="1"/>
  <c r="V125" i="1"/>
  <c r="U125" i="1"/>
  <c r="T125" i="1"/>
  <c r="S125" i="1"/>
  <c r="R125" i="1"/>
  <c r="Q125" i="1"/>
  <c r="AW125" i="1" s="1"/>
  <c r="BM125" i="1" s="1"/>
  <c r="AV124" i="1"/>
  <c r="AU124" i="1"/>
  <c r="AT124" i="1"/>
  <c r="AS124" i="1"/>
  <c r="AR124" i="1"/>
  <c r="AQ124" i="1"/>
  <c r="AP124" i="1"/>
  <c r="AO124" i="1"/>
  <c r="AZ124" i="1" s="1"/>
  <c r="AN124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A124" i="1"/>
  <c r="Z124" i="1"/>
  <c r="Y124" i="1"/>
  <c r="X124" i="1"/>
  <c r="W124" i="1"/>
  <c r="V124" i="1"/>
  <c r="U124" i="1"/>
  <c r="T124" i="1"/>
  <c r="S124" i="1"/>
  <c r="R124" i="1"/>
  <c r="Q124" i="1"/>
  <c r="AW124" i="1" s="1"/>
  <c r="BB123" i="1"/>
  <c r="BF123" i="1" s="1"/>
  <c r="AV123" i="1"/>
  <c r="AU123" i="1"/>
  <c r="AT123" i="1"/>
  <c r="AS123" i="1"/>
  <c r="AR123" i="1"/>
  <c r="AQ123" i="1"/>
  <c r="AP123" i="1"/>
  <c r="AO123" i="1"/>
  <c r="AZ123" i="1" s="1"/>
  <c r="AN123" i="1"/>
  <c r="AM123" i="1"/>
  <c r="AL123" i="1"/>
  <c r="AK123" i="1"/>
  <c r="AJ123" i="1"/>
  <c r="AI123" i="1"/>
  <c r="AH123" i="1"/>
  <c r="AG123" i="1"/>
  <c r="AY123" i="1" s="1"/>
  <c r="AF123" i="1"/>
  <c r="AE123" i="1"/>
  <c r="AD123" i="1"/>
  <c r="AC123" i="1"/>
  <c r="AB123" i="1"/>
  <c r="AA123" i="1"/>
  <c r="Z123" i="1"/>
  <c r="Y123" i="1"/>
  <c r="AX123" i="1" s="1"/>
  <c r="X123" i="1"/>
  <c r="W123" i="1"/>
  <c r="V123" i="1"/>
  <c r="U123" i="1"/>
  <c r="T123" i="1"/>
  <c r="S123" i="1"/>
  <c r="R123" i="1"/>
  <c r="Q123" i="1"/>
  <c r="AW123" i="1" s="1"/>
  <c r="AZ122" i="1"/>
  <c r="AV122" i="1"/>
  <c r="AU122" i="1"/>
  <c r="AT122" i="1"/>
  <c r="AS122" i="1"/>
  <c r="AR122" i="1"/>
  <c r="AQ122" i="1"/>
  <c r="AP122" i="1"/>
  <c r="AO122" i="1"/>
  <c r="AN122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22" i="1"/>
  <c r="Z122" i="1"/>
  <c r="Y122" i="1"/>
  <c r="AX122" i="1" s="1"/>
  <c r="BJ122" i="1" s="1"/>
  <c r="X122" i="1"/>
  <c r="W122" i="1"/>
  <c r="V122" i="1"/>
  <c r="U122" i="1"/>
  <c r="T122" i="1"/>
  <c r="S122" i="1"/>
  <c r="R122" i="1"/>
  <c r="Q122" i="1"/>
  <c r="AW122" i="1" s="1"/>
  <c r="BB121" i="1"/>
  <c r="BF121" i="1" s="1"/>
  <c r="AV121" i="1"/>
  <c r="AU121" i="1"/>
  <c r="AT121" i="1"/>
  <c r="AS121" i="1"/>
  <c r="AR121" i="1"/>
  <c r="AQ121" i="1"/>
  <c r="AP121" i="1"/>
  <c r="AO121" i="1"/>
  <c r="AZ121" i="1" s="1"/>
  <c r="AN121" i="1"/>
  <c r="AM121" i="1"/>
  <c r="AL121" i="1"/>
  <c r="AK121" i="1"/>
  <c r="AJ121" i="1"/>
  <c r="AI121" i="1"/>
  <c r="AH121" i="1"/>
  <c r="AG121" i="1"/>
  <c r="AY121" i="1" s="1"/>
  <c r="AF121" i="1"/>
  <c r="AE121" i="1"/>
  <c r="AD121" i="1"/>
  <c r="AC121" i="1"/>
  <c r="AB121" i="1"/>
  <c r="AA121" i="1"/>
  <c r="Z121" i="1"/>
  <c r="Y121" i="1"/>
  <c r="AX121" i="1" s="1"/>
  <c r="X121" i="1"/>
  <c r="W121" i="1"/>
  <c r="V121" i="1"/>
  <c r="U121" i="1"/>
  <c r="T121" i="1"/>
  <c r="S121" i="1"/>
  <c r="R121" i="1"/>
  <c r="Q121" i="1"/>
  <c r="AW121" i="1" s="1"/>
  <c r="BJ120" i="1"/>
  <c r="AZ120" i="1"/>
  <c r="AV120" i="1"/>
  <c r="AU120" i="1"/>
  <c r="AT120" i="1"/>
  <c r="AS120" i="1"/>
  <c r="AR120" i="1"/>
  <c r="AQ120" i="1"/>
  <c r="AP120" i="1"/>
  <c r="AO120" i="1"/>
  <c r="AN120" i="1"/>
  <c r="AM120" i="1"/>
  <c r="AL120" i="1"/>
  <c r="AK120" i="1"/>
  <c r="AJ120" i="1"/>
  <c r="AI120" i="1"/>
  <c r="AH120" i="1"/>
  <c r="AG120" i="1"/>
  <c r="AF120" i="1"/>
  <c r="AE120" i="1"/>
  <c r="AD120" i="1"/>
  <c r="AC120" i="1"/>
  <c r="AB120" i="1"/>
  <c r="AA120" i="1"/>
  <c r="Z120" i="1"/>
  <c r="Y120" i="1"/>
  <c r="AX120" i="1" s="1"/>
  <c r="X120" i="1"/>
  <c r="W120" i="1"/>
  <c r="V120" i="1"/>
  <c r="U120" i="1"/>
  <c r="T120" i="1"/>
  <c r="S120" i="1"/>
  <c r="R120" i="1"/>
  <c r="Q120" i="1"/>
  <c r="AW120" i="1" s="1"/>
  <c r="BM119" i="1"/>
  <c r="BB119" i="1"/>
  <c r="BF119" i="1" s="1"/>
  <c r="AV119" i="1"/>
  <c r="AU119" i="1"/>
  <c r="AT119" i="1"/>
  <c r="AS119" i="1"/>
  <c r="AR119" i="1"/>
  <c r="AQ119" i="1"/>
  <c r="AP119" i="1"/>
  <c r="AO119" i="1"/>
  <c r="AZ119" i="1" s="1"/>
  <c r="AN119" i="1"/>
  <c r="AM119" i="1"/>
  <c r="AL119" i="1"/>
  <c r="AK119" i="1"/>
  <c r="AJ119" i="1"/>
  <c r="AI119" i="1"/>
  <c r="AH119" i="1"/>
  <c r="AG119" i="1"/>
  <c r="AY119" i="1" s="1"/>
  <c r="AF119" i="1"/>
  <c r="AE119" i="1"/>
  <c r="AD119" i="1"/>
  <c r="AC119" i="1"/>
  <c r="AB119" i="1"/>
  <c r="AA119" i="1"/>
  <c r="Z119" i="1"/>
  <c r="Y119" i="1"/>
  <c r="AX119" i="1" s="1"/>
  <c r="X119" i="1"/>
  <c r="W119" i="1"/>
  <c r="V119" i="1"/>
  <c r="U119" i="1"/>
  <c r="T119" i="1"/>
  <c r="S119" i="1"/>
  <c r="R119" i="1"/>
  <c r="Q119" i="1"/>
  <c r="AW119" i="1" s="1"/>
  <c r="BJ118" i="1"/>
  <c r="AZ118" i="1"/>
  <c r="AV118" i="1"/>
  <c r="AU118" i="1"/>
  <c r="AT118" i="1"/>
  <c r="AS118" i="1"/>
  <c r="AR118" i="1"/>
  <c r="AQ118" i="1"/>
  <c r="AP118" i="1"/>
  <c r="AO118" i="1"/>
  <c r="AN118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A118" i="1"/>
  <c r="Z118" i="1"/>
  <c r="Y118" i="1"/>
  <c r="AX118" i="1" s="1"/>
  <c r="X118" i="1"/>
  <c r="W118" i="1"/>
  <c r="V118" i="1"/>
  <c r="U118" i="1"/>
  <c r="T118" i="1"/>
  <c r="S118" i="1"/>
  <c r="R118" i="1"/>
  <c r="Q118" i="1"/>
  <c r="AW118" i="1" s="1"/>
  <c r="AZ117" i="1"/>
  <c r="AV117" i="1"/>
  <c r="AU117" i="1"/>
  <c r="AT117" i="1"/>
  <c r="AS117" i="1"/>
  <c r="AR117" i="1"/>
  <c r="AQ117" i="1"/>
  <c r="AP117" i="1"/>
  <c r="AO117" i="1"/>
  <c r="AN117" i="1"/>
  <c r="AM117" i="1"/>
  <c r="AL117" i="1"/>
  <c r="AK117" i="1"/>
  <c r="AJ117" i="1"/>
  <c r="AI117" i="1"/>
  <c r="AH117" i="1"/>
  <c r="AG117" i="1"/>
  <c r="AY117" i="1" s="1"/>
  <c r="AF117" i="1"/>
  <c r="AE117" i="1"/>
  <c r="AD117" i="1"/>
  <c r="AC117" i="1"/>
  <c r="AB117" i="1"/>
  <c r="AA117" i="1"/>
  <c r="Z117" i="1"/>
  <c r="Y117" i="1"/>
  <c r="AX117" i="1" s="1"/>
  <c r="X117" i="1"/>
  <c r="W117" i="1"/>
  <c r="V117" i="1"/>
  <c r="U117" i="1"/>
  <c r="T117" i="1"/>
  <c r="S117" i="1"/>
  <c r="R117" i="1"/>
  <c r="Q117" i="1"/>
  <c r="AW117" i="1" s="1"/>
  <c r="BH116" i="1"/>
  <c r="BD116" i="1"/>
  <c r="AZ116" i="1"/>
  <c r="AV116" i="1"/>
  <c r="AU116" i="1"/>
  <c r="AT116" i="1"/>
  <c r="AS116" i="1"/>
  <c r="AR116" i="1"/>
  <c r="AQ116" i="1"/>
  <c r="AP116" i="1"/>
  <c r="AO116" i="1"/>
  <c r="AN116" i="1"/>
  <c r="AM116" i="1"/>
  <c r="AL116" i="1"/>
  <c r="AK116" i="1"/>
  <c r="AJ116" i="1"/>
  <c r="AI116" i="1"/>
  <c r="AH116" i="1"/>
  <c r="AG116" i="1"/>
  <c r="AY116" i="1" s="1"/>
  <c r="AF116" i="1"/>
  <c r="AE116" i="1"/>
  <c r="AD116" i="1"/>
  <c r="AC116" i="1"/>
  <c r="AB116" i="1"/>
  <c r="AA116" i="1"/>
  <c r="Z116" i="1"/>
  <c r="Y116" i="1"/>
  <c r="AX116" i="1" s="1"/>
  <c r="X116" i="1"/>
  <c r="W116" i="1"/>
  <c r="V116" i="1"/>
  <c r="U116" i="1"/>
  <c r="T116" i="1"/>
  <c r="S116" i="1"/>
  <c r="R116" i="1"/>
  <c r="Q116" i="1"/>
  <c r="AW116" i="1" s="1"/>
  <c r="AZ115" i="1"/>
  <c r="AV115" i="1"/>
  <c r="AU115" i="1"/>
  <c r="AT115" i="1"/>
  <c r="AS115" i="1"/>
  <c r="AR115" i="1"/>
  <c r="AQ115" i="1"/>
  <c r="AP115" i="1"/>
  <c r="AO115" i="1"/>
  <c r="AN115" i="1"/>
  <c r="AM115" i="1"/>
  <c r="AL115" i="1"/>
  <c r="AK115" i="1"/>
  <c r="AJ115" i="1"/>
  <c r="AI115" i="1"/>
  <c r="AH115" i="1"/>
  <c r="AG115" i="1"/>
  <c r="AY115" i="1" s="1"/>
  <c r="AF115" i="1"/>
  <c r="AE115" i="1"/>
  <c r="AD115" i="1"/>
  <c r="AC115" i="1"/>
  <c r="AB115" i="1"/>
  <c r="AA115" i="1"/>
  <c r="Z115" i="1"/>
  <c r="Y115" i="1"/>
  <c r="AX115" i="1" s="1"/>
  <c r="X115" i="1"/>
  <c r="W115" i="1"/>
  <c r="V115" i="1"/>
  <c r="U115" i="1"/>
  <c r="T115" i="1"/>
  <c r="S115" i="1"/>
  <c r="R115" i="1"/>
  <c r="Q115" i="1"/>
  <c r="AW115" i="1" s="1"/>
  <c r="BH114" i="1"/>
  <c r="BD114" i="1"/>
  <c r="AZ114" i="1"/>
  <c r="AV114" i="1"/>
  <c r="AU114" i="1"/>
  <c r="AT114" i="1"/>
  <c r="AS114" i="1"/>
  <c r="AR114" i="1"/>
  <c r="AQ114" i="1"/>
  <c r="AP114" i="1"/>
  <c r="AO114" i="1"/>
  <c r="AN114" i="1"/>
  <c r="AM114" i="1"/>
  <c r="AL114" i="1"/>
  <c r="AK114" i="1"/>
  <c r="AJ114" i="1"/>
  <c r="AI114" i="1"/>
  <c r="AH114" i="1"/>
  <c r="AG114" i="1"/>
  <c r="AY114" i="1" s="1"/>
  <c r="AF114" i="1"/>
  <c r="AE114" i="1"/>
  <c r="AD114" i="1"/>
  <c r="AC114" i="1"/>
  <c r="AB114" i="1"/>
  <c r="AA114" i="1"/>
  <c r="Z114" i="1"/>
  <c r="Y114" i="1"/>
  <c r="AX114" i="1" s="1"/>
  <c r="X114" i="1"/>
  <c r="W114" i="1"/>
  <c r="V114" i="1"/>
  <c r="U114" i="1"/>
  <c r="T114" i="1"/>
  <c r="S114" i="1"/>
  <c r="R114" i="1"/>
  <c r="Q114" i="1"/>
  <c r="AW114" i="1" s="1"/>
  <c r="BI113" i="1"/>
  <c r="AV113" i="1"/>
  <c r="AU113" i="1"/>
  <c r="AT113" i="1"/>
  <c r="AS113" i="1"/>
  <c r="AR113" i="1"/>
  <c r="AQ113" i="1"/>
  <c r="AP113" i="1"/>
  <c r="AO113" i="1"/>
  <c r="AZ113" i="1" s="1"/>
  <c r="AN113" i="1"/>
  <c r="AM113" i="1"/>
  <c r="AL113" i="1"/>
  <c r="AK113" i="1"/>
  <c r="AJ113" i="1"/>
  <c r="AI113" i="1"/>
  <c r="AH113" i="1"/>
  <c r="AG113" i="1"/>
  <c r="AY113" i="1" s="1"/>
  <c r="AF113" i="1"/>
  <c r="AE113" i="1"/>
  <c r="AD113" i="1"/>
  <c r="AC113" i="1"/>
  <c r="AB113" i="1"/>
  <c r="AA113" i="1"/>
  <c r="Z113" i="1"/>
  <c r="Y113" i="1"/>
  <c r="AX113" i="1" s="1"/>
  <c r="X113" i="1"/>
  <c r="W113" i="1"/>
  <c r="V113" i="1"/>
  <c r="U113" i="1"/>
  <c r="T113" i="1"/>
  <c r="S113" i="1"/>
  <c r="R113" i="1"/>
  <c r="Q113" i="1"/>
  <c r="AW113" i="1" s="1"/>
  <c r="BM113" i="1" s="1"/>
  <c r="AV112" i="1"/>
  <c r="AU112" i="1"/>
  <c r="AT112" i="1"/>
  <c r="AS112" i="1"/>
  <c r="AR112" i="1"/>
  <c r="AQ112" i="1"/>
  <c r="AP112" i="1"/>
  <c r="AO112" i="1"/>
  <c r="AZ112" i="1" s="1"/>
  <c r="AN112" i="1"/>
  <c r="AM112" i="1"/>
  <c r="AL112" i="1"/>
  <c r="AK112" i="1"/>
  <c r="AJ112" i="1"/>
  <c r="AI112" i="1"/>
  <c r="AH112" i="1"/>
  <c r="AG112" i="1"/>
  <c r="AY112" i="1" s="1"/>
  <c r="AF112" i="1"/>
  <c r="AE112" i="1"/>
  <c r="AD112" i="1"/>
  <c r="AC112" i="1"/>
  <c r="AB112" i="1"/>
  <c r="AA112" i="1"/>
  <c r="Z112" i="1"/>
  <c r="Y112" i="1"/>
  <c r="AX112" i="1" s="1"/>
  <c r="X112" i="1"/>
  <c r="W112" i="1"/>
  <c r="V112" i="1"/>
  <c r="U112" i="1"/>
  <c r="T112" i="1"/>
  <c r="S112" i="1"/>
  <c r="R112" i="1"/>
  <c r="Q112" i="1"/>
  <c r="AW112" i="1" s="1"/>
  <c r="AV111" i="1"/>
  <c r="AU111" i="1"/>
  <c r="AT111" i="1"/>
  <c r="AS111" i="1"/>
  <c r="AR111" i="1"/>
  <c r="AQ111" i="1"/>
  <c r="AP111" i="1"/>
  <c r="AO111" i="1"/>
  <c r="AZ111" i="1" s="1"/>
  <c r="AN111" i="1"/>
  <c r="AM111" i="1"/>
  <c r="AL111" i="1"/>
  <c r="AK111" i="1"/>
  <c r="AJ111" i="1"/>
  <c r="AI111" i="1"/>
  <c r="AH111" i="1"/>
  <c r="AG111" i="1"/>
  <c r="AY111" i="1" s="1"/>
  <c r="AF111" i="1"/>
  <c r="AE111" i="1"/>
  <c r="AD111" i="1"/>
  <c r="AC111" i="1"/>
  <c r="AB111" i="1"/>
  <c r="AA111" i="1"/>
  <c r="Z111" i="1"/>
  <c r="Y111" i="1"/>
  <c r="AX111" i="1" s="1"/>
  <c r="X111" i="1"/>
  <c r="W111" i="1"/>
  <c r="V111" i="1"/>
  <c r="U111" i="1"/>
  <c r="T111" i="1"/>
  <c r="S111" i="1"/>
  <c r="R111" i="1"/>
  <c r="Q111" i="1"/>
  <c r="AW111" i="1" s="1"/>
  <c r="BQ110" i="1"/>
  <c r="AV110" i="1"/>
  <c r="AU110" i="1"/>
  <c r="AT110" i="1"/>
  <c r="AS110" i="1"/>
  <c r="AR110" i="1"/>
  <c r="AQ110" i="1"/>
  <c r="AP110" i="1"/>
  <c r="AO110" i="1"/>
  <c r="AZ110" i="1" s="1"/>
  <c r="AN110" i="1"/>
  <c r="AM110" i="1"/>
  <c r="AL110" i="1"/>
  <c r="AK110" i="1"/>
  <c r="AJ110" i="1"/>
  <c r="AI110" i="1"/>
  <c r="AH110" i="1"/>
  <c r="AG110" i="1"/>
  <c r="AY110" i="1" s="1"/>
  <c r="AF110" i="1"/>
  <c r="AE110" i="1"/>
  <c r="AD110" i="1"/>
  <c r="AC110" i="1"/>
  <c r="AB110" i="1"/>
  <c r="AA110" i="1"/>
  <c r="Z110" i="1"/>
  <c r="Y110" i="1"/>
  <c r="AX110" i="1" s="1"/>
  <c r="X110" i="1"/>
  <c r="W110" i="1"/>
  <c r="V110" i="1"/>
  <c r="U110" i="1"/>
  <c r="T110" i="1"/>
  <c r="S110" i="1"/>
  <c r="R110" i="1"/>
  <c r="Q110" i="1"/>
  <c r="AW110" i="1" s="1"/>
  <c r="BM110" i="1" s="1"/>
  <c r="BI109" i="1"/>
  <c r="AV109" i="1"/>
  <c r="AU109" i="1"/>
  <c r="AT109" i="1"/>
  <c r="AS109" i="1"/>
  <c r="AR109" i="1"/>
  <c r="AQ109" i="1"/>
  <c r="AP109" i="1"/>
  <c r="AO109" i="1"/>
  <c r="AZ109" i="1" s="1"/>
  <c r="AN109" i="1"/>
  <c r="AM109" i="1"/>
  <c r="AL109" i="1"/>
  <c r="AK109" i="1"/>
  <c r="AJ109" i="1"/>
  <c r="AI109" i="1"/>
  <c r="AH109" i="1"/>
  <c r="AG109" i="1"/>
  <c r="AY109" i="1" s="1"/>
  <c r="AF109" i="1"/>
  <c r="AE109" i="1"/>
  <c r="AD109" i="1"/>
  <c r="AC109" i="1"/>
  <c r="AB109" i="1"/>
  <c r="AA109" i="1"/>
  <c r="Z109" i="1"/>
  <c r="Y109" i="1"/>
  <c r="AX109" i="1" s="1"/>
  <c r="X109" i="1"/>
  <c r="W109" i="1"/>
  <c r="V109" i="1"/>
  <c r="U109" i="1"/>
  <c r="T109" i="1"/>
  <c r="S109" i="1"/>
  <c r="R109" i="1"/>
  <c r="Q109" i="1"/>
  <c r="AW109" i="1" s="1"/>
  <c r="BM109" i="1" s="1"/>
  <c r="BI108" i="1"/>
  <c r="AV108" i="1"/>
  <c r="AU108" i="1"/>
  <c r="AT108" i="1"/>
  <c r="AS108" i="1"/>
  <c r="AR108" i="1"/>
  <c r="AQ108" i="1"/>
  <c r="AP108" i="1"/>
  <c r="AO108" i="1"/>
  <c r="AZ108" i="1" s="1"/>
  <c r="AN108" i="1"/>
  <c r="AM108" i="1"/>
  <c r="AL108" i="1"/>
  <c r="AK108" i="1"/>
  <c r="AJ108" i="1"/>
  <c r="AI108" i="1"/>
  <c r="AH108" i="1"/>
  <c r="AG108" i="1"/>
  <c r="AY108" i="1" s="1"/>
  <c r="AF108" i="1"/>
  <c r="AE108" i="1"/>
  <c r="AD108" i="1"/>
  <c r="AC108" i="1"/>
  <c r="AB108" i="1"/>
  <c r="AA108" i="1"/>
  <c r="Z108" i="1"/>
  <c r="Y108" i="1"/>
  <c r="AX108" i="1" s="1"/>
  <c r="X108" i="1"/>
  <c r="W108" i="1"/>
  <c r="V108" i="1"/>
  <c r="U108" i="1"/>
  <c r="T108" i="1"/>
  <c r="S108" i="1"/>
  <c r="R108" i="1"/>
  <c r="Q108" i="1"/>
  <c r="AW108" i="1" s="1"/>
  <c r="AV107" i="1"/>
  <c r="AU107" i="1"/>
  <c r="AT107" i="1"/>
  <c r="AS107" i="1"/>
  <c r="AR107" i="1"/>
  <c r="AQ107" i="1"/>
  <c r="AP107" i="1"/>
  <c r="AO107" i="1"/>
  <c r="AZ107" i="1" s="1"/>
  <c r="AN107" i="1"/>
  <c r="AM107" i="1"/>
  <c r="AL107" i="1"/>
  <c r="AK107" i="1"/>
  <c r="AJ107" i="1"/>
  <c r="AI107" i="1"/>
  <c r="AH107" i="1"/>
  <c r="AG107" i="1"/>
  <c r="AY107" i="1" s="1"/>
  <c r="AF107" i="1"/>
  <c r="AE107" i="1"/>
  <c r="AD107" i="1"/>
  <c r="AC107" i="1"/>
  <c r="AB107" i="1"/>
  <c r="AA107" i="1"/>
  <c r="Z107" i="1"/>
  <c r="Y107" i="1"/>
  <c r="AX107" i="1" s="1"/>
  <c r="X107" i="1"/>
  <c r="W107" i="1"/>
  <c r="V107" i="1"/>
  <c r="U107" i="1"/>
  <c r="T107" i="1"/>
  <c r="S107" i="1"/>
  <c r="R107" i="1"/>
  <c r="Q107" i="1"/>
  <c r="AW107" i="1" s="1"/>
  <c r="BQ106" i="1"/>
  <c r="AV106" i="1"/>
  <c r="AU106" i="1"/>
  <c r="AT106" i="1"/>
  <c r="AS106" i="1"/>
  <c r="AR106" i="1"/>
  <c r="AQ106" i="1"/>
  <c r="AP106" i="1"/>
  <c r="AO106" i="1"/>
  <c r="AZ106" i="1" s="1"/>
  <c r="AN106" i="1"/>
  <c r="AM106" i="1"/>
  <c r="AL106" i="1"/>
  <c r="AK106" i="1"/>
  <c r="AJ106" i="1"/>
  <c r="AI106" i="1"/>
  <c r="AH106" i="1"/>
  <c r="AG106" i="1"/>
  <c r="AY106" i="1" s="1"/>
  <c r="AF106" i="1"/>
  <c r="AE106" i="1"/>
  <c r="AD106" i="1"/>
  <c r="AC106" i="1"/>
  <c r="AB106" i="1"/>
  <c r="AA106" i="1"/>
  <c r="Z106" i="1"/>
  <c r="Y106" i="1"/>
  <c r="AX106" i="1" s="1"/>
  <c r="X106" i="1"/>
  <c r="W106" i="1"/>
  <c r="V106" i="1"/>
  <c r="U106" i="1"/>
  <c r="T106" i="1"/>
  <c r="S106" i="1"/>
  <c r="R106" i="1"/>
  <c r="Q106" i="1"/>
  <c r="AW106" i="1" s="1"/>
  <c r="BM106" i="1" s="1"/>
  <c r="BI105" i="1"/>
  <c r="AV105" i="1"/>
  <c r="AU105" i="1"/>
  <c r="AT105" i="1"/>
  <c r="AS105" i="1"/>
  <c r="AR105" i="1"/>
  <c r="AQ105" i="1"/>
  <c r="AP105" i="1"/>
  <c r="AO105" i="1"/>
  <c r="AZ105" i="1" s="1"/>
  <c r="AN105" i="1"/>
  <c r="AM105" i="1"/>
  <c r="AL105" i="1"/>
  <c r="AK105" i="1"/>
  <c r="AJ105" i="1"/>
  <c r="AI105" i="1"/>
  <c r="AH105" i="1"/>
  <c r="AG105" i="1"/>
  <c r="AY105" i="1" s="1"/>
  <c r="AF105" i="1"/>
  <c r="AE105" i="1"/>
  <c r="AD105" i="1"/>
  <c r="AC105" i="1"/>
  <c r="AB105" i="1"/>
  <c r="AA105" i="1"/>
  <c r="Z105" i="1"/>
  <c r="Y105" i="1"/>
  <c r="AX105" i="1" s="1"/>
  <c r="X105" i="1"/>
  <c r="W105" i="1"/>
  <c r="V105" i="1"/>
  <c r="U105" i="1"/>
  <c r="T105" i="1"/>
  <c r="S105" i="1"/>
  <c r="R105" i="1"/>
  <c r="Q105" i="1"/>
  <c r="AW105" i="1" s="1"/>
  <c r="BM105" i="1" s="1"/>
  <c r="AV104" i="1"/>
  <c r="AU104" i="1"/>
  <c r="AT104" i="1"/>
  <c r="AS104" i="1"/>
  <c r="AR104" i="1"/>
  <c r="AQ104" i="1"/>
  <c r="AP104" i="1"/>
  <c r="AO104" i="1"/>
  <c r="AN104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A104" i="1"/>
  <c r="Z104" i="1"/>
  <c r="AX104" i="1" s="1"/>
  <c r="Y104" i="1"/>
  <c r="X104" i="1"/>
  <c r="W104" i="1"/>
  <c r="V104" i="1"/>
  <c r="U104" i="1"/>
  <c r="T104" i="1"/>
  <c r="S104" i="1"/>
  <c r="R104" i="1"/>
  <c r="Q104" i="1"/>
  <c r="BT103" i="1"/>
  <c r="BI103" i="1"/>
  <c r="AX103" i="1"/>
  <c r="AV103" i="1"/>
  <c r="AU103" i="1"/>
  <c r="AT103" i="1"/>
  <c r="AS103" i="1"/>
  <c r="AR103" i="1"/>
  <c r="AQ103" i="1"/>
  <c r="AP103" i="1"/>
  <c r="AZ103" i="1" s="1"/>
  <c r="AO103" i="1"/>
  <c r="AN103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A103" i="1"/>
  <c r="Z103" i="1"/>
  <c r="Y103" i="1"/>
  <c r="X103" i="1"/>
  <c r="W103" i="1"/>
  <c r="V103" i="1"/>
  <c r="U103" i="1"/>
  <c r="T103" i="1"/>
  <c r="S103" i="1"/>
  <c r="R103" i="1"/>
  <c r="Q103" i="1"/>
  <c r="AW103" i="1" s="1"/>
  <c r="AV102" i="1"/>
  <c r="AU102" i="1"/>
  <c r="AT102" i="1"/>
  <c r="AS102" i="1"/>
  <c r="AR102" i="1"/>
  <c r="AQ102" i="1"/>
  <c r="AP102" i="1"/>
  <c r="AO102" i="1"/>
  <c r="AN102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A102" i="1"/>
  <c r="Z102" i="1"/>
  <c r="Y102" i="1"/>
  <c r="X102" i="1"/>
  <c r="W102" i="1"/>
  <c r="V102" i="1"/>
  <c r="U102" i="1"/>
  <c r="T102" i="1"/>
  <c r="S102" i="1"/>
  <c r="R102" i="1"/>
  <c r="Q102" i="1"/>
  <c r="BT101" i="1"/>
  <c r="AX101" i="1"/>
  <c r="AV101" i="1"/>
  <c r="AU101" i="1"/>
  <c r="AT101" i="1"/>
  <c r="AS101" i="1"/>
  <c r="AR101" i="1"/>
  <c r="AQ101" i="1"/>
  <c r="AP101" i="1"/>
  <c r="AZ101" i="1" s="1"/>
  <c r="AO101" i="1"/>
  <c r="AN101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A101" i="1"/>
  <c r="Z101" i="1"/>
  <c r="Y101" i="1"/>
  <c r="X101" i="1"/>
  <c r="W101" i="1"/>
  <c r="V101" i="1"/>
  <c r="U101" i="1"/>
  <c r="T101" i="1"/>
  <c r="S101" i="1"/>
  <c r="R101" i="1"/>
  <c r="Q101" i="1"/>
  <c r="AW101" i="1" s="1"/>
  <c r="BB100" i="1"/>
  <c r="BF100" i="1" s="1"/>
  <c r="AV100" i="1"/>
  <c r="AU100" i="1"/>
  <c r="AT100" i="1"/>
  <c r="AS100" i="1"/>
  <c r="AR100" i="1"/>
  <c r="AQ100" i="1"/>
  <c r="AP100" i="1"/>
  <c r="AZ100" i="1" s="1"/>
  <c r="AO100" i="1"/>
  <c r="AN100" i="1"/>
  <c r="AM100" i="1"/>
  <c r="AL100" i="1"/>
  <c r="AK100" i="1"/>
  <c r="AJ100" i="1"/>
  <c r="AI100" i="1"/>
  <c r="AH100" i="1"/>
  <c r="AY100" i="1" s="1"/>
  <c r="AG100" i="1"/>
  <c r="AF100" i="1"/>
  <c r="AE100" i="1"/>
  <c r="AD100" i="1"/>
  <c r="AC100" i="1"/>
  <c r="AB100" i="1"/>
  <c r="AA100" i="1"/>
  <c r="Z100" i="1"/>
  <c r="AX100" i="1" s="1"/>
  <c r="Y100" i="1"/>
  <c r="X100" i="1"/>
  <c r="W100" i="1"/>
  <c r="V100" i="1"/>
  <c r="U100" i="1"/>
  <c r="T100" i="1"/>
  <c r="S100" i="1"/>
  <c r="R100" i="1"/>
  <c r="Q100" i="1"/>
  <c r="AX99" i="1"/>
  <c r="AV99" i="1"/>
  <c r="AU99" i="1"/>
  <c r="AT99" i="1"/>
  <c r="AS99" i="1"/>
  <c r="AR99" i="1"/>
  <c r="AQ99" i="1"/>
  <c r="AP99" i="1"/>
  <c r="AZ99" i="1" s="1"/>
  <c r="AO99" i="1"/>
  <c r="AN99" i="1"/>
  <c r="AM99" i="1"/>
  <c r="AL99" i="1"/>
  <c r="AK99" i="1"/>
  <c r="AJ99" i="1"/>
  <c r="AI99" i="1"/>
  <c r="AH99" i="1"/>
  <c r="AY99" i="1" s="1"/>
  <c r="AG99" i="1"/>
  <c r="AF99" i="1"/>
  <c r="AE99" i="1"/>
  <c r="AD99" i="1"/>
  <c r="AC99" i="1"/>
  <c r="AB99" i="1"/>
  <c r="AA99" i="1"/>
  <c r="Z99" i="1"/>
  <c r="Y99" i="1"/>
  <c r="X99" i="1"/>
  <c r="W99" i="1"/>
  <c r="V99" i="1"/>
  <c r="U99" i="1"/>
  <c r="T99" i="1"/>
  <c r="S99" i="1"/>
  <c r="R99" i="1"/>
  <c r="Q99" i="1"/>
  <c r="AW99" i="1" s="1"/>
  <c r="BR98" i="1"/>
  <c r="AV98" i="1"/>
  <c r="AU98" i="1"/>
  <c r="AT98" i="1"/>
  <c r="AS98" i="1"/>
  <c r="AR98" i="1"/>
  <c r="AQ98" i="1"/>
  <c r="AP98" i="1"/>
  <c r="AZ98" i="1" s="1"/>
  <c r="AO98" i="1"/>
  <c r="AN98" i="1"/>
  <c r="AM98" i="1"/>
  <c r="AL98" i="1"/>
  <c r="AK98" i="1"/>
  <c r="AJ98" i="1"/>
  <c r="AI98" i="1"/>
  <c r="AH98" i="1"/>
  <c r="AY98" i="1" s="1"/>
  <c r="AG98" i="1"/>
  <c r="AF98" i="1"/>
  <c r="AE98" i="1"/>
  <c r="AD98" i="1"/>
  <c r="AC98" i="1"/>
  <c r="AB98" i="1"/>
  <c r="AA98" i="1"/>
  <c r="Z98" i="1"/>
  <c r="AX98" i="1" s="1"/>
  <c r="BB98" i="1" s="1"/>
  <c r="BF98" i="1" s="1"/>
  <c r="Y98" i="1"/>
  <c r="X98" i="1"/>
  <c r="W98" i="1"/>
  <c r="V98" i="1"/>
  <c r="U98" i="1"/>
  <c r="T98" i="1"/>
  <c r="S98" i="1"/>
  <c r="R98" i="1"/>
  <c r="Q98" i="1"/>
  <c r="BJ97" i="1"/>
  <c r="AX97" i="1"/>
  <c r="AV97" i="1"/>
  <c r="AU97" i="1"/>
  <c r="AT97" i="1"/>
  <c r="AS97" i="1"/>
  <c r="AR97" i="1"/>
  <c r="AQ97" i="1"/>
  <c r="AP97" i="1"/>
  <c r="AZ97" i="1" s="1"/>
  <c r="AO97" i="1"/>
  <c r="AN97" i="1"/>
  <c r="AM97" i="1"/>
  <c r="AL97" i="1"/>
  <c r="AK97" i="1"/>
  <c r="AJ97" i="1"/>
  <c r="AI97" i="1"/>
  <c r="AH97" i="1"/>
  <c r="AY97" i="1" s="1"/>
  <c r="AG97" i="1"/>
  <c r="AF97" i="1"/>
  <c r="AE97" i="1"/>
  <c r="AD97" i="1"/>
  <c r="AC97" i="1"/>
  <c r="AB97" i="1"/>
  <c r="AA97" i="1"/>
  <c r="Z97" i="1"/>
  <c r="Y97" i="1"/>
  <c r="X97" i="1"/>
  <c r="W97" i="1"/>
  <c r="V97" i="1"/>
  <c r="U97" i="1"/>
  <c r="T97" i="1"/>
  <c r="S97" i="1"/>
  <c r="R97" i="1"/>
  <c r="Q97" i="1"/>
  <c r="AW97" i="1" s="1"/>
  <c r="BB96" i="1"/>
  <c r="BF96" i="1" s="1"/>
  <c r="AV96" i="1"/>
  <c r="AU96" i="1"/>
  <c r="AT96" i="1"/>
  <c r="AS96" i="1"/>
  <c r="AR96" i="1"/>
  <c r="AQ96" i="1"/>
  <c r="AP96" i="1"/>
  <c r="AZ96" i="1" s="1"/>
  <c r="AO96" i="1"/>
  <c r="AN96" i="1"/>
  <c r="AM96" i="1"/>
  <c r="AL96" i="1"/>
  <c r="AK96" i="1"/>
  <c r="AJ96" i="1"/>
  <c r="AI96" i="1"/>
  <c r="AH96" i="1"/>
  <c r="AY96" i="1" s="1"/>
  <c r="AG96" i="1"/>
  <c r="AF96" i="1"/>
  <c r="AE96" i="1"/>
  <c r="AD96" i="1"/>
  <c r="AC96" i="1"/>
  <c r="AB96" i="1"/>
  <c r="AA96" i="1"/>
  <c r="Z96" i="1"/>
  <c r="AX96" i="1" s="1"/>
  <c r="Y96" i="1"/>
  <c r="X96" i="1"/>
  <c r="W96" i="1"/>
  <c r="V96" i="1"/>
  <c r="U96" i="1"/>
  <c r="T96" i="1"/>
  <c r="S96" i="1"/>
  <c r="R96" i="1"/>
  <c r="Q96" i="1"/>
  <c r="BJ95" i="1"/>
  <c r="AV95" i="1"/>
  <c r="AU95" i="1"/>
  <c r="AT95" i="1"/>
  <c r="AS95" i="1"/>
  <c r="AR95" i="1"/>
  <c r="AQ95" i="1"/>
  <c r="AP95" i="1"/>
  <c r="AZ95" i="1" s="1"/>
  <c r="AO95" i="1"/>
  <c r="AN95" i="1"/>
  <c r="AM95" i="1"/>
  <c r="AL95" i="1"/>
  <c r="AK95" i="1"/>
  <c r="AJ95" i="1"/>
  <c r="AI95" i="1"/>
  <c r="AH95" i="1"/>
  <c r="AY95" i="1" s="1"/>
  <c r="AG95" i="1"/>
  <c r="AF95" i="1"/>
  <c r="AE95" i="1"/>
  <c r="AD95" i="1"/>
  <c r="AC95" i="1"/>
  <c r="AB95" i="1"/>
  <c r="AA95" i="1"/>
  <c r="Z95" i="1"/>
  <c r="AX95" i="1" s="1"/>
  <c r="Y95" i="1"/>
  <c r="X95" i="1"/>
  <c r="W95" i="1"/>
  <c r="V95" i="1"/>
  <c r="U95" i="1"/>
  <c r="T95" i="1"/>
  <c r="S95" i="1"/>
  <c r="R95" i="1"/>
  <c r="Q95" i="1"/>
  <c r="AZ94" i="1"/>
  <c r="AV94" i="1"/>
  <c r="AU94" i="1"/>
  <c r="AT94" i="1"/>
  <c r="AS94" i="1"/>
  <c r="AR94" i="1"/>
  <c r="AQ94" i="1"/>
  <c r="AP94" i="1"/>
  <c r="AO94" i="1"/>
  <c r="AN94" i="1"/>
  <c r="AM94" i="1"/>
  <c r="AL94" i="1"/>
  <c r="AK94" i="1"/>
  <c r="AJ94" i="1"/>
  <c r="AI94" i="1"/>
  <c r="AH94" i="1"/>
  <c r="AY94" i="1" s="1"/>
  <c r="AG94" i="1"/>
  <c r="AF94" i="1"/>
  <c r="AE94" i="1"/>
  <c r="AD94" i="1"/>
  <c r="AC94" i="1"/>
  <c r="AB94" i="1"/>
  <c r="AA94" i="1"/>
  <c r="Z94" i="1"/>
  <c r="AX94" i="1" s="1"/>
  <c r="BN94" i="1" s="1"/>
  <c r="Y94" i="1"/>
  <c r="X94" i="1"/>
  <c r="W94" i="1"/>
  <c r="V94" i="1"/>
  <c r="U94" i="1"/>
  <c r="T94" i="1"/>
  <c r="S94" i="1"/>
  <c r="R94" i="1"/>
  <c r="Q94" i="1"/>
  <c r="BJ93" i="1"/>
  <c r="AV93" i="1"/>
  <c r="AU93" i="1"/>
  <c r="AT93" i="1"/>
  <c r="AS93" i="1"/>
  <c r="AR93" i="1"/>
  <c r="AQ93" i="1"/>
  <c r="AP93" i="1"/>
  <c r="AZ93" i="1" s="1"/>
  <c r="AO93" i="1"/>
  <c r="AN93" i="1"/>
  <c r="AM93" i="1"/>
  <c r="AL93" i="1"/>
  <c r="AK93" i="1"/>
  <c r="AJ93" i="1"/>
  <c r="AI93" i="1"/>
  <c r="AH93" i="1"/>
  <c r="AY93" i="1" s="1"/>
  <c r="AG93" i="1"/>
  <c r="AF93" i="1"/>
  <c r="AE93" i="1"/>
  <c r="AD93" i="1"/>
  <c r="AC93" i="1"/>
  <c r="AB93" i="1"/>
  <c r="AA93" i="1"/>
  <c r="Z93" i="1"/>
  <c r="AX93" i="1" s="1"/>
  <c r="Y93" i="1"/>
  <c r="X93" i="1"/>
  <c r="W93" i="1"/>
  <c r="V93" i="1"/>
  <c r="U93" i="1"/>
  <c r="T93" i="1"/>
  <c r="S93" i="1"/>
  <c r="R93" i="1"/>
  <c r="Q93" i="1"/>
  <c r="AZ92" i="1"/>
  <c r="AV92" i="1"/>
  <c r="AU92" i="1"/>
  <c r="AT92" i="1"/>
  <c r="AS92" i="1"/>
  <c r="AR92" i="1"/>
  <c r="AQ92" i="1"/>
  <c r="AP92" i="1"/>
  <c r="AO92" i="1"/>
  <c r="AN92" i="1"/>
  <c r="AM92" i="1"/>
  <c r="AL92" i="1"/>
  <c r="AK92" i="1"/>
  <c r="AJ92" i="1"/>
  <c r="AI92" i="1"/>
  <c r="AH92" i="1"/>
  <c r="AY92" i="1" s="1"/>
  <c r="AG92" i="1"/>
  <c r="AF92" i="1"/>
  <c r="AE92" i="1"/>
  <c r="AD92" i="1"/>
  <c r="AC92" i="1"/>
  <c r="AB92" i="1"/>
  <c r="AA92" i="1"/>
  <c r="Z92" i="1"/>
  <c r="AX92" i="1" s="1"/>
  <c r="BN92" i="1" s="1"/>
  <c r="Y92" i="1"/>
  <c r="X92" i="1"/>
  <c r="W92" i="1"/>
  <c r="V92" i="1"/>
  <c r="U92" i="1"/>
  <c r="T92" i="1"/>
  <c r="S92" i="1"/>
  <c r="R92" i="1"/>
  <c r="Q92" i="1"/>
  <c r="BJ91" i="1"/>
  <c r="AV91" i="1"/>
  <c r="AU91" i="1"/>
  <c r="AT91" i="1"/>
  <c r="AS91" i="1"/>
  <c r="AR91" i="1"/>
  <c r="AQ91" i="1"/>
  <c r="AP91" i="1"/>
  <c r="AZ91" i="1" s="1"/>
  <c r="AO91" i="1"/>
  <c r="AN91" i="1"/>
  <c r="AM91" i="1"/>
  <c r="AL91" i="1"/>
  <c r="AK91" i="1"/>
  <c r="AJ91" i="1"/>
  <c r="AI91" i="1"/>
  <c r="AH91" i="1"/>
  <c r="AY91" i="1" s="1"/>
  <c r="AG91" i="1"/>
  <c r="AF91" i="1"/>
  <c r="AE91" i="1"/>
  <c r="AD91" i="1"/>
  <c r="AC91" i="1"/>
  <c r="AB91" i="1"/>
  <c r="AA91" i="1"/>
  <c r="Z91" i="1"/>
  <c r="AX91" i="1" s="1"/>
  <c r="Y91" i="1"/>
  <c r="X91" i="1"/>
  <c r="W91" i="1"/>
  <c r="V91" i="1"/>
  <c r="U91" i="1"/>
  <c r="T91" i="1"/>
  <c r="S91" i="1"/>
  <c r="R91" i="1"/>
  <c r="Q91" i="1"/>
  <c r="AZ90" i="1"/>
  <c r="AV90" i="1"/>
  <c r="AU90" i="1"/>
  <c r="AT90" i="1"/>
  <c r="AS90" i="1"/>
  <c r="AR90" i="1"/>
  <c r="AQ90" i="1"/>
  <c r="AP90" i="1"/>
  <c r="AO90" i="1"/>
  <c r="AN90" i="1"/>
  <c r="AM90" i="1"/>
  <c r="AL90" i="1"/>
  <c r="AK90" i="1"/>
  <c r="AJ90" i="1"/>
  <c r="AI90" i="1"/>
  <c r="AH90" i="1"/>
  <c r="AY90" i="1" s="1"/>
  <c r="AG90" i="1"/>
  <c r="AF90" i="1"/>
  <c r="AE90" i="1"/>
  <c r="AD90" i="1"/>
  <c r="AC90" i="1"/>
  <c r="AB90" i="1"/>
  <c r="AA90" i="1"/>
  <c r="Z90" i="1"/>
  <c r="AX90" i="1" s="1"/>
  <c r="BN90" i="1" s="1"/>
  <c r="Y90" i="1"/>
  <c r="X90" i="1"/>
  <c r="W90" i="1"/>
  <c r="V90" i="1"/>
  <c r="U90" i="1"/>
  <c r="T90" i="1"/>
  <c r="S90" i="1"/>
  <c r="R90" i="1"/>
  <c r="Q90" i="1"/>
  <c r="BJ89" i="1"/>
  <c r="AV89" i="1"/>
  <c r="AU89" i="1"/>
  <c r="AT89" i="1"/>
  <c r="AS89" i="1"/>
  <c r="AR89" i="1"/>
  <c r="AQ89" i="1"/>
  <c r="AP89" i="1"/>
  <c r="AZ89" i="1" s="1"/>
  <c r="AO89" i="1"/>
  <c r="AN89" i="1"/>
  <c r="AM89" i="1"/>
  <c r="AL89" i="1"/>
  <c r="AK89" i="1"/>
  <c r="AJ89" i="1"/>
  <c r="AI89" i="1"/>
  <c r="AH89" i="1"/>
  <c r="AY89" i="1" s="1"/>
  <c r="AG89" i="1"/>
  <c r="AF89" i="1"/>
  <c r="AE89" i="1"/>
  <c r="AD89" i="1"/>
  <c r="AC89" i="1"/>
  <c r="AB89" i="1"/>
  <c r="AA89" i="1"/>
  <c r="Z89" i="1"/>
  <c r="AX89" i="1" s="1"/>
  <c r="Y89" i="1"/>
  <c r="X89" i="1"/>
  <c r="W89" i="1"/>
  <c r="V89" i="1"/>
  <c r="U89" i="1"/>
  <c r="T89" i="1"/>
  <c r="S89" i="1"/>
  <c r="R89" i="1"/>
  <c r="Q89" i="1"/>
  <c r="AZ88" i="1"/>
  <c r="AV88" i="1"/>
  <c r="AU88" i="1"/>
  <c r="AT88" i="1"/>
  <c r="AS88" i="1"/>
  <c r="AR88" i="1"/>
  <c r="AQ88" i="1"/>
  <c r="AP88" i="1"/>
  <c r="AO88" i="1"/>
  <c r="AN88" i="1"/>
  <c r="AM88" i="1"/>
  <c r="AL88" i="1"/>
  <c r="AK88" i="1"/>
  <c r="AJ88" i="1"/>
  <c r="AI88" i="1"/>
  <c r="AH88" i="1"/>
  <c r="AY88" i="1" s="1"/>
  <c r="AG88" i="1"/>
  <c r="AF88" i="1"/>
  <c r="AE88" i="1"/>
  <c r="AD88" i="1"/>
  <c r="AC88" i="1"/>
  <c r="AB88" i="1"/>
  <c r="AA88" i="1"/>
  <c r="Z88" i="1"/>
  <c r="AX88" i="1" s="1"/>
  <c r="BN88" i="1" s="1"/>
  <c r="Y88" i="1"/>
  <c r="X88" i="1"/>
  <c r="W88" i="1"/>
  <c r="V88" i="1"/>
  <c r="U88" i="1"/>
  <c r="T88" i="1"/>
  <c r="S88" i="1"/>
  <c r="R88" i="1"/>
  <c r="Q88" i="1"/>
  <c r="BJ87" i="1"/>
  <c r="AV87" i="1"/>
  <c r="AU87" i="1"/>
  <c r="AT87" i="1"/>
  <c r="AS87" i="1"/>
  <c r="AR87" i="1"/>
  <c r="AQ87" i="1"/>
  <c r="AP87" i="1"/>
  <c r="AZ87" i="1" s="1"/>
  <c r="AO87" i="1"/>
  <c r="AN87" i="1"/>
  <c r="AM87" i="1"/>
  <c r="AL87" i="1"/>
  <c r="AK87" i="1"/>
  <c r="AJ87" i="1"/>
  <c r="AI87" i="1"/>
  <c r="AH87" i="1"/>
  <c r="AY87" i="1" s="1"/>
  <c r="AG87" i="1"/>
  <c r="AF87" i="1"/>
  <c r="AE87" i="1"/>
  <c r="AD87" i="1"/>
  <c r="AC87" i="1"/>
  <c r="AB87" i="1"/>
  <c r="AA87" i="1"/>
  <c r="Z87" i="1"/>
  <c r="AX87" i="1" s="1"/>
  <c r="Y87" i="1"/>
  <c r="X87" i="1"/>
  <c r="W87" i="1"/>
  <c r="V87" i="1"/>
  <c r="U87" i="1"/>
  <c r="T87" i="1"/>
  <c r="S87" i="1"/>
  <c r="R87" i="1"/>
  <c r="Q87" i="1"/>
  <c r="AZ86" i="1"/>
  <c r="AV86" i="1"/>
  <c r="AU86" i="1"/>
  <c r="AT86" i="1"/>
  <c r="AS86" i="1"/>
  <c r="AR86" i="1"/>
  <c r="AQ86" i="1"/>
  <c r="AP86" i="1"/>
  <c r="AO86" i="1"/>
  <c r="AN86" i="1"/>
  <c r="AM86" i="1"/>
  <c r="AL86" i="1"/>
  <c r="AK86" i="1"/>
  <c r="AJ86" i="1"/>
  <c r="AI86" i="1"/>
  <c r="AH86" i="1"/>
  <c r="AY86" i="1" s="1"/>
  <c r="AG86" i="1"/>
  <c r="AF86" i="1"/>
  <c r="AE86" i="1"/>
  <c r="AD86" i="1"/>
  <c r="AC86" i="1"/>
  <c r="AB86" i="1"/>
  <c r="AA86" i="1"/>
  <c r="Z86" i="1"/>
  <c r="AX86" i="1" s="1"/>
  <c r="BN86" i="1" s="1"/>
  <c r="Y86" i="1"/>
  <c r="X86" i="1"/>
  <c r="W86" i="1"/>
  <c r="V86" i="1"/>
  <c r="U86" i="1"/>
  <c r="T86" i="1"/>
  <c r="S86" i="1"/>
  <c r="R86" i="1"/>
  <c r="Q86" i="1"/>
  <c r="BJ85" i="1"/>
  <c r="AV85" i="1"/>
  <c r="AU85" i="1"/>
  <c r="AT85" i="1"/>
  <c r="AS85" i="1"/>
  <c r="AR85" i="1"/>
  <c r="AQ85" i="1"/>
  <c r="AP85" i="1"/>
  <c r="AZ85" i="1" s="1"/>
  <c r="AO85" i="1"/>
  <c r="AN85" i="1"/>
  <c r="AM85" i="1"/>
  <c r="AL85" i="1"/>
  <c r="AK85" i="1"/>
  <c r="AJ85" i="1"/>
  <c r="AI85" i="1"/>
  <c r="AH85" i="1"/>
  <c r="AY85" i="1" s="1"/>
  <c r="AG85" i="1"/>
  <c r="AF85" i="1"/>
  <c r="AE85" i="1"/>
  <c r="AD85" i="1"/>
  <c r="AC85" i="1"/>
  <c r="AB85" i="1"/>
  <c r="AA85" i="1"/>
  <c r="Z85" i="1"/>
  <c r="AX85" i="1" s="1"/>
  <c r="Y85" i="1"/>
  <c r="X85" i="1"/>
  <c r="W85" i="1"/>
  <c r="V85" i="1"/>
  <c r="U85" i="1"/>
  <c r="T85" i="1"/>
  <c r="S85" i="1"/>
  <c r="R85" i="1"/>
  <c r="Q85" i="1"/>
  <c r="BR84" i="1"/>
  <c r="BB84" i="1"/>
  <c r="BF84" i="1" s="1"/>
  <c r="AX84" i="1"/>
  <c r="BN84" i="1" s="1"/>
  <c r="AV84" i="1"/>
  <c r="AU84" i="1"/>
  <c r="AT84" i="1"/>
  <c r="AS84" i="1"/>
  <c r="AR84" i="1"/>
  <c r="AQ84" i="1"/>
  <c r="AP84" i="1"/>
  <c r="AZ84" i="1" s="1"/>
  <c r="AO84" i="1"/>
  <c r="AN84" i="1"/>
  <c r="AM84" i="1"/>
  <c r="AL84" i="1"/>
  <c r="AK84" i="1"/>
  <c r="AJ84" i="1"/>
  <c r="AI84" i="1"/>
  <c r="AH84" i="1"/>
  <c r="AY84" i="1" s="1"/>
  <c r="AG84" i="1"/>
  <c r="AF84" i="1"/>
  <c r="AE84" i="1"/>
  <c r="AD84" i="1"/>
  <c r="AC84" i="1"/>
  <c r="AB84" i="1"/>
  <c r="AA84" i="1"/>
  <c r="Z84" i="1"/>
  <c r="Y84" i="1"/>
  <c r="X84" i="1"/>
  <c r="W84" i="1"/>
  <c r="V84" i="1"/>
  <c r="U84" i="1"/>
  <c r="T84" i="1"/>
  <c r="S84" i="1"/>
  <c r="R84" i="1"/>
  <c r="Q84" i="1"/>
  <c r="AW84" i="1" s="1"/>
  <c r="AV83" i="1"/>
  <c r="AU83" i="1"/>
  <c r="AT83" i="1"/>
  <c r="AS83" i="1"/>
  <c r="AR83" i="1"/>
  <c r="AQ83" i="1"/>
  <c r="AP83" i="1"/>
  <c r="AO83" i="1"/>
  <c r="AN83" i="1"/>
  <c r="AM83" i="1"/>
  <c r="AL83" i="1"/>
  <c r="AK83" i="1"/>
  <c r="AJ83" i="1"/>
  <c r="AI83" i="1"/>
  <c r="AH83" i="1"/>
  <c r="AG83" i="1"/>
  <c r="AF83" i="1"/>
  <c r="AE83" i="1"/>
  <c r="AD83" i="1"/>
  <c r="AC83" i="1"/>
  <c r="AB83" i="1"/>
  <c r="AA83" i="1"/>
  <c r="Z83" i="1"/>
  <c r="Y83" i="1"/>
  <c r="X83" i="1"/>
  <c r="W83" i="1"/>
  <c r="V83" i="1"/>
  <c r="U83" i="1"/>
  <c r="T83" i="1"/>
  <c r="S83" i="1"/>
  <c r="R83" i="1"/>
  <c r="Q83" i="1"/>
  <c r="AV82" i="1"/>
  <c r="AU82" i="1"/>
  <c r="AT82" i="1"/>
  <c r="AS82" i="1"/>
  <c r="AR82" i="1"/>
  <c r="AQ82" i="1"/>
  <c r="AP82" i="1"/>
  <c r="AO82" i="1"/>
  <c r="AN82" i="1"/>
  <c r="AM82" i="1"/>
  <c r="AL82" i="1"/>
  <c r="AK82" i="1"/>
  <c r="AJ82" i="1"/>
  <c r="AI82" i="1"/>
  <c r="AH82" i="1"/>
  <c r="AG82" i="1"/>
  <c r="AF82" i="1"/>
  <c r="AE82" i="1"/>
  <c r="AD82" i="1"/>
  <c r="AC82" i="1"/>
  <c r="AB82" i="1"/>
  <c r="AX82" i="1" s="1"/>
  <c r="AA82" i="1"/>
  <c r="Z82" i="1"/>
  <c r="Y82" i="1"/>
  <c r="X82" i="1"/>
  <c r="W82" i="1"/>
  <c r="V82" i="1"/>
  <c r="U82" i="1"/>
  <c r="T82" i="1"/>
  <c r="S82" i="1"/>
  <c r="R82" i="1"/>
  <c r="Q82" i="1"/>
  <c r="BJ81" i="1"/>
  <c r="AY81" i="1"/>
  <c r="AV81" i="1"/>
  <c r="AU81" i="1"/>
  <c r="AT81" i="1"/>
  <c r="AS81" i="1"/>
  <c r="AR81" i="1"/>
  <c r="AQ81" i="1"/>
  <c r="AP81" i="1"/>
  <c r="AZ81" i="1" s="1"/>
  <c r="AO81" i="1"/>
  <c r="AN81" i="1"/>
  <c r="AM81" i="1"/>
  <c r="AL81" i="1"/>
  <c r="AK81" i="1"/>
  <c r="AJ81" i="1"/>
  <c r="AI81" i="1"/>
  <c r="AH81" i="1"/>
  <c r="AG81" i="1"/>
  <c r="AF81" i="1"/>
  <c r="AE81" i="1"/>
  <c r="AD81" i="1"/>
  <c r="AC81" i="1"/>
  <c r="AB81" i="1"/>
  <c r="AA81" i="1"/>
  <c r="Z81" i="1"/>
  <c r="AX81" i="1" s="1"/>
  <c r="Y81" i="1"/>
  <c r="X81" i="1"/>
  <c r="W81" i="1"/>
  <c r="V81" i="1"/>
  <c r="U81" i="1"/>
  <c r="T81" i="1"/>
  <c r="S81" i="1"/>
  <c r="R81" i="1"/>
  <c r="Q81" i="1"/>
  <c r="BN80" i="1"/>
  <c r="BB80" i="1"/>
  <c r="BF80" i="1" s="1"/>
  <c r="AX80" i="1"/>
  <c r="BJ80" i="1" s="1"/>
  <c r="AV80" i="1"/>
  <c r="AU80" i="1"/>
  <c r="AT80" i="1"/>
  <c r="AS80" i="1"/>
  <c r="AR80" i="1"/>
  <c r="AQ80" i="1"/>
  <c r="AP80" i="1"/>
  <c r="AZ80" i="1" s="1"/>
  <c r="AO80" i="1"/>
  <c r="AN80" i="1"/>
  <c r="AM80" i="1"/>
  <c r="AL80" i="1"/>
  <c r="AK80" i="1"/>
  <c r="AJ80" i="1"/>
  <c r="AI80" i="1"/>
  <c r="AH80" i="1"/>
  <c r="AY80" i="1" s="1"/>
  <c r="AG80" i="1"/>
  <c r="AF80" i="1"/>
  <c r="AE80" i="1"/>
  <c r="AD80" i="1"/>
  <c r="AC80" i="1"/>
  <c r="AB80" i="1"/>
  <c r="AA80" i="1"/>
  <c r="Z80" i="1"/>
  <c r="Y80" i="1"/>
  <c r="X80" i="1"/>
  <c r="W80" i="1"/>
  <c r="V80" i="1"/>
  <c r="U80" i="1"/>
  <c r="T80" i="1"/>
  <c r="S80" i="1"/>
  <c r="R80" i="1"/>
  <c r="Q80" i="1"/>
  <c r="AW80" i="1" s="1"/>
  <c r="BP79" i="1"/>
  <c r="AZ79" i="1"/>
  <c r="AV79" i="1"/>
  <c r="AU79" i="1"/>
  <c r="AT79" i="1"/>
  <c r="AS79" i="1"/>
  <c r="AR79" i="1"/>
  <c r="AQ79" i="1"/>
  <c r="AP79" i="1"/>
  <c r="AO79" i="1"/>
  <c r="AN79" i="1"/>
  <c r="AM79" i="1"/>
  <c r="AL79" i="1"/>
  <c r="AK79" i="1"/>
  <c r="AJ79" i="1"/>
  <c r="AI79" i="1"/>
  <c r="AH79" i="1"/>
  <c r="AG79" i="1"/>
  <c r="AY79" i="1" s="1"/>
  <c r="AF79" i="1"/>
  <c r="AE79" i="1"/>
  <c r="AD79" i="1"/>
  <c r="AC79" i="1"/>
  <c r="AB79" i="1"/>
  <c r="AA79" i="1"/>
  <c r="Z79" i="1"/>
  <c r="Y79" i="1"/>
  <c r="AX79" i="1" s="1"/>
  <c r="X79" i="1"/>
  <c r="W79" i="1"/>
  <c r="V79" i="1"/>
  <c r="U79" i="1"/>
  <c r="T79" i="1"/>
  <c r="S79" i="1"/>
  <c r="R79" i="1"/>
  <c r="Q79" i="1"/>
  <c r="AW79" i="1" s="1"/>
  <c r="BP78" i="1"/>
  <c r="AZ78" i="1"/>
  <c r="AV78" i="1"/>
  <c r="AU78" i="1"/>
  <c r="AT78" i="1"/>
  <c r="AS78" i="1"/>
  <c r="AR78" i="1"/>
  <c r="AQ78" i="1"/>
  <c r="AP78" i="1"/>
  <c r="AO78" i="1"/>
  <c r="AN78" i="1"/>
  <c r="AM78" i="1"/>
  <c r="AL78" i="1"/>
  <c r="AK78" i="1"/>
  <c r="AJ78" i="1"/>
  <c r="AI78" i="1"/>
  <c r="AH78" i="1"/>
  <c r="AG78" i="1"/>
  <c r="AY78" i="1" s="1"/>
  <c r="AF78" i="1"/>
  <c r="AE78" i="1"/>
  <c r="AD78" i="1"/>
  <c r="AC78" i="1"/>
  <c r="AB78" i="1"/>
  <c r="AA78" i="1"/>
  <c r="Z78" i="1"/>
  <c r="Y78" i="1"/>
  <c r="AX78" i="1" s="1"/>
  <c r="X78" i="1"/>
  <c r="W78" i="1"/>
  <c r="V78" i="1"/>
  <c r="U78" i="1"/>
  <c r="T78" i="1"/>
  <c r="S78" i="1"/>
  <c r="R78" i="1"/>
  <c r="Q78" i="1"/>
  <c r="AW78" i="1" s="1"/>
  <c r="AZ77" i="1"/>
  <c r="AV77" i="1"/>
  <c r="AU77" i="1"/>
  <c r="AT77" i="1"/>
  <c r="AS77" i="1"/>
  <c r="AR77" i="1"/>
  <c r="AQ77" i="1"/>
  <c r="AP77" i="1"/>
  <c r="AO77" i="1"/>
  <c r="AN77" i="1"/>
  <c r="AM77" i="1"/>
  <c r="AL77" i="1"/>
  <c r="AK77" i="1"/>
  <c r="AJ77" i="1"/>
  <c r="AI77" i="1"/>
  <c r="AH77" i="1"/>
  <c r="AG77" i="1"/>
  <c r="AY77" i="1" s="1"/>
  <c r="AF77" i="1"/>
  <c r="AE77" i="1"/>
  <c r="AD77" i="1"/>
  <c r="AC77" i="1"/>
  <c r="AB77" i="1"/>
  <c r="AA77" i="1"/>
  <c r="Z77" i="1"/>
  <c r="Y77" i="1"/>
  <c r="AX77" i="1" s="1"/>
  <c r="X77" i="1"/>
  <c r="W77" i="1"/>
  <c r="V77" i="1"/>
  <c r="U77" i="1"/>
  <c r="T77" i="1"/>
  <c r="S77" i="1"/>
  <c r="R77" i="1"/>
  <c r="Q77" i="1"/>
  <c r="AW77" i="1" s="1"/>
  <c r="AZ76" i="1"/>
  <c r="AV76" i="1"/>
  <c r="AU76" i="1"/>
  <c r="AT76" i="1"/>
  <c r="AS76" i="1"/>
  <c r="AR76" i="1"/>
  <c r="AQ76" i="1"/>
  <c r="AP76" i="1"/>
  <c r="AO76" i="1"/>
  <c r="AN76" i="1"/>
  <c r="AM76" i="1"/>
  <c r="AL76" i="1"/>
  <c r="AK76" i="1"/>
  <c r="AJ76" i="1"/>
  <c r="AI76" i="1"/>
  <c r="AH76" i="1"/>
  <c r="AG76" i="1"/>
  <c r="AY76" i="1" s="1"/>
  <c r="AF76" i="1"/>
  <c r="AE76" i="1"/>
  <c r="AD76" i="1"/>
  <c r="AC76" i="1"/>
  <c r="AB76" i="1"/>
  <c r="AA76" i="1"/>
  <c r="Z76" i="1"/>
  <c r="Y76" i="1"/>
  <c r="AX76" i="1" s="1"/>
  <c r="X76" i="1"/>
  <c r="W76" i="1"/>
  <c r="V76" i="1"/>
  <c r="U76" i="1"/>
  <c r="T76" i="1"/>
  <c r="S76" i="1"/>
  <c r="R76" i="1"/>
  <c r="Q76" i="1"/>
  <c r="AW76" i="1" s="1"/>
  <c r="BP75" i="1"/>
  <c r="AZ75" i="1"/>
  <c r="AV75" i="1"/>
  <c r="AU75" i="1"/>
  <c r="AT75" i="1"/>
  <c r="AS75" i="1"/>
  <c r="AR75" i="1"/>
  <c r="AQ75" i="1"/>
  <c r="AP75" i="1"/>
  <c r="AO75" i="1"/>
  <c r="AN75" i="1"/>
  <c r="AM75" i="1"/>
  <c r="AL75" i="1"/>
  <c r="AK75" i="1"/>
  <c r="AJ75" i="1"/>
  <c r="AI75" i="1"/>
  <c r="AH75" i="1"/>
  <c r="AG75" i="1"/>
  <c r="AY75" i="1" s="1"/>
  <c r="AF75" i="1"/>
  <c r="AE75" i="1"/>
  <c r="AD75" i="1"/>
  <c r="AC75" i="1"/>
  <c r="AB75" i="1"/>
  <c r="AA75" i="1"/>
  <c r="Z75" i="1"/>
  <c r="Y75" i="1"/>
  <c r="AX75" i="1" s="1"/>
  <c r="X75" i="1"/>
  <c r="W75" i="1"/>
  <c r="V75" i="1"/>
  <c r="U75" i="1"/>
  <c r="T75" i="1"/>
  <c r="S75" i="1"/>
  <c r="R75" i="1"/>
  <c r="Q75" i="1"/>
  <c r="AW75" i="1" s="1"/>
  <c r="BP74" i="1"/>
  <c r="AZ74" i="1"/>
  <c r="AV74" i="1"/>
  <c r="AU74" i="1"/>
  <c r="AT74" i="1"/>
  <c r="AS74" i="1"/>
  <c r="AR74" i="1"/>
  <c r="AQ74" i="1"/>
  <c r="AP74" i="1"/>
  <c r="AO74" i="1"/>
  <c r="AN74" i="1"/>
  <c r="AM74" i="1"/>
  <c r="AL74" i="1"/>
  <c r="AK74" i="1"/>
  <c r="AJ74" i="1"/>
  <c r="AI74" i="1"/>
  <c r="AH74" i="1"/>
  <c r="AG74" i="1"/>
  <c r="AY74" i="1" s="1"/>
  <c r="AF74" i="1"/>
  <c r="AE74" i="1"/>
  <c r="AD74" i="1"/>
  <c r="AC74" i="1"/>
  <c r="AB74" i="1"/>
  <c r="AA74" i="1"/>
  <c r="Z74" i="1"/>
  <c r="Y74" i="1"/>
  <c r="AX74" i="1" s="1"/>
  <c r="X74" i="1"/>
  <c r="W74" i="1"/>
  <c r="V74" i="1"/>
  <c r="U74" i="1"/>
  <c r="T74" i="1"/>
  <c r="S74" i="1"/>
  <c r="R74" i="1"/>
  <c r="Q74" i="1"/>
  <c r="AW74" i="1" s="1"/>
  <c r="AZ73" i="1"/>
  <c r="AV73" i="1"/>
  <c r="AU73" i="1"/>
  <c r="AT73" i="1"/>
  <c r="AS73" i="1"/>
  <c r="AR73" i="1"/>
  <c r="AQ73" i="1"/>
  <c r="AP73" i="1"/>
  <c r="AO73" i="1"/>
  <c r="AN73" i="1"/>
  <c r="AM73" i="1"/>
  <c r="AL73" i="1"/>
  <c r="AK73" i="1"/>
  <c r="AJ73" i="1"/>
  <c r="AI73" i="1"/>
  <c r="AH73" i="1"/>
  <c r="AG73" i="1"/>
  <c r="AY73" i="1" s="1"/>
  <c r="AF73" i="1"/>
  <c r="AE73" i="1"/>
  <c r="AD73" i="1"/>
  <c r="AC73" i="1"/>
  <c r="AB73" i="1"/>
  <c r="AA73" i="1"/>
  <c r="Z73" i="1"/>
  <c r="Y73" i="1"/>
  <c r="AX73" i="1" s="1"/>
  <c r="X73" i="1"/>
  <c r="W73" i="1"/>
  <c r="V73" i="1"/>
  <c r="U73" i="1"/>
  <c r="T73" i="1"/>
  <c r="S73" i="1"/>
  <c r="R73" i="1"/>
  <c r="Q73" i="1"/>
  <c r="AW73" i="1" s="1"/>
  <c r="AZ72" i="1"/>
  <c r="AV72" i="1"/>
  <c r="AU72" i="1"/>
  <c r="AT72" i="1"/>
  <c r="AS72" i="1"/>
  <c r="AR72" i="1"/>
  <c r="AQ72" i="1"/>
  <c r="AP72" i="1"/>
  <c r="AO72" i="1"/>
  <c r="AN72" i="1"/>
  <c r="AM72" i="1"/>
  <c r="AL72" i="1"/>
  <c r="AK72" i="1"/>
  <c r="AJ72" i="1"/>
  <c r="AI72" i="1"/>
  <c r="AH72" i="1"/>
  <c r="AG72" i="1"/>
  <c r="AY72" i="1" s="1"/>
  <c r="AF72" i="1"/>
  <c r="AE72" i="1"/>
  <c r="AD72" i="1"/>
  <c r="AC72" i="1"/>
  <c r="AB72" i="1"/>
  <c r="AA72" i="1"/>
  <c r="Z72" i="1"/>
  <c r="Y72" i="1"/>
  <c r="AX72" i="1" s="1"/>
  <c r="X72" i="1"/>
  <c r="W72" i="1"/>
  <c r="V72" i="1"/>
  <c r="U72" i="1"/>
  <c r="T72" i="1"/>
  <c r="S72" i="1"/>
  <c r="R72" i="1"/>
  <c r="Q72" i="1"/>
  <c r="AW72" i="1" s="1"/>
  <c r="BP71" i="1"/>
  <c r="AZ71" i="1"/>
  <c r="AV71" i="1"/>
  <c r="AU71" i="1"/>
  <c r="AT71" i="1"/>
  <c r="AS71" i="1"/>
  <c r="AR71" i="1"/>
  <c r="AQ71" i="1"/>
  <c r="AP71" i="1"/>
  <c r="AO71" i="1"/>
  <c r="AN71" i="1"/>
  <c r="AM71" i="1"/>
  <c r="AL71" i="1"/>
  <c r="AK71" i="1"/>
  <c r="AJ71" i="1"/>
  <c r="AI71" i="1"/>
  <c r="AH71" i="1"/>
  <c r="AG71" i="1"/>
  <c r="AY71" i="1" s="1"/>
  <c r="AF71" i="1"/>
  <c r="AE71" i="1"/>
  <c r="AD71" i="1"/>
  <c r="AC71" i="1"/>
  <c r="AB71" i="1"/>
  <c r="AA71" i="1"/>
  <c r="Z71" i="1"/>
  <c r="Y71" i="1"/>
  <c r="AX71" i="1" s="1"/>
  <c r="X71" i="1"/>
  <c r="W71" i="1"/>
  <c r="V71" i="1"/>
  <c r="U71" i="1"/>
  <c r="T71" i="1"/>
  <c r="S71" i="1"/>
  <c r="R71" i="1"/>
  <c r="Q71" i="1"/>
  <c r="AW71" i="1" s="1"/>
  <c r="BP70" i="1"/>
  <c r="AZ70" i="1"/>
  <c r="AV70" i="1"/>
  <c r="AU70" i="1"/>
  <c r="AT70" i="1"/>
  <c r="AS70" i="1"/>
  <c r="AR70" i="1"/>
  <c r="AQ70" i="1"/>
  <c r="AP70" i="1"/>
  <c r="AO70" i="1"/>
  <c r="AN70" i="1"/>
  <c r="AM70" i="1"/>
  <c r="AL70" i="1"/>
  <c r="AK70" i="1"/>
  <c r="AJ70" i="1"/>
  <c r="AI70" i="1"/>
  <c r="AH70" i="1"/>
  <c r="AG70" i="1"/>
  <c r="AY70" i="1" s="1"/>
  <c r="AF70" i="1"/>
  <c r="AE70" i="1"/>
  <c r="AD70" i="1"/>
  <c r="AC70" i="1"/>
  <c r="AB70" i="1"/>
  <c r="AA70" i="1"/>
  <c r="Z70" i="1"/>
  <c r="Y70" i="1"/>
  <c r="AX70" i="1" s="1"/>
  <c r="X70" i="1"/>
  <c r="W70" i="1"/>
  <c r="V70" i="1"/>
  <c r="U70" i="1"/>
  <c r="T70" i="1"/>
  <c r="S70" i="1"/>
  <c r="R70" i="1"/>
  <c r="Q70" i="1"/>
  <c r="AW70" i="1" s="1"/>
  <c r="AZ69" i="1"/>
  <c r="AV69" i="1"/>
  <c r="AU69" i="1"/>
  <c r="AT69" i="1"/>
  <c r="AS69" i="1"/>
  <c r="AR69" i="1"/>
  <c r="AQ69" i="1"/>
  <c r="AP69" i="1"/>
  <c r="AO69" i="1"/>
  <c r="AN69" i="1"/>
  <c r="AM69" i="1"/>
  <c r="AL69" i="1"/>
  <c r="AK69" i="1"/>
  <c r="AJ69" i="1"/>
  <c r="AI69" i="1"/>
  <c r="AH69" i="1"/>
  <c r="AG69" i="1"/>
  <c r="AY69" i="1" s="1"/>
  <c r="AF69" i="1"/>
  <c r="AE69" i="1"/>
  <c r="AD69" i="1"/>
  <c r="AC69" i="1"/>
  <c r="AB69" i="1"/>
  <c r="AA69" i="1"/>
  <c r="Z69" i="1"/>
  <c r="Y69" i="1"/>
  <c r="AX69" i="1" s="1"/>
  <c r="X69" i="1"/>
  <c r="W69" i="1"/>
  <c r="V69" i="1"/>
  <c r="U69" i="1"/>
  <c r="T69" i="1"/>
  <c r="S69" i="1"/>
  <c r="R69" i="1"/>
  <c r="Q69" i="1"/>
  <c r="AW69" i="1" s="1"/>
  <c r="AZ68" i="1"/>
  <c r="AV68" i="1"/>
  <c r="AU68" i="1"/>
  <c r="AT68" i="1"/>
  <c r="AS68" i="1"/>
  <c r="AR68" i="1"/>
  <c r="AQ68" i="1"/>
  <c r="AP68" i="1"/>
  <c r="AO68" i="1"/>
  <c r="AN68" i="1"/>
  <c r="AM68" i="1"/>
  <c r="AL68" i="1"/>
  <c r="AK68" i="1"/>
  <c r="AJ68" i="1"/>
  <c r="AI68" i="1"/>
  <c r="AH68" i="1"/>
  <c r="AG68" i="1"/>
  <c r="AY68" i="1" s="1"/>
  <c r="AF68" i="1"/>
  <c r="AE68" i="1"/>
  <c r="AD68" i="1"/>
  <c r="AC68" i="1"/>
  <c r="AB68" i="1"/>
  <c r="AA68" i="1"/>
  <c r="Z68" i="1"/>
  <c r="Y68" i="1"/>
  <c r="AX68" i="1" s="1"/>
  <c r="X68" i="1"/>
  <c r="W68" i="1"/>
  <c r="V68" i="1"/>
  <c r="U68" i="1"/>
  <c r="T68" i="1"/>
  <c r="S68" i="1"/>
  <c r="R68" i="1"/>
  <c r="Q68" i="1"/>
  <c r="AW68" i="1" s="1"/>
  <c r="BP67" i="1"/>
  <c r="AZ67" i="1"/>
  <c r="AV67" i="1"/>
  <c r="AU67" i="1"/>
  <c r="AT67" i="1"/>
  <c r="AS67" i="1"/>
  <c r="AR67" i="1"/>
  <c r="AQ67" i="1"/>
  <c r="AP67" i="1"/>
  <c r="AO67" i="1"/>
  <c r="AN67" i="1"/>
  <c r="AM67" i="1"/>
  <c r="AL67" i="1"/>
  <c r="AK67" i="1"/>
  <c r="AJ67" i="1"/>
  <c r="AI67" i="1"/>
  <c r="AH67" i="1"/>
  <c r="AG67" i="1"/>
  <c r="AY67" i="1" s="1"/>
  <c r="AF67" i="1"/>
  <c r="AE67" i="1"/>
  <c r="AD67" i="1"/>
  <c r="AC67" i="1"/>
  <c r="AB67" i="1"/>
  <c r="AA67" i="1"/>
  <c r="Z67" i="1"/>
  <c r="Y67" i="1"/>
  <c r="AX67" i="1" s="1"/>
  <c r="X67" i="1"/>
  <c r="W67" i="1"/>
  <c r="V67" i="1"/>
  <c r="U67" i="1"/>
  <c r="T67" i="1"/>
  <c r="S67" i="1"/>
  <c r="R67" i="1"/>
  <c r="Q67" i="1"/>
  <c r="AW67" i="1" s="1"/>
  <c r="BP66" i="1"/>
  <c r="AZ66" i="1"/>
  <c r="AV66" i="1"/>
  <c r="AU66" i="1"/>
  <c r="AT66" i="1"/>
  <c r="AS66" i="1"/>
  <c r="AR66" i="1"/>
  <c r="AQ66" i="1"/>
  <c r="AP66" i="1"/>
  <c r="AO66" i="1"/>
  <c r="AN66" i="1"/>
  <c r="AM66" i="1"/>
  <c r="AL66" i="1"/>
  <c r="AK66" i="1"/>
  <c r="AJ66" i="1"/>
  <c r="AI66" i="1"/>
  <c r="AH66" i="1"/>
  <c r="AG66" i="1"/>
  <c r="AY66" i="1" s="1"/>
  <c r="AF66" i="1"/>
  <c r="AE66" i="1"/>
  <c r="AD66" i="1"/>
  <c r="AC66" i="1"/>
  <c r="AB66" i="1"/>
  <c r="AA66" i="1"/>
  <c r="Z66" i="1"/>
  <c r="Y66" i="1"/>
  <c r="AX66" i="1" s="1"/>
  <c r="X66" i="1"/>
  <c r="W66" i="1"/>
  <c r="V66" i="1"/>
  <c r="U66" i="1"/>
  <c r="T66" i="1"/>
  <c r="S66" i="1"/>
  <c r="R66" i="1"/>
  <c r="Q66" i="1"/>
  <c r="AW66" i="1" s="1"/>
  <c r="AZ65" i="1"/>
  <c r="AV65" i="1"/>
  <c r="AU65" i="1"/>
  <c r="AT65" i="1"/>
  <c r="AS65" i="1"/>
  <c r="AR65" i="1"/>
  <c r="AQ65" i="1"/>
  <c r="AP65" i="1"/>
  <c r="AO65" i="1"/>
  <c r="AN65" i="1"/>
  <c r="AM65" i="1"/>
  <c r="AL65" i="1"/>
  <c r="AK65" i="1"/>
  <c r="AJ65" i="1"/>
  <c r="AI65" i="1"/>
  <c r="AH65" i="1"/>
  <c r="AG65" i="1"/>
  <c r="AY65" i="1" s="1"/>
  <c r="AF65" i="1"/>
  <c r="AE65" i="1"/>
  <c r="AD65" i="1"/>
  <c r="AC65" i="1"/>
  <c r="AB65" i="1"/>
  <c r="AA65" i="1"/>
  <c r="Z65" i="1"/>
  <c r="Y65" i="1"/>
  <c r="AX65" i="1" s="1"/>
  <c r="X65" i="1"/>
  <c r="W65" i="1"/>
  <c r="V65" i="1"/>
  <c r="U65" i="1"/>
  <c r="T65" i="1"/>
  <c r="S65" i="1"/>
  <c r="R65" i="1"/>
  <c r="Q65" i="1"/>
  <c r="AW65" i="1" s="1"/>
  <c r="AZ64" i="1"/>
  <c r="AV64" i="1"/>
  <c r="AU64" i="1"/>
  <c r="AT64" i="1"/>
  <c r="AS64" i="1"/>
  <c r="AR64" i="1"/>
  <c r="AQ64" i="1"/>
  <c r="AP64" i="1"/>
  <c r="AO64" i="1"/>
  <c r="AN64" i="1"/>
  <c r="AM64" i="1"/>
  <c r="AL64" i="1"/>
  <c r="AK64" i="1"/>
  <c r="AJ64" i="1"/>
  <c r="AI64" i="1"/>
  <c r="AH64" i="1"/>
  <c r="AG64" i="1"/>
  <c r="AY64" i="1" s="1"/>
  <c r="AF64" i="1"/>
  <c r="AE64" i="1"/>
  <c r="AD64" i="1"/>
  <c r="AC64" i="1"/>
  <c r="AB64" i="1"/>
  <c r="AA64" i="1"/>
  <c r="Z64" i="1"/>
  <c r="Y64" i="1"/>
  <c r="AX64" i="1" s="1"/>
  <c r="X64" i="1"/>
  <c r="W64" i="1"/>
  <c r="V64" i="1"/>
  <c r="U64" i="1"/>
  <c r="T64" i="1"/>
  <c r="S64" i="1"/>
  <c r="R64" i="1"/>
  <c r="Q64" i="1"/>
  <c r="AW64" i="1" s="1"/>
  <c r="AZ63" i="1"/>
  <c r="AV63" i="1"/>
  <c r="AU63" i="1"/>
  <c r="AT63" i="1"/>
  <c r="AS63" i="1"/>
  <c r="AR63" i="1"/>
  <c r="AQ63" i="1"/>
  <c r="AP63" i="1"/>
  <c r="AO63" i="1"/>
  <c r="AN63" i="1"/>
  <c r="AM63" i="1"/>
  <c r="AL63" i="1"/>
  <c r="AK63" i="1"/>
  <c r="AJ63" i="1"/>
  <c r="AI63" i="1"/>
  <c r="AH63" i="1"/>
  <c r="AG63" i="1"/>
  <c r="AY63" i="1" s="1"/>
  <c r="AF63" i="1"/>
  <c r="AE63" i="1"/>
  <c r="AD63" i="1"/>
  <c r="AC63" i="1"/>
  <c r="AB63" i="1"/>
  <c r="AA63" i="1"/>
  <c r="Z63" i="1"/>
  <c r="Y63" i="1"/>
  <c r="AX63" i="1" s="1"/>
  <c r="X63" i="1"/>
  <c r="W63" i="1"/>
  <c r="V63" i="1"/>
  <c r="U63" i="1"/>
  <c r="T63" i="1"/>
  <c r="S63" i="1"/>
  <c r="R63" i="1"/>
  <c r="Q63" i="1"/>
  <c r="AW63" i="1" s="1"/>
  <c r="BP62" i="1"/>
  <c r="AZ62" i="1"/>
  <c r="AV62" i="1"/>
  <c r="AU62" i="1"/>
  <c r="AT62" i="1"/>
  <c r="AS62" i="1"/>
  <c r="AR62" i="1"/>
  <c r="AQ62" i="1"/>
  <c r="AP62" i="1"/>
  <c r="AO62" i="1"/>
  <c r="AN62" i="1"/>
  <c r="AM62" i="1"/>
  <c r="AL62" i="1"/>
  <c r="AK62" i="1"/>
  <c r="AJ62" i="1"/>
  <c r="AI62" i="1"/>
  <c r="AH62" i="1"/>
  <c r="AG62" i="1"/>
  <c r="AY62" i="1" s="1"/>
  <c r="AF62" i="1"/>
  <c r="AE62" i="1"/>
  <c r="AD62" i="1"/>
  <c r="AC62" i="1"/>
  <c r="AB62" i="1"/>
  <c r="AA62" i="1"/>
  <c r="Z62" i="1"/>
  <c r="Y62" i="1"/>
  <c r="AX62" i="1" s="1"/>
  <c r="X62" i="1"/>
  <c r="W62" i="1"/>
  <c r="V62" i="1"/>
  <c r="U62" i="1"/>
  <c r="T62" i="1"/>
  <c r="S62" i="1"/>
  <c r="R62" i="1"/>
  <c r="Q62" i="1"/>
  <c r="AW62" i="1" s="1"/>
  <c r="AZ61" i="1"/>
  <c r="AV61" i="1"/>
  <c r="AU61" i="1"/>
  <c r="AT61" i="1"/>
  <c r="AS61" i="1"/>
  <c r="AR61" i="1"/>
  <c r="AQ61" i="1"/>
  <c r="AP61" i="1"/>
  <c r="AO61" i="1"/>
  <c r="AN61" i="1"/>
  <c r="AM61" i="1"/>
  <c r="AL61" i="1"/>
  <c r="AK61" i="1"/>
  <c r="AJ61" i="1"/>
  <c r="AI61" i="1"/>
  <c r="AH61" i="1"/>
  <c r="AG61" i="1"/>
  <c r="AY61" i="1" s="1"/>
  <c r="AF61" i="1"/>
  <c r="AE61" i="1"/>
  <c r="AD61" i="1"/>
  <c r="AC61" i="1"/>
  <c r="AB61" i="1"/>
  <c r="AA61" i="1"/>
  <c r="Z61" i="1"/>
  <c r="Y61" i="1"/>
  <c r="AX61" i="1" s="1"/>
  <c r="X61" i="1"/>
  <c r="W61" i="1"/>
  <c r="V61" i="1"/>
  <c r="U61" i="1"/>
  <c r="T61" i="1"/>
  <c r="S61" i="1"/>
  <c r="R61" i="1"/>
  <c r="Q61" i="1"/>
  <c r="AW61" i="1" s="1"/>
  <c r="AZ60" i="1"/>
  <c r="AV60" i="1"/>
  <c r="AU60" i="1"/>
  <c r="AT60" i="1"/>
  <c r="AS60" i="1"/>
  <c r="AR60" i="1"/>
  <c r="AQ60" i="1"/>
  <c r="AP60" i="1"/>
  <c r="AO60" i="1"/>
  <c r="AN60" i="1"/>
  <c r="AM60" i="1"/>
  <c r="AL60" i="1"/>
  <c r="AK60" i="1"/>
  <c r="AJ60" i="1"/>
  <c r="AI60" i="1"/>
  <c r="AH60" i="1"/>
  <c r="AG60" i="1"/>
  <c r="AY60" i="1" s="1"/>
  <c r="AF60" i="1"/>
  <c r="AE60" i="1"/>
  <c r="AD60" i="1"/>
  <c r="AC60" i="1"/>
  <c r="AB60" i="1"/>
  <c r="AA60" i="1"/>
  <c r="Z60" i="1"/>
  <c r="Y60" i="1"/>
  <c r="AX60" i="1" s="1"/>
  <c r="X60" i="1"/>
  <c r="W60" i="1"/>
  <c r="V60" i="1"/>
  <c r="U60" i="1"/>
  <c r="T60" i="1"/>
  <c r="S60" i="1"/>
  <c r="R60" i="1"/>
  <c r="Q60" i="1"/>
  <c r="AW60" i="1" s="1"/>
  <c r="BP59" i="1"/>
  <c r="AZ59" i="1"/>
  <c r="AV59" i="1"/>
  <c r="AU59" i="1"/>
  <c r="AT59" i="1"/>
  <c r="AS59" i="1"/>
  <c r="AR59" i="1"/>
  <c r="AQ59" i="1"/>
  <c r="AP59" i="1"/>
  <c r="AO59" i="1"/>
  <c r="AN59" i="1"/>
  <c r="AM59" i="1"/>
  <c r="AL59" i="1"/>
  <c r="AK59" i="1"/>
  <c r="AJ59" i="1"/>
  <c r="AI59" i="1"/>
  <c r="AH59" i="1"/>
  <c r="AG59" i="1"/>
  <c r="AY59" i="1" s="1"/>
  <c r="AF59" i="1"/>
  <c r="AE59" i="1"/>
  <c r="AD59" i="1"/>
  <c r="AC59" i="1"/>
  <c r="AB59" i="1"/>
  <c r="AA59" i="1"/>
  <c r="Z59" i="1"/>
  <c r="Y59" i="1"/>
  <c r="AX59" i="1" s="1"/>
  <c r="X59" i="1"/>
  <c r="W59" i="1"/>
  <c r="V59" i="1"/>
  <c r="U59" i="1"/>
  <c r="T59" i="1"/>
  <c r="S59" i="1"/>
  <c r="R59" i="1"/>
  <c r="Q59" i="1"/>
  <c r="AW59" i="1" s="1"/>
  <c r="BP58" i="1"/>
  <c r="AZ58" i="1"/>
  <c r="AV58" i="1"/>
  <c r="AU58" i="1"/>
  <c r="AT58" i="1"/>
  <c r="AS58" i="1"/>
  <c r="AR58" i="1"/>
  <c r="AQ58" i="1"/>
  <c r="AP58" i="1"/>
  <c r="AO58" i="1"/>
  <c r="AN58" i="1"/>
  <c r="AM58" i="1"/>
  <c r="AL58" i="1"/>
  <c r="AK58" i="1"/>
  <c r="AJ58" i="1"/>
  <c r="AI58" i="1"/>
  <c r="AH58" i="1"/>
  <c r="AG58" i="1"/>
  <c r="AY58" i="1" s="1"/>
  <c r="AF58" i="1"/>
  <c r="AE58" i="1"/>
  <c r="AD58" i="1"/>
  <c r="AC58" i="1"/>
  <c r="AB58" i="1"/>
  <c r="AA58" i="1"/>
  <c r="Z58" i="1"/>
  <c r="Y58" i="1"/>
  <c r="AX58" i="1" s="1"/>
  <c r="X58" i="1"/>
  <c r="W58" i="1"/>
  <c r="V58" i="1"/>
  <c r="U58" i="1"/>
  <c r="T58" i="1"/>
  <c r="S58" i="1"/>
  <c r="R58" i="1"/>
  <c r="Q58" i="1"/>
  <c r="AW58" i="1" s="1"/>
  <c r="AZ57" i="1"/>
  <c r="AV57" i="1"/>
  <c r="AU57" i="1"/>
  <c r="AT57" i="1"/>
  <c r="AS57" i="1"/>
  <c r="AR57" i="1"/>
  <c r="AQ57" i="1"/>
  <c r="AP57" i="1"/>
  <c r="AO57" i="1"/>
  <c r="AN57" i="1"/>
  <c r="AM57" i="1"/>
  <c r="AL57" i="1"/>
  <c r="AK57" i="1"/>
  <c r="AJ57" i="1"/>
  <c r="AI57" i="1"/>
  <c r="AH57" i="1"/>
  <c r="AG57" i="1"/>
  <c r="AY57" i="1" s="1"/>
  <c r="AF57" i="1"/>
  <c r="AE57" i="1"/>
  <c r="AD57" i="1"/>
  <c r="AC57" i="1"/>
  <c r="AB57" i="1"/>
  <c r="AA57" i="1"/>
  <c r="Z57" i="1"/>
  <c r="Y57" i="1"/>
  <c r="AX57" i="1" s="1"/>
  <c r="X57" i="1"/>
  <c r="W57" i="1"/>
  <c r="V57" i="1"/>
  <c r="U57" i="1"/>
  <c r="T57" i="1"/>
  <c r="S57" i="1"/>
  <c r="R57" i="1"/>
  <c r="Q57" i="1"/>
  <c r="AW57" i="1" s="1"/>
  <c r="AZ56" i="1"/>
  <c r="AV56" i="1"/>
  <c r="AU56" i="1"/>
  <c r="AT56" i="1"/>
  <c r="AS56" i="1"/>
  <c r="AR56" i="1"/>
  <c r="AQ56" i="1"/>
  <c r="AP56" i="1"/>
  <c r="AO56" i="1"/>
  <c r="AN56" i="1"/>
  <c r="AM56" i="1"/>
  <c r="AL56" i="1"/>
  <c r="AK56" i="1"/>
  <c r="AJ56" i="1"/>
  <c r="AI56" i="1"/>
  <c r="AH56" i="1"/>
  <c r="AG56" i="1"/>
  <c r="AY56" i="1" s="1"/>
  <c r="AF56" i="1"/>
  <c r="AE56" i="1"/>
  <c r="AD56" i="1"/>
  <c r="AC56" i="1"/>
  <c r="AB56" i="1"/>
  <c r="AA56" i="1"/>
  <c r="Z56" i="1"/>
  <c r="Y56" i="1"/>
  <c r="AX56" i="1" s="1"/>
  <c r="X56" i="1"/>
  <c r="W56" i="1"/>
  <c r="V56" i="1"/>
  <c r="U56" i="1"/>
  <c r="T56" i="1"/>
  <c r="S56" i="1"/>
  <c r="R56" i="1"/>
  <c r="Q56" i="1"/>
  <c r="AW56" i="1" s="1"/>
  <c r="BP55" i="1"/>
  <c r="AZ55" i="1"/>
  <c r="AV55" i="1"/>
  <c r="AU55" i="1"/>
  <c r="AT55" i="1"/>
  <c r="AS55" i="1"/>
  <c r="AR55" i="1"/>
  <c r="AQ55" i="1"/>
  <c r="AP55" i="1"/>
  <c r="AO55" i="1"/>
  <c r="AN55" i="1"/>
  <c r="AM55" i="1"/>
  <c r="AL55" i="1"/>
  <c r="AK55" i="1"/>
  <c r="AJ55" i="1"/>
  <c r="AI55" i="1"/>
  <c r="AH55" i="1"/>
  <c r="AG55" i="1"/>
  <c r="AY55" i="1" s="1"/>
  <c r="AF55" i="1"/>
  <c r="AE55" i="1"/>
  <c r="AD55" i="1"/>
  <c r="AC55" i="1"/>
  <c r="AB55" i="1"/>
  <c r="AA55" i="1"/>
  <c r="Z55" i="1"/>
  <c r="Y55" i="1"/>
  <c r="AX55" i="1" s="1"/>
  <c r="X55" i="1"/>
  <c r="W55" i="1"/>
  <c r="V55" i="1"/>
  <c r="U55" i="1"/>
  <c r="T55" i="1"/>
  <c r="S55" i="1"/>
  <c r="R55" i="1"/>
  <c r="Q55" i="1"/>
  <c r="AW55" i="1" s="1"/>
  <c r="BP54" i="1"/>
  <c r="AZ54" i="1"/>
  <c r="AV54" i="1"/>
  <c r="AU54" i="1"/>
  <c r="AT54" i="1"/>
  <c r="AS54" i="1"/>
  <c r="AR54" i="1"/>
  <c r="AQ54" i="1"/>
  <c r="AP54" i="1"/>
  <c r="AO54" i="1"/>
  <c r="AN54" i="1"/>
  <c r="AM54" i="1"/>
  <c r="AL54" i="1"/>
  <c r="AK54" i="1"/>
  <c r="AJ54" i="1"/>
  <c r="AI54" i="1"/>
  <c r="AH54" i="1"/>
  <c r="AG54" i="1"/>
  <c r="AY54" i="1" s="1"/>
  <c r="AF54" i="1"/>
  <c r="AE54" i="1"/>
  <c r="AD54" i="1"/>
  <c r="AC54" i="1"/>
  <c r="AB54" i="1"/>
  <c r="AA54" i="1"/>
  <c r="Z54" i="1"/>
  <c r="Y54" i="1"/>
  <c r="AX54" i="1" s="1"/>
  <c r="X54" i="1"/>
  <c r="W54" i="1"/>
  <c r="V54" i="1"/>
  <c r="U54" i="1"/>
  <c r="T54" i="1"/>
  <c r="S54" i="1"/>
  <c r="R54" i="1"/>
  <c r="Q54" i="1"/>
  <c r="AW54" i="1" s="1"/>
  <c r="AZ53" i="1"/>
  <c r="AV53" i="1"/>
  <c r="AU53" i="1"/>
  <c r="AT53" i="1"/>
  <c r="AS53" i="1"/>
  <c r="AR53" i="1"/>
  <c r="AQ53" i="1"/>
  <c r="AP53" i="1"/>
  <c r="AO53" i="1"/>
  <c r="AN53" i="1"/>
  <c r="AM53" i="1"/>
  <c r="AL53" i="1"/>
  <c r="AK53" i="1"/>
  <c r="AJ53" i="1"/>
  <c r="AI53" i="1"/>
  <c r="AH53" i="1"/>
  <c r="AG53" i="1"/>
  <c r="AY53" i="1" s="1"/>
  <c r="AF53" i="1"/>
  <c r="AE53" i="1"/>
  <c r="AD53" i="1"/>
  <c r="AC53" i="1"/>
  <c r="AB53" i="1"/>
  <c r="AA53" i="1"/>
  <c r="Z53" i="1"/>
  <c r="Y53" i="1"/>
  <c r="AX53" i="1" s="1"/>
  <c r="X53" i="1"/>
  <c r="W53" i="1"/>
  <c r="V53" i="1"/>
  <c r="U53" i="1"/>
  <c r="T53" i="1"/>
  <c r="S53" i="1"/>
  <c r="R53" i="1"/>
  <c r="Q53" i="1"/>
  <c r="AW53" i="1" s="1"/>
  <c r="AZ52" i="1"/>
  <c r="AV52" i="1"/>
  <c r="AU52" i="1"/>
  <c r="AT52" i="1"/>
  <c r="AS52" i="1"/>
  <c r="AR52" i="1"/>
  <c r="AQ52" i="1"/>
  <c r="AP52" i="1"/>
  <c r="AO52" i="1"/>
  <c r="AN52" i="1"/>
  <c r="AM52" i="1"/>
  <c r="AL52" i="1"/>
  <c r="AK52" i="1"/>
  <c r="AJ52" i="1"/>
  <c r="AI52" i="1"/>
  <c r="AH52" i="1"/>
  <c r="AG52" i="1"/>
  <c r="AY52" i="1" s="1"/>
  <c r="AF52" i="1"/>
  <c r="AE52" i="1"/>
  <c r="AD52" i="1"/>
  <c r="AC52" i="1"/>
  <c r="AB52" i="1"/>
  <c r="AA52" i="1"/>
  <c r="Z52" i="1"/>
  <c r="Y52" i="1"/>
  <c r="AX52" i="1" s="1"/>
  <c r="X52" i="1"/>
  <c r="W52" i="1"/>
  <c r="V52" i="1"/>
  <c r="U52" i="1"/>
  <c r="T52" i="1"/>
  <c r="S52" i="1"/>
  <c r="R52" i="1"/>
  <c r="Q52" i="1"/>
  <c r="AW52" i="1" s="1"/>
  <c r="BP51" i="1"/>
  <c r="AZ51" i="1"/>
  <c r="AV51" i="1"/>
  <c r="AU51" i="1"/>
  <c r="AT51" i="1"/>
  <c r="AS51" i="1"/>
  <c r="AR51" i="1"/>
  <c r="AQ51" i="1"/>
  <c r="AP51" i="1"/>
  <c r="AO51" i="1"/>
  <c r="AN51" i="1"/>
  <c r="AM51" i="1"/>
  <c r="AL51" i="1"/>
  <c r="AK51" i="1"/>
  <c r="AJ51" i="1"/>
  <c r="AI51" i="1"/>
  <c r="AH51" i="1"/>
  <c r="AG51" i="1"/>
  <c r="AY51" i="1" s="1"/>
  <c r="AF51" i="1"/>
  <c r="AE51" i="1"/>
  <c r="AD51" i="1"/>
  <c r="AC51" i="1"/>
  <c r="AB51" i="1"/>
  <c r="AA51" i="1"/>
  <c r="Z51" i="1"/>
  <c r="Y51" i="1"/>
  <c r="AX51" i="1" s="1"/>
  <c r="X51" i="1"/>
  <c r="W51" i="1"/>
  <c r="V51" i="1"/>
  <c r="U51" i="1"/>
  <c r="T51" i="1"/>
  <c r="S51" i="1"/>
  <c r="R51" i="1"/>
  <c r="Q51" i="1"/>
  <c r="AW51" i="1" s="1"/>
  <c r="BP50" i="1"/>
  <c r="AZ50" i="1"/>
  <c r="AV50" i="1"/>
  <c r="AU50" i="1"/>
  <c r="AT50" i="1"/>
  <c r="AS50" i="1"/>
  <c r="AR50" i="1"/>
  <c r="AQ50" i="1"/>
  <c r="AP50" i="1"/>
  <c r="AO50" i="1"/>
  <c r="AN50" i="1"/>
  <c r="AM50" i="1"/>
  <c r="AL50" i="1"/>
  <c r="AK50" i="1"/>
  <c r="AJ50" i="1"/>
  <c r="AI50" i="1"/>
  <c r="AH50" i="1"/>
  <c r="AG50" i="1"/>
  <c r="AY50" i="1" s="1"/>
  <c r="AF50" i="1"/>
  <c r="AE50" i="1"/>
  <c r="AD50" i="1"/>
  <c r="AC50" i="1"/>
  <c r="AB50" i="1"/>
  <c r="AA50" i="1"/>
  <c r="Z50" i="1"/>
  <c r="Y50" i="1"/>
  <c r="X50" i="1"/>
  <c r="W50" i="1"/>
  <c r="V50" i="1"/>
  <c r="U50" i="1"/>
  <c r="T50" i="1"/>
  <c r="S50" i="1"/>
  <c r="R50" i="1"/>
  <c r="Q50" i="1"/>
  <c r="AV49" i="1"/>
  <c r="AU49" i="1"/>
  <c r="AT49" i="1"/>
  <c r="AS49" i="1"/>
  <c r="AR49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BI48" i="1"/>
  <c r="AX48" i="1"/>
  <c r="AV48" i="1"/>
  <c r="AU48" i="1"/>
  <c r="AT48" i="1"/>
  <c r="AS48" i="1"/>
  <c r="AR48" i="1"/>
  <c r="AQ48" i="1"/>
  <c r="AP48" i="1"/>
  <c r="AZ48" i="1" s="1"/>
  <c r="AO48" i="1"/>
  <c r="AN48" i="1"/>
  <c r="AM48" i="1"/>
  <c r="AL48" i="1"/>
  <c r="AK48" i="1"/>
  <c r="AJ48" i="1"/>
  <c r="AI48" i="1"/>
  <c r="AH48" i="1"/>
  <c r="AG48" i="1"/>
  <c r="AF48" i="1"/>
  <c r="AE48" i="1"/>
  <c r="AD48" i="1"/>
  <c r="AC48" i="1"/>
  <c r="AB48" i="1"/>
  <c r="AA48" i="1"/>
  <c r="Z48" i="1"/>
  <c r="Y48" i="1"/>
  <c r="X48" i="1"/>
  <c r="W48" i="1"/>
  <c r="V48" i="1"/>
  <c r="U48" i="1"/>
  <c r="T48" i="1"/>
  <c r="S48" i="1"/>
  <c r="R48" i="1"/>
  <c r="Q48" i="1"/>
  <c r="AW48" i="1" s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BT46" i="1"/>
  <c r="BN46" i="1"/>
  <c r="AX46" i="1"/>
  <c r="AV46" i="1"/>
  <c r="AU46" i="1"/>
  <c r="AT46" i="1"/>
  <c r="AS46" i="1"/>
  <c r="AR46" i="1"/>
  <c r="AQ46" i="1"/>
  <c r="AP46" i="1"/>
  <c r="AZ46" i="1" s="1"/>
  <c r="AO46" i="1"/>
  <c r="AN46" i="1"/>
  <c r="AM46" i="1"/>
  <c r="AL46" i="1"/>
  <c r="AK46" i="1"/>
  <c r="AJ46" i="1"/>
  <c r="AI46" i="1"/>
  <c r="AH46" i="1"/>
  <c r="AG46" i="1"/>
  <c r="AF46" i="1"/>
  <c r="AE46" i="1"/>
  <c r="AD46" i="1"/>
  <c r="AC46" i="1"/>
  <c r="AB46" i="1"/>
  <c r="AA46" i="1"/>
  <c r="Z46" i="1"/>
  <c r="Y46" i="1"/>
  <c r="X46" i="1"/>
  <c r="W46" i="1"/>
  <c r="V46" i="1"/>
  <c r="U46" i="1"/>
  <c r="T46" i="1"/>
  <c r="S46" i="1"/>
  <c r="R46" i="1"/>
  <c r="Q46" i="1"/>
  <c r="AW46" i="1" s="1"/>
  <c r="AV45" i="1"/>
  <c r="AU45" i="1"/>
  <c r="AT45" i="1"/>
  <c r="AS45" i="1"/>
  <c r="AR45" i="1"/>
  <c r="AQ45" i="1"/>
  <c r="AP45" i="1"/>
  <c r="AO45" i="1"/>
  <c r="AN45" i="1"/>
  <c r="AM45" i="1"/>
  <c r="AL45" i="1"/>
  <c r="AK45" i="1"/>
  <c r="AJ45" i="1"/>
  <c r="AI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BT44" i="1"/>
  <c r="AX44" i="1"/>
  <c r="AV44" i="1"/>
  <c r="AU44" i="1"/>
  <c r="AT44" i="1"/>
  <c r="AS44" i="1"/>
  <c r="AR44" i="1"/>
  <c r="AQ44" i="1"/>
  <c r="AP44" i="1"/>
  <c r="AZ44" i="1" s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AW44" i="1" s="1"/>
  <c r="AV43" i="1"/>
  <c r="AU43" i="1"/>
  <c r="AT43" i="1"/>
  <c r="AS43" i="1"/>
  <c r="AR43" i="1"/>
  <c r="AQ43" i="1"/>
  <c r="AP43" i="1"/>
  <c r="AO43" i="1"/>
  <c r="AZ43" i="1" s="1"/>
  <c r="BL43" i="1" s="1"/>
  <c r="AN43" i="1"/>
  <c r="AM43" i="1"/>
  <c r="AL43" i="1"/>
  <c r="AK43" i="1"/>
  <c r="AJ43" i="1"/>
  <c r="AI43" i="1"/>
  <c r="AH43" i="1"/>
  <c r="AG43" i="1"/>
  <c r="AF43" i="1"/>
  <c r="AE43" i="1"/>
  <c r="AD43" i="1"/>
  <c r="AC43" i="1"/>
  <c r="AB43" i="1"/>
  <c r="AA43" i="1"/>
  <c r="Z43" i="1"/>
  <c r="Y43" i="1"/>
  <c r="AX43" i="1" s="1"/>
  <c r="X43" i="1"/>
  <c r="W43" i="1"/>
  <c r="V43" i="1"/>
  <c r="U43" i="1"/>
  <c r="T43" i="1"/>
  <c r="S43" i="1"/>
  <c r="R43" i="1"/>
  <c r="Q43" i="1"/>
  <c r="AW43" i="1" s="1"/>
  <c r="AV42" i="1"/>
  <c r="AU42" i="1"/>
  <c r="AT42" i="1"/>
  <c r="AS42" i="1"/>
  <c r="AR42" i="1"/>
  <c r="AQ42" i="1"/>
  <c r="AP42" i="1"/>
  <c r="AZ42" i="1" s="1"/>
  <c r="AO42" i="1"/>
  <c r="AN42" i="1"/>
  <c r="AM42" i="1"/>
  <c r="AL42" i="1"/>
  <c r="AK42" i="1"/>
  <c r="AJ42" i="1"/>
  <c r="AI42" i="1"/>
  <c r="AH42" i="1"/>
  <c r="AG42" i="1"/>
  <c r="AF42" i="1"/>
  <c r="AE42" i="1"/>
  <c r="AD42" i="1"/>
  <c r="AC42" i="1"/>
  <c r="AB42" i="1"/>
  <c r="AA42" i="1"/>
  <c r="Z42" i="1"/>
  <c r="AX42" i="1" s="1"/>
  <c r="Y42" i="1"/>
  <c r="X42" i="1"/>
  <c r="W42" i="1"/>
  <c r="V42" i="1"/>
  <c r="U42" i="1"/>
  <c r="T42" i="1"/>
  <c r="S42" i="1"/>
  <c r="R42" i="1"/>
  <c r="Q42" i="1"/>
  <c r="AV41" i="1"/>
  <c r="AU41" i="1"/>
  <c r="AT41" i="1"/>
  <c r="AS41" i="1"/>
  <c r="AR41" i="1"/>
  <c r="AQ41" i="1"/>
  <c r="AP41" i="1"/>
  <c r="AO41" i="1"/>
  <c r="AN41" i="1"/>
  <c r="AM41" i="1"/>
  <c r="AL41" i="1"/>
  <c r="AK41" i="1"/>
  <c r="AJ41" i="1"/>
  <c r="AI41" i="1"/>
  <c r="AH41" i="1"/>
  <c r="AG41" i="1"/>
  <c r="AF41" i="1"/>
  <c r="AE41" i="1"/>
  <c r="AD41" i="1"/>
  <c r="AC41" i="1"/>
  <c r="AB41" i="1"/>
  <c r="AA41" i="1"/>
  <c r="Z41" i="1"/>
  <c r="Y41" i="1"/>
  <c r="X41" i="1"/>
  <c r="W41" i="1"/>
  <c r="V41" i="1"/>
  <c r="U41" i="1"/>
  <c r="T41" i="1"/>
  <c r="S41" i="1"/>
  <c r="R41" i="1"/>
  <c r="Q41" i="1"/>
  <c r="BT40" i="1"/>
  <c r="BN40" i="1"/>
  <c r="BI40" i="1"/>
  <c r="AX40" i="1"/>
  <c r="AV40" i="1"/>
  <c r="AU40" i="1"/>
  <c r="AT40" i="1"/>
  <c r="AS40" i="1"/>
  <c r="AR40" i="1"/>
  <c r="AQ40" i="1"/>
  <c r="AP40" i="1"/>
  <c r="AZ40" i="1" s="1"/>
  <c r="AO40" i="1"/>
  <c r="AN40" i="1"/>
  <c r="AM40" i="1"/>
  <c r="AL40" i="1"/>
  <c r="AK40" i="1"/>
  <c r="AJ40" i="1"/>
  <c r="AI40" i="1"/>
  <c r="AH40" i="1"/>
  <c r="AG40" i="1"/>
  <c r="AF40" i="1"/>
  <c r="AE40" i="1"/>
  <c r="AD40" i="1"/>
  <c r="AC40" i="1"/>
  <c r="AB40" i="1"/>
  <c r="AA40" i="1"/>
  <c r="Z40" i="1"/>
  <c r="Y40" i="1"/>
  <c r="X40" i="1"/>
  <c r="W40" i="1"/>
  <c r="V40" i="1"/>
  <c r="U40" i="1"/>
  <c r="T40" i="1"/>
  <c r="S40" i="1"/>
  <c r="R40" i="1"/>
  <c r="Q40" i="1"/>
  <c r="AW40" i="1" s="1"/>
  <c r="BL39" i="1"/>
  <c r="AY39" i="1"/>
  <c r="BC39" i="1" s="1"/>
  <c r="BG39" i="1" s="1"/>
  <c r="AV39" i="1"/>
  <c r="AU39" i="1"/>
  <c r="AT39" i="1"/>
  <c r="AS39" i="1"/>
  <c r="AR39" i="1"/>
  <c r="AQ39" i="1"/>
  <c r="AZ39" i="1" s="1"/>
  <c r="AP39" i="1"/>
  <c r="AO39" i="1"/>
  <c r="AN39" i="1"/>
  <c r="AM39" i="1"/>
  <c r="AL39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AX39" i="1" s="1"/>
  <c r="Y39" i="1"/>
  <c r="X39" i="1"/>
  <c r="W39" i="1"/>
  <c r="V39" i="1"/>
  <c r="U39" i="1"/>
  <c r="T39" i="1"/>
  <c r="S39" i="1"/>
  <c r="R39" i="1"/>
  <c r="Q39" i="1"/>
  <c r="AW39" i="1" s="1"/>
  <c r="AV38" i="1"/>
  <c r="AU38" i="1"/>
  <c r="AT38" i="1"/>
  <c r="AS38" i="1"/>
  <c r="AR38" i="1"/>
  <c r="AQ38" i="1"/>
  <c r="AZ38" i="1" s="1"/>
  <c r="AP38" i="1"/>
  <c r="AO38" i="1"/>
  <c r="AN38" i="1"/>
  <c r="AM38" i="1"/>
  <c r="AL38" i="1"/>
  <c r="AK38" i="1"/>
  <c r="AJ38" i="1"/>
  <c r="AI38" i="1"/>
  <c r="AY38" i="1" s="1"/>
  <c r="AH38" i="1"/>
  <c r="AG38" i="1"/>
  <c r="AF38" i="1"/>
  <c r="AE38" i="1"/>
  <c r="AD38" i="1"/>
  <c r="AC38" i="1"/>
  <c r="AB38" i="1"/>
  <c r="AA38" i="1"/>
  <c r="Z38" i="1"/>
  <c r="AX38" i="1" s="1"/>
  <c r="Y38" i="1"/>
  <c r="X38" i="1"/>
  <c r="W38" i="1"/>
  <c r="V38" i="1"/>
  <c r="U38" i="1"/>
  <c r="T38" i="1"/>
  <c r="S38" i="1"/>
  <c r="R38" i="1"/>
  <c r="Q38" i="1"/>
  <c r="BK37" i="1"/>
  <c r="AY37" i="1"/>
  <c r="AV37" i="1"/>
  <c r="AU37" i="1"/>
  <c r="AT37" i="1"/>
  <c r="AS37" i="1"/>
  <c r="AR37" i="1"/>
  <c r="AQ37" i="1"/>
  <c r="AZ37" i="1" s="1"/>
  <c r="AP37" i="1"/>
  <c r="AO37" i="1"/>
  <c r="AN37" i="1"/>
  <c r="AM37" i="1"/>
  <c r="AL37" i="1"/>
  <c r="AK37" i="1"/>
  <c r="AJ37" i="1"/>
  <c r="AI37" i="1"/>
  <c r="AH37" i="1"/>
  <c r="AG37" i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R37" i="1"/>
  <c r="Q37" i="1"/>
  <c r="AW37" i="1" s="1"/>
  <c r="AV36" i="1"/>
  <c r="AU36" i="1"/>
  <c r="AT36" i="1"/>
  <c r="AS36" i="1"/>
  <c r="AR36" i="1"/>
  <c r="AQ36" i="1"/>
  <c r="AZ36" i="1" s="1"/>
  <c r="AP36" i="1"/>
  <c r="AO36" i="1"/>
  <c r="AN36" i="1"/>
  <c r="AM36" i="1"/>
  <c r="AL36" i="1"/>
  <c r="AK36" i="1"/>
  <c r="AJ36" i="1"/>
  <c r="AI36" i="1"/>
  <c r="AY36" i="1" s="1"/>
  <c r="AH36" i="1"/>
  <c r="AG36" i="1"/>
  <c r="AF36" i="1"/>
  <c r="AE36" i="1"/>
  <c r="AD36" i="1"/>
  <c r="AC36" i="1"/>
  <c r="AB36" i="1"/>
  <c r="AA36" i="1"/>
  <c r="Z36" i="1"/>
  <c r="AX36" i="1" s="1"/>
  <c r="Y36" i="1"/>
  <c r="X36" i="1"/>
  <c r="W36" i="1"/>
  <c r="V36" i="1"/>
  <c r="U36" i="1"/>
  <c r="T36" i="1"/>
  <c r="S36" i="1"/>
  <c r="R36" i="1"/>
  <c r="Q36" i="1"/>
  <c r="BK35" i="1"/>
  <c r="AY35" i="1"/>
  <c r="AV35" i="1"/>
  <c r="AU35" i="1"/>
  <c r="AT35" i="1"/>
  <c r="AS35" i="1"/>
  <c r="AR35" i="1"/>
  <c r="AQ35" i="1"/>
  <c r="AZ35" i="1" s="1"/>
  <c r="AP35" i="1"/>
  <c r="AO35" i="1"/>
  <c r="AN35" i="1"/>
  <c r="AM35" i="1"/>
  <c r="AL35" i="1"/>
  <c r="AK35" i="1"/>
  <c r="AJ35" i="1"/>
  <c r="AI35" i="1"/>
  <c r="AH35" i="1"/>
  <c r="AG35" i="1"/>
  <c r="AF35" i="1"/>
  <c r="AE35" i="1"/>
  <c r="AD35" i="1"/>
  <c r="AC35" i="1"/>
  <c r="AB35" i="1"/>
  <c r="AA35" i="1"/>
  <c r="Z35" i="1"/>
  <c r="Y35" i="1"/>
  <c r="X35" i="1"/>
  <c r="W35" i="1"/>
  <c r="V35" i="1"/>
  <c r="U35" i="1"/>
  <c r="T35" i="1"/>
  <c r="S35" i="1"/>
  <c r="R35" i="1"/>
  <c r="Q35" i="1"/>
  <c r="AW35" i="1" s="1"/>
  <c r="AV34" i="1"/>
  <c r="AU34" i="1"/>
  <c r="AT34" i="1"/>
  <c r="AS34" i="1"/>
  <c r="AR34" i="1"/>
  <c r="AQ34" i="1"/>
  <c r="AZ34" i="1" s="1"/>
  <c r="AP34" i="1"/>
  <c r="AO34" i="1"/>
  <c r="AN34" i="1"/>
  <c r="AM34" i="1"/>
  <c r="AL34" i="1"/>
  <c r="AK34" i="1"/>
  <c r="AJ34" i="1"/>
  <c r="AI34" i="1"/>
  <c r="AY34" i="1" s="1"/>
  <c r="AH34" i="1"/>
  <c r="AG34" i="1"/>
  <c r="AF34" i="1"/>
  <c r="AE34" i="1"/>
  <c r="AD34" i="1"/>
  <c r="AC34" i="1"/>
  <c r="AB34" i="1"/>
  <c r="AA34" i="1"/>
  <c r="Z34" i="1"/>
  <c r="AX34" i="1" s="1"/>
  <c r="Y34" i="1"/>
  <c r="X34" i="1"/>
  <c r="W34" i="1"/>
  <c r="V34" i="1"/>
  <c r="U34" i="1"/>
  <c r="T34" i="1"/>
  <c r="S34" i="1"/>
  <c r="R34" i="1"/>
  <c r="Q34" i="1"/>
  <c r="BK33" i="1"/>
  <c r="AY33" i="1"/>
  <c r="BO33" i="1" s="1"/>
  <c r="AV33" i="1"/>
  <c r="AU33" i="1"/>
  <c r="AT33" i="1"/>
  <c r="AS33" i="1"/>
  <c r="AR33" i="1"/>
  <c r="AQ33" i="1"/>
  <c r="AZ33" i="1" s="1"/>
  <c r="AP33" i="1"/>
  <c r="AO33" i="1"/>
  <c r="AN33" i="1"/>
  <c r="AM33" i="1"/>
  <c r="AL33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AW33" i="1" s="1"/>
  <c r="AV32" i="1"/>
  <c r="AU32" i="1"/>
  <c r="AT32" i="1"/>
  <c r="AS32" i="1"/>
  <c r="AR32" i="1"/>
  <c r="AQ32" i="1"/>
  <c r="AZ32" i="1" s="1"/>
  <c r="AP32" i="1"/>
  <c r="AO32" i="1"/>
  <c r="AN32" i="1"/>
  <c r="AM32" i="1"/>
  <c r="AL32" i="1"/>
  <c r="AK32" i="1"/>
  <c r="AJ32" i="1"/>
  <c r="AI32" i="1"/>
  <c r="AY32" i="1" s="1"/>
  <c r="AH32" i="1"/>
  <c r="AG32" i="1"/>
  <c r="AF32" i="1"/>
  <c r="AE32" i="1"/>
  <c r="AD32" i="1"/>
  <c r="AC32" i="1"/>
  <c r="AB32" i="1"/>
  <c r="AA32" i="1"/>
  <c r="Z32" i="1"/>
  <c r="AX32" i="1" s="1"/>
  <c r="Y32" i="1"/>
  <c r="X32" i="1"/>
  <c r="W32" i="1"/>
  <c r="V32" i="1"/>
  <c r="U32" i="1"/>
  <c r="T32" i="1"/>
  <c r="S32" i="1"/>
  <c r="R32" i="1"/>
  <c r="Q32" i="1"/>
  <c r="BK31" i="1"/>
  <c r="AY31" i="1"/>
  <c r="AV31" i="1"/>
  <c r="AU31" i="1"/>
  <c r="AT31" i="1"/>
  <c r="AS31" i="1"/>
  <c r="AR31" i="1"/>
  <c r="AQ31" i="1"/>
  <c r="AZ31" i="1" s="1"/>
  <c r="AP31" i="1"/>
  <c r="AO31" i="1"/>
  <c r="AN31" i="1"/>
  <c r="AM31" i="1"/>
  <c r="AL31" i="1"/>
  <c r="AK31" i="1"/>
  <c r="AJ31" i="1"/>
  <c r="AI31" i="1"/>
  <c r="AH31" i="1"/>
  <c r="AG31" i="1"/>
  <c r="AF31" i="1"/>
  <c r="AE31" i="1"/>
  <c r="AD31" i="1"/>
  <c r="AC31" i="1"/>
  <c r="AB31" i="1"/>
  <c r="AA31" i="1"/>
  <c r="Z31" i="1"/>
  <c r="Y31" i="1"/>
  <c r="X31" i="1"/>
  <c r="W31" i="1"/>
  <c r="V31" i="1"/>
  <c r="U31" i="1"/>
  <c r="T31" i="1"/>
  <c r="S31" i="1"/>
  <c r="R31" i="1"/>
  <c r="Q31" i="1"/>
  <c r="AW31" i="1" s="1"/>
  <c r="AV30" i="1"/>
  <c r="AU30" i="1"/>
  <c r="AT30" i="1"/>
  <c r="AS30" i="1"/>
  <c r="AR30" i="1"/>
  <c r="AQ30" i="1"/>
  <c r="AZ30" i="1" s="1"/>
  <c r="AP30" i="1"/>
  <c r="AO30" i="1"/>
  <c r="AN30" i="1"/>
  <c r="AM30" i="1"/>
  <c r="AL30" i="1"/>
  <c r="AK30" i="1"/>
  <c r="AJ30" i="1"/>
  <c r="AY30" i="1" s="1"/>
  <c r="AI30" i="1"/>
  <c r="AH30" i="1"/>
  <c r="AG30" i="1"/>
  <c r="AF30" i="1"/>
  <c r="AE30" i="1"/>
  <c r="AD30" i="1"/>
  <c r="AC30" i="1"/>
  <c r="AB30" i="1"/>
  <c r="AA30" i="1"/>
  <c r="Z30" i="1"/>
  <c r="Y30" i="1"/>
  <c r="X30" i="1"/>
  <c r="W30" i="1"/>
  <c r="V30" i="1"/>
  <c r="U30" i="1"/>
  <c r="T30" i="1"/>
  <c r="S30" i="1"/>
  <c r="R30" i="1"/>
  <c r="Q30" i="1"/>
  <c r="AV29" i="1"/>
  <c r="AU29" i="1"/>
  <c r="AT29" i="1"/>
  <c r="AS29" i="1"/>
  <c r="AR29" i="1"/>
  <c r="AQ29" i="1"/>
  <c r="AZ29" i="1" s="1"/>
  <c r="AP29" i="1"/>
  <c r="AO29" i="1"/>
  <c r="AN29" i="1"/>
  <c r="AM29" i="1"/>
  <c r="AL29" i="1"/>
  <c r="AK29" i="1"/>
  <c r="AJ29" i="1"/>
  <c r="AY29" i="1" s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AV28" i="1"/>
  <c r="AU28" i="1"/>
  <c r="AT28" i="1"/>
  <c r="AS28" i="1"/>
  <c r="AR28" i="1"/>
  <c r="AQ28" i="1"/>
  <c r="AZ28" i="1" s="1"/>
  <c r="AP28" i="1"/>
  <c r="AO28" i="1"/>
  <c r="AN28" i="1"/>
  <c r="AM28" i="1"/>
  <c r="AL28" i="1"/>
  <c r="AK28" i="1"/>
  <c r="AJ28" i="1"/>
  <c r="AY28" i="1" s="1"/>
  <c r="AI28" i="1"/>
  <c r="AH28" i="1"/>
  <c r="AG28" i="1"/>
  <c r="AF28" i="1"/>
  <c r="AE28" i="1"/>
  <c r="AD28" i="1"/>
  <c r="AC28" i="1"/>
  <c r="AB28" i="1"/>
  <c r="AA28" i="1"/>
  <c r="Z28" i="1"/>
  <c r="Y28" i="1"/>
  <c r="X28" i="1"/>
  <c r="W28" i="1"/>
  <c r="V28" i="1"/>
  <c r="U28" i="1"/>
  <c r="T28" i="1"/>
  <c r="S28" i="1"/>
  <c r="R28" i="1"/>
  <c r="Q28" i="1"/>
  <c r="AV27" i="1"/>
  <c r="AU27" i="1"/>
  <c r="AT27" i="1"/>
  <c r="AS27" i="1"/>
  <c r="AR27" i="1"/>
  <c r="AQ27" i="1"/>
  <c r="AZ27" i="1" s="1"/>
  <c r="AP27" i="1"/>
  <c r="AO27" i="1"/>
  <c r="AN27" i="1"/>
  <c r="AM27" i="1"/>
  <c r="AL27" i="1"/>
  <c r="AK27" i="1"/>
  <c r="AJ27" i="1"/>
  <c r="AY27" i="1" s="1"/>
  <c r="AI27" i="1"/>
  <c r="AH27" i="1"/>
  <c r="AG27" i="1"/>
  <c r="AF27" i="1"/>
  <c r="AE27" i="1"/>
  <c r="AD27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AV26" i="1"/>
  <c r="AU26" i="1"/>
  <c r="AT26" i="1"/>
  <c r="AS26" i="1"/>
  <c r="AR26" i="1"/>
  <c r="AQ26" i="1"/>
  <c r="AZ26" i="1" s="1"/>
  <c r="AP26" i="1"/>
  <c r="AO26" i="1"/>
  <c r="AN26" i="1"/>
  <c r="AM26" i="1"/>
  <c r="AL26" i="1"/>
  <c r="AK26" i="1"/>
  <c r="AJ26" i="1"/>
  <c r="AY26" i="1" s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AV25" i="1"/>
  <c r="AU25" i="1"/>
  <c r="AT25" i="1"/>
  <c r="AS25" i="1"/>
  <c r="AR25" i="1"/>
  <c r="AQ25" i="1"/>
  <c r="AZ25" i="1" s="1"/>
  <c r="AP25" i="1"/>
  <c r="AO25" i="1"/>
  <c r="AN25" i="1"/>
  <c r="AM25" i="1"/>
  <c r="AL25" i="1"/>
  <c r="AK25" i="1"/>
  <c r="AJ25" i="1"/>
  <c r="AY25" i="1" s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AV24" i="1"/>
  <c r="AU24" i="1"/>
  <c r="AT24" i="1"/>
  <c r="AS24" i="1"/>
  <c r="AR24" i="1"/>
  <c r="AQ24" i="1"/>
  <c r="AZ24" i="1" s="1"/>
  <c r="AP24" i="1"/>
  <c r="AO24" i="1"/>
  <c r="AN24" i="1"/>
  <c r="AM24" i="1"/>
  <c r="AL24" i="1"/>
  <c r="AK24" i="1"/>
  <c r="AJ24" i="1"/>
  <c r="AY24" i="1" s="1"/>
  <c r="AI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AV23" i="1"/>
  <c r="AU23" i="1"/>
  <c r="AT23" i="1"/>
  <c r="AS23" i="1"/>
  <c r="AR23" i="1"/>
  <c r="AQ23" i="1"/>
  <c r="AZ23" i="1" s="1"/>
  <c r="AP23" i="1"/>
  <c r="AO23" i="1"/>
  <c r="AN23" i="1"/>
  <c r="AM23" i="1"/>
  <c r="AL23" i="1"/>
  <c r="AK23" i="1"/>
  <c r="AJ23" i="1"/>
  <c r="AY23" i="1" s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AV22" i="1"/>
  <c r="AU22" i="1"/>
  <c r="AT22" i="1"/>
  <c r="AS22" i="1"/>
  <c r="AR22" i="1"/>
  <c r="AQ22" i="1"/>
  <c r="AZ22" i="1" s="1"/>
  <c r="AP22" i="1"/>
  <c r="AO22" i="1"/>
  <c r="AN22" i="1"/>
  <c r="AM22" i="1"/>
  <c r="AL22" i="1"/>
  <c r="AK22" i="1"/>
  <c r="AJ22" i="1"/>
  <c r="AY22" i="1" s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N25" i="1"/>
  <c r="N26" i="1"/>
  <c r="N27" i="1"/>
  <c r="N28" i="1"/>
  <c r="N29" i="1"/>
  <c r="N30" i="1"/>
  <c r="N31" i="1"/>
  <c r="N32" i="1"/>
  <c r="BS23" i="1" l="1"/>
  <c r="BK23" i="1"/>
  <c r="BC23" i="1"/>
  <c r="BG23" i="1" s="1"/>
  <c r="BO23" i="1"/>
  <c r="BS25" i="1"/>
  <c r="BK25" i="1"/>
  <c r="BC25" i="1"/>
  <c r="BG25" i="1" s="1"/>
  <c r="BO25" i="1"/>
  <c r="BS27" i="1"/>
  <c r="BK27" i="1"/>
  <c r="BC27" i="1"/>
  <c r="BG27" i="1" s="1"/>
  <c r="BO27" i="1"/>
  <c r="BC30" i="1"/>
  <c r="BG30" i="1" s="1"/>
  <c r="BK30" i="1"/>
  <c r="BC36" i="1"/>
  <c r="BG36" i="1" s="1"/>
  <c r="BK36" i="1"/>
  <c r="BK22" i="1"/>
  <c r="BC22" i="1"/>
  <c r="BG22" i="1" s="1"/>
  <c r="BS24" i="1"/>
  <c r="BK24" i="1"/>
  <c r="BC24" i="1"/>
  <c r="BG24" i="1" s="1"/>
  <c r="BO24" i="1"/>
  <c r="BS26" i="1"/>
  <c r="BK26" i="1"/>
  <c r="BC26" i="1"/>
  <c r="BG26" i="1" s="1"/>
  <c r="BO26" i="1"/>
  <c r="BS28" i="1"/>
  <c r="BK28" i="1"/>
  <c r="BC28" i="1"/>
  <c r="BG28" i="1" s="1"/>
  <c r="BO28" i="1"/>
  <c r="BK29" i="1"/>
  <c r="BC29" i="1"/>
  <c r="BG29" i="1" s="1"/>
  <c r="BB42" i="1"/>
  <c r="BF42" i="1" s="1"/>
  <c r="BJ42" i="1"/>
  <c r="BO32" i="1"/>
  <c r="BS32" i="1"/>
  <c r="BC32" i="1"/>
  <c r="BG32" i="1" s="1"/>
  <c r="BK32" i="1"/>
  <c r="BL22" i="1"/>
  <c r="BD22" i="1"/>
  <c r="BH22" i="1" s="1"/>
  <c r="BL23" i="1"/>
  <c r="BP23" i="1"/>
  <c r="BT23" i="1"/>
  <c r="BD23" i="1"/>
  <c r="BH23" i="1" s="1"/>
  <c r="BL24" i="1"/>
  <c r="BP24" i="1"/>
  <c r="BT24" i="1"/>
  <c r="BD24" i="1"/>
  <c r="BH24" i="1" s="1"/>
  <c r="BP25" i="1"/>
  <c r="BT25" i="1"/>
  <c r="BL25" i="1"/>
  <c r="BD25" i="1"/>
  <c r="BH25" i="1" s="1"/>
  <c r="BD26" i="1"/>
  <c r="BH26" i="1" s="1"/>
  <c r="BP26" i="1"/>
  <c r="BT26" i="1"/>
  <c r="BL26" i="1"/>
  <c r="BD27" i="1"/>
  <c r="BH27" i="1" s="1"/>
  <c r="BP27" i="1"/>
  <c r="BT27" i="1"/>
  <c r="BL27" i="1"/>
  <c r="BL28" i="1"/>
  <c r="BP28" i="1"/>
  <c r="BT28" i="1"/>
  <c r="BD28" i="1"/>
  <c r="BH28" i="1" s="1"/>
  <c r="BL29" i="1"/>
  <c r="BD29" i="1"/>
  <c r="BH29" i="1" s="1"/>
  <c r="BL30" i="1"/>
  <c r="BD30" i="1"/>
  <c r="BH30" i="1" s="1"/>
  <c r="BO34" i="1"/>
  <c r="BS34" i="1"/>
  <c r="BC34" i="1"/>
  <c r="BG34" i="1" s="1"/>
  <c r="BK34" i="1"/>
  <c r="BO38" i="1"/>
  <c r="BS38" i="1"/>
  <c r="BC38" i="1"/>
  <c r="BG38" i="1" s="1"/>
  <c r="BK38" i="1"/>
  <c r="BM43" i="1"/>
  <c r="BI43" i="1"/>
  <c r="BJ43" i="1"/>
  <c r="BR43" i="1"/>
  <c r="BB43" i="1"/>
  <c r="BF43" i="1" s="1"/>
  <c r="BN43" i="1"/>
  <c r="BM44" i="1"/>
  <c r="BN44" i="1" s="1"/>
  <c r="BQ44" i="1"/>
  <c r="BA44" i="1"/>
  <c r="BE44" i="1" s="1"/>
  <c r="BB44" i="1"/>
  <c r="BF44" i="1" s="1"/>
  <c r="BJ44" i="1"/>
  <c r="BM53" i="1"/>
  <c r="BQ53" i="1"/>
  <c r="BI53" i="1"/>
  <c r="BA53" i="1"/>
  <c r="BE53" i="1" s="1"/>
  <c r="BL53" i="1"/>
  <c r="BD53" i="1"/>
  <c r="BH53" i="1" s="1"/>
  <c r="BM57" i="1"/>
  <c r="BQ57" i="1"/>
  <c r="BI57" i="1"/>
  <c r="BA57" i="1"/>
  <c r="BE57" i="1" s="1"/>
  <c r="BL57" i="1"/>
  <c r="BD57" i="1"/>
  <c r="BH57" i="1" s="1"/>
  <c r="BM61" i="1"/>
  <c r="BS61" i="1" s="1"/>
  <c r="BQ61" i="1"/>
  <c r="BI61" i="1"/>
  <c r="BA61" i="1"/>
  <c r="BE61" i="1" s="1"/>
  <c r="BT61" i="1"/>
  <c r="BL61" i="1"/>
  <c r="BD61" i="1"/>
  <c r="BH61" i="1" s="1"/>
  <c r="BT65" i="1"/>
  <c r="BL65" i="1"/>
  <c r="BD65" i="1"/>
  <c r="BH65" i="1" s="1"/>
  <c r="BL69" i="1"/>
  <c r="BD69" i="1"/>
  <c r="BH69" i="1" s="1"/>
  <c r="BM73" i="1"/>
  <c r="BQ73" i="1"/>
  <c r="BI73" i="1"/>
  <c r="BA73" i="1"/>
  <c r="BE73" i="1" s="1"/>
  <c r="BM77" i="1"/>
  <c r="BQ77" i="1"/>
  <c r="BI77" i="1"/>
  <c r="BA77" i="1"/>
  <c r="BE77" i="1" s="1"/>
  <c r="BL112" i="1"/>
  <c r="BD112" i="1"/>
  <c r="BH112" i="1" s="1"/>
  <c r="BI169" i="1"/>
  <c r="BQ169" i="1"/>
  <c r="BA169" i="1"/>
  <c r="BE169" i="1" s="1"/>
  <c r="BM169" i="1"/>
  <c r="AW24" i="1"/>
  <c r="AW29" i="1"/>
  <c r="BQ31" i="1"/>
  <c r="BM31" i="1"/>
  <c r="BI31" i="1"/>
  <c r="BA31" i="1"/>
  <c r="BE31" i="1" s="1"/>
  <c r="BT32" i="1"/>
  <c r="BP32" i="1"/>
  <c r="BL32" i="1"/>
  <c r="BD32" i="1"/>
  <c r="BH32" i="1" s="1"/>
  <c r="BM33" i="1"/>
  <c r="BI33" i="1"/>
  <c r="BA33" i="1"/>
  <c r="BE33" i="1" s="1"/>
  <c r="BT34" i="1"/>
  <c r="BP34" i="1"/>
  <c r="BL34" i="1"/>
  <c r="BD34" i="1"/>
  <c r="BH34" i="1" s="1"/>
  <c r="BM35" i="1"/>
  <c r="BI35" i="1"/>
  <c r="BA35" i="1"/>
  <c r="BE35" i="1" s="1"/>
  <c r="BL36" i="1"/>
  <c r="BD36" i="1"/>
  <c r="BH36" i="1" s="1"/>
  <c r="BQ37" i="1"/>
  <c r="BM37" i="1"/>
  <c r="BI37" i="1"/>
  <c r="BA37" i="1"/>
  <c r="BE37" i="1" s="1"/>
  <c r="BT38" i="1"/>
  <c r="BL38" i="1"/>
  <c r="BD38" i="1"/>
  <c r="BH38" i="1" s="1"/>
  <c r="BP38" i="1"/>
  <c r="BI39" i="1"/>
  <c r="BA39" i="1"/>
  <c r="BE39" i="1" s="1"/>
  <c r="BM39" i="1"/>
  <c r="BP44" i="1"/>
  <c r="BL44" i="1"/>
  <c r="BD44" i="1"/>
  <c r="BH44" i="1" s="1"/>
  <c r="AX45" i="1"/>
  <c r="AZ45" i="1"/>
  <c r="BR46" i="1"/>
  <c r="BB46" i="1"/>
  <c r="BF46" i="1" s="1"/>
  <c r="BJ46" i="1"/>
  <c r="BM52" i="1"/>
  <c r="BI52" i="1"/>
  <c r="BA52" i="1"/>
  <c r="BE52" i="1" s="1"/>
  <c r="BM56" i="1"/>
  <c r="BQ56" i="1"/>
  <c r="BI56" i="1"/>
  <c r="BA56" i="1"/>
  <c r="BE56" i="1" s="1"/>
  <c r="BM60" i="1"/>
  <c r="BQ60" i="1"/>
  <c r="BI60" i="1"/>
  <c r="BA60" i="1"/>
  <c r="BE60" i="1" s="1"/>
  <c r="BL60" i="1"/>
  <c r="BD60" i="1"/>
  <c r="BH60" i="1" s="1"/>
  <c r="BM64" i="1"/>
  <c r="BQ64" i="1"/>
  <c r="BI64" i="1"/>
  <c r="BA64" i="1"/>
  <c r="BE64" i="1" s="1"/>
  <c r="BT64" i="1"/>
  <c r="BL64" i="1"/>
  <c r="BD64" i="1"/>
  <c r="BH64" i="1" s="1"/>
  <c r="BM68" i="1"/>
  <c r="BI68" i="1"/>
  <c r="BA68" i="1"/>
  <c r="BE68" i="1" s="1"/>
  <c r="BL68" i="1"/>
  <c r="BD68" i="1"/>
  <c r="BH68" i="1" s="1"/>
  <c r="BM72" i="1"/>
  <c r="BQ72" i="1" s="1"/>
  <c r="BI72" i="1"/>
  <c r="BA72" i="1"/>
  <c r="BE72" i="1" s="1"/>
  <c r="BT72" i="1"/>
  <c r="BL72" i="1"/>
  <c r="BD72" i="1"/>
  <c r="BH72" i="1" s="1"/>
  <c r="BM76" i="1"/>
  <c r="BI76" i="1"/>
  <c r="BA76" i="1"/>
  <c r="BE76" i="1" s="1"/>
  <c r="BT76" i="1"/>
  <c r="BL76" i="1"/>
  <c r="BD76" i="1"/>
  <c r="BH76" i="1" s="1"/>
  <c r="BC81" i="1"/>
  <c r="BG81" i="1" s="1"/>
  <c r="BK81" i="1"/>
  <c r="BO84" i="1"/>
  <c r="BK84" i="1"/>
  <c r="BC84" i="1"/>
  <c r="BG84" i="1" s="1"/>
  <c r="BL84" i="1"/>
  <c r="BD84" i="1"/>
  <c r="BH84" i="1" s="1"/>
  <c r="BT85" i="1"/>
  <c r="BL85" i="1"/>
  <c r="BD85" i="1"/>
  <c r="BH85" i="1" s="1"/>
  <c r="BP85" i="1"/>
  <c r="BT87" i="1"/>
  <c r="BL87" i="1"/>
  <c r="BD87" i="1"/>
  <c r="BH87" i="1" s="1"/>
  <c r="BP87" i="1"/>
  <c r="BT89" i="1"/>
  <c r="BL89" i="1"/>
  <c r="BD89" i="1"/>
  <c r="BH89" i="1" s="1"/>
  <c r="BP89" i="1"/>
  <c r="BT91" i="1"/>
  <c r="BL91" i="1"/>
  <c r="BD91" i="1"/>
  <c r="BH91" i="1" s="1"/>
  <c r="BP91" i="1"/>
  <c r="BT93" i="1"/>
  <c r="BL93" i="1"/>
  <c r="BD93" i="1"/>
  <c r="BH93" i="1" s="1"/>
  <c r="BP93" i="1"/>
  <c r="BT95" i="1"/>
  <c r="BL95" i="1"/>
  <c r="BD95" i="1"/>
  <c r="BH95" i="1" s="1"/>
  <c r="BP95" i="1"/>
  <c r="AX22" i="1"/>
  <c r="AX23" i="1"/>
  <c r="AX24" i="1"/>
  <c r="AX25" i="1"/>
  <c r="AX26" i="1"/>
  <c r="AX27" i="1"/>
  <c r="AX28" i="1"/>
  <c r="AX29" i="1"/>
  <c r="AX30" i="1"/>
  <c r="AX31" i="1"/>
  <c r="BC31" i="1"/>
  <c r="BG31" i="1" s="1"/>
  <c r="AX33" i="1"/>
  <c r="BC33" i="1"/>
  <c r="BG33" i="1" s="1"/>
  <c r="BS33" i="1"/>
  <c r="AX35" i="1"/>
  <c r="BC35" i="1"/>
  <c r="BG35" i="1" s="1"/>
  <c r="AX37" i="1"/>
  <c r="BC37" i="1"/>
  <c r="BG37" i="1" s="1"/>
  <c r="BJ39" i="1"/>
  <c r="BB39" i="1"/>
  <c r="BF39" i="1" s="1"/>
  <c r="BN39" i="1"/>
  <c r="BR39" i="1" s="1"/>
  <c r="BM40" i="1"/>
  <c r="BA40" i="1"/>
  <c r="BE40" i="1" s="1"/>
  <c r="BR40" i="1"/>
  <c r="BB40" i="1"/>
  <c r="BF40" i="1" s="1"/>
  <c r="BJ40" i="1"/>
  <c r="BI44" i="1"/>
  <c r="BP46" i="1"/>
  <c r="BL46" i="1"/>
  <c r="BD46" i="1"/>
  <c r="BH46" i="1" s="1"/>
  <c r="AW47" i="1"/>
  <c r="AX47" i="1"/>
  <c r="AZ47" i="1"/>
  <c r="BM48" i="1"/>
  <c r="BA48" i="1"/>
  <c r="BE48" i="1" s="1"/>
  <c r="BB48" i="1"/>
  <c r="BF48" i="1" s="1"/>
  <c r="BJ48" i="1"/>
  <c r="BM51" i="1"/>
  <c r="BI51" i="1"/>
  <c r="BA51" i="1"/>
  <c r="BE51" i="1" s="1"/>
  <c r="BT51" i="1"/>
  <c r="BL51" i="1"/>
  <c r="BD51" i="1"/>
  <c r="BH51" i="1" s="1"/>
  <c r="BM55" i="1"/>
  <c r="BI55" i="1"/>
  <c r="BA55" i="1"/>
  <c r="BE55" i="1" s="1"/>
  <c r="BT55" i="1"/>
  <c r="BL55" i="1"/>
  <c r="BD55" i="1"/>
  <c r="BH55" i="1" s="1"/>
  <c r="BM59" i="1"/>
  <c r="BI59" i="1"/>
  <c r="BA59" i="1"/>
  <c r="BE59" i="1" s="1"/>
  <c r="BT59" i="1"/>
  <c r="BL59" i="1"/>
  <c r="BD59" i="1"/>
  <c r="BH59" i="1" s="1"/>
  <c r="BP61" i="1"/>
  <c r="BM63" i="1"/>
  <c r="BQ63" i="1"/>
  <c r="BI63" i="1"/>
  <c r="BA63" i="1"/>
  <c r="BE63" i="1" s="1"/>
  <c r="BL63" i="1"/>
  <c r="BD63" i="1"/>
  <c r="BH63" i="1" s="1"/>
  <c r="BP65" i="1"/>
  <c r="BM67" i="1"/>
  <c r="BI67" i="1"/>
  <c r="BA67" i="1"/>
  <c r="BE67" i="1" s="1"/>
  <c r="BT67" i="1"/>
  <c r="BL67" i="1"/>
  <c r="BD67" i="1"/>
  <c r="BH67" i="1" s="1"/>
  <c r="BM71" i="1"/>
  <c r="BI71" i="1"/>
  <c r="BA71" i="1"/>
  <c r="BE71" i="1" s="1"/>
  <c r="BT71" i="1"/>
  <c r="BL71" i="1"/>
  <c r="BD71" i="1"/>
  <c r="BH71" i="1" s="1"/>
  <c r="BM75" i="1"/>
  <c r="BQ75" i="1" s="1"/>
  <c r="BI75" i="1"/>
  <c r="BA75" i="1"/>
  <c r="BE75" i="1" s="1"/>
  <c r="BT75" i="1"/>
  <c r="BL75" i="1"/>
  <c r="BD75" i="1"/>
  <c r="BH75" i="1" s="1"/>
  <c r="BM79" i="1"/>
  <c r="BI79" i="1"/>
  <c r="BA79" i="1"/>
  <c r="BE79" i="1" s="1"/>
  <c r="BT79" i="1"/>
  <c r="BL79" i="1"/>
  <c r="BD79" i="1"/>
  <c r="BH79" i="1" s="1"/>
  <c r="BK80" i="1"/>
  <c r="BO80" i="1"/>
  <c r="BS80" i="1"/>
  <c r="BC80" i="1"/>
  <c r="BG80" i="1" s="1"/>
  <c r="BP80" i="1"/>
  <c r="BT80" i="1"/>
  <c r="BD80" i="1"/>
  <c r="BH80" i="1" s="1"/>
  <c r="BL81" i="1"/>
  <c r="BD81" i="1"/>
  <c r="BH81" i="1" s="1"/>
  <c r="BP84" i="1"/>
  <c r="BL86" i="1"/>
  <c r="BD86" i="1"/>
  <c r="BH86" i="1" s="1"/>
  <c r="BL88" i="1"/>
  <c r="BD88" i="1"/>
  <c r="BH88" i="1" s="1"/>
  <c r="BL90" i="1"/>
  <c r="BD90" i="1"/>
  <c r="BH90" i="1" s="1"/>
  <c r="BL92" i="1"/>
  <c r="BD92" i="1"/>
  <c r="BH92" i="1" s="1"/>
  <c r="BL94" i="1"/>
  <c r="BD94" i="1"/>
  <c r="BH94" i="1" s="1"/>
  <c r="BJ32" i="1"/>
  <c r="BB32" i="1"/>
  <c r="BF32" i="1" s="1"/>
  <c r="BR34" i="1"/>
  <c r="BN34" i="1"/>
  <c r="BJ34" i="1"/>
  <c r="BB34" i="1"/>
  <c r="BF34" i="1" s="1"/>
  <c r="BJ36" i="1"/>
  <c r="BB36" i="1"/>
  <c r="BF36" i="1" s="1"/>
  <c r="BJ38" i="1"/>
  <c r="BB38" i="1"/>
  <c r="BF38" i="1" s="1"/>
  <c r="BL42" i="1"/>
  <c r="BD42" i="1"/>
  <c r="BH42" i="1" s="1"/>
  <c r="BD43" i="1"/>
  <c r="BH43" i="1" s="1"/>
  <c r="BA43" i="1"/>
  <c r="BE43" i="1" s="1"/>
  <c r="BM65" i="1"/>
  <c r="BQ65" i="1" s="1"/>
  <c r="BI65" i="1"/>
  <c r="BA65" i="1"/>
  <c r="BE65" i="1" s="1"/>
  <c r="BM69" i="1"/>
  <c r="BQ69" i="1"/>
  <c r="BI69" i="1"/>
  <c r="BA69" i="1"/>
  <c r="BE69" i="1" s="1"/>
  <c r="BL73" i="1"/>
  <c r="BD73" i="1"/>
  <c r="BH73" i="1" s="1"/>
  <c r="BL77" i="1"/>
  <c r="BD77" i="1"/>
  <c r="BH77" i="1" s="1"/>
  <c r="BM112" i="1"/>
  <c r="BQ112" i="1"/>
  <c r="BI112" i="1"/>
  <c r="BA112" i="1"/>
  <c r="BE112" i="1" s="1"/>
  <c r="BQ164" i="1"/>
  <c r="BI164" i="1"/>
  <c r="BA164" i="1"/>
  <c r="BE164" i="1" s="1"/>
  <c r="BM164" i="1"/>
  <c r="AW22" i="1"/>
  <c r="AW23" i="1"/>
  <c r="AW25" i="1"/>
  <c r="AW26" i="1"/>
  <c r="AW27" i="1"/>
  <c r="AW28" i="1"/>
  <c r="AW30" i="1"/>
  <c r="BS39" i="1"/>
  <c r="BO39" i="1"/>
  <c r="BK39" i="1"/>
  <c r="BQ39" i="1"/>
  <c r="AW45" i="1"/>
  <c r="BM46" i="1"/>
  <c r="BA46" i="1"/>
  <c r="BE46" i="1" s="1"/>
  <c r="BT52" i="1"/>
  <c r="BL52" i="1"/>
  <c r="BD52" i="1"/>
  <c r="BH52" i="1" s="1"/>
  <c r="BL56" i="1"/>
  <c r="BD56" i="1"/>
  <c r="BH56" i="1" s="1"/>
  <c r="BL31" i="1"/>
  <c r="BD31" i="1"/>
  <c r="BH31" i="1" s="1"/>
  <c r="AW32" i="1"/>
  <c r="BD33" i="1"/>
  <c r="BH33" i="1" s="1"/>
  <c r="BT33" i="1"/>
  <c r="BP33" i="1"/>
  <c r="BL33" i="1"/>
  <c r="AW34" i="1"/>
  <c r="BL35" i="1"/>
  <c r="BD35" i="1"/>
  <c r="BH35" i="1" s="1"/>
  <c r="AW36" i="1"/>
  <c r="BD37" i="1"/>
  <c r="BH37" i="1" s="1"/>
  <c r="BL37" i="1"/>
  <c r="AW38" i="1"/>
  <c r="BP39" i="1"/>
  <c r="BT39" i="1"/>
  <c r="BD39" i="1"/>
  <c r="BH39" i="1" s="1"/>
  <c r="BL40" i="1"/>
  <c r="BP40" i="1"/>
  <c r="BD40" i="1"/>
  <c r="BH40" i="1" s="1"/>
  <c r="AW41" i="1"/>
  <c r="AX41" i="1"/>
  <c r="AZ41" i="1"/>
  <c r="AW42" i="1"/>
  <c r="BQ43" i="1"/>
  <c r="BI46" i="1"/>
  <c r="BL48" i="1"/>
  <c r="BD48" i="1"/>
  <c r="BH48" i="1" s="1"/>
  <c r="AW49" i="1"/>
  <c r="AX49" i="1"/>
  <c r="AZ49" i="1"/>
  <c r="AW50" i="1"/>
  <c r="BT50" i="1"/>
  <c r="BL50" i="1"/>
  <c r="BD50" i="1"/>
  <c r="BH50" i="1" s="1"/>
  <c r="BP52" i="1"/>
  <c r="BM54" i="1"/>
  <c r="BR54" i="1" s="1"/>
  <c r="BQ54" i="1"/>
  <c r="BI54" i="1"/>
  <c r="BA54" i="1"/>
  <c r="BE54" i="1" s="1"/>
  <c r="BT54" i="1"/>
  <c r="BL54" i="1"/>
  <c r="BD54" i="1"/>
  <c r="BH54" i="1" s="1"/>
  <c r="BM58" i="1"/>
  <c r="BQ58" i="1" s="1"/>
  <c r="BI58" i="1"/>
  <c r="BA58" i="1"/>
  <c r="BE58" i="1" s="1"/>
  <c r="BT58" i="1"/>
  <c r="BL58" i="1"/>
  <c r="BD58" i="1"/>
  <c r="BH58" i="1" s="1"/>
  <c r="BM62" i="1"/>
  <c r="BQ62" i="1" s="1"/>
  <c r="BI62" i="1"/>
  <c r="BA62" i="1"/>
  <c r="BE62" i="1" s="1"/>
  <c r="BT62" i="1"/>
  <c r="BL62" i="1"/>
  <c r="BD62" i="1"/>
  <c r="BH62" i="1" s="1"/>
  <c r="BP64" i="1"/>
  <c r="BM66" i="1"/>
  <c r="BQ66" i="1" s="1"/>
  <c r="BI66" i="1"/>
  <c r="BA66" i="1"/>
  <c r="BE66" i="1" s="1"/>
  <c r="BT66" i="1"/>
  <c r="BL66" i="1"/>
  <c r="BD66" i="1"/>
  <c r="BH66" i="1" s="1"/>
  <c r="BM70" i="1"/>
  <c r="BQ70" i="1"/>
  <c r="BI70" i="1"/>
  <c r="BA70" i="1"/>
  <c r="BE70" i="1" s="1"/>
  <c r="BT70" i="1"/>
  <c r="BL70" i="1"/>
  <c r="BD70" i="1"/>
  <c r="BH70" i="1" s="1"/>
  <c r="BP72" i="1"/>
  <c r="BM74" i="1"/>
  <c r="BR74" i="1" s="1"/>
  <c r="BQ74" i="1"/>
  <c r="BI74" i="1"/>
  <c r="BA74" i="1"/>
  <c r="BE74" i="1" s="1"/>
  <c r="BT74" i="1"/>
  <c r="BL74" i="1"/>
  <c r="BD74" i="1"/>
  <c r="BH74" i="1" s="1"/>
  <c r="BP76" i="1"/>
  <c r="BM78" i="1"/>
  <c r="BR78" i="1" s="1"/>
  <c r="BQ78" i="1"/>
  <c r="BI78" i="1"/>
  <c r="BA78" i="1"/>
  <c r="BE78" i="1" s="1"/>
  <c r="BT78" i="1"/>
  <c r="BL78" i="1"/>
  <c r="BD78" i="1"/>
  <c r="BH78" i="1" s="1"/>
  <c r="BL80" i="1"/>
  <c r="BJ82" i="1"/>
  <c r="BB82" i="1"/>
  <c r="BF82" i="1" s="1"/>
  <c r="AY83" i="1"/>
  <c r="AZ83" i="1"/>
  <c r="BO88" i="1"/>
  <c r="BP88" i="1" s="1"/>
  <c r="BK88" i="1"/>
  <c r="BC88" i="1"/>
  <c r="BG88" i="1" s="1"/>
  <c r="BO90" i="1"/>
  <c r="BP90" i="1" s="1"/>
  <c r="BK90" i="1"/>
  <c r="BC90" i="1"/>
  <c r="BG90" i="1" s="1"/>
  <c r="BB90" i="1"/>
  <c r="BF90" i="1" s="1"/>
  <c r="BR90" i="1"/>
  <c r="BO92" i="1"/>
  <c r="BP92" i="1" s="1"/>
  <c r="BK92" i="1"/>
  <c r="BC92" i="1"/>
  <c r="BG92" i="1" s="1"/>
  <c r="BB92" i="1"/>
  <c r="BF92" i="1" s="1"/>
  <c r="BR92" i="1"/>
  <c r="BO94" i="1"/>
  <c r="BP94" i="1" s="1"/>
  <c r="BK94" i="1"/>
  <c r="BC94" i="1"/>
  <c r="BG94" i="1" s="1"/>
  <c r="BB94" i="1"/>
  <c r="BF94" i="1" s="1"/>
  <c r="BR94" i="1"/>
  <c r="BN96" i="1"/>
  <c r="BJ96" i="1"/>
  <c r="BO96" i="1"/>
  <c r="BK96" i="1"/>
  <c r="BC96" i="1"/>
  <c r="BG96" i="1" s="1"/>
  <c r="BP96" i="1"/>
  <c r="BL96" i="1"/>
  <c r="BD96" i="1"/>
  <c r="BH96" i="1" s="1"/>
  <c r="BM99" i="1"/>
  <c r="BQ99" i="1" s="1"/>
  <c r="BI99" i="1"/>
  <c r="BA99" i="1"/>
  <c r="BE99" i="1" s="1"/>
  <c r="BB99" i="1"/>
  <c r="BF99" i="1" s="1"/>
  <c r="BN100" i="1"/>
  <c r="BJ100" i="1"/>
  <c r="BO100" i="1"/>
  <c r="BP100" i="1" s="1"/>
  <c r="BK100" i="1"/>
  <c r="BC100" i="1"/>
  <c r="BG100" i="1" s="1"/>
  <c r="BL100" i="1"/>
  <c r="BD100" i="1"/>
  <c r="BH100" i="1" s="1"/>
  <c r="BR104" i="1"/>
  <c r="BJ104" i="1"/>
  <c r="BN104" i="1"/>
  <c r="BB104" i="1"/>
  <c r="BF104" i="1" s="1"/>
  <c r="BM107" i="1"/>
  <c r="BI107" i="1"/>
  <c r="BP107" i="1"/>
  <c r="BT107" i="1"/>
  <c r="BL107" i="1"/>
  <c r="BD107" i="1"/>
  <c r="BH107" i="1" s="1"/>
  <c r="BA107" i="1"/>
  <c r="BE107" i="1" s="1"/>
  <c r="BM135" i="1"/>
  <c r="BR135" i="1" s="1"/>
  <c r="BI135" i="1"/>
  <c r="BA135" i="1"/>
  <c r="BE135" i="1" s="1"/>
  <c r="BN135" i="1"/>
  <c r="BJ135" i="1"/>
  <c r="BB135" i="1"/>
  <c r="BF135" i="1" s="1"/>
  <c r="BS135" i="1"/>
  <c r="BO135" i="1"/>
  <c r="BK135" i="1"/>
  <c r="BC135" i="1"/>
  <c r="BG135" i="1" s="1"/>
  <c r="BL135" i="1"/>
  <c r="BT135" i="1"/>
  <c r="BD135" i="1"/>
  <c r="BH135" i="1" s="1"/>
  <c r="BP135" i="1"/>
  <c r="BR80" i="1"/>
  <c r="AY82" i="1"/>
  <c r="AZ82" i="1"/>
  <c r="BR96" i="1"/>
  <c r="BJ99" i="1"/>
  <c r="BR100" i="1"/>
  <c r="BM108" i="1"/>
  <c r="BQ108" i="1"/>
  <c r="BP108" i="1"/>
  <c r="BS108" i="1" s="1"/>
  <c r="BT108" i="1"/>
  <c r="BL108" i="1"/>
  <c r="BD108" i="1"/>
  <c r="BH108" i="1" s="1"/>
  <c r="BA108" i="1"/>
  <c r="BE108" i="1" s="1"/>
  <c r="BM124" i="1"/>
  <c r="BQ124" i="1"/>
  <c r="BI124" i="1"/>
  <c r="BL124" i="1"/>
  <c r="BD124" i="1"/>
  <c r="BH124" i="1" s="1"/>
  <c r="BA124" i="1"/>
  <c r="BE124" i="1" s="1"/>
  <c r="BP131" i="1"/>
  <c r="BT131" i="1"/>
  <c r="BL131" i="1"/>
  <c r="BD131" i="1"/>
  <c r="BH131" i="1" s="1"/>
  <c r="AY41" i="1"/>
  <c r="AY43" i="1"/>
  <c r="AY45" i="1"/>
  <c r="AY47" i="1"/>
  <c r="AY49" i="1"/>
  <c r="BN81" i="1"/>
  <c r="BO81" i="1" s="1"/>
  <c r="BP81" i="1" s="1"/>
  <c r="BR81" i="1"/>
  <c r="BB81" i="1"/>
  <c r="BF81" i="1" s="1"/>
  <c r="AW82" i="1"/>
  <c r="BO86" i="1"/>
  <c r="BP86" i="1" s="1"/>
  <c r="BK86" i="1"/>
  <c r="BC86" i="1"/>
  <c r="BG86" i="1" s="1"/>
  <c r="BB86" i="1"/>
  <c r="BF86" i="1" s="1"/>
  <c r="BR86" i="1"/>
  <c r="BB88" i="1"/>
  <c r="BF88" i="1" s="1"/>
  <c r="BR88" i="1"/>
  <c r="AY40" i="1"/>
  <c r="AY42" i="1"/>
  <c r="AY44" i="1"/>
  <c r="AY46" i="1"/>
  <c r="AY48" i="1"/>
  <c r="AX50" i="1"/>
  <c r="BS50" i="1"/>
  <c r="BO50" i="1"/>
  <c r="BK50" i="1"/>
  <c r="BC50" i="1"/>
  <c r="BG50" i="1" s="1"/>
  <c r="BN51" i="1"/>
  <c r="BQ51" i="1" s="1"/>
  <c r="BJ51" i="1"/>
  <c r="BB51" i="1"/>
  <c r="BF51" i="1" s="1"/>
  <c r="BS51" i="1"/>
  <c r="BO51" i="1"/>
  <c r="BK51" i="1"/>
  <c r="BC51" i="1"/>
  <c r="BG51" i="1" s="1"/>
  <c r="BR52" i="1"/>
  <c r="BN52" i="1"/>
  <c r="BQ52" i="1" s="1"/>
  <c r="BJ52" i="1"/>
  <c r="BB52" i="1"/>
  <c r="BF52" i="1" s="1"/>
  <c r="BS52" i="1"/>
  <c r="BO52" i="1"/>
  <c r="BK52" i="1"/>
  <c r="BC52" i="1"/>
  <c r="BG52" i="1" s="1"/>
  <c r="BR53" i="1"/>
  <c r="BN53" i="1"/>
  <c r="BJ53" i="1"/>
  <c r="BB53" i="1"/>
  <c r="BF53" i="1" s="1"/>
  <c r="BK53" i="1"/>
  <c r="BC53" i="1"/>
  <c r="BG53" i="1" s="1"/>
  <c r="BN54" i="1"/>
  <c r="BJ54" i="1"/>
  <c r="BB54" i="1"/>
  <c r="BF54" i="1" s="1"/>
  <c r="BO54" i="1"/>
  <c r="BK54" i="1"/>
  <c r="BC54" i="1"/>
  <c r="BG54" i="1" s="1"/>
  <c r="BR55" i="1"/>
  <c r="BN55" i="1"/>
  <c r="BQ55" i="1" s="1"/>
  <c r="BJ55" i="1"/>
  <c r="BB55" i="1"/>
  <c r="BF55" i="1" s="1"/>
  <c r="BS55" i="1"/>
  <c r="BO55" i="1"/>
  <c r="BK55" i="1"/>
  <c r="BC55" i="1"/>
  <c r="BG55" i="1" s="1"/>
  <c r="BR56" i="1"/>
  <c r="BN56" i="1"/>
  <c r="BJ56" i="1"/>
  <c r="BB56" i="1"/>
  <c r="BF56" i="1" s="1"/>
  <c r="BS56" i="1"/>
  <c r="BO56" i="1"/>
  <c r="BP56" i="1" s="1"/>
  <c r="BK56" i="1"/>
  <c r="BC56" i="1"/>
  <c r="BG56" i="1" s="1"/>
  <c r="BR57" i="1"/>
  <c r="BN57" i="1"/>
  <c r="BJ57" i="1"/>
  <c r="BB57" i="1"/>
  <c r="BF57" i="1" s="1"/>
  <c r="BK57" i="1"/>
  <c r="BC57" i="1"/>
  <c r="BG57" i="1" s="1"/>
  <c r="BN58" i="1"/>
  <c r="BJ58" i="1"/>
  <c r="BB58" i="1"/>
  <c r="BF58" i="1" s="1"/>
  <c r="BS58" i="1"/>
  <c r="BO58" i="1"/>
  <c r="BK58" i="1"/>
  <c r="BC58" i="1"/>
  <c r="BG58" i="1" s="1"/>
  <c r="BR59" i="1"/>
  <c r="BN59" i="1"/>
  <c r="BQ59" i="1" s="1"/>
  <c r="BJ59" i="1"/>
  <c r="BB59" i="1"/>
  <c r="BF59" i="1" s="1"/>
  <c r="BS59" i="1"/>
  <c r="BO59" i="1"/>
  <c r="BK59" i="1"/>
  <c r="BC59" i="1"/>
  <c r="BG59" i="1" s="1"/>
  <c r="BR60" i="1"/>
  <c r="BN60" i="1"/>
  <c r="BT60" i="1" s="1"/>
  <c r="BJ60" i="1"/>
  <c r="BB60" i="1"/>
  <c r="BF60" i="1" s="1"/>
  <c r="BS60" i="1"/>
  <c r="BO60" i="1"/>
  <c r="BP60" i="1" s="1"/>
  <c r="BK60" i="1"/>
  <c r="BC60" i="1"/>
  <c r="BG60" i="1" s="1"/>
  <c r="BN61" i="1"/>
  <c r="BO61" i="1" s="1"/>
  <c r="BJ61" i="1"/>
  <c r="BB61" i="1"/>
  <c r="BF61" i="1" s="1"/>
  <c r="BK61" i="1"/>
  <c r="BC61" i="1"/>
  <c r="BG61" i="1" s="1"/>
  <c r="BN62" i="1"/>
  <c r="BJ62" i="1"/>
  <c r="BB62" i="1"/>
  <c r="BF62" i="1" s="1"/>
  <c r="BS62" i="1"/>
  <c r="BO62" i="1"/>
  <c r="BK62" i="1"/>
  <c r="BC62" i="1"/>
  <c r="BG62" i="1" s="1"/>
  <c r="BR63" i="1"/>
  <c r="BN63" i="1"/>
  <c r="BT63" i="1" s="1"/>
  <c r="BJ63" i="1"/>
  <c r="BB63" i="1"/>
  <c r="BF63" i="1" s="1"/>
  <c r="BO63" i="1"/>
  <c r="BP63" i="1" s="1"/>
  <c r="BK63" i="1"/>
  <c r="BC63" i="1"/>
  <c r="BG63" i="1" s="1"/>
  <c r="BN64" i="1"/>
  <c r="BS64" i="1" s="1"/>
  <c r="BJ64" i="1"/>
  <c r="BB64" i="1"/>
  <c r="BF64" i="1" s="1"/>
  <c r="BO64" i="1"/>
  <c r="BK64" i="1"/>
  <c r="BC64" i="1"/>
  <c r="BG64" i="1" s="1"/>
  <c r="BR65" i="1"/>
  <c r="BN65" i="1"/>
  <c r="BJ65" i="1"/>
  <c r="BB65" i="1"/>
  <c r="BF65" i="1" s="1"/>
  <c r="BS65" i="1"/>
  <c r="BO65" i="1"/>
  <c r="BK65" i="1"/>
  <c r="BC65" i="1"/>
  <c r="BG65" i="1" s="1"/>
  <c r="BR66" i="1"/>
  <c r="BN66" i="1"/>
  <c r="BJ66" i="1"/>
  <c r="BB66" i="1"/>
  <c r="BF66" i="1" s="1"/>
  <c r="BS66" i="1"/>
  <c r="BO66" i="1"/>
  <c r="BK66" i="1"/>
  <c r="BC66" i="1"/>
  <c r="BG66" i="1" s="1"/>
  <c r="BR67" i="1"/>
  <c r="BN67" i="1"/>
  <c r="BQ67" i="1" s="1"/>
  <c r="BJ67" i="1"/>
  <c r="BB67" i="1"/>
  <c r="BF67" i="1" s="1"/>
  <c r="BS67" i="1"/>
  <c r="BO67" i="1"/>
  <c r="BK67" i="1"/>
  <c r="BC67" i="1"/>
  <c r="BG67" i="1" s="1"/>
  <c r="BN68" i="1"/>
  <c r="BJ68" i="1"/>
  <c r="BB68" i="1"/>
  <c r="BF68" i="1" s="1"/>
  <c r="BK68" i="1"/>
  <c r="BC68" i="1"/>
  <c r="BG68" i="1" s="1"/>
  <c r="BR69" i="1"/>
  <c r="BN69" i="1"/>
  <c r="BJ69" i="1"/>
  <c r="BB69" i="1"/>
  <c r="BF69" i="1" s="1"/>
  <c r="BO69" i="1"/>
  <c r="BP69" i="1" s="1"/>
  <c r="BK69" i="1"/>
  <c r="BC69" i="1"/>
  <c r="BG69" i="1" s="1"/>
  <c r="BN70" i="1"/>
  <c r="BO70" i="1" s="1"/>
  <c r="BJ70" i="1"/>
  <c r="BB70" i="1"/>
  <c r="BF70" i="1" s="1"/>
  <c r="BK70" i="1"/>
  <c r="BC70" i="1"/>
  <c r="BG70" i="1" s="1"/>
  <c r="BN71" i="1"/>
  <c r="BQ71" i="1" s="1"/>
  <c r="BJ71" i="1"/>
  <c r="BB71" i="1"/>
  <c r="BF71" i="1" s="1"/>
  <c r="BS71" i="1"/>
  <c r="BO71" i="1"/>
  <c r="BK71" i="1"/>
  <c r="BC71" i="1"/>
  <c r="BG71" i="1" s="1"/>
  <c r="BR72" i="1"/>
  <c r="BN72" i="1"/>
  <c r="BJ72" i="1"/>
  <c r="BB72" i="1"/>
  <c r="BF72" i="1" s="1"/>
  <c r="BS72" i="1"/>
  <c r="BO72" i="1"/>
  <c r="BK72" i="1"/>
  <c r="BC72" i="1"/>
  <c r="BG72" i="1" s="1"/>
  <c r="BR73" i="1"/>
  <c r="BN73" i="1"/>
  <c r="BJ73" i="1"/>
  <c r="BB73" i="1"/>
  <c r="BF73" i="1" s="1"/>
  <c r="BO73" i="1"/>
  <c r="BP73" i="1" s="1"/>
  <c r="BK73" i="1"/>
  <c r="BC73" i="1"/>
  <c r="BG73" i="1" s="1"/>
  <c r="BN74" i="1"/>
  <c r="BJ74" i="1"/>
  <c r="BB74" i="1"/>
  <c r="BF74" i="1" s="1"/>
  <c r="BO74" i="1"/>
  <c r="BK74" i="1"/>
  <c r="BC74" i="1"/>
  <c r="BG74" i="1" s="1"/>
  <c r="BN75" i="1"/>
  <c r="BJ75" i="1"/>
  <c r="BB75" i="1"/>
  <c r="BF75" i="1" s="1"/>
  <c r="BS75" i="1"/>
  <c r="BO75" i="1"/>
  <c r="BK75" i="1"/>
  <c r="BC75" i="1"/>
  <c r="BG75" i="1" s="1"/>
  <c r="BR76" i="1"/>
  <c r="BN76" i="1"/>
  <c r="BQ76" i="1" s="1"/>
  <c r="BJ76" i="1"/>
  <c r="BB76" i="1"/>
  <c r="BF76" i="1" s="1"/>
  <c r="BS76" i="1"/>
  <c r="BO76" i="1"/>
  <c r="BK76" i="1"/>
  <c r="BC76" i="1"/>
  <c r="BG76" i="1" s="1"/>
  <c r="BR77" i="1"/>
  <c r="BN77" i="1"/>
  <c r="BJ77" i="1"/>
  <c r="BB77" i="1"/>
  <c r="BF77" i="1" s="1"/>
  <c r="BK77" i="1"/>
  <c r="BC77" i="1"/>
  <c r="BG77" i="1" s="1"/>
  <c r="BN78" i="1"/>
  <c r="BO78" i="1" s="1"/>
  <c r="BJ78" i="1"/>
  <c r="BB78" i="1"/>
  <c r="BF78" i="1" s="1"/>
  <c r="BK78" i="1"/>
  <c r="BC78" i="1"/>
  <c r="BG78" i="1" s="1"/>
  <c r="BN79" i="1"/>
  <c r="BR79" i="1" s="1"/>
  <c r="BJ79" i="1"/>
  <c r="BB79" i="1"/>
  <c r="BF79" i="1" s="1"/>
  <c r="BS79" i="1"/>
  <c r="BO79" i="1"/>
  <c r="BK79" i="1"/>
  <c r="BC79" i="1"/>
  <c r="BG79" i="1" s="1"/>
  <c r="BM80" i="1"/>
  <c r="BQ80" i="1" s="1"/>
  <c r="BI80" i="1"/>
  <c r="BA80" i="1"/>
  <c r="BE80" i="1" s="1"/>
  <c r="AX83" i="1"/>
  <c r="BQ84" i="1"/>
  <c r="BM84" i="1"/>
  <c r="BS84" i="1" s="1"/>
  <c r="BI84" i="1"/>
  <c r="BA84" i="1"/>
  <c r="BE84" i="1" s="1"/>
  <c r="BJ84" i="1"/>
  <c r="BS85" i="1"/>
  <c r="BO85" i="1"/>
  <c r="BK85" i="1"/>
  <c r="BC85" i="1"/>
  <c r="BG85" i="1" s="1"/>
  <c r="BB85" i="1"/>
  <c r="BF85" i="1" s="1"/>
  <c r="BJ86" i="1"/>
  <c r="BS87" i="1"/>
  <c r="BO87" i="1"/>
  <c r="BK87" i="1"/>
  <c r="BC87" i="1"/>
  <c r="BG87" i="1" s="1"/>
  <c r="BB87" i="1"/>
  <c r="BF87" i="1" s="1"/>
  <c r="BJ88" i="1"/>
  <c r="BS89" i="1"/>
  <c r="BO89" i="1"/>
  <c r="BK89" i="1"/>
  <c r="BC89" i="1"/>
  <c r="BG89" i="1" s="1"/>
  <c r="BB89" i="1"/>
  <c r="BF89" i="1" s="1"/>
  <c r="BJ90" i="1"/>
  <c r="BS91" i="1"/>
  <c r="BO91" i="1"/>
  <c r="BK91" i="1"/>
  <c r="BC91" i="1"/>
  <c r="BG91" i="1" s="1"/>
  <c r="BB91" i="1"/>
  <c r="BF91" i="1" s="1"/>
  <c r="BJ92" i="1"/>
  <c r="BS93" i="1"/>
  <c r="BO93" i="1"/>
  <c r="BK93" i="1"/>
  <c r="BC93" i="1"/>
  <c r="BG93" i="1" s="1"/>
  <c r="BB93" i="1"/>
  <c r="BF93" i="1" s="1"/>
  <c r="BJ94" i="1"/>
  <c r="BS95" i="1"/>
  <c r="BO95" i="1"/>
  <c r="BK95" i="1"/>
  <c r="BC95" i="1"/>
  <c r="BG95" i="1" s="1"/>
  <c r="BB95" i="1"/>
  <c r="BF95" i="1" s="1"/>
  <c r="BQ97" i="1"/>
  <c r="BM97" i="1"/>
  <c r="BN97" i="1" s="1"/>
  <c r="BI97" i="1"/>
  <c r="BA97" i="1"/>
  <c r="BE97" i="1" s="1"/>
  <c r="BR97" i="1"/>
  <c r="BB97" i="1"/>
  <c r="BF97" i="1" s="1"/>
  <c r="BN98" i="1"/>
  <c r="BJ98" i="1"/>
  <c r="BO98" i="1"/>
  <c r="BK98" i="1"/>
  <c r="BC98" i="1"/>
  <c r="BG98" i="1" s="1"/>
  <c r="BP98" i="1"/>
  <c r="BL98" i="1"/>
  <c r="BD98" i="1"/>
  <c r="BH98" i="1" s="1"/>
  <c r="BN99" i="1"/>
  <c r="BM101" i="1"/>
  <c r="BN101" i="1" s="1"/>
  <c r="BA101" i="1"/>
  <c r="BE101" i="1" s="1"/>
  <c r="BI101" i="1"/>
  <c r="BB101" i="1"/>
  <c r="BF101" i="1" s="1"/>
  <c r="BJ101" i="1"/>
  <c r="BM111" i="1"/>
  <c r="BI111" i="1"/>
  <c r="BP111" i="1"/>
  <c r="BT111" i="1"/>
  <c r="BL111" i="1"/>
  <c r="BD111" i="1"/>
  <c r="BH111" i="1" s="1"/>
  <c r="BA111" i="1"/>
  <c r="BE111" i="1" s="1"/>
  <c r="BQ115" i="1"/>
  <c r="BM115" i="1"/>
  <c r="BI115" i="1"/>
  <c r="BA115" i="1"/>
  <c r="BE115" i="1" s="1"/>
  <c r="BR115" i="1"/>
  <c r="BN115" i="1"/>
  <c r="BJ115" i="1"/>
  <c r="BB115" i="1"/>
  <c r="BF115" i="1" s="1"/>
  <c r="BS115" i="1"/>
  <c r="BO115" i="1"/>
  <c r="BK115" i="1"/>
  <c r="BC115" i="1"/>
  <c r="BG115" i="1" s="1"/>
  <c r="BL115" i="1"/>
  <c r="BT115" i="1"/>
  <c r="BD115" i="1"/>
  <c r="BH115" i="1" s="1"/>
  <c r="BP115" i="1"/>
  <c r="BS97" i="1"/>
  <c r="BO97" i="1"/>
  <c r="BK97" i="1"/>
  <c r="BC97" i="1"/>
  <c r="BG97" i="1" s="1"/>
  <c r="BT97" i="1"/>
  <c r="BP97" i="1"/>
  <c r="BL97" i="1"/>
  <c r="BD97" i="1"/>
  <c r="BH97" i="1" s="1"/>
  <c r="BS99" i="1"/>
  <c r="BO99" i="1"/>
  <c r="BK99" i="1"/>
  <c r="BC99" i="1"/>
  <c r="BG99" i="1" s="1"/>
  <c r="BT99" i="1"/>
  <c r="BP99" i="1"/>
  <c r="BL99" i="1"/>
  <c r="BD99" i="1"/>
  <c r="BH99" i="1" s="1"/>
  <c r="BL101" i="1"/>
  <c r="BP101" i="1"/>
  <c r="BD101" i="1"/>
  <c r="BH101" i="1" s="1"/>
  <c r="AW102" i="1"/>
  <c r="AZ102" i="1"/>
  <c r="BM103" i="1"/>
  <c r="BN103" i="1" s="1"/>
  <c r="BA103" i="1"/>
  <c r="BE103" i="1" s="1"/>
  <c r="BB103" i="1"/>
  <c r="BF103" i="1" s="1"/>
  <c r="BJ103" i="1"/>
  <c r="BP106" i="1"/>
  <c r="BS106" i="1" s="1"/>
  <c r="BT106" i="1"/>
  <c r="BL106" i="1"/>
  <c r="BD106" i="1"/>
  <c r="BH106" i="1" s="1"/>
  <c r="BA106" i="1"/>
  <c r="BE106" i="1" s="1"/>
  <c r="BP110" i="1"/>
  <c r="BT110" i="1" s="1"/>
  <c r="BL110" i="1"/>
  <c r="BD110" i="1"/>
  <c r="BH110" i="1" s="1"/>
  <c r="BA110" i="1"/>
  <c r="BE110" i="1" s="1"/>
  <c r="BP114" i="1"/>
  <c r="BI117" i="1"/>
  <c r="BA117" i="1"/>
  <c r="BE117" i="1" s="1"/>
  <c r="BM117" i="1"/>
  <c r="BQ117" i="1" s="1"/>
  <c r="BJ117" i="1"/>
  <c r="BB117" i="1"/>
  <c r="BF117" i="1" s="1"/>
  <c r="BN117" i="1"/>
  <c r="BR117" i="1" s="1"/>
  <c r="BS117" i="1"/>
  <c r="BO117" i="1"/>
  <c r="BK117" i="1"/>
  <c r="BC117" i="1"/>
  <c r="BG117" i="1" s="1"/>
  <c r="BL117" i="1"/>
  <c r="BP117" i="1"/>
  <c r="BT117" i="1"/>
  <c r="BD117" i="1"/>
  <c r="BH117" i="1" s="1"/>
  <c r="BK138" i="1"/>
  <c r="BC138" i="1"/>
  <c r="BG138" i="1" s="1"/>
  <c r="BL138" i="1"/>
  <c r="BD138" i="1"/>
  <c r="BH138" i="1" s="1"/>
  <c r="AW81" i="1"/>
  <c r="AW83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8" i="1"/>
  <c r="AW100" i="1"/>
  <c r="AX102" i="1"/>
  <c r="BL103" i="1"/>
  <c r="BP103" i="1"/>
  <c r="BD103" i="1"/>
  <c r="BH103" i="1" s="1"/>
  <c r="AW104" i="1"/>
  <c r="AZ104" i="1"/>
  <c r="BP105" i="1"/>
  <c r="BR105" i="1" s="1"/>
  <c r="BT105" i="1"/>
  <c r="BL105" i="1"/>
  <c r="BD105" i="1"/>
  <c r="BH105" i="1" s="1"/>
  <c r="BA105" i="1"/>
  <c r="BE105" i="1" s="1"/>
  <c r="BI106" i="1"/>
  <c r="BP109" i="1"/>
  <c r="BT109" i="1"/>
  <c r="BL109" i="1"/>
  <c r="BD109" i="1"/>
  <c r="BH109" i="1" s="1"/>
  <c r="BA109" i="1"/>
  <c r="BE109" i="1" s="1"/>
  <c r="BI110" i="1"/>
  <c r="BP113" i="1"/>
  <c r="BR113" i="1" s="1"/>
  <c r="BT113" i="1"/>
  <c r="BL113" i="1"/>
  <c r="BD113" i="1"/>
  <c r="BH113" i="1" s="1"/>
  <c r="BA113" i="1"/>
  <c r="BE113" i="1" s="1"/>
  <c r="BP116" i="1"/>
  <c r="BS116" i="1" s="1"/>
  <c r="BA119" i="1"/>
  <c r="BE119" i="1" s="1"/>
  <c r="BI119" i="1"/>
  <c r="BA121" i="1"/>
  <c r="BE121" i="1" s="1"/>
  <c r="BI121" i="1"/>
  <c r="BM121" i="1"/>
  <c r="BQ121" i="1" s="1"/>
  <c r="BA123" i="1"/>
  <c r="BE123" i="1" s="1"/>
  <c r="BI123" i="1"/>
  <c r="BM123" i="1"/>
  <c r="BM128" i="1"/>
  <c r="BQ128" i="1"/>
  <c r="BI128" i="1"/>
  <c r="BL128" i="1"/>
  <c r="BD128" i="1"/>
  <c r="BH128" i="1" s="1"/>
  <c r="BA128" i="1"/>
  <c r="BE128" i="1" s="1"/>
  <c r="AY102" i="1"/>
  <c r="AY104" i="1"/>
  <c r="BL114" i="1"/>
  <c r="BL116" i="1"/>
  <c r="BI118" i="1"/>
  <c r="BM118" i="1"/>
  <c r="BQ118" i="1"/>
  <c r="BA118" i="1"/>
  <c r="BE118" i="1" s="1"/>
  <c r="BN118" i="1"/>
  <c r="BR118" i="1"/>
  <c r="BB118" i="1"/>
  <c r="BF118" i="1" s="1"/>
  <c r="BD118" i="1"/>
  <c r="BH118" i="1" s="1"/>
  <c r="BL118" i="1"/>
  <c r="BJ119" i="1"/>
  <c r="BN119" i="1"/>
  <c r="BR119" i="1" s="1"/>
  <c r="BS119" i="1"/>
  <c r="BO119" i="1"/>
  <c r="BK119" i="1"/>
  <c r="BC119" i="1"/>
  <c r="BG119" i="1" s="1"/>
  <c r="BL119" i="1"/>
  <c r="BP119" i="1"/>
  <c r="BT119" i="1"/>
  <c r="BD119" i="1"/>
  <c r="BH119" i="1" s="1"/>
  <c r="BP127" i="1"/>
  <c r="BT127" i="1"/>
  <c r="BL127" i="1"/>
  <c r="BD127" i="1"/>
  <c r="BH127" i="1" s="1"/>
  <c r="BA127" i="1"/>
  <c r="BE127" i="1" s="1"/>
  <c r="BA131" i="1"/>
  <c r="BE131" i="1" s="1"/>
  <c r="BM133" i="1"/>
  <c r="BQ133" i="1" s="1"/>
  <c r="BI133" i="1"/>
  <c r="BA133" i="1"/>
  <c r="BE133" i="1" s="1"/>
  <c r="BN133" i="1"/>
  <c r="BJ133" i="1"/>
  <c r="BB133" i="1"/>
  <c r="BF133" i="1" s="1"/>
  <c r="BS133" i="1"/>
  <c r="BO133" i="1"/>
  <c r="BK133" i="1"/>
  <c r="BC133" i="1"/>
  <c r="BG133" i="1" s="1"/>
  <c r="BL133" i="1"/>
  <c r="BT133" i="1"/>
  <c r="BD133" i="1"/>
  <c r="BH133" i="1" s="1"/>
  <c r="BD136" i="1"/>
  <c r="BH136" i="1" s="1"/>
  <c r="BL136" i="1"/>
  <c r="BI149" i="1"/>
  <c r="BM149" i="1"/>
  <c r="BQ149" i="1"/>
  <c r="BA149" i="1"/>
  <c r="BE149" i="1" s="1"/>
  <c r="BD149" i="1"/>
  <c r="BH149" i="1" s="1"/>
  <c r="BL149" i="1"/>
  <c r="BN105" i="1"/>
  <c r="BJ105" i="1"/>
  <c r="BB105" i="1"/>
  <c r="BF105" i="1" s="1"/>
  <c r="BS105" i="1"/>
  <c r="BO105" i="1"/>
  <c r="BK105" i="1"/>
  <c r="BC105" i="1"/>
  <c r="BG105" i="1" s="1"/>
  <c r="BR106" i="1"/>
  <c r="BN106" i="1"/>
  <c r="BJ106" i="1"/>
  <c r="BB106" i="1"/>
  <c r="BF106" i="1" s="1"/>
  <c r="BO106" i="1"/>
  <c r="BK106" i="1"/>
  <c r="BC106" i="1"/>
  <c r="BG106" i="1" s="1"/>
  <c r="BJ107" i="1"/>
  <c r="BB107" i="1"/>
  <c r="BF107" i="1" s="1"/>
  <c r="BS107" i="1"/>
  <c r="BO107" i="1"/>
  <c r="BK107" i="1"/>
  <c r="BC107" i="1"/>
  <c r="BG107" i="1" s="1"/>
  <c r="BR108" i="1"/>
  <c r="BN108" i="1"/>
  <c r="BJ108" i="1"/>
  <c r="BB108" i="1"/>
  <c r="BF108" i="1" s="1"/>
  <c r="BO108" i="1"/>
  <c r="BK108" i="1"/>
  <c r="BC108" i="1"/>
  <c r="BG108" i="1" s="1"/>
  <c r="BR109" i="1"/>
  <c r="BN109" i="1"/>
  <c r="BJ109" i="1"/>
  <c r="BB109" i="1"/>
  <c r="BF109" i="1" s="1"/>
  <c r="BS109" i="1"/>
  <c r="BO109" i="1"/>
  <c r="BK109" i="1"/>
  <c r="BC109" i="1"/>
  <c r="BG109" i="1" s="1"/>
  <c r="BR110" i="1"/>
  <c r="BN110" i="1"/>
  <c r="BJ110" i="1"/>
  <c r="BB110" i="1"/>
  <c r="BF110" i="1" s="1"/>
  <c r="BO110" i="1"/>
  <c r="BK110" i="1"/>
  <c r="BC110" i="1"/>
  <c r="BG110" i="1" s="1"/>
  <c r="BJ111" i="1"/>
  <c r="BB111" i="1"/>
  <c r="BF111" i="1" s="1"/>
  <c r="BS111" i="1"/>
  <c r="BO111" i="1"/>
  <c r="BK111" i="1"/>
  <c r="BC111" i="1"/>
  <c r="BG111" i="1" s="1"/>
  <c r="BR112" i="1"/>
  <c r="BN112" i="1"/>
  <c r="BJ112" i="1"/>
  <c r="BB112" i="1"/>
  <c r="BF112" i="1" s="1"/>
  <c r="BO112" i="1"/>
  <c r="BP112" i="1" s="1"/>
  <c r="BS112" i="1" s="1"/>
  <c r="BK112" i="1"/>
  <c r="BC112" i="1"/>
  <c r="BG112" i="1" s="1"/>
  <c r="BN113" i="1"/>
  <c r="BJ113" i="1"/>
  <c r="BB113" i="1"/>
  <c r="BF113" i="1" s="1"/>
  <c r="BS113" i="1"/>
  <c r="BO113" i="1"/>
  <c r="BK113" i="1"/>
  <c r="BC113" i="1"/>
  <c r="BG113" i="1" s="1"/>
  <c r="BQ114" i="1"/>
  <c r="BM114" i="1"/>
  <c r="BI114" i="1"/>
  <c r="BA114" i="1"/>
  <c r="BE114" i="1" s="1"/>
  <c r="BR114" i="1"/>
  <c r="BN114" i="1"/>
  <c r="BJ114" i="1"/>
  <c r="BB114" i="1"/>
  <c r="BF114" i="1" s="1"/>
  <c r="BS114" i="1"/>
  <c r="BO114" i="1"/>
  <c r="BK114" i="1"/>
  <c r="BC114" i="1"/>
  <c r="BG114" i="1" s="1"/>
  <c r="BQ116" i="1"/>
  <c r="BM116" i="1"/>
  <c r="BI116" i="1"/>
  <c r="BA116" i="1"/>
  <c r="BE116" i="1" s="1"/>
  <c r="BR116" i="1"/>
  <c r="BN116" i="1"/>
  <c r="BJ116" i="1"/>
  <c r="BB116" i="1"/>
  <c r="BF116" i="1" s="1"/>
  <c r="BO116" i="1"/>
  <c r="BK116" i="1"/>
  <c r="BC116" i="1"/>
  <c r="BG116" i="1" s="1"/>
  <c r="BI120" i="1"/>
  <c r="BM120" i="1"/>
  <c r="BQ120" i="1"/>
  <c r="BA120" i="1"/>
  <c r="BE120" i="1" s="1"/>
  <c r="BN120" i="1"/>
  <c r="BR120" i="1"/>
  <c r="BB120" i="1"/>
  <c r="BF120" i="1" s="1"/>
  <c r="BD120" i="1"/>
  <c r="BH120" i="1" s="1"/>
  <c r="BL120" i="1"/>
  <c r="BJ121" i="1"/>
  <c r="BN121" i="1"/>
  <c r="BS121" i="1"/>
  <c r="BO121" i="1"/>
  <c r="BK121" i="1"/>
  <c r="BC121" i="1"/>
  <c r="BG121" i="1" s="1"/>
  <c r="BL121" i="1"/>
  <c r="BP121" i="1"/>
  <c r="BT121" i="1"/>
  <c r="BD121" i="1"/>
  <c r="BH121" i="1" s="1"/>
  <c r="BL126" i="1"/>
  <c r="BD126" i="1"/>
  <c r="BH126" i="1" s="1"/>
  <c r="BA126" i="1"/>
  <c r="BE126" i="1" s="1"/>
  <c r="BI127" i="1"/>
  <c r="BL130" i="1"/>
  <c r="BD130" i="1"/>
  <c r="BH130" i="1" s="1"/>
  <c r="BA130" i="1"/>
  <c r="BE130" i="1" s="1"/>
  <c r="BI131" i="1"/>
  <c r="BD134" i="1"/>
  <c r="BH134" i="1" s="1"/>
  <c r="BL134" i="1"/>
  <c r="BK140" i="1"/>
  <c r="BC140" i="1"/>
  <c r="BG140" i="1" s="1"/>
  <c r="BQ150" i="1"/>
  <c r="BA150" i="1"/>
  <c r="BE150" i="1" s="1"/>
  <c r="BI150" i="1"/>
  <c r="BM150" i="1"/>
  <c r="BR154" i="1"/>
  <c r="BJ154" i="1"/>
  <c r="BB154" i="1"/>
  <c r="BF154" i="1" s="1"/>
  <c r="BN154" i="1"/>
  <c r="AY101" i="1"/>
  <c r="AY103" i="1"/>
  <c r="BI122" i="1"/>
  <c r="BM122" i="1"/>
  <c r="BQ122" i="1"/>
  <c r="BA122" i="1"/>
  <c r="BE122" i="1" s="1"/>
  <c r="BN122" i="1"/>
  <c r="BR122" i="1"/>
  <c r="BB122" i="1"/>
  <c r="BF122" i="1" s="1"/>
  <c r="BD122" i="1"/>
  <c r="BH122" i="1" s="1"/>
  <c r="BL122" i="1"/>
  <c r="BJ123" i="1"/>
  <c r="BS123" i="1"/>
  <c r="BO123" i="1"/>
  <c r="BK123" i="1"/>
  <c r="BC123" i="1"/>
  <c r="BG123" i="1" s="1"/>
  <c r="BL123" i="1"/>
  <c r="BP123" i="1"/>
  <c r="BT123" i="1"/>
  <c r="BD123" i="1"/>
  <c r="BH123" i="1" s="1"/>
  <c r="BP125" i="1"/>
  <c r="BT125" i="1"/>
  <c r="BL125" i="1"/>
  <c r="BD125" i="1"/>
  <c r="BH125" i="1" s="1"/>
  <c r="BA125" i="1"/>
  <c r="BE125" i="1" s="1"/>
  <c r="BI126" i="1"/>
  <c r="BP129" i="1"/>
  <c r="BT129" i="1"/>
  <c r="BL129" i="1"/>
  <c r="BD129" i="1"/>
  <c r="BH129" i="1" s="1"/>
  <c r="BA129" i="1"/>
  <c r="BE129" i="1" s="1"/>
  <c r="BI130" i="1"/>
  <c r="BD132" i="1"/>
  <c r="BH132" i="1" s="1"/>
  <c r="BL132" i="1"/>
  <c r="BI137" i="1"/>
  <c r="BM137" i="1"/>
  <c r="BK137" i="1"/>
  <c r="BO137" i="1"/>
  <c r="BS137" i="1"/>
  <c r="BC137" i="1"/>
  <c r="BG137" i="1" s="1"/>
  <c r="BP137" i="1"/>
  <c r="BT137" i="1"/>
  <c r="BD137" i="1"/>
  <c r="BH137" i="1" s="1"/>
  <c r="BL137" i="1"/>
  <c r="BA137" i="1"/>
  <c r="BE137" i="1" s="1"/>
  <c r="BO139" i="1"/>
  <c r="BS139" i="1"/>
  <c r="BK139" i="1"/>
  <c r="BC139" i="1"/>
  <c r="BG139" i="1" s="1"/>
  <c r="BT141" i="1"/>
  <c r="BP141" i="1"/>
  <c r="BL141" i="1"/>
  <c r="BD141" i="1"/>
  <c r="BH141" i="1" s="1"/>
  <c r="BK142" i="1"/>
  <c r="BK144" i="1"/>
  <c r="BK146" i="1"/>
  <c r="BK148" i="1"/>
  <c r="BJ150" i="1"/>
  <c r="BN150" i="1"/>
  <c r="BB150" i="1"/>
  <c r="BF150" i="1" s="1"/>
  <c r="BS150" i="1"/>
  <c r="BO150" i="1"/>
  <c r="BK150" i="1"/>
  <c r="BC150" i="1"/>
  <c r="BG150" i="1" s="1"/>
  <c r="BL150" i="1"/>
  <c r="BD150" i="1"/>
  <c r="BH150" i="1" s="1"/>
  <c r="BQ152" i="1"/>
  <c r="BA152" i="1"/>
  <c r="BE152" i="1" s="1"/>
  <c r="BI152" i="1"/>
  <c r="BM152" i="1"/>
  <c r="AY118" i="1"/>
  <c r="AY120" i="1"/>
  <c r="AY122" i="1"/>
  <c r="AX124" i="1"/>
  <c r="AY124" i="1"/>
  <c r="AX125" i="1"/>
  <c r="AY125" i="1"/>
  <c r="AX126" i="1"/>
  <c r="AY126" i="1"/>
  <c r="AX127" i="1"/>
  <c r="AY127" i="1"/>
  <c r="AX128" i="1"/>
  <c r="AY128" i="1"/>
  <c r="AX129" i="1"/>
  <c r="AY129" i="1"/>
  <c r="AX130" i="1"/>
  <c r="AY130" i="1"/>
  <c r="AX131" i="1"/>
  <c r="AY131" i="1"/>
  <c r="AW132" i="1"/>
  <c r="AX132" i="1"/>
  <c r="AY132" i="1"/>
  <c r="AW134" i="1"/>
  <c r="AX134" i="1"/>
  <c r="AY134" i="1"/>
  <c r="AW136" i="1"/>
  <c r="AX136" i="1"/>
  <c r="AY136" i="1"/>
  <c r="BL140" i="1"/>
  <c r="BD140" i="1"/>
  <c r="BH140" i="1" s="1"/>
  <c r="BR150" i="1"/>
  <c r="BQ157" i="1"/>
  <c r="BI157" i="1"/>
  <c r="BA157" i="1"/>
  <c r="BE157" i="1" s="1"/>
  <c r="BM157" i="1"/>
  <c r="BT139" i="1"/>
  <c r="BL139" i="1"/>
  <c r="BD139" i="1"/>
  <c r="BH139" i="1" s="1"/>
  <c r="BS141" i="1"/>
  <c r="BO141" i="1"/>
  <c r="BC141" i="1"/>
  <c r="BG141" i="1" s="1"/>
  <c r="BC142" i="1"/>
  <c r="BG142" i="1" s="1"/>
  <c r="BC144" i="1"/>
  <c r="BG144" i="1" s="1"/>
  <c r="BC146" i="1"/>
  <c r="BG146" i="1" s="1"/>
  <c r="BC148" i="1"/>
  <c r="BG148" i="1" s="1"/>
  <c r="BQ160" i="1"/>
  <c r="BI160" i="1"/>
  <c r="BA160" i="1"/>
  <c r="BE160" i="1" s="1"/>
  <c r="BM160" i="1"/>
  <c r="BQ162" i="1"/>
  <c r="BI162" i="1"/>
  <c r="BA162" i="1"/>
  <c r="BE162" i="1" s="1"/>
  <c r="BM162" i="1"/>
  <c r="AX137" i="1"/>
  <c r="BL142" i="1"/>
  <c r="BD142" i="1"/>
  <c r="BH142" i="1" s="1"/>
  <c r="BM143" i="1"/>
  <c r="BI143" i="1"/>
  <c r="BA143" i="1"/>
  <c r="BE143" i="1" s="1"/>
  <c r="BJ143" i="1"/>
  <c r="BB143" i="1"/>
  <c r="BF143" i="1" s="1"/>
  <c r="BO143" i="1"/>
  <c r="BL144" i="1"/>
  <c r="BD144" i="1"/>
  <c r="BH144" i="1" s="1"/>
  <c r="BM145" i="1"/>
  <c r="BI145" i="1"/>
  <c r="BA145" i="1"/>
  <c r="BE145" i="1" s="1"/>
  <c r="BN145" i="1"/>
  <c r="BJ145" i="1"/>
  <c r="BB145" i="1"/>
  <c r="BF145" i="1" s="1"/>
  <c r="BO145" i="1"/>
  <c r="BQ145" i="1" s="1"/>
  <c r="BL146" i="1"/>
  <c r="BD146" i="1"/>
  <c r="BH146" i="1" s="1"/>
  <c r="BQ147" i="1"/>
  <c r="BM147" i="1"/>
  <c r="BI147" i="1"/>
  <c r="BA147" i="1"/>
  <c r="BE147" i="1" s="1"/>
  <c r="BN147" i="1"/>
  <c r="BJ147" i="1"/>
  <c r="BB147" i="1"/>
  <c r="BF147" i="1" s="1"/>
  <c r="BO147" i="1"/>
  <c r="BR147" i="1" s="1"/>
  <c r="BL148" i="1"/>
  <c r="BP148" i="1"/>
  <c r="BT148" i="1"/>
  <c r="BD148" i="1"/>
  <c r="BH148" i="1" s="1"/>
  <c r="BN149" i="1"/>
  <c r="BR149" i="1"/>
  <c r="BB149" i="1"/>
  <c r="BF149" i="1" s="1"/>
  <c r="BI151" i="1"/>
  <c r="BM151" i="1"/>
  <c r="BQ151" i="1"/>
  <c r="BA151" i="1"/>
  <c r="BE151" i="1" s="1"/>
  <c r="BN151" i="1"/>
  <c r="BR151" i="1"/>
  <c r="BB151" i="1"/>
  <c r="BF151" i="1" s="1"/>
  <c r="BD151" i="1"/>
  <c r="BH151" i="1" s="1"/>
  <c r="BL151" i="1"/>
  <c r="BJ152" i="1"/>
  <c r="BN152" i="1"/>
  <c r="BT152" i="1" s="1"/>
  <c r="BS152" i="1"/>
  <c r="BO152" i="1"/>
  <c r="BK152" i="1"/>
  <c r="BC152" i="1"/>
  <c r="BG152" i="1" s="1"/>
  <c r="BL152" i="1"/>
  <c r="BP152" i="1"/>
  <c r="BD152" i="1"/>
  <c r="BH152" i="1" s="1"/>
  <c r="BR152" i="1"/>
  <c r="BQ155" i="1"/>
  <c r="BM155" i="1"/>
  <c r="BI155" i="1"/>
  <c r="BA155" i="1"/>
  <c r="BE155" i="1" s="1"/>
  <c r="BS155" i="1"/>
  <c r="BO155" i="1"/>
  <c r="BK155" i="1"/>
  <c r="BC155" i="1"/>
  <c r="BG155" i="1" s="1"/>
  <c r="BL155" i="1"/>
  <c r="BD155" i="1"/>
  <c r="BH155" i="1" s="1"/>
  <c r="BQ158" i="1"/>
  <c r="BI158" i="1"/>
  <c r="BA158" i="1"/>
  <c r="BE158" i="1" s="1"/>
  <c r="BM158" i="1"/>
  <c r="BQ163" i="1"/>
  <c r="BI163" i="1"/>
  <c r="BA163" i="1"/>
  <c r="BE163" i="1" s="1"/>
  <c r="BM163" i="1"/>
  <c r="BT163" i="1" s="1"/>
  <c r="BR164" i="1"/>
  <c r="BJ164" i="1"/>
  <c r="BB164" i="1"/>
  <c r="BF164" i="1" s="1"/>
  <c r="BN164" i="1"/>
  <c r="BT164" i="1" s="1"/>
  <c r="BS164" i="1"/>
  <c r="BO164" i="1"/>
  <c r="BK164" i="1"/>
  <c r="BC164" i="1"/>
  <c r="BG164" i="1" s="1"/>
  <c r="BP164" i="1"/>
  <c r="BL164" i="1"/>
  <c r="BD164" i="1"/>
  <c r="BH164" i="1" s="1"/>
  <c r="BC143" i="1"/>
  <c r="BG143" i="1" s="1"/>
  <c r="BC145" i="1"/>
  <c r="BG145" i="1" s="1"/>
  <c r="BC147" i="1"/>
  <c r="BG147" i="1" s="1"/>
  <c r="BJ149" i="1"/>
  <c r="BB152" i="1"/>
  <c r="BF152" i="1" s="1"/>
  <c r="BI153" i="1"/>
  <c r="BM153" i="1"/>
  <c r="BQ153" i="1"/>
  <c r="BA153" i="1"/>
  <c r="BE153" i="1" s="1"/>
  <c r="BN153" i="1"/>
  <c r="BR153" i="1"/>
  <c r="BB153" i="1"/>
  <c r="BF153" i="1" s="1"/>
  <c r="BD153" i="1"/>
  <c r="BH153" i="1" s="1"/>
  <c r="BL153" i="1"/>
  <c r="BQ154" i="1"/>
  <c r="BM154" i="1"/>
  <c r="BT154" i="1" s="1"/>
  <c r="BI154" i="1"/>
  <c r="BA154" i="1"/>
  <c r="BE154" i="1" s="1"/>
  <c r="BS154" i="1"/>
  <c r="BO154" i="1"/>
  <c r="BK154" i="1"/>
  <c r="BC154" i="1"/>
  <c r="BG154" i="1" s="1"/>
  <c r="BP155" i="1"/>
  <c r="BT156" i="1"/>
  <c r="BD156" i="1"/>
  <c r="BH156" i="1" s="1"/>
  <c r="BP156" i="1"/>
  <c r="BL156" i="1"/>
  <c r="BQ159" i="1"/>
  <c r="BI159" i="1"/>
  <c r="BA159" i="1"/>
  <c r="BE159" i="1" s="1"/>
  <c r="BM159" i="1"/>
  <c r="BT159" i="1" s="1"/>
  <c r="BR160" i="1"/>
  <c r="BJ160" i="1"/>
  <c r="BB160" i="1"/>
  <c r="BF160" i="1" s="1"/>
  <c r="BN160" i="1"/>
  <c r="BT160" i="1" s="1"/>
  <c r="BS160" i="1"/>
  <c r="BO160" i="1"/>
  <c r="BK160" i="1"/>
  <c r="BC160" i="1"/>
  <c r="BG160" i="1" s="1"/>
  <c r="BP160" i="1"/>
  <c r="BL160" i="1"/>
  <c r="BD160" i="1"/>
  <c r="BH160" i="1" s="1"/>
  <c r="BI165" i="1"/>
  <c r="BQ165" i="1"/>
  <c r="BA165" i="1"/>
  <c r="BE165" i="1" s="1"/>
  <c r="BM165" i="1"/>
  <c r="AW138" i="1"/>
  <c r="AX138" i="1"/>
  <c r="AW139" i="1"/>
  <c r="AX139" i="1"/>
  <c r="AW140" i="1"/>
  <c r="AX140" i="1"/>
  <c r="AW141" i="1"/>
  <c r="AX141" i="1"/>
  <c r="AW142" i="1"/>
  <c r="AX142" i="1"/>
  <c r="BT143" i="1"/>
  <c r="BP143" i="1"/>
  <c r="BL143" i="1"/>
  <c r="BD143" i="1"/>
  <c r="BH143" i="1" s="1"/>
  <c r="AW144" i="1"/>
  <c r="AX144" i="1"/>
  <c r="BT145" i="1"/>
  <c r="BP145" i="1"/>
  <c r="BL145" i="1"/>
  <c r="BD145" i="1"/>
  <c r="BH145" i="1" s="1"/>
  <c r="AW146" i="1"/>
  <c r="AX146" i="1"/>
  <c r="BT147" i="1"/>
  <c r="BP147" i="1"/>
  <c r="BL147" i="1"/>
  <c r="BD147" i="1"/>
  <c r="BH147" i="1" s="1"/>
  <c r="AW148" i="1"/>
  <c r="AX148" i="1"/>
  <c r="BJ151" i="1"/>
  <c r="BL154" i="1"/>
  <c r="BD154" i="1"/>
  <c r="BH154" i="1" s="1"/>
  <c r="BP154" i="1"/>
  <c r="BQ161" i="1"/>
  <c r="BI161" i="1"/>
  <c r="BA161" i="1"/>
  <c r="BE161" i="1" s="1"/>
  <c r="BM161" i="1"/>
  <c r="BI167" i="1"/>
  <c r="BQ167" i="1"/>
  <c r="BA167" i="1"/>
  <c r="BE167" i="1" s="1"/>
  <c r="BM167" i="1"/>
  <c r="BQ168" i="1"/>
  <c r="BA168" i="1"/>
  <c r="BE168" i="1" s="1"/>
  <c r="BM168" i="1"/>
  <c r="BI168" i="1"/>
  <c r="BR155" i="1"/>
  <c r="BN155" i="1"/>
  <c r="BT155" i="1" s="1"/>
  <c r="BJ155" i="1"/>
  <c r="BB155" i="1"/>
  <c r="BF155" i="1" s="1"/>
  <c r="BR159" i="1"/>
  <c r="BJ159" i="1"/>
  <c r="BB159" i="1"/>
  <c r="BF159" i="1" s="1"/>
  <c r="BN159" i="1"/>
  <c r="BS159" i="1"/>
  <c r="BO159" i="1"/>
  <c r="BK159" i="1"/>
  <c r="BC159" i="1"/>
  <c r="BG159" i="1" s="1"/>
  <c r="BP159" i="1"/>
  <c r="BL159" i="1"/>
  <c r="BD159" i="1"/>
  <c r="BH159" i="1" s="1"/>
  <c r="BR163" i="1"/>
  <c r="BJ163" i="1"/>
  <c r="BB163" i="1"/>
  <c r="BF163" i="1" s="1"/>
  <c r="BN163" i="1"/>
  <c r="BS163" i="1"/>
  <c r="BO163" i="1"/>
  <c r="BP163" i="1" s="1"/>
  <c r="BK163" i="1"/>
  <c r="BC163" i="1"/>
  <c r="BG163" i="1" s="1"/>
  <c r="BL163" i="1"/>
  <c r="BD163" i="1"/>
  <c r="BH163" i="1" s="1"/>
  <c r="BA166" i="1"/>
  <c r="BE166" i="1" s="1"/>
  <c r="BM166" i="1"/>
  <c r="BN166" i="1" s="1"/>
  <c r="BI166" i="1"/>
  <c r="BJ169" i="1"/>
  <c r="BB169" i="1"/>
  <c r="BF169" i="1" s="1"/>
  <c r="BK169" i="1"/>
  <c r="BC169" i="1"/>
  <c r="BG169" i="1" s="1"/>
  <c r="BT169" i="1"/>
  <c r="BP169" i="1"/>
  <c r="BL169" i="1"/>
  <c r="BD169" i="1"/>
  <c r="BH169" i="1" s="1"/>
  <c r="AY149" i="1"/>
  <c r="AY151" i="1"/>
  <c r="AY153" i="1"/>
  <c r="AW156" i="1"/>
  <c r="AX156" i="1"/>
  <c r="AY156" i="1"/>
  <c r="BR158" i="1"/>
  <c r="BJ158" i="1"/>
  <c r="BB158" i="1"/>
  <c r="BF158" i="1" s="1"/>
  <c r="BN158" i="1"/>
  <c r="BS158" i="1"/>
  <c r="BO158" i="1"/>
  <c r="BK158" i="1"/>
  <c r="BC158" i="1"/>
  <c r="BG158" i="1" s="1"/>
  <c r="BT158" i="1"/>
  <c r="BP158" i="1"/>
  <c r="BL158" i="1"/>
  <c r="BD158" i="1"/>
  <c r="BH158" i="1" s="1"/>
  <c r="BR162" i="1"/>
  <c r="BJ162" i="1"/>
  <c r="BB162" i="1"/>
  <c r="BF162" i="1" s="1"/>
  <c r="BN162" i="1"/>
  <c r="BS162" i="1"/>
  <c r="BO162" i="1"/>
  <c r="BK162" i="1"/>
  <c r="BC162" i="1"/>
  <c r="BG162" i="1" s="1"/>
  <c r="BT162" i="1"/>
  <c r="BP162" i="1"/>
  <c r="BL162" i="1"/>
  <c r="BD162" i="1"/>
  <c r="BH162" i="1" s="1"/>
  <c r="BR167" i="1"/>
  <c r="BN167" i="1"/>
  <c r="BJ167" i="1"/>
  <c r="BB167" i="1"/>
  <c r="BF167" i="1" s="1"/>
  <c r="BS167" i="1"/>
  <c r="BO167" i="1"/>
  <c r="BK167" i="1"/>
  <c r="BC167" i="1"/>
  <c r="BG167" i="1" s="1"/>
  <c r="BT167" i="1"/>
  <c r="BP167" i="1"/>
  <c r="BL167" i="1"/>
  <c r="BD167" i="1"/>
  <c r="BH167" i="1" s="1"/>
  <c r="BR157" i="1"/>
  <c r="BJ157" i="1"/>
  <c r="BB157" i="1"/>
  <c r="BF157" i="1" s="1"/>
  <c r="BN157" i="1"/>
  <c r="BS157" i="1"/>
  <c r="BO157" i="1"/>
  <c r="BK157" i="1"/>
  <c r="BC157" i="1"/>
  <c r="BG157" i="1" s="1"/>
  <c r="BT157" i="1"/>
  <c r="BP157" i="1"/>
  <c r="BL157" i="1"/>
  <c r="BD157" i="1"/>
  <c r="BH157" i="1" s="1"/>
  <c r="BR161" i="1"/>
  <c r="BJ161" i="1"/>
  <c r="BB161" i="1"/>
  <c r="BF161" i="1" s="1"/>
  <c r="BN161" i="1"/>
  <c r="BS161" i="1"/>
  <c r="BO161" i="1"/>
  <c r="BK161" i="1"/>
  <c r="BC161" i="1"/>
  <c r="BG161" i="1" s="1"/>
  <c r="BT161" i="1"/>
  <c r="BP161" i="1"/>
  <c r="BL161" i="1"/>
  <c r="BD161" i="1"/>
  <c r="BH161" i="1" s="1"/>
  <c r="BR165" i="1"/>
  <c r="BN165" i="1"/>
  <c r="BJ165" i="1"/>
  <c r="BB165" i="1"/>
  <c r="BF165" i="1" s="1"/>
  <c r="BS165" i="1"/>
  <c r="BO165" i="1"/>
  <c r="BK165" i="1"/>
  <c r="BC165" i="1"/>
  <c r="BG165" i="1" s="1"/>
  <c r="BT165" i="1"/>
  <c r="BP165" i="1"/>
  <c r="BL165" i="1"/>
  <c r="BD165" i="1"/>
  <c r="BH165" i="1" s="1"/>
  <c r="BQ170" i="1"/>
  <c r="BA170" i="1"/>
  <c r="BE170" i="1" s="1"/>
  <c r="BM170" i="1"/>
  <c r="BI170" i="1"/>
  <c r="BJ166" i="1"/>
  <c r="BB166" i="1"/>
  <c r="BF166" i="1" s="1"/>
  <c r="BK166" i="1"/>
  <c r="BC166" i="1"/>
  <c r="BG166" i="1" s="1"/>
  <c r="BL166" i="1"/>
  <c r="BD166" i="1"/>
  <c r="BH166" i="1" s="1"/>
  <c r="BR168" i="1"/>
  <c r="BN168" i="1"/>
  <c r="BJ168" i="1"/>
  <c r="BB168" i="1"/>
  <c r="BF168" i="1" s="1"/>
  <c r="BS168" i="1"/>
  <c r="BO168" i="1"/>
  <c r="BK168" i="1"/>
  <c r="BC168" i="1"/>
  <c r="BG168" i="1" s="1"/>
  <c r="BT168" i="1"/>
  <c r="BP168" i="1"/>
  <c r="BL168" i="1"/>
  <c r="BD168" i="1"/>
  <c r="BH168" i="1" s="1"/>
  <c r="BR170" i="1"/>
  <c r="BN170" i="1"/>
  <c r="BJ170" i="1"/>
  <c r="BB170" i="1"/>
  <c r="BF170" i="1" s="1"/>
  <c r="BS170" i="1"/>
  <c r="BO170" i="1"/>
  <c r="BK170" i="1"/>
  <c r="BC170" i="1"/>
  <c r="BG170" i="1" s="1"/>
  <c r="BT170" i="1"/>
  <c r="BP170" i="1"/>
  <c r="BL170" i="1"/>
  <c r="BD170" i="1"/>
  <c r="BH170" i="1" s="1"/>
  <c r="BO166" i="1" l="1"/>
  <c r="BP166" i="1" s="1"/>
  <c r="BT166" i="1"/>
  <c r="BR70" i="1"/>
  <c r="BT150" i="1"/>
  <c r="BT56" i="1"/>
  <c r="BT112" i="1"/>
  <c r="BT69" i="1"/>
  <c r="BT122" i="1"/>
  <c r="BT149" i="1"/>
  <c r="BS73" i="1"/>
  <c r="BR144" i="1"/>
  <c r="BN144" i="1"/>
  <c r="BO144" i="1" s="1"/>
  <c r="BP144" i="1" s="1"/>
  <c r="BJ144" i="1"/>
  <c r="BB144" i="1"/>
  <c r="BF144" i="1" s="1"/>
  <c r="BQ136" i="1"/>
  <c r="BM136" i="1"/>
  <c r="BI136" i="1"/>
  <c r="BA136" i="1"/>
  <c r="BE136" i="1" s="1"/>
  <c r="BR131" i="1"/>
  <c r="BN131" i="1"/>
  <c r="BJ131" i="1"/>
  <c r="BB131" i="1"/>
  <c r="BF131" i="1" s="1"/>
  <c r="BR127" i="1"/>
  <c r="BN127" i="1"/>
  <c r="BJ127" i="1"/>
  <c r="BB127" i="1"/>
  <c r="BF127" i="1" s="1"/>
  <c r="BQ94" i="1"/>
  <c r="BM94" i="1"/>
  <c r="BI94" i="1"/>
  <c r="BA94" i="1"/>
  <c r="BE94" i="1" s="1"/>
  <c r="BQ90" i="1"/>
  <c r="BM90" i="1"/>
  <c r="BI90" i="1"/>
  <c r="BA90" i="1"/>
  <c r="BE90" i="1" s="1"/>
  <c r="BD102" i="1"/>
  <c r="BH102" i="1" s="1"/>
  <c r="BL102" i="1"/>
  <c r="BO77" i="1"/>
  <c r="BP77" i="1" s="1"/>
  <c r="BO57" i="1"/>
  <c r="BP57" i="1" s="1"/>
  <c r="BO53" i="1"/>
  <c r="BP53" i="1" s="1"/>
  <c r="BS46" i="1"/>
  <c r="BO46" i="1"/>
  <c r="BQ46" i="1" s="1"/>
  <c r="BK46" i="1"/>
  <c r="BC46" i="1"/>
  <c r="BG46" i="1" s="1"/>
  <c r="BM82" i="1"/>
  <c r="BI82" i="1"/>
  <c r="BA82" i="1"/>
  <c r="BE82" i="1" s="1"/>
  <c r="BK82" i="1"/>
  <c r="BO82" i="1"/>
  <c r="BC82" i="1"/>
  <c r="BG82" i="1" s="1"/>
  <c r="BS82" i="1"/>
  <c r="BS83" i="1"/>
  <c r="BC83" i="1"/>
  <c r="BG83" i="1" s="1"/>
  <c r="BK83" i="1"/>
  <c r="BO83" i="1"/>
  <c r="BM30" i="1"/>
  <c r="BI30" i="1"/>
  <c r="BA30" i="1"/>
  <c r="BE30" i="1" s="1"/>
  <c r="BT73" i="1"/>
  <c r="BM47" i="1"/>
  <c r="BI47" i="1"/>
  <c r="BA47" i="1"/>
  <c r="BE47" i="1" s="1"/>
  <c r="BJ24" i="1"/>
  <c r="BB24" i="1"/>
  <c r="BF24" i="1" s="1"/>
  <c r="BS35" i="1"/>
  <c r="BS151" i="1"/>
  <c r="BO151" i="1"/>
  <c r="BK151" i="1"/>
  <c r="BC151" i="1"/>
  <c r="BG151" i="1" s="1"/>
  <c r="BN169" i="1"/>
  <c r="BO169" i="1" s="1"/>
  <c r="BK134" i="1"/>
  <c r="BC134" i="1"/>
  <c r="BG134" i="1" s="1"/>
  <c r="BK130" i="1"/>
  <c r="BC130" i="1"/>
  <c r="BG130" i="1" s="1"/>
  <c r="BK126" i="1"/>
  <c r="BC126" i="1"/>
  <c r="BG126" i="1" s="1"/>
  <c r="BK124" i="1"/>
  <c r="BC124" i="1"/>
  <c r="BG124" i="1" s="1"/>
  <c r="BO118" i="1"/>
  <c r="BK118" i="1"/>
  <c r="BC118" i="1"/>
  <c r="BG118" i="1" s="1"/>
  <c r="BQ98" i="1"/>
  <c r="BM98" i="1"/>
  <c r="BI98" i="1"/>
  <c r="BA98" i="1"/>
  <c r="BE98" i="1" s="1"/>
  <c r="BM89" i="1"/>
  <c r="BI89" i="1"/>
  <c r="BA89" i="1"/>
  <c r="BE89" i="1" s="1"/>
  <c r="BB83" i="1"/>
  <c r="BF83" i="1" s="1"/>
  <c r="BJ83" i="1"/>
  <c r="BS78" i="1"/>
  <c r="BR75" i="1"/>
  <c r="BS70" i="1"/>
  <c r="BS69" i="1"/>
  <c r="BR64" i="1"/>
  <c r="BR62" i="1"/>
  <c r="BR61" i="1"/>
  <c r="BR58" i="1"/>
  <c r="BS54" i="1"/>
  <c r="BS53" i="1"/>
  <c r="BR51" i="1"/>
  <c r="BQ135" i="1"/>
  <c r="BR99" i="1"/>
  <c r="BM50" i="1"/>
  <c r="BQ50" i="1"/>
  <c r="BI50" i="1"/>
  <c r="BA50" i="1"/>
  <c r="BE50" i="1" s="1"/>
  <c r="BD41" i="1"/>
  <c r="BH41" i="1" s="1"/>
  <c r="BL41" i="1"/>
  <c r="BQ23" i="1"/>
  <c r="BM23" i="1"/>
  <c r="BI23" i="1"/>
  <c r="BA23" i="1"/>
  <c r="BE23" i="1" s="1"/>
  <c r="BN48" i="1"/>
  <c r="BR37" i="1"/>
  <c r="BN37" i="1"/>
  <c r="BJ37" i="1"/>
  <c r="BB37" i="1"/>
  <c r="BF37" i="1" s="1"/>
  <c r="BR31" i="1"/>
  <c r="BN31" i="1"/>
  <c r="BJ31" i="1"/>
  <c r="BB31" i="1"/>
  <c r="BF31" i="1" s="1"/>
  <c r="BR27" i="1"/>
  <c r="BN27" i="1"/>
  <c r="BJ27" i="1"/>
  <c r="BB27" i="1"/>
  <c r="BF27" i="1" s="1"/>
  <c r="BR23" i="1"/>
  <c r="BN23" i="1"/>
  <c r="BJ23" i="1"/>
  <c r="BB23" i="1"/>
  <c r="BF23" i="1" s="1"/>
  <c r="BP45" i="1"/>
  <c r="BT45" i="1"/>
  <c r="BD45" i="1"/>
  <c r="BH45" i="1" s="1"/>
  <c r="BL45" i="1"/>
  <c r="BR44" i="1"/>
  <c r="BJ141" i="1"/>
  <c r="BB141" i="1"/>
  <c r="BF141" i="1" s="1"/>
  <c r="BR145" i="1"/>
  <c r="BN143" i="1"/>
  <c r="BQ143" i="1" s="1"/>
  <c r="BO132" i="1"/>
  <c r="BP132" i="1" s="1"/>
  <c r="BK132" i="1"/>
  <c r="BC132" i="1"/>
  <c r="BG132" i="1" s="1"/>
  <c r="BN129" i="1"/>
  <c r="BQ129" i="1" s="1"/>
  <c r="BJ129" i="1"/>
  <c r="BB129" i="1"/>
  <c r="BF129" i="1" s="1"/>
  <c r="BO120" i="1"/>
  <c r="BK120" i="1"/>
  <c r="BC120" i="1"/>
  <c r="BG120" i="1" s="1"/>
  <c r="BP150" i="1"/>
  <c r="BQ100" i="1"/>
  <c r="BM100" i="1"/>
  <c r="BI100" i="1"/>
  <c r="BA100" i="1"/>
  <c r="BE100" i="1" s="1"/>
  <c r="BQ86" i="1"/>
  <c r="BM86" i="1"/>
  <c r="BI86" i="1"/>
  <c r="BA86" i="1"/>
  <c r="BE86" i="1" s="1"/>
  <c r="BO68" i="1"/>
  <c r="BP68" i="1" s="1"/>
  <c r="BK49" i="1"/>
  <c r="BC49" i="1"/>
  <c r="BG49" i="1" s="1"/>
  <c r="BK41" i="1"/>
  <c r="BC41" i="1"/>
  <c r="BG41" i="1" s="1"/>
  <c r="BM49" i="1"/>
  <c r="BI49" i="1"/>
  <c r="BA49" i="1"/>
  <c r="BE49" i="1" s="1"/>
  <c r="BQ49" i="1"/>
  <c r="BM42" i="1"/>
  <c r="BA42" i="1"/>
  <c r="BE42" i="1" s="1"/>
  <c r="BI42" i="1"/>
  <c r="BM34" i="1"/>
  <c r="BQ34" i="1" s="1"/>
  <c r="BI34" i="1"/>
  <c r="BA34" i="1"/>
  <c r="BE34" i="1" s="1"/>
  <c r="BQ25" i="1"/>
  <c r="BM25" i="1"/>
  <c r="BI25" i="1"/>
  <c r="BA25" i="1"/>
  <c r="BE25" i="1" s="1"/>
  <c r="BQ79" i="1"/>
  <c r="BR28" i="1"/>
  <c r="BN28" i="1"/>
  <c r="BJ28" i="1"/>
  <c r="BB28" i="1"/>
  <c r="BF28" i="1" s="1"/>
  <c r="BS156" i="1"/>
  <c r="BO156" i="1"/>
  <c r="BK156" i="1"/>
  <c r="BC156" i="1"/>
  <c r="BG156" i="1" s="1"/>
  <c r="BQ148" i="1"/>
  <c r="BA148" i="1"/>
  <c r="BE148" i="1" s="1"/>
  <c r="BI148" i="1"/>
  <c r="BM148" i="1"/>
  <c r="BQ144" i="1"/>
  <c r="BM144" i="1"/>
  <c r="BI144" i="1"/>
  <c r="BA144" i="1"/>
  <c r="BE144" i="1" s="1"/>
  <c r="BM141" i="1"/>
  <c r="BI141" i="1"/>
  <c r="BA141" i="1"/>
  <c r="BE141" i="1" s="1"/>
  <c r="BM139" i="1"/>
  <c r="BI139" i="1"/>
  <c r="BA139" i="1"/>
  <c r="BE139" i="1" s="1"/>
  <c r="BR132" i="1"/>
  <c r="BN132" i="1"/>
  <c r="BJ132" i="1"/>
  <c r="BB132" i="1"/>
  <c r="BF132" i="1" s="1"/>
  <c r="BK128" i="1"/>
  <c r="BC128" i="1"/>
  <c r="BG128" i="1" s="1"/>
  <c r="BN123" i="1"/>
  <c r="BR123" i="1" s="1"/>
  <c r="BS103" i="1"/>
  <c r="BO103" i="1"/>
  <c r="BR103" i="1" s="1"/>
  <c r="BK103" i="1"/>
  <c r="BC103" i="1"/>
  <c r="BG103" i="1" s="1"/>
  <c r="BM93" i="1"/>
  <c r="BI93" i="1"/>
  <c r="BA93" i="1"/>
  <c r="BE93" i="1" s="1"/>
  <c r="BM85" i="1"/>
  <c r="BI85" i="1"/>
  <c r="BA85" i="1"/>
  <c r="BE85" i="1" s="1"/>
  <c r="BI102" i="1"/>
  <c r="BM102" i="1"/>
  <c r="BA102" i="1"/>
  <c r="BE102" i="1" s="1"/>
  <c r="BQ102" i="1"/>
  <c r="BS74" i="1"/>
  <c r="BR71" i="1"/>
  <c r="BS63" i="1"/>
  <c r="BS57" i="1"/>
  <c r="BS44" i="1"/>
  <c r="BO44" i="1"/>
  <c r="BK44" i="1"/>
  <c r="BC44" i="1"/>
  <c r="BG44" i="1" s="1"/>
  <c r="BK47" i="1"/>
  <c r="BC47" i="1"/>
  <c r="BG47" i="1" s="1"/>
  <c r="BQ32" i="1"/>
  <c r="BM32" i="1"/>
  <c r="BI32" i="1"/>
  <c r="BA32" i="1"/>
  <c r="BE32" i="1" s="1"/>
  <c r="BM28" i="1"/>
  <c r="BQ28" i="1" s="1"/>
  <c r="BI28" i="1"/>
  <c r="BA28" i="1"/>
  <c r="BE28" i="1" s="1"/>
  <c r="BR156" i="1"/>
  <c r="BN156" i="1"/>
  <c r="BJ156" i="1"/>
  <c r="BB156" i="1"/>
  <c r="BF156" i="1" s="1"/>
  <c r="BS149" i="1"/>
  <c r="BO149" i="1"/>
  <c r="BP149" i="1" s="1"/>
  <c r="BK149" i="1"/>
  <c r="BC149" i="1"/>
  <c r="BG149" i="1" s="1"/>
  <c r="BS169" i="1"/>
  <c r="BQ166" i="1"/>
  <c r="BR146" i="1"/>
  <c r="BN146" i="1"/>
  <c r="BO146" i="1" s="1"/>
  <c r="BP146" i="1" s="1"/>
  <c r="BJ146" i="1"/>
  <c r="BB146" i="1"/>
  <c r="BF146" i="1" s="1"/>
  <c r="BR142" i="1"/>
  <c r="BN142" i="1"/>
  <c r="BO142" i="1" s="1"/>
  <c r="BP142" i="1" s="1"/>
  <c r="BJ142" i="1"/>
  <c r="BB142" i="1"/>
  <c r="BF142" i="1" s="1"/>
  <c r="BR140" i="1"/>
  <c r="BN140" i="1"/>
  <c r="BO140" i="1" s="1"/>
  <c r="BP140" i="1" s="1"/>
  <c r="BJ140" i="1"/>
  <c r="BB140" i="1"/>
  <c r="BF140" i="1" s="1"/>
  <c r="BR138" i="1"/>
  <c r="BN138" i="1"/>
  <c r="BO138" i="1" s="1"/>
  <c r="BP138" i="1" s="1"/>
  <c r="BJ138" i="1"/>
  <c r="BB138" i="1"/>
  <c r="BF138" i="1" s="1"/>
  <c r="BN137" i="1"/>
  <c r="BQ137" i="1" s="1"/>
  <c r="BJ137" i="1"/>
  <c r="BB137" i="1"/>
  <c r="BF137" i="1" s="1"/>
  <c r="BO136" i="1"/>
  <c r="BP136" i="1" s="1"/>
  <c r="BK136" i="1"/>
  <c r="BC136" i="1"/>
  <c r="BG136" i="1" s="1"/>
  <c r="BR134" i="1"/>
  <c r="BN134" i="1"/>
  <c r="BO134" i="1" s="1"/>
  <c r="BP134" i="1" s="1"/>
  <c r="BJ134" i="1"/>
  <c r="BB134" i="1"/>
  <c r="BF134" i="1" s="1"/>
  <c r="BQ132" i="1"/>
  <c r="BM132" i="1"/>
  <c r="BT132" i="1" s="1"/>
  <c r="BI132" i="1"/>
  <c r="BA132" i="1"/>
  <c r="BE132" i="1" s="1"/>
  <c r="BR130" i="1"/>
  <c r="BN130" i="1"/>
  <c r="BO130" i="1" s="1"/>
  <c r="BP130" i="1" s="1"/>
  <c r="BJ130" i="1"/>
  <c r="BB130" i="1"/>
  <c r="BF130" i="1" s="1"/>
  <c r="BR128" i="1"/>
  <c r="BN128" i="1"/>
  <c r="BO128" i="1" s="1"/>
  <c r="BP128" i="1" s="1"/>
  <c r="BJ128" i="1"/>
  <c r="BB128" i="1"/>
  <c r="BF128" i="1" s="1"/>
  <c r="BR126" i="1"/>
  <c r="BN126" i="1"/>
  <c r="BO126" i="1" s="1"/>
  <c r="BP126" i="1" s="1"/>
  <c r="BJ126" i="1"/>
  <c r="BB126" i="1"/>
  <c r="BF126" i="1" s="1"/>
  <c r="BR124" i="1"/>
  <c r="BN124" i="1"/>
  <c r="BO124" i="1" s="1"/>
  <c r="BP124" i="1" s="1"/>
  <c r="BJ124" i="1"/>
  <c r="BB124" i="1"/>
  <c r="BF124" i="1" s="1"/>
  <c r="BS101" i="1"/>
  <c r="BO101" i="1"/>
  <c r="BR101" i="1" s="1"/>
  <c r="BK101" i="1"/>
  <c r="BC101" i="1"/>
  <c r="BG101" i="1" s="1"/>
  <c r="BT116" i="1"/>
  <c r="BT114" i="1"/>
  <c r="BQ113" i="1"/>
  <c r="BN111" i="1"/>
  <c r="BQ111" i="1" s="1"/>
  <c r="BQ109" i="1"/>
  <c r="BN107" i="1"/>
  <c r="BQ107" i="1" s="1"/>
  <c r="BQ105" i="1"/>
  <c r="BR133" i="1"/>
  <c r="BO104" i="1"/>
  <c r="BP104" i="1" s="1"/>
  <c r="BK104" i="1"/>
  <c r="BC104" i="1"/>
  <c r="BG104" i="1" s="1"/>
  <c r="BQ119" i="1"/>
  <c r="BD104" i="1"/>
  <c r="BH104" i="1" s="1"/>
  <c r="BL104" i="1"/>
  <c r="BQ96" i="1"/>
  <c r="BM96" i="1"/>
  <c r="BI96" i="1"/>
  <c r="BA96" i="1"/>
  <c r="BE96" i="1" s="1"/>
  <c r="BQ92" i="1"/>
  <c r="BM92" i="1"/>
  <c r="BI92" i="1"/>
  <c r="BA92" i="1"/>
  <c r="BE92" i="1" s="1"/>
  <c r="BQ88" i="1"/>
  <c r="BM88" i="1"/>
  <c r="BI88" i="1"/>
  <c r="BA88" i="1"/>
  <c r="BE88" i="1" s="1"/>
  <c r="BM83" i="1"/>
  <c r="BN83" i="1" s="1"/>
  <c r="BI83" i="1"/>
  <c r="BA83" i="1"/>
  <c r="BE83" i="1" s="1"/>
  <c r="BQ103" i="1"/>
  <c r="BR50" i="1"/>
  <c r="BN50" i="1"/>
  <c r="BJ50" i="1"/>
  <c r="BB50" i="1"/>
  <c r="BF50" i="1" s="1"/>
  <c r="BK42" i="1"/>
  <c r="BC42" i="1"/>
  <c r="BG42" i="1" s="1"/>
  <c r="BS45" i="1"/>
  <c r="BO45" i="1"/>
  <c r="BK45" i="1"/>
  <c r="BC45" i="1"/>
  <c r="BG45" i="1" s="1"/>
  <c r="BD49" i="1"/>
  <c r="BH49" i="1" s="1"/>
  <c r="BL49" i="1"/>
  <c r="BJ41" i="1"/>
  <c r="BB41" i="1"/>
  <c r="BF41" i="1" s="1"/>
  <c r="BQ38" i="1"/>
  <c r="BM38" i="1"/>
  <c r="BI38" i="1"/>
  <c r="BA38" i="1"/>
  <c r="BE38" i="1" s="1"/>
  <c r="BQ27" i="1"/>
  <c r="BI27" i="1"/>
  <c r="BA27" i="1"/>
  <c r="BE27" i="1" s="1"/>
  <c r="BQ22" i="1"/>
  <c r="BM22" i="1"/>
  <c r="BI22" i="1"/>
  <c r="BA22" i="1"/>
  <c r="BE22" i="1" s="1"/>
  <c r="BD47" i="1"/>
  <c r="BH47" i="1" s="1"/>
  <c r="BL47" i="1"/>
  <c r="BN33" i="1"/>
  <c r="BQ33" i="1" s="1"/>
  <c r="BJ33" i="1"/>
  <c r="BB33" i="1"/>
  <c r="BF33" i="1" s="1"/>
  <c r="BN30" i="1"/>
  <c r="BO30" i="1" s="1"/>
  <c r="BP30" i="1" s="1"/>
  <c r="BJ30" i="1"/>
  <c r="BB30" i="1"/>
  <c r="BF30" i="1" s="1"/>
  <c r="BR26" i="1"/>
  <c r="BN26" i="1"/>
  <c r="BJ26" i="1"/>
  <c r="BB26" i="1"/>
  <c r="BF26" i="1" s="1"/>
  <c r="BN22" i="1"/>
  <c r="BO22" i="1" s="1"/>
  <c r="BP22" i="1" s="1"/>
  <c r="BJ22" i="1"/>
  <c r="BB22" i="1"/>
  <c r="BF22" i="1" s="1"/>
  <c r="BT84" i="1"/>
  <c r="BQ68" i="1"/>
  <c r="BJ45" i="1"/>
  <c r="BB45" i="1"/>
  <c r="BF45" i="1" s="1"/>
  <c r="BM29" i="1"/>
  <c r="BI29" i="1"/>
  <c r="BA29" i="1"/>
  <c r="BE29" i="1" s="1"/>
  <c r="BS153" i="1"/>
  <c r="BO153" i="1"/>
  <c r="BP153" i="1" s="1"/>
  <c r="BK153" i="1"/>
  <c r="BC153" i="1"/>
  <c r="BG153" i="1" s="1"/>
  <c r="BB148" i="1"/>
  <c r="BF148" i="1" s="1"/>
  <c r="BJ148" i="1"/>
  <c r="BN148" i="1"/>
  <c r="BO148" i="1" s="1"/>
  <c r="BR148" i="1"/>
  <c r="BR139" i="1"/>
  <c r="BN139" i="1"/>
  <c r="BQ139" i="1" s="1"/>
  <c r="BJ139" i="1"/>
  <c r="BB139" i="1"/>
  <c r="BF139" i="1" s="1"/>
  <c r="BR125" i="1"/>
  <c r="BN125" i="1"/>
  <c r="BJ125" i="1"/>
  <c r="BB125" i="1"/>
  <c r="BF125" i="1" s="1"/>
  <c r="BQ156" i="1"/>
  <c r="BM156" i="1"/>
  <c r="BI156" i="1"/>
  <c r="BA156" i="1"/>
  <c r="BE156" i="1" s="1"/>
  <c r="BQ146" i="1"/>
  <c r="BM146" i="1"/>
  <c r="BI146" i="1"/>
  <c r="BA146" i="1"/>
  <c r="BE146" i="1" s="1"/>
  <c r="BQ142" i="1"/>
  <c r="BM142" i="1"/>
  <c r="BI142" i="1"/>
  <c r="BA142" i="1"/>
  <c r="BE142" i="1" s="1"/>
  <c r="BQ140" i="1"/>
  <c r="BM140" i="1"/>
  <c r="BI140" i="1"/>
  <c r="BA140" i="1"/>
  <c r="BE140" i="1" s="1"/>
  <c r="BQ138" i="1"/>
  <c r="BM138" i="1"/>
  <c r="BI138" i="1"/>
  <c r="BA138" i="1"/>
  <c r="BE138" i="1" s="1"/>
  <c r="BR136" i="1"/>
  <c r="BN136" i="1"/>
  <c r="BS136" i="1" s="1"/>
  <c r="BJ136" i="1"/>
  <c r="BB136" i="1"/>
  <c r="BF136" i="1" s="1"/>
  <c r="BQ134" i="1"/>
  <c r="BM134" i="1"/>
  <c r="BS134" i="1" s="1"/>
  <c r="BI134" i="1"/>
  <c r="BA134" i="1"/>
  <c r="BE134" i="1" s="1"/>
  <c r="BS131" i="1"/>
  <c r="BO131" i="1"/>
  <c r="BK131" i="1"/>
  <c r="BC131" i="1"/>
  <c r="BG131" i="1" s="1"/>
  <c r="BS129" i="1"/>
  <c r="BO129" i="1"/>
  <c r="BK129" i="1"/>
  <c r="BC129" i="1"/>
  <c r="BG129" i="1" s="1"/>
  <c r="BS127" i="1"/>
  <c r="BO127" i="1"/>
  <c r="BK127" i="1"/>
  <c r="BC127" i="1"/>
  <c r="BG127" i="1" s="1"/>
  <c r="BS125" i="1"/>
  <c r="BO125" i="1"/>
  <c r="BK125" i="1"/>
  <c r="BC125" i="1"/>
  <c r="BG125" i="1" s="1"/>
  <c r="BS122" i="1"/>
  <c r="BO122" i="1"/>
  <c r="BP122" i="1" s="1"/>
  <c r="BK122" i="1"/>
  <c r="BC122" i="1"/>
  <c r="BG122" i="1" s="1"/>
  <c r="BR121" i="1"/>
  <c r="BR111" i="1"/>
  <c r="BS110" i="1"/>
  <c r="BK102" i="1"/>
  <c r="BC102" i="1"/>
  <c r="BG102" i="1" s="1"/>
  <c r="BI104" i="1"/>
  <c r="BM104" i="1"/>
  <c r="BT104" i="1" s="1"/>
  <c r="BA104" i="1"/>
  <c r="BE104" i="1" s="1"/>
  <c r="BQ104" i="1"/>
  <c r="BJ102" i="1"/>
  <c r="BN102" i="1"/>
  <c r="BO102" i="1" s="1"/>
  <c r="BR102" i="1"/>
  <c r="BB102" i="1"/>
  <c r="BF102" i="1" s="1"/>
  <c r="BM95" i="1"/>
  <c r="BI95" i="1"/>
  <c r="BA95" i="1"/>
  <c r="BE95" i="1" s="1"/>
  <c r="BM91" i="1"/>
  <c r="BI91" i="1"/>
  <c r="BA91" i="1"/>
  <c r="BE91" i="1" s="1"/>
  <c r="BM87" i="1"/>
  <c r="BI87" i="1"/>
  <c r="BA87" i="1"/>
  <c r="BE87" i="1" s="1"/>
  <c r="BQ81" i="1"/>
  <c r="BM81" i="1"/>
  <c r="BI81" i="1"/>
  <c r="BA81" i="1"/>
  <c r="BE81" i="1" s="1"/>
  <c r="BS48" i="1"/>
  <c r="BO48" i="1"/>
  <c r="BP48" i="1" s="1"/>
  <c r="BK48" i="1"/>
  <c r="BC48" i="1"/>
  <c r="BG48" i="1" s="1"/>
  <c r="BS40" i="1"/>
  <c r="BO40" i="1"/>
  <c r="BQ40" i="1" s="1"/>
  <c r="BK40" i="1"/>
  <c r="BC40" i="1"/>
  <c r="BG40" i="1" s="1"/>
  <c r="BS43" i="1"/>
  <c r="BO43" i="1"/>
  <c r="BP43" i="1" s="1"/>
  <c r="BK43" i="1"/>
  <c r="BC43" i="1"/>
  <c r="BG43" i="1" s="1"/>
  <c r="BP82" i="1"/>
  <c r="BT82" i="1"/>
  <c r="BD82" i="1"/>
  <c r="BH82" i="1" s="1"/>
  <c r="BL82" i="1"/>
  <c r="BL83" i="1"/>
  <c r="BP83" i="1"/>
  <c r="BT83" i="1"/>
  <c r="BD83" i="1"/>
  <c r="BH83" i="1" s="1"/>
  <c r="BJ49" i="1"/>
  <c r="BR49" i="1"/>
  <c r="BB49" i="1"/>
  <c r="BF49" i="1" s="1"/>
  <c r="BN49" i="1"/>
  <c r="BO49" i="1" s="1"/>
  <c r="BP49" i="1" s="1"/>
  <c r="BM41" i="1"/>
  <c r="BI41" i="1"/>
  <c r="BA41" i="1"/>
  <c r="BE41" i="1" s="1"/>
  <c r="BM36" i="1"/>
  <c r="BI36" i="1"/>
  <c r="BA36" i="1"/>
  <c r="BE36" i="1" s="1"/>
  <c r="BM45" i="1"/>
  <c r="BI45" i="1"/>
  <c r="BA45" i="1"/>
  <c r="BE45" i="1" s="1"/>
  <c r="BQ26" i="1"/>
  <c r="BM26" i="1"/>
  <c r="BI26" i="1"/>
  <c r="BA26" i="1"/>
  <c r="BE26" i="1" s="1"/>
  <c r="BJ47" i="1"/>
  <c r="BB47" i="1"/>
  <c r="BF47" i="1" s="1"/>
  <c r="BR35" i="1"/>
  <c r="BN35" i="1"/>
  <c r="BO35" i="1" s="1"/>
  <c r="BP35" i="1" s="1"/>
  <c r="BJ35" i="1"/>
  <c r="BB35" i="1"/>
  <c r="BF35" i="1" s="1"/>
  <c r="BR29" i="1"/>
  <c r="BN29" i="1"/>
  <c r="BO29" i="1" s="1"/>
  <c r="BP29" i="1" s="1"/>
  <c r="BJ29" i="1"/>
  <c r="BB29" i="1"/>
  <c r="BF29" i="1" s="1"/>
  <c r="BR25" i="1"/>
  <c r="BN25" i="1"/>
  <c r="BJ25" i="1"/>
  <c r="BB25" i="1"/>
  <c r="BF25" i="1" s="1"/>
  <c r="BQ24" i="1"/>
  <c r="BM24" i="1"/>
  <c r="BN24" i="1" s="1"/>
  <c r="BI24" i="1"/>
  <c r="BA24" i="1"/>
  <c r="BE24" i="1" s="1"/>
  <c r="BR83" i="1" l="1"/>
  <c r="BQ83" i="1"/>
  <c r="BS49" i="1"/>
  <c r="BP102" i="1"/>
  <c r="BS102" i="1" s="1"/>
  <c r="BT102" i="1"/>
  <c r="BN45" i="1"/>
  <c r="BR45" i="1" s="1"/>
  <c r="BN89" i="1"/>
  <c r="BR89" i="1"/>
  <c r="BT30" i="1"/>
  <c r="BS30" i="1"/>
  <c r="BN82" i="1"/>
  <c r="BR82" i="1" s="1"/>
  <c r="BN47" i="1"/>
  <c r="BQ45" i="1"/>
  <c r="BR22" i="1"/>
  <c r="BR30" i="1"/>
  <c r="BR33" i="1"/>
  <c r="BT22" i="1"/>
  <c r="BS22" i="1"/>
  <c r="BN38" i="1"/>
  <c r="BR38" i="1" s="1"/>
  <c r="BT49" i="1"/>
  <c r="BS104" i="1"/>
  <c r="BR137" i="1"/>
  <c r="BS77" i="1"/>
  <c r="BS144" i="1"/>
  <c r="BT144" i="1"/>
  <c r="BR129" i="1"/>
  <c r="BS132" i="1"/>
  <c r="BQ48" i="1"/>
  <c r="BR68" i="1"/>
  <c r="BQ89" i="1"/>
  <c r="BS124" i="1"/>
  <c r="BS126" i="1"/>
  <c r="BS130" i="1"/>
  <c r="BQ30" i="1"/>
  <c r="BQ82" i="1"/>
  <c r="BR169" i="1"/>
  <c r="BT77" i="1"/>
  <c r="BT153" i="1"/>
  <c r="BR143" i="1"/>
  <c r="BT53" i="1"/>
  <c r="BS166" i="1"/>
  <c r="BT128" i="1"/>
  <c r="BS98" i="1"/>
  <c r="BT98" i="1"/>
  <c r="BR24" i="1"/>
  <c r="BT134" i="1"/>
  <c r="BT138" i="1"/>
  <c r="BS138" i="1"/>
  <c r="BS140" i="1"/>
  <c r="BT140" i="1"/>
  <c r="BS142" i="1"/>
  <c r="BT142" i="1"/>
  <c r="BS146" i="1"/>
  <c r="BT146" i="1"/>
  <c r="BQ125" i="1"/>
  <c r="BT29" i="1"/>
  <c r="BS29" i="1"/>
  <c r="BR48" i="1"/>
  <c r="BN32" i="1"/>
  <c r="BR32" i="1" s="1"/>
  <c r="BS68" i="1"/>
  <c r="BS128" i="1"/>
  <c r="BN141" i="1"/>
  <c r="BQ141" i="1" s="1"/>
  <c r="BT48" i="1"/>
  <c r="BP151" i="1"/>
  <c r="BT151" i="1" s="1"/>
  <c r="BQ123" i="1"/>
  <c r="BT43" i="1"/>
  <c r="BQ35" i="1"/>
  <c r="BR166" i="1"/>
  <c r="BT124" i="1"/>
  <c r="BT126" i="1"/>
  <c r="BT130" i="1"/>
  <c r="BN85" i="1"/>
  <c r="BQ85" i="1" s="1"/>
  <c r="BN93" i="1"/>
  <c r="BR93" i="1" s="1"/>
  <c r="BT120" i="1"/>
  <c r="BP120" i="1"/>
  <c r="BS120" i="1" s="1"/>
  <c r="BP118" i="1"/>
  <c r="BT118" i="1" s="1"/>
  <c r="BN36" i="1"/>
  <c r="BS81" i="1"/>
  <c r="BT81" i="1"/>
  <c r="BN87" i="1"/>
  <c r="BQ87" i="1" s="1"/>
  <c r="BR87" i="1"/>
  <c r="BN91" i="1"/>
  <c r="BQ91" i="1" s="1"/>
  <c r="BR91" i="1"/>
  <c r="BN95" i="1"/>
  <c r="BQ95" i="1" s="1"/>
  <c r="BR95" i="1"/>
  <c r="BQ29" i="1"/>
  <c r="BN41" i="1"/>
  <c r="BO41" i="1" s="1"/>
  <c r="BP41" i="1" s="1"/>
  <c r="BQ101" i="1"/>
  <c r="BS88" i="1"/>
  <c r="BT88" i="1"/>
  <c r="BS92" i="1"/>
  <c r="BT92" i="1"/>
  <c r="BS96" i="1"/>
  <c r="BT96" i="1"/>
  <c r="BS148" i="1"/>
  <c r="BN42" i="1"/>
  <c r="BT86" i="1"/>
  <c r="BS86" i="1"/>
  <c r="BS100" i="1"/>
  <c r="BT100" i="1"/>
  <c r="BO31" i="1"/>
  <c r="BP31" i="1" s="1"/>
  <c r="BS31" i="1" s="1"/>
  <c r="BO37" i="1"/>
  <c r="BP37" i="1" s="1"/>
  <c r="BT37" i="1"/>
  <c r="BT35" i="1"/>
  <c r="BS90" i="1"/>
  <c r="BT90" i="1"/>
  <c r="BT94" i="1"/>
  <c r="BS94" i="1"/>
  <c r="BQ127" i="1"/>
  <c r="BQ131" i="1"/>
  <c r="BT136" i="1"/>
  <c r="BR107" i="1"/>
  <c r="BT57" i="1"/>
  <c r="BT68" i="1"/>
  <c r="BS118" i="1" l="1"/>
  <c r="BS37" i="1"/>
  <c r="BR85" i="1"/>
  <c r="BT41" i="1"/>
  <c r="BO47" i="1"/>
  <c r="BO42" i="1"/>
  <c r="BP42" i="1" s="1"/>
  <c r="BR141" i="1"/>
  <c r="BQ93" i="1"/>
  <c r="BO36" i="1"/>
  <c r="BP36" i="1" s="1"/>
  <c r="BT36" i="1" s="1"/>
  <c r="BQ36" i="1"/>
  <c r="BT31" i="1"/>
  <c r="BR41" i="1"/>
  <c r="BQ41" i="1"/>
  <c r="BS41" i="1"/>
  <c r="BS42" i="1" l="1"/>
  <c r="BT42" i="1"/>
  <c r="BQ42" i="1"/>
  <c r="BS36" i="1"/>
  <c r="BP47" i="1"/>
  <c r="BQ47" i="1"/>
  <c r="BR47" i="1"/>
  <c r="BR36" i="1"/>
  <c r="BR42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AV20" i="1"/>
  <c r="AU20" i="1"/>
  <c r="AT20" i="1"/>
  <c r="AS20" i="1"/>
  <c r="AR20" i="1"/>
  <c r="AQ20" i="1"/>
  <c r="AP20" i="1"/>
  <c r="AO20" i="1"/>
  <c r="AN20" i="1"/>
  <c r="AM20" i="1"/>
  <c r="AL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AV19" i="1"/>
  <c r="AU19" i="1"/>
  <c r="AT19" i="1"/>
  <c r="AS19" i="1"/>
  <c r="AR19" i="1"/>
  <c r="AQ19" i="1"/>
  <c r="AP19" i="1"/>
  <c r="AO19" i="1"/>
  <c r="AN19" i="1"/>
  <c r="AM19" i="1"/>
  <c r="AL19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AV14" i="1"/>
  <c r="AU14" i="1"/>
  <c r="AT14" i="1"/>
  <c r="AS14" i="1"/>
  <c r="AR14" i="1"/>
  <c r="AQ14" i="1"/>
  <c r="AP14" i="1"/>
  <c r="AO14" i="1"/>
  <c r="AN14" i="1"/>
  <c r="AM14" i="1"/>
  <c r="AL14" i="1"/>
  <c r="AK14" i="1"/>
  <c r="AJ14" i="1"/>
  <c r="AI14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AV13" i="1"/>
  <c r="AU13" i="1"/>
  <c r="AT13" i="1"/>
  <c r="AS13" i="1"/>
  <c r="AR13" i="1"/>
  <c r="AQ13" i="1"/>
  <c r="AP13" i="1"/>
  <c r="AO13" i="1"/>
  <c r="AN13" i="1"/>
  <c r="AM13" i="1"/>
  <c r="AL13" i="1"/>
  <c r="AK13" i="1"/>
  <c r="AJ13" i="1"/>
  <c r="AI13" i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AV12" i="1"/>
  <c r="AU12" i="1"/>
  <c r="AT12" i="1"/>
  <c r="AS12" i="1"/>
  <c r="AR12" i="1"/>
  <c r="AQ12" i="1"/>
  <c r="AP12" i="1"/>
  <c r="AO12" i="1"/>
  <c r="AN12" i="1"/>
  <c r="AM12" i="1"/>
  <c r="AL12" i="1"/>
  <c r="AK12" i="1"/>
  <c r="AJ12" i="1"/>
  <c r="AI12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AV11" i="1"/>
  <c r="AU11" i="1"/>
  <c r="AT11" i="1"/>
  <c r="AS11" i="1"/>
  <c r="AR11" i="1"/>
  <c r="AQ11" i="1"/>
  <c r="AP11" i="1"/>
  <c r="AO11" i="1"/>
  <c r="AN11" i="1"/>
  <c r="AM11" i="1"/>
  <c r="AL11" i="1"/>
  <c r="AK11" i="1"/>
  <c r="AJ11" i="1"/>
  <c r="AI11" i="1"/>
  <c r="AH11" i="1"/>
  <c r="AG11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AV10" i="1"/>
  <c r="AU10" i="1"/>
  <c r="AT10" i="1"/>
  <c r="AS10" i="1"/>
  <c r="AR10" i="1"/>
  <c r="AQ10" i="1"/>
  <c r="AP10" i="1"/>
  <c r="AO10" i="1"/>
  <c r="AN10" i="1"/>
  <c r="AM10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AV9" i="1"/>
  <c r="AU9" i="1"/>
  <c r="AT9" i="1"/>
  <c r="AS9" i="1"/>
  <c r="AR9" i="1"/>
  <c r="AQ9" i="1"/>
  <c r="AP9" i="1"/>
  <c r="AO9" i="1"/>
  <c r="AN9" i="1"/>
  <c r="AM9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AV8" i="1"/>
  <c r="AU8" i="1"/>
  <c r="AT8" i="1"/>
  <c r="AS8" i="1"/>
  <c r="AR8" i="1"/>
  <c r="AQ8" i="1"/>
  <c r="AP8" i="1"/>
  <c r="AO8" i="1"/>
  <c r="AN8" i="1"/>
  <c r="AM8" i="1"/>
  <c r="AL8" i="1"/>
  <c r="AK8" i="1"/>
  <c r="AJ8" i="1"/>
  <c r="AI8" i="1"/>
  <c r="AH8" i="1"/>
  <c r="AG8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N13" i="1"/>
  <c r="N12" i="1"/>
  <c r="N11" i="1"/>
  <c r="N10" i="1"/>
  <c r="AV7" i="1"/>
  <c r="AU7" i="1"/>
  <c r="AT7" i="1"/>
  <c r="AS7" i="1"/>
  <c r="AR7" i="1"/>
  <c r="AQ7" i="1"/>
  <c r="AP7" i="1"/>
  <c r="AO7" i="1"/>
  <c r="AN7" i="1"/>
  <c r="AM7" i="1"/>
  <c r="AL7" i="1"/>
  <c r="AK7" i="1"/>
  <c r="AJ7" i="1"/>
  <c r="AI7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N169" i="1"/>
  <c r="N168" i="1"/>
  <c r="N167" i="1"/>
  <c r="N165" i="1"/>
  <c r="N161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22" i="1"/>
  <c r="BS47" i="1" l="1"/>
  <c r="BT47" i="1"/>
  <c r="AX8" i="1"/>
  <c r="AX9" i="1"/>
  <c r="BJ9" i="1" s="1"/>
  <c r="AX10" i="1"/>
  <c r="BB10" i="1" s="1"/>
  <c r="BF10" i="1" s="1"/>
  <c r="AW12" i="1"/>
  <c r="BI12" i="1" s="1"/>
  <c r="AY12" i="1"/>
  <c r="BC12" i="1" s="1"/>
  <c r="BG12" i="1" s="1"/>
  <c r="AW13" i="1"/>
  <c r="AX14" i="1"/>
  <c r="AZ14" i="1"/>
  <c r="AX15" i="1"/>
  <c r="BB15" i="1" s="1"/>
  <c r="BF15" i="1" s="1"/>
  <c r="AX16" i="1"/>
  <c r="BN16" i="1" s="1"/>
  <c r="AZ16" i="1"/>
  <c r="BL16" i="1" s="1"/>
  <c r="AX17" i="1"/>
  <c r="BJ17" i="1" s="1"/>
  <c r="AW18" i="1"/>
  <c r="BM18" i="1" s="1"/>
  <c r="AX18" i="1"/>
  <c r="AZ18" i="1"/>
  <c r="BL18" i="1" s="1"/>
  <c r="AW19" i="1"/>
  <c r="BA19" i="1" s="1"/>
  <c r="BE19" i="1" s="1"/>
  <c r="AX19" i="1"/>
  <c r="BN19" i="1" s="1"/>
  <c r="AW20" i="1"/>
  <c r="BI20" i="1" s="1"/>
  <c r="AX20" i="1"/>
  <c r="BB20" i="1" s="1"/>
  <c r="BF20" i="1" s="1"/>
  <c r="AY20" i="1"/>
  <c r="BC20" i="1" s="1"/>
  <c r="BG20" i="1" s="1"/>
  <c r="AZ20" i="1"/>
  <c r="BL20" i="1" s="1"/>
  <c r="AW21" i="1"/>
  <c r="AX21" i="1"/>
  <c r="AW8" i="1"/>
  <c r="AW9" i="1"/>
  <c r="AY9" i="1"/>
  <c r="BC9" i="1" s="1"/>
  <c r="BG9" i="1" s="1"/>
  <c r="AW10" i="1"/>
  <c r="BI10" i="1" s="1"/>
  <c r="AX12" i="1"/>
  <c r="BR12" i="1" s="1"/>
  <c r="AZ12" i="1"/>
  <c r="BT12" i="1" s="1"/>
  <c r="AX13" i="1"/>
  <c r="AW14" i="1"/>
  <c r="BQ14" i="1" s="1"/>
  <c r="AY14" i="1"/>
  <c r="AW15" i="1"/>
  <c r="AW16" i="1"/>
  <c r="BA16" i="1" s="1"/>
  <c r="BE16" i="1" s="1"/>
  <c r="AY16" i="1"/>
  <c r="BO16" i="1" s="1"/>
  <c r="AW17" i="1"/>
  <c r="BA17" i="1" s="1"/>
  <c r="BE17" i="1" s="1"/>
  <c r="AY18" i="1"/>
  <c r="BS18" i="1" s="1"/>
  <c r="AY8" i="1"/>
  <c r="AW11" i="1"/>
  <c r="AX11" i="1"/>
  <c r="AZ9" i="1"/>
  <c r="AY11" i="1"/>
  <c r="AZ11" i="1"/>
  <c r="AY13" i="1"/>
  <c r="AZ13" i="1"/>
  <c r="AY15" i="1"/>
  <c r="AZ15" i="1"/>
  <c r="AY17" i="1"/>
  <c r="AZ17" i="1"/>
  <c r="AY19" i="1"/>
  <c r="AZ19" i="1"/>
  <c r="AY21" i="1"/>
  <c r="AZ21" i="1"/>
  <c r="AY10" i="1"/>
  <c r="AZ10" i="1"/>
  <c r="AZ8" i="1"/>
  <c r="AW5" i="1"/>
  <c r="BM5" i="1" s="1"/>
  <c r="AW6" i="1"/>
  <c r="BM6" i="1" s="1"/>
  <c r="AY6" i="1"/>
  <c r="AW7" i="1"/>
  <c r="BI7" i="1" s="1"/>
  <c r="AX5" i="1"/>
  <c r="BJ5" i="1" s="1"/>
  <c r="AX6" i="1"/>
  <c r="BR6" i="1" s="1"/>
  <c r="AZ6" i="1"/>
  <c r="BD6" i="1" s="1"/>
  <c r="BH6" i="1" s="1"/>
  <c r="AX7" i="1"/>
  <c r="BJ7" i="1" s="1"/>
  <c r="AY7" i="1"/>
  <c r="AZ7" i="1"/>
  <c r="AY5" i="1"/>
  <c r="AZ5" i="1"/>
  <c r="BQ175" i="1"/>
  <c r="N5" i="1"/>
  <c r="N6" i="1"/>
  <c r="N7" i="1"/>
  <c r="N8" i="1"/>
  <c r="N9" i="1"/>
  <c r="N14" i="1"/>
  <c r="N15" i="1"/>
  <c r="N16" i="1"/>
  <c r="N17" i="1"/>
  <c r="N18" i="1"/>
  <c r="N19" i="1"/>
  <c r="N20" i="1"/>
  <c r="N21" i="1"/>
  <c r="N23" i="1"/>
  <c r="N24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6" i="1"/>
  <c r="N164" i="1"/>
  <c r="N163" i="1"/>
  <c r="N162" i="1"/>
  <c r="N170" i="1"/>
  <c r="N4" i="1"/>
  <c r="BP18" i="1" l="1"/>
  <c r="BQ20" i="1"/>
  <c r="BA20" i="1"/>
  <c r="BE20" i="1" s="1"/>
  <c r="BB19" i="1"/>
  <c r="BF19" i="1" s="1"/>
  <c r="BM16" i="1"/>
  <c r="BI16" i="1"/>
  <c r="BM10" i="1"/>
  <c r="BI14" i="1"/>
  <c r="BK9" i="1"/>
  <c r="BB9" i="1"/>
  <c r="BF9" i="1" s="1"/>
  <c r="BK20" i="1"/>
  <c r="BM12" i="1"/>
  <c r="BR17" i="1"/>
  <c r="BA5" i="1"/>
  <c r="BE5" i="1" s="1"/>
  <c r="BR20" i="1"/>
  <c r="BM20" i="1"/>
  <c r="BD12" i="1"/>
  <c r="BH12" i="1" s="1"/>
  <c r="BL12" i="1"/>
  <c r="BO18" i="1"/>
  <c r="BC18" i="1"/>
  <c r="BG18" i="1" s="1"/>
  <c r="BJ20" i="1"/>
  <c r="BI18" i="1"/>
  <c r="BN12" i="1"/>
  <c r="BA12" i="1"/>
  <c r="BE12" i="1" s="1"/>
  <c r="BK18" i="1"/>
  <c r="BN10" i="1"/>
  <c r="BN20" i="1"/>
  <c r="BO20" i="1" s="1"/>
  <c r="BP20" i="1" s="1"/>
  <c r="BN17" i="1"/>
  <c r="BJ15" i="1"/>
  <c r="BP12" i="1"/>
  <c r="BB17" i="1"/>
  <c r="BF17" i="1" s="1"/>
  <c r="BI21" i="1"/>
  <c r="BA21" i="1"/>
  <c r="BE21" i="1" s="1"/>
  <c r="BI17" i="1"/>
  <c r="BM17" i="1"/>
  <c r="BB12" i="1"/>
  <c r="BF12" i="1" s="1"/>
  <c r="BJ12" i="1"/>
  <c r="BJ13" i="1"/>
  <c r="BN13" i="1"/>
  <c r="BT16" i="1"/>
  <c r="BD16" i="1"/>
  <c r="BH16" i="1" s="1"/>
  <c r="BP16" i="1"/>
  <c r="BR10" i="1"/>
  <c r="BJ10" i="1"/>
  <c r="BQ9" i="1"/>
  <c r="BA9" i="1"/>
  <c r="BE9" i="1" s="1"/>
  <c r="BM21" i="1"/>
  <c r="BN21" i="1" s="1"/>
  <c r="BB13" i="1"/>
  <c r="BF13" i="1" s="1"/>
  <c r="BJ21" i="1"/>
  <c r="BB21" i="1"/>
  <c r="BF21" i="1" s="1"/>
  <c r="BR14" i="1"/>
  <c r="BB14" i="1"/>
  <c r="BF14" i="1" s="1"/>
  <c r="BN14" i="1"/>
  <c r="BO14" i="1" s="1"/>
  <c r="BP14" i="1" s="1"/>
  <c r="BJ14" i="1"/>
  <c r="BB6" i="1"/>
  <c r="BF6" i="1" s="1"/>
  <c r="BL14" i="1"/>
  <c r="BD14" i="1"/>
  <c r="BH14" i="1" s="1"/>
  <c r="BB18" i="1"/>
  <c r="BF18" i="1" s="1"/>
  <c r="BJ18" i="1"/>
  <c r="BR18" i="1"/>
  <c r="BN18" i="1"/>
  <c r="BI13" i="1"/>
  <c r="BA13" i="1"/>
  <c r="BE13" i="1" s="1"/>
  <c r="BM13" i="1"/>
  <c r="BK16" i="1"/>
  <c r="BC16" i="1"/>
  <c r="BG16" i="1" s="1"/>
  <c r="BI6" i="1"/>
  <c r="BQ6" i="1"/>
  <c r="BA6" i="1"/>
  <c r="BE6" i="1" s="1"/>
  <c r="BS16" i="1"/>
  <c r="BA10" i="1"/>
  <c r="BE10" i="1" s="1"/>
  <c r="BI9" i="1"/>
  <c r="BM9" i="1"/>
  <c r="BN9" i="1" s="1"/>
  <c r="BO9" i="1" s="1"/>
  <c r="BI8" i="1"/>
  <c r="BM8" i="1"/>
  <c r="BR16" i="1"/>
  <c r="BB16" i="1"/>
  <c r="BF16" i="1" s="1"/>
  <c r="BD20" i="1"/>
  <c r="BH20" i="1" s="1"/>
  <c r="BA18" i="1"/>
  <c r="BE18" i="1" s="1"/>
  <c r="BJ16" i="1"/>
  <c r="BC8" i="1"/>
  <c r="BG8" i="1" s="1"/>
  <c r="BK8" i="1"/>
  <c r="BA14" i="1"/>
  <c r="BE14" i="1" s="1"/>
  <c r="BM14" i="1"/>
  <c r="BK14" i="1"/>
  <c r="BC14" i="1"/>
  <c r="BG14" i="1" s="1"/>
  <c r="BR19" i="1"/>
  <c r="BI19" i="1"/>
  <c r="BM19" i="1"/>
  <c r="BJ19" i="1"/>
  <c r="BR13" i="1"/>
  <c r="BT18" i="1"/>
  <c r="BD18" i="1"/>
  <c r="BH18" i="1" s="1"/>
  <c r="BQ8" i="1"/>
  <c r="BR8" i="1"/>
  <c r="BN8" i="1"/>
  <c r="BO8" i="1" s="1"/>
  <c r="BP8" i="1" s="1"/>
  <c r="BB8" i="1"/>
  <c r="BF8" i="1" s="1"/>
  <c r="BA7" i="1"/>
  <c r="BE7" i="1" s="1"/>
  <c r="BS12" i="1"/>
  <c r="BK12" i="1"/>
  <c r="BO12" i="1"/>
  <c r="BL6" i="1"/>
  <c r="BN6" i="1"/>
  <c r="BO6" i="1" s="1"/>
  <c r="BP6" i="1" s="1"/>
  <c r="BJ6" i="1"/>
  <c r="BJ8" i="1"/>
  <c r="BK6" i="1"/>
  <c r="BC6" i="1"/>
  <c r="BG6" i="1" s="1"/>
  <c r="BA8" i="1"/>
  <c r="BE8" i="1" s="1"/>
  <c r="BI15" i="1"/>
  <c r="BA15" i="1"/>
  <c r="BE15" i="1" s="1"/>
  <c r="BM15" i="1"/>
  <c r="BN15" i="1" s="1"/>
  <c r="BT11" i="1"/>
  <c r="BL11" i="1"/>
  <c r="BD11" i="1"/>
  <c r="BH11" i="1" s="1"/>
  <c r="BP11" i="1"/>
  <c r="BS11" i="1"/>
  <c r="BK11" i="1"/>
  <c r="BC11" i="1"/>
  <c r="BG11" i="1" s="1"/>
  <c r="BO11" i="1"/>
  <c r="BT9" i="1"/>
  <c r="BL9" i="1"/>
  <c r="BD9" i="1"/>
  <c r="BH9" i="1" s="1"/>
  <c r="BP9" i="1"/>
  <c r="BO10" i="1"/>
  <c r="BS10" i="1"/>
  <c r="BC10" i="1"/>
  <c r="BG10" i="1" s="1"/>
  <c r="BK10" i="1"/>
  <c r="BS15" i="1"/>
  <c r="BK15" i="1"/>
  <c r="BC15" i="1"/>
  <c r="BG15" i="1" s="1"/>
  <c r="BO15" i="1"/>
  <c r="BT21" i="1"/>
  <c r="BL21" i="1"/>
  <c r="BD21" i="1"/>
  <c r="BH21" i="1" s="1"/>
  <c r="BP21" i="1"/>
  <c r="BT13" i="1"/>
  <c r="BL13" i="1"/>
  <c r="BD13" i="1"/>
  <c r="BH13" i="1" s="1"/>
  <c r="BP13" i="1"/>
  <c r="BT19" i="1"/>
  <c r="BL19" i="1"/>
  <c r="BD19" i="1"/>
  <c r="BH19" i="1" s="1"/>
  <c r="BP19" i="1"/>
  <c r="BI11" i="1"/>
  <c r="BA11" i="1"/>
  <c r="BE11" i="1" s="1"/>
  <c r="BM11" i="1"/>
  <c r="BS19" i="1"/>
  <c r="BK19" i="1"/>
  <c r="BC19" i="1"/>
  <c r="BG19" i="1" s="1"/>
  <c r="BO19" i="1"/>
  <c r="BT17" i="1"/>
  <c r="BL17" i="1"/>
  <c r="BD17" i="1"/>
  <c r="BH17" i="1" s="1"/>
  <c r="BP17" i="1"/>
  <c r="BS17" i="1"/>
  <c r="BK17" i="1"/>
  <c r="BC17" i="1"/>
  <c r="BG17" i="1" s="1"/>
  <c r="BO17" i="1"/>
  <c r="BT10" i="1"/>
  <c r="BL10" i="1"/>
  <c r="BD10" i="1"/>
  <c r="BH10" i="1" s="1"/>
  <c r="BP10" i="1"/>
  <c r="BT15" i="1"/>
  <c r="BL15" i="1"/>
  <c r="BD15" i="1"/>
  <c r="BH15" i="1" s="1"/>
  <c r="BP15" i="1"/>
  <c r="BL8" i="1"/>
  <c r="BD8" i="1"/>
  <c r="BH8" i="1" s="1"/>
  <c r="BS21" i="1"/>
  <c r="BK21" i="1"/>
  <c r="BC21" i="1"/>
  <c r="BG21" i="1" s="1"/>
  <c r="BO21" i="1"/>
  <c r="BS13" i="1"/>
  <c r="BK13" i="1"/>
  <c r="BC13" i="1"/>
  <c r="BG13" i="1" s="1"/>
  <c r="BO13" i="1"/>
  <c r="BJ11" i="1"/>
  <c r="BR11" i="1"/>
  <c r="BB11" i="1"/>
  <c r="BF11" i="1" s="1"/>
  <c r="BN11" i="1"/>
  <c r="BM7" i="1"/>
  <c r="BN7" i="1" s="1"/>
  <c r="BI5" i="1"/>
  <c r="BB5" i="1"/>
  <c r="BF5" i="1" s="1"/>
  <c r="BN5" i="1"/>
  <c r="BB7" i="1"/>
  <c r="BF7" i="1" s="1"/>
  <c r="BP5" i="1"/>
  <c r="BT5" i="1"/>
  <c r="BL5" i="1"/>
  <c r="BD5" i="1"/>
  <c r="BH5" i="1" s="1"/>
  <c r="BS7" i="1"/>
  <c r="BK7" i="1"/>
  <c r="BC7" i="1"/>
  <c r="BG7" i="1" s="1"/>
  <c r="BO7" i="1"/>
  <c r="BS5" i="1"/>
  <c r="BK5" i="1"/>
  <c r="BC5" i="1"/>
  <c r="BG5" i="1" s="1"/>
  <c r="BO5" i="1"/>
  <c r="BP7" i="1"/>
  <c r="BL7" i="1"/>
  <c r="BD7" i="1"/>
  <c r="BH7" i="1" s="1"/>
  <c r="BT7" i="1"/>
  <c r="J4" i="5"/>
  <c r="BQ16" i="1" l="1"/>
  <c r="BS9" i="1"/>
  <c r="BS20" i="1"/>
  <c r="BQ18" i="1"/>
  <c r="BT20" i="1"/>
  <c r="BT6" i="1"/>
  <c r="BQ12" i="1"/>
  <c r="BT8" i="1"/>
  <c r="BQ19" i="1"/>
  <c r="BR9" i="1"/>
  <c r="BR21" i="1"/>
  <c r="BQ13" i="1"/>
  <c r="BQ17" i="1"/>
  <c r="BT14" i="1"/>
  <c r="BQ11" i="1"/>
  <c r="BS14" i="1"/>
  <c r="BQ15" i="1"/>
  <c r="BS6" i="1"/>
  <c r="BQ21" i="1"/>
  <c r="BS8" i="1"/>
  <c r="BR15" i="1"/>
  <c r="BQ10" i="1"/>
  <c r="BR5" i="1"/>
  <c r="BR7" i="1"/>
  <c r="BQ5" i="1"/>
  <c r="BQ7" i="1"/>
  <c r="BF3" i="1"/>
  <c r="BG3" i="1"/>
  <c r="BH3" i="1"/>
  <c r="BE3" i="1"/>
  <c r="AV4" i="1"/>
  <c r="AU4" i="1"/>
  <c r="AT4" i="1"/>
  <c r="AS4" i="1"/>
  <c r="AR4" i="1"/>
  <c r="AQ4" i="1"/>
  <c r="AP4" i="1"/>
  <c r="AO4" i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AW4" i="1" l="1"/>
  <c r="AX4" i="1"/>
  <c r="AZ4" i="1"/>
  <c r="AY4" i="1"/>
  <c r="BI4" i="1" l="1"/>
  <c r="BQ4" i="1"/>
  <c r="BK4" i="1"/>
  <c r="BL4" i="1"/>
  <c r="BJ4" i="1"/>
  <c r="BR4" i="1"/>
  <c r="BD4" i="1"/>
  <c r="BH4" i="1" s="1"/>
  <c r="BM4" i="1"/>
  <c r="BA4" i="1"/>
  <c r="BE4" i="1" s="1"/>
  <c r="BC4" i="1"/>
  <c r="BG4" i="1" s="1"/>
  <c r="BN4" i="1"/>
  <c r="BO4" i="1" s="1"/>
  <c r="BB4" i="1"/>
  <c r="BF4" i="1" s="1"/>
  <c r="BP4" i="1" l="1"/>
  <c r="BT4" i="1" s="1"/>
  <c r="BS4" i="1" l="1"/>
  <c r="J25" i="5"/>
  <c r="J24" i="5"/>
  <c r="J23" i="5"/>
  <c r="J22" i="5"/>
  <c r="J21" i="5"/>
  <c r="J20" i="5"/>
  <c r="J19" i="5"/>
  <c r="J18" i="5"/>
  <c r="J16" i="5"/>
  <c r="J17" i="5"/>
  <c r="J15" i="5"/>
  <c r="J14" i="5"/>
  <c r="J13" i="5"/>
  <c r="J12" i="5"/>
  <c r="J11" i="5"/>
  <c r="J10" i="5"/>
  <c r="J9" i="5"/>
  <c r="J8" i="5"/>
  <c r="J7" i="5"/>
  <c r="J6" i="5"/>
  <c r="J5" i="5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</calcChain>
</file>

<file path=xl/sharedStrings.xml><?xml version="1.0" encoding="utf-8"?>
<sst xmlns="http://schemas.openxmlformats.org/spreadsheetml/2006/main" count="3537" uniqueCount="1663">
  <si>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</si>
  <si>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</si>
  <si>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</si>
  <si>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</si>
  <si>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</si>
  <si>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</si>
  <si>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</si>
  <si>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</si>
  <si>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Read Data Name</t>
  </si>
  <si>
    <t>Output Read Case</t>
  </si>
  <si>
    <t>Case Signal Name</t>
  </si>
  <si>
    <t>Write Registers Name</t>
  </si>
  <si>
    <t>Read Registers Name</t>
  </si>
  <si>
    <t>Field Range</t>
  </si>
  <si>
    <t>(7 downto 0)</t>
  </si>
  <si>
    <t xml:space="preserve">  when others =&gt;</t>
  </si>
  <si>
    <t>end case;</t>
  </si>
  <si>
    <t>Register Comment</t>
  </si>
  <si>
    <t>Field Comment</t>
  </si>
  <si>
    <t>Field Size</t>
  </si>
  <si>
    <t>Write Data Name</t>
  </si>
  <si>
    <t xml:space="preserve">    null;</t>
  </si>
  <si>
    <t>Output Write Case</t>
  </si>
  <si>
    <t>-</t>
  </si>
  <si>
    <t>std_logic</t>
  </si>
  <si>
    <t>Field Type</t>
  </si>
  <si>
    <t>General Register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</si>
  <si>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</si>
  <si>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</si>
  <si>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</si>
  <si>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</si>
  <si>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</si>
  <si>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</si>
  <si>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</si>
  <si>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</si>
  <si>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</si>
  <si>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</si>
  <si>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</si>
  <si>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</si>
  <si>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</si>
  <si>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</si>
  <si>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</si>
  <si>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</si>
  <si>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</si>
  <si>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</si>
  <si>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</si>
  <si>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</si>
  <si>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</si>
  <si>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</si>
  <si>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</si>
  <si>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</si>
  <si>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</si>
  <si>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</si>
  <si>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Dword Addr [dec]</t>
  </si>
  <si>
    <t>Byte Addr [dec]</t>
  </si>
  <si>
    <t>Field Default</t>
  </si>
  <si>
    <t>Field Trigger</t>
  </si>
  <si>
    <t>'1'</t>
  </si>
  <si>
    <t>'0'</t>
  </si>
  <si>
    <t>std_logic_vector(to_unsigned(0, 16))</t>
  </si>
  <si>
    <t>EoT</t>
  </si>
  <si>
    <t>-- EoT --</t>
  </si>
  <si>
    <t>Main Columns Table</t>
  </si>
  <si>
    <t>Name</t>
  </si>
  <si>
    <t>Column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</si>
  <si>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</si>
  <si>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</si>
  <si>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</si>
  <si>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</si>
  <si>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</si>
  <si>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</si>
  <si>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</si>
  <si>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</si>
  <si>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</si>
  <si>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</si>
  <si>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</si>
  <si>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reg_0_config</t>
  </si>
  <si>
    <t>reg_1_config</t>
  </si>
  <si>
    <t>reg_2_config</t>
  </si>
  <si>
    <t>reg_3_config</t>
  </si>
  <si>
    <t>reg_4_config</t>
  </si>
  <si>
    <t>reg_5_config</t>
  </si>
  <si>
    <t>reg_6_config</t>
  </si>
  <si>
    <t>reg_7_config</t>
  </si>
  <si>
    <t>reg_8_config</t>
  </si>
  <si>
    <t>reg_9_config</t>
  </si>
  <si>
    <t>reg_10_config</t>
  </si>
  <si>
    <t>reg_11_config</t>
  </si>
  <si>
    <t>reg_12_config</t>
  </si>
  <si>
    <t>reg_13_config</t>
  </si>
  <si>
    <t>reg_14_config</t>
  </si>
  <si>
    <t>reg_15_config</t>
  </si>
  <si>
    <t>reg_16_config</t>
  </si>
  <si>
    <t>reg_17_config</t>
  </si>
  <si>
    <t>reg_18_config</t>
  </si>
  <si>
    <t>reg_19_config</t>
  </si>
  <si>
    <t>reg_20_config</t>
  </si>
  <si>
    <t>reg_21_config</t>
  </si>
  <si>
    <t>reg_22_config</t>
  </si>
  <si>
    <t>reg_23_config</t>
  </si>
  <si>
    <t>reg_0_hk</t>
  </si>
  <si>
    <t>reg_1_hk</t>
  </si>
  <si>
    <t>reg_2_hk</t>
  </si>
  <si>
    <t>reg_3_hk</t>
  </si>
  <si>
    <t>reg_4_hk</t>
  </si>
  <si>
    <t>reg_5_hk</t>
  </si>
  <si>
    <t>reg_6_hk</t>
  </si>
  <si>
    <t>reg_7_hk</t>
  </si>
  <si>
    <t>reg_8_hk</t>
  </si>
  <si>
    <t>reg_9_hk</t>
  </si>
  <si>
    <t>reg_10_hk</t>
  </si>
  <si>
    <t>reg_11_hk</t>
  </si>
  <si>
    <t>reg_12_hk</t>
  </si>
  <si>
    <t>reg_13_hk</t>
  </si>
  <si>
    <t>reg_14_hk</t>
  </si>
  <si>
    <t>reg_15_hk</t>
  </si>
  <si>
    <t>reg_16_hk</t>
  </si>
  <si>
    <t>reg_17_hk</t>
  </si>
  <si>
    <t>reg_18_hk</t>
  </si>
  <si>
    <t>reg_19_hk</t>
  </si>
  <si>
    <t>reg_20_hk</t>
  </si>
  <si>
    <t>reg_21_hk</t>
  </si>
  <si>
    <t>reg_22_hk</t>
  </si>
  <si>
    <t>reg_23_hk</t>
  </si>
  <si>
    <t>reg_24_hk</t>
  </si>
  <si>
    <t>reg_25_hk</t>
  </si>
  <si>
    <t>reg_26_hk</t>
  </si>
  <si>
    <t>reg_27_hk</t>
  </si>
  <si>
    <t>reg_28_hk</t>
  </si>
  <si>
    <t>reg_29_hk</t>
  </si>
  <si>
    <t>reg_30_hk</t>
  </si>
  <si>
    <t>reg_31_hk</t>
  </si>
  <si>
    <t>reg_32_hk</t>
  </si>
  <si>
    <t>reg_33_hk</t>
  </si>
  <si>
    <t>reg_34_hk</t>
  </si>
  <si>
    <t>reg_35_hk</t>
  </si>
  <si>
    <t>v_start</t>
  </si>
  <si>
    <t>v_end</t>
  </si>
  <si>
    <t>charge_injection_width</t>
  </si>
  <si>
    <t>charge_injection_gap</t>
  </si>
  <si>
    <t>parallel_toi_period</t>
  </si>
  <si>
    <t>parallel_clk_overlap</t>
  </si>
  <si>
    <t>n_final_dump</t>
  </si>
  <si>
    <t>h_end</t>
  </si>
  <si>
    <t>charge_injection_en</t>
  </si>
  <si>
    <t>tri_level_clk_en</t>
  </si>
  <si>
    <t>img_clk_dir</t>
  </si>
  <si>
    <t>reg_clk_dir</t>
  </si>
  <si>
    <t>packet_size</t>
  </si>
  <si>
    <t>int_sync_period</t>
  </si>
  <si>
    <t>sync_sel</t>
  </si>
  <si>
    <t>sensor_sel</t>
  </si>
  <si>
    <t>digitise_en</t>
  </si>
  <si>
    <t>reg_5_config_reserved</t>
  </si>
  <si>
    <t>ccd1_win_list_ptr</t>
  </si>
  <si>
    <t>ccd1_pktorder_list_ptr</t>
  </si>
  <si>
    <t>ccd1_win_list_length</t>
  </si>
  <si>
    <t>ccd1_win_size_x</t>
  </si>
  <si>
    <t>ccd1_win_size_y</t>
  </si>
  <si>
    <t>reg_8_config_reserved</t>
  </si>
  <si>
    <t>ccd2_win_list_ptr</t>
  </si>
  <si>
    <t>ccd2_pktorder_list_ptr</t>
  </si>
  <si>
    <t>ccd2_win_list_length</t>
  </si>
  <si>
    <t>ccd2_win_size_x</t>
  </si>
  <si>
    <t>ccd2_win_size_y</t>
  </si>
  <si>
    <t>reg_11_config_reserved</t>
  </si>
  <si>
    <t>ccd3_win_list_ptr</t>
  </si>
  <si>
    <t>ccd3_pktorder_list_ptr</t>
  </si>
  <si>
    <t>ccd3_win_list_length</t>
  </si>
  <si>
    <t>ccd3_win_size_x</t>
  </si>
  <si>
    <t>ccd3_win_size_y</t>
  </si>
  <si>
    <t>reg_14_config_reserved</t>
  </si>
  <si>
    <t>ccd4_win_list_ptr</t>
  </si>
  <si>
    <t>ccd4_pktorder_list_ptr</t>
  </si>
  <si>
    <t>ccd4_win_list_length</t>
  </si>
  <si>
    <t>ccd4_win_size_x</t>
  </si>
  <si>
    <t>ccd4_win_size_y</t>
  </si>
  <si>
    <t>reg_17_config_reserved</t>
  </si>
  <si>
    <t>ccd_vod_config</t>
  </si>
  <si>
    <t>ccd1_vrd_config</t>
  </si>
  <si>
    <t>ccd3_vrd_config</t>
  </si>
  <si>
    <t>ccd4_vrd_config</t>
  </si>
  <si>
    <t>ccd_vog_config</t>
  </si>
  <si>
    <t>ccd_ig_hi_config</t>
  </si>
  <si>
    <t>ccd_ig_lo_config</t>
  </si>
  <si>
    <t>ccd_mode_config</t>
  </si>
  <si>
    <t>clear_error_flag</t>
  </si>
  <si>
    <t>reg_22_config_reserved</t>
  </si>
  <si>
    <t>reg_23_config_reserved</t>
  </si>
  <si>
    <t>tou_sense_1</t>
  </si>
  <si>
    <t>tou_sense_2</t>
  </si>
  <si>
    <t>tou_sense_3</t>
  </si>
  <si>
    <t>tou_sense_4</t>
  </si>
  <si>
    <t>tou_sense_5</t>
  </si>
  <si>
    <t>tou_sense_6</t>
  </si>
  <si>
    <t>ccd1_ts</t>
  </si>
  <si>
    <t>ccd2_ts</t>
  </si>
  <si>
    <t>ccd3_ts</t>
  </si>
  <si>
    <t>ccd4_ts</t>
  </si>
  <si>
    <t>prt1</t>
  </si>
  <si>
    <t>prt2</t>
  </si>
  <si>
    <t>prt3</t>
  </si>
  <si>
    <t>prt4</t>
  </si>
  <si>
    <t>prt5</t>
  </si>
  <si>
    <t>zero_diff_amp</t>
  </si>
  <si>
    <t>ccd1_vod_mon</t>
  </si>
  <si>
    <t>ccd1_vog_mon</t>
  </si>
  <si>
    <t>ccd1_vrd_mon_e</t>
  </si>
  <si>
    <t>ccd2_vod_mon</t>
  </si>
  <si>
    <t>ccd2_vog_mon</t>
  </si>
  <si>
    <t>ccd2_vrd_mon_e</t>
  </si>
  <si>
    <t>ccd3_vod_mon</t>
  </si>
  <si>
    <t>ccd3_vog_mon</t>
  </si>
  <si>
    <t>ccd3_vrd_mon_e</t>
  </si>
  <si>
    <t>ccd4_vod_mon</t>
  </si>
  <si>
    <t>ccd4_vog_mon</t>
  </si>
  <si>
    <t>ccd4_vrd_mon_e</t>
  </si>
  <si>
    <t>vccd</t>
  </si>
  <si>
    <t>vrclk_mon</t>
  </si>
  <si>
    <t>viclk</t>
  </si>
  <si>
    <t>vrclk_low</t>
  </si>
  <si>
    <t>vccd_pos_raw</t>
  </si>
  <si>
    <t>vclk_pos_raw</t>
  </si>
  <si>
    <t>van1_pos_raw</t>
  </si>
  <si>
    <t>van3_neg_mon</t>
  </si>
  <si>
    <t>van2_pos_raw</t>
  </si>
  <si>
    <t>vdig_raw</t>
  </si>
  <si>
    <t>vdig_raw_2</t>
  </si>
  <si>
    <t>viclk_low</t>
  </si>
  <si>
    <t>ccd1_vrd_mon_f</t>
  </si>
  <si>
    <t>ccd1_vdd_mon</t>
  </si>
  <si>
    <t>ccd1_vgd_mon</t>
  </si>
  <si>
    <t>ccd2_vrd_mon_f</t>
  </si>
  <si>
    <t>ccd2_vdd_mon</t>
  </si>
  <si>
    <t>ccd2_vgd_mon</t>
  </si>
  <si>
    <t>ccd3_vrd_mon_f</t>
  </si>
  <si>
    <t>ccd3_vdd_mon</t>
  </si>
  <si>
    <t>ccd3_vgd_mon</t>
  </si>
  <si>
    <t>ccd4_vrd_mon_f</t>
  </si>
  <si>
    <t>ccd4_vdd_mon</t>
  </si>
  <si>
    <t>ccd4_vgd_mon</t>
  </si>
  <si>
    <t>ig_hi_mon</t>
  </si>
  <si>
    <t>ig_lo_mon</t>
  </si>
  <si>
    <t>tsense_a</t>
  </si>
  <si>
    <t>tsense_b</t>
  </si>
  <si>
    <t>reg_32_hk_reserved</t>
  </si>
  <si>
    <t>frame_counter</t>
  </si>
  <si>
    <t>reg_33_hk_reserved</t>
  </si>
  <si>
    <t>op_mode</t>
  </si>
  <si>
    <t>frame_number</t>
  </si>
  <si>
    <t>reg_35_hk_reserved</t>
  </si>
  <si>
    <t>error_flags_error_flags_reserved</t>
  </si>
  <si>
    <t>error_flags_f_side_pixel_external_sram_buffer_is_full</t>
  </si>
  <si>
    <t>error_flags_e_side_pixel_external_sram_buffer_is_full</t>
  </si>
  <si>
    <t>error_flags_window_pixels_fall_outside_cdd_boundary_due_to_wrong_y_coordinate</t>
  </si>
  <si>
    <t>error_flags_window_pixels_fall_outside_cdd_boundary_due_to_wrong_x_coordinate</t>
  </si>
  <si>
    <t>spw_status_timecode_from_spw</t>
  </si>
  <si>
    <t>spw_status_rmap_target_status</t>
  </si>
  <si>
    <t>spw_status_spw_status_reserved</t>
  </si>
  <si>
    <t>spw_status_rmap_target_indicate</t>
  </si>
  <si>
    <t>spw_status_stat_link_escape_error</t>
  </si>
  <si>
    <t>spw_status_stat_link_credit_error</t>
  </si>
  <si>
    <t>spw_status_stat_link_parity_error</t>
  </si>
  <si>
    <t>spw_status_stat_link_disconnect</t>
  </si>
  <si>
    <t>spw_status_stat_link_running</t>
  </si>
  <si>
    <t>t_reg_0_config_wr_reg</t>
  </si>
  <si>
    <t>t_reg_1_config_wr_reg</t>
  </si>
  <si>
    <t>t_reg_2_config_wr_reg</t>
  </si>
  <si>
    <t>t_reg_3_config_wr_reg</t>
  </si>
  <si>
    <t>t_reg_4_config_wr_reg</t>
  </si>
  <si>
    <t>t_reg_5_config_wr_reg</t>
  </si>
  <si>
    <t>t_reg_6_config_wr_reg</t>
  </si>
  <si>
    <t>t_reg_7_config_wr_reg</t>
  </si>
  <si>
    <t>t_reg_8_config_wr_reg</t>
  </si>
  <si>
    <t>t_reg_9_config_wr_reg</t>
  </si>
  <si>
    <t>t_reg_10_config_wr_reg</t>
  </si>
  <si>
    <t>t_reg_11_config_wr_reg</t>
  </si>
  <si>
    <t>t_reg_12_config_wr_reg</t>
  </si>
  <si>
    <t>t_reg_13_config_wr_reg</t>
  </si>
  <si>
    <t>t_reg_14_config_wr_reg</t>
  </si>
  <si>
    <t>t_reg_15_config_wr_reg</t>
  </si>
  <si>
    <t>t_reg_16_config_wr_reg</t>
  </si>
  <si>
    <t>t_reg_17_config_wr_reg</t>
  </si>
  <si>
    <t>t_reg_18_config_wr_reg</t>
  </si>
  <si>
    <t>t_reg_19_config_wr_reg</t>
  </si>
  <si>
    <t>t_reg_20_config_wr_reg</t>
  </si>
  <si>
    <t>t_reg_21_config_wr_reg</t>
  </si>
  <si>
    <t>t_reg_22_config_wr_reg</t>
  </si>
  <si>
    <t>t_reg_23_config_wr_reg</t>
  </si>
  <si>
    <t>t_reg_32_hk_rd_reg</t>
  </si>
  <si>
    <t>t_reg_33_hk_rd_reg</t>
  </si>
  <si>
    <t>t_reg_34_hk_rd_reg</t>
  </si>
  <si>
    <t>std_logic_vector(to_unsigned(2294, 12))</t>
  </si>
  <si>
    <t>std_logic_vector(to_unsigned(32140, 16))</t>
  </si>
  <si>
    <t>std_logic_vector(to_unsigned(2000, 16))</t>
  </si>
  <si>
    <t>std_logic_vector(to_unsigned(3, 2))</t>
  </si>
  <si>
    <t>std_logic_vector(to_unsigned(0, 32))</t>
  </si>
  <si>
    <t>std_logic_vector(to_unsigned(0, 6))</t>
  </si>
  <si>
    <t>std_logic_vector(to_unsigned(0, 4))</t>
  </si>
  <si>
    <t>std_logic_vector(to_unsigned(3276, 12))</t>
  </si>
  <si>
    <t>std_logic_vector(to_unsigned(3685, 12))</t>
  </si>
  <si>
    <t>std_logic_vector(to_unsigned(101, 8))</t>
  </si>
  <si>
    <t>std_logic_vector(to_unsigned(14, 4))</t>
  </si>
  <si>
    <t>std_logic_vector(to_unsigned(12, 4))</t>
  </si>
  <si>
    <t>std_logic_vector(to_unsigned(204, 8))</t>
  </si>
  <si>
    <t>std_logic_vector(to_unsigned(410, 12))</t>
  </si>
  <si>
    <t>std_logic_vector(to_unsigned(0, 12))</t>
  </si>
  <si>
    <t>std_logic_vector(to_unsigned(0, 3))</t>
  </si>
  <si>
    <t>RMAP Area Config Register 0</t>
  </si>
  <si>
    <t>RMAP Area Config Register 1</t>
  </si>
  <si>
    <t>RMAP Area Config Register 2</t>
  </si>
  <si>
    <t>RMAP Area Config Register 3</t>
  </si>
  <si>
    <t>RMAP Area Config Register 4</t>
  </si>
  <si>
    <t>RMAP Area Config Register 5</t>
  </si>
  <si>
    <t>RMAP Area Config Register 6</t>
  </si>
  <si>
    <t>RMAP Area Config Register 7</t>
  </si>
  <si>
    <t>RMAP Area Config Register 8</t>
  </si>
  <si>
    <t>RMAP Area Config Register 9</t>
  </si>
  <si>
    <t>RMAP Area Config Register 10</t>
  </si>
  <si>
    <t>RMAP Area Config Register 11</t>
  </si>
  <si>
    <t>RMAP Area Config Register 12</t>
  </si>
  <si>
    <t>RMAP Area Config Register 13</t>
  </si>
  <si>
    <t>RMAP Area Config Register 14</t>
  </si>
  <si>
    <t>RMAP Area Config Register 15</t>
  </si>
  <si>
    <t>RMAP Area Config Register 16</t>
  </si>
  <si>
    <t>RMAP Area Config Register 17</t>
  </si>
  <si>
    <t>RMAP Area Config Register 18</t>
  </si>
  <si>
    <t>RMAP Area Config Register 19</t>
  </si>
  <si>
    <t>RMAP Area Config Register 20</t>
  </si>
  <si>
    <t>RMAP Area Config Register 21</t>
  </si>
  <si>
    <t>RMAP Area Config Register 22</t>
  </si>
  <si>
    <t>RMAP Area Config Register 23</t>
  </si>
  <si>
    <t>RMAP Area HK Register 0</t>
  </si>
  <si>
    <t>RMAP Area HK Register 1</t>
  </si>
  <si>
    <t>RMAP Area HK Register 2</t>
  </si>
  <si>
    <t>RMAP Area HK Register 3</t>
  </si>
  <si>
    <t>RMAP Area HK Register 4</t>
  </si>
  <si>
    <t>RMAP Area HK Register 5</t>
  </si>
  <si>
    <t>RMAP Area HK Register 6</t>
  </si>
  <si>
    <t>RMAP Area HK Register 7</t>
  </si>
  <si>
    <t>RMAP Area HK Register 8</t>
  </si>
  <si>
    <t>RMAP Area HK Register 9</t>
  </si>
  <si>
    <t>RMAP Area HK Register 10</t>
  </si>
  <si>
    <t>RMAP Area HK Register 11</t>
  </si>
  <si>
    <t>RMAP Area HK Register 12</t>
  </si>
  <si>
    <t>RMAP Area HK Register 13</t>
  </si>
  <si>
    <t>RMAP Area HK Register 14</t>
  </si>
  <si>
    <t>RMAP Area HK Register 15</t>
  </si>
  <si>
    <t>RMAP Area HK Register 16</t>
  </si>
  <si>
    <t>RMAP Area HK Register 17</t>
  </si>
  <si>
    <t>RMAP Area HK Register 18</t>
  </si>
  <si>
    <t>RMAP Area HK Register 19</t>
  </si>
  <si>
    <t>RMAP Area HK Register 20</t>
  </si>
  <si>
    <t>RMAP Area HK Register 21</t>
  </si>
  <si>
    <t>RMAP Area HK Register 22</t>
  </si>
  <si>
    <t>RMAP Area HK Register 23</t>
  </si>
  <si>
    <t>RMAP Area HK Register 24</t>
  </si>
  <si>
    <t>RMAP Area HK Register 25</t>
  </si>
  <si>
    <t>RMAP Area HK Register 26</t>
  </si>
  <si>
    <t>RMAP Area HK Register 27</t>
  </si>
  <si>
    <t>RMAP Area HK Register 28</t>
  </si>
  <si>
    <t>RMAP Area HK Register 29</t>
  </si>
  <si>
    <t>RMAP Area HK Register 30</t>
  </si>
  <si>
    <t>RMAP Area HK Register 31</t>
  </si>
  <si>
    <t>RMAP Area HK Register 32</t>
  </si>
  <si>
    <t>RMAP Area HK Register 33</t>
  </si>
  <si>
    <t>RMAP Area HK Register 34</t>
  </si>
  <si>
    <t>RMAP Area HK Register 35</t>
  </si>
  <si>
    <t>V Start Config Field</t>
  </si>
  <si>
    <t>Register 5 Configuration Reserved</t>
  </si>
  <si>
    <t>Register 8 Configuration Reserved</t>
  </si>
  <si>
    <t>Register 11 Configuration Reserved</t>
  </si>
  <si>
    <t>Register 14 Configuration Reserved</t>
  </si>
  <si>
    <t>Register 17 Configuration Reserved</t>
  </si>
  <si>
    <t>Register 21 Configuration Reserved</t>
  </si>
  <si>
    <t>Register 22 Configuration Reserved</t>
  </si>
  <si>
    <t>Register 23 Configuration Reserved</t>
  </si>
  <si>
    <t>Register 32 HK Reserved</t>
  </si>
  <si>
    <t>Register 33 HK Reserved</t>
  </si>
  <si>
    <t>Error Flags : Error Flags Reserved</t>
  </si>
  <si>
    <t>SpW Status : SpaceWire Status Reserved</t>
  </si>
  <si>
    <t>V End Config Field</t>
  </si>
  <si>
    <t>Charge Injection Width Config Field</t>
  </si>
  <si>
    <t>Charge Injection Gap Config Field</t>
  </si>
  <si>
    <t>Parallel Toi Period Config Field</t>
  </si>
  <si>
    <t>Parallel Clock Overlap Config Field</t>
  </si>
  <si>
    <t>N Final Dump Config Field</t>
  </si>
  <si>
    <t>H End Config Field</t>
  </si>
  <si>
    <t>Charge Injection Enable Config Field</t>
  </si>
  <si>
    <t>Tri Level Clock Enable Config Field</t>
  </si>
  <si>
    <t>Image Clock Direction Config Field</t>
  </si>
  <si>
    <t>Register Clock Direction Config Field</t>
  </si>
  <si>
    <t>Data Packet Size Config Field</t>
  </si>
  <si>
    <t>Internal Sync Period Config Field</t>
  </si>
  <si>
    <t>Sync Source Selection Config Field</t>
  </si>
  <si>
    <t>CCD Port Data Sensor Selection Config Field</t>
  </si>
  <si>
    <t>Digitalise Enable Config Field</t>
  </si>
  <si>
    <t>CCD 1 Window List Pointer Config Field</t>
  </si>
  <si>
    <t>CCD 1 Packet Order List Pointer Config Field</t>
  </si>
  <si>
    <t>CCD 1 Window List Length Config Field</t>
  </si>
  <si>
    <t>CCD 1 Window Size X Config Field</t>
  </si>
  <si>
    <t>CCD 1 Window Size Y Config Field</t>
  </si>
  <si>
    <t>CCD 2 Window List Pointer Config Field</t>
  </si>
  <si>
    <t>CCD 2 Packet Order List Pointer Config Field</t>
  </si>
  <si>
    <t>CCD 2 Window List Length Config Field</t>
  </si>
  <si>
    <t>CCD 2 Window Size X Config Field</t>
  </si>
  <si>
    <t>CCD 2 Window Size Y Config Field</t>
  </si>
  <si>
    <t>CCD 3 Window List Pointer Config Field</t>
  </si>
  <si>
    <t>CCD 3 Packet Order List Pointer Config Field</t>
  </si>
  <si>
    <t>CCD 3 Window List Length Config Field</t>
  </si>
  <si>
    <t>CCD 3 Window Size X Config Field</t>
  </si>
  <si>
    <t>CCD 3 Window Size Y Config Field</t>
  </si>
  <si>
    <t>CCD 4 Window List Pointer Config Field</t>
  </si>
  <si>
    <t>CCD 4 Packet Order List Pointer Config Field</t>
  </si>
  <si>
    <t>CCD 4 Window List Length Config Field</t>
  </si>
  <si>
    <t>CCD 4 Window Size X Config Field</t>
  </si>
  <si>
    <t>CCD 4 Window Size Y Config Field</t>
  </si>
  <si>
    <t>CCD Vod Configuration Config Field</t>
  </si>
  <si>
    <t>CCD 1 Vrd Configuration Config Field</t>
  </si>
  <si>
    <t>CCD 2 Vrd Configuration Config Field</t>
  </si>
  <si>
    <t>CCD 3 Vrd Configuration Config Field</t>
  </si>
  <si>
    <t>CCD 4 Vrd Configuration Config Field</t>
  </si>
  <si>
    <t>CCD Vgd Configuration Config Field</t>
  </si>
  <si>
    <t>CCD Vog Configurion Config Field</t>
  </si>
  <si>
    <t>CCD Ig High Configuration Config Field</t>
  </si>
  <si>
    <t>CCD Ig Low Configuration Config Field</t>
  </si>
  <si>
    <t>CCD Mode Configuration Config Field</t>
  </si>
  <si>
    <t>Clear Error Flag Config Field</t>
  </si>
  <si>
    <t>TOU Sense 1 HK Field</t>
  </si>
  <si>
    <t>TOU Sense 2 HK Field</t>
  </si>
  <si>
    <t>TOU Sense 3 HK Field</t>
  </si>
  <si>
    <t>TOU Sense 4 HK Field</t>
  </si>
  <si>
    <t>TOU Sense 5 HK Field</t>
  </si>
  <si>
    <t>TOU Sense 6 HK Field</t>
  </si>
  <si>
    <t>CCD 1 TS HK Field</t>
  </si>
  <si>
    <t>CCD 2 TS HK Field</t>
  </si>
  <si>
    <t>CCD 3 TS HK Field</t>
  </si>
  <si>
    <t>CCD 4 TS HK Field</t>
  </si>
  <si>
    <t>PRT 1 HK Field</t>
  </si>
  <si>
    <t>PRT 2 HK Field</t>
  </si>
  <si>
    <t>PRT 3 HK Field</t>
  </si>
  <si>
    <t>PRT 4 HK Field</t>
  </si>
  <si>
    <t>PRT 5 HK Field</t>
  </si>
  <si>
    <t>Zero Diff Amplifier HK Field</t>
  </si>
  <si>
    <t>CCD 1 Vod Monitor HK Field</t>
  </si>
  <si>
    <t>CCD 1 Vog Monitor HK Field</t>
  </si>
  <si>
    <t>CCD 1 Vrd Monitor E HK Field</t>
  </si>
  <si>
    <t>CCD 2 Vod Monitor HK Field</t>
  </si>
  <si>
    <t>CCD 2 Vog Monitor HK Field</t>
  </si>
  <si>
    <t>CCD 2 Vrd Monitor E HK Field</t>
  </si>
  <si>
    <t>CCD 3 Vod Monitor HK Field</t>
  </si>
  <si>
    <t>CCD 3 Vog Monitor HK Field</t>
  </si>
  <si>
    <t>CCD 3 Vrd Monitor E HK Field</t>
  </si>
  <si>
    <t>CCD 4 Vod Monitor HK Field</t>
  </si>
  <si>
    <t>CCD 4 Vog Monitor HK Field</t>
  </si>
  <si>
    <t>CCD 4 Vrd Monitor E HK Field</t>
  </si>
  <si>
    <t>V CCD HK Field</t>
  </si>
  <si>
    <t>VRClock Monitor HK Field</t>
  </si>
  <si>
    <t>VIClock HK Field</t>
  </si>
  <si>
    <t>VRClock Low HK Field</t>
  </si>
  <si>
    <t>5Vb Positive Monitor HK Field</t>
  </si>
  <si>
    <t>5Vb Negative Monitor HK Field</t>
  </si>
  <si>
    <t>3V3b Monitor HK Field</t>
  </si>
  <si>
    <t>2V5a Monitor HK Field</t>
  </si>
  <si>
    <t>3V3d Monitor HK Field</t>
  </si>
  <si>
    <t>2V5d Monitor HK Field</t>
  </si>
  <si>
    <t>1V5d Monitor HK Field</t>
  </si>
  <si>
    <t>5Vref Monitor HK Field</t>
  </si>
  <si>
    <t>Vccd Positive Raw HK Field</t>
  </si>
  <si>
    <t>Vclk Positive Raw HK Field</t>
  </si>
  <si>
    <t>Van 1 Positive Raw HK Field</t>
  </si>
  <si>
    <t>Van 3 Negative Monitor HK Field</t>
  </si>
  <si>
    <t>Van Positive Raw HK Field</t>
  </si>
  <si>
    <t>Vdig Raw HK Field</t>
  </si>
  <si>
    <t>Vdig Raw 2 HK Field</t>
  </si>
  <si>
    <t>VIClock Low HK Field</t>
  </si>
  <si>
    <t>CCD 1 Vrd Monitor F HK Field</t>
  </si>
  <si>
    <t>CCD 1 Vdd Monitor HK Field</t>
  </si>
  <si>
    <t>CCD 1 Vgd Monitor HK Field</t>
  </si>
  <si>
    <t>CCD 2 Vrd Monitor F HK Field</t>
  </si>
  <si>
    <t>CCD 2 Vdd Monitor HK Field</t>
  </si>
  <si>
    <t>CCD 2 Vgd Monitor HK Field</t>
  </si>
  <si>
    <t>CCD 3 Vrd Monitor F HK Field</t>
  </si>
  <si>
    <t>CCD 3 Vdd Monitor HK Field</t>
  </si>
  <si>
    <t>CCD 3 Vgd Monitor HK Field</t>
  </si>
  <si>
    <t>CCD 4 Vrd Monitor F HK Field</t>
  </si>
  <si>
    <t>CCD 4 Vdd Monitor HK Field</t>
  </si>
  <si>
    <t>CCD 4 Vgd Monitor HK Field</t>
  </si>
  <si>
    <t>Ig High Monitor HK Field</t>
  </si>
  <si>
    <t>Ig Low Monitor HK Field</t>
  </si>
  <si>
    <t>Tsense A HK Field</t>
  </si>
  <si>
    <t>Tsense B HK Field</t>
  </si>
  <si>
    <t>SpW Status : Timecode From SpaceWire HK Field</t>
  </si>
  <si>
    <t>SpW Status : RMAP Target Status HK Field</t>
  </si>
  <si>
    <t>SpW Status : RMAP Target Indicate HK Field</t>
  </si>
  <si>
    <t>SpW Status : Status Link Escape Error HK Field</t>
  </si>
  <si>
    <t>SpW Status : Status Link Credit Error HK Field</t>
  </si>
  <si>
    <t>SpW Status : Status Link Parity Error HK Field</t>
  </si>
  <si>
    <t>SpW Status : Status Link Disconnect HK Field</t>
  </si>
  <si>
    <t>SpW Status : Status Link Running HK Field</t>
  </si>
  <si>
    <t>Frame Counter HK Field</t>
  </si>
  <si>
    <t>Operational Mode HK Field</t>
  </si>
  <si>
    <t>Frame Number HK Field</t>
  </si>
  <si>
    <t>Error Flags : F Side Pixel External SRAM Buffer is Full HK Field</t>
  </si>
  <si>
    <t>Error Flags : E Side Pixel External SRAM Buffer is Full HK Field</t>
  </si>
  <si>
    <t>Error Flags : Window Pixels Fall Outside CDD Boundary Due To Wrong Y Coordinate HK Field</t>
  </si>
  <si>
    <t>Error Flags : Window Pixels Fall Outside CDD Boundary Due To Wrong X Coordinate HK Field</t>
  </si>
  <si>
    <t>Register 35 HK Reserved HK Field</t>
  </si>
  <si>
    <t xml:space="preserve">      -- RMAP Area Config Register 0 : V Start Config Field</t>
  </si>
  <si>
    <t xml:space="preserve">      -- RMAP Area Config Register 0 : V End Config Field</t>
  </si>
  <si>
    <t xml:space="preserve">      -- RMAP Area Config Register 1 : Charge Injection Width Config Field</t>
  </si>
  <si>
    <t xml:space="preserve">      -- RMAP Area Config Register 1 : Charge Injection Gap Config Field</t>
  </si>
  <si>
    <t xml:space="preserve">      -- RMAP Area Config Register 2 : Parallel Toi Period Config Field</t>
  </si>
  <si>
    <t xml:space="preserve">      -- RMAP Area Config Register 2 : Parallel Clock Overlap Config Field</t>
  </si>
  <si>
    <t xml:space="preserve">      -- RMAP Area Config Register 3 : N Final Dump Config Field</t>
  </si>
  <si>
    <t xml:space="preserve">      -- RMAP Area Config Register 3 : H End Config Field</t>
  </si>
  <si>
    <t xml:space="preserve">      -- RMAP Area Config Register 3 : Charge Injection Enable Config Field</t>
  </si>
  <si>
    <t xml:space="preserve">      -- RMAP Area Config Register 3 : Tri Level Clock Enable Config Field</t>
  </si>
  <si>
    <t xml:space="preserve">      -- RMAP Area Config Register 3 : Image Clock Direction Config Field</t>
  </si>
  <si>
    <t xml:space="preserve">      -- RMAP Area Config Register 3 : Register Clock Direction Config Field</t>
  </si>
  <si>
    <t xml:space="preserve">      -- RMAP Area Config Register 4 : Data Packet Size Config Field</t>
  </si>
  <si>
    <t xml:space="preserve">      -- RMAP Area Config Register 4 : Internal Sync Period Config Field</t>
  </si>
  <si>
    <t xml:space="preserve">      -- RMAP Area Config Register 5 : Sync Source Selection Config Field</t>
  </si>
  <si>
    <t xml:space="preserve">      -- RMAP Area Config Register 5 : CCD Port Data Sensor Selection Config Field</t>
  </si>
  <si>
    <t xml:space="preserve">      -- RMAP Area Config Register 5 : Digitalise Enable Config Field</t>
  </si>
  <si>
    <t xml:space="preserve">      -- RMAP Area Config Register 5 : Register 5 Configuration Reserved</t>
  </si>
  <si>
    <t xml:space="preserve">      -- RMAP Area Config Register 6 : CCD 1 Window List Pointer Config Field</t>
  </si>
  <si>
    <t xml:space="preserve">      -- RMAP Area Config Register 7 : CCD 1 Packet Order List Pointer Config Field</t>
  </si>
  <si>
    <t xml:space="preserve">      -- RMAP Area Config Register 8 : CCD 1 Window List Length Config Field</t>
  </si>
  <si>
    <t xml:space="preserve">      -- RMAP Area Config Register 8 : CCD 1 Window Size X Config Field</t>
  </si>
  <si>
    <t xml:space="preserve">      -- RMAP Area Config Register 8 : CCD 1 Window Size Y Config Field</t>
  </si>
  <si>
    <t xml:space="preserve">      -- RMAP Area Config Register 8 : Register 8 Configuration Reserved</t>
  </si>
  <si>
    <t xml:space="preserve">      -- RMAP Area Config Register 9 : CCD 2 Window List Pointer Config Field</t>
  </si>
  <si>
    <t xml:space="preserve">      -- RMAP Area Config Register 10 : CCD 2 Packet Order List Pointer Config Field</t>
  </si>
  <si>
    <t xml:space="preserve">      -- RMAP Area Config Register 11 : CCD 2 Window List Length Config Field</t>
  </si>
  <si>
    <t xml:space="preserve">      -- RMAP Area Config Register 11 : CCD 2 Window Size X Config Field</t>
  </si>
  <si>
    <t xml:space="preserve">      -- RMAP Area Config Register 11 : CCD 2 Window Size Y Config Field</t>
  </si>
  <si>
    <t xml:space="preserve">      -- RMAP Area Config Register 11 : Register 11 Configuration Reserved</t>
  </si>
  <si>
    <t xml:space="preserve">      -- RMAP Area Config Register 12 : CCD 3 Window List Pointer Config Field</t>
  </si>
  <si>
    <t xml:space="preserve">      -- RMAP Area Config Register 13 : CCD 3 Packet Order List Pointer Config Field</t>
  </si>
  <si>
    <t xml:space="preserve">      -- RMAP Area Config Register 14 : CCD 3 Window List Length Config Field</t>
  </si>
  <si>
    <t xml:space="preserve">      -- RMAP Area Config Register 14 : CCD 3 Window Size X Config Field</t>
  </si>
  <si>
    <t xml:space="preserve">      -- RMAP Area Config Register 14 : CCD 3 Window Size Y Config Field</t>
  </si>
  <si>
    <t xml:space="preserve">      -- RMAP Area Config Register 14 : Register 14 Configuration Reserved</t>
  </si>
  <si>
    <t xml:space="preserve">      -- RMAP Area Config Register 15 : CCD 4 Window List Pointer Config Field</t>
  </si>
  <si>
    <t xml:space="preserve">      -- RMAP Area Config Register 16 : CCD 4 Packet Order List Pointer Config Field</t>
  </si>
  <si>
    <t xml:space="preserve">      -- RMAP Area Config Register 17 : CCD 4 Window List Length Config Field</t>
  </si>
  <si>
    <t xml:space="preserve">      -- RMAP Area Config Register 17 : CCD 4 Window Size X Config Field</t>
  </si>
  <si>
    <t xml:space="preserve">      -- RMAP Area Config Register 17 : CCD 4 Window Size Y Config Field</t>
  </si>
  <si>
    <t xml:space="preserve">      -- RMAP Area Config Register 17 : Register 17 Configuration Reserved</t>
  </si>
  <si>
    <t xml:space="preserve">      -- RMAP Area Config Register 18 : CCD Vod Configuration Config Field</t>
  </si>
  <si>
    <t xml:space="preserve">      -- RMAP Area Config Register 18 : CCD 1 Vrd Configuration Config Field</t>
  </si>
  <si>
    <t xml:space="preserve">      -- RMAP Area Config Register 18 : CCD 2 Vrd Configuration Config Field</t>
  </si>
  <si>
    <t xml:space="preserve">      -- RMAP Area Config Register 19 : CCD 2 Vrd Configuration Config Field</t>
  </si>
  <si>
    <t xml:space="preserve">      -- RMAP Area Config Register 19 : CCD 3 Vrd Configuration Config Field</t>
  </si>
  <si>
    <t xml:space="preserve">      -- RMAP Area Config Register 19 : CCD 4 Vrd Configuration Config Field</t>
  </si>
  <si>
    <t xml:space="preserve">      -- RMAP Area Config Register 19 : CCD Vgd Configuration Config Field</t>
  </si>
  <si>
    <t xml:space="preserve">      -- RMAP Area Config Register 20 : CCD Vgd Configuration Config Field</t>
  </si>
  <si>
    <t xml:space="preserve">      -- RMAP Area Config Register 20 : CCD Vog Configurion Config Field</t>
  </si>
  <si>
    <t xml:space="preserve">      -- RMAP Area Config Register 20 : CCD Ig High Configuration Config Field</t>
  </si>
  <si>
    <t xml:space="preserve">      -- RMAP Area Config Register 21 : CCD Ig Low Configuration Config Field</t>
  </si>
  <si>
    <t xml:space="preserve">      -- RMAP Area Config Register 21 : CCD Mode Configuration Config Field</t>
  </si>
  <si>
    <t xml:space="preserve">      -- RMAP Area Config Register 21 : Register 21 Configuration Reserved</t>
  </si>
  <si>
    <t xml:space="preserve">      -- RMAP Area Config Register 21 : Clear Error Flag Config Field</t>
  </si>
  <si>
    <t xml:space="preserve">      -- RMAP Area Config Register 22 : Register 22 Configuration Reserved</t>
  </si>
  <si>
    <t xml:space="preserve">      -- RMAP Area Config Register 23 : Register 23 Configuration Reserved</t>
  </si>
  <si>
    <t xml:space="preserve">      -- RMAP Area HK Register 0 : TOU Sense 1 HK Field</t>
  </si>
  <si>
    <t xml:space="preserve">      -- RMAP Area HK Register 0 : TOU Sense 2 HK Field</t>
  </si>
  <si>
    <t xml:space="preserve">      -- RMAP Area HK Register 1 : TOU Sense 3 HK Field</t>
  </si>
  <si>
    <t xml:space="preserve">      -- RMAP Area HK Register 1 : TOU Sense 4 HK Field</t>
  </si>
  <si>
    <t xml:space="preserve">      -- RMAP Area HK Register 2 : TOU Sense 5 HK Field</t>
  </si>
  <si>
    <t xml:space="preserve">      -- RMAP Area HK Register 2 : TOU Sense 6 HK Field</t>
  </si>
  <si>
    <t xml:space="preserve">      -- RMAP Area HK Register 3 : CCD 1 TS HK Field</t>
  </si>
  <si>
    <t xml:space="preserve">      -- RMAP Area HK Register 3 : CCD 2 TS HK Field</t>
  </si>
  <si>
    <t xml:space="preserve">      -- RMAP Area HK Register 4 : CCD 3 TS HK Field</t>
  </si>
  <si>
    <t xml:space="preserve">      -- RMAP Area HK Register 4 : CCD 4 TS HK Field</t>
  </si>
  <si>
    <t xml:space="preserve">      -- RMAP Area HK Register 5 : PRT 1 HK Field</t>
  </si>
  <si>
    <t xml:space="preserve">      -- RMAP Area HK Register 5 : PRT 2 HK Field</t>
  </si>
  <si>
    <t xml:space="preserve">      -- RMAP Area HK Register 6 : PRT 3 HK Field</t>
  </si>
  <si>
    <t xml:space="preserve">      -- RMAP Area HK Register 6 : PRT 4 HK Field</t>
  </si>
  <si>
    <t xml:space="preserve">      -- RMAP Area HK Register 7 : PRT 5 HK Field</t>
  </si>
  <si>
    <t xml:space="preserve">      -- RMAP Area HK Register 7 : Zero Diff Amplifier HK Field</t>
  </si>
  <si>
    <t xml:space="preserve">      -- RMAP Area HK Register 8 : CCD 1 Vod Monitor HK Field</t>
  </si>
  <si>
    <t xml:space="preserve">      -- RMAP Area HK Register 8 : CCD 1 Vog Monitor HK Field</t>
  </si>
  <si>
    <t xml:space="preserve">      -- RMAP Area HK Register 9 : CCD 1 Vrd Monitor E HK Field</t>
  </si>
  <si>
    <t xml:space="preserve">      -- RMAP Area HK Register 9 : CCD 2 Vod Monitor HK Field</t>
  </si>
  <si>
    <t xml:space="preserve">      -- RMAP Area HK Register 10 : CCD 2 Vog Monitor HK Field</t>
  </si>
  <si>
    <t xml:space="preserve">      -- RMAP Area HK Register 10 : CCD 2 Vrd Monitor E HK Field</t>
  </si>
  <si>
    <t xml:space="preserve">      -- RMAP Area HK Register 11 : CCD 3 Vod Monitor HK Field</t>
  </si>
  <si>
    <t xml:space="preserve">      -- RMAP Area HK Register 11 : CCD 3 Vog Monitor HK Field</t>
  </si>
  <si>
    <t xml:space="preserve">      -- RMAP Area HK Register 12 : CCD 3 Vrd Monitor E HK Field</t>
  </si>
  <si>
    <t xml:space="preserve">      -- RMAP Area HK Register 12 : CCD 4 Vod Monitor HK Field</t>
  </si>
  <si>
    <t xml:space="preserve">      -- RMAP Area HK Register 13 : CCD 4 Vog Monitor HK Field</t>
  </si>
  <si>
    <t xml:space="preserve">      -- RMAP Area HK Register 13 : CCD 4 Vrd Monitor E HK Field</t>
  </si>
  <si>
    <t xml:space="preserve">      -- RMAP Area HK Register 14 : V CCD HK Field</t>
  </si>
  <si>
    <t xml:space="preserve">      -- RMAP Area HK Register 14 : VRClock Monitor HK Field</t>
  </si>
  <si>
    <t xml:space="preserve">      -- RMAP Area HK Register 15 : VIClock HK Field</t>
  </si>
  <si>
    <t xml:space="preserve">      -- RMAP Area HK Register 15 : VRClock Low HK Field</t>
  </si>
  <si>
    <t xml:space="preserve">      -- RMAP Area HK Register 16 : 5Vb Positive Monitor HK Field</t>
  </si>
  <si>
    <t xml:space="preserve">      -- RMAP Area HK Register 16 : 5Vb Negative Monitor HK Field</t>
  </si>
  <si>
    <t xml:space="preserve">      -- RMAP Area HK Register 17 : 3V3b Monitor HK Field</t>
  </si>
  <si>
    <t xml:space="preserve">      -- RMAP Area HK Register 17 : 2V5a Monitor HK Field</t>
  </si>
  <si>
    <t xml:space="preserve">      -- RMAP Area HK Register 18 : 3V3d Monitor HK Field</t>
  </si>
  <si>
    <t xml:space="preserve">      -- RMAP Area HK Register 18 : 2V5d Monitor HK Field</t>
  </si>
  <si>
    <t xml:space="preserve">      -- RMAP Area HK Register 19 : 1V5d Monitor HK Field</t>
  </si>
  <si>
    <t xml:space="preserve">      -- RMAP Area HK Register 19 : 5Vref Monitor HK Field</t>
  </si>
  <si>
    <t xml:space="preserve">      -- RMAP Area HK Register 20 : Vccd Positive Raw HK Field</t>
  </si>
  <si>
    <t xml:space="preserve">      -- RMAP Area HK Register 20 : Vclk Positive Raw HK Field</t>
  </si>
  <si>
    <t xml:space="preserve">      -- RMAP Area HK Register 21 : Van 1 Positive Raw HK Field</t>
  </si>
  <si>
    <t xml:space="preserve">      -- RMAP Area HK Register 21 : Van 3 Negative Monitor HK Field</t>
  </si>
  <si>
    <t xml:space="preserve">      -- RMAP Area HK Register 22 : Van Positive Raw HK Field</t>
  </si>
  <si>
    <t xml:space="preserve">      -- RMAP Area HK Register 22 : Vdig Raw HK Field</t>
  </si>
  <si>
    <t xml:space="preserve">      -- RMAP Area HK Register 23 : Vdig Raw 2 HK Field</t>
  </si>
  <si>
    <t xml:space="preserve">      -- RMAP Area HK Register 23 : VIClock Low HK Field</t>
  </si>
  <si>
    <t xml:space="preserve">      -- RMAP Area HK Register 24 : CCD 1 Vrd Monitor F HK Field</t>
  </si>
  <si>
    <t xml:space="preserve">      -- RMAP Area HK Register 24 : CCD 1 Vdd Monitor HK Field</t>
  </si>
  <si>
    <t xml:space="preserve">      -- RMAP Area HK Register 25 : CCD 1 Vgd Monitor HK Field</t>
  </si>
  <si>
    <t xml:space="preserve">      -- RMAP Area HK Register 25 : CCD 2 Vrd Monitor F HK Field</t>
  </si>
  <si>
    <t xml:space="preserve">      -- RMAP Area HK Register 26 : CCD 2 Vdd Monitor HK Field</t>
  </si>
  <si>
    <t xml:space="preserve">      -- RMAP Area HK Register 26 : CCD 2 Vgd Monitor HK Field</t>
  </si>
  <si>
    <t xml:space="preserve">      -- RMAP Area HK Register 27 : CCD 3 Vrd Monitor F HK Field</t>
  </si>
  <si>
    <t xml:space="preserve">      -- RMAP Area HK Register 27 : CCD 3 Vdd Monitor HK Field</t>
  </si>
  <si>
    <t xml:space="preserve">      -- RMAP Area HK Register 28 : CCD 3 Vgd Monitor HK Field</t>
  </si>
  <si>
    <t xml:space="preserve">      -- RMAP Area HK Register 28 : CCD 4 Vrd Monitor F HK Field</t>
  </si>
  <si>
    <t xml:space="preserve">      -- RMAP Area HK Register 29 : CCD 4 Vdd Monitor HK Field</t>
  </si>
  <si>
    <t xml:space="preserve">      -- RMAP Area HK Register 29 : CCD 4 Vgd Monitor HK Field</t>
  </si>
  <si>
    <t xml:space="preserve">      -- RMAP Area HK Register 30 : Ig High Monitor HK Field</t>
  </si>
  <si>
    <t xml:space="preserve">      -- RMAP Area HK Register 30 : Ig Low Monitor HK Field</t>
  </si>
  <si>
    <t xml:space="preserve">      -- RMAP Area HK Register 31 : Tsense A HK Field</t>
  </si>
  <si>
    <t xml:space="preserve">      -- RMAP Area HK Register 31 : Tsense B HK Field</t>
  </si>
  <si>
    <t xml:space="preserve">      -- RMAP Area HK Register 32 : SpW Status : Timecode From SpaceWire HK Field</t>
  </si>
  <si>
    <t xml:space="preserve">      -- RMAP Area HK Register 32 : SpW Status : RMAP Target Status HK Field</t>
  </si>
  <si>
    <t xml:space="preserve">      -- RMAP Area HK Register 32 : SpW Status : SpaceWire Status Reserved</t>
  </si>
  <si>
    <t xml:space="preserve">      -- RMAP Area HK Register 32 : SpW Status : RMAP Target Indicate HK Field</t>
  </si>
  <si>
    <t xml:space="preserve">      -- RMAP Area HK Register 32 : SpW Status : Status Link Escape Error HK Field</t>
  </si>
  <si>
    <t xml:space="preserve">      -- RMAP Area HK Register 32 : SpW Status : Status Link Credit Error HK Field</t>
  </si>
  <si>
    <t xml:space="preserve">      -- RMAP Area HK Register 32 : SpW Status : Status Link Parity Error HK Field</t>
  </si>
  <si>
    <t xml:space="preserve">      -- RMAP Area HK Register 32 : SpW Status : Status Link Disconnect HK Field</t>
  </si>
  <si>
    <t xml:space="preserve">      -- RMAP Area HK Register 32 : SpW Status : Status Link Running HK Field</t>
  </si>
  <si>
    <t xml:space="preserve">      -- RMAP Area HK Register 32 : Register 32 HK Reserved</t>
  </si>
  <si>
    <t xml:space="preserve">      -- RMAP Area HK Register 33 : Frame Counter HK Field</t>
  </si>
  <si>
    <t xml:space="preserve">      -- RMAP Area HK Register 33 : Register 33 HK Reserved</t>
  </si>
  <si>
    <t xml:space="preserve">      -- RMAP Area HK Register 33 : Operational Mode HK Field</t>
  </si>
  <si>
    <t xml:space="preserve">      -- RMAP Area HK Register 33 : Frame Number HK Field</t>
  </si>
  <si>
    <t xml:space="preserve">      -- RMAP Area HK Register 34 : Error Flags : Error Flags Reserved</t>
  </si>
  <si>
    <t xml:space="preserve">      -- RMAP Area HK Register 34 : Error Flags : F Side Pixel External SRAM Buffer is Full HK Field</t>
  </si>
  <si>
    <t xml:space="preserve">      -- RMAP Area HK Register 34 : Error Flags : E Side Pixel External SRAM Buffer is Full HK Field</t>
  </si>
  <si>
    <t xml:space="preserve">      -- RMAP Area HK Register 34 : Error Flags : Window Pixels Fall Outside CDD Boundary Due To Wrong Y Coordinate HK Field</t>
  </si>
  <si>
    <t xml:space="preserve">      -- RMAP Area HK Register 34 : Error Flags : Window Pixels Fall Outside CDD Boundary Due To Wrong X Coordinate HK Field</t>
  </si>
  <si>
    <t xml:space="preserve">      -- RMAP Area HK Register 35 : Register 35 HK Reserved HK Field</t>
  </si>
  <si>
    <t>Register Bits (High)</t>
  </si>
  <si>
    <t>Register Bits (Low)</t>
  </si>
  <si>
    <t>Byte Addr [Hex]</t>
  </si>
  <si>
    <t>Field Index</t>
  </si>
  <si>
    <t>Register Bit Occupation</t>
  </si>
  <si>
    <t>Register Byte Ocuppation</t>
  </si>
  <si>
    <t>Dword Addr [hex]</t>
  </si>
  <si>
    <t>Byte 3</t>
  </si>
  <si>
    <t>Byte 2</t>
  </si>
  <si>
    <t>Byte 1</t>
  </si>
  <si>
    <t>Byte 0</t>
  </si>
  <si>
    <t>Byte Range</t>
  </si>
  <si>
    <t>wr_addr_i(31 downto 0)</t>
  </si>
  <si>
    <t>case (wr_addr_i(31 downto 0)) is</t>
  </si>
  <si>
    <t>-- MemArea Write Data</t>
  </si>
  <si>
    <t xml:space="preserve">  -- Case for access to all memory area</t>
  </si>
  <si>
    <t xml:space="preserve">  when (x"00000002") =&gt;</t>
  </si>
  <si>
    <t xml:space="preserve">  when (x"00000003") =&gt;</t>
  </si>
  <si>
    <t xml:space="preserve">  when (x"00000000") =&gt;</t>
  </si>
  <si>
    <t xml:space="preserve">  when (x"00000001") =&gt;</t>
  </si>
  <si>
    <t xml:space="preserve">  when (x"00000006") =&gt;</t>
  </si>
  <si>
    <t xml:space="preserve">  when (x"00000007") =&gt;</t>
  </si>
  <si>
    <t xml:space="preserve">  when (x"00000004") =&gt;</t>
  </si>
  <si>
    <t xml:space="preserve">  when (x"00000005") =&gt;</t>
  </si>
  <si>
    <t xml:space="preserve">  when (x"0000000A") =&gt;</t>
  </si>
  <si>
    <t xml:space="preserve">  when (x"0000000B") =&gt;</t>
  </si>
  <si>
    <t xml:space="preserve">  when (x"00000009") =&gt;</t>
  </si>
  <si>
    <t xml:space="preserve">  when (x"00000008") =&gt;</t>
  </si>
  <si>
    <t xml:space="preserve">  when (x"0000000E") =&gt;</t>
  </si>
  <si>
    <t xml:space="preserve">  when (x"0000000F") =&gt;</t>
  </si>
  <si>
    <t xml:space="preserve">  when (x"0000000C") =&gt;</t>
  </si>
  <si>
    <t xml:space="preserve">  when (x"0000000D") =&gt;</t>
  </si>
  <si>
    <t xml:space="preserve">  when (x"00000012") =&gt;</t>
  </si>
  <si>
    <t xml:space="preserve">  when (x"00000013") =&gt;</t>
  </si>
  <si>
    <t xml:space="preserve">  when (x"00000010") =&gt;</t>
  </si>
  <si>
    <t xml:space="preserve">  when (x"00000011") =&gt;</t>
  </si>
  <si>
    <t xml:space="preserve">  when (x"00000015") =&gt;</t>
  </si>
  <si>
    <t xml:space="preserve">  when (x"00000016") =&gt;</t>
  </si>
  <si>
    <t xml:space="preserve">  when (x"00000017") =&gt;</t>
  </si>
  <si>
    <t xml:space="preserve">  when (x"00000014") =&gt;</t>
  </si>
  <si>
    <t xml:space="preserve">  when (x"00000018") =&gt;</t>
  </si>
  <si>
    <t xml:space="preserve">  when (x"00000019") =&gt;</t>
  </si>
  <si>
    <t xml:space="preserve">  when (x"0000001A") =&gt;</t>
  </si>
  <si>
    <t xml:space="preserve">  when (x"0000001B") =&gt;</t>
  </si>
  <si>
    <t xml:space="preserve">  when (x"0000001C") =&gt;</t>
  </si>
  <si>
    <t xml:space="preserve">  when (x"0000001D") =&gt;</t>
  </si>
  <si>
    <t xml:space="preserve">  when (x"0000001E") =&gt;</t>
  </si>
  <si>
    <t xml:space="preserve">  when (x"0000001F") =&gt;</t>
  </si>
  <si>
    <t xml:space="preserve">  when (x"00000022") =&gt;</t>
  </si>
  <si>
    <t xml:space="preserve">  when (x"00000023") =&gt;</t>
  </si>
  <si>
    <t xml:space="preserve">  when (x"00000021") =&gt;</t>
  </si>
  <si>
    <t xml:space="preserve">  when (x"00000020") =&gt;</t>
  </si>
  <si>
    <t xml:space="preserve">  when (x"00000024") =&gt;</t>
  </si>
  <si>
    <t xml:space="preserve">  when (x"00000025") =&gt;</t>
  </si>
  <si>
    <t xml:space="preserve">  when (x"00000026") =&gt;</t>
  </si>
  <si>
    <t xml:space="preserve">  when (x"00000027") =&gt;</t>
  </si>
  <si>
    <t xml:space="preserve">  when (x"00000028") =&gt;</t>
  </si>
  <si>
    <t xml:space="preserve">  when (x"00000029") =&gt;</t>
  </si>
  <si>
    <t xml:space="preserve">  when (x"0000002A") =&gt;</t>
  </si>
  <si>
    <t xml:space="preserve">  when (x"0000002B") =&gt;</t>
  </si>
  <si>
    <t xml:space="preserve">  when (x"0000002E") =&gt;</t>
  </si>
  <si>
    <t xml:space="preserve">  when (x"0000002F") =&gt;</t>
  </si>
  <si>
    <t xml:space="preserve">  when (x"0000002D") =&gt;</t>
  </si>
  <si>
    <t xml:space="preserve">  when (x"0000002C") =&gt;</t>
  </si>
  <si>
    <t xml:space="preserve">  when (x"00000030") =&gt;</t>
  </si>
  <si>
    <t xml:space="preserve">  when (x"00000031") =&gt;</t>
  </si>
  <si>
    <t xml:space="preserve">  when (x"00000032") =&gt;</t>
  </si>
  <si>
    <t xml:space="preserve">  when (x"00000033") =&gt;</t>
  </si>
  <si>
    <t xml:space="preserve">  when (x"00000034") =&gt;</t>
  </si>
  <si>
    <t xml:space="preserve">  when (x"00000035") =&gt;</t>
  </si>
  <si>
    <t xml:space="preserve">  when (x"00000036") =&gt;</t>
  </si>
  <si>
    <t xml:space="preserve">  when (x"00000037") =&gt;</t>
  </si>
  <si>
    <t xml:space="preserve">  when (x"0000003A") =&gt;</t>
  </si>
  <si>
    <t xml:space="preserve">  when (x"0000003B") =&gt;</t>
  </si>
  <si>
    <t xml:space="preserve">  when (x"00000039") =&gt;</t>
  </si>
  <si>
    <t xml:space="preserve">  when (x"00000038") =&gt;</t>
  </si>
  <si>
    <t xml:space="preserve">  when (x"0000003C") =&gt;</t>
  </si>
  <si>
    <t xml:space="preserve">  when (x"0000003D") =&gt;</t>
  </si>
  <si>
    <t xml:space="preserve">  when (x"0000003E") =&gt;</t>
  </si>
  <si>
    <t xml:space="preserve">  when (x"0000003F") =&gt;</t>
  </si>
  <si>
    <t xml:space="preserve">  when (x"00000040") =&gt;</t>
  </si>
  <si>
    <t xml:space="preserve">  when (x"00000041") =&gt;</t>
  </si>
  <si>
    <t xml:space="preserve">  when (x"00000042") =&gt;</t>
  </si>
  <si>
    <t xml:space="preserve">  when (x"00000043") =&gt;</t>
  </si>
  <si>
    <t xml:space="preserve">  when (x"00000046") =&gt;</t>
  </si>
  <si>
    <t xml:space="preserve">  when (x"00000047") =&gt;</t>
  </si>
  <si>
    <t xml:space="preserve">  when (x"00000045") =&gt;</t>
  </si>
  <si>
    <t xml:space="preserve">  when (x"00000044") =&gt;</t>
  </si>
  <si>
    <t xml:space="preserve">  when (x"0000004A") =&gt;</t>
  </si>
  <si>
    <t xml:space="preserve">  when (x"0000004B") =&gt;</t>
  </si>
  <si>
    <t xml:space="preserve">  when (x"00000049") =&gt;</t>
  </si>
  <si>
    <t xml:space="preserve">  when (x"00000048") =&gt;</t>
  </si>
  <si>
    <t xml:space="preserve">  when (x"0000004F") =&gt;</t>
  </si>
  <si>
    <t xml:space="preserve">  when (x"0000004E") =&gt;</t>
  </si>
  <si>
    <t xml:space="preserve">  when (x"0000004C") =&gt;</t>
  </si>
  <si>
    <t xml:space="preserve">  when (x"0000004D") =&gt;</t>
  </si>
  <si>
    <t xml:space="preserve">  when (x"00000053") =&gt;</t>
  </si>
  <si>
    <t xml:space="preserve">  when (x"00000051") =&gt;</t>
  </si>
  <si>
    <t xml:space="preserve">  when (x"00000052") =&gt;</t>
  </si>
  <si>
    <t xml:space="preserve">  when (x"00000050") =&gt;</t>
  </si>
  <si>
    <t xml:space="preserve">  when (x"00000056") =&gt;</t>
  </si>
  <si>
    <t xml:space="preserve">  when (x"00000057") =&gt;</t>
  </si>
  <si>
    <t xml:space="preserve">  when (x"00000055") =&gt;</t>
  </si>
  <si>
    <t xml:space="preserve">  when (x"00000054") =&gt;</t>
  </si>
  <si>
    <t xml:space="preserve">  when (x"00000058") =&gt;</t>
  </si>
  <si>
    <t xml:space="preserve">  when (x"00000059") =&gt;</t>
  </si>
  <si>
    <t xml:space="preserve">  when (x"0000005A") =&gt;</t>
  </si>
  <si>
    <t xml:space="preserve">  when (x"0000005B") =&gt;</t>
  </si>
  <si>
    <t xml:space="preserve">  when (x"0000005C") =&gt;</t>
  </si>
  <si>
    <t xml:space="preserve">  when (x"0000005D") =&gt;</t>
  </si>
  <si>
    <t xml:space="preserve">  when (x"0000005E") =&gt;</t>
  </si>
  <si>
    <t xml:space="preserve">  when (x"0000005F") =&gt;</t>
  </si>
  <si>
    <t>rd_addr_i(31 downto 0)</t>
  </si>
  <si>
    <t>case (rd_addr_i(31 downto 0)) is</t>
  </si>
  <si>
    <t>-- MemArea Data Read</t>
  </si>
  <si>
    <t xml:space="preserve">  when (x"00000701") =&gt;</t>
  </si>
  <si>
    <t xml:space="preserve">  when (x"00000700") =&gt;</t>
  </si>
  <si>
    <t xml:space="preserve">  when (x"00000703") =&gt;</t>
  </si>
  <si>
    <t xml:space="preserve">  when (x"00000702") =&gt;</t>
  </si>
  <si>
    <t xml:space="preserve">  when (x"00000705") =&gt;</t>
  </si>
  <si>
    <t xml:space="preserve">  when (x"00000704") =&gt;</t>
  </si>
  <si>
    <t xml:space="preserve">  when (x"00000707") =&gt;</t>
  </si>
  <si>
    <t xml:space="preserve">  when (x"00000706") =&gt;</t>
  </si>
  <si>
    <t xml:space="preserve">  when (x"00000709") =&gt;</t>
  </si>
  <si>
    <t xml:space="preserve">  when (x"00000708") =&gt;</t>
  </si>
  <si>
    <t xml:space="preserve">  when (x"0000070B") =&gt;</t>
  </si>
  <si>
    <t xml:space="preserve">  when (x"0000070A") =&gt;</t>
  </si>
  <si>
    <t xml:space="preserve">  when (x"0000070D") =&gt;</t>
  </si>
  <si>
    <t xml:space="preserve">  when (x"0000070C") =&gt;</t>
  </si>
  <si>
    <t xml:space="preserve">  when (x"0000070F") =&gt;</t>
  </si>
  <si>
    <t xml:space="preserve">  when (x"0000070E") =&gt;</t>
  </si>
  <si>
    <t xml:space="preserve">  when (x"00000711") =&gt;</t>
  </si>
  <si>
    <t xml:space="preserve">  when (x"00000710") =&gt;</t>
  </si>
  <si>
    <t xml:space="preserve">  when (x"00000713") =&gt;</t>
  </si>
  <si>
    <t xml:space="preserve">  when (x"00000712") =&gt;</t>
  </si>
  <si>
    <t xml:space="preserve">  when (x"00000715") =&gt;</t>
  </si>
  <si>
    <t xml:space="preserve">  when (x"00000714") =&gt;</t>
  </si>
  <si>
    <t xml:space="preserve">  when (x"00000717") =&gt;</t>
  </si>
  <si>
    <t xml:space="preserve">  when (x"00000716") =&gt;</t>
  </si>
  <si>
    <t xml:space="preserve">  when (x"00000719") =&gt;</t>
  </si>
  <si>
    <t xml:space="preserve">  when (x"00000718") =&gt;</t>
  </si>
  <si>
    <t xml:space="preserve">  when (x"0000071B") =&gt;</t>
  </si>
  <si>
    <t xml:space="preserve">  when (x"0000071A") =&gt;</t>
  </si>
  <si>
    <t xml:space="preserve">  when (x"0000071D") =&gt;</t>
  </si>
  <si>
    <t xml:space="preserve">  when (x"0000071C") =&gt;</t>
  </si>
  <si>
    <t xml:space="preserve">  when (x"0000071F") =&gt;</t>
  </si>
  <si>
    <t xml:space="preserve">  when (x"0000071E") =&gt;</t>
  </si>
  <si>
    <t xml:space="preserve">  when (x"00000721") =&gt;</t>
  </si>
  <si>
    <t xml:space="preserve">  when (x"00000720") =&gt;</t>
  </si>
  <si>
    <t xml:space="preserve">  when (x"00000723") =&gt;</t>
  </si>
  <si>
    <t xml:space="preserve">  when (x"00000722") =&gt;</t>
  </si>
  <si>
    <t xml:space="preserve">  when (x"00000725") =&gt;</t>
  </si>
  <si>
    <t xml:space="preserve">  when (x"00000724") =&gt;</t>
  </si>
  <si>
    <t xml:space="preserve">  when (x"00000727") =&gt;</t>
  </si>
  <si>
    <t xml:space="preserve">  when (x"00000726") =&gt;</t>
  </si>
  <si>
    <t xml:space="preserve">  when (x"00000729") =&gt;</t>
  </si>
  <si>
    <t xml:space="preserve">  when (x"00000728") =&gt;</t>
  </si>
  <si>
    <t xml:space="preserve">  when (x"0000072B") =&gt;</t>
  </si>
  <si>
    <t xml:space="preserve">  when (x"0000072A") =&gt;</t>
  </si>
  <si>
    <t xml:space="preserve">  when (x"0000072D") =&gt;</t>
  </si>
  <si>
    <t xml:space="preserve">  when (x"0000072C") =&gt;</t>
  </si>
  <si>
    <t xml:space="preserve">  when (x"0000072F") =&gt;</t>
  </si>
  <si>
    <t xml:space="preserve">  when (x"0000072E") =&gt;</t>
  </si>
  <si>
    <t xml:space="preserve">  when (x"00000731") =&gt;</t>
  </si>
  <si>
    <t xml:space="preserve">  when (x"00000730") =&gt;</t>
  </si>
  <si>
    <t xml:space="preserve">  when (x"00000733") =&gt;</t>
  </si>
  <si>
    <t xml:space="preserve">  when (x"00000732") =&gt;</t>
  </si>
  <si>
    <t xml:space="preserve">  when (x"00000735") =&gt;</t>
  </si>
  <si>
    <t xml:space="preserve">  when (x"00000734") =&gt;</t>
  </si>
  <si>
    <t xml:space="preserve">  when (x"00000737") =&gt;</t>
  </si>
  <si>
    <t xml:space="preserve">  when (x"00000736") =&gt;</t>
  </si>
  <si>
    <t xml:space="preserve">  when (x"00000739") =&gt;</t>
  </si>
  <si>
    <t xml:space="preserve">  when (x"00000738") =&gt;</t>
  </si>
  <si>
    <t xml:space="preserve">  when (x"0000073B") =&gt;</t>
  </si>
  <si>
    <t xml:space="preserve">  when (x"0000073A") =&gt;</t>
  </si>
  <si>
    <t xml:space="preserve">  when (x"0000073D") =&gt;</t>
  </si>
  <si>
    <t xml:space="preserve">  when (x"0000073C") =&gt;</t>
  </si>
  <si>
    <t xml:space="preserve">  when (x"0000073F") =&gt;</t>
  </si>
  <si>
    <t xml:space="preserve">  when (x"0000073E") =&gt;</t>
  </si>
  <si>
    <t xml:space="preserve">  when (x"00000741") =&gt;</t>
  </si>
  <si>
    <t xml:space="preserve">  when (x"00000740") =&gt;</t>
  </si>
  <si>
    <t xml:space="preserve">  when (x"00000743") =&gt;</t>
  </si>
  <si>
    <t xml:space="preserve">  when (x"00000742") =&gt;</t>
  </si>
  <si>
    <t xml:space="preserve">  when (x"00000745") =&gt;</t>
  </si>
  <si>
    <t xml:space="preserve">  when (x"00000744") =&gt;</t>
  </si>
  <si>
    <t xml:space="preserve">  when (x"00000747") =&gt;</t>
  </si>
  <si>
    <t xml:space="preserve">  when (x"00000746") =&gt;</t>
  </si>
  <si>
    <t xml:space="preserve">  when (x"00000749") =&gt;</t>
  </si>
  <si>
    <t xml:space="preserve">  when (x"00000748") =&gt;</t>
  </si>
  <si>
    <t xml:space="preserve">  when (x"0000074B") =&gt;</t>
  </si>
  <si>
    <t xml:space="preserve">  when (x"0000074A") =&gt;</t>
  </si>
  <si>
    <t xml:space="preserve">  when (x"0000074D") =&gt;</t>
  </si>
  <si>
    <t xml:space="preserve">  when (x"0000074C") =&gt;</t>
  </si>
  <si>
    <t xml:space="preserve">  when (x"0000074F") =&gt;</t>
  </si>
  <si>
    <t xml:space="preserve">  when (x"0000074E") =&gt;</t>
  </si>
  <si>
    <t xml:space="preserve">  when (x"00000751") =&gt;</t>
  </si>
  <si>
    <t xml:space="preserve">  when (x"00000750") =&gt;</t>
  </si>
  <si>
    <t xml:space="preserve">  when (x"00000753") =&gt;</t>
  </si>
  <si>
    <t xml:space="preserve">  when (x"00000752") =&gt;</t>
  </si>
  <si>
    <t xml:space="preserve">  when (x"00000755") =&gt;</t>
  </si>
  <si>
    <t xml:space="preserve">  when (x"00000754") =&gt;</t>
  </si>
  <si>
    <t xml:space="preserve">  when (x"00000757") =&gt;</t>
  </si>
  <si>
    <t xml:space="preserve">  when (x"00000756") =&gt;</t>
  </si>
  <si>
    <t xml:space="preserve">  when (x"00000759") =&gt;</t>
  </si>
  <si>
    <t xml:space="preserve">  when (x"00000758") =&gt;</t>
  </si>
  <si>
    <t xml:space="preserve">  when (x"0000075B") =&gt;</t>
  </si>
  <si>
    <t xml:space="preserve">  when (x"0000075A") =&gt;</t>
  </si>
  <si>
    <t xml:space="preserve">  when (x"0000075D") =&gt;</t>
  </si>
  <si>
    <t xml:space="preserve">  when (x"0000075C") =&gt;</t>
  </si>
  <si>
    <t xml:space="preserve">  when (x"0000075F") =&gt;</t>
  </si>
  <si>
    <t xml:space="preserve">  when (x"0000075E") =&gt;</t>
  </si>
  <si>
    <t xml:space="preserve">  when (x"00000761") =&gt;</t>
  </si>
  <si>
    <t xml:space="preserve">  when (x"00000760") =&gt;</t>
  </si>
  <si>
    <t xml:space="preserve">  when (x"00000763") =&gt;</t>
  </si>
  <si>
    <t xml:space="preserve">  when (x"00000762") =&gt;</t>
  </si>
  <si>
    <t xml:space="preserve">  when (x"00000765") =&gt;</t>
  </si>
  <si>
    <t xml:space="preserve">  when (x"00000764") =&gt;</t>
  </si>
  <si>
    <t xml:space="preserve">  when (x"00000767") =&gt;</t>
  </si>
  <si>
    <t xml:space="preserve">  when (x"00000766") =&gt;</t>
  </si>
  <si>
    <t xml:space="preserve">  when (x"00000769") =&gt;</t>
  </si>
  <si>
    <t xml:space="preserve">  when (x"00000768") =&gt;</t>
  </si>
  <si>
    <t xml:space="preserve">  when (x"0000076B") =&gt;</t>
  </si>
  <si>
    <t xml:space="preserve">  when (x"0000076A") =&gt;</t>
  </si>
  <si>
    <t xml:space="preserve">  when (x"0000076D") =&gt;</t>
  </si>
  <si>
    <t xml:space="preserve">  when (x"0000076C") =&gt;</t>
  </si>
  <si>
    <t xml:space="preserve">  when (x"0000076F") =&gt;</t>
  </si>
  <si>
    <t xml:space="preserve">  when (x"0000076E") =&gt;</t>
  </si>
  <si>
    <t xml:space="preserve">  when (x"00000771") =&gt;</t>
  </si>
  <si>
    <t xml:space="preserve">  when (x"00000770") =&gt;</t>
  </si>
  <si>
    <t xml:space="preserve">  when (x"00000773") =&gt;</t>
  </si>
  <si>
    <t xml:space="preserve">  when (x"00000772") =&gt;</t>
  </si>
  <si>
    <t xml:space="preserve">  when (x"00000775") =&gt;</t>
  </si>
  <si>
    <t xml:space="preserve">  when (x"00000774") =&gt;</t>
  </si>
  <si>
    <t xml:space="preserve">  when (x"00000777") =&gt;</t>
  </si>
  <si>
    <t xml:space="preserve">  when (x"00000776") =&gt;</t>
  </si>
  <si>
    <t xml:space="preserve">  when (x"00000779") =&gt;</t>
  </si>
  <si>
    <t xml:space="preserve">  when (x"00000778") =&gt;</t>
  </si>
  <si>
    <t xml:space="preserve">  when (x"0000077B") =&gt;</t>
  </si>
  <si>
    <t xml:space="preserve">  when (x"0000077A") =&gt;</t>
  </si>
  <si>
    <t xml:space="preserve">  when (x"0000077D") =&gt;</t>
  </si>
  <si>
    <t xml:space="preserve">  when (x"0000077C") =&gt;</t>
  </si>
  <si>
    <t xml:space="preserve">  when (x"0000077F") =&gt;</t>
  </si>
  <si>
    <t xml:space="preserve">  when (x"0000077E") =&gt;</t>
  </si>
  <si>
    <t xml:space="preserve">  when (x"00000781") =&gt;</t>
  </si>
  <si>
    <t xml:space="preserve">  when (x"00000782") =&gt;</t>
  </si>
  <si>
    <t xml:space="preserve">  when (x"00000783") =&gt;</t>
  </si>
  <si>
    <t xml:space="preserve">  when (x"00000780") =&gt;</t>
  </si>
  <si>
    <t xml:space="preserve">  when (x"00000785") =&gt;</t>
  </si>
  <si>
    <t xml:space="preserve">  when (x"00000784") =&gt;</t>
  </si>
  <si>
    <t xml:space="preserve">  when (x"00000787") =&gt;</t>
  </si>
  <si>
    <t xml:space="preserve">  when (x"00000786") =&gt;</t>
  </si>
  <si>
    <t xml:space="preserve">  when (x"0000078B") =&gt;</t>
  </si>
  <si>
    <t xml:space="preserve">  when (x"0000078A") =&gt;</t>
  </si>
  <si>
    <t xml:space="preserve">  when (x"00000789") =&gt;</t>
  </si>
  <si>
    <t xml:space="preserve">  when (x"00000788") =&gt;</t>
  </si>
  <si>
    <t xml:space="preserve">  when (x"0000078F") =&gt;</t>
  </si>
  <si>
    <t xml:space="preserve">  when (x"0000078E") =&gt;</t>
  </si>
  <si>
    <t xml:space="preserve">  when (x"0000078D") =&gt;</t>
  </si>
  <si>
    <t xml:space="preserve">  when (x"0000078C") =&gt;</t>
  </si>
  <si>
    <t>t_reg_0_hk_wr_reg</t>
  </si>
  <si>
    <t>t_reg_1_hk_wr_reg</t>
  </si>
  <si>
    <t>t_reg_2_hk_wr_reg</t>
  </si>
  <si>
    <t>t_reg_3_hk_wr_reg</t>
  </si>
  <si>
    <t>t_reg_4_hk_wr_reg</t>
  </si>
  <si>
    <t>t_reg_5_hk_wr_reg</t>
  </si>
  <si>
    <t>t_reg_6_hk_wr_reg</t>
  </si>
  <si>
    <t>t_reg_7_hk_wr_reg</t>
  </si>
  <si>
    <t>t_reg_8_hk_wr_reg</t>
  </si>
  <si>
    <t>t_reg_9_hk_wr_reg</t>
  </si>
  <si>
    <t>t_reg_10_hk_wr_reg</t>
  </si>
  <si>
    <t>t_reg_11_hk_wr_reg</t>
  </si>
  <si>
    <t>t_reg_12_hk_wr_reg</t>
  </si>
  <si>
    <t>t_reg_13_hk_wr_reg</t>
  </si>
  <si>
    <t>t_reg_14_hk_wr_reg</t>
  </si>
  <si>
    <t>t_reg_15_hk_wr_reg</t>
  </si>
  <si>
    <t>t_reg_16_hk_wr_reg</t>
  </si>
  <si>
    <t>t_reg_17_hk_wr_reg</t>
  </si>
  <si>
    <t>t_reg_18_hk_wr_reg</t>
  </si>
  <si>
    <t>t_reg_19_hk_wr_reg</t>
  </si>
  <si>
    <t>t_reg_20_hk_wr_reg</t>
  </si>
  <si>
    <t>t_reg_21_hk_wr_reg</t>
  </si>
  <si>
    <t>t_reg_22_hk_wr_reg</t>
  </si>
  <si>
    <t>t_reg_23_hk_wr_reg</t>
  </si>
  <si>
    <t>t_reg_24_hk_wr_reg</t>
  </si>
  <si>
    <t>t_reg_25_hk_wr_reg</t>
  </si>
  <si>
    <t>t_reg_26_hk_wr_reg</t>
  </si>
  <si>
    <t>t_reg_27_hk_wr_reg</t>
  </si>
  <si>
    <t>t_reg_28_hk_wr_reg</t>
  </si>
  <si>
    <t>t_reg_29_hk_wr_reg</t>
  </si>
  <si>
    <t>t_reg_30_hk_wr_reg</t>
  </si>
  <si>
    <t>t_reg_31_hk_wr_reg</t>
  </si>
  <si>
    <t>t_reg_32_hk_wr_reg</t>
  </si>
  <si>
    <t>t_reg_33_hk_wr_reg</t>
  </si>
  <si>
    <t>t_reg_34_hk_wr_reg</t>
  </si>
  <si>
    <t>t_reg_35_hk_wr_reg</t>
  </si>
  <si>
    <t>d5vb_pos_mon</t>
  </si>
  <si>
    <t>d5vb_neg_mon</t>
  </si>
  <si>
    <t>d3v3b_mon</t>
  </si>
  <si>
    <t>d2v5a_mon</t>
  </si>
  <si>
    <t>d3v3d_mon</t>
  </si>
  <si>
    <t>d2v5d_mon</t>
  </si>
  <si>
    <t>d1v5d_mon</t>
  </si>
  <si>
    <t>d5vref_mon</t>
  </si>
  <si>
    <t>rmap_registers_wr_o</t>
  </si>
  <si>
    <t>rmap_registers_rd_i</t>
  </si>
  <si>
    <t>rmap_registers_wr_i</t>
  </si>
  <si>
    <t>std_logic_vector(to_unsigned(6250, 16))</t>
  </si>
  <si>
    <t>trap_pumping_dwell_counter</t>
  </si>
  <si>
    <t>std_logic_vector(to_unsigned(250000, 20))</t>
  </si>
  <si>
    <t>Trap Pumping Dwell Counter Field</t>
  </si>
  <si>
    <t>DG (Drain Gate) Enable Field</t>
  </si>
  <si>
    <t>dg_en</t>
  </si>
  <si>
    <t>reg_21_config_reserved_1</t>
  </si>
  <si>
    <t>reg_21_config_reserved_0</t>
  </si>
  <si>
    <t>ccd1_last_e_packet</t>
  </si>
  <si>
    <t>ccd1_last_f_packet</t>
  </si>
  <si>
    <t>ccd2_last_e_packet</t>
  </si>
  <si>
    <t>ccd2_last_f_packet</t>
  </si>
  <si>
    <t>ccd3_last_e_packet</t>
  </si>
  <si>
    <t>ccd3_last_f_packet</t>
  </si>
  <si>
    <t>reg_24_config_reserved</t>
  </si>
  <si>
    <t>ccd4_last_e_packet</t>
  </si>
  <si>
    <t>ccd4_last_f_packet</t>
  </si>
  <si>
    <t>surface_inversion_counter</t>
  </si>
  <si>
    <t>reg_25_config_reserved</t>
  </si>
  <si>
    <t>std_logic_vector(to_unsigned(0, 10))</t>
  </si>
  <si>
    <t>std_logic_vector(to_unsigned(0, 2))</t>
  </si>
  <si>
    <t>std_logic_vector(to_unsigned(100, 10))</t>
  </si>
  <si>
    <t>CCD 1 Last E Packet Field</t>
  </si>
  <si>
    <t>CCD 1 Last F Packet Field</t>
  </si>
  <si>
    <t>CCD 2 Last E Packet Field</t>
  </si>
  <si>
    <t>CCD 2 Last F Packet Field</t>
  </si>
  <si>
    <t>CCD 3 Last E Packet Field</t>
  </si>
  <si>
    <t>CCD 3 Last F Packet Field</t>
  </si>
  <si>
    <t>CCD 4 Last E Packet Field</t>
  </si>
  <si>
    <t>CCD 4 Last F Packet Field</t>
  </si>
  <si>
    <t>Surface Inversion Counter Field</t>
  </si>
  <si>
    <t>Register 24 Configuration Reserved</t>
  </si>
  <si>
    <t>Register 25 Configuration Reserved</t>
  </si>
  <si>
    <t>reg_24_config</t>
  </si>
  <si>
    <t>reg_25_config</t>
  </si>
  <si>
    <t>t_reg_24_config_wr_reg</t>
  </si>
  <si>
    <t>t_reg_25_config_wr_reg</t>
  </si>
  <si>
    <t>RMAP Area Config Register 24</t>
  </si>
  <si>
    <t>RMAP Area Config Register 25</t>
  </si>
  <si>
    <t>RMAP Area Config Register 26</t>
  </si>
  <si>
    <t>reg_26_config</t>
  </si>
  <si>
    <t>t_reg_26_config_wr_reg</t>
  </si>
  <si>
    <t>readout_pause_counter</t>
  </si>
  <si>
    <t>trap_pumping_shuffle_counter</t>
  </si>
  <si>
    <t>std_logic_vector(to_unsigned(1000, 16))</t>
  </si>
  <si>
    <t>Error Flags : Invalid CCD Mode</t>
  </si>
  <si>
    <t>error_flags_invalid_ccd_mode</t>
  </si>
  <si>
    <t>FPGA Minor Version Field</t>
  </si>
  <si>
    <t>FPGA Major Version Field</t>
  </si>
  <si>
    <t>Board ID Field</t>
  </si>
  <si>
    <t>fpga_minor_version</t>
  </si>
  <si>
    <t>fpga_major_version</t>
  </si>
  <si>
    <t>board_id</t>
  </si>
  <si>
    <t>Readout Pause Counter Field</t>
  </si>
  <si>
    <t>Trap Pumping Shuffle Counter Field</t>
  </si>
  <si>
    <t xml:space="preserve">      -- RMAP Area Config Register 5 : Trap Pumping Dwell Counter Field</t>
  </si>
  <si>
    <t xml:space="preserve">      -- RMAP Area Config Register 5 : DG (Drain Gate) Enable Field</t>
  </si>
  <si>
    <t xml:space="preserve">      -- RMAP Area Config Register 23 : CCD 1 Last E Packet Field</t>
  </si>
  <si>
    <t xml:space="preserve">      -- RMAP Area Config Register 23 : CCD 1 Last F Packet Field</t>
  </si>
  <si>
    <t xml:space="preserve">      -- RMAP Area Config Register 23 : CCD 2 Last E Packet Field</t>
  </si>
  <si>
    <t xml:space="preserve">  when (x"00000063") =&gt;</t>
  </si>
  <si>
    <t xml:space="preserve">      -- RMAP Area Config Register 24 : CCD 2 Last F Packet Field</t>
  </si>
  <si>
    <t xml:space="preserve">  when (x"00000062") =&gt;</t>
  </si>
  <si>
    <t xml:space="preserve">      -- RMAP Area Config Register 24 : CCD 3 Last E Packet Field</t>
  </si>
  <si>
    <t xml:space="preserve">  when (x"00000061") =&gt;</t>
  </si>
  <si>
    <t xml:space="preserve">      -- RMAP Area Config Register 24 : CCD 3 Last F Packet Field</t>
  </si>
  <si>
    <t xml:space="preserve">  when (x"00000060") =&gt;</t>
  </si>
  <si>
    <t xml:space="preserve">      -- RMAP Area Config Register 24 : Register 24 Configuration Reserved</t>
  </si>
  <si>
    <t xml:space="preserve">  when (x"00000067") =&gt;</t>
  </si>
  <si>
    <t xml:space="preserve">      -- RMAP Area Config Register 25 : CCD 4 Last E Packet Field</t>
  </si>
  <si>
    <t xml:space="preserve">  when (x"00000066") =&gt;</t>
  </si>
  <si>
    <t xml:space="preserve">      -- RMAP Area Config Register 25 : CCD 4 Last F Packet Field</t>
  </si>
  <si>
    <t xml:space="preserve">  when (x"00000065") =&gt;</t>
  </si>
  <si>
    <t xml:space="preserve">      -- RMAP Area Config Register 25 : Surface Inversion Counter Field</t>
  </si>
  <si>
    <t xml:space="preserve">  when (x"00000064") =&gt;</t>
  </si>
  <si>
    <t xml:space="preserve">      -- RMAP Area Config Register 25 : Register 25 Configuration Reserved</t>
  </si>
  <si>
    <t xml:space="preserve">  when (x"0000006B") =&gt;</t>
  </si>
  <si>
    <t xml:space="preserve">      -- RMAP Area Config Register 26 : Readout Pause Counter Field</t>
  </si>
  <si>
    <t xml:space="preserve">  when (x"0000006A") =&gt;</t>
  </si>
  <si>
    <t xml:space="preserve">  when (x"00000069") =&gt;</t>
  </si>
  <si>
    <t xml:space="preserve">      -- RMAP Area Config Register 26 : Trap Pumping Shuffle Counter Field</t>
  </si>
  <si>
    <t xml:space="preserve">  when (x"00000068") =&gt;</t>
  </si>
  <si>
    <t xml:space="preserve">      -- RMAP Area HK Register 34 : Error Flags : Invalid CCD Mode</t>
  </si>
  <si>
    <t xml:space="preserve">      -- RMAP Area HK Register 35 : FPGA Minor Version Field</t>
  </si>
  <si>
    <t xml:space="preserve">      -- RMAP Area HK Register 35 : FPGA Major Version Field</t>
  </si>
  <si>
    <t xml:space="preserve">      -- RMAP Area HK Register 35 : Board ID Field</t>
  </si>
  <si>
    <t>CCD Readout Order Config Field (1st CCD)</t>
  </si>
  <si>
    <t>CCD Readout Order Config Field (2nd CCD)</t>
  </si>
  <si>
    <t>CCD Readout Order Config Field (3rd CCD)</t>
  </si>
  <si>
    <t>CCD Readout Order Config Field (4th CCD)</t>
  </si>
  <si>
    <t>ccd_readout_order_1st_ccd</t>
  </si>
  <si>
    <t>ccd_readout_order_2nd_ccd</t>
  </si>
  <si>
    <t>std_logic_vector(to_unsigned(1, 2))</t>
  </si>
  <si>
    <t>ccd_readout_order_3rd_ccd</t>
  </si>
  <si>
    <t>std_logic_vector(to_unsigned(2, 2))</t>
  </si>
  <si>
    <t>ccd_readout_order_4th_ccd</t>
  </si>
  <si>
    <t>x"465"</t>
  </si>
  <si>
    <t>x"0FA"</t>
  </si>
  <si>
    <t xml:space="preserve">      -- RMAP Area Config Register 2 : CCD Readout Order Config Field (1st CCD)</t>
  </si>
  <si>
    <t xml:space="preserve">      -- RMAP Area Config Register 2 : CCD Readout Order Config Field (2nd CCD)</t>
  </si>
  <si>
    <t xml:space="preserve">      -- RMAP Area Config Register 2 : CCD Readout Order Config Field (3rd CCD)</t>
  </si>
  <si>
    <t xml:space="preserve">      -- RMAP Area Config Register 2 : CCD Readout Order Config Field (4th CCD)</t>
  </si>
  <si>
    <t>ccd2_vrd_config0</t>
  </si>
  <si>
    <t>ccd2_vrd_config1</t>
  </si>
  <si>
    <t>ccd_vgd_config0</t>
  </si>
  <si>
    <t>ccd_vgd_config1</t>
  </si>
  <si>
    <t>t_rmap_memory_wr_area</t>
  </si>
  <si>
    <t>t_rmap_memory_rd_area</t>
  </si>
  <si>
    <t>std_logic_vector(to_unsigned(4540, 16))</t>
  </si>
  <si>
    <t>fee_rmap_i.writedata</t>
  </si>
  <si>
    <t xml:space="preserve">      rmap_registers_wr_o.reg_0_config.v_end(15 downto 8) &lt;= fee_rmap_i.writedata;</t>
  </si>
  <si>
    <t xml:space="preserve">      rmap_registers_wr_o.reg_0_config.v_end(7 downto 0) &lt;= fee_rmap_i.writedata;</t>
  </si>
  <si>
    <t xml:space="preserve">      rmap_registers_wr_o.reg_0_config.v_start(15 downto 8) &lt;= fee_rmap_i.writedata;</t>
  </si>
  <si>
    <t xml:space="preserve">      rmap_registers_wr_o.reg_0_config.v_start(7 downto 0) &lt;= fee_rmap_i.writedata;</t>
  </si>
  <si>
    <t xml:space="preserve">      rmap_registers_wr_o.reg_1_config.charge_injection_gap(15 downto 8) &lt;= fee_rmap_i.writedata;</t>
  </si>
  <si>
    <t xml:space="preserve">      rmap_registers_wr_o.reg_1_config.charge_injection_gap(7 downto 0) &lt;= fee_rmap_i.writedata;</t>
  </si>
  <si>
    <t xml:space="preserve">      rmap_registers_wr_o.reg_1_config.charge_injection_width(15 downto 8) &lt;= fee_rmap_i.writedata;</t>
  </si>
  <si>
    <t xml:space="preserve">      rmap_registers_wr_o.reg_1_config.charge_injection_width(7 downto 0) &lt;= fee_rmap_i.writedata;</t>
  </si>
  <si>
    <t xml:space="preserve">      rmap_registers_wr_o.reg_2_config.ccd_readout_order_1st_ccd &lt;= fee_rmap_i.writedata(1 downto 0);</t>
  </si>
  <si>
    <t xml:space="preserve">      rmap_registers_wr_o.reg_2_config.ccd_readout_order_2nd_ccd &lt;= fee_rmap_i.writedata(3 downto 2);</t>
  </si>
  <si>
    <t xml:space="preserve">      rmap_registers_wr_o.reg_2_config.ccd_readout_order_3rd_ccd &lt;= fee_rmap_i.writedata(5 downto 4);</t>
  </si>
  <si>
    <t xml:space="preserve">      rmap_registers_wr_o.reg_2_config.ccd_readout_order_4th_ccd &lt;= fee_rmap_i.writedata(7 downto 6);</t>
  </si>
  <si>
    <t xml:space="preserve">      rmap_registers_wr_o.reg_2_config.parallel_clk_overlap(11 downto 4) &lt;= fee_rmap_i.writedata;</t>
  </si>
  <si>
    <t xml:space="preserve">      rmap_registers_wr_o.reg_2_config.parallel_toi_period(11 downto 8) &lt;= fee_rmap_i.writedata(3 downto 0);</t>
  </si>
  <si>
    <t xml:space="preserve">      rmap_registers_wr_o.reg_2_config.parallel_clk_overlap(3 downto 0) &lt;= fee_rmap_i.writedata(7 downto 4);</t>
  </si>
  <si>
    <t xml:space="preserve">      rmap_registers_wr_o.reg_2_config.parallel_toi_period(7 downto 0) &lt;= fee_rmap_i.writedata;</t>
  </si>
  <si>
    <t xml:space="preserve">      rmap_registers_wr_o.reg_3_config.h_end(11 downto 8) &lt;= fee_rmap_i.writedata(3 downto 0);</t>
  </si>
  <si>
    <t xml:space="preserve">      rmap_registers_wr_o.reg_3_config.charge_injection_en &lt;= fee_rmap_i.writedata(4);</t>
  </si>
  <si>
    <t xml:space="preserve">      rmap_registers_wr_o.reg_3_config.tri_level_clk_en &lt;= fee_rmap_i.writedata(5);</t>
  </si>
  <si>
    <t xml:space="preserve">      rmap_registers_wr_o.reg_3_config.img_clk_dir &lt;= fee_rmap_i.writedata(6);</t>
  </si>
  <si>
    <t xml:space="preserve">      rmap_registers_wr_o.reg_3_config.reg_clk_dir &lt;= fee_rmap_i.writedata(7);</t>
  </si>
  <si>
    <t xml:space="preserve">      rmap_registers_wr_o.reg_3_config.h_end(7 downto 0) &lt;= fee_rmap_i.writedata;</t>
  </si>
  <si>
    <t xml:space="preserve">      rmap_registers_wr_o.reg_3_config.n_final_dump(15 downto 8) &lt;= fee_rmap_i.writedata;</t>
  </si>
  <si>
    <t xml:space="preserve">      rmap_registers_wr_o.reg_3_config.n_final_dump(7 downto 0) &lt;= fee_rmap_i.writedata;</t>
  </si>
  <si>
    <t xml:space="preserve">      rmap_registers_wr_o.reg_4_config.int_sync_period(15 downto 8) &lt;= fee_rmap_i.writedata;</t>
  </si>
  <si>
    <t xml:space="preserve">      rmap_registers_wr_o.reg_4_config.int_sync_period(7 downto 0) &lt;= fee_rmap_i.writedata;</t>
  </si>
  <si>
    <t xml:space="preserve">      rmap_registers_wr_o.reg_4_config.packet_size(15 downto 8) &lt;= fee_rmap_i.writedata;</t>
  </si>
  <si>
    <t xml:space="preserve">      rmap_registers_wr_o.reg_4_config.packet_size(7 downto 0) &lt;= fee_rmap_i.writedata;</t>
  </si>
  <si>
    <t xml:space="preserve">      rmap_registers_wr_o.reg_5_config.dg_en &lt;= fee_rmap_i.writedata(0);</t>
  </si>
  <si>
    <t xml:space="preserve">      rmap_registers_wr_o.reg_5_config.trap_pumping_dwell_counter(19 downto 16) &lt;= fee_rmap_i.writedata(3 downto 0);</t>
  </si>
  <si>
    <t xml:space="preserve">      rmap_registers_wr_o.reg_5_config.sync_sel &lt;= fee_rmap_i.writedata(4);</t>
  </si>
  <si>
    <t xml:space="preserve">      rmap_registers_wr_o.reg_5_config.sensor_sel &lt;= fee_rmap_i.writedata(6 downto 5);</t>
  </si>
  <si>
    <t xml:space="preserve">      rmap_registers_wr_o.reg_5_config.digitise_en &lt;= fee_rmap_i.writedata(7);</t>
  </si>
  <si>
    <t xml:space="preserve">      rmap_registers_wr_o.reg_5_config.trap_pumping_dwell_counter(15 downto 8) &lt;= fee_rmap_i.writedata;</t>
  </si>
  <si>
    <t xml:space="preserve">      rmap_registers_wr_o.reg_5_config.trap_pumping_dwell_counter(7 downto 0) &lt;= fee_rmap_i.writedata;</t>
  </si>
  <si>
    <t xml:space="preserve">      rmap_registers_wr_o.reg_6_config.ccd1_win_list_ptr(31 downto 24) &lt;= fee_rmap_i.writedata;</t>
  </si>
  <si>
    <t xml:space="preserve">      rmap_registers_wr_o.reg_6_config.ccd1_win_list_ptr(23 downto 16) &lt;= fee_rmap_i.writedata;</t>
  </si>
  <si>
    <t xml:space="preserve">      rmap_registers_wr_o.reg_6_config.ccd1_win_list_ptr(15 downto 8) &lt;= fee_rmap_i.writedata;</t>
  </si>
  <si>
    <t xml:space="preserve">      rmap_registers_wr_o.reg_6_config.ccd1_win_list_ptr(7 downto 0) &lt;= fee_rmap_i.writedata;</t>
  </si>
  <si>
    <t xml:space="preserve">      rmap_registers_wr_o.reg_7_config.ccd1_pktorder_list_ptr(31 downto 24) &lt;= fee_rmap_i.writedata;</t>
  </si>
  <si>
    <t xml:space="preserve">      rmap_registers_wr_o.reg_7_config.ccd1_pktorder_list_ptr(23 downto 16) &lt;= fee_rmap_i.writedata;</t>
  </si>
  <si>
    <t xml:space="preserve">      rmap_registers_wr_o.reg_7_config.ccd1_pktorder_list_ptr(15 downto 8) &lt;= fee_rmap_i.writedata;</t>
  </si>
  <si>
    <t xml:space="preserve">      rmap_registers_wr_o.reg_7_config.ccd1_pktorder_list_ptr(7 downto 0) &lt;= fee_rmap_i.writedata;</t>
  </si>
  <si>
    <t xml:space="preserve">      rmap_registers_wr_o.reg_8_config.ccd1_win_size_y(5 downto 2) &lt;= fee_rmap_i.writedata(3 downto 0);</t>
  </si>
  <si>
    <t xml:space="preserve">      rmap_registers_wr_o.reg_8_config.reg_8_config_reserved &lt;= fee_rmap_i.writedata(7 downto 4);</t>
  </si>
  <si>
    <t xml:space="preserve">      rmap_registers_wr_o.reg_8_config.ccd1_win_size_x &lt;= fee_rmap_i.writedata(5 downto 0);</t>
  </si>
  <si>
    <t xml:space="preserve">      rmap_registers_wr_o.reg_8_config.ccd1_win_size_y(1 downto 0) &lt;= fee_rmap_i.writedata(7 downto 6);</t>
  </si>
  <si>
    <t xml:space="preserve">      rmap_registers_wr_o.reg_8_config.ccd1_win_list_length(15 downto 8) &lt;= fee_rmap_i.writedata;</t>
  </si>
  <si>
    <t xml:space="preserve">      rmap_registers_wr_o.reg_8_config.ccd1_win_list_length(7 downto 0) &lt;= fee_rmap_i.writedata;</t>
  </si>
  <si>
    <t xml:space="preserve">      rmap_registers_wr_o.reg_9_config.ccd2_win_list_ptr(31 downto 24) &lt;= fee_rmap_i.writedata;</t>
  </si>
  <si>
    <t xml:space="preserve">      rmap_registers_wr_o.reg_9_config.ccd2_win_list_ptr(23 downto 16) &lt;= fee_rmap_i.writedata;</t>
  </si>
  <si>
    <t xml:space="preserve">      rmap_registers_wr_o.reg_9_config.ccd2_win_list_ptr(15 downto 8) &lt;= fee_rmap_i.writedata;</t>
  </si>
  <si>
    <t xml:space="preserve">      rmap_registers_wr_o.reg_9_config.ccd2_win_list_ptr(7 downto 0) &lt;= fee_rmap_i.writedata;</t>
  </si>
  <si>
    <t xml:space="preserve">      rmap_registers_wr_o.reg_10_config.ccd2_pktorder_list_ptr(31 downto 24) &lt;= fee_rmap_i.writedata;</t>
  </si>
  <si>
    <t xml:space="preserve">      rmap_registers_wr_o.reg_10_config.ccd2_pktorder_list_ptr(23 downto 16) &lt;= fee_rmap_i.writedata;</t>
  </si>
  <si>
    <t xml:space="preserve">      rmap_registers_wr_o.reg_10_config.ccd2_pktorder_list_ptr(15 downto 8) &lt;= fee_rmap_i.writedata;</t>
  </si>
  <si>
    <t xml:space="preserve">      rmap_registers_wr_o.reg_10_config.ccd2_pktorder_list_ptr(7 downto 0) &lt;= fee_rmap_i.writedata;</t>
  </si>
  <si>
    <t xml:space="preserve">      rmap_registers_wr_o.reg_11_config.ccd2_win_size_y(5 downto 2) &lt;= fee_rmap_i.writedata(3 downto 0);</t>
  </si>
  <si>
    <t xml:space="preserve">      rmap_registers_wr_o.reg_11_config.reg_11_config_reserved &lt;= fee_rmap_i.writedata(7 downto 4);</t>
  </si>
  <si>
    <t xml:space="preserve">      rmap_registers_wr_o.reg_11_config.ccd2_win_size_x &lt;= fee_rmap_i.writedata(5 downto 0);</t>
  </si>
  <si>
    <t xml:space="preserve">      rmap_registers_wr_o.reg_11_config.ccd2_win_size_y(1 downto 0) &lt;= fee_rmap_i.writedata(7 downto 6);</t>
  </si>
  <si>
    <t xml:space="preserve">      rmap_registers_wr_o.reg_11_config.ccd2_win_list_length(15 downto 8) &lt;= fee_rmap_i.writedata;</t>
  </si>
  <si>
    <t xml:space="preserve">      rmap_registers_wr_o.reg_11_config.ccd2_win_list_length(7 downto 0) &lt;= fee_rmap_i.writedata;</t>
  </si>
  <si>
    <t xml:space="preserve">      rmap_registers_wr_o.reg_12_config.ccd3_win_list_ptr(31 downto 24) &lt;= fee_rmap_i.writedata;</t>
  </si>
  <si>
    <t xml:space="preserve">      rmap_registers_wr_o.reg_12_config.ccd3_win_list_ptr(23 downto 16) &lt;= fee_rmap_i.writedata;</t>
  </si>
  <si>
    <t xml:space="preserve">      rmap_registers_wr_o.reg_12_config.ccd3_win_list_ptr(15 downto 8) &lt;= fee_rmap_i.writedata;</t>
  </si>
  <si>
    <t xml:space="preserve">      rmap_registers_wr_o.reg_12_config.ccd3_win_list_ptr(7 downto 0) &lt;= fee_rmap_i.writedata;</t>
  </si>
  <si>
    <t xml:space="preserve">      rmap_registers_wr_o.reg_13_config.ccd3_pktorder_list_ptr(31 downto 24) &lt;= fee_rmap_i.writedata;</t>
  </si>
  <si>
    <t xml:space="preserve">      rmap_registers_wr_o.reg_13_config.ccd3_pktorder_list_ptr(23 downto 16) &lt;= fee_rmap_i.writedata;</t>
  </si>
  <si>
    <t xml:space="preserve">      rmap_registers_wr_o.reg_13_config.ccd3_pktorder_list_ptr(15 downto 8) &lt;= fee_rmap_i.writedata;</t>
  </si>
  <si>
    <t xml:space="preserve">      rmap_registers_wr_o.reg_13_config.ccd3_pktorder_list_ptr(7 downto 0) &lt;= fee_rmap_i.writedata;</t>
  </si>
  <si>
    <t xml:space="preserve">      rmap_registers_wr_o.reg_14_config.ccd3_win_size_y(5 downto 2) &lt;= fee_rmap_i.writedata(3 downto 0);</t>
  </si>
  <si>
    <t xml:space="preserve">      rmap_registers_wr_o.reg_14_config.reg_14_config_reserved &lt;= fee_rmap_i.writedata(7 downto 4);</t>
  </si>
  <si>
    <t xml:space="preserve">      rmap_registers_wr_o.reg_14_config.ccd3_win_size_x &lt;= fee_rmap_i.writedata(5 downto 0);</t>
  </si>
  <si>
    <t xml:space="preserve">      rmap_registers_wr_o.reg_14_config.ccd3_win_size_y(1 downto 0) &lt;= fee_rmap_i.writedata(7 downto 6);</t>
  </si>
  <si>
    <t xml:space="preserve">      rmap_registers_wr_o.reg_14_config.ccd3_win_list_length(15 downto 8) &lt;= fee_rmap_i.writedata;</t>
  </si>
  <si>
    <t xml:space="preserve">      rmap_registers_wr_o.reg_14_config.ccd3_win_list_length(7 downto 0) &lt;= fee_rmap_i.writedata;</t>
  </si>
  <si>
    <t xml:space="preserve">      rmap_registers_wr_o.reg_15_config.ccd4_win_list_ptr(31 downto 24) &lt;= fee_rmap_i.writedata;</t>
  </si>
  <si>
    <t xml:space="preserve">      rmap_registers_wr_o.reg_15_config.ccd4_win_list_ptr(23 downto 16) &lt;= fee_rmap_i.writedata;</t>
  </si>
  <si>
    <t xml:space="preserve">      rmap_registers_wr_o.reg_15_config.ccd4_win_list_ptr(15 downto 8) &lt;= fee_rmap_i.writedata;</t>
  </si>
  <si>
    <t xml:space="preserve">      rmap_registers_wr_o.reg_15_config.ccd4_win_list_ptr(7 downto 0) &lt;= fee_rmap_i.writedata;</t>
  </si>
  <si>
    <t xml:space="preserve">      rmap_registers_wr_o.reg_16_config.ccd4_pktorder_list_ptr(31 downto 24) &lt;= fee_rmap_i.writedata;</t>
  </si>
  <si>
    <t xml:space="preserve">      rmap_registers_wr_o.reg_16_config.ccd4_pktorder_list_ptr(23 downto 16) &lt;= fee_rmap_i.writedata;</t>
  </si>
  <si>
    <t xml:space="preserve">      rmap_registers_wr_o.reg_16_config.ccd4_pktorder_list_ptr(15 downto 8) &lt;= fee_rmap_i.writedata;</t>
  </si>
  <si>
    <t xml:space="preserve">      rmap_registers_wr_o.reg_16_config.ccd4_pktorder_list_ptr(7 downto 0) &lt;= fee_rmap_i.writedata;</t>
  </si>
  <si>
    <t xml:space="preserve">      rmap_registers_wr_o.reg_17_config.ccd4_win_size_y(5 downto 2) &lt;= fee_rmap_i.writedata(3 downto 0);</t>
  </si>
  <si>
    <t xml:space="preserve">      rmap_registers_wr_o.reg_17_config.reg_17_config_reserved &lt;= fee_rmap_i.writedata(7 downto 4);</t>
  </si>
  <si>
    <t xml:space="preserve">      rmap_registers_wr_o.reg_17_config.ccd4_win_size_x &lt;= fee_rmap_i.writedata(5 downto 0);</t>
  </si>
  <si>
    <t xml:space="preserve">      rmap_registers_wr_o.reg_17_config.ccd4_win_size_y(1 downto 0) &lt;= fee_rmap_i.writedata(7 downto 6);</t>
  </si>
  <si>
    <t xml:space="preserve">      rmap_registers_wr_o.reg_17_config.ccd4_win_list_length(15 downto 8) &lt;= fee_rmap_i.writedata;</t>
  </si>
  <si>
    <t xml:space="preserve">      rmap_registers_wr_o.reg_17_config.ccd4_win_list_length(7 downto 0) &lt;= fee_rmap_i.writedata;</t>
  </si>
  <si>
    <t xml:space="preserve">      rmap_registers_wr_o.reg_18_config.ccd2_vrd_config0 &lt;= fee_rmap_i.writedata;</t>
  </si>
  <si>
    <t xml:space="preserve">      rmap_registers_wr_o.reg_18_config.ccd1_vrd_config(11 downto 4) &lt;= fee_rmap_i.writedata;</t>
  </si>
  <si>
    <t xml:space="preserve">      rmap_registers_wr_o.reg_18_config.ccd_vod_config(11 downto 8) &lt;= fee_rmap_i.writedata(3 downto 0);</t>
  </si>
  <si>
    <t xml:space="preserve">      rmap_registers_wr_o.reg_18_config.ccd1_vrd_config(3 downto 0) &lt;= fee_rmap_i.writedata(7 downto 4);</t>
  </si>
  <si>
    <t xml:space="preserve">      rmap_registers_wr_o.reg_18_config.ccd_vod_config(7 downto 0) &lt;= fee_rmap_i.writedata;</t>
  </si>
  <si>
    <t xml:space="preserve">      rmap_registers_wr_o.reg_19_config.ccd4_vrd_config(11 downto 8) &lt;= fee_rmap_i.writedata(3 downto 0);</t>
  </si>
  <si>
    <t xml:space="preserve">      rmap_registers_wr_o.reg_19_config.ccd_vgd_config0 &lt;= fee_rmap_i.writedata(7 downto 4);</t>
  </si>
  <si>
    <t xml:space="preserve">      rmap_registers_wr_o.reg_19_config.ccd4_vrd_config(7 downto 0) &lt;= fee_rmap_i.writedata;</t>
  </si>
  <si>
    <t xml:space="preserve">      rmap_registers_wr_o.reg_19_config.ccd3_vrd_config(11 downto 4) &lt;= fee_rmap_i.writedata;</t>
  </si>
  <si>
    <t xml:space="preserve">      rmap_registers_wr_o.reg_19_config.ccd2_vrd_config1 &lt;= fee_rmap_i.writedata(3 downto 0);</t>
  </si>
  <si>
    <t xml:space="preserve">      rmap_registers_wr_o.reg_19_config.ccd3_vrd_config(3 downto 0) &lt;= fee_rmap_i.writedata(7 downto 4);</t>
  </si>
  <si>
    <t xml:space="preserve">      rmap_registers_wr_o.reg_20_config.ccd_ig_hi_config(11 downto 4) &lt;= fee_rmap_i.writedata;</t>
  </si>
  <si>
    <t xml:space="preserve">      rmap_registers_wr_o.reg_20_config.ccd_vog_config(11 downto 8) &lt;= fee_rmap_i.writedata(3 downto 0);</t>
  </si>
  <si>
    <t xml:space="preserve">      rmap_registers_wr_o.reg_20_config.ccd_ig_hi_config(3 downto 0) &lt;= fee_rmap_i.writedata(7 downto 4);</t>
  </si>
  <si>
    <t xml:space="preserve">      rmap_registers_wr_o.reg_20_config.ccd_vog_config(7 downto 0) &lt;= fee_rmap_i.writedata;</t>
  </si>
  <si>
    <t xml:space="preserve">      rmap_registers_wr_o.reg_20_config.ccd_vgd_config1 &lt;= fee_rmap_i.writedata;</t>
  </si>
  <si>
    <t xml:space="preserve">      rmap_registers_wr_o.reg_21_config.ccd_mode_config &lt;= fee_rmap_i.writedata(3 downto 0);</t>
  </si>
  <si>
    <t xml:space="preserve">      rmap_registers_wr_o.reg_21_config.reg_21_config_reserved_1 &lt;= fee_rmap_i.writedata(6 downto 4);</t>
  </si>
  <si>
    <t xml:space="preserve">      rmap_registers_wr_o.reg_21_config.clear_error_flag &lt;= fee_rmap_i.writedata(7);</t>
  </si>
  <si>
    <t xml:space="preserve">      rmap_registers_wr_o.reg_21_config.reg_21_config_reserved_0(11 downto 4) &lt;= fee_rmap_i.writedata;</t>
  </si>
  <si>
    <t xml:space="preserve">      rmap_registers_wr_o.reg_21_config.ccd_ig_lo_config(11 downto 8) &lt;= fee_rmap_i.writedata(3 downto 0);</t>
  </si>
  <si>
    <t xml:space="preserve">      rmap_registers_wr_o.reg_21_config.reg_21_config_reserved_0(3 downto 0) &lt;= fee_rmap_i.writedata(7 downto 4);</t>
  </si>
  <si>
    <t xml:space="preserve">      rmap_registers_wr_o.reg_21_config.ccd_ig_lo_config(7 downto 0) &lt;= fee_rmap_i.writedata;</t>
  </si>
  <si>
    <t xml:space="preserve">      rmap_registers_wr_o.reg_22_config.reg_22_config_reserved(31 downto 24) &lt;= fee_rmap_i.writedata;</t>
  </si>
  <si>
    <t xml:space="preserve">      rmap_registers_wr_o.reg_22_config.reg_22_config_reserved(23 downto 16) &lt;= fee_rmap_i.writedata;</t>
  </si>
  <si>
    <t xml:space="preserve">      rmap_registers_wr_o.reg_22_config.reg_22_config_reserved(15 downto 8) &lt;= fee_rmap_i.writedata;</t>
  </si>
  <si>
    <t xml:space="preserve">      rmap_registers_wr_o.reg_22_config.reg_22_config_reserved(7 downto 0) &lt;= fee_rmap_i.writedata;</t>
  </si>
  <si>
    <t xml:space="preserve">      rmap_registers_wr_o.reg_23_config.ccd2_last_e_packet(9 downto 4) &lt;= fee_rmap_i.writedata(5 downto 0);</t>
  </si>
  <si>
    <t xml:space="preserve">      rmap_registers_wr_o.reg_23_config.reg_23_config_reserved &lt;= fee_rmap_i.writedata(7 downto 6);</t>
  </si>
  <si>
    <t xml:space="preserve">      rmap_registers_wr_o.reg_23_config.ccd1_last_f_packet(9 downto 6) &lt;= fee_rmap_i.writedata(3 downto 0);</t>
  </si>
  <si>
    <t xml:space="preserve">      rmap_registers_wr_o.reg_23_config.ccd2_last_e_packet(3 downto 0) &lt;= fee_rmap_i.writedata(7 downto 4);</t>
  </si>
  <si>
    <t xml:space="preserve">      rmap_registers_wr_o.reg_23_config.ccd1_last_e_packet(9 downto 8) &lt;= fee_rmap_i.writedata(1 downto 0);</t>
  </si>
  <si>
    <t xml:space="preserve">      rmap_registers_wr_o.reg_23_config.ccd1_last_f_packet(5 downto 0) &lt;= fee_rmap_i.writedata(7 downto 2);</t>
  </si>
  <si>
    <t xml:space="preserve">      rmap_registers_wr_o.reg_23_config.ccd1_last_e_packet(7 downto 0) &lt;= fee_rmap_i.writedata;</t>
  </si>
  <si>
    <t xml:space="preserve">      rmap_registers_wr_o.reg_24_config.ccd3_last_f_packet(9 downto 4) &lt;= fee_rmap_i.writedata(5 downto 0);</t>
  </si>
  <si>
    <t xml:space="preserve">      rmap_registers_wr_o.reg_24_config.reg_24_config_reserved &lt;= fee_rmap_i.writedata(7 downto 6);</t>
  </si>
  <si>
    <t xml:space="preserve">      rmap_registers_wr_o.reg_24_config.ccd3_last_e_packet(9 downto 6) &lt;= fee_rmap_i.writedata(3 downto 0);</t>
  </si>
  <si>
    <t xml:space="preserve">      rmap_registers_wr_o.reg_24_config.ccd3_last_f_packet(3 downto 0) &lt;= fee_rmap_i.writedata(7 downto 4);</t>
  </si>
  <si>
    <t xml:space="preserve">      rmap_registers_wr_o.reg_24_config.ccd2_last_f_packet(9 downto 8) &lt;= fee_rmap_i.writedata(1 downto 0);</t>
  </si>
  <si>
    <t xml:space="preserve">      rmap_registers_wr_o.reg_24_config.ccd3_last_e_packet(5 downto 0) &lt;= fee_rmap_i.writedata(7 downto 2);</t>
  </si>
  <si>
    <t xml:space="preserve">      rmap_registers_wr_o.reg_24_config.ccd2_last_f_packet(7 downto 0) &lt;= fee_rmap_i.writedata;</t>
  </si>
  <si>
    <t xml:space="preserve">      rmap_registers_wr_o.reg_25_config.surface_inversion_counter(9 downto 4) &lt;= fee_rmap_i.writedata(5 downto 0);</t>
  </si>
  <si>
    <t xml:space="preserve">      rmap_registers_wr_o.reg_25_config.reg_25_config_reserved &lt;= fee_rmap_i.writedata(7 downto 6);</t>
  </si>
  <si>
    <t xml:space="preserve">      rmap_registers_wr_o.reg_25_config.ccd4_last_f_packet(9 downto 6) &lt;= fee_rmap_i.writedata(3 downto 0);</t>
  </si>
  <si>
    <t xml:space="preserve">      rmap_registers_wr_o.reg_25_config.surface_inversion_counter(3 downto 0) &lt;= fee_rmap_i.writedata(7 downto 4);</t>
  </si>
  <si>
    <t xml:space="preserve">      rmap_registers_wr_o.reg_25_config.ccd4_last_e_packet(9 downto 8) &lt;= fee_rmap_i.writedata(1 downto 0);</t>
  </si>
  <si>
    <t xml:space="preserve">      rmap_registers_wr_o.reg_25_config.ccd4_last_f_packet(5 downto 0) &lt;= fee_rmap_i.writedata(7 downto 2);</t>
  </si>
  <si>
    <t xml:space="preserve">      rmap_registers_wr_o.reg_25_config.ccd4_last_e_packet(7 downto 0) &lt;= fee_rmap_i.writedata;</t>
  </si>
  <si>
    <t xml:space="preserve">      rmap_registers_wr_o.reg_26_config.trap_pumping_shuffle_counter(15 downto 8) &lt;= fee_rmap_i.writedata;</t>
  </si>
  <si>
    <t xml:space="preserve">      rmap_registers_wr_o.reg_26_config.trap_pumping_shuffle_counter(7 downto 0) &lt;= fee_rmap_i.writedata;</t>
  </si>
  <si>
    <t xml:space="preserve">      rmap_registers_wr_o.reg_26_config.readout_pause_counter(15 downto 8) &lt;= fee_rmap_i.writedata;</t>
  </si>
  <si>
    <t xml:space="preserve">      rmap_registers_wr_o.reg_26_config.readout_pause_counter(7 downto 0) &lt;= fee_rmap_i.writedata;</t>
  </si>
  <si>
    <t xml:space="preserve">      rmap_registers_wr_o.reg_0_hk.tou_sense_1(15 downto 8) &lt;= fee_rmap_i.writedata;</t>
  </si>
  <si>
    <t xml:space="preserve">      rmap_registers_wr_o.reg_0_hk.tou_sense_1(7 downto 0) &lt;= fee_rmap_i.writedata;</t>
  </si>
  <si>
    <t xml:space="preserve">      rmap_registers_wr_o.reg_0_hk.tou_sense_2(15 downto 8) &lt;= fee_rmap_i.writedata;</t>
  </si>
  <si>
    <t xml:space="preserve">      rmap_registers_wr_o.reg_0_hk.tou_sense_2(7 downto 0) &lt;= fee_rmap_i.writedata;</t>
  </si>
  <si>
    <t xml:space="preserve">      rmap_registers_wr_o.reg_1_hk.tou_sense_3(15 downto 8) &lt;= fee_rmap_i.writedata;</t>
  </si>
  <si>
    <t xml:space="preserve">      rmap_registers_wr_o.reg_1_hk.tou_sense_3(7 downto 0) &lt;= fee_rmap_i.writedata;</t>
  </si>
  <si>
    <t xml:space="preserve">      rmap_registers_wr_o.reg_1_hk.tou_sense_4(15 downto 8) &lt;= fee_rmap_i.writedata;</t>
  </si>
  <si>
    <t xml:space="preserve">      rmap_registers_wr_o.reg_1_hk.tou_sense_4(7 downto 0) &lt;= fee_rmap_i.writedata;</t>
  </si>
  <si>
    <t xml:space="preserve">      rmap_registers_wr_o.reg_2_hk.tou_sense_5(15 downto 8) &lt;= fee_rmap_i.writedata;</t>
  </si>
  <si>
    <t xml:space="preserve">      rmap_registers_wr_o.reg_2_hk.tou_sense_5(7 downto 0) &lt;= fee_rmap_i.writedata;</t>
  </si>
  <si>
    <t xml:space="preserve">      rmap_registers_wr_o.reg_2_hk.tou_sense_6(15 downto 8) &lt;= fee_rmap_i.writedata;</t>
  </si>
  <si>
    <t xml:space="preserve">      rmap_registers_wr_o.reg_2_hk.tou_sense_6(7 downto 0) &lt;= fee_rmap_i.writedata;</t>
  </si>
  <si>
    <t xml:space="preserve">      rmap_registers_wr_o.reg_3_hk.ccd1_ts(15 downto 8) &lt;= fee_rmap_i.writedata;</t>
  </si>
  <si>
    <t xml:space="preserve">      rmap_registers_wr_o.reg_3_hk.ccd1_ts(7 downto 0) &lt;= fee_rmap_i.writedata;</t>
  </si>
  <si>
    <t xml:space="preserve">      rmap_registers_wr_o.reg_3_hk.ccd2_ts(15 downto 8) &lt;= fee_rmap_i.writedata;</t>
  </si>
  <si>
    <t xml:space="preserve">      rmap_registers_wr_o.reg_3_hk.ccd2_ts(7 downto 0) &lt;= fee_rmap_i.writedata;</t>
  </si>
  <si>
    <t xml:space="preserve">      rmap_registers_wr_o.reg_4_hk.ccd3_ts(15 downto 8) &lt;= fee_rmap_i.writedata;</t>
  </si>
  <si>
    <t xml:space="preserve">      rmap_registers_wr_o.reg_4_hk.ccd3_ts(7 downto 0) &lt;= fee_rmap_i.writedata;</t>
  </si>
  <si>
    <t xml:space="preserve">      rmap_registers_wr_o.reg_4_hk.ccd4_ts(15 downto 8) &lt;= fee_rmap_i.writedata;</t>
  </si>
  <si>
    <t xml:space="preserve">      rmap_registers_wr_o.reg_4_hk.ccd4_ts(7 downto 0) &lt;= fee_rmap_i.writedata;</t>
  </si>
  <si>
    <t xml:space="preserve">      rmap_registers_wr_o.reg_5_hk.prt1(15 downto 8) &lt;= fee_rmap_i.writedata;</t>
  </si>
  <si>
    <t xml:space="preserve">      rmap_registers_wr_o.reg_5_hk.prt1(7 downto 0) &lt;= fee_rmap_i.writedata;</t>
  </si>
  <si>
    <t xml:space="preserve">      rmap_registers_wr_o.reg_5_hk.prt2(15 downto 8) &lt;= fee_rmap_i.writedata;</t>
  </si>
  <si>
    <t xml:space="preserve">      rmap_registers_wr_o.reg_5_hk.prt2(7 downto 0) &lt;= fee_rmap_i.writedata;</t>
  </si>
  <si>
    <t xml:space="preserve">      rmap_registers_wr_o.reg_6_hk.prt3(15 downto 8) &lt;= fee_rmap_i.writedata;</t>
  </si>
  <si>
    <t xml:space="preserve">      rmap_registers_wr_o.reg_6_hk.prt3(7 downto 0) &lt;= fee_rmap_i.writedata;</t>
  </si>
  <si>
    <t xml:space="preserve">      rmap_registers_wr_o.reg_6_hk.prt4(15 downto 8) &lt;= fee_rmap_i.writedata;</t>
  </si>
  <si>
    <t xml:space="preserve">      rmap_registers_wr_o.reg_6_hk.prt4(7 downto 0) &lt;= fee_rmap_i.writedata;</t>
  </si>
  <si>
    <t xml:space="preserve">      rmap_registers_wr_o.reg_7_hk.prt5(15 downto 8) &lt;= fee_rmap_i.writedata;</t>
  </si>
  <si>
    <t xml:space="preserve">      rmap_registers_wr_o.reg_7_hk.prt5(7 downto 0) &lt;= fee_rmap_i.writedata;</t>
  </si>
  <si>
    <t xml:space="preserve">      rmap_registers_wr_o.reg_7_hk.zero_diff_amp(15 downto 8) &lt;= fee_rmap_i.writedata;</t>
  </si>
  <si>
    <t xml:space="preserve">      rmap_registers_wr_o.reg_7_hk.zero_diff_amp(7 downto 0) &lt;= fee_rmap_i.writedata;</t>
  </si>
  <si>
    <t xml:space="preserve">      rmap_registers_wr_o.reg_8_hk.ccd1_vod_mon(15 downto 8) &lt;= fee_rmap_i.writedata;</t>
  </si>
  <si>
    <t xml:space="preserve">      rmap_registers_wr_o.reg_8_hk.ccd1_vod_mon(7 downto 0) &lt;= fee_rmap_i.writedata;</t>
  </si>
  <si>
    <t xml:space="preserve">      rmap_registers_wr_o.reg_8_hk.ccd1_vog_mon(15 downto 8) &lt;= fee_rmap_i.writedata;</t>
  </si>
  <si>
    <t xml:space="preserve">      rmap_registers_wr_o.reg_8_hk.ccd1_vog_mon(7 downto 0) &lt;= fee_rmap_i.writedata;</t>
  </si>
  <si>
    <t xml:space="preserve">      rmap_registers_wr_o.reg_9_hk.ccd1_vrd_mon_e(15 downto 8) &lt;= fee_rmap_i.writedata;</t>
  </si>
  <si>
    <t xml:space="preserve">      rmap_registers_wr_o.reg_9_hk.ccd1_vrd_mon_e(7 downto 0) &lt;= fee_rmap_i.writedata;</t>
  </si>
  <si>
    <t xml:space="preserve">      rmap_registers_wr_o.reg_9_hk.ccd2_vod_mon(15 downto 8) &lt;= fee_rmap_i.writedata;</t>
  </si>
  <si>
    <t xml:space="preserve">      rmap_registers_wr_o.reg_9_hk.ccd2_vod_mon(7 downto 0) &lt;= fee_rmap_i.writedata;</t>
  </si>
  <si>
    <t xml:space="preserve">      rmap_registers_wr_o.reg_10_hk.ccd2_vog_mon(15 downto 8) &lt;= fee_rmap_i.writedata;</t>
  </si>
  <si>
    <t xml:space="preserve">      rmap_registers_wr_o.reg_10_hk.ccd2_vog_mon(7 downto 0) &lt;= fee_rmap_i.writedata;</t>
  </si>
  <si>
    <t xml:space="preserve">      rmap_registers_wr_o.reg_10_hk.ccd2_vrd_mon_e(15 downto 8) &lt;= fee_rmap_i.writedata;</t>
  </si>
  <si>
    <t xml:space="preserve">      rmap_registers_wr_o.reg_10_hk.ccd2_vrd_mon_e(7 downto 0) &lt;= fee_rmap_i.writedata;</t>
  </si>
  <si>
    <t xml:space="preserve">      rmap_registers_wr_o.reg_11_hk.ccd3_vod_mon(15 downto 8) &lt;= fee_rmap_i.writedata;</t>
  </si>
  <si>
    <t xml:space="preserve">      rmap_registers_wr_o.reg_11_hk.ccd3_vod_mon(7 downto 0) &lt;= fee_rmap_i.writedata;</t>
  </si>
  <si>
    <t xml:space="preserve">      rmap_registers_wr_o.reg_11_hk.ccd3_vog_mon(15 downto 8) &lt;= fee_rmap_i.writedata;</t>
  </si>
  <si>
    <t xml:space="preserve">      rmap_registers_wr_o.reg_11_hk.ccd3_vog_mon(7 downto 0) &lt;= fee_rmap_i.writedata;</t>
  </si>
  <si>
    <t xml:space="preserve">      rmap_registers_wr_o.reg_12_hk.ccd3_vrd_mon_e(15 downto 8) &lt;= fee_rmap_i.writedata;</t>
  </si>
  <si>
    <t xml:space="preserve">      rmap_registers_wr_o.reg_12_hk.ccd3_vrd_mon_e(7 downto 0) &lt;= fee_rmap_i.writedata;</t>
  </si>
  <si>
    <t xml:space="preserve">      rmap_registers_wr_o.reg_12_hk.ccd4_vod_mon(15 downto 8) &lt;= fee_rmap_i.writedata;</t>
  </si>
  <si>
    <t xml:space="preserve">      rmap_registers_wr_o.reg_12_hk.ccd4_vod_mon(7 downto 0) &lt;= fee_rmap_i.writedata;</t>
  </si>
  <si>
    <t xml:space="preserve">      rmap_registers_wr_o.reg_13_hk.ccd4_vog_mon(15 downto 8) &lt;= fee_rmap_i.writedata;</t>
  </si>
  <si>
    <t xml:space="preserve">      rmap_registers_wr_o.reg_13_hk.ccd4_vog_mon(7 downto 0) &lt;= fee_rmap_i.writedata;</t>
  </si>
  <si>
    <t xml:space="preserve">      rmap_registers_wr_o.reg_13_hk.ccd4_vrd_mon_e(15 downto 8) &lt;= fee_rmap_i.writedata;</t>
  </si>
  <si>
    <t xml:space="preserve">      rmap_registers_wr_o.reg_13_hk.ccd4_vrd_mon_e(7 downto 0) &lt;= fee_rmap_i.writedata;</t>
  </si>
  <si>
    <t xml:space="preserve">      rmap_registers_wr_o.reg_14_hk.vccd(15 downto 8) &lt;= fee_rmap_i.writedata;</t>
  </si>
  <si>
    <t xml:space="preserve">      rmap_registers_wr_o.reg_14_hk.vccd(7 downto 0) &lt;= fee_rmap_i.writedata;</t>
  </si>
  <si>
    <t xml:space="preserve">      rmap_registers_wr_o.reg_14_hk.vrclk_mon(15 downto 8) &lt;= fee_rmap_i.writedata;</t>
  </si>
  <si>
    <t xml:space="preserve">      rmap_registers_wr_o.reg_14_hk.vrclk_mon(7 downto 0) &lt;= fee_rmap_i.writedata;</t>
  </si>
  <si>
    <t xml:space="preserve">      rmap_registers_wr_o.reg_15_hk.viclk(15 downto 8) &lt;= fee_rmap_i.writedata;</t>
  </si>
  <si>
    <t xml:space="preserve">      rmap_registers_wr_o.reg_15_hk.viclk(7 downto 0) &lt;= fee_rmap_i.writedata;</t>
  </si>
  <si>
    <t xml:space="preserve">      rmap_registers_wr_o.reg_15_hk.vrclk_low(15 downto 8) &lt;= fee_rmap_i.writedata;</t>
  </si>
  <si>
    <t xml:space="preserve">      rmap_registers_wr_o.reg_15_hk.vrclk_low(7 downto 0) &lt;= fee_rmap_i.writedata;</t>
  </si>
  <si>
    <t xml:space="preserve">      rmap_registers_wr_o.reg_16_hk.d5vb_pos_mon(15 downto 8) &lt;= fee_rmap_i.writedata;</t>
  </si>
  <si>
    <t xml:space="preserve">      rmap_registers_wr_o.reg_16_hk.d5vb_pos_mon(7 downto 0) &lt;= fee_rmap_i.writedata;</t>
  </si>
  <si>
    <t xml:space="preserve">      rmap_registers_wr_o.reg_16_hk.d5vb_neg_mon(15 downto 8) &lt;= fee_rmap_i.writedata;</t>
  </si>
  <si>
    <t xml:space="preserve">      rmap_registers_wr_o.reg_16_hk.d5vb_neg_mon(7 downto 0) &lt;= fee_rmap_i.writedata;</t>
  </si>
  <si>
    <t xml:space="preserve">      rmap_registers_wr_o.reg_17_hk.d3v3b_mon(15 downto 8) &lt;= fee_rmap_i.writedata;</t>
  </si>
  <si>
    <t xml:space="preserve">      rmap_registers_wr_o.reg_17_hk.d3v3b_mon(7 downto 0) &lt;= fee_rmap_i.writedata;</t>
  </si>
  <si>
    <t xml:space="preserve">      rmap_registers_wr_o.reg_17_hk.d2v5a_mon(15 downto 8) &lt;= fee_rmap_i.writedata;</t>
  </si>
  <si>
    <t xml:space="preserve">      rmap_registers_wr_o.reg_17_hk.d2v5a_mon(7 downto 0) &lt;= fee_rmap_i.writedata;</t>
  </si>
  <si>
    <t xml:space="preserve">      rmap_registers_wr_o.reg_18_hk.d3v3d_mon(15 downto 8) &lt;= fee_rmap_i.writedata;</t>
  </si>
  <si>
    <t xml:space="preserve">      rmap_registers_wr_o.reg_18_hk.d3v3d_mon(7 downto 0) &lt;= fee_rmap_i.writedata;</t>
  </si>
  <si>
    <t xml:space="preserve">      rmap_registers_wr_o.reg_18_hk.d2v5d_mon(15 downto 8) &lt;= fee_rmap_i.writedata;</t>
  </si>
  <si>
    <t xml:space="preserve">      rmap_registers_wr_o.reg_18_hk.d2v5d_mon(7 downto 0) &lt;= fee_rmap_i.writedata;</t>
  </si>
  <si>
    <t xml:space="preserve">      rmap_registers_wr_o.reg_19_hk.d1v5d_mon(15 downto 8) &lt;= fee_rmap_i.writedata;</t>
  </si>
  <si>
    <t xml:space="preserve">      rmap_registers_wr_o.reg_19_hk.d1v5d_mon(7 downto 0) &lt;= fee_rmap_i.writedata;</t>
  </si>
  <si>
    <t xml:space="preserve">      rmap_registers_wr_o.reg_19_hk.d5vref_mon(15 downto 8) &lt;= fee_rmap_i.writedata;</t>
  </si>
  <si>
    <t xml:space="preserve">      rmap_registers_wr_o.reg_19_hk.d5vref_mon(7 downto 0) &lt;= fee_rmap_i.writedata;</t>
  </si>
  <si>
    <t xml:space="preserve">      rmap_registers_wr_o.reg_20_hk.vccd_pos_raw(15 downto 8) &lt;= fee_rmap_i.writedata;</t>
  </si>
  <si>
    <t xml:space="preserve">      rmap_registers_wr_o.reg_20_hk.vccd_pos_raw(7 downto 0) &lt;= fee_rmap_i.writedata;</t>
  </si>
  <si>
    <t xml:space="preserve">      rmap_registers_wr_o.reg_20_hk.vclk_pos_raw(15 downto 8) &lt;= fee_rmap_i.writedata;</t>
  </si>
  <si>
    <t xml:space="preserve">      rmap_registers_wr_o.reg_20_hk.vclk_pos_raw(7 downto 0) &lt;= fee_rmap_i.writedata;</t>
  </si>
  <si>
    <t xml:space="preserve">      rmap_registers_wr_o.reg_21_hk.van1_pos_raw(15 downto 8) &lt;= fee_rmap_i.writedata;</t>
  </si>
  <si>
    <t xml:space="preserve">      rmap_registers_wr_o.reg_21_hk.van1_pos_raw(7 downto 0) &lt;= fee_rmap_i.writedata;</t>
  </si>
  <si>
    <t xml:space="preserve">      rmap_registers_wr_o.reg_21_hk.van3_neg_mon(15 downto 8) &lt;= fee_rmap_i.writedata;</t>
  </si>
  <si>
    <t xml:space="preserve">      rmap_registers_wr_o.reg_21_hk.van3_neg_mon(7 downto 0) &lt;= fee_rmap_i.writedata;</t>
  </si>
  <si>
    <t xml:space="preserve">      rmap_registers_wr_o.reg_22_hk.van2_pos_raw(15 downto 8) &lt;= fee_rmap_i.writedata;</t>
  </si>
  <si>
    <t xml:space="preserve">      rmap_registers_wr_o.reg_22_hk.van2_pos_raw(7 downto 0) &lt;= fee_rmap_i.writedata;</t>
  </si>
  <si>
    <t xml:space="preserve">      rmap_registers_wr_o.reg_22_hk.vdig_raw(15 downto 8) &lt;= fee_rmap_i.writedata;</t>
  </si>
  <si>
    <t xml:space="preserve">      rmap_registers_wr_o.reg_22_hk.vdig_raw(7 downto 0) &lt;= fee_rmap_i.writedata;</t>
  </si>
  <si>
    <t xml:space="preserve">      rmap_registers_wr_o.reg_23_hk.vdig_raw_2(15 downto 8) &lt;= fee_rmap_i.writedata;</t>
  </si>
  <si>
    <t xml:space="preserve">      rmap_registers_wr_o.reg_23_hk.vdig_raw_2(7 downto 0) &lt;= fee_rmap_i.writedata;</t>
  </si>
  <si>
    <t xml:space="preserve">      rmap_registers_wr_o.reg_23_hk.viclk_low(15 downto 8) &lt;= fee_rmap_i.writedata;</t>
  </si>
  <si>
    <t xml:space="preserve">      rmap_registers_wr_o.reg_23_hk.viclk_low(7 downto 0) &lt;= fee_rmap_i.writedata;</t>
  </si>
  <si>
    <t xml:space="preserve">      rmap_registers_wr_o.reg_24_hk.ccd1_vrd_mon_f(15 downto 8) &lt;= fee_rmap_i.writedata;</t>
  </si>
  <si>
    <t xml:space="preserve">      rmap_registers_wr_o.reg_24_hk.ccd1_vrd_mon_f(7 downto 0) &lt;= fee_rmap_i.writedata;</t>
  </si>
  <si>
    <t xml:space="preserve">      rmap_registers_wr_o.reg_24_hk.ccd1_vdd_mon(15 downto 8) &lt;= fee_rmap_i.writedata;</t>
  </si>
  <si>
    <t xml:space="preserve">      rmap_registers_wr_o.reg_24_hk.ccd1_vdd_mon(7 downto 0) &lt;= fee_rmap_i.writedata;</t>
  </si>
  <si>
    <t xml:space="preserve">      rmap_registers_wr_o.reg_25_hk.ccd1_vgd_mon(15 downto 8) &lt;= fee_rmap_i.writedata;</t>
  </si>
  <si>
    <t xml:space="preserve">      rmap_registers_wr_o.reg_25_hk.ccd1_vgd_mon(7 downto 0) &lt;= fee_rmap_i.writedata;</t>
  </si>
  <si>
    <t xml:space="preserve">      rmap_registers_wr_o.reg_25_hk.ccd2_vrd_mon_f(15 downto 8) &lt;= fee_rmap_i.writedata;</t>
  </si>
  <si>
    <t xml:space="preserve">      rmap_registers_wr_o.reg_25_hk.ccd2_vrd_mon_f(7 downto 0) &lt;= fee_rmap_i.writedata;</t>
  </si>
  <si>
    <t xml:space="preserve">      rmap_registers_wr_o.reg_26_hk.ccd2_vdd_mon(15 downto 8) &lt;= fee_rmap_i.writedata;</t>
  </si>
  <si>
    <t xml:space="preserve">      rmap_registers_wr_o.reg_26_hk.ccd2_vdd_mon(7 downto 0) &lt;= fee_rmap_i.writedata;</t>
  </si>
  <si>
    <t xml:space="preserve">      rmap_registers_wr_o.reg_26_hk.ccd2_vgd_mon(15 downto 8) &lt;= fee_rmap_i.writedata;</t>
  </si>
  <si>
    <t xml:space="preserve">      rmap_registers_wr_o.reg_26_hk.ccd2_vgd_mon(7 downto 0) &lt;= fee_rmap_i.writedata;</t>
  </si>
  <si>
    <t xml:space="preserve">      rmap_registers_wr_o.reg_27_hk.ccd3_vrd_mon_f(15 downto 8) &lt;= fee_rmap_i.writedata;</t>
  </si>
  <si>
    <t xml:space="preserve">      rmap_registers_wr_o.reg_27_hk.ccd3_vrd_mon_f(7 downto 0) &lt;= fee_rmap_i.writedata;</t>
  </si>
  <si>
    <t xml:space="preserve">      rmap_registers_wr_o.reg_27_hk.ccd3_vdd_mon(15 downto 8) &lt;= fee_rmap_i.writedata;</t>
  </si>
  <si>
    <t xml:space="preserve">      rmap_registers_wr_o.reg_27_hk.ccd3_vdd_mon(7 downto 0) &lt;= fee_rmap_i.writedata;</t>
  </si>
  <si>
    <t xml:space="preserve">      rmap_registers_wr_o.reg_28_hk.ccd3_vgd_mon(15 downto 8) &lt;= fee_rmap_i.writedata;</t>
  </si>
  <si>
    <t xml:space="preserve">      rmap_registers_wr_o.reg_28_hk.ccd3_vgd_mon(7 downto 0) &lt;= fee_rmap_i.writedata;</t>
  </si>
  <si>
    <t xml:space="preserve">      rmap_registers_wr_o.reg_28_hk.ccd4_vrd_mon_f(15 downto 8) &lt;= fee_rmap_i.writedata;</t>
  </si>
  <si>
    <t xml:space="preserve">      rmap_registers_wr_o.reg_28_hk.ccd4_vrd_mon_f(7 downto 0) &lt;= fee_rmap_i.writedata;</t>
  </si>
  <si>
    <t xml:space="preserve">      rmap_registers_wr_o.reg_29_hk.ccd4_vdd_mon(15 downto 8) &lt;= fee_rmap_i.writedata;</t>
  </si>
  <si>
    <t xml:space="preserve">      rmap_registers_wr_o.reg_29_hk.ccd4_vdd_mon(7 downto 0) &lt;= fee_rmap_i.writedata;</t>
  </si>
  <si>
    <t xml:space="preserve">      rmap_registers_wr_o.reg_29_hk.ccd4_vgd_mon(15 downto 8) &lt;= fee_rmap_i.writedata;</t>
  </si>
  <si>
    <t xml:space="preserve">      rmap_registers_wr_o.reg_29_hk.ccd4_vgd_mon(7 downto 0) &lt;= fee_rmap_i.writedata;</t>
  </si>
  <si>
    <t xml:space="preserve">      rmap_registers_wr_o.reg_30_hk.ig_hi_mon(15 downto 8) &lt;= fee_rmap_i.writedata;</t>
  </si>
  <si>
    <t xml:space="preserve">      rmap_registers_wr_o.reg_30_hk.ig_hi_mon(7 downto 0) &lt;= fee_rmap_i.writedata;</t>
  </si>
  <si>
    <t xml:space="preserve">      rmap_registers_wr_o.reg_30_hk.ig_lo_mon(15 downto 8) &lt;= fee_rmap_i.writedata;</t>
  </si>
  <si>
    <t xml:space="preserve">      rmap_registers_wr_o.reg_30_hk.ig_lo_mon(7 downto 0) &lt;= fee_rmap_i.writedata;</t>
  </si>
  <si>
    <t xml:space="preserve">      rmap_registers_wr_o.reg_31_hk.tsense_a(15 downto 8) &lt;= fee_rmap_i.writedata;</t>
  </si>
  <si>
    <t xml:space="preserve">      rmap_registers_wr_o.reg_31_hk.tsense_a(7 downto 0) &lt;= fee_rmap_i.writedata;</t>
  </si>
  <si>
    <t xml:space="preserve">      rmap_registers_wr_o.reg_31_hk.tsense_b(15 downto 8) &lt;= fee_rmap_i.writedata;</t>
  </si>
  <si>
    <t xml:space="preserve">      rmap_registers_wr_o.reg_31_hk.tsense_b(7 downto 0) &lt;= fee_rmap_i.writedata;</t>
  </si>
  <si>
    <t xml:space="preserve">      rmap_registers_wr_o.reg_32_hk.reg_32_hk_reserved &lt;= fee_rmap_i.writedata;</t>
  </si>
  <si>
    <t xml:space="preserve">      rmap_registers_wr_o.reg_32_hk.spw_status_spw_status_reserved &lt;= fee_rmap_i.writedata(7 downto 6);</t>
  </si>
  <si>
    <t xml:space="preserve">      rmap_registers_wr_o.reg_33_hk.reg_33_hk_reserved(9 downto 2) &lt;= fee_rmap_i.writedata;</t>
  </si>
  <si>
    <t xml:space="preserve">      rmap_registers_wr_o.reg_33_hk.op_mode &lt;= fee_rmap_i.writedata(5 downto 2);</t>
  </si>
  <si>
    <t xml:space="preserve">      rmap_registers_wr_o.reg_33_hk.reg_33_hk_reserved(1 downto 0) &lt;= fee_rmap_i.writedata(7 downto 6);</t>
  </si>
  <si>
    <t xml:space="preserve">      rmap_registers_wr_o.reg_34_hk.error_flags_error_flags_reserved(26 downto 19) &lt;= fee_rmap_i.writedata;</t>
  </si>
  <si>
    <t xml:space="preserve">      rmap_registers_wr_o.reg_34_hk.error_flags_error_flags_reserved(18 downto 11) &lt;= fee_rmap_i.writedata;</t>
  </si>
  <si>
    <t xml:space="preserve">      rmap_registers_wr_o.reg_34_hk.error_flags_error_flags_reserved(10 downto 3) &lt;= fee_rmap_i.writedata;</t>
  </si>
  <si>
    <t xml:space="preserve">      rmap_registers_wr_o.reg_34_hk.error_flags_error_flags_reserved(2 downto 0) &lt;= fee_rmap_i.writedata(7 downto 5);</t>
  </si>
  <si>
    <t xml:space="preserve">      rmap_registers_wr_o.reg_35_hk.reg_35_hk_reserved(10 downto 3) &lt;= fee_rmap_i.writedata;</t>
  </si>
  <si>
    <t xml:space="preserve">      rmap_registers_wr_o.reg_35_hk.board_id(8 downto 4) &lt;= fee_rmap_i.writedata(4 downto 0);</t>
  </si>
  <si>
    <t xml:space="preserve">      rmap_registers_wr_o.reg_35_hk.reg_35_hk_reserved(2 downto 0) &lt;= fee_rmap_i.writedata(7 downto 5);</t>
  </si>
  <si>
    <t xml:space="preserve">      rmap_registers_wr_o.reg_35_hk.fpga_major_version &lt;= fee_rmap_i.writedata(3 downto 0);</t>
  </si>
  <si>
    <t xml:space="preserve">      rmap_registers_wr_o.reg_35_hk.board_id(3 downto 0) &lt;= fee_rmap_i.writedata(7 downto 4);</t>
  </si>
  <si>
    <t xml:space="preserve">      rmap_registers_wr_o.reg_35_hk.fpga_minor_version &lt;= fee_rmap_i.writedata;</t>
  </si>
  <si>
    <t>fee_rmap_o.readdata</t>
  </si>
  <si>
    <t xml:space="preserve">      fee_rmap_o.readdata &lt;= rmap_registers_wr_i.reg_0_config.v_end(15 downto 8);</t>
  </si>
  <si>
    <t xml:space="preserve">      fee_rmap_o.readdata &lt;= rmap_registers_wr_i.reg_0_config.v_end(7 downto 0);</t>
  </si>
  <si>
    <t xml:space="preserve">      fee_rmap_o.readdata &lt;= rmap_registers_wr_i.reg_0_config.v_start(15 downto 8);</t>
  </si>
  <si>
    <t xml:space="preserve">      fee_rmap_o.readdata &lt;= rmap_registers_wr_i.reg_0_config.v_start(7 downto 0);</t>
  </si>
  <si>
    <t xml:space="preserve">      fee_rmap_o.readdata &lt;= rmap_registers_wr_i.reg_1_config.charge_injection_gap(15 downto 8);</t>
  </si>
  <si>
    <t xml:space="preserve">      fee_rmap_o.readdata &lt;= rmap_registers_wr_i.reg_1_config.charge_injection_gap(7 downto 0);</t>
  </si>
  <si>
    <t xml:space="preserve">      fee_rmap_o.readdata &lt;= rmap_registers_wr_i.reg_1_config.charge_injection_width(15 downto 8);</t>
  </si>
  <si>
    <t xml:space="preserve">      fee_rmap_o.readdata &lt;= rmap_registers_wr_i.reg_1_config.charge_injection_width(7 downto 0);</t>
  </si>
  <si>
    <t xml:space="preserve">      fee_rmap_o.readdata(1 downto 0) &lt;= rmap_registers_wr_i.reg_2_config.ccd_readout_order_1st_ccd;</t>
  </si>
  <si>
    <t xml:space="preserve">      fee_rmap_o.readdata(3 downto 2) &lt;= rmap_registers_wr_i.reg_2_config.ccd_readout_order_2nd_ccd;</t>
  </si>
  <si>
    <t xml:space="preserve">      fee_rmap_o.readdata(5 downto 4) &lt;= rmap_registers_wr_i.reg_2_config.ccd_readout_order_3rd_ccd;</t>
  </si>
  <si>
    <t xml:space="preserve">      fee_rmap_o.readdata(7 downto 6) &lt;= rmap_registers_wr_i.reg_2_config.ccd_readout_order_4th_ccd;</t>
  </si>
  <si>
    <t xml:space="preserve">      fee_rmap_o.readdata &lt;= rmap_registers_wr_i.reg_2_config.parallel_clk_overlap(11 downto 4);</t>
  </si>
  <si>
    <t xml:space="preserve">      fee_rmap_o.readdata(3 downto 0) &lt;= rmap_registers_wr_i.reg_2_config.parallel_toi_period(11 downto 8);</t>
  </si>
  <si>
    <t xml:space="preserve">      fee_rmap_o.readdata(7 downto 4) &lt;= rmap_registers_wr_i.reg_2_config.parallel_clk_overlap(3 downto 0);</t>
  </si>
  <si>
    <t xml:space="preserve">      fee_rmap_o.readdata &lt;= rmap_registers_wr_i.reg_2_config.parallel_toi_period(7 downto 0);</t>
  </si>
  <si>
    <t xml:space="preserve">      fee_rmap_o.readdata(3 downto 0) &lt;= rmap_registers_wr_i.reg_3_config.h_end(11 downto 8);</t>
  </si>
  <si>
    <t xml:space="preserve">      fee_rmap_o.readdata(4) &lt;= rmap_registers_wr_i.reg_3_config.charge_injection_en;</t>
  </si>
  <si>
    <t xml:space="preserve">      fee_rmap_o.readdata(5) &lt;= rmap_registers_wr_i.reg_3_config.tri_level_clk_en;</t>
  </si>
  <si>
    <t xml:space="preserve">      fee_rmap_o.readdata(6) &lt;= rmap_registers_wr_i.reg_3_config.img_clk_dir;</t>
  </si>
  <si>
    <t xml:space="preserve">      fee_rmap_o.readdata(7) &lt;= rmap_registers_wr_i.reg_3_config.reg_clk_dir;</t>
  </si>
  <si>
    <t xml:space="preserve">      fee_rmap_o.readdata &lt;= rmap_registers_wr_i.reg_3_config.h_end(7 downto 0);</t>
  </si>
  <si>
    <t xml:space="preserve">      fee_rmap_o.readdata &lt;= rmap_registers_wr_i.reg_3_config.n_final_dump(15 downto 8);</t>
  </si>
  <si>
    <t xml:space="preserve">      fee_rmap_o.readdata &lt;= rmap_registers_wr_i.reg_3_config.n_final_dump(7 downto 0);</t>
  </si>
  <si>
    <t xml:space="preserve">      fee_rmap_o.readdata &lt;= rmap_registers_wr_i.reg_4_config.int_sync_period(15 downto 8);</t>
  </si>
  <si>
    <t xml:space="preserve">      fee_rmap_o.readdata &lt;= rmap_registers_wr_i.reg_4_config.int_sync_period(7 downto 0);</t>
  </si>
  <si>
    <t xml:space="preserve">      fee_rmap_o.readdata &lt;= rmap_registers_wr_i.reg_4_config.packet_size(15 downto 8);</t>
  </si>
  <si>
    <t xml:space="preserve">      fee_rmap_o.readdata &lt;= rmap_registers_wr_i.reg_4_config.packet_size(7 downto 0);</t>
  </si>
  <si>
    <t xml:space="preserve">      fee_rmap_o.readdata(0) &lt;= rmap_registers_wr_i.reg_5_config.dg_en;</t>
  </si>
  <si>
    <t xml:space="preserve">      fee_rmap_o.readdata(3 downto 0) &lt;= rmap_registers_wr_i.reg_5_config.trap_pumping_dwell_counter(19 downto 16);</t>
  </si>
  <si>
    <t xml:space="preserve">      fee_rmap_o.readdata(4) &lt;= rmap_registers_wr_i.reg_5_config.sync_sel;</t>
  </si>
  <si>
    <t xml:space="preserve">      fee_rmap_o.readdata(6 downto 5) &lt;= rmap_registers_wr_i.reg_5_config.sensor_sel;</t>
  </si>
  <si>
    <t xml:space="preserve">      fee_rmap_o.readdata(7) &lt;= rmap_registers_wr_i.reg_5_config.digitise_en;</t>
  </si>
  <si>
    <t xml:space="preserve">      fee_rmap_o.readdata &lt;= rmap_registers_wr_i.reg_5_config.trap_pumping_dwell_counter(15 downto 8);</t>
  </si>
  <si>
    <t xml:space="preserve">      fee_rmap_o.readdata &lt;= rmap_registers_wr_i.reg_5_config.trap_pumping_dwell_counter(7 downto 0);</t>
  </si>
  <si>
    <t xml:space="preserve">      fee_rmap_o.readdata &lt;= rmap_registers_wr_i.reg_6_config.ccd1_win_list_ptr(31 downto 24);</t>
  </si>
  <si>
    <t xml:space="preserve">      fee_rmap_o.readdata &lt;= rmap_registers_wr_i.reg_6_config.ccd1_win_list_ptr(23 downto 16);</t>
  </si>
  <si>
    <t xml:space="preserve">      fee_rmap_o.readdata &lt;= rmap_registers_wr_i.reg_6_config.ccd1_win_list_ptr(15 downto 8);</t>
  </si>
  <si>
    <t xml:space="preserve">      fee_rmap_o.readdata &lt;= rmap_registers_wr_i.reg_6_config.ccd1_win_list_ptr(7 downto 0);</t>
  </si>
  <si>
    <t xml:space="preserve">      fee_rmap_o.readdata &lt;= rmap_registers_wr_i.reg_7_config.ccd1_pktorder_list_ptr(31 downto 24);</t>
  </si>
  <si>
    <t xml:space="preserve">      fee_rmap_o.readdata &lt;= rmap_registers_wr_i.reg_7_config.ccd1_pktorder_list_ptr(23 downto 16);</t>
  </si>
  <si>
    <t xml:space="preserve">      fee_rmap_o.readdata &lt;= rmap_registers_wr_i.reg_7_config.ccd1_pktorder_list_ptr(15 downto 8);</t>
  </si>
  <si>
    <t xml:space="preserve">      fee_rmap_o.readdata &lt;= rmap_registers_wr_i.reg_7_config.ccd1_pktorder_list_ptr(7 downto 0);</t>
  </si>
  <si>
    <t xml:space="preserve">      fee_rmap_o.readdata(3 downto 0) &lt;= rmap_registers_wr_i.reg_8_config.ccd1_win_size_y(5 downto 2);</t>
  </si>
  <si>
    <t xml:space="preserve">      fee_rmap_o.readdata(7 downto 4) &lt;= rmap_registers_wr_i.reg_8_config.reg_8_config_reserved;</t>
  </si>
  <si>
    <t xml:space="preserve">      fee_rmap_o.readdata(5 downto 0) &lt;= rmap_registers_wr_i.reg_8_config.ccd1_win_size_x;</t>
  </si>
  <si>
    <t xml:space="preserve">      fee_rmap_o.readdata(7 downto 6) &lt;= rmap_registers_wr_i.reg_8_config.ccd1_win_size_y(1 downto 0);</t>
  </si>
  <si>
    <t xml:space="preserve">      fee_rmap_o.readdata &lt;= rmap_registers_wr_i.reg_8_config.ccd1_win_list_length(15 downto 8);</t>
  </si>
  <si>
    <t xml:space="preserve">      fee_rmap_o.readdata &lt;= rmap_registers_wr_i.reg_8_config.ccd1_win_list_length(7 downto 0);</t>
  </si>
  <si>
    <t xml:space="preserve">      fee_rmap_o.readdata &lt;= rmap_registers_wr_i.reg_9_config.ccd2_win_list_ptr(31 downto 24);</t>
  </si>
  <si>
    <t xml:space="preserve">      fee_rmap_o.readdata &lt;= rmap_registers_wr_i.reg_9_config.ccd2_win_list_ptr(23 downto 16);</t>
  </si>
  <si>
    <t xml:space="preserve">      fee_rmap_o.readdata &lt;= rmap_registers_wr_i.reg_9_config.ccd2_win_list_ptr(15 downto 8);</t>
  </si>
  <si>
    <t xml:space="preserve">      fee_rmap_o.readdata &lt;= rmap_registers_wr_i.reg_9_config.ccd2_win_list_ptr(7 downto 0);</t>
  </si>
  <si>
    <t xml:space="preserve">      fee_rmap_o.readdata &lt;= rmap_registers_wr_i.reg_10_config.ccd2_pktorder_list_ptr(31 downto 24);</t>
  </si>
  <si>
    <t xml:space="preserve">      fee_rmap_o.readdata &lt;= rmap_registers_wr_i.reg_10_config.ccd2_pktorder_list_ptr(23 downto 16);</t>
  </si>
  <si>
    <t xml:space="preserve">      fee_rmap_o.readdata &lt;= rmap_registers_wr_i.reg_10_config.ccd2_pktorder_list_ptr(15 downto 8);</t>
  </si>
  <si>
    <t xml:space="preserve">      fee_rmap_o.readdata &lt;= rmap_registers_wr_i.reg_10_config.ccd2_pktorder_list_ptr(7 downto 0);</t>
  </si>
  <si>
    <t xml:space="preserve">      fee_rmap_o.readdata(3 downto 0) &lt;= rmap_registers_wr_i.reg_11_config.ccd2_win_size_y(5 downto 2);</t>
  </si>
  <si>
    <t xml:space="preserve">      fee_rmap_o.readdata(7 downto 4) &lt;= rmap_registers_wr_i.reg_11_config.reg_11_config_reserved;</t>
  </si>
  <si>
    <t xml:space="preserve">      fee_rmap_o.readdata(5 downto 0) &lt;= rmap_registers_wr_i.reg_11_config.ccd2_win_size_x;</t>
  </si>
  <si>
    <t xml:space="preserve">      fee_rmap_o.readdata(7 downto 6) &lt;= rmap_registers_wr_i.reg_11_config.ccd2_win_size_y(1 downto 0);</t>
  </si>
  <si>
    <t xml:space="preserve">      fee_rmap_o.readdata &lt;= rmap_registers_wr_i.reg_11_config.ccd2_win_list_length(15 downto 8);</t>
  </si>
  <si>
    <t xml:space="preserve">      fee_rmap_o.readdata &lt;= rmap_registers_wr_i.reg_11_config.ccd2_win_list_length(7 downto 0);</t>
  </si>
  <si>
    <t xml:space="preserve">      fee_rmap_o.readdata &lt;= rmap_registers_wr_i.reg_12_config.ccd3_win_list_ptr(31 downto 24);</t>
  </si>
  <si>
    <t xml:space="preserve">      fee_rmap_o.readdata &lt;= rmap_registers_wr_i.reg_12_config.ccd3_win_list_ptr(23 downto 16);</t>
  </si>
  <si>
    <t xml:space="preserve">      fee_rmap_o.readdata &lt;= rmap_registers_wr_i.reg_12_config.ccd3_win_list_ptr(15 downto 8);</t>
  </si>
  <si>
    <t xml:space="preserve">      fee_rmap_o.readdata &lt;= rmap_registers_wr_i.reg_12_config.ccd3_win_list_ptr(7 downto 0);</t>
  </si>
  <si>
    <t xml:space="preserve">      fee_rmap_o.readdata &lt;= rmap_registers_wr_i.reg_13_config.ccd3_pktorder_list_ptr(31 downto 24);</t>
  </si>
  <si>
    <t xml:space="preserve">      fee_rmap_o.readdata &lt;= rmap_registers_wr_i.reg_13_config.ccd3_pktorder_list_ptr(23 downto 16);</t>
  </si>
  <si>
    <t xml:space="preserve">      fee_rmap_o.readdata &lt;= rmap_registers_wr_i.reg_13_config.ccd3_pktorder_list_ptr(15 downto 8);</t>
  </si>
  <si>
    <t xml:space="preserve">      fee_rmap_o.readdata &lt;= rmap_registers_wr_i.reg_13_config.ccd3_pktorder_list_ptr(7 downto 0);</t>
  </si>
  <si>
    <t xml:space="preserve">      fee_rmap_o.readdata(3 downto 0) &lt;= rmap_registers_wr_i.reg_14_config.ccd3_win_size_y(5 downto 2);</t>
  </si>
  <si>
    <t xml:space="preserve">      fee_rmap_o.readdata(7 downto 4) &lt;= rmap_registers_wr_i.reg_14_config.reg_14_config_reserved;</t>
  </si>
  <si>
    <t xml:space="preserve">      fee_rmap_o.readdata(5 downto 0) &lt;= rmap_registers_wr_i.reg_14_config.ccd3_win_size_x;</t>
  </si>
  <si>
    <t xml:space="preserve">      fee_rmap_o.readdata(7 downto 6) &lt;= rmap_registers_wr_i.reg_14_config.ccd3_win_size_y(1 downto 0);</t>
  </si>
  <si>
    <t xml:space="preserve">      fee_rmap_o.readdata &lt;= rmap_registers_wr_i.reg_14_config.ccd3_win_list_length(15 downto 8);</t>
  </si>
  <si>
    <t xml:space="preserve">      fee_rmap_o.readdata &lt;= rmap_registers_wr_i.reg_14_config.ccd3_win_list_length(7 downto 0);</t>
  </si>
  <si>
    <t xml:space="preserve">      fee_rmap_o.readdata &lt;= rmap_registers_wr_i.reg_15_config.ccd4_win_list_ptr(31 downto 24);</t>
  </si>
  <si>
    <t xml:space="preserve">      fee_rmap_o.readdata &lt;= rmap_registers_wr_i.reg_15_config.ccd4_win_list_ptr(23 downto 16);</t>
  </si>
  <si>
    <t xml:space="preserve">      fee_rmap_o.readdata &lt;= rmap_registers_wr_i.reg_15_config.ccd4_win_list_ptr(15 downto 8);</t>
  </si>
  <si>
    <t xml:space="preserve">      fee_rmap_o.readdata &lt;= rmap_registers_wr_i.reg_15_config.ccd4_win_list_ptr(7 downto 0);</t>
  </si>
  <si>
    <t xml:space="preserve">      fee_rmap_o.readdata &lt;= rmap_registers_wr_i.reg_16_config.ccd4_pktorder_list_ptr(31 downto 24);</t>
  </si>
  <si>
    <t xml:space="preserve">      fee_rmap_o.readdata &lt;= rmap_registers_wr_i.reg_16_config.ccd4_pktorder_list_ptr(23 downto 16);</t>
  </si>
  <si>
    <t xml:space="preserve">      fee_rmap_o.readdata &lt;= rmap_registers_wr_i.reg_16_config.ccd4_pktorder_list_ptr(15 downto 8);</t>
  </si>
  <si>
    <t xml:space="preserve">      fee_rmap_o.readdata &lt;= rmap_registers_wr_i.reg_16_config.ccd4_pktorder_list_ptr(7 downto 0);</t>
  </si>
  <si>
    <t xml:space="preserve">      fee_rmap_o.readdata(3 downto 0) &lt;= rmap_registers_wr_i.reg_17_config.ccd4_win_size_y(5 downto 2);</t>
  </si>
  <si>
    <t xml:space="preserve">      fee_rmap_o.readdata(7 downto 4) &lt;= rmap_registers_wr_i.reg_17_config.reg_17_config_reserved;</t>
  </si>
  <si>
    <t xml:space="preserve">      fee_rmap_o.readdata(5 downto 0) &lt;= rmap_registers_wr_i.reg_17_config.ccd4_win_size_x;</t>
  </si>
  <si>
    <t xml:space="preserve">      fee_rmap_o.readdata(7 downto 6) &lt;= rmap_registers_wr_i.reg_17_config.ccd4_win_size_y(1 downto 0);</t>
  </si>
  <si>
    <t xml:space="preserve">      fee_rmap_o.readdata &lt;= rmap_registers_wr_i.reg_17_config.ccd4_win_list_length(15 downto 8);</t>
  </si>
  <si>
    <t xml:space="preserve">      fee_rmap_o.readdata &lt;= rmap_registers_wr_i.reg_17_config.ccd4_win_list_length(7 downto 0);</t>
  </si>
  <si>
    <t xml:space="preserve">      fee_rmap_o.readdata &lt;= rmap_registers_wr_i.reg_18_config.ccd2_vrd_config0;</t>
  </si>
  <si>
    <t xml:space="preserve">      fee_rmap_o.readdata &lt;= rmap_registers_wr_i.reg_18_config.ccd1_vrd_config(11 downto 4);</t>
  </si>
  <si>
    <t xml:space="preserve">      fee_rmap_o.readdata(3 downto 0) &lt;= rmap_registers_wr_i.reg_18_config.ccd_vod_config(11 downto 8);</t>
  </si>
  <si>
    <t xml:space="preserve">      fee_rmap_o.readdata(7 downto 4) &lt;= rmap_registers_wr_i.reg_18_config.ccd1_vrd_config(3 downto 0);</t>
  </si>
  <si>
    <t xml:space="preserve">      fee_rmap_o.readdata &lt;= rmap_registers_wr_i.reg_18_config.ccd_vod_config(7 downto 0);</t>
  </si>
  <si>
    <t xml:space="preserve">      fee_rmap_o.readdata(3 downto 0) &lt;= rmap_registers_wr_i.reg_19_config.ccd4_vrd_config(11 downto 8);</t>
  </si>
  <si>
    <t xml:space="preserve">      fee_rmap_o.readdata(7 downto 4) &lt;= rmap_registers_wr_i.reg_19_config.ccd_vgd_config0;</t>
  </si>
  <si>
    <t xml:space="preserve">      fee_rmap_o.readdata &lt;= rmap_registers_wr_i.reg_19_config.ccd4_vrd_config(7 downto 0);</t>
  </si>
  <si>
    <t xml:space="preserve">      fee_rmap_o.readdata &lt;= rmap_registers_wr_i.reg_19_config.ccd3_vrd_config(11 downto 4);</t>
  </si>
  <si>
    <t xml:space="preserve">      fee_rmap_o.readdata(3 downto 0) &lt;= rmap_registers_wr_i.reg_19_config.ccd2_vrd_config1;</t>
  </si>
  <si>
    <t xml:space="preserve">      fee_rmap_o.readdata(7 downto 4) &lt;= rmap_registers_wr_i.reg_19_config.ccd3_vrd_config(3 downto 0);</t>
  </si>
  <si>
    <t xml:space="preserve">      fee_rmap_o.readdata &lt;= rmap_registers_wr_i.reg_20_config.ccd_ig_hi_config(11 downto 4);</t>
  </si>
  <si>
    <t xml:space="preserve">      fee_rmap_o.readdata(3 downto 0) &lt;= rmap_registers_wr_i.reg_20_config.ccd_vog_config(11 downto 8);</t>
  </si>
  <si>
    <t xml:space="preserve">      fee_rmap_o.readdata(7 downto 4) &lt;= rmap_registers_wr_i.reg_20_config.ccd_ig_hi_config(3 downto 0);</t>
  </si>
  <si>
    <t xml:space="preserve">      fee_rmap_o.readdata &lt;= rmap_registers_wr_i.reg_20_config.ccd_vog_config(7 downto 0);</t>
  </si>
  <si>
    <t xml:space="preserve">      fee_rmap_o.readdata &lt;= rmap_registers_wr_i.reg_20_config.ccd_vgd_config1;</t>
  </si>
  <si>
    <t xml:space="preserve">      fee_rmap_o.readdata(3 downto 0) &lt;= rmap_registers_wr_i.reg_21_config.ccd_mode_config;</t>
  </si>
  <si>
    <t xml:space="preserve">      fee_rmap_o.readdata(6 downto 4) &lt;= rmap_registers_wr_i.reg_21_config.reg_21_config_reserved_1;</t>
  </si>
  <si>
    <t xml:space="preserve">      fee_rmap_o.readdata(7) &lt;= rmap_registers_wr_i.reg_21_config.clear_error_flag;</t>
  </si>
  <si>
    <t xml:space="preserve">      fee_rmap_o.readdata &lt;= rmap_registers_wr_i.reg_21_config.reg_21_config_reserved_0(11 downto 4);</t>
  </si>
  <si>
    <t xml:space="preserve">      fee_rmap_o.readdata(3 downto 0) &lt;= rmap_registers_wr_i.reg_21_config.ccd_ig_lo_config(11 downto 8);</t>
  </si>
  <si>
    <t xml:space="preserve">      fee_rmap_o.readdata(7 downto 4) &lt;= rmap_registers_wr_i.reg_21_config.reg_21_config_reserved_0(3 downto 0);</t>
  </si>
  <si>
    <t xml:space="preserve">      fee_rmap_o.readdata &lt;= rmap_registers_wr_i.reg_21_config.ccd_ig_lo_config(7 downto 0);</t>
  </si>
  <si>
    <t xml:space="preserve">      fee_rmap_o.readdata &lt;= rmap_registers_wr_i.reg_22_config.reg_22_config_reserved(31 downto 24);</t>
  </si>
  <si>
    <t xml:space="preserve">      fee_rmap_o.readdata &lt;= rmap_registers_wr_i.reg_22_config.reg_22_config_reserved(23 downto 16);</t>
  </si>
  <si>
    <t xml:space="preserve">      fee_rmap_o.readdata &lt;= rmap_registers_wr_i.reg_22_config.reg_22_config_reserved(15 downto 8);</t>
  </si>
  <si>
    <t xml:space="preserve">      fee_rmap_o.readdata &lt;= rmap_registers_wr_i.reg_22_config.reg_22_config_reserved(7 downto 0);</t>
  </si>
  <si>
    <t xml:space="preserve">      fee_rmap_o.readdata(5 downto 0) &lt;= rmap_registers_wr_i.reg_23_config.ccd2_last_e_packet(9 downto 4);</t>
  </si>
  <si>
    <t xml:space="preserve">      fee_rmap_o.readdata(7 downto 6) &lt;= rmap_registers_wr_i.reg_23_config.reg_23_config_reserved;</t>
  </si>
  <si>
    <t xml:space="preserve">      fee_rmap_o.readdata(3 downto 0) &lt;= rmap_registers_wr_i.reg_23_config.ccd1_last_f_packet(9 downto 6);</t>
  </si>
  <si>
    <t xml:space="preserve">      fee_rmap_o.readdata(7 downto 4) &lt;= rmap_registers_wr_i.reg_23_config.ccd2_last_e_packet(3 downto 0);</t>
  </si>
  <si>
    <t xml:space="preserve">      fee_rmap_o.readdata(1 downto 0) &lt;= rmap_registers_wr_i.reg_23_config.ccd1_last_e_packet(9 downto 8);</t>
  </si>
  <si>
    <t xml:space="preserve">      fee_rmap_o.readdata(7 downto 2) &lt;= rmap_registers_wr_i.reg_23_config.ccd1_last_f_packet(5 downto 0);</t>
  </si>
  <si>
    <t xml:space="preserve">      fee_rmap_o.readdata &lt;= rmap_registers_wr_i.reg_23_config.ccd1_last_e_packet(7 downto 0);</t>
  </si>
  <si>
    <t xml:space="preserve">      fee_rmap_o.readdata(5 downto 0) &lt;= rmap_registers_wr_i.reg_24_config.ccd3_last_f_packet(9 downto 4);</t>
  </si>
  <si>
    <t xml:space="preserve">      fee_rmap_o.readdata(7 downto 6) &lt;= rmap_registers_wr_i.reg_24_config.reg_24_config_reserved;</t>
  </si>
  <si>
    <t xml:space="preserve">      fee_rmap_o.readdata(3 downto 0) &lt;= rmap_registers_wr_i.reg_24_config.ccd3_last_e_packet(9 downto 6);</t>
  </si>
  <si>
    <t xml:space="preserve">      fee_rmap_o.readdata(7 downto 4) &lt;= rmap_registers_wr_i.reg_24_config.ccd3_last_f_packet(3 downto 0);</t>
  </si>
  <si>
    <t xml:space="preserve">      fee_rmap_o.readdata(1 downto 0) &lt;= rmap_registers_wr_i.reg_24_config.ccd2_last_f_packet(9 downto 8);</t>
  </si>
  <si>
    <t xml:space="preserve">      fee_rmap_o.readdata(7 downto 2) &lt;= rmap_registers_wr_i.reg_24_config.ccd3_last_e_packet(5 downto 0);</t>
  </si>
  <si>
    <t xml:space="preserve">      fee_rmap_o.readdata &lt;= rmap_registers_wr_i.reg_24_config.ccd2_last_f_packet(7 downto 0);</t>
  </si>
  <si>
    <t xml:space="preserve">      fee_rmap_o.readdata(5 downto 0) &lt;= rmap_registers_wr_i.reg_25_config.surface_inversion_counter(9 downto 4);</t>
  </si>
  <si>
    <t xml:space="preserve">      fee_rmap_o.readdata(7 downto 6) &lt;= rmap_registers_wr_i.reg_25_config.reg_25_config_reserved;</t>
  </si>
  <si>
    <t xml:space="preserve">      fee_rmap_o.readdata(3 downto 0) &lt;= rmap_registers_wr_i.reg_25_config.ccd4_last_f_packet(9 downto 6);</t>
  </si>
  <si>
    <t xml:space="preserve">      fee_rmap_o.readdata(7 downto 4) &lt;= rmap_registers_wr_i.reg_25_config.surface_inversion_counter(3 downto 0);</t>
  </si>
  <si>
    <t xml:space="preserve">      fee_rmap_o.readdata(1 downto 0) &lt;= rmap_registers_wr_i.reg_25_config.ccd4_last_e_packet(9 downto 8);</t>
  </si>
  <si>
    <t xml:space="preserve">      fee_rmap_o.readdata(7 downto 2) &lt;= rmap_registers_wr_i.reg_25_config.ccd4_last_f_packet(5 downto 0);</t>
  </si>
  <si>
    <t xml:space="preserve">      fee_rmap_o.readdata &lt;= rmap_registers_wr_i.reg_25_config.ccd4_last_e_packet(7 downto 0);</t>
  </si>
  <si>
    <t xml:space="preserve">      fee_rmap_o.readdata &lt;= rmap_registers_wr_i.reg_26_config.trap_pumping_shuffle_counter(15 downto 8);</t>
  </si>
  <si>
    <t xml:space="preserve">      fee_rmap_o.readdata &lt;= rmap_registers_wr_i.reg_26_config.trap_pumping_shuffle_counter(7 downto 0);</t>
  </si>
  <si>
    <t xml:space="preserve">      fee_rmap_o.readdata &lt;= rmap_registers_wr_i.reg_26_config.readout_pause_counter(15 downto 8);</t>
  </si>
  <si>
    <t xml:space="preserve">      fee_rmap_o.readdata &lt;= rmap_registers_wr_i.reg_26_config.readout_pause_counter(7 downto 0);</t>
  </si>
  <si>
    <t xml:space="preserve">      fee_rmap_o.readdata &lt;= rmap_registers_wr_i.reg_0_hk.tou_sense_1(15 downto 8);</t>
  </si>
  <si>
    <t xml:space="preserve">      fee_rmap_o.readdata &lt;= rmap_registers_wr_i.reg_0_hk.tou_sense_1(7 downto 0);</t>
  </si>
  <si>
    <t xml:space="preserve">      fee_rmap_o.readdata &lt;= rmap_registers_wr_i.reg_0_hk.tou_sense_2(15 downto 8);</t>
  </si>
  <si>
    <t xml:space="preserve">      fee_rmap_o.readdata &lt;= rmap_registers_wr_i.reg_0_hk.tou_sense_2(7 downto 0);</t>
  </si>
  <si>
    <t xml:space="preserve">      fee_rmap_o.readdata &lt;= rmap_registers_wr_i.reg_1_hk.tou_sense_3(15 downto 8);</t>
  </si>
  <si>
    <t xml:space="preserve">      fee_rmap_o.readdata &lt;= rmap_registers_wr_i.reg_1_hk.tou_sense_3(7 downto 0);</t>
  </si>
  <si>
    <t xml:space="preserve">      fee_rmap_o.readdata &lt;= rmap_registers_wr_i.reg_1_hk.tou_sense_4(15 downto 8);</t>
  </si>
  <si>
    <t xml:space="preserve">      fee_rmap_o.readdata &lt;= rmap_registers_wr_i.reg_1_hk.tou_sense_4(7 downto 0);</t>
  </si>
  <si>
    <t xml:space="preserve">      fee_rmap_o.readdata &lt;= rmap_registers_wr_i.reg_2_hk.tou_sense_5(15 downto 8);</t>
  </si>
  <si>
    <t xml:space="preserve">      fee_rmap_o.readdata &lt;= rmap_registers_wr_i.reg_2_hk.tou_sense_5(7 downto 0);</t>
  </si>
  <si>
    <t xml:space="preserve">      fee_rmap_o.readdata &lt;= rmap_registers_wr_i.reg_2_hk.tou_sense_6(15 downto 8);</t>
  </si>
  <si>
    <t xml:space="preserve">      fee_rmap_o.readdata &lt;= rmap_registers_wr_i.reg_2_hk.tou_sense_6(7 downto 0);</t>
  </si>
  <si>
    <t xml:space="preserve">      fee_rmap_o.readdata &lt;= rmap_registers_wr_i.reg_3_hk.ccd1_ts(15 downto 8);</t>
  </si>
  <si>
    <t xml:space="preserve">      fee_rmap_o.readdata &lt;= rmap_registers_wr_i.reg_3_hk.ccd1_ts(7 downto 0);</t>
  </si>
  <si>
    <t xml:space="preserve">      fee_rmap_o.readdata &lt;= rmap_registers_wr_i.reg_3_hk.ccd2_ts(15 downto 8);</t>
  </si>
  <si>
    <t xml:space="preserve">      fee_rmap_o.readdata &lt;= rmap_registers_wr_i.reg_3_hk.ccd2_ts(7 downto 0);</t>
  </si>
  <si>
    <t xml:space="preserve">      fee_rmap_o.readdata &lt;= rmap_registers_wr_i.reg_4_hk.ccd3_ts(15 downto 8);</t>
  </si>
  <si>
    <t xml:space="preserve">      fee_rmap_o.readdata &lt;= rmap_registers_wr_i.reg_4_hk.ccd3_ts(7 downto 0);</t>
  </si>
  <si>
    <t xml:space="preserve">      fee_rmap_o.readdata &lt;= rmap_registers_wr_i.reg_4_hk.ccd4_ts(15 downto 8);</t>
  </si>
  <si>
    <t xml:space="preserve">      fee_rmap_o.readdata &lt;= rmap_registers_wr_i.reg_4_hk.ccd4_ts(7 downto 0);</t>
  </si>
  <si>
    <t xml:space="preserve">      fee_rmap_o.readdata &lt;= rmap_registers_wr_i.reg_5_hk.prt1(15 downto 8);</t>
  </si>
  <si>
    <t xml:space="preserve">      fee_rmap_o.readdata &lt;= rmap_registers_wr_i.reg_5_hk.prt1(7 downto 0);</t>
  </si>
  <si>
    <t xml:space="preserve">      fee_rmap_o.readdata &lt;= rmap_registers_wr_i.reg_5_hk.prt2(15 downto 8);</t>
  </si>
  <si>
    <t xml:space="preserve">      fee_rmap_o.readdata &lt;= rmap_registers_wr_i.reg_5_hk.prt2(7 downto 0);</t>
  </si>
  <si>
    <t xml:space="preserve">      fee_rmap_o.readdata &lt;= rmap_registers_wr_i.reg_6_hk.prt3(15 downto 8);</t>
  </si>
  <si>
    <t xml:space="preserve">      fee_rmap_o.readdata &lt;= rmap_registers_wr_i.reg_6_hk.prt3(7 downto 0);</t>
  </si>
  <si>
    <t xml:space="preserve">      fee_rmap_o.readdata &lt;= rmap_registers_wr_i.reg_6_hk.prt4(15 downto 8);</t>
  </si>
  <si>
    <t xml:space="preserve">      fee_rmap_o.readdata &lt;= rmap_registers_wr_i.reg_6_hk.prt4(7 downto 0);</t>
  </si>
  <si>
    <t xml:space="preserve">      fee_rmap_o.readdata &lt;= rmap_registers_wr_i.reg_7_hk.prt5(15 downto 8);</t>
  </si>
  <si>
    <t xml:space="preserve">      fee_rmap_o.readdata &lt;= rmap_registers_wr_i.reg_7_hk.prt5(7 downto 0);</t>
  </si>
  <si>
    <t xml:space="preserve">      fee_rmap_o.readdata &lt;= rmap_registers_wr_i.reg_7_hk.zero_diff_amp(15 downto 8);</t>
  </si>
  <si>
    <t xml:space="preserve">      fee_rmap_o.readdata &lt;= rmap_registers_wr_i.reg_7_hk.zero_diff_amp(7 downto 0);</t>
  </si>
  <si>
    <t xml:space="preserve">      fee_rmap_o.readdata &lt;= rmap_registers_wr_i.reg_8_hk.ccd1_vod_mon(15 downto 8);</t>
  </si>
  <si>
    <t xml:space="preserve">      fee_rmap_o.readdata &lt;= rmap_registers_wr_i.reg_8_hk.ccd1_vod_mon(7 downto 0);</t>
  </si>
  <si>
    <t xml:space="preserve">      fee_rmap_o.readdata &lt;= rmap_registers_wr_i.reg_8_hk.ccd1_vog_mon(15 downto 8);</t>
  </si>
  <si>
    <t xml:space="preserve">      fee_rmap_o.readdata &lt;= rmap_registers_wr_i.reg_8_hk.ccd1_vog_mon(7 downto 0);</t>
  </si>
  <si>
    <t xml:space="preserve">      fee_rmap_o.readdata &lt;= rmap_registers_wr_i.reg_9_hk.ccd1_vrd_mon_e(15 downto 8);</t>
  </si>
  <si>
    <t xml:space="preserve">      fee_rmap_o.readdata &lt;= rmap_registers_wr_i.reg_9_hk.ccd1_vrd_mon_e(7 downto 0);</t>
  </si>
  <si>
    <t xml:space="preserve">      fee_rmap_o.readdata &lt;= rmap_registers_wr_i.reg_9_hk.ccd2_vod_mon(15 downto 8);</t>
  </si>
  <si>
    <t xml:space="preserve">      fee_rmap_o.readdata &lt;= rmap_registers_wr_i.reg_9_hk.ccd2_vod_mon(7 downto 0);</t>
  </si>
  <si>
    <t xml:space="preserve">      fee_rmap_o.readdata &lt;= rmap_registers_wr_i.reg_10_hk.ccd2_vog_mon(15 downto 8);</t>
  </si>
  <si>
    <t xml:space="preserve">      fee_rmap_o.readdata &lt;= rmap_registers_wr_i.reg_10_hk.ccd2_vog_mon(7 downto 0);</t>
  </si>
  <si>
    <t xml:space="preserve">      fee_rmap_o.readdata &lt;= rmap_registers_wr_i.reg_10_hk.ccd2_vrd_mon_e(15 downto 8);</t>
  </si>
  <si>
    <t xml:space="preserve">      fee_rmap_o.readdata &lt;= rmap_registers_wr_i.reg_10_hk.ccd2_vrd_mon_e(7 downto 0);</t>
  </si>
  <si>
    <t xml:space="preserve">      fee_rmap_o.readdata &lt;= rmap_registers_wr_i.reg_11_hk.ccd3_vod_mon(15 downto 8);</t>
  </si>
  <si>
    <t xml:space="preserve">      fee_rmap_o.readdata &lt;= rmap_registers_wr_i.reg_11_hk.ccd3_vod_mon(7 downto 0);</t>
  </si>
  <si>
    <t xml:space="preserve">      fee_rmap_o.readdata &lt;= rmap_registers_wr_i.reg_11_hk.ccd3_vog_mon(15 downto 8);</t>
  </si>
  <si>
    <t xml:space="preserve">      fee_rmap_o.readdata &lt;= rmap_registers_wr_i.reg_11_hk.ccd3_vog_mon(7 downto 0);</t>
  </si>
  <si>
    <t xml:space="preserve">      fee_rmap_o.readdata &lt;= rmap_registers_wr_i.reg_12_hk.ccd3_vrd_mon_e(15 downto 8);</t>
  </si>
  <si>
    <t xml:space="preserve">      fee_rmap_o.readdata &lt;= rmap_registers_wr_i.reg_12_hk.ccd3_vrd_mon_e(7 downto 0);</t>
  </si>
  <si>
    <t xml:space="preserve">      fee_rmap_o.readdata &lt;= rmap_registers_wr_i.reg_12_hk.ccd4_vod_mon(15 downto 8);</t>
  </si>
  <si>
    <t xml:space="preserve">      fee_rmap_o.readdata &lt;= rmap_registers_wr_i.reg_12_hk.ccd4_vod_mon(7 downto 0);</t>
  </si>
  <si>
    <t xml:space="preserve">      fee_rmap_o.readdata &lt;= rmap_registers_wr_i.reg_13_hk.ccd4_vog_mon(15 downto 8);</t>
  </si>
  <si>
    <t xml:space="preserve">      fee_rmap_o.readdata &lt;= rmap_registers_wr_i.reg_13_hk.ccd4_vog_mon(7 downto 0);</t>
  </si>
  <si>
    <t xml:space="preserve">      fee_rmap_o.readdata &lt;= rmap_registers_wr_i.reg_13_hk.ccd4_vrd_mon_e(15 downto 8);</t>
  </si>
  <si>
    <t xml:space="preserve">      fee_rmap_o.readdata &lt;= rmap_registers_wr_i.reg_13_hk.ccd4_vrd_mon_e(7 downto 0);</t>
  </si>
  <si>
    <t xml:space="preserve">      fee_rmap_o.readdata &lt;= rmap_registers_wr_i.reg_14_hk.vccd(15 downto 8);</t>
  </si>
  <si>
    <t xml:space="preserve">      fee_rmap_o.readdata &lt;= rmap_registers_wr_i.reg_14_hk.vccd(7 downto 0);</t>
  </si>
  <si>
    <t xml:space="preserve">      fee_rmap_o.readdata &lt;= rmap_registers_wr_i.reg_14_hk.vrclk_mon(15 downto 8);</t>
  </si>
  <si>
    <t xml:space="preserve">      fee_rmap_o.readdata &lt;= rmap_registers_wr_i.reg_14_hk.vrclk_mon(7 downto 0);</t>
  </si>
  <si>
    <t xml:space="preserve">      fee_rmap_o.readdata &lt;= rmap_registers_wr_i.reg_15_hk.viclk(15 downto 8);</t>
  </si>
  <si>
    <t xml:space="preserve">      fee_rmap_o.readdata &lt;= rmap_registers_wr_i.reg_15_hk.viclk(7 downto 0);</t>
  </si>
  <si>
    <t xml:space="preserve">      fee_rmap_o.readdata &lt;= rmap_registers_wr_i.reg_15_hk.vrclk_low(15 downto 8);</t>
  </si>
  <si>
    <t xml:space="preserve">      fee_rmap_o.readdata &lt;= rmap_registers_wr_i.reg_15_hk.vrclk_low(7 downto 0);</t>
  </si>
  <si>
    <t xml:space="preserve">      fee_rmap_o.readdata &lt;= rmap_registers_wr_i.reg_16_hk.d5vb_pos_mon(15 downto 8);</t>
  </si>
  <si>
    <t xml:space="preserve">      fee_rmap_o.readdata &lt;= rmap_registers_wr_i.reg_16_hk.d5vb_pos_mon(7 downto 0);</t>
  </si>
  <si>
    <t xml:space="preserve">      fee_rmap_o.readdata &lt;= rmap_registers_wr_i.reg_16_hk.d5vb_neg_mon(15 downto 8);</t>
  </si>
  <si>
    <t xml:space="preserve">      fee_rmap_o.readdata &lt;= rmap_registers_wr_i.reg_16_hk.d5vb_neg_mon(7 downto 0);</t>
  </si>
  <si>
    <t xml:space="preserve">      fee_rmap_o.readdata &lt;= rmap_registers_wr_i.reg_17_hk.d3v3b_mon(15 downto 8);</t>
  </si>
  <si>
    <t xml:space="preserve">      fee_rmap_o.readdata &lt;= rmap_registers_wr_i.reg_17_hk.d3v3b_mon(7 downto 0);</t>
  </si>
  <si>
    <t xml:space="preserve">      fee_rmap_o.readdata &lt;= rmap_registers_wr_i.reg_17_hk.d2v5a_mon(15 downto 8);</t>
  </si>
  <si>
    <t xml:space="preserve">      fee_rmap_o.readdata &lt;= rmap_registers_wr_i.reg_17_hk.d2v5a_mon(7 downto 0);</t>
  </si>
  <si>
    <t xml:space="preserve">      fee_rmap_o.readdata &lt;= rmap_registers_wr_i.reg_18_hk.d3v3d_mon(15 downto 8);</t>
  </si>
  <si>
    <t xml:space="preserve">      fee_rmap_o.readdata &lt;= rmap_registers_wr_i.reg_18_hk.d3v3d_mon(7 downto 0);</t>
  </si>
  <si>
    <t xml:space="preserve">      fee_rmap_o.readdata &lt;= rmap_registers_wr_i.reg_18_hk.d2v5d_mon(15 downto 8);</t>
  </si>
  <si>
    <t xml:space="preserve">      fee_rmap_o.readdata &lt;= rmap_registers_wr_i.reg_18_hk.d2v5d_mon(7 downto 0);</t>
  </si>
  <si>
    <t xml:space="preserve">      fee_rmap_o.readdata &lt;= rmap_registers_wr_i.reg_19_hk.d1v5d_mon(15 downto 8);</t>
  </si>
  <si>
    <t xml:space="preserve">      fee_rmap_o.readdata &lt;= rmap_registers_wr_i.reg_19_hk.d1v5d_mon(7 downto 0);</t>
  </si>
  <si>
    <t xml:space="preserve">      fee_rmap_o.readdata &lt;= rmap_registers_wr_i.reg_19_hk.d5vref_mon(15 downto 8);</t>
  </si>
  <si>
    <t xml:space="preserve">      fee_rmap_o.readdata &lt;= rmap_registers_wr_i.reg_19_hk.d5vref_mon(7 downto 0);</t>
  </si>
  <si>
    <t xml:space="preserve">      fee_rmap_o.readdata &lt;= rmap_registers_wr_i.reg_20_hk.vccd_pos_raw(15 downto 8);</t>
  </si>
  <si>
    <t xml:space="preserve">      fee_rmap_o.readdata &lt;= rmap_registers_wr_i.reg_20_hk.vccd_pos_raw(7 downto 0);</t>
  </si>
  <si>
    <t xml:space="preserve">      fee_rmap_o.readdata &lt;= rmap_registers_wr_i.reg_20_hk.vclk_pos_raw(15 downto 8);</t>
  </si>
  <si>
    <t xml:space="preserve">      fee_rmap_o.readdata &lt;= rmap_registers_wr_i.reg_20_hk.vclk_pos_raw(7 downto 0);</t>
  </si>
  <si>
    <t xml:space="preserve">      fee_rmap_o.readdata &lt;= rmap_registers_wr_i.reg_21_hk.van1_pos_raw(15 downto 8);</t>
  </si>
  <si>
    <t xml:space="preserve">      fee_rmap_o.readdata &lt;= rmap_registers_wr_i.reg_21_hk.van1_pos_raw(7 downto 0);</t>
  </si>
  <si>
    <t xml:space="preserve">      fee_rmap_o.readdata &lt;= rmap_registers_wr_i.reg_21_hk.van3_neg_mon(15 downto 8);</t>
  </si>
  <si>
    <t xml:space="preserve">      fee_rmap_o.readdata &lt;= rmap_registers_wr_i.reg_21_hk.van3_neg_mon(7 downto 0);</t>
  </si>
  <si>
    <t xml:space="preserve">      fee_rmap_o.readdata &lt;= rmap_registers_wr_i.reg_22_hk.van2_pos_raw(15 downto 8);</t>
  </si>
  <si>
    <t xml:space="preserve">      fee_rmap_o.readdata &lt;= rmap_registers_wr_i.reg_22_hk.van2_pos_raw(7 downto 0);</t>
  </si>
  <si>
    <t xml:space="preserve">      fee_rmap_o.readdata &lt;= rmap_registers_wr_i.reg_22_hk.vdig_raw(15 downto 8);</t>
  </si>
  <si>
    <t xml:space="preserve">      fee_rmap_o.readdata &lt;= rmap_registers_wr_i.reg_22_hk.vdig_raw(7 downto 0);</t>
  </si>
  <si>
    <t xml:space="preserve">      fee_rmap_o.readdata &lt;= rmap_registers_wr_i.reg_23_hk.vdig_raw_2(15 downto 8);</t>
  </si>
  <si>
    <t xml:space="preserve">      fee_rmap_o.readdata &lt;= rmap_registers_wr_i.reg_23_hk.vdig_raw_2(7 downto 0);</t>
  </si>
  <si>
    <t xml:space="preserve">      fee_rmap_o.readdata &lt;= rmap_registers_wr_i.reg_23_hk.viclk_low(15 downto 8);</t>
  </si>
  <si>
    <t xml:space="preserve">      fee_rmap_o.readdata &lt;= rmap_registers_wr_i.reg_23_hk.viclk_low(7 downto 0);</t>
  </si>
  <si>
    <t xml:space="preserve">      fee_rmap_o.readdata &lt;= rmap_registers_wr_i.reg_24_hk.ccd1_vrd_mon_f(15 downto 8);</t>
  </si>
  <si>
    <t xml:space="preserve">      fee_rmap_o.readdata &lt;= rmap_registers_wr_i.reg_24_hk.ccd1_vrd_mon_f(7 downto 0);</t>
  </si>
  <si>
    <t xml:space="preserve">      fee_rmap_o.readdata &lt;= rmap_registers_wr_i.reg_24_hk.ccd1_vdd_mon(15 downto 8);</t>
  </si>
  <si>
    <t xml:space="preserve">      fee_rmap_o.readdata &lt;= rmap_registers_wr_i.reg_24_hk.ccd1_vdd_mon(7 downto 0);</t>
  </si>
  <si>
    <t xml:space="preserve">      fee_rmap_o.readdata &lt;= rmap_registers_wr_i.reg_25_hk.ccd1_vgd_mon(15 downto 8);</t>
  </si>
  <si>
    <t xml:space="preserve">      fee_rmap_o.readdata &lt;= rmap_registers_wr_i.reg_25_hk.ccd1_vgd_mon(7 downto 0);</t>
  </si>
  <si>
    <t xml:space="preserve">      fee_rmap_o.readdata &lt;= rmap_registers_wr_i.reg_25_hk.ccd2_vrd_mon_f(15 downto 8);</t>
  </si>
  <si>
    <t xml:space="preserve">      fee_rmap_o.readdata &lt;= rmap_registers_wr_i.reg_25_hk.ccd2_vrd_mon_f(7 downto 0);</t>
  </si>
  <si>
    <t xml:space="preserve">      fee_rmap_o.readdata &lt;= rmap_registers_wr_i.reg_26_hk.ccd2_vdd_mon(15 downto 8);</t>
  </si>
  <si>
    <t xml:space="preserve">      fee_rmap_o.readdata &lt;= rmap_registers_wr_i.reg_26_hk.ccd2_vdd_mon(7 downto 0);</t>
  </si>
  <si>
    <t xml:space="preserve">      fee_rmap_o.readdata &lt;= rmap_registers_wr_i.reg_26_hk.ccd2_vgd_mon(15 downto 8);</t>
  </si>
  <si>
    <t xml:space="preserve">      fee_rmap_o.readdata &lt;= rmap_registers_wr_i.reg_26_hk.ccd2_vgd_mon(7 downto 0);</t>
  </si>
  <si>
    <t xml:space="preserve">      fee_rmap_o.readdata &lt;= rmap_registers_wr_i.reg_27_hk.ccd3_vrd_mon_f(15 downto 8);</t>
  </si>
  <si>
    <t xml:space="preserve">      fee_rmap_o.readdata &lt;= rmap_registers_wr_i.reg_27_hk.ccd3_vrd_mon_f(7 downto 0);</t>
  </si>
  <si>
    <t xml:space="preserve">      fee_rmap_o.readdata &lt;= rmap_registers_wr_i.reg_27_hk.ccd3_vdd_mon(15 downto 8);</t>
  </si>
  <si>
    <t xml:space="preserve">      fee_rmap_o.readdata &lt;= rmap_registers_wr_i.reg_27_hk.ccd3_vdd_mon(7 downto 0);</t>
  </si>
  <si>
    <t xml:space="preserve">      fee_rmap_o.readdata &lt;= rmap_registers_wr_i.reg_28_hk.ccd3_vgd_mon(15 downto 8);</t>
  </si>
  <si>
    <t xml:space="preserve">      fee_rmap_o.readdata &lt;= rmap_registers_wr_i.reg_28_hk.ccd3_vgd_mon(7 downto 0);</t>
  </si>
  <si>
    <t xml:space="preserve">      fee_rmap_o.readdata &lt;= rmap_registers_wr_i.reg_28_hk.ccd4_vrd_mon_f(15 downto 8);</t>
  </si>
  <si>
    <t xml:space="preserve">      fee_rmap_o.readdata &lt;= rmap_registers_wr_i.reg_28_hk.ccd4_vrd_mon_f(7 downto 0);</t>
  </si>
  <si>
    <t xml:space="preserve">      fee_rmap_o.readdata &lt;= rmap_registers_wr_i.reg_29_hk.ccd4_vdd_mon(15 downto 8);</t>
  </si>
  <si>
    <t xml:space="preserve">      fee_rmap_o.readdata &lt;= rmap_registers_wr_i.reg_29_hk.ccd4_vdd_mon(7 downto 0);</t>
  </si>
  <si>
    <t xml:space="preserve">      fee_rmap_o.readdata &lt;= rmap_registers_wr_i.reg_29_hk.ccd4_vgd_mon(15 downto 8);</t>
  </si>
  <si>
    <t xml:space="preserve">      fee_rmap_o.readdata &lt;= rmap_registers_wr_i.reg_29_hk.ccd4_vgd_mon(7 downto 0);</t>
  </si>
  <si>
    <t xml:space="preserve">      fee_rmap_o.readdata &lt;= rmap_registers_wr_i.reg_30_hk.ig_hi_mon(15 downto 8);</t>
  </si>
  <si>
    <t xml:space="preserve">      fee_rmap_o.readdata &lt;= rmap_registers_wr_i.reg_30_hk.ig_hi_mon(7 downto 0);</t>
  </si>
  <si>
    <t xml:space="preserve">      fee_rmap_o.readdata &lt;= rmap_registers_wr_i.reg_30_hk.ig_lo_mon(15 downto 8);</t>
  </si>
  <si>
    <t xml:space="preserve">      fee_rmap_o.readdata &lt;= rmap_registers_wr_i.reg_30_hk.ig_lo_mon(7 downto 0);</t>
  </si>
  <si>
    <t xml:space="preserve">      fee_rmap_o.readdata &lt;= rmap_registers_wr_i.reg_31_hk.tsense_a(15 downto 8);</t>
  </si>
  <si>
    <t xml:space="preserve">      fee_rmap_o.readdata &lt;= rmap_registers_wr_i.reg_31_hk.tsense_a(7 downto 0);</t>
  </si>
  <si>
    <t xml:space="preserve">      fee_rmap_o.readdata &lt;= rmap_registers_wr_i.reg_31_hk.tsense_b(15 downto 8);</t>
  </si>
  <si>
    <t xml:space="preserve">      fee_rmap_o.readdata &lt;= rmap_registers_wr_i.reg_31_hk.tsense_b(7 downto 0);</t>
  </si>
  <si>
    <t xml:space="preserve">      fee_rmap_o.readdata &lt;= rmap_registers_wr_i.reg_32_hk.reg_32_hk_reserved;</t>
  </si>
  <si>
    <t xml:space="preserve">      fee_rmap_o.readdata &lt;= rmap_registers_rd_i.reg_32_hk.spw_status_timecode_from_spw;</t>
  </si>
  <si>
    <t xml:space="preserve">      fee_rmap_o.readdata &lt;= rmap_registers_rd_i.reg_32_hk.spw_status_rmap_target_status;</t>
  </si>
  <si>
    <t xml:space="preserve">      fee_rmap_o.readdata(0) &lt;= rmap_registers_rd_i.reg_32_hk.spw_status_stat_link_running;</t>
  </si>
  <si>
    <t xml:space="preserve">      fee_rmap_o.readdata(1) &lt;= rmap_registers_rd_i.reg_32_hk.spw_status_stat_link_disconnect;</t>
  </si>
  <si>
    <t xml:space="preserve">      fee_rmap_o.readdata(2) &lt;= rmap_registers_rd_i.reg_32_hk.spw_status_stat_link_parity_error;</t>
  </si>
  <si>
    <t xml:space="preserve">      fee_rmap_o.readdata(3) &lt;= rmap_registers_rd_i.reg_32_hk.spw_status_stat_link_credit_error;</t>
  </si>
  <si>
    <t xml:space="preserve">      fee_rmap_o.readdata(4) &lt;= rmap_registers_rd_i.reg_32_hk.spw_status_stat_link_escape_error;</t>
  </si>
  <si>
    <t xml:space="preserve">      fee_rmap_o.readdata(5) &lt;= rmap_registers_rd_i.reg_32_hk.spw_status_rmap_target_indicate;</t>
  </si>
  <si>
    <t xml:space="preserve">      fee_rmap_o.readdata(7 downto 6) &lt;= rmap_registers_wr_i.reg_32_hk.spw_status_spw_status_reserved;</t>
  </si>
  <si>
    <t xml:space="preserve">      fee_rmap_o.readdata &lt;= rmap_registers_rd_i.reg_33_hk.frame_counter(15 downto 8);</t>
  </si>
  <si>
    <t xml:space="preserve">      fee_rmap_o.readdata &lt;= rmap_registers_rd_i.reg_33_hk.frame_counter(7 downto 0);</t>
  </si>
  <si>
    <t xml:space="preserve">      fee_rmap_o.readdata &lt;= rmap_registers_wr_i.reg_33_hk.reg_33_hk_reserved(9 downto 2);</t>
  </si>
  <si>
    <t xml:space="preserve">      fee_rmap_o.readdata(1 downto 0) &lt;= rmap_registers_rd_i.reg_33_hk.frame_number;</t>
  </si>
  <si>
    <t xml:space="preserve">      fee_rmap_o.readdata(5 downto 2) &lt;= rmap_registers_wr_i.reg_33_hk.op_mode;</t>
  </si>
  <si>
    <t xml:space="preserve">      fee_rmap_o.readdata(7 downto 6) &lt;= rmap_registers_wr_i.reg_33_hk.reg_33_hk_reserved(1 downto 0);</t>
  </si>
  <si>
    <t xml:space="preserve">      fee_rmap_o.readdata &lt;= rmap_registers_wr_i.reg_34_hk.error_flags_error_flags_reserved(26 downto 19);</t>
  </si>
  <si>
    <t xml:space="preserve">      fee_rmap_o.readdata &lt;= rmap_registers_wr_i.reg_34_hk.error_flags_error_flags_reserved(18 downto 11);</t>
  </si>
  <si>
    <t xml:space="preserve">      fee_rmap_o.readdata &lt;= rmap_registers_wr_i.reg_34_hk.error_flags_error_flags_reserved(10 downto 3);</t>
  </si>
  <si>
    <t xml:space="preserve">      fee_rmap_o.readdata(0) &lt;= rmap_registers_rd_i.reg_34_hk.error_flags_window_pixels_fall_outside_cdd_boundary_due_to_wrong_x_coordinate;</t>
  </si>
  <si>
    <t xml:space="preserve">      fee_rmap_o.readdata(1) &lt;= rmap_registers_rd_i.reg_34_hk.error_flags_window_pixels_fall_outside_cdd_boundary_due_to_wrong_y_coordinate;</t>
  </si>
  <si>
    <t xml:space="preserve">      fee_rmap_o.readdata(2) &lt;= rmap_registers_rd_i.reg_34_hk.error_flags_e_side_pixel_external_sram_buffer_is_full;</t>
  </si>
  <si>
    <t xml:space="preserve">      fee_rmap_o.readdata(3) &lt;= rmap_registers_rd_i.reg_34_hk.error_flags_f_side_pixel_external_sram_buffer_is_full;</t>
  </si>
  <si>
    <t xml:space="preserve">      fee_rmap_o.readdata(4) &lt;= rmap_registers_rd_i.reg_34_hk.error_flags_invalid_ccd_mode;</t>
  </si>
  <si>
    <t xml:space="preserve">      fee_rmap_o.readdata(7 downto 5) &lt;= rmap_registers_wr_i.reg_34_hk.error_flags_error_flags_reserved(2 downto 0);</t>
  </si>
  <si>
    <t xml:space="preserve">      fee_rmap_o.readdata &lt;= rmap_registers_wr_i.reg_35_hk.reg_35_hk_reserved(10 downto 3);</t>
  </si>
  <si>
    <t xml:space="preserve">      fee_rmap_o.readdata(4 downto 0) &lt;= rmap_registers_wr_i.reg_35_hk.board_id(8 downto 4);</t>
  </si>
  <si>
    <t xml:space="preserve">      fee_rmap_o.readdata(7 downto 5) &lt;= rmap_registers_wr_i.reg_35_hk.reg_35_hk_reserved(2 downto 0);</t>
  </si>
  <si>
    <t xml:space="preserve">      fee_rmap_o.readdata(3 downto 0) &lt;= rmap_registers_wr_i.reg_35_hk.fpga_major_version;</t>
  </si>
  <si>
    <t xml:space="preserve">      fee_rmap_o.readdata(7 downto 4) &lt;= rmap_registers_wr_i.reg_35_hk.board_id(3 downto 0);</t>
  </si>
  <si>
    <t xml:space="preserve">      fee_rmap_o.readdata &lt;= rmap_registers_wr_i.reg_35_hk.fpga_minor_version;</t>
  </si>
  <si>
    <t xml:space="preserve">    fee_rmap_o.readdata &lt;= (others =&gt; '0');</t>
  </si>
  <si>
    <t>CCD Readout Enable Field</t>
  </si>
  <si>
    <t>ccd_read_en</t>
  </si>
  <si>
    <t xml:space="preserve">      -- RMAP Area Config Register 5 : CCD Readout Enable Field</t>
  </si>
  <si>
    <t xml:space="preserve">      fee_rmap_o.readdata(1) &lt;= rmap_registers_wr_i.reg_5_config.ccd_read_en;</t>
  </si>
  <si>
    <t xml:space="preserve">      fee_rmap_o.readdata(7 downto 2) &lt;= rmap_registers_wr_i.reg_5_config.reg_5_config_reserved;</t>
  </si>
  <si>
    <t xml:space="preserve">      rmap_registers_wr_o.reg_5_config.ccd_read_en &lt;= fee_rmap_i.writedata(1);</t>
  </si>
  <si>
    <t xml:space="preserve">      rmap_registers_wr_o.reg_5_config.reg_5_config_reserved &lt;= fee_rmap_i.writedata(7 downto 2);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</si>
</sst>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X175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27.7109375" style="3" bestFit="1" customWidth="1"/>
    <col min="3" max="3" width="76.7109375" style="3" bestFit="1" customWidth="1"/>
    <col min="4" max="4" width="6.28515625" style="3" bestFit="1" customWidth="1"/>
    <col min="5" max="5" width="27.5703125" style="3" bestFit="1" customWidth="1"/>
    <col min="6" max="6" width="14.140625" style="3" bestFit="1" customWidth="1"/>
    <col min="7" max="7" width="22.5703125" style="3" bestFit="1" customWidth="1"/>
    <col min="8" max="8" width="72.28515625" style="3" bestFit="1" customWidth="1"/>
    <col min="9" max="9" width="9.42578125" style="3" bestFit="1" customWidth="1"/>
    <col min="10" max="10" width="8.5703125" style="3" bestFit="1" customWidth="1"/>
    <col min="11" max="11" width="39.28515625" style="3" bestFit="1" customWidth="1"/>
    <col min="12" max="12" width="11.140625" style="3" bestFit="1" customWidth="1"/>
    <col min="13" max="14" width="16" style="3" bestFit="1" customWidth="1"/>
    <col min="15" max="15" width="16.7109375" style="3" customWidth="1"/>
    <col min="16" max="16" width="16.42578125" style="3" customWidth="1"/>
    <col min="17" max="38" width="7.42578125" style="3" customWidth="1"/>
    <col min="39" max="48" width="6.42578125" style="3" customWidth="1"/>
    <col min="49" max="52" width="6.42578125" bestFit="1" customWidth="1"/>
    <col min="53" max="56" width="6.42578125" style="3" bestFit="1" customWidth="1"/>
    <col min="57" max="60" width="8.42578125" style="3" bestFit="1" customWidth="1"/>
    <col min="61" max="61" width="16.28515625" style="3" bestFit="1" customWidth="1"/>
    <col min="62" max="62" width="17.28515625" style="3" bestFit="1" customWidth="1"/>
    <col min="63" max="64" width="18.28515625" style="3" bestFit="1" customWidth="1"/>
    <col min="65" max="68" width="10.7109375" style="3" customWidth="1"/>
    <col min="69" max="72" width="14.42578125" style="3" customWidth="1"/>
  </cols>
  <sheetData>
    <row r="1" spans="1:73" x14ac:dyDescent="0.25">
      <c r="A1" s="3"/>
      <c r="AW1" s="3"/>
      <c r="AX1" s="3"/>
      <c r="AY1" s="3"/>
      <c r="AZ1" s="3"/>
      <c r="BU1" s="3"/>
    </row>
    <row r="2" spans="1:73" x14ac:dyDescent="0.25">
      <c r="A2" s="3"/>
      <c r="B2" s="2" t="s">
        <v>17</v>
      </c>
      <c r="C2" s="2" t="s">
        <v>18</v>
      </c>
      <c r="D2" s="2" t="s">
        <v>1</v>
      </c>
      <c r="E2" s="5" t="s">
        <v>26</v>
      </c>
      <c r="F2" s="5" t="s">
        <v>2</v>
      </c>
      <c r="G2" s="5" t="s">
        <v>4</v>
      </c>
      <c r="H2" s="17" t="s">
        <v>3</v>
      </c>
      <c r="I2" s="14" t="s">
        <v>25</v>
      </c>
      <c r="J2" s="2" t="s">
        <v>19</v>
      </c>
      <c r="K2" s="5" t="s">
        <v>55</v>
      </c>
      <c r="L2" s="6" t="s">
        <v>56</v>
      </c>
      <c r="M2" s="5" t="s">
        <v>53</v>
      </c>
      <c r="N2" s="2" t="s">
        <v>656</v>
      </c>
      <c r="O2" s="15" t="s">
        <v>650</v>
      </c>
      <c r="P2" s="15" t="s">
        <v>651</v>
      </c>
      <c r="Q2" s="20" t="s">
        <v>654</v>
      </c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0"/>
      <c r="AV2" s="20"/>
      <c r="AW2" s="20" t="s">
        <v>655</v>
      </c>
      <c r="AX2" s="20"/>
      <c r="AY2" s="20"/>
      <c r="AZ2" s="20"/>
      <c r="BA2" s="20" t="s">
        <v>54</v>
      </c>
      <c r="BB2" s="20"/>
      <c r="BC2" s="20"/>
      <c r="BD2" s="20"/>
      <c r="BE2" s="20" t="s">
        <v>652</v>
      </c>
      <c r="BF2" s="20"/>
      <c r="BG2" s="20"/>
      <c r="BH2" s="20"/>
      <c r="BI2" s="20" t="s">
        <v>661</v>
      </c>
      <c r="BJ2" s="20"/>
      <c r="BK2" s="20"/>
      <c r="BL2" s="20"/>
      <c r="BM2" s="20" t="s">
        <v>653</v>
      </c>
      <c r="BN2" s="20"/>
      <c r="BO2" s="20"/>
      <c r="BP2" s="20"/>
      <c r="BQ2" s="20" t="s">
        <v>13</v>
      </c>
      <c r="BR2" s="20"/>
      <c r="BS2" s="20"/>
      <c r="BT2" s="20"/>
      <c r="BU2" s="10" t="s">
        <v>60</v>
      </c>
    </row>
    <row r="3" spans="1:73" x14ac:dyDescent="0.25">
      <c r="A3" s="3"/>
      <c r="B3" s="5" t="s">
        <v>23</v>
      </c>
      <c r="C3" s="5" t="s">
        <v>23</v>
      </c>
      <c r="D3" s="5" t="s">
        <v>23</v>
      </c>
      <c r="E3" s="5" t="s">
        <v>23</v>
      </c>
      <c r="F3" s="5" t="s">
        <v>23</v>
      </c>
      <c r="G3" s="5" t="s">
        <v>23</v>
      </c>
      <c r="H3" s="17" t="s">
        <v>23</v>
      </c>
      <c r="I3" s="14"/>
      <c r="J3" s="5" t="s">
        <v>23</v>
      </c>
      <c r="K3" s="5" t="s">
        <v>23</v>
      </c>
      <c r="L3" s="6" t="s">
        <v>23</v>
      </c>
      <c r="M3" s="5" t="s">
        <v>23</v>
      </c>
      <c r="N3" s="5" t="s">
        <v>23</v>
      </c>
      <c r="O3" s="18" t="s">
        <v>23</v>
      </c>
      <c r="P3" s="18" t="s">
        <v>23</v>
      </c>
      <c r="Q3" s="18">
        <v>31</v>
      </c>
      <c r="R3" s="18">
        <v>30</v>
      </c>
      <c r="S3" s="18">
        <v>29</v>
      </c>
      <c r="T3" s="18">
        <v>28</v>
      </c>
      <c r="U3" s="18">
        <v>27</v>
      </c>
      <c r="V3" s="18">
        <v>26</v>
      </c>
      <c r="W3" s="18">
        <v>25</v>
      </c>
      <c r="X3" s="18">
        <v>24</v>
      </c>
      <c r="Y3" s="18">
        <v>23</v>
      </c>
      <c r="Z3" s="18">
        <v>22</v>
      </c>
      <c r="AA3" s="18">
        <v>21</v>
      </c>
      <c r="AB3" s="18">
        <v>20</v>
      </c>
      <c r="AC3" s="18">
        <v>19</v>
      </c>
      <c r="AD3" s="18">
        <v>18</v>
      </c>
      <c r="AE3" s="18">
        <v>17</v>
      </c>
      <c r="AF3" s="18">
        <v>16</v>
      </c>
      <c r="AG3" s="18">
        <v>15</v>
      </c>
      <c r="AH3" s="18">
        <v>14</v>
      </c>
      <c r="AI3" s="18">
        <v>13</v>
      </c>
      <c r="AJ3" s="18">
        <v>12</v>
      </c>
      <c r="AK3" s="18">
        <v>11</v>
      </c>
      <c r="AL3" s="18">
        <v>10</v>
      </c>
      <c r="AM3" s="18">
        <v>9</v>
      </c>
      <c r="AN3" s="18">
        <v>8</v>
      </c>
      <c r="AO3" s="18">
        <v>7</v>
      </c>
      <c r="AP3" s="18">
        <v>6</v>
      </c>
      <c r="AQ3" s="18">
        <v>5</v>
      </c>
      <c r="AR3" s="18">
        <v>4</v>
      </c>
      <c r="AS3" s="18">
        <v>3</v>
      </c>
      <c r="AT3" s="18">
        <v>2</v>
      </c>
      <c r="AU3" s="18">
        <v>1</v>
      </c>
      <c r="AV3" s="18">
        <v>0</v>
      </c>
      <c r="AW3" s="18">
        <v>3</v>
      </c>
      <c r="AX3" s="18">
        <v>2</v>
      </c>
      <c r="AY3" s="18">
        <v>1</v>
      </c>
      <c r="AZ3" s="18">
        <v>0</v>
      </c>
      <c r="BA3" s="18">
        <v>0</v>
      </c>
      <c r="BB3" s="18">
        <v>1</v>
      </c>
      <c r="BC3" s="18">
        <v>2</v>
      </c>
      <c r="BD3" s="18">
        <v>3</v>
      </c>
      <c r="BE3" s="18" t="str">
        <f>IF(BA3="","",DEC2HEX(BA3,3))</f>
        <v>000</v>
      </c>
      <c r="BF3" s="18" t="str">
        <f t="shared" ref="BF3:BH3" si="0">IF(BB3="","",DEC2HEX(BB3,3))</f>
        <v>001</v>
      </c>
      <c r="BG3" s="18" t="str">
        <f t="shared" si="0"/>
        <v>002</v>
      </c>
      <c r="BH3" s="18" t="str">
        <f t="shared" si="0"/>
        <v>003</v>
      </c>
      <c r="BI3" s="19" t="s">
        <v>14</v>
      </c>
      <c r="BJ3" s="19" t="s">
        <v>14</v>
      </c>
      <c r="BK3" s="19" t="s">
        <v>14</v>
      </c>
      <c r="BL3" s="18" t="s">
        <v>14</v>
      </c>
      <c r="BM3" s="18" t="s">
        <v>657</v>
      </c>
      <c r="BN3" s="18" t="s">
        <v>658</v>
      </c>
      <c r="BO3" s="18" t="s">
        <v>659</v>
      </c>
      <c r="BP3" s="18" t="s">
        <v>660</v>
      </c>
      <c r="BQ3" s="18" t="s">
        <v>657</v>
      </c>
      <c r="BR3" s="18" t="s">
        <v>658</v>
      </c>
      <c r="BS3" s="18" t="s">
        <v>659</v>
      </c>
      <c r="BT3" s="18" t="s">
        <v>660</v>
      </c>
    </row>
    <row r="4" spans="1:73" x14ac:dyDescent="0.25">
      <c r="A4" s="16"/>
      <c r="B4" s="3" t="s">
        <v>308</v>
      </c>
      <c r="C4" s="3" t="s">
        <v>368</v>
      </c>
      <c r="D4" s="3" t="s">
        <v>1</v>
      </c>
      <c r="E4" s="3" t="s">
        <v>1062</v>
      </c>
      <c r="F4" s="3" t="s">
        <v>76</v>
      </c>
      <c r="G4" s="3" t="s">
        <v>265</v>
      </c>
      <c r="H4" s="3" t="s">
        <v>136</v>
      </c>
      <c r="I4" s="3" t="s">
        <v>24</v>
      </c>
      <c r="J4" s="3">
        <v>16</v>
      </c>
      <c r="K4" s="3" t="s">
        <v>59</v>
      </c>
      <c r="L4" s="3" t="s">
        <v>23</v>
      </c>
      <c r="M4" s="3">
        <v>0</v>
      </c>
      <c r="N4" s="3" t="str">
        <f>DEC2HEX($M4,3)</f>
        <v>000</v>
      </c>
      <c r="O4" s="3">
        <v>15</v>
      </c>
      <c r="P4" s="3">
        <v>0</v>
      </c>
      <c r="Q4" s="3" t="str">
        <f>IF(AND($O4&gt;=Q$3,Q$3&gt;=$P4),"X","")</f>
        <v/>
      </c>
      <c r="R4" s="3" t="str">
        <f t="shared" ref="R4:AG15" si="1">IF(AND($O4&gt;=R$3,R$3&gt;=$P4),"X","")</f>
        <v/>
      </c>
      <c r="S4" s="3" t="str">
        <f t="shared" si="1"/>
        <v/>
      </c>
      <c r="T4" s="3" t="str">
        <f t="shared" si="1"/>
        <v/>
      </c>
      <c r="U4" s="3" t="str">
        <f t="shared" si="1"/>
        <v/>
      </c>
      <c r="V4" s="3" t="str">
        <f t="shared" si="1"/>
        <v/>
      </c>
      <c r="W4" s="3" t="str">
        <f t="shared" si="1"/>
        <v/>
      </c>
      <c r="X4" s="3" t="str">
        <f t="shared" si="1"/>
        <v/>
      </c>
      <c r="Y4" s="3" t="str">
        <f t="shared" si="1"/>
        <v/>
      </c>
      <c r="Z4" s="3" t="str">
        <f t="shared" si="1"/>
        <v/>
      </c>
      <c r="AA4" s="3" t="str">
        <f t="shared" si="1"/>
        <v/>
      </c>
      <c r="AB4" s="3" t="str">
        <f t="shared" si="1"/>
        <v/>
      </c>
      <c r="AC4" s="3" t="str">
        <f t="shared" si="1"/>
        <v/>
      </c>
      <c r="AD4" s="3" t="str">
        <f t="shared" si="1"/>
        <v/>
      </c>
      <c r="AE4" s="3" t="str">
        <f t="shared" si="1"/>
        <v/>
      </c>
      <c r="AF4" s="3" t="str">
        <f t="shared" si="1"/>
        <v/>
      </c>
      <c r="AG4" s="3" t="str">
        <f t="shared" si="1"/>
        <v>X</v>
      </c>
      <c r="AH4" s="3" t="str">
        <f t="shared" ref="AH4:AV6" si="2">IF(AND($O4&gt;=AH$3,AH$3&gt;=$P4),"X","")</f>
        <v>X</v>
      </c>
      <c r="AI4" s="3" t="str">
        <f t="shared" si="2"/>
        <v>X</v>
      </c>
      <c r="AJ4" s="3" t="str">
        <f t="shared" si="2"/>
        <v>X</v>
      </c>
      <c r="AK4" s="3" t="str">
        <f t="shared" si="2"/>
        <v>X</v>
      </c>
      <c r="AL4" s="3" t="str">
        <f t="shared" si="2"/>
        <v>X</v>
      </c>
      <c r="AM4" s="3" t="str">
        <f t="shared" si="2"/>
        <v>X</v>
      </c>
      <c r="AN4" s="3" t="str">
        <f t="shared" si="2"/>
        <v>X</v>
      </c>
      <c r="AO4" s="3" t="str">
        <f t="shared" si="2"/>
        <v>X</v>
      </c>
      <c r="AP4" s="3" t="str">
        <f t="shared" si="2"/>
        <v>X</v>
      </c>
      <c r="AQ4" s="3" t="str">
        <f t="shared" si="2"/>
        <v>X</v>
      </c>
      <c r="AR4" s="3" t="str">
        <f t="shared" si="2"/>
        <v>X</v>
      </c>
      <c r="AS4" s="3" t="str">
        <f t="shared" si="2"/>
        <v>X</v>
      </c>
      <c r="AT4" s="3" t="str">
        <f t="shared" si="2"/>
        <v>X</v>
      </c>
      <c r="AU4" s="3" t="str">
        <f t="shared" si="2"/>
        <v>X</v>
      </c>
      <c r="AV4" s="3" t="str">
        <f t="shared" si="2"/>
        <v>X</v>
      </c>
      <c r="AW4" s="3" t="str">
        <f>IF(OR($Q4="X",$R4="X",$S4="X",$T4="X",$U4="X",$V4="X",$W4="X",$X4="X"),"X","")</f>
        <v/>
      </c>
      <c r="AX4" s="3" t="str">
        <f>IF(OR($Y4="X",$Z4="X",$AA4="X",$AB4="X",$AC4="X",$AD4="X",$AE4="X",$AF4="X"),"X","")</f>
        <v/>
      </c>
      <c r="AY4" s="3" t="str">
        <f>IF(OR($AG4="X",$AH4="X",$AI4="X",$AJ4="X",$AK4="X",$AL4="X",$AM4="X",$AN4="X"),"X","")</f>
        <v>X</v>
      </c>
      <c r="AZ4" s="3" t="str">
        <f>IF(OR($AO4="X",$AP4="X",$AQ4="X",$AR4="X",$AS4="X",$AT4="X",$AU4="X",$AV4="X"),"X","")</f>
        <v>X</v>
      </c>
      <c r="BA4" s="3" t="str">
        <f t="shared" ref="BA4" si="3">IF(AW4="","",$M4*4+BA$3)</f>
        <v/>
      </c>
      <c r="BB4" s="3" t="str">
        <f t="shared" ref="BB4" si="4">IF(AX4="","",$M4*4+BB$3)</f>
        <v/>
      </c>
      <c r="BC4" s="3">
        <f t="shared" ref="BC4" si="5">IF(AY4="","",$M4*4+BC$3)</f>
        <v>2</v>
      </c>
      <c r="BD4" s="3">
        <f t="shared" ref="BD4" si="6">IF(AZ4="","",$M4*4+BD$3)</f>
        <v>3</v>
      </c>
      <c r="BE4" s="9" t="str">
        <f t="shared" ref="BE4" si="7">IF(BA4="","",DEC2HEX(BA4,3))</f>
        <v/>
      </c>
      <c r="BF4" s="9" t="str">
        <f t="shared" ref="BF4" si="8">IF(BB4="","",DEC2HEX(BB4,3))</f>
        <v/>
      </c>
      <c r="BG4" s="9" t="str">
        <f t="shared" ref="BG4" si="9">IF(BC4="","",DEC2HEX(BC4,3))</f>
        <v>002</v>
      </c>
      <c r="BH4" s="9" t="str">
        <f t="shared" ref="BH4" si="10">IF(BD4="","",DEC2HEX(BD4,3))</f>
        <v>003</v>
      </c>
      <c r="BI4" s="3" t="str">
        <f>IF(AW4="","",IF(COUNTIF($Q4:$X4,"X")=8,"",CONCATENATE("(",INDEX($Q$3:$X$3,MATCH("X",$Q4:$X4,0))-24,IF(COUNTIF($Q4:$X4,"X")=1,")",CONCATENATE(" downto ",INDEX($Q$3:$X$3,MATCH("X",$Q4:$X4,0)+COUNTIF($Q4:$X4,"X")-1)-24,")")))))</f>
        <v/>
      </c>
      <c r="BJ4" s="3" t="str">
        <f>IF(AX4="","",IF(COUNTIF($Y4:$AF4,"X")=8,"",CONCATENATE("(",INDEX($Y$3:$AF$3,MATCH("X",$Y4:$AF4,0))-16,IF(COUNTIF($Y4:$AF4,"X")=1,")",CONCATENATE(" downto ",INDEX($Y$3:$AF$3,MATCH("X",$Y4:$AF4,0)+COUNTIF($Y4:$AF4,"X")-1)-16,")")))))</f>
        <v/>
      </c>
      <c r="BK4" s="3" t="str">
        <f>IF(AY4="","",IF(COUNTIF($AG4:$AN4,"X")=8,"",CONCATENATE("(",INDEX($AG$3:$AN$3,MATCH("X",$AG4:$AN4,0))-8,IF(COUNTIF($AG4:$AN4,"X")=1,")",CONCATENATE(" downto ",INDEX($AG$3:$AN$3,MATCH("X",$AG4:$AN4,0)+COUNTIF($AG4:$AN4,"X")-1)-8,")")))))</f>
        <v/>
      </c>
      <c r="BL4" s="3" t="str">
        <f>IF(AZ4="","",IF(COUNTIF($AO4:$AV4,"X")=8,"",CONCATENATE("(",INDEX($AO$3:$AV$3,MATCH("X",$AO4:$AV4,0)),IF(COUNTIF($AO4:$AV4,"X")=1,")",CONCATENATE(" downto ",INDEX($AO$3:$AV$3,MATCH("X",$AO4:$AV4,0)+COUNTIF($AO4:$AV4,"X")-1),")")))))</f>
        <v/>
      </c>
      <c r="BM4" s="3" t="str">
        <f>IF(AW4="","",$J4-1)</f>
        <v/>
      </c>
      <c r="BN4" s="3" t="str">
        <f t="shared" ref="BN4" si="11">IF(AX4="","",IF(BM4="",$J4-1,BM4-COUNTIF($Q4:$X4,"X")))</f>
        <v/>
      </c>
      <c r="BO4" s="3">
        <f t="shared" ref="BO4" si="12">IF(AY4="","",IF(BN4="",$J4-1,BN4-COUNTIF($Y4:$AF4,"X")))</f>
        <v>15</v>
      </c>
      <c r="BP4" s="3">
        <f t="shared" ref="BP4" si="13">IF(AZ4="","",IF(BO4="",$J4-1,BO4-COUNTIF($AG4:$AN4,"X")))</f>
        <v>7</v>
      </c>
      <c r="BQ4" s="3" t="str">
        <f>IF(AW4="","",IF((4-COUNTIF($BM4:$BP4,""))=1,"",CONCATENATE("(",BM4,IF(COUNTIF($Q4:$X4,"X")=1,"",CONCATENATE(" downto ",BM4-COUNTIF($Q4:$X4,"X")+1)),")")))</f>
        <v/>
      </c>
      <c r="BR4" s="3" t="str">
        <f>IF(AX4="","",IF((4-COUNTIF($BM4:$BP4,""))=1,"",CONCATENATE("(",BN4,IF(COUNTIF($Y4:$AF4,"X")=1,"",CONCATENATE(" downto ",BN4-COUNTIF($Y4:$AF4,"X")+1)),")")))</f>
        <v/>
      </c>
      <c r="BS4" s="3" t="str">
        <f>IF(AY4="","",IF((4-COUNTIF($BM4:$BP4,""))=1,"",CONCATENATE("(",BO4,IF(COUNTIF($AG4:$AN4,"X")=1,"",CONCATENATE(" downto ",BO4-COUNTIF($AG4:$AN4,"X")+1)),")")))</f>
        <v>(15 downto 8)</v>
      </c>
      <c r="BT4" s="3" t="str">
        <f>IF(AZ4="","",IF((4-COUNTIF($BM4:$BP4,""))=1,"",CONCATENATE("(",BP4,IF(COUNTIF($AO4:$AV4,"X") = 1,"",CONCATENATE(" downto ",BP4-COUNTIF($AO4:$AV4,"X")+1)),")")))</f>
        <v>(7 downto 0)</v>
      </c>
    </row>
    <row r="5" spans="1:73" x14ac:dyDescent="0.25">
      <c r="B5" s="3" t="s">
        <v>308</v>
      </c>
      <c r="C5" s="3" t="s">
        <v>381</v>
      </c>
      <c r="D5" s="3" t="s">
        <v>1</v>
      </c>
      <c r="E5" s="3" t="s">
        <v>1062</v>
      </c>
      <c r="F5" s="3" t="s">
        <v>76</v>
      </c>
      <c r="G5" s="3" t="s">
        <v>265</v>
      </c>
      <c r="H5" s="3" t="s">
        <v>137</v>
      </c>
      <c r="I5" s="3" t="s">
        <v>24</v>
      </c>
      <c r="J5" s="3">
        <v>16</v>
      </c>
      <c r="K5" s="3" t="s">
        <v>1064</v>
      </c>
      <c r="L5" s="3" t="s">
        <v>23</v>
      </c>
      <c r="M5" s="3">
        <v>0</v>
      </c>
      <c r="N5" s="3" t="str">
        <f t="shared" ref="N5:N86" si="14">DEC2HEX($M5,3)</f>
        <v>000</v>
      </c>
      <c r="O5" s="3">
        <v>31</v>
      </c>
      <c r="P5" s="3">
        <v>16</v>
      </c>
      <c r="Q5" s="3" t="str">
        <f t="shared" ref="Q5:AF72" si="15">IF(AND($O5&gt;=Q$3,Q$3&gt;=$P5),"X","")</f>
        <v>X</v>
      </c>
      <c r="R5" s="3" t="str">
        <f t="shared" si="1"/>
        <v>X</v>
      </c>
      <c r="S5" s="3" t="str">
        <f t="shared" si="1"/>
        <v>X</v>
      </c>
      <c r="T5" s="3" t="str">
        <f t="shared" si="1"/>
        <v>X</v>
      </c>
      <c r="U5" s="3" t="str">
        <f t="shared" si="1"/>
        <v>X</v>
      </c>
      <c r="V5" s="3" t="str">
        <f t="shared" si="1"/>
        <v>X</v>
      </c>
      <c r="W5" s="3" t="str">
        <f t="shared" si="1"/>
        <v>X</v>
      </c>
      <c r="X5" s="3" t="str">
        <f t="shared" si="1"/>
        <v>X</v>
      </c>
      <c r="Y5" s="3" t="str">
        <f t="shared" si="1"/>
        <v>X</v>
      </c>
      <c r="Z5" s="3" t="str">
        <f t="shared" si="1"/>
        <v>X</v>
      </c>
      <c r="AA5" s="3" t="str">
        <f t="shared" si="1"/>
        <v>X</v>
      </c>
      <c r="AB5" s="3" t="str">
        <f t="shared" si="1"/>
        <v>X</v>
      </c>
      <c r="AC5" s="3" t="str">
        <f t="shared" si="1"/>
        <v>X</v>
      </c>
      <c r="AD5" s="3" t="str">
        <f t="shared" si="1"/>
        <v>X</v>
      </c>
      <c r="AE5" s="3" t="str">
        <f t="shared" si="1"/>
        <v>X</v>
      </c>
      <c r="AF5" s="3" t="str">
        <f t="shared" si="1"/>
        <v>X</v>
      </c>
      <c r="AG5" s="3" t="str">
        <f t="shared" si="1"/>
        <v/>
      </c>
      <c r="AH5" s="3" t="str">
        <f t="shared" si="2"/>
        <v/>
      </c>
      <c r="AI5" s="3" t="str">
        <f t="shared" si="2"/>
        <v/>
      </c>
      <c r="AJ5" s="3" t="str">
        <f t="shared" si="2"/>
        <v/>
      </c>
      <c r="AK5" s="3" t="str">
        <f t="shared" si="2"/>
        <v/>
      </c>
      <c r="AL5" s="3" t="str">
        <f t="shared" si="2"/>
        <v/>
      </c>
      <c r="AM5" s="3" t="str">
        <f t="shared" si="2"/>
        <v/>
      </c>
      <c r="AN5" s="3" t="str">
        <f t="shared" si="2"/>
        <v/>
      </c>
      <c r="AO5" s="3" t="str">
        <f t="shared" si="2"/>
        <v/>
      </c>
      <c r="AP5" s="3" t="str">
        <f t="shared" si="2"/>
        <v/>
      </c>
      <c r="AQ5" s="3" t="str">
        <f t="shared" si="2"/>
        <v/>
      </c>
      <c r="AR5" s="3" t="str">
        <f t="shared" si="2"/>
        <v/>
      </c>
      <c r="AS5" s="3" t="str">
        <f t="shared" si="2"/>
        <v/>
      </c>
      <c r="AT5" s="3" t="str">
        <f t="shared" si="2"/>
        <v/>
      </c>
      <c r="AU5" s="3" t="str">
        <f t="shared" si="2"/>
        <v/>
      </c>
      <c r="AV5" s="3" t="str">
        <f t="shared" si="2"/>
        <v/>
      </c>
      <c r="AW5" s="3" t="str">
        <f t="shared" ref="AW5:AW72" si="16">IF(OR($Q5="X",$R5="X",$S5="X",$T5="X",$U5="X",$V5="X",$W5="X",$X5="X"),"X","")</f>
        <v>X</v>
      </c>
      <c r="AX5" s="3" t="str">
        <f t="shared" ref="AX5:AX72" si="17">IF(OR($Y5="X",$Z5="X",$AA5="X",$AB5="X",$AC5="X",$AD5="X",$AE5="X",$AF5="X"),"X","")</f>
        <v>X</v>
      </c>
      <c r="AY5" s="3" t="str">
        <f t="shared" ref="AY5:AY72" si="18">IF(OR($AG5="X",$AH5="X",$AI5="X",$AJ5="X",$AK5="X",$AL5="X",$AM5="X",$AN5="X"),"X","")</f>
        <v/>
      </c>
      <c r="AZ5" s="3" t="str">
        <f t="shared" ref="AZ5:AZ72" si="19">IF(OR($AO5="X",$AP5="X",$AQ5="X",$AR5="X",$AS5="X",$AT5="X",$AU5="X",$AV5="X"),"X","")</f>
        <v/>
      </c>
      <c r="BA5" s="3">
        <f t="shared" ref="BA5:BA72" si="20">IF(AW5="","",$M5*4+BA$3)</f>
        <v>0</v>
      </c>
      <c r="BB5" s="3">
        <f t="shared" ref="BB5:BB72" si="21">IF(AX5="","",$M5*4+BB$3)</f>
        <v>1</v>
      </c>
      <c r="BC5" s="3" t="str">
        <f t="shared" ref="BC5:BC72" si="22">IF(AY5="","",$M5*4+BC$3)</f>
        <v/>
      </c>
      <c r="BD5" s="3" t="str">
        <f t="shared" ref="BD5:BD72" si="23">IF(AZ5="","",$M5*4+BD$3)</f>
        <v/>
      </c>
      <c r="BE5" s="9" t="str">
        <f t="shared" ref="BE5:BE72" si="24">IF(BA5="","",DEC2HEX(BA5,3))</f>
        <v>000</v>
      </c>
      <c r="BF5" s="9" t="str">
        <f t="shared" ref="BF5:BF72" si="25">IF(BB5="","",DEC2HEX(BB5,3))</f>
        <v>001</v>
      </c>
      <c r="BG5" s="9" t="str">
        <f t="shared" ref="BG5:BG72" si="26">IF(BC5="","",DEC2HEX(BC5,3))</f>
        <v/>
      </c>
      <c r="BH5" s="9" t="str">
        <f t="shared" ref="BH5:BH72" si="27">IF(BD5="","",DEC2HEX(BD5,3))</f>
        <v/>
      </c>
      <c r="BI5" s="3" t="str">
        <f t="shared" ref="BI5:BI72" si="28">IF(AW5="","",IF(COUNTIF($Q5:$X5,"X")=8,"",CONCATENATE("(",INDEX($Q$3:$X$3,MATCH("X",$Q5:$X5,0))-24,IF(COUNTIF($Q5:$X5,"X")=1,")",CONCATENATE(" downto ",INDEX($Q$3:$X$3,MATCH("X",$Q5:$X5,0)+COUNTIF($Q5:$X5,"X")-1)-24,")")))))</f>
        <v/>
      </c>
      <c r="BJ5" s="3" t="str">
        <f t="shared" ref="BJ5:BJ72" si="29">IF(AX5="","",IF(COUNTIF($Y5:$AF5,"X")=8,"",CONCATENATE("(",INDEX($Y$3:$AF$3,MATCH("X",$Y5:$AF5,0))-16,IF(COUNTIF($Y5:$AF5,"X")=1,")",CONCATENATE(" downto ",INDEX($Y$3:$AF$3,MATCH("X",$Y5:$AF5,0)+COUNTIF($Y5:$AF5,"X")-1)-16,")")))))</f>
        <v/>
      </c>
      <c r="BK5" s="3" t="str">
        <f t="shared" ref="BK5:BK72" si="30">IF(AY5="","",IF(COUNTIF($AG5:$AN5,"X")=8,"",CONCATENATE("(",INDEX($AG$3:$AN$3,MATCH("X",$AG5:$AN5,0))-8,IF(COUNTIF($AG5:$AN5,"X")=1,")",CONCATENATE(" downto ",INDEX($AG$3:$AN$3,MATCH("X",$AG5:$AN5,0)+COUNTIF($AG5:$AN5,"X")-1)-8,")")))))</f>
        <v/>
      </c>
      <c r="BL5" s="3" t="str">
        <f t="shared" ref="BL5:BL72" si="31">IF(AZ5="","",IF(COUNTIF($AO5:$AV5,"X")=8,"",CONCATENATE("(",INDEX($AO$3:$AV$3,MATCH("X",$AO5:$AV5,0)),IF(COUNTIF($AO5:$AV5,"X")=1,")",CONCATENATE(" downto ",INDEX($AO$3:$AV$3,MATCH("X",$AO5:$AV5,0)+COUNTIF($AO5:$AV5,"X")-1),")")))))</f>
        <v/>
      </c>
      <c r="BM5" s="3">
        <f t="shared" ref="BM5:BM72" si="32">IF(AW5="","",$J5-1)</f>
        <v>15</v>
      </c>
      <c r="BN5" s="3">
        <f t="shared" ref="BN5:BN72" si="33">IF(AX5="","",IF(BM5="",$J5-1,BM5-COUNTIF($Q5:$X5,"X")))</f>
        <v>7</v>
      </c>
      <c r="BO5" s="3" t="str">
        <f t="shared" ref="BO5:BO72" si="34">IF(AY5="","",IF(BN5="",$J5-1,BN5-COUNTIF($Y5:$AF5,"X")))</f>
        <v/>
      </c>
      <c r="BP5" s="3" t="str">
        <f t="shared" ref="BP5:BP72" si="35">IF(AZ5="","",IF(BO5="",$J5-1,BO5-COUNTIF($AG5:$AN5,"X")))</f>
        <v/>
      </c>
      <c r="BQ5" s="3" t="str">
        <f t="shared" ref="BQ5:BQ72" si="36">IF(AW5="","",IF((4-COUNTIF($BM5:$BP5,""))=1,"",CONCATENATE("(",BM5,IF(COUNTIF($Q5:$X5,"X")=1,"",CONCATENATE(" downto ",BM5-COUNTIF($Q5:$X5,"X")+1)),")")))</f>
        <v>(15 downto 8)</v>
      </c>
      <c r="BR5" s="3" t="str">
        <f t="shared" ref="BR5:BR72" si="37">IF(AX5="","",IF((4-COUNTIF($BM5:$BP5,""))=1,"",CONCATENATE("(",BN5,IF(COUNTIF($Y5:$AF5,"X")=1,"",CONCATENATE(" downto ",BN5-COUNTIF($Y5:$AF5,"X")+1)),")")))</f>
        <v>(7 downto 0)</v>
      </c>
      <c r="BS5" s="3" t="str">
        <f t="shared" ref="BS5:BS72" si="38">IF(AY5="","",IF((4-COUNTIF($BM5:$BP5,""))=1,"",CONCATENATE("(",BO5,IF(COUNTIF($AG5:$AN5,"X")=1,"",CONCATENATE(" downto ",BO5-COUNTIF($AG5:$AN5,"X")+1)),")")))</f>
        <v/>
      </c>
      <c r="BT5" s="3" t="str">
        <f t="shared" ref="BT5:BT72" si="39">IF(AZ5="","",IF((4-COUNTIF($BM5:$BP5,""))=1,"",CONCATENATE("(",BP5,IF(COUNTIF($AO5:$AV5,"X") = 1,"",CONCATENATE(" downto ",BP5-COUNTIF($AO5:$AV5,"X")+1)),")")))</f>
        <v/>
      </c>
    </row>
    <row r="6" spans="1:73" x14ac:dyDescent="0.25">
      <c r="B6" s="3" t="s">
        <v>309</v>
      </c>
      <c r="C6" s="3" t="s">
        <v>382</v>
      </c>
      <c r="D6" s="3" t="s">
        <v>1</v>
      </c>
      <c r="E6" s="3" t="s">
        <v>1062</v>
      </c>
      <c r="F6" s="3" t="s">
        <v>77</v>
      </c>
      <c r="G6" s="3" t="s">
        <v>266</v>
      </c>
      <c r="H6" s="3" t="s">
        <v>138</v>
      </c>
      <c r="I6" s="3" t="s">
        <v>24</v>
      </c>
      <c r="J6" s="3">
        <v>16</v>
      </c>
      <c r="K6" s="3" t="s">
        <v>59</v>
      </c>
      <c r="L6" s="3" t="s">
        <v>23</v>
      </c>
      <c r="M6" s="3">
        <v>1</v>
      </c>
      <c r="N6" s="3" t="str">
        <f t="shared" si="14"/>
        <v>001</v>
      </c>
      <c r="O6" s="3">
        <v>15</v>
      </c>
      <c r="P6" s="3">
        <v>0</v>
      </c>
      <c r="Q6" s="3" t="str">
        <f t="shared" si="15"/>
        <v/>
      </c>
      <c r="R6" s="3" t="str">
        <f t="shared" si="1"/>
        <v/>
      </c>
      <c r="S6" s="3" t="str">
        <f t="shared" si="1"/>
        <v/>
      </c>
      <c r="T6" s="3" t="str">
        <f t="shared" si="1"/>
        <v/>
      </c>
      <c r="U6" s="3" t="str">
        <f t="shared" si="1"/>
        <v/>
      </c>
      <c r="V6" s="3" t="str">
        <f t="shared" si="1"/>
        <v/>
      </c>
      <c r="W6" s="3" t="str">
        <f t="shared" si="1"/>
        <v/>
      </c>
      <c r="X6" s="3" t="str">
        <f t="shared" si="1"/>
        <v/>
      </c>
      <c r="Y6" s="3" t="str">
        <f t="shared" si="1"/>
        <v/>
      </c>
      <c r="Z6" s="3" t="str">
        <f t="shared" si="1"/>
        <v/>
      </c>
      <c r="AA6" s="3" t="str">
        <f t="shared" si="1"/>
        <v/>
      </c>
      <c r="AB6" s="3" t="str">
        <f t="shared" si="1"/>
        <v/>
      </c>
      <c r="AC6" s="3" t="str">
        <f t="shared" si="1"/>
        <v/>
      </c>
      <c r="AD6" s="3" t="str">
        <f t="shared" si="1"/>
        <v/>
      </c>
      <c r="AE6" s="3" t="str">
        <f t="shared" si="1"/>
        <v/>
      </c>
      <c r="AF6" s="3" t="str">
        <f t="shared" si="1"/>
        <v/>
      </c>
      <c r="AG6" s="3" t="str">
        <f t="shared" si="1"/>
        <v>X</v>
      </c>
      <c r="AH6" s="3" t="str">
        <f t="shared" si="2"/>
        <v>X</v>
      </c>
      <c r="AI6" s="3" t="str">
        <f t="shared" si="2"/>
        <v>X</v>
      </c>
      <c r="AJ6" s="3" t="str">
        <f t="shared" si="2"/>
        <v>X</v>
      </c>
      <c r="AK6" s="3" t="str">
        <f t="shared" si="2"/>
        <v>X</v>
      </c>
      <c r="AL6" s="3" t="str">
        <f t="shared" si="2"/>
        <v>X</v>
      </c>
      <c r="AM6" s="3" t="str">
        <f t="shared" si="2"/>
        <v>X</v>
      </c>
      <c r="AN6" s="3" t="str">
        <f t="shared" si="2"/>
        <v>X</v>
      </c>
      <c r="AO6" s="3" t="str">
        <f t="shared" si="2"/>
        <v>X</v>
      </c>
      <c r="AP6" s="3" t="str">
        <f t="shared" si="2"/>
        <v>X</v>
      </c>
      <c r="AQ6" s="3" t="str">
        <f t="shared" si="2"/>
        <v>X</v>
      </c>
      <c r="AR6" s="3" t="str">
        <f t="shared" si="2"/>
        <v>X</v>
      </c>
      <c r="AS6" s="3" t="str">
        <f t="shared" si="2"/>
        <v>X</v>
      </c>
      <c r="AT6" s="3" t="str">
        <f t="shared" si="2"/>
        <v>X</v>
      </c>
      <c r="AU6" s="3" t="str">
        <f t="shared" si="2"/>
        <v>X</v>
      </c>
      <c r="AV6" s="3" t="str">
        <f t="shared" si="2"/>
        <v>X</v>
      </c>
      <c r="AW6" s="3" t="str">
        <f t="shared" si="16"/>
        <v/>
      </c>
      <c r="AX6" s="3" t="str">
        <f t="shared" si="17"/>
        <v/>
      </c>
      <c r="AY6" s="3" t="str">
        <f t="shared" si="18"/>
        <v>X</v>
      </c>
      <c r="AZ6" s="3" t="str">
        <f t="shared" si="19"/>
        <v>X</v>
      </c>
      <c r="BA6" s="3" t="str">
        <f t="shared" si="20"/>
        <v/>
      </c>
      <c r="BB6" s="3" t="str">
        <f t="shared" si="21"/>
        <v/>
      </c>
      <c r="BC6" s="3">
        <f t="shared" si="22"/>
        <v>6</v>
      </c>
      <c r="BD6" s="3">
        <f t="shared" si="23"/>
        <v>7</v>
      </c>
      <c r="BE6" s="9" t="str">
        <f t="shared" si="24"/>
        <v/>
      </c>
      <c r="BF6" s="9" t="str">
        <f t="shared" si="25"/>
        <v/>
      </c>
      <c r="BG6" s="9" t="str">
        <f t="shared" si="26"/>
        <v>006</v>
      </c>
      <c r="BH6" s="9" t="str">
        <f t="shared" si="27"/>
        <v>007</v>
      </c>
      <c r="BI6" s="3" t="str">
        <f t="shared" si="28"/>
        <v/>
      </c>
      <c r="BJ6" s="3" t="str">
        <f t="shared" si="29"/>
        <v/>
      </c>
      <c r="BK6" s="3" t="str">
        <f t="shared" si="30"/>
        <v/>
      </c>
      <c r="BL6" s="3" t="str">
        <f t="shared" si="31"/>
        <v/>
      </c>
      <c r="BM6" s="3" t="str">
        <f t="shared" si="32"/>
        <v/>
      </c>
      <c r="BN6" s="3" t="str">
        <f t="shared" si="33"/>
        <v/>
      </c>
      <c r="BO6" s="3">
        <f t="shared" si="34"/>
        <v>15</v>
      </c>
      <c r="BP6" s="3">
        <f t="shared" si="35"/>
        <v>7</v>
      </c>
      <c r="BQ6" s="3" t="str">
        <f t="shared" si="36"/>
        <v/>
      </c>
      <c r="BR6" s="3" t="str">
        <f t="shared" si="37"/>
        <v/>
      </c>
      <c r="BS6" s="3" t="str">
        <f t="shared" si="38"/>
        <v>(15 downto 8)</v>
      </c>
      <c r="BT6" s="3" t="str">
        <f t="shared" si="39"/>
        <v>(7 downto 0)</v>
      </c>
    </row>
    <row r="7" spans="1:73" x14ac:dyDescent="0.25">
      <c r="B7" s="3" t="s">
        <v>309</v>
      </c>
      <c r="C7" s="3" t="s">
        <v>383</v>
      </c>
      <c r="D7" s="3" t="s">
        <v>1</v>
      </c>
      <c r="E7" s="3" t="s">
        <v>1062</v>
      </c>
      <c r="F7" s="3" t="s">
        <v>77</v>
      </c>
      <c r="G7" s="3" t="s">
        <v>266</v>
      </c>
      <c r="H7" s="3" t="s">
        <v>139</v>
      </c>
      <c r="I7" s="3" t="s">
        <v>24</v>
      </c>
      <c r="J7" s="3">
        <v>16</v>
      </c>
      <c r="K7" s="3" t="s">
        <v>59</v>
      </c>
      <c r="L7" s="3" t="s">
        <v>23</v>
      </c>
      <c r="M7" s="3">
        <v>1</v>
      </c>
      <c r="N7" s="3" t="str">
        <f t="shared" si="14"/>
        <v>001</v>
      </c>
      <c r="O7" s="3">
        <v>31</v>
      </c>
      <c r="P7" s="3">
        <v>16</v>
      </c>
      <c r="Q7" s="3" t="str">
        <f t="shared" si="15"/>
        <v>X</v>
      </c>
      <c r="R7" s="3" t="str">
        <f t="shared" si="1"/>
        <v>X</v>
      </c>
      <c r="S7" s="3" t="str">
        <f t="shared" si="1"/>
        <v>X</v>
      </c>
      <c r="T7" s="3" t="str">
        <f t="shared" si="1"/>
        <v>X</v>
      </c>
      <c r="U7" s="3" t="str">
        <f t="shared" si="1"/>
        <v>X</v>
      </c>
      <c r="V7" s="3" t="str">
        <f t="shared" si="1"/>
        <v>X</v>
      </c>
      <c r="W7" s="3" t="str">
        <f t="shared" si="1"/>
        <v>X</v>
      </c>
      <c r="X7" s="3" t="str">
        <f t="shared" si="1"/>
        <v>X</v>
      </c>
      <c r="Y7" s="3" t="str">
        <f t="shared" si="1"/>
        <v>X</v>
      </c>
      <c r="Z7" s="3" t="str">
        <f t="shared" si="1"/>
        <v>X</v>
      </c>
      <c r="AA7" s="3" t="str">
        <f t="shared" si="1"/>
        <v>X</v>
      </c>
      <c r="AB7" s="3" t="str">
        <f t="shared" si="1"/>
        <v>X</v>
      </c>
      <c r="AC7" s="3" t="str">
        <f t="shared" si="1"/>
        <v>X</v>
      </c>
      <c r="AD7" s="3" t="str">
        <f t="shared" si="1"/>
        <v>X</v>
      </c>
      <c r="AE7" s="3" t="str">
        <f t="shared" si="1"/>
        <v>X</v>
      </c>
      <c r="AF7" s="3" t="str">
        <f t="shared" si="1"/>
        <v>X</v>
      </c>
      <c r="AG7" s="3" t="str">
        <f t="shared" si="1"/>
        <v/>
      </c>
      <c r="AH7" s="3" t="str">
        <f t="shared" ref="AH7:AV27" si="40">IF(AND($O7&gt;=AH$3,AH$3&gt;=$P7),"X","")</f>
        <v/>
      </c>
      <c r="AI7" s="3" t="str">
        <f t="shared" si="40"/>
        <v/>
      </c>
      <c r="AJ7" s="3" t="str">
        <f t="shared" si="40"/>
        <v/>
      </c>
      <c r="AK7" s="3" t="str">
        <f t="shared" si="40"/>
        <v/>
      </c>
      <c r="AL7" s="3" t="str">
        <f t="shared" si="40"/>
        <v/>
      </c>
      <c r="AM7" s="3" t="str">
        <f t="shared" si="40"/>
        <v/>
      </c>
      <c r="AN7" s="3" t="str">
        <f t="shared" si="40"/>
        <v/>
      </c>
      <c r="AO7" s="3" t="str">
        <f t="shared" si="40"/>
        <v/>
      </c>
      <c r="AP7" s="3" t="str">
        <f t="shared" si="40"/>
        <v/>
      </c>
      <c r="AQ7" s="3" t="str">
        <f t="shared" si="40"/>
        <v/>
      </c>
      <c r="AR7" s="3" t="str">
        <f t="shared" si="40"/>
        <v/>
      </c>
      <c r="AS7" s="3" t="str">
        <f t="shared" si="40"/>
        <v/>
      </c>
      <c r="AT7" s="3" t="str">
        <f t="shared" si="40"/>
        <v/>
      </c>
      <c r="AU7" s="3" t="str">
        <f t="shared" si="40"/>
        <v/>
      </c>
      <c r="AV7" s="3" t="str">
        <f t="shared" si="40"/>
        <v/>
      </c>
      <c r="AW7" s="3" t="str">
        <f t="shared" si="16"/>
        <v>X</v>
      </c>
      <c r="AX7" s="3" t="str">
        <f t="shared" si="17"/>
        <v>X</v>
      </c>
      <c r="AY7" s="3" t="str">
        <f t="shared" si="18"/>
        <v/>
      </c>
      <c r="AZ7" s="3" t="str">
        <f t="shared" si="19"/>
        <v/>
      </c>
      <c r="BA7" s="3">
        <f t="shared" si="20"/>
        <v>4</v>
      </c>
      <c r="BB7" s="3">
        <f t="shared" si="21"/>
        <v>5</v>
      </c>
      <c r="BC7" s="3" t="str">
        <f t="shared" si="22"/>
        <v/>
      </c>
      <c r="BD7" s="3" t="str">
        <f t="shared" si="23"/>
        <v/>
      </c>
      <c r="BE7" s="9" t="str">
        <f t="shared" si="24"/>
        <v>004</v>
      </c>
      <c r="BF7" s="9" t="str">
        <f t="shared" si="25"/>
        <v>005</v>
      </c>
      <c r="BG7" s="9" t="str">
        <f t="shared" si="26"/>
        <v/>
      </c>
      <c r="BH7" s="9" t="str">
        <f t="shared" si="27"/>
        <v/>
      </c>
      <c r="BI7" s="3" t="str">
        <f t="shared" si="28"/>
        <v/>
      </c>
      <c r="BJ7" s="3" t="str">
        <f t="shared" si="29"/>
        <v/>
      </c>
      <c r="BK7" s="3" t="str">
        <f t="shared" si="30"/>
        <v/>
      </c>
      <c r="BL7" s="3" t="str">
        <f t="shared" si="31"/>
        <v/>
      </c>
      <c r="BM7" s="3">
        <f t="shared" si="32"/>
        <v>15</v>
      </c>
      <c r="BN7" s="3">
        <f t="shared" si="33"/>
        <v>7</v>
      </c>
      <c r="BO7" s="3" t="str">
        <f t="shared" si="34"/>
        <v/>
      </c>
      <c r="BP7" s="3" t="str">
        <f t="shared" si="35"/>
        <v/>
      </c>
      <c r="BQ7" s="3" t="str">
        <f t="shared" si="36"/>
        <v>(15 downto 8)</v>
      </c>
      <c r="BR7" s="3" t="str">
        <f t="shared" si="37"/>
        <v>(7 downto 0)</v>
      </c>
      <c r="BS7" s="3" t="str">
        <f t="shared" si="38"/>
        <v/>
      </c>
      <c r="BT7" s="3" t="str">
        <f t="shared" si="39"/>
        <v/>
      </c>
    </row>
    <row r="8" spans="1:73" x14ac:dyDescent="0.25">
      <c r="B8" s="3" t="s">
        <v>310</v>
      </c>
      <c r="C8" s="3" t="s">
        <v>384</v>
      </c>
      <c r="D8" s="3" t="s">
        <v>1</v>
      </c>
      <c r="E8" s="3" t="s">
        <v>1062</v>
      </c>
      <c r="F8" s="3" t="s">
        <v>78</v>
      </c>
      <c r="G8" s="3" t="s">
        <v>267</v>
      </c>
      <c r="H8" s="3" t="s">
        <v>140</v>
      </c>
      <c r="I8" s="3" t="s">
        <v>24</v>
      </c>
      <c r="J8" s="3">
        <v>12</v>
      </c>
      <c r="K8" s="3" t="s">
        <v>1052</v>
      </c>
      <c r="L8" s="3" t="s">
        <v>23</v>
      </c>
      <c r="M8" s="3">
        <v>2</v>
      </c>
      <c r="N8" s="3" t="str">
        <f t="shared" si="14"/>
        <v>002</v>
      </c>
      <c r="O8" s="3">
        <v>11</v>
      </c>
      <c r="P8" s="3">
        <v>0</v>
      </c>
      <c r="Q8" s="3" t="str">
        <f t="shared" si="15"/>
        <v/>
      </c>
      <c r="R8" s="3" t="str">
        <f t="shared" si="1"/>
        <v/>
      </c>
      <c r="S8" s="3" t="str">
        <f t="shared" si="1"/>
        <v/>
      </c>
      <c r="T8" s="3" t="str">
        <f t="shared" si="1"/>
        <v/>
      </c>
      <c r="U8" s="3" t="str">
        <f t="shared" si="1"/>
        <v/>
      </c>
      <c r="V8" s="3" t="str">
        <f t="shared" si="1"/>
        <v/>
      </c>
      <c r="W8" s="3" t="str">
        <f t="shared" si="1"/>
        <v/>
      </c>
      <c r="X8" s="3" t="str">
        <f t="shared" si="1"/>
        <v/>
      </c>
      <c r="Y8" s="3" t="str">
        <f t="shared" si="1"/>
        <v/>
      </c>
      <c r="Z8" s="3" t="str">
        <f t="shared" si="1"/>
        <v/>
      </c>
      <c r="AA8" s="3" t="str">
        <f t="shared" si="1"/>
        <v/>
      </c>
      <c r="AB8" s="3" t="str">
        <f t="shared" si="1"/>
        <v/>
      </c>
      <c r="AC8" s="3" t="str">
        <f t="shared" si="1"/>
        <v/>
      </c>
      <c r="AD8" s="3" t="str">
        <f t="shared" si="1"/>
        <v/>
      </c>
      <c r="AE8" s="3" t="str">
        <f t="shared" si="1"/>
        <v/>
      </c>
      <c r="AF8" s="3" t="str">
        <f t="shared" si="1"/>
        <v/>
      </c>
      <c r="AG8" s="3" t="str">
        <f t="shared" si="1"/>
        <v/>
      </c>
      <c r="AH8" s="3" t="str">
        <f t="shared" ref="AH8:AV23" si="41">IF(AND($O8&gt;=AH$3,AH$3&gt;=$P8),"X","")</f>
        <v/>
      </c>
      <c r="AI8" s="3" t="str">
        <f t="shared" si="41"/>
        <v/>
      </c>
      <c r="AJ8" s="3" t="str">
        <f t="shared" si="41"/>
        <v/>
      </c>
      <c r="AK8" s="3" t="str">
        <f t="shared" si="41"/>
        <v>X</v>
      </c>
      <c r="AL8" s="3" t="str">
        <f t="shared" si="41"/>
        <v>X</v>
      </c>
      <c r="AM8" s="3" t="str">
        <f t="shared" si="41"/>
        <v>X</v>
      </c>
      <c r="AN8" s="3" t="str">
        <f t="shared" si="41"/>
        <v>X</v>
      </c>
      <c r="AO8" s="3" t="str">
        <f t="shared" si="41"/>
        <v>X</v>
      </c>
      <c r="AP8" s="3" t="str">
        <f t="shared" si="41"/>
        <v>X</v>
      </c>
      <c r="AQ8" s="3" t="str">
        <f t="shared" si="41"/>
        <v>X</v>
      </c>
      <c r="AR8" s="3" t="str">
        <f t="shared" si="41"/>
        <v>X</v>
      </c>
      <c r="AS8" s="3" t="str">
        <f t="shared" si="41"/>
        <v>X</v>
      </c>
      <c r="AT8" s="3" t="str">
        <f t="shared" si="41"/>
        <v>X</v>
      </c>
      <c r="AU8" s="3" t="str">
        <f t="shared" si="41"/>
        <v>X</v>
      </c>
      <c r="AV8" s="3" t="str">
        <f t="shared" si="41"/>
        <v>X</v>
      </c>
      <c r="AW8" s="3" t="str">
        <f t="shared" si="16"/>
        <v/>
      </c>
      <c r="AX8" s="3" t="str">
        <f t="shared" si="17"/>
        <v/>
      </c>
      <c r="AY8" s="3" t="str">
        <f t="shared" si="18"/>
        <v>X</v>
      </c>
      <c r="AZ8" s="3" t="str">
        <f t="shared" si="19"/>
        <v>X</v>
      </c>
      <c r="BA8" s="3" t="str">
        <f t="shared" ref="BA8:BA22" si="42">IF(AW8="","",$M8*4+BA$3)</f>
        <v/>
      </c>
      <c r="BB8" s="3" t="str">
        <f t="shared" ref="BB8:BB22" si="43">IF(AX8="","",$M8*4+BB$3)</f>
        <v/>
      </c>
      <c r="BC8" s="3">
        <f t="shared" ref="BC8:BC22" si="44">IF(AY8="","",$M8*4+BC$3)</f>
        <v>10</v>
      </c>
      <c r="BD8" s="3">
        <f t="shared" ref="BD8:BD22" si="45">IF(AZ8="","",$M8*4+BD$3)</f>
        <v>11</v>
      </c>
      <c r="BE8" s="9" t="str">
        <f t="shared" ref="BE8:BE22" si="46">IF(BA8="","",DEC2HEX(BA8,3))</f>
        <v/>
      </c>
      <c r="BF8" s="9" t="str">
        <f t="shared" ref="BF8:BF22" si="47">IF(BB8="","",DEC2HEX(BB8,3))</f>
        <v/>
      </c>
      <c r="BG8" s="9" t="str">
        <f t="shared" ref="BG8:BG22" si="48">IF(BC8="","",DEC2HEX(BC8,3))</f>
        <v>00A</v>
      </c>
      <c r="BH8" s="9" t="str">
        <f t="shared" ref="BH8:BH22" si="49">IF(BD8="","",DEC2HEX(BD8,3))</f>
        <v>00B</v>
      </c>
      <c r="BI8" s="3" t="str">
        <f t="shared" ref="BI8:BI22" si="50">IF(AW8="","",IF(COUNTIF($Q8:$X8,"X")=8,"",CONCATENATE("(",INDEX($Q$3:$X$3,MATCH("X",$Q8:$X8,0))-24,IF(COUNTIF($Q8:$X8,"X")=1,")",CONCATENATE(" downto ",INDEX($Q$3:$X$3,MATCH("X",$Q8:$X8,0)+COUNTIF($Q8:$X8,"X")-1)-24,")")))))</f>
        <v/>
      </c>
      <c r="BJ8" s="3" t="str">
        <f t="shared" ref="BJ8:BJ22" si="51">IF(AX8="","",IF(COUNTIF($Y8:$AF8,"X")=8,"",CONCATENATE("(",INDEX($Y$3:$AF$3,MATCH("X",$Y8:$AF8,0))-16,IF(COUNTIF($Y8:$AF8,"X")=1,")",CONCATENATE(" downto ",INDEX($Y$3:$AF$3,MATCH("X",$Y8:$AF8,0)+COUNTIF($Y8:$AF8,"X")-1)-16,")")))))</f>
        <v/>
      </c>
      <c r="BK8" s="3" t="str">
        <f t="shared" ref="BK8:BK22" si="52">IF(AY8="","",IF(COUNTIF($AG8:$AN8,"X")=8,"",CONCATENATE("(",INDEX($AG$3:$AN$3,MATCH("X",$AG8:$AN8,0))-8,IF(COUNTIF($AG8:$AN8,"X")=1,")",CONCATENATE(" downto ",INDEX($AG$3:$AN$3,MATCH("X",$AG8:$AN8,0)+COUNTIF($AG8:$AN8,"X")-1)-8,")")))))</f>
        <v>(3 downto 0)</v>
      </c>
      <c r="BL8" s="3" t="str">
        <f t="shared" ref="BL8:BL22" si="53">IF(AZ8="","",IF(COUNTIF($AO8:$AV8,"X")=8,"",CONCATENATE("(",INDEX($AO$3:$AV$3,MATCH("X",$AO8:$AV8,0)),IF(COUNTIF($AO8:$AV8,"X")=1,")",CONCATENATE(" downto ",INDEX($AO$3:$AV$3,MATCH("X",$AO8:$AV8,0)+COUNTIF($AO8:$AV8,"X")-1),")")))))</f>
        <v/>
      </c>
      <c r="BM8" s="3" t="str">
        <f t="shared" ref="BM8:BM22" si="54">IF(AW8="","",$J8-1)</f>
        <v/>
      </c>
      <c r="BN8" s="3" t="str">
        <f t="shared" ref="BN8:BN22" si="55">IF(AX8="","",IF(BM8="",$J8-1,BM8-COUNTIF($Q8:$X8,"X")))</f>
        <v/>
      </c>
      <c r="BO8" s="3">
        <f t="shared" ref="BO8:BO22" si="56">IF(AY8="","",IF(BN8="",$J8-1,BN8-COUNTIF($Y8:$AF8,"X")))</f>
        <v>11</v>
      </c>
      <c r="BP8" s="3">
        <f t="shared" ref="BP8:BP22" si="57">IF(AZ8="","",IF(BO8="",$J8-1,BO8-COUNTIF($AG8:$AN8,"X")))</f>
        <v>7</v>
      </c>
      <c r="BQ8" s="3" t="str">
        <f t="shared" ref="BQ8:BQ22" si="58">IF(AW8="","",IF((4-COUNTIF($BM8:$BP8,""))=1,"",CONCATENATE("(",BM8,IF(COUNTIF($Q8:$X8,"X")=1,"",CONCATENATE(" downto ",BM8-COUNTIF($Q8:$X8,"X")+1)),")")))</f>
        <v/>
      </c>
      <c r="BR8" s="3" t="str">
        <f t="shared" ref="BR8:BR22" si="59">IF(AX8="","",IF((4-COUNTIF($BM8:$BP8,""))=1,"",CONCATENATE("(",BN8,IF(COUNTIF($Y8:$AF8,"X")=1,"",CONCATENATE(" downto ",BN8-COUNTIF($Y8:$AF8,"X")+1)),")")))</f>
        <v/>
      </c>
      <c r="BS8" s="3" t="str">
        <f t="shared" ref="BS8:BS22" si="60">IF(AY8="","",IF((4-COUNTIF($BM8:$BP8,""))=1,"",CONCATENATE("(",BO8,IF(COUNTIF($AG8:$AN8,"X")=1,"",CONCATENATE(" downto ",BO8-COUNTIF($AG8:$AN8,"X")+1)),")")))</f>
        <v>(11 downto 8)</v>
      </c>
      <c r="BT8" s="3" t="str">
        <f t="shared" ref="BT8:BT22" si="61">IF(AZ8="","",IF((4-COUNTIF($BM8:$BP8,""))=1,"",CONCATENATE("(",BP8,IF(COUNTIF($AO8:$AV8,"X") = 1,"",CONCATENATE(" downto ",BP8-COUNTIF($AO8:$AV8,"X")+1)),")")))</f>
        <v>(7 downto 0)</v>
      </c>
    </row>
    <row r="9" spans="1:73" x14ac:dyDescent="0.25">
      <c r="B9" s="3" t="s">
        <v>310</v>
      </c>
      <c r="C9" s="3" t="s">
        <v>385</v>
      </c>
      <c r="D9" s="3" t="s">
        <v>1</v>
      </c>
      <c r="E9" s="3" t="s">
        <v>1062</v>
      </c>
      <c r="F9" s="3" t="s">
        <v>78</v>
      </c>
      <c r="G9" s="3" t="s">
        <v>267</v>
      </c>
      <c r="H9" s="3" t="s">
        <v>141</v>
      </c>
      <c r="I9" s="3" t="s">
        <v>24</v>
      </c>
      <c r="J9" s="3">
        <v>12</v>
      </c>
      <c r="K9" s="3" t="s">
        <v>1053</v>
      </c>
      <c r="L9" s="3" t="s">
        <v>23</v>
      </c>
      <c r="M9" s="3">
        <v>2</v>
      </c>
      <c r="N9" s="3" t="str">
        <f t="shared" si="14"/>
        <v>002</v>
      </c>
      <c r="O9" s="3">
        <v>23</v>
      </c>
      <c r="P9" s="3">
        <v>12</v>
      </c>
      <c r="Q9" s="3" t="str">
        <f t="shared" si="15"/>
        <v/>
      </c>
      <c r="R9" s="3" t="str">
        <f t="shared" si="1"/>
        <v/>
      </c>
      <c r="S9" s="3" t="str">
        <f t="shared" si="1"/>
        <v/>
      </c>
      <c r="T9" s="3" t="str">
        <f t="shared" si="1"/>
        <v/>
      </c>
      <c r="U9" s="3" t="str">
        <f t="shared" si="1"/>
        <v/>
      </c>
      <c r="V9" s="3" t="str">
        <f t="shared" si="1"/>
        <v/>
      </c>
      <c r="W9" s="3" t="str">
        <f t="shared" si="1"/>
        <v/>
      </c>
      <c r="X9" s="3" t="str">
        <f t="shared" si="1"/>
        <v/>
      </c>
      <c r="Y9" s="3" t="str">
        <f t="shared" si="1"/>
        <v>X</v>
      </c>
      <c r="Z9" s="3" t="str">
        <f t="shared" si="1"/>
        <v>X</v>
      </c>
      <c r="AA9" s="3" t="str">
        <f t="shared" si="1"/>
        <v>X</v>
      </c>
      <c r="AB9" s="3" t="str">
        <f t="shared" si="1"/>
        <v>X</v>
      </c>
      <c r="AC9" s="3" t="str">
        <f t="shared" si="1"/>
        <v>X</v>
      </c>
      <c r="AD9" s="3" t="str">
        <f t="shared" si="1"/>
        <v>X</v>
      </c>
      <c r="AE9" s="3" t="str">
        <f t="shared" si="1"/>
        <v>X</v>
      </c>
      <c r="AF9" s="3" t="str">
        <f t="shared" si="1"/>
        <v>X</v>
      </c>
      <c r="AG9" s="3" t="str">
        <f t="shared" si="1"/>
        <v>X</v>
      </c>
      <c r="AH9" s="3" t="str">
        <f t="shared" si="41"/>
        <v>X</v>
      </c>
      <c r="AI9" s="3" t="str">
        <f t="shared" si="41"/>
        <v>X</v>
      </c>
      <c r="AJ9" s="3" t="str">
        <f t="shared" si="41"/>
        <v>X</v>
      </c>
      <c r="AK9" s="3" t="str">
        <f t="shared" si="41"/>
        <v/>
      </c>
      <c r="AL9" s="3" t="str">
        <f t="shared" si="41"/>
        <v/>
      </c>
      <c r="AM9" s="3" t="str">
        <f t="shared" si="41"/>
        <v/>
      </c>
      <c r="AN9" s="3" t="str">
        <f t="shared" si="41"/>
        <v/>
      </c>
      <c r="AO9" s="3" t="str">
        <f t="shared" si="41"/>
        <v/>
      </c>
      <c r="AP9" s="3" t="str">
        <f t="shared" si="41"/>
        <v/>
      </c>
      <c r="AQ9" s="3" t="str">
        <f t="shared" si="41"/>
        <v/>
      </c>
      <c r="AR9" s="3" t="str">
        <f t="shared" si="41"/>
        <v/>
      </c>
      <c r="AS9" s="3" t="str">
        <f t="shared" si="41"/>
        <v/>
      </c>
      <c r="AT9" s="3" t="str">
        <f t="shared" si="41"/>
        <v/>
      </c>
      <c r="AU9" s="3" t="str">
        <f t="shared" si="41"/>
        <v/>
      </c>
      <c r="AV9" s="3" t="str">
        <f t="shared" si="41"/>
        <v/>
      </c>
      <c r="AW9" s="3" t="str">
        <f t="shared" si="16"/>
        <v/>
      </c>
      <c r="AX9" s="3" t="str">
        <f t="shared" si="17"/>
        <v>X</v>
      </c>
      <c r="AY9" s="3" t="str">
        <f t="shared" si="18"/>
        <v>X</v>
      </c>
      <c r="AZ9" s="3" t="str">
        <f t="shared" si="19"/>
        <v/>
      </c>
      <c r="BA9" s="3" t="str">
        <f t="shared" si="42"/>
        <v/>
      </c>
      <c r="BB9" s="3">
        <f t="shared" si="43"/>
        <v>9</v>
      </c>
      <c r="BC9" s="3">
        <f t="shared" si="44"/>
        <v>10</v>
      </c>
      <c r="BD9" s="3" t="str">
        <f t="shared" si="45"/>
        <v/>
      </c>
      <c r="BE9" s="9" t="str">
        <f t="shared" si="46"/>
        <v/>
      </c>
      <c r="BF9" s="9" t="str">
        <f t="shared" si="47"/>
        <v>009</v>
      </c>
      <c r="BG9" s="9" t="str">
        <f t="shared" si="48"/>
        <v>00A</v>
      </c>
      <c r="BH9" s="9" t="str">
        <f t="shared" si="49"/>
        <v/>
      </c>
      <c r="BI9" s="3" t="str">
        <f t="shared" si="50"/>
        <v/>
      </c>
      <c r="BJ9" s="3" t="str">
        <f t="shared" si="51"/>
        <v/>
      </c>
      <c r="BK9" s="3" t="str">
        <f t="shared" si="52"/>
        <v>(7 downto 4)</v>
      </c>
      <c r="BL9" s="3" t="str">
        <f t="shared" si="53"/>
        <v/>
      </c>
      <c r="BM9" s="3" t="str">
        <f t="shared" si="54"/>
        <v/>
      </c>
      <c r="BN9" s="3">
        <f t="shared" si="55"/>
        <v>11</v>
      </c>
      <c r="BO9" s="3">
        <f t="shared" si="56"/>
        <v>3</v>
      </c>
      <c r="BP9" s="3" t="str">
        <f t="shared" si="57"/>
        <v/>
      </c>
      <c r="BQ9" s="3" t="str">
        <f t="shared" si="58"/>
        <v/>
      </c>
      <c r="BR9" s="3" t="str">
        <f t="shared" si="59"/>
        <v>(11 downto 4)</v>
      </c>
      <c r="BS9" s="3" t="str">
        <f t="shared" si="60"/>
        <v>(3 downto 0)</v>
      </c>
      <c r="BT9" s="3" t="str">
        <f t="shared" si="61"/>
        <v/>
      </c>
    </row>
    <row r="10" spans="1:73" x14ac:dyDescent="0.25">
      <c r="B10" s="3" t="s">
        <v>310</v>
      </c>
      <c r="C10" s="3" t="s">
        <v>1042</v>
      </c>
      <c r="D10" s="3" t="s">
        <v>1</v>
      </c>
      <c r="E10" s="3" t="s">
        <v>1062</v>
      </c>
      <c r="F10" s="3" t="s">
        <v>78</v>
      </c>
      <c r="G10" s="3" t="s">
        <v>267</v>
      </c>
      <c r="H10" s="3" t="s">
        <v>1046</v>
      </c>
      <c r="I10" s="3" t="s">
        <v>24</v>
      </c>
      <c r="J10" s="3">
        <v>2</v>
      </c>
      <c r="K10" s="8" t="s">
        <v>976</v>
      </c>
      <c r="L10" s="8" t="s">
        <v>23</v>
      </c>
      <c r="M10" s="3">
        <v>2</v>
      </c>
      <c r="N10" s="3" t="str">
        <f t="shared" si="14"/>
        <v>002</v>
      </c>
      <c r="O10" s="3">
        <v>25</v>
      </c>
      <c r="P10" s="3">
        <v>24</v>
      </c>
      <c r="Q10" s="3" t="str">
        <f t="shared" si="15"/>
        <v/>
      </c>
      <c r="R10" s="3" t="str">
        <f t="shared" si="1"/>
        <v/>
      </c>
      <c r="S10" s="3" t="str">
        <f t="shared" si="1"/>
        <v/>
      </c>
      <c r="T10" s="3" t="str">
        <f t="shared" si="1"/>
        <v/>
      </c>
      <c r="U10" s="3" t="str">
        <f t="shared" si="1"/>
        <v/>
      </c>
      <c r="V10" s="3" t="str">
        <f t="shared" si="1"/>
        <v/>
      </c>
      <c r="W10" s="3" t="str">
        <f t="shared" si="1"/>
        <v>X</v>
      </c>
      <c r="X10" s="3" t="str">
        <f t="shared" si="1"/>
        <v>X</v>
      </c>
      <c r="Y10" s="3" t="str">
        <f t="shared" si="1"/>
        <v/>
      </c>
      <c r="Z10" s="3" t="str">
        <f t="shared" si="1"/>
        <v/>
      </c>
      <c r="AA10" s="3" t="str">
        <f t="shared" si="1"/>
        <v/>
      </c>
      <c r="AB10" s="3" t="str">
        <f t="shared" si="1"/>
        <v/>
      </c>
      <c r="AC10" s="3" t="str">
        <f t="shared" si="1"/>
        <v/>
      </c>
      <c r="AD10" s="3" t="str">
        <f t="shared" si="1"/>
        <v/>
      </c>
      <c r="AE10" s="3" t="str">
        <f t="shared" si="1"/>
        <v/>
      </c>
      <c r="AF10" s="3" t="str">
        <f t="shared" si="1"/>
        <v/>
      </c>
      <c r="AG10" s="3" t="str">
        <f t="shared" si="1"/>
        <v/>
      </c>
      <c r="AH10" s="3" t="str">
        <f t="shared" si="41"/>
        <v/>
      </c>
      <c r="AI10" s="3" t="str">
        <f t="shared" si="41"/>
        <v/>
      </c>
      <c r="AJ10" s="3" t="str">
        <f t="shared" si="41"/>
        <v/>
      </c>
      <c r="AK10" s="3" t="str">
        <f t="shared" si="41"/>
        <v/>
      </c>
      <c r="AL10" s="3" t="str">
        <f t="shared" si="41"/>
        <v/>
      </c>
      <c r="AM10" s="3" t="str">
        <f t="shared" si="41"/>
        <v/>
      </c>
      <c r="AN10" s="3" t="str">
        <f t="shared" si="41"/>
        <v/>
      </c>
      <c r="AO10" s="3" t="str">
        <f t="shared" si="41"/>
        <v/>
      </c>
      <c r="AP10" s="3" t="str">
        <f t="shared" si="41"/>
        <v/>
      </c>
      <c r="AQ10" s="3" t="str">
        <f t="shared" si="41"/>
        <v/>
      </c>
      <c r="AR10" s="3" t="str">
        <f t="shared" si="41"/>
        <v/>
      </c>
      <c r="AS10" s="3" t="str">
        <f t="shared" si="41"/>
        <v/>
      </c>
      <c r="AT10" s="3" t="str">
        <f t="shared" si="41"/>
        <v/>
      </c>
      <c r="AU10" s="3" t="str">
        <f t="shared" si="41"/>
        <v/>
      </c>
      <c r="AV10" s="3" t="str">
        <f t="shared" si="41"/>
        <v/>
      </c>
      <c r="AW10" s="3" t="str">
        <f t="shared" si="16"/>
        <v>X</v>
      </c>
      <c r="AX10" s="3" t="str">
        <f t="shared" si="17"/>
        <v/>
      </c>
      <c r="AY10" s="3" t="str">
        <f t="shared" si="18"/>
        <v/>
      </c>
      <c r="AZ10" s="3" t="str">
        <f t="shared" si="19"/>
        <v/>
      </c>
      <c r="BA10" s="3">
        <f t="shared" si="42"/>
        <v>8</v>
      </c>
      <c r="BB10" s="3" t="str">
        <f t="shared" si="43"/>
        <v/>
      </c>
      <c r="BC10" s="3" t="str">
        <f t="shared" si="44"/>
        <v/>
      </c>
      <c r="BD10" s="3" t="str">
        <f t="shared" si="45"/>
        <v/>
      </c>
      <c r="BE10" s="9" t="str">
        <f t="shared" si="46"/>
        <v>008</v>
      </c>
      <c r="BF10" s="9" t="str">
        <f t="shared" si="47"/>
        <v/>
      </c>
      <c r="BG10" s="9" t="str">
        <f t="shared" si="48"/>
        <v/>
      </c>
      <c r="BH10" s="9" t="str">
        <f t="shared" si="49"/>
        <v/>
      </c>
      <c r="BI10" s="3" t="str">
        <f t="shared" si="50"/>
        <v>(1 downto 0)</v>
      </c>
      <c r="BJ10" s="3" t="str">
        <f t="shared" si="51"/>
        <v/>
      </c>
      <c r="BK10" s="3" t="str">
        <f t="shared" si="52"/>
        <v/>
      </c>
      <c r="BL10" s="3" t="str">
        <f t="shared" si="53"/>
        <v/>
      </c>
      <c r="BM10" s="3">
        <f t="shared" si="54"/>
        <v>1</v>
      </c>
      <c r="BN10" s="3" t="str">
        <f t="shared" si="55"/>
        <v/>
      </c>
      <c r="BO10" s="3" t="str">
        <f t="shared" si="56"/>
        <v/>
      </c>
      <c r="BP10" s="3" t="str">
        <f t="shared" si="57"/>
        <v/>
      </c>
      <c r="BQ10" s="3" t="str">
        <f t="shared" si="58"/>
        <v/>
      </c>
      <c r="BR10" s="3" t="str">
        <f t="shared" si="59"/>
        <v/>
      </c>
      <c r="BS10" s="3" t="str">
        <f t="shared" si="60"/>
        <v/>
      </c>
      <c r="BT10" s="3" t="str">
        <f t="shared" si="61"/>
        <v/>
      </c>
    </row>
    <row r="11" spans="1:73" x14ac:dyDescent="0.25">
      <c r="B11" s="3" t="s">
        <v>310</v>
      </c>
      <c r="C11" s="3" t="s">
        <v>1043</v>
      </c>
      <c r="D11" s="3" t="s">
        <v>1</v>
      </c>
      <c r="E11" s="3" t="s">
        <v>1062</v>
      </c>
      <c r="F11" s="3" t="s">
        <v>78</v>
      </c>
      <c r="G11" s="3" t="s">
        <v>267</v>
      </c>
      <c r="H11" s="3" t="s">
        <v>1047</v>
      </c>
      <c r="I11" s="3" t="s">
        <v>24</v>
      </c>
      <c r="J11" s="3">
        <v>2</v>
      </c>
      <c r="K11" s="8" t="s">
        <v>1048</v>
      </c>
      <c r="L11" s="8" t="s">
        <v>23</v>
      </c>
      <c r="M11" s="3">
        <v>2</v>
      </c>
      <c r="N11" s="3" t="str">
        <f t="shared" si="14"/>
        <v>002</v>
      </c>
      <c r="O11" s="3">
        <v>27</v>
      </c>
      <c r="P11" s="3">
        <v>26</v>
      </c>
      <c r="Q11" s="3" t="str">
        <f t="shared" si="15"/>
        <v/>
      </c>
      <c r="R11" s="3" t="str">
        <f t="shared" si="1"/>
        <v/>
      </c>
      <c r="S11" s="3" t="str">
        <f t="shared" si="1"/>
        <v/>
      </c>
      <c r="T11" s="3" t="str">
        <f t="shared" si="1"/>
        <v/>
      </c>
      <c r="U11" s="3" t="str">
        <f t="shared" si="1"/>
        <v>X</v>
      </c>
      <c r="V11" s="3" t="str">
        <f t="shared" si="1"/>
        <v>X</v>
      </c>
      <c r="W11" s="3" t="str">
        <f t="shared" si="1"/>
        <v/>
      </c>
      <c r="X11" s="3" t="str">
        <f t="shared" si="1"/>
        <v/>
      </c>
      <c r="Y11" s="3" t="str">
        <f t="shared" si="1"/>
        <v/>
      </c>
      <c r="Z11" s="3" t="str">
        <f t="shared" si="1"/>
        <v/>
      </c>
      <c r="AA11" s="3" t="str">
        <f t="shared" si="1"/>
        <v/>
      </c>
      <c r="AB11" s="3" t="str">
        <f t="shared" si="1"/>
        <v/>
      </c>
      <c r="AC11" s="3" t="str">
        <f t="shared" si="1"/>
        <v/>
      </c>
      <c r="AD11" s="3" t="str">
        <f t="shared" si="1"/>
        <v/>
      </c>
      <c r="AE11" s="3" t="str">
        <f t="shared" si="1"/>
        <v/>
      </c>
      <c r="AF11" s="3" t="str">
        <f t="shared" si="1"/>
        <v/>
      </c>
      <c r="AG11" s="3" t="str">
        <f t="shared" si="1"/>
        <v/>
      </c>
      <c r="AH11" s="3" t="str">
        <f t="shared" si="41"/>
        <v/>
      </c>
      <c r="AI11" s="3" t="str">
        <f t="shared" si="41"/>
        <v/>
      </c>
      <c r="AJ11" s="3" t="str">
        <f t="shared" si="41"/>
        <v/>
      </c>
      <c r="AK11" s="3" t="str">
        <f t="shared" si="41"/>
        <v/>
      </c>
      <c r="AL11" s="3" t="str">
        <f t="shared" si="41"/>
        <v/>
      </c>
      <c r="AM11" s="3" t="str">
        <f t="shared" si="41"/>
        <v/>
      </c>
      <c r="AN11" s="3" t="str">
        <f t="shared" si="41"/>
        <v/>
      </c>
      <c r="AO11" s="3" t="str">
        <f t="shared" si="41"/>
        <v/>
      </c>
      <c r="AP11" s="3" t="str">
        <f t="shared" si="41"/>
        <v/>
      </c>
      <c r="AQ11" s="3" t="str">
        <f t="shared" si="41"/>
        <v/>
      </c>
      <c r="AR11" s="3" t="str">
        <f t="shared" si="41"/>
        <v/>
      </c>
      <c r="AS11" s="3" t="str">
        <f t="shared" si="41"/>
        <v/>
      </c>
      <c r="AT11" s="3" t="str">
        <f t="shared" si="41"/>
        <v/>
      </c>
      <c r="AU11" s="3" t="str">
        <f t="shared" si="41"/>
        <v/>
      </c>
      <c r="AV11" s="3" t="str">
        <f t="shared" si="41"/>
        <v/>
      </c>
      <c r="AW11" s="3" t="str">
        <f t="shared" si="16"/>
        <v>X</v>
      </c>
      <c r="AX11" s="3" t="str">
        <f t="shared" si="17"/>
        <v/>
      </c>
      <c r="AY11" s="3" t="str">
        <f t="shared" si="18"/>
        <v/>
      </c>
      <c r="AZ11" s="3" t="str">
        <f t="shared" si="19"/>
        <v/>
      </c>
      <c r="BA11" s="3">
        <f t="shared" si="42"/>
        <v>8</v>
      </c>
      <c r="BB11" s="3" t="str">
        <f t="shared" si="43"/>
        <v/>
      </c>
      <c r="BC11" s="3" t="str">
        <f t="shared" si="44"/>
        <v/>
      </c>
      <c r="BD11" s="3" t="str">
        <f t="shared" si="45"/>
        <v/>
      </c>
      <c r="BE11" s="9" t="str">
        <f t="shared" si="46"/>
        <v>008</v>
      </c>
      <c r="BF11" s="9" t="str">
        <f t="shared" si="47"/>
        <v/>
      </c>
      <c r="BG11" s="9" t="str">
        <f t="shared" si="48"/>
        <v/>
      </c>
      <c r="BH11" s="9" t="str">
        <f t="shared" si="49"/>
        <v/>
      </c>
      <c r="BI11" s="3" t="str">
        <f t="shared" si="50"/>
        <v>(3 downto 2)</v>
      </c>
      <c r="BJ11" s="3" t="str">
        <f t="shared" si="51"/>
        <v/>
      </c>
      <c r="BK11" s="3" t="str">
        <f t="shared" si="52"/>
        <v/>
      </c>
      <c r="BL11" s="3" t="str">
        <f t="shared" si="53"/>
        <v/>
      </c>
      <c r="BM11" s="3">
        <f t="shared" si="54"/>
        <v>1</v>
      </c>
      <c r="BN11" s="3" t="str">
        <f t="shared" si="55"/>
        <v/>
      </c>
      <c r="BO11" s="3" t="str">
        <f t="shared" si="56"/>
        <v/>
      </c>
      <c r="BP11" s="3" t="str">
        <f t="shared" si="57"/>
        <v/>
      </c>
      <c r="BQ11" s="3" t="str">
        <f t="shared" si="58"/>
        <v/>
      </c>
      <c r="BR11" s="3" t="str">
        <f t="shared" si="59"/>
        <v/>
      </c>
      <c r="BS11" s="3" t="str">
        <f t="shared" si="60"/>
        <v/>
      </c>
      <c r="BT11" s="3" t="str">
        <f t="shared" si="61"/>
        <v/>
      </c>
    </row>
    <row r="12" spans="1:73" x14ac:dyDescent="0.25">
      <c r="B12" s="3" t="s">
        <v>310</v>
      </c>
      <c r="C12" s="3" t="s">
        <v>1044</v>
      </c>
      <c r="D12" s="3" t="s">
        <v>1</v>
      </c>
      <c r="E12" s="3" t="s">
        <v>1062</v>
      </c>
      <c r="F12" s="3" t="s">
        <v>78</v>
      </c>
      <c r="G12" s="3" t="s">
        <v>267</v>
      </c>
      <c r="H12" s="3" t="s">
        <v>1049</v>
      </c>
      <c r="I12" s="3" t="s">
        <v>24</v>
      </c>
      <c r="J12" s="3">
        <v>2</v>
      </c>
      <c r="K12" s="8" t="s">
        <v>1050</v>
      </c>
      <c r="L12" s="8" t="s">
        <v>23</v>
      </c>
      <c r="M12" s="3">
        <v>2</v>
      </c>
      <c r="N12" s="3" t="str">
        <f t="shared" si="14"/>
        <v>002</v>
      </c>
      <c r="O12" s="3">
        <v>29</v>
      </c>
      <c r="P12" s="3">
        <v>28</v>
      </c>
      <c r="Q12" s="3" t="str">
        <f t="shared" si="15"/>
        <v/>
      </c>
      <c r="R12" s="3" t="str">
        <f t="shared" si="1"/>
        <v/>
      </c>
      <c r="S12" s="3" t="str">
        <f t="shared" si="1"/>
        <v>X</v>
      </c>
      <c r="T12" s="3" t="str">
        <f t="shared" si="1"/>
        <v>X</v>
      </c>
      <c r="U12" s="3" t="str">
        <f t="shared" si="1"/>
        <v/>
      </c>
      <c r="V12" s="3" t="str">
        <f t="shared" si="1"/>
        <v/>
      </c>
      <c r="W12" s="3" t="str">
        <f t="shared" si="1"/>
        <v/>
      </c>
      <c r="X12" s="3" t="str">
        <f t="shared" si="1"/>
        <v/>
      </c>
      <c r="Y12" s="3" t="str">
        <f t="shared" si="1"/>
        <v/>
      </c>
      <c r="Z12" s="3" t="str">
        <f t="shared" si="1"/>
        <v/>
      </c>
      <c r="AA12" s="3" t="str">
        <f t="shared" si="1"/>
        <v/>
      </c>
      <c r="AB12" s="3" t="str">
        <f t="shared" si="1"/>
        <v/>
      </c>
      <c r="AC12" s="3" t="str">
        <f t="shared" si="1"/>
        <v/>
      </c>
      <c r="AD12" s="3" t="str">
        <f t="shared" si="1"/>
        <v/>
      </c>
      <c r="AE12" s="3" t="str">
        <f t="shared" si="1"/>
        <v/>
      </c>
      <c r="AF12" s="3" t="str">
        <f t="shared" si="1"/>
        <v/>
      </c>
      <c r="AG12" s="3" t="str">
        <f t="shared" si="1"/>
        <v/>
      </c>
      <c r="AH12" s="3" t="str">
        <f t="shared" si="41"/>
        <v/>
      </c>
      <c r="AI12" s="3" t="str">
        <f t="shared" si="41"/>
        <v/>
      </c>
      <c r="AJ12" s="3" t="str">
        <f t="shared" si="41"/>
        <v/>
      </c>
      <c r="AK12" s="3" t="str">
        <f t="shared" si="41"/>
        <v/>
      </c>
      <c r="AL12" s="3" t="str">
        <f t="shared" si="41"/>
        <v/>
      </c>
      <c r="AM12" s="3" t="str">
        <f t="shared" si="41"/>
        <v/>
      </c>
      <c r="AN12" s="3" t="str">
        <f t="shared" si="41"/>
        <v/>
      </c>
      <c r="AO12" s="3" t="str">
        <f t="shared" si="41"/>
        <v/>
      </c>
      <c r="AP12" s="3" t="str">
        <f t="shared" si="41"/>
        <v/>
      </c>
      <c r="AQ12" s="3" t="str">
        <f t="shared" si="41"/>
        <v/>
      </c>
      <c r="AR12" s="3" t="str">
        <f t="shared" si="41"/>
        <v/>
      </c>
      <c r="AS12" s="3" t="str">
        <f t="shared" si="41"/>
        <v/>
      </c>
      <c r="AT12" s="3" t="str">
        <f t="shared" si="41"/>
        <v/>
      </c>
      <c r="AU12" s="3" t="str">
        <f t="shared" si="41"/>
        <v/>
      </c>
      <c r="AV12" s="3" t="str">
        <f t="shared" si="41"/>
        <v/>
      </c>
      <c r="AW12" s="3" t="str">
        <f t="shared" si="16"/>
        <v>X</v>
      </c>
      <c r="AX12" s="3" t="str">
        <f t="shared" si="17"/>
        <v/>
      </c>
      <c r="AY12" s="3" t="str">
        <f t="shared" si="18"/>
        <v/>
      </c>
      <c r="AZ12" s="3" t="str">
        <f t="shared" si="19"/>
        <v/>
      </c>
      <c r="BA12" s="3">
        <f t="shared" si="42"/>
        <v>8</v>
      </c>
      <c r="BB12" s="3" t="str">
        <f t="shared" si="43"/>
        <v/>
      </c>
      <c r="BC12" s="3" t="str">
        <f t="shared" si="44"/>
        <v/>
      </c>
      <c r="BD12" s="3" t="str">
        <f t="shared" si="45"/>
        <v/>
      </c>
      <c r="BE12" s="9" t="str">
        <f t="shared" si="46"/>
        <v>008</v>
      </c>
      <c r="BF12" s="9" t="str">
        <f t="shared" si="47"/>
        <v/>
      </c>
      <c r="BG12" s="9" t="str">
        <f t="shared" si="48"/>
        <v/>
      </c>
      <c r="BH12" s="9" t="str">
        <f t="shared" si="49"/>
        <v/>
      </c>
      <c r="BI12" s="3" t="str">
        <f t="shared" si="50"/>
        <v>(5 downto 4)</v>
      </c>
      <c r="BJ12" s="3" t="str">
        <f t="shared" si="51"/>
        <v/>
      </c>
      <c r="BK12" s="3" t="str">
        <f t="shared" si="52"/>
        <v/>
      </c>
      <c r="BL12" s="3" t="str">
        <f t="shared" si="53"/>
        <v/>
      </c>
      <c r="BM12" s="3">
        <f t="shared" si="54"/>
        <v>1</v>
      </c>
      <c r="BN12" s="3" t="str">
        <f t="shared" si="55"/>
        <v/>
      </c>
      <c r="BO12" s="3" t="str">
        <f t="shared" si="56"/>
        <v/>
      </c>
      <c r="BP12" s="3" t="str">
        <f t="shared" si="57"/>
        <v/>
      </c>
      <c r="BQ12" s="3" t="str">
        <f t="shared" si="58"/>
        <v/>
      </c>
      <c r="BR12" s="3" t="str">
        <f t="shared" si="59"/>
        <v/>
      </c>
      <c r="BS12" s="3" t="str">
        <f t="shared" si="60"/>
        <v/>
      </c>
      <c r="BT12" s="3" t="str">
        <f t="shared" si="61"/>
        <v/>
      </c>
    </row>
    <row r="13" spans="1:73" x14ac:dyDescent="0.25">
      <c r="B13" s="3" t="s">
        <v>310</v>
      </c>
      <c r="C13" s="3" t="s">
        <v>1045</v>
      </c>
      <c r="D13" s="3" t="s">
        <v>1</v>
      </c>
      <c r="E13" s="3" t="s">
        <v>1062</v>
      </c>
      <c r="F13" s="3" t="s">
        <v>78</v>
      </c>
      <c r="G13" s="3" t="s">
        <v>267</v>
      </c>
      <c r="H13" s="3" t="s">
        <v>1051</v>
      </c>
      <c r="I13" s="3" t="s">
        <v>24</v>
      </c>
      <c r="J13" s="3">
        <v>2</v>
      </c>
      <c r="K13" s="8" t="s">
        <v>295</v>
      </c>
      <c r="L13" s="8" t="s">
        <v>23</v>
      </c>
      <c r="M13" s="3">
        <v>2</v>
      </c>
      <c r="N13" s="3" t="str">
        <f t="shared" si="14"/>
        <v>002</v>
      </c>
      <c r="O13" s="3">
        <v>31</v>
      </c>
      <c r="P13" s="3">
        <v>30</v>
      </c>
      <c r="Q13" s="3" t="str">
        <f t="shared" si="15"/>
        <v>X</v>
      </c>
      <c r="R13" s="3" t="str">
        <f t="shared" si="1"/>
        <v>X</v>
      </c>
      <c r="S13" s="3" t="str">
        <f t="shared" si="1"/>
        <v/>
      </c>
      <c r="T13" s="3" t="str">
        <f t="shared" si="1"/>
        <v/>
      </c>
      <c r="U13" s="3" t="str">
        <f t="shared" si="1"/>
        <v/>
      </c>
      <c r="V13" s="3" t="str">
        <f t="shared" si="1"/>
        <v/>
      </c>
      <c r="W13" s="3" t="str">
        <f t="shared" si="1"/>
        <v/>
      </c>
      <c r="X13" s="3" t="str">
        <f t="shared" si="1"/>
        <v/>
      </c>
      <c r="Y13" s="3" t="str">
        <f t="shared" si="1"/>
        <v/>
      </c>
      <c r="Z13" s="3" t="str">
        <f t="shared" si="1"/>
        <v/>
      </c>
      <c r="AA13" s="3" t="str">
        <f t="shared" si="1"/>
        <v/>
      </c>
      <c r="AB13" s="3" t="str">
        <f t="shared" si="1"/>
        <v/>
      </c>
      <c r="AC13" s="3" t="str">
        <f t="shared" si="1"/>
        <v/>
      </c>
      <c r="AD13" s="3" t="str">
        <f t="shared" si="1"/>
        <v/>
      </c>
      <c r="AE13" s="3" t="str">
        <f t="shared" si="1"/>
        <v/>
      </c>
      <c r="AF13" s="3" t="str">
        <f t="shared" si="1"/>
        <v/>
      </c>
      <c r="AG13" s="3" t="str">
        <f t="shared" si="1"/>
        <v/>
      </c>
      <c r="AH13" s="3" t="str">
        <f t="shared" si="41"/>
        <v/>
      </c>
      <c r="AI13" s="3" t="str">
        <f t="shared" si="41"/>
        <v/>
      </c>
      <c r="AJ13" s="3" t="str">
        <f t="shared" si="41"/>
        <v/>
      </c>
      <c r="AK13" s="3" t="str">
        <f t="shared" si="41"/>
        <v/>
      </c>
      <c r="AL13" s="3" t="str">
        <f t="shared" si="41"/>
        <v/>
      </c>
      <c r="AM13" s="3" t="str">
        <f t="shared" si="41"/>
        <v/>
      </c>
      <c r="AN13" s="3" t="str">
        <f t="shared" si="41"/>
        <v/>
      </c>
      <c r="AO13" s="3" t="str">
        <f t="shared" si="41"/>
        <v/>
      </c>
      <c r="AP13" s="3" t="str">
        <f t="shared" si="41"/>
        <v/>
      </c>
      <c r="AQ13" s="3" t="str">
        <f t="shared" si="41"/>
        <v/>
      </c>
      <c r="AR13" s="3" t="str">
        <f t="shared" si="41"/>
        <v/>
      </c>
      <c r="AS13" s="3" t="str">
        <f t="shared" si="41"/>
        <v/>
      </c>
      <c r="AT13" s="3" t="str">
        <f t="shared" si="41"/>
        <v/>
      </c>
      <c r="AU13" s="3" t="str">
        <f t="shared" si="41"/>
        <v/>
      </c>
      <c r="AV13" s="3" t="str">
        <f t="shared" si="41"/>
        <v/>
      </c>
      <c r="AW13" s="3" t="str">
        <f t="shared" si="16"/>
        <v>X</v>
      </c>
      <c r="AX13" s="3" t="str">
        <f t="shared" si="17"/>
        <v/>
      </c>
      <c r="AY13" s="3" t="str">
        <f t="shared" si="18"/>
        <v/>
      </c>
      <c r="AZ13" s="3" t="str">
        <f t="shared" si="19"/>
        <v/>
      </c>
      <c r="BA13" s="3">
        <f t="shared" si="42"/>
        <v>8</v>
      </c>
      <c r="BB13" s="3" t="str">
        <f t="shared" si="43"/>
        <v/>
      </c>
      <c r="BC13" s="3" t="str">
        <f t="shared" si="44"/>
        <v/>
      </c>
      <c r="BD13" s="3" t="str">
        <f t="shared" si="45"/>
        <v/>
      </c>
      <c r="BE13" s="9" t="str">
        <f t="shared" si="46"/>
        <v>008</v>
      </c>
      <c r="BF13" s="9" t="str">
        <f t="shared" si="47"/>
        <v/>
      </c>
      <c r="BG13" s="9" t="str">
        <f t="shared" si="48"/>
        <v/>
      </c>
      <c r="BH13" s="9" t="str">
        <f t="shared" si="49"/>
        <v/>
      </c>
      <c r="BI13" s="3" t="str">
        <f t="shared" si="50"/>
        <v>(7 downto 6)</v>
      </c>
      <c r="BJ13" s="3" t="str">
        <f t="shared" si="51"/>
        <v/>
      </c>
      <c r="BK13" s="3" t="str">
        <f t="shared" si="52"/>
        <v/>
      </c>
      <c r="BL13" s="3" t="str">
        <f t="shared" si="53"/>
        <v/>
      </c>
      <c r="BM13" s="3">
        <f t="shared" si="54"/>
        <v>1</v>
      </c>
      <c r="BN13" s="3" t="str">
        <f t="shared" si="55"/>
        <v/>
      </c>
      <c r="BO13" s="3" t="str">
        <f t="shared" si="56"/>
        <v/>
      </c>
      <c r="BP13" s="3" t="str">
        <f t="shared" si="57"/>
        <v/>
      </c>
      <c r="BQ13" s="3" t="str">
        <f t="shared" si="58"/>
        <v/>
      </c>
      <c r="BR13" s="3" t="str">
        <f t="shared" si="59"/>
        <v/>
      </c>
      <c r="BS13" s="3" t="str">
        <f t="shared" si="60"/>
        <v/>
      </c>
      <c r="BT13" s="3" t="str">
        <f t="shared" si="61"/>
        <v/>
      </c>
    </row>
    <row r="14" spans="1:73" x14ac:dyDescent="0.25">
      <c r="B14" s="3" t="s">
        <v>311</v>
      </c>
      <c r="C14" s="3" t="s">
        <v>386</v>
      </c>
      <c r="D14" s="3" t="s">
        <v>1</v>
      </c>
      <c r="E14" s="3" t="s">
        <v>1062</v>
      </c>
      <c r="F14" s="3" t="s">
        <v>79</v>
      </c>
      <c r="G14" s="3" t="s">
        <v>268</v>
      </c>
      <c r="H14" s="3" t="s">
        <v>142</v>
      </c>
      <c r="I14" s="3" t="s">
        <v>24</v>
      </c>
      <c r="J14" s="3">
        <v>16</v>
      </c>
      <c r="K14" s="3" t="s">
        <v>59</v>
      </c>
      <c r="L14" s="3" t="s">
        <v>23</v>
      </c>
      <c r="M14" s="3">
        <v>3</v>
      </c>
      <c r="N14" s="3" t="str">
        <f t="shared" si="14"/>
        <v>003</v>
      </c>
      <c r="O14" s="3">
        <v>15</v>
      </c>
      <c r="P14" s="3">
        <v>0</v>
      </c>
      <c r="Q14" s="3" t="str">
        <f t="shared" si="15"/>
        <v/>
      </c>
      <c r="R14" s="3" t="str">
        <f t="shared" si="1"/>
        <v/>
      </c>
      <c r="S14" s="3" t="str">
        <f t="shared" si="1"/>
        <v/>
      </c>
      <c r="T14" s="3" t="str">
        <f t="shared" si="1"/>
        <v/>
      </c>
      <c r="U14" s="3" t="str">
        <f t="shared" si="1"/>
        <v/>
      </c>
      <c r="V14" s="3" t="str">
        <f t="shared" si="1"/>
        <v/>
      </c>
      <c r="W14" s="3" t="str">
        <f t="shared" si="1"/>
        <v/>
      </c>
      <c r="X14" s="3" t="str">
        <f t="shared" si="1"/>
        <v/>
      </c>
      <c r="Y14" s="3" t="str">
        <f t="shared" si="1"/>
        <v/>
      </c>
      <c r="Z14" s="3" t="str">
        <f t="shared" si="1"/>
        <v/>
      </c>
      <c r="AA14" s="3" t="str">
        <f t="shared" si="1"/>
        <v/>
      </c>
      <c r="AB14" s="3" t="str">
        <f t="shared" si="1"/>
        <v/>
      </c>
      <c r="AC14" s="3" t="str">
        <f t="shared" si="1"/>
        <v/>
      </c>
      <c r="AD14" s="3" t="str">
        <f t="shared" si="1"/>
        <v/>
      </c>
      <c r="AE14" s="3" t="str">
        <f t="shared" si="1"/>
        <v/>
      </c>
      <c r="AF14" s="3" t="str">
        <f t="shared" si="1"/>
        <v/>
      </c>
      <c r="AG14" s="3" t="str">
        <f t="shared" si="1"/>
        <v>X</v>
      </c>
      <c r="AH14" s="3" t="str">
        <f t="shared" si="41"/>
        <v>X</v>
      </c>
      <c r="AI14" s="3" t="str">
        <f t="shared" si="41"/>
        <v>X</v>
      </c>
      <c r="AJ14" s="3" t="str">
        <f t="shared" si="41"/>
        <v>X</v>
      </c>
      <c r="AK14" s="3" t="str">
        <f t="shared" si="41"/>
        <v>X</v>
      </c>
      <c r="AL14" s="3" t="str">
        <f t="shared" si="41"/>
        <v>X</v>
      </c>
      <c r="AM14" s="3" t="str">
        <f t="shared" si="41"/>
        <v>X</v>
      </c>
      <c r="AN14" s="3" t="str">
        <f t="shared" si="41"/>
        <v>X</v>
      </c>
      <c r="AO14" s="3" t="str">
        <f t="shared" si="41"/>
        <v>X</v>
      </c>
      <c r="AP14" s="3" t="str">
        <f t="shared" si="41"/>
        <v>X</v>
      </c>
      <c r="AQ14" s="3" t="str">
        <f t="shared" si="41"/>
        <v>X</v>
      </c>
      <c r="AR14" s="3" t="str">
        <f t="shared" si="41"/>
        <v>X</v>
      </c>
      <c r="AS14" s="3" t="str">
        <f t="shared" si="41"/>
        <v>X</v>
      </c>
      <c r="AT14" s="3" t="str">
        <f t="shared" si="41"/>
        <v>X</v>
      </c>
      <c r="AU14" s="3" t="str">
        <f t="shared" si="41"/>
        <v>X</v>
      </c>
      <c r="AV14" s="3" t="str">
        <f t="shared" si="41"/>
        <v>X</v>
      </c>
      <c r="AW14" s="3" t="str">
        <f t="shared" si="16"/>
        <v/>
      </c>
      <c r="AX14" s="3" t="str">
        <f t="shared" si="17"/>
        <v/>
      </c>
      <c r="AY14" s="3" t="str">
        <f t="shared" si="18"/>
        <v>X</v>
      </c>
      <c r="AZ14" s="3" t="str">
        <f t="shared" si="19"/>
        <v>X</v>
      </c>
      <c r="BA14" s="3" t="str">
        <f t="shared" si="42"/>
        <v/>
      </c>
      <c r="BB14" s="3" t="str">
        <f t="shared" si="43"/>
        <v/>
      </c>
      <c r="BC14" s="3">
        <f t="shared" si="44"/>
        <v>14</v>
      </c>
      <c r="BD14" s="3">
        <f t="shared" si="45"/>
        <v>15</v>
      </c>
      <c r="BE14" s="9" t="str">
        <f t="shared" si="46"/>
        <v/>
      </c>
      <c r="BF14" s="9" t="str">
        <f t="shared" si="47"/>
        <v/>
      </c>
      <c r="BG14" s="9" t="str">
        <f t="shared" si="48"/>
        <v>00E</v>
      </c>
      <c r="BH14" s="9" t="str">
        <f t="shared" si="49"/>
        <v>00F</v>
      </c>
      <c r="BI14" s="3" t="str">
        <f t="shared" si="50"/>
        <v/>
      </c>
      <c r="BJ14" s="3" t="str">
        <f t="shared" si="51"/>
        <v/>
      </c>
      <c r="BK14" s="3" t="str">
        <f t="shared" si="52"/>
        <v/>
      </c>
      <c r="BL14" s="3" t="str">
        <f t="shared" si="53"/>
        <v/>
      </c>
      <c r="BM14" s="3" t="str">
        <f t="shared" si="54"/>
        <v/>
      </c>
      <c r="BN14" s="3" t="str">
        <f t="shared" si="55"/>
        <v/>
      </c>
      <c r="BO14" s="3">
        <f t="shared" si="56"/>
        <v>15</v>
      </c>
      <c r="BP14" s="3">
        <f t="shared" si="57"/>
        <v>7</v>
      </c>
      <c r="BQ14" s="3" t="str">
        <f t="shared" si="58"/>
        <v/>
      </c>
      <c r="BR14" s="3" t="str">
        <f t="shared" si="59"/>
        <v/>
      </c>
      <c r="BS14" s="3" t="str">
        <f t="shared" si="60"/>
        <v>(15 downto 8)</v>
      </c>
      <c r="BT14" s="3" t="str">
        <f t="shared" si="61"/>
        <v>(7 downto 0)</v>
      </c>
    </row>
    <row r="15" spans="1:73" x14ac:dyDescent="0.25">
      <c r="B15" s="3" t="s">
        <v>311</v>
      </c>
      <c r="C15" s="3" t="s">
        <v>387</v>
      </c>
      <c r="D15" s="3" t="s">
        <v>1</v>
      </c>
      <c r="E15" s="3" t="s">
        <v>1062</v>
      </c>
      <c r="F15" s="3" t="s">
        <v>79</v>
      </c>
      <c r="G15" s="3" t="s">
        <v>268</v>
      </c>
      <c r="H15" s="3" t="s">
        <v>143</v>
      </c>
      <c r="I15" s="3" t="s">
        <v>24</v>
      </c>
      <c r="J15" s="3">
        <v>12</v>
      </c>
      <c r="K15" s="3" t="s">
        <v>292</v>
      </c>
      <c r="L15" s="3" t="s">
        <v>23</v>
      </c>
      <c r="M15" s="3">
        <v>3</v>
      </c>
      <c r="N15" s="3" t="str">
        <f t="shared" si="14"/>
        <v>003</v>
      </c>
      <c r="O15" s="3">
        <v>27</v>
      </c>
      <c r="P15" s="3">
        <v>16</v>
      </c>
      <c r="Q15" s="3" t="str">
        <f t="shared" si="15"/>
        <v/>
      </c>
      <c r="R15" s="3" t="str">
        <f t="shared" si="1"/>
        <v/>
      </c>
      <c r="S15" s="3" t="str">
        <f t="shared" si="1"/>
        <v/>
      </c>
      <c r="T15" s="3" t="str">
        <f t="shared" ref="R15:AG30" si="62">IF(AND($O15&gt;=T$3,T$3&gt;=$P15),"X","")</f>
        <v/>
      </c>
      <c r="U15" s="3" t="str">
        <f t="shared" si="62"/>
        <v>X</v>
      </c>
      <c r="V15" s="3" t="str">
        <f t="shared" si="62"/>
        <v>X</v>
      </c>
      <c r="W15" s="3" t="str">
        <f t="shared" si="62"/>
        <v>X</v>
      </c>
      <c r="X15" s="3" t="str">
        <f t="shared" si="62"/>
        <v>X</v>
      </c>
      <c r="Y15" s="3" t="str">
        <f t="shared" si="62"/>
        <v>X</v>
      </c>
      <c r="Z15" s="3" t="str">
        <f t="shared" si="62"/>
        <v>X</v>
      </c>
      <c r="AA15" s="3" t="str">
        <f t="shared" si="62"/>
        <v>X</v>
      </c>
      <c r="AB15" s="3" t="str">
        <f t="shared" si="62"/>
        <v>X</v>
      </c>
      <c r="AC15" s="3" t="str">
        <f t="shared" si="62"/>
        <v>X</v>
      </c>
      <c r="AD15" s="3" t="str">
        <f t="shared" si="62"/>
        <v>X</v>
      </c>
      <c r="AE15" s="3" t="str">
        <f t="shared" si="62"/>
        <v>X</v>
      </c>
      <c r="AF15" s="3" t="str">
        <f t="shared" si="62"/>
        <v>X</v>
      </c>
      <c r="AG15" s="3" t="str">
        <f t="shared" si="62"/>
        <v/>
      </c>
      <c r="AH15" s="3" t="str">
        <f t="shared" si="41"/>
        <v/>
      </c>
      <c r="AI15" s="3" t="str">
        <f t="shared" si="41"/>
        <v/>
      </c>
      <c r="AJ15" s="3" t="str">
        <f t="shared" si="41"/>
        <v/>
      </c>
      <c r="AK15" s="3" t="str">
        <f t="shared" si="41"/>
        <v/>
      </c>
      <c r="AL15" s="3" t="str">
        <f t="shared" si="41"/>
        <v/>
      </c>
      <c r="AM15" s="3" t="str">
        <f t="shared" si="41"/>
        <v/>
      </c>
      <c r="AN15" s="3" t="str">
        <f t="shared" si="41"/>
        <v/>
      </c>
      <c r="AO15" s="3" t="str">
        <f t="shared" si="41"/>
        <v/>
      </c>
      <c r="AP15" s="3" t="str">
        <f t="shared" si="41"/>
        <v/>
      </c>
      <c r="AQ15" s="3" t="str">
        <f t="shared" si="41"/>
        <v/>
      </c>
      <c r="AR15" s="3" t="str">
        <f t="shared" si="41"/>
        <v/>
      </c>
      <c r="AS15" s="3" t="str">
        <f t="shared" si="41"/>
        <v/>
      </c>
      <c r="AT15" s="3" t="str">
        <f t="shared" si="41"/>
        <v/>
      </c>
      <c r="AU15" s="3" t="str">
        <f t="shared" si="41"/>
        <v/>
      </c>
      <c r="AV15" s="3" t="str">
        <f t="shared" si="41"/>
        <v/>
      </c>
      <c r="AW15" s="3" t="str">
        <f t="shared" si="16"/>
        <v>X</v>
      </c>
      <c r="AX15" s="3" t="str">
        <f t="shared" si="17"/>
        <v>X</v>
      </c>
      <c r="AY15" s="3" t="str">
        <f t="shared" si="18"/>
        <v/>
      </c>
      <c r="AZ15" s="3" t="str">
        <f t="shared" si="19"/>
        <v/>
      </c>
      <c r="BA15" s="3">
        <f t="shared" si="42"/>
        <v>12</v>
      </c>
      <c r="BB15" s="3">
        <f t="shared" si="43"/>
        <v>13</v>
      </c>
      <c r="BC15" s="3" t="str">
        <f t="shared" si="44"/>
        <v/>
      </c>
      <c r="BD15" s="3" t="str">
        <f t="shared" si="45"/>
        <v/>
      </c>
      <c r="BE15" s="9" t="str">
        <f t="shared" si="46"/>
        <v>00C</v>
      </c>
      <c r="BF15" s="9" t="str">
        <f t="shared" si="47"/>
        <v>00D</v>
      </c>
      <c r="BG15" s="9" t="str">
        <f t="shared" si="48"/>
        <v/>
      </c>
      <c r="BH15" s="9" t="str">
        <f t="shared" si="49"/>
        <v/>
      </c>
      <c r="BI15" s="3" t="str">
        <f t="shared" si="50"/>
        <v>(3 downto 0)</v>
      </c>
      <c r="BJ15" s="3" t="str">
        <f t="shared" si="51"/>
        <v/>
      </c>
      <c r="BK15" s="3" t="str">
        <f t="shared" si="52"/>
        <v/>
      </c>
      <c r="BL15" s="3" t="str">
        <f t="shared" si="53"/>
        <v/>
      </c>
      <c r="BM15" s="3">
        <f t="shared" si="54"/>
        <v>11</v>
      </c>
      <c r="BN15" s="3">
        <f t="shared" si="55"/>
        <v>7</v>
      </c>
      <c r="BO15" s="3" t="str">
        <f t="shared" si="56"/>
        <v/>
      </c>
      <c r="BP15" s="3" t="str">
        <f t="shared" si="57"/>
        <v/>
      </c>
      <c r="BQ15" s="3" t="str">
        <f t="shared" si="58"/>
        <v>(11 downto 8)</v>
      </c>
      <c r="BR15" s="3" t="str">
        <f t="shared" si="59"/>
        <v>(7 downto 0)</v>
      </c>
      <c r="BS15" s="3" t="str">
        <f t="shared" si="60"/>
        <v/>
      </c>
      <c r="BT15" s="3" t="str">
        <f t="shared" si="61"/>
        <v/>
      </c>
    </row>
    <row r="16" spans="1:73" x14ac:dyDescent="0.25">
      <c r="B16" s="3" t="s">
        <v>311</v>
      </c>
      <c r="C16" s="3" t="s">
        <v>388</v>
      </c>
      <c r="D16" s="3" t="s">
        <v>1</v>
      </c>
      <c r="E16" s="3" t="s">
        <v>1062</v>
      </c>
      <c r="F16" s="3" t="s">
        <v>79</v>
      </c>
      <c r="G16" s="3" t="s">
        <v>268</v>
      </c>
      <c r="H16" s="3" t="s">
        <v>144</v>
      </c>
      <c r="I16" s="3" t="s">
        <v>24</v>
      </c>
      <c r="J16" s="3">
        <v>1</v>
      </c>
      <c r="K16" s="3" t="s">
        <v>58</v>
      </c>
      <c r="L16" s="3" t="s">
        <v>23</v>
      </c>
      <c r="M16" s="3">
        <v>3</v>
      </c>
      <c r="N16" s="3" t="str">
        <f t="shared" si="14"/>
        <v>003</v>
      </c>
      <c r="O16" s="3">
        <v>28</v>
      </c>
      <c r="P16" s="3">
        <v>28</v>
      </c>
      <c r="Q16" s="3" t="str">
        <f t="shared" si="15"/>
        <v/>
      </c>
      <c r="R16" s="3" t="str">
        <f t="shared" si="62"/>
        <v/>
      </c>
      <c r="S16" s="3" t="str">
        <f t="shared" si="62"/>
        <v/>
      </c>
      <c r="T16" s="3" t="str">
        <f t="shared" si="62"/>
        <v>X</v>
      </c>
      <c r="U16" s="3" t="str">
        <f t="shared" si="62"/>
        <v/>
      </c>
      <c r="V16" s="3" t="str">
        <f t="shared" si="62"/>
        <v/>
      </c>
      <c r="W16" s="3" t="str">
        <f t="shared" si="62"/>
        <v/>
      </c>
      <c r="X16" s="3" t="str">
        <f t="shared" si="62"/>
        <v/>
      </c>
      <c r="Y16" s="3" t="str">
        <f t="shared" si="62"/>
        <v/>
      </c>
      <c r="Z16" s="3" t="str">
        <f t="shared" si="62"/>
        <v/>
      </c>
      <c r="AA16" s="3" t="str">
        <f t="shared" si="62"/>
        <v/>
      </c>
      <c r="AB16" s="3" t="str">
        <f t="shared" si="62"/>
        <v/>
      </c>
      <c r="AC16" s="3" t="str">
        <f t="shared" si="62"/>
        <v/>
      </c>
      <c r="AD16" s="3" t="str">
        <f t="shared" si="62"/>
        <v/>
      </c>
      <c r="AE16" s="3" t="str">
        <f t="shared" si="62"/>
        <v/>
      </c>
      <c r="AF16" s="3" t="str">
        <f t="shared" si="62"/>
        <v/>
      </c>
      <c r="AG16" s="3" t="str">
        <f t="shared" si="62"/>
        <v/>
      </c>
      <c r="AH16" s="3" t="str">
        <f t="shared" si="41"/>
        <v/>
      </c>
      <c r="AI16" s="3" t="str">
        <f t="shared" si="41"/>
        <v/>
      </c>
      <c r="AJ16" s="3" t="str">
        <f t="shared" si="41"/>
        <v/>
      </c>
      <c r="AK16" s="3" t="str">
        <f t="shared" si="41"/>
        <v/>
      </c>
      <c r="AL16" s="3" t="str">
        <f t="shared" si="41"/>
        <v/>
      </c>
      <c r="AM16" s="3" t="str">
        <f t="shared" si="41"/>
        <v/>
      </c>
      <c r="AN16" s="3" t="str">
        <f t="shared" si="41"/>
        <v/>
      </c>
      <c r="AO16" s="3" t="str">
        <f t="shared" si="41"/>
        <v/>
      </c>
      <c r="AP16" s="3" t="str">
        <f t="shared" si="41"/>
        <v/>
      </c>
      <c r="AQ16" s="3" t="str">
        <f t="shared" si="41"/>
        <v/>
      </c>
      <c r="AR16" s="3" t="str">
        <f t="shared" si="41"/>
        <v/>
      </c>
      <c r="AS16" s="3" t="str">
        <f t="shared" si="41"/>
        <v/>
      </c>
      <c r="AT16" s="3" t="str">
        <f t="shared" si="41"/>
        <v/>
      </c>
      <c r="AU16" s="3" t="str">
        <f t="shared" si="41"/>
        <v/>
      </c>
      <c r="AV16" s="3" t="str">
        <f t="shared" si="41"/>
        <v/>
      </c>
      <c r="AW16" s="3" t="str">
        <f t="shared" si="16"/>
        <v>X</v>
      </c>
      <c r="AX16" s="3" t="str">
        <f t="shared" si="17"/>
        <v/>
      </c>
      <c r="AY16" s="3" t="str">
        <f t="shared" si="18"/>
        <v/>
      </c>
      <c r="AZ16" s="3" t="str">
        <f t="shared" si="19"/>
        <v/>
      </c>
      <c r="BA16" s="3">
        <f t="shared" si="42"/>
        <v>12</v>
      </c>
      <c r="BB16" s="3" t="str">
        <f t="shared" si="43"/>
        <v/>
      </c>
      <c r="BC16" s="3" t="str">
        <f t="shared" si="44"/>
        <v/>
      </c>
      <c r="BD16" s="3" t="str">
        <f t="shared" si="45"/>
        <v/>
      </c>
      <c r="BE16" s="9" t="str">
        <f t="shared" si="46"/>
        <v>00C</v>
      </c>
      <c r="BF16" s="9" t="str">
        <f t="shared" si="47"/>
        <v/>
      </c>
      <c r="BG16" s="9" t="str">
        <f t="shared" si="48"/>
        <v/>
      </c>
      <c r="BH16" s="9" t="str">
        <f t="shared" si="49"/>
        <v/>
      </c>
      <c r="BI16" s="3" t="str">
        <f t="shared" si="50"/>
        <v>(4)</v>
      </c>
      <c r="BJ16" s="3" t="str">
        <f t="shared" si="51"/>
        <v/>
      </c>
      <c r="BK16" s="3" t="str">
        <f t="shared" si="52"/>
        <v/>
      </c>
      <c r="BL16" s="3" t="str">
        <f t="shared" si="53"/>
        <v/>
      </c>
      <c r="BM16" s="3">
        <f t="shared" si="54"/>
        <v>0</v>
      </c>
      <c r="BN16" s="3" t="str">
        <f t="shared" si="55"/>
        <v/>
      </c>
      <c r="BO16" s="3" t="str">
        <f t="shared" si="56"/>
        <v/>
      </c>
      <c r="BP16" s="3" t="str">
        <f t="shared" si="57"/>
        <v/>
      </c>
      <c r="BQ16" s="3" t="str">
        <f t="shared" si="58"/>
        <v/>
      </c>
      <c r="BR16" s="3" t="str">
        <f t="shared" si="59"/>
        <v/>
      </c>
      <c r="BS16" s="3" t="str">
        <f t="shared" si="60"/>
        <v/>
      </c>
      <c r="BT16" s="3" t="str">
        <f t="shared" si="61"/>
        <v/>
      </c>
    </row>
    <row r="17" spans="2:72" x14ac:dyDescent="0.25">
      <c r="B17" s="3" t="s">
        <v>311</v>
      </c>
      <c r="C17" s="3" t="s">
        <v>389</v>
      </c>
      <c r="D17" s="3" t="s">
        <v>1</v>
      </c>
      <c r="E17" s="3" t="s">
        <v>1062</v>
      </c>
      <c r="F17" s="3" t="s">
        <v>79</v>
      </c>
      <c r="G17" s="3" t="s">
        <v>268</v>
      </c>
      <c r="H17" s="3" t="s">
        <v>145</v>
      </c>
      <c r="I17" s="3" t="s">
        <v>24</v>
      </c>
      <c r="J17" s="3">
        <v>1</v>
      </c>
      <c r="K17" s="3" t="s">
        <v>58</v>
      </c>
      <c r="L17" s="3" t="s">
        <v>23</v>
      </c>
      <c r="M17" s="3">
        <v>3</v>
      </c>
      <c r="N17" s="3" t="str">
        <f t="shared" si="14"/>
        <v>003</v>
      </c>
      <c r="O17" s="3">
        <v>29</v>
      </c>
      <c r="P17" s="3">
        <v>29</v>
      </c>
      <c r="Q17" s="3" t="str">
        <f t="shared" si="15"/>
        <v/>
      </c>
      <c r="R17" s="3" t="str">
        <f t="shared" si="62"/>
        <v/>
      </c>
      <c r="S17" s="3" t="str">
        <f t="shared" si="62"/>
        <v>X</v>
      </c>
      <c r="T17" s="3" t="str">
        <f t="shared" si="62"/>
        <v/>
      </c>
      <c r="U17" s="3" t="str">
        <f t="shared" si="62"/>
        <v/>
      </c>
      <c r="V17" s="3" t="str">
        <f t="shared" si="62"/>
        <v/>
      </c>
      <c r="W17" s="3" t="str">
        <f t="shared" si="62"/>
        <v/>
      </c>
      <c r="X17" s="3" t="str">
        <f t="shared" si="62"/>
        <v/>
      </c>
      <c r="Y17" s="3" t="str">
        <f t="shared" si="62"/>
        <v/>
      </c>
      <c r="Z17" s="3" t="str">
        <f t="shared" si="62"/>
        <v/>
      </c>
      <c r="AA17" s="3" t="str">
        <f t="shared" si="62"/>
        <v/>
      </c>
      <c r="AB17" s="3" t="str">
        <f t="shared" si="62"/>
        <v/>
      </c>
      <c r="AC17" s="3" t="str">
        <f t="shared" si="62"/>
        <v/>
      </c>
      <c r="AD17" s="3" t="str">
        <f t="shared" si="62"/>
        <v/>
      </c>
      <c r="AE17" s="3" t="str">
        <f t="shared" si="62"/>
        <v/>
      </c>
      <c r="AF17" s="3" t="str">
        <f t="shared" si="62"/>
        <v/>
      </c>
      <c r="AG17" s="3" t="str">
        <f t="shared" si="62"/>
        <v/>
      </c>
      <c r="AH17" s="3" t="str">
        <f t="shared" si="41"/>
        <v/>
      </c>
      <c r="AI17" s="3" t="str">
        <f t="shared" si="41"/>
        <v/>
      </c>
      <c r="AJ17" s="3" t="str">
        <f t="shared" si="41"/>
        <v/>
      </c>
      <c r="AK17" s="3" t="str">
        <f t="shared" si="41"/>
        <v/>
      </c>
      <c r="AL17" s="3" t="str">
        <f t="shared" si="41"/>
        <v/>
      </c>
      <c r="AM17" s="3" t="str">
        <f t="shared" si="41"/>
        <v/>
      </c>
      <c r="AN17" s="3" t="str">
        <f t="shared" si="41"/>
        <v/>
      </c>
      <c r="AO17" s="3" t="str">
        <f t="shared" si="41"/>
        <v/>
      </c>
      <c r="AP17" s="3" t="str">
        <f t="shared" si="41"/>
        <v/>
      </c>
      <c r="AQ17" s="3" t="str">
        <f t="shared" si="41"/>
        <v/>
      </c>
      <c r="AR17" s="3" t="str">
        <f t="shared" si="41"/>
        <v/>
      </c>
      <c r="AS17" s="3" t="str">
        <f t="shared" si="41"/>
        <v/>
      </c>
      <c r="AT17" s="3" t="str">
        <f t="shared" si="41"/>
        <v/>
      </c>
      <c r="AU17" s="3" t="str">
        <f t="shared" si="41"/>
        <v/>
      </c>
      <c r="AV17" s="3" t="str">
        <f t="shared" si="41"/>
        <v/>
      </c>
      <c r="AW17" s="3" t="str">
        <f t="shared" si="16"/>
        <v>X</v>
      </c>
      <c r="AX17" s="3" t="str">
        <f t="shared" si="17"/>
        <v/>
      </c>
      <c r="AY17" s="3" t="str">
        <f t="shared" si="18"/>
        <v/>
      </c>
      <c r="AZ17" s="3" t="str">
        <f t="shared" si="19"/>
        <v/>
      </c>
      <c r="BA17" s="3">
        <f t="shared" si="42"/>
        <v>12</v>
      </c>
      <c r="BB17" s="3" t="str">
        <f t="shared" si="43"/>
        <v/>
      </c>
      <c r="BC17" s="3" t="str">
        <f t="shared" si="44"/>
        <v/>
      </c>
      <c r="BD17" s="3" t="str">
        <f t="shared" si="45"/>
        <v/>
      </c>
      <c r="BE17" s="9" t="str">
        <f t="shared" si="46"/>
        <v>00C</v>
      </c>
      <c r="BF17" s="9" t="str">
        <f t="shared" si="47"/>
        <v/>
      </c>
      <c r="BG17" s="9" t="str">
        <f t="shared" si="48"/>
        <v/>
      </c>
      <c r="BH17" s="9" t="str">
        <f t="shared" si="49"/>
        <v/>
      </c>
      <c r="BI17" s="3" t="str">
        <f t="shared" si="50"/>
        <v>(5)</v>
      </c>
      <c r="BJ17" s="3" t="str">
        <f t="shared" si="51"/>
        <v/>
      </c>
      <c r="BK17" s="3" t="str">
        <f t="shared" si="52"/>
        <v/>
      </c>
      <c r="BL17" s="3" t="str">
        <f t="shared" si="53"/>
        <v/>
      </c>
      <c r="BM17" s="3">
        <f t="shared" si="54"/>
        <v>0</v>
      </c>
      <c r="BN17" s="3" t="str">
        <f t="shared" si="55"/>
        <v/>
      </c>
      <c r="BO17" s="3" t="str">
        <f t="shared" si="56"/>
        <v/>
      </c>
      <c r="BP17" s="3" t="str">
        <f t="shared" si="57"/>
        <v/>
      </c>
      <c r="BQ17" s="3" t="str">
        <f t="shared" si="58"/>
        <v/>
      </c>
      <c r="BR17" s="3" t="str">
        <f t="shared" si="59"/>
        <v/>
      </c>
      <c r="BS17" s="3" t="str">
        <f t="shared" si="60"/>
        <v/>
      </c>
      <c r="BT17" s="3" t="str">
        <f t="shared" si="61"/>
        <v/>
      </c>
    </row>
    <row r="18" spans="2:72" x14ac:dyDescent="0.25">
      <c r="B18" s="3" t="s">
        <v>311</v>
      </c>
      <c r="C18" s="3" t="s">
        <v>390</v>
      </c>
      <c r="D18" s="3" t="s">
        <v>1</v>
      </c>
      <c r="E18" s="3" t="s">
        <v>1062</v>
      </c>
      <c r="F18" s="3" t="s">
        <v>79</v>
      </c>
      <c r="G18" s="3" t="s">
        <v>268</v>
      </c>
      <c r="H18" s="3" t="s">
        <v>146</v>
      </c>
      <c r="I18" s="3" t="s">
        <v>24</v>
      </c>
      <c r="J18" s="3">
        <v>1</v>
      </c>
      <c r="K18" s="3" t="s">
        <v>58</v>
      </c>
      <c r="L18" s="3" t="s">
        <v>23</v>
      </c>
      <c r="M18" s="3">
        <v>3</v>
      </c>
      <c r="N18" s="3" t="str">
        <f t="shared" si="14"/>
        <v>003</v>
      </c>
      <c r="O18" s="3">
        <v>30</v>
      </c>
      <c r="P18" s="3">
        <v>30</v>
      </c>
      <c r="Q18" s="3" t="str">
        <f t="shared" si="15"/>
        <v/>
      </c>
      <c r="R18" s="3" t="str">
        <f t="shared" si="62"/>
        <v>X</v>
      </c>
      <c r="S18" s="3" t="str">
        <f t="shared" si="62"/>
        <v/>
      </c>
      <c r="T18" s="3" t="str">
        <f t="shared" si="62"/>
        <v/>
      </c>
      <c r="U18" s="3" t="str">
        <f t="shared" si="62"/>
        <v/>
      </c>
      <c r="V18" s="3" t="str">
        <f t="shared" si="62"/>
        <v/>
      </c>
      <c r="W18" s="3" t="str">
        <f t="shared" si="62"/>
        <v/>
      </c>
      <c r="X18" s="3" t="str">
        <f t="shared" si="62"/>
        <v/>
      </c>
      <c r="Y18" s="3" t="str">
        <f t="shared" si="62"/>
        <v/>
      </c>
      <c r="Z18" s="3" t="str">
        <f t="shared" si="62"/>
        <v/>
      </c>
      <c r="AA18" s="3" t="str">
        <f t="shared" si="62"/>
        <v/>
      </c>
      <c r="AB18" s="3" t="str">
        <f t="shared" si="62"/>
        <v/>
      </c>
      <c r="AC18" s="3" t="str">
        <f t="shared" si="62"/>
        <v/>
      </c>
      <c r="AD18" s="3" t="str">
        <f t="shared" si="62"/>
        <v/>
      </c>
      <c r="AE18" s="3" t="str">
        <f t="shared" si="62"/>
        <v/>
      </c>
      <c r="AF18" s="3" t="str">
        <f t="shared" si="62"/>
        <v/>
      </c>
      <c r="AG18" s="3" t="str">
        <f t="shared" si="62"/>
        <v/>
      </c>
      <c r="AH18" s="3" t="str">
        <f t="shared" si="41"/>
        <v/>
      </c>
      <c r="AI18" s="3" t="str">
        <f t="shared" si="41"/>
        <v/>
      </c>
      <c r="AJ18" s="3" t="str">
        <f t="shared" si="41"/>
        <v/>
      </c>
      <c r="AK18" s="3" t="str">
        <f t="shared" si="41"/>
        <v/>
      </c>
      <c r="AL18" s="3" t="str">
        <f t="shared" si="41"/>
        <v/>
      </c>
      <c r="AM18" s="3" t="str">
        <f t="shared" si="41"/>
        <v/>
      </c>
      <c r="AN18" s="3" t="str">
        <f t="shared" si="41"/>
        <v/>
      </c>
      <c r="AO18" s="3" t="str">
        <f t="shared" si="41"/>
        <v/>
      </c>
      <c r="AP18" s="3" t="str">
        <f t="shared" si="41"/>
        <v/>
      </c>
      <c r="AQ18" s="3" t="str">
        <f t="shared" si="41"/>
        <v/>
      </c>
      <c r="AR18" s="3" t="str">
        <f t="shared" si="41"/>
        <v/>
      </c>
      <c r="AS18" s="3" t="str">
        <f t="shared" si="41"/>
        <v/>
      </c>
      <c r="AT18" s="3" t="str">
        <f t="shared" si="41"/>
        <v/>
      </c>
      <c r="AU18" s="3" t="str">
        <f t="shared" si="41"/>
        <v/>
      </c>
      <c r="AV18" s="3" t="str">
        <f t="shared" si="41"/>
        <v/>
      </c>
      <c r="AW18" s="3" t="str">
        <f t="shared" si="16"/>
        <v>X</v>
      </c>
      <c r="AX18" s="3" t="str">
        <f t="shared" si="17"/>
        <v/>
      </c>
      <c r="AY18" s="3" t="str">
        <f t="shared" si="18"/>
        <v/>
      </c>
      <c r="AZ18" s="3" t="str">
        <f t="shared" si="19"/>
        <v/>
      </c>
      <c r="BA18" s="3">
        <f t="shared" si="42"/>
        <v>12</v>
      </c>
      <c r="BB18" s="3" t="str">
        <f t="shared" si="43"/>
        <v/>
      </c>
      <c r="BC18" s="3" t="str">
        <f t="shared" si="44"/>
        <v/>
      </c>
      <c r="BD18" s="3" t="str">
        <f t="shared" si="45"/>
        <v/>
      </c>
      <c r="BE18" s="9" t="str">
        <f t="shared" si="46"/>
        <v>00C</v>
      </c>
      <c r="BF18" s="9" t="str">
        <f t="shared" si="47"/>
        <v/>
      </c>
      <c r="BG18" s="9" t="str">
        <f t="shared" si="48"/>
        <v/>
      </c>
      <c r="BH18" s="9" t="str">
        <f t="shared" si="49"/>
        <v/>
      </c>
      <c r="BI18" s="3" t="str">
        <f t="shared" si="50"/>
        <v>(6)</v>
      </c>
      <c r="BJ18" s="3" t="str">
        <f t="shared" si="51"/>
        <v/>
      </c>
      <c r="BK18" s="3" t="str">
        <f t="shared" si="52"/>
        <v/>
      </c>
      <c r="BL18" s="3" t="str">
        <f t="shared" si="53"/>
        <v/>
      </c>
      <c r="BM18" s="3">
        <f t="shared" si="54"/>
        <v>0</v>
      </c>
      <c r="BN18" s="3" t="str">
        <f t="shared" si="55"/>
        <v/>
      </c>
      <c r="BO18" s="3" t="str">
        <f t="shared" si="56"/>
        <v/>
      </c>
      <c r="BP18" s="3" t="str">
        <f t="shared" si="57"/>
        <v/>
      </c>
      <c r="BQ18" s="3" t="str">
        <f t="shared" si="58"/>
        <v/>
      </c>
      <c r="BR18" s="3" t="str">
        <f t="shared" si="59"/>
        <v/>
      </c>
      <c r="BS18" s="3" t="str">
        <f t="shared" si="60"/>
        <v/>
      </c>
      <c r="BT18" s="3" t="str">
        <f t="shared" si="61"/>
        <v/>
      </c>
    </row>
    <row r="19" spans="2:72" x14ac:dyDescent="0.25">
      <c r="B19" s="3" t="s">
        <v>311</v>
      </c>
      <c r="C19" s="3" t="s">
        <v>391</v>
      </c>
      <c r="D19" s="3" t="s">
        <v>1</v>
      </c>
      <c r="E19" s="3" t="s">
        <v>1062</v>
      </c>
      <c r="F19" s="3" t="s">
        <v>79</v>
      </c>
      <c r="G19" s="3" t="s">
        <v>268</v>
      </c>
      <c r="H19" s="3" t="s">
        <v>147</v>
      </c>
      <c r="I19" s="3" t="s">
        <v>24</v>
      </c>
      <c r="J19" s="3">
        <v>1</v>
      </c>
      <c r="K19" s="3" t="s">
        <v>58</v>
      </c>
      <c r="L19" s="3" t="s">
        <v>23</v>
      </c>
      <c r="M19" s="3">
        <v>3</v>
      </c>
      <c r="N19" s="3" t="str">
        <f t="shared" si="14"/>
        <v>003</v>
      </c>
      <c r="O19" s="3">
        <v>31</v>
      </c>
      <c r="P19" s="3">
        <v>31</v>
      </c>
      <c r="Q19" s="3" t="str">
        <f t="shared" si="15"/>
        <v>X</v>
      </c>
      <c r="R19" s="3" t="str">
        <f t="shared" si="62"/>
        <v/>
      </c>
      <c r="S19" s="3" t="str">
        <f t="shared" si="62"/>
        <v/>
      </c>
      <c r="T19" s="3" t="str">
        <f t="shared" si="62"/>
        <v/>
      </c>
      <c r="U19" s="3" t="str">
        <f t="shared" si="62"/>
        <v/>
      </c>
      <c r="V19" s="3" t="str">
        <f t="shared" si="62"/>
        <v/>
      </c>
      <c r="W19" s="3" t="str">
        <f t="shared" si="62"/>
        <v/>
      </c>
      <c r="X19" s="3" t="str">
        <f t="shared" si="62"/>
        <v/>
      </c>
      <c r="Y19" s="3" t="str">
        <f t="shared" si="62"/>
        <v/>
      </c>
      <c r="Z19" s="3" t="str">
        <f t="shared" si="62"/>
        <v/>
      </c>
      <c r="AA19" s="3" t="str">
        <f t="shared" si="62"/>
        <v/>
      </c>
      <c r="AB19" s="3" t="str">
        <f t="shared" si="62"/>
        <v/>
      </c>
      <c r="AC19" s="3" t="str">
        <f t="shared" si="62"/>
        <v/>
      </c>
      <c r="AD19" s="3" t="str">
        <f t="shared" si="62"/>
        <v/>
      </c>
      <c r="AE19" s="3" t="str">
        <f t="shared" si="62"/>
        <v/>
      </c>
      <c r="AF19" s="3" t="str">
        <f t="shared" si="62"/>
        <v/>
      </c>
      <c r="AG19" s="3" t="str">
        <f t="shared" si="62"/>
        <v/>
      </c>
      <c r="AH19" s="3" t="str">
        <f t="shared" si="41"/>
        <v/>
      </c>
      <c r="AI19" s="3" t="str">
        <f t="shared" si="41"/>
        <v/>
      </c>
      <c r="AJ19" s="3" t="str">
        <f t="shared" si="41"/>
        <v/>
      </c>
      <c r="AK19" s="3" t="str">
        <f t="shared" si="41"/>
        <v/>
      </c>
      <c r="AL19" s="3" t="str">
        <f t="shared" si="41"/>
        <v/>
      </c>
      <c r="AM19" s="3" t="str">
        <f t="shared" si="41"/>
        <v/>
      </c>
      <c r="AN19" s="3" t="str">
        <f t="shared" si="41"/>
        <v/>
      </c>
      <c r="AO19" s="3" t="str">
        <f t="shared" si="41"/>
        <v/>
      </c>
      <c r="AP19" s="3" t="str">
        <f t="shared" si="41"/>
        <v/>
      </c>
      <c r="AQ19" s="3" t="str">
        <f t="shared" si="41"/>
        <v/>
      </c>
      <c r="AR19" s="3" t="str">
        <f t="shared" si="41"/>
        <v/>
      </c>
      <c r="AS19" s="3" t="str">
        <f t="shared" si="41"/>
        <v/>
      </c>
      <c r="AT19" s="3" t="str">
        <f t="shared" si="41"/>
        <v/>
      </c>
      <c r="AU19" s="3" t="str">
        <f t="shared" si="41"/>
        <v/>
      </c>
      <c r="AV19" s="3" t="str">
        <f t="shared" si="41"/>
        <v/>
      </c>
      <c r="AW19" s="3" t="str">
        <f t="shared" si="16"/>
        <v>X</v>
      </c>
      <c r="AX19" s="3" t="str">
        <f t="shared" si="17"/>
        <v/>
      </c>
      <c r="AY19" s="3" t="str">
        <f t="shared" si="18"/>
        <v/>
      </c>
      <c r="AZ19" s="3" t="str">
        <f t="shared" si="19"/>
        <v/>
      </c>
      <c r="BA19" s="3">
        <f t="shared" si="42"/>
        <v>12</v>
      </c>
      <c r="BB19" s="3" t="str">
        <f t="shared" si="43"/>
        <v/>
      </c>
      <c r="BC19" s="3" t="str">
        <f t="shared" si="44"/>
        <v/>
      </c>
      <c r="BD19" s="3" t="str">
        <f t="shared" si="45"/>
        <v/>
      </c>
      <c r="BE19" s="9" t="str">
        <f t="shared" si="46"/>
        <v>00C</v>
      </c>
      <c r="BF19" s="9" t="str">
        <f t="shared" si="47"/>
        <v/>
      </c>
      <c r="BG19" s="9" t="str">
        <f t="shared" si="48"/>
        <v/>
      </c>
      <c r="BH19" s="9" t="str">
        <f t="shared" si="49"/>
        <v/>
      </c>
      <c r="BI19" s="3" t="str">
        <f t="shared" si="50"/>
        <v>(7)</v>
      </c>
      <c r="BJ19" s="3" t="str">
        <f t="shared" si="51"/>
        <v/>
      </c>
      <c r="BK19" s="3" t="str">
        <f t="shared" si="52"/>
        <v/>
      </c>
      <c r="BL19" s="3" t="str">
        <f t="shared" si="53"/>
        <v/>
      </c>
      <c r="BM19" s="3">
        <f t="shared" si="54"/>
        <v>0</v>
      </c>
      <c r="BN19" s="3" t="str">
        <f t="shared" si="55"/>
        <v/>
      </c>
      <c r="BO19" s="3" t="str">
        <f t="shared" si="56"/>
        <v/>
      </c>
      <c r="BP19" s="3" t="str">
        <f t="shared" si="57"/>
        <v/>
      </c>
      <c r="BQ19" s="3" t="str">
        <f t="shared" si="58"/>
        <v/>
      </c>
      <c r="BR19" s="3" t="str">
        <f t="shared" si="59"/>
        <v/>
      </c>
      <c r="BS19" s="3" t="str">
        <f t="shared" si="60"/>
        <v/>
      </c>
      <c r="BT19" s="3" t="str">
        <f t="shared" si="61"/>
        <v/>
      </c>
    </row>
    <row r="20" spans="2:72" x14ac:dyDescent="0.25">
      <c r="B20" s="3" t="s">
        <v>312</v>
      </c>
      <c r="C20" s="3" t="s">
        <v>392</v>
      </c>
      <c r="D20" s="3" t="s">
        <v>1</v>
      </c>
      <c r="E20" s="3" t="s">
        <v>1062</v>
      </c>
      <c r="F20" s="3" t="s">
        <v>80</v>
      </c>
      <c r="G20" s="3" t="s">
        <v>269</v>
      </c>
      <c r="H20" s="3" t="s">
        <v>148</v>
      </c>
      <c r="I20" s="3" t="s">
        <v>24</v>
      </c>
      <c r="J20" s="3">
        <v>16</v>
      </c>
      <c r="K20" s="3" t="s">
        <v>293</v>
      </c>
      <c r="L20" s="3" t="s">
        <v>23</v>
      </c>
      <c r="M20" s="3">
        <v>4</v>
      </c>
      <c r="N20" s="3" t="str">
        <f t="shared" si="14"/>
        <v>004</v>
      </c>
      <c r="O20" s="3">
        <v>15</v>
      </c>
      <c r="P20" s="3">
        <v>0</v>
      </c>
      <c r="Q20" s="3" t="str">
        <f t="shared" si="15"/>
        <v/>
      </c>
      <c r="R20" s="3" t="str">
        <f t="shared" si="62"/>
        <v/>
      </c>
      <c r="S20" s="3" t="str">
        <f t="shared" si="62"/>
        <v/>
      </c>
      <c r="T20" s="3" t="str">
        <f t="shared" si="62"/>
        <v/>
      </c>
      <c r="U20" s="3" t="str">
        <f t="shared" si="62"/>
        <v/>
      </c>
      <c r="V20" s="3" t="str">
        <f t="shared" si="62"/>
        <v/>
      </c>
      <c r="W20" s="3" t="str">
        <f t="shared" si="62"/>
        <v/>
      </c>
      <c r="X20" s="3" t="str">
        <f t="shared" si="62"/>
        <v/>
      </c>
      <c r="Y20" s="3" t="str">
        <f t="shared" si="62"/>
        <v/>
      </c>
      <c r="Z20" s="3" t="str">
        <f t="shared" si="62"/>
        <v/>
      </c>
      <c r="AA20" s="3" t="str">
        <f t="shared" si="62"/>
        <v/>
      </c>
      <c r="AB20" s="3" t="str">
        <f t="shared" si="62"/>
        <v/>
      </c>
      <c r="AC20" s="3" t="str">
        <f t="shared" si="62"/>
        <v/>
      </c>
      <c r="AD20" s="3" t="str">
        <f t="shared" si="62"/>
        <v/>
      </c>
      <c r="AE20" s="3" t="str">
        <f t="shared" si="62"/>
        <v/>
      </c>
      <c r="AF20" s="3" t="str">
        <f t="shared" si="62"/>
        <v/>
      </c>
      <c r="AG20" s="3" t="str">
        <f t="shared" si="62"/>
        <v>X</v>
      </c>
      <c r="AH20" s="3" t="str">
        <f t="shared" si="41"/>
        <v>X</v>
      </c>
      <c r="AI20" s="3" t="str">
        <f t="shared" si="41"/>
        <v>X</v>
      </c>
      <c r="AJ20" s="3" t="str">
        <f t="shared" si="41"/>
        <v>X</v>
      </c>
      <c r="AK20" s="3" t="str">
        <f t="shared" si="41"/>
        <v>X</v>
      </c>
      <c r="AL20" s="3" t="str">
        <f t="shared" si="41"/>
        <v>X</v>
      </c>
      <c r="AM20" s="3" t="str">
        <f t="shared" si="41"/>
        <v>X</v>
      </c>
      <c r="AN20" s="3" t="str">
        <f t="shared" si="41"/>
        <v>X</v>
      </c>
      <c r="AO20" s="3" t="str">
        <f t="shared" si="41"/>
        <v>X</v>
      </c>
      <c r="AP20" s="3" t="str">
        <f t="shared" si="41"/>
        <v>X</v>
      </c>
      <c r="AQ20" s="3" t="str">
        <f t="shared" si="41"/>
        <v>X</v>
      </c>
      <c r="AR20" s="3" t="str">
        <f t="shared" si="41"/>
        <v>X</v>
      </c>
      <c r="AS20" s="3" t="str">
        <f t="shared" si="41"/>
        <v>X</v>
      </c>
      <c r="AT20" s="3" t="str">
        <f t="shared" si="41"/>
        <v>X</v>
      </c>
      <c r="AU20" s="3" t="str">
        <f t="shared" si="41"/>
        <v>X</v>
      </c>
      <c r="AV20" s="3" t="str">
        <f t="shared" si="41"/>
        <v>X</v>
      </c>
      <c r="AW20" s="3" t="str">
        <f t="shared" si="16"/>
        <v/>
      </c>
      <c r="AX20" s="3" t="str">
        <f t="shared" si="17"/>
        <v/>
      </c>
      <c r="AY20" s="3" t="str">
        <f t="shared" si="18"/>
        <v>X</v>
      </c>
      <c r="AZ20" s="3" t="str">
        <f t="shared" si="19"/>
        <v>X</v>
      </c>
      <c r="BA20" s="3" t="str">
        <f t="shared" si="42"/>
        <v/>
      </c>
      <c r="BB20" s="3" t="str">
        <f t="shared" si="43"/>
        <v/>
      </c>
      <c r="BC20" s="3">
        <f t="shared" si="44"/>
        <v>18</v>
      </c>
      <c r="BD20" s="3">
        <f t="shared" si="45"/>
        <v>19</v>
      </c>
      <c r="BE20" s="9" t="str">
        <f t="shared" si="46"/>
        <v/>
      </c>
      <c r="BF20" s="9" t="str">
        <f t="shared" si="47"/>
        <v/>
      </c>
      <c r="BG20" s="9" t="str">
        <f t="shared" si="48"/>
        <v>012</v>
      </c>
      <c r="BH20" s="9" t="str">
        <f t="shared" si="49"/>
        <v>013</v>
      </c>
      <c r="BI20" s="3" t="str">
        <f t="shared" si="50"/>
        <v/>
      </c>
      <c r="BJ20" s="3" t="str">
        <f t="shared" si="51"/>
        <v/>
      </c>
      <c r="BK20" s="3" t="str">
        <f t="shared" si="52"/>
        <v/>
      </c>
      <c r="BL20" s="3" t="str">
        <f t="shared" si="53"/>
        <v/>
      </c>
      <c r="BM20" s="3" t="str">
        <f t="shared" si="54"/>
        <v/>
      </c>
      <c r="BN20" s="3" t="str">
        <f t="shared" si="55"/>
        <v/>
      </c>
      <c r="BO20" s="3">
        <f t="shared" si="56"/>
        <v>15</v>
      </c>
      <c r="BP20" s="3">
        <f t="shared" si="57"/>
        <v>7</v>
      </c>
      <c r="BQ20" s="3" t="str">
        <f t="shared" si="58"/>
        <v/>
      </c>
      <c r="BR20" s="3" t="str">
        <f t="shared" si="59"/>
        <v/>
      </c>
      <c r="BS20" s="3" t="str">
        <f t="shared" si="60"/>
        <v>(15 downto 8)</v>
      </c>
      <c r="BT20" s="3" t="str">
        <f t="shared" si="61"/>
        <v>(7 downto 0)</v>
      </c>
    </row>
    <row r="21" spans="2:72" x14ac:dyDescent="0.25">
      <c r="B21" s="3" t="s">
        <v>312</v>
      </c>
      <c r="C21" s="3" t="s">
        <v>393</v>
      </c>
      <c r="D21" s="3" t="s">
        <v>1</v>
      </c>
      <c r="E21" s="3" t="s">
        <v>1062</v>
      </c>
      <c r="F21" s="3" t="s">
        <v>80</v>
      </c>
      <c r="G21" s="3" t="s">
        <v>269</v>
      </c>
      <c r="H21" s="3" t="s">
        <v>149</v>
      </c>
      <c r="I21" s="3" t="s">
        <v>24</v>
      </c>
      <c r="J21" s="3">
        <v>16</v>
      </c>
      <c r="K21" s="3" t="s">
        <v>956</v>
      </c>
      <c r="L21" s="3" t="s">
        <v>23</v>
      </c>
      <c r="M21" s="3">
        <v>4</v>
      </c>
      <c r="N21" s="3" t="str">
        <f t="shared" si="14"/>
        <v>004</v>
      </c>
      <c r="O21" s="3">
        <v>31</v>
      </c>
      <c r="P21" s="3">
        <v>16</v>
      </c>
      <c r="Q21" s="3" t="str">
        <f t="shared" si="15"/>
        <v>X</v>
      </c>
      <c r="R21" s="3" t="str">
        <f t="shared" si="62"/>
        <v>X</v>
      </c>
      <c r="S21" s="3" t="str">
        <f t="shared" si="62"/>
        <v>X</v>
      </c>
      <c r="T21" s="3" t="str">
        <f t="shared" si="62"/>
        <v>X</v>
      </c>
      <c r="U21" s="3" t="str">
        <f t="shared" si="62"/>
        <v>X</v>
      </c>
      <c r="V21" s="3" t="str">
        <f t="shared" si="62"/>
        <v>X</v>
      </c>
      <c r="W21" s="3" t="str">
        <f t="shared" si="62"/>
        <v>X</v>
      </c>
      <c r="X21" s="3" t="str">
        <f t="shared" si="62"/>
        <v>X</v>
      </c>
      <c r="Y21" s="3" t="str">
        <f t="shared" si="62"/>
        <v>X</v>
      </c>
      <c r="Z21" s="3" t="str">
        <f t="shared" si="62"/>
        <v>X</v>
      </c>
      <c r="AA21" s="3" t="str">
        <f t="shared" si="62"/>
        <v>X</v>
      </c>
      <c r="AB21" s="3" t="str">
        <f t="shared" si="62"/>
        <v>X</v>
      </c>
      <c r="AC21" s="3" t="str">
        <f t="shared" si="62"/>
        <v>X</v>
      </c>
      <c r="AD21" s="3" t="str">
        <f t="shared" si="62"/>
        <v>X</v>
      </c>
      <c r="AE21" s="3" t="str">
        <f t="shared" si="62"/>
        <v>X</v>
      </c>
      <c r="AF21" s="3" t="str">
        <f t="shared" si="62"/>
        <v>X</v>
      </c>
      <c r="AG21" s="3" t="str">
        <f t="shared" si="62"/>
        <v/>
      </c>
      <c r="AH21" s="3" t="str">
        <f t="shared" si="41"/>
        <v/>
      </c>
      <c r="AI21" s="3" t="str">
        <f t="shared" si="41"/>
        <v/>
      </c>
      <c r="AJ21" s="3" t="str">
        <f t="shared" si="41"/>
        <v/>
      </c>
      <c r="AK21" s="3" t="str">
        <f t="shared" si="41"/>
        <v/>
      </c>
      <c r="AL21" s="3" t="str">
        <f t="shared" si="41"/>
        <v/>
      </c>
      <c r="AM21" s="3" t="str">
        <f t="shared" si="41"/>
        <v/>
      </c>
      <c r="AN21" s="3" t="str">
        <f t="shared" si="41"/>
        <v/>
      </c>
      <c r="AO21" s="3" t="str">
        <f t="shared" si="41"/>
        <v/>
      </c>
      <c r="AP21" s="3" t="str">
        <f t="shared" si="41"/>
        <v/>
      </c>
      <c r="AQ21" s="3" t="str">
        <f t="shared" si="41"/>
        <v/>
      </c>
      <c r="AR21" s="3" t="str">
        <f t="shared" si="41"/>
        <v/>
      </c>
      <c r="AS21" s="3" t="str">
        <f t="shared" si="41"/>
        <v/>
      </c>
      <c r="AT21" s="3" t="str">
        <f t="shared" si="41"/>
        <v/>
      </c>
      <c r="AU21" s="3" t="str">
        <f t="shared" si="41"/>
        <v/>
      </c>
      <c r="AV21" s="3" t="str">
        <f t="shared" si="41"/>
        <v/>
      </c>
      <c r="AW21" s="3" t="str">
        <f t="shared" si="16"/>
        <v>X</v>
      </c>
      <c r="AX21" s="3" t="str">
        <f t="shared" si="17"/>
        <v>X</v>
      </c>
      <c r="AY21" s="3" t="str">
        <f t="shared" si="18"/>
        <v/>
      </c>
      <c r="AZ21" s="3" t="str">
        <f t="shared" si="19"/>
        <v/>
      </c>
      <c r="BA21" s="3">
        <f t="shared" si="42"/>
        <v>16</v>
      </c>
      <c r="BB21" s="3">
        <f t="shared" si="43"/>
        <v>17</v>
      </c>
      <c r="BC21" s="3" t="str">
        <f t="shared" si="44"/>
        <v/>
      </c>
      <c r="BD21" s="3" t="str">
        <f t="shared" si="45"/>
        <v/>
      </c>
      <c r="BE21" s="9" t="str">
        <f t="shared" si="46"/>
        <v>010</v>
      </c>
      <c r="BF21" s="9" t="str">
        <f t="shared" si="47"/>
        <v>011</v>
      </c>
      <c r="BG21" s="9" t="str">
        <f t="shared" si="48"/>
        <v/>
      </c>
      <c r="BH21" s="9" t="str">
        <f t="shared" si="49"/>
        <v/>
      </c>
      <c r="BI21" s="3" t="str">
        <f t="shared" si="50"/>
        <v/>
      </c>
      <c r="BJ21" s="3" t="str">
        <f t="shared" si="51"/>
        <v/>
      </c>
      <c r="BK21" s="3" t="str">
        <f t="shared" si="52"/>
        <v/>
      </c>
      <c r="BL21" s="3" t="str">
        <f t="shared" si="53"/>
        <v/>
      </c>
      <c r="BM21" s="3">
        <f t="shared" si="54"/>
        <v>15</v>
      </c>
      <c r="BN21" s="3">
        <f t="shared" si="55"/>
        <v>7</v>
      </c>
      <c r="BO21" s="3" t="str">
        <f t="shared" si="56"/>
        <v/>
      </c>
      <c r="BP21" s="3" t="str">
        <f t="shared" si="57"/>
        <v/>
      </c>
      <c r="BQ21" s="3" t="str">
        <f t="shared" si="58"/>
        <v>(15 downto 8)</v>
      </c>
      <c r="BR21" s="3" t="str">
        <f t="shared" si="59"/>
        <v>(7 downto 0)</v>
      </c>
      <c r="BS21" s="3" t="str">
        <f t="shared" si="60"/>
        <v/>
      </c>
      <c r="BT21" s="3" t="str">
        <f t="shared" si="61"/>
        <v/>
      </c>
    </row>
    <row r="22" spans="2:72" x14ac:dyDescent="0.25">
      <c r="B22" s="3" t="s">
        <v>313</v>
      </c>
      <c r="C22" s="3" t="s">
        <v>959</v>
      </c>
      <c r="D22" s="3" t="s">
        <v>1</v>
      </c>
      <c r="E22" s="3" t="s">
        <v>1062</v>
      </c>
      <c r="F22" s="3" t="s">
        <v>81</v>
      </c>
      <c r="G22" s="3" t="s">
        <v>270</v>
      </c>
      <c r="H22" s="3" t="s">
        <v>957</v>
      </c>
      <c r="I22" s="3" t="s">
        <v>24</v>
      </c>
      <c r="J22" s="3">
        <v>20</v>
      </c>
      <c r="K22" s="3" t="s">
        <v>958</v>
      </c>
      <c r="L22" s="3" t="s">
        <v>23</v>
      </c>
      <c r="M22" s="3">
        <v>5</v>
      </c>
      <c r="N22" s="3" t="str">
        <f t="shared" si="14"/>
        <v>005</v>
      </c>
      <c r="O22" s="3">
        <v>19</v>
      </c>
      <c r="P22" s="3">
        <v>0</v>
      </c>
      <c r="Q22" s="3" t="str">
        <f t="shared" si="15"/>
        <v/>
      </c>
      <c r="R22" s="3" t="str">
        <f t="shared" si="62"/>
        <v/>
      </c>
      <c r="S22" s="3" t="str">
        <f t="shared" si="62"/>
        <v/>
      </c>
      <c r="T22" s="3" t="str">
        <f t="shared" si="62"/>
        <v/>
      </c>
      <c r="U22" s="3" t="str">
        <f t="shared" si="62"/>
        <v/>
      </c>
      <c r="V22" s="3" t="str">
        <f t="shared" si="62"/>
        <v/>
      </c>
      <c r="W22" s="3" t="str">
        <f t="shared" si="62"/>
        <v/>
      </c>
      <c r="X22" s="3" t="str">
        <f t="shared" si="62"/>
        <v/>
      </c>
      <c r="Y22" s="3" t="str">
        <f t="shared" si="62"/>
        <v/>
      </c>
      <c r="Z22" s="3" t="str">
        <f t="shared" si="62"/>
        <v/>
      </c>
      <c r="AA22" s="3" t="str">
        <f t="shared" si="62"/>
        <v/>
      </c>
      <c r="AB22" s="3" t="str">
        <f t="shared" si="62"/>
        <v/>
      </c>
      <c r="AC22" s="3" t="str">
        <f t="shared" si="62"/>
        <v>X</v>
      </c>
      <c r="AD22" s="3" t="str">
        <f t="shared" si="62"/>
        <v>X</v>
      </c>
      <c r="AE22" s="3" t="str">
        <f t="shared" si="62"/>
        <v>X</v>
      </c>
      <c r="AF22" s="3" t="str">
        <f t="shared" si="62"/>
        <v>X</v>
      </c>
      <c r="AG22" s="3" t="str">
        <f t="shared" si="62"/>
        <v>X</v>
      </c>
      <c r="AH22" s="3" t="str">
        <f t="shared" si="41"/>
        <v>X</v>
      </c>
      <c r="AI22" s="3" t="str">
        <f t="shared" si="41"/>
        <v>X</v>
      </c>
      <c r="AJ22" s="3" t="str">
        <f t="shared" si="41"/>
        <v>X</v>
      </c>
      <c r="AK22" s="3" t="str">
        <f t="shared" si="41"/>
        <v>X</v>
      </c>
      <c r="AL22" s="3" t="str">
        <f t="shared" si="41"/>
        <v>X</v>
      </c>
      <c r="AM22" s="3" t="str">
        <f t="shared" si="41"/>
        <v>X</v>
      </c>
      <c r="AN22" s="3" t="str">
        <f t="shared" si="41"/>
        <v>X</v>
      </c>
      <c r="AO22" s="3" t="str">
        <f t="shared" si="41"/>
        <v>X</v>
      </c>
      <c r="AP22" s="3" t="str">
        <f t="shared" si="41"/>
        <v>X</v>
      </c>
      <c r="AQ22" s="3" t="str">
        <f t="shared" si="41"/>
        <v>X</v>
      </c>
      <c r="AR22" s="3" t="str">
        <f t="shared" si="41"/>
        <v>X</v>
      </c>
      <c r="AS22" s="3" t="str">
        <f t="shared" si="41"/>
        <v>X</v>
      </c>
      <c r="AT22" s="3" t="str">
        <f t="shared" si="41"/>
        <v>X</v>
      </c>
      <c r="AU22" s="3" t="str">
        <f t="shared" si="41"/>
        <v>X</v>
      </c>
      <c r="AV22" s="3" t="str">
        <f t="shared" si="41"/>
        <v>X</v>
      </c>
      <c r="AW22" s="3" t="str">
        <f t="shared" si="16"/>
        <v/>
      </c>
      <c r="AX22" s="3" t="str">
        <f t="shared" si="17"/>
        <v>X</v>
      </c>
      <c r="AY22" s="3" t="str">
        <f t="shared" si="18"/>
        <v>X</v>
      </c>
      <c r="AZ22" s="3" t="str">
        <f t="shared" si="19"/>
        <v>X</v>
      </c>
      <c r="BA22" s="3" t="str">
        <f t="shared" ref="BA22:BA85" si="63">IF(AW22="","",$M22*4+BA$3)</f>
        <v/>
      </c>
      <c r="BB22" s="3">
        <f t="shared" ref="BB22:BB85" si="64">IF(AX22="","",$M22*4+BB$3)</f>
        <v>21</v>
      </c>
      <c r="BC22" s="3">
        <f t="shared" ref="BC22:BC85" si="65">IF(AY22="","",$M22*4+BC$3)</f>
        <v>22</v>
      </c>
      <c r="BD22" s="3">
        <f t="shared" ref="BD22:BD85" si="66">IF(AZ22="","",$M22*4+BD$3)</f>
        <v>23</v>
      </c>
      <c r="BE22" s="9" t="str">
        <f t="shared" ref="BE22:BE85" si="67">IF(BA22="","",DEC2HEX(BA22,3))</f>
        <v/>
      </c>
      <c r="BF22" s="9" t="str">
        <f t="shared" ref="BF22:BF85" si="68">IF(BB22="","",DEC2HEX(BB22,3))</f>
        <v>015</v>
      </c>
      <c r="BG22" s="9" t="str">
        <f t="shared" ref="BG22:BG85" si="69">IF(BC22="","",DEC2HEX(BC22,3))</f>
        <v>016</v>
      </c>
      <c r="BH22" s="9" t="str">
        <f t="shared" ref="BH22:BH85" si="70">IF(BD22="","",DEC2HEX(BD22,3))</f>
        <v>017</v>
      </c>
      <c r="BI22" s="3" t="str">
        <f t="shared" ref="BI22:BI85" si="71">IF(AW22="","",IF(COUNTIF($Q22:$X22,"X")=8,"",CONCATENATE("(",INDEX($Q$3:$X$3,MATCH("X",$Q22:$X22,0))-24,IF(COUNTIF($Q22:$X22,"X")=1,")",CONCATENATE(" downto ",INDEX($Q$3:$X$3,MATCH("X",$Q22:$X22,0)+COUNTIF($Q22:$X22,"X")-1)-24,")")))))</f>
        <v/>
      </c>
      <c r="BJ22" s="3" t="str">
        <f t="shared" ref="BJ22:BJ85" si="72">IF(AX22="","",IF(COUNTIF($Y22:$AF22,"X")=8,"",CONCATENATE("(",INDEX($Y$3:$AF$3,MATCH("X",$Y22:$AF22,0))-16,IF(COUNTIF($Y22:$AF22,"X")=1,")",CONCATENATE(" downto ",INDEX($Y$3:$AF$3,MATCH("X",$Y22:$AF22,0)+COUNTIF($Y22:$AF22,"X")-1)-16,")")))))</f>
        <v>(3 downto 0)</v>
      </c>
      <c r="BK22" s="3" t="str">
        <f t="shared" ref="BK22:BK85" si="73">IF(AY22="","",IF(COUNTIF($AG22:$AN22,"X")=8,"",CONCATENATE("(",INDEX($AG$3:$AN$3,MATCH("X",$AG22:$AN22,0))-8,IF(COUNTIF($AG22:$AN22,"X")=1,")",CONCATENATE(" downto ",INDEX($AG$3:$AN$3,MATCH("X",$AG22:$AN22,0)+COUNTIF($AG22:$AN22,"X")-1)-8,")")))))</f>
        <v/>
      </c>
      <c r="BL22" s="3" t="str">
        <f t="shared" ref="BL22:BL85" si="74">IF(AZ22="","",IF(COUNTIF($AO22:$AV22,"X")=8,"",CONCATENATE("(",INDEX($AO$3:$AV$3,MATCH("X",$AO22:$AV22,0)),IF(COUNTIF($AO22:$AV22,"X")=1,")",CONCATENATE(" downto ",INDEX($AO$3:$AV$3,MATCH("X",$AO22:$AV22,0)+COUNTIF($AO22:$AV22,"X")-1),")")))))</f>
        <v/>
      </c>
      <c r="BM22" s="3" t="str">
        <f t="shared" ref="BM22:BM85" si="75">IF(AW22="","",$J22-1)</f>
        <v/>
      </c>
      <c r="BN22" s="3">
        <f t="shared" ref="BN22:BN85" si="76">IF(AX22="","",IF(BM22="",$J22-1,BM22-COUNTIF($Q22:$X22,"X")))</f>
        <v>19</v>
      </c>
      <c r="BO22" s="3">
        <f t="shared" ref="BO22:BO85" si="77">IF(AY22="","",IF(BN22="",$J22-1,BN22-COUNTIF($Y22:$AF22,"X")))</f>
        <v>15</v>
      </c>
      <c r="BP22" s="3">
        <f t="shared" ref="BP22:BP85" si="78">IF(AZ22="","",IF(BO22="",$J22-1,BO22-COUNTIF($AG22:$AN22,"X")))</f>
        <v>7</v>
      </c>
      <c r="BQ22" s="3" t="str">
        <f t="shared" ref="BQ22:BQ85" si="79">IF(AW22="","",IF((4-COUNTIF($BM22:$BP22,""))=1,"",CONCATENATE("(",BM22,IF(COUNTIF($Q22:$X22,"X")=1,"",CONCATENATE(" downto ",BM22-COUNTIF($Q22:$X22,"X")+1)),")")))</f>
        <v/>
      </c>
      <c r="BR22" s="3" t="str">
        <f t="shared" ref="BR22:BR85" si="80">IF(AX22="","",IF((4-COUNTIF($BM22:$BP22,""))=1,"",CONCATENATE("(",BN22,IF(COUNTIF($Y22:$AF22,"X")=1,"",CONCATENATE(" downto ",BN22-COUNTIF($Y22:$AF22,"X")+1)),")")))</f>
        <v>(19 downto 16)</v>
      </c>
      <c r="BS22" s="3" t="str">
        <f t="shared" ref="BS22:BS85" si="81">IF(AY22="","",IF((4-COUNTIF($BM22:$BP22,""))=1,"",CONCATENATE("(",BO22,IF(COUNTIF($AG22:$AN22,"X")=1,"",CONCATENATE(" downto ",BO22-COUNTIF($AG22:$AN22,"X")+1)),")")))</f>
        <v>(15 downto 8)</v>
      </c>
      <c r="BT22" s="3" t="str">
        <f t="shared" ref="BT22:BT85" si="82">IF(AZ22="","",IF((4-COUNTIF($BM22:$BP22,""))=1,"",CONCATENATE("(",BP22,IF(COUNTIF($AO22:$AV22,"X") = 1,"",CONCATENATE(" downto ",BP22-COUNTIF($AO22:$AV22,"X")+1)),")")))</f>
        <v>(7 downto 0)</v>
      </c>
    </row>
    <row r="23" spans="2:72" x14ac:dyDescent="0.25">
      <c r="B23" s="3" t="s">
        <v>313</v>
      </c>
      <c r="C23" s="3" t="s">
        <v>394</v>
      </c>
      <c r="D23" s="3" t="s">
        <v>1</v>
      </c>
      <c r="E23" s="3" t="s">
        <v>1062</v>
      </c>
      <c r="F23" s="3" t="s">
        <v>81</v>
      </c>
      <c r="G23" s="3" t="s">
        <v>270</v>
      </c>
      <c r="H23" s="3" t="s">
        <v>150</v>
      </c>
      <c r="I23" s="3" t="s">
        <v>24</v>
      </c>
      <c r="J23" s="3">
        <v>1</v>
      </c>
      <c r="K23" s="3" t="s">
        <v>58</v>
      </c>
      <c r="L23" s="3" t="s">
        <v>23</v>
      </c>
      <c r="M23" s="3">
        <v>5</v>
      </c>
      <c r="N23" s="3" t="str">
        <f t="shared" si="14"/>
        <v>005</v>
      </c>
      <c r="O23" s="3">
        <v>20</v>
      </c>
      <c r="P23" s="3">
        <v>20</v>
      </c>
      <c r="Q23" s="3" t="str">
        <f t="shared" si="15"/>
        <v/>
      </c>
      <c r="R23" s="3" t="str">
        <f t="shared" si="62"/>
        <v/>
      </c>
      <c r="S23" s="3" t="str">
        <f t="shared" si="62"/>
        <v/>
      </c>
      <c r="T23" s="3" t="str">
        <f t="shared" si="62"/>
        <v/>
      </c>
      <c r="U23" s="3" t="str">
        <f t="shared" si="62"/>
        <v/>
      </c>
      <c r="V23" s="3" t="str">
        <f t="shared" si="62"/>
        <v/>
      </c>
      <c r="W23" s="3" t="str">
        <f t="shared" si="62"/>
        <v/>
      </c>
      <c r="X23" s="3" t="str">
        <f t="shared" si="62"/>
        <v/>
      </c>
      <c r="Y23" s="3" t="str">
        <f t="shared" si="62"/>
        <v/>
      </c>
      <c r="Z23" s="3" t="str">
        <f t="shared" si="62"/>
        <v/>
      </c>
      <c r="AA23" s="3" t="str">
        <f t="shared" si="62"/>
        <v/>
      </c>
      <c r="AB23" s="3" t="str">
        <f t="shared" si="62"/>
        <v>X</v>
      </c>
      <c r="AC23" s="3" t="str">
        <f t="shared" si="62"/>
        <v/>
      </c>
      <c r="AD23" s="3" t="str">
        <f t="shared" si="62"/>
        <v/>
      </c>
      <c r="AE23" s="3" t="str">
        <f t="shared" si="62"/>
        <v/>
      </c>
      <c r="AF23" s="3" t="str">
        <f t="shared" si="62"/>
        <v/>
      </c>
      <c r="AG23" s="3" t="str">
        <f t="shared" si="62"/>
        <v/>
      </c>
      <c r="AH23" s="3" t="str">
        <f t="shared" si="41"/>
        <v/>
      </c>
      <c r="AI23" s="3" t="str">
        <f t="shared" si="41"/>
        <v/>
      </c>
      <c r="AJ23" s="3" t="str">
        <f t="shared" si="41"/>
        <v/>
      </c>
      <c r="AK23" s="3" t="str">
        <f t="shared" si="41"/>
        <v/>
      </c>
      <c r="AL23" s="3" t="str">
        <f t="shared" si="41"/>
        <v/>
      </c>
      <c r="AM23" s="3" t="str">
        <f t="shared" si="41"/>
        <v/>
      </c>
      <c r="AN23" s="3" t="str">
        <f t="shared" si="41"/>
        <v/>
      </c>
      <c r="AO23" s="3" t="str">
        <f t="shared" si="41"/>
        <v/>
      </c>
      <c r="AP23" s="3" t="str">
        <f t="shared" si="41"/>
        <v/>
      </c>
      <c r="AQ23" s="3" t="str">
        <f t="shared" si="41"/>
        <v/>
      </c>
      <c r="AR23" s="3" t="str">
        <f t="shared" si="41"/>
        <v/>
      </c>
      <c r="AS23" s="3" t="str">
        <f t="shared" si="41"/>
        <v/>
      </c>
      <c r="AT23" s="3" t="str">
        <f t="shared" si="41"/>
        <v/>
      </c>
      <c r="AU23" s="3" t="str">
        <f t="shared" si="41"/>
        <v/>
      </c>
      <c r="AV23" s="3" t="str">
        <f t="shared" si="41"/>
        <v/>
      </c>
      <c r="AW23" s="3" t="str">
        <f t="shared" si="16"/>
        <v/>
      </c>
      <c r="AX23" s="3" t="str">
        <f t="shared" si="17"/>
        <v>X</v>
      </c>
      <c r="AY23" s="3" t="str">
        <f t="shared" si="18"/>
        <v/>
      </c>
      <c r="AZ23" s="3" t="str">
        <f t="shared" si="19"/>
        <v/>
      </c>
      <c r="BA23" s="3" t="str">
        <f t="shared" si="63"/>
        <v/>
      </c>
      <c r="BB23" s="3">
        <f t="shared" si="64"/>
        <v>21</v>
      </c>
      <c r="BC23" s="3" t="str">
        <f t="shared" si="65"/>
        <v/>
      </c>
      <c r="BD23" s="3" t="str">
        <f t="shared" si="66"/>
        <v/>
      </c>
      <c r="BE23" s="9" t="str">
        <f t="shared" si="67"/>
        <v/>
      </c>
      <c r="BF23" s="9" t="str">
        <f t="shared" si="68"/>
        <v>015</v>
      </c>
      <c r="BG23" s="9" t="str">
        <f t="shared" si="69"/>
        <v/>
      </c>
      <c r="BH23" s="9" t="str">
        <f t="shared" si="70"/>
        <v/>
      </c>
      <c r="BI23" s="3" t="str">
        <f t="shared" si="71"/>
        <v/>
      </c>
      <c r="BJ23" s="3" t="str">
        <f t="shared" si="72"/>
        <v>(4)</v>
      </c>
      <c r="BK23" s="3" t="str">
        <f t="shared" si="73"/>
        <v/>
      </c>
      <c r="BL23" s="3" t="str">
        <f t="shared" si="74"/>
        <v/>
      </c>
      <c r="BM23" s="3" t="str">
        <f t="shared" si="75"/>
        <v/>
      </c>
      <c r="BN23" s="3">
        <f t="shared" si="76"/>
        <v>0</v>
      </c>
      <c r="BO23" s="3" t="str">
        <f t="shared" si="77"/>
        <v/>
      </c>
      <c r="BP23" s="3" t="str">
        <f t="shared" si="78"/>
        <v/>
      </c>
      <c r="BQ23" s="3" t="str">
        <f t="shared" si="79"/>
        <v/>
      </c>
      <c r="BR23" s="3" t="str">
        <f t="shared" si="80"/>
        <v/>
      </c>
      <c r="BS23" s="3" t="str">
        <f t="shared" si="81"/>
        <v/>
      </c>
      <c r="BT23" s="3" t="str">
        <f t="shared" si="82"/>
        <v/>
      </c>
    </row>
    <row r="24" spans="2:72" x14ac:dyDescent="0.25">
      <c r="B24" s="3" t="s">
        <v>313</v>
      </c>
      <c r="C24" s="3" t="s">
        <v>395</v>
      </c>
      <c r="D24" s="3" t="s">
        <v>1</v>
      </c>
      <c r="E24" s="3" t="s">
        <v>1062</v>
      </c>
      <c r="F24" s="3" t="s">
        <v>81</v>
      </c>
      <c r="G24" s="3" t="s">
        <v>270</v>
      </c>
      <c r="H24" s="3" t="s">
        <v>151</v>
      </c>
      <c r="I24" s="3" t="s">
        <v>24</v>
      </c>
      <c r="J24" s="3">
        <v>2</v>
      </c>
      <c r="K24" s="3" t="s">
        <v>295</v>
      </c>
      <c r="L24" s="3" t="s">
        <v>23</v>
      </c>
      <c r="M24" s="3">
        <v>5</v>
      </c>
      <c r="N24" s="3" t="str">
        <f t="shared" si="14"/>
        <v>005</v>
      </c>
      <c r="O24" s="3">
        <v>22</v>
      </c>
      <c r="P24" s="3">
        <v>21</v>
      </c>
      <c r="Q24" s="3" t="str">
        <f t="shared" si="15"/>
        <v/>
      </c>
      <c r="R24" s="3" t="str">
        <f t="shared" si="62"/>
        <v/>
      </c>
      <c r="S24" s="3" t="str">
        <f t="shared" si="62"/>
        <v/>
      </c>
      <c r="T24" s="3" t="str">
        <f t="shared" si="62"/>
        <v/>
      </c>
      <c r="U24" s="3" t="str">
        <f t="shared" si="62"/>
        <v/>
      </c>
      <c r="V24" s="3" t="str">
        <f t="shared" si="62"/>
        <v/>
      </c>
      <c r="W24" s="3" t="str">
        <f t="shared" si="62"/>
        <v/>
      </c>
      <c r="X24" s="3" t="str">
        <f t="shared" si="62"/>
        <v/>
      </c>
      <c r="Y24" s="3" t="str">
        <f t="shared" si="62"/>
        <v/>
      </c>
      <c r="Z24" s="3" t="str">
        <f t="shared" si="62"/>
        <v>X</v>
      </c>
      <c r="AA24" s="3" t="str">
        <f t="shared" si="62"/>
        <v>X</v>
      </c>
      <c r="AB24" s="3" t="str">
        <f t="shared" si="62"/>
        <v/>
      </c>
      <c r="AC24" s="3" t="str">
        <f t="shared" si="62"/>
        <v/>
      </c>
      <c r="AD24" s="3" t="str">
        <f t="shared" si="62"/>
        <v/>
      </c>
      <c r="AE24" s="3" t="str">
        <f t="shared" si="62"/>
        <v/>
      </c>
      <c r="AF24" s="3" t="str">
        <f t="shared" si="62"/>
        <v/>
      </c>
      <c r="AG24" s="3" t="str">
        <f t="shared" si="62"/>
        <v/>
      </c>
      <c r="AH24" s="3" t="str">
        <f t="shared" ref="AH24:AV87" si="83">IF(AND($O24&gt;=AH$3,AH$3&gt;=$P24),"X","")</f>
        <v/>
      </c>
      <c r="AI24" s="3" t="str">
        <f t="shared" si="83"/>
        <v/>
      </c>
      <c r="AJ24" s="3" t="str">
        <f t="shared" si="83"/>
        <v/>
      </c>
      <c r="AK24" s="3" t="str">
        <f t="shared" si="83"/>
        <v/>
      </c>
      <c r="AL24" s="3" t="str">
        <f t="shared" si="83"/>
        <v/>
      </c>
      <c r="AM24" s="3" t="str">
        <f t="shared" si="83"/>
        <v/>
      </c>
      <c r="AN24" s="3" t="str">
        <f t="shared" si="83"/>
        <v/>
      </c>
      <c r="AO24" s="3" t="str">
        <f t="shared" si="83"/>
        <v/>
      </c>
      <c r="AP24" s="3" t="str">
        <f t="shared" si="83"/>
        <v/>
      </c>
      <c r="AQ24" s="3" t="str">
        <f t="shared" si="83"/>
        <v/>
      </c>
      <c r="AR24" s="3" t="str">
        <f t="shared" si="83"/>
        <v/>
      </c>
      <c r="AS24" s="3" t="str">
        <f t="shared" si="83"/>
        <v/>
      </c>
      <c r="AT24" s="3" t="str">
        <f t="shared" si="83"/>
        <v/>
      </c>
      <c r="AU24" s="3" t="str">
        <f t="shared" si="83"/>
        <v/>
      </c>
      <c r="AV24" s="3" t="str">
        <f t="shared" si="83"/>
        <v/>
      </c>
      <c r="AW24" s="3" t="str">
        <f t="shared" si="16"/>
        <v/>
      </c>
      <c r="AX24" s="3" t="str">
        <f t="shared" si="17"/>
        <v>X</v>
      </c>
      <c r="AY24" s="3" t="str">
        <f t="shared" si="18"/>
        <v/>
      </c>
      <c r="AZ24" s="3" t="str">
        <f t="shared" si="19"/>
        <v/>
      </c>
      <c r="BA24" s="3" t="str">
        <f t="shared" si="63"/>
        <v/>
      </c>
      <c r="BB24" s="3">
        <f t="shared" si="64"/>
        <v>21</v>
      </c>
      <c r="BC24" s="3" t="str">
        <f t="shared" si="65"/>
        <v/>
      </c>
      <c r="BD24" s="3" t="str">
        <f t="shared" si="66"/>
        <v/>
      </c>
      <c r="BE24" s="9" t="str">
        <f t="shared" si="67"/>
        <v/>
      </c>
      <c r="BF24" s="9" t="str">
        <f t="shared" si="68"/>
        <v>015</v>
      </c>
      <c r="BG24" s="9" t="str">
        <f t="shared" si="69"/>
        <v/>
      </c>
      <c r="BH24" s="9" t="str">
        <f t="shared" si="70"/>
        <v/>
      </c>
      <c r="BI24" s="3" t="str">
        <f t="shared" si="71"/>
        <v/>
      </c>
      <c r="BJ24" s="3" t="str">
        <f t="shared" si="72"/>
        <v>(6 downto 5)</v>
      </c>
      <c r="BK24" s="3" t="str">
        <f t="shared" si="73"/>
        <v/>
      </c>
      <c r="BL24" s="3" t="str">
        <f t="shared" si="74"/>
        <v/>
      </c>
      <c r="BM24" s="3" t="str">
        <f t="shared" si="75"/>
        <v/>
      </c>
      <c r="BN24" s="3">
        <f t="shared" si="76"/>
        <v>1</v>
      </c>
      <c r="BO24" s="3" t="str">
        <f t="shared" si="77"/>
        <v/>
      </c>
      <c r="BP24" s="3" t="str">
        <f t="shared" si="78"/>
        <v/>
      </c>
      <c r="BQ24" s="3" t="str">
        <f t="shared" si="79"/>
        <v/>
      </c>
      <c r="BR24" s="3" t="str">
        <f t="shared" si="80"/>
        <v/>
      </c>
      <c r="BS24" s="3" t="str">
        <f t="shared" si="81"/>
        <v/>
      </c>
      <c r="BT24" s="3" t="str">
        <f t="shared" si="82"/>
        <v/>
      </c>
    </row>
    <row r="25" spans="2:72" x14ac:dyDescent="0.25">
      <c r="B25" s="3" t="s">
        <v>313</v>
      </c>
      <c r="C25" s="3" t="s">
        <v>396</v>
      </c>
      <c r="D25" s="3" t="s">
        <v>1</v>
      </c>
      <c r="E25" s="3" t="s">
        <v>1062</v>
      </c>
      <c r="F25" s="3" t="s">
        <v>81</v>
      </c>
      <c r="G25" s="3" t="s">
        <v>270</v>
      </c>
      <c r="H25" s="3" t="s">
        <v>152</v>
      </c>
      <c r="I25" s="3" t="s">
        <v>24</v>
      </c>
      <c r="J25" s="3">
        <v>1</v>
      </c>
      <c r="K25" s="3" t="s">
        <v>57</v>
      </c>
      <c r="L25" s="3" t="s">
        <v>23</v>
      </c>
      <c r="M25" s="3">
        <v>5</v>
      </c>
      <c r="N25" s="3" t="str">
        <f t="shared" si="14"/>
        <v>005</v>
      </c>
      <c r="O25" s="3">
        <v>23</v>
      </c>
      <c r="P25" s="3">
        <v>23</v>
      </c>
      <c r="Q25" s="3" t="str">
        <f t="shared" si="15"/>
        <v/>
      </c>
      <c r="R25" s="3" t="str">
        <f t="shared" si="62"/>
        <v/>
      </c>
      <c r="S25" s="3" t="str">
        <f t="shared" si="62"/>
        <v/>
      </c>
      <c r="T25" s="3" t="str">
        <f t="shared" si="62"/>
        <v/>
      </c>
      <c r="U25" s="3" t="str">
        <f t="shared" si="62"/>
        <v/>
      </c>
      <c r="V25" s="3" t="str">
        <f t="shared" si="62"/>
        <v/>
      </c>
      <c r="W25" s="3" t="str">
        <f t="shared" si="62"/>
        <v/>
      </c>
      <c r="X25" s="3" t="str">
        <f t="shared" si="62"/>
        <v/>
      </c>
      <c r="Y25" s="3" t="str">
        <f t="shared" si="62"/>
        <v>X</v>
      </c>
      <c r="Z25" s="3" t="str">
        <f t="shared" si="62"/>
        <v/>
      </c>
      <c r="AA25" s="3" t="str">
        <f t="shared" si="62"/>
        <v/>
      </c>
      <c r="AB25" s="3" t="str">
        <f t="shared" si="62"/>
        <v/>
      </c>
      <c r="AC25" s="3" t="str">
        <f t="shared" si="62"/>
        <v/>
      </c>
      <c r="AD25" s="3" t="str">
        <f t="shared" si="62"/>
        <v/>
      </c>
      <c r="AE25" s="3" t="str">
        <f t="shared" si="62"/>
        <v/>
      </c>
      <c r="AF25" s="3" t="str">
        <f t="shared" si="62"/>
        <v/>
      </c>
      <c r="AG25" s="3" t="str">
        <f t="shared" si="62"/>
        <v/>
      </c>
      <c r="AH25" s="3" t="str">
        <f t="shared" si="83"/>
        <v/>
      </c>
      <c r="AI25" s="3" t="str">
        <f t="shared" si="83"/>
        <v/>
      </c>
      <c r="AJ25" s="3" t="str">
        <f t="shared" si="83"/>
        <v/>
      </c>
      <c r="AK25" s="3" t="str">
        <f t="shared" si="83"/>
        <v/>
      </c>
      <c r="AL25" s="3" t="str">
        <f t="shared" si="83"/>
        <v/>
      </c>
      <c r="AM25" s="3" t="str">
        <f t="shared" si="83"/>
        <v/>
      </c>
      <c r="AN25" s="3" t="str">
        <f t="shared" si="83"/>
        <v/>
      </c>
      <c r="AO25" s="3" t="str">
        <f t="shared" si="83"/>
        <v/>
      </c>
      <c r="AP25" s="3" t="str">
        <f t="shared" si="83"/>
        <v/>
      </c>
      <c r="AQ25" s="3" t="str">
        <f t="shared" si="83"/>
        <v/>
      </c>
      <c r="AR25" s="3" t="str">
        <f t="shared" si="83"/>
        <v/>
      </c>
      <c r="AS25" s="3" t="str">
        <f t="shared" si="83"/>
        <v/>
      </c>
      <c r="AT25" s="3" t="str">
        <f t="shared" si="83"/>
        <v/>
      </c>
      <c r="AU25" s="3" t="str">
        <f t="shared" si="83"/>
        <v/>
      </c>
      <c r="AV25" s="3" t="str">
        <f t="shared" si="83"/>
        <v/>
      </c>
      <c r="AW25" s="3" t="str">
        <f t="shared" si="16"/>
        <v/>
      </c>
      <c r="AX25" s="3" t="str">
        <f t="shared" si="17"/>
        <v>X</v>
      </c>
      <c r="AY25" s="3" t="str">
        <f t="shared" si="18"/>
        <v/>
      </c>
      <c r="AZ25" s="3" t="str">
        <f t="shared" si="19"/>
        <v/>
      </c>
      <c r="BA25" s="3" t="str">
        <f t="shared" si="63"/>
        <v/>
      </c>
      <c r="BB25" s="3">
        <f t="shared" si="64"/>
        <v>21</v>
      </c>
      <c r="BC25" s="3" t="str">
        <f t="shared" si="65"/>
        <v/>
      </c>
      <c r="BD25" s="3" t="str">
        <f t="shared" si="66"/>
        <v/>
      </c>
      <c r="BE25" s="9" t="str">
        <f t="shared" si="67"/>
        <v/>
      </c>
      <c r="BF25" s="9" t="str">
        <f t="shared" si="68"/>
        <v>015</v>
      </c>
      <c r="BG25" s="9" t="str">
        <f t="shared" si="69"/>
        <v/>
      </c>
      <c r="BH25" s="9" t="str">
        <f t="shared" si="70"/>
        <v/>
      </c>
      <c r="BI25" s="3" t="str">
        <f t="shared" si="71"/>
        <v/>
      </c>
      <c r="BJ25" s="3" t="str">
        <f t="shared" si="72"/>
        <v>(7)</v>
      </c>
      <c r="BK25" s="3" t="str">
        <f t="shared" si="73"/>
        <v/>
      </c>
      <c r="BL25" s="3" t="str">
        <f t="shared" si="74"/>
        <v/>
      </c>
      <c r="BM25" s="3" t="str">
        <f t="shared" si="75"/>
        <v/>
      </c>
      <c r="BN25" s="3">
        <f t="shared" si="76"/>
        <v>0</v>
      </c>
      <c r="BO25" s="3" t="str">
        <f t="shared" si="77"/>
        <v/>
      </c>
      <c r="BP25" s="3" t="str">
        <f t="shared" si="78"/>
        <v/>
      </c>
      <c r="BQ25" s="3" t="str">
        <f t="shared" si="79"/>
        <v/>
      </c>
      <c r="BR25" s="3" t="str">
        <f t="shared" si="80"/>
        <v/>
      </c>
      <c r="BS25" s="3" t="str">
        <f t="shared" si="81"/>
        <v/>
      </c>
      <c r="BT25" s="3" t="str">
        <f t="shared" si="82"/>
        <v/>
      </c>
    </row>
    <row r="26" spans="2:72" x14ac:dyDescent="0.25">
      <c r="B26" s="3" t="s">
        <v>313</v>
      </c>
      <c r="C26" s="3" t="s">
        <v>960</v>
      </c>
      <c r="D26" s="3" t="s">
        <v>1</v>
      </c>
      <c r="E26" s="3" t="s">
        <v>1062</v>
      </c>
      <c r="F26" s="3" t="s">
        <v>81</v>
      </c>
      <c r="G26" s="3" t="s">
        <v>270</v>
      </c>
      <c r="H26" s="3" t="s">
        <v>961</v>
      </c>
      <c r="I26" s="3" t="s">
        <v>24</v>
      </c>
      <c r="J26" s="3">
        <v>1</v>
      </c>
      <c r="K26" s="8" t="s">
        <v>58</v>
      </c>
      <c r="L26" s="3" t="s">
        <v>23</v>
      </c>
      <c r="M26" s="3">
        <v>5</v>
      </c>
      <c r="N26" s="3" t="str">
        <f t="shared" si="14"/>
        <v>005</v>
      </c>
      <c r="O26" s="3">
        <v>24</v>
      </c>
      <c r="P26" s="3">
        <v>24</v>
      </c>
      <c r="Q26" s="3" t="str">
        <f t="shared" si="15"/>
        <v/>
      </c>
      <c r="R26" s="3" t="str">
        <f t="shared" si="62"/>
        <v/>
      </c>
      <c r="S26" s="3" t="str">
        <f t="shared" si="62"/>
        <v/>
      </c>
      <c r="T26" s="3" t="str">
        <f t="shared" si="62"/>
        <v/>
      </c>
      <c r="U26" s="3" t="str">
        <f t="shared" si="62"/>
        <v/>
      </c>
      <c r="V26" s="3" t="str">
        <f t="shared" si="62"/>
        <v/>
      </c>
      <c r="W26" s="3" t="str">
        <f t="shared" si="62"/>
        <v/>
      </c>
      <c r="X26" s="3" t="str">
        <f t="shared" si="62"/>
        <v>X</v>
      </c>
      <c r="Y26" s="3" t="str">
        <f t="shared" si="62"/>
        <v/>
      </c>
      <c r="Z26" s="3" t="str">
        <f t="shared" si="62"/>
        <v/>
      </c>
      <c r="AA26" s="3" t="str">
        <f t="shared" si="62"/>
        <v/>
      </c>
      <c r="AB26" s="3" t="str">
        <f t="shared" si="62"/>
        <v/>
      </c>
      <c r="AC26" s="3" t="str">
        <f t="shared" si="62"/>
        <v/>
      </c>
      <c r="AD26" s="3" t="str">
        <f t="shared" si="62"/>
        <v/>
      </c>
      <c r="AE26" s="3" t="str">
        <f t="shared" si="62"/>
        <v/>
      </c>
      <c r="AF26" s="3" t="str">
        <f t="shared" si="62"/>
        <v/>
      </c>
      <c r="AG26" s="3" t="str">
        <f t="shared" si="62"/>
        <v/>
      </c>
      <c r="AH26" s="3" t="str">
        <f t="shared" si="83"/>
        <v/>
      </c>
      <c r="AI26" s="3" t="str">
        <f t="shared" si="83"/>
        <v/>
      </c>
      <c r="AJ26" s="3" t="str">
        <f t="shared" si="83"/>
        <v/>
      </c>
      <c r="AK26" s="3" t="str">
        <f t="shared" si="83"/>
        <v/>
      </c>
      <c r="AL26" s="3" t="str">
        <f t="shared" si="83"/>
        <v/>
      </c>
      <c r="AM26" s="3" t="str">
        <f t="shared" si="83"/>
        <v/>
      </c>
      <c r="AN26" s="3" t="str">
        <f t="shared" si="83"/>
        <v/>
      </c>
      <c r="AO26" s="3" t="str">
        <f t="shared" si="83"/>
        <v/>
      </c>
      <c r="AP26" s="3" t="str">
        <f t="shared" si="83"/>
        <v/>
      </c>
      <c r="AQ26" s="3" t="str">
        <f t="shared" si="83"/>
        <v/>
      </c>
      <c r="AR26" s="3" t="str">
        <f t="shared" si="83"/>
        <v/>
      </c>
      <c r="AS26" s="3" t="str">
        <f t="shared" si="83"/>
        <v/>
      </c>
      <c r="AT26" s="3" t="str">
        <f t="shared" si="83"/>
        <v/>
      </c>
      <c r="AU26" s="3" t="str">
        <f t="shared" si="83"/>
        <v/>
      </c>
      <c r="AV26" s="3" t="str">
        <f t="shared" si="83"/>
        <v/>
      </c>
      <c r="AW26" s="3" t="str">
        <f t="shared" si="16"/>
        <v>X</v>
      </c>
      <c r="AX26" s="3" t="str">
        <f t="shared" si="17"/>
        <v/>
      </c>
      <c r="AY26" s="3" t="str">
        <f t="shared" si="18"/>
        <v/>
      </c>
      <c r="AZ26" s="3" t="str">
        <f t="shared" si="19"/>
        <v/>
      </c>
      <c r="BA26" s="3">
        <f t="shared" si="63"/>
        <v>20</v>
      </c>
      <c r="BB26" s="3" t="str">
        <f t="shared" si="64"/>
        <v/>
      </c>
      <c r="BC26" s="3" t="str">
        <f t="shared" si="65"/>
        <v/>
      </c>
      <c r="BD26" s="3" t="str">
        <f t="shared" si="66"/>
        <v/>
      </c>
      <c r="BE26" s="9" t="str">
        <f t="shared" si="67"/>
        <v>014</v>
      </c>
      <c r="BF26" s="9" t="str">
        <f t="shared" si="68"/>
        <v/>
      </c>
      <c r="BG26" s="9" t="str">
        <f t="shared" si="69"/>
        <v/>
      </c>
      <c r="BH26" s="9" t="str">
        <f t="shared" si="70"/>
        <v/>
      </c>
      <c r="BI26" s="3" t="str">
        <f t="shared" si="71"/>
        <v>(0)</v>
      </c>
      <c r="BJ26" s="3" t="str">
        <f t="shared" si="72"/>
        <v/>
      </c>
      <c r="BK26" s="3" t="str">
        <f t="shared" si="73"/>
        <v/>
      </c>
      <c r="BL26" s="3" t="str">
        <f t="shared" si="74"/>
        <v/>
      </c>
      <c r="BM26" s="3">
        <f t="shared" si="75"/>
        <v>0</v>
      </c>
      <c r="BN26" s="3" t="str">
        <f t="shared" si="76"/>
        <v/>
      </c>
      <c r="BO26" s="3" t="str">
        <f t="shared" si="77"/>
        <v/>
      </c>
      <c r="BP26" s="3" t="str">
        <f t="shared" si="78"/>
        <v/>
      </c>
      <c r="BQ26" s="3" t="str">
        <f t="shared" si="79"/>
        <v/>
      </c>
      <c r="BR26" s="3" t="str">
        <f t="shared" si="80"/>
        <v/>
      </c>
      <c r="BS26" s="3" t="str">
        <f t="shared" si="81"/>
        <v/>
      </c>
      <c r="BT26" s="3" t="str">
        <f t="shared" si="82"/>
        <v/>
      </c>
    </row>
    <row r="27" spans="2:72" x14ac:dyDescent="0.25">
      <c r="B27" s="3" t="s">
        <v>313</v>
      </c>
      <c r="C27" s="3" t="s">
        <v>1656</v>
      </c>
      <c r="D27" s="3" t="s">
        <v>1</v>
      </c>
      <c r="E27" s="3" t="s">
        <v>1062</v>
      </c>
      <c r="F27" s="3" t="s">
        <v>81</v>
      </c>
      <c r="G27" s="3" t="s">
        <v>270</v>
      </c>
      <c r="H27" s="3" t="s">
        <v>1657</v>
      </c>
      <c r="I27" s="3" t="s">
        <v>24</v>
      </c>
      <c r="J27" s="3">
        <v>1</v>
      </c>
      <c r="K27" s="8" t="s">
        <v>58</v>
      </c>
      <c r="L27" s="3" t="s">
        <v>23</v>
      </c>
      <c r="M27" s="3">
        <v>5</v>
      </c>
      <c r="N27" s="3" t="str">
        <f t="shared" si="14"/>
        <v>005</v>
      </c>
      <c r="O27" s="3">
        <v>25</v>
      </c>
      <c r="P27" s="3">
        <v>25</v>
      </c>
      <c r="Q27" s="3" t="str">
        <f t="shared" si="15"/>
        <v/>
      </c>
      <c r="R27" s="3" t="str">
        <f t="shared" si="62"/>
        <v/>
      </c>
      <c r="S27" s="3" t="str">
        <f t="shared" si="62"/>
        <v/>
      </c>
      <c r="T27" s="3" t="str">
        <f t="shared" si="62"/>
        <v/>
      </c>
      <c r="U27" s="3" t="str">
        <f t="shared" si="62"/>
        <v/>
      </c>
      <c r="V27" s="3" t="str">
        <f t="shared" si="62"/>
        <v/>
      </c>
      <c r="W27" s="3" t="str">
        <f t="shared" si="62"/>
        <v>X</v>
      </c>
      <c r="X27" s="3" t="str">
        <f t="shared" si="62"/>
        <v/>
      </c>
      <c r="Y27" s="3" t="str">
        <f t="shared" si="62"/>
        <v/>
      </c>
      <c r="Z27" s="3" t="str">
        <f t="shared" si="62"/>
        <v/>
      </c>
      <c r="AA27" s="3" t="str">
        <f t="shared" si="62"/>
        <v/>
      </c>
      <c r="AB27" s="3" t="str">
        <f t="shared" si="62"/>
        <v/>
      </c>
      <c r="AC27" s="3" t="str">
        <f t="shared" si="62"/>
        <v/>
      </c>
      <c r="AD27" s="3" t="str">
        <f t="shared" si="62"/>
        <v/>
      </c>
      <c r="AE27" s="3" t="str">
        <f t="shared" si="62"/>
        <v/>
      </c>
      <c r="AF27" s="3" t="str">
        <f t="shared" si="62"/>
        <v/>
      </c>
      <c r="AG27" s="3" t="str">
        <f t="shared" si="62"/>
        <v/>
      </c>
      <c r="AH27" s="3" t="str">
        <f t="shared" si="83"/>
        <v/>
      </c>
      <c r="AI27" s="3" t="str">
        <f t="shared" si="83"/>
        <v/>
      </c>
      <c r="AJ27" s="3" t="str">
        <f t="shared" si="83"/>
        <v/>
      </c>
      <c r="AK27" s="3" t="str">
        <f t="shared" si="83"/>
        <v/>
      </c>
      <c r="AL27" s="3" t="str">
        <f t="shared" si="83"/>
        <v/>
      </c>
      <c r="AM27" s="3" t="str">
        <f t="shared" si="83"/>
        <v/>
      </c>
      <c r="AN27" s="3" t="str">
        <f t="shared" si="83"/>
        <v/>
      </c>
      <c r="AO27" s="3" t="str">
        <f t="shared" si="83"/>
        <v/>
      </c>
      <c r="AP27" s="3" t="str">
        <f t="shared" si="83"/>
        <v/>
      </c>
      <c r="AQ27" s="3" t="str">
        <f t="shared" si="83"/>
        <v/>
      </c>
      <c r="AR27" s="3" t="str">
        <f t="shared" si="83"/>
        <v/>
      </c>
      <c r="AS27" s="3" t="str">
        <f t="shared" si="83"/>
        <v/>
      </c>
      <c r="AT27" s="3" t="str">
        <f t="shared" si="83"/>
        <v/>
      </c>
      <c r="AU27" s="3" t="str">
        <f t="shared" si="83"/>
        <v/>
      </c>
      <c r="AV27" s="3" t="str">
        <f t="shared" si="83"/>
        <v/>
      </c>
      <c r="AW27" s="3" t="str">
        <f t="shared" si="16"/>
        <v>X</v>
      </c>
      <c r="AX27" s="3" t="str">
        <f t="shared" si="17"/>
        <v/>
      </c>
      <c r="AY27" s="3" t="str">
        <f t="shared" si="18"/>
        <v/>
      </c>
      <c r="AZ27" s="3" t="str">
        <f t="shared" si="19"/>
        <v/>
      </c>
      <c r="BA27" s="3">
        <f t="shared" si="63"/>
        <v>20</v>
      </c>
      <c r="BB27" s="3" t="str">
        <f t="shared" si="64"/>
        <v/>
      </c>
      <c r="BC27" s="3" t="str">
        <f t="shared" si="65"/>
        <v/>
      </c>
      <c r="BD27" s="3" t="str">
        <f t="shared" si="66"/>
        <v/>
      </c>
      <c r="BE27" s="9" t="str">
        <f t="shared" si="67"/>
        <v>014</v>
      </c>
      <c r="BF27" s="9" t="str">
        <f t="shared" si="68"/>
        <v/>
      </c>
      <c r="BG27" s="9" t="str">
        <f t="shared" si="69"/>
        <v/>
      </c>
      <c r="BH27" s="9" t="str">
        <f t="shared" si="70"/>
        <v/>
      </c>
      <c r="BI27" s="3" t="str">
        <f t="shared" si="71"/>
        <v>(1)</v>
      </c>
      <c r="BJ27" s="3" t="str">
        <f t="shared" si="72"/>
        <v/>
      </c>
      <c r="BK27" s="3" t="str">
        <f t="shared" si="73"/>
        <v/>
      </c>
      <c r="BL27" s="3" t="str">
        <f t="shared" si="74"/>
        <v/>
      </c>
      <c r="BM27" s="3">
        <f>IF(AW27="","",$J27-1)</f>
        <v>0</v>
      </c>
      <c r="BN27" s="3" t="str">
        <f t="shared" si="76"/>
        <v/>
      </c>
      <c r="BO27" s="3" t="str">
        <f t="shared" si="77"/>
        <v/>
      </c>
      <c r="BP27" s="3" t="str">
        <f t="shared" si="78"/>
        <v/>
      </c>
      <c r="BQ27" s="3" t="str">
        <f t="shared" si="79"/>
        <v/>
      </c>
      <c r="BR27" s="3" t="str">
        <f t="shared" si="80"/>
        <v/>
      </c>
      <c r="BS27" s="3" t="str">
        <f t="shared" si="81"/>
        <v/>
      </c>
      <c r="BT27" s="3" t="str">
        <f t="shared" si="82"/>
        <v/>
      </c>
    </row>
    <row r="28" spans="2:72" x14ac:dyDescent="0.25">
      <c r="B28" s="3" t="s">
        <v>313</v>
      </c>
      <c r="C28" s="3" t="s">
        <v>369</v>
      </c>
      <c r="D28" s="3" t="s">
        <v>1</v>
      </c>
      <c r="E28" s="3" t="s">
        <v>1062</v>
      </c>
      <c r="F28" s="3" t="s">
        <v>81</v>
      </c>
      <c r="G28" s="3" t="s">
        <v>270</v>
      </c>
      <c r="H28" s="3" t="s">
        <v>153</v>
      </c>
      <c r="I28" s="3" t="s">
        <v>24</v>
      </c>
      <c r="J28" s="3">
        <v>6</v>
      </c>
      <c r="K28" s="3" t="s">
        <v>297</v>
      </c>
      <c r="L28" s="3" t="s">
        <v>23</v>
      </c>
      <c r="M28" s="3">
        <v>5</v>
      </c>
      <c r="N28" s="3" t="str">
        <f t="shared" si="14"/>
        <v>005</v>
      </c>
      <c r="O28" s="3">
        <v>31</v>
      </c>
      <c r="P28" s="3">
        <v>26</v>
      </c>
      <c r="Q28" s="3" t="str">
        <f t="shared" si="15"/>
        <v>X</v>
      </c>
      <c r="R28" s="3" t="str">
        <f t="shared" si="62"/>
        <v>X</v>
      </c>
      <c r="S28" s="3" t="str">
        <f t="shared" si="62"/>
        <v>X</v>
      </c>
      <c r="T28" s="3" t="str">
        <f t="shared" si="62"/>
        <v>X</v>
      </c>
      <c r="U28" s="3" t="str">
        <f t="shared" si="62"/>
        <v>X</v>
      </c>
      <c r="V28" s="3" t="str">
        <f t="shared" si="62"/>
        <v>X</v>
      </c>
      <c r="W28" s="3" t="str">
        <f t="shared" si="62"/>
        <v/>
      </c>
      <c r="X28" s="3" t="str">
        <f t="shared" si="62"/>
        <v/>
      </c>
      <c r="Y28" s="3" t="str">
        <f t="shared" si="62"/>
        <v/>
      </c>
      <c r="Z28" s="3" t="str">
        <f t="shared" si="62"/>
        <v/>
      </c>
      <c r="AA28" s="3" t="str">
        <f t="shared" si="62"/>
        <v/>
      </c>
      <c r="AB28" s="3" t="str">
        <f t="shared" si="62"/>
        <v/>
      </c>
      <c r="AC28" s="3" t="str">
        <f t="shared" si="62"/>
        <v/>
      </c>
      <c r="AD28" s="3" t="str">
        <f t="shared" si="62"/>
        <v/>
      </c>
      <c r="AE28" s="3" t="str">
        <f t="shared" si="62"/>
        <v/>
      </c>
      <c r="AF28" s="3" t="str">
        <f t="shared" si="62"/>
        <v/>
      </c>
      <c r="AG28" s="3" t="str">
        <f t="shared" si="62"/>
        <v/>
      </c>
      <c r="AH28" s="3" t="str">
        <f t="shared" si="83"/>
        <v/>
      </c>
      <c r="AI28" s="3" t="str">
        <f t="shared" si="83"/>
        <v/>
      </c>
      <c r="AJ28" s="3" t="str">
        <f t="shared" si="83"/>
        <v/>
      </c>
      <c r="AK28" s="3" t="str">
        <f t="shared" si="83"/>
        <v/>
      </c>
      <c r="AL28" s="3" t="str">
        <f t="shared" si="83"/>
        <v/>
      </c>
      <c r="AM28" s="3" t="str">
        <f t="shared" si="83"/>
        <v/>
      </c>
      <c r="AN28" s="3" t="str">
        <f t="shared" si="83"/>
        <v/>
      </c>
      <c r="AO28" s="3" t="str">
        <f t="shared" si="83"/>
        <v/>
      </c>
      <c r="AP28" s="3" t="str">
        <f t="shared" si="83"/>
        <v/>
      </c>
      <c r="AQ28" s="3" t="str">
        <f t="shared" si="83"/>
        <v/>
      </c>
      <c r="AR28" s="3" t="str">
        <f t="shared" si="83"/>
        <v/>
      </c>
      <c r="AS28" s="3" t="str">
        <f t="shared" si="83"/>
        <v/>
      </c>
      <c r="AT28" s="3" t="str">
        <f t="shared" si="83"/>
        <v/>
      </c>
      <c r="AU28" s="3" t="str">
        <f t="shared" si="83"/>
        <v/>
      </c>
      <c r="AV28" s="3" t="str">
        <f t="shared" si="83"/>
        <v/>
      </c>
      <c r="AW28" s="3" t="str">
        <f t="shared" si="16"/>
        <v>X</v>
      </c>
      <c r="AX28" s="3" t="str">
        <f t="shared" si="17"/>
        <v/>
      </c>
      <c r="AY28" s="3" t="str">
        <f t="shared" si="18"/>
        <v/>
      </c>
      <c r="AZ28" s="3" t="str">
        <f t="shared" si="19"/>
        <v/>
      </c>
      <c r="BA28" s="3">
        <f t="shared" si="63"/>
        <v>20</v>
      </c>
      <c r="BB28" s="3" t="str">
        <f t="shared" si="64"/>
        <v/>
      </c>
      <c r="BC28" s="3" t="str">
        <f t="shared" si="65"/>
        <v/>
      </c>
      <c r="BD28" s="3" t="str">
        <f t="shared" si="66"/>
        <v/>
      </c>
      <c r="BE28" s="9" t="str">
        <f t="shared" si="67"/>
        <v>014</v>
      </c>
      <c r="BF28" s="9" t="str">
        <f t="shared" si="68"/>
        <v/>
      </c>
      <c r="BG28" s="9" t="str">
        <f t="shared" si="69"/>
        <v/>
      </c>
      <c r="BH28" s="9" t="str">
        <f t="shared" si="70"/>
        <v/>
      </c>
      <c r="BI28" s="3" t="str">
        <f t="shared" si="71"/>
        <v>(7 downto 2)</v>
      </c>
      <c r="BJ28" s="3" t="str">
        <f t="shared" si="72"/>
        <v/>
      </c>
      <c r="BK28" s="3" t="str">
        <f t="shared" si="73"/>
        <v/>
      </c>
      <c r="BL28" s="3" t="str">
        <f t="shared" si="74"/>
        <v/>
      </c>
      <c r="BM28" s="3">
        <f t="shared" si="75"/>
        <v>5</v>
      </c>
      <c r="BN28" s="3" t="str">
        <f t="shared" si="76"/>
        <v/>
      </c>
      <c r="BO28" s="3" t="str">
        <f t="shared" si="77"/>
        <v/>
      </c>
      <c r="BP28" s="3" t="str">
        <f t="shared" si="78"/>
        <v/>
      </c>
      <c r="BQ28" s="3" t="str">
        <f t="shared" si="79"/>
        <v/>
      </c>
      <c r="BR28" s="3" t="str">
        <f t="shared" si="80"/>
        <v/>
      </c>
      <c r="BS28" s="3" t="str">
        <f t="shared" si="81"/>
        <v/>
      </c>
      <c r="BT28" s="3" t="str">
        <f t="shared" si="82"/>
        <v/>
      </c>
    </row>
    <row r="29" spans="2:72" x14ac:dyDescent="0.25">
      <c r="B29" s="3" t="s">
        <v>314</v>
      </c>
      <c r="C29" s="3" t="s">
        <v>397</v>
      </c>
      <c r="D29" s="3" t="s">
        <v>1</v>
      </c>
      <c r="E29" s="3" t="s">
        <v>1062</v>
      </c>
      <c r="F29" s="3" t="s">
        <v>82</v>
      </c>
      <c r="G29" s="3" t="s">
        <v>271</v>
      </c>
      <c r="H29" s="3" t="s">
        <v>154</v>
      </c>
      <c r="I29" s="3" t="s">
        <v>24</v>
      </c>
      <c r="J29" s="3">
        <v>32</v>
      </c>
      <c r="K29" s="3" t="s">
        <v>296</v>
      </c>
      <c r="L29" s="3" t="s">
        <v>23</v>
      </c>
      <c r="M29" s="3">
        <v>6</v>
      </c>
      <c r="N29" s="3" t="str">
        <f t="shared" si="14"/>
        <v>006</v>
      </c>
      <c r="O29" s="3">
        <v>31</v>
      </c>
      <c r="P29" s="3">
        <v>0</v>
      </c>
      <c r="Q29" s="3" t="str">
        <f t="shared" si="15"/>
        <v>X</v>
      </c>
      <c r="R29" s="3" t="str">
        <f t="shared" si="62"/>
        <v>X</v>
      </c>
      <c r="S29" s="3" t="str">
        <f t="shared" si="62"/>
        <v>X</v>
      </c>
      <c r="T29" s="3" t="str">
        <f t="shared" si="62"/>
        <v>X</v>
      </c>
      <c r="U29" s="3" t="str">
        <f t="shared" si="62"/>
        <v>X</v>
      </c>
      <c r="V29" s="3" t="str">
        <f t="shared" si="62"/>
        <v>X</v>
      </c>
      <c r="W29" s="3" t="str">
        <f t="shared" si="62"/>
        <v>X</v>
      </c>
      <c r="X29" s="3" t="str">
        <f t="shared" si="62"/>
        <v>X</v>
      </c>
      <c r="Y29" s="3" t="str">
        <f t="shared" si="62"/>
        <v>X</v>
      </c>
      <c r="Z29" s="3" t="str">
        <f t="shared" si="62"/>
        <v>X</v>
      </c>
      <c r="AA29" s="3" t="str">
        <f t="shared" si="62"/>
        <v>X</v>
      </c>
      <c r="AB29" s="3" t="str">
        <f t="shared" si="62"/>
        <v>X</v>
      </c>
      <c r="AC29" s="3" t="str">
        <f t="shared" si="62"/>
        <v>X</v>
      </c>
      <c r="AD29" s="3" t="str">
        <f t="shared" si="62"/>
        <v>X</v>
      </c>
      <c r="AE29" s="3" t="str">
        <f t="shared" si="62"/>
        <v>X</v>
      </c>
      <c r="AF29" s="3" t="str">
        <f t="shared" si="62"/>
        <v>X</v>
      </c>
      <c r="AG29" s="3" t="str">
        <f t="shared" si="62"/>
        <v>X</v>
      </c>
      <c r="AH29" s="3" t="str">
        <f t="shared" si="83"/>
        <v>X</v>
      </c>
      <c r="AI29" s="3" t="str">
        <f t="shared" si="83"/>
        <v>X</v>
      </c>
      <c r="AJ29" s="3" t="str">
        <f t="shared" si="83"/>
        <v>X</v>
      </c>
      <c r="AK29" s="3" t="str">
        <f t="shared" si="83"/>
        <v>X</v>
      </c>
      <c r="AL29" s="3" t="str">
        <f t="shared" si="83"/>
        <v>X</v>
      </c>
      <c r="AM29" s="3" t="str">
        <f t="shared" si="83"/>
        <v>X</v>
      </c>
      <c r="AN29" s="3" t="str">
        <f t="shared" si="83"/>
        <v>X</v>
      </c>
      <c r="AO29" s="3" t="str">
        <f t="shared" si="83"/>
        <v>X</v>
      </c>
      <c r="AP29" s="3" t="str">
        <f t="shared" si="83"/>
        <v>X</v>
      </c>
      <c r="AQ29" s="3" t="str">
        <f t="shared" si="83"/>
        <v>X</v>
      </c>
      <c r="AR29" s="3" t="str">
        <f t="shared" si="83"/>
        <v>X</v>
      </c>
      <c r="AS29" s="3" t="str">
        <f t="shared" si="83"/>
        <v>X</v>
      </c>
      <c r="AT29" s="3" t="str">
        <f t="shared" si="83"/>
        <v>X</v>
      </c>
      <c r="AU29" s="3" t="str">
        <f t="shared" si="83"/>
        <v>X</v>
      </c>
      <c r="AV29" s="3" t="str">
        <f t="shared" si="83"/>
        <v>X</v>
      </c>
      <c r="AW29" s="3" t="str">
        <f t="shared" si="16"/>
        <v>X</v>
      </c>
      <c r="AX29" s="3" t="str">
        <f t="shared" si="17"/>
        <v>X</v>
      </c>
      <c r="AY29" s="3" t="str">
        <f t="shared" si="18"/>
        <v>X</v>
      </c>
      <c r="AZ29" s="3" t="str">
        <f t="shared" si="19"/>
        <v>X</v>
      </c>
      <c r="BA29" s="3">
        <f t="shared" si="63"/>
        <v>24</v>
      </c>
      <c r="BB29" s="3">
        <f t="shared" si="64"/>
        <v>25</v>
      </c>
      <c r="BC29" s="3">
        <f t="shared" si="65"/>
        <v>26</v>
      </c>
      <c r="BD29" s="3">
        <f t="shared" si="66"/>
        <v>27</v>
      </c>
      <c r="BE29" s="9" t="str">
        <f t="shared" si="67"/>
        <v>018</v>
      </c>
      <c r="BF29" s="9" t="str">
        <f t="shared" si="68"/>
        <v>019</v>
      </c>
      <c r="BG29" s="9" t="str">
        <f t="shared" si="69"/>
        <v>01A</v>
      </c>
      <c r="BH29" s="9" t="str">
        <f t="shared" si="70"/>
        <v>01B</v>
      </c>
      <c r="BI29" s="3" t="str">
        <f t="shared" si="71"/>
        <v/>
      </c>
      <c r="BJ29" s="3" t="str">
        <f t="shared" si="72"/>
        <v/>
      </c>
      <c r="BK29" s="3" t="str">
        <f t="shared" si="73"/>
        <v/>
      </c>
      <c r="BL29" s="3" t="str">
        <f t="shared" si="74"/>
        <v/>
      </c>
      <c r="BM29" s="3">
        <f t="shared" si="75"/>
        <v>31</v>
      </c>
      <c r="BN29" s="3">
        <f t="shared" si="76"/>
        <v>23</v>
      </c>
      <c r="BO29" s="3">
        <f t="shared" si="77"/>
        <v>15</v>
      </c>
      <c r="BP29" s="3">
        <f t="shared" si="78"/>
        <v>7</v>
      </c>
      <c r="BQ29" s="3" t="str">
        <f t="shared" si="79"/>
        <v>(31 downto 24)</v>
      </c>
      <c r="BR29" s="3" t="str">
        <f t="shared" si="80"/>
        <v>(23 downto 16)</v>
      </c>
      <c r="BS29" s="3" t="str">
        <f t="shared" si="81"/>
        <v>(15 downto 8)</v>
      </c>
      <c r="BT29" s="3" t="str">
        <f t="shared" si="82"/>
        <v>(7 downto 0)</v>
      </c>
    </row>
    <row r="30" spans="2:72" x14ac:dyDescent="0.25">
      <c r="B30" s="3" t="s">
        <v>315</v>
      </c>
      <c r="C30" s="3" t="s">
        <v>398</v>
      </c>
      <c r="D30" s="3" t="s">
        <v>1</v>
      </c>
      <c r="E30" s="3" t="s">
        <v>1062</v>
      </c>
      <c r="F30" s="3" t="s">
        <v>83</v>
      </c>
      <c r="G30" s="3" t="s">
        <v>272</v>
      </c>
      <c r="H30" s="3" t="s">
        <v>155</v>
      </c>
      <c r="I30" s="3" t="s">
        <v>24</v>
      </c>
      <c r="J30" s="3">
        <v>32</v>
      </c>
      <c r="K30" s="3" t="s">
        <v>296</v>
      </c>
      <c r="L30" s="3" t="s">
        <v>23</v>
      </c>
      <c r="M30" s="3">
        <v>7</v>
      </c>
      <c r="N30" s="3" t="str">
        <f t="shared" si="14"/>
        <v>007</v>
      </c>
      <c r="O30" s="3">
        <v>31</v>
      </c>
      <c r="P30" s="3">
        <v>0</v>
      </c>
      <c r="Q30" s="3" t="str">
        <f t="shared" si="15"/>
        <v>X</v>
      </c>
      <c r="R30" s="3" t="str">
        <f t="shared" si="62"/>
        <v>X</v>
      </c>
      <c r="S30" s="3" t="str">
        <f t="shared" ref="R30:AG93" si="84">IF(AND($O30&gt;=S$3,S$3&gt;=$P30),"X","")</f>
        <v>X</v>
      </c>
      <c r="T30" s="3" t="str">
        <f t="shared" si="84"/>
        <v>X</v>
      </c>
      <c r="U30" s="3" t="str">
        <f t="shared" si="84"/>
        <v>X</v>
      </c>
      <c r="V30" s="3" t="str">
        <f t="shared" si="84"/>
        <v>X</v>
      </c>
      <c r="W30" s="3" t="str">
        <f t="shared" si="84"/>
        <v>X</v>
      </c>
      <c r="X30" s="3" t="str">
        <f t="shared" si="84"/>
        <v>X</v>
      </c>
      <c r="Y30" s="3" t="str">
        <f t="shared" si="84"/>
        <v>X</v>
      </c>
      <c r="Z30" s="3" t="str">
        <f t="shared" si="84"/>
        <v>X</v>
      </c>
      <c r="AA30" s="3" t="str">
        <f t="shared" si="84"/>
        <v>X</v>
      </c>
      <c r="AB30" s="3" t="str">
        <f t="shared" si="84"/>
        <v>X</v>
      </c>
      <c r="AC30" s="3" t="str">
        <f t="shared" si="84"/>
        <v>X</v>
      </c>
      <c r="AD30" s="3" t="str">
        <f t="shared" si="84"/>
        <v>X</v>
      </c>
      <c r="AE30" s="3" t="str">
        <f t="shared" si="84"/>
        <v>X</v>
      </c>
      <c r="AF30" s="3" t="str">
        <f t="shared" si="84"/>
        <v>X</v>
      </c>
      <c r="AG30" s="3" t="str">
        <f t="shared" si="84"/>
        <v>X</v>
      </c>
      <c r="AH30" s="3" t="str">
        <f t="shared" si="83"/>
        <v>X</v>
      </c>
      <c r="AI30" s="3" t="str">
        <f t="shared" si="83"/>
        <v>X</v>
      </c>
      <c r="AJ30" s="3" t="str">
        <f t="shared" si="83"/>
        <v>X</v>
      </c>
      <c r="AK30" s="3" t="str">
        <f t="shared" si="83"/>
        <v>X</v>
      </c>
      <c r="AL30" s="3" t="str">
        <f t="shared" si="83"/>
        <v>X</v>
      </c>
      <c r="AM30" s="3" t="str">
        <f t="shared" si="83"/>
        <v>X</v>
      </c>
      <c r="AN30" s="3" t="str">
        <f t="shared" si="83"/>
        <v>X</v>
      </c>
      <c r="AO30" s="3" t="str">
        <f t="shared" si="83"/>
        <v>X</v>
      </c>
      <c r="AP30" s="3" t="str">
        <f t="shared" si="83"/>
        <v>X</v>
      </c>
      <c r="AQ30" s="3" t="str">
        <f t="shared" si="83"/>
        <v>X</v>
      </c>
      <c r="AR30" s="3" t="str">
        <f t="shared" si="83"/>
        <v>X</v>
      </c>
      <c r="AS30" s="3" t="str">
        <f t="shared" si="83"/>
        <v>X</v>
      </c>
      <c r="AT30" s="3" t="str">
        <f t="shared" si="83"/>
        <v>X</v>
      </c>
      <c r="AU30" s="3" t="str">
        <f t="shared" si="83"/>
        <v>X</v>
      </c>
      <c r="AV30" s="3" t="str">
        <f t="shared" si="83"/>
        <v>X</v>
      </c>
      <c r="AW30" s="3" t="str">
        <f t="shared" si="16"/>
        <v>X</v>
      </c>
      <c r="AX30" s="3" t="str">
        <f t="shared" si="17"/>
        <v>X</v>
      </c>
      <c r="AY30" s="3" t="str">
        <f t="shared" si="18"/>
        <v>X</v>
      </c>
      <c r="AZ30" s="3" t="str">
        <f t="shared" si="19"/>
        <v>X</v>
      </c>
      <c r="BA30" s="3">
        <f t="shared" si="63"/>
        <v>28</v>
      </c>
      <c r="BB30" s="3">
        <f t="shared" si="64"/>
        <v>29</v>
      </c>
      <c r="BC30" s="3">
        <f t="shared" si="65"/>
        <v>30</v>
      </c>
      <c r="BD30" s="3">
        <f t="shared" si="66"/>
        <v>31</v>
      </c>
      <c r="BE30" s="9" t="str">
        <f t="shared" si="67"/>
        <v>01C</v>
      </c>
      <c r="BF30" s="9" t="str">
        <f t="shared" si="68"/>
        <v>01D</v>
      </c>
      <c r="BG30" s="9" t="str">
        <f t="shared" si="69"/>
        <v>01E</v>
      </c>
      <c r="BH30" s="9" t="str">
        <f t="shared" si="70"/>
        <v>01F</v>
      </c>
      <c r="BI30" s="3" t="str">
        <f t="shared" si="71"/>
        <v/>
      </c>
      <c r="BJ30" s="3" t="str">
        <f t="shared" si="72"/>
        <v/>
      </c>
      <c r="BK30" s="3" t="str">
        <f t="shared" si="73"/>
        <v/>
      </c>
      <c r="BL30" s="3" t="str">
        <f t="shared" si="74"/>
        <v/>
      </c>
      <c r="BM30" s="3">
        <f t="shared" si="75"/>
        <v>31</v>
      </c>
      <c r="BN30" s="3">
        <f t="shared" si="76"/>
        <v>23</v>
      </c>
      <c r="BO30" s="3">
        <f t="shared" si="77"/>
        <v>15</v>
      </c>
      <c r="BP30" s="3">
        <f t="shared" si="78"/>
        <v>7</v>
      </c>
      <c r="BQ30" s="3" t="str">
        <f t="shared" si="79"/>
        <v>(31 downto 24)</v>
      </c>
      <c r="BR30" s="3" t="str">
        <f t="shared" si="80"/>
        <v>(23 downto 16)</v>
      </c>
      <c r="BS30" s="3" t="str">
        <f t="shared" si="81"/>
        <v>(15 downto 8)</v>
      </c>
      <c r="BT30" s="3" t="str">
        <f t="shared" si="82"/>
        <v>(7 downto 0)</v>
      </c>
    </row>
    <row r="31" spans="2:72" x14ac:dyDescent="0.25">
      <c r="B31" s="3" t="s">
        <v>316</v>
      </c>
      <c r="C31" s="3" t="s">
        <v>399</v>
      </c>
      <c r="D31" s="3" t="s">
        <v>1</v>
      </c>
      <c r="E31" s="3" t="s">
        <v>1062</v>
      </c>
      <c r="F31" s="3" t="s">
        <v>84</v>
      </c>
      <c r="G31" s="3" t="s">
        <v>273</v>
      </c>
      <c r="H31" s="3" t="s">
        <v>156</v>
      </c>
      <c r="I31" s="3" t="s">
        <v>24</v>
      </c>
      <c r="J31" s="3">
        <v>16</v>
      </c>
      <c r="K31" s="3" t="s">
        <v>59</v>
      </c>
      <c r="L31" s="3" t="s">
        <v>23</v>
      </c>
      <c r="M31" s="3">
        <v>8</v>
      </c>
      <c r="N31" s="3" t="str">
        <f t="shared" si="14"/>
        <v>008</v>
      </c>
      <c r="O31" s="3">
        <v>15</v>
      </c>
      <c r="P31" s="3">
        <v>0</v>
      </c>
      <c r="Q31" s="3" t="str">
        <f t="shared" si="15"/>
        <v/>
      </c>
      <c r="R31" s="3" t="str">
        <f t="shared" si="84"/>
        <v/>
      </c>
      <c r="S31" s="3" t="str">
        <f t="shared" si="84"/>
        <v/>
      </c>
      <c r="T31" s="3" t="str">
        <f t="shared" si="84"/>
        <v/>
      </c>
      <c r="U31" s="3" t="str">
        <f t="shared" si="84"/>
        <v/>
      </c>
      <c r="V31" s="3" t="str">
        <f t="shared" si="84"/>
        <v/>
      </c>
      <c r="W31" s="3" t="str">
        <f t="shared" si="84"/>
        <v/>
      </c>
      <c r="X31" s="3" t="str">
        <f t="shared" si="84"/>
        <v/>
      </c>
      <c r="Y31" s="3" t="str">
        <f t="shared" si="84"/>
        <v/>
      </c>
      <c r="Z31" s="3" t="str">
        <f t="shared" si="84"/>
        <v/>
      </c>
      <c r="AA31" s="3" t="str">
        <f t="shared" si="84"/>
        <v/>
      </c>
      <c r="AB31" s="3" t="str">
        <f t="shared" si="84"/>
        <v/>
      </c>
      <c r="AC31" s="3" t="str">
        <f t="shared" si="84"/>
        <v/>
      </c>
      <c r="AD31" s="3" t="str">
        <f t="shared" si="84"/>
        <v/>
      </c>
      <c r="AE31" s="3" t="str">
        <f t="shared" si="84"/>
        <v/>
      </c>
      <c r="AF31" s="3" t="str">
        <f t="shared" si="84"/>
        <v/>
      </c>
      <c r="AG31" s="3" t="str">
        <f t="shared" si="84"/>
        <v>X</v>
      </c>
      <c r="AH31" s="3" t="str">
        <f t="shared" si="83"/>
        <v>X</v>
      </c>
      <c r="AI31" s="3" t="str">
        <f t="shared" si="83"/>
        <v>X</v>
      </c>
      <c r="AJ31" s="3" t="str">
        <f t="shared" si="83"/>
        <v>X</v>
      </c>
      <c r="AK31" s="3" t="str">
        <f t="shared" si="83"/>
        <v>X</v>
      </c>
      <c r="AL31" s="3" t="str">
        <f t="shared" si="83"/>
        <v>X</v>
      </c>
      <c r="AM31" s="3" t="str">
        <f t="shared" si="83"/>
        <v>X</v>
      </c>
      <c r="AN31" s="3" t="str">
        <f t="shared" si="83"/>
        <v>X</v>
      </c>
      <c r="AO31" s="3" t="str">
        <f t="shared" si="83"/>
        <v>X</v>
      </c>
      <c r="AP31" s="3" t="str">
        <f t="shared" si="83"/>
        <v>X</v>
      </c>
      <c r="AQ31" s="3" t="str">
        <f t="shared" si="83"/>
        <v>X</v>
      </c>
      <c r="AR31" s="3" t="str">
        <f t="shared" si="83"/>
        <v>X</v>
      </c>
      <c r="AS31" s="3" t="str">
        <f t="shared" si="83"/>
        <v>X</v>
      </c>
      <c r="AT31" s="3" t="str">
        <f t="shared" si="83"/>
        <v>X</v>
      </c>
      <c r="AU31" s="3" t="str">
        <f t="shared" si="83"/>
        <v>X</v>
      </c>
      <c r="AV31" s="3" t="str">
        <f t="shared" si="83"/>
        <v>X</v>
      </c>
      <c r="AW31" s="3" t="str">
        <f t="shared" si="16"/>
        <v/>
      </c>
      <c r="AX31" s="3" t="str">
        <f t="shared" si="17"/>
        <v/>
      </c>
      <c r="AY31" s="3" t="str">
        <f t="shared" si="18"/>
        <v>X</v>
      </c>
      <c r="AZ31" s="3" t="str">
        <f t="shared" si="19"/>
        <v>X</v>
      </c>
      <c r="BA31" s="3" t="str">
        <f t="shared" si="63"/>
        <v/>
      </c>
      <c r="BB31" s="3" t="str">
        <f t="shared" si="64"/>
        <v/>
      </c>
      <c r="BC31" s="3">
        <f t="shared" si="65"/>
        <v>34</v>
      </c>
      <c r="BD31" s="3">
        <f t="shared" si="66"/>
        <v>35</v>
      </c>
      <c r="BE31" s="9" t="str">
        <f t="shared" si="67"/>
        <v/>
      </c>
      <c r="BF31" s="9" t="str">
        <f t="shared" si="68"/>
        <v/>
      </c>
      <c r="BG31" s="9" t="str">
        <f t="shared" si="69"/>
        <v>022</v>
      </c>
      <c r="BH31" s="9" t="str">
        <f t="shared" si="70"/>
        <v>023</v>
      </c>
      <c r="BI31" s="3" t="str">
        <f t="shared" si="71"/>
        <v/>
      </c>
      <c r="BJ31" s="3" t="str">
        <f t="shared" si="72"/>
        <v/>
      </c>
      <c r="BK31" s="3" t="str">
        <f t="shared" si="73"/>
        <v/>
      </c>
      <c r="BL31" s="3" t="str">
        <f t="shared" si="74"/>
        <v/>
      </c>
      <c r="BM31" s="3" t="str">
        <f t="shared" si="75"/>
        <v/>
      </c>
      <c r="BN31" s="3" t="str">
        <f t="shared" si="76"/>
        <v/>
      </c>
      <c r="BO31" s="3">
        <f t="shared" si="77"/>
        <v>15</v>
      </c>
      <c r="BP31" s="3">
        <f t="shared" si="78"/>
        <v>7</v>
      </c>
      <c r="BQ31" s="3" t="str">
        <f t="shared" si="79"/>
        <v/>
      </c>
      <c r="BR31" s="3" t="str">
        <f t="shared" si="80"/>
        <v/>
      </c>
      <c r="BS31" s="3" t="str">
        <f t="shared" si="81"/>
        <v>(15 downto 8)</v>
      </c>
      <c r="BT31" s="3" t="str">
        <f t="shared" si="82"/>
        <v>(7 downto 0)</v>
      </c>
    </row>
    <row r="32" spans="2:72" x14ac:dyDescent="0.25">
      <c r="B32" s="3" t="s">
        <v>316</v>
      </c>
      <c r="C32" s="3" t="s">
        <v>400</v>
      </c>
      <c r="D32" s="3" t="s">
        <v>1</v>
      </c>
      <c r="E32" s="3" t="s">
        <v>1062</v>
      </c>
      <c r="F32" s="3" t="s">
        <v>84</v>
      </c>
      <c r="G32" s="3" t="s">
        <v>273</v>
      </c>
      <c r="H32" s="3" t="s">
        <v>157</v>
      </c>
      <c r="I32" s="3" t="s">
        <v>24</v>
      </c>
      <c r="J32" s="3">
        <v>6</v>
      </c>
      <c r="K32" s="3" t="s">
        <v>297</v>
      </c>
      <c r="L32" s="3" t="s">
        <v>23</v>
      </c>
      <c r="M32" s="3">
        <v>8</v>
      </c>
      <c r="N32" s="3" t="str">
        <f t="shared" si="14"/>
        <v>008</v>
      </c>
      <c r="O32" s="3">
        <v>21</v>
      </c>
      <c r="P32" s="3">
        <v>16</v>
      </c>
      <c r="Q32" s="3" t="str">
        <f t="shared" si="15"/>
        <v/>
      </c>
      <c r="R32" s="3" t="str">
        <f t="shared" si="84"/>
        <v/>
      </c>
      <c r="S32" s="3" t="str">
        <f t="shared" si="84"/>
        <v/>
      </c>
      <c r="T32" s="3" t="str">
        <f t="shared" si="84"/>
        <v/>
      </c>
      <c r="U32" s="3" t="str">
        <f t="shared" si="84"/>
        <v/>
      </c>
      <c r="V32" s="3" t="str">
        <f t="shared" si="84"/>
        <v/>
      </c>
      <c r="W32" s="3" t="str">
        <f t="shared" si="84"/>
        <v/>
      </c>
      <c r="X32" s="3" t="str">
        <f t="shared" si="84"/>
        <v/>
      </c>
      <c r="Y32" s="3" t="str">
        <f t="shared" si="84"/>
        <v/>
      </c>
      <c r="Z32" s="3" t="str">
        <f t="shared" si="84"/>
        <v/>
      </c>
      <c r="AA32" s="3" t="str">
        <f t="shared" si="84"/>
        <v>X</v>
      </c>
      <c r="AB32" s="3" t="str">
        <f t="shared" si="84"/>
        <v>X</v>
      </c>
      <c r="AC32" s="3" t="str">
        <f t="shared" si="84"/>
        <v>X</v>
      </c>
      <c r="AD32" s="3" t="str">
        <f t="shared" si="84"/>
        <v>X</v>
      </c>
      <c r="AE32" s="3" t="str">
        <f t="shared" si="84"/>
        <v>X</v>
      </c>
      <c r="AF32" s="3" t="str">
        <f t="shared" si="84"/>
        <v>X</v>
      </c>
      <c r="AG32" s="3" t="str">
        <f t="shared" si="84"/>
        <v/>
      </c>
      <c r="AH32" s="3" t="str">
        <f t="shared" si="83"/>
        <v/>
      </c>
      <c r="AI32" s="3" t="str">
        <f t="shared" si="83"/>
        <v/>
      </c>
      <c r="AJ32" s="3" t="str">
        <f t="shared" si="83"/>
        <v/>
      </c>
      <c r="AK32" s="3" t="str">
        <f t="shared" si="83"/>
        <v/>
      </c>
      <c r="AL32" s="3" t="str">
        <f t="shared" si="83"/>
        <v/>
      </c>
      <c r="AM32" s="3" t="str">
        <f t="shared" si="83"/>
        <v/>
      </c>
      <c r="AN32" s="3" t="str">
        <f t="shared" si="83"/>
        <v/>
      </c>
      <c r="AO32" s="3" t="str">
        <f t="shared" si="83"/>
        <v/>
      </c>
      <c r="AP32" s="3" t="str">
        <f t="shared" si="83"/>
        <v/>
      </c>
      <c r="AQ32" s="3" t="str">
        <f t="shared" si="83"/>
        <v/>
      </c>
      <c r="AR32" s="3" t="str">
        <f t="shared" si="83"/>
        <v/>
      </c>
      <c r="AS32" s="3" t="str">
        <f t="shared" si="83"/>
        <v/>
      </c>
      <c r="AT32" s="3" t="str">
        <f t="shared" si="83"/>
        <v/>
      </c>
      <c r="AU32" s="3" t="str">
        <f t="shared" si="83"/>
        <v/>
      </c>
      <c r="AV32" s="3" t="str">
        <f t="shared" si="83"/>
        <v/>
      </c>
      <c r="AW32" s="3" t="str">
        <f t="shared" si="16"/>
        <v/>
      </c>
      <c r="AX32" s="3" t="str">
        <f t="shared" si="17"/>
        <v>X</v>
      </c>
      <c r="AY32" s="3" t="str">
        <f t="shared" si="18"/>
        <v/>
      </c>
      <c r="AZ32" s="3" t="str">
        <f t="shared" si="19"/>
        <v/>
      </c>
      <c r="BA32" s="3" t="str">
        <f t="shared" si="63"/>
        <v/>
      </c>
      <c r="BB32" s="3">
        <f t="shared" si="64"/>
        <v>33</v>
      </c>
      <c r="BC32" s="3" t="str">
        <f t="shared" si="65"/>
        <v/>
      </c>
      <c r="BD32" s="3" t="str">
        <f t="shared" si="66"/>
        <v/>
      </c>
      <c r="BE32" s="9" t="str">
        <f t="shared" si="67"/>
        <v/>
      </c>
      <c r="BF32" s="9" t="str">
        <f t="shared" si="68"/>
        <v>021</v>
      </c>
      <c r="BG32" s="9" t="str">
        <f t="shared" si="69"/>
        <v/>
      </c>
      <c r="BH32" s="9" t="str">
        <f t="shared" si="70"/>
        <v/>
      </c>
      <c r="BI32" s="3" t="str">
        <f t="shared" si="71"/>
        <v/>
      </c>
      <c r="BJ32" s="3" t="str">
        <f t="shared" si="72"/>
        <v>(5 downto 0)</v>
      </c>
      <c r="BK32" s="3" t="str">
        <f t="shared" si="73"/>
        <v/>
      </c>
      <c r="BL32" s="3" t="str">
        <f t="shared" si="74"/>
        <v/>
      </c>
      <c r="BM32" s="3" t="str">
        <f t="shared" si="75"/>
        <v/>
      </c>
      <c r="BN32" s="3">
        <f t="shared" si="76"/>
        <v>5</v>
      </c>
      <c r="BO32" s="3" t="str">
        <f t="shared" si="77"/>
        <v/>
      </c>
      <c r="BP32" s="3" t="str">
        <f t="shared" si="78"/>
        <v/>
      </c>
      <c r="BQ32" s="3" t="str">
        <f t="shared" si="79"/>
        <v/>
      </c>
      <c r="BR32" s="3" t="str">
        <f t="shared" si="80"/>
        <v/>
      </c>
      <c r="BS32" s="3" t="str">
        <f t="shared" si="81"/>
        <v/>
      </c>
      <c r="BT32" s="3" t="str">
        <f t="shared" si="82"/>
        <v/>
      </c>
    </row>
    <row r="33" spans="2:72" x14ac:dyDescent="0.25">
      <c r="B33" s="3" t="s">
        <v>316</v>
      </c>
      <c r="C33" s="3" t="s">
        <v>401</v>
      </c>
      <c r="D33" s="3" t="s">
        <v>1</v>
      </c>
      <c r="E33" s="3" t="s">
        <v>1062</v>
      </c>
      <c r="F33" s="3" t="s">
        <v>84</v>
      </c>
      <c r="G33" s="3" t="s">
        <v>273</v>
      </c>
      <c r="H33" s="3" t="s">
        <v>158</v>
      </c>
      <c r="I33" s="3" t="s">
        <v>24</v>
      </c>
      <c r="J33" s="3">
        <v>6</v>
      </c>
      <c r="K33" s="3" t="s">
        <v>297</v>
      </c>
      <c r="L33" s="3" t="s">
        <v>23</v>
      </c>
      <c r="M33" s="3">
        <v>8</v>
      </c>
      <c r="N33" s="3" t="str">
        <f t="shared" si="14"/>
        <v>008</v>
      </c>
      <c r="O33" s="3">
        <v>27</v>
      </c>
      <c r="P33" s="3">
        <v>22</v>
      </c>
      <c r="Q33" s="3" t="str">
        <f t="shared" si="15"/>
        <v/>
      </c>
      <c r="R33" s="3" t="str">
        <f t="shared" si="84"/>
        <v/>
      </c>
      <c r="S33" s="3" t="str">
        <f t="shared" si="84"/>
        <v/>
      </c>
      <c r="T33" s="3" t="str">
        <f t="shared" si="84"/>
        <v/>
      </c>
      <c r="U33" s="3" t="str">
        <f t="shared" si="84"/>
        <v>X</v>
      </c>
      <c r="V33" s="3" t="str">
        <f t="shared" si="84"/>
        <v>X</v>
      </c>
      <c r="W33" s="3" t="str">
        <f t="shared" si="84"/>
        <v>X</v>
      </c>
      <c r="X33" s="3" t="str">
        <f t="shared" si="84"/>
        <v>X</v>
      </c>
      <c r="Y33" s="3" t="str">
        <f t="shared" si="84"/>
        <v>X</v>
      </c>
      <c r="Z33" s="3" t="str">
        <f t="shared" si="84"/>
        <v>X</v>
      </c>
      <c r="AA33" s="3" t="str">
        <f t="shared" si="84"/>
        <v/>
      </c>
      <c r="AB33" s="3" t="str">
        <f t="shared" si="84"/>
        <v/>
      </c>
      <c r="AC33" s="3" t="str">
        <f t="shared" si="84"/>
        <v/>
      </c>
      <c r="AD33" s="3" t="str">
        <f t="shared" si="84"/>
        <v/>
      </c>
      <c r="AE33" s="3" t="str">
        <f t="shared" si="84"/>
        <v/>
      </c>
      <c r="AF33" s="3" t="str">
        <f t="shared" si="84"/>
        <v/>
      </c>
      <c r="AG33" s="3" t="str">
        <f t="shared" si="84"/>
        <v/>
      </c>
      <c r="AH33" s="3" t="str">
        <f t="shared" si="83"/>
        <v/>
      </c>
      <c r="AI33" s="3" t="str">
        <f t="shared" si="83"/>
        <v/>
      </c>
      <c r="AJ33" s="3" t="str">
        <f t="shared" si="83"/>
        <v/>
      </c>
      <c r="AK33" s="3" t="str">
        <f t="shared" si="83"/>
        <v/>
      </c>
      <c r="AL33" s="3" t="str">
        <f t="shared" si="83"/>
        <v/>
      </c>
      <c r="AM33" s="3" t="str">
        <f t="shared" si="83"/>
        <v/>
      </c>
      <c r="AN33" s="3" t="str">
        <f t="shared" si="83"/>
        <v/>
      </c>
      <c r="AO33" s="3" t="str">
        <f t="shared" si="83"/>
        <v/>
      </c>
      <c r="AP33" s="3" t="str">
        <f t="shared" si="83"/>
        <v/>
      </c>
      <c r="AQ33" s="3" t="str">
        <f t="shared" si="83"/>
        <v/>
      </c>
      <c r="AR33" s="3" t="str">
        <f t="shared" si="83"/>
        <v/>
      </c>
      <c r="AS33" s="3" t="str">
        <f t="shared" si="83"/>
        <v/>
      </c>
      <c r="AT33" s="3" t="str">
        <f t="shared" si="83"/>
        <v/>
      </c>
      <c r="AU33" s="3" t="str">
        <f t="shared" si="83"/>
        <v/>
      </c>
      <c r="AV33" s="3" t="str">
        <f t="shared" si="83"/>
        <v/>
      </c>
      <c r="AW33" s="3" t="str">
        <f t="shared" si="16"/>
        <v>X</v>
      </c>
      <c r="AX33" s="3" t="str">
        <f t="shared" si="17"/>
        <v>X</v>
      </c>
      <c r="AY33" s="3" t="str">
        <f t="shared" si="18"/>
        <v/>
      </c>
      <c r="AZ33" s="3" t="str">
        <f t="shared" si="19"/>
        <v/>
      </c>
      <c r="BA33" s="3">
        <f t="shared" si="63"/>
        <v>32</v>
      </c>
      <c r="BB33" s="3">
        <f t="shared" si="64"/>
        <v>33</v>
      </c>
      <c r="BC33" s="3" t="str">
        <f t="shared" si="65"/>
        <v/>
      </c>
      <c r="BD33" s="3" t="str">
        <f t="shared" si="66"/>
        <v/>
      </c>
      <c r="BE33" s="9" t="str">
        <f t="shared" si="67"/>
        <v>020</v>
      </c>
      <c r="BF33" s="9" t="str">
        <f t="shared" si="68"/>
        <v>021</v>
      </c>
      <c r="BG33" s="9" t="str">
        <f t="shared" si="69"/>
        <v/>
      </c>
      <c r="BH33" s="9" t="str">
        <f t="shared" si="70"/>
        <v/>
      </c>
      <c r="BI33" s="3" t="str">
        <f t="shared" si="71"/>
        <v>(3 downto 0)</v>
      </c>
      <c r="BJ33" s="3" t="str">
        <f t="shared" si="72"/>
        <v>(7 downto 6)</v>
      </c>
      <c r="BK33" s="3" t="str">
        <f t="shared" si="73"/>
        <v/>
      </c>
      <c r="BL33" s="3" t="str">
        <f t="shared" si="74"/>
        <v/>
      </c>
      <c r="BM33" s="3">
        <f t="shared" si="75"/>
        <v>5</v>
      </c>
      <c r="BN33" s="3">
        <f t="shared" si="76"/>
        <v>1</v>
      </c>
      <c r="BO33" s="3" t="str">
        <f t="shared" si="77"/>
        <v/>
      </c>
      <c r="BP33" s="3" t="str">
        <f t="shared" si="78"/>
        <v/>
      </c>
      <c r="BQ33" s="3" t="str">
        <f t="shared" si="79"/>
        <v>(5 downto 2)</v>
      </c>
      <c r="BR33" s="3" t="str">
        <f t="shared" si="80"/>
        <v>(1 downto 0)</v>
      </c>
      <c r="BS33" s="3" t="str">
        <f t="shared" si="81"/>
        <v/>
      </c>
      <c r="BT33" s="3" t="str">
        <f t="shared" si="82"/>
        <v/>
      </c>
    </row>
    <row r="34" spans="2:72" x14ac:dyDescent="0.25">
      <c r="B34" s="3" t="s">
        <v>316</v>
      </c>
      <c r="C34" s="3" t="s">
        <v>370</v>
      </c>
      <c r="D34" s="3" t="s">
        <v>1</v>
      </c>
      <c r="E34" s="3" t="s">
        <v>1062</v>
      </c>
      <c r="F34" s="3" t="s">
        <v>84</v>
      </c>
      <c r="G34" s="3" t="s">
        <v>273</v>
      </c>
      <c r="H34" s="3" t="s">
        <v>159</v>
      </c>
      <c r="I34" s="3" t="s">
        <v>24</v>
      </c>
      <c r="J34" s="3">
        <v>4</v>
      </c>
      <c r="K34" s="3" t="s">
        <v>298</v>
      </c>
      <c r="L34" s="3" t="s">
        <v>23</v>
      </c>
      <c r="M34" s="3">
        <v>8</v>
      </c>
      <c r="N34" s="3" t="str">
        <f t="shared" si="14"/>
        <v>008</v>
      </c>
      <c r="O34" s="3">
        <v>31</v>
      </c>
      <c r="P34" s="3">
        <v>28</v>
      </c>
      <c r="Q34" s="3" t="str">
        <f t="shared" si="15"/>
        <v>X</v>
      </c>
      <c r="R34" s="3" t="str">
        <f t="shared" si="84"/>
        <v>X</v>
      </c>
      <c r="S34" s="3" t="str">
        <f t="shared" si="84"/>
        <v>X</v>
      </c>
      <c r="T34" s="3" t="str">
        <f t="shared" si="84"/>
        <v>X</v>
      </c>
      <c r="U34" s="3" t="str">
        <f t="shared" si="84"/>
        <v/>
      </c>
      <c r="V34" s="3" t="str">
        <f t="shared" si="84"/>
        <v/>
      </c>
      <c r="W34" s="3" t="str">
        <f t="shared" si="84"/>
        <v/>
      </c>
      <c r="X34" s="3" t="str">
        <f t="shared" si="84"/>
        <v/>
      </c>
      <c r="Y34" s="3" t="str">
        <f t="shared" si="84"/>
        <v/>
      </c>
      <c r="Z34" s="3" t="str">
        <f t="shared" si="84"/>
        <v/>
      </c>
      <c r="AA34" s="3" t="str">
        <f t="shared" si="84"/>
        <v/>
      </c>
      <c r="AB34" s="3" t="str">
        <f t="shared" si="84"/>
        <v/>
      </c>
      <c r="AC34" s="3" t="str">
        <f t="shared" si="84"/>
        <v/>
      </c>
      <c r="AD34" s="3" t="str">
        <f t="shared" si="84"/>
        <v/>
      </c>
      <c r="AE34" s="3" t="str">
        <f t="shared" si="84"/>
        <v/>
      </c>
      <c r="AF34" s="3" t="str">
        <f t="shared" si="84"/>
        <v/>
      </c>
      <c r="AG34" s="3" t="str">
        <f t="shared" si="84"/>
        <v/>
      </c>
      <c r="AH34" s="3" t="str">
        <f t="shared" si="83"/>
        <v/>
      </c>
      <c r="AI34" s="3" t="str">
        <f t="shared" si="83"/>
        <v/>
      </c>
      <c r="AJ34" s="3" t="str">
        <f t="shared" si="83"/>
        <v/>
      </c>
      <c r="AK34" s="3" t="str">
        <f t="shared" si="83"/>
        <v/>
      </c>
      <c r="AL34" s="3" t="str">
        <f t="shared" si="83"/>
        <v/>
      </c>
      <c r="AM34" s="3" t="str">
        <f t="shared" si="83"/>
        <v/>
      </c>
      <c r="AN34" s="3" t="str">
        <f t="shared" si="83"/>
        <v/>
      </c>
      <c r="AO34" s="3" t="str">
        <f t="shared" si="83"/>
        <v/>
      </c>
      <c r="AP34" s="3" t="str">
        <f t="shared" si="83"/>
        <v/>
      </c>
      <c r="AQ34" s="3" t="str">
        <f t="shared" si="83"/>
        <v/>
      </c>
      <c r="AR34" s="3" t="str">
        <f t="shared" si="83"/>
        <v/>
      </c>
      <c r="AS34" s="3" t="str">
        <f t="shared" si="83"/>
        <v/>
      </c>
      <c r="AT34" s="3" t="str">
        <f t="shared" si="83"/>
        <v/>
      </c>
      <c r="AU34" s="3" t="str">
        <f t="shared" si="83"/>
        <v/>
      </c>
      <c r="AV34" s="3" t="str">
        <f t="shared" si="83"/>
        <v/>
      </c>
      <c r="AW34" s="3" t="str">
        <f t="shared" si="16"/>
        <v>X</v>
      </c>
      <c r="AX34" s="3" t="str">
        <f t="shared" si="17"/>
        <v/>
      </c>
      <c r="AY34" s="3" t="str">
        <f t="shared" si="18"/>
        <v/>
      </c>
      <c r="AZ34" s="3" t="str">
        <f t="shared" si="19"/>
        <v/>
      </c>
      <c r="BA34" s="3">
        <f t="shared" si="63"/>
        <v>32</v>
      </c>
      <c r="BB34" s="3" t="str">
        <f t="shared" si="64"/>
        <v/>
      </c>
      <c r="BC34" s="3" t="str">
        <f t="shared" si="65"/>
        <v/>
      </c>
      <c r="BD34" s="3" t="str">
        <f t="shared" si="66"/>
        <v/>
      </c>
      <c r="BE34" s="9" t="str">
        <f t="shared" si="67"/>
        <v>020</v>
      </c>
      <c r="BF34" s="9" t="str">
        <f t="shared" si="68"/>
        <v/>
      </c>
      <c r="BG34" s="9" t="str">
        <f t="shared" si="69"/>
        <v/>
      </c>
      <c r="BH34" s="9" t="str">
        <f t="shared" si="70"/>
        <v/>
      </c>
      <c r="BI34" s="3" t="str">
        <f t="shared" si="71"/>
        <v>(7 downto 4)</v>
      </c>
      <c r="BJ34" s="3" t="str">
        <f t="shared" si="72"/>
        <v/>
      </c>
      <c r="BK34" s="3" t="str">
        <f t="shared" si="73"/>
        <v/>
      </c>
      <c r="BL34" s="3" t="str">
        <f t="shared" si="74"/>
        <v/>
      </c>
      <c r="BM34" s="3">
        <f t="shared" si="75"/>
        <v>3</v>
      </c>
      <c r="BN34" s="3" t="str">
        <f t="shared" si="76"/>
        <v/>
      </c>
      <c r="BO34" s="3" t="str">
        <f t="shared" si="77"/>
        <v/>
      </c>
      <c r="BP34" s="3" t="str">
        <f t="shared" si="78"/>
        <v/>
      </c>
      <c r="BQ34" s="3" t="str">
        <f t="shared" si="79"/>
        <v/>
      </c>
      <c r="BR34" s="3" t="str">
        <f t="shared" si="80"/>
        <v/>
      </c>
      <c r="BS34" s="3" t="str">
        <f t="shared" si="81"/>
        <v/>
      </c>
      <c r="BT34" s="3" t="str">
        <f t="shared" si="82"/>
        <v/>
      </c>
    </row>
    <row r="35" spans="2:72" x14ac:dyDescent="0.25">
      <c r="B35" s="3" t="s">
        <v>317</v>
      </c>
      <c r="C35" s="3" t="s">
        <v>402</v>
      </c>
      <c r="D35" s="3" t="s">
        <v>1</v>
      </c>
      <c r="E35" s="3" t="s">
        <v>1062</v>
      </c>
      <c r="F35" s="3" t="s">
        <v>85</v>
      </c>
      <c r="G35" s="3" t="s">
        <v>274</v>
      </c>
      <c r="H35" s="3" t="s">
        <v>160</v>
      </c>
      <c r="I35" s="3" t="s">
        <v>24</v>
      </c>
      <c r="J35" s="3">
        <v>32</v>
      </c>
      <c r="K35" s="3" t="s">
        <v>296</v>
      </c>
      <c r="L35" s="3" t="s">
        <v>23</v>
      </c>
      <c r="M35" s="3">
        <v>9</v>
      </c>
      <c r="N35" s="3" t="str">
        <f t="shared" si="14"/>
        <v>009</v>
      </c>
      <c r="O35" s="3">
        <v>31</v>
      </c>
      <c r="P35" s="3">
        <v>0</v>
      </c>
      <c r="Q35" s="3" t="str">
        <f t="shared" si="15"/>
        <v>X</v>
      </c>
      <c r="R35" s="3" t="str">
        <f t="shared" si="84"/>
        <v>X</v>
      </c>
      <c r="S35" s="3" t="str">
        <f t="shared" si="84"/>
        <v>X</v>
      </c>
      <c r="T35" s="3" t="str">
        <f t="shared" si="84"/>
        <v>X</v>
      </c>
      <c r="U35" s="3" t="str">
        <f t="shared" si="84"/>
        <v>X</v>
      </c>
      <c r="V35" s="3" t="str">
        <f t="shared" si="84"/>
        <v>X</v>
      </c>
      <c r="W35" s="3" t="str">
        <f t="shared" si="84"/>
        <v>X</v>
      </c>
      <c r="X35" s="3" t="str">
        <f t="shared" si="84"/>
        <v>X</v>
      </c>
      <c r="Y35" s="3" t="str">
        <f t="shared" si="84"/>
        <v>X</v>
      </c>
      <c r="Z35" s="3" t="str">
        <f t="shared" si="84"/>
        <v>X</v>
      </c>
      <c r="AA35" s="3" t="str">
        <f t="shared" si="84"/>
        <v>X</v>
      </c>
      <c r="AB35" s="3" t="str">
        <f t="shared" si="84"/>
        <v>X</v>
      </c>
      <c r="AC35" s="3" t="str">
        <f t="shared" si="84"/>
        <v>X</v>
      </c>
      <c r="AD35" s="3" t="str">
        <f t="shared" si="84"/>
        <v>X</v>
      </c>
      <c r="AE35" s="3" t="str">
        <f t="shared" si="84"/>
        <v>X</v>
      </c>
      <c r="AF35" s="3" t="str">
        <f t="shared" si="84"/>
        <v>X</v>
      </c>
      <c r="AG35" s="3" t="str">
        <f t="shared" si="84"/>
        <v>X</v>
      </c>
      <c r="AH35" s="3" t="str">
        <f t="shared" si="83"/>
        <v>X</v>
      </c>
      <c r="AI35" s="3" t="str">
        <f t="shared" si="83"/>
        <v>X</v>
      </c>
      <c r="AJ35" s="3" t="str">
        <f t="shared" si="83"/>
        <v>X</v>
      </c>
      <c r="AK35" s="3" t="str">
        <f t="shared" si="83"/>
        <v>X</v>
      </c>
      <c r="AL35" s="3" t="str">
        <f t="shared" si="83"/>
        <v>X</v>
      </c>
      <c r="AM35" s="3" t="str">
        <f t="shared" si="83"/>
        <v>X</v>
      </c>
      <c r="AN35" s="3" t="str">
        <f t="shared" si="83"/>
        <v>X</v>
      </c>
      <c r="AO35" s="3" t="str">
        <f t="shared" si="83"/>
        <v>X</v>
      </c>
      <c r="AP35" s="3" t="str">
        <f t="shared" si="83"/>
        <v>X</v>
      </c>
      <c r="AQ35" s="3" t="str">
        <f t="shared" si="83"/>
        <v>X</v>
      </c>
      <c r="AR35" s="3" t="str">
        <f t="shared" si="83"/>
        <v>X</v>
      </c>
      <c r="AS35" s="3" t="str">
        <f t="shared" si="83"/>
        <v>X</v>
      </c>
      <c r="AT35" s="3" t="str">
        <f t="shared" si="83"/>
        <v>X</v>
      </c>
      <c r="AU35" s="3" t="str">
        <f t="shared" si="83"/>
        <v>X</v>
      </c>
      <c r="AV35" s="3" t="str">
        <f t="shared" si="83"/>
        <v>X</v>
      </c>
      <c r="AW35" s="3" t="str">
        <f t="shared" si="16"/>
        <v>X</v>
      </c>
      <c r="AX35" s="3" t="str">
        <f t="shared" si="17"/>
        <v>X</v>
      </c>
      <c r="AY35" s="3" t="str">
        <f t="shared" si="18"/>
        <v>X</v>
      </c>
      <c r="AZ35" s="3" t="str">
        <f t="shared" si="19"/>
        <v>X</v>
      </c>
      <c r="BA35" s="3">
        <f t="shared" si="63"/>
        <v>36</v>
      </c>
      <c r="BB35" s="3">
        <f t="shared" si="64"/>
        <v>37</v>
      </c>
      <c r="BC35" s="3">
        <f t="shared" si="65"/>
        <v>38</v>
      </c>
      <c r="BD35" s="3">
        <f t="shared" si="66"/>
        <v>39</v>
      </c>
      <c r="BE35" s="9" t="str">
        <f t="shared" si="67"/>
        <v>024</v>
      </c>
      <c r="BF35" s="9" t="str">
        <f t="shared" si="68"/>
        <v>025</v>
      </c>
      <c r="BG35" s="9" t="str">
        <f t="shared" si="69"/>
        <v>026</v>
      </c>
      <c r="BH35" s="9" t="str">
        <f t="shared" si="70"/>
        <v>027</v>
      </c>
      <c r="BI35" s="3" t="str">
        <f t="shared" si="71"/>
        <v/>
      </c>
      <c r="BJ35" s="3" t="str">
        <f t="shared" si="72"/>
        <v/>
      </c>
      <c r="BK35" s="3" t="str">
        <f t="shared" si="73"/>
        <v/>
      </c>
      <c r="BL35" s="3" t="str">
        <f t="shared" si="74"/>
        <v/>
      </c>
      <c r="BM35" s="3">
        <f t="shared" si="75"/>
        <v>31</v>
      </c>
      <c r="BN35" s="3">
        <f t="shared" si="76"/>
        <v>23</v>
      </c>
      <c r="BO35" s="3">
        <f t="shared" si="77"/>
        <v>15</v>
      </c>
      <c r="BP35" s="3">
        <f t="shared" si="78"/>
        <v>7</v>
      </c>
      <c r="BQ35" s="3" t="str">
        <f t="shared" si="79"/>
        <v>(31 downto 24)</v>
      </c>
      <c r="BR35" s="3" t="str">
        <f t="shared" si="80"/>
        <v>(23 downto 16)</v>
      </c>
      <c r="BS35" s="3" t="str">
        <f t="shared" si="81"/>
        <v>(15 downto 8)</v>
      </c>
      <c r="BT35" s="3" t="str">
        <f t="shared" si="82"/>
        <v>(7 downto 0)</v>
      </c>
    </row>
    <row r="36" spans="2:72" x14ac:dyDescent="0.25">
      <c r="B36" s="3" t="s">
        <v>318</v>
      </c>
      <c r="C36" s="3" t="s">
        <v>403</v>
      </c>
      <c r="D36" s="3" t="s">
        <v>1</v>
      </c>
      <c r="E36" s="3" t="s">
        <v>1062</v>
      </c>
      <c r="F36" s="3" t="s">
        <v>86</v>
      </c>
      <c r="G36" s="3" t="s">
        <v>275</v>
      </c>
      <c r="H36" s="3" t="s">
        <v>161</v>
      </c>
      <c r="I36" s="3" t="s">
        <v>24</v>
      </c>
      <c r="J36" s="3">
        <v>32</v>
      </c>
      <c r="K36" s="3" t="s">
        <v>296</v>
      </c>
      <c r="L36" s="3" t="s">
        <v>23</v>
      </c>
      <c r="M36" s="3">
        <v>10</v>
      </c>
      <c r="N36" s="3" t="str">
        <f t="shared" si="14"/>
        <v>00A</v>
      </c>
      <c r="O36" s="3">
        <v>31</v>
      </c>
      <c r="P36" s="3">
        <v>0</v>
      </c>
      <c r="Q36" s="3" t="str">
        <f t="shared" si="15"/>
        <v>X</v>
      </c>
      <c r="R36" s="3" t="str">
        <f t="shared" si="84"/>
        <v>X</v>
      </c>
      <c r="S36" s="3" t="str">
        <f t="shared" si="84"/>
        <v>X</v>
      </c>
      <c r="T36" s="3" t="str">
        <f t="shared" si="84"/>
        <v>X</v>
      </c>
      <c r="U36" s="3" t="str">
        <f t="shared" si="84"/>
        <v>X</v>
      </c>
      <c r="V36" s="3" t="str">
        <f t="shared" si="84"/>
        <v>X</v>
      </c>
      <c r="W36" s="3" t="str">
        <f t="shared" si="84"/>
        <v>X</v>
      </c>
      <c r="X36" s="3" t="str">
        <f t="shared" si="84"/>
        <v>X</v>
      </c>
      <c r="Y36" s="3" t="str">
        <f t="shared" si="84"/>
        <v>X</v>
      </c>
      <c r="Z36" s="3" t="str">
        <f t="shared" si="84"/>
        <v>X</v>
      </c>
      <c r="AA36" s="3" t="str">
        <f t="shared" si="84"/>
        <v>X</v>
      </c>
      <c r="AB36" s="3" t="str">
        <f t="shared" si="84"/>
        <v>X</v>
      </c>
      <c r="AC36" s="3" t="str">
        <f t="shared" si="84"/>
        <v>X</v>
      </c>
      <c r="AD36" s="3" t="str">
        <f t="shared" si="84"/>
        <v>X</v>
      </c>
      <c r="AE36" s="3" t="str">
        <f t="shared" si="84"/>
        <v>X</v>
      </c>
      <c r="AF36" s="3" t="str">
        <f t="shared" si="84"/>
        <v>X</v>
      </c>
      <c r="AG36" s="3" t="str">
        <f t="shared" si="84"/>
        <v>X</v>
      </c>
      <c r="AH36" s="3" t="str">
        <f t="shared" si="83"/>
        <v>X</v>
      </c>
      <c r="AI36" s="3" t="str">
        <f t="shared" si="83"/>
        <v>X</v>
      </c>
      <c r="AJ36" s="3" t="str">
        <f t="shared" si="83"/>
        <v>X</v>
      </c>
      <c r="AK36" s="3" t="str">
        <f t="shared" si="83"/>
        <v>X</v>
      </c>
      <c r="AL36" s="3" t="str">
        <f t="shared" si="83"/>
        <v>X</v>
      </c>
      <c r="AM36" s="3" t="str">
        <f t="shared" si="83"/>
        <v>X</v>
      </c>
      <c r="AN36" s="3" t="str">
        <f t="shared" si="83"/>
        <v>X</v>
      </c>
      <c r="AO36" s="3" t="str">
        <f t="shared" si="83"/>
        <v>X</v>
      </c>
      <c r="AP36" s="3" t="str">
        <f t="shared" si="83"/>
        <v>X</v>
      </c>
      <c r="AQ36" s="3" t="str">
        <f t="shared" si="83"/>
        <v>X</v>
      </c>
      <c r="AR36" s="3" t="str">
        <f t="shared" si="83"/>
        <v>X</v>
      </c>
      <c r="AS36" s="3" t="str">
        <f t="shared" si="83"/>
        <v>X</v>
      </c>
      <c r="AT36" s="3" t="str">
        <f t="shared" si="83"/>
        <v>X</v>
      </c>
      <c r="AU36" s="3" t="str">
        <f t="shared" si="83"/>
        <v>X</v>
      </c>
      <c r="AV36" s="3" t="str">
        <f t="shared" si="83"/>
        <v>X</v>
      </c>
      <c r="AW36" s="3" t="str">
        <f t="shared" si="16"/>
        <v>X</v>
      </c>
      <c r="AX36" s="3" t="str">
        <f t="shared" si="17"/>
        <v>X</v>
      </c>
      <c r="AY36" s="3" t="str">
        <f t="shared" si="18"/>
        <v>X</v>
      </c>
      <c r="AZ36" s="3" t="str">
        <f t="shared" si="19"/>
        <v>X</v>
      </c>
      <c r="BA36" s="3">
        <f t="shared" si="63"/>
        <v>40</v>
      </c>
      <c r="BB36" s="3">
        <f t="shared" si="64"/>
        <v>41</v>
      </c>
      <c r="BC36" s="3">
        <f t="shared" si="65"/>
        <v>42</v>
      </c>
      <c r="BD36" s="3">
        <f t="shared" si="66"/>
        <v>43</v>
      </c>
      <c r="BE36" s="9" t="str">
        <f t="shared" si="67"/>
        <v>028</v>
      </c>
      <c r="BF36" s="9" t="str">
        <f t="shared" si="68"/>
        <v>029</v>
      </c>
      <c r="BG36" s="9" t="str">
        <f t="shared" si="69"/>
        <v>02A</v>
      </c>
      <c r="BH36" s="9" t="str">
        <f t="shared" si="70"/>
        <v>02B</v>
      </c>
      <c r="BI36" s="3" t="str">
        <f t="shared" si="71"/>
        <v/>
      </c>
      <c r="BJ36" s="3" t="str">
        <f t="shared" si="72"/>
        <v/>
      </c>
      <c r="BK36" s="3" t="str">
        <f t="shared" si="73"/>
        <v/>
      </c>
      <c r="BL36" s="3" t="str">
        <f t="shared" si="74"/>
        <v/>
      </c>
      <c r="BM36" s="3">
        <f t="shared" si="75"/>
        <v>31</v>
      </c>
      <c r="BN36" s="3">
        <f t="shared" si="76"/>
        <v>23</v>
      </c>
      <c r="BO36" s="3">
        <f t="shared" si="77"/>
        <v>15</v>
      </c>
      <c r="BP36" s="3">
        <f t="shared" si="78"/>
        <v>7</v>
      </c>
      <c r="BQ36" s="3" t="str">
        <f t="shared" si="79"/>
        <v>(31 downto 24)</v>
      </c>
      <c r="BR36" s="3" t="str">
        <f t="shared" si="80"/>
        <v>(23 downto 16)</v>
      </c>
      <c r="BS36" s="3" t="str">
        <f t="shared" si="81"/>
        <v>(15 downto 8)</v>
      </c>
      <c r="BT36" s="3" t="str">
        <f t="shared" si="82"/>
        <v>(7 downto 0)</v>
      </c>
    </row>
    <row r="37" spans="2:72" x14ac:dyDescent="0.25">
      <c r="B37" s="3" t="s">
        <v>319</v>
      </c>
      <c r="C37" s="3" t="s">
        <v>404</v>
      </c>
      <c r="D37" s="3" t="s">
        <v>1</v>
      </c>
      <c r="E37" s="3" t="s">
        <v>1062</v>
      </c>
      <c r="F37" s="3" t="s">
        <v>87</v>
      </c>
      <c r="G37" s="3" t="s">
        <v>276</v>
      </c>
      <c r="H37" s="3" t="s">
        <v>162</v>
      </c>
      <c r="I37" s="3" t="s">
        <v>24</v>
      </c>
      <c r="J37" s="3">
        <v>16</v>
      </c>
      <c r="K37" s="3" t="s">
        <v>59</v>
      </c>
      <c r="L37" s="3" t="s">
        <v>23</v>
      </c>
      <c r="M37" s="3">
        <v>11</v>
      </c>
      <c r="N37" s="3" t="str">
        <f t="shared" si="14"/>
        <v>00B</v>
      </c>
      <c r="O37" s="3">
        <v>15</v>
      </c>
      <c r="P37" s="3">
        <v>0</v>
      </c>
      <c r="Q37" s="3" t="str">
        <f t="shared" si="15"/>
        <v/>
      </c>
      <c r="R37" s="3" t="str">
        <f t="shared" si="84"/>
        <v/>
      </c>
      <c r="S37" s="3" t="str">
        <f t="shared" si="84"/>
        <v/>
      </c>
      <c r="T37" s="3" t="str">
        <f t="shared" si="84"/>
        <v/>
      </c>
      <c r="U37" s="3" t="str">
        <f t="shared" si="84"/>
        <v/>
      </c>
      <c r="V37" s="3" t="str">
        <f t="shared" si="84"/>
        <v/>
      </c>
      <c r="W37" s="3" t="str">
        <f t="shared" si="84"/>
        <v/>
      </c>
      <c r="X37" s="3" t="str">
        <f t="shared" si="84"/>
        <v/>
      </c>
      <c r="Y37" s="3" t="str">
        <f t="shared" si="84"/>
        <v/>
      </c>
      <c r="Z37" s="3" t="str">
        <f t="shared" si="84"/>
        <v/>
      </c>
      <c r="AA37" s="3" t="str">
        <f t="shared" si="84"/>
        <v/>
      </c>
      <c r="AB37" s="3" t="str">
        <f t="shared" si="84"/>
        <v/>
      </c>
      <c r="AC37" s="3" t="str">
        <f t="shared" si="84"/>
        <v/>
      </c>
      <c r="AD37" s="3" t="str">
        <f t="shared" si="84"/>
        <v/>
      </c>
      <c r="AE37" s="3" t="str">
        <f t="shared" si="84"/>
        <v/>
      </c>
      <c r="AF37" s="3" t="str">
        <f t="shared" si="84"/>
        <v/>
      </c>
      <c r="AG37" s="3" t="str">
        <f t="shared" si="84"/>
        <v>X</v>
      </c>
      <c r="AH37" s="3" t="str">
        <f t="shared" si="83"/>
        <v>X</v>
      </c>
      <c r="AI37" s="3" t="str">
        <f t="shared" si="83"/>
        <v>X</v>
      </c>
      <c r="AJ37" s="3" t="str">
        <f t="shared" si="83"/>
        <v>X</v>
      </c>
      <c r="AK37" s="3" t="str">
        <f t="shared" si="83"/>
        <v>X</v>
      </c>
      <c r="AL37" s="3" t="str">
        <f t="shared" si="83"/>
        <v>X</v>
      </c>
      <c r="AM37" s="3" t="str">
        <f t="shared" si="83"/>
        <v>X</v>
      </c>
      <c r="AN37" s="3" t="str">
        <f t="shared" si="83"/>
        <v>X</v>
      </c>
      <c r="AO37" s="3" t="str">
        <f t="shared" si="83"/>
        <v>X</v>
      </c>
      <c r="AP37" s="3" t="str">
        <f t="shared" si="83"/>
        <v>X</v>
      </c>
      <c r="AQ37" s="3" t="str">
        <f t="shared" si="83"/>
        <v>X</v>
      </c>
      <c r="AR37" s="3" t="str">
        <f t="shared" si="83"/>
        <v>X</v>
      </c>
      <c r="AS37" s="3" t="str">
        <f t="shared" si="83"/>
        <v>X</v>
      </c>
      <c r="AT37" s="3" t="str">
        <f t="shared" si="83"/>
        <v>X</v>
      </c>
      <c r="AU37" s="3" t="str">
        <f t="shared" si="83"/>
        <v>X</v>
      </c>
      <c r="AV37" s="3" t="str">
        <f t="shared" si="83"/>
        <v>X</v>
      </c>
      <c r="AW37" s="3" t="str">
        <f t="shared" si="16"/>
        <v/>
      </c>
      <c r="AX37" s="3" t="str">
        <f t="shared" si="17"/>
        <v/>
      </c>
      <c r="AY37" s="3" t="str">
        <f t="shared" si="18"/>
        <v>X</v>
      </c>
      <c r="AZ37" s="3" t="str">
        <f t="shared" si="19"/>
        <v>X</v>
      </c>
      <c r="BA37" s="3" t="str">
        <f t="shared" si="63"/>
        <v/>
      </c>
      <c r="BB37" s="3" t="str">
        <f t="shared" si="64"/>
        <v/>
      </c>
      <c r="BC37" s="3">
        <f t="shared" si="65"/>
        <v>46</v>
      </c>
      <c r="BD37" s="3">
        <f t="shared" si="66"/>
        <v>47</v>
      </c>
      <c r="BE37" s="9" t="str">
        <f t="shared" si="67"/>
        <v/>
      </c>
      <c r="BF37" s="9" t="str">
        <f t="shared" si="68"/>
        <v/>
      </c>
      <c r="BG37" s="9" t="str">
        <f t="shared" si="69"/>
        <v>02E</v>
      </c>
      <c r="BH37" s="9" t="str">
        <f t="shared" si="70"/>
        <v>02F</v>
      </c>
      <c r="BI37" s="3" t="str">
        <f t="shared" si="71"/>
        <v/>
      </c>
      <c r="BJ37" s="3" t="str">
        <f t="shared" si="72"/>
        <v/>
      </c>
      <c r="BK37" s="3" t="str">
        <f t="shared" si="73"/>
        <v/>
      </c>
      <c r="BL37" s="3" t="str">
        <f t="shared" si="74"/>
        <v/>
      </c>
      <c r="BM37" s="3" t="str">
        <f t="shared" si="75"/>
        <v/>
      </c>
      <c r="BN37" s="3" t="str">
        <f t="shared" si="76"/>
        <v/>
      </c>
      <c r="BO37" s="3">
        <f t="shared" si="77"/>
        <v>15</v>
      </c>
      <c r="BP37" s="3">
        <f t="shared" si="78"/>
        <v>7</v>
      </c>
      <c r="BQ37" s="3" t="str">
        <f t="shared" si="79"/>
        <v/>
      </c>
      <c r="BR37" s="3" t="str">
        <f t="shared" si="80"/>
        <v/>
      </c>
      <c r="BS37" s="3" t="str">
        <f t="shared" si="81"/>
        <v>(15 downto 8)</v>
      </c>
      <c r="BT37" s="3" t="str">
        <f t="shared" si="82"/>
        <v>(7 downto 0)</v>
      </c>
    </row>
    <row r="38" spans="2:72" x14ac:dyDescent="0.25">
      <c r="B38" s="3" t="s">
        <v>319</v>
      </c>
      <c r="C38" s="3" t="s">
        <v>405</v>
      </c>
      <c r="D38" s="3" t="s">
        <v>1</v>
      </c>
      <c r="E38" s="3" t="s">
        <v>1062</v>
      </c>
      <c r="F38" s="3" t="s">
        <v>87</v>
      </c>
      <c r="G38" s="3" t="s">
        <v>276</v>
      </c>
      <c r="H38" s="3" t="s">
        <v>163</v>
      </c>
      <c r="I38" s="3" t="s">
        <v>24</v>
      </c>
      <c r="J38" s="3">
        <v>6</v>
      </c>
      <c r="K38" s="3" t="s">
        <v>297</v>
      </c>
      <c r="L38" s="3" t="s">
        <v>23</v>
      </c>
      <c r="M38" s="3">
        <v>11</v>
      </c>
      <c r="N38" s="3" t="str">
        <f t="shared" si="14"/>
        <v>00B</v>
      </c>
      <c r="O38" s="3">
        <v>21</v>
      </c>
      <c r="P38" s="3">
        <v>16</v>
      </c>
      <c r="Q38" s="3" t="str">
        <f t="shared" si="15"/>
        <v/>
      </c>
      <c r="R38" s="3" t="str">
        <f t="shared" si="84"/>
        <v/>
      </c>
      <c r="S38" s="3" t="str">
        <f t="shared" si="84"/>
        <v/>
      </c>
      <c r="T38" s="3" t="str">
        <f t="shared" si="84"/>
        <v/>
      </c>
      <c r="U38" s="3" t="str">
        <f t="shared" si="84"/>
        <v/>
      </c>
      <c r="V38" s="3" t="str">
        <f t="shared" si="84"/>
        <v/>
      </c>
      <c r="W38" s="3" t="str">
        <f t="shared" si="84"/>
        <v/>
      </c>
      <c r="X38" s="3" t="str">
        <f t="shared" si="84"/>
        <v/>
      </c>
      <c r="Y38" s="3" t="str">
        <f t="shared" si="84"/>
        <v/>
      </c>
      <c r="Z38" s="3" t="str">
        <f t="shared" si="84"/>
        <v/>
      </c>
      <c r="AA38" s="3" t="str">
        <f t="shared" si="84"/>
        <v>X</v>
      </c>
      <c r="AB38" s="3" t="str">
        <f t="shared" si="84"/>
        <v>X</v>
      </c>
      <c r="AC38" s="3" t="str">
        <f t="shared" si="84"/>
        <v>X</v>
      </c>
      <c r="AD38" s="3" t="str">
        <f t="shared" si="84"/>
        <v>X</v>
      </c>
      <c r="AE38" s="3" t="str">
        <f t="shared" si="84"/>
        <v>X</v>
      </c>
      <c r="AF38" s="3" t="str">
        <f t="shared" si="84"/>
        <v>X</v>
      </c>
      <c r="AG38" s="3" t="str">
        <f t="shared" si="84"/>
        <v/>
      </c>
      <c r="AH38" s="3" t="str">
        <f t="shared" si="83"/>
        <v/>
      </c>
      <c r="AI38" s="3" t="str">
        <f t="shared" si="83"/>
        <v/>
      </c>
      <c r="AJ38" s="3" t="str">
        <f t="shared" si="83"/>
        <v/>
      </c>
      <c r="AK38" s="3" t="str">
        <f t="shared" si="83"/>
        <v/>
      </c>
      <c r="AL38" s="3" t="str">
        <f t="shared" si="83"/>
        <v/>
      </c>
      <c r="AM38" s="3" t="str">
        <f t="shared" si="83"/>
        <v/>
      </c>
      <c r="AN38" s="3" t="str">
        <f t="shared" si="83"/>
        <v/>
      </c>
      <c r="AO38" s="3" t="str">
        <f t="shared" si="83"/>
        <v/>
      </c>
      <c r="AP38" s="3" t="str">
        <f t="shared" si="83"/>
        <v/>
      </c>
      <c r="AQ38" s="3" t="str">
        <f t="shared" si="83"/>
        <v/>
      </c>
      <c r="AR38" s="3" t="str">
        <f t="shared" si="83"/>
        <v/>
      </c>
      <c r="AS38" s="3" t="str">
        <f t="shared" si="83"/>
        <v/>
      </c>
      <c r="AT38" s="3" t="str">
        <f t="shared" si="83"/>
        <v/>
      </c>
      <c r="AU38" s="3" t="str">
        <f t="shared" si="83"/>
        <v/>
      </c>
      <c r="AV38" s="3" t="str">
        <f t="shared" si="83"/>
        <v/>
      </c>
      <c r="AW38" s="3" t="str">
        <f t="shared" si="16"/>
        <v/>
      </c>
      <c r="AX38" s="3" t="str">
        <f t="shared" si="17"/>
        <v>X</v>
      </c>
      <c r="AY38" s="3" t="str">
        <f t="shared" si="18"/>
        <v/>
      </c>
      <c r="AZ38" s="3" t="str">
        <f t="shared" si="19"/>
        <v/>
      </c>
      <c r="BA38" s="3" t="str">
        <f t="shared" si="63"/>
        <v/>
      </c>
      <c r="BB38" s="3">
        <f t="shared" si="64"/>
        <v>45</v>
      </c>
      <c r="BC38" s="3" t="str">
        <f t="shared" si="65"/>
        <v/>
      </c>
      <c r="BD38" s="3" t="str">
        <f t="shared" si="66"/>
        <v/>
      </c>
      <c r="BE38" s="9" t="str">
        <f t="shared" si="67"/>
        <v/>
      </c>
      <c r="BF38" s="9" t="str">
        <f t="shared" si="68"/>
        <v>02D</v>
      </c>
      <c r="BG38" s="9" t="str">
        <f t="shared" si="69"/>
        <v/>
      </c>
      <c r="BH38" s="9" t="str">
        <f t="shared" si="70"/>
        <v/>
      </c>
      <c r="BI38" s="3" t="str">
        <f t="shared" si="71"/>
        <v/>
      </c>
      <c r="BJ38" s="3" t="str">
        <f t="shared" si="72"/>
        <v>(5 downto 0)</v>
      </c>
      <c r="BK38" s="3" t="str">
        <f t="shared" si="73"/>
        <v/>
      </c>
      <c r="BL38" s="3" t="str">
        <f t="shared" si="74"/>
        <v/>
      </c>
      <c r="BM38" s="3" t="str">
        <f t="shared" si="75"/>
        <v/>
      </c>
      <c r="BN38" s="3">
        <f t="shared" si="76"/>
        <v>5</v>
      </c>
      <c r="BO38" s="3" t="str">
        <f t="shared" si="77"/>
        <v/>
      </c>
      <c r="BP38" s="3" t="str">
        <f t="shared" si="78"/>
        <v/>
      </c>
      <c r="BQ38" s="3" t="str">
        <f t="shared" si="79"/>
        <v/>
      </c>
      <c r="BR38" s="3" t="str">
        <f t="shared" si="80"/>
        <v/>
      </c>
      <c r="BS38" s="3" t="str">
        <f t="shared" si="81"/>
        <v/>
      </c>
      <c r="BT38" s="3" t="str">
        <f t="shared" si="82"/>
        <v/>
      </c>
    </row>
    <row r="39" spans="2:72" x14ac:dyDescent="0.25">
      <c r="B39" s="3" t="s">
        <v>319</v>
      </c>
      <c r="C39" s="3" t="s">
        <v>406</v>
      </c>
      <c r="D39" s="3" t="s">
        <v>1</v>
      </c>
      <c r="E39" s="3" t="s">
        <v>1062</v>
      </c>
      <c r="F39" s="3" t="s">
        <v>87</v>
      </c>
      <c r="G39" s="3" t="s">
        <v>276</v>
      </c>
      <c r="H39" s="3" t="s">
        <v>164</v>
      </c>
      <c r="I39" s="3" t="s">
        <v>24</v>
      </c>
      <c r="J39" s="3">
        <v>6</v>
      </c>
      <c r="K39" s="3" t="s">
        <v>297</v>
      </c>
      <c r="L39" s="3" t="s">
        <v>23</v>
      </c>
      <c r="M39" s="3">
        <v>11</v>
      </c>
      <c r="N39" s="3" t="str">
        <f t="shared" si="14"/>
        <v>00B</v>
      </c>
      <c r="O39" s="3">
        <v>27</v>
      </c>
      <c r="P39" s="3">
        <v>22</v>
      </c>
      <c r="Q39" s="3" t="str">
        <f t="shared" si="15"/>
        <v/>
      </c>
      <c r="R39" s="3" t="str">
        <f t="shared" si="84"/>
        <v/>
      </c>
      <c r="S39" s="3" t="str">
        <f t="shared" si="84"/>
        <v/>
      </c>
      <c r="T39" s="3" t="str">
        <f t="shared" si="84"/>
        <v/>
      </c>
      <c r="U39" s="3" t="str">
        <f t="shared" si="84"/>
        <v>X</v>
      </c>
      <c r="V39" s="3" t="str">
        <f t="shared" si="84"/>
        <v>X</v>
      </c>
      <c r="W39" s="3" t="str">
        <f t="shared" si="84"/>
        <v>X</v>
      </c>
      <c r="X39" s="3" t="str">
        <f t="shared" si="84"/>
        <v>X</v>
      </c>
      <c r="Y39" s="3" t="str">
        <f t="shared" si="84"/>
        <v>X</v>
      </c>
      <c r="Z39" s="3" t="str">
        <f t="shared" si="84"/>
        <v>X</v>
      </c>
      <c r="AA39" s="3" t="str">
        <f t="shared" si="84"/>
        <v/>
      </c>
      <c r="AB39" s="3" t="str">
        <f t="shared" si="84"/>
        <v/>
      </c>
      <c r="AC39" s="3" t="str">
        <f t="shared" si="84"/>
        <v/>
      </c>
      <c r="AD39" s="3" t="str">
        <f t="shared" si="84"/>
        <v/>
      </c>
      <c r="AE39" s="3" t="str">
        <f t="shared" si="84"/>
        <v/>
      </c>
      <c r="AF39" s="3" t="str">
        <f t="shared" si="84"/>
        <v/>
      </c>
      <c r="AG39" s="3" t="str">
        <f t="shared" si="84"/>
        <v/>
      </c>
      <c r="AH39" s="3" t="str">
        <f t="shared" si="83"/>
        <v/>
      </c>
      <c r="AI39" s="3" t="str">
        <f t="shared" si="83"/>
        <v/>
      </c>
      <c r="AJ39" s="3" t="str">
        <f t="shared" si="83"/>
        <v/>
      </c>
      <c r="AK39" s="3" t="str">
        <f t="shared" si="83"/>
        <v/>
      </c>
      <c r="AL39" s="3" t="str">
        <f t="shared" si="83"/>
        <v/>
      </c>
      <c r="AM39" s="3" t="str">
        <f t="shared" si="83"/>
        <v/>
      </c>
      <c r="AN39" s="3" t="str">
        <f t="shared" si="83"/>
        <v/>
      </c>
      <c r="AO39" s="3" t="str">
        <f t="shared" si="83"/>
        <v/>
      </c>
      <c r="AP39" s="3" t="str">
        <f t="shared" si="83"/>
        <v/>
      </c>
      <c r="AQ39" s="3" t="str">
        <f t="shared" si="83"/>
        <v/>
      </c>
      <c r="AR39" s="3" t="str">
        <f t="shared" si="83"/>
        <v/>
      </c>
      <c r="AS39" s="3" t="str">
        <f t="shared" si="83"/>
        <v/>
      </c>
      <c r="AT39" s="3" t="str">
        <f t="shared" si="83"/>
        <v/>
      </c>
      <c r="AU39" s="3" t="str">
        <f t="shared" si="83"/>
        <v/>
      </c>
      <c r="AV39" s="3" t="str">
        <f t="shared" si="83"/>
        <v/>
      </c>
      <c r="AW39" s="3" t="str">
        <f t="shared" si="16"/>
        <v>X</v>
      </c>
      <c r="AX39" s="3" t="str">
        <f t="shared" si="17"/>
        <v>X</v>
      </c>
      <c r="AY39" s="3" t="str">
        <f t="shared" si="18"/>
        <v/>
      </c>
      <c r="AZ39" s="3" t="str">
        <f t="shared" si="19"/>
        <v/>
      </c>
      <c r="BA39" s="3">
        <f t="shared" si="63"/>
        <v>44</v>
      </c>
      <c r="BB39" s="3">
        <f t="shared" si="64"/>
        <v>45</v>
      </c>
      <c r="BC39" s="3" t="str">
        <f t="shared" si="65"/>
        <v/>
      </c>
      <c r="BD39" s="3" t="str">
        <f t="shared" si="66"/>
        <v/>
      </c>
      <c r="BE39" s="9" t="str">
        <f t="shared" si="67"/>
        <v>02C</v>
      </c>
      <c r="BF39" s="9" t="str">
        <f t="shared" si="68"/>
        <v>02D</v>
      </c>
      <c r="BG39" s="9" t="str">
        <f t="shared" si="69"/>
        <v/>
      </c>
      <c r="BH39" s="9" t="str">
        <f t="shared" si="70"/>
        <v/>
      </c>
      <c r="BI39" s="3" t="str">
        <f t="shared" si="71"/>
        <v>(3 downto 0)</v>
      </c>
      <c r="BJ39" s="3" t="str">
        <f t="shared" si="72"/>
        <v>(7 downto 6)</v>
      </c>
      <c r="BK39" s="3" t="str">
        <f t="shared" si="73"/>
        <v/>
      </c>
      <c r="BL39" s="3" t="str">
        <f t="shared" si="74"/>
        <v/>
      </c>
      <c r="BM39" s="3">
        <f t="shared" si="75"/>
        <v>5</v>
      </c>
      <c r="BN39" s="3">
        <f t="shared" si="76"/>
        <v>1</v>
      </c>
      <c r="BO39" s="3" t="str">
        <f t="shared" si="77"/>
        <v/>
      </c>
      <c r="BP39" s="3" t="str">
        <f t="shared" si="78"/>
        <v/>
      </c>
      <c r="BQ39" s="3" t="str">
        <f t="shared" si="79"/>
        <v>(5 downto 2)</v>
      </c>
      <c r="BR39" s="3" t="str">
        <f t="shared" si="80"/>
        <v>(1 downto 0)</v>
      </c>
      <c r="BS39" s="3" t="str">
        <f t="shared" si="81"/>
        <v/>
      </c>
      <c r="BT39" s="3" t="str">
        <f t="shared" si="82"/>
        <v/>
      </c>
    </row>
    <row r="40" spans="2:72" x14ac:dyDescent="0.25">
      <c r="B40" s="3" t="s">
        <v>319</v>
      </c>
      <c r="C40" s="3" t="s">
        <v>371</v>
      </c>
      <c r="D40" s="3" t="s">
        <v>1</v>
      </c>
      <c r="E40" s="3" t="s">
        <v>1062</v>
      </c>
      <c r="F40" s="3" t="s">
        <v>87</v>
      </c>
      <c r="G40" s="3" t="s">
        <v>276</v>
      </c>
      <c r="H40" s="3" t="s">
        <v>165</v>
      </c>
      <c r="I40" s="3" t="s">
        <v>24</v>
      </c>
      <c r="J40" s="3">
        <v>4</v>
      </c>
      <c r="K40" s="3" t="s">
        <v>298</v>
      </c>
      <c r="L40" s="3" t="s">
        <v>23</v>
      </c>
      <c r="M40" s="3">
        <v>11</v>
      </c>
      <c r="N40" s="3" t="str">
        <f t="shared" si="14"/>
        <v>00B</v>
      </c>
      <c r="O40" s="3">
        <v>31</v>
      </c>
      <c r="P40" s="3">
        <v>28</v>
      </c>
      <c r="Q40" s="3" t="str">
        <f t="shared" si="15"/>
        <v>X</v>
      </c>
      <c r="R40" s="3" t="str">
        <f t="shared" si="84"/>
        <v>X</v>
      </c>
      <c r="S40" s="3" t="str">
        <f t="shared" si="84"/>
        <v>X</v>
      </c>
      <c r="T40" s="3" t="str">
        <f t="shared" si="84"/>
        <v>X</v>
      </c>
      <c r="U40" s="3" t="str">
        <f t="shared" si="84"/>
        <v/>
      </c>
      <c r="V40" s="3" t="str">
        <f t="shared" si="84"/>
        <v/>
      </c>
      <c r="W40" s="3" t="str">
        <f t="shared" si="84"/>
        <v/>
      </c>
      <c r="X40" s="3" t="str">
        <f t="shared" si="84"/>
        <v/>
      </c>
      <c r="Y40" s="3" t="str">
        <f t="shared" si="84"/>
        <v/>
      </c>
      <c r="Z40" s="3" t="str">
        <f t="shared" si="84"/>
        <v/>
      </c>
      <c r="AA40" s="3" t="str">
        <f t="shared" si="84"/>
        <v/>
      </c>
      <c r="AB40" s="3" t="str">
        <f t="shared" si="84"/>
        <v/>
      </c>
      <c r="AC40" s="3" t="str">
        <f t="shared" si="84"/>
        <v/>
      </c>
      <c r="AD40" s="3" t="str">
        <f t="shared" si="84"/>
        <v/>
      </c>
      <c r="AE40" s="3" t="str">
        <f t="shared" si="84"/>
        <v/>
      </c>
      <c r="AF40" s="3" t="str">
        <f t="shared" si="84"/>
        <v/>
      </c>
      <c r="AG40" s="3" t="str">
        <f t="shared" si="84"/>
        <v/>
      </c>
      <c r="AH40" s="3" t="str">
        <f t="shared" si="83"/>
        <v/>
      </c>
      <c r="AI40" s="3" t="str">
        <f t="shared" si="83"/>
        <v/>
      </c>
      <c r="AJ40" s="3" t="str">
        <f t="shared" si="83"/>
        <v/>
      </c>
      <c r="AK40" s="3" t="str">
        <f t="shared" si="83"/>
        <v/>
      </c>
      <c r="AL40" s="3" t="str">
        <f t="shared" si="83"/>
        <v/>
      </c>
      <c r="AM40" s="3" t="str">
        <f t="shared" si="83"/>
        <v/>
      </c>
      <c r="AN40" s="3" t="str">
        <f t="shared" si="83"/>
        <v/>
      </c>
      <c r="AO40" s="3" t="str">
        <f t="shared" si="83"/>
        <v/>
      </c>
      <c r="AP40" s="3" t="str">
        <f t="shared" si="83"/>
        <v/>
      </c>
      <c r="AQ40" s="3" t="str">
        <f t="shared" si="83"/>
        <v/>
      </c>
      <c r="AR40" s="3" t="str">
        <f t="shared" si="83"/>
        <v/>
      </c>
      <c r="AS40" s="3" t="str">
        <f t="shared" si="83"/>
        <v/>
      </c>
      <c r="AT40" s="3" t="str">
        <f t="shared" si="83"/>
        <v/>
      </c>
      <c r="AU40" s="3" t="str">
        <f t="shared" si="83"/>
        <v/>
      </c>
      <c r="AV40" s="3" t="str">
        <f t="shared" si="83"/>
        <v/>
      </c>
      <c r="AW40" s="3" t="str">
        <f t="shared" si="16"/>
        <v>X</v>
      </c>
      <c r="AX40" s="3" t="str">
        <f t="shared" si="17"/>
        <v/>
      </c>
      <c r="AY40" s="3" t="str">
        <f t="shared" si="18"/>
        <v/>
      </c>
      <c r="AZ40" s="3" t="str">
        <f t="shared" si="19"/>
        <v/>
      </c>
      <c r="BA40" s="3">
        <f t="shared" si="63"/>
        <v>44</v>
      </c>
      <c r="BB40" s="3" t="str">
        <f t="shared" si="64"/>
        <v/>
      </c>
      <c r="BC40" s="3" t="str">
        <f t="shared" si="65"/>
        <v/>
      </c>
      <c r="BD40" s="3" t="str">
        <f t="shared" si="66"/>
        <v/>
      </c>
      <c r="BE40" s="9" t="str">
        <f t="shared" si="67"/>
        <v>02C</v>
      </c>
      <c r="BF40" s="9" t="str">
        <f t="shared" si="68"/>
        <v/>
      </c>
      <c r="BG40" s="9" t="str">
        <f t="shared" si="69"/>
        <v/>
      </c>
      <c r="BH40" s="9" t="str">
        <f t="shared" si="70"/>
        <v/>
      </c>
      <c r="BI40" s="3" t="str">
        <f t="shared" si="71"/>
        <v>(7 downto 4)</v>
      </c>
      <c r="BJ40" s="3" t="str">
        <f t="shared" si="72"/>
        <v/>
      </c>
      <c r="BK40" s="3" t="str">
        <f t="shared" si="73"/>
        <v/>
      </c>
      <c r="BL40" s="3" t="str">
        <f t="shared" si="74"/>
        <v/>
      </c>
      <c r="BM40" s="3">
        <f t="shared" si="75"/>
        <v>3</v>
      </c>
      <c r="BN40" s="3" t="str">
        <f t="shared" si="76"/>
        <v/>
      </c>
      <c r="BO40" s="3" t="str">
        <f t="shared" si="77"/>
        <v/>
      </c>
      <c r="BP40" s="3" t="str">
        <f t="shared" si="78"/>
        <v/>
      </c>
      <c r="BQ40" s="3" t="str">
        <f t="shared" si="79"/>
        <v/>
      </c>
      <c r="BR40" s="3" t="str">
        <f t="shared" si="80"/>
        <v/>
      </c>
      <c r="BS40" s="3" t="str">
        <f t="shared" si="81"/>
        <v/>
      </c>
      <c r="BT40" s="3" t="str">
        <f t="shared" si="82"/>
        <v/>
      </c>
    </row>
    <row r="41" spans="2:72" x14ac:dyDescent="0.25">
      <c r="B41" s="3" t="s">
        <v>320</v>
      </c>
      <c r="C41" s="3" t="s">
        <v>407</v>
      </c>
      <c r="D41" s="3" t="s">
        <v>1</v>
      </c>
      <c r="E41" s="3" t="s">
        <v>1062</v>
      </c>
      <c r="F41" s="3" t="s">
        <v>88</v>
      </c>
      <c r="G41" s="3" t="s">
        <v>277</v>
      </c>
      <c r="H41" s="3" t="s">
        <v>166</v>
      </c>
      <c r="I41" s="3" t="s">
        <v>24</v>
      </c>
      <c r="J41" s="3">
        <v>32</v>
      </c>
      <c r="K41" s="3" t="s">
        <v>296</v>
      </c>
      <c r="L41" s="3" t="s">
        <v>23</v>
      </c>
      <c r="M41" s="3">
        <v>12</v>
      </c>
      <c r="N41" s="3" t="str">
        <f t="shared" si="14"/>
        <v>00C</v>
      </c>
      <c r="O41" s="3">
        <v>31</v>
      </c>
      <c r="P41" s="3">
        <v>0</v>
      </c>
      <c r="Q41" s="3" t="str">
        <f t="shared" si="15"/>
        <v>X</v>
      </c>
      <c r="R41" s="3" t="str">
        <f t="shared" si="84"/>
        <v>X</v>
      </c>
      <c r="S41" s="3" t="str">
        <f t="shared" si="84"/>
        <v>X</v>
      </c>
      <c r="T41" s="3" t="str">
        <f t="shared" si="84"/>
        <v>X</v>
      </c>
      <c r="U41" s="3" t="str">
        <f t="shared" si="84"/>
        <v>X</v>
      </c>
      <c r="V41" s="3" t="str">
        <f t="shared" si="84"/>
        <v>X</v>
      </c>
      <c r="W41" s="3" t="str">
        <f t="shared" si="84"/>
        <v>X</v>
      </c>
      <c r="X41" s="3" t="str">
        <f t="shared" si="84"/>
        <v>X</v>
      </c>
      <c r="Y41" s="3" t="str">
        <f t="shared" si="84"/>
        <v>X</v>
      </c>
      <c r="Z41" s="3" t="str">
        <f t="shared" si="84"/>
        <v>X</v>
      </c>
      <c r="AA41" s="3" t="str">
        <f t="shared" si="84"/>
        <v>X</v>
      </c>
      <c r="AB41" s="3" t="str">
        <f t="shared" si="84"/>
        <v>X</v>
      </c>
      <c r="AC41" s="3" t="str">
        <f t="shared" si="84"/>
        <v>X</v>
      </c>
      <c r="AD41" s="3" t="str">
        <f t="shared" si="84"/>
        <v>X</v>
      </c>
      <c r="AE41" s="3" t="str">
        <f t="shared" si="84"/>
        <v>X</v>
      </c>
      <c r="AF41" s="3" t="str">
        <f t="shared" si="84"/>
        <v>X</v>
      </c>
      <c r="AG41" s="3" t="str">
        <f t="shared" si="84"/>
        <v>X</v>
      </c>
      <c r="AH41" s="3" t="str">
        <f t="shared" ref="AH41:AV104" si="85">IF(AND($O41&gt;=AH$3,AH$3&gt;=$P41),"X","")</f>
        <v>X</v>
      </c>
      <c r="AI41" s="3" t="str">
        <f t="shared" si="85"/>
        <v>X</v>
      </c>
      <c r="AJ41" s="3" t="str">
        <f t="shared" si="85"/>
        <v>X</v>
      </c>
      <c r="AK41" s="3" t="str">
        <f t="shared" si="85"/>
        <v>X</v>
      </c>
      <c r="AL41" s="3" t="str">
        <f t="shared" si="85"/>
        <v>X</v>
      </c>
      <c r="AM41" s="3" t="str">
        <f t="shared" si="85"/>
        <v>X</v>
      </c>
      <c r="AN41" s="3" t="str">
        <f t="shared" si="85"/>
        <v>X</v>
      </c>
      <c r="AO41" s="3" t="str">
        <f t="shared" si="85"/>
        <v>X</v>
      </c>
      <c r="AP41" s="3" t="str">
        <f t="shared" si="85"/>
        <v>X</v>
      </c>
      <c r="AQ41" s="3" t="str">
        <f t="shared" si="85"/>
        <v>X</v>
      </c>
      <c r="AR41" s="3" t="str">
        <f t="shared" si="85"/>
        <v>X</v>
      </c>
      <c r="AS41" s="3" t="str">
        <f t="shared" si="85"/>
        <v>X</v>
      </c>
      <c r="AT41" s="3" t="str">
        <f t="shared" si="85"/>
        <v>X</v>
      </c>
      <c r="AU41" s="3" t="str">
        <f t="shared" si="85"/>
        <v>X</v>
      </c>
      <c r="AV41" s="3" t="str">
        <f t="shared" si="85"/>
        <v>X</v>
      </c>
      <c r="AW41" s="3" t="str">
        <f t="shared" si="16"/>
        <v>X</v>
      </c>
      <c r="AX41" s="3" t="str">
        <f t="shared" si="17"/>
        <v>X</v>
      </c>
      <c r="AY41" s="3" t="str">
        <f t="shared" si="18"/>
        <v>X</v>
      </c>
      <c r="AZ41" s="3" t="str">
        <f t="shared" si="19"/>
        <v>X</v>
      </c>
      <c r="BA41" s="3">
        <f t="shared" si="63"/>
        <v>48</v>
      </c>
      <c r="BB41" s="3">
        <f t="shared" si="64"/>
        <v>49</v>
      </c>
      <c r="BC41" s="3">
        <f t="shared" si="65"/>
        <v>50</v>
      </c>
      <c r="BD41" s="3">
        <f t="shared" si="66"/>
        <v>51</v>
      </c>
      <c r="BE41" s="9" t="str">
        <f t="shared" si="67"/>
        <v>030</v>
      </c>
      <c r="BF41" s="9" t="str">
        <f t="shared" si="68"/>
        <v>031</v>
      </c>
      <c r="BG41" s="9" t="str">
        <f t="shared" si="69"/>
        <v>032</v>
      </c>
      <c r="BH41" s="9" t="str">
        <f t="shared" si="70"/>
        <v>033</v>
      </c>
      <c r="BI41" s="3" t="str">
        <f t="shared" si="71"/>
        <v/>
      </c>
      <c r="BJ41" s="3" t="str">
        <f t="shared" si="72"/>
        <v/>
      </c>
      <c r="BK41" s="3" t="str">
        <f t="shared" si="73"/>
        <v/>
      </c>
      <c r="BL41" s="3" t="str">
        <f t="shared" si="74"/>
        <v/>
      </c>
      <c r="BM41" s="3">
        <f t="shared" si="75"/>
        <v>31</v>
      </c>
      <c r="BN41" s="3">
        <f t="shared" si="76"/>
        <v>23</v>
      </c>
      <c r="BO41" s="3">
        <f t="shared" si="77"/>
        <v>15</v>
      </c>
      <c r="BP41" s="3">
        <f t="shared" si="78"/>
        <v>7</v>
      </c>
      <c r="BQ41" s="3" t="str">
        <f t="shared" si="79"/>
        <v>(31 downto 24)</v>
      </c>
      <c r="BR41" s="3" t="str">
        <f t="shared" si="80"/>
        <v>(23 downto 16)</v>
      </c>
      <c r="BS41" s="3" t="str">
        <f t="shared" si="81"/>
        <v>(15 downto 8)</v>
      </c>
      <c r="BT41" s="3" t="str">
        <f t="shared" si="82"/>
        <v>(7 downto 0)</v>
      </c>
    </row>
    <row r="42" spans="2:72" x14ac:dyDescent="0.25">
      <c r="B42" s="3" t="s">
        <v>321</v>
      </c>
      <c r="C42" s="3" t="s">
        <v>408</v>
      </c>
      <c r="D42" s="3" t="s">
        <v>1</v>
      </c>
      <c r="E42" s="3" t="s">
        <v>1062</v>
      </c>
      <c r="F42" s="3" t="s">
        <v>89</v>
      </c>
      <c r="G42" s="3" t="s">
        <v>278</v>
      </c>
      <c r="H42" s="3" t="s">
        <v>167</v>
      </c>
      <c r="I42" s="3" t="s">
        <v>24</v>
      </c>
      <c r="J42" s="3">
        <v>32</v>
      </c>
      <c r="K42" s="3" t="s">
        <v>296</v>
      </c>
      <c r="L42" s="3" t="s">
        <v>23</v>
      </c>
      <c r="M42" s="3">
        <v>13</v>
      </c>
      <c r="N42" s="3" t="str">
        <f t="shared" si="14"/>
        <v>00D</v>
      </c>
      <c r="O42" s="3">
        <v>31</v>
      </c>
      <c r="P42" s="3">
        <v>0</v>
      </c>
      <c r="Q42" s="3" t="str">
        <f t="shared" si="15"/>
        <v>X</v>
      </c>
      <c r="R42" s="3" t="str">
        <f t="shared" si="84"/>
        <v>X</v>
      </c>
      <c r="S42" s="3" t="str">
        <f t="shared" si="84"/>
        <v>X</v>
      </c>
      <c r="T42" s="3" t="str">
        <f t="shared" si="84"/>
        <v>X</v>
      </c>
      <c r="U42" s="3" t="str">
        <f t="shared" si="84"/>
        <v>X</v>
      </c>
      <c r="V42" s="3" t="str">
        <f t="shared" si="84"/>
        <v>X</v>
      </c>
      <c r="W42" s="3" t="str">
        <f t="shared" si="84"/>
        <v>X</v>
      </c>
      <c r="X42" s="3" t="str">
        <f t="shared" si="84"/>
        <v>X</v>
      </c>
      <c r="Y42" s="3" t="str">
        <f t="shared" si="84"/>
        <v>X</v>
      </c>
      <c r="Z42" s="3" t="str">
        <f t="shared" si="84"/>
        <v>X</v>
      </c>
      <c r="AA42" s="3" t="str">
        <f t="shared" si="84"/>
        <v>X</v>
      </c>
      <c r="AB42" s="3" t="str">
        <f t="shared" si="84"/>
        <v>X</v>
      </c>
      <c r="AC42" s="3" t="str">
        <f t="shared" si="84"/>
        <v>X</v>
      </c>
      <c r="AD42" s="3" t="str">
        <f t="shared" si="84"/>
        <v>X</v>
      </c>
      <c r="AE42" s="3" t="str">
        <f t="shared" si="84"/>
        <v>X</v>
      </c>
      <c r="AF42" s="3" t="str">
        <f t="shared" si="84"/>
        <v>X</v>
      </c>
      <c r="AG42" s="3" t="str">
        <f t="shared" si="84"/>
        <v>X</v>
      </c>
      <c r="AH42" s="3" t="str">
        <f t="shared" si="85"/>
        <v>X</v>
      </c>
      <c r="AI42" s="3" t="str">
        <f t="shared" si="85"/>
        <v>X</v>
      </c>
      <c r="AJ42" s="3" t="str">
        <f t="shared" si="85"/>
        <v>X</v>
      </c>
      <c r="AK42" s="3" t="str">
        <f t="shared" si="85"/>
        <v>X</v>
      </c>
      <c r="AL42" s="3" t="str">
        <f t="shared" si="85"/>
        <v>X</v>
      </c>
      <c r="AM42" s="3" t="str">
        <f t="shared" si="85"/>
        <v>X</v>
      </c>
      <c r="AN42" s="3" t="str">
        <f t="shared" si="85"/>
        <v>X</v>
      </c>
      <c r="AO42" s="3" t="str">
        <f t="shared" si="85"/>
        <v>X</v>
      </c>
      <c r="AP42" s="3" t="str">
        <f t="shared" si="85"/>
        <v>X</v>
      </c>
      <c r="AQ42" s="3" t="str">
        <f t="shared" si="85"/>
        <v>X</v>
      </c>
      <c r="AR42" s="3" t="str">
        <f t="shared" si="85"/>
        <v>X</v>
      </c>
      <c r="AS42" s="3" t="str">
        <f t="shared" si="85"/>
        <v>X</v>
      </c>
      <c r="AT42" s="3" t="str">
        <f t="shared" si="85"/>
        <v>X</v>
      </c>
      <c r="AU42" s="3" t="str">
        <f t="shared" si="85"/>
        <v>X</v>
      </c>
      <c r="AV42" s="3" t="str">
        <f t="shared" si="85"/>
        <v>X</v>
      </c>
      <c r="AW42" s="3" t="str">
        <f t="shared" si="16"/>
        <v>X</v>
      </c>
      <c r="AX42" s="3" t="str">
        <f t="shared" si="17"/>
        <v>X</v>
      </c>
      <c r="AY42" s="3" t="str">
        <f t="shared" si="18"/>
        <v>X</v>
      </c>
      <c r="AZ42" s="3" t="str">
        <f t="shared" si="19"/>
        <v>X</v>
      </c>
      <c r="BA42" s="3">
        <f t="shared" si="63"/>
        <v>52</v>
      </c>
      <c r="BB42" s="3">
        <f t="shared" si="64"/>
        <v>53</v>
      </c>
      <c r="BC42" s="3">
        <f t="shared" si="65"/>
        <v>54</v>
      </c>
      <c r="BD42" s="3">
        <f t="shared" si="66"/>
        <v>55</v>
      </c>
      <c r="BE42" s="9" t="str">
        <f t="shared" si="67"/>
        <v>034</v>
      </c>
      <c r="BF42" s="9" t="str">
        <f t="shared" si="68"/>
        <v>035</v>
      </c>
      <c r="BG42" s="9" t="str">
        <f t="shared" si="69"/>
        <v>036</v>
      </c>
      <c r="BH42" s="9" t="str">
        <f t="shared" si="70"/>
        <v>037</v>
      </c>
      <c r="BI42" s="3" t="str">
        <f t="shared" si="71"/>
        <v/>
      </c>
      <c r="BJ42" s="3" t="str">
        <f t="shared" si="72"/>
        <v/>
      </c>
      <c r="BK42" s="3" t="str">
        <f t="shared" si="73"/>
        <v/>
      </c>
      <c r="BL42" s="3" t="str">
        <f t="shared" si="74"/>
        <v/>
      </c>
      <c r="BM42" s="3">
        <f t="shared" si="75"/>
        <v>31</v>
      </c>
      <c r="BN42" s="3">
        <f t="shared" si="76"/>
        <v>23</v>
      </c>
      <c r="BO42" s="3">
        <f t="shared" si="77"/>
        <v>15</v>
      </c>
      <c r="BP42" s="3">
        <f t="shared" si="78"/>
        <v>7</v>
      </c>
      <c r="BQ42" s="3" t="str">
        <f t="shared" si="79"/>
        <v>(31 downto 24)</v>
      </c>
      <c r="BR42" s="3" t="str">
        <f t="shared" si="80"/>
        <v>(23 downto 16)</v>
      </c>
      <c r="BS42" s="3" t="str">
        <f t="shared" si="81"/>
        <v>(15 downto 8)</v>
      </c>
      <c r="BT42" s="3" t="str">
        <f t="shared" si="82"/>
        <v>(7 downto 0)</v>
      </c>
    </row>
    <row r="43" spans="2:72" x14ac:dyDescent="0.25">
      <c r="B43" s="3" t="s">
        <v>322</v>
      </c>
      <c r="C43" s="3" t="s">
        <v>409</v>
      </c>
      <c r="D43" s="3" t="s">
        <v>1</v>
      </c>
      <c r="E43" s="3" t="s">
        <v>1062</v>
      </c>
      <c r="F43" s="3" t="s">
        <v>90</v>
      </c>
      <c r="G43" s="3" t="s">
        <v>279</v>
      </c>
      <c r="H43" s="3" t="s">
        <v>168</v>
      </c>
      <c r="I43" s="3" t="s">
        <v>24</v>
      </c>
      <c r="J43" s="3">
        <v>16</v>
      </c>
      <c r="K43" s="3" t="s">
        <v>59</v>
      </c>
      <c r="L43" s="3" t="s">
        <v>23</v>
      </c>
      <c r="M43" s="3">
        <v>14</v>
      </c>
      <c r="N43" s="3" t="str">
        <f t="shared" si="14"/>
        <v>00E</v>
      </c>
      <c r="O43" s="3">
        <v>15</v>
      </c>
      <c r="P43" s="3">
        <v>0</v>
      </c>
      <c r="Q43" s="3" t="str">
        <f t="shared" si="15"/>
        <v/>
      </c>
      <c r="R43" s="3" t="str">
        <f t="shared" si="84"/>
        <v/>
      </c>
      <c r="S43" s="3" t="str">
        <f t="shared" si="84"/>
        <v/>
      </c>
      <c r="T43" s="3" t="str">
        <f t="shared" si="84"/>
        <v/>
      </c>
      <c r="U43" s="3" t="str">
        <f t="shared" si="84"/>
        <v/>
      </c>
      <c r="V43" s="3" t="str">
        <f t="shared" si="84"/>
        <v/>
      </c>
      <c r="W43" s="3" t="str">
        <f t="shared" si="84"/>
        <v/>
      </c>
      <c r="X43" s="3" t="str">
        <f t="shared" si="84"/>
        <v/>
      </c>
      <c r="Y43" s="3" t="str">
        <f t="shared" si="84"/>
        <v/>
      </c>
      <c r="Z43" s="3" t="str">
        <f t="shared" si="84"/>
        <v/>
      </c>
      <c r="AA43" s="3" t="str">
        <f t="shared" si="84"/>
        <v/>
      </c>
      <c r="AB43" s="3" t="str">
        <f t="shared" si="84"/>
        <v/>
      </c>
      <c r="AC43" s="3" t="str">
        <f t="shared" si="84"/>
        <v/>
      </c>
      <c r="AD43" s="3" t="str">
        <f t="shared" si="84"/>
        <v/>
      </c>
      <c r="AE43" s="3" t="str">
        <f t="shared" si="84"/>
        <v/>
      </c>
      <c r="AF43" s="3" t="str">
        <f t="shared" si="84"/>
        <v/>
      </c>
      <c r="AG43" s="3" t="str">
        <f t="shared" si="84"/>
        <v>X</v>
      </c>
      <c r="AH43" s="3" t="str">
        <f t="shared" si="85"/>
        <v>X</v>
      </c>
      <c r="AI43" s="3" t="str">
        <f t="shared" si="85"/>
        <v>X</v>
      </c>
      <c r="AJ43" s="3" t="str">
        <f t="shared" si="85"/>
        <v>X</v>
      </c>
      <c r="AK43" s="3" t="str">
        <f t="shared" si="85"/>
        <v>X</v>
      </c>
      <c r="AL43" s="3" t="str">
        <f t="shared" si="85"/>
        <v>X</v>
      </c>
      <c r="AM43" s="3" t="str">
        <f t="shared" si="85"/>
        <v>X</v>
      </c>
      <c r="AN43" s="3" t="str">
        <f t="shared" si="85"/>
        <v>X</v>
      </c>
      <c r="AO43" s="3" t="str">
        <f t="shared" si="85"/>
        <v>X</v>
      </c>
      <c r="AP43" s="3" t="str">
        <f t="shared" si="85"/>
        <v>X</v>
      </c>
      <c r="AQ43" s="3" t="str">
        <f t="shared" si="85"/>
        <v>X</v>
      </c>
      <c r="AR43" s="3" t="str">
        <f t="shared" si="85"/>
        <v>X</v>
      </c>
      <c r="AS43" s="3" t="str">
        <f t="shared" si="85"/>
        <v>X</v>
      </c>
      <c r="AT43" s="3" t="str">
        <f t="shared" si="85"/>
        <v>X</v>
      </c>
      <c r="AU43" s="3" t="str">
        <f t="shared" si="85"/>
        <v>X</v>
      </c>
      <c r="AV43" s="3" t="str">
        <f t="shared" si="85"/>
        <v>X</v>
      </c>
      <c r="AW43" s="3" t="str">
        <f t="shared" si="16"/>
        <v/>
      </c>
      <c r="AX43" s="3" t="str">
        <f t="shared" si="17"/>
        <v/>
      </c>
      <c r="AY43" s="3" t="str">
        <f t="shared" si="18"/>
        <v>X</v>
      </c>
      <c r="AZ43" s="3" t="str">
        <f t="shared" si="19"/>
        <v>X</v>
      </c>
      <c r="BA43" s="3" t="str">
        <f t="shared" si="63"/>
        <v/>
      </c>
      <c r="BB43" s="3" t="str">
        <f t="shared" si="64"/>
        <v/>
      </c>
      <c r="BC43" s="3">
        <f t="shared" si="65"/>
        <v>58</v>
      </c>
      <c r="BD43" s="3">
        <f t="shared" si="66"/>
        <v>59</v>
      </c>
      <c r="BE43" s="9" t="str">
        <f t="shared" si="67"/>
        <v/>
      </c>
      <c r="BF43" s="9" t="str">
        <f t="shared" si="68"/>
        <v/>
      </c>
      <c r="BG43" s="9" t="str">
        <f t="shared" si="69"/>
        <v>03A</v>
      </c>
      <c r="BH43" s="9" t="str">
        <f t="shared" si="70"/>
        <v>03B</v>
      </c>
      <c r="BI43" s="3" t="str">
        <f t="shared" si="71"/>
        <v/>
      </c>
      <c r="BJ43" s="3" t="str">
        <f t="shared" si="72"/>
        <v/>
      </c>
      <c r="BK43" s="3" t="str">
        <f t="shared" si="73"/>
        <v/>
      </c>
      <c r="BL43" s="3" t="str">
        <f t="shared" si="74"/>
        <v/>
      </c>
      <c r="BM43" s="3" t="str">
        <f t="shared" si="75"/>
        <v/>
      </c>
      <c r="BN43" s="3" t="str">
        <f t="shared" si="76"/>
        <v/>
      </c>
      <c r="BO43" s="3">
        <f t="shared" si="77"/>
        <v>15</v>
      </c>
      <c r="BP43" s="3">
        <f t="shared" si="78"/>
        <v>7</v>
      </c>
      <c r="BQ43" s="3" t="str">
        <f t="shared" si="79"/>
        <v/>
      </c>
      <c r="BR43" s="3" t="str">
        <f t="shared" si="80"/>
        <v/>
      </c>
      <c r="BS43" s="3" t="str">
        <f t="shared" si="81"/>
        <v>(15 downto 8)</v>
      </c>
      <c r="BT43" s="3" t="str">
        <f t="shared" si="82"/>
        <v>(7 downto 0)</v>
      </c>
    </row>
    <row r="44" spans="2:72" x14ac:dyDescent="0.25">
      <c r="B44" s="3" t="s">
        <v>322</v>
      </c>
      <c r="C44" s="3" t="s">
        <v>410</v>
      </c>
      <c r="D44" s="3" t="s">
        <v>1</v>
      </c>
      <c r="E44" s="3" t="s">
        <v>1062</v>
      </c>
      <c r="F44" s="3" t="s">
        <v>90</v>
      </c>
      <c r="G44" s="3" t="s">
        <v>279</v>
      </c>
      <c r="H44" s="3" t="s">
        <v>169</v>
      </c>
      <c r="I44" s="3" t="s">
        <v>24</v>
      </c>
      <c r="J44" s="3">
        <v>6</v>
      </c>
      <c r="K44" s="3" t="s">
        <v>297</v>
      </c>
      <c r="L44" s="3" t="s">
        <v>23</v>
      </c>
      <c r="M44" s="3">
        <v>14</v>
      </c>
      <c r="N44" s="3" t="str">
        <f t="shared" si="14"/>
        <v>00E</v>
      </c>
      <c r="O44" s="3">
        <v>21</v>
      </c>
      <c r="P44" s="3">
        <v>16</v>
      </c>
      <c r="Q44" s="3" t="str">
        <f t="shared" si="15"/>
        <v/>
      </c>
      <c r="R44" s="3" t="str">
        <f t="shared" si="84"/>
        <v/>
      </c>
      <c r="S44" s="3" t="str">
        <f t="shared" si="84"/>
        <v/>
      </c>
      <c r="T44" s="3" t="str">
        <f t="shared" si="84"/>
        <v/>
      </c>
      <c r="U44" s="3" t="str">
        <f t="shared" si="84"/>
        <v/>
      </c>
      <c r="V44" s="3" t="str">
        <f t="shared" si="84"/>
        <v/>
      </c>
      <c r="W44" s="3" t="str">
        <f t="shared" si="84"/>
        <v/>
      </c>
      <c r="X44" s="3" t="str">
        <f t="shared" si="84"/>
        <v/>
      </c>
      <c r="Y44" s="3" t="str">
        <f t="shared" si="84"/>
        <v/>
      </c>
      <c r="Z44" s="3" t="str">
        <f t="shared" si="84"/>
        <v/>
      </c>
      <c r="AA44" s="3" t="str">
        <f t="shared" si="84"/>
        <v>X</v>
      </c>
      <c r="AB44" s="3" t="str">
        <f t="shared" si="84"/>
        <v>X</v>
      </c>
      <c r="AC44" s="3" t="str">
        <f t="shared" si="84"/>
        <v>X</v>
      </c>
      <c r="AD44" s="3" t="str">
        <f t="shared" si="84"/>
        <v>X</v>
      </c>
      <c r="AE44" s="3" t="str">
        <f t="shared" si="84"/>
        <v>X</v>
      </c>
      <c r="AF44" s="3" t="str">
        <f t="shared" si="84"/>
        <v>X</v>
      </c>
      <c r="AG44" s="3" t="str">
        <f t="shared" si="84"/>
        <v/>
      </c>
      <c r="AH44" s="3" t="str">
        <f t="shared" si="85"/>
        <v/>
      </c>
      <c r="AI44" s="3" t="str">
        <f t="shared" si="85"/>
        <v/>
      </c>
      <c r="AJ44" s="3" t="str">
        <f t="shared" si="85"/>
        <v/>
      </c>
      <c r="AK44" s="3" t="str">
        <f t="shared" si="85"/>
        <v/>
      </c>
      <c r="AL44" s="3" t="str">
        <f t="shared" si="85"/>
        <v/>
      </c>
      <c r="AM44" s="3" t="str">
        <f t="shared" si="85"/>
        <v/>
      </c>
      <c r="AN44" s="3" t="str">
        <f t="shared" si="85"/>
        <v/>
      </c>
      <c r="AO44" s="3" t="str">
        <f t="shared" si="85"/>
        <v/>
      </c>
      <c r="AP44" s="3" t="str">
        <f t="shared" si="85"/>
        <v/>
      </c>
      <c r="AQ44" s="3" t="str">
        <f t="shared" si="85"/>
        <v/>
      </c>
      <c r="AR44" s="3" t="str">
        <f t="shared" si="85"/>
        <v/>
      </c>
      <c r="AS44" s="3" t="str">
        <f t="shared" si="85"/>
        <v/>
      </c>
      <c r="AT44" s="3" t="str">
        <f t="shared" si="85"/>
        <v/>
      </c>
      <c r="AU44" s="3" t="str">
        <f t="shared" si="85"/>
        <v/>
      </c>
      <c r="AV44" s="3" t="str">
        <f t="shared" si="85"/>
        <v/>
      </c>
      <c r="AW44" s="3" t="str">
        <f t="shared" si="16"/>
        <v/>
      </c>
      <c r="AX44" s="3" t="str">
        <f t="shared" si="17"/>
        <v>X</v>
      </c>
      <c r="AY44" s="3" t="str">
        <f t="shared" si="18"/>
        <v/>
      </c>
      <c r="AZ44" s="3" t="str">
        <f t="shared" si="19"/>
        <v/>
      </c>
      <c r="BA44" s="3" t="str">
        <f t="shared" si="63"/>
        <v/>
      </c>
      <c r="BB44" s="3">
        <f t="shared" si="64"/>
        <v>57</v>
      </c>
      <c r="BC44" s="3" t="str">
        <f t="shared" si="65"/>
        <v/>
      </c>
      <c r="BD44" s="3" t="str">
        <f t="shared" si="66"/>
        <v/>
      </c>
      <c r="BE44" s="9" t="str">
        <f t="shared" si="67"/>
        <v/>
      </c>
      <c r="BF44" s="9" t="str">
        <f t="shared" si="68"/>
        <v>039</v>
      </c>
      <c r="BG44" s="9" t="str">
        <f t="shared" si="69"/>
        <v/>
      </c>
      <c r="BH44" s="9" t="str">
        <f t="shared" si="70"/>
        <v/>
      </c>
      <c r="BI44" s="3" t="str">
        <f t="shared" si="71"/>
        <v/>
      </c>
      <c r="BJ44" s="3" t="str">
        <f t="shared" si="72"/>
        <v>(5 downto 0)</v>
      </c>
      <c r="BK44" s="3" t="str">
        <f t="shared" si="73"/>
        <v/>
      </c>
      <c r="BL44" s="3" t="str">
        <f t="shared" si="74"/>
        <v/>
      </c>
      <c r="BM44" s="3" t="str">
        <f t="shared" si="75"/>
        <v/>
      </c>
      <c r="BN44" s="3">
        <f t="shared" si="76"/>
        <v>5</v>
      </c>
      <c r="BO44" s="3" t="str">
        <f t="shared" si="77"/>
        <v/>
      </c>
      <c r="BP44" s="3" t="str">
        <f t="shared" si="78"/>
        <v/>
      </c>
      <c r="BQ44" s="3" t="str">
        <f t="shared" si="79"/>
        <v/>
      </c>
      <c r="BR44" s="3" t="str">
        <f t="shared" si="80"/>
        <v/>
      </c>
      <c r="BS44" s="3" t="str">
        <f t="shared" si="81"/>
        <v/>
      </c>
      <c r="BT44" s="3" t="str">
        <f t="shared" si="82"/>
        <v/>
      </c>
    </row>
    <row r="45" spans="2:72" x14ac:dyDescent="0.25">
      <c r="B45" s="3" t="s">
        <v>322</v>
      </c>
      <c r="C45" s="3" t="s">
        <v>411</v>
      </c>
      <c r="D45" s="3" t="s">
        <v>1</v>
      </c>
      <c r="E45" s="3" t="s">
        <v>1062</v>
      </c>
      <c r="F45" s="3" t="s">
        <v>90</v>
      </c>
      <c r="G45" s="3" t="s">
        <v>279</v>
      </c>
      <c r="H45" s="3" t="s">
        <v>170</v>
      </c>
      <c r="I45" s="3" t="s">
        <v>24</v>
      </c>
      <c r="J45" s="3">
        <v>6</v>
      </c>
      <c r="K45" s="3" t="s">
        <v>297</v>
      </c>
      <c r="L45" s="3" t="s">
        <v>23</v>
      </c>
      <c r="M45" s="3">
        <v>14</v>
      </c>
      <c r="N45" s="3" t="str">
        <f t="shared" si="14"/>
        <v>00E</v>
      </c>
      <c r="O45" s="3">
        <v>27</v>
      </c>
      <c r="P45" s="3">
        <v>22</v>
      </c>
      <c r="Q45" s="3" t="str">
        <f t="shared" si="15"/>
        <v/>
      </c>
      <c r="R45" s="3" t="str">
        <f t="shared" si="84"/>
        <v/>
      </c>
      <c r="S45" s="3" t="str">
        <f t="shared" si="84"/>
        <v/>
      </c>
      <c r="T45" s="3" t="str">
        <f t="shared" si="84"/>
        <v/>
      </c>
      <c r="U45" s="3" t="str">
        <f t="shared" si="84"/>
        <v>X</v>
      </c>
      <c r="V45" s="3" t="str">
        <f t="shared" si="84"/>
        <v>X</v>
      </c>
      <c r="W45" s="3" t="str">
        <f t="shared" si="84"/>
        <v>X</v>
      </c>
      <c r="X45" s="3" t="str">
        <f t="shared" si="84"/>
        <v>X</v>
      </c>
      <c r="Y45" s="3" t="str">
        <f t="shared" si="84"/>
        <v>X</v>
      </c>
      <c r="Z45" s="3" t="str">
        <f t="shared" si="84"/>
        <v>X</v>
      </c>
      <c r="AA45" s="3" t="str">
        <f t="shared" si="84"/>
        <v/>
      </c>
      <c r="AB45" s="3" t="str">
        <f t="shared" si="84"/>
        <v/>
      </c>
      <c r="AC45" s="3" t="str">
        <f t="shared" si="84"/>
        <v/>
      </c>
      <c r="AD45" s="3" t="str">
        <f t="shared" si="84"/>
        <v/>
      </c>
      <c r="AE45" s="3" t="str">
        <f t="shared" si="84"/>
        <v/>
      </c>
      <c r="AF45" s="3" t="str">
        <f t="shared" si="84"/>
        <v/>
      </c>
      <c r="AG45" s="3" t="str">
        <f t="shared" si="84"/>
        <v/>
      </c>
      <c r="AH45" s="3" t="str">
        <f t="shared" si="85"/>
        <v/>
      </c>
      <c r="AI45" s="3" t="str">
        <f t="shared" si="85"/>
        <v/>
      </c>
      <c r="AJ45" s="3" t="str">
        <f t="shared" si="85"/>
        <v/>
      </c>
      <c r="AK45" s="3" t="str">
        <f t="shared" si="85"/>
        <v/>
      </c>
      <c r="AL45" s="3" t="str">
        <f t="shared" si="85"/>
        <v/>
      </c>
      <c r="AM45" s="3" t="str">
        <f t="shared" si="85"/>
        <v/>
      </c>
      <c r="AN45" s="3" t="str">
        <f t="shared" si="85"/>
        <v/>
      </c>
      <c r="AO45" s="3" t="str">
        <f t="shared" si="85"/>
        <v/>
      </c>
      <c r="AP45" s="3" t="str">
        <f t="shared" si="85"/>
        <v/>
      </c>
      <c r="AQ45" s="3" t="str">
        <f t="shared" si="85"/>
        <v/>
      </c>
      <c r="AR45" s="3" t="str">
        <f t="shared" si="85"/>
        <v/>
      </c>
      <c r="AS45" s="3" t="str">
        <f t="shared" si="85"/>
        <v/>
      </c>
      <c r="AT45" s="3" t="str">
        <f t="shared" si="85"/>
        <v/>
      </c>
      <c r="AU45" s="3" t="str">
        <f t="shared" si="85"/>
        <v/>
      </c>
      <c r="AV45" s="3" t="str">
        <f t="shared" si="85"/>
        <v/>
      </c>
      <c r="AW45" s="3" t="str">
        <f t="shared" si="16"/>
        <v>X</v>
      </c>
      <c r="AX45" s="3" t="str">
        <f t="shared" si="17"/>
        <v>X</v>
      </c>
      <c r="AY45" s="3" t="str">
        <f t="shared" si="18"/>
        <v/>
      </c>
      <c r="AZ45" s="3" t="str">
        <f t="shared" si="19"/>
        <v/>
      </c>
      <c r="BA45" s="3">
        <f t="shared" si="63"/>
        <v>56</v>
      </c>
      <c r="BB45" s="3">
        <f t="shared" si="64"/>
        <v>57</v>
      </c>
      <c r="BC45" s="3" t="str">
        <f t="shared" si="65"/>
        <v/>
      </c>
      <c r="BD45" s="3" t="str">
        <f t="shared" si="66"/>
        <v/>
      </c>
      <c r="BE45" s="9" t="str">
        <f t="shared" si="67"/>
        <v>038</v>
      </c>
      <c r="BF45" s="9" t="str">
        <f t="shared" si="68"/>
        <v>039</v>
      </c>
      <c r="BG45" s="9" t="str">
        <f t="shared" si="69"/>
        <v/>
      </c>
      <c r="BH45" s="9" t="str">
        <f t="shared" si="70"/>
        <v/>
      </c>
      <c r="BI45" s="3" t="str">
        <f t="shared" si="71"/>
        <v>(3 downto 0)</v>
      </c>
      <c r="BJ45" s="3" t="str">
        <f t="shared" si="72"/>
        <v>(7 downto 6)</v>
      </c>
      <c r="BK45" s="3" t="str">
        <f t="shared" si="73"/>
        <v/>
      </c>
      <c r="BL45" s="3" t="str">
        <f t="shared" si="74"/>
        <v/>
      </c>
      <c r="BM45" s="3">
        <f t="shared" si="75"/>
        <v>5</v>
      </c>
      <c r="BN45" s="3">
        <f t="shared" si="76"/>
        <v>1</v>
      </c>
      <c r="BO45" s="3" t="str">
        <f t="shared" si="77"/>
        <v/>
      </c>
      <c r="BP45" s="3" t="str">
        <f t="shared" si="78"/>
        <v/>
      </c>
      <c r="BQ45" s="3" t="str">
        <f t="shared" si="79"/>
        <v>(5 downto 2)</v>
      </c>
      <c r="BR45" s="3" t="str">
        <f t="shared" si="80"/>
        <v>(1 downto 0)</v>
      </c>
      <c r="BS45" s="3" t="str">
        <f t="shared" si="81"/>
        <v/>
      </c>
      <c r="BT45" s="3" t="str">
        <f t="shared" si="82"/>
        <v/>
      </c>
    </row>
    <row r="46" spans="2:72" x14ac:dyDescent="0.25">
      <c r="B46" s="3" t="s">
        <v>322</v>
      </c>
      <c r="C46" s="3" t="s">
        <v>372</v>
      </c>
      <c r="D46" s="3" t="s">
        <v>1</v>
      </c>
      <c r="E46" s="3" t="s">
        <v>1062</v>
      </c>
      <c r="F46" s="3" t="s">
        <v>90</v>
      </c>
      <c r="G46" s="3" t="s">
        <v>279</v>
      </c>
      <c r="H46" s="3" t="s">
        <v>171</v>
      </c>
      <c r="I46" s="3" t="s">
        <v>24</v>
      </c>
      <c r="J46" s="3">
        <v>4</v>
      </c>
      <c r="K46" s="3" t="s">
        <v>298</v>
      </c>
      <c r="L46" s="3" t="s">
        <v>23</v>
      </c>
      <c r="M46" s="3">
        <v>14</v>
      </c>
      <c r="N46" s="3" t="str">
        <f t="shared" si="14"/>
        <v>00E</v>
      </c>
      <c r="O46" s="3">
        <v>31</v>
      </c>
      <c r="P46" s="3">
        <v>28</v>
      </c>
      <c r="Q46" s="3" t="str">
        <f t="shared" si="15"/>
        <v>X</v>
      </c>
      <c r="R46" s="3" t="str">
        <f t="shared" si="15"/>
        <v>X</v>
      </c>
      <c r="S46" s="3" t="str">
        <f t="shared" si="15"/>
        <v>X</v>
      </c>
      <c r="T46" s="3" t="str">
        <f t="shared" si="15"/>
        <v>X</v>
      </c>
      <c r="U46" s="3" t="str">
        <f t="shared" si="15"/>
        <v/>
      </c>
      <c r="V46" s="3" t="str">
        <f t="shared" si="15"/>
        <v/>
      </c>
      <c r="W46" s="3" t="str">
        <f t="shared" si="15"/>
        <v/>
      </c>
      <c r="X46" s="3" t="str">
        <f t="shared" si="15"/>
        <v/>
      </c>
      <c r="Y46" s="3" t="str">
        <f t="shared" si="15"/>
        <v/>
      </c>
      <c r="Z46" s="3" t="str">
        <f t="shared" si="15"/>
        <v/>
      </c>
      <c r="AA46" s="3" t="str">
        <f t="shared" si="15"/>
        <v/>
      </c>
      <c r="AB46" s="3" t="str">
        <f t="shared" si="15"/>
        <v/>
      </c>
      <c r="AC46" s="3" t="str">
        <f t="shared" si="15"/>
        <v/>
      </c>
      <c r="AD46" s="3" t="str">
        <f t="shared" si="15"/>
        <v/>
      </c>
      <c r="AE46" s="3" t="str">
        <f t="shared" si="15"/>
        <v/>
      </c>
      <c r="AF46" s="3" t="str">
        <f t="shared" si="15"/>
        <v/>
      </c>
      <c r="AG46" s="3" t="str">
        <f t="shared" ref="R46:AG109" si="86">IF(AND($O46&gt;=AG$3,AG$3&gt;=$P46),"X","")</f>
        <v/>
      </c>
      <c r="AH46" s="3" t="str">
        <f t="shared" si="85"/>
        <v/>
      </c>
      <c r="AI46" s="3" t="str">
        <f t="shared" si="85"/>
        <v/>
      </c>
      <c r="AJ46" s="3" t="str">
        <f t="shared" si="85"/>
        <v/>
      </c>
      <c r="AK46" s="3" t="str">
        <f t="shared" si="85"/>
        <v/>
      </c>
      <c r="AL46" s="3" t="str">
        <f t="shared" si="85"/>
        <v/>
      </c>
      <c r="AM46" s="3" t="str">
        <f t="shared" si="85"/>
        <v/>
      </c>
      <c r="AN46" s="3" t="str">
        <f t="shared" si="85"/>
        <v/>
      </c>
      <c r="AO46" s="3" t="str">
        <f t="shared" si="85"/>
        <v/>
      </c>
      <c r="AP46" s="3" t="str">
        <f t="shared" si="85"/>
        <v/>
      </c>
      <c r="AQ46" s="3" t="str">
        <f t="shared" si="85"/>
        <v/>
      </c>
      <c r="AR46" s="3" t="str">
        <f t="shared" si="85"/>
        <v/>
      </c>
      <c r="AS46" s="3" t="str">
        <f t="shared" si="85"/>
        <v/>
      </c>
      <c r="AT46" s="3" t="str">
        <f t="shared" si="85"/>
        <v/>
      </c>
      <c r="AU46" s="3" t="str">
        <f t="shared" si="85"/>
        <v/>
      </c>
      <c r="AV46" s="3" t="str">
        <f t="shared" si="85"/>
        <v/>
      </c>
      <c r="AW46" s="3" t="str">
        <f t="shared" si="16"/>
        <v>X</v>
      </c>
      <c r="AX46" s="3" t="str">
        <f t="shared" si="17"/>
        <v/>
      </c>
      <c r="AY46" s="3" t="str">
        <f t="shared" si="18"/>
        <v/>
      </c>
      <c r="AZ46" s="3" t="str">
        <f t="shared" si="19"/>
        <v/>
      </c>
      <c r="BA46" s="3">
        <f t="shared" si="63"/>
        <v>56</v>
      </c>
      <c r="BB46" s="3" t="str">
        <f t="shared" si="64"/>
        <v/>
      </c>
      <c r="BC46" s="3" t="str">
        <f t="shared" si="65"/>
        <v/>
      </c>
      <c r="BD46" s="3" t="str">
        <f t="shared" si="66"/>
        <v/>
      </c>
      <c r="BE46" s="9" t="str">
        <f t="shared" si="67"/>
        <v>038</v>
      </c>
      <c r="BF46" s="9" t="str">
        <f t="shared" si="68"/>
        <v/>
      </c>
      <c r="BG46" s="9" t="str">
        <f t="shared" si="69"/>
        <v/>
      </c>
      <c r="BH46" s="9" t="str">
        <f t="shared" si="70"/>
        <v/>
      </c>
      <c r="BI46" s="3" t="str">
        <f t="shared" si="71"/>
        <v>(7 downto 4)</v>
      </c>
      <c r="BJ46" s="3" t="str">
        <f t="shared" si="72"/>
        <v/>
      </c>
      <c r="BK46" s="3" t="str">
        <f t="shared" si="73"/>
        <v/>
      </c>
      <c r="BL46" s="3" t="str">
        <f t="shared" si="74"/>
        <v/>
      </c>
      <c r="BM46" s="3">
        <f t="shared" si="75"/>
        <v>3</v>
      </c>
      <c r="BN46" s="3" t="str">
        <f t="shared" si="76"/>
        <v/>
      </c>
      <c r="BO46" s="3" t="str">
        <f t="shared" si="77"/>
        <v/>
      </c>
      <c r="BP46" s="3" t="str">
        <f t="shared" si="78"/>
        <v/>
      </c>
      <c r="BQ46" s="3" t="str">
        <f t="shared" si="79"/>
        <v/>
      </c>
      <c r="BR46" s="3" t="str">
        <f t="shared" si="80"/>
        <v/>
      </c>
      <c r="BS46" s="3" t="str">
        <f t="shared" si="81"/>
        <v/>
      </c>
      <c r="BT46" s="3" t="str">
        <f t="shared" si="82"/>
        <v/>
      </c>
    </row>
    <row r="47" spans="2:72" x14ac:dyDescent="0.25">
      <c r="B47" s="3" t="s">
        <v>323</v>
      </c>
      <c r="C47" s="3" t="s">
        <v>412</v>
      </c>
      <c r="D47" s="3" t="s">
        <v>1</v>
      </c>
      <c r="E47" s="3" t="s">
        <v>1062</v>
      </c>
      <c r="F47" s="3" t="s">
        <v>91</v>
      </c>
      <c r="G47" s="3" t="s">
        <v>280</v>
      </c>
      <c r="H47" s="3" t="s">
        <v>172</v>
      </c>
      <c r="I47" s="3" t="s">
        <v>24</v>
      </c>
      <c r="J47" s="3">
        <v>32</v>
      </c>
      <c r="K47" s="3" t="s">
        <v>296</v>
      </c>
      <c r="L47" s="3" t="s">
        <v>23</v>
      </c>
      <c r="M47" s="3">
        <v>15</v>
      </c>
      <c r="N47" s="3" t="str">
        <f t="shared" si="14"/>
        <v>00F</v>
      </c>
      <c r="O47" s="3">
        <v>31</v>
      </c>
      <c r="P47" s="3">
        <v>0</v>
      </c>
      <c r="Q47" s="3" t="str">
        <f t="shared" si="15"/>
        <v>X</v>
      </c>
      <c r="R47" s="3" t="str">
        <f t="shared" si="86"/>
        <v>X</v>
      </c>
      <c r="S47" s="3" t="str">
        <f t="shared" si="86"/>
        <v>X</v>
      </c>
      <c r="T47" s="3" t="str">
        <f t="shared" si="86"/>
        <v>X</v>
      </c>
      <c r="U47" s="3" t="str">
        <f t="shared" si="86"/>
        <v>X</v>
      </c>
      <c r="V47" s="3" t="str">
        <f t="shared" si="86"/>
        <v>X</v>
      </c>
      <c r="W47" s="3" t="str">
        <f t="shared" si="86"/>
        <v>X</v>
      </c>
      <c r="X47" s="3" t="str">
        <f t="shared" si="86"/>
        <v>X</v>
      </c>
      <c r="Y47" s="3" t="str">
        <f t="shared" si="86"/>
        <v>X</v>
      </c>
      <c r="Z47" s="3" t="str">
        <f t="shared" si="86"/>
        <v>X</v>
      </c>
      <c r="AA47" s="3" t="str">
        <f t="shared" si="86"/>
        <v>X</v>
      </c>
      <c r="AB47" s="3" t="str">
        <f t="shared" si="86"/>
        <v>X</v>
      </c>
      <c r="AC47" s="3" t="str">
        <f t="shared" si="86"/>
        <v>X</v>
      </c>
      <c r="AD47" s="3" t="str">
        <f t="shared" si="86"/>
        <v>X</v>
      </c>
      <c r="AE47" s="3" t="str">
        <f t="shared" si="86"/>
        <v>X</v>
      </c>
      <c r="AF47" s="3" t="str">
        <f t="shared" si="86"/>
        <v>X</v>
      </c>
      <c r="AG47" s="3" t="str">
        <f t="shared" si="86"/>
        <v>X</v>
      </c>
      <c r="AH47" s="3" t="str">
        <f t="shared" si="85"/>
        <v>X</v>
      </c>
      <c r="AI47" s="3" t="str">
        <f t="shared" si="85"/>
        <v>X</v>
      </c>
      <c r="AJ47" s="3" t="str">
        <f t="shared" si="85"/>
        <v>X</v>
      </c>
      <c r="AK47" s="3" t="str">
        <f t="shared" si="85"/>
        <v>X</v>
      </c>
      <c r="AL47" s="3" t="str">
        <f t="shared" si="85"/>
        <v>X</v>
      </c>
      <c r="AM47" s="3" t="str">
        <f t="shared" si="85"/>
        <v>X</v>
      </c>
      <c r="AN47" s="3" t="str">
        <f t="shared" si="85"/>
        <v>X</v>
      </c>
      <c r="AO47" s="3" t="str">
        <f t="shared" si="85"/>
        <v>X</v>
      </c>
      <c r="AP47" s="3" t="str">
        <f t="shared" si="85"/>
        <v>X</v>
      </c>
      <c r="AQ47" s="3" t="str">
        <f t="shared" si="85"/>
        <v>X</v>
      </c>
      <c r="AR47" s="3" t="str">
        <f t="shared" si="85"/>
        <v>X</v>
      </c>
      <c r="AS47" s="3" t="str">
        <f t="shared" si="85"/>
        <v>X</v>
      </c>
      <c r="AT47" s="3" t="str">
        <f t="shared" si="85"/>
        <v>X</v>
      </c>
      <c r="AU47" s="3" t="str">
        <f t="shared" si="85"/>
        <v>X</v>
      </c>
      <c r="AV47" s="3" t="str">
        <f t="shared" si="85"/>
        <v>X</v>
      </c>
      <c r="AW47" s="3" t="str">
        <f t="shared" si="16"/>
        <v>X</v>
      </c>
      <c r="AX47" s="3" t="str">
        <f t="shared" si="17"/>
        <v>X</v>
      </c>
      <c r="AY47" s="3" t="str">
        <f t="shared" si="18"/>
        <v>X</v>
      </c>
      <c r="AZ47" s="3" t="str">
        <f t="shared" si="19"/>
        <v>X</v>
      </c>
      <c r="BA47" s="3">
        <f t="shared" si="63"/>
        <v>60</v>
      </c>
      <c r="BB47" s="3">
        <f t="shared" si="64"/>
        <v>61</v>
      </c>
      <c r="BC47" s="3">
        <f t="shared" si="65"/>
        <v>62</v>
      </c>
      <c r="BD47" s="3">
        <f t="shared" si="66"/>
        <v>63</v>
      </c>
      <c r="BE47" s="9" t="str">
        <f t="shared" si="67"/>
        <v>03C</v>
      </c>
      <c r="BF47" s="9" t="str">
        <f t="shared" si="68"/>
        <v>03D</v>
      </c>
      <c r="BG47" s="9" t="str">
        <f t="shared" si="69"/>
        <v>03E</v>
      </c>
      <c r="BH47" s="9" t="str">
        <f t="shared" si="70"/>
        <v>03F</v>
      </c>
      <c r="BI47" s="3" t="str">
        <f t="shared" si="71"/>
        <v/>
      </c>
      <c r="BJ47" s="3" t="str">
        <f t="shared" si="72"/>
        <v/>
      </c>
      <c r="BK47" s="3" t="str">
        <f t="shared" si="73"/>
        <v/>
      </c>
      <c r="BL47" s="3" t="str">
        <f t="shared" si="74"/>
        <v/>
      </c>
      <c r="BM47" s="3">
        <f t="shared" si="75"/>
        <v>31</v>
      </c>
      <c r="BN47" s="3">
        <f t="shared" si="76"/>
        <v>23</v>
      </c>
      <c r="BO47" s="3">
        <f t="shared" si="77"/>
        <v>15</v>
      </c>
      <c r="BP47" s="3">
        <f t="shared" si="78"/>
        <v>7</v>
      </c>
      <c r="BQ47" s="3" t="str">
        <f t="shared" si="79"/>
        <v>(31 downto 24)</v>
      </c>
      <c r="BR47" s="3" t="str">
        <f t="shared" si="80"/>
        <v>(23 downto 16)</v>
      </c>
      <c r="BS47" s="3" t="str">
        <f t="shared" si="81"/>
        <v>(15 downto 8)</v>
      </c>
      <c r="BT47" s="3" t="str">
        <f t="shared" si="82"/>
        <v>(7 downto 0)</v>
      </c>
    </row>
    <row r="48" spans="2:72" x14ac:dyDescent="0.25">
      <c r="B48" s="3" t="s">
        <v>324</v>
      </c>
      <c r="C48" s="3" t="s">
        <v>413</v>
      </c>
      <c r="D48" s="3" t="s">
        <v>1</v>
      </c>
      <c r="E48" s="3" t="s">
        <v>1062</v>
      </c>
      <c r="F48" s="3" t="s">
        <v>92</v>
      </c>
      <c r="G48" s="3" t="s">
        <v>281</v>
      </c>
      <c r="H48" s="3" t="s">
        <v>173</v>
      </c>
      <c r="I48" s="3" t="s">
        <v>24</v>
      </c>
      <c r="J48" s="3">
        <v>32</v>
      </c>
      <c r="K48" s="3" t="s">
        <v>296</v>
      </c>
      <c r="L48" s="3" t="s">
        <v>23</v>
      </c>
      <c r="M48" s="3">
        <v>16</v>
      </c>
      <c r="N48" s="3" t="str">
        <f t="shared" si="14"/>
        <v>010</v>
      </c>
      <c r="O48" s="3">
        <v>31</v>
      </c>
      <c r="P48" s="3">
        <v>0</v>
      </c>
      <c r="Q48" s="3" t="str">
        <f t="shared" si="15"/>
        <v>X</v>
      </c>
      <c r="R48" s="3" t="str">
        <f t="shared" si="86"/>
        <v>X</v>
      </c>
      <c r="S48" s="3" t="str">
        <f t="shared" si="86"/>
        <v>X</v>
      </c>
      <c r="T48" s="3" t="str">
        <f t="shared" si="86"/>
        <v>X</v>
      </c>
      <c r="U48" s="3" t="str">
        <f t="shared" si="86"/>
        <v>X</v>
      </c>
      <c r="V48" s="3" t="str">
        <f t="shared" si="86"/>
        <v>X</v>
      </c>
      <c r="W48" s="3" t="str">
        <f t="shared" si="86"/>
        <v>X</v>
      </c>
      <c r="X48" s="3" t="str">
        <f t="shared" si="86"/>
        <v>X</v>
      </c>
      <c r="Y48" s="3" t="str">
        <f t="shared" si="86"/>
        <v>X</v>
      </c>
      <c r="Z48" s="3" t="str">
        <f t="shared" si="86"/>
        <v>X</v>
      </c>
      <c r="AA48" s="3" t="str">
        <f t="shared" si="86"/>
        <v>X</v>
      </c>
      <c r="AB48" s="3" t="str">
        <f t="shared" si="86"/>
        <v>X</v>
      </c>
      <c r="AC48" s="3" t="str">
        <f t="shared" si="86"/>
        <v>X</v>
      </c>
      <c r="AD48" s="3" t="str">
        <f t="shared" si="86"/>
        <v>X</v>
      </c>
      <c r="AE48" s="3" t="str">
        <f t="shared" si="86"/>
        <v>X</v>
      </c>
      <c r="AF48" s="3" t="str">
        <f t="shared" si="86"/>
        <v>X</v>
      </c>
      <c r="AG48" s="3" t="str">
        <f t="shared" si="86"/>
        <v>X</v>
      </c>
      <c r="AH48" s="3" t="str">
        <f t="shared" si="85"/>
        <v>X</v>
      </c>
      <c r="AI48" s="3" t="str">
        <f t="shared" si="85"/>
        <v>X</v>
      </c>
      <c r="AJ48" s="3" t="str">
        <f t="shared" si="85"/>
        <v>X</v>
      </c>
      <c r="AK48" s="3" t="str">
        <f t="shared" si="85"/>
        <v>X</v>
      </c>
      <c r="AL48" s="3" t="str">
        <f t="shared" si="85"/>
        <v>X</v>
      </c>
      <c r="AM48" s="3" t="str">
        <f t="shared" si="85"/>
        <v>X</v>
      </c>
      <c r="AN48" s="3" t="str">
        <f t="shared" si="85"/>
        <v>X</v>
      </c>
      <c r="AO48" s="3" t="str">
        <f t="shared" si="85"/>
        <v>X</v>
      </c>
      <c r="AP48" s="3" t="str">
        <f t="shared" si="85"/>
        <v>X</v>
      </c>
      <c r="AQ48" s="3" t="str">
        <f t="shared" si="85"/>
        <v>X</v>
      </c>
      <c r="AR48" s="3" t="str">
        <f t="shared" si="85"/>
        <v>X</v>
      </c>
      <c r="AS48" s="3" t="str">
        <f t="shared" si="85"/>
        <v>X</v>
      </c>
      <c r="AT48" s="3" t="str">
        <f t="shared" si="85"/>
        <v>X</v>
      </c>
      <c r="AU48" s="3" t="str">
        <f t="shared" si="85"/>
        <v>X</v>
      </c>
      <c r="AV48" s="3" t="str">
        <f t="shared" si="85"/>
        <v>X</v>
      </c>
      <c r="AW48" s="3" t="str">
        <f t="shared" si="16"/>
        <v>X</v>
      </c>
      <c r="AX48" s="3" t="str">
        <f t="shared" si="17"/>
        <v>X</v>
      </c>
      <c r="AY48" s="3" t="str">
        <f t="shared" si="18"/>
        <v>X</v>
      </c>
      <c r="AZ48" s="3" t="str">
        <f t="shared" si="19"/>
        <v>X</v>
      </c>
      <c r="BA48" s="3">
        <f t="shared" si="63"/>
        <v>64</v>
      </c>
      <c r="BB48" s="3">
        <f t="shared" si="64"/>
        <v>65</v>
      </c>
      <c r="BC48" s="3">
        <f t="shared" si="65"/>
        <v>66</v>
      </c>
      <c r="BD48" s="3">
        <f t="shared" si="66"/>
        <v>67</v>
      </c>
      <c r="BE48" s="9" t="str">
        <f t="shared" si="67"/>
        <v>040</v>
      </c>
      <c r="BF48" s="9" t="str">
        <f t="shared" si="68"/>
        <v>041</v>
      </c>
      <c r="BG48" s="9" t="str">
        <f t="shared" si="69"/>
        <v>042</v>
      </c>
      <c r="BH48" s="9" t="str">
        <f t="shared" si="70"/>
        <v>043</v>
      </c>
      <c r="BI48" s="3" t="str">
        <f t="shared" si="71"/>
        <v/>
      </c>
      <c r="BJ48" s="3" t="str">
        <f t="shared" si="72"/>
        <v/>
      </c>
      <c r="BK48" s="3" t="str">
        <f t="shared" si="73"/>
        <v/>
      </c>
      <c r="BL48" s="3" t="str">
        <f t="shared" si="74"/>
        <v/>
      </c>
      <c r="BM48" s="3">
        <f t="shared" si="75"/>
        <v>31</v>
      </c>
      <c r="BN48" s="3">
        <f t="shared" si="76"/>
        <v>23</v>
      </c>
      <c r="BO48" s="3">
        <f t="shared" si="77"/>
        <v>15</v>
      </c>
      <c r="BP48" s="3">
        <f t="shared" si="78"/>
        <v>7</v>
      </c>
      <c r="BQ48" s="3" t="str">
        <f t="shared" si="79"/>
        <v>(31 downto 24)</v>
      </c>
      <c r="BR48" s="3" t="str">
        <f t="shared" si="80"/>
        <v>(23 downto 16)</v>
      </c>
      <c r="BS48" s="3" t="str">
        <f t="shared" si="81"/>
        <v>(15 downto 8)</v>
      </c>
      <c r="BT48" s="3" t="str">
        <f t="shared" si="82"/>
        <v>(7 downto 0)</v>
      </c>
    </row>
    <row r="49" spans="2:72" x14ac:dyDescent="0.25">
      <c r="B49" s="3" t="s">
        <v>325</v>
      </c>
      <c r="C49" s="3" t="s">
        <v>414</v>
      </c>
      <c r="D49" s="3" t="s">
        <v>1</v>
      </c>
      <c r="E49" s="3" t="s">
        <v>1062</v>
      </c>
      <c r="F49" s="3" t="s">
        <v>93</v>
      </c>
      <c r="G49" s="3" t="s">
        <v>282</v>
      </c>
      <c r="H49" s="3" t="s">
        <v>174</v>
      </c>
      <c r="I49" s="3" t="s">
        <v>24</v>
      </c>
      <c r="J49" s="3">
        <v>16</v>
      </c>
      <c r="K49" s="3" t="s">
        <v>59</v>
      </c>
      <c r="L49" s="3" t="s">
        <v>23</v>
      </c>
      <c r="M49" s="3">
        <v>17</v>
      </c>
      <c r="N49" s="3" t="str">
        <f t="shared" si="14"/>
        <v>011</v>
      </c>
      <c r="O49" s="3">
        <v>15</v>
      </c>
      <c r="P49" s="3">
        <v>0</v>
      </c>
      <c r="Q49" s="3" t="str">
        <f t="shared" si="15"/>
        <v/>
      </c>
      <c r="R49" s="3" t="str">
        <f t="shared" si="86"/>
        <v/>
      </c>
      <c r="S49" s="3" t="str">
        <f t="shared" si="86"/>
        <v/>
      </c>
      <c r="T49" s="3" t="str">
        <f t="shared" si="86"/>
        <v/>
      </c>
      <c r="U49" s="3" t="str">
        <f t="shared" si="86"/>
        <v/>
      </c>
      <c r="V49" s="3" t="str">
        <f t="shared" si="86"/>
        <v/>
      </c>
      <c r="W49" s="3" t="str">
        <f t="shared" si="86"/>
        <v/>
      </c>
      <c r="X49" s="3" t="str">
        <f t="shared" si="86"/>
        <v/>
      </c>
      <c r="Y49" s="3" t="str">
        <f t="shared" si="86"/>
        <v/>
      </c>
      <c r="Z49" s="3" t="str">
        <f t="shared" si="86"/>
        <v/>
      </c>
      <c r="AA49" s="3" t="str">
        <f t="shared" si="86"/>
        <v/>
      </c>
      <c r="AB49" s="3" t="str">
        <f t="shared" si="86"/>
        <v/>
      </c>
      <c r="AC49" s="3" t="str">
        <f t="shared" si="86"/>
        <v/>
      </c>
      <c r="AD49" s="3" t="str">
        <f t="shared" si="86"/>
        <v/>
      </c>
      <c r="AE49" s="3" t="str">
        <f t="shared" si="86"/>
        <v/>
      </c>
      <c r="AF49" s="3" t="str">
        <f t="shared" si="86"/>
        <v/>
      </c>
      <c r="AG49" s="3" t="str">
        <f t="shared" si="86"/>
        <v>X</v>
      </c>
      <c r="AH49" s="3" t="str">
        <f t="shared" si="85"/>
        <v>X</v>
      </c>
      <c r="AI49" s="3" t="str">
        <f t="shared" si="85"/>
        <v>X</v>
      </c>
      <c r="AJ49" s="3" t="str">
        <f t="shared" si="85"/>
        <v>X</v>
      </c>
      <c r="AK49" s="3" t="str">
        <f t="shared" si="85"/>
        <v>X</v>
      </c>
      <c r="AL49" s="3" t="str">
        <f t="shared" si="85"/>
        <v>X</v>
      </c>
      <c r="AM49" s="3" t="str">
        <f t="shared" si="85"/>
        <v>X</v>
      </c>
      <c r="AN49" s="3" t="str">
        <f t="shared" si="85"/>
        <v>X</v>
      </c>
      <c r="AO49" s="3" t="str">
        <f t="shared" si="85"/>
        <v>X</v>
      </c>
      <c r="AP49" s="3" t="str">
        <f t="shared" si="85"/>
        <v>X</v>
      </c>
      <c r="AQ49" s="3" t="str">
        <f t="shared" si="85"/>
        <v>X</v>
      </c>
      <c r="AR49" s="3" t="str">
        <f t="shared" si="85"/>
        <v>X</v>
      </c>
      <c r="AS49" s="3" t="str">
        <f t="shared" si="85"/>
        <v>X</v>
      </c>
      <c r="AT49" s="3" t="str">
        <f t="shared" si="85"/>
        <v>X</v>
      </c>
      <c r="AU49" s="3" t="str">
        <f t="shared" si="85"/>
        <v>X</v>
      </c>
      <c r="AV49" s="3" t="str">
        <f t="shared" si="85"/>
        <v>X</v>
      </c>
      <c r="AW49" s="3" t="str">
        <f t="shared" si="16"/>
        <v/>
      </c>
      <c r="AX49" s="3" t="str">
        <f t="shared" si="17"/>
        <v/>
      </c>
      <c r="AY49" s="3" t="str">
        <f t="shared" si="18"/>
        <v>X</v>
      </c>
      <c r="AZ49" s="3" t="str">
        <f t="shared" si="19"/>
        <v>X</v>
      </c>
      <c r="BA49" s="3" t="str">
        <f t="shared" si="63"/>
        <v/>
      </c>
      <c r="BB49" s="3" t="str">
        <f t="shared" si="64"/>
        <v/>
      </c>
      <c r="BC49" s="3">
        <f t="shared" si="65"/>
        <v>70</v>
      </c>
      <c r="BD49" s="3">
        <f t="shared" si="66"/>
        <v>71</v>
      </c>
      <c r="BE49" s="9" t="str">
        <f t="shared" si="67"/>
        <v/>
      </c>
      <c r="BF49" s="9" t="str">
        <f t="shared" si="68"/>
        <v/>
      </c>
      <c r="BG49" s="9" t="str">
        <f t="shared" si="69"/>
        <v>046</v>
      </c>
      <c r="BH49" s="9" t="str">
        <f t="shared" si="70"/>
        <v>047</v>
      </c>
      <c r="BI49" s="3" t="str">
        <f t="shared" si="71"/>
        <v/>
      </c>
      <c r="BJ49" s="3" t="str">
        <f t="shared" si="72"/>
        <v/>
      </c>
      <c r="BK49" s="3" t="str">
        <f t="shared" si="73"/>
        <v/>
      </c>
      <c r="BL49" s="3" t="str">
        <f t="shared" si="74"/>
        <v/>
      </c>
      <c r="BM49" s="3" t="str">
        <f t="shared" si="75"/>
        <v/>
      </c>
      <c r="BN49" s="3" t="str">
        <f t="shared" si="76"/>
        <v/>
      </c>
      <c r="BO49" s="3">
        <f t="shared" si="77"/>
        <v>15</v>
      </c>
      <c r="BP49" s="3">
        <f t="shared" si="78"/>
        <v>7</v>
      </c>
      <c r="BQ49" s="3" t="str">
        <f t="shared" si="79"/>
        <v/>
      </c>
      <c r="BR49" s="3" t="str">
        <f t="shared" si="80"/>
        <v/>
      </c>
      <c r="BS49" s="3" t="str">
        <f t="shared" si="81"/>
        <v>(15 downto 8)</v>
      </c>
      <c r="BT49" s="3" t="str">
        <f t="shared" si="82"/>
        <v>(7 downto 0)</v>
      </c>
    </row>
    <row r="50" spans="2:72" x14ac:dyDescent="0.25">
      <c r="B50" s="3" t="s">
        <v>325</v>
      </c>
      <c r="C50" s="3" t="s">
        <v>415</v>
      </c>
      <c r="D50" s="3" t="s">
        <v>1</v>
      </c>
      <c r="E50" s="3" t="s">
        <v>1062</v>
      </c>
      <c r="F50" s="3" t="s">
        <v>93</v>
      </c>
      <c r="G50" s="3" t="s">
        <v>282</v>
      </c>
      <c r="H50" s="3" t="s">
        <v>175</v>
      </c>
      <c r="I50" s="3" t="s">
        <v>24</v>
      </c>
      <c r="J50" s="3">
        <v>6</v>
      </c>
      <c r="K50" s="3" t="s">
        <v>297</v>
      </c>
      <c r="L50" s="3" t="s">
        <v>23</v>
      </c>
      <c r="M50" s="3">
        <v>17</v>
      </c>
      <c r="N50" s="3" t="str">
        <f t="shared" si="14"/>
        <v>011</v>
      </c>
      <c r="O50" s="3">
        <v>21</v>
      </c>
      <c r="P50" s="3">
        <v>16</v>
      </c>
      <c r="Q50" s="3" t="str">
        <f t="shared" si="15"/>
        <v/>
      </c>
      <c r="R50" s="3" t="str">
        <f t="shared" si="86"/>
        <v/>
      </c>
      <c r="S50" s="3" t="str">
        <f t="shared" si="86"/>
        <v/>
      </c>
      <c r="T50" s="3" t="str">
        <f t="shared" si="86"/>
        <v/>
      </c>
      <c r="U50" s="3" t="str">
        <f t="shared" si="86"/>
        <v/>
      </c>
      <c r="V50" s="3" t="str">
        <f t="shared" si="86"/>
        <v/>
      </c>
      <c r="W50" s="3" t="str">
        <f t="shared" si="86"/>
        <v/>
      </c>
      <c r="X50" s="3" t="str">
        <f t="shared" si="86"/>
        <v/>
      </c>
      <c r="Y50" s="3" t="str">
        <f t="shared" si="86"/>
        <v/>
      </c>
      <c r="Z50" s="3" t="str">
        <f t="shared" si="86"/>
        <v/>
      </c>
      <c r="AA50" s="3" t="str">
        <f t="shared" si="86"/>
        <v>X</v>
      </c>
      <c r="AB50" s="3" t="str">
        <f t="shared" si="86"/>
        <v>X</v>
      </c>
      <c r="AC50" s="3" t="str">
        <f t="shared" si="86"/>
        <v>X</v>
      </c>
      <c r="AD50" s="3" t="str">
        <f t="shared" si="86"/>
        <v>X</v>
      </c>
      <c r="AE50" s="3" t="str">
        <f t="shared" si="86"/>
        <v>X</v>
      </c>
      <c r="AF50" s="3" t="str">
        <f t="shared" si="86"/>
        <v>X</v>
      </c>
      <c r="AG50" s="3" t="str">
        <f t="shared" si="86"/>
        <v/>
      </c>
      <c r="AH50" s="3" t="str">
        <f t="shared" si="85"/>
        <v/>
      </c>
      <c r="AI50" s="3" t="str">
        <f t="shared" si="85"/>
        <v/>
      </c>
      <c r="AJ50" s="3" t="str">
        <f t="shared" si="85"/>
        <v/>
      </c>
      <c r="AK50" s="3" t="str">
        <f t="shared" si="85"/>
        <v/>
      </c>
      <c r="AL50" s="3" t="str">
        <f t="shared" si="85"/>
        <v/>
      </c>
      <c r="AM50" s="3" t="str">
        <f t="shared" si="85"/>
        <v/>
      </c>
      <c r="AN50" s="3" t="str">
        <f t="shared" si="85"/>
        <v/>
      </c>
      <c r="AO50" s="3" t="str">
        <f t="shared" si="85"/>
        <v/>
      </c>
      <c r="AP50" s="3" t="str">
        <f t="shared" si="85"/>
        <v/>
      </c>
      <c r="AQ50" s="3" t="str">
        <f t="shared" si="85"/>
        <v/>
      </c>
      <c r="AR50" s="3" t="str">
        <f t="shared" si="85"/>
        <v/>
      </c>
      <c r="AS50" s="3" t="str">
        <f t="shared" si="85"/>
        <v/>
      </c>
      <c r="AT50" s="3" t="str">
        <f t="shared" si="85"/>
        <v/>
      </c>
      <c r="AU50" s="3" t="str">
        <f t="shared" si="85"/>
        <v/>
      </c>
      <c r="AV50" s="3" t="str">
        <f t="shared" si="85"/>
        <v/>
      </c>
      <c r="AW50" s="3" t="str">
        <f t="shared" si="16"/>
        <v/>
      </c>
      <c r="AX50" s="3" t="str">
        <f t="shared" si="17"/>
        <v>X</v>
      </c>
      <c r="AY50" s="3" t="str">
        <f t="shared" si="18"/>
        <v/>
      </c>
      <c r="AZ50" s="3" t="str">
        <f t="shared" si="19"/>
        <v/>
      </c>
      <c r="BA50" s="3" t="str">
        <f t="shared" si="63"/>
        <v/>
      </c>
      <c r="BB50" s="3">
        <f t="shared" si="64"/>
        <v>69</v>
      </c>
      <c r="BC50" s="3" t="str">
        <f t="shared" si="65"/>
        <v/>
      </c>
      <c r="BD50" s="3" t="str">
        <f t="shared" si="66"/>
        <v/>
      </c>
      <c r="BE50" s="9" t="str">
        <f t="shared" si="67"/>
        <v/>
      </c>
      <c r="BF50" s="9" t="str">
        <f t="shared" si="68"/>
        <v>045</v>
      </c>
      <c r="BG50" s="9" t="str">
        <f t="shared" si="69"/>
        <v/>
      </c>
      <c r="BH50" s="9" t="str">
        <f t="shared" si="70"/>
        <v/>
      </c>
      <c r="BI50" s="3" t="str">
        <f t="shared" si="71"/>
        <v/>
      </c>
      <c r="BJ50" s="3" t="str">
        <f t="shared" si="72"/>
        <v>(5 downto 0)</v>
      </c>
      <c r="BK50" s="3" t="str">
        <f t="shared" si="73"/>
        <v/>
      </c>
      <c r="BL50" s="3" t="str">
        <f t="shared" si="74"/>
        <v/>
      </c>
      <c r="BM50" s="3" t="str">
        <f t="shared" si="75"/>
        <v/>
      </c>
      <c r="BN50" s="3">
        <f t="shared" si="76"/>
        <v>5</v>
      </c>
      <c r="BO50" s="3" t="str">
        <f t="shared" si="77"/>
        <v/>
      </c>
      <c r="BP50" s="3" t="str">
        <f t="shared" si="78"/>
        <v/>
      </c>
      <c r="BQ50" s="3" t="str">
        <f t="shared" si="79"/>
        <v/>
      </c>
      <c r="BR50" s="3" t="str">
        <f t="shared" si="80"/>
        <v/>
      </c>
      <c r="BS50" s="3" t="str">
        <f t="shared" si="81"/>
        <v/>
      </c>
      <c r="BT50" s="3" t="str">
        <f t="shared" si="82"/>
        <v/>
      </c>
    </row>
    <row r="51" spans="2:72" x14ac:dyDescent="0.25">
      <c r="B51" s="3" t="s">
        <v>325</v>
      </c>
      <c r="C51" s="3" t="s">
        <v>416</v>
      </c>
      <c r="D51" s="3" t="s">
        <v>1</v>
      </c>
      <c r="E51" s="3" t="s">
        <v>1062</v>
      </c>
      <c r="F51" s="3" t="s">
        <v>93</v>
      </c>
      <c r="G51" s="3" t="s">
        <v>282</v>
      </c>
      <c r="H51" s="3" t="s">
        <v>176</v>
      </c>
      <c r="I51" s="3" t="s">
        <v>24</v>
      </c>
      <c r="J51" s="3">
        <v>6</v>
      </c>
      <c r="K51" s="3" t="s">
        <v>297</v>
      </c>
      <c r="L51" s="3" t="s">
        <v>23</v>
      </c>
      <c r="M51" s="3">
        <v>17</v>
      </c>
      <c r="N51" s="3" t="str">
        <f t="shared" si="14"/>
        <v>011</v>
      </c>
      <c r="O51" s="3">
        <v>27</v>
      </c>
      <c r="P51" s="3">
        <v>22</v>
      </c>
      <c r="Q51" s="3" t="str">
        <f t="shared" si="15"/>
        <v/>
      </c>
      <c r="R51" s="3" t="str">
        <f t="shared" si="86"/>
        <v/>
      </c>
      <c r="S51" s="3" t="str">
        <f t="shared" si="86"/>
        <v/>
      </c>
      <c r="T51" s="3" t="str">
        <f t="shared" si="86"/>
        <v/>
      </c>
      <c r="U51" s="3" t="str">
        <f t="shared" si="86"/>
        <v>X</v>
      </c>
      <c r="V51" s="3" t="str">
        <f t="shared" si="86"/>
        <v>X</v>
      </c>
      <c r="W51" s="3" t="str">
        <f t="shared" si="86"/>
        <v>X</v>
      </c>
      <c r="X51" s="3" t="str">
        <f t="shared" si="86"/>
        <v>X</v>
      </c>
      <c r="Y51" s="3" t="str">
        <f t="shared" si="86"/>
        <v>X</v>
      </c>
      <c r="Z51" s="3" t="str">
        <f t="shared" si="86"/>
        <v>X</v>
      </c>
      <c r="AA51" s="3" t="str">
        <f t="shared" si="86"/>
        <v/>
      </c>
      <c r="AB51" s="3" t="str">
        <f t="shared" si="86"/>
        <v/>
      </c>
      <c r="AC51" s="3" t="str">
        <f t="shared" si="86"/>
        <v/>
      </c>
      <c r="AD51" s="3" t="str">
        <f t="shared" si="86"/>
        <v/>
      </c>
      <c r="AE51" s="3" t="str">
        <f t="shared" si="86"/>
        <v/>
      </c>
      <c r="AF51" s="3" t="str">
        <f t="shared" si="86"/>
        <v/>
      </c>
      <c r="AG51" s="3" t="str">
        <f t="shared" si="86"/>
        <v/>
      </c>
      <c r="AH51" s="3" t="str">
        <f t="shared" si="85"/>
        <v/>
      </c>
      <c r="AI51" s="3" t="str">
        <f t="shared" si="85"/>
        <v/>
      </c>
      <c r="AJ51" s="3" t="str">
        <f t="shared" si="85"/>
        <v/>
      </c>
      <c r="AK51" s="3" t="str">
        <f t="shared" si="85"/>
        <v/>
      </c>
      <c r="AL51" s="3" t="str">
        <f t="shared" si="85"/>
        <v/>
      </c>
      <c r="AM51" s="3" t="str">
        <f t="shared" si="85"/>
        <v/>
      </c>
      <c r="AN51" s="3" t="str">
        <f t="shared" si="85"/>
        <v/>
      </c>
      <c r="AO51" s="3" t="str">
        <f t="shared" si="85"/>
        <v/>
      </c>
      <c r="AP51" s="3" t="str">
        <f t="shared" si="85"/>
        <v/>
      </c>
      <c r="AQ51" s="3" t="str">
        <f t="shared" si="85"/>
        <v/>
      </c>
      <c r="AR51" s="3" t="str">
        <f t="shared" si="85"/>
        <v/>
      </c>
      <c r="AS51" s="3" t="str">
        <f t="shared" si="85"/>
        <v/>
      </c>
      <c r="AT51" s="3" t="str">
        <f t="shared" si="85"/>
        <v/>
      </c>
      <c r="AU51" s="3" t="str">
        <f t="shared" si="85"/>
        <v/>
      </c>
      <c r="AV51" s="3" t="str">
        <f t="shared" si="85"/>
        <v/>
      </c>
      <c r="AW51" s="3" t="str">
        <f t="shared" si="16"/>
        <v>X</v>
      </c>
      <c r="AX51" s="3" t="str">
        <f t="shared" si="17"/>
        <v>X</v>
      </c>
      <c r="AY51" s="3" t="str">
        <f t="shared" si="18"/>
        <v/>
      </c>
      <c r="AZ51" s="3" t="str">
        <f t="shared" si="19"/>
        <v/>
      </c>
      <c r="BA51" s="3">
        <f t="shared" si="63"/>
        <v>68</v>
      </c>
      <c r="BB51" s="3">
        <f t="shared" si="64"/>
        <v>69</v>
      </c>
      <c r="BC51" s="3" t="str">
        <f t="shared" si="65"/>
        <v/>
      </c>
      <c r="BD51" s="3" t="str">
        <f t="shared" si="66"/>
        <v/>
      </c>
      <c r="BE51" s="9" t="str">
        <f t="shared" si="67"/>
        <v>044</v>
      </c>
      <c r="BF51" s="9" t="str">
        <f t="shared" si="68"/>
        <v>045</v>
      </c>
      <c r="BG51" s="9" t="str">
        <f t="shared" si="69"/>
        <v/>
      </c>
      <c r="BH51" s="9" t="str">
        <f t="shared" si="70"/>
        <v/>
      </c>
      <c r="BI51" s="3" t="str">
        <f t="shared" si="71"/>
        <v>(3 downto 0)</v>
      </c>
      <c r="BJ51" s="3" t="str">
        <f t="shared" si="72"/>
        <v>(7 downto 6)</v>
      </c>
      <c r="BK51" s="3" t="str">
        <f t="shared" si="73"/>
        <v/>
      </c>
      <c r="BL51" s="3" t="str">
        <f t="shared" si="74"/>
        <v/>
      </c>
      <c r="BM51" s="3">
        <f t="shared" si="75"/>
        <v>5</v>
      </c>
      <c r="BN51" s="3">
        <f t="shared" si="76"/>
        <v>1</v>
      </c>
      <c r="BO51" s="3" t="str">
        <f t="shared" si="77"/>
        <v/>
      </c>
      <c r="BP51" s="3" t="str">
        <f t="shared" si="78"/>
        <v/>
      </c>
      <c r="BQ51" s="3" t="str">
        <f t="shared" si="79"/>
        <v>(5 downto 2)</v>
      </c>
      <c r="BR51" s="3" t="str">
        <f t="shared" si="80"/>
        <v>(1 downto 0)</v>
      </c>
      <c r="BS51" s="3" t="str">
        <f t="shared" si="81"/>
        <v/>
      </c>
      <c r="BT51" s="3" t="str">
        <f t="shared" si="82"/>
        <v/>
      </c>
    </row>
    <row r="52" spans="2:72" x14ac:dyDescent="0.25">
      <c r="B52" s="3" t="s">
        <v>325</v>
      </c>
      <c r="C52" s="3" t="s">
        <v>373</v>
      </c>
      <c r="D52" s="3" t="s">
        <v>1</v>
      </c>
      <c r="E52" s="3" t="s">
        <v>1062</v>
      </c>
      <c r="F52" s="3" t="s">
        <v>93</v>
      </c>
      <c r="G52" s="3" t="s">
        <v>282</v>
      </c>
      <c r="H52" s="3" t="s">
        <v>177</v>
      </c>
      <c r="I52" s="3" t="s">
        <v>24</v>
      </c>
      <c r="J52" s="3">
        <v>4</v>
      </c>
      <c r="K52" s="3" t="s">
        <v>298</v>
      </c>
      <c r="L52" s="3" t="s">
        <v>23</v>
      </c>
      <c r="M52" s="3">
        <v>17</v>
      </c>
      <c r="N52" s="3" t="str">
        <f t="shared" si="14"/>
        <v>011</v>
      </c>
      <c r="O52" s="3">
        <v>31</v>
      </c>
      <c r="P52" s="3">
        <v>28</v>
      </c>
      <c r="Q52" s="3" t="str">
        <f t="shared" si="15"/>
        <v>X</v>
      </c>
      <c r="R52" s="3" t="str">
        <f t="shared" si="86"/>
        <v>X</v>
      </c>
      <c r="S52" s="3" t="str">
        <f t="shared" si="86"/>
        <v>X</v>
      </c>
      <c r="T52" s="3" t="str">
        <f t="shared" si="86"/>
        <v>X</v>
      </c>
      <c r="U52" s="3" t="str">
        <f t="shared" si="86"/>
        <v/>
      </c>
      <c r="V52" s="3" t="str">
        <f t="shared" si="86"/>
        <v/>
      </c>
      <c r="W52" s="3" t="str">
        <f t="shared" si="86"/>
        <v/>
      </c>
      <c r="X52" s="3" t="str">
        <f t="shared" si="86"/>
        <v/>
      </c>
      <c r="Y52" s="3" t="str">
        <f t="shared" si="86"/>
        <v/>
      </c>
      <c r="Z52" s="3" t="str">
        <f t="shared" si="86"/>
        <v/>
      </c>
      <c r="AA52" s="3" t="str">
        <f t="shared" si="86"/>
        <v/>
      </c>
      <c r="AB52" s="3" t="str">
        <f t="shared" si="86"/>
        <v/>
      </c>
      <c r="AC52" s="3" t="str">
        <f t="shared" si="86"/>
        <v/>
      </c>
      <c r="AD52" s="3" t="str">
        <f t="shared" si="86"/>
        <v/>
      </c>
      <c r="AE52" s="3" t="str">
        <f t="shared" si="86"/>
        <v/>
      </c>
      <c r="AF52" s="3" t="str">
        <f t="shared" si="86"/>
        <v/>
      </c>
      <c r="AG52" s="3" t="str">
        <f t="shared" si="86"/>
        <v/>
      </c>
      <c r="AH52" s="3" t="str">
        <f t="shared" si="85"/>
        <v/>
      </c>
      <c r="AI52" s="3" t="str">
        <f t="shared" si="85"/>
        <v/>
      </c>
      <c r="AJ52" s="3" t="str">
        <f t="shared" si="85"/>
        <v/>
      </c>
      <c r="AK52" s="3" t="str">
        <f t="shared" si="85"/>
        <v/>
      </c>
      <c r="AL52" s="3" t="str">
        <f t="shared" si="85"/>
        <v/>
      </c>
      <c r="AM52" s="3" t="str">
        <f t="shared" si="85"/>
        <v/>
      </c>
      <c r="AN52" s="3" t="str">
        <f t="shared" si="85"/>
        <v/>
      </c>
      <c r="AO52" s="3" t="str">
        <f t="shared" si="85"/>
        <v/>
      </c>
      <c r="AP52" s="3" t="str">
        <f t="shared" si="85"/>
        <v/>
      </c>
      <c r="AQ52" s="3" t="str">
        <f t="shared" si="85"/>
        <v/>
      </c>
      <c r="AR52" s="3" t="str">
        <f t="shared" si="85"/>
        <v/>
      </c>
      <c r="AS52" s="3" t="str">
        <f t="shared" si="85"/>
        <v/>
      </c>
      <c r="AT52" s="3" t="str">
        <f t="shared" si="85"/>
        <v/>
      </c>
      <c r="AU52" s="3" t="str">
        <f t="shared" si="85"/>
        <v/>
      </c>
      <c r="AV52" s="3" t="str">
        <f t="shared" si="85"/>
        <v/>
      </c>
      <c r="AW52" s="3" t="str">
        <f t="shared" si="16"/>
        <v>X</v>
      </c>
      <c r="AX52" s="3" t="str">
        <f t="shared" si="17"/>
        <v/>
      </c>
      <c r="AY52" s="3" t="str">
        <f t="shared" si="18"/>
        <v/>
      </c>
      <c r="AZ52" s="3" t="str">
        <f t="shared" si="19"/>
        <v/>
      </c>
      <c r="BA52" s="3">
        <f t="shared" si="63"/>
        <v>68</v>
      </c>
      <c r="BB52" s="3" t="str">
        <f t="shared" si="64"/>
        <v/>
      </c>
      <c r="BC52" s="3" t="str">
        <f t="shared" si="65"/>
        <v/>
      </c>
      <c r="BD52" s="3" t="str">
        <f t="shared" si="66"/>
        <v/>
      </c>
      <c r="BE52" s="9" t="str">
        <f t="shared" si="67"/>
        <v>044</v>
      </c>
      <c r="BF52" s="9" t="str">
        <f t="shared" si="68"/>
        <v/>
      </c>
      <c r="BG52" s="9" t="str">
        <f t="shared" si="69"/>
        <v/>
      </c>
      <c r="BH52" s="9" t="str">
        <f t="shared" si="70"/>
        <v/>
      </c>
      <c r="BI52" s="3" t="str">
        <f t="shared" si="71"/>
        <v>(7 downto 4)</v>
      </c>
      <c r="BJ52" s="3" t="str">
        <f t="shared" si="72"/>
        <v/>
      </c>
      <c r="BK52" s="3" t="str">
        <f t="shared" si="73"/>
        <v/>
      </c>
      <c r="BL52" s="3" t="str">
        <f t="shared" si="74"/>
        <v/>
      </c>
      <c r="BM52" s="3">
        <f t="shared" si="75"/>
        <v>3</v>
      </c>
      <c r="BN52" s="3" t="str">
        <f t="shared" si="76"/>
        <v/>
      </c>
      <c r="BO52" s="3" t="str">
        <f t="shared" si="77"/>
        <v/>
      </c>
      <c r="BP52" s="3" t="str">
        <f t="shared" si="78"/>
        <v/>
      </c>
      <c r="BQ52" s="3" t="str">
        <f t="shared" si="79"/>
        <v/>
      </c>
      <c r="BR52" s="3" t="str">
        <f t="shared" si="80"/>
        <v/>
      </c>
      <c r="BS52" s="3" t="str">
        <f t="shared" si="81"/>
        <v/>
      </c>
      <c r="BT52" s="3" t="str">
        <f t="shared" si="82"/>
        <v/>
      </c>
    </row>
    <row r="53" spans="2:72" x14ac:dyDescent="0.25">
      <c r="B53" s="3" t="s">
        <v>326</v>
      </c>
      <c r="C53" s="3" t="s">
        <v>417</v>
      </c>
      <c r="D53" s="3" t="s">
        <v>1</v>
      </c>
      <c r="E53" s="3" t="s">
        <v>1062</v>
      </c>
      <c r="F53" s="3" t="s">
        <v>94</v>
      </c>
      <c r="G53" s="3" t="s">
        <v>283</v>
      </c>
      <c r="H53" s="3" t="s">
        <v>178</v>
      </c>
      <c r="I53" s="3" t="s">
        <v>24</v>
      </c>
      <c r="J53" s="3">
        <v>12</v>
      </c>
      <c r="K53" s="3" t="s">
        <v>299</v>
      </c>
      <c r="L53" s="3" t="s">
        <v>23</v>
      </c>
      <c r="M53" s="3">
        <v>18</v>
      </c>
      <c r="N53" s="3" t="str">
        <f t="shared" si="14"/>
        <v>012</v>
      </c>
      <c r="O53" s="3">
        <v>11</v>
      </c>
      <c r="P53" s="3">
        <v>0</v>
      </c>
      <c r="Q53" s="3" t="str">
        <f t="shared" si="15"/>
        <v/>
      </c>
      <c r="R53" s="3" t="str">
        <f t="shared" si="86"/>
        <v/>
      </c>
      <c r="S53" s="3" t="str">
        <f t="shared" si="86"/>
        <v/>
      </c>
      <c r="T53" s="3" t="str">
        <f t="shared" si="86"/>
        <v/>
      </c>
      <c r="U53" s="3" t="str">
        <f t="shared" si="86"/>
        <v/>
      </c>
      <c r="V53" s="3" t="str">
        <f t="shared" si="86"/>
        <v/>
      </c>
      <c r="W53" s="3" t="str">
        <f t="shared" si="86"/>
        <v/>
      </c>
      <c r="X53" s="3" t="str">
        <f t="shared" si="86"/>
        <v/>
      </c>
      <c r="Y53" s="3" t="str">
        <f t="shared" si="86"/>
        <v/>
      </c>
      <c r="Z53" s="3" t="str">
        <f t="shared" si="86"/>
        <v/>
      </c>
      <c r="AA53" s="3" t="str">
        <f t="shared" si="86"/>
        <v/>
      </c>
      <c r="AB53" s="3" t="str">
        <f t="shared" si="86"/>
        <v/>
      </c>
      <c r="AC53" s="3" t="str">
        <f t="shared" si="86"/>
        <v/>
      </c>
      <c r="AD53" s="3" t="str">
        <f t="shared" si="86"/>
        <v/>
      </c>
      <c r="AE53" s="3" t="str">
        <f t="shared" si="86"/>
        <v/>
      </c>
      <c r="AF53" s="3" t="str">
        <f t="shared" si="86"/>
        <v/>
      </c>
      <c r="AG53" s="3" t="str">
        <f t="shared" si="86"/>
        <v/>
      </c>
      <c r="AH53" s="3" t="str">
        <f t="shared" si="85"/>
        <v/>
      </c>
      <c r="AI53" s="3" t="str">
        <f t="shared" si="85"/>
        <v/>
      </c>
      <c r="AJ53" s="3" t="str">
        <f t="shared" si="85"/>
        <v/>
      </c>
      <c r="AK53" s="3" t="str">
        <f t="shared" si="85"/>
        <v>X</v>
      </c>
      <c r="AL53" s="3" t="str">
        <f t="shared" si="85"/>
        <v>X</v>
      </c>
      <c r="AM53" s="3" t="str">
        <f t="shared" si="85"/>
        <v>X</v>
      </c>
      <c r="AN53" s="3" t="str">
        <f t="shared" si="85"/>
        <v>X</v>
      </c>
      <c r="AO53" s="3" t="str">
        <f t="shared" si="85"/>
        <v>X</v>
      </c>
      <c r="AP53" s="3" t="str">
        <f t="shared" si="85"/>
        <v>X</v>
      </c>
      <c r="AQ53" s="3" t="str">
        <f t="shared" si="85"/>
        <v>X</v>
      </c>
      <c r="AR53" s="3" t="str">
        <f t="shared" si="85"/>
        <v>X</v>
      </c>
      <c r="AS53" s="3" t="str">
        <f t="shared" si="85"/>
        <v>X</v>
      </c>
      <c r="AT53" s="3" t="str">
        <f t="shared" si="85"/>
        <v>X</v>
      </c>
      <c r="AU53" s="3" t="str">
        <f t="shared" si="85"/>
        <v>X</v>
      </c>
      <c r="AV53" s="3" t="str">
        <f t="shared" si="85"/>
        <v>X</v>
      </c>
      <c r="AW53" s="3" t="str">
        <f t="shared" si="16"/>
        <v/>
      </c>
      <c r="AX53" s="3" t="str">
        <f t="shared" si="17"/>
        <v/>
      </c>
      <c r="AY53" s="3" t="str">
        <f t="shared" si="18"/>
        <v>X</v>
      </c>
      <c r="AZ53" s="3" t="str">
        <f t="shared" si="19"/>
        <v>X</v>
      </c>
      <c r="BA53" s="3" t="str">
        <f t="shared" si="63"/>
        <v/>
      </c>
      <c r="BB53" s="3" t="str">
        <f t="shared" si="64"/>
        <v/>
      </c>
      <c r="BC53" s="3">
        <f t="shared" si="65"/>
        <v>74</v>
      </c>
      <c r="BD53" s="3">
        <f t="shared" si="66"/>
        <v>75</v>
      </c>
      <c r="BE53" s="9" t="str">
        <f t="shared" si="67"/>
        <v/>
      </c>
      <c r="BF53" s="9" t="str">
        <f t="shared" si="68"/>
        <v/>
      </c>
      <c r="BG53" s="9" t="str">
        <f t="shared" si="69"/>
        <v>04A</v>
      </c>
      <c r="BH53" s="9" t="str">
        <f t="shared" si="70"/>
        <v>04B</v>
      </c>
      <c r="BI53" s="3" t="str">
        <f t="shared" si="71"/>
        <v/>
      </c>
      <c r="BJ53" s="3" t="str">
        <f t="shared" si="72"/>
        <v/>
      </c>
      <c r="BK53" s="3" t="str">
        <f t="shared" si="73"/>
        <v>(3 downto 0)</v>
      </c>
      <c r="BL53" s="3" t="str">
        <f t="shared" si="74"/>
        <v/>
      </c>
      <c r="BM53" s="3" t="str">
        <f t="shared" si="75"/>
        <v/>
      </c>
      <c r="BN53" s="3" t="str">
        <f t="shared" si="76"/>
        <v/>
      </c>
      <c r="BO53" s="3">
        <f t="shared" si="77"/>
        <v>11</v>
      </c>
      <c r="BP53" s="3">
        <f t="shared" si="78"/>
        <v>7</v>
      </c>
      <c r="BQ53" s="3" t="str">
        <f t="shared" si="79"/>
        <v/>
      </c>
      <c r="BR53" s="3" t="str">
        <f t="shared" si="80"/>
        <v/>
      </c>
      <c r="BS53" s="3" t="str">
        <f t="shared" si="81"/>
        <v>(11 downto 8)</v>
      </c>
      <c r="BT53" s="3" t="str">
        <f t="shared" si="82"/>
        <v>(7 downto 0)</v>
      </c>
    </row>
    <row r="54" spans="2:72" x14ac:dyDescent="0.25">
      <c r="B54" s="3" t="s">
        <v>326</v>
      </c>
      <c r="C54" s="3" t="s">
        <v>418</v>
      </c>
      <c r="D54" s="3" t="s">
        <v>1</v>
      </c>
      <c r="E54" s="3" t="s">
        <v>1062</v>
      </c>
      <c r="F54" s="3" t="s">
        <v>94</v>
      </c>
      <c r="G54" s="3" t="s">
        <v>283</v>
      </c>
      <c r="H54" s="3" t="s">
        <v>179</v>
      </c>
      <c r="I54" s="3" t="s">
        <v>24</v>
      </c>
      <c r="J54" s="3">
        <v>12</v>
      </c>
      <c r="K54" s="3" t="s">
        <v>300</v>
      </c>
      <c r="L54" s="3" t="s">
        <v>23</v>
      </c>
      <c r="M54" s="3">
        <v>18</v>
      </c>
      <c r="N54" s="3" t="str">
        <f t="shared" si="14"/>
        <v>012</v>
      </c>
      <c r="O54" s="3">
        <v>23</v>
      </c>
      <c r="P54" s="3">
        <v>12</v>
      </c>
      <c r="Q54" s="3" t="str">
        <f t="shared" si="15"/>
        <v/>
      </c>
      <c r="R54" s="3" t="str">
        <f t="shared" si="86"/>
        <v/>
      </c>
      <c r="S54" s="3" t="str">
        <f t="shared" si="86"/>
        <v/>
      </c>
      <c r="T54" s="3" t="str">
        <f t="shared" si="86"/>
        <v/>
      </c>
      <c r="U54" s="3" t="str">
        <f t="shared" si="86"/>
        <v/>
      </c>
      <c r="V54" s="3" t="str">
        <f t="shared" si="86"/>
        <v/>
      </c>
      <c r="W54" s="3" t="str">
        <f t="shared" si="86"/>
        <v/>
      </c>
      <c r="X54" s="3" t="str">
        <f t="shared" si="86"/>
        <v/>
      </c>
      <c r="Y54" s="3" t="str">
        <f t="shared" si="86"/>
        <v>X</v>
      </c>
      <c r="Z54" s="3" t="str">
        <f t="shared" si="86"/>
        <v>X</v>
      </c>
      <c r="AA54" s="3" t="str">
        <f t="shared" si="86"/>
        <v>X</v>
      </c>
      <c r="AB54" s="3" t="str">
        <f t="shared" si="86"/>
        <v>X</v>
      </c>
      <c r="AC54" s="3" t="str">
        <f t="shared" si="86"/>
        <v>X</v>
      </c>
      <c r="AD54" s="3" t="str">
        <f t="shared" si="86"/>
        <v>X</v>
      </c>
      <c r="AE54" s="3" t="str">
        <f t="shared" si="86"/>
        <v>X</v>
      </c>
      <c r="AF54" s="3" t="str">
        <f t="shared" si="86"/>
        <v>X</v>
      </c>
      <c r="AG54" s="3" t="str">
        <f t="shared" si="86"/>
        <v>X</v>
      </c>
      <c r="AH54" s="3" t="str">
        <f t="shared" si="85"/>
        <v>X</v>
      </c>
      <c r="AI54" s="3" t="str">
        <f t="shared" si="85"/>
        <v>X</v>
      </c>
      <c r="AJ54" s="3" t="str">
        <f t="shared" si="85"/>
        <v>X</v>
      </c>
      <c r="AK54" s="3" t="str">
        <f t="shared" si="85"/>
        <v/>
      </c>
      <c r="AL54" s="3" t="str">
        <f t="shared" si="85"/>
        <v/>
      </c>
      <c r="AM54" s="3" t="str">
        <f t="shared" si="85"/>
        <v/>
      </c>
      <c r="AN54" s="3" t="str">
        <f t="shared" si="85"/>
        <v/>
      </c>
      <c r="AO54" s="3" t="str">
        <f t="shared" si="85"/>
        <v/>
      </c>
      <c r="AP54" s="3" t="str">
        <f t="shared" si="85"/>
        <v/>
      </c>
      <c r="AQ54" s="3" t="str">
        <f t="shared" si="85"/>
        <v/>
      </c>
      <c r="AR54" s="3" t="str">
        <f t="shared" si="85"/>
        <v/>
      </c>
      <c r="AS54" s="3" t="str">
        <f t="shared" si="85"/>
        <v/>
      </c>
      <c r="AT54" s="3" t="str">
        <f t="shared" si="85"/>
        <v/>
      </c>
      <c r="AU54" s="3" t="str">
        <f t="shared" si="85"/>
        <v/>
      </c>
      <c r="AV54" s="3" t="str">
        <f t="shared" si="85"/>
        <v/>
      </c>
      <c r="AW54" s="3" t="str">
        <f t="shared" si="16"/>
        <v/>
      </c>
      <c r="AX54" s="3" t="str">
        <f t="shared" si="17"/>
        <v>X</v>
      </c>
      <c r="AY54" s="3" t="str">
        <f t="shared" si="18"/>
        <v>X</v>
      </c>
      <c r="AZ54" s="3" t="str">
        <f t="shared" si="19"/>
        <v/>
      </c>
      <c r="BA54" s="3" t="str">
        <f t="shared" si="63"/>
        <v/>
      </c>
      <c r="BB54" s="3">
        <f t="shared" si="64"/>
        <v>73</v>
      </c>
      <c r="BC54" s="3">
        <f t="shared" si="65"/>
        <v>74</v>
      </c>
      <c r="BD54" s="3" t="str">
        <f t="shared" si="66"/>
        <v/>
      </c>
      <c r="BE54" s="9" t="str">
        <f t="shared" si="67"/>
        <v/>
      </c>
      <c r="BF54" s="9" t="str">
        <f t="shared" si="68"/>
        <v>049</v>
      </c>
      <c r="BG54" s="9" t="str">
        <f t="shared" si="69"/>
        <v>04A</v>
      </c>
      <c r="BH54" s="9" t="str">
        <f t="shared" si="70"/>
        <v/>
      </c>
      <c r="BI54" s="3" t="str">
        <f t="shared" si="71"/>
        <v/>
      </c>
      <c r="BJ54" s="3" t="str">
        <f t="shared" si="72"/>
        <v/>
      </c>
      <c r="BK54" s="3" t="str">
        <f t="shared" si="73"/>
        <v>(7 downto 4)</v>
      </c>
      <c r="BL54" s="3" t="str">
        <f t="shared" si="74"/>
        <v/>
      </c>
      <c r="BM54" s="3" t="str">
        <f t="shared" si="75"/>
        <v/>
      </c>
      <c r="BN54" s="3">
        <f t="shared" si="76"/>
        <v>11</v>
      </c>
      <c r="BO54" s="3">
        <f t="shared" si="77"/>
        <v>3</v>
      </c>
      <c r="BP54" s="3" t="str">
        <f t="shared" si="78"/>
        <v/>
      </c>
      <c r="BQ54" s="3" t="str">
        <f t="shared" si="79"/>
        <v/>
      </c>
      <c r="BR54" s="3" t="str">
        <f t="shared" si="80"/>
        <v>(11 downto 4)</v>
      </c>
      <c r="BS54" s="3" t="str">
        <f t="shared" si="81"/>
        <v>(3 downto 0)</v>
      </c>
      <c r="BT54" s="3" t="str">
        <f t="shared" si="82"/>
        <v/>
      </c>
    </row>
    <row r="55" spans="2:72" x14ac:dyDescent="0.25">
      <c r="B55" s="3" t="s">
        <v>326</v>
      </c>
      <c r="C55" s="3" t="s">
        <v>419</v>
      </c>
      <c r="D55" s="3" t="s">
        <v>1</v>
      </c>
      <c r="E55" s="3" t="s">
        <v>1062</v>
      </c>
      <c r="F55" s="3" t="s">
        <v>94</v>
      </c>
      <c r="G55" s="3" t="s">
        <v>283</v>
      </c>
      <c r="H55" s="3" t="s">
        <v>1058</v>
      </c>
      <c r="I55" s="3" t="s">
        <v>24</v>
      </c>
      <c r="J55" s="3">
        <v>8</v>
      </c>
      <c r="K55" s="3" t="s">
        <v>301</v>
      </c>
      <c r="L55" s="3" t="s">
        <v>23</v>
      </c>
      <c r="M55" s="3">
        <v>18</v>
      </c>
      <c r="N55" s="3" t="str">
        <f t="shared" si="14"/>
        <v>012</v>
      </c>
      <c r="O55" s="3">
        <v>31</v>
      </c>
      <c r="P55" s="3">
        <v>24</v>
      </c>
      <c r="Q55" s="3" t="str">
        <f t="shared" si="15"/>
        <v>X</v>
      </c>
      <c r="R55" s="3" t="str">
        <f t="shared" si="86"/>
        <v>X</v>
      </c>
      <c r="S55" s="3" t="str">
        <f t="shared" si="86"/>
        <v>X</v>
      </c>
      <c r="T55" s="3" t="str">
        <f t="shared" si="86"/>
        <v>X</v>
      </c>
      <c r="U55" s="3" t="str">
        <f t="shared" si="86"/>
        <v>X</v>
      </c>
      <c r="V55" s="3" t="str">
        <f t="shared" si="86"/>
        <v>X</v>
      </c>
      <c r="W55" s="3" t="str">
        <f t="shared" si="86"/>
        <v>X</v>
      </c>
      <c r="X55" s="3" t="str">
        <f t="shared" si="86"/>
        <v>X</v>
      </c>
      <c r="Y55" s="3" t="str">
        <f t="shared" si="86"/>
        <v/>
      </c>
      <c r="Z55" s="3" t="str">
        <f t="shared" si="86"/>
        <v/>
      </c>
      <c r="AA55" s="3" t="str">
        <f t="shared" si="86"/>
        <v/>
      </c>
      <c r="AB55" s="3" t="str">
        <f t="shared" si="86"/>
        <v/>
      </c>
      <c r="AC55" s="3" t="str">
        <f t="shared" si="86"/>
        <v/>
      </c>
      <c r="AD55" s="3" t="str">
        <f t="shared" si="86"/>
        <v/>
      </c>
      <c r="AE55" s="3" t="str">
        <f t="shared" si="86"/>
        <v/>
      </c>
      <c r="AF55" s="3" t="str">
        <f t="shared" si="86"/>
        <v/>
      </c>
      <c r="AG55" s="3" t="str">
        <f t="shared" si="86"/>
        <v/>
      </c>
      <c r="AH55" s="3" t="str">
        <f t="shared" si="85"/>
        <v/>
      </c>
      <c r="AI55" s="3" t="str">
        <f t="shared" si="85"/>
        <v/>
      </c>
      <c r="AJ55" s="3" t="str">
        <f t="shared" si="85"/>
        <v/>
      </c>
      <c r="AK55" s="3" t="str">
        <f t="shared" si="85"/>
        <v/>
      </c>
      <c r="AL55" s="3" t="str">
        <f t="shared" si="85"/>
        <v/>
      </c>
      <c r="AM55" s="3" t="str">
        <f t="shared" si="85"/>
        <v/>
      </c>
      <c r="AN55" s="3" t="str">
        <f t="shared" si="85"/>
        <v/>
      </c>
      <c r="AO55" s="3" t="str">
        <f t="shared" si="85"/>
        <v/>
      </c>
      <c r="AP55" s="3" t="str">
        <f t="shared" si="85"/>
        <v/>
      </c>
      <c r="AQ55" s="3" t="str">
        <f t="shared" si="85"/>
        <v/>
      </c>
      <c r="AR55" s="3" t="str">
        <f t="shared" si="85"/>
        <v/>
      </c>
      <c r="AS55" s="3" t="str">
        <f t="shared" si="85"/>
        <v/>
      </c>
      <c r="AT55" s="3" t="str">
        <f t="shared" si="85"/>
        <v/>
      </c>
      <c r="AU55" s="3" t="str">
        <f t="shared" si="85"/>
        <v/>
      </c>
      <c r="AV55" s="3" t="str">
        <f t="shared" si="85"/>
        <v/>
      </c>
      <c r="AW55" s="3" t="str">
        <f t="shared" si="16"/>
        <v>X</v>
      </c>
      <c r="AX55" s="3" t="str">
        <f t="shared" si="17"/>
        <v/>
      </c>
      <c r="AY55" s="3" t="str">
        <f t="shared" si="18"/>
        <v/>
      </c>
      <c r="AZ55" s="3" t="str">
        <f t="shared" si="19"/>
        <v/>
      </c>
      <c r="BA55" s="3">
        <f t="shared" si="63"/>
        <v>72</v>
      </c>
      <c r="BB55" s="3" t="str">
        <f t="shared" si="64"/>
        <v/>
      </c>
      <c r="BC55" s="3" t="str">
        <f t="shared" si="65"/>
        <v/>
      </c>
      <c r="BD55" s="3" t="str">
        <f t="shared" si="66"/>
        <v/>
      </c>
      <c r="BE55" s="9" t="str">
        <f t="shared" si="67"/>
        <v>048</v>
      </c>
      <c r="BF55" s="9" t="str">
        <f t="shared" si="68"/>
        <v/>
      </c>
      <c r="BG55" s="9" t="str">
        <f t="shared" si="69"/>
        <v/>
      </c>
      <c r="BH55" s="9" t="str">
        <f t="shared" si="70"/>
        <v/>
      </c>
      <c r="BI55" s="3" t="str">
        <f t="shared" si="71"/>
        <v/>
      </c>
      <c r="BJ55" s="3" t="str">
        <f t="shared" si="72"/>
        <v/>
      </c>
      <c r="BK55" s="3" t="str">
        <f t="shared" si="73"/>
        <v/>
      </c>
      <c r="BL55" s="3" t="str">
        <f t="shared" si="74"/>
        <v/>
      </c>
      <c r="BM55" s="3">
        <f t="shared" si="75"/>
        <v>7</v>
      </c>
      <c r="BN55" s="3" t="str">
        <f t="shared" si="76"/>
        <v/>
      </c>
      <c r="BO55" s="3" t="str">
        <f t="shared" si="77"/>
        <v/>
      </c>
      <c r="BP55" s="3" t="str">
        <f t="shared" si="78"/>
        <v/>
      </c>
      <c r="BQ55" s="3" t="str">
        <f t="shared" si="79"/>
        <v/>
      </c>
      <c r="BR55" s="3" t="str">
        <f t="shared" si="80"/>
        <v/>
      </c>
      <c r="BS55" s="3" t="str">
        <f t="shared" si="81"/>
        <v/>
      </c>
      <c r="BT55" s="3" t="str">
        <f t="shared" si="82"/>
        <v/>
      </c>
    </row>
    <row r="56" spans="2:72" x14ac:dyDescent="0.25">
      <c r="B56" s="3" t="s">
        <v>327</v>
      </c>
      <c r="C56" s="3" t="s">
        <v>419</v>
      </c>
      <c r="D56" s="3" t="s">
        <v>1</v>
      </c>
      <c r="E56" s="3" t="s">
        <v>1062</v>
      </c>
      <c r="F56" s="3" t="s">
        <v>95</v>
      </c>
      <c r="G56" s="3" t="s">
        <v>284</v>
      </c>
      <c r="H56" s="3" t="s">
        <v>1059</v>
      </c>
      <c r="I56" s="3" t="s">
        <v>24</v>
      </c>
      <c r="J56" s="3">
        <v>4</v>
      </c>
      <c r="K56" s="3" t="s">
        <v>302</v>
      </c>
      <c r="L56" s="3" t="s">
        <v>23</v>
      </c>
      <c r="M56" s="3">
        <v>19</v>
      </c>
      <c r="N56" s="3" t="str">
        <f t="shared" si="14"/>
        <v>013</v>
      </c>
      <c r="O56" s="3">
        <v>3</v>
      </c>
      <c r="P56" s="3">
        <v>0</v>
      </c>
      <c r="Q56" s="3" t="str">
        <f t="shared" si="15"/>
        <v/>
      </c>
      <c r="R56" s="3" t="str">
        <f t="shared" si="86"/>
        <v/>
      </c>
      <c r="S56" s="3" t="str">
        <f t="shared" si="86"/>
        <v/>
      </c>
      <c r="T56" s="3" t="str">
        <f t="shared" si="86"/>
        <v/>
      </c>
      <c r="U56" s="3" t="str">
        <f t="shared" si="86"/>
        <v/>
      </c>
      <c r="V56" s="3" t="str">
        <f t="shared" si="86"/>
        <v/>
      </c>
      <c r="W56" s="3" t="str">
        <f t="shared" si="86"/>
        <v/>
      </c>
      <c r="X56" s="3" t="str">
        <f t="shared" si="86"/>
        <v/>
      </c>
      <c r="Y56" s="3" t="str">
        <f t="shared" si="86"/>
        <v/>
      </c>
      <c r="Z56" s="3" t="str">
        <f t="shared" si="86"/>
        <v/>
      </c>
      <c r="AA56" s="3" t="str">
        <f t="shared" si="86"/>
        <v/>
      </c>
      <c r="AB56" s="3" t="str">
        <f t="shared" si="86"/>
        <v/>
      </c>
      <c r="AC56" s="3" t="str">
        <f t="shared" si="86"/>
        <v/>
      </c>
      <c r="AD56" s="3" t="str">
        <f t="shared" si="86"/>
        <v/>
      </c>
      <c r="AE56" s="3" t="str">
        <f t="shared" si="86"/>
        <v/>
      </c>
      <c r="AF56" s="3" t="str">
        <f t="shared" si="86"/>
        <v/>
      </c>
      <c r="AG56" s="3" t="str">
        <f t="shared" si="86"/>
        <v/>
      </c>
      <c r="AH56" s="3" t="str">
        <f t="shared" si="85"/>
        <v/>
      </c>
      <c r="AI56" s="3" t="str">
        <f t="shared" si="85"/>
        <v/>
      </c>
      <c r="AJ56" s="3" t="str">
        <f t="shared" si="85"/>
        <v/>
      </c>
      <c r="AK56" s="3" t="str">
        <f t="shared" si="85"/>
        <v/>
      </c>
      <c r="AL56" s="3" t="str">
        <f t="shared" si="85"/>
        <v/>
      </c>
      <c r="AM56" s="3" t="str">
        <f t="shared" si="85"/>
        <v/>
      </c>
      <c r="AN56" s="3" t="str">
        <f t="shared" si="85"/>
        <v/>
      </c>
      <c r="AO56" s="3" t="str">
        <f t="shared" si="85"/>
        <v/>
      </c>
      <c r="AP56" s="3" t="str">
        <f t="shared" si="85"/>
        <v/>
      </c>
      <c r="AQ56" s="3" t="str">
        <f t="shared" si="85"/>
        <v/>
      </c>
      <c r="AR56" s="3" t="str">
        <f t="shared" si="85"/>
        <v/>
      </c>
      <c r="AS56" s="3" t="str">
        <f t="shared" si="85"/>
        <v>X</v>
      </c>
      <c r="AT56" s="3" t="str">
        <f t="shared" si="85"/>
        <v>X</v>
      </c>
      <c r="AU56" s="3" t="str">
        <f t="shared" si="85"/>
        <v>X</v>
      </c>
      <c r="AV56" s="3" t="str">
        <f t="shared" si="85"/>
        <v>X</v>
      </c>
      <c r="AW56" s="3" t="str">
        <f t="shared" si="16"/>
        <v/>
      </c>
      <c r="AX56" s="3" t="str">
        <f t="shared" si="17"/>
        <v/>
      </c>
      <c r="AY56" s="3" t="str">
        <f t="shared" si="18"/>
        <v/>
      </c>
      <c r="AZ56" s="3" t="str">
        <f t="shared" si="19"/>
        <v>X</v>
      </c>
      <c r="BA56" s="3" t="str">
        <f t="shared" si="63"/>
        <v/>
      </c>
      <c r="BB56" s="3" t="str">
        <f t="shared" si="64"/>
        <v/>
      </c>
      <c r="BC56" s="3" t="str">
        <f t="shared" si="65"/>
        <v/>
      </c>
      <c r="BD56" s="3">
        <f t="shared" si="66"/>
        <v>79</v>
      </c>
      <c r="BE56" s="9" t="str">
        <f t="shared" si="67"/>
        <v/>
      </c>
      <c r="BF56" s="9" t="str">
        <f t="shared" si="68"/>
        <v/>
      </c>
      <c r="BG56" s="9" t="str">
        <f t="shared" si="69"/>
        <v/>
      </c>
      <c r="BH56" s="9" t="str">
        <f t="shared" si="70"/>
        <v>04F</v>
      </c>
      <c r="BI56" s="3" t="str">
        <f t="shared" si="71"/>
        <v/>
      </c>
      <c r="BJ56" s="3" t="str">
        <f t="shared" si="72"/>
        <v/>
      </c>
      <c r="BK56" s="3" t="str">
        <f t="shared" si="73"/>
        <v/>
      </c>
      <c r="BL56" s="3" t="str">
        <f t="shared" si="74"/>
        <v>(3 downto 0)</v>
      </c>
      <c r="BM56" s="3" t="str">
        <f t="shared" si="75"/>
        <v/>
      </c>
      <c r="BN56" s="3" t="str">
        <f t="shared" si="76"/>
        <v/>
      </c>
      <c r="BO56" s="3" t="str">
        <f t="shared" si="77"/>
        <v/>
      </c>
      <c r="BP56" s="3">
        <f t="shared" si="78"/>
        <v>3</v>
      </c>
      <c r="BQ56" s="3" t="str">
        <f t="shared" si="79"/>
        <v/>
      </c>
      <c r="BR56" s="3" t="str">
        <f t="shared" si="80"/>
        <v/>
      </c>
      <c r="BS56" s="3" t="str">
        <f t="shared" si="81"/>
        <v/>
      </c>
      <c r="BT56" s="3" t="str">
        <f t="shared" si="82"/>
        <v/>
      </c>
    </row>
    <row r="57" spans="2:72" x14ac:dyDescent="0.25">
      <c r="B57" s="3" t="s">
        <v>327</v>
      </c>
      <c r="C57" s="3" t="s">
        <v>420</v>
      </c>
      <c r="D57" s="3" t="s">
        <v>1</v>
      </c>
      <c r="E57" s="3" t="s">
        <v>1062</v>
      </c>
      <c r="F57" s="3" t="s">
        <v>95</v>
      </c>
      <c r="G57" s="3" t="s">
        <v>284</v>
      </c>
      <c r="H57" s="3" t="s">
        <v>180</v>
      </c>
      <c r="I57" s="3" t="s">
        <v>24</v>
      </c>
      <c r="J57" s="3">
        <v>12</v>
      </c>
      <c r="K57" s="3" t="s">
        <v>300</v>
      </c>
      <c r="L57" s="3" t="s">
        <v>23</v>
      </c>
      <c r="M57" s="3">
        <v>19</v>
      </c>
      <c r="N57" s="3" t="str">
        <f t="shared" si="14"/>
        <v>013</v>
      </c>
      <c r="O57" s="3">
        <v>15</v>
      </c>
      <c r="P57" s="3">
        <v>4</v>
      </c>
      <c r="Q57" s="3" t="str">
        <f t="shared" si="15"/>
        <v/>
      </c>
      <c r="R57" s="3" t="str">
        <f t="shared" si="86"/>
        <v/>
      </c>
      <c r="S57" s="3" t="str">
        <f t="shared" si="86"/>
        <v/>
      </c>
      <c r="T57" s="3" t="str">
        <f t="shared" si="86"/>
        <v/>
      </c>
      <c r="U57" s="3" t="str">
        <f t="shared" si="86"/>
        <v/>
      </c>
      <c r="V57" s="3" t="str">
        <f t="shared" si="86"/>
        <v/>
      </c>
      <c r="W57" s="3" t="str">
        <f t="shared" si="86"/>
        <v/>
      </c>
      <c r="X57" s="3" t="str">
        <f t="shared" si="86"/>
        <v/>
      </c>
      <c r="Y57" s="3" t="str">
        <f t="shared" si="86"/>
        <v/>
      </c>
      <c r="Z57" s="3" t="str">
        <f t="shared" si="86"/>
        <v/>
      </c>
      <c r="AA57" s="3" t="str">
        <f t="shared" si="86"/>
        <v/>
      </c>
      <c r="AB57" s="3" t="str">
        <f t="shared" si="86"/>
        <v/>
      </c>
      <c r="AC57" s="3" t="str">
        <f t="shared" si="86"/>
        <v/>
      </c>
      <c r="AD57" s="3" t="str">
        <f t="shared" si="86"/>
        <v/>
      </c>
      <c r="AE57" s="3" t="str">
        <f t="shared" si="86"/>
        <v/>
      </c>
      <c r="AF57" s="3" t="str">
        <f t="shared" si="86"/>
        <v/>
      </c>
      <c r="AG57" s="3" t="str">
        <f t="shared" si="86"/>
        <v>X</v>
      </c>
      <c r="AH57" s="3" t="str">
        <f t="shared" si="85"/>
        <v>X</v>
      </c>
      <c r="AI57" s="3" t="str">
        <f t="shared" si="85"/>
        <v>X</v>
      </c>
      <c r="AJ57" s="3" t="str">
        <f t="shared" si="85"/>
        <v>X</v>
      </c>
      <c r="AK57" s="3" t="str">
        <f t="shared" si="85"/>
        <v>X</v>
      </c>
      <c r="AL57" s="3" t="str">
        <f t="shared" si="85"/>
        <v>X</v>
      </c>
      <c r="AM57" s="3" t="str">
        <f t="shared" si="85"/>
        <v>X</v>
      </c>
      <c r="AN57" s="3" t="str">
        <f t="shared" si="85"/>
        <v>X</v>
      </c>
      <c r="AO57" s="3" t="str">
        <f t="shared" si="85"/>
        <v>X</v>
      </c>
      <c r="AP57" s="3" t="str">
        <f t="shared" si="85"/>
        <v>X</v>
      </c>
      <c r="AQ57" s="3" t="str">
        <f t="shared" si="85"/>
        <v>X</v>
      </c>
      <c r="AR57" s="3" t="str">
        <f t="shared" si="85"/>
        <v>X</v>
      </c>
      <c r="AS57" s="3" t="str">
        <f t="shared" si="85"/>
        <v/>
      </c>
      <c r="AT57" s="3" t="str">
        <f t="shared" si="85"/>
        <v/>
      </c>
      <c r="AU57" s="3" t="str">
        <f t="shared" si="85"/>
        <v/>
      </c>
      <c r="AV57" s="3" t="str">
        <f t="shared" si="85"/>
        <v/>
      </c>
      <c r="AW57" s="3" t="str">
        <f t="shared" si="16"/>
        <v/>
      </c>
      <c r="AX57" s="3" t="str">
        <f t="shared" si="17"/>
        <v/>
      </c>
      <c r="AY57" s="3" t="str">
        <f t="shared" si="18"/>
        <v>X</v>
      </c>
      <c r="AZ57" s="3" t="str">
        <f t="shared" si="19"/>
        <v>X</v>
      </c>
      <c r="BA57" s="3" t="str">
        <f t="shared" si="63"/>
        <v/>
      </c>
      <c r="BB57" s="3" t="str">
        <f t="shared" si="64"/>
        <v/>
      </c>
      <c r="BC57" s="3">
        <f t="shared" si="65"/>
        <v>78</v>
      </c>
      <c r="BD57" s="3">
        <f t="shared" si="66"/>
        <v>79</v>
      </c>
      <c r="BE57" s="9" t="str">
        <f t="shared" si="67"/>
        <v/>
      </c>
      <c r="BF57" s="9" t="str">
        <f t="shared" si="68"/>
        <v/>
      </c>
      <c r="BG57" s="9" t="str">
        <f t="shared" si="69"/>
        <v>04E</v>
      </c>
      <c r="BH57" s="9" t="str">
        <f t="shared" si="70"/>
        <v>04F</v>
      </c>
      <c r="BI57" s="3" t="str">
        <f t="shared" si="71"/>
        <v/>
      </c>
      <c r="BJ57" s="3" t="str">
        <f t="shared" si="72"/>
        <v/>
      </c>
      <c r="BK57" s="3" t="str">
        <f t="shared" si="73"/>
        <v/>
      </c>
      <c r="BL57" s="3" t="str">
        <f t="shared" si="74"/>
        <v>(7 downto 4)</v>
      </c>
      <c r="BM57" s="3" t="str">
        <f t="shared" si="75"/>
        <v/>
      </c>
      <c r="BN57" s="3" t="str">
        <f t="shared" si="76"/>
        <v/>
      </c>
      <c r="BO57" s="3">
        <f t="shared" si="77"/>
        <v>11</v>
      </c>
      <c r="BP57" s="3">
        <f t="shared" si="78"/>
        <v>3</v>
      </c>
      <c r="BQ57" s="3" t="str">
        <f t="shared" si="79"/>
        <v/>
      </c>
      <c r="BR57" s="3" t="str">
        <f t="shared" si="80"/>
        <v/>
      </c>
      <c r="BS57" s="3" t="str">
        <f t="shared" si="81"/>
        <v>(11 downto 4)</v>
      </c>
      <c r="BT57" s="3" t="str">
        <f t="shared" si="82"/>
        <v>(3 downto 0)</v>
      </c>
    </row>
    <row r="58" spans="2:72" x14ac:dyDescent="0.25">
      <c r="B58" s="3" t="s">
        <v>327</v>
      </c>
      <c r="C58" s="3" t="s">
        <v>421</v>
      </c>
      <c r="D58" s="3" t="s">
        <v>1</v>
      </c>
      <c r="E58" s="3" t="s">
        <v>1062</v>
      </c>
      <c r="F58" s="3" t="s">
        <v>95</v>
      </c>
      <c r="G58" s="3" t="s">
        <v>284</v>
      </c>
      <c r="H58" s="3" t="s">
        <v>181</v>
      </c>
      <c r="I58" s="3" t="s">
        <v>24</v>
      </c>
      <c r="J58" s="3">
        <v>12</v>
      </c>
      <c r="K58" s="3" t="s">
        <v>300</v>
      </c>
      <c r="L58" s="3" t="s">
        <v>23</v>
      </c>
      <c r="M58" s="3">
        <v>19</v>
      </c>
      <c r="N58" s="3" t="str">
        <f t="shared" si="14"/>
        <v>013</v>
      </c>
      <c r="O58" s="3">
        <v>27</v>
      </c>
      <c r="P58" s="3">
        <v>16</v>
      </c>
      <c r="Q58" s="3" t="str">
        <f t="shared" si="15"/>
        <v/>
      </c>
      <c r="R58" s="3" t="str">
        <f t="shared" si="86"/>
        <v/>
      </c>
      <c r="S58" s="3" t="str">
        <f t="shared" si="86"/>
        <v/>
      </c>
      <c r="T58" s="3" t="str">
        <f t="shared" si="86"/>
        <v/>
      </c>
      <c r="U58" s="3" t="str">
        <f t="shared" si="86"/>
        <v>X</v>
      </c>
      <c r="V58" s="3" t="str">
        <f t="shared" si="86"/>
        <v>X</v>
      </c>
      <c r="W58" s="3" t="str">
        <f t="shared" si="86"/>
        <v>X</v>
      </c>
      <c r="X58" s="3" t="str">
        <f t="shared" si="86"/>
        <v>X</v>
      </c>
      <c r="Y58" s="3" t="str">
        <f t="shared" si="86"/>
        <v>X</v>
      </c>
      <c r="Z58" s="3" t="str">
        <f t="shared" si="86"/>
        <v>X</v>
      </c>
      <c r="AA58" s="3" t="str">
        <f t="shared" si="86"/>
        <v>X</v>
      </c>
      <c r="AB58" s="3" t="str">
        <f t="shared" si="86"/>
        <v>X</v>
      </c>
      <c r="AC58" s="3" t="str">
        <f t="shared" si="86"/>
        <v>X</v>
      </c>
      <c r="AD58" s="3" t="str">
        <f t="shared" si="86"/>
        <v>X</v>
      </c>
      <c r="AE58" s="3" t="str">
        <f t="shared" si="86"/>
        <v>X</v>
      </c>
      <c r="AF58" s="3" t="str">
        <f t="shared" si="86"/>
        <v>X</v>
      </c>
      <c r="AG58" s="3" t="str">
        <f t="shared" si="86"/>
        <v/>
      </c>
      <c r="AH58" s="3" t="str">
        <f t="shared" ref="AH58:AV121" si="87">IF(AND($O58&gt;=AH$3,AH$3&gt;=$P58),"X","")</f>
        <v/>
      </c>
      <c r="AI58" s="3" t="str">
        <f t="shared" si="87"/>
        <v/>
      </c>
      <c r="AJ58" s="3" t="str">
        <f t="shared" si="87"/>
        <v/>
      </c>
      <c r="AK58" s="3" t="str">
        <f t="shared" si="87"/>
        <v/>
      </c>
      <c r="AL58" s="3" t="str">
        <f t="shared" si="87"/>
        <v/>
      </c>
      <c r="AM58" s="3" t="str">
        <f t="shared" si="87"/>
        <v/>
      </c>
      <c r="AN58" s="3" t="str">
        <f t="shared" si="87"/>
        <v/>
      </c>
      <c r="AO58" s="3" t="str">
        <f t="shared" si="87"/>
        <v/>
      </c>
      <c r="AP58" s="3" t="str">
        <f t="shared" si="87"/>
        <v/>
      </c>
      <c r="AQ58" s="3" t="str">
        <f t="shared" si="87"/>
        <v/>
      </c>
      <c r="AR58" s="3" t="str">
        <f t="shared" si="87"/>
        <v/>
      </c>
      <c r="AS58" s="3" t="str">
        <f t="shared" si="87"/>
        <v/>
      </c>
      <c r="AT58" s="3" t="str">
        <f t="shared" si="87"/>
        <v/>
      </c>
      <c r="AU58" s="3" t="str">
        <f t="shared" si="87"/>
        <v/>
      </c>
      <c r="AV58" s="3" t="str">
        <f t="shared" si="87"/>
        <v/>
      </c>
      <c r="AW58" s="3" t="str">
        <f t="shared" si="16"/>
        <v>X</v>
      </c>
      <c r="AX58" s="3" t="str">
        <f t="shared" si="17"/>
        <v>X</v>
      </c>
      <c r="AY58" s="3" t="str">
        <f t="shared" si="18"/>
        <v/>
      </c>
      <c r="AZ58" s="3" t="str">
        <f t="shared" si="19"/>
        <v/>
      </c>
      <c r="BA58" s="3">
        <f t="shared" si="63"/>
        <v>76</v>
      </c>
      <c r="BB58" s="3">
        <f t="shared" si="64"/>
        <v>77</v>
      </c>
      <c r="BC58" s="3" t="str">
        <f t="shared" si="65"/>
        <v/>
      </c>
      <c r="BD58" s="3" t="str">
        <f t="shared" si="66"/>
        <v/>
      </c>
      <c r="BE58" s="9" t="str">
        <f t="shared" si="67"/>
        <v>04C</v>
      </c>
      <c r="BF58" s="9" t="str">
        <f t="shared" si="68"/>
        <v>04D</v>
      </c>
      <c r="BG58" s="9" t="str">
        <f t="shared" si="69"/>
        <v/>
      </c>
      <c r="BH58" s="9" t="str">
        <f t="shared" si="70"/>
        <v/>
      </c>
      <c r="BI58" s="3" t="str">
        <f t="shared" si="71"/>
        <v>(3 downto 0)</v>
      </c>
      <c r="BJ58" s="3" t="str">
        <f t="shared" si="72"/>
        <v/>
      </c>
      <c r="BK58" s="3" t="str">
        <f t="shared" si="73"/>
        <v/>
      </c>
      <c r="BL58" s="3" t="str">
        <f t="shared" si="74"/>
        <v/>
      </c>
      <c r="BM58" s="3">
        <f t="shared" si="75"/>
        <v>11</v>
      </c>
      <c r="BN58" s="3">
        <f t="shared" si="76"/>
        <v>7</v>
      </c>
      <c r="BO58" s="3" t="str">
        <f t="shared" si="77"/>
        <v/>
      </c>
      <c r="BP58" s="3" t="str">
        <f t="shared" si="78"/>
        <v/>
      </c>
      <c r="BQ58" s="3" t="str">
        <f t="shared" si="79"/>
        <v>(11 downto 8)</v>
      </c>
      <c r="BR58" s="3" t="str">
        <f t="shared" si="80"/>
        <v>(7 downto 0)</v>
      </c>
      <c r="BS58" s="3" t="str">
        <f t="shared" si="81"/>
        <v/>
      </c>
      <c r="BT58" s="3" t="str">
        <f t="shared" si="82"/>
        <v/>
      </c>
    </row>
    <row r="59" spans="2:72" x14ac:dyDescent="0.25">
      <c r="B59" s="3" t="s">
        <v>327</v>
      </c>
      <c r="C59" s="3" t="s">
        <v>422</v>
      </c>
      <c r="D59" s="3" t="s">
        <v>1</v>
      </c>
      <c r="E59" s="3" t="s">
        <v>1062</v>
      </c>
      <c r="F59" s="3" t="s">
        <v>95</v>
      </c>
      <c r="G59" s="3" t="s">
        <v>284</v>
      </c>
      <c r="H59" s="3" t="s">
        <v>1060</v>
      </c>
      <c r="I59" s="3" t="s">
        <v>24</v>
      </c>
      <c r="J59" s="3">
        <v>4</v>
      </c>
      <c r="K59" s="3" t="s">
        <v>303</v>
      </c>
      <c r="L59" s="3" t="s">
        <v>23</v>
      </c>
      <c r="M59" s="3">
        <v>19</v>
      </c>
      <c r="N59" s="3" t="str">
        <f t="shared" si="14"/>
        <v>013</v>
      </c>
      <c r="O59" s="3">
        <v>31</v>
      </c>
      <c r="P59" s="3">
        <v>28</v>
      </c>
      <c r="Q59" s="3" t="str">
        <f t="shared" si="15"/>
        <v>X</v>
      </c>
      <c r="R59" s="3" t="str">
        <f t="shared" si="86"/>
        <v>X</v>
      </c>
      <c r="S59" s="3" t="str">
        <f t="shared" si="86"/>
        <v>X</v>
      </c>
      <c r="T59" s="3" t="str">
        <f t="shared" si="86"/>
        <v>X</v>
      </c>
      <c r="U59" s="3" t="str">
        <f t="shared" si="86"/>
        <v/>
      </c>
      <c r="V59" s="3" t="str">
        <f t="shared" si="86"/>
        <v/>
      </c>
      <c r="W59" s="3" t="str">
        <f t="shared" si="86"/>
        <v/>
      </c>
      <c r="X59" s="3" t="str">
        <f t="shared" si="86"/>
        <v/>
      </c>
      <c r="Y59" s="3" t="str">
        <f t="shared" si="86"/>
        <v/>
      </c>
      <c r="Z59" s="3" t="str">
        <f t="shared" si="86"/>
        <v/>
      </c>
      <c r="AA59" s="3" t="str">
        <f t="shared" si="86"/>
        <v/>
      </c>
      <c r="AB59" s="3" t="str">
        <f t="shared" si="86"/>
        <v/>
      </c>
      <c r="AC59" s="3" t="str">
        <f t="shared" si="86"/>
        <v/>
      </c>
      <c r="AD59" s="3" t="str">
        <f t="shared" si="86"/>
        <v/>
      </c>
      <c r="AE59" s="3" t="str">
        <f t="shared" si="86"/>
        <v/>
      </c>
      <c r="AF59" s="3" t="str">
        <f t="shared" si="86"/>
        <v/>
      </c>
      <c r="AG59" s="3" t="str">
        <f t="shared" si="86"/>
        <v/>
      </c>
      <c r="AH59" s="3" t="str">
        <f t="shared" si="87"/>
        <v/>
      </c>
      <c r="AI59" s="3" t="str">
        <f t="shared" si="87"/>
        <v/>
      </c>
      <c r="AJ59" s="3" t="str">
        <f t="shared" si="87"/>
        <v/>
      </c>
      <c r="AK59" s="3" t="str">
        <f t="shared" si="87"/>
        <v/>
      </c>
      <c r="AL59" s="3" t="str">
        <f t="shared" si="87"/>
        <v/>
      </c>
      <c r="AM59" s="3" t="str">
        <f t="shared" si="87"/>
        <v/>
      </c>
      <c r="AN59" s="3" t="str">
        <f t="shared" si="87"/>
        <v/>
      </c>
      <c r="AO59" s="3" t="str">
        <f t="shared" si="87"/>
        <v/>
      </c>
      <c r="AP59" s="3" t="str">
        <f t="shared" si="87"/>
        <v/>
      </c>
      <c r="AQ59" s="3" t="str">
        <f t="shared" si="87"/>
        <v/>
      </c>
      <c r="AR59" s="3" t="str">
        <f t="shared" si="87"/>
        <v/>
      </c>
      <c r="AS59" s="3" t="str">
        <f t="shared" si="87"/>
        <v/>
      </c>
      <c r="AT59" s="3" t="str">
        <f t="shared" si="87"/>
        <v/>
      </c>
      <c r="AU59" s="3" t="str">
        <f t="shared" si="87"/>
        <v/>
      </c>
      <c r="AV59" s="3" t="str">
        <f t="shared" si="87"/>
        <v/>
      </c>
      <c r="AW59" s="3" t="str">
        <f t="shared" si="16"/>
        <v>X</v>
      </c>
      <c r="AX59" s="3" t="str">
        <f t="shared" si="17"/>
        <v/>
      </c>
      <c r="AY59" s="3" t="str">
        <f t="shared" si="18"/>
        <v/>
      </c>
      <c r="AZ59" s="3" t="str">
        <f t="shared" si="19"/>
        <v/>
      </c>
      <c r="BA59" s="3">
        <f t="shared" si="63"/>
        <v>76</v>
      </c>
      <c r="BB59" s="3" t="str">
        <f t="shared" si="64"/>
        <v/>
      </c>
      <c r="BC59" s="3" t="str">
        <f t="shared" si="65"/>
        <v/>
      </c>
      <c r="BD59" s="3" t="str">
        <f t="shared" si="66"/>
        <v/>
      </c>
      <c r="BE59" s="9" t="str">
        <f t="shared" si="67"/>
        <v>04C</v>
      </c>
      <c r="BF59" s="9" t="str">
        <f t="shared" si="68"/>
        <v/>
      </c>
      <c r="BG59" s="9" t="str">
        <f t="shared" si="69"/>
        <v/>
      </c>
      <c r="BH59" s="9" t="str">
        <f t="shared" si="70"/>
        <v/>
      </c>
      <c r="BI59" s="3" t="str">
        <f t="shared" si="71"/>
        <v>(7 downto 4)</v>
      </c>
      <c r="BJ59" s="3" t="str">
        <f t="shared" si="72"/>
        <v/>
      </c>
      <c r="BK59" s="3" t="str">
        <f t="shared" si="73"/>
        <v/>
      </c>
      <c r="BL59" s="3" t="str">
        <f t="shared" si="74"/>
        <v/>
      </c>
      <c r="BM59" s="3">
        <f t="shared" si="75"/>
        <v>3</v>
      </c>
      <c r="BN59" s="3" t="str">
        <f t="shared" si="76"/>
        <v/>
      </c>
      <c r="BO59" s="3" t="str">
        <f t="shared" si="77"/>
        <v/>
      </c>
      <c r="BP59" s="3" t="str">
        <f t="shared" si="78"/>
        <v/>
      </c>
      <c r="BQ59" s="3" t="str">
        <f t="shared" si="79"/>
        <v/>
      </c>
      <c r="BR59" s="3" t="str">
        <f t="shared" si="80"/>
        <v/>
      </c>
      <c r="BS59" s="3" t="str">
        <f t="shared" si="81"/>
        <v/>
      </c>
      <c r="BT59" s="3" t="str">
        <f t="shared" si="82"/>
        <v/>
      </c>
    </row>
    <row r="60" spans="2:72" x14ac:dyDescent="0.25">
      <c r="B60" s="3" t="s">
        <v>328</v>
      </c>
      <c r="C60" s="3" t="s">
        <v>422</v>
      </c>
      <c r="D60" s="3" t="s">
        <v>1</v>
      </c>
      <c r="E60" s="3" t="s">
        <v>1062</v>
      </c>
      <c r="F60" s="3" t="s">
        <v>96</v>
      </c>
      <c r="G60" s="3" t="s">
        <v>285</v>
      </c>
      <c r="H60" s="3" t="s">
        <v>1061</v>
      </c>
      <c r="I60" s="3" t="s">
        <v>24</v>
      </c>
      <c r="J60" s="3">
        <v>8</v>
      </c>
      <c r="K60" s="3" t="s">
        <v>304</v>
      </c>
      <c r="L60" s="3" t="s">
        <v>23</v>
      </c>
      <c r="M60" s="3">
        <v>20</v>
      </c>
      <c r="N60" s="3" t="str">
        <f t="shared" si="14"/>
        <v>014</v>
      </c>
      <c r="O60" s="3">
        <v>7</v>
      </c>
      <c r="P60" s="3">
        <v>0</v>
      </c>
      <c r="Q60" s="3" t="str">
        <f t="shared" si="15"/>
        <v/>
      </c>
      <c r="R60" s="3" t="str">
        <f t="shared" si="86"/>
        <v/>
      </c>
      <c r="S60" s="3" t="str">
        <f t="shared" si="86"/>
        <v/>
      </c>
      <c r="T60" s="3" t="str">
        <f t="shared" si="86"/>
        <v/>
      </c>
      <c r="U60" s="3" t="str">
        <f t="shared" si="86"/>
        <v/>
      </c>
      <c r="V60" s="3" t="str">
        <f t="shared" si="86"/>
        <v/>
      </c>
      <c r="W60" s="3" t="str">
        <f t="shared" si="86"/>
        <v/>
      </c>
      <c r="X60" s="3" t="str">
        <f t="shared" si="86"/>
        <v/>
      </c>
      <c r="Y60" s="3" t="str">
        <f t="shared" si="86"/>
        <v/>
      </c>
      <c r="Z60" s="3" t="str">
        <f t="shared" si="86"/>
        <v/>
      </c>
      <c r="AA60" s="3" t="str">
        <f t="shared" si="86"/>
        <v/>
      </c>
      <c r="AB60" s="3" t="str">
        <f t="shared" si="86"/>
        <v/>
      </c>
      <c r="AC60" s="3" t="str">
        <f t="shared" si="86"/>
        <v/>
      </c>
      <c r="AD60" s="3" t="str">
        <f t="shared" si="86"/>
        <v/>
      </c>
      <c r="AE60" s="3" t="str">
        <f t="shared" si="86"/>
        <v/>
      </c>
      <c r="AF60" s="3" t="str">
        <f t="shared" si="86"/>
        <v/>
      </c>
      <c r="AG60" s="3" t="str">
        <f t="shared" si="86"/>
        <v/>
      </c>
      <c r="AH60" s="3" t="str">
        <f t="shared" si="87"/>
        <v/>
      </c>
      <c r="AI60" s="3" t="str">
        <f t="shared" si="87"/>
        <v/>
      </c>
      <c r="AJ60" s="3" t="str">
        <f t="shared" si="87"/>
        <v/>
      </c>
      <c r="AK60" s="3" t="str">
        <f t="shared" si="87"/>
        <v/>
      </c>
      <c r="AL60" s="3" t="str">
        <f t="shared" si="87"/>
        <v/>
      </c>
      <c r="AM60" s="3" t="str">
        <f t="shared" si="87"/>
        <v/>
      </c>
      <c r="AN60" s="3" t="str">
        <f t="shared" si="87"/>
        <v/>
      </c>
      <c r="AO60" s="3" t="str">
        <f t="shared" si="87"/>
        <v>X</v>
      </c>
      <c r="AP60" s="3" t="str">
        <f t="shared" si="87"/>
        <v>X</v>
      </c>
      <c r="AQ60" s="3" t="str">
        <f t="shared" si="87"/>
        <v>X</v>
      </c>
      <c r="AR60" s="3" t="str">
        <f t="shared" si="87"/>
        <v>X</v>
      </c>
      <c r="AS60" s="3" t="str">
        <f t="shared" si="87"/>
        <v>X</v>
      </c>
      <c r="AT60" s="3" t="str">
        <f t="shared" si="87"/>
        <v>X</v>
      </c>
      <c r="AU60" s="3" t="str">
        <f t="shared" si="87"/>
        <v>X</v>
      </c>
      <c r="AV60" s="3" t="str">
        <f t="shared" si="87"/>
        <v>X</v>
      </c>
      <c r="AW60" s="3" t="str">
        <f t="shared" si="16"/>
        <v/>
      </c>
      <c r="AX60" s="3" t="str">
        <f t="shared" si="17"/>
        <v/>
      </c>
      <c r="AY60" s="3" t="str">
        <f t="shared" si="18"/>
        <v/>
      </c>
      <c r="AZ60" s="3" t="str">
        <f t="shared" si="19"/>
        <v>X</v>
      </c>
      <c r="BA60" s="3" t="str">
        <f t="shared" si="63"/>
        <v/>
      </c>
      <c r="BB60" s="3" t="str">
        <f t="shared" si="64"/>
        <v/>
      </c>
      <c r="BC60" s="3" t="str">
        <f t="shared" si="65"/>
        <v/>
      </c>
      <c r="BD60" s="3">
        <f t="shared" si="66"/>
        <v>83</v>
      </c>
      <c r="BE60" s="9" t="str">
        <f t="shared" si="67"/>
        <v/>
      </c>
      <c r="BF60" s="9" t="str">
        <f t="shared" si="68"/>
        <v/>
      </c>
      <c r="BG60" s="9" t="str">
        <f t="shared" si="69"/>
        <v/>
      </c>
      <c r="BH60" s="9" t="str">
        <f t="shared" si="70"/>
        <v>053</v>
      </c>
      <c r="BI60" s="3" t="str">
        <f t="shared" si="71"/>
        <v/>
      </c>
      <c r="BJ60" s="3" t="str">
        <f t="shared" si="72"/>
        <v/>
      </c>
      <c r="BK60" s="3" t="str">
        <f t="shared" si="73"/>
        <v/>
      </c>
      <c r="BL60" s="3" t="str">
        <f t="shared" si="74"/>
        <v/>
      </c>
      <c r="BM60" s="3" t="str">
        <f t="shared" si="75"/>
        <v/>
      </c>
      <c r="BN60" s="3" t="str">
        <f t="shared" si="76"/>
        <v/>
      </c>
      <c r="BO60" s="3" t="str">
        <f t="shared" si="77"/>
        <v/>
      </c>
      <c r="BP60" s="3">
        <f t="shared" si="78"/>
        <v>7</v>
      </c>
      <c r="BQ60" s="3" t="str">
        <f t="shared" si="79"/>
        <v/>
      </c>
      <c r="BR60" s="3" t="str">
        <f t="shared" si="80"/>
        <v/>
      </c>
      <c r="BS60" s="3" t="str">
        <f t="shared" si="81"/>
        <v/>
      </c>
      <c r="BT60" s="3" t="str">
        <f t="shared" si="82"/>
        <v/>
      </c>
    </row>
    <row r="61" spans="2:72" x14ac:dyDescent="0.25">
      <c r="B61" s="3" t="s">
        <v>328</v>
      </c>
      <c r="C61" s="3" t="s">
        <v>423</v>
      </c>
      <c r="D61" s="3" t="s">
        <v>1</v>
      </c>
      <c r="E61" s="3" t="s">
        <v>1062</v>
      </c>
      <c r="F61" s="3" t="s">
        <v>96</v>
      </c>
      <c r="G61" s="3" t="s">
        <v>285</v>
      </c>
      <c r="H61" s="3" t="s">
        <v>182</v>
      </c>
      <c r="I61" s="3" t="s">
        <v>24</v>
      </c>
      <c r="J61" s="3">
        <v>12</v>
      </c>
      <c r="K61" s="3" t="s">
        <v>305</v>
      </c>
      <c r="L61" s="3" t="s">
        <v>23</v>
      </c>
      <c r="M61" s="3">
        <v>20</v>
      </c>
      <c r="N61" s="3" t="str">
        <f t="shared" si="14"/>
        <v>014</v>
      </c>
      <c r="O61" s="3">
        <v>19</v>
      </c>
      <c r="P61" s="3">
        <v>8</v>
      </c>
      <c r="Q61" s="3" t="str">
        <f t="shared" si="15"/>
        <v/>
      </c>
      <c r="R61" s="3" t="str">
        <f t="shared" si="86"/>
        <v/>
      </c>
      <c r="S61" s="3" t="str">
        <f t="shared" si="86"/>
        <v/>
      </c>
      <c r="T61" s="3" t="str">
        <f t="shared" si="86"/>
        <v/>
      </c>
      <c r="U61" s="3" t="str">
        <f t="shared" si="86"/>
        <v/>
      </c>
      <c r="V61" s="3" t="str">
        <f t="shared" si="86"/>
        <v/>
      </c>
      <c r="W61" s="3" t="str">
        <f t="shared" si="86"/>
        <v/>
      </c>
      <c r="X61" s="3" t="str">
        <f t="shared" si="86"/>
        <v/>
      </c>
      <c r="Y61" s="3" t="str">
        <f t="shared" si="86"/>
        <v/>
      </c>
      <c r="Z61" s="3" t="str">
        <f t="shared" si="86"/>
        <v/>
      </c>
      <c r="AA61" s="3" t="str">
        <f t="shared" si="86"/>
        <v/>
      </c>
      <c r="AB61" s="3" t="str">
        <f t="shared" si="86"/>
        <v/>
      </c>
      <c r="AC61" s="3" t="str">
        <f t="shared" si="86"/>
        <v>X</v>
      </c>
      <c r="AD61" s="3" t="str">
        <f t="shared" si="86"/>
        <v>X</v>
      </c>
      <c r="AE61" s="3" t="str">
        <f t="shared" si="86"/>
        <v>X</v>
      </c>
      <c r="AF61" s="3" t="str">
        <f t="shared" si="86"/>
        <v>X</v>
      </c>
      <c r="AG61" s="3" t="str">
        <f t="shared" si="86"/>
        <v>X</v>
      </c>
      <c r="AH61" s="3" t="str">
        <f t="shared" si="87"/>
        <v>X</v>
      </c>
      <c r="AI61" s="3" t="str">
        <f t="shared" si="87"/>
        <v>X</v>
      </c>
      <c r="AJ61" s="3" t="str">
        <f t="shared" si="87"/>
        <v>X</v>
      </c>
      <c r="AK61" s="3" t="str">
        <f t="shared" si="87"/>
        <v>X</v>
      </c>
      <c r="AL61" s="3" t="str">
        <f t="shared" si="87"/>
        <v>X</v>
      </c>
      <c r="AM61" s="3" t="str">
        <f t="shared" si="87"/>
        <v>X</v>
      </c>
      <c r="AN61" s="3" t="str">
        <f t="shared" si="87"/>
        <v>X</v>
      </c>
      <c r="AO61" s="3" t="str">
        <f t="shared" si="87"/>
        <v/>
      </c>
      <c r="AP61" s="3" t="str">
        <f t="shared" si="87"/>
        <v/>
      </c>
      <c r="AQ61" s="3" t="str">
        <f t="shared" si="87"/>
        <v/>
      </c>
      <c r="AR61" s="3" t="str">
        <f t="shared" si="87"/>
        <v/>
      </c>
      <c r="AS61" s="3" t="str">
        <f t="shared" si="87"/>
        <v/>
      </c>
      <c r="AT61" s="3" t="str">
        <f t="shared" si="87"/>
        <v/>
      </c>
      <c r="AU61" s="3" t="str">
        <f t="shared" si="87"/>
        <v/>
      </c>
      <c r="AV61" s="3" t="str">
        <f t="shared" si="87"/>
        <v/>
      </c>
      <c r="AW61" s="3" t="str">
        <f t="shared" si="16"/>
        <v/>
      </c>
      <c r="AX61" s="3" t="str">
        <f t="shared" si="17"/>
        <v>X</v>
      </c>
      <c r="AY61" s="3" t="str">
        <f t="shared" si="18"/>
        <v>X</v>
      </c>
      <c r="AZ61" s="3" t="str">
        <f t="shared" si="19"/>
        <v/>
      </c>
      <c r="BA61" s="3" t="str">
        <f t="shared" si="63"/>
        <v/>
      </c>
      <c r="BB61" s="3">
        <f t="shared" si="64"/>
        <v>81</v>
      </c>
      <c r="BC61" s="3">
        <f t="shared" si="65"/>
        <v>82</v>
      </c>
      <c r="BD61" s="3" t="str">
        <f t="shared" si="66"/>
        <v/>
      </c>
      <c r="BE61" s="9" t="str">
        <f t="shared" si="67"/>
        <v/>
      </c>
      <c r="BF61" s="9" t="str">
        <f t="shared" si="68"/>
        <v>051</v>
      </c>
      <c r="BG61" s="9" t="str">
        <f t="shared" si="69"/>
        <v>052</v>
      </c>
      <c r="BH61" s="9" t="str">
        <f t="shared" si="70"/>
        <v/>
      </c>
      <c r="BI61" s="3" t="str">
        <f t="shared" si="71"/>
        <v/>
      </c>
      <c r="BJ61" s="3" t="str">
        <f t="shared" si="72"/>
        <v>(3 downto 0)</v>
      </c>
      <c r="BK61" s="3" t="str">
        <f t="shared" si="73"/>
        <v/>
      </c>
      <c r="BL61" s="3" t="str">
        <f t="shared" si="74"/>
        <v/>
      </c>
      <c r="BM61" s="3" t="str">
        <f t="shared" si="75"/>
        <v/>
      </c>
      <c r="BN61" s="3">
        <f t="shared" si="76"/>
        <v>11</v>
      </c>
      <c r="BO61" s="3">
        <f t="shared" si="77"/>
        <v>7</v>
      </c>
      <c r="BP61" s="3" t="str">
        <f t="shared" si="78"/>
        <v/>
      </c>
      <c r="BQ61" s="3" t="str">
        <f t="shared" si="79"/>
        <v/>
      </c>
      <c r="BR61" s="3" t="str">
        <f t="shared" si="80"/>
        <v>(11 downto 8)</v>
      </c>
      <c r="BS61" s="3" t="str">
        <f t="shared" si="81"/>
        <v>(7 downto 0)</v>
      </c>
      <c r="BT61" s="3" t="str">
        <f t="shared" si="82"/>
        <v/>
      </c>
    </row>
    <row r="62" spans="2:72" x14ac:dyDescent="0.25">
      <c r="B62" s="3" t="s">
        <v>328</v>
      </c>
      <c r="C62" s="3" t="s">
        <v>424</v>
      </c>
      <c r="D62" s="3" t="s">
        <v>1</v>
      </c>
      <c r="E62" s="3" t="s">
        <v>1062</v>
      </c>
      <c r="F62" s="3" t="s">
        <v>96</v>
      </c>
      <c r="G62" s="3" t="s">
        <v>285</v>
      </c>
      <c r="H62" s="3" t="s">
        <v>183</v>
      </c>
      <c r="I62" s="3" t="s">
        <v>24</v>
      </c>
      <c r="J62" s="3">
        <v>12</v>
      </c>
      <c r="K62" s="3" t="s">
        <v>299</v>
      </c>
      <c r="L62" s="3" t="s">
        <v>23</v>
      </c>
      <c r="M62" s="3">
        <v>20</v>
      </c>
      <c r="N62" s="3" t="str">
        <f t="shared" si="14"/>
        <v>014</v>
      </c>
      <c r="O62" s="3">
        <v>31</v>
      </c>
      <c r="P62" s="3">
        <v>20</v>
      </c>
      <c r="Q62" s="3" t="str">
        <f t="shared" si="15"/>
        <v>X</v>
      </c>
      <c r="R62" s="3" t="str">
        <f t="shared" si="86"/>
        <v>X</v>
      </c>
      <c r="S62" s="3" t="str">
        <f t="shared" si="86"/>
        <v>X</v>
      </c>
      <c r="T62" s="3" t="str">
        <f t="shared" si="86"/>
        <v>X</v>
      </c>
      <c r="U62" s="3" t="str">
        <f t="shared" si="86"/>
        <v>X</v>
      </c>
      <c r="V62" s="3" t="str">
        <f t="shared" si="86"/>
        <v>X</v>
      </c>
      <c r="W62" s="3" t="str">
        <f t="shared" si="86"/>
        <v>X</v>
      </c>
      <c r="X62" s="3" t="str">
        <f t="shared" si="86"/>
        <v>X</v>
      </c>
      <c r="Y62" s="3" t="str">
        <f t="shared" si="86"/>
        <v>X</v>
      </c>
      <c r="Z62" s="3" t="str">
        <f t="shared" si="86"/>
        <v>X</v>
      </c>
      <c r="AA62" s="3" t="str">
        <f t="shared" si="86"/>
        <v>X</v>
      </c>
      <c r="AB62" s="3" t="str">
        <f t="shared" si="86"/>
        <v>X</v>
      </c>
      <c r="AC62" s="3" t="str">
        <f t="shared" si="86"/>
        <v/>
      </c>
      <c r="AD62" s="3" t="str">
        <f t="shared" si="86"/>
        <v/>
      </c>
      <c r="AE62" s="3" t="str">
        <f t="shared" si="86"/>
        <v/>
      </c>
      <c r="AF62" s="3" t="str">
        <f t="shared" ref="R62:AG125" si="88">IF(AND($O62&gt;=AF$3,AF$3&gt;=$P62),"X","")</f>
        <v/>
      </c>
      <c r="AG62" s="3" t="str">
        <f t="shared" si="88"/>
        <v/>
      </c>
      <c r="AH62" s="3" t="str">
        <f t="shared" si="87"/>
        <v/>
      </c>
      <c r="AI62" s="3" t="str">
        <f t="shared" si="87"/>
        <v/>
      </c>
      <c r="AJ62" s="3" t="str">
        <f t="shared" si="87"/>
        <v/>
      </c>
      <c r="AK62" s="3" t="str">
        <f t="shared" si="87"/>
        <v/>
      </c>
      <c r="AL62" s="3" t="str">
        <f t="shared" si="87"/>
        <v/>
      </c>
      <c r="AM62" s="3" t="str">
        <f t="shared" si="87"/>
        <v/>
      </c>
      <c r="AN62" s="3" t="str">
        <f t="shared" si="87"/>
        <v/>
      </c>
      <c r="AO62" s="3" t="str">
        <f t="shared" si="87"/>
        <v/>
      </c>
      <c r="AP62" s="3" t="str">
        <f t="shared" si="87"/>
        <v/>
      </c>
      <c r="AQ62" s="3" t="str">
        <f t="shared" si="87"/>
        <v/>
      </c>
      <c r="AR62" s="3" t="str">
        <f t="shared" si="87"/>
        <v/>
      </c>
      <c r="AS62" s="3" t="str">
        <f t="shared" si="87"/>
        <v/>
      </c>
      <c r="AT62" s="3" t="str">
        <f t="shared" si="87"/>
        <v/>
      </c>
      <c r="AU62" s="3" t="str">
        <f t="shared" si="87"/>
        <v/>
      </c>
      <c r="AV62" s="3" t="str">
        <f t="shared" si="87"/>
        <v/>
      </c>
      <c r="AW62" s="3" t="str">
        <f t="shared" si="16"/>
        <v>X</v>
      </c>
      <c r="AX62" s="3" t="str">
        <f t="shared" si="17"/>
        <v>X</v>
      </c>
      <c r="AY62" s="3" t="str">
        <f t="shared" si="18"/>
        <v/>
      </c>
      <c r="AZ62" s="3" t="str">
        <f t="shared" si="19"/>
        <v/>
      </c>
      <c r="BA62" s="3">
        <f t="shared" si="63"/>
        <v>80</v>
      </c>
      <c r="BB62" s="3">
        <f t="shared" si="64"/>
        <v>81</v>
      </c>
      <c r="BC62" s="3" t="str">
        <f t="shared" si="65"/>
        <v/>
      </c>
      <c r="BD62" s="3" t="str">
        <f t="shared" si="66"/>
        <v/>
      </c>
      <c r="BE62" s="9" t="str">
        <f t="shared" si="67"/>
        <v>050</v>
      </c>
      <c r="BF62" s="9" t="str">
        <f t="shared" si="68"/>
        <v>051</v>
      </c>
      <c r="BG62" s="9" t="str">
        <f t="shared" si="69"/>
        <v/>
      </c>
      <c r="BH62" s="9" t="str">
        <f t="shared" si="70"/>
        <v/>
      </c>
      <c r="BI62" s="3" t="str">
        <f t="shared" si="71"/>
        <v/>
      </c>
      <c r="BJ62" s="3" t="str">
        <f t="shared" si="72"/>
        <v>(7 downto 4)</v>
      </c>
      <c r="BK62" s="3" t="str">
        <f t="shared" si="73"/>
        <v/>
      </c>
      <c r="BL62" s="3" t="str">
        <f t="shared" si="74"/>
        <v/>
      </c>
      <c r="BM62" s="3">
        <f t="shared" si="75"/>
        <v>11</v>
      </c>
      <c r="BN62" s="3">
        <f t="shared" si="76"/>
        <v>3</v>
      </c>
      <c r="BO62" s="3" t="str">
        <f t="shared" si="77"/>
        <v/>
      </c>
      <c r="BP62" s="3" t="str">
        <f t="shared" si="78"/>
        <v/>
      </c>
      <c r="BQ62" s="3" t="str">
        <f t="shared" si="79"/>
        <v>(11 downto 4)</v>
      </c>
      <c r="BR62" s="3" t="str">
        <f t="shared" si="80"/>
        <v>(3 downto 0)</v>
      </c>
      <c r="BS62" s="3" t="str">
        <f t="shared" si="81"/>
        <v/>
      </c>
      <c r="BT62" s="3" t="str">
        <f t="shared" si="82"/>
        <v/>
      </c>
    </row>
    <row r="63" spans="2:72" x14ac:dyDescent="0.25">
      <c r="B63" s="3" t="s">
        <v>329</v>
      </c>
      <c r="C63" s="3" t="s">
        <v>425</v>
      </c>
      <c r="D63" s="3" t="s">
        <v>1</v>
      </c>
      <c r="E63" s="3" t="s">
        <v>1062</v>
      </c>
      <c r="F63" s="3" t="s">
        <v>97</v>
      </c>
      <c r="G63" s="3" t="s">
        <v>286</v>
      </c>
      <c r="H63" s="3" t="s">
        <v>184</v>
      </c>
      <c r="I63" s="3" t="s">
        <v>24</v>
      </c>
      <c r="J63" s="3">
        <v>12</v>
      </c>
      <c r="K63" s="3" t="s">
        <v>306</v>
      </c>
      <c r="L63" s="3" t="s">
        <v>23</v>
      </c>
      <c r="M63" s="3">
        <v>21</v>
      </c>
      <c r="N63" s="3" t="str">
        <f t="shared" si="14"/>
        <v>015</v>
      </c>
      <c r="O63" s="3">
        <v>11</v>
      </c>
      <c r="P63" s="3">
        <v>0</v>
      </c>
      <c r="Q63" s="3" t="str">
        <f t="shared" si="15"/>
        <v/>
      </c>
      <c r="R63" s="3" t="str">
        <f t="shared" si="88"/>
        <v/>
      </c>
      <c r="S63" s="3" t="str">
        <f t="shared" si="88"/>
        <v/>
      </c>
      <c r="T63" s="3" t="str">
        <f t="shared" si="88"/>
        <v/>
      </c>
      <c r="U63" s="3" t="str">
        <f t="shared" si="88"/>
        <v/>
      </c>
      <c r="V63" s="3" t="str">
        <f t="shared" si="88"/>
        <v/>
      </c>
      <c r="W63" s="3" t="str">
        <f t="shared" si="88"/>
        <v/>
      </c>
      <c r="X63" s="3" t="str">
        <f t="shared" si="88"/>
        <v/>
      </c>
      <c r="Y63" s="3" t="str">
        <f t="shared" si="88"/>
        <v/>
      </c>
      <c r="Z63" s="3" t="str">
        <f t="shared" si="88"/>
        <v/>
      </c>
      <c r="AA63" s="3" t="str">
        <f t="shared" si="88"/>
        <v/>
      </c>
      <c r="AB63" s="3" t="str">
        <f t="shared" si="88"/>
        <v/>
      </c>
      <c r="AC63" s="3" t="str">
        <f t="shared" si="88"/>
        <v/>
      </c>
      <c r="AD63" s="3" t="str">
        <f t="shared" si="88"/>
        <v/>
      </c>
      <c r="AE63" s="3" t="str">
        <f t="shared" si="88"/>
        <v/>
      </c>
      <c r="AF63" s="3" t="str">
        <f t="shared" si="88"/>
        <v/>
      </c>
      <c r="AG63" s="3" t="str">
        <f t="shared" si="88"/>
        <v/>
      </c>
      <c r="AH63" s="3" t="str">
        <f t="shared" si="87"/>
        <v/>
      </c>
      <c r="AI63" s="3" t="str">
        <f t="shared" si="87"/>
        <v/>
      </c>
      <c r="AJ63" s="3" t="str">
        <f t="shared" si="87"/>
        <v/>
      </c>
      <c r="AK63" s="3" t="str">
        <f t="shared" si="87"/>
        <v>X</v>
      </c>
      <c r="AL63" s="3" t="str">
        <f t="shared" si="87"/>
        <v>X</v>
      </c>
      <c r="AM63" s="3" t="str">
        <f t="shared" si="87"/>
        <v>X</v>
      </c>
      <c r="AN63" s="3" t="str">
        <f t="shared" si="87"/>
        <v>X</v>
      </c>
      <c r="AO63" s="3" t="str">
        <f t="shared" si="87"/>
        <v>X</v>
      </c>
      <c r="AP63" s="3" t="str">
        <f t="shared" si="87"/>
        <v>X</v>
      </c>
      <c r="AQ63" s="3" t="str">
        <f t="shared" si="87"/>
        <v>X</v>
      </c>
      <c r="AR63" s="3" t="str">
        <f t="shared" si="87"/>
        <v>X</v>
      </c>
      <c r="AS63" s="3" t="str">
        <f t="shared" si="87"/>
        <v>X</v>
      </c>
      <c r="AT63" s="3" t="str">
        <f t="shared" si="87"/>
        <v>X</v>
      </c>
      <c r="AU63" s="3" t="str">
        <f t="shared" si="87"/>
        <v>X</v>
      </c>
      <c r="AV63" s="3" t="str">
        <f t="shared" si="87"/>
        <v>X</v>
      </c>
      <c r="AW63" s="3" t="str">
        <f t="shared" si="16"/>
        <v/>
      </c>
      <c r="AX63" s="3" t="str">
        <f t="shared" si="17"/>
        <v/>
      </c>
      <c r="AY63" s="3" t="str">
        <f t="shared" si="18"/>
        <v>X</v>
      </c>
      <c r="AZ63" s="3" t="str">
        <f t="shared" si="19"/>
        <v>X</v>
      </c>
      <c r="BA63" s="3" t="str">
        <f t="shared" si="63"/>
        <v/>
      </c>
      <c r="BB63" s="3" t="str">
        <f t="shared" si="64"/>
        <v/>
      </c>
      <c r="BC63" s="3">
        <f t="shared" si="65"/>
        <v>86</v>
      </c>
      <c r="BD63" s="3">
        <f t="shared" si="66"/>
        <v>87</v>
      </c>
      <c r="BE63" s="9" t="str">
        <f t="shared" si="67"/>
        <v/>
      </c>
      <c r="BF63" s="9" t="str">
        <f t="shared" si="68"/>
        <v/>
      </c>
      <c r="BG63" s="9" t="str">
        <f t="shared" si="69"/>
        <v>056</v>
      </c>
      <c r="BH63" s="9" t="str">
        <f t="shared" si="70"/>
        <v>057</v>
      </c>
      <c r="BI63" s="3" t="str">
        <f t="shared" si="71"/>
        <v/>
      </c>
      <c r="BJ63" s="3" t="str">
        <f t="shared" si="72"/>
        <v/>
      </c>
      <c r="BK63" s="3" t="str">
        <f t="shared" si="73"/>
        <v>(3 downto 0)</v>
      </c>
      <c r="BL63" s="3" t="str">
        <f t="shared" si="74"/>
        <v/>
      </c>
      <c r="BM63" s="3" t="str">
        <f t="shared" si="75"/>
        <v/>
      </c>
      <c r="BN63" s="3" t="str">
        <f t="shared" si="76"/>
        <v/>
      </c>
      <c r="BO63" s="3">
        <f t="shared" si="77"/>
        <v>11</v>
      </c>
      <c r="BP63" s="3">
        <f t="shared" si="78"/>
        <v>7</v>
      </c>
      <c r="BQ63" s="3" t="str">
        <f t="shared" si="79"/>
        <v/>
      </c>
      <c r="BR63" s="3" t="str">
        <f t="shared" si="80"/>
        <v/>
      </c>
      <c r="BS63" s="3" t="str">
        <f t="shared" si="81"/>
        <v>(11 downto 8)</v>
      </c>
      <c r="BT63" s="3" t="str">
        <f t="shared" si="82"/>
        <v>(7 downto 0)</v>
      </c>
    </row>
    <row r="64" spans="2:72" x14ac:dyDescent="0.25">
      <c r="B64" s="3" t="s">
        <v>329</v>
      </c>
      <c r="C64" s="3" t="s">
        <v>374</v>
      </c>
      <c r="D64" s="3" t="s">
        <v>1</v>
      </c>
      <c r="E64" s="3" t="s">
        <v>1062</v>
      </c>
      <c r="F64" s="3" t="s">
        <v>97</v>
      </c>
      <c r="G64" s="3" t="s">
        <v>286</v>
      </c>
      <c r="H64" s="3" t="s">
        <v>963</v>
      </c>
      <c r="I64" s="3" t="s">
        <v>24</v>
      </c>
      <c r="J64" s="3">
        <v>12</v>
      </c>
      <c r="K64" s="3" t="s">
        <v>306</v>
      </c>
      <c r="L64" s="3" t="s">
        <v>23</v>
      </c>
      <c r="M64" s="3">
        <v>21</v>
      </c>
      <c r="N64" s="3" t="str">
        <f t="shared" si="14"/>
        <v>015</v>
      </c>
      <c r="O64" s="3">
        <v>23</v>
      </c>
      <c r="P64" s="3">
        <v>12</v>
      </c>
      <c r="Q64" s="3" t="str">
        <f t="shared" si="15"/>
        <v/>
      </c>
      <c r="R64" s="3" t="str">
        <f t="shared" si="88"/>
        <v/>
      </c>
      <c r="S64" s="3" t="str">
        <f t="shared" si="88"/>
        <v/>
      </c>
      <c r="T64" s="3" t="str">
        <f t="shared" si="88"/>
        <v/>
      </c>
      <c r="U64" s="3" t="str">
        <f t="shared" si="88"/>
        <v/>
      </c>
      <c r="V64" s="3" t="str">
        <f t="shared" si="88"/>
        <v/>
      </c>
      <c r="W64" s="3" t="str">
        <f t="shared" si="88"/>
        <v/>
      </c>
      <c r="X64" s="3" t="str">
        <f t="shared" si="88"/>
        <v/>
      </c>
      <c r="Y64" s="3" t="str">
        <f t="shared" si="88"/>
        <v>X</v>
      </c>
      <c r="Z64" s="3" t="str">
        <f t="shared" si="88"/>
        <v>X</v>
      </c>
      <c r="AA64" s="3" t="str">
        <f t="shared" si="88"/>
        <v>X</v>
      </c>
      <c r="AB64" s="3" t="str">
        <f t="shared" si="88"/>
        <v>X</v>
      </c>
      <c r="AC64" s="3" t="str">
        <f t="shared" si="88"/>
        <v>X</v>
      </c>
      <c r="AD64" s="3" t="str">
        <f t="shared" si="88"/>
        <v>X</v>
      </c>
      <c r="AE64" s="3" t="str">
        <f t="shared" si="88"/>
        <v>X</v>
      </c>
      <c r="AF64" s="3" t="str">
        <f t="shared" si="88"/>
        <v>X</v>
      </c>
      <c r="AG64" s="3" t="str">
        <f t="shared" si="88"/>
        <v>X</v>
      </c>
      <c r="AH64" s="3" t="str">
        <f t="shared" si="87"/>
        <v>X</v>
      </c>
      <c r="AI64" s="3" t="str">
        <f t="shared" si="87"/>
        <v>X</v>
      </c>
      <c r="AJ64" s="3" t="str">
        <f t="shared" si="87"/>
        <v>X</v>
      </c>
      <c r="AK64" s="3" t="str">
        <f t="shared" si="87"/>
        <v/>
      </c>
      <c r="AL64" s="3" t="str">
        <f t="shared" si="87"/>
        <v/>
      </c>
      <c r="AM64" s="3" t="str">
        <f t="shared" si="87"/>
        <v/>
      </c>
      <c r="AN64" s="3" t="str">
        <f t="shared" si="87"/>
        <v/>
      </c>
      <c r="AO64" s="3" t="str">
        <f t="shared" si="87"/>
        <v/>
      </c>
      <c r="AP64" s="3" t="str">
        <f t="shared" si="87"/>
        <v/>
      </c>
      <c r="AQ64" s="3" t="str">
        <f t="shared" si="87"/>
        <v/>
      </c>
      <c r="AR64" s="3" t="str">
        <f t="shared" si="87"/>
        <v/>
      </c>
      <c r="AS64" s="3" t="str">
        <f t="shared" si="87"/>
        <v/>
      </c>
      <c r="AT64" s="3" t="str">
        <f t="shared" si="87"/>
        <v/>
      </c>
      <c r="AU64" s="3" t="str">
        <f t="shared" si="87"/>
        <v/>
      </c>
      <c r="AV64" s="3" t="str">
        <f t="shared" si="87"/>
        <v/>
      </c>
      <c r="AW64" s="3" t="str">
        <f t="shared" si="16"/>
        <v/>
      </c>
      <c r="AX64" s="3" t="str">
        <f t="shared" si="17"/>
        <v>X</v>
      </c>
      <c r="AY64" s="3" t="str">
        <f t="shared" si="18"/>
        <v>X</v>
      </c>
      <c r="AZ64" s="3" t="str">
        <f t="shared" si="19"/>
        <v/>
      </c>
      <c r="BA64" s="3" t="str">
        <f t="shared" si="63"/>
        <v/>
      </c>
      <c r="BB64" s="3">
        <f t="shared" si="64"/>
        <v>85</v>
      </c>
      <c r="BC64" s="3">
        <f t="shared" si="65"/>
        <v>86</v>
      </c>
      <c r="BD64" s="3" t="str">
        <f t="shared" si="66"/>
        <v/>
      </c>
      <c r="BE64" s="9" t="str">
        <f t="shared" si="67"/>
        <v/>
      </c>
      <c r="BF64" s="9" t="str">
        <f t="shared" si="68"/>
        <v>055</v>
      </c>
      <c r="BG64" s="9" t="str">
        <f t="shared" si="69"/>
        <v>056</v>
      </c>
      <c r="BH64" s="9" t="str">
        <f t="shared" si="70"/>
        <v/>
      </c>
      <c r="BI64" s="3" t="str">
        <f t="shared" si="71"/>
        <v/>
      </c>
      <c r="BJ64" s="3" t="str">
        <f t="shared" si="72"/>
        <v/>
      </c>
      <c r="BK64" s="3" t="str">
        <f t="shared" si="73"/>
        <v>(7 downto 4)</v>
      </c>
      <c r="BL64" s="3" t="str">
        <f t="shared" si="74"/>
        <v/>
      </c>
      <c r="BM64" s="3" t="str">
        <f t="shared" si="75"/>
        <v/>
      </c>
      <c r="BN64" s="3">
        <f t="shared" si="76"/>
        <v>11</v>
      </c>
      <c r="BO64" s="3">
        <f t="shared" si="77"/>
        <v>3</v>
      </c>
      <c r="BP64" s="3" t="str">
        <f t="shared" si="78"/>
        <v/>
      </c>
      <c r="BQ64" s="3" t="str">
        <f t="shared" si="79"/>
        <v/>
      </c>
      <c r="BR64" s="3" t="str">
        <f t="shared" si="80"/>
        <v>(11 downto 4)</v>
      </c>
      <c r="BS64" s="3" t="str">
        <f t="shared" si="81"/>
        <v>(3 downto 0)</v>
      </c>
      <c r="BT64" s="3" t="str">
        <f t="shared" si="82"/>
        <v/>
      </c>
    </row>
    <row r="65" spans="2:72" x14ac:dyDescent="0.25">
      <c r="B65" s="3" t="s">
        <v>329</v>
      </c>
      <c r="C65" s="3" t="s">
        <v>426</v>
      </c>
      <c r="D65" s="3" t="s">
        <v>1</v>
      </c>
      <c r="E65" s="3" t="s">
        <v>1062</v>
      </c>
      <c r="F65" s="3" t="s">
        <v>97</v>
      </c>
      <c r="G65" s="3" t="s">
        <v>286</v>
      </c>
      <c r="H65" s="3" t="s">
        <v>185</v>
      </c>
      <c r="I65" s="3" t="s">
        <v>24</v>
      </c>
      <c r="J65" s="3">
        <v>4</v>
      </c>
      <c r="K65" s="3" t="s">
        <v>298</v>
      </c>
      <c r="L65" s="3" t="s">
        <v>23</v>
      </c>
      <c r="M65" s="3">
        <v>21</v>
      </c>
      <c r="N65" s="3" t="str">
        <f t="shared" si="14"/>
        <v>015</v>
      </c>
      <c r="O65" s="3">
        <v>27</v>
      </c>
      <c r="P65" s="3">
        <v>24</v>
      </c>
      <c r="Q65" s="3" t="str">
        <f t="shared" si="15"/>
        <v/>
      </c>
      <c r="R65" s="3" t="str">
        <f t="shared" si="88"/>
        <v/>
      </c>
      <c r="S65" s="3" t="str">
        <f t="shared" si="88"/>
        <v/>
      </c>
      <c r="T65" s="3" t="str">
        <f t="shared" si="88"/>
        <v/>
      </c>
      <c r="U65" s="3" t="str">
        <f t="shared" si="88"/>
        <v>X</v>
      </c>
      <c r="V65" s="3" t="str">
        <f t="shared" si="88"/>
        <v>X</v>
      </c>
      <c r="W65" s="3" t="str">
        <f t="shared" si="88"/>
        <v>X</v>
      </c>
      <c r="X65" s="3" t="str">
        <f t="shared" si="88"/>
        <v>X</v>
      </c>
      <c r="Y65" s="3" t="str">
        <f t="shared" si="88"/>
        <v/>
      </c>
      <c r="Z65" s="3" t="str">
        <f t="shared" si="88"/>
        <v/>
      </c>
      <c r="AA65" s="3" t="str">
        <f t="shared" si="88"/>
        <v/>
      </c>
      <c r="AB65" s="3" t="str">
        <f t="shared" si="88"/>
        <v/>
      </c>
      <c r="AC65" s="3" t="str">
        <f t="shared" si="88"/>
        <v/>
      </c>
      <c r="AD65" s="3" t="str">
        <f t="shared" si="88"/>
        <v/>
      </c>
      <c r="AE65" s="3" t="str">
        <f t="shared" si="88"/>
        <v/>
      </c>
      <c r="AF65" s="3" t="str">
        <f t="shared" si="88"/>
        <v/>
      </c>
      <c r="AG65" s="3" t="str">
        <f t="shared" si="88"/>
        <v/>
      </c>
      <c r="AH65" s="3" t="str">
        <f t="shared" si="87"/>
        <v/>
      </c>
      <c r="AI65" s="3" t="str">
        <f t="shared" si="87"/>
        <v/>
      </c>
      <c r="AJ65" s="3" t="str">
        <f t="shared" si="87"/>
        <v/>
      </c>
      <c r="AK65" s="3" t="str">
        <f t="shared" si="87"/>
        <v/>
      </c>
      <c r="AL65" s="3" t="str">
        <f t="shared" si="87"/>
        <v/>
      </c>
      <c r="AM65" s="3" t="str">
        <f t="shared" si="87"/>
        <v/>
      </c>
      <c r="AN65" s="3" t="str">
        <f t="shared" si="87"/>
        <v/>
      </c>
      <c r="AO65" s="3" t="str">
        <f t="shared" si="87"/>
        <v/>
      </c>
      <c r="AP65" s="3" t="str">
        <f t="shared" si="87"/>
        <v/>
      </c>
      <c r="AQ65" s="3" t="str">
        <f t="shared" si="87"/>
        <v/>
      </c>
      <c r="AR65" s="3" t="str">
        <f t="shared" si="87"/>
        <v/>
      </c>
      <c r="AS65" s="3" t="str">
        <f t="shared" si="87"/>
        <v/>
      </c>
      <c r="AT65" s="3" t="str">
        <f t="shared" si="87"/>
        <v/>
      </c>
      <c r="AU65" s="3" t="str">
        <f t="shared" si="87"/>
        <v/>
      </c>
      <c r="AV65" s="3" t="str">
        <f t="shared" si="87"/>
        <v/>
      </c>
      <c r="AW65" s="3" t="str">
        <f t="shared" si="16"/>
        <v>X</v>
      </c>
      <c r="AX65" s="3" t="str">
        <f t="shared" si="17"/>
        <v/>
      </c>
      <c r="AY65" s="3" t="str">
        <f t="shared" si="18"/>
        <v/>
      </c>
      <c r="AZ65" s="3" t="str">
        <f t="shared" si="19"/>
        <v/>
      </c>
      <c r="BA65" s="3">
        <f t="shared" si="63"/>
        <v>84</v>
      </c>
      <c r="BB65" s="3" t="str">
        <f t="shared" si="64"/>
        <v/>
      </c>
      <c r="BC65" s="3" t="str">
        <f t="shared" si="65"/>
        <v/>
      </c>
      <c r="BD65" s="3" t="str">
        <f t="shared" si="66"/>
        <v/>
      </c>
      <c r="BE65" s="9" t="str">
        <f t="shared" si="67"/>
        <v>054</v>
      </c>
      <c r="BF65" s="9" t="str">
        <f t="shared" si="68"/>
        <v/>
      </c>
      <c r="BG65" s="9" t="str">
        <f t="shared" si="69"/>
        <v/>
      </c>
      <c r="BH65" s="9" t="str">
        <f t="shared" si="70"/>
        <v/>
      </c>
      <c r="BI65" s="3" t="str">
        <f t="shared" si="71"/>
        <v>(3 downto 0)</v>
      </c>
      <c r="BJ65" s="3" t="str">
        <f t="shared" si="72"/>
        <v/>
      </c>
      <c r="BK65" s="3" t="str">
        <f t="shared" si="73"/>
        <v/>
      </c>
      <c r="BL65" s="3" t="str">
        <f t="shared" si="74"/>
        <v/>
      </c>
      <c r="BM65" s="3">
        <f t="shared" si="75"/>
        <v>3</v>
      </c>
      <c r="BN65" s="3" t="str">
        <f t="shared" si="76"/>
        <v/>
      </c>
      <c r="BO65" s="3" t="str">
        <f t="shared" si="77"/>
        <v/>
      </c>
      <c r="BP65" s="3" t="str">
        <f t="shared" si="78"/>
        <v/>
      </c>
      <c r="BQ65" s="3" t="str">
        <f t="shared" si="79"/>
        <v/>
      </c>
      <c r="BR65" s="3" t="str">
        <f t="shared" si="80"/>
        <v/>
      </c>
      <c r="BS65" s="3" t="str">
        <f t="shared" si="81"/>
        <v/>
      </c>
      <c r="BT65" s="3" t="str">
        <f t="shared" si="82"/>
        <v/>
      </c>
    </row>
    <row r="66" spans="2:72" x14ac:dyDescent="0.25">
      <c r="B66" s="3" t="s">
        <v>329</v>
      </c>
      <c r="C66" s="3" t="s">
        <v>374</v>
      </c>
      <c r="D66" s="3" t="s">
        <v>1</v>
      </c>
      <c r="E66" s="3" t="s">
        <v>1062</v>
      </c>
      <c r="F66" s="3" t="s">
        <v>97</v>
      </c>
      <c r="G66" s="3" t="s">
        <v>286</v>
      </c>
      <c r="H66" s="3" t="s">
        <v>962</v>
      </c>
      <c r="I66" s="3" t="s">
        <v>24</v>
      </c>
      <c r="J66" s="3">
        <v>3</v>
      </c>
      <c r="K66" s="3" t="s">
        <v>307</v>
      </c>
      <c r="L66" s="3" t="s">
        <v>23</v>
      </c>
      <c r="M66" s="3">
        <v>21</v>
      </c>
      <c r="N66" s="3" t="str">
        <f t="shared" si="14"/>
        <v>015</v>
      </c>
      <c r="O66" s="3">
        <v>30</v>
      </c>
      <c r="P66" s="3">
        <v>28</v>
      </c>
      <c r="Q66" s="3" t="str">
        <f t="shared" si="15"/>
        <v/>
      </c>
      <c r="R66" s="3" t="str">
        <f t="shared" si="88"/>
        <v>X</v>
      </c>
      <c r="S66" s="3" t="str">
        <f t="shared" si="88"/>
        <v>X</v>
      </c>
      <c r="T66" s="3" t="str">
        <f t="shared" si="88"/>
        <v>X</v>
      </c>
      <c r="U66" s="3" t="str">
        <f t="shared" si="88"/>
        <v/>
      </c>
      <c r="V66" s="3" t="str">
        <f t="shared" si="88"/>
        <v/>
      </c>
      <c r="W66" s="3" t="str">
        <f t="shared" si="88"/>
        <v/>
      </c>
      <c r="X66" s="3" t="str">
        <f t="shared" si="88"/>
        <v/>
      </c>
      <c r="Y66" s="3" t="str">
        <f t="shared" si="88"/>
        <v/>
      </c>
      <c r="Z66" s="3" t="str">
        <f t="shared" si="88"/>
        <v/>
      </c>
      <c r="AA66" s="3" t="str">
        <f t="shared" si="88"/>
        <v/>
      </c>
      <c r="AB66" s="3" t="str">
        <f t="shared" si="88"/>
        <v/>
      </c>
      <c r="AC66" s="3" t="str">
        <f t="shared" si="88"/>
        <v/>
      </c>
      <c r="AD66" s="3" t="str">
        <f t="shared" si="88"/>
        <v/>
      </c>
      <c r="AE66" s="3" t="str">
        <f t="shared" si="88"/>
        <v/>
      </c>
      <c r="AF66" s="3" t="str">
        <f t="shared" si="88"/>
        <v/>
      </c>
      <c r="AG66" s="3" t="str">
        <f t="shared" si="88"/>
        <v/>
      </c>
      <c r="AH66" s="3" t="str">
        <f t="shared" si="87"/>
        <v/>
      </c>
      <c r="AI66" s="3" t="str">
        <f t="shared" si="87"/>
        <v/>
      </c>
      <c r="AJ66" s="3" t="str">
        <f t="shared" si="87"/>
        <v/>
      </c>
      <c r="AK66" s="3" t="str">
        <f t="shared" si="87"/>
        <v/>
      </c>
      <c r="AL66" s="3" t="str">
        <f t="shared" si="87"/>
        <v/>
      </c>
      <c r="AM66" s="3" t="str">
        <f t="shared" si="87"/>
        <v/>
      </c>
      <c r="AN66" s="3" t="str">
        <f t="shared" si="87"/>
        <v/>
      </c>
      <c r="AO66" s="3" t="str">
        <f t="shared" si="87"/>
        <v/>
      </c>
      <c r="AP66" s="3" t="str">
        <f t="shared" si="87"/>
        <v/>
      </c>
      <c r="AQ66" s="3" t="str">
        <f t="shared" si="87"/>
        <v/>
      </c>
      <c r="AR66" s="3" t="str">
        <f t="shared" si="87"/>
        <v/>
      </c>
      <c r="AS66" s="3" t="str">
        <f t="shared" si="87"/>
        <v/>
      </c>
      <c r="AT66" s="3" t="str">
        <f t="shared" si="87"/>
        <v/>
      </c>
      <c r="AU66" s="3" t="str">
        <f t="shared" si="87"/>
        <v/>
      </c>
      <c r="AV66" s="3" t="str">
        <f t="shared" si="87"/>
        <v/>
      </c>
      <c r="AW66" s="3" t="str">
        <f t="shared" si="16"/>
        <v>X</v>
      </c>
      <c r="AX66" s="3" t="str">
        <f t="shared" si="17"/>
        <v/>
      </c>
      <c r="AY66" s="3" t="str">
        <f t="shared" si="18"/>
        <v/>
      </c>
      <c r="AZ66" s="3" t="str">
        <f t="shared" si="19"/>
        <v/>
      </c>
      <c r="BA66" s="3">
        <f t="shared" si="63"/>
        <v>84</v>
      </c>
      <c r="BB66" s="3" t="str">
        <f t="shared" si="64"/>
        <v/>
      </c>
      <c r="BC66" s="3" t="str">
        <f t="shared" si="65"/>
        <v/>
      </c>
      <c r="BD66" s="3" t="str">
        <f t="shared" si="66"/>
        <v/>
      </c>
      <c r="BE66" s="9" t="str">
        <f t="shared" si="67"/>
        <v>054</v>
      </c>
      <c r="BF66" s="9" t="str">
        <f t="shared" si="68"/>
        <v/>
      </c>
      <c r="BG66" s="9" t="str">
        <f t="shared" si="69"/>
        <v/>
      </c>
      <c r="BH66" s="9" t="str">
        <f t="shared" si="70"/>
        <v/>
      </c>
      <c r="BI66" s="3" t="str">
        <f t="shared" si="71"/>
        <v>(6 downto 4)</v>
      </c>
      <c r="BJ66" s="3" t="str">
        <f t="shared" si="72"/>
        <v/>
      </c>
      <c r="BK66" s="3" t="str">
        <f t="shared" si="73"/>
        <v/>
      </c>
      <c r="BL66" s="3" t="str">
        <f t="shared" si="74"/>
        <v/>
      </c>
      <c r="BM66" s="3">
        <f t="shared" si="75"/>
        <v>2</v>
      </c>
      <c r="BN66" s="3" t="str">
        <f t="shared" si="76"/>
        <v/>
      </c>
      <c r="BO66" s="3" t="str">
        <f t="shared" si="77"/>
        <v/>
      </c>
      <c r="BP66" s="3" t="str">
        <f t="shared" si="78"/>
        <v/>
      </c>
      <c r="BQ66" s="3" t="str">
        <f t="shared" si="79"/>
        <v/>
      </c>
      <c r="BR66" s="3" t="str">
        <f t="shared" si="80"/>
        <v/>
      </c>
      <c r="BS66" s="3" t="str">
        <f t="shared" si="81"/>
        <v/>
      </c>
      <c r="BT66" s="3" t="str">
        <f t="shared" si="82"/>
        <v/>
      </c>
    </row>
    <row r="67" spans="2:72" x14ac:dyDescent="0.25">
      <c r="B67" s="3" t="s">
        <v>329</v>
      </c>
      <c r="C67" s="3" t="s">
        <v>427</v>
      </c>
      <c r="D67" s="3" t="s">
        <v>1</v>
      </c>
      <c r="E67" s="3" t="s">
        <v>1062</v>
      </c>
      <c r="F67" s="3" t="s">
        <v>97</v>
      </c>
      <c r="G67" s="3" t="s">
        <v>286</v>
      </c>
      <c r="H67" s="3" t="s">
        <v>186</v>
      </c>
      <c r="I67" s="3" t="s">
        <v>24</v>
      </c>
      <c r="J67" s="3">
        <v>1</v>
      </c>
      <c r="K67" s="3" t="s">
        <v>58</v>
      </c>
      <c r="L67" s="3" t="s">
        <v>58</v>
      </c>
      <c r="M67" s="3">
        <v>21</v>
      </c>
      <c r="N67" s="3" t="str">
        <f t="shared" si="14"/>
        <v>015</v>
      </c>
      <c r="O67" s="3">
        <v>31</v>
      </c>
      <c r="P67" s="3">
        <v>31</v>
      </c>
      <c r="Q67" s="3" t="str">
        <f t="shared" si="15"/>
        <v>X</v>
      </c>
      <c r="R67" s="3" t="str">
        <f t="shared" si="88"/>
        <v/>
      </c>
      <c r="S67" s="3" t="str">
        <f t="shared" si="88"/>
        <v/>
      </c>
      <c r="T67" s="3" t="str">
        <f t="shared" si="88"/>
        <v/>
      </c>
      <c r="U67" s="3" t="str">
        <f t="shared" si="88"/>
        <v/>
      </c>
      <c r="V67" s="3" t="str">
        <f t="shared" si="88"/>
        <v/>
      </c>
      <c r="W67" s="3" t="str">
        <f t="shared" si="88"/>
        <v/>
      </c>
      <c r="X67" s="3" t="str">
        <f t="shared" si="88"/>
        <v/>
      </c>
      <c r="Y67" s="3" t="str">
        <f t="shared" si="88"/>
        <v/>
      </c>
      <c r="Z67" s="3" t="str">
        <f t="shared" si="88"/>
        <v/>
      </c>
      <c r="AA67" s="3" t="str">
        <f t="shared" si="88"/>
        <v/>
      </c>
      <c r="AB67" s="3" t="str">
        <f t="shared" si="88"/>
        <v/>
      </c>
      <c r="AC67" s="3" t="str">
        <f t="shared" si="88"/>
        <v/>
      </c>
      <c r="AD67" s="3" t="str">
        <f t="shared" si="88"/>
        <v/>
      </c>
      <c r="AE67" s="3" t="str">
        <f t="shared" si="88"/>
        <v/>
      </c>
      <c r="AF67" s="3" t="str">
        <f t="shared" si="88"/>
        <v/>
      </c>
      <c r="AG67" s="3" t="str">
        <f t="shared" si="88"/>
        <v/>
      </c>
      <c r="AH67" s="3" t="str">
        <f t="shared" si="87"/>
        <v/>
      </c>
      <c r="AI67" s="3" t="str">
        <f t="shared" si="87"/>
        <v/>
      </c>
      <c r="AJ67" s="3" t="str">
        <f t="shared" si="87"/>
        <v/>
      </c>
      <c r="AK67" s="3" t="str">
        <f t="shared" si="87"/>
        <v/>
      </c>
      <c r="AL67" s="3" t="str">
        <f t="shared" si="87"/>
        <v/>
      </c>
      <c r="AM67" s="3" t="str">
        <f t="shared" si="87"/>
        <v/>
      </c>
      <c r="AN67" s="3" t="str">
        <f t="shared" si="87"/>
        <v/>
      </c>
      <c r="AO67" s="3" t="str">
        <f t="shared" si="87"/>
        <v/>
      </c>
      <c r="AP67" s="3" t="str">
        <f t="shared" si="87"/>
        <v/>
      </c>
      <c r="AQ67" s="3" t="str">
        <f t="shared" si="87"/>
        <v/>
      </c>
      <c r="AR67" s="3" t="str">
        <f t="shared" si="87"/>
        <v/>
      </c>
      <c r="AS67" s="3" t="str">
        <f t="shared" si="87"/>
        <v/>
      </c>
      <c r="AT67" s="3" t="str">
        <f t="shared" si="87"/>
        <v/>
      </c>
      <c r="AU67" s="3" t="str">
        <f t="shared" si="87"/>
        <v/>
      </c>
      <c r="AV67" s="3" t="str">
        <f t="shared" si="87"/>
        <v/>
      </c>
      <c r="AW67" s="3" t="str">
        <f t="shared" si="16"/>
        <v>X</v>
      </c>
      <c r="AX67" s="3" t="str">
        <f t="shared" si="17"/>
        <v/>
      </c>
      <c r="AY67" s="3" t="str">
        <f t="shared" si="18"/>
        <v/>
      </c>
      <c r="AZ67" s="3" t="str">
        <f t="shared" si="19"/>
        <v/>
      </c>
      <c r="BA67" s="3">
        <f t="shared" si="63"/>
        <v>84</v>
      </c>
      <c r="BB67" s="3" t="str">
        <f t="shared" si="64"/>
        <v/>
      </c>
      <c r="BC67" s="3" t="str">
        <f t="shared" si="65"/>
        <v/>
      </c>
      <c r="BD67" s="3" t="str">
        <f t="shared" si="66"/>
        <v/>
      </c>
      <c r="BE67" s="9" t="str">
        <f t="shared" si="67"/>
        <v>054</v>
      </c>
      <c r="BF67" s="9" t="str">
        <f t="shared" si="68"/>
        <v/>
      </c>
      <c r="BG67" s="9" t="str">
        <f t="shared" si="69"/>
        <v/>
      </c>
      <c r="BH67" s="9" t="str">
        <f t="shared" si="70"/>
        <v/>
      </c>
      <c r="BI67" s="3" t="str">
        <f t="shared" si="71"/>
        <v>(7)</v>
      </c>
      <c r="BJ67" s="3" t="str">
        <f t="shared" si="72"/>
        <v/>
      </c>
      <c r="BK67" s="3" t="str">
        <f t="shared" si="73"/>
        <v/>
      </c>
      <c r="BL67" s="3" t="str">
        <f t="shared" si="74"/>
        <v/>
      </c>
      <c r="BM67" s="3">
        <f t="shared" si="75"/>
        <v>0</v>
      </c>
      <c r="BN67" s="3" t="str">
        <f t="shared" si="76"/>
        <v/>
      </c>
      <c r="BO67" s="3" t="str">
        <f t="shared" si="77"/>
        <v/>
      </c>
      <c r="BP67" s="3" t="str">
        <f t="shared" si="78"/>
        <v/>
      </c>
      <c r="BQ67" s="3" t="str">
        <f t="shared" si="79"/>
        <v/>
      </c>
      <c r="BR67" s="3" t="str">
        <f t="shared" si="80"/>
        <v/>
      </c>
      <c r="BS67" s="3" t="str">
        <f t="shared" si="81"/>
        <v/>
      </c>
      <c r="BT67" s="3" t="str">
        <f t="shared" si="82"/>
        <v/>
      </c>
    </row>
    <row r="68" spans="2:72" x14ac:dyDescent="0.25">
      <c r="B68" s="3" t="s">
        <v>330</v>
      </c>
      <c r="C68" s="3" t="s">
        <v>375</v>
      </c>
      <c r="D68" s="3" t="s">
        <v>1</v>
      </c>
      <c r="E68" s="3" t="s">
        <v>1062</v>
      </c>
      <c r="F68" s="3" t="s">
        <v>98</v>
      </c>
      <c r="G68" s="3" t="s">
        <v>287</v>
      </c>
      <c r="H68" s="3" t="s">
        <v>187</v>
      </c>
      <c r="I68" s="3" t="s">
        <v>24</v>
      </c>
      <c r="J68" s="3">
        <v>32</v>
      </c>
      <c r="K68" s="3" t="s">
        <v>296</v>
      </c>
      <c r="L68" s="3" t="s">
        <v>23</v>
      </c>
      <c r="M68" s="3">
        <v>22</v>
      </c>
      <c r="N68" s="3" t="str">
        <f t="shared" si="14"/>
        <v>016</v>
      </c>
      <c r="O68" s="3">
        <v>31</v>
      </c>
      <c r="P68" s="3">
        <v>0</v>
      </c>
      <c r="Q68" s="3" t="str">
        <f t="shared" si="15"/>
        <v>X</v>
      </c>
      <c r="R68" s="3" t="str">
        <f t="shared" si="88"/>
        <v>X</v>
      </c>
      <c r="S68" s="3" t="str">
        <f t="shared" si="88"/>
        <v>X</v>
      </c>
      <c r="T68" s="3" t="str">
        <f t="shared" si="88"/>
        <v>X</v>
      </c>
      <c r="U68" s="3" t="str">
        <f t="shared" si="88"/>
        <v>X</v>
      </c>
      <c r="V68" s="3" t="str">
        <f t="shared" si="88"/>
        <v>X</v>
      </c>
      <c r="W68" s="3" t="str">
        <f t="shared" si="88"/>
        <v>X</v>
      </c>
      <c r="X68" s="3" t="str">
        <f t="shared" si="88"/>
        <v>X</v>
      </c>
      <c r="Y68" s="3" t="str">
        <f t="shared" si="88"/>
        <v>X</v>
      </c>
      <c r="Z68" s="3" t="str">
        <f t="shared" si="88"/>
        <v>X</v>
      </c>
      <c r="AA68" s="3" t="str">
        <f t="shared" si="88"/>
        <v>X</v>
      </c>
      <c r="AB68" s="3" t="str">
        <f t="shared" si="88"/>
        <v>X</v>
      </c>
      <c r="AC68" s="3" t="str">
        <f t="shared" si="88"/>
        <v>X</v>
      </c>
      <c r="AD68" s="3" t="str">
        <f t="shared" si="88"/>
        <v>X</v>
      </c>
      <c r="AE68" s="3" t="str">
        <f t="shared" si="88"/>
        <v>X</v>
      </c>
      <c r="AF68" s="3" t="str">
        <f t="shared" si="88"/>
        <v>X</v>
      </c>
      <c r="AG68" s="3" t="str">
        <f t="shared" si="88"/>
        <v>X</v>
      </c>
      <c r="AH68" s="3" t="str">
        <f t="shared" si="87"/>
        <v>X</v>
      </c>
      <c r="AI68" s="3" t="str">
        <f t="shared" si="87"/>
        <v>X</v>
      </c>
      <c r="AJ68" s="3" t="str">
        <f t="shared" si="87"/>
        <v>X</v>
      </c>
      <c r="AK68" s="3" t="str">
        <f t="shared" si="87"/>
        <v>X</v>
      </c>
      <c r="AL68" s="3" t="str">
        <f t="shared" si="87"/>
        <v>X</v>
      </c>
      <c r="AM68" s="3" t="str">
        <f t="shared" si="87"/>
        <v>X</v>
      </c>
      <c r="AN68" s="3" t="str">
        <f t="shared" si="87"/>
        <v>X</v>
      </c>
      <c r="AO68" s="3" t="str">
        <f t="shared" si="87"/>
        <v>X</v>
      </c>
      <c r="AP68" s="3" t="str">
        <f t="shared" si="87"/>
        <v>X</v>
      </c>
      <c r="AQ68" s="3" t="str">
        <f t="shared" si="87"/>
        <v>X</v>
      </c>
      <c r="AR68" s="3" t="str">
        <f t="shared" si="87"/>
        <v>X</v>
      </c>
      <c r="AS68" s="3" t="str">
        <f t="shared" si="87"/>
        <v>X</v>
      </c>
      <c r="AT68" s="3" t="str">
        <f t="shared" si="87"/>
        <v>X</v>
      </c>
      <c r="AU68" s="3" t="str">
        <f t="shared" si="87"/>
        <v>X</v>
      </c>
      <c r="AV68" s="3" t="str">
        <f t="shared" si="87"/>
        <v>X</v>
      </c>
      <c r="AW68" s="3" t="str">
        <f t="shared" si="16"/>
        <v>X</v>
      </c>
      <c r="AX68" s="3" t="str">
        <f t="shared" si="17"/>
        <v>X</v>
      </c>
      <c r="AY68" s="3" t="str">
        <f t="shared" si="18"/>
        <v>X</v>
      </c>
      <c r="AZ68" s="3" t="str">
        <f t="shared" si="19"/>
        <v>X</v>
      </c>
      <c r="BA68" s="3">
        <f t="shared" si="63"/>
        <v>88</v>
      </c>
      <c r="BB68" s="3">
        <f t="shared" si="64"/>
        <v>89</v>
      </c>
      <c r="BC68" s="3">
        <f t="shared" si="65"/>
        <v>90</v>
      </c>
      <c r="BD68" s="3">
        <f t="shared" si="66"/>
        <v>91</v>
      </c>
      <c r="BE68" s="9" t="str">
        <f t="shared" si="67"/>
        <v>058</v>
      </c>
      <c r="BF68" s="9" t="str">
        <f t="shared" si="68"/>
        <v>059</v>
      </c>
      <c r="BG68" s="9" t="str">
        <f t="shared" si="69"/>
        <v>05A</v>
      </c>
      <c r="BH68" s="9" t="str">
        <f t="shared" si="70"/>
        <v>05B</v>
      </c>
      <c r="BI68" s="3" t="str">
        <f t="shared" si="71"/>
        <v/>
      </c>
      <c r="BJ68" s="3" t="str">
        <f t="shared" si="72"/>
        <v/>
      </c>
      <c r="BK68" s="3" t="str">
        <f t="shared" si="73"/>
        <v/>
      </c>
      <c r="BL68" s="3" t="str">
        <f t="shared" si="74"/>
        <v/>
      </c>
      <c r="BM68" s="3">
        <f t="shared" si="75"/>
        <v>31</v>
      </c>
      <c r="BN68" s="3">
        <f t="shared" si="76"/>
        <v>23</v>
      </c>
      <c r="BO68" s="3">
        <f t="shared" si="77"/>
        <v>15</v>
      </c>
      <c r="BP68" s="3">
        <f t="shared" si="78"/>
        <v>7</v>
      </c>
      <c r="BQ68" s="3" t="str">
        <f t="shared" si="79"/>
        <v>(31 downto 24)</v>
      </c>
      <c r="BR68" s="3" t="str">
        <f t="shared" si="80"/>
        <v>(23 downto 16)</v>
      </c>
      <c r="BS68" s="3" t="str">
        <f t="shared" si="81"/>
        <v>(15 downto 8)</v>
      </c>
      <c r="BT68" s="3" t="str">
        <f t="shared" si="82"/>
        <v>(7 downto 0)</v>
      </c>
    </row>
    <row r="69" spans="2:72" x14ac:dyDescent="0.25">
      <c r="B69" s="3" t="s">
        <v>331</v>
      </c>
      <c r="C69" s="3" t="s">
        <v>978</v>
      </c>
      <c r="D69" s="3" t="s">
        <v>1</v>
      </c>
      <c r="E69" s="3" t="s">
        <v>1062</v>
      </c>
      <c r="F69" s="3" t="s">
        <v>99</v>
      </c>
      <c r="G69" s="3" t="s">
        <v>288</v>
      </c>
      <c r="H69" s="3" t="s">
        <v>964</v>
      </c>
      <c r="I69" s="3" t="s">
        <v>24</v>
      </c>
      <c r="J69" s="3">
        <v>10</v>
      </c>
      <c r="K69" s="3" t="s">
        <v>975</v>
      </c>
      <c r="L69" s="3" t="s">
        <v>23</v>
      </c>
      <c r="M69" s="3">
        <v>23</v>
      </c>
      <c r="N69" s="3" t="str">
        <f t="shared" si="14"/>
        <v>017</v>
      </c>
      <c r="O69" s="3">
        <v>9</v>
      </c>
      <c r="P69" s="3">
        <v>0</v>
      </c>
      <c r="Q69" s="3" t="str">
        <f t="shared" si="15"/>
        <v/>
      </c>
      <c r="R69" s="3" t="str">
        <f t="shared" si="88"/>
        <v/>
      </c>
      <c r="S69" s="3" t="str">
        <f t="shared" si="88"/>
        <v/>
      </c>
      <c r="T69" s="3" t="str">
        <f t="shared" si="88"/>
        <v/>
      </c>
      <c r="U69" s="3" t="str">
        <f t="shared" si="88"/>
        <v/>
      </c>
      <c r="V69" s="3" t="str">
        <f t="shared" si="88"/>
        <v/>
      </c>
      <c r="W69" s="3" t="str">
        <f t="shared" si="88"/>
        <v/>
      </c>
      <c r="X69" s="3" t="str">
        <f t="shared" si="88"/>
        <v/>
      </c>
      <c r="Y69" s="3" t="str">
        <f t="shared" si="88"/>
        <v/>
      </c>
      <c r="Z69" s="3" t="str">
        <f t="shared" si="88"/>
        <v/>
      </c>
      <c r="AA69" s="3" t="str">
        <f t="shared" si="88"/>
        <v/>
      </c>
      <c r="AB69" s="3" t="str">
        <f t="shared" si="88"/>
        <v/>
      </c>
      <c r="AC69" s="3" t="str">
        <f t="shared" si="88"/>
        <v/>
      </c>
      <c r="AD69" s="3" t="str">
        <f t="shared" si="88"/>
        <v/>
      </c>
      <c r="AE69" s="3" t="str">
        <f t="shared" si="88"/>
        <v/>
      </c>
      <c r="AF69" s="3" t="str">
        <f t="shared" si="88"/>
        <v/>
      </c>
      <c r="AG69" s="3" t="str">
        <f t="shared" si="88"/>
        <v/>
      </c>
      <c r="AH69" s="3" t="str">
        <f t="shared" si="87"/>
        <v/>
      </c>
      <c r="AI69" s="3" t="str">
        <f t="shared" si="87"/>
        <v/>
      </c>
      <c r="AJ69" s="3" t="str">
        <f t="shared" si="87"/>
        <v/>
      </c>
      <c r="AK69" s="3" t="str">
        <f t="shared" si="87"/>
        <v/>
      </c>
      <c r="AL69" s="3" t="str">
        <f t="shared" si="87"/>
        <v/>
      </c>
      <c r="AM69" s="3" t="str">
        <f t="shared" si="87"/>
        <v>X</v>
      </c>
      <c r="AN69" s="3" t="str">
        <f t="shared" si="87"/>
        <v>X</v>
      </c>
      <c r="AO69" s="3" t="str">
        <f t="shared" si="87"/>
        <v>X</v>
      </c>
      <c r="AP69" s="3" t="str">
        <f t="shared" si="87"/>
        <v>X</v>
      </c>
      <c r="AQ69" s="3" t="str">
        <f t="shared" si="87"/>
        <v>X</v>
      </c>
      <c r="AR69" s="3" t="str">
        <f t="shared" si="87"/>
        <v>X</v>
      </c>
      <c r="AS69" s="3" t="str">
        <f t="shared" si="87"/>
        <v>X</v>
      </c>
      <c r="AT69" s="3" t="str">
        <f t="shared" si="87"/>
        <v>X</v>
      </c>
      <c r="AU69" s="3" t="str">
        <f t="shared" si="87"/>
        <v>X</v>
      </c>
      <c r="AV69" s="3" t="str">
        <f t="shared" si="87"/>
        <v>X</v>
      </c>
      <c r="AW69" s="3" t="str">
        <f t="shared" si="16"/>
        <v/>
      </c>
      <c r="AX69" s="3" t="str">
        <f t="shared" si="17"/>
        <v/>
      </c>
      <c r="AY69" s="3" t="str">
        <f t="shared" si="18"/>
        <v>X</v>
      </c>
      <c r="AZ69" s="3" t="str">
        <f t="shared" si="19"/>
        <v>X</v>
      </c>
      <c r="BA69" s="3" t="str">
        <f t="shared" si="63"/>
        <v/>
      </c>
      <c r="BB69" s="3" t="str">
        <f t="shared" si="64"/>
        <v/>
      </c>
      <c r="BC69" s="3">
        <f t="shared" si="65"/>
        <v>94</v>
      </c>
      <c r="BD69" s="3">
        <f t="shared" si="66"/>
        <v>95</v>
      </c>
      <c r="BE69" s="9" t="str">
        <f t="shared" si="67"/>
        <v/>
      </c>
      <c r="BF69" s="9" t="str">
        <f t="shared" si="68"/>
        <v/>
      </c>
      <c r="BG69" s="9" t="str">
        <f t="shared" si="69"/>
        <v>05E</v>
      </c>
      <c r="BH69" s="9" t="str">
        <f t="shared" si="70"/>
        <v>05F</v>
      </c>
      <c r="BI69" s="3" t="str">
        <f t="shared" si="71"/>
        <v/>
      </c>
      <c r="BJ69" s="3" t="str">
        <f t="shared" si="72"/>
        <v/>
      </c>
      <c r="BK69" s="3" t="str">
        <f t="shared" si="73"/>
        <v>(1 downto 0)</v>
      </c>
      <c r="BL69" s="3" t="str">
        <f t="shared" si="74"/>
        <v/>
      </c>
      <c r="BM69" s="3" t="str">
        <f t="shared" si="75"/>
        <v/>
      </c>
      <c r="BN69" s="3" t="str">
        <f t="shared" si="76"/>
        <v/>
      </c>
      <c r="BO69" s="3">
        <f t="shared" si="77"/>
        <v>9</v>
      </c>
      <c r="BP69" s="3">
        <f t="shared" si="78"/>
        <v>7</v>
      </c>
      <c r="BQ69" s="3" t="str">
        <f t="shared" si="79"/>
        <v/>
      </c>
      <c r="BR69" s="3" t="str">
        <f t="shared" si="80"/>
        <v/>
      </c>
      <c r="BS69" s="3" t="str">
        <f t="shared" si="81"/>
        <v>(9 downto 8)</v>
      </c>
      <c r="BT69" s="3" t="str">
        <f t="shared" si="82"/>
        <v>(7 downto 0)</v>
      </c>
    </row>
    <row r="70" spans="2:72" x14ac:dyDescent="0.25">
      <c r="B70" s="3" t="s">
        <v>331</v>
      </c>
      <c r="C70" s="3" t="s">
        <v>979</v>
      </c>
      <c r="D70" s="3" t="s">
        <v>1</v>
      </c>
      <c r="E70" s="3" t="s">
        <v>1062</v>
      </c>
      <c r="F70" s="3" t="s">
        <v>99</v>
      </c>
      <c r="G70" s="3" t="s">
        <v>288</v>
      </c>
      <c r="H70" s="3" t="s">
        <v>965</v>
      </c>
      <c r="I70" s="3" t="s">
        <v>24</v>
      </c>
      <c r="J70" s="3">
        <v>10</v>
      </c>
      <c r="K70" s="3" t="s">
        <v>975</v>
      </c>
      <c r="L70" s="3" t="s">
        <v>23</v>
      </c>
      <c r="M70" s="3">
        <v>23</v>
      </c>
      <c r="N70" s="3" t="str">
        <f t="shared" si="14"/>
        <v>017</v>
      </c>
      <c r="O70" s="3">
        <v>19</v>
      </c>
      <c r="P70" s="3">
        <v>10</v>
      </c>
      <c r="Q70" s="3" t="str">
        <f t="shared" si="15"/>
        <v/>
      </c>
      <c r="R70" s="3" t="str">
        <f t="shared" si="88"/>
        <v/>
      </c>
      <c r="S70" s="3" t="str">
        <f t="shared" si="88"/>
        <v/>
      </c>
      <c r="T70" s="3" t="str">
        <f t="shared" si="88"/>
        <v/>
      </c>
      <c r="U70" s="3" t="str">
        <f t="shared" si="88"/>
        <v/>
      </c>
      <c r="V70" s="3" t="str">
        <f t="shared" si="88"/>
        <v/>
      </c>
      <c r="W70" s="3" t="str">
        <f t="shared" si="88"/>
        <v/>
      </c>
      <c r="X70" s="3" t="str">
        <f t="shared" si="88"/>
        <v/>
      </c>
      <c r="Y70" s="3" t="str">
        <f t="shared" si="88"/>
        <v/>
      </c>
      <c r="Z70" s="3" t="str">
        <f t="shared" si="88"/>
        <v/>
      </c>
      <c r="AA70" s="3" t="str">
        <f t="shared" si="88"/>
        <v/>
      </c>
      <c r="AB70" s="3" t="str">
        <f t="shared" si="88"/>
        <v/>
      </c>
      <c r="AC70" s="3" t="str">
        <f t="shared" si="88"/>
        <v>X</v>
      </c>
      <c r="AD70" s="3" t="str">
        <f t="shared" si="88"/>
        <v>X</v>
      </c>
      <c r="AE70" s="3" t="str">
        <f t="shared" si="88"/>
        <v>X</v>
      </c>
      <c r="AF70" s="3" t="str">
        <f t="shared" si="88"/>
        <v>X</v>
      </c>
      <c r="AG70" s="3" t="str">
        <f t="shared" si="88"/>
        <v>X</v>
      </c>
      <c r="AH70" s="3" t="str">
        <f t="shared" si="87"/>
        <v>X</v>
      </c>
      <c r="AI70" s="3" t="str">
        <f t="shared" si="87"/>
        <v>X</v>
      </c>
      <c r="AJ70" s="3" t="str">
        <f t="shared" si="87"/>
        <v>X</v>
      </c>
      <c r="AK70" s="3" t="str">
        <f t="shared" si="87"/>
        <v>X</v>
      </c>
      <c r="AL70" s="3" t="str">
        <f t="shared" si="87"/>
        <v>X</v>
      </c>
      <c r="AM70" s="3" t="str">
        <f t="shared" si="87"/>
        <v/>
      </c>
      <c r="AN70" s="3" t="str">
        <f t="shared" si="87"/>
        <v/>
      </c>
      <c r="AO70" s="3" t="str">
        <f t="shared" si="87"/>
        <v/>
      </c>
      <c r="AP70" s="3" t="str">
        <f t="shared" si="87"/>
        <v/>
      </c>
      <c r="AQ70" s="3" t="str">
        <f t="shared" si="87"/>
        <v/>
      </c>
      <c r="AR70" s="3" t="str">
        <f t="shared" si="87"/>
        <v/>
      </c>
      <c r="AS70" s="3" t="str">
        <f t="shared" si="87"/>
        <v/>
      </c>
      <c r="AT70" s="3" t="str">
        <f t="shared" si="87"/>
        <v/>
      </c>
      <c r="AU70" s="3" t="str">
        <f t="shared" si="87"/>
        <v/>
      </c>
      <c r="AV70" s="3" t="str">
        <f t="shared" si="87"/>
        <v/>
      </c>
      <c r="AW70" s="3" t="str">
        <f t="shared" si="16"/>
        <v/>
      </c>
      <c r="AX70" s="3" t="str">
        <f t="shared" si="17"/>
        <v>X</v>
      </c>
      <c r="AY70" s="3" t="str">
        <f t="shared" si="18"/>
        <v>X</v>
      </c>
      <c r="AZ70" s="3" t="str">
        <f t="shared" si="19"/>
        <v/>
      </c>
      <c r="BA70" s="3" t="str">
        <f t="shared" si="63"/>
        <v/>
      </c>
      <c r="BB70" s="3">
        <f t="shared" si="64"/>
        <v>93</v>
      </c>
      <c r="BC70" s="3">
        <f t="shared" si="65"/>
        <v>94</v>
      </c>
      <c r="BD70" s="3" t="str">
        <f t="shared" si="66"/>
        <v/>
      </c>
      <c r="BE70" s="9" t="str">
        <f t="shared" si="67"/>
        <v/>
      </c>
      <c r="BF70" s="9" t="str">
        <f t="shared" si="68"/>
        <v>05D</v>
      </c>
      <c r="BG70" s="9" t="str">
        <f t="shared" si="69"/>
        <v>05E</v>
      </c>
      <c r="BH70" s="9" t="str">
        <f t="shared" si="70"/>
        <v/>
      </c>
      <c r="BI70" s="3" t="str">
        <f t="shared" si="71"/>
        <v/>
      </c>
      <c r="BJ70" s="3" t="str">
        <f t="shared" si="72"/>
        <v>(3 downto 0)</v>
      </c>
      <c r="BK70" s="3" t="str">
        <f t="shared" si="73"/>
        <v>(7 downto 2)</v>
      </c>
      <c r="BL70" s="3" t="str">
        <f t="shared" si="74"/>
        <v/>
      </c>
      <c r="BM70" s="3" t="str">
        <f t="shared" si="75"/>
        <v/>
      </c>
      <c r="BN70" s="3">
        <f t="shared" si="76"/>
        <v>9</v>
      </c>
      <c r="BO70" s="3">
        <f t="shared" si="77"/>
        <v>5</v>
      </c>
      <c r="BP70" s="3" t="str">
        <f t="shared" si="78"/>
        <v/>
      </c>
      <c r="BQ70" s="3" t="str">
        <f t="shared" si="79"/>
        <v/>
      </c>
      <c r="BR70" s="3" t="str">
        <f t="shared" si="80"/>
        <v>(9 downto 6)</v>
      </c>
      <c r="BS70" s="3" t="str">
        <f t="shared" si="81"/>
        <v>(5 downto 0)</v>
      </c>
      <c r="BT70" s="3" t="str">
        <f t="shared" si="82"/>
        <v/>
      </c>
    </row>
    <row r="71" spans="2:72" x14ac:dyDescent="0.25">
      <c r="B71" s="3" t="s">
        <v>331</v>
      </c>
      <c r="C71" s="3" t="s">
        <v>980</v>
      </c>
      <c r="D71" s="3" t="s">
        <v>1</v>
      </c>
      <c r="E71" s="3" t="s">
        <v>1062</v>
      </c>
      <c r="F71" s="3" t="s">
        <v>99</v>
      </c>
      <c r="G71" s="3" t="s">
        <v>288</v>
      </c>
      <c r="H71" s="3" t="s">
        <v>966</v>
      </c>
      <c r="I71" s="3" t="s">
        <v>24</v>
      </c>
      <c r="J71" s="3">
        <v>10</v>
      </c>
      <c r="K71" s="3" t="s">
        <v>975</v>
      </c>
      <c r="L71" s="3" t="s">
        <v>23</v>
      </c>
      <c r="M71" s="3">
        <v>23</v>
      </c>
      <c r="N71" s="3" t="str">
        <f t="shared" si="14"/>
        <v>017</v>
      </c>
      <c r="O71" s="3">
        <v>29</v>
      </c>
      <c r="P71" s="3">
        <v>20</v>
      </c>
      <c r="Q71" s="3" t="str">
        <f t="shared" si="15"/>
        <v/>
      </c>
      <c r="R71" s="3" t="str">
        <f t="shared" si="88"/>
        <v/>
      </c>
      <c r="S71" s="3" t="str">
        <f t="shared" si="88"/>
        <v>X</v>
      </c>
      <c r="T71" s="3" t="str">
        <f t="shared" si="88"/>
        <v>X</v>
      </c>
      <c r="U71" s="3" t="str">
        <f t="shared" si="88"/>
        <v>X</v>
      </c>
      <c r="V71" s="3" t="str">
        <f t="shared" si="88"/>
        <v>X</v>
      </c>
      <c r="W71" s="3" t="str">
        <f t="shared" si="88"/>
        <v>X</v>
      </c>
      <c r="X71" s="3" t="str">
        <f t="shared" si="88"/>
        <v>X</v>
      </c>
      <c r="Y71" s="3" t="str">
        <f t="shared" si="88"/>
        <v>X</v>
      </c>
      <c r="Z71" s="3" t="str">
        <f t="shared" si="88"/>
        <v>X</v>
      </c>
      <c r="AA71" s="3" t="str">
        <f t="shared" si="88"/>
        <v>X</v>
      </c>
      <c r="AB71" s="3" t="str">
        <f t="shared" si="88"/>
        <v>X</v>
      </c>
      <c r="AC71" s="3" t="str">
        <f t="shared" si="88"/>
        <v/>
      </c>
      <c r="AD71" s="3" t="str">
        <f t="shared" si="88"/>
        <v/>
      </c>
      <c r="AE71" s="3" t="str">
        <f t="shared" si="88"/>
        <v/>
      </c>
      <c r="AF71" s="3" t="str">
        <f t="shared" si="88"/>
        <v/>
      </c>
      <c r="AG71" s="3" t="str">
        <f t="shared" si="88"/>
        <v/>
      </c>
      <c r="AH71" s="3" t="str">
        <f t="shared" si="87"/>
        <v/>
      </c>
      <c r="AI71" s="3" t="str">
        <f t="shared" si="87"/>
        <v/>
      </c>
      <c r="AJ71" s="3" t="str">
        <f t="shared" si="87"/>
        <v/>
      </c>
      <c r="AK71" s="3" t="str">
        <f t="shared" si="87"/>
        <v/>
      </c>
      <c r="AL71" s="3" t="str">
        <f t="shared" si="87"/>
        <v/>
      </c>
      <c r="AM71" s="3" t="str">
        <f t="shared" si="87"/>
        <v/>
      </c>
      <c r="AN71" s="3" t="str">
        <f t="shared" si="87"/>
        <v/>
      </c>
      <c r="AO71" s="3" t="str">
        <f t="shared" si="87"/>
        <v/>
      </c>
      <c r="AP71" s="3" t="str">
        <f t="shared" si="87"/>
        <v/>
      </c>
      <c r="AQ71" s="3" t="str">
        <f t="shared" si="87"/>
        <v/>
      </c>
      <c r="AR71" s="3" t="str">
        <f t="shared" si="87"/>
        <v/>
      </c>
      <c r="AS71" s="3" t="str">
        <f t="shared" si="87"/>
        <v/>
      </c>
      <c r="AT71" s="3" t="str">
        <f t="shared" si="87"/>
        <v/>
      </c>
      <c r="AU71" s="3" t="str">
        <f t="shared" si="87"/>
        <v/>
      </c>
      <c r="AV71" s="3" t="str">
        <f t="shared" si="87"/>
        <v/>
      </c>
      <c r="AW71" s="3" t="str">
        <f t="shared" si="16"/>
        <v>X</v>
      </c>
      <c r="AX71" s="3" t="str">
        <f t="shared" si="17"/>
        <v>X</v>
      </c>
      <c r="AY71" s="3" t="str">
        <f t="shared" si="18"/>
        <v/>
      </c>
      <c r="AZ71" s="3" t="str">
        <f t="shared" si="19"/>
        <v/>
      </c>
      <c r="BA71" s="3">
        <f t="shared" si="63"/>
        <v>92</v>
      </c>
      <c r="BB71" s="3">
        <f t="shared" si="64"/>
        <v>93</v>
      </c>
      <c r="BC71" s="3" t="str">
        <f t="shared" si="65"/>
        <v/>
      </c>
      <c r="BD71" s="3" t="str">
        <f t="shared" si="66"/>
        <v/>
      </c>
      <c r="BE71" s="9" t="str">
        <f t="shared" si="67"/>
        <v>05C</v>
      </c>
      <c r="BF71" s="9" t="str">
        <f t="shared" si="68"/>
        <v>05D</v>
      </c>
      <c r="BG71" s="9" t="str">
        <f t="shared" si="69"/>
        <v/>
      </c>
      <c r="BH71" s="9" t="str">
        <f t="shared" si="70"/>
        <v/>
      </c>
      <c r="BI71" s="3" t="str">
        <f t="shared" si="71"/>
        <v>(5 downto 0)</v>
      </c>
      <c r="BJ71" s="3" t="str">
        <f t="shared" si="72"/>
        <v>(7 downto 4)</v>
      </c>
      <c r="BK71" s="3" t="str">
        <f t="shared" si="73"/>
        <v/>
      </c>
      <c r="BL71" s="3" t="str">
        <f t="shared" si="74"/>
        <v/>
      </c>
      <c r="BM71" s="3">
        <f t="shared" si="75"/>
        <v>9</v>
      </c>
      <c r="BN71" s="3">
        <f t="shared" si="76"/>
        <v>3</v>
      </c>
      <c r="BO71" s="3" t="str">
        <f t="shared" si="77"/>
        <v/>
      </c>
      <c r="BP71" s="3" t="str">
        <f t="shared" si="78"/>
        <v/>
      </c>
      <c r="BQ71" s="3" t="str">
        <f t="shared" si="79"/>
        <v>(9 downto 4)</v>
      </c>
      <c r="BR71" s="3" t="str">
        <f t="shared" si="80"/>
        <v>(3 downto 0)</v>
      </c>
      <c r="BS71" s="3" t="str">
        <f t="shared" si="81"/>
        <v/>
      </c>
      <c r="BT71" s="3" t="str">
        <f t="shared" si="82"/>
        <v/>
      </c>
    </row>
    <row r="72" spans="2:72" x14ac:dyDescent="0.25">
      <c r="B72" s="3" t="s">
        <v>331</v>
      </c>
      <c r="C72" s="3" t="s">
        <v>376</v>
      </c>
      <c r="D72" s="3" t="s">
        <v>1</v>
      </c>
      <c r="E72" s="3" t="s">
        <v>1062</v>
      </c>
      <c r="F72" s="3" t="s">
        <v>99</v>
      </c>
      <c r="G72" s="3" t="s">
        <v>288</v>
      </c>
      <c r="H72" s="3" t="s">
        <v>188</v>
      </c>
      <c r="I72" s="3" t="s">
        <v>24</v>
      </c>
      <c r="J72" s="3">
        <v>2</v>
      </c>
      <c r="K72" s="3" t="s">
        <v>976</v>
      </c>
      <c r="L72" s="3" t="s">
        <v>23</v>
      </c>
      <c r="M72" s="3">
        <v>23</v>
      </c>
      <c r="N72" s="3" t="str">
        <f t="shared" si="14"/>
        <v>017</v>
      </c>
      <c r="O72" s="3">
        <v>31</v>
      </c>
      <c r="P72" s="3">
        <v>30</v>
      </c>
      <c r="Q72" s="3" t="str">
        <f t="shared" si="15"/>
        <v>X</v>
      </c>
      <c r="R72" s="3" t="str">
        <f t="shared" si="88"/>
        <v>X</v>
      </c>
      <c r="S72" s="3" t="str">
        <f t="shared" si="88"/>
        <v/>
      </c>
      <c r="T72" s="3" t="str">
        <f t="shared" si="88"/>
        <v/>
      </c>
      <c r="U72" s="3" t="str">
        <f t="shared" si="88"/>
        <v/>
      </c>
      <c r="V72" s="3" t="str">
        <f t="shared" si="88"/>
        <v/>
      </c>
      <c r="W72" s="3" t="str">
        <f t="shared" si="88"/>
        <v/>
      </c>
      <c r="X72" s="3" t="str">
        <f t="shared" si="88"/>
        <v/>
      </c>
      <c r="Y72" s="3" t="str">
        <f t="shared" si="88"/>
        <v/>
      </c>
      <c r="Z72" s="3" t="str">
        <f t="shared" si="88"/>
        <v/>
      </c>
      <c r="AA72" s="3" t="str">
        <f t="shared" si="88"/>
        <v/>
      </c>
      <c r="AB72" s="3" t="str">
        <f t="shared" si="88"/>
        <v/>
      </c>
      <c r="AC72" s="3" t="str">
        <f t="shared" si="88"/>
        <v/>
      </c>
      <c r="AD72" s="3" t="str">
        <f t="shared" si="88"/>
        <v/>
      </c>
      <c r="AE72" s="3" t="str">
        <f t="shared" si="88"/>
        <v/>
      </c>
      <c r="AF72" s="3" t="str">
        <f t="shared" si="88"/>
        <v/>
      </c>
      <c r="AG72" s="3" t="str">
        <f t="shared" si="88"/>
        <v/>
      </c>
      <c r="AH72" s="3" t="str">
        <f t="shared" si="87"/>
        <v/>
      </c>
      <c r="AI72" s="3" t="str">
        <f t="shared" si="87"/>
        <v/>
      </c>
      <c r="AJ72" s="3" t="str">
        <f t="shared" si="87"/>
        <v/>
      </c>
      <c r="AK72" s="3" t="str">
        <f t="shared" si="87"/>
        <v/>
      </c>
      <c r="AL72" s="3" t="str">
        <f t="shared" si="87"/>
        <v/>
      </c>
      <c r="AM72" s="3" t="str">
        <f t="shared" si="87"/>
        <v/>
      </c>
      <c r="AN72" s="3" t="str">
        <f t="shared" si="87"/>
        <v/>
      </c>
      <c r="AO72" s="3" t="str">
        <f t="shared" si="87"/>
        <v/>
      </c>
      <c r="AP72" s="3" t="str">
        <f t="shared" si="87"/>
        <v/>
      </c>
      <c r="AQ72" s="3" t="str">
        <f t="shared" si="87"/>
        <v/>
      </c>
      <c r="AR72" s="3" t="str">
        <f t="shared" si="87"/>
        <v/>
      </c>
      <c r="AS72" s="3" t="str">
        <f t="shared" si="87"/>
        <v/>
      </c>
      <c r="AT72" s="3" t="str">
        <f t="shared" si="87"/>
        <v/>
      </c>
      <c r="AU72" s="3" t="str">
        <f t="shared" si="87"/>
        <v/>
      </c>
      <c r="AV72" s="3" t="str">
        <f t="shared" si="87"/>
        <v/>
      </c>
      <c r="AW72" s="3" t="str">
        <f t="shared" si="16"/>
        <v>X</v>
      </c>
      <c r="AX72" s="3" t="str">
        <f t="shared" si="17"/>
        <v/>
      </c>
      <c r="AY72" s="3" t="str">
        <f t="shared" si="18"/>
        <v/>
      </c>
      <c r="AZ72" s="3" t="str">
        <f t="shared" si="19"/>
        <v/>
      </c>
      <c r="BA72" s="3">
        <f t="shared" si="63"/>
        <v>92</v>
      </c>
      <c r="BB72" s="3" t="str">
        <f t="shared" si="64"/>
        <v/>
      </c>
      <c r="BC72" s="3" t="str">
        <f t="shared" si="65"/>
        <v/>
      </c>
      <c r="BD72" s="3" t="str">
        <f t="shared" si="66"/>
        <v/>
      </c>
      <c r="BE72" s="9" t="str">
        <f t="shared" si="67"/>
        <v>05C</v>
      </c>
      <c r="BF72" s="9" t="str">
        <f t="shared" si="68"/>
        <v/>
      </c>
      <c r="BG72" s="9" t="str">
        <f t="shared" si="69"/>
        <v/>
      </c>
      <c r="BH72" s="9" t="str">
        <f t="shared" si="70"/>
        <v/>
      </c>
      <c r="BI72" s="3" t="str">
        <f t="shared" si="71"/>
        <v>(7 downto 6)</v>
      </c>
      <c r="BJ72" s="3" t="str">
        <f t="shared" si="72"/>
        <v/>
      </c>
      <c r="BK72" s="3" t="str">
        <f t="shared" si="73"/>
        <v/>
      </c>
      <c r="BL72" s="3" t="str">
        <f t="shared" si="74"/>
        <v/>
      </c>
      <c r="BM72" s="3">
        <f t="shared" si="75"/>
        <v>1</v>
      </c>
      <c r="BN72" s="3" t="str">
        <f t="shared" si="76"/>
        <v/>
      </c>
      <c r="BO72" s="3" t="str">
        <f t="shared" si="77"/>
        <v/>
      </c>
      <c r="BP72" s="3" t="str">
        <f t="shared" si="78"/>
        <v/>
      </c>
      <c r="BQ72" s="3" t="str">
        <f t="shared" si="79"/>
        <v/>
      </c>
      <c r="BR72" s="3" t="str">
        <f t="shared" si="80"/>
        <v/>
      </c>
      <c r="BS72" s="3" t="str">
        <f t="shared" si="81"/>
        <v/>
      </c>
      <c r="BT72" s="3" t="str">
        <f t="shared" si="82"/>
        <v/>
      </c>
    </row>
    <row r="73" spans="2:72" x14ac:dyDescent="0.25">
      <c r="B73" s="3" t="s">
        <v>993</v>
      </c>
      <c r="C73" s="3" t="s">
        <v>981</v>
      </c>
      <c r="D73" s="3" t="s">
        <v>1</v>
      </c>
      <c r="E73" s="3" t="s">
        <v>1062</v>
      </c>
      <c r="F73" s="3" t="s">
        <v>989</v>
      </c>
      <c r="G73" s="3" t="s">
        <v>991</v>
      </c>
      <c r="H73" s="3" t="s">
        <v>967</v>
      </c>
      <c r="I73" s="3" t="s">
        <v>24</v>
      </c>
      <c r="J73" s="3">
        <v>10</v>
      </c>
      <c r="K73" s="3" t="s">
        <v>975</v>
      </c>
      <c r="L73" s="3" t="s">
        <v>23</v>
      </c>
      <c r="M73" s="3">
        <v>24</v>
      </c>
      <c r="N73" s="3" t="str">
        <f t="shared" si="14"/>
        <v>018</v>
      </c>
      <c r="O73" s="3">
        <v>9</v>
      </c>
      <c r="P73" s="3">
        <v>0</v>
      </c>
      <c r="Q73" s="3" t="str">
        <f t="shared" ref="Q73:AF136" si="89">IF(AND($O73&gt;=Q$3,Q$3&gt;=$P73),"X","")</f>
        <v/>
      </c>
      <c r="R73" s="3" t="str">
        <f t="shared" si="88"/>
        <v/>
      </c>
      <c r="S73" s="3" t="str">
        <f t="shared" si="88"/>
        <v/>
      </c>
      <c r="T73" s="3" t="str">
        <f t="shared" si="88"/>
        <v/>
      </c>
      <c r="U73" s="3" t="str">
        <f t="shared" si="88"/>
        <v/>
      </c>
      <c r="V73" s="3" t="str">
        <f t="shared" si="88"/>
        <v/>
      </c>
      <c r="W73" s="3" t="str">
        <f t="shared" si="88"/>
        <v/>
      </c>
      <c r="X73" s="3" t="str">
        <f t="shared" si="88"/>
        <v/>
      </c>
      <c r="Y73" s="3" t="str">
        <f t="shared" si="88"/>
        <v/>
      </c>
      <c r="Z73" s="3" t="str">
        <f t="shared" si="88"/>
        <v/>
      </c>
      <c r="AA73" s="3" t="str">
        <f t="shared" si="88"/>
        <v/>
      </c>
      <c r="AB73" s="3" t="str">
        <f t="shared" si="88"/>
        <v/>
      </c>
      <c r="AC73" s="3" t="str">
        <f t="shared" si="88"/>
        <v/>
      </c>
      <c r="AD73" s="3" t="str">
        <f t="shared" si="88"/>
        <v/>
      </c>
      <c r="AE73" s="3" t="str">
        <f t="shared" si="88"/>
        <v/>
      </c>
      <c r="AF73" s="3" t="str">
        <f t="shared" si="88"/>
        <v/>
      </c>
      <c r="AG73" s="3" t="str">
        <f t="shared" si="88"/>
        <v/>
      </c>
      <c r="AH73" s="3" t="str">
        <f t="shared" si="87"/>
        <v/>
      </c>
      <c r="AI73" s="3" t="str">
        <f t="shared" si="87"/>
        <v/>
      </c>
      <c r="AJ73" s="3" t="str">
        <f t="shared" si="87"/>
        <v/>
      </c>
      <c r="AK73" s="3" t="str">
        <f t="shared" si="87"/>
        <v/>
      </c>
      <c r="AL73" s="3" t="str">
        <f t="shared" si="87"/>
        <v/>
      </c>
      <c r="AM73" s="3" t="str">
        <f t="shared" si="87"/>
        <v>X</v>
      </c>
      <c r="AN73" s="3" t="str">
        <f t="shared" si="87"/>
        <v>X</v>
      </c>
      <c r="AO73" s="3" t="str">
        <f t="shared" si="87"/>
        <v>X</v>
      </c>
      <c r="AP73" s="3" t="str">
        <f t="shared" si="87"/>
        <v>X</v>
      </c>
      <c r="AQ73" s="3" t="str">
        <f t="shared" si="87"/>
        <v>X</v>
      </c>
      <c r="AR73" s="3" t="str">
        <f t="shared" si="87"/>
        <v>X</v>
      </c>
      <c r="AS73" s="3" t="str">
        <f t="shared" si="87"/>
        <v>X</v>
      </c>
      <c r="AT73" s="3" t="str">
        <f t="shared" si="87"/>
        <v>X</v>
      </c>
      <c r="AU73" s="3" t="str">
        <f t="shared" si="87"/>
        <v>X</v>
      </c>
      <c r="AV73" s="3" t="str">
        <f t="shared" si="87"/>
        <v>X</v>
      </c>
      <c r="AW73" s="3" t="str">
        <f t="shared" ref="AW73:AW136" si="90">IF(OR($Q73="X",$R73="X",$S73="X",$T73="X",$U73="X",$V73="X",$W73="X",$X73="X"),"X","")</f>
        <v/>
      </c>
      <c r="AX73" s="3" t="str">
        <f t="shared" ref="AX73:AX136" si="91">IF(OR($Y73="X",$Z73="X",$AA73="X",$AB73="X",$AC73="X",$AD73="X",$AE73="X",$AF73="X"),"X","")</f>
        <v/>
      </c>
      <c r="AY73" s="3" t="str">
        <f t="shared" ref="AY73:AY136" si="92">IF(OR($AG73="X",$AH73="X",$AI73="X",$AJ73="X",$AK73="X",$AL73="X",$AM73="X",$AN73="X"),"X","")</f>
        <v>X</v>
      </c>
      <c r="AZ73" s="3" t="str">
        <f t="shared" ref="AZ73:AZ136" si="93">IF(OR($AO73="X",$AP73="X",$AQ73="X",$AR73="X",$AS73="X",$AT73="X",$AU73="X",$AV73="X"),"X","")</f>
        <v>X</v>
      </c>
      <c r="BA73" s="3" t="str">
        <f t="shared" si="63"/>
        <v/>
      </c>
      <c r="BB73" s="3" t="str">
        <f t="shared" si="64"/>
        <v/>
      </c>
      <c r="BC73" s="3">
        <f t="shared" si="65"/>
        <v>98</v>
      </c>
      <c r="BD73" s="3">
        <f t="shared" si="66"/>
        <v>99</v>
      </c>
      <c r="BE73" s="9" t="str">
        <f t="shared" si="67"/>
        <v/>
      </c>
      <c r="BF73" s="9" t="str">
        <f t="shared" si="68"/>
        <v/>
      </c>
      <c r="BG73" s="9" t="str">
        <f t="shared" si="69"/>
        <v>062</v>
      </c>
      <c r="BH73" s="9" t="str">
        <f t="shared" si="70"/>
        <v>063</v>
      </c>
      <c r="BI73" s="3" t="str">
        <f t="shared" si="71"/>
        <v/>
      </c>
      <c r="BJ73" s="3" t="str">
        <f t="shared" si="72"/>
        <v/>
      </c>
      <c r="BK73" s="3" t="str">
        <f t="shared" si="73"/>
        <v>(1 downto 0)</v>
      </c>
      <c r="BL73" s="3" t="str">
        <f t="shared" si="74"/>
        <v/>
      </c>
      <c r="BM73" s="3" t="str">
        <f t="shared" si="75"/>
        <v/>
      </c>
      <c r="BN73" s="3" t="str">
        <f t="shared" si="76"/>
        <v/>
      </c>
      <c r="BO73" s="3">
        <f t="shared" si="77"/>
        <v>9</v>
      </c>
      <c r="BP73" s="3">
        <f t="shared" si="78"/>
        <v>7</v>
      </c>
      <c r="BQ73" s="3" t="str">
        <f t="shared" si="79"/>
        <v/>
      </c>
      <c r="BR73" s="3" t="str">
        <f t="shared" si="80"/>
        <v/>
      </c>
      <c r="BS73" s="3" t="str">
        <f t="shared" si="81"/>
        <v>(9 downto 8)</v>
      </c>
      <c r="BT73" s="3" t="str">
        <f t="shared" si="82"/>
        <v>(7 downto 0)</v>
      </c>
    </row>
    <row r="74" spans="2:72" x14ac:dyDescent="0.25">
      <c r="B74" s="3" t="s">
        <v>993</v>
      </c>
      <c r="C74" s="3" t="s">
        <v>982</v>
      </c>
      <c r="D74" s="3" t="s">
        <v>1</v>
      </c>
      <c r="E74" s="3" t="s">
        <v>1062</v>
      </c>
      <c r="F74" s="3" t="s">
        <v>989</v>
      </c>
      <c r="G74" s="3" t="s">
        <v>991</v>
      </c>
      <c r="H74" s="3" t="s">
        <v>968</v>
      </c>
      <c r="I74" s="3" t="s">
        <v>24</v>
      </c>
      <c r="J74" s="3">
        <v>10</v>
      </c>
      <c r="K74" s="3" t="s">
        <v>975</v>
      </c>
      <c r="L74" s="3" t="s">
        <v>23</v>
      </c>
      <c r="M74" s="3">
        <v>24</v>
      </c>
      <c r="N74" s="3" t="str">
        <f t="shared" si="14"/>
        <v>018</v>
      </c>
      <c r="O74" s="3">
        <v>19</v>
      </c>
      <c r="P74" s="3">
        <v>10</v>
      </c>
      <c r="Q74" s="3" t="str">
        <f t="shared" si="89"/>
        <v/>
      </c>
      <c r="R74" s="3" t="str">
        <f t="shared" si="88"/>
        <v/>
      </c>
      <c r="S74" s="3" t="str">
        <f t="shared" si="88"/>
        <v/>
      </c>
      <c r="T74" s="3" t="str">
        <f t="shared" si="88"/>
        <v/>
      </c>
      <c r="U74" s="3" t="str">
        <f t="shared" si="88"/>
        <v/>
      </c>
      <c r="V74" s="3" t="str">
        <f t="shared" si="88"/>
        <v/>
      </c>
      <c r="W74" s="3" t="str">
        <f t="shared" si="88"/>
        <v/>
      </c>
      <c r="X74" s="3" t="str">
        <f t="shared" si="88"/>
        <v/>
      </c>
      <c r="Y74" s="3" t="str">
        <f t="shared" si="88"/>
        <v/>
      </c>
      <c r="Z74" s="3" t="str">
        <f t="shared" si="88"/>
        <v/>
      </c>
      <c r="AA74" s="3" t="str">
        <f t="shared" si="88"/>
        <v/>
      </c>
      <c r="AB74" s="3" t="str">
        <f t="shared" si="88"/>
        <v/>
      </c>
      <c r="AC74" s="3" t="str">
        <f t="shared" si="88"/>
        <v>X</v>
      </c>
      <c r="AD74" s="3" t="str">
        <f t="shared" si="88"/>
        <v>X</v>
      </c>
      <c r="AE74" s="3" t="str">
        <f t="shared" si="88"/>
        <v>X</v>
      </c>
      <c r="AF74" s="3" t="str">
        <f t="shared" si="88"/>
        <v>X</v>
      </c>
      <c r="AG74" s="3" t="str">
        <f t="shared" si="88"/>
        <v>X</v>
      </c>
      <c r="AH74" s="3" t="str">
        <f t="shared" si="87"/>
        <v>X</v>
      </c>
      <c r="AI74" s="3" t="str">
        <f t="shared" si="87"/>
        <v>X</v>
      </c>
      <c r="AJ74" s="3" t="str">
        <f t="shared" si="87"/>
        <v>X</v>
      </c>
      <c r="AK74" s="3" t="str">
        <f t="shared" si="87"/>
        <v>X</v>
      </c>
      <c r="AL74" s="3" t="str">
        <f t="shared" si="87"/>
        <v>X</v>
      </c>
      <c r="AM74" s="3" t="str">
        <f t="shared" si="87"/>
        <v/>
      </c>
      <c r="AN74" s="3" t="str">
        <f t="shared" si="87"/>
        <v/>
      </c>
      <c r="AO74" s="3" t="str">
        <f t="shared" si="87"/>
        <v/>
      </c>
      <c r="AP74" s="3" t="str">
        <f t="shared" si="87"/>
        <v/>
      </c>
      <c r="AQ74" s="3" t="str">
        <f t="shared" si="87"/>
        <v/>
      </c>
      <c r="AR74" s="3" t="str">
        <f t="shared" si="87"/>
        <v/>
      </c>
      <c r="AS74" s="3" t="str">
        <f t="shared" si="87"/>
        <v/>
      </c>
      <c r="AT74" s="3" t="str">
        <f t="shared" si="87"/>
        <v/>
      </c>
      <c r="AU74" s="3" t="str">
        <f t="shared" si="87"/>
        <v/>
      </c>
      <c r="AV74" s="3" t="str">
        <f t="shared" si="87"/>
        <v/>
      </c>
      <c r="AW74" s="3" t="str">
        <f t="shared" si="90"/>
        <v/>
      </c>
      <c r="AX74" s="3" t="str">
        <f t="shared" si="91"/>
        <v>X</v>
      </c>
      <c r="AY74" s="3" t="str">
        <f t="shared" si="92"/>
        <v>X</v>
      </c>
      <c r="AZ74" s="3" t="str">
        <f t="shared" si="93"/>
        <v/>
      </c>
      <c r="BA74" s="3" t="str">
        <f t="shared" si="63"/>
        <v/>
      </c>
      <c r="BB74" s="3">
        <f t="shared" si="64"/>
        <v>97</v>
      </c>
      <c r="BC74" s="3">
        <f t="shared" si="65"/>
        <v>98</v>
      </c>
      <c r="BD74" s="3" t="str">
        <f t="shared" si="66"/>
        <v/>
      </c>
      <c r="BE74" s="9" t="str">
        <f t="shared" si="67"/>
        <v/>
      </c>
      <c r="BF74" s="9" t="str">
        <f t="shared" si="68"/>
        <v>061</v>
      </c>
      <c r="BG74" s="9" t="str">
        <f t="shared" si="69"/>
        <v>062</v>
      </c>
      <c r="BH74" s="9" t="str">
        <f t="shared" si="70"/>
        <v/>
      </c>
      <c r="BI74" s="3" t="str">
        <f t="shared" si="71"/>
        <v/>
      </c>
      <c r="BJ74" s="3" t="str">
        <f t="shared" si="72"/>
        <v>(3 downto 0)</v>
      </c>
      <c r="BK74" s="3" t="str">
        <f t="shared" si="73"/>
        <v>(7 downto 2)</v>
      </c>
      <c r="BL74" s="3" t="str">
        <f t="shared" si="74"/>
        <v/>
      </c>
      <c r="BM74" s="3" t="str">
        <f t="shared" si="75"/>
        <v/>
      </c>
      <c r="BN74" s="3">
        <f t="shared" si="76"/>
        <v>9</v>
      </c>
      <c r="BO74" s="3">
        <f t="shared" si="77"/>
        <v>5</v>
      </c>
      <c r="BP74" s="3" t="str">
        <f t="shared" si="78"/>
        <v/>
      </c>
      <c r="BQ74" s="3" t="str">
        <f t="shared" si="79"/>
        <v/>
      </c>
      <c r="BR74" s="3" t="str">
        <f t="shared" si="80"/>
        <v>(9 downto 6)</v>
      </c>
      <c r="BS74" s="3" t="str">
        <f t="shared" si="81"/>
        <v>(5 downto 0)</v>
      </c>
      <c r="BT74" s="3" t="str">
        <f t="shared" si="82"/>
        <v/>
      </c>
    </row>
    <row r="75" spans="2:72" x14ac:dyDescent="0.25">
      <c r="B75" s="3" t="s">
        <v>993</v>
      </c>
      <c r="C75" s="3" t="s">
        <v>983</v>
      </c>
      <c r="D75" s="3" t="s">
        <v>1</v>
      </c>
      <c r="E75" s="3" t="s">
        <v>1062</v>
      </c>
      <c r="F75" s="3" t="s">
        <v>989</v>
      </c>
      <c r="G75" s="3" t="s">
        <v>991</v>
      </c>
      <c r="H75" s="3" t="s">
        <v>969</v>
      </c>
      <c r="I75" s="3" t="s">
        <v>24</v>
      </c>
      <c r="J75" s="3">
        <v>10</v>
      </c>
      <c r="K75" s="3" t="s">
        <v>975</v>
      </c>
      <c r="L75" s="3" t="s">
        <v>23</v>
      </c>
      <c r="M75" s="3">
        <v>24</v>
      </c>
      <c r="N75" s="3" t="str">
        <f t="shared" si="14"/>
        <v>018</v>
      </c>
      <c r="O75" s="3">
        <v>29</v>
      </c>
      <c r="P75" s="3">
        <v>20</v>
      </c>
      <c r="Q75" s="3" t="str">
        <f t="shared" si="89"/>
        <v/>
      </c>
      <c r="R75" s="3" t="str">
        <f t="shared" si="88"/>
        <v/>
      </c>
      <c r="S75" s="3" t="str">
        <f t="shared" si="88"/>
        <v>X</v>
      </c>
      <c r="T75" s="3" t="str">
        <f t="shared" si="88"/>
        <v>X</v>
      </c>
      <c r="U75" s="3" t="str">
        <f t="shared" si="88"/>
        <v>X</v>
      </c>
      <c r="V75" s="3" t="str">
        <f t="shared" si="88"/>
        <v>X</v>
      </c>
      <c r="W75" s="3" t="str">
        <f t="shared" si="88"/>
        <v>X</v>
      </c>
      <c r="X75" s="3" t="str">
        <f t="shared" si="88"/>
        <v>X</v>
      </c>
      <c r="Y75" s="3" t="str">
        <f t="shared" si="88"/>
        <v>X</v>
      </c>
      <c r="Z75" s="3" t="str">
        <f t="shared" si="88"/>
        <v>X</v>
      </c>
      <c r="AA75" s="3" t="str">
        <f t="shared" si="88"/>
        <v>X</v>
      </c>
      <c r="AB75" s="3" t="str">
        <f t="shared" si="88"/>
        <v>X</v>
      </c>
      <c r="AC75" s="3" t="str">
        <f t="shared" si="88"/>
        <v/>
      </c>
      <c r="AD75" s="3" t="str">
        <f t="shared" si="88"/>
        <v/>
      </c>
      <c r="AE75" s="3" t="str">
        <f t="shared" si="88"/>
        <v/>
      </c>
      <c r="AF75" s="3" t="str">
        <f t="shared" si="88"/>
        <v/>
      </c>
      <c r="AG75" s="3" t="str">
        <f t="shared" si="88"/>
        <v/>
      </c>
      <c r="AH75" s="3" t="str">
        <f t="shared" ref="AH75:AV138" si="94">IF(AND($O75&gt;=AH$3,AH$3&gt;=$P75),"X","")</f>
        <v/>
      </c>
      <c r="AI75" s="3" t="str">
        <f t="shared" si="94"/>
        <v/>
      </c>
      <c r="AJ75" s="3" t="str">
        <f t="shared" si="94"/>
        <v/>
      </c>
      <c r="AK75" s="3" t="str">
        <f t="shared" si="94"/>
        <v/>
      </c>
      <c r="AL75" s="3" t="str">
        <f t="shared" si="94"/>
        <v/>
      </c>
      <c r="AM75" s="3" t="str">
        <f t="shared" si="94"/>
        <v/>
      </c>
      <c r="AN75" s="3" t="str">
        <f t="shared" si="94"/>
        <v/>
      </c>
      <c r="AO75" s="3" t="str">
        <f t="shared" si="94"/>
        <v/>
      </c>
      <c r="AP75" s="3" t="str">
        <f t="shared" si="94"/>
        <v/>
      </c>
      <c r="AQ75" s="3" t="str">
        <f t="shared" si="94"/>
        <v/>
      </c>
      <c r="AR75" s="3" t="str">
        <f t="shared" si="94"/>
        <v/>
      </c>
      <c r="AS75" s="3" t="str">
        <f t="shared" si="94"/>
        <v/>
      </c>
      <c r="AT75" s="3" t="str">
        <f t="shared" si="94"/>
        <v/>
      </c>
      <c r="AU75" s="3" t="str">
        <f t="shared" si="94"/>
        <v/>
      </c>
      <c r="AV75" s="3" t="str">
        <f t="shared" si="94"/>
        <v/>
      </c>
      <c r="AW75" s="3" t="str">
        <f t="shared" si="90"/>
        <v>X</v>
      </c>
      <c r="AX75" s="3" t="str">
        <f t="shared" si="91"/>
        <v>X</v>
      </c>
      <c r="AY75" s="3" t="str">
        <f t="shared" si="92"/>
        <v/>
      </c>
      <c r="AZ75" s="3" t="str">
        <f t="shared" si="93"/>
        <v/>
      </c>
      <c r="BA75" s="3">
        <f t="shared" si="63"/>
        <v>96</v>
      </c>
      <c r="BB75" s="3">
        <f t="shared" si="64"/>
        <v>97</v>
      </c>
      <c r="BC75" s="3" t="str">
        <f t="shared" si="65"/>
        <v/>
      </c>
      <c r="BD75" s="3" t="str">
        <f t="shared" si="66"/>
        <v/>
      </c>
      <c r="BE75" s="9" t="str">
        <f t="shared" si="67"/>
        <v>060</v>
      </c>
      <c r="BF75" s="9" t="str">
        <f t="shared" si="68"/>
        <v>061</v>
      </c>
      <c r="BG75" s="9" t="str">
        <f t="shared" si="69"/>
        <v/>
      </c>
      <c r="BH75" s="9" t="str">
        <f t="shared" si="70"/>
        <v/>
      </c>
      <c r="BI75" s="3" t="str">
        <f t="shared" si="71"/>
        <v>(5 downto 0)</v>
      </c>
      <c r="BJ75" s="3" t="str">
        <f t="shared" si="72"/>
        <v>(7 downto 4)</v>
      </c>
      <c r="BK75" s="3" t="str">
        <f t="shared" si="73"/>
        <v/>
      </c>
      <c r="BL75" s="3" t="str">
        <f t="shared" si="74"/>
        <v/>
      </c>
      <c r="BM75" s="3">
        <f t="shared" si="75"/>
        <v>9</v>
      </c>
      <c r="BN75" s="3">
        <f t="shared" si="76"/>
        <v>3</v>
      </c>
      <c r="BO75" s="3" t="str">
        <f t="shared" si="77"/>
        <v/>
      </c>
      <c r="BP75" s="3" t="str">
        <f t="shared" si="78"/>
        <v/>
      </c>
      <c r="BQ75" s="3" t="str">
        <f t="shared" si="79"/>
        <v>(9 downto 4)</v>
      </c>
      <c r="BR75" s="3" t="str">
        <f t="shared" si="80"/>
        <v>(3 downto 0)</v>
      </c>
      <c r="BS75" s="3" t="str">
        <f t="shared" si="81"/>
        <v/>
      </c>
      <c r="BT75" s="3" t="str">
        <f t="shared" si="82"/>
        <v/>
      </c>
    </row>
    <row r="76" spans="2:72" x14ac:dyDescent="0.25">
      <c r="B76" s="3" t="s">
        <v>993</v>
      </c>
      <c r="C76" s="3" t="s">
        <v>987</v>
      </c>
      <c r="D76" s="3" t="s">
        <v>1</v>
      </c>
      <c r="E76" s="3" t="s">
        <v>1062</v>
      </c>
      <c r="F76" s="3" t="s">
        <v>989</v>
      </c>
      <c r="G76" s="3" t="s">
        <v>991</v>
      </c>
      <c r="H76" s="3" t="s">
        <v>970</v>
      </c>
      <c r="I76" s="3" t="s">
        <v>24</v>
      </c>
      <c r="J76" s="3">
        <v>2</v>
      </c>
      <c r="K76" s="3" t="s">
        <v>976</v>
      </c>
      <c r="L76" s="3" t="s">
        <v>23</v>
      </c>
      <c r="M76" s="3">
        <v>24</v>
      </c>
      <c r="N76" s="3" t="str">
        <f t="shared" si="14"/>
        <v>018</v>
      </c>
      <c r="O76" s="3">
        <v>31</v>
      </c>
      <c r="P76" s="3">
        <v>30</v>
      </c>
      <c r="Q76" s="3" t="str">
        <f t="shared" si="89"/>
        <v>X</v>
      </c>
      <c r="R76" s="3" t="str">
        <f t="shared" si="88"/>
        <v>X</v>
      </c>
      <c r="S76" s="3" t="str">
        <f t="shared" si="88"/>
        <v/>
      </c>
      <c r="T76" s="3" t="str">
        <f t="shared" si="88"/>
        <v/>
      </c>
      <c r="U76" s="3" t="str">
        <f t="shared" si="88"/>
        <v/>
      </c>
      <c r="V76" s="3" t="str">
        <f t="shared" si="88"/>
        <v/>
      </c>
      <c r="W76" s="3" t="str">
        <f t="shared" si="88"/>
        <v/>
      </c>
      <c r="X76" s="3" t="str">
        <f t="shared" si="88"/>
        <v/>
      </c>
      <c r="Y76" s="3" t="str">
        <f t="shared" si="88"/>
        <v/>
      </c>
      <c r="Z76" s="3" t="str">
        <f t="shared" si="88"/>
        <v/>
      </c>
      <c r="AA76" s="3" t="str">
        <f t="shared" si="88"/>
        <v/>
      </c>
      <c r="AB76" s="3" t="str">
        <f t="shared" si="88"/>
        <v/>
      </c>
      <c r="AC76" s="3" t="str">
        <f t="shared" si="88"/>
        <v/>
      </c>
      <c r="AD76" s="3" t="str">
        <f t="shared" si="88"/>
        <v/>
      </c>
      <c r="AE76" s="3" t="str">
        <f t="shared" si="88"/>
        <v/>
      </c>
      <c r="AF76" s="3" t="str">
        <f t="shared" si="88"/>
        <v/>
      </c>
      <c r="AG76" s="3" t="str">
        <f t="shared" si="88"/>
        <v/>
      </c>
      <c r="AH76" s="3" t="str">
        <f t="shared" si="94"/>
        <v/>
      </c>
      <c r="AI76" s="3" t="str">
        <f t="shared" si="94"/>
        <v/>
      </c>
      <c r="AJ76" s="3" t="str">
        <f t="shared" si="94"/>
        <v/>
      </c>
      <c r="AK76" s="3" t="str">
        <f t="shared" si="94"/>
        <v/>
      </c>
      <c r="AL76" s="3" t="str">
        <f t="shared" si="94"/>
        <v/>
      </c>
      <c r="AM76" s="3" t="str">
        <f t="shared" si="94"/>
        <v/>
      </c>
      <c r="AN76" s="3" t="str">
        <f t="shared" si="94"/>
        <v/>
      </c>
      <c r="AO76" s="3" t="str">
        <f t="shared" si="94"/>
        <v/>
      </c>
      <c r="AP76" s="3" t="str">
        <f t="shared" si="94"/>
        <v/>
      </c>
      <c r="AQ76" s="3" t="str">
        <f t="shared" si="94"/>
        <v/>
      </c>
      <c r="AR76" s="3" t="str">
        <f t="shared" si="94"/>
        <v/>
      </c>
      <c r="AS76" s="3" t="str">
        <f t="shared" si="94"/>
        <v/>
      </c>
      <c r="AT76" s="3" t="str">
        <f t="shared" si="94"/>
        <v/>
      </c>
      <c r="AU76" s="3" t="str">
        <f t="shared" si="94"/>
        <v/>
      </c>
      <c r="AV76" s="3" t="str">
        <f t="shared" si="94"/>
        <v/>
      </c>
      <c r="AW76" s="3" t="str">
        <f t="shared" si="90"/>
        <v>X</v>
      </c>
      <c r="AX76" s="3" t="str">
        <f t="shared" si="91"/>
        <v/>
      </c>
      <c r="AY76" s="3" t="str">
        <f t="shared" si="92"/>
        <v/>
      </c>
      <c r="AZ76" s="3" t="str">
        <f t="shared" si="93"/>
        <v/>
      </c>
      <c r="BA76" s="3">
        <f t="shared" si="63"/>
        <v>96</v>
      </c>
      <c r="BB76" s="3" t="str">
        <f t="shared" si="64"/>
        <v/>
      </c>
      <c r="BC76" s="3" t="str">
        <f t="shared" si="65"/>
        <v/>
      </c>
      <c r="BD76" s="3" t="str">
        <f t="shared" si="66"/>
        <v/>
      </c>
      <c r="BE76" s="9" t="str">
        <f t="shared" si="67"/>
        <v>060</v>
      </c>
      <c r="BF76" s="9" t="str">
        <f t="shared" si="68"/>
        <v/>
      </c>
      <c r="BG76" s="9" t="str">
        <f t="shared" si="69"/>
        <v/>
      </c>
      <c r="BH76" s="9" t="str">
        <f t="shared" si="70"/>
        <v/>
      </c>
      <c r="BI76" s="3" t="str">
        <f t="shared" si="71"/>
        <v>(7 downto 6)</v>
      </c>
      <c r="BJ76" s="3" t="str">
        <f t="shared" si="72"/>
        <v/>
      </c>
      <c r="BK76" s="3" t="str">
        <f t="shared" si="73"/>
        <v/>
      </c>
      <c r="BL76" s="3" t="str">
        <f t="shared" si="74"/>
        <v/>
      </c>
      <c r="BM76" s="3">
        <f t="shared" si="75"/>
        <v>1</v>
      </c>
      <c r="BN76" s="3" t="str">
        <f t="shared" si="76"/>
        <v/>
      </c>
      <c r="BO76" s="3" t="str">
        <f t="shared" si="77"/>
        <v/>
      </c>
      <c r="BP76" s="3" t="str">
        <f t="shared" si="78"/>
        <v/>
      </c>
      <c r="BQ76" s="3" t="str">
        <f t="shared" si="79"/>
        <v/>
      </c>
      <c r="BR76" s="3" t="str">
        <f t="shared" si="80"/>
        <v/>
      </c>
      <c r="BS76" s="3" t="str">
        <f t="shared" si="81"/>
        <v/>
      </c>
      <c r="BT76" s="3" t="str">
        <f t="shared" si="82"/>
        <v/>
      </c>
    </row>
    <row r="77" spans="2:72" x14ac:dyDescent="0.25">
      <c r="B77" s="3" t="s">
        <v>994</v>
      </c>
      <c r="C77" s="3" t="s">
        <v>984</v>
      </c>
      <c r="D77" s="3" t="s">
        <v>1</v>
      </c>
      <c r="E77" s="3" t="s">
        <v>1062</v>
      </c>
      <c r="F77" s="3" t="s">
        <v>990</v>
      </c>
      <c r="G77" s="3" t="s">
        <v>992</v>
      </c>
      <c r="H77" s="3" t="s">
        <v>971</v>
      </c>
      <c r="I77" s="3" t="s">
        <v>24</v>
      </c>
      <c r="J77" s="3">
        <v>10</v>
      </c>
      <c r="K77" s="3" t="s">
        <v>975</v>
      </c>
      <c r="L77" s="3" t="s">
        <v>23</v>
      </c>
      <c r="M77" s="3">
        <v>25</v>
      </c>
      <c r="N77" s="3" t="str">
        <f t="shared" si="14"/>
        <v>019</v>
      </c>
      <c r="O77" s="3">
        <v>9</v>
      </c>
      <c r="P77" s="3">
        <v>0</v>
      </c>
      <c r="Q77" s="3" t="str">
        <f t="shared" si="89"/>
        <v/>
      </c>
      <c r="R77" s="3" t="str">
        <f t="shared" si="88"/>
        <v/>
      </c>
      <c r="S77" s="3" t="str">
        <f t="shared" si="88"/>
        <v/>
      </c>
      <c r="T77" s="3" t="str">
        <f t="shared" si="88"/>
        <v/>
      </c>
      <c r="U77" s="3" t="str">
        <f t="shared" si="88"/>
        <v/>
      </c>
      <c r="V77" s="3" t="str">
        <f t="shared" si="88"/>
        <v/>
      </c>
      <c r="W77" s="3" t="str">
        <f t="shared" si="88"/>
        <v/>
      </c>
      <c r="X77" s="3" t="str">
        <f t="shared" si="88"/>
        <v/>
      </c>
      <c r="Y77" s="3" t="str">
        <f t="shared" si="88"/>
        <v/>
      </c>
      <c r="Z77" s="3" t="str">
        <f t="shared" si="88"/>
        <v/>
      </c>
      <c r="AA77" s="3" t="str">
        <f t="shared" si="88"/>
        <v/>
      </c>
      <c r="AB77" s="3" t="str">
        <f t="shared" si="88"/>
        <v/>
      </c>
      <c r="AC77" s="3" t="str">
        <f t="shared" si="88"/>
        <v/>
      </c>
      <c r="AD77" s="3" t="str">
        <f t="shared" si="88"/>
        <v/>
      </c>
      <c r="AE77" s="3" t="str">
        <f t="shared" si="88"/>
        <v/>
      </c>
      <c r="AF77" s="3" t="str">
        <f t="shared" si="88"/>
        <v/>
      </c>
      <c r="AG77" s="3" t="str">
        <f t="shared" si="88"/>
        <v/>
      </c>
      <c r="AH77" s="3" t="str">
        <f t="shared" si="94"/>
        <v/>
      </c>
      <c r="AI77" s="3" t="str">
        <f t="shared" si="94"/>
        <v/>
      </c>
      <c r="AJ77" s="3" t="str">
        <f t="shared" si="94"/>
        <v/>
      </c>
      <c r="AK77" s="3" t="str">
        <f t="shared" si="94"/>
        <v/>
      </c>
      <c r="AL77" s="3" t="str">
        <f t="shared" si="94"/>
        <v/>
      </c>
      <c r="AM77" s="3" t="str">
        <f t="shared" si="94"/>
        <v>X</v>
      </c>
      <c r="AN77" s="3" t="str">
        <f t="shared" si="94"/>
        <v>X</v>
      </c>
      <c r="AO77" s="3" t="str">
        <f t="shared" si="94"/>
        <v>X</v>
      </c>
      <c r="AP77" s="3" t="str">
        <f t="shared" si="94"/>
        <v>X</v>
      </c>
      <c r="AQ77" s="3" t="str">
        <f t="shared" si="94"/>
        <v>X</v>
      </c>
      <c r="AR77" s="3" t="str">
        <f t="shared" si="94"/>
        <v>X</v>
      </c>
      <c r="AS77" s="3" t="str">
        <f t="shared" si="94"/>
        <v>X</v>
      </c>
      <c r="AT77" s="3" t="str">
        <f t="shared" si="94"/>
        <v>X</v>
      </c>
      <c r="AU77" s="3" t="str">
        <f t="shared" si="94"/>
        <v>X</v>
      </c>
      <c r="AV77" s="3" t="str">
        <f t="shared" si="94"/>
        <v>X</v>
      </c>
      <c r="AW77" s="3" t="str">
        <f t="shared" si="90"/>
        <v/>
      </c>
      <c r="AX77" s="3" t="str">
        <f t="shared" si="91"/>
        <v/>
      </c>
      <c r="AY77" s="3" t="str">
        <f t="shared" si="92"/>
        <v>X</v>
      </c>
      <c r="AZ77" s="3" t="str">
        <f t="shared" si="93"/>
        <v>X</v>
      </c>
      <c r="BA77" s="3" t="str">
        <f t="shared" si="63"/>
        <v/>
      </c>
      <c r="BB77" s="3" t="str">
        <f t="shared" si="64"/>
        <v/>
      </c>
      <c r="BC77" s="3">
        <f t="shared" si="65"/>
        <v>102</v>
      </c>
      <c r="BD77" s="3">
        <f t="shared" si="66"/>
        <v>103</v>
      </c>
      <c r="BE77" s="9" t="str">
        <f t="shared" si="67"/>
        <v/>
      </c>
      <c r="BF77" s="9" t="str">
        <f t="shared" si="68"/>
        <v/>
      </c>
      <c r="BG77" s="9" t="str">
        <f t="shared" si="69"/>
        <v>066</v>
      </c>
      <c r="BH77" s="9" t="str">
        <f t="shared" si="70"/>
        <v>067</v>
      </c>
      <c r="BI77" s="3" t="str">
        <f t="shared" si="71"/>
        <v/>
      </c>
      <c r="BJ77" s="3" t="str">
        <f t="shared" si="72"/>
        <v/>
      </c>
      <c r="BK77" s="3" t="str">
        <f t="shared" si="73"/>
        <v>(1 downto 0)</v>
      </c>
      <c r="BL77" s="3" t="str">
        <f t="shared" si="74"/>
        <v/>
      </c>
      <c r="BM77" s="3" t="str">
        <f t="shared" si="75"/>
        <v/>
      </c>
      <c r="BN77" s="3" t="str">
        <f t="shared" si="76"/>
        <v/>
      </c>
      <c r="BO77" s="3">
        <f t="shared" si="77"/>
        <v>9</v>
      </c>
      <c r="BP77" s="3">
        <f t="shared" si="78"/>
        <v>7</v>
      </c>
      <c r="BQ77" s="3" t="str">
        <f t="shared" si="79"/>
        <v/>
      </c>
      <c r="BR77" s="3" t="str">
        <f t="shared" si="80"/>
        <v/>
      </c>
      <c r="BS77" s="3" t="str">
        <f t="shared" si="81"/>
        <v>(9 downto 8)</v>
      </c>
      <c r="BT77" s="3" t="str">
        <f t="shared" si="82"/>
        <v>(7 downto 0)</v>
      </c>
    </row>
    <row r="78" spans="2:72" x14ac:dyDescent="0.25">
      <c r="B78" s="3" t="s">
        <v>994</v>
      </c>
      <c r="C78" s="3" t="s">
        <v>985</v>
      </c>
      <c r="D78" s="3" t="s">
        <v>1</v>
      </c>
      <c r="E78" s="3" t="s">
        <v>1062</v>
      </c>
      <c r="F78" s="3" t="s">
        <v>990</v>
      </c>
      <c r="G78" s="3" t="s">
        <v>992</v>
      </c>
      <c r="H78" s="3" t="s">
        <v>972</v>
      </c>
      <c r="I78" s="3" t="s">
        <v>24</v>
      </c>
      <c r="J78" s="3">
        <v>10</v>
      </c>
      <c r="K78" s="3" t="s">
        <v>975</v>
      </c>
      <c r="L78" s="3" t="s">
        <v>23</v>
      </c>
      <c r="M78" s="3">
        <v>25</v>
      </c>
      <c r="N78" s="3" t="str">
        <f t="shared" si="14"/>
        <v>019</v>
      </c>
      <c r="O78" s="3">
        <v>19</v>
      </c>
      <c r="P78" s="3">
        <v>10</v>
      </c>
      <c r="Q78" s="3" t="str">
        <f t="shared" si="89"/>
        <v/>
      </c>
      <c r="R78" s="3" t="str">
        <f t="shared" si="88"/>
        <v/>
      </c>
      <c r="S78" s="3" t="str">
        <f t="shared" si="88"/>
        <v/>
      </c>
      <c r="T78" s="3" t="str">
        <f t="shared" si="88"/>
        <v/>
      </c>
      <c r="U78" s="3" t="str">
        <f t="shared" si="88"/>
        <v/>
      </c>
      <c r="V78" s="3" t="str">
        <f t="shared" si="88"/>
        <v/>
      </c>
      <c r="W78" s="3" t="str">
        <f t="shared" si="88"/>
        <v/>
      </c>
      <c r="X78" s="3" t="str">
        <f t="shared" si="88"/>
        <v/>
      </c>
      <c r="Y78" s="3" t="str">
        <f t="shared" si="88"/>
        <v/>
      </c>
      <c r="Z78" s="3" t="str">
        <f t="shared" si="88"/>
        <v/>
      </c>
      <c r="AA78" s="3" t="str">
        <f t="shared" si="88"/>
        <v/>
      </c>
      <c r="AB78" s="3" t="str">
        <f t="shared" si="88"/>
        <v/>
      </c>
      <c r="AC78" s="3" t="str">
        <f t="shared" si="88"/>
        <v>X</v>
      </c>
      <c r="AD78" s="3" t="str">
        <f t="shared" si="88"/>
        <v>X</v>
      </c>
      <c r="AE78" s="3" t="str">
        <f t="shared" ref="R78:AG141" si="95">IF(AND($O78&gt;=AE$3,AE$3&gt;=$P78),"X","")</f>
        <v>X</v>
      </c>
      <c r="AF78" s="3" t="str">
        <f t="shared" si="95"/>
        <v>X</v>
      </c>
      <c r="AG78" s="3" t="str">
        <f t="shared" si="95"/>
        <v>X</v>
      </c>
      <c r="AH78" s="3" t="str">
        <f t="shared" si="94"/>
        <v>X</v>
      </c>
      <c r="AI78" s="3" t="str">
        <f t="shared" si="94"/>
        <v>X</v>
      </c>
      <c r="AJ78" s="3" t="str">
        <f t="shared" si="94"/>
        <v>X</v>
      </c>
      <c r="AK78" s="3" t="str">
        <f t="shared" si="94"/>
        <v>X</v>
      </c>
      <c r="AL78" s="3" t="str">
        <f t="shared" si="94"/>
        <v>X</v>
      </c>
      <c r="AM78" s="3" t="str">
        <f t="shared" si="94"/>
        <v/>
      </c>
      <c r="AN78" s="3" t="str">
        <f t="shared" si="94"/>
        <v/>
      </c>
      <c r="AO78" s="3" t="str">
        <f t="shared" si="94"/>
        <v/>
      </c>
      <c r="AP78" s="3" t="str">
        <f t="shared" si="94"/>
        <v/>
      </c>
      <c r="AQ78" s="3" t="str">
        <f t="shared" si="94"/>
        <v/>
      </c>
      <c r="AR78" s="3" t="str">
        <f t="shared" si="94"/>
        <v/>
      </c>
      <c r="AS78" s="3" t="str">
        <f t="shared" si="94"/>
        <v/>
      </c>
      <c r="AT78" s="3" t="str">
        <f t="shared" si="94"/>
        <v/>
      </c>
      <c r="AU78" s="3" t="str">
        <f t="shared" si="94"/>
        <v/>
      </c>
      <c r="AV78" s="3" t="str">
        <f t="shared" si="94"/>
        <v/>
      </c>
      <c r="AW78" s="3" t="str">
        <f t="shared" si="90"/>
        <v/>
      </c>
      <c r="AX78" s="3" t="str">
        <f t="shared" si="91"/>
        <v>X</v>
      </c>
      <c r="AY78" s="3" t="str">
        <f t="shared" si="92"/>
        <v>X</v>
      </c>
      <c r="AZ78" s="3" t="str">
        <f t="shared" si="93"/>
        <v/>
      </c>
      <c r="BA78" s="3" t="str">
        <f t="shared" si="63"/>
        <v/>
      </c>
      <c r="BB78" s="3">
        <f t="shared" si="64"/>
        <v>101</v>
      </c>
      <c r="BC78" s="3">
        <f t="shared" si="65"/>
        <v>102</v>
      </c>
      <c r="BD78" s="3" t="str">
        <f t="shared" si="66"/>
        <v/>
      </c>
      <c r="BE78" s="9" t="str">
        <f t="shared" si="67"/>
        <v/>
      </c>
      <c r="BF78" s="9" t="str">
        <f t="shared" si="68"/>
        <v>065</v>
      </c>
      <c r="BG78" s="9" t="str">
        <f t="shared" si="69"/>
        <v>066</v>
      </c>
      <c r="BH78" s="9" t="str">
        <f t="shared" si="70"/>
        <v/>
      </c>
      <c r="BI78" s="3" t="str">
        <f t="shared" si="71"/>
        <v/>
      </c>
      <c r="BJ78" s="3" t="str">
        <f t="shared" si="72"/>
        <v>(3 downto 0)</v>
      </c>
      <c r="BK78" s="3" t="str">
        <f t="shared" si="73"/>
        <v>(7 downto 2)</v>
      </c>
      <c r="BL78" s="3" t="str">
        <f t="shared" si="74"/>
        <v/>
      </c>
      <c r="BM78" s="3" t="str">
        <f t="shared" si="75"/>
        <v/>
      </c>
      <c r="BN78" s="3">
        <f t="shared" si="76"/>
        <v>9</v>
      </c>
      <c r="BO78" s="3">
        <f t="shared" si="77"/>
        <v>5</v>
      </c>
      <c r="BP78" s="3" t="str">
        <f t="shared" si="78"/>
        <v/>
      </c>
      <c r="BQ78" s="3" t="str">
        <f t="shared" si="79"/>
        <v/>
      </c>
      <c r="BR78" s="3" t="str">
        <f t="shared" si="80"/>
        <v>(9 downto 6)</v>
      </c>
      <c r="BS78" s="3" t="str">
        <f t="shared" si="81"/>
        <v>(5 downto 0)</v>
      </c>
      <c r="BT78" s="3" t="str">
        <f t="shared" si="82"/>
        <v/>
      </c>
    </row>
    <row r="79" spans="2:72" x14ac:dyDescent="0.25">
      <c r="B79" s="3" t="s">
        <v>994</v>
      </c>
      <c r="C79" s="3" t="s">
        <v>986</v>
      </c>
      <c r="D79" s="3" t="s">
        <v>1</v>
      </c>
      <c r="E79" s="3" t="s">
        <v>1062</v>
      </c>
      <c r="F79" s="3" t="s">
        <v>990</v>
      </c>
      <c r="G79" s="3" t="s">
        <v>992</v>
      </c>
      <c r="H79" s="3" t="s">
        <v>973</v>
      </c>
      <c r="I79" s="3" t="s">
        <v>24</v>
      </c>
      <c r="J79" s="3">
        <v>10</v>
      </c>
      <c r="K79" s="3" t="s">
        <v>977</v>
      </c>
      <c r="L79" s="3" t="s">
        <v>23</v>
      </c>
      <c r="M79" s="3">
        <v>25</v>
      </c>
      <c r="N79" s="3" t="str">
        <f t="shared" si="14"/>
        <v>019</v>
      </c>
      <c r="O79" s="3">
        <v>29</v>
      </c>
      <c r="P79" s="3">
        <v>20</v>
      </c>
      <c r="Q79" s="3" t="str">
        <f t="shared" si="89"/>
        <v/>
      </c>
      <c r="R79" s="3" t="str">
        <f t="shared" si="95"/>
        <v/>
      </c>
      <c r="S79" s="3" t="str">
        <f t="shared" si="95"/>
        <v>X</v>
      </c>
      <c r="T79" s="3" t="str">
        <f t="shared" si="95"/>
        <v>X</v>
      </c>
      <c r="U79" s="3" t="str">
        <f t="shared" si="95"/>
        <v>X</v>
      </c>
      <c r="V79" s="3" t="str">
        <f t="shared" si="95"/>
        <v>X</v>
      </c>
      <c r="W79" s="3" t="str">
        <f t="shared" si="95"/>
        <v>X</v>
      </c>
      <c r="X79" s="3" t="str">
        <f t="shared" si="95"/>
        <v>X</v>
      </c>
      <c r="Y79" s="3" t="str">
        <f t="shared" si="95"/>
        <v>X</v>
      </c>
      <c r="Z79" s="3" t="str">
        <f t="shared" si="95"/>
        <v>X</v>
      </c>
      <c r="AA79" s="3" t="str">
        <f t="shared" si="95"/>
        <v>X</v>
      </c>
      <c r="AB79" s="3" t="str">
        <f t="shared" si="95"/>
        <v>X</v>
      </c>
      <c r="AC79" s="3" t="str">
        <f t="shared" si="95"/>
        <v/>
      </c>
      <c r="AD79" s="3" t="str">
        <f t="shared" si="95"/>
        <v/>
      </c>
      <c r="AE79" s="3" t="str">
        <f t="shared" si="95"/>
        <v/>
      </c>
      <c r="AF79" s="3" t="str">
        <f t="shared" si="95"/>
        <v/>
      </c>
      <c r="AG79" s="3" t="str">
        <f t="shared" si="95"/>
        <v/>
      </c>
      <c r="AH79" s="3" t="str">
        <f t="shared" si="94"/>
        <v/>
      </c>
      <c r="AI79" s="3" t="str">
        <f t="shared" si="94"/>
        <v/>
      </c>
      <c r="AJ79" s="3" t="str">
        <f t="shared" si="94"/>
        <v/>
      </c>
      <c r="AK79" s="3" t="str">
        <f t="shared" si="94"/>
        <v/>
      </c>
      <c r="AL79" s="3" t="str">
        <f t="shared" si="94"/>
        <v/>
      </c>
      <c r="AM79" s="3" t="str">
        <f t="shared" si="94"/>
        <v/>
      </c>
      <c r="AN79" s="3" t="str">
        <f t="shared" si="94"/>
        <v/>
      </c>
      <c r="AO79" s="3" t="str">
        <f t="shared" si="94"/>
        <v/>
      </c>
      <c r="AP79" s="3" t="str">
        <f t="shared" si="94"/>
        <v/>
      </c>
      <c r="AQ79" s="3" t="str">
        <f t="shared" si="94"/>
        <v/>
      </c>
      <c r="AR79" s="3" t="str">
        <f t="shared" si="94"/>
        <v/>
      </c>
      <c r="AS79" s="3" t="str">
        <f t="shared" si="94"/>
        <v/>
      </c>
      <c r="AT79" s="3" t="str">
        <f t="shared" si="94"/>
        <v/>
      </c>
      <c r="AU79" s="3" t="str">
        <f t="shared" si="94"/>
        <v/>
      </c>
      <c r="AV79" s="3" t="str">
        <f t="shared" si="94"/>
        <v/>
      </c>
      <c r="AW79" s="3" t="str">
        <f t="shared" si="90"/>
        <v>X</v>
      </c>
      <c r="AX79" s="3" t="str">
        <f t="shared" si="91"/>
        <v>X</v>
      </c>
      <c r="AY79" s="3" t="str">
        <f t="shared" si="92"/>
        <v/>
      </c>
      <c r="AZ79" s="3" t="str">
        <f t="shared" si="93"/>
        <v/>
      </c>
      <c r="BA79" s="3">
        <f t="shared" si="63"/>
        <v>100</v>
      </c>
      <c r="BB79" s="3">
        <f t="shared" si="64"/>
        <v>101</v>
      </c>
      <c r="BC79" s="3" t="str">
        <f t="shared" si="65"/>
        <v/>
      </c>
      <c r="BD79" s="3" t="str">
        <f t="shared" si="66"/>
        <v/>
      </c>
      <c r="BE79" s="9" t="str">
        <f t="shared" si="67"/>
        <v>064</v>
      </c>
      <c r="BF79" s="9" t="str">
        <f t="shared" si="68"/>
        <v>065</v>
      </c>
      <c r="BG79" s="9" t="str">
        <f t="shared" si="69"/>
        <v/>
      </c>
      <c r="BH79" s="9" t="str">
        <f t="shared" si="70"/>
        <v/>
      </c>
      <c r="BI79" s="3" t="str">
        <f t="shared" si="71"/>
        <v>(5 downto 0)</v>
      </c>
      <c r="BJ79" s="3" t="str">
        <f t="shared" si="72"/>
        <v>(7 downto 4)</v>
      </c>
      <c r="BK79" s="3" t="str">
        <f t="shared" si="73"/>
        <v/>
      </c>
      <c r="BL79" s="3" t="str">
        <f t="shared" si="74"/>
        <v/>
      </c>
      <c r="BM79" s="3">
        <f t="shared" si="75"/>
        <v>9</v>
      </c>
      <c r="BN79" s="3">
        <f t="shared" si="76"/>
        <v>3</v>
      </c>
      <c r="BO79" s="3" t="str">
        <f t="shared" si="77"/>
        <v/>
      </c>
      <c r="BP79" s="3" t="str">
        <f t="shared" si="78"/>
        <v/>
      </c>
      <c r="BQ79" s="3" t="str">
        <f t="shared" si="79"/>
        <v>(9 downto 4)</v>
      </c>
      <c r="BR79" s="3" t="str">
        <f t="shared" si="80"/>
        <v>(3 downto 0)</v>
      </c>
      <c r="BS79" s="3" t="str">
        <f t="shared" si="81"/>
        <v/>
      </c>
      <c r="BT79" s="3" t="str">
        <f t="shared" si="82"/>
        <v/>
      </c>
    </row>
    <row r="80" spans="2:72" x14ac:dyDescent="0.25">
      <c r="B80" s="3" t="s">
        <v>994</v>
      </c>
      <c r="C80" s="3" t="s">
        <v>988</v>
      </c>
      <c r="D80" s="3" t="s">
        <v>1</v>
      </c>
      <c r="E80" s="3" t="s">
        <v>1062</v>
      </c>
      <c r="F80" s="3" t="s">
        <v>990</v>
      </c>
      <c r="G80" s="3" t="s">
        <v>992</v>
      </c>
      <c r="H80" s="3" t="s">
        <v>974</v>
      </c>
      <c r="I80" s="3" t="s">
        <v>24</v>
      </c>
      <c r="J80" s="3">
        <v>2</v>
      </c>
      <c r="K80" s="3" t="s">
        <v>976</v>
      </c>
      <c r="L80" s="3" t="s">
        <v>23</v>
      </c>
      <c r="M80" s="3">
        <v>25</v>
      </c>
      <c r="N80" s="3" t="str">
        <f t="shared" si="14"/>
        <v>019</v>
      </c>
      <c r="O80" s="3">
        <v>31</v>
      </c>
      <c r="P80" s="3">
        <v>30</v>
      </c>
      <c r="Q80" s="3" t="str">
        <f t="shared" si="89"/>
        <v>X</v>
      </c>
      <c r="R80" s="3" t="str">
        <f t="shared" si="95"/>
        <v>X</v>
      </c>
      <c r="S80" s="3" t="str">
        <f t="shared" si="95"/>
        <v/>
      </c>
      <c r="T80" s="3" t="str">
        <f t="shared" si="95"/>
        <v/>
      </c>
      <c r="U80" s="3" t="str">
        <f t="shared" si="95"/>
        <v/>
      </c>
      <c r="V80" s="3" t="str">
        <f t="shared" si="95"/>
        <v/>
      </c>
      <c r="W80" s="3" t="str">
        <f t="shared" si="95"/>
        <v/>
      </c>
      <c r="X80" s="3" t="str">
        <f t="shared" si="95"/>
        <v/>
      </c>
      <c r="Y80" s="3" t="str">
        <f t="shared" si="95"/>
        <v/>
      </c>
      <c r="Z80" s="3" t="str">
        <f t="shared" si="95"/>
        <v/>
      </c>
      <c r="AA80" s="3" t="str">
        <f t="shared" si="95"/>
        <v/>
      </c>
      <c r="AB80" s="3" t="str">
        <f t="shared" si="95"/>
        <v/>
      </c>
      <c r="AC80" s="3" t="str">
        <f t="shared" si="95"/>
        <v/>
      </c>
      <c r="AD80" s="3" t="str">
        <f t="shared" si="95"/>
        <v/>
      </c>
      <c r="AE80" s="3" t="str">
        <f t="shared" si="95"/>
        <v/>
      </c>
      <c r="AF80" s="3" t="str">
        <f t="shared" si="95"/>
        <v/>
      </c>
      <c r="AG80" s="3" t="str">
        <f t="shared" si="95"/>
        <v/>
      </c>
      <c r="AH80" s="3" t="str">
        <f t="shared" si="94"/>
        <v/>
      </c>
      <c r="AI80" s="3" t="str">
        <f t="shared" si="94"/>
        <v/>
      </c>
      <c r="AJ80" s="3" t="str">
        <f t="shared" si="94"/>
        <v/>
      </c>
      <c r="AK80" s="3" t="str">
        <f t="shared" si="94"/>
        <v/>
      </c>
      <c r="AL80" s="3" t="str">
        <f t="shared" si="94"/>
        <v/>
      </c>
      <c r="AM80" s="3" t="str">
        <f t="shared" si="94"/>
        <v/>
      </c>
      <c r="AN80" s="3" t="str">
        <f t="shared" si="94"/>
        <v/>
      </c>
      <c r="AO80" s="3" t="str">
        <f t="shared" si="94"/>
        <v/>
      </c>
      <c r="AP80" s="3" t="str">
        <f t="shared" si="94"/>
        <v/>
      </c>
      <c r="AQ80" s="3" t="str">
        <f t="shared" si="94"/>
        <v/>
      </c>
      <c r="AR80" s="3" t="str">
        <f t="shared" si="94"/>
        <v/>
      </c>
      <c r="AS80" s="3" t="str">
        <f t="shared" si="94"/>
        <v/>
      </c>
      <c r="AT80" s="3" t="str">
        <f t="shared" si="94"/>
        <v/>
      </c>
      <c r="AU80" s="3" t="str">
        <f t="shared" si="94"/>
        <v/>
      </c>
      <c r="AV80" s="3" t="str">
        <f t="shared" si="94"/>
        <v/>
      </c>
      <c r="AW80" s="3" t="str">
        <f t="shared" si="90"/>
        <v>X</v>
      </c>
      <c r="AX80" s="3" t="str">
        <f t="shared" si="91"/>
        <v/>
      </c>
      <c r="AY80" s="3" t="str">
        <f t="shared" si="92"/>
        <v/>
      </c>
      <c r="AZ80" s="3" t="str">
        <f t="shared" si="93"/>
        <v/>
      </c>
      <c r="BA80" s="3">
        <f t="shared" si="63"/>
        <v>100</v>
      </c>
      <c r="BB80" s="3" t="str">
        <f t="shared" si="64"/>
        <v/>
      </c>
      <c r="BC80" s="3" t="str">
        <f t="shared" si="65"/>
        <v/>
      </c>
      <c r="BD80" s="3" t="str">
        <f t="shared" si="66"/>
        <v/>
      </c>
      <c r="BE80" s="9" t="str">
        <f t="shared" si="67"/>
        <v>064</v>
      </c>
      <c r="BF80" s="9" t="str">
        <f t="shared" si="68"/>
        <v/>
      </c>
      <c r="BG80" s="9" t="str">
        <f t="shared" si="69"/>
        <v/>
      </c>
      <c r="BH80" s="9" t="str">
        <f t="shared" si="70"/>
        <v/>
      </c>
      <c r="BI80" s="3" t="str">
        <f t="shared" si="71"/>
        <v>(7 downto 6)</v>
      </c>
      <c r="BJ80" s="3" t="str">
        <f t="shared" si="72"/>
        <v/>
      </c>
      <c r="BK80" s="3" t="str">
        <f t="shared" si="73"/>
        <v/>
      </c>
      <c r="BL80" s="3" t="str">
        <f t="shared" si="74"/>
        <v/>
      </c>
      <c r="BM80" s="3">
        <f t="shared" si="75"/>
        <v>1</v>
      </c>
      <c r="BN80" s="3" t="str">
        <f t="shared" si="76"/>
        <v/>
      </c>
      <c r="BO80" s="3" t="str">
        <f t="shared" si="77"/>
        <v/>
      </c>
      <c r="BP80" s="3" t="str">
        <f t="shared" si="78"/>
        <v/>
      </c>
      <c r="BQ80" s="3" t="str">
        <f t="shared" si="79"/>
        <v/>
      </c>
      <c r="BR80" s="3" t="str">
        <f t="shared" si="80"/>
        <v/>
      </c>
      <c r="BS80" s="3" t="str">
        <f t="shared" si="81"/>
        <v/>
      </c>
      <c r="BT80" s="3" t="str">
        <f t="shared" si="82"/>
        <v/>
      </c>
    </row>
    <row r="81" spans="2:76" x14ac:dyDescent="0.25">
      <c r="B81" s="3" t="s">
        <v>995</v>
      </c>
      <c r="C81" s="3" t="s">
        <v>1009</v>
      </c>
      <c r="D81" s="3" t="s">
        <v>1</v>
      </c>
      <c r="E81" s="3" t="s">
        <v>1062</v>
      </c>
      <c r="F81" s="3" t="s">
        <v>996</v>
      </c>
      <c r="G81" s="3" t="s">
        <v>997</v>
      </c>
      <c r="H81" s="3" t="s">
        <v>998</v>
      </c>
      <c r="I81" s="3" t="s">
        <v>24</v>
      </c>
      <c r="J81" s="3">
        <v>16</v>
      </c>
      <c r="K81" s="3" t="s">
        <v>294</v>
      </c>
      <c r="L81" s="3" t="s">
        <v>23</v>
      </c>
      <c r="M81" s="3">
        <v>26</v>
      </c>
      <c r="N81" s="3" t="str">
        <f t="shared" si="14"/>
        <v>01A</v>
      </c>
      <c r="O81" s="3">
        <v>15</v>
      </c>
      <c r="P81" s="3">
        <v>0</v>
      </c>
      <c r="Q81" s="3" t="str">
        <f t="shared" si="89"/>
        <v/>
      </c>
      <c r="R81" s="3" t="str">
        <f t="shared" si="95"/>
        <v/>
      </c>
      <c r="S81" s="3" t="str">
        <f t="shared" si="95"/>
        <v/>
      </c>
      <c r="T81" s="3" t="str">
        <f t="shared" si="95"/>
        <v/>
      </c>
      <c r="U81" s="3" t="str">
        <f t="shared" si="95"/>
        <v/>
      </c>
      <c r="V81" s="3" t="str">
        <f t="shared" si="95"/>
        <v/>
      </c>
      <c r="W81" s="3" t="str">
        <f t="shared" si="95"/>
        <v/>
      </c>
      <c r="X81" s="3" t="str">
        <f t="shared" si="95"/>
        <v/>
      </c>
      <c r="Y81" s="3" t="str">
        <f t="shared" si="95"/>
        <v/>
      </c>
      <c r="Z81" s="3" t="str">
        <f t="shared" si="95"/>
        <v/>
      </c>
      <c r="AA81" s="3" t="str">
        <f t="shared" si="95"/>
        <v/>
      </c>
      <c r="AB81" s="3" t="str">
        <f t="shared" si="95"/>
        <v/>
      </c>
      <c r="AC81" s="3" t="str">
        <f t="shared" si="95"/>
        <v/>
      </c>
      <c r="AD81" s="3" t="str">
        <f t="shared" si="95"/>
        <v/>
      </c>
      <c r="AE81" s="3" t="str">
        <f t="shared" si="95"/>
        <v/>
      </c>
      <c r="AF81" s="3" t="str">
        <f t="shared" si="95"/>
        <v/>
      </c>
      <c r="AG81" s="3" t="str">
        <f t="shared" si="95"/>
        <v>X</v>
      </c>
      <c r="AH81" s="3" t="str">
        <f t="shared" si="94"/>
        <v>X</v>
      </c>
      <c r="AI81" s="3" t="str">
        <f t="shared" si="94"/>
        <v>X</v>
      </c>
      <c r="AJ81" s="3" t="str">
        <f t="shared" si="94"/>
        <v>X</v>
      </c>
      <c r="AK81" s="3" t="str">
        <f t="shared" si="94"/>
        <v>X</v>
      </c>
      <c r="AL81" s="3" t="str">
        <f t="shared" si="94"/>
        <v>X</v>
      </c>
      <c r="AM81" s="3" t="str">
        <f t="shared" si="94"/>
        <v>X</v>
      </c>
      <c r="AN81" s="3" t="str">
        <f t="shared" si="94"/>
        <v>X</v>
      </c>
      <c r="AO81" s="3" t="str">
        <f t="shared" si="94"/>
        <v>X</v>
      </c>
      <c r="AP81" s="3" t="str">
        <f t="shared" si="94"/>
        <v>X</v>
      </c>
      <c r="AQ81" s="3" t="str">
        <f t="shared" si="94"/>
        <v>X</v>
      </c>
      <c r="AR81" s="3" t="str">
        <f t="shared" si="94"/>
        <v>X</v>
      </c>
      <c r="AS81" s="3" t="str">
        <f t="shared" si="94"/>
        <v>X</v>
      </c>
      <c r="AT81" s="3" t="str">
        <f t="shared" si="94"/>
        <v>X</v>
      </c>
      <c r="AU81" s="3" t="str">
        <f t="shared" si="94"/>
        <v>X</v>
      </c>
      <c r="AV81" s="3" t="str">
        <f t="shared" si="94"/>
        <v>X</v>
      </c>
      <c r="AW81" s="3" t="str">
        <f t="shared" si="90"/>
        <v/>
      </c>
      <c r="AX81" s="3" t="str">
        <f t="shared" si="91"/>
        <v/>
      </c>
      <c r="AY81" s="3" t="str">
        <f t="shared" si="92"/>
        <v>X</v>
      </c>
      <c r="AZ81" s="3" t="str">
        <f t="shared" si="93"/>
        <v>X</v>
      </c>
      <c r="BA81" s="3" t="str">
        <f t="shared" si="63"/>
        <v/>
      </c>
      <c r="BB81" s="3" t="str">
        <f t="shared" si="64"/>
        <v/>
      </c>
      <c r="BC81" s="3">
        <f t="shared" si="65"/>
        <v>106</v>
      </c>
      <c r="BD81" s="3">
        <f t="shared" si="66"/>
        <v>107</v>
      </c>
      <c r="BE81" s="9" t="str">
        <f t="shared" si="67"/>
        <v/>
      </c>
      <c r="BF81" s="9" t="str">
        <f t="shared" si="68"/>
        <v/>
      </c>
      <c r="BG81" s="9" t="str">
        <f t="shared" si="69"/>
        <v>06A</v>
      </c>
      <c r="BH81" s="9" t="str">
        <f t="shared" si="70"/>
        <v>06B</v>
      </c>
      <c r="BI81" s="3" t="str">
        <f t="shared" si="71"/>
        <v/>
      </c>
      <c r="BJ81" s="3" t="str">
        <f t="shared" si="72"/>
        <v/>
      </c>
      <c r="BK81" s="3" t="str">
        <f t="shared" si="73"/>
        <v/>
      </c>
      <c r="BL81" s="3" t="str">
        <f t="shared" si="74"/>
        <v/>
      </c>
      <c r="BM81" s="3" t="str">
        <f t="shared" si="75"/>
        <v/>
      </c>
      <c r="BN81" s="3" t="str">
        <f t="shared" si="76"/>
        <v/>
      </c>
      <c r="BO81" s="3">
        <f t="shared" si="77"/>
        <v>15</v>
      </c>
      <c r="BP81" s="3">
        <f t="shared" si="78"/>
        <v>7</v>
      </c>
      <c r="BQ81" s="3" t="str">
        <f t="shared" si="79"/>
        <v/>
      </c>
      <c r="BR81" s="3" t="str">
        <f t="shared" si="80"/>
        <v/>
      </c>
      <c r="BS81" s="3" t="str">
        <f t="shared" si="81"/>
        <v>(15 downto 8)</v>
      </c>
      <c r="BT81" s="3" t="str">
        <f t="shared" si="82"/>
        <v>(7 downto 0)</v>
      </c>
    </row>
    <row r="82" spans="2:76" x14ac:dyDescent="0.25">
      <c r="B82" s="3" t="s">
        <v>995</v>
      </c>
      <c r="C82" s="3" t="s">
        <v>1010</v>
      </c>
      <c r="D82" s="3" t="s">
        <v>1</v>
      </c>
      <c r="E82" s="3" t="s">
        <v>1062</v>
      </c>
      <c r="F82" s="3" t="s">
        <v>996</v>
      </c>
      <c r="G82" s="3" t="s">
        <v>997</v>
      </c>
      <c r="H82" s="3" t="s">
        <v>999</v>
      </c>
      <c r="I82" s="3" t="s">
        <v>24</v>
      </c>
      <c r="J82" s="3">
        <v>16</v>
      </c>
      <c r="K82" s="3" t="s">
        <v>1000</v>
      </c>
      <c r="L82" s="3" t="s">
        <v>23</v>
      </c>
      <c r="M82" s="3">
        <v>26</v>
      </c>
      <c r="N82" s="3" t="str">
        <f t="shared" si="14"/>
        <v>01A</v>
      </c>
      <c r="O82" s="3">
        <v>31</v>
      </c>
      <c r="P82" s="3">
        <v>16</v>
      </c>
      <c r="Q82" s="3" t="str">
        <f t="shared" si="89"/>
        <v>X</v>
      </c>
      <c r="R82" s="3" t="str">
        <f t="shared" si="95"/>
        <v>X</v>
      </c>
      <c r="S82" s="3" t="str">
        <f t="shared" si="95"/>
        <v>X</v>
      </c>
      <c r="T82" s="3" t="str">
        <f t="shared" si="95"/>
        <v>X</v>
      </c>
      <c r="U82" s="3" t="str">
        <f t="shared" si="95"/>
        <v>X</v>
      </c>
      <c r="V82" s="3" t="str">
        <f t="shared" si="95"/>
        <v>X</v>
      </c>
      <c r="W82" s="3" t="str">
        <f t="shared" si="95"/>
        <v>X</v>
      </c>
      <c r="X82" s="3" t="str">
        <f t="shared" si="95"/>
        <v>X</v>
      </c>
      <c r="Y82" s="3" t="str">
        <f t="shared" si="95"/>
        <v>X</v>
      </c>
      <c r="Z82" s="3" t="str">
        <f t="shared" si="95"/>
        <v>X</v>
      </c>
      <c r="AA82" s="3" t="str">
        <f t="shared" si="95"/>
        <v>X</v>
      </c>
      <c r="AB82" s="3" t="str">
        <f t="shared" si="95"/>
        <v>X</v>
      </c>
      <c r="AC82" s="3" t="str">
        <f t="shared" si="95"/>
        <v>X</v>
      </c>
      <c r="AD82" s="3" t="str">
        <f t="shared" si="95"/>
        <v>X</v>
      </c>
      <c r="AE82" s="3" t="str">
        <f t="shared" si="95"/>
        <v>X</v>
      </c>
      <c r="AF82" s="3" t="str">
        <f t="shared" si="95"/>
        <v>X</v>
      </c>
      <c r="AG82" s="3" t="str">
        <f t="shared" si="95"/>
        <v/>
      </c>
      <c r="AH82" s="3" t="str">
        <f t="shared" si="94"/>
        <v/>
      </c>
      <c r="AI82" s="3" t="str">
        <f t="shared" si="94"/>
        <v/>
      </c>
      <c r="AJ82" s="3" t="str">
        <f t="shared" si="94"/>
        <v/>
      </c>
      <c r="AK82" s="3" t="str">
        <f t="shared" si="94"/>
        <v/>
      </c>
      <c r="AL82" s="3" t="str">
        <f t="shared" si="94"/>
        <v/>
      </c>
      <c r="AM82" s="3" t="str">
        <f t="shared" si="94"/>
        <v/>
      </c>
      <c r="AN82" s="3" t="str">
        <f t="shared" si="94"/>
        <v/>
      </c>
      <c r="AO82" s="3" t="str">
        <f t="shared" si="94"/>
        <v/>
      </c>
      <c r="AP82" s="3" t="str">
        <f t="shared" si="94"/>
        <v/>
      </c>
      <c r="AQ82" s="3" t="str">
        <f t="shared" si="94"/>
        <v/>
      </c>
      <c r="AR82" s="3" t="str">
        <f t="shared" si="94"/>
        <v/>
      </c>
      <c r="AS82" s="3" t="str">
        <f t="shared" si="94"/>
        <v/>
      </c>
      <c r="AT82" s="3" t="str">
        <f t="shared" si="94"/>
        <v/>
      </c>
      <c r="AU82" s="3" t="str">
        <f t="shared" si="94"/>
        <v/>
      </c>
      <c r="AV82" s="3" t="str">
        <f t="shared" si="94"/>
        <v/>
      </c>
      <c r="AW82" s="3" t="str">
        <f t="shared" si="90"/>
        <v>X</v>
      </c>
      <c r="AX82" s="3" t="str">
        <f t="shared" si="91"/>
        <v>X</v>
      </c>
      <c r="AY82" s="3" t="str">
        <f t="shared" si="92"/>
        <v/>
      </c>
      <c r="AZ82" s="3" t="str">
        <f t="shared" si="93"/>
        <v/>
      </c>
      <c r="BA82" s="3">
        <f t="shared" si="63"/>
        <v>104</v>
      </c>
      <c r="BB82" s="3">
        <f t="shared" si="64"/>
        <v>105</v>
      </c>
      <c r="BC82" s="3" t="str">
        <f t="shared" si="65"/>
        <v/>
      </c>
      <c r="BD82" s="3" t="str">
        <f t="shared" si="66"/>
        <v/>
      </c>
      <c r="BE82" s="9" t="str">
        <f t="shared" si="67"/>
        <v>068</v>
      </c>
      <c r="BF82" s="9" t="str">
        <f t="shared" si="68"/>
        <v>069</v>
      </c>
      <c r="BG82" s="9" t="str">
        <f t="shared" si="69"/>
        <v/>
      </c>
      <c r="BH82" s="9" t="str">
        <f t="shared" si="70"/>
        <v/>
      </c>
      <c r="BI82" s="3" t="str">
        <f t="shared" si="71"/>
        <v/>
      </c>
      <c r="BJ82" s="3" t="str">
        <f t="shared" si="72"/>
        <v/>
      </c>
      <c r="BK82" s="3" t="str">
        <f t="shared" si="73"/>
        <v/>
      </c>
      <c r="BL82" s="3" t="str">
        <f t="shared" si="74"/>
        <v/>
      </c>
      <c r="BM82" s="3">
        <f t="shared" si="75"/>
        <v>15</v>
      </c>
      <c r="BN82" s="3">
        <f t="shared" si="76"/>
        <v>7</v>
      </c>
      <c r="BO82" s="3" t="str">
        <f t="shared" si="77"/>
        <v/>
      </c>
      <c r="BP82" s="3" t="str">
        <f t="shared" si="78"/>
        <v/>
      </c>
      <c r="BQ82" s="3" t="str">
        <f t="shared" si="79"/>
        <v>(15 downto 8)</v>
      </c>
      <c r="BR82" s="3" t="str">
        <f t="shared" si="80"/>
        <v>(7 downto 0)</v>
      </c>
      <c r="BS82" s="3" t="str">
        <f t="shared" si="81"/>
        <v/>
      </c>
      <c r="BT82" s="3" t="str">
        <f t="shared" si="82"/>
        <v/>
      </c>
    </row>
    <row r="83" spans="2:76" x14ac:dyDescent="0.25">
      <c r="B83" s="3" t="s">
        <v>332</v>
      </c>
      <c r="C83" s="3" t="s">
        <v>428</v>
      </c>
      <c r="D83" s="3" t="s">
        <v>1</v>
      </c>
      <c r="E83" s="3" t="s">
        <v>1062</v>
      </c>
      <c r="F83" s="3" t="s">
        <v>100</v>
      </c>
      <c r="G83" s="3" t="s">
        <v>909</v>
      </c>
      <c r="H83" s="3" t="s">
        <v>189</v>
      </c>
      <c r="I83" s="3" t="s">
        <v>24</v>
      </c>
      <c r="J83" s="3">
        <v>16</v>
      </c>
      <c r="K83" s="3" t="s">
        <v>23</v>
      </c>
      <c r="L83" s="3" t="s">
        <v>23</v>
      </c>
      <c r="M83" s="3">
        <v>448</v>
      </c>
      <c r="N83" s="3" t="str">
        <f t="shared" si="14"/>
        <v>1C0</v>
      </c>
      <c r="O83" s="3">
        <v>31</v>
      </c>
      <c r="P83" s="3">
        <v>16</v>
      </c>
      <c r="Q83" s="3" t="str">
        <f t="shared" si="89"/>
        <v>X</v>
      </c>
      <c r="R83" s="3" t="str">
        <f t="shared" si="95"/>
        <v>X</v>
      </c>
      <c r="S83" s="3" t="str">
        <f t="shared" si="95"/>
        <v>X</v>
      </c>
      <c r="T83" s="3" t="str">
        <f t="shared" si="95"/>
        <v>X</v>
      </c>
      <c r="U83" s="3" t="str">
        <f t="shared" si="95"/>
        <v>X</v>
      </c>
      <c r="V83" s="3" t="str">
        <f t="shared" si="95"/>
        <v>X</v>
      </c>
      <c r="W83" s="3" t="str">
        <f t="shared" si="95"/>
        <v>X</v>
      </c>
      <c r="X83" s="3" t="str">
        <f t="shared" si="95"/>
        <v>X</v>
      </c>
      <c r="Y83" s="3" t="str">
        <f t="shared" si="95"/>
        <v>X</v>
      </c>
      <c r="Z83" s="3" t="str">
        <f t="shared" si="95"/>
        <v>X</v>
      </c>
      <c r="AA83" s="3" t="str">
        <f t="shared" si="95"/>
        <v>X</v>
      </c>
      <c r="AB83" s="3" t="str">
        <f t="shared" si="95"/>
        <v>X</v>
      </c>
      <c r="AC83" s="3" t="str">
        <f t="shared" si="95"/>
        <v>X</v>
      </c>
      <c r="AD83" s="3" t="str">
        <f t="shared" si="95"/>
        <v>X</v>
      </c>
      <c r="AE83" s="3" t="str">
        <f t="shared" si="95"/>
        <v>X</v>
      </c>
      <c r="AF83" s="3" t="str">
        <f t="shared" si="95"/>
        <v>X</v>
      </c>
      <c r="AG83" s="3" t="str">
        <f t="shared" si="95"/>
        <v/>
      </c>
      <c r="AH83" s="3" t="str">
        <f t="shared" si="94"/>
        <v/>
      </c>
      <c r="AI83" s="3" t="str">
        <f t="shared" si="94"/>
        <v/>
      </c>
      <c r="AJ83" s="3" t="str">
        <f t="shared" si="94"/>
        <v/>
      </c>
      <c r="AK83" s="3" t="str">
        <f t="shared" si="94"/>
        <v/>
      </c>
      <c r="AL83" s="3" t="str">
        <f t="shared" si="94"/>
        <v/>
      </c>
      <c r="AM83" s="3" t="str">
        <f t="shared" si="94"/>
        <v/>
      </c>
      <c r="AN83" s="3" t="str">
        <f t="shared" si="94"/>
        <v/>
      </c>
      <c r="AO83" s="3" t="str">
        <f t="shared" si="94"/>
        <v/>
      </c>
      <c r="AP83" s="3" t="str">
        <f t="shared" si="94"/>
        <v/>
      </c>
      <c r="AQ83" s="3" t="str">
        <f t="shared" si="94"/>
        <v/>
      </c>
      <c r="AR83" s="3" t="str">
        <f t="shared" si="94"/>
        <v/>
      </c>
      <c r="AS83" s="3" t="str">
        <f t="shared" si="94"/>
        <v/>
      </c>
      <c r="AT83" s="3" t="str">
        <f t="shared" si="94"/>
        <v/>
      </c>
      <c r="AU83" s="3" t="str">
        <f t="shared" si="94"/>
        <v/>
      </c>
      <c r="AV83" s="3" t="str">
        <f t="shared" si="94"/>
        <v/>
      </c>
      <c r="AW83" s="3" t="str">
        <f t="shared" si="90"/>
        <v>X</v>
      </c>
      <c r="AX83" s="3" t="str">
        <f t="shared" si="91"/>
        <v>X</v>
      </c>
      <c r="AY83" s="3" t="str">
        <f t="shared" si="92"/>
        <v/>
      </c>
      <c r="AZ83" s="3" t="str">
        <f t="shared" si="93"/>
        <v/>
      </c>
      <c r="BA83" s="3">
        <f t="shared" si="63"/>
        <v>1792</v>
      </c>
      <c r="BB83" s="3">
        <f t="shared" si="64"/>
        <v>1793</v>
      </c>
      <c r="BC83" s="3" t="str">
        <f t="shared" si="65"/>
        <v/>
      </c>
      <c r="BD83" s="3" t="str">
        <f t="shared" si="66"/>
        <v/>
      </c>
      <c r="BE83" s="9" t="str">
        <f t="shared" si="67"/>
        <v>700</v>
      </c>
      <c r="BF83" s="9" t="str">
        <f t="shared" si="68"/>
        <v>701</v>
      </c>
      <c r="BG83" s="9" t="str">
        <f t="shared" si="69"/>
        <v/>
      </c>
      <c r="BH83" s="9" t="str">
        <f t="shared" si="70"/>
        <v/>
      </c>
      <c r="BI83" s="3" t="str">
        <f t="shared" si="71"/>
        <v/>
      </c>
      <c r="BJ83" s="3" t="str">
        <f t="shared" si="72"/>
        <v/>
      </c>
      <c r="BK83" s="3" t="str">
        <f t="shared" si="73"/>
        <v/>
      </c>
      <c r="BL83" s="3" t="str">
        <f t="shared" si="74"/>
        <v/>
      </c>
      <c r="BM83" s="3">
        <f t="shared" si="75"/>
        <v>15</v>
      </c>
      <c r="BN83" s="3">
        <f t="shared" si="76"/>
        <v>7</v>
      </c>
      <c r="BO83" s="3" t="str">
        <f t="shared" si="77"/>
        <v/>
      </c>
      <c r="BP83" s="3" t="str">
        <f t="shared" si="78"/>
        <v/>
      </c>
      <c r="BQ83" s="3" t="str">
        <f t="shared" si="79"/>
        <v>(15 downto 8)</v>
      </c>
      <c r="BR83" s="3" t="str">
        <f t="shared" si="80"/>
        <v>(7 downto 0)</v>
      </c>
      <c r="BS83" s="3" t="str">
        <f t="shared" si="81"/>
        <v/>
      </c>
      <c r="BT83" s="3" t="str">
        <f t="shared" si="82"/>
        <v/>
      </c>
    </row>
    <row r="84" spans="2:76" x14ac:dyDescent="0.25">
      <c r="B84" s="3" t="s">
        <v>332</v>
      </c>
      <c r="C84" s="3" t="s">
        <v>429</v>
      </c>
      <c r="D84" s="3" t="s">
        <v>1</v>
      </c>
      <c r="E84" s="3" t="s">
        <v>1062</v>
      </c>
      <c r="F84" s="3" t="s">
        <v>100</v>
      </c>
      <c r="G84" s="3" t="s">
        <v>909</v>
      </c>
      <c r="H84" s="3" t="s">
        <v>190</v>
      </c>
      <c r="I84" s="3" t="s">
        <v>24</v>
      </c>
      <c r="J84" s="3">
        <v>16</v>
      </c>
      <c r="K84" s="3" t="s">
        <v>23</v>
      </c>
      <c r="L84" s="3" t="s">
        <v>23</v>
      </c>
      <c r="M84" s="3">
        <v>448</v>
      </c>
      <c r="N84" s="3" t="str">
        <f t="shared" si="14"/>
        <v>1C0</v>
      </c>
      <c r="O84" s="3">
        <v>15</v>
      </c>
      <c r="P84" s="3">
        <v>0</v>
      </c>
      <c r="Q84" s="3" t="str">
        <f t="shared" si="89"/>
        <v/>
      </c>
      <c r="R84" s="3" t="str">
        <f t="shared" si="95"/>
        <v/>
      </c>
      <c r="S84" s="3" t="str">
        <f t="shared" si="95"/>
        <v/>
      </c>
      <c r="T84" s="3" t="str">
        <f t="shared" si="95"/>
        <v/>
      </c>
      <c r="U84" s="3" t="str">
        <f t="shared" si="95"/>
        <v/>
      </c>
      <c r="V84" s="3" t="str">
        <f t="shared" si="95"/>
        <v/>
      </c>
      <c r="W84" s="3" t="str">
        <f t="shared" si="95"/>
        <v/>
      </c>
      <c r="X84" s="3" t="str">
        <f t="shared" si="95"/>
        <v/>
      </c>
      <c r="Y84" s="3" t="str">
        <f t="shared" si="95"/>
        <v/>
      </c>
      <c r="Z84" s="3" t="str">
        <f t="shared" si="95"/>
        <v/>
      </c>
      <c r="AA84" s="3" t="str">
        <f t="shared" si="95"/>
        <v/>
      </c>
      <c r="AB84" s="3" t="str">
        <f t="shared" si="95"/>
        <v/>
      </c>
      <c r="AC84" s="3" t="str">
        <f t="shared" si="95"/>
        <v/>
      </c>
      <c r="AD84" s="3" t="str">
        <f t="shared" si="95"/>
        <v/>
      </c>
      <c r="AE84" s="3" t="str">
        <f t="shared" si="95"/>
        <v/>
      </c>
      <c r="AF84" s="3" t="str">
        <f t="shared" si="95"/>
        <v/>
      </c>
      <c r="AG84" s="3" t="str">
        <f t="shared" si="95"/>
        <v>X</v>
      </c>
      <c r="AH84" s="3" t="str">
        <f t="shared" si="94"/>
        <v>X</v>
      </c>
      <c r="AI84" s="3" t="str">
        <f t="shared" si="94"/>
        <v>X</v>
      </c>
      <c r="AJ84" s="3" t="str">
        <f t="shared" si="94"/>
        <v>X</v>
      </c>
      <c r="AK84" s="3" t="str">
        <f t="shared" si="94"/>
        <v>X</v>
      </c>
      <c r="AL84" s="3" t="str">
        <f t="shared" si="94"/>
        <v>X</v>
      </c>
      <c r="AM84" s="3" t="str">
        <f t="shared" si="94"/>
        <v>X</v>
      </c>
      <c r="AN84" s="3" t="str">
        <f t="shared" si="94"/>
        <v>X</v>
      </c>
      <c r="AO84" s="3" t="str">
        <f t="shared" si="94"/>
        <v>X</v>
      </c>
      <c r="AP84" s="3" t="str">
        <f t="shared" si="94"/>
        <v>X</v>
      </c>
      <c r="AQ84" s="3" t="str">
        <f t="shared" si="94"/>
        <v>X</v>
      </c>
      <c r="AR84" s="3" t="str">
        <f t="shared" si="94"/>
        <v>X</v>
      </c>
      <c r="AS84" s="3" t="str">
        <f t="shared" si="94"/>
        <v>X</v>
      </c>
      <c r="AT84" s="3" t="str">
        <f t="shared" si="94"/>
        <v>X</v>
      </c>
      <c r="AU84" s="3" t="str">
        <f t="shared" si="94"/>
        <v>X</v>
      </c>
      <c r="AV84" s="3" t="str">
        <f t="shared" si="94"/>
        <v>X</v>
      </c>
      <c r="AW84" s="3" t="str">
        <f t="shared" si="90"/>
        <v/>
      </c>
      <c r="AX84" s="3" t="str">
        <f t="shared" si="91"/>
        <v/>
      </c>
      <c r="AY84" s="3" t="str">
        <f t="shared" si="92"/>
        <v>X</v>
      </c>
      <c r="AZ84" s="3" t="str">
        <f t="shared" si="93"/>
        <v>X</v>
      </c>
      <c r="BA84" s="3" t="str">
        <f t="shared" si="63"/>
        <v/>
      </c>
      <c r="BB84" s="3" t="str">
        <f t="shared" si="64"/>
        <v/>
      </c>
      <c r="BC84" s="3">
        <f t="shared" si="65"/>
        <v>1794</v>
      </c>
      <c r="BD84" s="3">
        <f t="shared" si="66"/>
        <v>1795</v>
      </c>
      <c r="BE84" s="9" t="str">
        <f t="shared" si="67"/>
        <v/>
      </c>
      <c r="BF84" s="9" t="str">
        <f t="shared" si="68"/>
        <v/>
      </c>
      <c r="BG84" s="9" t="str">
        <f t="shared" si="69"/>
        <v>702</v>
      </c>
      <c r="BH84" s="9" t="str">
        <f t="shared" si="70"/>
        <v>703</v>
      </c>
      <c r="BI84" s="3" t="str">
        <f t="shared" si="71"/>
        <v/>
      </c>
      <c r="BJ84" s="3" t="str">
        <f t="shared" si="72"/>
        <v/>
      </c>
      <c r="BK84" s="3" t="str">
        <f t="shared" si="73"/>
        <v/>
      </c>
      <c r="BL84" s="3" t="str">
        <f t="shared" si="74"/>
        <v/>
      </c>
      <c r="BM84" s="3" t="str">
        <f t="shared" si="75"/>
        <v/>
      </c>
      <c r="BN84" s="3" t="str">
        <f t="shared" si="76"/>
        <v/>
      </c>
      <c r="BO84" s="3">
        <f t="shared" si="77"/>
        <v>15</v>
      </c>
      <c r="BP84" s="3">
        <f t="shared" si="78"/>
        <v>7</v>
      </c>
      <c r="BQ84" s="3" t="str">
        <f t="shared" si="79"/>
        <v/>
      </c>
      <c r="BR84" s="3" t="str">
        <f t="shared" si="80"/>
        <v/>
      </c>
      <c r="BS84" s="3" t="str">
        <f t="shared" si="81"/>
        <v>(15 downto 8)</v>
      </c>
      <c r="BT84" s="3" t="str">
        <f t="shared" si="82"/>
        <v>(7 downto 0)</v>
      </c>
    </row>
    <row r="85" spans="2:76" x14ac:dyDescent="0.25">
      <c r="B85" s="3" t="s">
        <v>333</v>
      </c>
      <c r="C85" s="3" t="s">
        <v>430</v>
      </c>
      <c r="D85" s="3" t="s">
        <v>1</v>
      </c>
      <c r="E85" s="3" t="s">
        <v>1062</v>
      </c>
      <c r="F85" s="3" t="s">
        <v>101</v>
      </c>
      <c r="G85" s="3" t="s">
        <v>910</v>
      </c>
      <c r="H85" s="3" t="s">
        <v>191</v>
      </c>
      <c r="I85" s="3" t="s">
        <v>24</v>
      </c>
      <c r="J85" s="3">
        <v>16</v>
      </c>
      <c r="K85" s="3" t="s">
        <v>23</v>
      </c>
      <c r="L85" s="3" t="s">
        <v>23</v>
      </c>
      <c r="M85" s="3">
        <v>449</v>
      </c>
      <c r="N85" s="3" t="str">
        <f t="shared" si="14"/>
        <v>1C1</v>
      </c>
      <c r="O85" s="3">
        <v>31</v>
      </c>
      <c r="P85" s="3">
        <v>16</v>
      </c>
      <c r="Q85" s="3" t="str">
        <f t="shared" si="89"/>
        <v>X</v>
      </c>
      <c r="R85" s="3" t="str">
        <f t="shared" si="95"/>
        <v>X</v>
      </c>
      <c r="S85" s="3" t="str">
        <f t="shared" si="95"/>
        <v>X</v>
      </c>
      <c r="T85" s="3" t="str">
        <f t="shared" si="95"/>
        <v>X</v>
      </c>
      <c r="U85" s="3" t="str">
        <f t="shared" si="95"/>
        <v>X</v>
      </c>
      <c r="V85" s="3" t="str">
        <f t="shared" si="95"/>
        <v>X</v>
      </c>
      <c r="W85" s="3" t="str">
        <f t="shared" si="95"/>
        <v>X</v>
      </c>
      <c r="X85" s="3" t="str">
        <f t="shared" si="95"/>
        <v>X</v>
      </c>
      <c r="Y85" s="3" t="str">
        <f t="shared" si="95"/>
        <v>X</v>
      </c>
      <c r="Z85" s="3" t="str">
        <f t="shared" si="95"/>
        <v>X</v>
      </c>
      <c r="AA85" s="3" t="str">
        <f t="shared" si="95"/>
        <v>X</v>
      </c>
      <c r="AB85" s="3" t="str">
        <f t="shared" si="95"/>
        <v>X</v>
      </c>
      <c r="AC85" s="3" t="str">
        <f t="shared" si="95"/>
        <v>X</v>
      </c>
      <c r="AD85" s="3" t="str">
        <f t="shared" si="95"/>
        <v>X</v>
      </c>
      <c r="AE85" s="3" t="str">
        <f t="shared" si="95"/>
        <v>X</v>
      </c>
      <c r="AF85" s="3" t="str">
        <f t="shared" si="95"/>
        <v>X</v>
      </c>
      <c r="AG85" s="3" t="str">
        <f t="shared" si="95"/>
        <v/>
      </c>
      <c r="AH85" s="3" t="str">
        <f t="shared" si="94"/>
        <v/>
      </c>
      <c r="AI85" s="3" t="str">
        <f t="shared" si="94"/>
        <v/>
      </c>
      <c r="AJ85" s="3" t="str">
        <f t="shared" si="94"/>
        <v/>
      </c>
      <c r="AK85" s="3" t="str">
        <f t="shared" si="94"/>
        <v/>
      </c>
      <c r="AL85" s="3" t="str">
        <f t="shared" si="94"/>
        <v/>
      </c>
      <c r="AM85" s="3" t="str">
        <f t="shared" si="94"/>
        <v/>
      </c>
      <c r="AN85" s="3" t="str">
        <f t="shared" si="94"/>
        <v/>
      </c>
      <c r="AO85" s="3" t="str">
        <f t="shared" si="94"/>
        <v/>
      </c>
      <c r="AP85" s="3" t="str">
        <f t="shared" si="94"/>
        <v/>
      </c>
      <c r="AQ85" s="3" t="str">
        <f t="shared" si="94"/>
        <v/>
      </c>
      <c r="AR85" s="3" t="str">
        <f t="shared" si="94"/>
        <v/>
      </c>
      <c r="AS85" s="3" t="str">
        <f t="shared" si="94"/>
        <v/>
      </c>
      <c r="AT85" s="3" t="str">
        <f t="shared" si="94"/>
        <v/>
      </c>
      <c r="AU85" s="3" t="str">
        <f t="shared" si="94"/>
        <v/>
      </c>
      <c r="AV85" s="3" t="str">
        <f t="shared" si="94"/>
        <v/>
      </c>
      <c r="AW85" s="3" t="str">
        <f t="shared" si="90"/>
        <v>X</v>
      </c>
      <c r="AX85" s="3" t="str">
        <f t="shared" si="91"/>
        <v>X</v>
      </c>
      <c r="AY85" s="3" t="str">
        <f t="shared" si="92"/>
        <v/>
      </c>
      <c r="AZ85" s="3" t="str">
        <f t="shared" si="93"/>
        <v/>
      </c>
      <c r="BA85" s="3">
        <f t="shared" si="63"/>
        <v>1796</v>
      </c>
      <c r="BB85" s="3">
        <f t="shared" si="64"/>
        <v>1797</v>
      </c>
      <c r="BC85" s="3" t="str">
        <f t="shared" si="65"/>
        <v/>
      </c>
      <c r="BD85" s="3" t="str">
        <f t="shared" si="66"/>
        <v/>
      </c>
      <c r="BE85" s="9" t="str">
        <f t="shared" si="67"/>
        <v>704</v>
      </c>
      <c r="BF85" s="9" t="str">
        <f t="shared" si="68"/>
        <v>705</v>
      </c>
      <c r="BG85" s="9" t="str">
        <f t="shared" si="69"/>
        <v/>
      </c>
      <c r="BH85" s="9" t="str">
        <f t="shared" si="70"/>
        <v/>
      </c>
      <c r="BI85" s="3" t="str">
        <f t="shared" si="71"/>
        <v/>
      </c>
      <c r="BJ85" s="3" t="str">
        <f t="shared" si="72"/>
        <v/>
      </c>
      <c r="BK85" s="3" t="str">
        <f t="shared" si="73"/>
        <v/>
      </c>
      <c r="BL85" s="3" t="str">
        <f t="shared" si="74"/>
        <v/>
      </c>
      <c r="BM85" s="3">
        <f t="shared" si="75"/>
        <v>15</v>
      </c>
      <c r="BN85" s="3">
        <f t="shared" si="76"/>
        <v>7</v>
      </c>
      <c r="BO85" s="3" t="str">
        <f t="shared" si="77"/>
        <v/>
      </c>
      <c r="BP85" s="3" t="str">
        <f t="shared" si="78"/>
        <v/>
      </c>
      <c r="BQ85" s="3" t="str">
        <f t="shared" si="79"/>
        <v>(15 downto 8)</v>
      </c>
      <c r="BR85" s="3" t="str">
        <f t="shared" si="80"/>
        <v>(7 downto 0)</v>
      </c>
      <c r="BS85" s="3" t="str">
        <f t="shared" si="81"/>
        <v/>
      </c>
      <c r="BT85" s="3" t="str">
        <f t="shared" si="82"/>
        <v/>
      </c>
    </row>
    <row r="86" spans="2:76" x14ac:dyDescent="0.25">
      <c r="B86" s="3" t="s">
        <v>333</v>
      </c>
      <c r="C86" s="3" t="s">
        <v>431</v>
      </c>
      <c r="D86" s="3" t="s">
        <v>1</v>
      </c>
      <c r="E86" s="3" t="s">
        <v>1062</v>
      </c>
      <c r="F86" s="3" t="s">
        <v>101</v>
      </c>
      <c r="G86" s="3" t="s">
        <v>910</v>
      </c>
      <c r="H86" s="3" t="s">
        <v>192</v>
      </c>
      <c r="I86" s="3" t="s">
        <v>24</v>
      </c>
      <c r="J86" s="3">
        <v>16</v>
      </c>
      <c r="K86" s="3" t="s">
        <v>23</v>
      </c>
      <c r="L86" s="3" t="s">
        <v>23</v>
      </c>
      <c r="M86" s="3">
        <v>449</v>
      </c>
      <c r="N86" s="3" t="str">
        <f t="shared" si="14"/>
        <v>1C1</v>
      </c>
      <c r="O86" s="3">
        <v>15</v>
      </c>
      <c r="P86" s="3">
        <v>0</v>
      </c>
      <c r="Q86" s="3" t="str">
        <f t="shared" si="89"/>
        <v/>
      </c>
      <c r="R86" s="3" t="str">
        <f t="shared" si="95"/>
        <v/>
      </c>
      <c r="S86" s="3" t="str">
        <f t="shared" si="95"/>
        <v/>
      </c>
      <c r="T86" s="3" t="str">
        <f t="shared" si="95"/>
        <v/>
      </c>
      <c r="U86" s="3" t="str">
        <f t="shared" si="95"/>
        <v/>
      </c>
      <c r="V86" s="3" t="str">
        <f t="shared" si="95"/>
        <v/>
      </c>
      <c r="W86" s="3" t="str">
        <f t="shared" si="95"/>
        <v/>
      </c>
      <c r="X86" s="3" t="str">
        <f t="shared" si="95"/>
        <v/>
      </c>
      <c r="Y86" s="3" t="str">
        <f t="shared" si="95"/>
        <v/>
      </c>
      <c r="Z86" s="3" t="str">
        <f t="shared" si="95"/>
        <v/>
      </c>
      <c r="AA86" s="3" t="str">
        <f t="shared" si="95"/>
        <v/>
      </c>
      <c r="AB86" s="3" t="str">
        <f t="shared" si="95"/>
        <v/>
      </c>
      <c r="AC86" s="3" t="str">
        <f t="shared" si="95"/>
        <v/>
      </c>
      <c r="AD86" s="3" t="str">
        <f t="shared" si="95"/>
        <v/>
      </c>
      <c r="AE86" s="3" t="str">
        <f t="shared" si="95"/>
        <v/>
      </c>
      <c r="AF86" s="3" t="str">
        <f t="shared" si="95"/>
        <v/>
      </c>
      <c r="AG86" s="3" t="str">
        <f t="shared" si="95"/>
        <v>X</v>
      </c>
      <c r="AH86" s="3" t="str">
        <f t="shared" si="94"/>
        <v>X</v>
      </c>
      <c r="AI86" s="3" t="str">
        <f t="shared" si="94"/>
        <v>X</v>
      </c>
      <c r="AJ86" s="3" t="str">
        <f t="shared" si="94"/>
        <v>X</v>
      </c>
      <c r="AK86" s="3" t="str">
        <f t="shared" si="94"/>
        <v>X</v>
      </c>
      <c r="AL86" s="3" t="str">
        <f t="shared" si="94"/>
        <v>X</v>
      </c>
      <c r="AM86" s="3" t="str">
        <f t="shared" si="94"/>
        <v>X</v>
      </c>
      <c r="AN86" s="3" t="str">
        <f t="shared" si="94"/>
        <v>X</v>
      </c>
      <c r="AO86" s="3" t="str">
        <f t="shared" si="94"/>
        <v>X</v>
      </c>
      <c r="AP86" s="3" t="str">
        <f t="shared" si="94"/>
        <v>X</v>
      </c>
      <c r="AQ86" s="3" t="str">
        <f t="shared" si="94"/>
        <v>X</v>
      </c>
      <c r="AR86" s="3" t="str">
        <f t="shared" si="94"/>
        <v>X</v>
      </c>
      <c r="AS86" s="3" t="str">
        <f t="shared" si="94"/>
        <v>X</v>
      </c>
      <c r="AT86" s="3" t="str">
        <f t="shared" si="94"/>
        <v>X</v>
      </c>
      <c r="AU86" s="3" t="str">
        <f t="shared" si="94"/>
        <v>X</v>
      </c>
      <c r="AV86" s="3" t="str">
        <f t="shared" si="94"/>
        <v>X</v>
      </c>
      <c r="AW86" s="3" t="str">
        <f t="shared" si="90"/>
        <v/>
      </c>
      <c r="AX86" s="3" t="str">
        <f t="shared" si="91"/>
        <v/>
      </c>
      <c r="AY86" s="3" t="str">
        <f t="shared" si="92"/>
        <v>X</v>
      </c>
      <c r="AZ86" s="3" t="str">
        <f t="shared" si="93"/>
        <v>X</v>
      </c>
      <c r="BA86" s="3" t="str">
        <f t="shared" ref="BA86:BA149" si="96">IF(AW86="","",$M86*4+BA$3)</f>
        <v/>
      </c>
      <c r="BB86" s="3" t="str">
        <f t="shared" ref="BB86:BB149" si="97">IF(AX86="","",$M86*4+BB$3)</f>
        <v/>
      </c>
      <c r="BC86" s="3">
        <f t="shared" ref="BC86:BC149" si="98">IF(AY86="","",$M86*4+BC$3)</f>
        <v>1798</v>
      </c>
      <c r="BD86" s="3">
        <f t="shared" ref="BD86:BD149" si="99">IF(AZ86="","",$M86*4+BD$3)</f>
        <v>1799</v>
      </c>
      <c r="BE86" s="9" t="str">
        <f t="shared" ref="BE86:BE149" si="100">IF(BA86="","",DEC2HEX(BA86,3))</f>
        <v/>
      </c>
      <c r="BF86" s="9" t="str">
        <f t="shared" ref="BF86:BF149" si="101">IF(BB86="","",DEC2HEX(BB86,3))</f>
        <v/>
      </c>
      <c r="BG86" s="9" t="str">
        <f t="shared" ref="BG86:BG149" si="102">IF(BC86="","",DEC2HEX(BC86,3))</f>
        <v>706</v>
      </c>
      <c r="BH86" s="9" t="str">
        <f t="shared" ref="BH86:BH149" si="103">IF(BD86="","",DEC2HEX(BD86,3))</f>
        <v>707</v>
      </c>
      <c r="BI86" s="3" t="str">
        <f t="shared" ref="BI86:BI149" si="104">IF(AW86="","",IF(COUNTIF($Q86:$X86,"X")=8,"",CONCATENATE("(",INDEX($Q$3:$X$3,MATCH("X",$Q86:$X86,0))-24,IF(COUNTIF($Q86:$X86,"X")=1,")",CONCATENATE(" downto ",INDEX($Q$3:$X$3,MATCH("X",$Q86:$X86,0)+COUNTIF($Q86:$X86,"X")-1)-24,")")))))</f>
        <v/>
      </c>
      <c r="BJ86" s="3" t="str">
        <f t="shared" ref="BJ86:BJ149" si="105">IF(AX86="","",IF(COUNTIF($Y86:$AF86,"X")=8,"",CONCATENATE("(",INDEX($Y$3:$AF$3,MATCH("X",$Y86:$AF86,0))-16,IF(COUNTIF($Y86:$AF86,"X")=1,")",CONCATENATE(" downto ",INDEX($Y$3:$AF$3,MATCH("X",$Y86:$AF86,0)+COUNTIF($Y86:$AF86,"X")-1)-16,")")))))</f>
        <v/>
      </c>
      <c r="BK86" s="3" t="str">
        <f t="shared" ref="BK86:BK149" si="106">IF(AY86="","",IF(COUNTIF($AG86:$AN86,"X")=8,"",CONCATENATE("(",INDEX($AG$3:$AN$3,MATCH("X",$AG86:$AN86,0))-8,IF(COUNTIF($AG86:$AN86,"X")=1,")",CONCATENATE(" downto ",INDEX($AG$3:$AN$3,MATCH("X",$AG86:$AN86,0)+COUNTIF($AG86:$AN86,"X")-1)-8,")")))))</f>
        <v/>
      </c>
      <c r="BL86" s="3" t="str">
        <f t="shared" ref="BL86:BL149" si="107">IF(AZ86="","",IF(COUNTIF($AO86:$AV86,"X")=8,"",CONCATENATE("(",INDEX($AO$3:$AV$3,MATCH("X",$AO86:$AV86,0)),IF(COUNTIF($AO86:$AV86,"X")=1,")",CONCATENATE(" downto ",INDEX($AO$3:$AV$3,MATCH("X",$AO86:$AV86,0)+COUNTIF($AO86:$AV86,"X")-1),")")))))</f>
        <v/>
      </c>
      <c r="BM86" s="3" t="str">
        <f t="shared" ref="BM86:BM149" si="108">IF(AW86="","",$J86-1)</f>
        <v/>
      </c>
      <c r="BN86" s="3" t="str">
        <f t="shared" ref="BN86:BN149" si="109">IF(AX86="","",IF(BM86="",$J86-1,BM86-COUNTIF($Q86:$X86,"X")))</f>
        <v/>
      </c>
      <c r="BO86" s="3">
        <f t="shared" ref="BO86:BO149" si="110">IF(AY86="","",IF(BN86="",$J86-1,BN86-COUNTIF($Y86:$AF86,"X")))</f>
        <v>15</v>
      </c>
      <c r="BP86" s="3">
        <f t="shared" ref="BP86:BP149" si="111">IF(AZ86="","",IF(BO86="",$J86-1,BO86-COUNTIF($AG86:$AN86,"X")))</f>
        <v>7</v>
      </c>
      <c r="BQ86" s="3" t="str">
        <f t="shared" ref="BQ86:BQ149" si="112">IF(AW86="","",IF((4-COUNTIF($BM86:$BP86,""))=1,"",CONCATENATE("(",BM86,IF(COUNTIF($Q86:$X86,"X")=1,"",CONCATENATE(" downto ",BM86-COUNTIF($Q86:$X86,"X")+1)),")")))</f>
        <v/>
      </c>
      <c r="BR86" s="3" t="str">
        <f t="shared" ref="BR86:BR149" si="113">IF(AX86="","",IF((4-COUNTIF($BM86:$BP86,""))=1,"",CONCATENATE("(",BN86,IF(COUNTIF($Y86:$AF86,"X")=1,"",CONCATENATE(" downto ",BN86-COUNTIF($Y86:$AF86,"X")+1)),")")))</f>
        <v/>
      </c>
      <c r="BS86" s="3" t="str">
        <f t="shared" ref="BS86:BS149" si="114">IF(AY86="","",IF((4-COUNTIF($BM86:$BP86,""))=1,"",CONCATENATE("(",BO86,IF(COUNTIF($AG86:$AN86,"X")=1,"",CONCATENATE(" downto ",BO86-COUNTIF($AG86:$AN86,"X")+1)),")")))</f>
        <v>(15 downto 8)</v>
      </c>
      <c r="BT86" s="3" t="str">
        <f t="shared" ref="BT86:BT149" si="115">IF(AZ86="","",IF((4-COUNTIF($BM86:$BP86,""))=1,"",CONCATENATE("(",BP86,IF(COUNTIF($AO86:$AV86,"X") = 1,"",CONCATENATE(" downto ",BP86-COUNTIF($AO86:$AV86,"X")+1)),")")))</f>
        <v>(7 downto 0)</v>
      </c>
    </row>
    <row r="87" spans="2:76" x14ac:dyDescent="0.25">
      <c r="B87" s="3" t="s">
        <v>334</v>
      </c>
      <c r="C87" s="3" t="s">
        <v>432</v>
      </c>
      <c r="D87" s="3" t="s">
        <v>1</v>
      </c>
      <c r="E87" s="3" t="s">
        <v>1062</v>
      </c>
      <c r="F87" s="3" t="s">
        <v>102</v>
      </c>
      <c r="G87" s="3" t="s">
        <v>911</v>
      </c>
      <c r="H87" s="3" t="s">
        <v>193</v>
      </c>
      <c r="I87" s="3" t="s">
        <v>24</v>
      </c>
      <c r="J87" s="3">
        <v>16</v>
      </c>
      <c r="K87" s="3" t="s">
        <v>23</v>
      </c>
      <c r="L87" s="3" t="s">
        <v>23</v>
      </c>
      <c r="M87" s="3">
        <v>450</v>
      </c>
      <c r="N87" s="3" t="str">
        <f t="shared" ref="N87:N150" si="116">DEC2HEX($M87,3)</f>
        <v>1C2</v>
      </c>
      <c r="O87" s="3">
        <v>31</v>
      </c>
      <c r="P87" s="3">
        <v>16</v>
      </c>
      <c r="Q87" s="3" t="str">
        <f t="shared" si="89"/>
        <v>X</v>
      </c>
      <c r="R87" s="3" t="str">
        <f t="shared" si="95"/>
        <v>X</v>
      </c>
      <c r="S87" s="3" t="str">
        <f t="shared" si="95"/>
        <v>X</v>
      </c>
      <c r="T87" s="3" t="str">
        <f t="shared" si="95"/>
        <v>X</v>
      </c>
      <c r="U87" s="3" t="str">
        <f t="shared" si="95"/>
        <v>X</v>
      </c>
      <c r="V87" s="3" t="str">
        <f t="shared" si="95"/>
        <v>X</v>
      </c>
      <c r="W87" s="3" t="str">
        <f t="shared" si="95"/>
        <v>X</v>
      </c>
      <c r="X87" s="3" t="str">
        <f t="shared" si="95"/>
        <v>X</v>
      </c>
      <c r="Y87" s="3" t="str">
        <f t="shared" si="95"/>
        <v>X</v>
      </c>
      <c r="Z87" s="3" t="str">
        <f t="shared" si="95"/>
        <v>X</v>
      </c>
      <c r="AA87" s="3" t="str">
        <f t="shared" si="95"/>
        <v>X</v>
      </c>
      <c r="AB87" s="3" t="str">
        <f t="shared" si="95"/>
        <v>X</v>
      </c>
      <c r="AC87" s="3" t="str">
        <f t="shared" si="95"/>
        <v>X</v>
      </c>
      <c r="AD87" s="3" t="str">
        <f t="shared" si="95"/>
        <v>X</v>
      </c>
      <c r="AE87" s="3" t="str">
        <f t="shared" si="95"/>
        <v>X</v>
      </c>
      <c r="AF87" s="3" t="str">
        <f t="shared" si="95"/>
        <v>X</v>
      </c>
      <c r="AG87" s="3" t="str">
        <f t="shared" si="95"/>
        <v/>
      </c>
      <c r="AH87" s="3" t="str">
        <f t="shared" si="94"/>
        <v/>
      </c>
      <c r="AI87" s="3" t="str">
        <f t="shared" si="94"/>
        <v/>
      </c>
      <c r="AJ87" s="3" t="str">
        <f t="shared" si="94"/>
        <v/>
      </c>
      <c r="AK87" s="3" t="str">
        <f t="shared" si="94"/>
        <v/>
      </c>
      <c r="AL87" s="3" t="str">
        <f t="shared" si="94"/>
        <v/>
      </c>
      <c r="AM87" s="3" t="str">
        <f t="shared" si="94"/>
        <v/>
      </c>
      <c r="AN87" s="3" t="str">
        <f t="shared" si="94"/>
        <v/>
      </c>
      <c r="AO87" s="3" t="str">
        <f t="shared" si="94"/>
        <v/>
      </c>
      <c r="AP87" s="3" t="str">
        <f t="shared" si="94"/>
        <v/>
      </c>
      <c r="AQ87" s="3" t="str">
        <f t="shared" si="94"/>
        <v/>
      </c>
      <c r="AR87" s="3" t="str">
        <f t="shared" si="94"/>
        <v/>
      </c>
      <c r="AS87" s="3" t="str">
        <f t="shared" si="94"/>
        <v/>
      </c>
      <c r="AT87" s="3" t="str">
        <f t="shared" si="94"/>
        <v/>
      </c>
      <c r="AU87" s="3" t="str">
        <f t="shared" si="94"/>
        <v/>
      </c>
      <c r="AV87" s="3" t="str">
        <f t="shared" si="94"/>
        <v/>
      </c>
      <c r="AW87" s="3" t="str">
        <f t="shared" si="90"/>
        <v>X</v>
      </c>
      <c r="AX87" s="3" t="str">
        <f t="shared" si="91"/>
        <v>X</v>
      </c>
      <c r="AY87" s="3" t="str">
        <f t="shared" si="92"/>
        <v/>
      </c>
      <c r="AZ87" s="3" t="str">
        <f t="shared" si="93"/>
        <v/>
      </c>
      <c r="BA87" s="3">
        <f t="shared" si="96"/>
        <v>1800</v>
      </c>
      <c r="BB87" s="3">
        <f t="shared" si="97"/>
        <v>1801</v>
      </c>
      <c r="BC87" s="3" t="str">
        <f t="shared" si="98"/>
        <v/>
      </c>
      <c r="BD87" s="3" t="str">
        <f t="shared" si="99"/>
        <v/>
      </c>
      <c r="BE87" s="9" t="str">
        <f t="shared" si="100"/>
        <v>708</v>
      </c>
      <c r="BF87" s="9" t="str">
        <f t="shared" si="101"/>
        <v>709</v>
      </c>
      <c r="BG87" s="9" t="str">
        <f t="shared" si="102"/>
        <v/>
      </c>
      <c r="BH87" s="9" t="str">
        <f t="shared" si="103"/>
        <v/>
      </c>
      <c r="BI87" s="3" t="str">
        <f t="shared" si="104"/>
        <v/>
      </c>
      <c r="BJ87" s="3" t="str">
        <f t="shared" si="105"/>
        <v/>
      </c>
      <c r="BK87" s="3" t="str">
        <f t="shared" si="106"/>
        <v/>
      </c>
      <c r="BL87" s="3" t="str">
        <f t="shared" si="107"/>
        <v/>
      </c>
      <c r="BM87" s="3">
        <f t="shared" si="108"/>
        <v>15</v>
      </c>
      <c r="BN87" s="3">
        <f t="shared" si="109"/>
        <v>7</v>
      </c>
      <c r="BO87" s="3" t="str">
        <f t="shared" si="110"/>
        <v/>
      </c>
      <c r="BP87" s="3" t="str">
        <f t="shared" si="111"/>
        <v/>
      </c>
      <c r="BQ87" s="3" t="str">
        <f t="shared" si="112"/>
        <v>(15 downto 8)</v>
      </c>
      <c r="BR87" s="3" t="str">
        <f t="shared" si="113"/>
        <v>(7 downto 0)</v>
      </c>
      <c r="BS87" s="3" t="str">
        <f t="shared" si="114"/>
        <v/>
      </c>
      <c r="BT87" s="3" t="str">
        <f t="shared" si="115"/>
        <v/>
      </c>
    </row>
    <row r="88" spans="2:76" x14ac:dyDescent="0.25">
      <c r="B88" s="3" t="s">
        <v>334</v>
      </c>
      <c r="C88" s="3" t="s">
        <v>433</v>
      </c>
      <c r="D88" s="3" t="s">
        <v>1</v>
      </c>
      <c r="E88" s="3" t="s">
        <v>1062</v>
      </c>
      <c r="F88" s="3" t="s">
        <v>102</v>
      </c>
      <c r="G88" s="3" t="s">
        <v>911</v>
      </c>
      <c r="H88" s="3" t="s">
        <v>194</v>
      </c>
      <c r="I88" s="3" t="s">
        <v>24</v>
      </c>
      <c r="J88" s="3">
        <v>16</v>
      </c>
      <c r="K88" s="3" t="s">
        <v>23</v>
      </c>
      <c r="L88" s="3" t="s">
        <v>23</v>
      </c>
      <c r="M88" s="3">
        <v>450</v>
      </c>
      <c r="N88" s="3" t="str">
        <f t="shared" si="116"/>
        <v>1C2</v>
      </c>
      <c r="O88" s="3">
        <v>15</v>
      </c>
      <c r="P88" s="3">
        <v>0</v>
      </c>
      <c r="Q88" s="3" t="str">
        <f t="shared" si="89"/>
        <v/>
      </c>
      <c r="R88" s="3" t="str">
        <f t="shared" si="95"/>
        <v/>
      </c>
      <c r="S88" s="3" t="str">
        <f t="shared" si="95"/>
        <v/>
      </c>
      <c r="T88" s="3" t="str">
        <f t="shared" si="95"/>
        <v/>
      </c>
      <c r="U88" s="3" t="str">
        <f t="shared" si="95"/>
        <v/>
      </c>
      <c r="V88" s="3" t="str">
        <f t="shared" si="95"/>
        <v/>
      </c>
      <c r="W88" s="3" t="str">
        <f t="shared" si="95"/>
        <v/>
      </c>
      <c r="X88" s="3" t="str">
        <f t="shared" si="95"/>
        <v/>
      </c>
      <c r="Y88" s="3" t="str">
        <f t="shared" si="95"/>
        <v/>
      </c>
      <c r="Z88" s="3" t="str">
        <f t="shared" si="95"/>
        <v/>
      </c>
      <c r="AA88" s="3" t="str">
        <f t="shared" si="95"/>
        <v/>
      </c>
      <c r="AB88" s="3" t="str">
        <f t="shared" si="95"/>
        <v/>
      </c>
      <c r="AC88" s="3" t="str">
        <f t="shared" si="95"/>
        <v/>
      </c>
      <c r="AD88" s="3" t="str">
        <f t="shared" si="95"/>
        <v/>
      </c>
      <c r="AE88" s="3" t="str">
        <f t="shared" si="95"/>
        <v/>
      </c>
      <c r="AF88" s="3" t="str">
        <f t="shared" si="95"/>
        <v/>
      </c>
      <c r="AG88" s="3" t="str">
        <f t="shared" si="95"/>
        <v>X</v>
      </c>
      <c r="AH88" s="3" t="str">
        <f t="shared" si="94"/>
        <v>X</v>
      </c>
      <c r="AI88" s="3" t="str">
        <f t="shared" si="94"/>
        <v>X</v>
      </c>
      <c r="AJ88" s="3" t="str">
        <f t="shared" si="94"/>
        <v>X</v>
      </c>
      <c r="AK88" s="3" t="str">
        <f t="shared" si="94"/>
        <v>X</v>
      </c>
      <c r="AL88" s="3" t="str">
        <f t="shared" si="94"/>
        <v>X</v>
      </c>
      <c r="AM88" s="3" t="str">
        <f t="shared" si="94"/>
        <v>X</v>
      </c>
      <c r="AN88" s="3" t="str">
        <f t="shared" si="94"/>
        <v>X</v>
      </c>
      <c r="AO88" s="3" t="str">
        <f t="shared" si="94"/>
        <v>X</v>
      </c>
      <c r="AP88" s="3" t="str">
        <f t="shared" si="94"/>
        <v>X</v>
      </c>
      <c r="AQ88" s="3" t="str">
        <f t="shared" si="94"/>
        <v>X</v>
      </c>
      <c r="AR88" s="3" t="str">
        <f t="shared" si="94"/>
        <v>X</v>
      </c>
      <c r="AS88" s="3" t="str">
        <f t="shared" si="94"/>
        <v>X</v>
      </c>
      <c r="AT88" s="3" t="str">
        <f t="shared" si="94"/>
        <v>X</v>
      </c>
      <c r="AU88" s="3" t="str">
        <f t="shared" si="94"/>
        <v>X</v>
      </c>
      <c r="AV88" s="3" t="str">
        <f t="shared" si="94"/>
        <v>X</v>
      </c>
      <c r="AW88" s="3" t="str">
        <f t="shared" si="90"/>
        <v/>
      </c>
      <c r="AX88" s="3" t="str">
        <f t="shared" si="91"/>
        <v/>
      </c>
      <c r="AY88" s="3" t="str">
        <f t="shared" si="92"/>
        <v>X</v>
      </c>
      <c r="AZ88" s="3" t="str">
        <f t="shared" si="93"/>
        <v>X</v>
      </c>
      <c r="BA88" s="3" t="str">
        <f t="shared" si="96"/>
        <v/>
      </c>
      <c r="BB88" s="3" t="str">
        <f t="shared" si="97"/>
        <v/>
      </c>
      <c r="BC88" s="3">
        <f t="shared" si="98"/>
        <v>1802</v>
      </c>
      <c r="BD88" s="3">
        <f t="shared" si="99"/>
        <v>1803</v>
      </c>
      <c r="BE88" s="9" t="str">
        <f t="shared" si="100"/>
        <v/>
      </c>
      <c r="BF88" s="9" t="str">
        <f t="shared" si="101"/>
        <v/>
      </c>
      <c r="BG88" s="9" t="str">
        <f t="shared" si="102"/>
        <v>70A</v>
      </c>
      <c r="BH88" s="9" t="str">
        <f t="shared" si="103"/>
        <v>70B</v>
      </c>
      <c r="BI88" s="3" t="str">
        <f t="shared" si="104"/>
        <v/>
      </c>
      <c r="BJ88" s="3" t="str">
        <f t="shared" si="105"/>
        <v/>
      </c>
      <c r="BK88" s="3" t="str">
        <f t="shared" si="106"/>
        <v/>
      </c>
      <c r="BL88" s="3" t="str">
        <f t="shared" si="107"/>
        <v/>
      </c>
      <c r="BM88" s="3" t="str">
        <f t="shared" si="108"/>
        <v/>
      </c>
      <c r="BN88" s="3" t="str">
        <f t="shared" si="109"/>
        <v/>
      </c>
      <c r="BO88" s="3">
        <f t="shared" si="110"/>
        <v>15</v>
      </c>
      <c r="BP88" s="3">
        <f t="shared" si="111"/>
        <v>7</v>
      </c>
      <c r="BQ88" s="3" t="str">
        <f t="shared" si="112"/>
        <v/>
      </c>
      <c r="BR88" s="3" t="str">
        <f t="shared" si="113"/>
        <v/>
      </c>
      <c r="BS88" s="3" t="str">
        <f t="shared" si="114"/>
        <v>(15 downto 8)</v>
      </c>
      <c r="BT88" s="3" t="str">
        <f t="shared" si="115"/>
        <v>(7 downto 0)</v>
      </c>
    </row>
    <row r="89" spans="2:76" x14ac:dyDescent="0.25">
      <c r="B89" s="3" t="s">
        <v>335</v>
      </c>
      <c r="C89" s="3" t="s">
        <v>434</v>
      </c>
      <c r="D89" s="3" t="s">
        <v>1</v>
      </c>
      <c r="E89" s="3" t="s">
        <v>1062</v>
      </c>
      <c r="F89" s="3" t="s">
        <v>103</v>
      </c>
      <c r="G89" s="3" t="s">
        <v>912</v>
      </c>
      <c r="H89" s="3" t="s">
        <v>195</v>
      </c>
      <c r="I89" s="3" t="s">
        <v>24</v>
      </c>
      <c r="J89" s="3">
        <v>16</v>
      </c>
      <c r="K89" s="3" t="s">
        <v>23</v>
      </c>
      <c r="L89" s="3" t="s">
        <v>23</v>
      </c>
      <c r="M89" s="3">
        <v>451</v>
      </c>
      <c r="N89" s="3" t="str">
        <f t="shared" si="116"/>
        <v>1C3</v>
      </c>
      <c r="O89" s="3">
        <v>31</v>
      </c>
      <c r="P89" s="3">
        <v>16</v>
      </c>
      <c r="Q89" s="3" t="str">
        <f t="shared" si="89"/>
        <v>X</v>
      </c>
      <c r="R89" s="3" t="str">
        <f t="shared" si="95"/>
        <v>X</v>
      </c>
      <c r="S89" s="3" t="str">
        <f t="shared" si="95"/>
        <v>X</v>
      </c>
      <c r="T89" s="3" t="str">
        <f t="shared" si="95"/>
        <v>X</v>
      </c>
      <c r="U89" s="3" t="str">
        <f t="shared" si="95"/>
        <v>X</v>
      </c>
      <c r="V89" s="3" t="str">
        <f t="shared" si="95"/>
        <v>X</v>
      </c>
      <c r="W89" s="3" t="str">
        <f t="shared" si="95"/>
        <v>X</v>
      </c>
      <c r="X89" s="3" t="str">
        <f t="shared" si="95"/>
        <v>X</v>
      </c>
      <c r="Y89" s="3" t="str">
        <f t="shared" si="95"/>
        <v>X</v>
      </c>
      <c r="Z89" s="3" t="str">
        <f t="shared" si="95"/>
        <v>X</v>
      </c>
      <c r="AA89" s="3" t="str">
        <f t="shared" si="95"/>
        <v>X</v>
      </c>
      <c r="AB89" s="3" t="str">
        <f t="shared" si="95"/>
        <v>X</v>
      </c>
      <c r="AC89" s="3" t="str">
        <f t="shared" si="95"/>
        <v>X</v>
      </c>
      <c r="AD89" s="3" t="str">
        <f t="shared" si="95"/>
        <v>X</v>
      </c>
      <c r="AE89" s="3" t="str">
        <f t="shared" si="95"/>
        <v>X</v>
      </c>
      <c r="AF89" s="3" t="str">
        <f t="shared" si="95"/>
        <v>X</v>
      </c>
      <c r="AG89" s="3" t="str">
        <f t="shared" si="95"/>
        <v/>
      </c>
      <c r="AH89" s="3" t="str">
        <f t="shared" si="94"/>
        <v/>
      </c>
      <c r="AI89" s="3" t="str">
        <f t="shared" si="94"/>
        <v/>
      </c>
      <c r="AJ89" s="3" t="str">
        <f t="shared" si="94"/>
        <v/>
      </c>
      <c r="AK89" s="3" t="str">
        <f t="shared" si="94"/>
        <v/>
      </c>
      <c r="AL89" s="3" t="str">
        <f t="shared" si="94"/>
        <v/>
      </c>
      <c r="AM89" s="3" t="str">
        <f t="shared" si="94"/>
        <v/>
      </c>
      <c r="AN89" s="3" t="str">
        <f t="shared" si="94"/>
        <v/>
      </c>
      <c r="AO89" s="3" t="str">
        <f t="shared" si="94"/>
        <v/>
      </c>
      <c r="AP89" s="3" t="str">
        <f t="shared" si="94"/>
        <v/>
      </c>
      <c r="AQ89" s="3" t="str">
        <f t="shared" si="94"/>
        <v/>
      </c>
      <c r="AR89" s="3" t="str">
        <f t="shared" si="94"/>
        <v/>
      </c>
      <c r="AS89" s="3" t="str">
        <f t="shared" si="94"/>
        <v/>
      </c>
      <c r="AT89" s="3" t="str">
        <f t="shared" si="94"/>
        <v/>
      </c>
      <c r="AU89" s="3" t="str">
        <f t="shared" si="94"/>
        <v/>
      </c>
      <c r="AV89" s="3" t="str">
        <f t="shared" si="94"/>
        <v/>
      </c>
      <c r="AW89" s="3" t="str">
        <f t="shared" si="90"/>
        <v>X</v>
      </c>
      <c r="AX89" s="3" t="str">
        <f t="shared" si="91"/>
        <v>X</v>
      </c>
      <c r="AY89" s="3" t="str">
        <f t="shared" si="92"/>
        <v/>
      </c>
      <c r="AZ89" s="3" t="str">
        <f t="shared" si="93"/>
        <v/>
      </c>
      <c r="BA89" s="3">
        <f t="shared" si="96"/>
        <v>1804</v>
      </c>
      <c r="BB89" s="3">
        <f t="shared" si="97"/>
        <v>1805</v>
      </c>
      <c r="BC89" s="3" t="str">
        <f t="shared" si="98"/>
        <v/>
      </c>
      <c r="BD89" s="3" t="str">
        <f t="shared" si="99"/>
        <v/>
      </c>
      <c r="BE89" s="9" t="str">
        <f t="shared" si="100"/>
        <v>70C</v>
      </c>
      <c r="BF89" s="9" t="str">
        <f t="shared" si="101"/>
        <v>70D</v>
      </c>
      <c r="BG89" s="9" t="str">
        <f t="shared" si="102"/>
        <v/>
      </c>
      <c r="BH89" s="9" t="str">
        <f t="shared" si="103"/>
        <v/>
      </c>
      <c r="BI89" s="3" t="str">
        <f t="shared" si="104"/>
        <v/>
      </c>
      <c r="BJ89" s="3" t="str">
        <f t="shared" si="105"/>
        <v/>
      </c>
      <c r="BK89" s="3" t="str">
        <f t="shared" si="106"/>
        <v/>
      </c>
      <c r="BL89" s="3" t="str">
        <f t="shared" si="107"/>
        <v/>
      </c>
      <c r="BM89" s="3">
        <f t="shared" si="108"/>
        <v>15</v>
      </c>
      <c r="BN89" s="3">
        <f t="shared" si="109"/>
        <v>7</v>
      </c>
      <c r="BO89" s="3" t="str">
        <f t="shared" si="110"/>
        <v/>
      </c>
      <c r="BP89" s="3" t="str">
        <f t="shared" si="111"/>
        <v/>
      </c>
      <c r="BQ89" s="3" t="str">
        <f t="shared" si="112"/>
        <v>(15 downto 8)</v>
      </c>
      <c r="BR89" s="3" t="str">
        <f t="shared" si="113"/>
        <v>(7 downto 0)</v>
      </c>
      <c r="BS89" s="3" t="str">
        <f t="shared" si="114"/>
        <v/>
      </c>
      <c r="BT89" s="3" t="str">
        <f t="shared" si="115"/>
        <v/>
      </c>
    </row>
    <row r="90" spans="2:76" x14ac:dyDescent="0.25">
      <c r="B90" s="3" t="s">
        <v>335</v>
      </c>
      <c r="C90" s="3" t="s">
        <v>435</v>
      </c>
      <c r="D90" s="3" t="s">
        <v>1</v>
      </c>
      <c r="E90" s="3" t="s">
        <v>1062</v>
      </c>
      <c r="F90" s="3" t="s">
        <v>103</v>
      </c>
      <c r="G90" s="3" t="s">
        <v>912</v>
      </c>
      <c r="H90" s="3" t="s">
        <v>196</v>
      </c>
      <c r="I90" s="3" t="s">
        <v>24</v>
      </c>
      <c r="J90" s="3">
        <v>16</v>
      </c>
      <c r="K90" s="3" t="s">
        <v>23</v>
      </c>
      <c r="L90" s="3" t="s">
        <v>23</v>
      </c>
      <c r="M90" s="3">
        <v>451</v>
      </c>
      <c r="N90" s="3" t="str">
        <f t="shared" si="116"/>
        <v>1C3</v>
      </c>
      <c r="O90" s="3">
        <v>15</v>
      </c>
      <c r="P90" s="3">
        <v>0</v>
      </c>
      <c r="Q90" s="3" t="str">
        <f t="shared" si="89"/>
        <v/>
      </c>
      <c r="R90" s="3" t="str">
        <f t="shared" si="95"/>
        <v/>
      </c>
      <c r="S90" s="3" t="str">
        <f t="shared" si="95"/>
        <v/>
      </c>
      <c r="T90" s="3" t="str">
        <f t="shared" si="95"/>
        <v/>
      </c>
      <c r="U90" s="3" t="str">
        <f t="shared" si="95"/>
        <v/>
      </c>
      <c r="V90" s="3" t="str">
        <f t="shared" si="95"/>
        <v/>
      </c>
      <c r="W90" s="3" t="str">
        <f t="shared" si="95"/>
        <v/>
      </c>
      <c r="X90" s="3" t="str">
        <f t="shared" si="95"/>
        <v/>
      </c>
      <c r="Y90" s="3" t="str">
        <f t="shared" si="95"/>
        <v/>
      </c>
      <c r="Z90" s="3" t="str">
        <f t="shared" si="95"/>
        <v/>
      </c>
      <c r="AA90" s="3" t="str">
        <f t="shared" si="95"/>
        <v/>
      </c>
      <c r="AB90" s="3" t="str">
        <f t="shared" si="95"/>
        <v/>
      </c>
      <c r="AC90" s="3" t="str">
        <f t="shared" si="95"/>
        <v/>
      </c>
      <c r="AD90" s="3" t="str">
        <f t="shared" si="95"/>
        <v/>
      </c>
      <c r="AE90" s="3" t="str">
        <f t="shared" si="95"/>
        <v/>
      </c>
      <c r="AF90" s="3" t="str">
        <f t="shared" si="95"/>
        <v/>
      </c>
      <c r="AG90" s="3" t="str">
        <f t="shared" si="95"/>
        <v>X</v>
      </c>
      <c r="AH90" s="3" t="str">
        <f t="shared" si="94"/>
        <v>X</v>
      </c>
      <c r="AI90" s="3" t="str">
        <f t="shared" si="94"/>
        <v>X</v>
      </c>
      <c r="AJ90" s="3" t="str">
        <f t="shared" si="94"/>
        <v>X</v>
      </c>
      <c r="AK90" s="3" t="str">
        <f t="shared" si="94"/>
        <v>X</v>
      </c>
      <c r="AL90" s="3" t="str">
        <f t="shared" si="94"/>
        <v>X</v>
      </c>
      <c r="AM90" s="3" t="str">
        <f t="shared" si="94"/>
        <v>X</v>
      </c>
      <c r="AN90" s="3" t="str">
        <f t="shared" si="94"/>
        <v>X</v>
      </c>
      <c r="AO90" s="3" t="str">
        <f t="shared" si="94"/>
        <v>X</v>
      </c>
      <c r="AP90" s="3" t="str">
        <f t="shared" si="94"/>
        <v>X</v>
      </c>
      <c r="AQ90" s="3" t="str">
        <f t="shared" si="94"/>
        <v>X</v>
      </c>
      <c r="AR90" s="3" t="str">
        <f t="shared" si="94"/>
        <v>X</v>
      </c>
      <c r="AS90" s="3" t="str">
        <f t="shared" si="94"/>
        <v>X</v>
      </c>
      <c r="AT90" s="3" t="str">
        <f t="shared" si="94"/>
        <v>X</v>
      </c>
      <c r="AU90" s="3" t="str">
        <f t="shared" si="94"/>
        <v>X</v>
      </c>
      <c r="AV90" s="3" t="str">
        <f t="shared" si="94"/>
        <v>X</v>
      </c>
      <c r="AW90" s="3" t="str">
        <f t="shared" si="90"/>
        <v/>
      </c>
      <c r="AX90" s="3" t="str">
        <f t="shared" si="91"/>
        <v/>
      </c>
      <c r="AY90" s="3" t="str">
        <f t="shared" si="92"/>
        <v>X</v>
      </c>
      <c r="AZ90" s="3" t="str">
        <f t="shared" si="93"/>
        <v>X</v>
      </c>
      <c r="BA90" s="3" t="str">
        <f t="shared" si="96"/>
        <v/>
      </c>
      <c r="BB90" s="3" t="str">
        <f t="shared" si="97"/>
        <v/>
      </c>
      <c r="BC90" s="3">
        <f t="shared" si="98"/>
        <v>1806</v>
      </c>
      <c r="BD90" s="3">
        <f t="shared" si="99"/>
        <v>1807</v>
      </c>
      <c r="BE90" s="9" t="str">
        <f t="shared" si="100"/>
        <v/>
      </c>
      <c r="BF90" s="9" t="str">
        <f t="shared" si="101"/>
        <v/>
      </c>
      <c r="BG90" s="9" t="str">
        <f t="shared" si="102"/>
        <v>70E</v>
      </c>
      <c r="BH90" s="9" t="str">
        <f t="shared" si="103"/>
        <v>70F</v>
      </c>
      <c r="BI90" s="3" t="str">
        <f t="shared" si="104"/>
        <v/>
      </c>
      <c r="BJ90" s="3" t="str">
        <f t="shared" si="105"/>
        <v/>
      </c>
      <c r="BK90" s="3" t="str">
        <f t="shared" si="106"/>
        <v/>
      </c>
      <c r="BL90" s="3" t="str">
        <f t="shared" si="107"/>
        <v/>
      </c>
      <c r="BM90" s="3" t="str">
        <f t="shared" si="108"/>
        <v/>
      </c>
      <c r="BN90" s="3" t="str">
        <f t="shared" si="109"/>
        <v/>
      </c>
      <c r="BO90" s="3">
        <f t="shared" si="110"/>
        <v>15</v>
      </c>
      <c r="BP90" s="3">
        <f t="shared" si="111"/>
        <v>7</v>
      </c>
      <c r="BQ90" s="3" t="str">
        <f t="shared" si="112"/>
        <v/>
      </c>
      <c r="BR90" s="3" t="str">
        <f t="shared" si="113"/>
        <v/>
      </c>
      <c r="BS90" s="3" t="str">
        <f t="shared" si="114"/>
        <v>(15 downto 8)</v>
      </c>
      <c r="BT90" s="3" t="str">
        <f t="shared" si="115"/>
        <v>(7 downto 0)</v>
      </c>
      <c r="BU90" s="7"/>
      <c r="BV90" s="7"/>
      <c r="BW90" s="7"/>
      <c r="BX90" s="7"/>
    </row>
    <row r="91" spans="2:76" x14ac:dyDescent="0.25">
      <c r="B91" s="3" t="s">
        <v>336</v>
      </c>
      <c r="C91" s="3" t="s">
        <v>436</v>
      </c>
      <c r="D91" s="3" t="s">
        <v>1</v>
      </c>
      <c r="E91" s="3" t="s">
        <v>1062</v>
      </c>
      <c r="F91" s="3" t="s">
        <v>104</v>
      </c>
      <c r="G91" s="3" t="s">
        <v>913</v>
      </c>
      <c r="H91" s="3" t="s">
        <v>197</v>
      </c>
      <c r="I91" s="3" t="s">
        <v>24</v>
      </c>
      <c r="J91" s="3">
        <v>16</v>
      </c>
      <c r="K91" s="3" t="s">
        <v>23</v>
      </c>
      <c r="L91" s="3" t="s">
        <v>23</v>
      </c>
      <c r="M91" s="3">
        <v>452</v>
      </c>
      <c r="N91" s="3" t="str">
        <f t="shared" si="116"/>
        <v>1C4</v>
      </c>
      <c r="O91" s="3">
        <v>31</v>
      </c>
      <c r="P91" s="3">
        <v>16</v>
      </c>
      <c r="Q91" s="3" t="str">
        <f t="shared" si="89"/>
        <v>X</v>
      </c>
      <c r="R91" s="3" t="str">
        <f t="shared" si="95"/>
        <v>X</v>
      </c>
      <c r="S91" s="3" t="str">
        <f t="shared" si="95"/>
        <v>X</v>
      </c>
      <c r="T91" s="3" t="str">
        <f t="shared" si="95"/>
        <v>X</v>
      </c>
      <c r="U91" s="3" t="str">
        <f t="shared" si="95"/>
        <v>X</v>
      </c>
      <c r="V91" s="3" t="str">
        <f t="shared" si="95"/>
        <v>X</v>
      </c>
      <c r="W91" s="3" t="str">
        <f t="shared" si="95"/>
        <v>X</v>
      </c>
      <c r="X91" s="3" t="str">
        <f t="shared" si="95"/>
        <v>X</v>
      </c>
      <c r="Y91" s="3" t="str">
        <f t="shared" si="95"/>
        <v>X</v>
      </c>
      <c r="Z91" s="3" t="str">
        <f t="shared" si="95"/>
        <v>X</v>
      </c>
      <c r="AA91" s="3" t="str">
        <f t="shared" si="95"/>
        <v>X</v>
      </c>
      <c r="AB91" s="3" t="str">
        <f t="shared" si="95"/>
        <v>X</v>
      </c>
      <c r="AC91" s="3" t="str">
        <f t="shared" si="95"/>
        <v>X</v>
      </c>
      <c r="AD91" s="3" t="str">
        <f t="shared" si="95"/>
        <v>X</v>
      </c>
      <c r="AE91" s="3" t="str">
        <f t="shared" si="95"/>
        <v>X</v>
      </c>
      <c r="AF91" s="3" t="str">
        <f t="shared" si="95"/>
        <v>X</v>
      </c>
      <c r="AG91" s="3" t="str">
        <f t="shared" si="95"/>
        <v/>
      </c>
      <c r="AH91" s="3" t="str">
        <f t="shared" si="94"/>
        <v/>
      </c>
      <c r="AI91" s="3" t="str">
        <f t="shared" si="94"/>
        <v/>
      </c>
      <c r="AJ91" s="3" t="str">
        <f t="shared" si="94"/>
        <v/>
      </c>
      <c r="AK91" s="3" t="str">
        <f t="shared" si="94"/>
        <v/>
      </c>
      <c r="AL91" s="3" t="str">
        <f t="shared" si="94"/>
        <v/>
      </c>
      <c r="AM91" s="3" t="str">
        <f t="shared" si="94"/>
        <v/>
      </c>
      <c r="AN91" s="3" t="str">
        <f t="shared" si="94"/>
        <v/>
      </c>
      <c r="AO91" s="3" t="str">
        <f t="shared" si="94"/>
        <v/>
      </c>
      <c r="AP91" s="3" t="str">
        <f t="shared" si="94"/>
        <v/>
      </c>
      <c r="AQ91" s="3" t="str">
        <f t="shared" si="94"/>
        <v/>
      </c>
      <c r="AR91" s="3" t="str">
        <f t="shared" si="94"/>
        <v/>
      </c>
      <c r="AS91" s="3" t="str">
        <f t="shared" si="94"/>
        <v/>
      </c>
      <c r="AT91" s="3" t="str">
        <f t="shared" si="94"/>
        <v/>
      </c>
      <c r="AU91" s="3" t="str">
        <f t="shared" si="94"/>
        <v/>
      </c>
      <c r="AV91" s="3" t="str">
        <f t="shared" si="94"/>
        <v/>
      </c>
      <c r="AW91" s="3" t="str">
        <f t="shared" si="90"/>
        <v>X</v>
      </c>
      <c r="AX91" s="3" t="str">
        <f t="shared" si="91"/>
        <v>X</v>
      </c>
      <c r="AY91" s="3" t="str">
        <f t="shared" si="92"/>
        <v/>
      </c>
      <c r="AZ91" s="3" t="str">
        <f t="shared" si="93"/>
        <v/>
      </c>
      <c r="BA91" s="3">
        <f t="shared" si="96"/>
        <v>1808</v>
      </c>
      <c r="BB91" s="3">
        <f t="shared" si="97"/>
        <v>1809</v>
      </c>
      <c r="BC91" s="3" t="str">
        <f t="shared" si="98"/>
        <v/>
      </c>
      <c r="BD91" s="3" t="str">
        <f t="shared" si="99"/>
        <v/>
      </c>
      <c r="BE91" s="9" t="str">
        <f t="shared" si="100"/>
        <v>710</v>
      </c>
      <c r="BF91" s="9" t="str">
        <f t="shared" si="101"/>
        <v>711</v>
      </c>
      <c r="BG91" s="9" t="str">
        <f t="shared" si="102"/>
        <v/>
      </c>
      <c r="BH91" s="9" t="str">
        <f t="shared" si="103"/>
        <v/>
      </c>
      <c r="BI91" s="3" t="str">
        <f t="shared" si="104"/>
        <v/>
      </c>
      <c r="BJ91" s="3" t="str">
        <f t="shared" si="105"/>
        <v/>
      </c>
      <c r="BK91" s="3" t="str">
        <f t="shared" si="106"/>
        <v/>
      </c>
      <c r="BL91" s="3" t="str">
        <f t="shared" si="107"/>
        <v/>
      </c>
      <c r="BM91" s="3">
        <f t="shared" si="108"/>
        <v>15</v>
      </c>
      <c r="BN91" s="3">
        <f t="shared" si="109"/>
        <v>7</v>
      </c>
      <c r="BO91" s="3" t="str">
        <f t="shared" si="110"/>
        <v/>
      </c>
      <c r="BP91" s="3" t="str">
        <f t="shared" si="111"/>
        <v/>
      </c>
      <c r="BQ91" s="3" t="str">
        <f t="shared" si="112"/>
        <v>(15 downto 8)</v>
      </c>
      <c r="BR91" s="3" t="str">
        <f t="shared" si="113"/>
        <v>(7 downto 0)</v>
      </c>
      <c r="BS91" s="3" t="str">
        <f t="shared" si="114"/>
        <v/>
      </c>
      <c r="BT91" s="3" t="str">
        <f t="shared" si="115"/>
        <v/>
      </c>
    </row>
    <row r="92" spans="2:76" x14ac:dyDescent="0.25">
      <c r="B92" s="3" t="s">
        <v>336</v>
      </c>
      <c r="C92" s="3" t="s">
        <v>437</v>
      </c>
      <c r="D92" s="3" t="s">
        <v>1</v>
      </c>
      <c r="E92" s="3" t="s">
        <v>1062</v>
      </c>
      <c r="F92" s="3" t="s">
        <v>104</v>
      </c>
      <c r="G92" s="3" t="s">
        <v>913</v>
      </c>
      <c r="H92" s="3" t="s">
        <v>198</v>
      </c>
      <c r="I92" s="3" t="s">
        <v>24</v>
      </c>
      <c r="J92" s="3">
        <v>16</v>
      </c>
      <c r="K92" s="3" t="s">
        <v>23</v>
      </c>
      <c r="L92" s="3" t="s">
        <v>23</v>
      </c>
      <c r="M92" s="3">
        <v>452</v>
      </c>
      <c r="N92" s="3" t="str">
        <f t="shared" si="116"/>
        <v>1C4</v>
      </c>
      <c r="O92" s="3">
        <v>15</v>
      </c>
      <c r="P92" s="3">
        <v>0</v>
      </c>
      <c r="Q92" s="3" t="str">
        <f t="shared" si="89"/>
        <v/>
      </c>
      <c r="R92" s="3" t="str">
        <f t="shared" si="95"/>
        <v/>
      </c>
      <c r="S92" s="3" t="str">
        <f t="shared" si="95"/>
        <v/>
      </c>
      <c r="T92" s="3" t="str">
        <f t="shared" si="95"/>
        <v/>
      </c>
      <c r="U92" s="3" t="str">
        <f t="shared" si="95"/>
        <v/>
      </c>
      <c r="V92" s="3" t="str">
        <f t="shared" si="95"/>
        <v/>
      </c>
      <c r="W92" s="3" t="str">
        <f t="shared" si="95"/>
        <v/>
      </c>
      <c r="X92" s="3" t="str">
        <f t="shared" si="95"/>
        <v/>
      </c>
      <c r="Y92" s="3" t="str">
        <f t="shared" si="95"/>
        <v/>
      </c>
      <c r="Z92" s="3" t="str">
        <f t="shared" si="95"/>
        <v/>
      </c>
      <c r="AA92" s="3" t="str">
        <f t="shared" si="95"/>
        <v/>
      </c>
      <c r="AB92" s="3" t="str">
        <f t="shared" si="95"/>
        <v/>
      </c>
      <c r="AC92" s="3" t="str">
        <f t="shared" si="95"/>
        <v/>
      </c>
      <c r="AD92" s="3" t="str">
        <f t="shared" si="95"/>
        <v/>
      </c>
      <c r="AE92" s="3" t="str">
        <f t="shared" si="95"/>
        <v/>
      </c>
      <c r="AF92" s="3" t="str">
        <f t="shared" si="95"/>
        <v/>
      </c>
      <c r="AG92" s="3" t="str">
        <f t="shared" si="95"/>
        <v>X</v>
      </c>
      <c r="AH92" s="3" t="str">
        <f t="shared" ref="AH92:AV155" si="117">IF(AND($O92&gt;=AH$3,AH$3&gt;=$P92),"X","")</f>
        <v>X</v>
      </c>
      <c r="AI92" s="3" t="str">
        <f t="shared" si="117"/>
        <v>X</v>
      </c>
      <c r="AJ92" s="3" t="str">
        <f t="shared" si="117"/>
        <v>X</v>
      </c>
      <c r="AK92" s="3" t="str">
        <f t="shared" si="117"/>
        <v>X</v>
      </c>
      <c r="AL92" s="3" t="str">
        <f t="shared" si="117"/>
        <v>X</v>
      </c>
      <c r="AM92" s="3" t="str">
        <f t="shared" si="117"/>
        <v>X</v>
      </c>
      <c r="AN92" s="3" t="str">
        <f t="shared" si="117"/>
        <v>X</v>
      </c>
      <c r="AO92" s="3" t="str">
        <f t="shared" si="117"/>
        <v>X</v>
      </c>
      <c r="AP92" s="3" t="str">
        <f t="shared" si="117"/>
        <v>X</v>
      </c>
      <c r="AQ92" s="3" t="str">
        <f t="shared" si="117"/>
        <v>X</v>
      </c>
      <c r="AR92" s="3" t="str">
        <f t="shared" si="117"/>
        <v>X</v>
      </c>
      <c r="AS92" s="3" t="str">
        <f t="shared" si="117"/>
        <v>X</v>
      </c>
      <c r="AT92" s="3" t="str">
        <f t="shared" si="117"/>
        <v>X</v>
      </c>
      <c r="AU92" s="3" t="str">
        <f t="shared" si="117"/>
        <v>X</v>
      </c>
      <c r="AV92" s="3" t="str">
        <f t="shared" si="117"/>
        <v>X</v>
      </c>
      <c r="AW92" s="3" t="str">
        <f t="shared" si="90"/>
        <v/>
      </c>
      <c r="AX92" s="3" t="str">
        <f t="shared" si="91"/>
        <v/>
      </c>
      <c r="AY92" s="3" t="str">
        <f t="shared" si="92"/>
        <v>X</v>
      </c>
      <c r="AZ92" s="3" t="str">
        <f t="shared" si="93"/>
        <v>X</v>
      </c>
      <c r="BA92" s="3" t="str">
        <f t="shared" si="96"/>
        <v/>
      </c>
      <c r="BB92" s="3" t="str">
        <f t="shared" si="97"/>
        <v/>
      </c>
      <c r="BC92" s="3">
        <f t="shared" si="98"/>
        <v>1810</v>
      </c>
      <c r="BD92" s="3">
        <f t="shared" si="99"/>
        <v>1811</v>
      </c>
      <c r="BE92" s="9" t="str">
        <f t="shared" si="100"/>
        <v/>
      </c>
      <c r="BF92" s="9" t="str">
        <f t="shared" si="101"/>
        <v/>
      </c>
      <c r="BG92" s="9" t="str">
        <f t="shared" si="102"/>
        <v>712</v>
      </c>
      <c r="BH92" s="9" t="str">
        <f t="shared" si="103"/>
        <v>713</v>
      </c>
      <c r="BI92" s="3" t="str">
        <f t="shared" si="104"/>
        <v/>
      </c>
      <c r="BJ92" s="3" t="str">
        <f t="shared" si="105"/>
        <v/>
      </c>
      <c r="BK92" s="3" t="str">
        <f t="shared" si="106"/>
        <v/>
      </c>
      <c r="BL92" s="3" t="str">
        <f t="shared" si="107"/>
        <v/>
      </c>
      <c r="BM92" s="3" t="str">
        <f t="shared" si="108"/>
        <v/>
      </c>
      <c r="BN92" s="3" t="str">
        <f t="shared" si="109"/>
        <v/>
      </c>
      <c r="BO92" s="3">
        <f t="shared" si="110"/>
        <v>15</v>
      </c>
      <c r="BP92" s="3">
        <f t="shared" si="111"/>
        <v>7</v>
      </c>
      <c r="BQ92" s="3" t="str">
        <f t="shared" si="112"/>
        <v/>
      </c>
      <c r="BR92" s="3" t="str">
        <f t="shared" si="113"/>
        <v/>
      </c>
      <c r="BS92" s="3" t="str">
        <f t="shared" si="114"/>
        <v>(15 downto 8)</v>
      </c>
      <c r="BT92" s="3" t="str">
        <f t="shared" si="115"/>
        <v>(7 downto 0)</v>
      </c>
    </row>
    <row r="93" spans="2:76" s="16" customFormat="1" x14ac:dyDescent="0.25">
      <c r="B93" s="3" t="s">
        <v>337</v>
      </c>
      <c r="C93" s="3" t="s">
        <v>438</v>
      </c>
      <c r="D93" s="3" t="s">
        <v>1</v>
      </c>
      <c r="E93" s="3" t="s">
        <v>1062</v>
      </c>
      <c r="F93" s="3" t="s">
        <v>105</v>
      </c>
      <c r="G93" s="3" t="s">
        <v>914</v>
      </c>
      <c r="H93" s="3" t="s">
        <v>199</v>
      </c>
      <c r="I93" s="3" t="s">
        <v>24</v>
      </c>
      <c r="J93" s="3">
        <v>16</v>
      </c>
      <c r="K93" s="3" t="s">
        <v>23</v>
      </c>
      <c r="L93" s="3" t="s">
        <v>23</v>
      </c>
      <c r="M93" s="3">
        <v>453</v>
      </c>
      <c r="N93" s="3" t="str">
        <f t="shared" si="116"/>
        <v>1C5</v>
      </c>
      <c r="O93" s="3">
        <v>31</v>
      </c>
      <c r="P93" s="3">
        <v>16</v>
      </c>
      <c r="Q93" s="3" t="str">
        <f t="shared" si="89"/>
        <v>X</v>
      </c>
      <c r="R93" s="3" t="str">
        <f t="shared" si="95"/>
        <v>X</v>
      </c>
      <c r="S93" s="3" t="str">
        <f t="shared" si="95"/>
        <v>X</v>
      </c>
      <c r="T93" s="3" t="str">
        <f t="shared" si="95"/>
        <v>X</v>
      </c>
      <c r="U93" s="3" t="str">
        <f t="shared" si="95"/>
        <v>X</v>
      </c>
      <c r="V93" s="3" t="str">
        <f t="shared" si="95"/>
        <v>X</v>
      </c>
      <c r="W93" s="3" t="str">
        <f t="shared" si="95"/>
        <v>X</v>
      </c>
      <c r="X93" s="3" t="str">
        <f t="shared" si="95"/>
        <v>X</v>
      </c>
      <c r="Y93" s="3" t="str">
        <f t="shared" si="95"/>
        <v>X</v>
      </c>
      <c r="Z93" s="3" t="str">
        <f t="shared" si="95"/>
        <v>X</v>
      </c>
      <c r="AA93" s="3" t="str">
        <f t="shared" si="95"/>
        <v>X</v>
      </c>
      <c r="AB93" s="3" t="str">
        <f t="shared" si="95"/>
        <v>X</v>
      </c>
      <c r="AC93" s="3" t="str">
        <f t="shared" si="95"/>
        <v>X</v>
      </c>
      <c r="AD93" s="3" t="str">
        <f t="shared" si="95"/>
        <v>X</v>
      </c>
      <c r="AE93" s="3" t="str">
        <f t="shared" si="95"/>
        <v>X</v>
      </c>
      <c r="AF93" s="3" t="str">
        <f t="shared" si="95"/>
        <v>X</v>
      </c>
      <c r="AG93" s="3" t="str">
        <f t="shared" si="95"/>
        <v/>
      </c>
      <c r="AH93" s="3" t="str">
        <f t="shared" si="117"/>
        <v/>
      </c>
      <c r="AI93" s="3" t="str">
        <f t="shared" si="117"/>
        <v/>
      </c>
      <c r="AJ93" s="3" t="str">
        <f t="shared" si="117"/>
        <v/>
      </c>
      <c r="AK93" s="3" t="str">
        <f t="shared" si="117"/>
        <v/>
      </c>
      <c r="AL93" s="3" t="str">
        <f t="shared" si="117"/>
        <v/>
      </c>
      <c r="AM93" s="3" t="str">
        <f t="shared" si="117"/>
        <v/>
      </c>
      <c r="AN93" s="3" t="str">
        <f t="shared" si="117"/>
        <v/>
      </c>
      <c r="AO93" s="3" t="str">
        <f t="shared" si="117"/>
        <v/>
      </c>
      <c r="AP93" s="3" t="str">
        <f t="shared" si="117"/>
        <v/>
      </c>
      <c r="AQ93" s="3" t="str">
        <f t="shared" si="117"/>
        <v/>
      </c>
      <c r="AR93" s="3" t="str">
        <f t="shared" si="117"/>
        <v/>
      </c>
      <c r="AS93" s="3" t="str">
        <f t="shared" si="117"/>
        <v/>
      </c>
      <c r="AT93" s="3" t="str">
        <f t="shared" si="117"/>
        <v/>
      </c>
      <c r="AU93" s="3" t="str">
        <f t="shared" si="117"/>
        <v/>
      </c>
      <c r="AV93" s="3" t="str">
        <f t="shared" si="117"/>
        <v/>
      </c>
      <c r="AW93" s="3" t="str">
        <f t="shared" si="90"/>
        <v>X</v>
      </c>
      <c r="AX93" s="3" t="str">
        <f t="shared" si="91"/>
        <v>X</v>
      </c>
      <c r="AY93" s="3" t="str">
        <f t="shared" si="92"/>
        <v/>
      </c>
      <c r="AZ93" s="3" t="str">
        <f t="shared" si="93"/>
        <v/>
      </c>
      <c r="BA93" s="3">
        <f t="shared" si="96"/>
        <v>1812</v>
      </c>
      <c r="BB93" s="3">
        <f t="shared" si="97"/>
        <v>1813</v>
      </c>
      <c r="BC93" s="3" t="str">
        <f t="shared" si="98"/>
        <v/>
      </c>
      <c r="BD93" s="3" t="str">
        <f t="shared" si="99"/>
        <v/>
      </c>
      <c r="BE93" s="9" t="str">
        <f t="shared" si="100"/>
        <v>714</v>
      </c>
      <c r="BF93" s="9" t="str">
        <f t="shared" si="101"/>
        <v>715</v>
      </c>
      <c r="BG93" s="9" t="str">
        <f t="shared" si="102"/>
        <v/>
      </c>
      <c r="BH93" s="9" t="str">
        <f t="shared" si="103"/>
        <v/>
      </c>
      <c r="BI93" s="3" t="str">
        <f t="shared" si="104"/>
        <v/>
      </c>
      <c r="BJ93" s="3" t="str">
        <f t="shared" si="105"/>
        <v/>
      </c>
      <c r="BK93" s="3" t="str">
        <f t="shared" si="106"/>
        <v/>
      </c>
      <c r="BL93" s="3" t="str">
        <f t="shared" si="107"/>
        <v/>
      </c>
      <c r="BM93" s="3">
        <f t="shared" si="108"/>
        <v>15</v>
      </c>
      <c r="BN93" s="3">
        <f t="shared" si="109"/>
        <v>7</v>
      </c>
      <c r="BO93" s="3" t="str">
        <f t="shared" si="110"/>
        <v/>
      </c>
      <c r="BP93" s="3" t="str">
        <f t="shared" si="111"/>
        <v/>
      </c>
      <c r="BQ93" s="3" t="str">
        <f t="shared" si="112"/>
        <v>(15 downto 8)</v>
      </c>
      <c r="BR93" s="3" t="str">
        <f t="shared" si="113"/>
        <v>(7 downto 0)</v>
      </c>
      <c r="BS93" s="3" t="str">
        <f t="shared" si="114"/>
        <v/>
      </c>
      <c r="BT93" s="3" t="str">
        <f t="shared" si="115"/>
        <v/>
      </c>
    </row>
    <row r="94" spans="2:76" x14ac:dyDescent="0.25">
      <c r="B94" s="3" t="s">
        <v>337</v>
      </c>
      <c r="C94" s="3" t="s">
        <v>439</v>
      </c>
      <c r="D94" s="3" t="s">
        <v>1</v>
      </c>
      <c r="E94" s="3" t="s">
        <v>1062</v>
      </c>
      <c r="F94" s="3" t="s">
        <v>105</v>
      </c>
      <c r="G94" s="3" t="s">
        <v>914</v>
      </c>
      <c r="H94" s="3" t="s">
        <v>200</v>
      </c>
      <c r="I94" s="3" t="s">
        <v>24</v>
      </c>
      <c r="J94" s="3">
        <v>16</v>
      </c>
      <c r="K94" s="3" t="s">
        <v>23</v>
      </c>
      <c r="L94" s="3" t="s">
        <v>23</v>
      </c>
      <c r="M94" s="3">
        <v>453</v>
      </c>
      <c r="N94" s="3" t="str">
        <f t="shared" si="116"/>
        <v>1C5</v>
      </c>
      <c r="O94" s="3">
        <v>15</v>
      </c>
      <c r="P94" s="3">
        <v>0</v>
      </c>
      <c r="Q94" s="3" t="str">
        <f t="shared" si="89"/>
        <v/>
      </c>
      <c r="R94" s="3" t="str">
        <f t="shared" si="95"/>
        <v/>
      </c>
      <c r="S94" s="3" t="str">
        <f t="shared" si="95"/>
        <v/>
      </c>
      <c r="T94" s="3" t="str">
        <f t="shared" si="95"/>
        <v/>
      </c>
      <c r="U94" s="3" t="str">
        <f t="shared" si="95"/>
        <v/>
      </c>
      <c r="V94" s="3" t="str">
        <f t="shared" si="95"/>
        <v/>
      </c>
      <c r="W94" s="3" t="str">
        <f t="shared" si="95"/>
        <v/>
      </c>
      <c r="X94" s="3" t="str">
        <f t="shared" si="95"/>
        <v/>
      </c>
      <c r="Y94" s="3" t="str">
        <f t="shared" si="95"/>
        <v/>
      </c>
      <c r="Z94" s="3" t="str">
        <f t="shared" si="95"/>
        <v/>
      </c>
      <c r="AA94" s="3" t="str">
        <f t="shared" si="95"/>
        <v/>
      </c>
      <c r="AB94" s="3" t="str">
        <f t="shared" si="95"/>
        <v/>
      </c>
      <c r="AC94" s="3" t="str">
        <f t="shared" si="95"/>
        <v/>
      </c>
      <c r="AD94" s="3" t="str">
        <f t="shared" ref="R94:AG157" si="118">IF(AND($O94&gt;=AD$3,AD$3&gt;=$P94),"X","")</f>
        <v/>
      </c>
      <c r="AE94" s="3" t="str">
        <f t="shared" si="118"/>
        <v/>
      </c>
      <c r="AF94" s="3" t="str">
        <f t="shared" si="118"/>
        <v/>
      </c>
      <c r="AG94" s="3" t="str">
        <f t="shared" si="118"/>
        <v>X</v>
      </c>
      <c r="AH94" s="3" t="str">
        <f t="shared" si="117"/>
        <v>X</v>
      </c>
      <c r="AI94" s="3" t="str">
        <f t="shared" si="117"/>
        <v>X</v>
      </c>
      <c r="AJ94" s="3" t="str">
        <f t="shared" si="117"/>
        <v>X</v>
      </c>
      <c r="AK94" s="3" t="str">
        <f t="shared" si="117"/>
        <v>X</v>
      </c>
      <c r="AL94" s="3" t="str">
        <f t="shared" si="117"/>
        <v>X</v>
      </c>
      <c r="AM94" s="3" t="str">
        <f t="shared" si="117"/>
        <v>X</v>
      </c>
      <c r="AN94" s="3" t="str">
        <f t="shared" si="117"/>
        <v>X</v>
      </c>
      <c r="AO94" s="3" t="str">
        <f t="shared" si="117"/>
        <v>X</v>
      </c>
      <c r="AP94" s="3" t="str">
        <f t="shared" si="117"/>
        <v>X</v>
      </c>
      <c r="AQ94" s="3" t="str">
        <f t="shared" si="117"/>
        <v>X</v>
      </c>
      <c r="AR94" s="3" t="str">
        <f t="shared" si="117"/>
        <v>X</v>
      </c>
      <c r="AS94" s="3" t="str">
        <f t="shared" si="117"/>
        <v>X</v>
      </c>
      <c r="AT94" s="3" t="str">
        <f t="shared" si="117"/>
        <v>X</v>
      </c>
      <c r="AU94" s="3" t="str">
        <f t="shared" si="117"/>
        <v>X</v>
      </c>
      <c r="AV94" s="3" t="str">
        <f t="shared" si="117"/>
        <v>X</v>
      </c>
      <c r="AW94" s="3" t="str">
        <f t="shared" si="90"/>
        <v/>
      </c>
      <c r="AX94" s="3" t="str">
        <f t="shared" si="91"/>
        <v/>
      </c>
      <c r="AY94" s="3" t="str">
        <f t="shared" si="92"/>
        <v>X</v>
      </c>
      <c r="AZ94" s="3" t="str">
        <f t="shared" si="93"/>
        <v>X</v>
      </c>
      <c r="BA94" s="3" t="str">
        <f t="shared" si="96"/>
        <v/>
      </c>
      <c r="BB94" s="3" t="str">
        <f t="shared" si="97"/>
        <v/>
      </c>
      <c r="BC94" s="3">
        <f t="shared" si="98"/>
        <v>1814</v>
      </c>
      <c r="BD94" s="3">
        <f t="shared" si="99"/>
        <v>1815</v>
      </c>
      <c r="BE94" s="9" t="str">
        <f t="shared" si="100"/>
        <v/>
      </c>
      <c r="BF94" s="9" t="str">
        <f t="shared" si="101"/>
        <v/>
      </c>
      <c r="BG94" s="9" t="str">
        <f t="shared" si="102"/>
        <v>716</v>
      </c>
      <c r="BH94" s="9" t="str">
        <f t="shared" si="103"/>
        <v>717</v>
      </c>
      <c r="BI94" s="3" t="str">
        <f t="shared" si="104"/>
        <v/>
      </c>
      <c r="BJ94" s="3" t="str">
        <f t="shared" si="105"/>
        <v/>
      </c>
      <c r="BK94" s="3" t="str">
        <f t="shared" si="106"/>
        <v/>
      </c>
      <c r="BL94" s="3" t="str">
        <f t="shared" si="107"/>
        <v/>
      </c>
      <c r="BM94" s="3" t="str">
        <f t="shared" si="108"/>
        <v/>
      </c>
      <c r="BN94" s="3" t="str">
        <f t="shared" si="109"/>
        <v/>
      </c>
      <c r="BO94" s="3">
        <f t="shared" si="110"/>
        <v>15</v>
      </c>
      <c r="BP94" s="3">
        <f t="shared" si="111"/>
        <v>7</v>
      </c>
      <c r="BQ94" s="3" t="str">
        <f t="shared" si="112"/>
        <v/>
      </c>
      <c r="BR94" s="3" t="str">
        <f t="shared" si="113"/>
        <v/>
      </c>
      <c r="BS94" s="3" t="str">
        <f t="shared" si="114"/>
        <v>(15 downto 8)</v>
      </c>
      <c r="BT94" s="3" t="str">
        <f t="shared" si="115"/>
        <v>(7 downto 0)</v>
      </c>
    </row>
    <row r="95" spans="2:76" x14ac:dyDescent="0.25">
      <c r="B95" s="3" t="s">
        <v>338</v>
      </c>
      <c r="C95" s="3" t="s">
        <v>440</v>
      </c>
      <c r="D95" s="3" t="s">
        <v>1</v>
      </c>
      <c r="E95" s="3" t="s">
        <v>1062</v>
      </c>
      <c r="F95" s="3" t="s">
        <v>106</v>
      </c>
      <c r="G95" s="3" t="s">
        <v>915</v>
      </c>
      <c r="H95" s="3" t="s">
        <v>201</v>
      </c>
      <c r="I95" s="3" t="s">
        <v>24</v>
      </c>
      <c r="J95" s="3">
        <v>16</v>
      </c>
      <c r="K95" s="3" t="s">
        <v>23</v>
      </c>
      <c r="L95" s="3" t="s">
        <v>23</v>
      </c>
      <c r="M95" s="3">
        <v>454</v>
      </c>
      <c r="N95" s="3" t="str">
        <f t="shared" si="116"/>
        <v>1C6</v>
      </c>
      <c r="O95" s="3">
        <v>31</v>
      </c>
      <c r="P95" s="3">
        <v>16</v>
      </c>
      <c r="Q95" s="3" t="str">
        <f t="shared" si="89"/>
        <v>X</v>
      </c>
      <c r="R95" s="3" t="str">
        <f t="shared" si="118"/>
        <v>X</v>
      </c>
      <c r="S95" s="3" t="str">
        <f t="shared" si="118"/>
        <v>X</v>
      </c>
      <c r="T95" s="3" t="str">
        <f t="shared" si="118"/>
        <v>X</v>
      </c>
      <c r="U95" s="3" t="str">
        <f t="shared" si="118"/>
        <v>X</v>
      </c>
      <c r="V95" s="3" t="str">
        <f t="shared" si="118"/>
        <v>X</v>
      </c>
      <c r="W95" s="3" t="str">
        <f t="shared" si="118"/>
        <v>X</v>
      </c>
      <c r="X95" s="3" t="str">
        <f t="shared" si="118"/>
        <v>X</v>
      </c>
      <c r="Y95" s="3" t="str">
        <f t="shared" si="118"/>
        <v>X</v>
      </c>
      <c r="Z95" s="3" t="str">
        <f t="shared" si="118"/>
        <v>X</v>
      </c>
      <c r="AA95" s="3" t="str">
        <f t="shared" si="118"/>
        <v>X</v>
      </c>
      <c r="AB95" s="3" t="str">
        <f t="shared" si="118"/>
        <v>X</v>
      </c>
      <c r="AC95" s="3" t="str">
        <f t="shared" si="118"/>
        <v>X</v>
      </c>
      <c r="AD95" s="3" t="str">
        <f t="shared" si="118"/>
        <v>X</v>
      </c>
      <c r="AE95" s="3" t="str">
        <f t="shared" si="118"/>
        <v>X</v>
      </c>
      <c r="AF95" s="3" t="str">
        <f t="shared" si="118"/>
        <v>X</v>
      </c>
      <c r="AG95" s="3" t="str">
        <f t="shared" si="118"/>
        <v/>
      </c>
      <c r="AH95" s="3" t="str">
        <f t="shared" si="117"/>
        <v/>
      </c>
      <c r="AI95" s="3" t="str">
        <f t="shared" si="117"/>
        <v/>
      </c>
      <c r="AJ95" s="3" t="str">
        <f t="shared" si="117"/>
        <v/>
      </c>
      <c r="AK95" s="3" t="str">
        <f t="shared" si="117"/>
        <v/>
      </c>
      <c r="AL95" s="3" t="str">
        <f t="shared" si="117"/>
        <v/>
      </c>
      <c r="AM95" s="3" t="str">
        <f t="shared" si="117"/>
        <v/>
      </c>
      <c r="AN95" s="3" t="str">
        <f t="shared" si="117"/>
        <v/>
      </c>
      <c r="AO95" s="3" t="str">
        <f t="shared" si="117"/>
        <v/>
      </c>
      <c r="AP95" s="3" t="str">
        <f t="shared" si="117"/>
        <v/>
      </c>
      <c r="AQ95" s="3" t="str">
        <f t="shared" si="117"/>
        <v/>
      </c>
      <c r="AR95" s="3" t="str">
        <f t="shared" si="117"/>
        <v/>
      </c>
      <c r="AS95" s="3" t="str">
        <f t="shared" si="117"/>
        <v/>
      </c>
      <c r="AT95" s="3" t="str">
        <f t="shared" si="117"/>
        <v/>
      </c>
      <c r="AU95" s="3" t="str">
        <f t="shared" si="117"/>
        <v/>
      </c>
      <c r="AV95" s="3" t="str">
        <f t="shared" si="117"/>
        <v/>
      </c>
      <c r="AW95" s="3" t="str">
        <f t="shared" si="90"/>
        <v>X</v>
      </c>
      <c r="AX95" s="3" t="str">
        <f t="shared" si="91"/>
        <v>X</v>
      </c>
      <c r="AY95" s="3" t="str">
        <f t="shared" si="92"/>
        <v/>
      </c>
      <c r="AZ95" s="3" t="str">
        <f t="shared" si="93"/>
        <v/>
      </c>
      <c r="BA95" s="3">
        <f t="shared" si="96"/>
        <v>1816</v>
      </c>
      <c r="BB95" s="3">
        <f t="shared" si="97"/>
        <v>1817</v>
      </c>
      <c r="BC95" s="3" t="str">
        <f t="shared" si="98"/>
        <v/>
      </c>
      <c r="BD95" s="3" t="str">
        <f t="shared" si="99"/>
        <v/>
      </c>
      <c r="BE95" s="9" t="str">
        <f t="shared" si="100"/>
        <v>718</v>
      </c>
      <c r="BF95" s="9" t="str">
        <f t="shared" si="101"/>
        <v>719</v>
      </c>
      <c r="BG95" s="9" t="str">
        <f t="shared" si="102"/>
        <v/>
      </c>
      <c r="BH95" s="9" t="str">
        <f t="shared" si="103"/>
        <v/>
      </c>
      <c r="BI95" s="3" t="str">
        <f t="shared" si="104"/>
        <v/>
      </c>
      <c r="BJ95" s="3" t="str">
        <f t="shared" si="105"/>
        <v/>
      </c>
      <c r="BK95" s="3" t="str">
        <f t="shared" si="106"/>
        <v/>
      </c>
      <c r="BL95" s="3" t="str">
        <f t="shared" si="107"/>
        <v/>
      </c>
      <c r="BM95" s="3">
        <f t="shared" si="108"/>
        <v>15</v>
      </c>
      <c r="BN95" s="3">
        <f t="shared" si="109"/>
        <v>7</v>
      </c>
      <c r="BO95" s="3" t="str">
        <f t="shared" si="110"/>
        <v/>
      </c>
      <c r="BP95" s="3" t="str">
        <f t="shared" si="111"/>
        <v/>
      </c>
      <c r="BQ95" s="3" t="str">
        <f t="shared" si="112"/>
        <v>(15 downto 8)</v>
      </c>
      <c r="BR95" s="3" t="str">
        <f t="shared" si="113"/>
        <v>(7 downto 0)</v>
      </c>
      <c r="BS95" s="3" t="str">
        <f t="shared" si="114"/>
        <v/>
      </c>
      <c r="BT95" s="3" t="str">
        <f t="shared" si="115"/>
        <v/>
      </c>
    </row>
    <row r="96" spans="2:76" x14ac:dyDescent="0.25">
      <c r="B96" s="3" t="s">
        <v>338</v>
      </c>
      <c r="C96" s="3" t="s">
        <v>441</v>
      </c>
      <c r="D96" s="3" t="s">
        <v>1</v>
      </c>
      <c r="E96" s="3" t="s">
        <v>1062</v>
      </c>
      <c r="F96" s="3" t="s">
        <v>106</v>
      </c>
      <c r="G96" s="3" t="s">
        <v>915</v>
      </c>
      <c r="H96" s="3" t="s">
        <v>202</v>
      </c>
      <c r="I96" s="3" t="s">
        <v>24</v>
      </c>
      <c r="J96" s="3">
        <v>16</v>
      </c>
      <c r="K96" s="3" t="s">
        <v>23</v>
      </c>
      <c r="L96" s="3" t="s">
        <v>23</v>
      </c>
      <c r="M96" s="3">
        <v>454</v>
      </c>
      <c r="N96" s="3" t="str">
        <f t="shared" si="116"/>
        <v>1C6</v>
      </c>
      <c r="O96" s="3">
        <v>15</v>
      </c>
      <c r="P96" s="3">
        <v>0</v>
      </c>
      <c r="Q96" s="3" t="str">
        <f t="shared" si="89"/>
        <v/>
      </c>
      <c r="R96" s="3" t="str">
        <f t="shared" si="118"/>
        <v/>
      </c>
      <c r="S96" s="3" t="str">
        <f t="shared" si="118"/>
        <v/>
      </c>
      <c r="T96" s="3" t="str">
        <f t="shared" si="118"/>
        <v/>
      </c>
      <c r="U96" s="3" t="str">
        <f t="shared" si="118"/>
        <v/>
      </c>
      <c r="V96" s="3" t="str">
        <f t="shared" si="118"/>
        <v/>
      </c>
      <c r="W96" s="3" t="str">
        <f t="shared" si="118"/>
        <v/>
      </c>
      <c r="X96" s="3" t="str">
        <f t="shared" si="118"/>
        <v/>
      </c>
      <c r="Y96" s="3" t="str">
        <f t="shared" si="118"/>
        <v/>
      </c>
      <c r="Z96" s="3" t="str">
        <f t="shared" si="118"/>
        <v/>
      </c>
      <c r="AA96" s="3" t="str">
        <f t="shared" si="118"/>
        <v/>
      </c>
      <c r="AB96" s="3" t="str">
        <f t="shared" si="118"/>
        <v/>
      </c>
      <c r="AC96" s="3" t="str">
        <f t="shared" si="118"/>
        <v/>
      </c>
      <c r="AD96" s="3" t="str">
        <f t="shared" si="118"/>
        <v/>
      </c>
      <c r="AE96" s="3" t="str">
        <f t="shared" si="118"/>
        <v/>
      </c>
      <c r="AF96" s="3" t="str">
        <f t="shared" si="118"/>
        <v/>
      </c>
      <c r="AG96" s="3" t="str">
        <f t="shared" si="118"/>
        <v>X</v>
      </c>
      <c r="AH96" s="3" t="str">
        <f t="shared" si="117"/>
        <v>X</v>
      </c>
      <c r="AI96" s="3" t="str">
        <f t="shared" si="117"/>
        <v>X</v>
      </c>
      <c r="AJ96" s="3" t="str">
        <f t="shared" si="117"/>
        <v>X</v>
      </c>
      <c r="AK96" s="3" t="str">
        <f t="shared" si="117"/>
        <v>X</v>
      </c>
      <c r="AL96" s="3" t="str">
        <f t="shared" si="117"/>
        <v>X</v>
      </c>
      <c r="AM96" s="3" t="str">
        <f t="shared" si="117"/>
        <v>X</v>
      </c>
      <c r="AN96" s="3" t="str">
        <f t="shared" si="117"/>
        <v>X</v>
      </c>
      <c r="AO96" s="3" t="str">
        <f t="shared" si="117"/>
        <v>X</v>
      </c>
      <c r="AP96" s="3" t="str">
        <f t="shared" si="117"/>
        <v>X</v>
      </c>
      <c r="AQ96" s="3" t="str">
        <f t="shared" si="117"/>
        <v>X</v>
      </c>
      <c r="AR96" s="3" t="str">
        <f t="shared" si="117"/>
        <v>X</v>
      </c>
      <c r="AS96" s="3" t="str">
        <f t="shared" si="117"/>
        <v>X</v>
      </c>
      <c r="AT96" s="3" t="str">
        <f t="shared" si="117"/>
        <v>X</v>
      </c>
      <c r="AU96" s="3" t="str">
        <f t="shared" si="117"/>
        <v>X</v>
      </c>
      <c r="AV96" s="3" t="str">
        <f t="shared" si="117"/>
        <v>X</v>
      </c>
      <c r="AW96" s="3" t="str">
        <f t="shared" si="90"/>
        <v/>
      </c>
      <c r="AX96" s="3" t="str">
        <f t="shared" si="91"/>
        <v/>
      </c>
      <c r="AY96" s="3" t="str">
        <f t="shared" si="92"/>
        <v>X</v>
      </c>
      <c r="AZ96" s="3" t="str">
        <f t="shared" si="93"/>
        <v>X</v>
      </c>
      <c r="BA96" s="3" t="str">
        <f t="shared" si="96"/>
        <v/>
      </c>
      <c r="BB96" s="3" t="str">
        <f t="shared" si="97"/>
        <v/>
      </c>
      <c r="BC96" s="3">
        <f t="shared" si="98"/>
        <v>1818</v>
      </c>
      <c r="BD96" s="3">
        <f t="shared" si="99"/>
        <v>1819</v>
      </c>
      <c r="BE96" s="9" t="str">
        <f t="shared" si="100"/>
        <v/>
      </c>
      <c r="BF96" s="9" t="str">
        <f t="shared" si="101"/>
        <v/>
      </c>
      <c r="BG96" s="9" t="str">
        <f t="shared" si="102"/>
        <v>71A</v>
      </c>
      <c r="BH96" s="9" t="str">
        <f t="shared" si="103"/>
        <v>71B</v>
      </c>
      <c r="BI96" s="3" t="str">
        <f t="shared" si="104"/>
        <v/>
      </c>
      <c r="BJ96" s="3" t="str">
        <f t="shared" si="105"/>
        <v/>
      </c>
      <c r="BK96" s="3" t="str">
        <f t="shared" si="106"/>
        <v/>
      </c>
      <c r="BL96" s="3" t="str">
        <f t="shared" si="107"/>
        <v/>
      </c>
      <c r="BM96" s="3" t="str">
        <f t="shared" si="108"/>
        <v/>
      </c>
      <c r="BN96" s="3" t="str">
        <f t="shared" si="109"/>
        <v/>
      </c>
      <c r="BO96" s="3">
        <f t="shared" si="110"/>
        <v>15</v>
      </c>
      <c r="BP96" s="3">
        <f t="shared" si="111"/>
        <v>7</v>
      </c>
      <c r="BQ96" s="3" t="str">
        <f t="shared" si="112"/>
        <v/>
      </c>
      <c r="BR96" s="3" t="str">
        <f t="shared" si="113"/>
        <v/>
      </c>
      <c r="BS96" s="3" t="str">
        <f t="shared" si="114"/>
        <v>(15 downto 8)</v>
      </c>
      <c r="BT96" s="3" t="str">
        <f t="shared" si="115"/>
        <v>(7 downto 0)</v>
      </c>
    </row>
    <row r="97" spans="2:72" x14ac:dyDescent="0.25">
      <c r="B97" s="3" t="s">
        <v>339</v>
      </c>
      <c r="C97" s="3" t="s">
        <v>442</v>
      </c>
      <c r="D97" s="3" t="s">
        <v>1</v>
      </c>
      <c r="E97" s="3" t="s">
        <v>1062</v>
      </c>
      <c r="F97" s="3" t="s">
        <v>107</v>
      </c>
      <c r="G97" s="3" t="s">
        <v>916</v>
      </c>
      <c r="H97" s="3" t="s">
        <v>203</v>
      </c>
      <c r="I97" s="3" t="s">
        <v>24</v>
      </c>
      <c r="J97" s="3">
        <v>16</v>
      </c>
      <c r="K97" s="3" t="s">
        <v>23</v>
      </c>
      <c r="L97" s="3" t="s">
        <v>23</v>
      </c>
      <c r="M97" s="3">
        <v>455</v>
      </c>
      <c r="N97" s="3" t="str">
        <f t="shared" si="116"/>
        <v>1C7</v>
      </c>
      <c r="O97" s="3">
        <v>31</v>
      </c>
      <c r="P97" s="3">
        <v>16</v>
      </c>
      <c r="Q97" s="3" t="str">
        <f t="shared" si="89"/>
        <v>X</v>
      </c>
      <c r="R97" s="3" t="str">
        <f t="shared" si="118"/>
        <v>X</v>
      </c>
      <c r="S97" s="3" t="str">
        <f t="shared" si="118"/>
        <v>X</v>
      </c>
      <c r="T97" s="3" t="str">
        <f t="shared" si="118"/>
        <v>X</v>
      </c>
      <c r="U97" s="3" t="str">
        <f t="shared" si="118"/>
        <v>X</v>
      </c>
      <c r="V97" s="3" t="str">
        <f t="shared" si="118"/>
        <v>X</v>
      </c>
      <c r="W97" s="3" t="str">
        <f t="shared" si="118"/>
        <v>X</v>
      </c>
      <c r="X97" s="3" t="str">
        <f t="shared" si="118"/>
        <v>X</v>
      </c>
      <c r="Y97" s="3" t="str">
        <f t="shared" si="118"/>
        <v>X</v>
      </c>
      <c r="Z97" s="3" t="str">
        <f t="shared" si="118"/>
        <v>X</v>
      </c>
      <c r="AA97" s="3" t="str">
        <f t="shared" si="118"/>
        <v>X</v>
      </c>
      <c r="AB97" s="3" t="str">
        <f t="shared" si="118"/>
        <v>X</v>
      </c>
      <c r="AC97" s="3" t="str">
        <f t="shared" si="118"/>
        <v>X</v>
      </c>
      <c r="AD97" s="3" t="str">
        <f t="shared" si="118"/>
        <v>X</v>
      </c>
      <c r="AE97" s="3" t="str">
        <f t="shared" si="118"/>
        <v>X</v>
      </c>
      <c r="AF97" s="3" t="str">
        <f t="shared" si="118"/>
        <v>X</v>
      </c>
      <c r="AG97" s="3" t="str">
        <f t="shared" si="118"/>
        <v/>
      </c>
      <c r="AH97" s="3" t="str">
        <f t="shared" si="117"/>
        <v/>
      </c>
      <c r="AI97" s="3" t="str">
        <f t="shared" si="117"/>
        <v/>
      </c>
      <c r="AJ97" s="3" t="str">
        <f t="shared" si="117"/>
        <v/>
      </c>
      <c r="AK97" s="3" t="str">
        <f t="shared" si="117"/>
        <v/>
      </c>
      <c r="AL97" s="3" t="str">
        <f t="shared" si="117"/>
        <v/>
      </c>
      <c r="AM97" s="3" t="str">
        <f t="shared" si="117"/>
        <v/>
      </c>
      <c r="AN97" s="3" t="str">
        <f t="shared" si="117"/>
        <v/>
      </c>
      <c r="AO97" s="3" t="str">
        <f t="shared" si="117"/>
        <v/>
      </c>
      <c r="AP97" s="3" t="str">
        <f t="shared" si="117"/>
        <v/>
      </c>
      <c r="AQ97" s="3" t="str">
        <f t="shared" si="117"/>
        <v/>
      </c>
      <c r="AR97" s="3" t="str">
        <f t="shared" si="117"/>
        <v/>
      </c>
      <c r="AS97" s="3" t="str">
        <f t="shared" si="117"/>
        <v/>
      </c>
      <c r="AT97" s="3" t="str">
        <f t="shared" si="117"/>
        <v/>
      </c>
      <c r="AU97" s="3" t="str">
        <f t="shared" si="117"/>
        <v/>
      </c>
      <c r="AV97" s="3" t="str">
        <f t="shared" si="117"/>
        <v/>
      </c>
      <c r="AW97" s="3" t="str">
        <f t="shared" si="90"/>
        <v>X</v>
      </c>
      <c r="AX97" s="3" t="str">
        <f t="shared" si="91"/>
        <v>X</v>
      </c>
      <c r="AY97" s="3" t="str">
        <f t="shared" si="92"/>
        <v/>
      </c>
      <c r="AZ97" s="3" t="str">
        <f t="shared" si="93"/>
        <v/>
      </c>
      <c r="BA97" s="3">
        <f t="shared" si="96"/>
        <v>1820</v>
      </c>
      <c r="BB97" s="3">
        <f t="shared" si="97"/>
        <v>1821</v>
      </c>
      <c r="BC97" s="3" t="str">
        <f t="shared" si="98"/>
        <v/>
      </c>
      <c r="BD97" s="3" t="str">
        <f t="shared" si="99"/>
        <v/>
      </c>
      <c r="BE97" s="9" t="str">
        <f t="shared" si="100"/>
        <v>71C</v>
      </c>
      <c r="BF97" s="9" t="str">
        <f t="shared" si="101"/>
        <v>71D</v>
      </c>
      <c r="BG97" s="9" t="str">
        <f t="shared" si="102"/>
        <v/>
      </c>
      <c r="BH97" s="9" t="str">
        <f t="shared" si="103"/>
        <v/>
      </c>
      <c r="BI97" s="3" t="str">
        <f t="shared" si="104"/>
        <v/>
      </c>
      <c r="BJ97" s="3" t="str">
        <f t="shared" si="105"/>
        <v/>
      </c>
      <c r="BK97" s="3" t="str">
        <f t="shared" si="106"/>
        <v/>
      </c>
      <c r="BL97" s="3" t="str">
        <f t="shared" si="107"/>
        <v/>
      </c>
      <c r="BM97" s="3">
        <f t="shared" si="108"/>
        <v>15</v>
      </c>
      <c r="BN97" s="3">
        <f t="shared" si="109"/>
        <v>7</v>
      </c>
      <c r="BO97" s="3" t="str">
        <f t="shared" si="110"/>
        <v/>
      </c>
      <c r="BP97" s="3" t="str">
        <f t="shared" si="111"/>
        <v/>
      </c>
      <c r="BQ97" s="3" t="str">
        <f t="shared" si="112"/>
        <v>(15 downto 8)</v>
      </c>
      <c r="BR97" s="3" t="str">
        <f t="shared" si="113"/>
        <v>(7 downto 0)</v>
      </c>
      <c r="BS97" s="3" t="str">
        <f t="shared" si="114"/>
        <v/>
      </c>
      <c r="BT97" s="3" t="str">
        <f t="shared" si="115"/>
        <v/>
      </c>
    </row>
    <row r="98" spans="2:72" x14ac:dyDescent="0.25">
      <c r="B98" s="3" t="s">
        <v>339</v>
      </c>
      <c r="C98" s="3" t="s">
        <v>443</v>
      </c>
      <c r="D98" s="3" t="s">
        <v>1</v>
      </c>
      <c r="E98" s="3" t="s">
        <v>1062</v>
      </c>
      <c r="F98" s="3" t="s">
        <v>107</v>
      </c>
      <c r="G98" s="3" t="s">
        <v>916</v>
      </c>
      <c r="H98" s="3" t="s">
        <v>204</v>
      </c>
      <c r="I98" s="3" t="s">
        <v>24</v>
      </c>
      <c r="J98" s="3">
        <v>16</v>
      </c>
      <c r="K98" s="3" t="s">
        <v>23</v>
      </c>
      <c r="L98" s="3" t="s">
        <v>23</v>
      </c>
      <c r="M98" s="3">
        <v>455</v>
      </c>
      <c r="N98" s="3" t="str">
        <f t="shared" si="116"/>
        <v>1C7</v>
      </c>
      <c r="O98" s="3">
        <v>15</v>
      </c>
      <c r="P98" s="3">
        <v>0</v>
      </c>
      <c r="Q98" s="3" t="str">
        <f t="shared" si="89"/>
        <v/>
      </c>
      <c r="R98" s="3" t="str">
        <f t="shared" si="118"/>
        <v/>
      </c>
      <c r="S98" s="3" t="str">
        <f t="shared" si="118"/>
        <v/>
      </c>
      <c r="T98" s="3" t="str">
        <f t="shared" si="118"/>
        <v/>
      </c>
      <c r="U98" s="3" t="str">
        <f t="shared" si="118"/>
        <v/>
      </c>
      <c r="V98" s="3" t="str">
        <f t="shared" si="118"/>
        <v/>
      </c>
      <c r="W98" s="3" t="str">
        <f t="shared" si="118"/>
        <v/>
      </c>
      <c r="X98" s="3" t="str">
        <f t="shared" si="118"/>
        <v/>
      </c>
      <c r="Y98" s="3" t="str">
        <f t="shared" si="118"/>
        <v/>
      </c>
      <c r="Z98" s="3" t="str">
        <f t="shared" si="118"/>
        <v/>
      </c>
      <c r="AA98" s="3" t="str">
        <f t="shared" si="118"/>
        <v/>
      </c>
      <c r="AB98" s="3" t="str">
        <f t="shared" si="118"/>
        <v/>
      </c>
      <c r="AC98" s="3" t="str">
        <f t="shared" si="118"/>
        <v/>
      </c>
      <c r="AD98" s="3" t="str">
        <f t="shared" si="118"/>
        <v/>
      </c>
      <c r="AE98" s="3" t="str">
        <f t="shared" si="118"/>
        <v/>
      </c>
      <c r="AF98" s="3" t="str">
        <f t="shared" si="118"/>
        <v/>
      </c>
      <c r="AG98" s="3" t="str">
        <f t="shared" si="118"/>
        <v>X</v>
      </c>
      <c r="AH98" s="3" t="str">
        <f t="shared" si="117"/>
        <v>X</v>
      </c>
      <c r="AI98" s="3" t="str">
        <f t="shared" si="117"/>
        <v>X</v>
      </c>
      <c r="AJ98" s="3" t="str">
        <f t="shared" si="117"/>
        <v>X</v>
      </c>
      <c r="AK98" s="3" t="str">
        <f t="shared" si="117"/>
        <v>X</v>
      </c>
      <c r="AL98" s="3" t="str">
        <f t="shared" si="117"/>
        <v>X</v>
      </c>
      <c r="AM98" s="3" t="str">
        <f t="shared" si="117"/>
        <v>X</v>
      </c>
      <c r="AN98" s="3" t="str">
        <f t="shared" si="117"/>
        <v>X</v>
      </c>
      <c r="AO98" s="3" t="str">
        <f t="shared" si="117"/>
        <v>X</v>
      </c>
      <c r="AP98" s="3" t="str">
        <f t="shared" si="117"/>
        <v>X</v>
      </c>
      <c r="AQ98" s="3" t="str">
        <f t="shared" si="117"/>
        <v>X</v>
      </c>
      <c r="AR98" s="3" t="str">
        <f t="shared" si="117"/>
        <v>X</v>
      </c>
      <c r="AS98" s="3" t="str">
        <f t="shared" si="117"/>
        <v>X</v>
      </c>
      <c r="AT98" s="3" t="str">
        <f t="shared" si="117"/>
        <v>X</v>
      </c>
      <c r="AU98" s="3" t="str">
        <f t="shared" si="117"/>
        <v>X</v>
      </c>
      <c r="AV98" s="3" t="str">
        <f t="shared" si="117"/>
        <v>X</v>
      </c>
      <c r="AW98" s="3" t="str">
        <f t="shared" si="90"/>
        <v/>
      </c>
      <c r="AX98" s="3" t="str">
        <f t="shared" si="91"/>
        <v/>
      </c>
      <c r="AY98" s="3" t="str">
        <f t="shared" si="92"/>
        <v>X</v>
      </c>
      <c r="AZ98" s="3" t="str">
        <f t="shared" si="93"/>
        <v>X</v>
      </c>
      <c r="BA98" s="3" t="str">
        <f t="shared" si="96"/>
        <v/>
      </c>
      <c r="BB98" s="3" t="str">
        <f t="shared" si="97"/>
        <v/>
      </c>
      <c r="BC98" s="3">
        <f t="shared" si="98"/>
        <v>1822</v>
      </c>
      <c r="BD98" s="3">
        <f t="shared" si="99"/>
        <v>1823</v>
      </c>
      <c r="BE98" s="9" t="str">
        <f t="shared" si="100"/>
        <v/>
      </c>
      <c r="BF98" s="9" t="str">
        <f t="shared" si="101"/>
        <v/>
      </c>
      <c r="BG98" s="9" t="str">
        <f t="shared" si="102"/>
        <v>71E</v>
      </c>
      <c r="BH98" s="9" t="str">
        <f t="shared" si="103"/>
        <v>71F</v>
      </c>
      <c r="BI98" s="3" t="str">
        <f t="shared" si="104"/>
        <v/>
      </c>
      <c r="BJ98" s="3" t="str">
        <f t="shared" si="105"/>
        <v/>
      </c>
      <c r="BK98" s="3" t="str">
        <f t="shared" si="106"/>
        <v/>
      </c>
      <c r="BL98" s="3" t="str">
        <f t="shared" si="107"/>
        <v/>
      </c>
      <c r="BM98" s="3" t="str">
        <f t="shared" si="108"/>
        <v/>
      </c>
      <c r="BN98" s="3" t="str">
        <f t="shared" si="109"/>
        <v/>
      </c>
      <c r="BO98" s="3">
        <f t="shared" si="110"/>
        <v>15</v>
      </c>
      <c r="BP98" s="3">
        <f t="shared" si="111"/>
        <v>7</v>
      </c>
      <c r="BQ98" s="3" t="str">
        <f t="shared" si="112"/>
        <v/>
      </c>
      <c r="BR98" s="3" t="str">
        <f t="shared" si="113"/>
        <v/>
      </c>
      <c r="BS98" s="3" t="str">
        <f t="shared" si="114"/>
        <v>(15 downto 8)</v>
      </c>
      <c r="BT98" s="3" t="str">
        <f t="shared" si="115"/>
        <v>(7 downto 0)</v>
      </c>
    </row>
    <row r="99" spans="2:72" x14ac:dyDescent="0.25">
      <c r="B99" s="3" t="s">
        <v>340</v>
      </c>
      <c r="C99" s="3" t="s">
        <v>444</v>
      </c>
      <c r="D99" s="3" t="s">
        <v>1</v>
      </c>
      <c r="E99" s="3" t="s">
        <v>1062</v>
      </c>
      <c r="F99" s="3" t="s">
        <v>108</v>
      </c>
      <c r="G99" s="3" t="s">
        <v>917</v>
      </c>
      <c r="H99" s="3" t="s">
        <v>205</v>
      </c>
      <c r="I99" s="3" t="s">
        <v>24</v>
      </c>
      <c r="J99" s="3">
        <v>16</v>
      </c>
      <c r="K99" s="3" t="s">
        <v>23</v>
      </c>
      <c r="L99" s="3" t="s">
        <v>23</v>
      </c>
      <c r="M99" s="3">
        <v>456</v>
      </c>
      <c r="N99" s="3" t="str">
        <f t="shared" si="116"/>
        <v>1C8</v>
      </c>
      <c r="O99" s="3">
        <v>31</v>
      </c>
      <c r="P99" s="3">
        <v>16</v>
      </c>
      <c r="Q99" s="3" t="str">
        <f t="shared" si="89"/>
        <v>X</v>
      </c>
      <c r="R99" s="3" t="str">
        <f t="shared" si="118"/>
        <v>X</v>
      </c>
      <c r="S99" s="3" t="str">
        <f t="shared" si="118"/>
        <v>X</v>
      </c>
      <c r="T99" s="3" t="str">
        <f t="shared" si="118"/>
        <v>X</v>
      </c>
      <c r="U99" s="3" t="str">
        <f t="shared" si="118"/>
        <v>X</v>
      </c>
      <c r="V99" s="3" t="str">
        <f t="shared" si="118"/>
        <v>X</v>
      </c>
      <c r="W99" s="3" t="str">
        <f t="shared" si="118"/>
        <v>X</v>
      </c>
      <c r="X99" s="3" t="str">
        <f t="shared" si="118"/>
        <v>X</v>
      </c>
      <c r="Y99" s="3" t="str">
        <f t="shared" si="118"/>
        <v>X</v>
      </c>
      <c r="Z99" s="3" t="str">
        <f t="shared" si="118"/>
        <v>X</v>
      </c>
      <c r="AA99" s="3" t="str">
        <f t="shared" si="118"/>
        <v>X</v>
      </c>
      <c r="AB99" s="3" t="str">
        <f t="shared" si="118"/>
        <v>X</v>
      </c>
      <c r="AC99" s="3" t="str">
        <f t="shared" si="118"/>
        <v>X</v>
      </c>
      <c r="AD99" s="3" t="str">
        <f t="shared" si="118"/>
        <v>X</v>
      </c>
      <c r="AE99" s="3" t="str">
        <f t="shared" si="118"/>
        <v>X</v>
      </c>
      <c r="AF99" s="3" t="str">
        <f t="shared" si="118"/>
        <v>X</v>
      </c>
      <c r="AG99" s="3" t="str">
        <f t="shared" si="118"/>
        <v/>
      </c>
      <c r="AH99" s="3" t="str">
        <f t="shared" si="117"/>
        <v/>
      </c>
      <c r="AI99" s="3" t="str">
        <f t="shared" si="117"/>
        <v/>
      </c>
      <c r="AJ99" s="3" t="str">
        <f t="shared" si="117"/>
        <v/>
      </c>
      <c r="AK99" s="3" t="str">
        <f t="shared" si="117"/>
        <v/>
      </c>
      <c r="AL99" s="3" t="str">
        <f t="shared" si="117"/>
        <v/>
      </c>
      <c r="AM99" s="3" t="str">
        <f t="shared" si="117"/>
        <v/>
      </c>
      <c r="AN99" s="3" t="str">
        <f t="shared" si="117"/>
        <v/>
      </c>
      <c r="AO99" s="3" t="str">
        <f t="shared" si="117"/>
        <v/>
      </c>
      <c r="AP99" s="3" t="str">
        <f t="shared" si="117"/>
        <v/>
      </c>
      <c r="AQ99" s="3" t="str">
        <f t="shared" si="117"/>
        <v/>
      </c>
      <c r="AR99" s="3" t="str">
        <f t="shared" si="117"/>
        <v/>
      </c>
      <c r="AS99" s="3" t="str">
        <f t="shared" si="117"/>
        <v/>
      </c>
      <c r="AT99" s="3" t="str">
        <f t="shared" si="117"/>
        <v/>
      </c>
      <c r="AU99" s="3" t="str">
        <f t="shared" si="117"/>
        <v/>
      </c>
      <c r="AV99" s="3" t="str">
        <f t="shared" si="117"/>
        <v/>
      </c>
      <c r="AW99" s="3" t="str">
        <f t="shared" si="90"/>
        <v>X</v>
      </c>
      <c r="AX99" s="3" t="str">
        <f t="shared" si="91"/>
        <v>X</v>
      </c>
      <c r="AY99" s="3" t="str">
        <f t="shared" si="92"/>
        <v/>
      </c>
      <c r="AZ99" s="3" t="str">
        <f t="shared" si="93"/>
        <v/>
      </c>
      <c r="BA99" s="3">
        <f t="shared" si="96"/>
        <v>1824</v>
      </c>
      <c r="BB99" s="3">
        <f t="shared" si="97"/>
        <v>1825</v>
      </c>
      <c r="BC99" s="3" t="str">
        <f t="shared" si="98"/>
        <v/>
      </c>
      <c r="BD99" s="3" t="str">
        <f t="shared" si="99"/>
        <v/>
      </c>
      <c r="BE99" s="9" t="str">
        <f t="shared" si="100"/>
        <v>720</v>
      </c>
      <c r="BF99" s="9" t="str">
        <f t="shared" si="101"/>
        <v>721</v>
      </c>
      <c r="BG99" s="9" t="str">
        <f t="shared" si="102"/>
        <v/>
      </c>
      <c r="BH99" s="9" t="str">
        <f t="shared" si="103"/>
        <v/>
      </c>
      <c r="BI99" s="3" t="str">
        <f t="shared" si="104"/>
        <v/>
      </c>
      <c r="BJ99" s="3" t="str">
        <f t="shared" si="105"/>
        <v/>
      </c>
      <c r="BK99" s="3" t="str">
        <f t="shared" si="106"/>
        <v/>
      </c>
      <c r="BL99" s="3" t="str">
        <f t="shared" si="107"/>
        <v/>
      </c>
      <c r="BM99" s="3">
        <f t="shared" si="108"/>
        <v>15</v>
      </c>
      <c r="BN99" s="3">
        <f t="shared" si="109"/>
        <v>7</v>
      </c>
      <c r="BO99" s="3" t="str">
        <f t="shared" si="110"/>
        <v/>
      </c>
      <c r="BP99" s="3" t="str">
        <f t="shared" si="111"/>
        <v/>
      </c>
      <c r="BQ99" s="3" t="str">
        <f t="shared" si="112"/>
        <v>(15 downto 8)</v>
      </c>
      <c r="BR99" s="3" t="str">
        <f t="shared" si="113"/>
        <v>(7 downto 0)</v>
      </c>
      <c r="BS99" s="3" t="str">
        <f t="shared" si="114"/>
        <v/>
      </c>
      <c r="BT99" s="3" t="str">
        <f t="shared" si="115"/>
        <v/>
      </c>
    </row>
    <row r="100" spans="2:72" x14ac:dyDescent="0.25">
      <c r="B100" s="3" t="s">
        <v>340</v>
      </c>
      <c r="C100" s="3" t="s">
        <v>445</v>
      </c>
      <c r="D100" s="3" t="s">
        <v>1</v>
      </c>
      <c r="E100" s="3" t="s">
        <v>1062</v>
      </c>
      <c r="F100" s="3" t="s">
        <v>108</v>
      </c>
      <c r="G100" s="3" t="s">
        <v>917</v>
      </c>
      <c r="H100" s="3" t="s">
        <v>206</v>
      </c>
      <c r="I100" s="3" t="s">
        <v>24</v>
      </c>
      <c r="J100" s="3">
        <v>16</v>
      </c>
      <c r="K100" s="3" t="s">
        <v>23</v>
      </c>
      <c r="L100" s="3" t="s">
        <v>23</v>
      </c>
      <c r="M100" s="3">
        <v>456</v>
      </c>
      <c r="N100" s="3" t="str">
        <f t="shared" si="116"/>
        <v>1C8</v>
      </c>
      <c r="O100" s="3">
        <v>15</v>
      </c>
      <c r="P100" s="3">
        <v>0</v>
      </c>
      <c r="Q100" s="3" t="str">
        <f t="shared" si="89"/>
        <v/>
      </c>
      <c r="R100" s="3" t="str">
        <f t="shared" si="118"/>
        <v/>
      </c>
      <c r="S100" s="3" t="str">
        <f t="shared" si="118"/>
        <v/>
      </c>
      <c r="T100" s="3" t="str">
        <f t="shared" si="118"/>
        <v/>
      </c>
      <c r="U100" s="3" t="str">
        <f t="shared" si="118"/>
        <v/>
      </c>
      <c r="V100" s="3" t="str">
        <f t="shared" si="118"/>
        <v/>
      </c>
      <c r="W100" s="3" t="str">
        <f t="shared" si="118"/>
        <v/>
      </c>
      <c r="X100" s="3" t="str">
        <f t="shared" si="118"/>
        <v/>
      </c>
      <c r="Y100" s="3" t="str">
        <f t="shared" si="118"/>
        <v/>
      </c>
      <c r="Z100" s="3" t="str">
        <f t="shared" si="118"/>
        <v/>
      </c>
      <c r="AA100" s="3" t="str">
        <f t="shared" si="118"/>
        <v/>
      </c>
      <c r="AB100" s="3" t="str">
        <f t="shared" si="118"/>
        <v/>
      </c>
      <c r="AC100" s="3" t="str">
        <f t="shared" si="118"/>
        <v/>
      </c>
      <c r="AD100" s="3" t="str">
        <f t="shared" si="118"/>
        <v/>
      </c>
      <c r="AE100" s="3" t="str">
        <f t="shared" si="118"/>
        <v/>
      </c>
      <c r="AF100" s="3" t="str">
        <f t="shared" si="118"/>
        <v/>
      </c>
      <c r="AG100" s="3" t="str">
        <f t="shared" si="118"/>
        <v>X</v>
      </c>
      <c r="AH100" s="3" t="str">
        <f t="shared" si="117"/>
        <v>X</v>
      </c>
      <c r="AI100" s="3" t="str">
        <f t="shared" si="117"/>
        <v>X</v>
      </c>
      <c r="AJ100" s="3" t="str">
        <f t="shared" si="117"/>
        <v>X</v>
      </c>
      <c r="AK100" s="3" t="str">
        <f t="shared" si="117"/>
        <v>X</v>
      </c>
      <c r="AL100" s="3" t="str">
        <f t="shared" si="117"/>
        <v>X</v>
      </c>
      <c r="AM100" s="3" t="str">
        <f t="shared" si="117"/>
        <v>X</v>
      </c>
      <c r="AN100" s="3" t="str">
        <f t="shared" si="117"/>
        <v>X</v>
      </c>
      <c r="AO100" s="3" t="str">
        <f t="shared" si="117"/>
        <v>X</v>
      </c>
      <c r="AP100" s="3" t="str">
        <f t="shared" si="117"/>
        <v>X</v>
      </c>
      <c r="AQ100" s="3" t="str">
        <f t="shared" si="117"/>
        <v>X</v>
      </c>
      <c r="AR100" s="3" t="str">
        <f t="shared" si="117"/>
        <v>X</v>
      </c>
      <c r="AS100" s="3" t="str">
        <f t="shared" si="117"/>
        <v>X</v>
      </c>
      <c r="AT100" s="3" t="str">
        <f t="shared" si="117"/>
        <v>X</v>
      </c>
      <c r="AU100" s="3" t="str">
        <f t="shared" si="117"/>
        <v>X</v>
      </c>
      <c r="AV100" s="3" t="str">
        <f t="shared" si="117"/>
        <v>X</v>
      </c>
      <c r="AW100" s="3" t="str">
        <f t="shared" si="90"/>
        <v/>
      </c>
      <c r="AX100" s="3" t="str">
        <f t="shared" si="91"/>
        <v/>
      </c>
      <c r="AY100" s="3" t="str">
        <f t="shared" si="92"/>
        <v>X</v>
      </c>
      <c r="AZ100" s="3" t="str">
        <f t="shared" si="93"/>
        <v>X</v>
      </c>
      <c r="BA100" s="3" t="str">
        <f t="shared" si="96"/>
        <v/>
      </c>
      <c r="BB100" s="3" t="str">
        <f t="shared" si="97"/>
        <v/>
      </c>
      <c r="BC100" s="3">
        <f t="shared" si="98"/>
        <v>1826</v>
      </c>
      <c r="BD100" s="3">
        <f t="shared" si="99"/>
        <v>1827</v>
      </c>
      <c r="BE100" s="9" t="str">
        <f t="shared" si="100"/>
        <v/>
      </c>
      <c r="BF100" s="9" t="str">
        <f t="shared" si="101"/>
        <v/>
      </c>
      <c r="BG100" s="9" t="str">
        <f t="shared" si="102"/>
        <v>722</v>
      </c>
      <c r="BH100" s="9" t="str">
        <f t="shared" si="103"/>
        <v>723</v>
      </c>
      <c r="BI100" s="3" t="str">
        <f t="shared" si="104"/>
        <v/>
      </c>
      <c r="BJ100" s="3" t="str">
        <f t="shared" si="105"/>
        <v/>
      </c>
      <c r="BK100" s="3" t="str">
        <f t="shared" si="106"/>
        <v/>
      </c>
      <c r="BL100" s="3" t="str">
        <f t="shared" si="107"/>
        <v/>
      </c>
      <c r="BM100" s="3" t="str">
        <f t="shared" si="108"/>
        <v/>
      </c>
      <c r="BN100" s="3" t="str">
        <f t="shared" si="109"/>
        <v/>
      </c>
      <c r="BO100" s="3">
        <f t="shared" si="110"/>
        <v>15</v>
      </c>
      <c r="BP100" s="3">
        <f t="shared" si="111"/>
        <v>7</v>
      </c>
      <c r="BQ100" s="3" t="str">
        <f t="shared" si="112"/>
        <v/>
      </c>
      <c r="BR100" s="3" t="str">
        <f t="shared" si="113"/>
        <v/>
      </c>
      <c r="BS100" s="3" t="str">
        <f t="shared" si="114"/>
        <v>(15 downto 8)</v>
      </c>
      <c r="BT100" s="3" t="str">
        <f t="shared" si="115"/>
        <v>(7 downto 0)</v>
      </c>
    </row>
    <row r="101" spans="2:72" x14ac:dyDescent="0.25">
      <c r="B101" s="3" t="s">
        <v>341</v>
      </c>
      <c r="C101" s="3" t="s">
        <v>446</v>
      </c>
      <c r="D101" s="3" t="s">
        <v>1</v>
      </c>
      <c r="E101" s="3" t="s">
        <v>1062</v>
      </c>
      <c r="F101" s="3" t="s">
        <v>109</v>
      </c>
      <c r="G101" s="3" t="s">
        <v>918</v>
      </c>
      <c r="H101" s="3" t="s">
        <v>207</v>
      </c>
      <c r="I101" s="3" t="s">
        <v>24</v>
      </c>
      <c r="J101" s="3">
        <v>16</v>
      </c>
      <c r="K101" s="3" t="s">
        <v>23</v>
      </c>
      <c r="L101" s="3" t="s">
        <v>23</v>
      </c>
      <c r="M101" s="3">
        <v>457</v>
      </c>
      <c r="N101" s="3" t="str">
        <f t="shared" si="116"/>
        <v>1C9</v>
      </c>
      <c r="O101" s="3">
        <v>31</v>
      </c>
      <c r="P101" s="3">
        <v>16</v>
      </c>
      <c r="Q101" s="3" t="str">
        <f t="shared" si="89"/>
        <v>X</v>
      </c>
      <c r="R101" s="3" t="str">
        <f t="shared" si="118"/>
        <v>X</v>
      </c>
      <c r="S101" s="3" t="str">
        <f t="shared" si="118"/>
        <v>X</v>
      </c>
      <c r="T101" s="3" t="str">
        <f t="shared" si="118"/>
        <v>X</v>
      </c>
      <c r="U101" s="3" t="str">
        <f t="shared" si="118"/>
        <v>X</v>
      </c>
      <c r="V101" s="3" t="str">
        <f t="shared" si="118"/>
        <v>X</v>
      </c>
      <c r="W101" s="3" t="str">
        <f t="shared" si="118"/>
        <v>X</v>
      </c>
      <c r="X101" s="3" t="str">
        <f t="shared" si="118"/>
        <v>X</v>
      </c>
      <c r="Y101" s="3" t="str">
        <f t="shared" si="118"/>
        <v>X</v>
      </c>
      <c r="Z101" s="3" t="str">
        <f t="shared" si="118"/>
        <v>X</v>
      </c>
      <c r="AA101" s="3" t="str">
        <f t="shared" si="118"/>
        <v>X</v>
      </c>
      <c r="AB101" s="3" t="str">
        <f t="shared" si="118"/>
        <v>X</v>
      </c>
      <c r="AC101" s="3" t="str">
        <f t="shared" si="118"/>
        <v>X</v>
      </c>
      <c r="AD101" s="3" t="str">
        <f t="shared" si="118"/>
        <v>X</v>
      </c>
      <c r="AE101" s="3" t="str">
        <f t="shared" si="118"/>
        <v>X</v>
      </c>
      <c r="AF101" s="3" t="str">
        <f t="shared" si="118"/>
        <v>X</v>
      </c>
      <c r="AG101" s="3" t="str">
        <f t="shared" si="118"/>
        <v/>
      </c>
      <c r="AH101" s="3" t="str">
        <f t="shared" si="117"/>
        <v/>
      </c>
      <c r="AI101" s="3" t="str">
        <f t="shared" si="117"/>
        <v/>
      </c>
      <c r="AJ101" s="3" t="str">
        <f t="shared" si="117"/>
        <v/>
      </c>
      <c r="AK101" s="3" t="str">
        <f t="shared" si="117"/>
        <v/>
      </c>
      <c r="AL101" s="3" t="str">
        <f t="shared" si="117"/>
        <v/>
      </c>
      <c r="AM101" s="3" t="str">
        <f t="shared" si="117"/>
        <v/>
      </c>
      <c r="AN101" s="3" t="str">
        <f t="shared" si="117"/>
        <v/>
      </c>
      <c r="AO101" s="3" t="str">
        <f t="shared" si="117"/>
        <v/>
      </c>
      <c r="AP101" s="3" t="str">
        <f t="shared" si="117"/>
        <v/>
      </c>
      <c r="AQ101" s="3" t="str">
        <f t="shared" si="117"/>
        <v/>
      </c>
      <c r="AR101" s="3" t="str">
        <f t="shared" si="117"/>
        <v/>
      </c>
      <c r="AS101" s="3" t="str">
        <f t="shared" si="117"/>
        <v/>
      </c>
      <c r="AT101" s="3" t="str">
        <f t="shared" si="117"/>
        <v/>
      </c>
      <c r="AU101" s="3" t="str">
        <f t="shared" si="117"/>
        <v/>
      </c>
      <c r="AV101" s="3" t="str">
        <f t="shared" si="117"/>
        <v/>
      </c>
      <c r="AW101" s="3" t="str">
        <f t="shared" si="90"/>
        <v>X</v>
      </c>
      <c r="AX101" s="3" t="str">
        <f t="shared" si="91"/>
        <v>X</v>
      </c>
      <c r="AY101" s="3" t="str">
        <f t="shared" si="92"/>
        <v/>
      </c>
      <c r="AZ101" s="3" t="str">
        <f t="shared" si="93"/>
        <v/>
      </c>
      <c r="BA101" s="3">
        <f t="shared" si="96"/>
        <v>1828</v>
      </c>
      <c r="BB101" s="3">
        <f t="shared" si="97"/>
        <v>1829</v>
      </c>
      <c r="BC101" s="3" t="str">
        <f t="shared" si="98"/>
        <v/>
      </c>
      <c r="BD101" s="3" t="str">
        <f t="shared" si="99"/>
        <v/>
      </c>
      <c r="BE101" s="9" t="str">
        <f t="shared" si="100"/>
        <v>724</v>
      </c>
      <c r="BF101" s="9" t="str">
        <f t="shared" si="101"/>
        <v>725</v>
      </c>
      <c r="BG101" s="9" t="str">
        <f t="shared" si="102"/>
        <v/>
      </c>
      <c r="BH101" s="9" t="str">
        <f t="shared" si="103"/>
        <v/>
      </c>
      <c r="BI101" s="3" t="str">
        <f t="shared" si="104"/>
        <v/>
      </c>
      <c r="BJ101" s="3" t="str">
        <f t="shared" si="105"/>
        <v/>
      </c>
      <c r="BK101" s="3" t="str">
        <f t="shared" si="106"/>
        <v/>
      </c>
      <c r="BL101" s="3" t="str">
        <f t="shared" si="107"/>
        <v/>
      </c>
      <c r="BM101" s="3">
        <f t="shared" si="108"/>
        <v>15</v>
      </c>
      <c r="BN101" s="3">
        <f t="shared" si="109"/>
        <v>7</v>
      </c>
      <c r="BO101" s="3" t="str">
        <f t="shared" si="110"/>
        <v/>
      </c>
      <c r="BP101" s="3" t="str">
        <f t="shared" si="111"/>
        <v/>
      </c>
      <c r="BQ101" s="3" t="str">
        <f t="shared" si="112"/>
        <v>(15 downto 8)</v>
      </c>
      <c r="BR101" s="3" t="str">
        <f t="shared" si="113"/>
        <v>(7 downto 0)</v>
      </c>
      <c r="BS101" s="3" t="str">
        <f t="shared" si="114"/>
        <v/>
      </c>
      <c r="BT101" s="3" t="str">
        <f t="shared" si="115"/>
        <v/>
      </c>
    </row>
    <row r="102" spans="2:72" x14ac:dyDescent="0.25">
      <c r="B102" s="3" t="s">
        <v>341</v>
      </c>
      <c r="C102" s="3" t="s">
        <v>447</v>
      </c>
      <c r="D102" s="3" t="s">
        <v>1</v>
      </c>
      <c r="E102" s="3" t="s">
        <v>1062</v>
      </c>
      <c r="F102" s="3" t="s">
        <v>109</v>
      </c>
      <c r="G102" s="3" t="s">
        <v>918</v>
      </c>
      <c r="H102" s="3" t="s">
        <v>208</v>
      </c>
      <c r="I102" s="3" t="s">
        <v>24</v>
      </c>
      <c r="J102" s="3">
        <v>16</v>
      </c>
      <c r="K102" s="3" t="s">
        <v>23</v>
      </c>
      <c r="L102" s="3" t="s">
        <v>23</v>
      </c>
      <c r="M102" s="3">
        <v>457</v>
      </c>
      <c r="N102" s="3" t="str">
        <f t="shared" si="116"/>
        <v>1C9</v>
      </c>
      <c r="O102" s="3">
        <v>15</v>
      </c>
      <c r="P102" s="3">
        <v>0</v>
      </c>
      <c r="Q102" s="3" t="str">
        <f t="shared" si="89"/>
        <v/>
      </c>
      <c r="R102" s="3" t="str">
        <f t="shared" si="118"/>
        <v/>
      </c>
      <c r="S102" s="3" t="str">
        <f t="shared" si="118"/>
        <v/>
      </c>
      <c r="T102" s="3" t="str">
        <f t="shared" si="118"/>
        <v/>
      </c>
      <c r="U102" s="3" t="str">
        <f t="shared" si="118"/>
        <v/>
      </c>
      <c r="V102" s="3" t="str">
        <f t="shared" si="118"/>
        <v/>
      </c>
      <c r="W102" s="3" t="str">
        <f t="shared" si="118"/>
        <v/>
      </c>
      <c r="X102" s="3" t="str">
        <f t="shared" si="118"/>
        <v/>
      </c>
      <c r="Y102" s="3" t="str">
        <f t="shared" si="118"/>
        <v/>
      </c>
      <c r="Z102" s="3" t="str">
        <f t="shared" si="118"/>
        <v/>
      </c>
      <c r="AA102" s="3" t="str">
        <f t="shared" si="118"/>
        <v/>
      </c>
      <c r="AB102" s="3" t="str">
        <f t="shared" si="118"/>
        <v/>
      </c>
      <c r="AC102" s="3" t="str">
        <f t="shared" si="118"/>
        <v/>
      </c>
      <c r="AD102" s="3" t="str">
        <f t="shared" si="118"/>
        <v/>
      </c>
      <c r="AE102" s="3" t="str">
        <f t="shared" si="118"/>
        <v/>
      </c>
      <c r="AF102" s="3" t="str">
        <f t="shared" si="118"/>
        <v/>
      </c>
      <c r="AG102" s="3" t="str">
        <f t="shared" si="118"/>
        <v>X</v>
      </c>
      <c r="AH102" s="3" t="str">
        <f t="shared" si="117"/>
        <v>X</v>
      </c>
      <c r="AI102" s="3" t="str">
        <f t="shared" si="117"/>
        <v>X</v>
      </c>
      <c r="AJ102" s="3" t="str">
        <f t="shared" si="117"/>
        <v>X</v>
      </c>
      <c r="AK102" s="3" t="str">
        <f t="shared" si="117"/>
        <v>X</v>
      </c>
      <c r="AL102" s="3" t="str">
        <f t="shared" si="117"/>
        <v>X</v>
      </c>
      <c r="AM102" s="3" t="str">
        <f t="shared" si="117"/>
        <v>X</v>
      </c>
      <c r="AN102" s="3" t="str">
        <f t="shared" si="117"/>
        <v>X</v>
      </c>
      <c r="AO102" s="3" t="str">
        <f t="shared" si="117"/>
        <v>X</v>
      </c>
      <c r="AP102" s="3" t="str">
        <f t="shared" si="117"/>
        <v>X</v>
      </c>
      <c r="AQ102" s="3" t="str">
        <f t="shared" si="117"/>
        <v>X</v>
      </c>
      <c r="AR102" s="3" t="str">
        <f t="shared" si="117"/>
        <v>X</v>
      </c>
      <c r="AS102" s="3" t="str">
        <f t="shared" si="117"/>
        <v>X</v>
      </c>
      <c r="AT102" s="3" t="str">
        <f t="shared" si="117"/>
        <v>X</v>
      </c>
      <c r="AU102" s="3" t="str">
        <f t="shared" si="117"/>
        <v>X</v>
      </c>
      <c r="AV102" s="3" t="str">
        <f t="shared" si="117"/>
        <v>X</v>
      </c>
      <c r="AW102" s="3" t="str">
        <f t="shared" si="90"/>
        <v/>
      </c>
      <c r="AX102" s="3" t="str">
        <f t="shared" si="91"/>
        <v/>
      </c>
      <c r="AY102" s="3" t="str">
        <f t="shared" si="92"/>
        <v>X</v>
      </c>
      <c r="AZ102" s="3" t="str">
        <f t="shared" si="93"/>
        <v>X</v>
      </c>
      <c r="BA102" s="3" t="str">
        <f t="shared" si="96"/>
        <v/>
      </c>
      <c r="BB102" s="3" t="str">
        <f t="shared" si="97"/>
        <v/>
      </c>
      <c r="BC102" s="3">
        <f t="shared" si="98"/>
        <v>1830</v>
      </c>
      <c r="BD102" s="3">
        <f t="shared" si="99"/>
        <v>1831</v>
      </c>
      <c r="BE102" s="9" t="str">
        <f t="shared" si="100"/>
        <v/>
      </c>
      <c r="BF102" s="9" t="str">
        <f t="shared" si="101"/>
        <v/>
      </c>
      <c r="BG102" s="9" t="str">
        <f t="shared" si="102"/>
        <v>726</v>
      </c>
      <c r="BH102" s="9" t="str">
        <f t="shared" si="103"/>
        <v>727</v>
      </c>
      <c r="BI102" s="3" t="str">
        <f t="shared" si="104"/>
        <v/>
      </c>
      <c r="BJ102" s="3" t="str">
        <f t="shared" si="105"/>
        <v/>
      </c>
      <c r="BK102" s="3" t="str">
        <f t="shared" si="106"/>
        <v/>
      </c>
      <c r="BL102" s="3" t="str">
        <f t="shared" si="107"/>
        <v/>
      </c>
      <c r="BM102" s="3" t="str">
        <f t="shared" si="108"/>
        <v/>
      </c>
      <c r="BN102" s="3" t="str">
        <f t="shared" si="109"/>
        <v/>
      </c>
      <c r="BO102" s="3">
        <f t="shared" si="110"/>
        <v>15</v>
      </c>
      <c r="BP102" s="3">
        <f t="shared" si="111"/>
        <v>7</v>
      </c>
      <c r="BQ102" s="3" t="str">
        <f t="shared" si="112"/>
        <v/>
      </c>
      <c r="BR102" s="3" t="str">
        <f t="shared" si="113"/>
        <v/>
      </c>
      <c r="BS102" s="3" t="str">
        <f t="shared" si="114"/>
        <v>(15 downto 8)</v>
      </c>
      <c r="BT102" s="3" t="str">
        <f t="shared" si="115"/>
        <v>(7 downto 0)</v>
      </c>
    </row>
    <row r="103" spans="2:72" x14ac:dyDescent="0.25">
      <c r="B103" s="3" t="s">
        <v>342</v>
      </c>
      <c r="C103" s="3" t="s">
        <v>448</v>
      </c>
      <c r="D103" s="3" t="s">
        <v>1</v>
      </c>
      <c r="E103" s="3" t="s">
        <v>1062</v>
      </c>
      <c r="F103" s="3" t="s">
        <v>110</v>
      </c>
      <c r="G103" s="3" t="s">
        <v>919</v>
      </c>
      <c r="H103" s="3" t="s">
        <v>209</v>
      </c>
      <c r="I103" s="3" t="s">
        <v>24</v>
      </c>
      <c r="J103" s="3">
        <v>16</v>
      </c>
      <c r="K103" s="3" t="s">
        <v>23</v>
      </c>
      <c r="L103" s="3" t="s">
        <v>23</v>
      </c>
      <c r="M103" s="3">
        <v>458</v>
      </c>
      <c r="N103" s="3" t="str">
        <f t="shared" si="116"/>
        <v>1CA</v>
      </c>
      <c r="O103" s="3">
        <v>31</v>
      </c>
      <c r="P103" s="3">
        <v>16</v>
      </c>
      <c r="Q103" s="3" t="str">
        <f t="shared" si="89"/>
        <v>X</v>
      </c>
      <c r="R103" s="3" t="str">
        <f t="shared" si="118"/>
        <v>X</v>
      </c>
      <c r="S103" s="3" t="str">
        <f t="shared" si="118"/>
        <v>X</v>
      </c>
      <c r="T103" s="3" t="str">
        <f t="shared" si="118"/>
        <v>X</v>
      </c>
      <c r="U103" s="3" t="str">
        <f t="shared" si="118"/>
        <v>X</v>
      </c>
      <c r="V103" s="3" t="str">
        <f t="shared" si="118"/>
        <v>X</v>
      </c>
      <c r="W103" s="3" t="str">
        <f t="shared" si="118"/>
        <v>X</v>
      </c>
      <c r="X103" s="3" t="str">
        <f t="shared" si="118"/>
        <v>X</v>
      </c>
      <c r="Y103" s="3" t="str">
        <f t="shared" si="118"/>
        <v>X</v>
      </c>
      <c r="Z103" s="3" t="str">
        <f t="shared" si="118"/>
        <v>X</v>
      </c>
      <c r="AA103" s="3" t="str">
        <f t="shared" si="118"/>
        <v>X</v>
      </c>
      <c r="AB103" s="3" t="str">
        <f t="shared" si="118"/>
        <v>X</v>
      </c>
      <c r="AC103" s="3" t="str">
        <f t="shared" si="118"/>
        <v>X</v>
      </c>
      <c r="AD103" s="3" t="str">
        <f t="shared" si="118"/>
        <v>X</v>
      </c>
      <c r="AE103" s="3" t="str">
        <f t="shared" si="118"/>
        <v>X</v>
      </c>
      <c r="AF103" s="3" t="str">
        <f t="shared" si="118"/>
        <v>X</v>
      </c>
      <c r="AG103" s="3" t="str">
        <f t="shared" si="118"/>
        <v/>
      </c>
      <c r="AH103" s="3" t="str">
        <f t="shared" si="117"/>
        <v/>
      </c>
      <c r="AI103" s="3" t="str">
        <f t="shared" si="117"/>
        <v/>
      </c>
      <c r="AJ103" s="3" t="str">
        <f t="shared" si="117"/>
        <v/>
      </c>
      <c r="AK103" s="3" t="str">
        <f t="shared" si="117"/>
        <v/>
      </c>
      <c r="AL103" s="3" t="str">
        <f t="shared" si="117"/>
        <v/>
      </c>
      <c r="AM103" s="3" t="str">
        <f t="shared" si="117"/>
        <v/>
      </c>
      <c r="AN103" s="3" t="str">
        <f t="shared" si="117"/>
        <v/>
      </c>
      <c r="AO103" s="3" t="str">
        <f t="shared" si="117"/>
        <v/>
      </c>
      <c r="AP103" s="3" t="str">
        <f t="shared" si="117"/>
        <v/>
      </c>
      <c r="AQ103" s="3" t="str">
        <f t="shared" si="117"/>
        <v/>
      </c>
      <c r="AR103" s="3" t="str">
        <f t="shared" si="117"/>
        <v/>
      </c>
      <c r="AS103" s="3" t="str">
        <f t="shared" si="117"/>
        <v/>
      </c>
      <c r="AT103" s="3" t="str">
        <f t="shared" si="117"/>
        <v/>
      </c>
      <c r="AU103" s="3" t="str">
        <f t="shared" si="117"/>
        <v/>
      </c>
      <c r="AV103" s="3" t="str">
        <f t="shared" si="117"/>
        <v/>
      </c>
      <c r="AW103" s="3" t="str">
        <f t="shared" si="90"/>
        <v>X</v>
      </c>
      <c r="AX103" s="3" t="str">
        <f t="shared" si="91"/>
        <v>X</v>
      </c>
      <c r="AY103" s="3" t="str">
        <f t="shared" si="92"/>
        <v/>
      </c>
      <c r="AZ103" s="3" t="str">
        <f t="shared" si="93"/>
        <v/>
      </c>
      <c r="BA103" s="3">
        <f t="shared" si="96"/>
        <v>1832</v>
      </c>
      <c r="BB103" s="3">
        <f t="shared" si="97"/>
        <v>1833</v>
      </c>
      <c r="BC103" s="3" t="str">
        <f t="shared" si="98"/>
        <v/>
      </c>
      <c r="BD103" s="3" t="str">
        <f t="shared" si="99"/>
        <v/>
      </c>
      <c r="BE103" s="9" t="str">
        <f t="shared" si="100"/>
        <v>728</v>
      </c>
      <c r="BF103" s="9" t="str">
        <f t="shared" si="101"/>
        <v>729</v>
      </c>
      <c r="BG103" s="9" t="str">
        <f t="shared" si="102"/>
        <v/>
      </c>
      <c r="BH103" s="9" t="str">
        <f t="shared" si="103"/>
        <v/>
      </c>
      <c r="BI103" s="3" t="str">
        <f t="shared" si="104"/>
        <v/>
      </c>
      <c r="BJ103" s="3" t="str">
        <f t="shared" si="105"/>
        <v/>
      </c>
      <c r="BK103" s="3" t="str">
        <f t="shared" si="106"/>
        <v/>
      </c>
      <c r="BL103" s="3" t="str">
        <f t="shared" si="107"/>
        <v/>
      </c>
      <c r="BM103" s="3">
        <f t="shared" si="108"/>
        <v>15</v>
      </c>
      <c r="BN103" s="3">
        <f t="shared" si="109"/>
        <v>7</v>
      </c>
      <c r="BO103" s="3" t="str">
        <f t="shared" si="110"/>
        <v/>
      </c>
      <c r="BP103" s="3" t="str">
        <f t="shared" si="111"/>
        <v/>
      </c>
      <c r="BQ103" s="3" t="str">
        <f t="shared" si="112"/>
        <v>(15 downto 8)</v>
      </c>
      <c r="BR103" s="3" t="str">
        <f t="shared" si="113"/>
        <v>(7 downto 0)</v>
      </c>
      <c r="BS103" s="3" t="str">
        <f t="shared" si="114"/>
        <v/>
      </c>
      <c r="BT103" s="3" t="str">
        <f t="shared" si="115"/>
        <v/>
      </c>
    </row>
    <row r="104" spans="2:72" x14ac:dyDescent="0.25">
      <c r="B104" s="3" t="s">
        <v>342</v>
      </c>
      <c r="C104" s="3" t="s">
        <v>449</v>
      </c>
      <c r="D104" s="3" t="s">
        <v>1</v>
      </c>
      <c r="E104" s="3" t="s">
        <v>1062</v>
      </c>
      <c r="F104" s="3" t="s">
        <v>110</v>
      </c>
      <c r="G104" s="3" t="s">
        <v>919</v>
      </c>
      <c r="H104" s="3" t="s">
        <v>210</v>
      </c>
      <c r="I104" s="3" t="s">
        <v>24</v>
      </c>
      <c r="J104" s="3">
        <v>16</v>
      </c>
      <c r="K104" s="3" t="s">
        <v>23</v>
      </c>
      <c r="L104" s="3" t="s">
        <v>23</v>
      </c>
      <c r="M104" s="3">
        <v>458</v>
      </c>
      <c r="N104" s="3" t="str">
        <f t="shared" si="116"/>
        <v>1CA</v>
      </c>
      <c r="O104" s="3">
        <v>15</v>
      </c>
      <c r="P104" s="3">
        <v>0</v>
      </c>
      <c r="Q104" s="3" t="str">
        <f t="shared" si="89"/>
        <v/>
      </c>
      <c r="R104" s="3" t="str">
        <f t="shared" si="118"/>
        <v/>
      </c>
      <c r="S104" s="3" t="str">
        <f t="shared" si="118"/>
        <v/>
      </c>
      <c r="T104" s="3" t="str">
        <f t="shared" si="118"/>
        <v/>
      </c>
      <c r="U104" s="3" t="str">
        <f t="shared" si="118"/>
        <v/>
      </c>
      <c r="V104" s="3" t="str">
        <f t="shared" si="118"/>
        <v/>
      </c>
      <c r="W104" s="3" t="str">
        <f t="shared" si="118"/>
        <v/>
      </c>
      <c r="X104" s="3" t="str">
        <f t="shared" si="118"/>
        <v/>
      </c>
      <c r="Y104" s="3" t="str">
        <f t="shared" si="118"/>
        <v/>
      </c>
      <c r="Z104" s="3" t="str">
        <f t="shared" si="118"/>
        <v/>
      </c>
      <c r="AA104" s="3" t="str">
        <f t="shared" si="118"/>
        <v/>
      </c>
      <c r="AB104" s="3" t="str">
        <f t="shared" si="118"/>
        <v/>
      </c>
      <c r="AC104" s="3" t="str">
        <f t="shared" si="118"/>
        <v/>
      </c>
      <c r="AD104" s="3" t="str">
        <f t="shared" si="118"/>
        <v/>
      </c>
      <c r="AE104" s="3" t="str">
        <f t="shared" si="118"/>
        <v/>
      </c>
      <c r="AF104" s="3" t="str">
        <f t="shared" si="118"/>
        <v/>
      </c>
      <c r="AG104" s="3" t="str">
        <f t="shared" si="118"/>
        <v>X</v>
      </c>
      <c r="AH104" s="3" t="str">
        <f t="shared" si="117"/>
        <v>X</v>
      </c>
      <c r="AI104" s="3" t="str">
        <f t="shared" si="117"/>
        <v>X</v>
      </c>
      <c r="AJ104" s="3" t="str">
        <f t="shared" si="117"/>
        <v>X</v>
      </c>
      <c r="AK104" s="3" t="str">
        <f t="shared" si="117"/>
        <v>X</v>
      </c>
      <c r="AL104" s="3" t="str">
        <f t="shared" si="117"/>
        <v>X</v>
      </c>
      <c r="AM104" s="3" t="str">
        <f t="shared" si="117"/>
        <v>X</v>
      </c>
      <c r="AN104" s="3" t="str">
        <f t="shared" si="117"/>
        <v>X</v>
      </c>
      <c r="AO104" s="3" t="str">
        <f t="shared" si="117"/>
        <v>X</v>
      </c>
      <c r="AP104" s="3" t="str">
        <f t="shared" si="117"/>
        <v>X</v>
      </c>
      <c r="AQ104" s="3" t="str">
        <f t="shared" si="117"/>
        <v>X</v>
      </c>
      <c r="AR104" s="3" t="str">
        <f t="shared" si="117"/>
        <v>X</v>
      </c>
      <c r="AS104" s="3" t="str">
        <f t="shared" si="117"/>
        <v>X</v>
      </c>
      <c r="AT104" s="3" t="str">
        <f t="shared" si="117"/>
        <v>X</v>
      </c>
      <c r="AU104" s="3" t="str">
        <f t="shared" si="117"/>
        <v>X</v>
      </c>
      <c r="AV104" s="3" t="str">
        <f t="shared" si="117"/>
        <v>X</v>
      </c>
      <c r="AW104" s="3" t="str">
        <f t="shared" si="90"/>
        <v/>
      </c>
      <c r="AX104" s="3" t="str">
        <f t="shared" si="91"/>
        <v/>
      </c>
      <c r="AY104" s="3" t="str">
        <f t="shared" si="92"/>
        <v>X</v>
      </c>
      <c r="AZ104" s="3" t="str">
        <f t="shared" si="93"/>
        <v>X</v>
      </c>
      <c r="BA104" s="3" t="str">
        <f t="shared" si="96"/>
        <v/>
      </c>
      <c r="BB104" s="3" t="str">
        <f t="shared" si="97"/>
        <v/>
      </c>
      <c r="BC104" s="3">
        <f t="shared" si="98"/>
        <v>1834</v>
      </c>
      <c r="BD104" s="3">
        <f t="shared" si="99"/>
        <v>1835</v>
      </c>
      <c r="BE104" s="9" t="str">
        <f t="shared" si="100"/>
        <v/>
      </c>
      <c r="BF104" s="9" t="str">
        <f t="shared" si="101"/>
        <v/>
      </c>
      <c r="BG104" s="9" t="str">
        <f t="shared" si="102"/>
        <v>72A</v>
      </c>
      <c r="BH104" s="9" t="str">
        <f t="shared" si="103"/>
        <v>72B</v>
      </c>
      <c r="BI104" s="3" t="str">
        <f t="shared" si="104"/>
        <v/>
      </c>
      <c r="BJ104" s="3" t="str">
        <f t="shared" si="105"/>
        <v/>
      </c>
      <c r="BK104" s="3" t="str">
        <f t="shared" si="106"/>
        <v/>
      </c>
      <c r="BL104" s="3" t="str">
        <f t="shared" si="107"/>
        <v/>
      </c>
      <c r="BM104" s="3" t="str">
        <f t="shared" si="108"/>
        <v/>
      </c>
      <c r="BN104" s="3" t="str">
        <f t="shared" si="109"/>
        <v/>
      </c>
      <c r="BO104" s="3">
        <f t="shared" si="110"/>
        <v>15</v>
      </c>
      <c r="BP104" s="3">
        <f t="shared" si="111"/>
        <v>7</v>
      </c>
      <c r="BQ104" s="3" t="str">
        <f t="shared" si="112"/>
        <v/>
      </c>
      <c r="BR104" s="3" t="str">
        <f t="shared" si="113"/>
        <v/>
      </c>
      <c r="BS104" s="3" t="str">
        <f t="shared" si="114"/>
        <v>(15 downto 8)</v>
      </c>
      <c r="BT104" s="3" t="str">
        <f t="shared" si="115"/>
        <v>(7 downto 0)</v>
      </c>
    </row>
    <row r="105" spans="2:72" x14ac:dyDescent="0.25">
      <c r="B105" s="3" t="s">
        <v>343</v>
      </c>
      <c r="C105" s="3" t="s">
        <v>450</v>
      </c>
      <c r="D105" s="3" t="s">
        <v>1</v>
      </c>
      <c r="E105" s="3" t="s">
        <v>1062</v>
      </c>
      <c r="F105" s="3" t="s">
        <v>111</v>
      </c>
      <c r="G105" s="3" t="s">
        <v>920</v>
      </c>
      <c r="H105" s="3" t="s">
        <v>211</v>
      </c>
      <c r="I105" s="3" t="s">
        <v>24</v>
      </c>
      <c r="J105" s="3">
        <v>16</v>
      </c>
      <c r="K105" s="3" t="s">
        <v>23</v>
      </c>
      <c r="L105" s="3" t="s">
        <v>23</v>
      </c>
      <c r="M105" s="3">
        <v>459</v>
      </c>
      <c r="N105" s="3" t="str">
        <f t="shared" si="116"/>
        <v>1CB</v>
      </c>
      <c r="O105" s="3">
        <v>31</v>
      </c>
      <c r="P105" s="3">
        <v>16</v>
      </c>
      <c r="Q105" s="3" t="str">
        <f t="shared" si="89"/>
        <v>X</v>
      </c>
      <c r="R105" s="3" t="str">
        <f t="shared" si="118"/>
        <v>X</v>
      </c>
      <c r="S105" s="3" t="str">
        <f t="shared" si="118"/>
        <v>X</v>
      </c>
      <c r="T105" s="3" t="str">
        <f t="shared" si="118"/>
        <v>X</v>
      </c>
      <c r="U105" s="3" t="str">
        <f t="shared" si="118"/>
        <v>X</v>
      </c>
      <c r="V105" s="3" t="str">
        <f t="shared" si="118"/>
        <v>X</v>
      </c>
      <c r="W105" s="3" t="str">
        <f t="shared" si="118"/>
        <v>X</v>
      </c>
      <c r="X105" s="3" t="str">
        <f t="shared" si="118"/>
        <v>X</v>
      </c>
      <c r="Y105" s="3" t="str">
        <f t="shared" si="118"/>
        <v>X</v>
      </c>
      <c r="Z105" s="3" t="str">
        <f t="shared" si="118"/>
        <v>X</v>
      </c>
      <c r="AA105" s="3" t="str">
        <f t="shared" si="118"/>
        <v>X</v>
      </c>
      <c r="AB105" s="3" t="str">
        <f t="shared" si="118"/>
        <v>X</v>
      </c>
      <c r="AC105" s="3" t="str">
        <f t="shared" si="118"/>
        <v>X</v>
      </c>
      <c r="AD105" s="3" t="str">
        <f t="shared" si="118"/>
        <v>X</v>
      </c>
      <c r="AE105" s="3" t="str">
        <f t="shared" si="118"/>
        <v>X</v>
      </c>
      <c r="AF105" s="3" t="str">
        <f t="shared" si="118"/>
        <v>X</v>
      </c>
      <c r="AG105" s="3" t="str">
        <f t="shared" si="118"/>
        <v/>
      </c>
      <c r="AH105" s="3" t="str">
        <f t="shared" si="117"/>
        <v/>
      </c>
      <c r="AI105" s="3" t="str">
        <f t="shared" si="117"/>
        <v/>
      </c>
      <c r="AJ105" s="3" t="str">
        <f t="shared" si="117"/>
        <v/>
      </c>
      <c r="AK105" s="3" t="str">
        <f t="shared" si="117"/>
        <v/>
      </c>
      <c r="AL105" s="3" t="str">
        <f t="shared" si="117"/>
        <v/>
      </c>
      <c r="AM105" s="3" t="str">
        <f t="shared" si="117"/>
        <v/>
      </c>
      <c r="AN105" s="3" t="str">
        <f t="shared" si="117"/>
        <v/>
      </c>
      <c r="AO105" s="3" t="str">
        <f t="shared" si="117"/>
        <v/>
      </c>
      <c r="AP105" s="3" t="str">
        <f t="shared" si="117"/>
        <v/>
      </c>
      <c r="AQ105" s="3" t="str">
        <f t="shared" si="117"/>
        <v/>
      </c>
      <c r="AR105" s="3" t="str">
        <f t="shared" si="117"/>
        <v/>
      </c>
      <c r="AS105" s="3" t="str">
        <f t="shared" si="117"/>
        <v/>
      </c>
      <c r="AT105" s="3" t="str">
        <f t="shared" si="117"/>
        <v/>
      </c>
      <c r="AU105" s="3" t="str">
        <f t="shared" si="117"/>
        <v/>
      </c>
      <c r="AV105" s="3" t="str">
        <f t="shared" si="117"/>
        <v/>
      </c>
      <c r="AW105" s="3" t="str">
        <f t="shared" si="90"/>
        <v>X</v>
      </c>
      <c r="AX105" s="3" t="str">
        <f t="shared" si="91"/>
        <v>X</v>
      </c>
      <c r="AY105" s="3" t="str">
        <f t="shared" si="92"/>
        <v/>
      </c>
      <c r="AZ105" s="3" t="str">
        <f t="shared" si="93"/>
        <v/>
      </c>
      <c r="BA105" s="3">
        <f t="shared" si="96"/>
        <v>1836</v>
      </c>
      <c r="BB105" s="3">
        <f t="shared" si="97"/>
        <v>1837</v>
      </c>
      <c r="BC105" s="3" t="str">
        <f t="shared" si="98"/>
        <v/>
      </c>
      <c r="BD105" s="3" t="str">
        <f t="shared" si="99"/>
        <v/>
      </c>
      <c r="BE105" s="9" t="str">
        <f t="shared" si="100"/>
        <v>72C</v>
      </c>
      <c r="BF105" s="9" t="str">
        <f t="shared" si="101"/>
        <v>72D</v>
      </c>
      <c r="BG105" s="9" t="str">
        <f t="shared" si="102"/>
        <v/>
      </c>
      <c r="BH105" s="9" t="str">
        <f t="shared" si="103"/>
        <v/>
      </c>
      <c r="BI105" s="3" t="str">
        <f t="shared" si="104"/>
        <v/>
      </c>
      <c r="BJ105" s="3" t="str">
        <f t="shared" si="105"/>
        <v/>
      </c>
      <c r="BK105" s="3" t="str">
        <f t="shared" si="106"/>
        <v/>
      </c>
      <c r="BL105" s="3" t="str">
        <f t="shared" si="107"/>
        <v/>
      </c>
      <c r="BM105" s="3">
        <f t="shared" si="108"/>
        <v>15</v>
      </c>
      <c r="BN105" s="3">
        <f t="shared" si="109"/>
        <v>7</v>
      </c>
      <c r="BO105" s="3" t="str">
        <f t="shared" si="110"/>
        <v/>
      </c>
      <c r="BP105" s="3" t="str">
        <f t="shared" si="111"/>
        <v/>
      </c>
      <c r="BQ105" s="3" t="str">
        <f t="shared" si="112"/>
        <v>(15 downto 8)</v>
      </c>
      <c r="BR105" s="3" t="str">
        <f t="shared" si="113"/>
        <v>(7 downto 0)</v>
      </c>
      <c r="BS105" s="3" t="str">
        <f t="shared" si="114"/>
        <v/>
      </c>
      <c r="BT105" s="3" t="str">
        <f t="shared" si="115"/>
        <v/>
      </c>
    </row>
    <row r="106" spans="2:72" x14ac:dyDescent="0.25">
      <c r="B106" s="3" t="s">
        <v>343</v>
      </c>
      <c r="C106" s="3" t="s">
        <v>451</v>
      </c>
      <c r="D106" s="3" t="s">
        <v>1</v>
      </c>
      <c r="E106" s="3" t="s">
        <v>1062</v>
      </c>
      <c r="F106" s="3" t="s">
        <v>111</v>
      </c>
      <c r="G106" s="3" t="s">
        <v>920</v>
      </c>
      <c r="H106" s="3" t="s">
        <v>212</v>
      </c>
      <c r="I106" s="3" t="s">
        <v>24</v>
      </c>
      <c r="J106" s="3">
        <v>16</v>
      </c>
      <c r="K106" s="3" t="s">
        <v>23</v>
      </c>
      <c r="L106" s="3" t="s">
        <v>23</v>
      </c>
      <c r="M106" s="3">
        <v>459</v>
      </c>
      <c r="N106" s="3" t="str">
        <f t="shared" si="116"/>
        <v>1CB</v>
      </c>
      <c r="O106" s="3">
        <v>15</v>
      </c>
      <c r="P106" s="3">
        <v>0</v>
      </c>
      <c r="Q106" s="3" t="str">
        <f t="shared" si="89"/>
        <v/>
      </c>
      <c r="R106" s="3" t="str">
        <f t="shared" si="118"/>
        <v/>
      </c>
      <c r="S106" s="3" t="str">
        <f t="shared" si="118"/>
        <v/>
      </c>
      <c r="T106" s="3" t="str">
        <f t="shared" si="118"/>
        <v/>
      </c>
      <c r="U106" s="3" t="str">
        <f t="shared" si="118"/>
        <v/>
      </c>
      <c r="V106" s="3" t="str">
        <f t="shared" si="118"/>
        <v/>
      </c>
      <c r="W106" s="3" t="str">
        <f t="shared" si="118"/>
        <v/>
      </c>
      <c r="X106" s="3" t="str">
        <f t="shared" si="118"/>
        <v/>
      </c>
      <c r="Y106" s="3" t="str">
        <f t="shared" si="118"/>
        <v/>
      </c>
      <c r="Z106" s="3" t="str">
        <f t="shared" si="118"/>
        <v/>
      </c>
      <c r="AA106" s="3" t="str">
        <f t="shared" si="118"/>
        <v/>
      </c>
      <c r="AB106" s="3" t="str">
        <f t="shared" si="118"/>
        <v/>
      </c>
      <c r="AC106" s="3" t="str">
        <f t="shared" si="118"/>
        <v/>
      </c>
      <c r="AD106" s="3" t="str">
        <f t="shared" si="118"/>
        <v/>
      </c>
      <c r="AE106" s="3" t="str">
        <f t="shared" si="118"/>
        <v/>
      </c>
      <c r="AF106" s="3" t="str">
        <f t="shared" si="118"/>
        <v/>
      </c>
      <c r="AG106" s="3" t="str">
        <f t="shared" si="118"/>
        <v>X</v>
      </c>
      <c r="AH106" s="3" t="str">
        <f t="shared" si="117"/>
        <v>X</v>
      </c>
      <c r="AI106" s="3" t="str">
        <f t="shared" si="117"/>
        <v>X</v>
      </c>
      <c r="AJ106" s="3" t="str">
        <f t="shared" si="117"/>
        <v>X</v>
      </c>
      <c r="AK106" s="3" t="str">
        <f t="shared" si="117"/>
        <v>X</v>
      </c>
      <c r="AL106" s="3" t="str">
        <f t="shared" si="117"/>
        <v>X</v>
      </c>
      <c r="AM106" s="3" t="str">
        <f t="shared" si="117"/>
        <v>X</v>
      </c>
      <c r="AN106" s="3" t="str">
        <f t="shared" si="117"/>
        <v>X</v>
      </c>
      <c r="AO106" s="3" t="str">
        <f t="shared" si="117"/>
        <v>X</v>
      </c>
      <c r="AP106" s="3" t="str">
        <f t="shared" si="117"/>
        <v>X</v>
      </c>
      <c r="AQ106" s="3" t="str">
        <f t="shared" si="117"/>
        <v>X</v>
      </c>
      <c r="AR106" s="3" t="str">
        <f t="shared" si="117"/>
        <v>X</v>
      </c>
      <c r="AS106" s="3" t="str">
        <f t="shared" si="117"/>
        <v>X</v>
      </c>
      <c r="AT106" s="3" t="str">
        <f t="shared" si="117"/>
        <v>X</v>
      </c>
      <c r="AU106" s="3" t="str">
        <f t="shared" si="117"/>
        <v>X</v>
      </c>
      <c r="AV106" s="3" t="str">
        <f t="shared" si="117"/>
        <v>X</v>
      </c>
      <c r="AW106" s="3" t="str">
        <f t="shared" si="90"/>
        <v/>
      </c>
      <c r="AX106" s="3" t="str">
        <f t="shared" si="91"/>
        <v/>
      </c>
      <c r="AY106" s="3" t="str">
        <f t="shared" si="92"/>
        <v>X</v>
      </c>
      <c r="AZ106" s="3" t="str">
        <f t="shared" si="93"/>
        <v>X</v>
      </c>
      <c r="BA106" s="3" t="str">
        <f t="shared" si="96"/>
        <v/>
      </c>
      <c r="BB106" s="3" t="str">
        <f t="shared" si="97"/>
        <v/>
      </c>
      <c r="BC106" s="3">
        <f t="shared" si="98"/>
        <v>1838</v>
      </c>
      <c r="BD106" s="3">
        <f t="shared" si="99"/>
        <v>1839</v>
      </c>
      <c r="BE106" s="9" t="str">
        <f t="shared" si="100"/>
        <v/>
      </c>
      <c r="BF106" s="9" t="str">
        <f t="shared" si="101"/>
        <v/>
      </c>
      <c r="BG106" s="9" t="str">
        <f t="shared" si="102"/>
        <v>72E</v>
      </c>
      <c r="BH106" s="9" t="str">
        <f t="shared" si="103"/>
        <v>72F</v>
      </c>
      <c r="BI106" s="3" t="str">
        <f t="shared" si="104"/>
        <v/>
      </c>
      <c r="BJ106" s="3" t="str">
        <f t="shared" si="105"/>
        <v/>
      </c>
      <c r="BK106" s="3" t="str">
        <f t="shared" si="106"/>
        <v/>
      </c>
      <c r="BL106" s="3" t="str">
        <f t="shared" si="107"/>
        <v/>
      </c>
      <c r="BM106" s="3" t="str">
        <f t="shared" si="108"/>
        <v/>
      </c>
      <c r="BN106" s="3" t="str">
        <f t="shared" si="109"/>
        <v/>
      </c>
      <c r="BO106" s="3">
        <f t="shared" si="110"/>
        <v>15</v>
      </c>
      <c r="BP106" s="3">
        <f t="shared" si="111"/>
        <v>7</v>
      </c>
      <c r="BQ106" s="3" t="str">
        <f t="shared" si="112"/>
        <v/>
      </c>
      <c r="BR106" s="3" t="str">
        <f t="shared" si="113"/>
        <v/>
      </c>
      <c r="BS106" s="3" t="str">
        <f t="shared" si="114"/>
        <v>(15 downto 8)</v>
      </c>
      <c r="BT106" s="3" t="str">
        <f t="shared" si="115"/>
        <v>(7 downto 0)</v>
      </c>
    </row>
    <row r="107" spans="2:72" x14ac:dyDescent="0.25">
      <c r="B107" s="3" t="s">
        <v>344</v>
      </c>
      <c r="C107" s="3" t="s">
        <v>452</v>
      </c>
      <c r="D107" s="3" t="s">
        <v>1</v>
      </c>
      <c r="E107" s="3" t="s">
        <v>1062</v>
      </c>
      <c r="F107" s="3" t="s">
        <v>112</v>
      </c>
      <c r="G107" s="3" t="s">
        <v>921</v>
      </c>
      <c r="H107" s="3" t="s">
        <v>213</v>
      </c>
      <c r="I107" s="3" t="s">
        <v>24</v>
      </c>
      <c r="J107" s="3">
        <v>16</v>
      </c>
      <c r="K107" s="3" t="s">
        <v>23</v>
      </c>
      <c r="L107" s="3" t="s">
        <v>23</v>
      </c>
      <c r="M107" s="3">
        <v>460</v>
      </c>
      <c r="N107" s="3" t="str">
        <f t="shared" si="116"/>
        <v>1CC</v>
      </c>
      <c r="O107" s="3">
        <v>31</v>
      </c>
      <c r="P107" s="3">
        <v>16</v>
      </c>
      <c r="Q107" s="3" t="str">
        <f t="shared" si="89"/>
        <v>X</v>
      </c>
      <c r="R107" s="3" t="str">
        <f t="shared" si="118"/>
        <v>X</v>
      </c>
      <c r="S107" s="3" t="str">
        <f t="shared" si="118"/>
        <v>X</v>
      </c>
      <c r="T107" s="3" t="str">
        <f t="shared" si="118"/>
        <v>X</v>
      </c>
      <c r="U107" s="3" t="str">
        <f t="shared" si="118"/>
        <v>X</v>
      </c>
      <c r="V107" s="3" t="str">
        <f t="shared" si="118"/>
        <v>X</v>
      </c>
      <c r="W107" s="3" t="str">
        <f t="shared" si="118"/>
        <v>X</v>
      </c>
      <c r="X107" s="3" t="str">
        <f t="shared" si="118"/>
        <v>X</v>
      </c>
      <c r="Y107" s="3" t="str">
        <f t="shared" si="118"/>
        <v>X</v>
      </c>
      <c r="Z107" s="3" t="str">
        <f t="shared" si="118"/>
        <v>X</v>
      </c>
      <c r="AA107" s="3" t="str">
        <f t="shared" si="118"/>
        <v>X</v>
      </c>
      <c r="AB107" s="3" t="str">
        <f t="shared" si="118"/>
        <v>X</v>
      </c>
      <c r="AC107" s="3" t="str">
        <f t="shared" si="118"/>
        <v>X</v>
      </c>
      <c r="AD107" s="3" t="str">
        <f t="shared" si="118"/>
        <v>X</v>
      </c>
      <c r="AE107" s="3" t="str">
        <f t="shared" si="118"/>
        <v>X</v>
      </c>
      <c r="AF107" s="3" t="str">
        <f t="shared" si="118"/>
        <v>X</v>
      </c>
      <c r="AG107" s="3" t="str">
        <f t="shared" si="118"/>
        <v/>
      </c>
      <c r="AH107" s="3" t="str">
        <f t="shared" si="117"/>
        <v/>
      </c>
      <c r="AI107" s="3" t="str">
        <f t="shared" si="117"/>
        <v/>
      </c>
      <c r="AJ107" s="3" t="str">
        <f t="shared" si="117"/>
        <v/>
      </c>
      <c r="AK107" s="3" t="str">
        <f t="shared" si="117"/>
        <v/>
      </c>
      <c r="AL107" s="3" t="str">
        <f t="shared" si="117"/>
        <v/>
      </c>
      <c r="AM107" s="3" t="str">
        <f t="shared" si="117"/>
        <v/>
      </c>
      <c r="AN107" s="3" t="str">
        <f t="shared" si="117"/>
        <v/>
      </c>
      <c r="AO107" s="3" t="str">
        <f t="shared" si="117"/>
        <v/>
      </c>
      <c r="AP107" s="3" t="str">
        <f t="shared" si="117"/>
        <v/>
      </c>
      <c r="AQ107" s="3" t="str">
        <f t="shared" si="117"/>
        <v/>
      </c>
      <c r="AR107" s="3" t="str">
        <f t="shared" si="117"/>
        <v/>
      </c>
      <c r="AS107" s="3" t="str">
        <f t="shared" si="117"/>
        <v/>
      </c>
      <c r="AT107" s="3" t="str">
        <f t="shared" si="117"/>
        <v/>
      </c>
      <c r="AU107" s="3" t="str">
        <f t="shared" si="117"/>
        <v/>
      </c>
      <c r="AV107" s="3" t="str">
        <f t="shared" si="117"/>
        <v/>
      </c>
      <c r="AW107" s="3" t="str">
        <f t="shared" si="90"/>
        <v>X</v>
      </c>
      <c r="AX107" s="3" t="str">
        <f t="shared" si="91"/>
        <v>X</v>
      </c>
      <c r="AY107" s="3" t="str">
        <f t="shared" si="92"/>
        <v/>
      </c>
      <c r="AZ107" s="3" t="str">
        <f t="shared" si="93"/>
        <v/>
      </c>
      <c r="BA107" s="3">
        <f t="shared" si="96"/>
        <v>1840</v>
      </c>
      <c r="BB107" s="3">
        <f t="shared" si="97"/>
        <v>1841</v>
      </c>
      <c r="BC107" s="3" t="str">
        <f t="shared" si="98"/>
        <v/>
      </c>
      <c r="BD107" s="3" t="str">
        <f t="shared" si="99"/>
        <v/>
      </c>
      <c r="BE107" s="9" t="str">
        <f t="shared" si="100"/>
        <v>730</v>
      </c>
      <c r="BF107" s="9" t="str">
        <f t="shared" si="101"/>
        <v>731</v>
      </c>
      <c r="BG107" s="9" t="str">
        <f t="shared" si="102"/>
        <v/>
      </c>
      <c r="BH107" s="9" t="str">
        <f t="shared" si="103"/>
        <v/>
      </c>
      <c r="BI107" s="3" t="str">
        <f t="shared" si="104"/>
        <v/>
      </c>
      <c r="BJ107" s="3" t="str">
        <f t="shared" si="105"/>
        <v/>
      </c>
      <c r="BK107" s="3" t="str">
        <f t="shared" si="106"/>
        <v/>
      </c>
      <c r="BL107" s="3" t="str">
        <f t="shared" si="107"/>
        <v/>
      </c>
      <c r="BM107" s="3">
        <f t="shared" si="108"/>
        <v>15</v>
      </c>
      <c r="BN107" s="3">
        <f t="shared" si="109"/>
        <v>7</v>
      </c>
      <c r="BO107" s="3" t="str">
        <f t="shared" si="110"/>
        <v/>
      </c>
      <c r="BP107" s="3" t="str">
        <f t="shared" si="111"/>
        <v/>
      </c>
      <c r="BQ107" s="3" t="str">
        <f t="shared" si="112"/>
        <v>(15 downto 8)</v>
      </c>
      <c r="BR107" s="3" t="str">
        <f t="shared" si="113"/>
        <v>(7 downto 0)</v>
      </c>
      <c r="BS107" s="3" t="str">
        <f t="shared" si="114"/>
        <v/>
      </c>
      <c r="BT107" s="3" t="str">
        <f t="shared" si="115"/>
        <v/>
      </c>
    </row>
    <row r="108" spans="2:72" x14ac:dyDescent="0.25">
      <c r="B108" s="3" t="s">
        <v>344</v>
      </c>
      <c r="C108" s="3" t="s">
        <v>453</v>
      </c>
      <c r="D108" s="3" t="s">
        <v>1</v>
      </c>
      <c r="E108" s="3" t="s">
        <v>1062</v>
      </c>
      <c r="F108" s="3" t="s">
        <v>112</v>
      </c>
      <c r="G108" s="3" t="s">
        <v>921</v>
      </c>
      <c r="H108" s="3" t="s">
        <v>214</v>
      </c>
      <c r="I108" s="3" t="s">
        <v>24</v>
      </c>
      <c r="J108" s="3">
        <v>16</v>
      </c>
      <c r="K108" s="3" t="s">
        <v>23</v>
      </c>
      <c r="L108" s="3" t="s">
        <v>23</v>
      </c>
      <c r="M108" s="3">
        <v>460</v>
      </c>
      <c r="N108" s="3" t="str">
        <f t="shared" si="116"/>
        <v>1CC</v>
      </c>
      <c r="O108" s="3">
        <v>15</v>
      </c>
      <c r="P108" s="3">
        <v>0</v>
      </c>
      <c r="Q108" s="3" t="str">
        <f t="shared" si="89"/>
        <v/>
      </c>
      <c r="R108" s="3" t="str">
        <f t="shared" si="118"/>
        <v/>
      </c>
      <c r="S108" s="3" t="str">
        <f t="shared" si="118"/>
        <v/>
      </c>
      <c r="T108" s="3" t="str">
        <f t="shared" si="118"/>
        <v/>
      </c>
      <c r="U108" s="3" t="str">
        <f t="shared" si="118"/>
        <v/>
      </c>
      <c r="V108" s="3" t="str">
        <f t="shared" si="118"/>
        <v/>
      </c>
      <c r="W108" s="3" t="str">
        <f t="shared" si="118"/>
        <v/>
      </c>
      <c r="X108" s="3" t="str">
        <f t="shared" si="118"/>
        <v/>
      </c>
      <c r="Y108" s="3" t="str">
        <f t="shared" si="118"/>
        <v/>
      </c>
      <c r="Z108" s="3" t="str">
        <f t="shared" si="118"/>
        <v/>
      </c>
      <c r="AA108" s="3" t="str">
        <f t="shared" si="118"/>
        <v/>
      </c>
      <c r="AB108" s="3" t="str">
        <f t="shared" si="118"/>
        <v/>
      </c>
      <c r="AC108" s="3" t="str">
        <f t="shared" si="118"/>
        <v/>
      </c>
      <c r="AD108" s="3" t="str">
        <f t="shared" si="118"/>
        <v/>
      </c>
      <c r="AE108" s="3" t="str">
        <f t="shared" si="118"/>
        <v/>
      </c>
      <c r="AF108" s="3" t="str">
        <f t="shared" si="118"/>
        <v/>
      </c>
      <c r="AG108" s="3" t="str">
        <f t="shared" si="118"/>
        <v>X</v>
      </c>
      <c r="AH108" s="3" t="str">
        <f t="shared" si="117"/>
        <v>X</v>
      </c>
      <c r="AI108" s="3" t="str">
        <f t="shared" si="117"/>
        <v>X</v>
      </c>
      <c r="AJ108" s="3" t="str">
        <f t="shared" si="117"/>
        <v>X</v>
      </c>
      <c r="AK108" s="3" t="str">
        <f t="shared" si="117"/>
        <v>X</v>
      </c>
      <c r="AL108" s="3" t="str">
        <f t="shared" si="117"/>
        <v>X</v>
      </c>
      <c r="AM108" s="3" t="str">
        <f t="shared" si="117"/>
        <v>X</v>
      </c>
      <c r="AN108" s="3" t="str">
        <f t="shared" si="117"/>
        <v>X</v>
      </c>
      <c r="AO108" s="3" t="str">
        <f t="shared" si="117"/>
        <v>X</v>
      </c>
      <c r="AP108" s="3" t="str">
        <f t="shared" si="117"/>
        <v>X</v>
      </c>
      <c r="AQ108" s="3" t="str">
        <f t="shared" si="117"/>
        <v>X</v>
      </c>
      <c r="AR108" s="3" t="str">
        <f t="shared" si="117"/>
        <v>X</v>
      </c>
      <c r="AS108" s="3" t="str">
        <f t="shared" si="117"/>
        <v>X</v>
      </c>
      <c r="AT108" s="3" t="str">
        <f t="shared" si="117"/>
        <v>X</v>
      </c>
      <c r="AU108" s="3" t="str">
        <f t="shared" si="117"/>
        <v>X</v>
      </c>
      <c r="AV108" s="3" t="str">
        <f t="shared" si="117"/>
        <v>X</v>
      </c>
      <c r="AW108" s="3" t="str">
        <f t="shared" si="90"/>
        <v/>
      </c>
      <c r="AX108" s="3" t="str">
        <f t="shared" si="91"/>
        <v/>
      </c>
      <c r="AY108" s="3" t="str">
        <f t="shared" si="92"/>
        <v>X</v>
      </c>
      <c r="AZ108" s="3" t="str">
        <f t="shared" si="93"/>
        <v>X</v>
      </c>
      <c r="BA108" s="3" t="str">
        <f t="shared" si="96"/>
        <v/>
      </c>
      <c r="BB108" s="3" t="str">
        <f t="shared" si="97"/>
        <v/>
      </c>
      <c r="BC108" s="3">
        <f t="shared" si="98"/>
        <v>1842</v>
      </c>
      <c r="BD108" s="3">
        <f t="shared" si="99"/>
        <v>1843</v>
      </c>
      <c r="BE108" s="9" t="str">
        <f t="shared" si="100"/>
        <v/>
      </c>
      <c r="BF108" s="9" t="str">
        <f t="shared" si="101"/>
        <v/>
      </c>
      <c r="BG108" s="9" t="str">
        <f t="shared" si="102"/>
        <v>732</v>
      </c>
      <c r="BH108" s="9" t="str">
        <f t="shared" si="103"/>
        <v>733</v>
      </c>
      <c r="BI108" s="3" t="str">
        <f t="shared" si="104"/>
        <v/>
      </c>
      <c r="BJ108" s="3" t="str">
        <f t="shared" si="105"/>
        <v/>
      </c>
      <c r="BK108" s="3" t="str">
        <f t="shared" si="106"/>
        <v/>
      </c>
      <c r="BL108" s="3" t="str">
        <f t="shared" si="107"/>
        <v/>
      </c>
      <c r="BM108" s="3" t="str">
        <f t="shared" si="108"/>
        <v/>
      </c>
      <c r="BN108" s="3" t="str">
        <f t="shared" si="109"/>
        <v/>
      </c>
      <c r="BO108" s="3">
        <f t="shared" si="110"/>
        <v>15</v>
      </c>
      <c r="BP108" s="3">
        <f t="shared" si="111"/>
        <v>7</v>
      </c>
      <c r="BQ108" s="3" t="str">
        <f t="shared" si="112"/>
        <v/>
      </c>
      <c r="BR108" s="3" t="str">
        <f t="shared" si="113"/>
        <v/>
      </c>
      <c r="BS108" s="3" t="str">
        <f t="shared" si="114"/>
        <v>(15 downto 8)</v>
      </c>
      <c r="BT108" s="3" t="str">
        <f t="shared" si="115"/>
        <v>(7 downto 0)</v>
      </c>
    </row>
    <row r="109" spans="2:72" x14ac:dyDescent="0.25">
      <c r="B109" s="3" t="s">
        <v>345</v>
      </c>
      <c r="C109" s="3" t="s">
        <v>454</v>
      </c>
      <c r="D109" s="3" t="s">
        <v>1</v>
      </c>
      <c r="E109" s="3" t="s">
        <v>1062</v>
      </c>
      <c r="F109" s="3" t="s">
        <v>113</v>
      </c>
      <c r="G109" s="3" t="s">
        <v>922</v>
      </c>
      <c r="H109" s="3" t="s">
        <v>215</v>
      </c>
      <c r="I109" s="3" t="s">
        <v>24</v>
      </c>
      <c r="J109" s="3">
        <v>16</v>
      </c>
      <c r="K109" s="3" t="s">
        <v>23</v>
      </c>
      <c r="L109" s="3" t="s">
        <v>23</v>
      </c>
      <c r="M109" s="3">
        <v>461</v>
      </c>
      <c r="N109" s="3" t="str">
        <f t="shared" si="116"/>
        <v>1CD</v>
      </c>
      <c r="O109" s="3">
        <v>31</v>
      </c>
      <c r="P109" s="3">
        <v>16</v>
      </c>
      <c r="Q109" s="3" t="str">
        <f t="shared" si="89"/>
        <v>X</v>
      </c>
      <c r="R109" s="3" t="str">
        <f t="shared" si="118"/>
        <v>X</v>
      </c>
      <c r="S109" s="3" t="str">
        <f t="shared" si="118"/>
        <v>X</v>
      </c>
      <c r="T109" s="3" t="str">
        <f t="shared" si="118"/>
        <v>X</v>
      </c>
      <c r="U109" s="3" t="str">
        <f t="shared" si="118"/>
        <v>X</v>
      </c>
      <c r="V109" s="3" t="str">
        <f t="shared" si="118"/>
        <v>X</v>
      </c>
      <c r="W109" s="3" t="str">
        <f t="shared" si="118"/>
        <v>X</v>
      </c>
      <c r="X109" s="3" t="str">
        <f t="shared" si="118"/>
        <v>X</v>
      </c>
      <c r="Y109" s="3" t="str">
        <f t="shared" si="118"/>
        <v>X</v>
      </c>
      <c r="Z109" s="3" t="str">
        <f t="shared" si="118"/>
        <v>X</v>
      </c>
      <c r="AA109" s="3" t="str">
        <f t="shared" si="118"/>
        <v>X</v>
      </c>
      <c r="AB109" s="3" t="str">
        <f t="shared" si="118"/>
        <v>X</v>
      </c>
      <c r="AC109" s="3" t="str">
        <f t="shared" si="118"/>
        <v>X</v>
      </c>
      <c r="AD109" s="3" t="str">
        <f t="shared" si="118"/>
        <v>X</v>
      </c>
      <c r="AE109" s="3" t="str">
        <f t="shared" si="118"/>
        <v>X</v>
      </c>
      <c r="AF109" s="3" t="str">
        <f t="shared" si="118"/>
        <v>X</v>
      </c>
      <c r="AG109" s="3" t="str">
        <f t="shared" si="118"/>
        <v/>
      </c>
      <c r="AH109" s="3" t="str">
        <f t="shared" ref="AH109:AV170" si="119">IF(AND($O109&gt;=AH$3,AH$3&gt;=$P109),"X","")</f>
        <v/>
      </c>
      <c r="AI109" s="3" t="str">
        <f t="shared" si="119"/>
        <v/>
      </c>
      <c r="AJ109" s="3" t="str">
        <f t="shared" si="119"/>
        <v/>
      </c>
      <c r="AK109" s="3" t="str">
        <f t="shared" si="119"/>
        <v/>
      </c>
      <c r="AL109" s="3" t="str">
        <f t="shared" si="119"/>
        <v/>
      </c>
      <c r="AM109" s="3" t="str">
        <f t="shared" si="119"/>
        <v/>
      </c>
      <c r="AN109" s="3" t="str">
        <f t="shared" si="119"/>
        <v/>
      </c>
      <c r="AO109" s="3" t="str">
        <f t="shared" si="119"/>
        <v/>
      </c>
      <c r="AP109" s="3" t="str">
        <f t="shared" si="119"/>
        <v/>
      </c>
      <c r="AQ109" s="3" t="str">
        <f t="shared" si="119"/>
        <v/>
      </c>
      <c r="AR109" s="3" t="str">
        <f t="shared" si="119"/>
        <v/>
      </c>
      <c r="AS109" s="3" t="str">
        <f t="shared" si="119"/>
        <v/>
      </c>
      <c r="AT109" s="3" t="str">
        <f t="shared" si="119"/>
        <v/>
      </c>
      <c r="AU109" s="3" t="str">
        <f t="shared" si="119"/>
        <v/>
      </c>
      <c r="AV109" s="3" t="str">
        <f t="shared" si="119"/>
        <v/>
      </c>
      <c r="AW109" s="3" t="str">
        <f t="shared" si="90"/>
        <v>X</v>
      </c>
      <c r="AX109" s="3" t="str">
        <f t="shared" si="91"/>
        <v>X</v>
      </c>
      <c r="AY109" s="3" t="str">
        <f t="shared" si="92"/>
        <v/>
      </c>
      <c r="AZ109" s="3" t="str">
        <f t="shared" si="93"/>
        <v/>
      </c>
      <c r="BA109" s="3">
        <f t="shared" si="96"/>
        <v>1844</v>
      </c>
      <c r="BB109" s="3">
        <f t="shared" si="97"/>
        <v>1845</v>
      </c>
      <c r="BC109" s="3" t="str">
        <f t="shared" si="98"/>
        <v/>
      </c>
      <c r="BD109" s="3" t="str">
        <f t="shared" si="99"/>
        <v/>
      </c>
      <c r="BE109" s="9" t="str">
        <f t="shared" si="100"/>
        <v>734</v>
      </c>
      <c r="BF109" s="9" t="str">
        <f t="shared" si="101"/>
        <v>735</v>
      </c>
      <c r="BG109" s="9" t="str">
        <f t="shared" si="102"/>
        <v/>
      </c>
      <c r="BH109" s="9" t="str">
        <f t="shared" si="103"/>
        <v/>
      </c>
      <c r="BI109" s="3" t="str">
        <f t="shared" si="104"/>
        <v/>
      </c>
      <c r="BJ109" s="3" t="str">
        <f t="shared" si="105"/>
        <v/>
      </c>
      <c r="BK109" s="3" t="str">
        <f t="shared" si="106"/>
        <v/>
      </c>
      <c r="BL109" s="3" t="str">
        <f t="shared" si="107"/>
        <v/>
      </c>
      <c r="BM109" s="3">
        <f t="shared" si="108"/>
        <v>15</v>
      </c>
      <c r="BN109" s="3">
        <f t="shared" si="109"/>
        <v>7</v>
      </c>
      <c r="BO109" s="3" t="str">
        <f t="shared" si="110"/>
        <v/>
      </c>
      <c r="BP109" s="3" t="str">
        <f t="shared" si="111"/>
        <v/>
      </c>
      <c r="BQ109" s="3" t="str">
        <f t="shared" si="112"/>
        <v>(15 downto 8)</v>
      </c>
      <c r="BR109" s="3" t="str">
        <f t="shared" si="113"/>
        <v>(7 downto 0)</v>
      </c>
      <c r="BS109" s="3" t="str">
        <f t="shared" si="114"/>
        <v/>
      </c>
      <c r="BT109" s="3" t="str">
        <f t="shared" si="115"/>
        <v/>
      </c>
    </row>
    <row r="110" spans="2:72" x14ac:dyDescent="0.25">
      <c r="B110" s="3" t="s">
        <v>345</v>
      </c>
      <c r="C110" s="3" t="s">
        <v>455</v>
      </c>
      <c r="D110" s="3" t="s">
        <v>1</v>
      </c>
      <c r="E110" s="3" t="s">
        <v>1062</v>
      </c>
      <c r="F110" s="3" t="s">
        <v>113</v>
      </c>
      <c r="G110" s="3" t="s">
        <v>922</v>
      </c>
      <c r="H110" s="3" t="s">
        <v>216</v>
      </c>
      <c r="I110" s="3" t="s">
        <v>24</v>
      </c>
      <c r="J110" s="3">
        <v>16</v>
      </c>
      <c r="K110" s="3" t="s">
        <v>23</v>
      </c>
      <c r="L110" s="3" t="s">
        <v>23</v>
      </c>
      <c r="M110" s="3">
        <v>461</v>
      </c>
      <c r="N110" s="3" t="str">
        <f t="shared" si="116"/>
        <v>1CD</v>
      </c>
      <c r="O110" s="3">
        <v>15</v>
      </c>
      <c r="P110" s="3">
        <v>0</v>
      </c>
      <c r="Q110" s="3" t="str">
        <f t="shared" si="89"/>
        <v/>
      </c>
      <c r="R110" s="3" t="str">
        <f t="shared" si="118"/>
        <v/>
      </c>
      <c r="S110" s="3" t="str">
        <f t="shared" si="118"/>
        <v/>
      </c>
      <c r="T110" s="3" t="str">
        <f t="shared" si="118"/>
        <v/>
      </c>
      <c r="U110" s="3" t="str">
        <f t="shared" si="118"/>
        <v/>
      </c>
      <c r="V110" s="3" t="str">
        <f t="shared" si="118"/>
        <v/>
      </c>
      <c r="W110" s="3" t="str">
        <f t="shared" si="118"/>
        <v/>
      </c>
      <c r="X110" s="3" t="str">
        <f t="shared" si="118"/>
        <v/>
      </c>
      <c r="Y110" s="3" t="str">
        <f t="shared" si="118"/>
        <v/>
      </c>
      <c r="Z110" s="3" t="str">
        <f t="shared" si="118"/>
        <v/>
      </c>
      <c r="AA110" s="3" t="str">
        <f t="shared" si="118"/>
        <v/>
      </c>
      <c r="AB110" s="3" t="str">
        <f t="shared" si="118"/>
        <v/>
      </c>
      <c r="AC110" s="3" t="str">
        <f t="shared" ref="R110:AG170" si="120">IF(AND($O110&gt;=AC$3,AC$3&gt;=$P110),"X","")</f>
        <v/>
      </c>
      <c r="AD110" s="3" t="str">
        <f t="shared" si="120"/>
        <v/>
      </c>
      <c r="AE110" s="3" t="str">
        <f t="shared" si="120"/>
        <v/>
      </c>
      <c r="AF110" s="3" t="str">
        <f t="shared" si="120"/>
        <v/>
      </c>
      <c r="AG110" s="3" t="str">
        <f t="shared" si="120"/>
        <v>X</v>
      </c>
      <c r="AH110" s="3" t="str">
        <f t="shared" si="119"/>
        <v>X</v>
      </c>
      <c r="AI110" s="3" t="str">
        <f t="shared" si="119"/>
        <v>X</v>
      </c>
      <c r="AJ110" s="3" t="str">
        <f t="shared" si="119"/>
        <v>X</v>
      </c>
      <c r="AK110" s="3" t="str">
        <f t="shared" si="119"/>
        <v>X</v>
      </c>
      <c r="AL110" s="3" t="str">
        <f t="shared" si="119"/>
        <v>X</v>
      </c>
      <c r="AM110" s="3" t="str">
        <f t="shared" si="119"/>
        <v>X</v>
      </c>
      <c r="AN110" s="3" t="str">
        <f t="shared" si="119"/>
        <v>X</v>
      </c>
      <c r="AO110" s="3" t="str">
        <f t="shared" si="119"/>
        <v>X</v>
      </c>
      <c r="AP110" s="3" t="str">
        <f t="shared" si="119"/>
        <v>X</v>
      </c>
      <c r="AQ110" s="3" t="str">
        <f t="shared" si="119"/>
        <v>X</v>
      </c>
      <c r="AR110" s="3" t="str">
        <f t="shared" si="119"/>
        <v>X</v>
      </c>
      <c r="AS110" s="3" t="str">
        <f t="shared" si="119"/>
        <v>X</v>
      </c>
      <c r="AT110" s="3" t="str">
        <f t="shared" si="119"/>
        <v>X</v>
      </c>
      <c r="AU110" s="3" t="str">
        <f t="shared" si="119"/>
        <v>X</v>
      </c>
      <c r="AV110" s="3" t="str">
        <f t="shared" si="119"/>
        <v>X</v>
      </c>
      <c r="AW110" s="3" t="str">
        <f t="shared" si="90"/>
        <v/>
      </c>
      <c r="AX110" s="3" t="str">
        <f t="shared" si="91"/>
        <v/>
      </c>
      <c r="AY110" s="3" t="str">
        <f t="shared" si="92"/>
        <v>X</v>
      </c>
      <c r="AZ110" s="3" t="str">
        <f t="shared" si="93"/>
        <v>X</v>
      </c>
      <c r="BA110" s="3" t="str">
        <f t="shared" si="96"/>
        <v/>
      </c>
      <c r="BB110" s="3" t="str">
        <f t="shared" si="97"/>
        <v/>
      </c>
      <c r="BC110" s="3">
        <f t="shared" si="98"/>
        <v>1846</v>
      </c>
      <c r="BD110" s="3">
        <f t="shared" si="99"/>
        <v>1847</v>
      </c>
      <c r="BE110" s="9" t="str">
        <f t="shared" si="100"/>
        <v/>
      </c>
      <c r="BF110" s="9" t="str">
        <f t="shared" si="101"/>
        <v/>
      </c>
      <c r="BG110" s="9" t="str">
        <f t="shared" si="102"/>
        <v>736</v>
      </c>
      <c r="BH110" s="9" t="str">
        <f t="shared" si="103"/>
        <v>737</v>
      </c>
      <c r="BI110" s="3" t="str">
        <f t="shared" si="104"/>
        <v/>
      </c>
      <c r="BJ110" s="3" t="str">
        <f t="shared" si="105"/>
        <v/>
      </c>
      <c r="BK110" s="3" t="str">
        <f t="shared" si="106"/>
        <v/>
      </c>
      <c r="BL110" s="3" t="str">
        <f t="shared" si="107"/>
        <v/>
      </c>
      <c r="BM110" s="3" t="str">
        <f t="shared" si="108"/>
        <v/>
      </c>
      <c r="BN110" s="3" t="str">
        <f t="shared" si="109"/>
        <v/>
      </c>
      <c r="BO110" s="3">
        <f t="shared" si="110"/>
        <v>15</v>
      </c>
      <c r="BP110" s="3">
        <f t="shared" si="111"/>
        <v>7</v>
      </c>
      <c r="BQ110" s="3" t="str">
        <f t="shared" si="112"/>
        <v/>
      </c>
      <c r="BR110" s="3" t="str">
        <f t="shared" si="113"/>
        <v/>
      </c>
      <c r="BS110" s="3" t="str">
        <f t="shared" si="114"/>
        <v>(15 downto 8)</v>
      </c>
      <c r="BT110" s="3" t="str">
        <f t="shared" si="115"/>
        <v>(7 downto 0)</v>
      </c>
    </row>
    <row r="111" spans="2:72" x14ac:dyDescent="0.25">
      <c r="B111" s="3" t="s">
        <v>346</v>
      </c>
      <c r="C111" s="3" t="s">
        <v>456</v>
      </c>
      <c r="D111" s="3" t="s">
        <v>1</v>
      </c>
      <c r="E111" s="3" t="s">
        <v>1062</v>
      </c>
      <c r="F111" s="3" t="s">
        <v>114</v>
      </c>
      <c r="G111" s="3" t="s">
        <v>923</v>
      </c>
      <c r="H111" s="3" t="s">
        <v>217</v>
      </c>
      <c r="I111" s="3" t="s">
        <v>24</v>
      </c>
      <c r="J111" s="3">
        <v>16</v>
      </c>
      <c r="K111" s="3" t="s">
        <v>23</v>
      </c>
      <c r="L111" s="3" t="s">
        <v>23</v>
      </c>
      <c r="M111" s="3">
        <v>462</v>
      </c>
      <c r="N111" s="3" t="str">
        <f t="shared" si="116"/>
        <v>1CE</v>
      </c>
      <c r="O111" s="3">
        <v>31</v>
      </c>
      <c r="P111" s="3">
        <v>16</v>
      </c>
      <c r="Q111" s="3" t="str">
        <f t="shared" si="89"/>
        <v>X</v>
      </c>
      <c r="R111" s="3" t="str">
        <f t="shared" si="120"/>
        <v>X</v>
      </c>
      <c r="S111" s="3" t="str">
        <f t="shared" si="120"/>
        <v>X</v>
      </c>
      <c r="T111" s="3" t="str">
        <f t="shared" si="120"/>
        <v>X</v>
      </c>
      <c r="U111" s="3" t="str">
        <f t="shared" si="120"/>
        <v>X</v>
      </c>
      <c r="V111" s="3" t="str">
        <f t="shared" si="120"/>
        <v>X</v>
      </c>
      <c r="W111" s="3" t="str">
        <f t="shared" si="120"/>
        <v>X</v>
      </c>
      <c r="X111" s="3" t="str">
        <f t="shared" si="120"/>
        <v>X</v>
      </c>
      <c r="Y111" s="3" t="str">
        <f t="shared" si="120"/>
        <v>X</v>
      </c>
      <c r="Z111" s="3" t="str">
        <f t="shared" si="120"/>
        <v>X</v>
      </c>
      <c r="AA111" s="3" t="str">
        <f t="shared" si="120"/>
        <v>X</v>
      </c>
      <c r="AB111" s="3" t="str">
        <f t="shared" si="120"/>
        <v>X</v>
      </c>
      <c r="AC111" s="3" t="str">
        <f t="shared" si="120"/>
        <v>X</v>
      </c>
      <c r="AD111" s="3" t="str">
        <f t="shared" si="120"/>
        <v>X</v>
      </c>
      <c r="AE111" s="3" t="str">
        <f t="shared" si="120"/>
        <v>X</v>
      </c>
      <c r="AF111" s="3" t="str">
        <f t="shared" si="120"/>
        <v>X</v>
      </c>
      <c r="AG111" s="3" t="str">
        <f t="shared" si="120"/>
        <v/>
      </c>
      <c r="AH111" s="3" t="str">
        <f t="shared" si="119"/>
        <v/>
      </c>
      <c r="AI111" s="3" t="str">
        <f t="shared" si="119"/>
        <v/>
      </c>
      <c r="AJ111" s="3" t="str">
        <f t="shared" si="119"/>
        <v/>
      </c>
      <c r="AK111" s="3" t="str">
        <f t="shared" si="119"/>
        <v/>
      </c>
      <c r="AL111" s="3" t="str">
        <f t="shared" si="119"/>
        <v/>
      </c>
      <c r="AM111" s="3" t="str">
        <f t="shared" si="119"/>
        <v/>
      </c>
      <c r="AN111" s="3" t="str">
        <f t="shared" si="119"/>
        <v/>
      </c>
      <c r="AO111" s="3" t="str">
        <f t="shared" si="119"/>
        <v/>
      </c>
      <c r="AP111" s="3" t="str">
        <f t="shared" si="119"/>
        <v/>
      </c>
      <c r="AQ111" s="3" t="str">
        <f t="shared" si="119"/>
        <v/>
      </c>
      <c r="AR111" s="3" t="str">
        <f t="shared" si="119"/>
        <v/>
      </c>
      <c r="AS111" s="3" t="str">
        <f t="shared" si="119"/>
        <v/>
      </c>
      <c r="AT111" s="3" t="str">
        <f t="shared" si="119"/>
        <v/>
      </c>
      <c r="AU111" s="3" t="str">
        <f t="shared" si="119"/>
        <v/>
      </c>
      <c r="AV111" s="3" t="str">
        <f t="shared" si="119"/>
        <v/>
      </c>
      <c r="AW111" s="3" t="str">
        <f t="shared" si="90"/>
        <v>X</v>
      </c>
      <c r="AX111" s="3" t="str">
        <f t="shared" si="91"/>
        <v>X</v>
      </c>
      <c r="AY111" s="3" t="str">
        <f t="shared" si="92"/>
        <v/>
      </c>
      <c r="AZ111" s="3" t="str">
        <f t="shared" si="93"/>
        <v/>
      </c>
      <c r="BA111" s="3">
        <f t="shared" si="96"/>
        <v>1848</v>
      </c>
      <c r="BB111" s="3">
        <f t="shared" si="97"/>
        <v>1849</v>
      </c>
      <c r="BC111" s="3" t="str">
        <f t="shared" si="98"/>
        <v/>
      </c>
      <c r="BD111" s="3" t="str">
        <f t="shared" si="99"/>
        <v/>
      </c>
      <c r="BE111" s="9" t="str">
        <f t="shared" si="100"/>
        <v>738</v>
      </c>
      <c r="BF111" s="9" t="str">
        <f t="shared" si="101"/>
        <v>739</v>
      </c>
      <c r="BG111" s="9" t="str">
        <f t="shared" si="102"/>
        <v/>
      </c>
      <c r="BH111" s="9" t="str">
        <f t="shared" si="103"/>
        <v/>
      </c>
      <c r="BI111" s="3" t="str">
        <f t="shared" si="104"/>
        <v/>
      </c>
      <c r="BJ111" s="3" t="str">
        <f t="shared" si="105"/>
        <v/>
      </c>
      <c r="BK111" s="3" t="str">
        <f t="shared" si="106"/>
        <v/>
      </c>
      <c r="BL111" s="3" t="str">
        <f t="shared" si="107"/>
        <v/>
      </c>
      <c r="BM111" s="3">
        <f t="shared" si="108"/>
        <v>15</v>
      </c>
      <c r="BN111" s="3">
        <f t="shared" si="109"/>
        <v>7</v>
      </c>
      <c r="BO111" s="3" t="str">
        <f t="shared" si="110"/>
        <v/>
      </c>
      <c r="BP111" s="3" t="str">
        <f t="shared" si="111"/>
        <v/>
      </c>
      <c r="BQ111" s="3" t="str">
        <f t="shared" si="112"/>
        <v>(15 downto 8)</v>
      </c>
      <c r="BR111" s="3" t="str">
        <f t="shared" si="113"/>
        <v>(7 downto 0)</v>
      </c>
      <c r="BS111" s="3" t="str">
        <f t="shared" si="114"/>
        <v/>
      </c>
      <c r="BT111" s="3" t="str">
        <f t="shared" si="115"/>
        <v/>
      </c>
    </row>
    <row r="112" spans="2:72" x14ac:dyDescent="0.25">
      <c r="B112" s="3" t="s">
        <v>346</v>
      </c>
      <c r="C112" s="3" t="s">
        <v>457</v>
      </c>
      <c r="D112" s="3" t="s">
        <v>1</v>
      </c>
      <c r="E112" s="3" t="s">
        <v>1062</v>
      </c>
      <c r="F112" s="3" t="s">
        <v>114</v>
      </c>
      <c r="G112" s="3" t="s">
        <v>923</v>
      </c>
      <c r="H112" s="3" t="s">
        <v>218</v>
      </c>
      <c r="I112" s="3" t="s">
        <v>24</v>
      </c>
      <c r="J112" s="3">
        <v>16</v>
      </c>
      <c r="K112" s="3" t="s">
        <v>23</v>
      </c>
      <c r="L112" s="3" t="s">
        <v>23</v>
      </c>
      <c r="M112" s="3">
        <v>462</v>
      </c>
      <c r="N112" s="3" t="str">
        <f t="shared" si="116"/>
        <v>1CE</v>
      </c>
      <c r="O112" s="3">
        <v>15</v>
      </c>
      <c r="P112" s="3">
        <v>0</v>
      </c>
      <c r="Q112" s="3" t="str">
        <f t="shared" si="89"/>
        <v/>
      </c>
      <c r="R112" s="3" t="str">
        <f t="shared" si="120"/>
        <v/>
      </c>
      <c r="S112" s="3" t="str">
        <f t="shared" si="120"/>
        <v/>
      </c>
      <c r="T112" s="3" t="str">
        <f t="shared" si="120"/>
        <v/>
      </c>
      <c r="U112" s="3" t="str">
        <f t="shared" si="120"/>
        <v/>
      </c>
      <c r="V112" s="3" t="str">
        <f t="shared" si="120"/>
        <v/>
      </c>
      <c r="W112" s="3" t="str">
        <f t="shared" si="120"/>
        <v/>
      </c>
      <c r="X112" s="3" t="str">
        <f t="shared" si="120"/>
        <v/>
      </c>
      <c r="Y112" s="3" t="str">
        <f t="shared" si="120"/>
        <v/>
      </c>
      <c r="Z112" s="3" t="str">
        <f t="shared" si="120"/>
        <v/>
      </c>
      <c r="AA112" s="3" t="str">
        <f t="shared" si="120"/>
        <v/>
      </c>
      <c r="AB112" s="3" t="str">
        <f t="shared" si="120"/>
        <v/>
      </c>
      <c r="AC112" s="3" t="str">
        <f t="shared" si="120"/>
        <v/>
      </c>
      <c r="AD112" s="3" t="str">
        <f t="shared" si="120"/>
        <v/>
      </c>
      <c r="AE112" s="3" t="str">
        <f t="shared" si="120"/>
        <v/>
      </c>
      <c r="AF112" s="3" t="str">
        <f t="shared" si="120"/>
        <v/>
      </c>
      <c r="AG112" s="3" t="str">
        <f t="shared" si="120"/>
        <v>X</v>
      </c>
      <c r="AH112" s="3" t="str">
        <f t="shared" si="119"/>
        <v>X</v>
      </c>
      <c r="AI112" s="3" t="str">
        <f t="shared" si="119"/>
        <v>X</v>
      </c>
      <c r="AJ112" s="3" t="str">
        <f t="shared" si="119"/>
        <v>X</v>
      </c>
      <c r="AK112" s="3" t="str">
        <f t="shared" si="119"/>
        <v>X</v>
      </c>
      <c r="AL112" s="3" t="str">
        <f t="shared" si="119"/>
        <v>X</v>
      </c>
      <c r="AM112" s="3" t="str">
        <f t="shared" si="119"/>
        <v>X</v>
      </c>
      <c r="AN112" s="3" t="str">
        <f t="shared" si="119"/>
        <v>X</v>
      </c>
      <c r="AO112" s="3" t="str">
        <f t="shared" si="119"/>
        <v>X</v>
      </c>
      <c r="AP112" s="3" t="str">
        <f t="shared" si="119"/>
        <v>X</v>
      </c>
      <c r="AQ112" s="3" t="str">
        <f t="shared" si="119"/>
        <v>X</v>
      </c>
      <c r="AR112" s="3" t="str">
        <f t="shared" si="119"/>
        <v>X</v>
      </c>
      <c r="AS112" s="3" t="str">
        <f t="shared" si="119"/>
        <v>X</v>
      </c>
      <c r="AT112" s="3" t="str">
        <f t="shared" si="119"/>
        <v>X</v>
      </c>
      <c r="AU112" s="3" t="str">
        <f t="shared" si="119"/>
        <v>X</v>
      </c>
      <c r="AV112" s="3" t="str">
        <f t="shared" si="119"/>
        <v>X</v>
      </c>
      <c r="AW112" s="3" t="str">
        <f t="shared" si="90"/>
        <v/>
      </c>
      <c r="AX112" s="3" t="str">
        <f t="shared" si="91"/>
        <v/>
      </c>
      <c r="AY112" s="3" t="str">
        <f t="shared" si="92"/>
        <v>X</v>
      </c>
      <c r="AZ112" s="3" t="str">
        <f t="shared" si="93"/>
        <v>X</v>
      </c>
      <c r="BA112" s="3" t="str">
        <f t="shared" si="96"/>
        <v/>
      </c>
      <c r="BB112" s="3" t="str">
        <f t="shared" si="97"/>
        <v/>
      </c>
      <c r="BC112" s="3">
        <f t="shared" si="98"/>
        <v>1850</v>
      </c>
      <c r="BD112" s="3">
        <f t="shared" si="99"/>
        <v>1851</v>
      </c>
      <c r="BE112" s="9" t="str">
        <f t="shared" si="100"/>
        <v/>
      </c>
      <c r="BF112" s="9" t="str">
        <f t="shared" si="101"/>
        <v/>
      </c>
      <c r="BG112" s="9" t="str">
        <f t="shared" si="102"/>
        <v>73A</v>
      </c>
      <c r="BH112" s="9" t="str">
        <f t="shared" si="103"/>
        <v>73B</v>
      </c>
      <c r="BI112" s="3" t="str">
        <f t="shared" si="104"/>
        <v/>
      </c>
      <c r="BJ112" s="3" t="str">
        <f t="shared" si="105"/>
        <v/>
      </c>
      <c r="BK112" s="3" t="str">
        <f t="shared" si="106"/>
        <v/>
      </c>
      <c r="BL112" s="3" t="str">
        <f t="shared" si="107"/>
        <v/>
      </c>
      <c r="BM112" s="3" t="str">
        <f t="shared" si="108"/>
        <v/>
      </c>
      <c r="BN112" s="3" t="str">
        <f t="shared" si="109"/>
        <v/>
      </c>
      <c r="BO112" s="3">
        <f t="shared" si="110"/>
        <v>15</v>
      </c>
      <c r="BP112" s="3">
        <f t="shared" si="111"/>
        <v>7</v>
      </c>
      <c r="BQ112" s="3" t="str">
        <f t="shared" si="112"/>
        <v/>
      </c>
      <c r="BR112" s="3" t="str">
        <f t="shared" si="113"/>
        <v/>
      </c>
      <c r="BS112" s="3" t="str">
        <f t="shared" si="114"/>
        <v>(15 downto 8)</v>
      </c>
      <c r="BT112" s="3" t="str">
        <f t="shared" si="115"/>
        <v>(7 downto 0)</v>
      </c>
    </row>
    <row r="113" spans="2:72" x14ac:dyDescent="0.25">
      <c r="B113" s="3" t="s">
        <v>347</v>
      </c>
      <c r="C113" s="3" t="s">
        <v>458</v>
      </c>
      <c r="D113" s="3" t="s">
        <v>1</v>
      </c>
      <c r="E113" s="3" t="s">
        <v>1062</v>
      </c>
      <c r="F113" s="3" t="s">
        <v>115</v>
      </c>
      <c r="G113" s="3" t="s">
        <v>924</v>
      </c>
      <c r="H113" s="3" t="s">
        <v>219</v>
      </c>
      <c r="I113" s="3" t="s">
        <v>24</v>
      </c>
      <c r="J113" s="3">
        <v>16</v>
      </c>
      <c r="K113" s="3" t="s">
        <v>23</v>
      </c>
      <c r="L113" s="3" t="s">
        <v>23</v>
      </c>
      <c r="M113" s="3">
        <v>463</v>
      </c>
      <c r="N113" s="3" t="str">
        <f t="shared" si="116"/>
        <v>1CF</v>
      </c>
      <c r="O113" s="3">
        <v>31</v>
      </c>
      <c r="P113" s="3">
        <v>16</v>
      </c>
      <c r="Q113" s="3" t="str">
        <f t="shared" si="89"/>
        <v>X</v>
      </c>
      <c r="R113" s="3" t="str">
        <f t="shared" si="120"/>
        <v>X</v>
      </c>
      <c r="S113" s="3" t="str">
        <f t="shared" si="120"/>
        <v>X</v>
      </c>
      <c r="T113" s="3" t="str">
        <f t="shared" si="120"/>
        <v>X</v>
      </c>
      <c r="U113" s="3" t="str">
        <f t="shared" si="120"/>
        <v>X</v>
      </c>
      <c r="V113" s="3" t="str">
        <f t="shared" si="120"/>
        <v>X</v>
      </c>
      <c r="W113" s="3" t="str">
        <f t="shared" si="120"/>
        <v>X</v>
      </c>
      <c r="X113" s="3" t="str">
        <f t="shared" si="120"/>
        <v>X</v>
      </c>
      <c r="Y113" s="3" t="str">
        <f t="shared" si="120"/>
        <v>X</v>
      </c>
      <c r="Z113" s="3" t="str">
        <f t="shared" si="120"/>
        <v>X</v>
      </c>
      <c r="AA113" s="3" t="str">
        <f t="shared" si="120"/>
        <v>X</v>
      </c>
      <c r="AB113" s="3" t="str">
        <f t="shared" si="120"/>
        <v>X</v>
      </c>
      <c r="AC113" s="3" t="str">
        <f t="shared" si="120"/>
        <v>X</v>
      </c>
      <c r="AD113" s="3" t="str">
        <f t="shared" si="120"/>
        <v>X</v>
      </c>
      <c r="AE113" s="3" t="str">
        <f t="shared" si="120"/>
        <v>X</v>
      </c>
      <c r="AF113" s="3" t="str">
        <f t="shared" si="120"/>
        <v>X</v>
      </c>
      <c r="AG113" s="3" t="str">
        <f t="shared" si="120"/>
        <v/>
      </c>
      <c r="AH113" s="3" t="str">
        <f t="shared" si="119"/>
        <v/>
      </c>
      <c r="AI113" s="3" t="str">
        <f t="shared" si="119"/>
        <v/>
      </c>
      <c r="AJ113" s="3" t="str">
        <f t="shared" si="119"/>
        <v/>
      </c>
      <c r="AK113" s="3" t="str">
        <f t="shared" si="119"/>
        <v/>
      </c>
      <c r="AL113" s="3" t="str">
        <f t="shared" si="119"/>
        <v/>
      </c>
      <c r="AM113" s="3" t="str">
        <f t="shared" si="119"/>
        <v/>
      </c>
      <c r="AN113" s="3" t="str">
        <f t="shared" si="119"/>
        <v/>
      </c>
      <c r="AO113" s="3" t="str">
        <f t="shared" si="119"/>
        <v/>
      </c>
      <c r="AP113" s="3" t="str">
        <f t="shared" si="119"/>
        <v/>
      </c>
      <c r="AQ113" s="3" t="str">
        <f t="shared" si="119"/>
        <v/>
      </c>
      <c r="AR113" s="3" t="str">
        <f t="shared" si="119"/>
        <v/>
      </c>
      <c r="AS113" s="3" t="str">
        <f t="shared" si="119"/>
        <v/>
      </c>
      <c r="AT113" s="3" t="str">
        <f t="shared" si="119"/>
        <v/>
      </c>
      <c r="AU113" s="3" t="str">
        <f t="shared" si="119"/>
        <v/>
      </c>
      <c r="AV113" s="3" t="str">
        <f t="shared" si="119"/>
        <v/>
      </c>
      <c r="AW113" s="3" t="str">
        <f t="shared" si="90"/>
        <v>X</v>
      </c>
      <c r="AX113" s="3" t="str">
        <f t="shared" si="91"/>
        <v>X</v>
      </c>
      <c r="AY113" s="3" t="str">
        <f t="shared" si="92"/>
        <v/>
      </c>
      <c r="AZ113" s="3" t="str">
        <f t="shared" si="93"/>
        <v/>
      </c>
      <c r="BA113" s="3">
        <f t="shared" si="96"/>
        <v>1852</v>
      </c>
      <c r="BB113" s="3">
        <f t="shared" si="97"/>
        <v>1853</v>
      </c>
      <c r="BC113" s="3" t="str">
        <f t="shared" si="98"/>
        <v/>
      </c>
      <c r="BD113" s="3" t="str">
        <f t="shared" si="99"/>
        <v/>
      </c>
      <c r="BE113" s="9" t="str">
        <f t="shared" si="100"/>
        <v>73C</v>
      </c>
      <c r="BF113" s="9" t="str">
        <f t="shared" si="101"/>
        <v>73D</v>
      </c>
      <c r="BG113" s="9" t="str">
        <f t="shared" si="102"/>
        <v/>
      </c>
      <c r="BH113" s="9" t="str">
        <f t="shared" si="103"/>
        <v/>
      </c>
      <c r="BI113" s="3" t="str">
        <f t="shared" si="104"/>
        <v/>
      </c>
      <c r="BJ113" s="3" t="str">
        <f t="shared" si="105"/>
        <v/>
      </c>
      <c r="BK113" s="3" t="str">
        <f t="shared" si="106"/>
        <v/>
      </c>
      <c r="BL113" s="3" t="str">
        <f t="shared" si="107"/>
        <v/>
      </c>
      <c r="BM113" s="3">
        <f t="shared" si="108"/>
        <v>15</v>
      </c>
      <c r="BN113" s="3">
        <f t="shared" si="109"/>
        <v>7</v>
      </c>
      <c r="BO113" s="3" t="str">
        <f t="shared" si="110"/>
        <v/>
      </c>
      <c r="BP113" s="3" t="str">
        <f t="shared" si="111"/>
        <v/>
      </c>
      <c r="BQ113" s="3" t="str">
        <f t="shared" si="112"/>
        <v>(15 downto 8)</v>
      </c>
      <c r="BR113" s="3" t="str">
        <f t="shared" si="113"/>
        <v>(7 downto 0)</v>
      </c>
      <c r="BS113" s="3" t="str">
        <f t="shared" si="114"/>
        <v/>
      </c>
      <c r="BT113" s="3" t="str">
        <f t="shared" si="115"/>
        <v/>
      </c>
    </row>
    <row r="114" spans="2:72" x14ac:dyDescent="0.25">
      <c r="B114" s="3" t="s">
        <v>347</v>
      </c>
      <c r="C114" s="3" t="s">
        <v>459</v>
      </c>
      <c r="D114" s="3" t="s">
        <v>1</v>
      </c>
      <c r="E114" s="3" t="s">
        <v>1062</v>
      </c>
      <c r="F114" s="3" t="s">
        <v>115</v>
      </c>
      <c r="G114" s="3" t="s">
        <v>924</v>
      </c>
      <c r="H114" s="3" t="s">
        <v>220</v>
      </c>
      <c r="I114" s="3" t="s">
        <v>24</v>
      </c>
      <c r="J114" s="3">
        <v>16</v>
      </c>
      <c r="K114" s="3" t="s">
        <v>23</v>
      </c>
      <c r="L114" s="3" t="s">
        <v>23</v>
      </c>
      <c r="M114" s="3">
        <v>463</v>
      </c>
      <c r="N114" s="3" t="str">
        <f t="shared" si="116"/>
        <v>1CF</v>
      </c>
      <c r="O114" s="3">
        <v>15</v>
      </c>
      <c r="P114" s="3">
        <v>0</v>
      </c>
      <c r="Q114" s="3" t="str">
        <f t="shared" si="89"/>
        <v/>
      </c>
      <c r="R114" s="3" t="str">
        <f t="shared" si="120"/>
        <v/>
      </c>
      <c r="S114" s="3" t="str">
        <f t="shared" si="120"/>
        <v/>
      </c>
      <c r="T114" s="3" t="str">
        <f t="shared" si="120"/>
        <v/>
      </c>
      <c r="U114" s="3" t="str">
        <f t="shared" si="120"/>
        <v/>
      </c>
      <c r="V114" s="3" t="str">
        <f t="shared" si="120"/>
        <v/>
      </c>
      <c r="W114" s="3" t="str">
        <f t="shared" si="120"/>
        <v/>
      </c>
      <c r="X114" s="3" t="str">
        <f t="shared" si="120"/>
        <v/>
      </c>
      <c r="Y114" s="3" t="str">
        <f t="shared" si="120"/>
        <v/>
      </c>
      <c r="Z114" s="3" t="str">
        <f t="shared" si="120"/>
        <v/>
      </c>
      <c r="AA114" s="3" t="str">
        <f t="shared" si="120"/>
        <v/>
      </c>
      <c r="AB114" s="3" t="str">
        <f t="shared" si="120"/>
        <v/>
      </c>
      <c r="AC114" s="3" t="str">
        <f t="shared" si="120"/>
        <v/>
      </c>
      <c r="AD114" s="3" t="str">
        <f t="shared" si="120"/>
        <v/>
      </c>
      <c r="AE114" s="3" t="str">
        <f t="shared" si="120"/>
        <v/>
      </c>
      <c r="AF114" s="3" t="str">
        <f t="shared" si="120"/>
        <v/>
      </c>
      <c r="AG114" s="3" t="str">
        <f t="shared" si="120"/>
        <v>X</v>
      </c>
      <c r="AH114" s="3" t="str">
        <f t="shared" si="119"/>
        <v>X</v>
      </c>
      <c r="AI114" s="3" t="str">
        <f t="shared" si="119"/>
        <v>X</v>
      </c>
      <c r="AJ114" s="3" t="str">
        <f t="shared" si="119"/>
        <v>X</v>
      </c>
      <c r="AK114" s="3" t="str">
        <f t="shared" si="119"/>
        <v>X</v>
      </c>
      <c r="AL114" s="3" t="str">
        <f t="shared" si="119"/>
        <v>X</v>
      </c>
      <c r="AM114" s="3" t="str">
        <f t="shared" si="119"/>
        <v>X</v>
      </c>
      <c r="AN114" s="3" t="str">
        <f t="shared" si="119"/>
        <v>X</v>
      </c>
      <c r="AO114" s="3" t="str">
        <f t="shared" si="119"/>
        <v>X</v>
      </c>
      <c r="AP114" s="3" t="str">
        <f t="shared" si="119"/>
        <v>X</v>
      </c>
      <c r="AQ114" s="3" t="str">
        <f t="shared" si="119"/>
        <v>X</v>
      </c>
      <c r="AR114" s="3" t="str">
        <f t="shared" si="119"/>
        <v>X</v>
      </c>
      <c r="AS114" s="3" t="str">
        <f t="shared" si="119"/>
        <v>X</v>
      </c>
      <c r="AT114" s="3" t="str">
        <f t="shared" si="119"/>
        <v>X</v>
      </c>
      <c r="AU114" s="3" t="str">
        <f t="shared" si="119"/>
        <v>X</v>
      </c>
      <c r="AV114" s="3" t="str">
        <f t="shared" si="119"/>
        <v>X</v>
      </c>
      <c r="AW114" s="3" t="str">
        <f t="shared" si="90"/>
        <v/>
      </c>
      <c r="AX114" s="3" t="str">
        <f t="shared" si="91"/>
        <v/>
      </c>
      <c r="AY114" s="3" t="str">
        <f t="shared" si="92"/>
        <v>X</v>
      </c>
      <c r="AZ114" s="3" t="str">
        <f t="shared" si="93"/>
        <v>X</v>
      </c>
      <c r="BA114" s="3" t="str">
        <f t="shared" si="96"/>
        <v/>
      </c>
      <c r="BB114" s="3" t="str">
        <f t="shared" si="97"/>
        <v/>
      </c>
      <c r="BC114" s="3">
        <f t="shared" si="98"/>
        <v>1854</v>
      </c>
      <c r="BD114" s="3">
        <f t="shared" si="99"/>
        <v>1855</v>
      </c>
      <c r="BE114" s="9" t="str">
        <f t="shared" si="100"/>
        <v/>
      </c>
      <c r="BF114" s="9" t="str">
        <f t="shared" si="101"/>
        <v/>
      </c>
      <c r="BG114" s="9" t="str">
        <f t="shared" si="102"/>
        <v>73E</v>
      </c>
      <c r="BH114" s="9" t="str">
        <f t="shared" si="103"/>
        <v>73F</v>
      </c>
      <c r="BI114" s="3" t="str">
        <f t="shared" si="104"/>
        <v/>
      </c>
      <c r="BJ114" s="3" t="str">
        <f t="shared" si="105"/>
        <v/>
      </c>
      <c r="BK114" s="3" t="str">
        <f t="shared" si="106"/>
        <v/>
      </c>
      <c r="BL114" s="3" t="str">
        <f t="shared" si="107"/>
        <v/>
      </c>
      <c r="BM114" s="3" t="str">
        <f t="shared" si="108"/>
        <v/>
      </c>
      <c r="BN114" s="3" t="str">
        <f t="shared" si="109"/>
        <v/>
      </c>
      <c r="BO114" s="3">
        <f t="shared" si="110"/>
        <v>15</v>
      </c>
      <c r="BP114" s="3">
        <f t="shared" si="111"/>
        <v>7</v>
      </c>
      <c r="BQ114" s="3" t="str">
        <f t="shared" si="112"/>
        <v/>
      </c>
      <c r="BR114" s="3" t="str">
        <f t="shared" si="113"/>
        <v/>
      </c>
      <c r="BS114" s="3" t="str">
        <f t="shared" si="114"/>
        <v>(15 downto 8)</v>
      </c>
      <c r="BT114" s="3" t="str">
        <f t="shared" si="115"/>
        <v>(7 downto 0)</v>
      </c>
    </row>
    <row r="115" spans="2:72" x14ac:dyDescent="0.25">
      <c r="B115" s="3" t="s">
        <v>348</v>
      </c>
      <c r="C115" s="3" t="s">
        <v>460</v>
      </c>
      <c r="D115" s="3" t="s">
        <v>1</v>
      </c>
      <c r="E115" s="3" t="s">
        <v>1062</v>
      </c>
      <c r="F115" s="3" t="s">
        <v>116</v>
      </c>
      <c r="G115" s="3" t="s">
        <v>925</v>
      </c>
      <c r="H115" s="3" t="s">
        <v>945</v>
      </c>
      <c r="I115" s="3" t="s">
        <v>24</v>
      </c>
      <c r="J115" s="3">
        <v>16</v>
      </c>
      <c r="K115" s="3" t="s">
        <v>23</v>
      </c>
      <c r="L115" s="3" t="s">
        <v>23</v>
      </c>
      <c r="M115" s="3">
        <v>464</v>
      </c>
      <c r="N115" s="3" t="str">
        <f t="shared" si="116"/>
        <v>1D0</v>
      </c>
      <c r="O115" s="3">
        <v>31</v>
      </c>
      <c r="P115" s="3">
        <v>16</v>
      </c>
      <c r="Q115" s="3" t="str">
        <f t="shared" si="89"/>
        <v>X</v>
      </c>
      <c r="R115" s="3" t="str">
        <f t="shared" si="120"/>
        <v>X</v>
      </c>
      <c r="S115" s="3" t="str">
        <f t="shared" si="120"/>
        <v>X</v>
      </c>
      <c r="T115" s="3" t="str">
        <f t="shared" si="120"/>
        <v>X</v>
      </c>
      <c r="U115" s="3" t="str">
        <f t="shared" si="120"/>
        <v>X</v>
      </c>
      <c r="V115" s="3" t="str">
        <f t="shared" si="120"/>
        <v>X</v>
      </c>
      <c r="W115" s="3" t="str">
        <f t="shared" si="120"/>
        <v>X</v>
      </c>
      <c r="X115" s="3" t="str">
        <f t="shared" si="120"/>
        <v>X</v>
      </c>
      <c r="Y115" s="3" t="str">
        <f t="shared" si="120"/>
        <v>X</v>
      </c>
      <c r="Z115" s="3" t="str">
        <f t="shared" si="120"/>
        <v>X</v>
      </c>
      <c r="AA115" s="3" t="str">
        <f t="shared" si="120"/>
        <v>X</v>
      </c>
      <c r="AB115" s="3" t="str">
        <f t="shared" si="120"/>
        <v>X</v>
      </c>
      <c r="AC115" s="3" t="str">
        <f t="shared" si="120"/>
        <v>X</v>
      </c>
      <c r="AD115" s="3" t="str">
        <f t="shared" si="120"/>
        <v>X</v>
      </c>
      <c r="AE115" s="3" t="str">
        <f t="shared" si="120"/>
        <v>X</v>
      </c>
      <c r="AF115" s="3" t="str">
        <f t="shared" si="120"/>
        <v>X</v>
      </c>
      <c r="AG115" s="3" t="str">
        <f t="shared" si="120"/>
        <v/>
      </c>
      <c r="AH115" s="3" t="str">
        <f t="shared" si="119"/>
        <v/>
      </c>
      <c r="AI115" s="3" t="str">
        <f t="shared" si="119"/>
        <v/>
      </c>
      <c r="AJ115" s="3" t="str">
        <f t="shared" si="119"/>
        <v/>
      </c>
      <c r="AK115" s="3" t="str">
        <f t="shared" si="119"/>
        <v/>
      </c>
      <c r="AL115" s="3" t="str">
        <f t="shared" si="119"/>
        <v/>
      </c>
      <c r="AM115" s="3" t="str">
        <f t="shared" si="119"/>
        <v/>
      </c>
      <c r="AN115" s="3" t="str">
        <f t="shared" si="119"/>
        <v/>
      </c>
      <c r="AO115" s="3" t="str">
        <f t="shared" si="119"/>
        <v/>
      </c>
      <c r="AP115" s="3" t="str">
        <f t="shared" si="119"/>
        <v/>
      </c>
      <c r="AQ115" s="3" t="str">
        <f t="shared" si="119"/>
        <v/>
      </c>
      <c r="AR115" s="3" t="str">
        <f t="shared" si="119"/>
        <v/>
      </c>
      <c r="AS115" s="3" t="str">
        <f t="shared" si="119"/>
        <v/>
      </c>
      <c r="AT115" s="3" t="str">
        <f t="shared" si="119"/>
        <v/>
      </c>
      <c r="AU115" s="3" t="str">
        <f t="shared" si="119"/>
        <v/>
      </c>
      <c r="AV115" s="3" t="str">
        <f t="shared" si="119"/>
        <v/>
      </c>
      <c r="AW115" s="3" t="str">
        <f t="shared" si="90"/>
        <v>X</v>
      </c>
      <c r="AX115" s="3" t="str">
        <f t="shared" si="91"/>
        <v>X</v>
      </c>
      <c r="AY115" s="3" t="str">
        <f t="shared" si="92"/>
        <v/>
      </c>
      <c r="AZ115" s="3" t="str">
        <f t="shared" si="93"/>
        <v/>
      </c>
      <c r="BA115" s="3">
        <f t="shared" si="96"/>
        <v>1856</v>
      </c>
      <c r="BB115" s="3">
        <f t="shared" si="97"/>
        <v>1857</v>
      </c>
      <c r="BC115" s="3" t="str">
        <f t="shared" si="98"/>
        <v/>
      </c>
      <c r="BD115" s="3" t="str">
        <f t="shared" si="99"/>
        <v/>
      </c>
      <c r="BE115" s="9" t="str">
        <f t="shared" si="100"/>
        <v>740</v>
      </c>
      <c r="BF115" s="9" t="str">
        <f t="shared" si="101"/>
        <v>741</v>
      </c>
      <c r="BG115" s="9" t="str">
        <f t="shared" si="102"/>
        <v/>
      </c>
      <c r="BH115" s="9" t="str">
        <f t="shared" si="103"/>
        <v/>
      </c>
      <c r="BI115" s="3" t="str">
        <f t="shared" si="104"/>
        <v/>
      </c>
      <c r="BJ115" s="3" t="str">
        <f t="shared" si="105"/>
        <v/>
      </c>
      <c r="BK115" s="3" t="str">
        <f t="shared" si="106"/>
        <v/>
      </c>
      <c r="BL115" s="3" t="str">
        <f t="shared" si="107"/>
        <v/>
      </c>
      <c r="BM115" s="3">
        <f t="shared" si="108"/>
        <v>15</v>
      </c>
      <c r="BN115" s="3">
        <f t="shared" si="109"/>
        <v>7</v>
      </c>
      <c r="BO115" s="3" t="str">
        <f t="shared" si="110"/>
        <v/>
      </c>
      <c r="BP115" s="3" t="str">
        <f t="shared" si="111"/>
        <v/>
      </c>
      <c r="BQ115" s="3" t="str">
        <f t="shared" si="112"/>
        <v>(15 downto 8)</v>
      </c>
      <c r="BR115" s="3" t="str">
        <f t="shared" si="113"/>
        <v>(7 downto 0)</v>
      </c>
      <c r="BS115" s="3" t="str">
        <f t="shared" si="114"/>
        <v/>
      </c>
      <c r="BT115" s="3" t="str">
        <f t="shared" si="115"/>
        <v/>
      </c>
    </row>
    <row r="116" spans="2:72" x14ac:dyDescent="0.25">
      <c r="B116" s="3" t="s">
        <v>348</v>
      </c>
      <c r="C116" s="3" t="s">
        <v>461</v>
      </c>
      <c r="D116" s="3" t="s">
        <v>1</v>
      </c>
      <c r="E116" s="3" t="s">
        <v>1062</v>
      </c>
      <c r="F116" s="3" t="s">
        <v>116</v>
      </c>
      <c r="G116" s="3" t="s">
        <v>925</v>
      </c>
      <c r="H116" s="3" t="s">
        <v>946</v>
      </c>
      <c r="I116" s="3" t="s">
        <v>24</v>
      </c>
      <c r="J116" s="3">
        <v>16</v>
      </c>
      <c r="K116" s="3" t="s">
        <v>23</v>
      </c>
      <c r="L116" s="3" t="s">
        <v>23</v>
      </c>
      <c r="M116" s="3">
        <v>464</v>
      </c>
      <c r="N116" s="3" t="str">
        <f t="shared" si="116"/>
        <v>1D0</v>
      </c>
      <c r="O116" s="3">
        <v>15</v>
      </c>
      <c r="P116" s="3">
        <v>0</v>
      </c>
      <c r="Q116" s="3" t="str">
        <f t="shared" si="89"/>
        <v/>
      </c>
      <c r="R116" s="3" t="str">
        <f t="shared" si="120"/>
        <v/>
      </c>
      <c r="S116" s="3" t="str">
        <f t="shared" si="120"/>
        <v/>
      </c>
      <c r="T116" s="3" t="str">
        <f t="shared" si="120"/>
        <v/>
      </c>
      <c r="U116" s="3" t="str">
        <f t="shared" si="120"/>
        <v/>
      </c>
      <c r="V116" s="3" t="str">
        <f t="shared" si="120"/>
        <v/>
      </c>
      <c r="W116" s="3" t="str">
        <f t="shared" si="120"/>
        <v/>
      </c>
      <c r="X116" s="3" t="str">
        <f t="shared" si="120"/>
        <v/>
      </c>
      <c r="Y116" s="3" t="str">
        <f t="shared" si="120"/>
        <v/>
      </c>
      <c r="Z116" s="3" t="str">
        <f t="shared" si="120"/>
        <v/>
      </c>
      <c r="AA116" s="3" t="str">
        <f t="shared" si="120"/>
        <v/>
      </c>
      <c r="AB116" s="3" t="str">
        <f t="shared" si="120"/>
        <v/>
      </c>
      <c r="AC116" s="3" t="str">
        <f t="shared" si="120"/>
        <v/>
      </c>
      <c r="AD116" s="3" t="str">
        <f t="shared" si="120"/>
        <v/>
      </c>
      <c r="AE116" s="3" t="str">
        <f t="shared" si="120"/>
        <v/>
      </c>
      <c r="AF116" s="3" t="str">
        <f t="shared" si="120"/>
        <v/>
      </c>
      <c r="AG116" s="3" t="str">
        <f t="shared" si="120"/>
        <v>X</v>
      </c>
      <c r="AH116" s="3" t="str">
        <f t="shared" si="119"/>
        <v>X</v>
      </c>
      <c r="AI116" s="3" t="str">
        <f t="shared" si="119"/>
        <v>X</v>
      </c>
      <c r="AJ116" s="3" t="str">
        <f t="shared" si="119"/>
        <v>X</v>
      </c>
      <c r="AK116" s="3" t="str">
        <f t="shared" si="119"/>
        <v>X</v>
      </c>
      <c r="AL116" s="3" t="str">
        <f t="shared" si="119"/>
        <v>X</v>
      </c>
      <c r="AM116" s="3" t="str">
        <f t="shared" si="119"/>
        <v>X</v>
      </c>
      <c r="AN116" s="3" t="str">
        <f t="shared" si="119"/>
        <v>X</v>
      </c>
      <c r="AO116" s="3" t="str">
        <f t="shared" si="119"/>
        <v>X</v>
      </c>
      <c r="AP116" s="3" t="str">
        <f t="shared" si="119"/>
        <v>X</v>
      </c>
      <c r="AQ116" s="3" t="str">
        <f t="shared" si="119"/>
        <v>X</v>
      </c>
      <c r="AR116" s="3" t="str">
        <f t="shared" si="119"/>
        <v>X</v>
      </c>
      <c r="AS116" s="3" t="str">
        <f t="shared" si="119"/>
        <v>X</v>
      </c>
      <c r="AT116" s="3" t="str">
        <f t="shared" si="119"/>
        <v>X</v>
      </c>
      <c r="AU116" s="3" t="str">
        <f t="shared" si="119"/>
        <v>X</v>
      </c>
      <c r="AV116" s="3" t="str">
        <f t="shared" si="119"/>
        <v>X</v>
      </c>
      <c r="AW116" s="3" t="str">
        <f t="shared" si="90"/>
        <v/>
      </c>
      <c r="AX116" s="3" t="str">
        <f t="shared" si="91"/>
        <v/>
      </c>
      <c r="AY116" s="3" t="str">
        <f t="shared" si="92"/>
        <v>X</v>
      </c>
      <c r="AZ116" s="3" t="str">
        <f t="shared" si="93"/>
        <v>X</v>
      </c>
      <c r="BA116" s="3" t="str">
        <f t="shared" si="96"/>
        <v/>
      </c>
      <c r="BB116" s="3" t="str">
        <f t="shared" si="97"/>
        <v/>
      </c>
      <c r="BC116" s="3">
        <f t="shared" si="98"/>
        <v>1858</v>
      </c>
      <c r="BD116" s="3">
        <f t="shared" si="99"/>
        <v>1859</v>
      </c>
      <c r="BE116" s="9" t="str">
        <f t="shared" si="100"/>
        <v/>
      </c>
      <c r="BF116" s="9" t="str">
        <f t="shared" si="101"/>
        <v/>
      </c>
      <c r="BG116" s="9" t="str">
        <f t="shared" si="102"/>
        <v>742</v>
      </c>
      <c r="BH116" s="9" t="str">
        <f t="shared" si="103"/>
        <v>743</v>
      </c>
      <c r="BI116" s="3" t="str">
        <f t="shared" si="104"/>
        <v/>
      </c>
      <c r="BJ116" s="3" t="str">
        <f t="shared" si="105"/>
        <v/>
      </c>
      <c r="BK116" s="3" t="str">
        <f t="shared" si="106"/>
        <v/>
      </c>
      <c r="BL116" s="3" t="str">
        <f t="shared" si="107"/>
        <v/>
      </c>
      <c r="BM116" s="3" t="str">
        <f t="shared" si="108"/>
        <v/>
      </c>
      <c r="BN116" s="3" t="str">
        <f t="shared" si="109"/>
        <v/>
      </c>
      <c r="BO116" s="3">
        <f t="shared" si="110"/>
        <v>15</v>
      </c>
      <c r="BP116" s="3">
        <f t="shared" si="111"/>
        <v>7</v>
      </c>
      <c r="BQ116" s="3" t="str">
        <f t="shared" si="112"/>
        <v/>
      </c>
      <c r="BR116" s="3" t="str">
        <f t="shared" si="113"/>
        <v/>
      </c>
      <c r="BS116" s="3" t="str">
        <f t="shared" si="114"/>
        <v>(15 downto 8)</v>
      </c>
      <c r="BT116" s="3" t="str">
        <f t="shared" si="115"/>
        <v>(7 downto 0)</v>
      </c>
    </row>
    <row r="117" spans="2:72" x14ac:dyDescent="0.25">
      <c r="B117" s="3" t="s">
        <v>349</v>
      </c>
      <c r="C117" s="3" t="s">
        <v>462</v>
      </c>
      <c r="D117" s="3" t="s">
        <v>1</v>
      </c>
      <c r="E117" s="3" t="s">
        <v>1062</v>
      </c>
      <c r="F117" s="3" t="s">
        <v>117</v>
      </c>
      <c r="G117" s="3" t="s">
        <v>926</v>
      </c>
      <c r="H117" s="3" t="s">
        <v>947</v>
      </c>
      <c r="I117" s="3" t="s">
        <v>24</v>
      </c>
      <c r="J117" s="3">
        <v>16</v>
      </c>
      <c r="K117" s="3" t="s">
        <v>23</v>
      </c>
      <c r="L117" s="3" t="s">
        <v>23</v>
      </c>
      <c r="M117" s="3">
        <v>465</v>
      </c>
      <c r="N117" s="3" t="str">
        <f t="shared" si="116"/>
        <v>1D1</v>
      </c>
      <c r="O117" s="3">
        <v>31</v>
      </c>
      <c r="P117" s="3">
        <v>16</v>
      </c>
      <c r="Q117" s="3" t="str">
        <f t="shared" si="89"/>
        <v>X</v>
      </c>
      <c r="R117" s="3" t="str">
        <f t="shared" si="120"/>
        <v>X</v>
      </c>
      <c r="S117" s="3" t="str">
        <f t="shared" si="120"/>
        <v>X</v>
      </c>
      <c r="T117" s="3" t="str">
        <f t="shared" si="120"/>
        <v>X</v>
      </c>
      <c r="U117" s="3" t="str">
        <f t="shared" si="120"/>
        <v>X</v>
      </c>
      <c r="V117" s="3" t="str">
        <f t="shared" si="120"/>
        <v>X</v>
      </c>
      <c r="W117" s="3" t="str">
        <f t="shared" si="120"/>
        <v>X</v>
      </c>
      <c r="X117" s="3" t="str">
        <f t="shared" si="120"/>
        <v>X</v>
      </c>
      <c r="Y117" s="3" t="str">
        <f t="shared" si="120"/>
        <v>X</v>
      </c>
      <c r="Z117" s="3" t="str">
        <f t="shared" si="120"/>
        <v>X</v>
      </c>
      <c r="AA117" s="3" t="str">
        <f t="shared" si="120"/>
        <v>X</v>
      </c>
      <c r="AB117" s="3" t="str">
        <f t="shared" si="120"/>
        <v>X</v>
      </c>
      <c r="AC117" s="3" t="str">
        <f t="shared" si="120"/>
        <v>X</v>
      </c>
      <c r="AD117" s="3" t="str">
        <f t="shared" si="120"/>
        <v>X</v>
      </c>
      <c r="AE117" s="3" t="str">
        <f t="shared" si="120"/>
        <v>X</v>
      </c>
      <c r="AF117" s="3" t="str">
        <f t="shared" si="120"/>
        <v>X</v>
      </c>
      <c r="AG117" s="3" t="str">
        <f t="shared" si="120"/>
        <v/>
      </c>
      <c r="AH117" s="3" t="str">
        <f t="shared" si="119"/>
        <v/>
      </c>
      <c r="AI117" s="3" t="str">
        <f t="shared" si="119"/>
        <v/>
      </c>
      <c r="AJ117" s="3" t="str">
        <f t="shared" si="119"/>
        <v/>
      </c>
      <c r="AK117" s="3" t="str">
        <f t="shared" si="119"/>
        <v/>
      </c>
      <c r="AL117" s="3" t="str">
        <f t="shared" si="119"/>
        <v/>
      </c>
      <c r="AM117" s="3" t="str">
        <f t="shared" si="119"/>
        <v/>
      </c>
      <c r="AN117" s="3" t="str">
        <f t="shared" si="119"/>
        <v/>
      </c>
      <c r="AO117" s="3" t="str">
        <f t="shared" si="119"/>
        <v/>
      </c>
      <c r="AP117" s="3" t="str">
        <f t="shared" si="119"/>
        <v/>
      </c>
      <c r="AQ117" s="3" t="str">
        <f t="shared" si="119"/>
        <v/>
      </c>
      <c r="AR117" s="3" t="str">
        <f t="shared" si="119"/>
        <v/>
      </c>
      <c r="AS117" s="3" t="str">
        <f t="shared" si="119"/>
        <v/>
      </c>
      <c r="AT117" s="3" t="str">
        <f t="shared" si="119"/>
        <v/>
      </c>
      <c r="AU117" s="3" t="str">
        <f t="shared" si="119"/>
        <v/>
      </c>
      <c r="AV117" s="3" t="str">
        <f t="shared" si="119"/>
        <v/>
      </c>
      <c r="AW117" s="3" t="str">
        <f t="shared" si="90"/>
        <v>X</v>
      </c>
      <c r="AX117" s="3" t="str">
        <f t="shared" si="91"/>
        <v>X</v>
      </c>
      <c r="AY117" s="3" t="str">
        <f t="shared" si="92"/>
        <v/>
      </c>
      <c r="AZ117" s="3" t="str">
        <f t="shared" si="93"/>
        <v/>
      </c>
      <c r="BA117" s="3">
        <f t="shared" si="96"/>
        <v>1860</v>
      </c>
      <c r="BB117" s="3">
        <f t="shared" si="97"/>
        <v>1861</v>
      </c>
      <c r="BC117" s="3" t="str">
        <f t="shared" si="98"/>
        <v/>
      </c>
      <c r="BD117" s="3" t="str">
        <f t="shared" si="99"/>
        <v/>
      </c>
      <c r="BE117" s="9" t="str">
        <f t="shared" si="100"/>
        <v>744</v>
      </c>
      <c r="BF117" s="9" t="str">
        <f t="shared" si="101"/>
        <v>745</v>
      </c>
      <c r="BG117" s="9" t="str">
        <f t="shared" si="102"/>
        <v/>
      </c>
      <c r="BH117" s="9" t="str">
        <f t="shared" si="103"/>
        <v/>
      </c>
      <c r="BI117" s="3" t="str">
        <f t="shared" si="104"/>
        <v/>
      </c>
      <c r="BJ117" s="3" t="str">
        <f t="shared" si="105"/>
        <v/>
      </c>
      <c r="BK117" s="3" t="str">
        <f t="shared" si="106"/>
        <v/>
      </c>
      <c r="BL117" s="3" t="str">
        <f t="shared" si="107"/>
        <v/>
      </c>
      <c r="BM117" s="3">
        <f t="shared" si="108"/>
        <v>15</v>
      </c>
      <c r="BN117" s="3">
        <f t="shared" si="109"/>
        <v>7</v>
      </c>
      <c r="BO117" s="3" t="str">
        <f t="shared" si="110"/>
        <v/>
      </c>
      <c r="BP117" s="3" t="str">
        <f t="shared" si="111"/>
        <v/>
      </c>
      <c r="BQ117" s="3" t="str">
        <f t="shared" si="112"/>
        <v>(15 downto 8)</v>
      </c>
      <c r="BR117" s="3" t="str">
        <f t="shared" si="113"/>
        <v>(7 downto 0)</v>
      </c>
      <c r="BS117" s="3" t="str">
        <f t="shared" si="114"/>
        <v/>
      </c>
      <c r="BT117" s="3" t="str">
        <f t="shared" si="115"/>
        <v/>
      </c>
    </row>
    <row r="118" spans="2:72" x14ac:dyDescent="0.25">
      <c r="B118" s="3" t="s">
        <v>349</v>
      </c>
      <c r="C118" s="3" t="s">
        <v>463</v>
      </c>
      <c r="D118" s="3" t="s">
        <v>1</v>
      </c>
      <c r="E118" s="3" t="s">
        <v>1062</v>
      </c>
      <c r="F118" s="3" t="s">
        <v>117</v>
      </c>
      <c r="G118" s="3" t="s">
        <v>926</v>
      </c>
      <c r="H118" s="3" t="s">
        <v>948</v>
      </c>
      <c r="I118" s="3" t="s">
        <v>24</v>
      </c>
      <c r="J118" s="3">
        <v>16</v>
      </c>
      <c r="K118" s="3" t="s">
        <v>23</v>
      </c>
      <c r="L118" s="3" t="s">
        <v>23</v>
      </c>
      <c r="M118" s="3">
        <v>465</v>
      </c>
      <c r="N118" s="3" t="str">
        <f t="shared" si="116"/>
        <v>1D1</v>
      </c>
      <c r="O118" s="3">
        <v>15</v>
      </c>
      <c r="P118" s="3">
        <v>0</v>
      </c>
      <c r="Q118" s="3" t="str">
        <f t="shared" si="89"/>
        <v/>
      </c>
      <c r="R118" s="3" t="str">
        <f t="shared" si="120"/>
        <v/>
      </c>
      <c r="S118" s="3" t="str">
        <f t="shared" si="120"/>
        <v/>
      </c>
      <c r="T118" s="3" t="str">
        <f t="shared" si="120"/>
        <v/>
      </c>
      <c r="U118" s="3" t="str">
        <f t="shared" si="120"/>
        <v/>
      </c>
      <c r="V118" s="3" t="str">
        <f t="shared" si="120"/>
        <v/>
      </c>
      <c r="W118" s="3" t="str">
        <f t="shared" si="120"/>
        <v/>
      </c>
      <c r="X118" s="3" t="str">
        <f t="shared" si="120"/>
        <v/>
      </c>
      <c r="Y118" s="3" t="str">
        <f t="shared" si="120"/>
        <v/>
      </c>
      <c r="Z118" s="3" t="str">
        <f t="shared" si="120"/>
        <v/>
      </c>
      <c r="AA118" s="3" t="str">
        <f t="shared" si="120"/>
        <v/>
      </c>
      <c r="AB118" s="3" t="str">
        <f t="shared" si="120"/>
        <v/>
      </c>
      <c r="AC118" s="3" t="str">
        <f t="shared" si="120"/>
        <v/>
      </c>
      <c r="AD118" s="3" t="str">
        <f t="shared" si="120"/>
        <v/>
      </c>
      <c r="AE118" s="3" t="str">
        <f t="shared" si="120"/>
        <v/>
      </c>
      <c r="AF118" s="3" t="str">
        <f t="shared" si="120"/>
        <v/>
      </c>
      <c r="AG118" s="3" t="str">
        <f t="shared" si="120"/>
        <v>X</v>
      </c>
      <c r="AH118" s="3" t="str">
        <f t="shared" si="119"/>
        <v>X</v>
      </c>
      <c r="AI118" s="3" t="str">
        <f t="shared" si="119"/>
        <v>X</v>
      </c>
      <c r="AJ118" s="3" t="str">
        <f t="shared" si="119"/>
        <v>X</v>
      </c>
      <c r="AK118" s="3" t="str">
        <f t="shared" si="119"/>
        <v>X</v>
      </c>
      <c r="AL118" s="3" t="str">
        <f t="shared" si="119"/>
        <v>X</v>
      </c>
      <c r="AM118" s="3" t="str">
        <f t="shared" si="119"/>
        <v>X</v>
      </c>
      <c r="AN118" s="3" t="str">
        <f t="shared" si="119"/>
        <v>X</v>
      </c>
      <c r="AO118" s="3" t="str">
        <f t="shared" si="119"/>
        <v>X</v>
      </c>
      <c r="AP118" s="3" t="str">
        <f t="shared" si="119"/>
        <v>X</v>
      </c>
      <c r="AQ118" s="3" t="str">
        <f t="shared" si="119"/>
        <v>X</v>
      </c>
      <c r="AR118" s="3" t="str">
        <f t="shared" si="119"/>
        <v>X</v>
      </c>
      <c r="AS118" s="3" t="str">
        <f t="shared" si="119"/>
        <v>X</v>
      </c>
      <c r="AT118" s="3" t="str">
        <f t="shared" si="119"/>
        <v>X</v>
      </c>
      <c r="AU118" s="3" t="str">
        <f t="shared" si="119"/>
        <v>X</v>
      </c>
      <c r="AV118" s="3" t="str">
        <f t="shared" si="119"/>
        <v>X</v>
      </c>
      <c r="AW118" s="3" t="str">
        <f t="shared" si="90"/>
        <v/>
      </c>
      <c r="AX118" s="3" t="str">
        <f t="shared" si="91"/>
        <v/>
      </c>
      <c r="AY118" s="3" t="str">
        <f t="shared" si="92"/>
        <v>X</v>
      </c>
      <c r="AZ118" s="3" t="str">
        <f t="shared" si="93"/>
        <v>X</v>
      </c>
      <c r="BA118" s="3" t="str">
        <f t="shared" si="96"/>
        <v/>
      </c>
      <c r="BB118" s="3" t="str">
        <f t="shared" si="97"/>
        <v/>
      </c>
      <c r="BC118" s="3">
        <f t="shared" si="98"/>
        <v>1862</v>
      </c>
      <c r="BD118" s="3">
        <f t="shared" si="99"/>
        <v>1863</v>
      </c>
      <c r="BE118" s="9" t="str">
        <f t="shared" si="100"/>
        <v/>
      </c>
      <c r="BF118" s="9" t="str">
        <f t="shared" si="101"/>
        <v/>
      </c>
      <c r="BG118" s="9" t="str">
        <f t="shared" si="102"/>
        <v>746</v>
      </c>
      <c r="BH118" s="9" t="str">
        <f t="shared" si="103"/>
        <v>747</v>
      </c>
      <c r="BI118" s="3" t="str">
        <f t="shared" si="104"/>
        <v/>
      </c>
      <c r="BJ118" s="3" t="str">
        <f t="shared" si="105"/>
        <v/>
      </c>
      <c r="BK118" s="3" t="str">
        <f t="shared" si="106"/>
        <v/>
      </c>
      <c r="BL118" s="3" t="str">
        <f t="shared" si="107"/>
        <v/>
      </c>
      <c r="BM118" s="3" t="str">
        <f t="shared" si="108"/>
        <v/>
      </c>
      <c r="BN118" s="3" t="str">
        <f t="shared" si="109"/>
        <v/>
      </c>
      <c r="BO118" s="3">
        <f t="shared" si="110"/>
        <v>15</v>
      </c>
      <c r="BP118" s="3">
        <f t="shared" si="111"/>
        <v>7</v>
      </c>
      <c r="BQ118" s="3" t="str">
        <f t="shared" si="112"/>
        <v/>
      </c>
      <c r="BR118" s="3" t="str">
        <f t="shared" si="113"/>
        <v/>
      </c>
      <c r="BS118" s="3" t="str">
        <f t="shared" si="114"/>
        <v>(15 downto 8)</v>
      </c>
      <c r="BT118" s="3" t="str">
        <f t="shared" si="115"/>
        <v>(7 downto 0)</v>
      </c>
    </row>
    <row r="119" spans="2:72" x14ac:dyDescent="0.25">
      <c r="B119" s="3" t="s">
        <v>350</v>
      </c>
      <c r="C119" s="3" t="s">
        <v>464</v>
      </c>
      <c r="D119" s="3" t="s">
        <v>1</v>
      </c>
      <c r="E119" s="3" t="s">
        <v>1062</v>
      </c>
      <c r="F119" s="3" t="s">
        <v>118</v>
      </c>
      <c r="G119" s="3" t="s">
        <v>927</v>
      </c>
      <c r="H119" s="3" t="s">
        <v>949</v>
      </c>
      <c r="I119" s="3" t="s">
        <v>24</v>
      </c>
      <c r="J119" s="3">
        <v>16</v>
      </c>
      <c r="K119" s="3" t="s">
        <v>23</v>
      </c>
      <c r="L119" s="3" t="s">
        <v>23</v>
      </c>
      <c r="M119" s="3">
        <v>466</v>
      </c>
      <c r="N119" s="3" t="str">
        <f t="shared" si="116"/>
        <v>1D2</v>
      </c>
      <c r="O119" s="3">
        <v>31</v>
      </c>
      <c r="P119" s="3">
        <v>16</v>
      </c>
      <c r="Q119" s="3" t="str">
        <f t="shared" si="89"/>
        <v>X</v>
      </c>
      <c r="R119" s="3" t="str">
        <f t="shared" si="120"/>
        <v>X</v>
      </c>
      <c r="S119" s="3" t="str">
        <f t="shared" si="120"/>
        <v>X</v>
      </c>
      <c r="T119" s="3" t="str">
        <f t="shared" si="120"/>
        <v>X</v>
      </c>
      <c r="U119" s="3" t="str">
        <f t="shared" si="120"/>
        <v>X</v>
      </c>
      <c r="V119" s="3" t="str">
        <f t="shared" si="120"/>
        <v>X</v>
      </c>
      <c r="W119" s="3" t="str">
        <f t="shared" si="120"/>
        <v>X</v>
      </c>
      <c r="X119" s="3" t="str">
        <f t="shared" si="120"/>
        <v>X</v>
      </c>
      <c r="Y119" s="3" t="str">
        <f t="shared" si="120"/>
        <v>X</v>
      </c>
      <c r="Z119" s="3" t="str">
        <f t="shared" si="120"/>
        <v>X</v>
      </c>
      <c r="AA119" s="3" t="str">
        <f t="shared" si="120"/>
        <v>X</v>
      </c>
      <c r="AB119" s="3" t="str">
        <f t="shared" si="120"/>
        <v>X</v>
      </c>
      <c r="AC119" s="3" t="str">
        <f t="shared" si="120"/>
        <v>X</v>
      </c>
      <c r="AD119" s="3" t="str">
        <f t="shared" si="120"/>
        <v>X</v>
      </c>
      <c r="AE119" s="3" t="str">
        <f t="shared" si="120"/>
        <v>X</v>
      </c>
      <c r="AF119" s="3" t="str">
        <f t="shared" si="120"/>
        <v>X</v>
      </c>
      <c r="AG119" s="3" t="str">
        <f t="shared" si="120"/>
        <v/>
      </c>
      <c r="AH119" s="3" t="str">
        <f t="shared" si="119"/>
        <v/>
      </c>
      <c r="AI119" s="3" t="str">
        <f t="shared" si="119"/>
        <v/>
      </c>
      <c r="AJ119" s="3" t="str">
        <f t="shared" si="119"/>
        <v/>
      </c>
      <c r="AK119" s="3" t="str">
        <f t="shared" si="119"/>
        <v/>
      </c>
      <c r="AL119" s="3" t="str">
        <f t="shared" si="119"/>
        <v/>
      </c>
      <c r="AM119" s="3" t="str">
        <f t="shared" si="119"/>
        <v/>
      </c>
      <c r="AN119" s="3" t="str">
        <f t="shared" si="119"/>
        <v/>
      </c>
      <c r="AO119" s="3" t="str">
        <f t="shared" si="119"/>
        <v/>
      </c>
      <c r="AP119" s="3" t="str">
        <f t="shared" si="119"/>
        <v/>
      </c>
      <c r="AQ119" s="3" t="str">
        <f t="shared" si="119"/>
        <v/>
      </c>
      <c r="AR119" s="3" t="str">
        <f t="shared" si="119"/>
        <v/>
      </c>
      <c r="AS119" s="3" t="str">
        <f t="shared" si="119"/>
        <v/>
      </c>
      <c r="AT119" s="3" t="str">
        <f t="shared" si="119"/>
        <v/>
      </c>
      <c r="AU119" s="3" t="str">
        <f t="shared" si="119"/>
        <v/>
      </c>
      <c r="AV119" s="3" t="str">
        <f t="shared" si="119"/>
        <v/>
      </c>
      <c r="AW119" s="3" t="str">
        <f t="shared" si="90"/>
        <v>X</v>
      </c>
      <c r="AX119" s="3" t="str">
        <f t="shared" si="91"/>
        <v>X</v>
      </c>
      <c r="AY119" s="3" t="str">
        <f t="shared" si="92"/>
        <v/>
      </c>
      <c r="AZ119" s="3" t="str">
        <f t="shared" si="93"/>
        <v/>
      </c>
      <c r="BA119" s="3">
        <f t="shared" si="96"/>
        <v>1864</v>
      </c>
      <c r="BB119" s="3">
        <f t="shared" si="97"/>
        <v>1865</v>
      </c>
      <c r="BC119" s="3" t="str">
        <f t="shared" si="98"/>
        <v/>
      </c>
      <c r="BD119" s="3" t="str">
        <f t="shared" si="99"/>
        <v/>
      </c>
      <c r="BE119" s="9" t="str">
        <f t="shared" si="100"/>
        <v>748</v>
      </c>
      <c r="BF119" s="9" t="str">
        <f t="shared" si="101"/>
        <v>749</v>
      </c>
      <c r="BG119" s="9" t="str">
        <f t="shared" si="102"/>
        <v/>
      </c>
      <c r="BH119" s="9" t="str">
        <f t="shared" si="103"/>
        <v/>
      </c>
      <c r="BI119" s="3" t="str">
        <f t="shared" si="104"/>
        <v/>
      </c>
      <c r="BJ119" s="3" t="str">
        <f t="shared" si="105"/>
        <v/>
      </c>
      <c r="BK119" s="3" t="str">
        <f t="shared" si="106"/>
        <v/>
      </c>
      <c r="BL119" s="3" t="str">
        <f t="shared" si="107"/>
        <v/>
      </c>
      <c r="BM119" s="3">
        <f t="shared" si="108"/>
        <v>15</v>
      </c>
      <c r="BN119" s="3">
        <f t="shared" si="109"/>
        <v>7</v>
      </c>
      <c r="BO119" s="3" t="str">
        <f t="shared" si="110"/>
        <v/>
      </c>
      <c r="BP119" s="3" t="str">
        <f t="shared" si="111"/>
        <v/>
      </c>
      <c r="BQ119" s="3" t="str">
        <f t="shared" si="112"/>
        <v>(15 downto 8)</v>
      </c>
      <c r="BR119" s="3" t="str">
        <f t="shared" si="113"/>
        <v>(7 downto 0)</v>
      </c>
      <c r="BS119" s="3" t="str">
        <f t="shared" si="114"/>
        <v/>
      </c>
      <c r="BT119" s="3" t="str">
        <f t="shared" si="115"/>
        <v/>
      </c>
    </row>
    <row r="120" spans="2:72" x14ac:dyDescent="0.25">
      <c r="B120" s="3" t="s">
        <v>350</v>
      </c>
      <c r="C120" s="3" t="s">
        <v>465</v>
      </c>
      <c r="D120" s="3" t="s">
        <v>1</v>
      </c>
      <c r="E120" s="3" t="s">
        <v>1062</v>
      </c>
      <c r="F120" s="3" t="s">
        <v>118</v>
      </c>
      <c r="G120" s="3" t="s">
        <v>927</v>
      </c>
      <c r="H120" s="3" t="s">
        <v>950</v>
      </c>
      <c r="I120" s="3" t="s">
        <v>24</v>
      </c>
      <c r="J120" s="3">
        <v>16</v>
      </c>
      <c r="K120" s="3" t="s">
        <v>23</v>
      </c>
      <c r="L120" s="3" t="s">
        <v>23</v>
      </c>
      <c r="M120" s="3">
        <v>466</v>
      </c>
      <c r="N120" s="3" t="str">
        <f t="shared" si="116"/>
        <v>1D2</v>
      </c>
      <c r="O120" s="3">
        <v>15</v>
      </c>
      <c r="P120" s="3">
        <v>0</v>
      </c>
      <c r="Q120" s="3" t="str">
        <f t="shared" si="89"/>
        <v/>
      </c>
      <c r="R120" s="3" t="str">
        <f t="shared" si="120"/>
        <v/>
      </c>
      <c r="S120" s="3" t="str">
        <f t="shared" si="120"/>
        <v/>
      </c>
      <c r="T120" s="3" t="str">
        <f t="shared" si="120"/>
        <v/>
      </c>
      <c r="U120" s="3" t="str">
        <f t="shared" si="120"/>
        <v/>
      </c>
      <c r="V120" s="3" t="str">
        <f t="shared" si="120"/>
        <v/>
      </c>
      <c r="W120" s="3" t="str">
        <f t="shared" si="120"/>
        <v/>
      </c>
      <c r="X120" s="3" t="str">
        <f t="shared" si="120"/>
        <v/>
      </c>
      <c r="Y120" s="3" t="str">
        <f t="shared" si="120"/>
        <v/>
      </c>
      <c r="Z120" s="3" t="str">
        <f t="shared" si="120"/>
        <v/>
      </c>
      <c r="AA120" s="3" t="str">
        <f t="shared" si="120"/>
        <v/>
      </c>
      <c r="AB120" s="3" t="str">
        <f t="shared" si="120"/>
        <v/>
      </c>
      <c r="AC120" s="3" t="str">
        <f t="shared" si="120"/>
        <v/>
      </c>
      <c r="AD120" s="3" t="str">
        <f t="shared" si="120"/>
        <v/>
      </c>
      <c r="AE120" s="3" t="str">
        <f t="shared" si="120"/>
        <v/>
      </c>
      <c r="AF120" s="3" t="str">
        <f t="shared" si="120"/>
        <v/>
      </c>
      <c r="AG120" s="3" t="str">
        <f t="shared" si="120"/>
        <v>X</v>
      </c>
      <c r="AH120" s="3" t="str">
        <f t="shared" si="119"/>
        <v>X</v>
      </c>
      <c r="AI120" s="3" t="str">
        <f t="shared" si="119"/>
        <v>X</v>
      </c>
      <c r="AJ120" s="3" t="str">
        <f t="shared" si="119"/>
        <v>X</v>
      </c>
      <c r="AK120" s="3" t="str">
        <f t="shared" si="119"/>
        <v>X</v>
      </c>
      <c r="AL120" s="3" t="str">
        <f t="shared" si="119"/>
        <v>X</v>
      </c>
      <c r="AM120" s="3" t="str">
        <f t="shared" si="119"/>
        <v>X</v>
      </c>
      <c r="AN120" s="3" t="str">
        <f t="shared" si="119"/>
        <v>X</v>
      </c>
      <c r="AO120" s="3" t="str">
        <f t="shared" si="119"/>
        <v>X</v>
      </c>
      <c r="AP120" s="3" t="str">
        <f t="shared" si="119"/>
        <v>X</v>
      </c>
      <c r="AQ120" s="3" t="str">
        <f t="shared" si="119"/>
        <v>X</v>
      </c>
      <c r="AR120" s="3" t="str">
        <f t="shared" si="119"/>
        <v>X</v>
      </c>
      <c r="AS120" s="3" t="str">
        <f t="shared" si="119"/>
        <v>X</v>
      </c>
      <c r="AT120" s="3" t="str">
        <f t="shared" si="119"/>
        <v>X</v>
      </c>
      <c r="AU120" s="3" t="str">
        <f t="shared" si="119"/>
        <v>X</v>
      </c>
      <c r="AV120" s="3" t="str">
        <f t="shared" si="119"/>
        <v>X</v>
      </c>
      <c r="AW120" s="3" t="str">
        <f t="shared" si="90"/>
        <v/>
      </c>
      <c r="AX120" s="3" t="str">
        <f t="shared" si="91"/>
        <v/>
      </c>
      <c r="AY120" s="3" t="str">
        <f t="shared" si="92"/>
        <v>X</v>
      </c>
      <c r="AZ120" s="3" t="str">
        <f t="shared" si="93"/>
        <v>X</v>
      </c>
      <c r="BA120" s="3" t="str">
        <f t="shared" si="96"/>
        <v/>
      </c>
      <c r="BB120" s="3" t="str">
        <f t="shared" si="97"/>
        <v/>
      </c>
      <c r="BC120" s="3">
        <f t="shared" si="98"/>
        <v>1866</v>
      </c>
      <c r="BD120" s="3">
        <f t="shared" si="99"/>
        <v>1867</v>
      </c>
      <c r="BE120" s="9" t="str">
        <f t="shared" si="100"/>
        <v/>
      </c>
      <c r="BF120" s="9" t="str">
        <f t="shared" si="101"/>
        <v/>
      </c>
      <c r="BG120" s="9" t="str">
        <f t="shared" si="102"/>
        <v>74A</v>
      </c>
      <c r="BH120" s="9" t="str">
        <f t="shared" si="103"/>
        <v>74B</v>
      </c>
      <c r="BI120" s="3" t="str">
        <f t="shared" si="104"/>
        <v/>
      </c>
      <c r="BJ120" s="3" t="str">
        <f t="shared" si="105"/>
        <v/>
      </c>
      <c r="BK120" s="3" t="str">
        <f t="shared" si="106"/>
        <v/>
      </c>
      <c r="BL120" s="3" t="str">
        <f t="shared" si="107"/>
        <v/>
      </c>
      <c r="BM120" s="3" t="str">
        <f t="shared" si="108"/>
        <v/>
      </c>
      <c r="BN120" s="3" t="str">
        <f t="shared" si="109"/>
        <v/>
      </c>
      <c r="BO120" s="3">
        <f t="shared" si="110"/>
        <v>15</v>
      </c>
      <c r="BP120" s="3">
        <f t="shared" si="111"/>
        <v>7</v>
      </c>
      <c r="BQ120" s="3" t="str">
        <f t="shared" si="112"/>
        <v/>
      </c>
      <c r="BR120" s="3" t="str">
        <f t="shared" si="113"/>
        <v/>
      </c>
      <c r="BS120" s="3" t="str">
        <f t="shared" si="114"/>
        <v>(15 downto 8)</v>
      </c>
      <c r="BT120" s="3" t="str">
        <f t="shared" si="115"/>
        <v>(7 downto 0)</v>
      </c>
    </row>
    <row r="121" spans="2:72" x14ac:dyDescent="0.25">
      <c r="B121" s="3" t="s">
        <v>351</v>
      </c>
      <c r="C121" s="3" t="s">
        <v>466</v>
      </c>
      <c r="D121" s="3" t="s">
        <v>1</v>
      </c>
      <c r="E121" s="3" t="s">
        <v>1062</v>
      </c>
      <c r="F121" s="3" t="s">
        <v>119</v>
      </c>
      <c r="G121" s="3" t="s">
        <v>928</v>
      </c>
      <c r="H121" s="3" t="s">
        <v>951</v>
      </c>
      <c r="I121" s="3" t="s">
        <v>24</v>
      </c>
      <c r="J121" s="3">
        <v>16</v>
      </c>
      <c r="K121" s="3" t="s">
        <v>23</v>
      </c>
      <c r="L121" s="3" t="s">
        <v>23</v>
      </c>
      <c r="M121" s="3">
        <v>467</v>
      </c>
      <c r="N121" s="3" t="str">
        <f t="shared" si="116"/>
        <v>1D3</v>
      </c>
      <c r="O121" s="3">
        <v>31</v>
      </c>
      <c r="P121" s="3">
        <v>16</v>
      </c>
      <c r="Q121" s="3" t="str">
        <f t="shared" si="89"/>
        <v>X</v>
      </c>
      <c r="R121" s="3" t="str">
        <f t="shared" si="120"/>
        <v>X</v>
      </c>
      <c r="S121" s="3" t="str">
        <f t="shared" si="120"/>
        <v>X</v>
      </c>
      <c r="T121" s="3" t="str">
        <f t="shared" si="120"/>
        <v>X</v>
      </c>
      <c r="U121" s="3" t="str">
        <f t="shared" si="120"/>
        <v>X</v>
      </c>
      <c r="V121" s="3" t="str">
        <f t="shared" si="120"/>
        <v>X</v>
      </c>
      <c r="W121" s="3" t="str">
        <f t="shared" si="120"/>
        <v>X</v>
      </c>
      <c r="X121" s="3" t="str">
        <f t="shared" si="120"/>
        <v>X</v>
      </c>
      <c r="Y121" s="3" t="str">
        <f t="shared" si="120"/>
        <v>X</v>
      </c>
      <c r="Z121" s="3" t="str">
        <f t="shared" si="120"/>
        <v>X</v>
      </c>
      <c r="AA121" s="3" t="str">
        <f t="shared" si="120"/>
        <v>X</v>
      </c>
      <c r="AB121" s="3" t="str">
        <f t="shared" si="120"/>
        <v>X</v>
      </c>
      <c r="AC121" s="3" t="str">
        <f t="shared" si="120"/>
        <v>X</v>
      </c>
      <c r="AD121" s="3" t="str">
        <f t="shared" si="120"/>
        <v>X</v>
      </c>
      <c r="AE121" s="3" t="str">
        <f t="shared" si="120"/>
        <v>X</v>
      </c>
      <c r="AF121" s="3" t="str">
        <f t="shared" si="120"/>
        <v>X</v>
      </c>
      <c r="AG121" s="3" t="str">
        <f t="shared" si="120"/>
        <v/>
      </c>
      <c r="AH121" s="3" t="str">
        <f t="shared" si="119"/>
        <v/>
      </c>
      <c r="AI121" s="3" t="str">
        <f t="shared" si="119"/>
        <v/>
      </c>
      <c r="AJ121" s="3" t="str">
        <f t="shared" si="119"/>
        <v/>
      </c>
      <c r="AK121" s="3" t="str">
        <f t="shared" si="119"/>
        <v/>
      </c>
      <c r="AL121" s="3" t="str">
        <f t="shared" si="119"/>
        <v/>
      </c>
      <c r="AM121" s="3" t="str">
        <f t="shared" si="119"/>
        <v/>
      </c>
      <c r="AN121" s="3" t="str">
        <f t="shared" si="119"/>
        <v/>
      </c>
      <c r="AO121" s="3" t="str">
        <f t="shared" si="119"/>
        <v/>
      </c>
      <c r="AP121" s="3" t="str">
        <f t="shared" si="119"/>
        <v/>
      </c>
      <c r="AQ121" s="3" t="str">
        <f t="shared" si="119"/>
        <v/>
      </c>
      <c r="AR121" s="3" t="str">
        <f t="shared" si="119"/>
        <v/>
      </c>
      <c r="AS121" s="3" t="str">
        <f t="shared" si="119"/>
        <v/>
      </c>
      <c r="AT121" s="3" t="str">
        <f t="shared" si="119"/>
        <v/>
      </c>
      <c r="AU121" s="3" t="str">
        <f t="shared" si="119"/>
        <v/>
      </c>
      <c r="AV121" s="3" t="str">
        <f t="shared" si="119"/>
        <v/>
      </c>
      <c r="AW121" s="3" t="str">
        <f t="shared" si="90"/>
        <v>X</v>
      </c>
      <c r="AX121" s="3" t="str">
        <f t="shared" si="91"/>
        <v>X</v>
      </c>
      <c r="AY121" s="3" t="str">
        <f t="shared" si="92"/>
        <v/>
      </c>
      <c r="AZ121" s="3" t="str">
        <f t="shared" si="93"/>
        <v/>
      </c>
      <c r="BA121" s="3">
        <f t="shared" si="96"/>
        <v>1868</v>
      </c>
      <c r="BB121" s="3">
        <f t="shared" si="97"/>
        <v>1869</v>
      </c>
      <c r="BC121" s="3" t="str">
        <f t="shared" si="98"/>
        <v/>
      </c>
      <c r="BD121" s="3" t="str">
        <f t="shared" si="99"/>
        <v/>
      </c>
      <c r="BE121" s="9" t="str">
        <f t="shared" si="100"/>
        <v>74C</v>
      </c>
      <c r="BF121" s="9" t="str">
        <f t="shared" si="101"/>
        <v>74D</v>
      </c>
      <c r="BG121" s="9" t="str">
        <f t="shared" si="102"/>
        <v/>
      </c>
      <c r="BH121" s="9" t="str">
        <f t="shared" si="103"/>
        <v/>
      </c>
      <c r="BI121" s="3" t="str">
        <f t="shared" si="104"/>
        <v/>
      </c>
      <c r="BJ121" s="3" t="str">
        <f t="shared" si="105"/>
        <v/>
      </c>
      <c r="BK121" s="3" t="str">
        <f t="shared" si="106"/>
        <v/>
      </c>
      <c r="BL121" s="3" t="str">
        <f t="shared" si="107"/>
        <v/>
      </c>
      <c r="BM121" s="3">
        <f t="shared" si="108"/>
        <v>15</v>
      </c>
      <c r="BN121" s="3">
        <f t="shared" si="109"/>
        <v>7</v>
      </c>
      <c r="BO121" s="3" t="str">
        <f t="shared" si="110"/>
        <v/>
      </c>
      <c r="BP121" s="3" t="str">
        <f t="shared" si="111"/>
        <v/>
      </c>
      <c r="BQ121" s="3" t="str">
        <f t="shared" si="112"/>
        <v>(15 downto 8)</v>
      </c>
      <c r="BR121" s="3" t="str">
        <f t="shared" si="113"/>
        <v>(7 downto 0)</v>
      </c>
      <c r="BS121" s="3" t="str">
        <f t="shared" si="114"/>
        <v/>
      </c>
      <c r="BT121" s="3" t="str">
        <f t="shared" si="115"/>
        <v/>
      </c>
    </row>
    <row r="122" spans="2:72" x14ac:dyDescent="0.25">
      <c r="B122" s="3" t="s">
        <v>351</v>
      </c>
      <c r="C122" s="3" t="s">
        <v>467</v>
      </c>
      <c r="D122" s="3" t="s">
        <v>1</v>
      </c>
      <c r="E122" s="3" t="s">
        <v>1062</v>
      </c>
      <c r="F122" s="3" t="s">
        <v>119</v>
      </c>
      <c r="G122" s="3" t="s">
        <v>928</v>
      </c>
      <c r="H122" s="3" t="s">
        <v>952</v>
      </c>
      <c r="I122" s="3" t="s">
        <v>24</v>
      </c>
      <c r="J122" s="3">
        <v>16</v>
      </c>
      <c r="K122" s="3" t="s">
        <v>23</v>
      </c>
      <c r="L122" s="3" t="s">
        <v>23</v>
      </c>
      <c r="M122" s="3">
        <v>467</v>
      </c>
      <c r="N122" s="3" t="str">
        <f t="shared" si="116"/>
        <v>1D3</v>
      </c>
      <c r="O122" s="3">
        <v>15</v>
      </c>
      <c r="P122" s="3">
        <v>0</v>
      </c>
      <c r="Q122" s="3" t="str">
        <f t="shared" si="89"/>
        <v/>
      </c>
      <c r="R122" s="3" t="str">
        <f t="shared" si="120"/>
        <v/>
      </c>
      <c r="S122" s="3" t="str">
        <f t="shared" si="120"/>
        <v/>
      </c>
      <c r="T122" s="3" t="str">
        <f t="shared" si="120"/>
        <v/>
      </c>
      <c r="U122" s="3" t="str">
        <f t="shared" si="120"/>
        <v/>
      </c>
      <c r="V122" s="3" t="str">
        <f t="shared" si="120"/>
        <v/>
      </c>
      <c r="W122" s="3" t="str">
        <f t="shared" si="120"/>
        <v/>
      </c>
      <c r="X122" s="3" t="str">
        <f t="shared" si="120"/>
        <v/>
      </c>
      <c r="Y122" s="3" t="str">
        <f t="shared" si="120"/>
        <v/>
      </c>
      <c r="Z122" s="3" t="str">
        <f t="shared" si="120"/>
        <v/>
      </c>
      <c r="AA122" s="3" t="str">
        <f t="shared" si="120"/>
        <v/>
      </c>
      <c r="AB122" s="3" t="str">
        <f t="shared" si="120"/>
        <v/>
      </c>
      <c r="AC122" s="3" t="str">
        <f t="shared" si="120"/>
        <v/>
      </c>
      <c r="AD122" s="3" t="str">
        <f t="shared" si="120"/>
        <v/>
      </c>
      <c r="AE122" s="3" t="str">
        <f t="shared" si="120"/>
        <v/>
      </c>
      <c r="AF122" s="3" t="str">
        <f t="shared" si="120"/>
        <v/>
      </c>
      <c r="AG122" s="3" t="str">
        <f t="shared" si="120"/>
        <v>X</v>
      </c>
      <c r="AH122" s="3" t="str">
        <f t="shared" si="119"/>
        <v>X</v>
      </c>
      <c r="AI122" s="3" t="str">
        <f t="shared" si="119"/>
        <v>X</v>
      </c>
      <c r="AJ122" s="3" t="str">
        <f t="shared" si="119"/>
        <v>X</v>
      </c>
      <c r="AK122" s="3" t="str">
        <f t="shared" si="119"/>
        <v>X</v>
      </c>
      <c r="AL122" s="3" t="str">
        <f t="shared" si="119"/>
        <v>X</v>
      </c>
      <c r="AM122" s="3" t="str">
        <f t="shared" si="119"/>
        <v>X</v>
      </c>
      <c r="AN122" s="3" t="str">
        <f t="shared" si="119"/>
        <v>X</v>
      </c>
      <c r="AO122" s="3" t="str">
        <f t="shared" si="119"/>
        <v>X</v>
      </c>
      <c r="AP122" s="3" t="str">
        <f t="shared" si="119"/>
        <v>X</v>
      </c>
      <c r="AQ122" s="3" t="str">
        <f t="shared" si="119"/>
        <v>X</v>
      </c>
      <c r="AR122" s="3" t="str">
        <f t="shared" si="119"/>
        <v>X</v>
      </c>
      <c r="AS122" s="3" t="str">
        <f t="shared" si="119"/>
        <v>X</v>
      </c>
      <c r="AT122" s="3" t="str">
        <f t="shared" si="119"/>
        <v>X</v>
      </c>
      <c r="AU122" s="3" t="str">
        <f t="shared" si="119"/>
        <v>X</v>
      </c>
      <c r="AV122" s="3" t="str">
        <f t="shared" si="119"/>
        <v>X</v>
      </c>
      <c r="AW122" s="3" t="str">
        <f t="shared" si="90"/>
        <v/>
      </c>
      <c r="AX122" s="3" t="str">
        <f t="shared" si="91"/>
        <v/>
      </c>
      <c r="AY122" s="3" t="str">
        <f t="shared" si="92"/>
        <v>X</v>
      </c>
      <c r="AZ122" s="3" t="str">
        <f t="shared" si="93"/>
        <v>X</v>
      </c>
      <c r="BA122" s="3" t="str">
        <f t="shared" si="96"/>
        <v/>
      </c>
      <c r="BB122" s="3" t="str">
        <f t="shared" si="97"/>
        <v/>
      </c>
      <c r="BC122" s="3">
        <f t="shared" si="98"/>
        <v>1870</v>
      </c>
      <c r="BD122" s="3">
        <f t="shared" si="99"/>
        <v>1871</v>
      </c>
      <c r="BE122" s="9" t="str">
        <f t="shared" si="100"/>
        <v/>
      </c>
      <c r="BF122" s="9" t="str">
        <f t="shared" si="101"/>
        <v/>
      </c>
      <c r="BG122" s="9" t="str">
        <f t="shared" si="102"/>
        <v>74E</v>
      </c>
      <c r="BH122" s="9" t="str">
        <f t="shared" si="103"/>
        <v>74F</v>
      </c>
      <c r="BI122" s="3" t="str">
        <f t="shared" si="104"/>
        <v/>
      </c>
      <c r="BJ122" s="3" t="str">
        <f t="shared" si="105"/>
        <v/>
      </c>
      <c r="BK122" s="3" t="str">
        <f t="shared" si="106"/>
        <v/>
      </c>
      <c r="BL122" s="3" t="str">
        <f t="shared" si="107"/>
        <v/>
      </c>
      <c r="BM122" s="3" t="str">
        <f t="shared" si="108"/>
        <v/>
      </c>
      <c r="BN122" s="3" t="str">
        <f t="shared" si="109"/>
        <v/>
      </c>
      <c r="BO122" s="3">
        <f t="shared" si="110"/>
        <v>15</v>
      </c>
      <c r="BP122" s="3">
        <f t="shared" si="111"/>
        <v>7</v>
      </c>
      <c r="BQ122" s="3" t="str">
        <f t="shared" si="112"/>
        <v/>
      </c>
      <c r="BR122" s="3" t="str">
        <f t="shared" si="113"/>
        <v/>
      </c>
      <c r="BS122" s="3" t="str">
        <f t="shared" si="114"/>
        <v>(15 downto 8)</v>
      </c>
      <c r="BT122" s="3" t="str">
        <f t="shared" si="115"/>
        <v>(7 downto 0)</v>
      </c>
    </row>
    <row r="123" spans="2:72" x14ac:dyDescent="0.25">
      <c r="B123" s="3" t="s">
        <v>352</v>
      </c>
      <c r="C123" s="3" t="s">
        <v>468</v>
      </c>
      <c r="D123" s="3" t="s">
        <v>1</v>
      </c>
      <c r="E123" s="3" t="s">
        <v>1062</v>
      </c>
      <c r="F123" s="3" t="s">
        <v>120</v>
      </c>
      <c r="G123" s="3" t="s">
        <v>929</v>
      </c>
      <c r="H123" s="3" t="s">
        <v>221</v>
      </c>
      <c r="I123" s="3" t="s">
        <v>24</v>
      </c>
      <c r="J123" s="3">
        <v>16</v>
      </c>
      <c r="K123" s="3" t="s">
        <v>23</v>
      </c>
      <c r="L123" s="3" t="s">
        <v>23</v>
      </c>
      <c r="M123" s="3">
        <v>468</v>
      </c>
      <c r="N123" s="3" t="str">
        <f t="shared" si="116"/>
        <v>1D4</v>
      </c>
      <c r="O123" s="3">
        <v>31</v>
      </c>
      <c r="P123" s="3">
        <v>16</v>
      </c>
      <c r="Q123" s="3" t="str">
        <f t="shared" si="89"/>
        <v>X</v>
      </c>
      <c r="R123" s="3" t="str">
        <f t="shared" si="120"/>
        <v>X</v>
      </c>
      <c r="S123" s="3" t="str">
        <f t="shared" si="120"/>
        <v>X</v>
      </c>
      <c r="T123" s="3" t="str">
        <f t="shared" si="120"/>
        <v>X</v>
      </c>
      <c r="U123" s="3" t="str">
        <f t="shared" si="120"/>
        <v>X</v>
      </c>
      <c r="V123" s="3" t="str">
        <f t="shared" si="120"/>
        <v>X</v>
      </c>
      <c r="W123" s="3" t="str">
        <f t="shared" si="120"/>
        <v>X</v>
      </c>
      <c r="X123" s="3" t="str">
        <f t="shared" si="120"/>
        <v>X</v>
      </c>
      <c r="Y123" s="3" t="str">
        <f t="shared" si="120"/>
        <v>X</v>
      </c>
      <c r="Z123" s="3" t="str">
        <f t="shared" si="120"/>
        <v>X</v>
      </c>
      <c r="AA123" s="3" t="str">
        <f t="shared" si="120"/>
        <v>X</v>
      </c>
      <c r="AB123" s="3" t="str">
        <f t="shared" si="120"/>
        <v>X</v>
      </c>
      <c r="AC123" s="3" t="str">
        <f t="shared" si="120"/>
        <v>X</v>
      </c>
      <c r="AD123" s="3" t="str">
        <f t="shared" si="120"/>
        <v>X</v>
      </c>
      <c r="AE123" s="3" t="str">
        <f t="shared" si="120"/>
        <v>X</v>
      </c>
      <c r="AF123" s="3" t="str">
        <f t="shared" si="120"/>
        <v>X</v>
      </c>
      <c r="AG123" s="3" t="str">
        <f t="shared" si="120"/>
        <v/>
      </c>
      <c r="AH123" s="3" t="str">
        <f t="shared" si="119"/>
        <v/>
      </c>
      <c r="AI123" s="3" t="str">
        <f t="shared" si="119"/>
        <v/>
      </c>
      <c r="AJ123" s="3" t="str">
        <f t="shared" si="119"/>
        <v/>
      </c>
      <c r="AK123" s="3" t="str">
        <f t="shared" si="119"/>
        <v/>
      </c>
      <c r="AL123" s="3" t="str">
        <f t="shared" si="119"/>
        <v/>
      </c>
      <c r="AM123" s="3" t="str">
        <f t="shared" si="119"/>
        <v/>
      </c>
      <c r="AN123" s="3" t="str">
        <f t="shared" si="119"/>
        <v/>
      </c>
      <c r="AO123" s="3" t="str">
        <f t="shared" si="119"/>
        <v/>
      </c>
      <c r="AP123" s="3" t="str">
        <f t="shared" si="119"/>
        <v/>
      </c>
      <c r="AQ123" s="3" t="str">
        <f t="shared" si="119"/>
        <v/>
      </c>
      <c r="AR123" s="3" t="str">
        <f t="shared" si="119"/>
        <v/>
      </c>
      <c r="AS123" s="3" t="str">
        <f t="shared" si="119"/>
        <v/>
      </c>
      <c r="AT123" s="3" t="str">
        <f t="shared" si="119"/>
        <v/>
      </c>
      <c r="AU123" s="3" t="str">
        <f t="shared" si="119"/>
        <v/>
      </c>
      <c r="AV123" s="3" t="str">
        <f t="shared" si="119"/>
        <v/>
      </c>
      <c r="AW123" s="3" t="str">
        <f t="shared" si="90"/>
        <v>X</v>
      </c>
      <c r="AX123" s="3" t="str">
        <f t="shared" si="91"/>
        <v>X</v>
      </c>
      <c r="AY123" s="3" t="str">
        <f t="shared" si="92"/>
        <v/>
      </c>
      <c r="AZ123" s="3" t="str">
        <f t="shared" si="93"/>
        <v/>
      </c>
      <c r="BA123" s="3">
        <f t="shared" si="96"/>
        <v>1872</v>
      </c>
      <c r="BB123" s="3">
        <f t="shared" si="97"/>
        <v>1873</v>
      </c>
      <c r="BC123" s="3" t="str">
        <f t="shared" si="98"/>
        <v/>
      </c>
      <c r="BD123" s="3" t="str">
        <f t="shared" si="99"/>
        <v/>
      </c>
      <c r="BE123" s="9" t="str">
        <f t="shared" si="100"/>
        <v>750</v>
      </c>
      <c r="BF123" s="9" t="str">
        <f t="shared" si="101"/>
        <v>751</v>
      </c>
      <c r="BG123" s="9" t="str">
        <f t="shared" si="102"/>
        <v/>
      </c>
      <c r="BH123" s="9" t="str">
        <f t="shared" si="103"/>
        <v/>
      </c>
      <c r="BI123" s="3" t="str">
        <f t="shared" si="104"/>
        <v/>
      </c>
      <c r="BJ123" s="3" t="str">
        <f t="shared" si="105"/>
        <v/>
      </c>
      <c r="BK123" s="3" t="str">
        <f t="shared" si="106"/>
        <v/>
      </c>
      <c r="BL123" s="3" t="str">
        <f t="shared" si="107"/>
        <v/>
      </c>
      <c r="BM123" s="3">
        <f t="shared" si="108"/>
        <v>15</v>
      </c>
      <c r="BN123" s="3">
        <f t="shared" si="109"/>
        <v>7</v>
      </c>
      <c r="BO123" s="3" t="str">
        <f t="shared" si="110"/>
        <v/>
      </c>
      <c r="BP123" s="3" t="str">
        <f t="shared" si="111"/>
        <v/>
      </c>
      <c r="BQ123" s="3" t="str">
        <f t="shared" si="112"/>
        <v>(15 downto 8)</v>
      </c>
      <c r="BR123" s="3" t="str">
        <f t="shared" si="113"/>
        <v>(7 downto 0)</v>
      </c>
      <c r="BS123" s="3" t="str">
        <f t="shared" si="114"/>
        <v/>
      </c>
      <c r="BT123" s="3" t="str">
        <f t="shared" si="115"/>
        <v/>
      </c>
    </row>
    <row r="124" spans="2:72" x14ac:dyDescent="0.25">
      <c r="B124" s="3" t="s">
        <v>352</v>
      </c>
      <c r="C124" s="3" t="s">
        <v>469</v>
      </c>
      <c r="D124" s="3" t="s">
        <v>1</v>
      </c>
      <c r="E124" s="3" t="s">
        <v>1062</v>
      </c>
      <c r="F124" s="3" t="s">
        <v>120</v>
      </c>
      <c r="G124" s="3" t="s">
        <v>929</v>
      </c>
      <c r="H124" s="3" t="s">
        <v>222</v>
      </c>
      <c r="I124" s="3" t="s">
        <v>24</v>
      </c>
      <c r="J124" s="3">
        <v>16</v>
      </c>
      <c r="K124" s="3" t="s">
        <v>23</v>
      </c>
      <c r="L124" s="3" t="s">
        <v>23</v>
      </c>
      <c r="M124" s="3">
        <v>468</v>
      </c>
      <c r="N124" s="3" t="str">
        <f t="shared" si="116"/>
        <v>1D4</v>
      </c>
      <c r="O124" s="3">
        <v>15</v>
      </c>
      <c r="P124" s="3">
        <v>0</v>
      </c>
      <c r="Q124" s="3" t="str">
        <f t="shared" si="89"/>
        <v/>
      </c>
      <c r="R124" s="3" t="str">
        <f t="shared" si="120"/>
        <v/>
      </c>
      <c r="S124" s="3" t="str">
        <f t="shared" si="120"/>
        <v/>
      </c>
      <c r="T124" s="3" t="str">
        <f t="shared" si="120"/>
        <v/>
      </c>
      <c r="U124" s="3" t="str">
        <f t="shared" si="120"/>
        <v/>
      </c>
      <c r="V124" s="3" t="str">
        <f t="shared" si="120"/>
        <v/>
      </c>
      <c r="W124" s="3" t="str">
        <f t="shared" si="120"/>
        <v/>
      </c>
      <c r="X124" s="3" t="str">
        <f t="shared" si="120"/>
        <v/>
      </c>
      <c r="Y124" s="3" t="str">
        <f t="shared" si="120"/>
        <v/>
      </c>
      <c r="Z124" s="3" t="str">
        <f t="shared" si="120"/>
        <v/>
      </c>
      <c r="AA124" s="3" t="str">
        <f t="shared" si="120"/>
        <v/>
      </c>
      <c r="AB124" s="3" t="str">
        <f t="shared" si="120"/>
        <v/>
      </c>
      <c r="AC124" s="3" t="str">
        <f t="shared" si="120"/>
        <v/>
      </c>
      <c r="AD124" s="3" t="str">
        <f t="shared" si="120"/>
        <v/>
      </c>
      <c r="AE124" s="3" t="str">
        <f t="shared" si="120"/>
        <v/>
      </c>
      <c r="AF124" s="3" t="str">
        <f t="shared" si="120"/>
        <v/>
      </c>
      <c r="AG124" s="3" t="str">
        <f t="shared" si="120"/>
        <v>X</v>
      </c>
      <c r="AH124" s="3" t="str">
        <f t="shared" si="119"/>
        <v>X</v>
      </c>
      <c r="AI124" s="3" t="str">
        <f t="shared" si="119"/>
        <v>X</v>
      </c>
      <c r="AJ124" s="3" t="str">
        <f t="shared" si="119"/>
        <v>X</v>
      </c>
      <c r="AK124" s="3" t="str">
        <f t="shared" si="119"/>
        <v>X</v>
      </c>
      <c r="AL124" s="3" t="str">
        <f t="shared" si="119"/>
        <v>X</v>
      </c>
      <c r="AM124" s="3" t="str">
        <f t="shared" si="119"/>
        <v>X</v>
      </c>
      <c r="AN124" s="3" t="str">
        <f t="shared" si="119"/>
        <v>X</v>
      </c>
      <c r="AO124" s="3" t="str">
        <f t="shared" si="119"/>
        <v>X</v>
      </c>
      <c r="AP124" s="3" t="str">
        <f t="shared" si="119"/>
        <v>X</v>
      </c>
      <c r="AQ124" s="3" t="str">
        <f t="shared" si="119"/>
        <v>X</v>
      </c>
      <c r="AR124" s="3" t="str">
        <f t="shared" si="119"/>
        <v>X</v>
      </c>
      <c r="AS124" s="3" t="str">
        <f t="shared" si="119"/>
        <v>X</v>
      </c>
      <c r="AT124" s="3" t="str">
        <f t="shared" si="119"/>
        <v>X</v>
      </c>
      <c r="AU124" s="3" t="str">
        <f t="shared" si="119"/>
        <v>X</v>
      </c>
      <c r="AV124" s="3" t="str">
        <f t="shared" si="119"/>
        <v>X</v>
      </c>
      <c r="AW124" s="3" t="str">
        <f t="shared" si="90"/>
        <v/>
      </c>
      <c r="AX124" s="3" t="str">
        <f t="shared" si="91"/>
        <v/>
      </c>
      <c r="AY124" s="3" t="str">
        <f t="shared" si="92"/>
        <v>X</v>
      </c>
      <c r="AZ124" s="3" t="str">
        <f t="shared" si="93"/>
        <v>X</v>
      </c>
      <c r="BA124" s="3" t="str">
        <f t="shared" si="96"/>
        <v/>
      </c>
      <c r="BB124" s="3" t="str">
        <f t="shared" si="97"/>
        <v/>
      </c>
      <c r="BC124" s="3">
        <f t="shared" si="98"/>
        <v>1874</v>
      </c>
      <c r="BD124" s="3">
        <f t="shared" si="99"/>
        <v>1875</v>
      </c>
      <c r="BE124" s="9" t="str">
        <f t="shared" si="100"/>
        <v/>
      </c>
      <c r="BF124" s="9" t="str">
        <f t="shared" si="101"/>
        <v/>
      </c>
      <c r="BG124" s="9" t="str">
        <f t="shared" si="102"/>
        <v>752</v>
      </c>
      <c r="BH124" s="9" t="str">
        <f t="shared" si="103"/>
        <v>753</v>
      </c>
      <c r="BI124" s="3" t="str">
        <f t="shared" si="104"/>
        <v/>
      </c>
      <c r="BJ124" s="3" t="str">
        <f t="shared" si="105"/>
        <v/>
      </c>
      <c r="BK124" s="3" t="str">
        <f t="shared" si="106"/>
        <v/>
      </c>
      <c r="BL124" s="3" t="str">
        <f t="shared" si="107"/>
        <v/>
      </c>
      <c r="BM124" s="3" t="str">
        <f t="shared" si="108"/>
        <v/>
      </c>
      <c r="BN124" s="3" t="str">
        <f t="shared" si="109"/>
        <v/>
      </c>
      <c r="BO124" s="3">
        <f t="shared" si="110"/>
        <v>15</v>
      </c>
      <c r="BP124" s="3">
        <f t="shared" si="111"/>
        <v>7</v>
      </c>
      <c r="BQ124" s="3" t="str">
        <f t="shared" si="112"/>
        <v/>
      </c>
      <c r="BR124" s="3" t="str">
        <f t="shared" si="113"/>
        <v/>
      </c>
      <c r="BS124" s="3" t="str">
        <f t="shared" si="114"/>
        <v>(15 downto 8)</v>
      </c>
      <c r="BT124" s="3" t="str">
        <f t="shared" si="115"/>
        <v>(7 downto 0)</v>
      </c>
    </row>
    <row r="125" spans="2:72" x14ac:dyDescent="0.25">
      <c r="B125" s="3" t="s">
        <v>353</v>
      </c>
      <c r="C125" s="3" t="s">
        <v>470</v>
      </c>
      <c r="D125" s="3" t="s">
        <v>1</v>
      </c>
      <c r="E125" s="3" t="s">
        <v>1062</v>
      </c>
      <c r="F125" s="3" t="s">
        <v>121</v>
      </c>
      <c r="G125" s="3" t="s">
        <v>930</v>
      </c>
      <c r="H125" s="3" t="s">
        <v>223</v>
      </c>
      <c r="I125" s="3" t="s">
        <v>24</v>
      </c>
      <c r="J125" s="3">
        <v>16</v>
      </c>
      <c r="K125" s="3" t="s">
        <v>23</v>
      </c>
      <c r="L125" s="3" t="s">
        <v>23</v>
      </c>
      <c r="M125" s="3">
        <v>469</v>
      </c>
      <c r="N125" s="3" t="str">
        <f t="shared" si="116"/>
        <v>1D5</v>
      </c>
      <c r="O125" s="3">
        <v>31</v>
      </c>
      <c r="P125" s="3">
        <v>16</v>
      </c>
      <c r="Q125" s="3" t="str">
        <f t="shared" si="89"/>
        <v>X</v>
      </c>
      <c r="R125" s="3" t="str">
        <f t="shared" si="120"/>
        <v>X</v>
      </c>
      <c r="S125" s="3" t="str">
        <f t="shared" si="120"/>
        <v>X</v>
      </c>
      <c r="T125" s="3" t="str">
        <f t="shared" si="120"/>
        <v>X</v>
      </c>
      <c r="U125" s="3" t="str">
        <f t="shared" si="120"/>
        <v>X</v>
      </c>
      <c r="V125" s="3" t="str">
        <f t="shared" si="120"/>
        <v>X</v>
      </c>
      <c r="W125" s="3" t="str">
        <f t="shared" si="120"/>
        <v>X</v>
      </c>
      <c r="X125" s="3" t="str">
        <f t="shared" si="120"/>
        <v>X</v>
      </c>
      <c r="Y125" s="3" t="str">
        <f t="shared" si="120"/>
        <v>X</v>
      </c>
      <c r="Z125" s="3" t="str">
        <f t="shared" si="120"/>
        <v>X</v>
      </c>
      <c r="AA125" s="3" t="str">
        <f t="shared" si="120"/>
        <v>X</v>
      </c>
      <c r="AB125" s="3" t="str">
        <f t="shared" si="120"/>
        <v>X</v>
      </c>
      <c r="AC125" s="3" t="str">
        <f t="shared" si="120"/>
        <v>X</v>
      </c>
      <c r="AD125" s="3" t="str">
        <f t="shared" si="120"/>
        <v>X</v>
      </c>
      <c r="AE125" s="3" t="str">
        <f t="shared" si="120"/>
        <v>X</v>
      </c>
      <c r="AF125" s="3" t="str">
        <f t="shared" si="120"/>
        <v>X</v>
      </c>
      <c r="AG125" s="3" t="str">
        <f t="shared" si="120"/>
        <v/>
      </c>
      <c r="AH125" s="3" t="str">
        <f t="shared" si="119"/>
        <v/>
      </c>
      <c r="AI125" s="3" t="str">
        <f t="shared" si="119"/>
        <v/>
      </c>
      <c r="AJ125" s="3" t="str">
        <f t="shared" si="119"/>
        <v/>
      </c>
      <c r="AK125" s="3" t="str">
        <f t="shared" si="119"/>
        <v/>
      </c>
      <c r="AL125" s="3" t="str">
        <f t="shared" si="119"/>
        <v/>
      </c>
      <c r="AM125" s="3" t="str">
        <f t="shared" si="119"/>
        <v/>
      </c>
      <c r="AN125" s="3" t="str">
        <f t="shared" si="119"/>
        <v/>
      </c>
      <c r="AO125" s="3" t="str">
        <f t="shared" si="119"/>
        <v/>
      </c>
      <c r="AP125" s="3" t="str">
        <f t="shared" si="119"/>
        <v/>
      </c>
      <c r="AQ125" s="3" t="str">
        <f t="shared" si="119"/>
        <v/>
      </c>
      <c r="AR125" s="3" t="str">
        <f t="shared" si="119"/>
        <v/>
      </c>
      <c r="AS125" s="3" t="str">
        <f t="shared" si="119"/>
        <v/>
      </c>
      <c r="AT125" s="3" t="str">
        <f t="shared" si="119"/>
        <v/>
      </c>
      <c r="AU125" s="3" t="str">
        <f t="shared" si="119"/>
        <v/>
      </c>
      <c r="AV125" s="3" t="str">
        <f t="shared" si="119"/>
        <v/>
      </c>
      <c r="AW125" s="3" t="str">
        <f t="shared" si="90"/>
        <v>X</v>
      </c>
      <c r="AX125" s="3" t="str">
        <f t="shared" si="91"/>
        <v>X</v>
      </c>
      <c r="AY125" s="3" t="str">
        <f t="shared" si="92"/>
        <v/>
      </c>
      <c r="AZ125" s="3" t="str">
        <f t="shared" si="93"/>
        <v/>
      </c>
      <c r="BA125" s="3">
        <f t="shared" si="96"/>
        <v>1876</v>
      </c>
      <c r="BB125" s="3">
        <f t="shared" si="97"/>
        <v>1877</v>
      </c>
      <c r="BC125" s="3" t="str">
        <f t="shared" si="98"/>
        <v/>
      </c>
      <c r="BD125" s="3" t="str">
        <f t="shared" si="99"/>
        <v/>
      </c>
      <c r="BE125" s="9" t="str">
        <f t="shared" si="100"/>
        <v>754</v>
      </c>
      <c r="BF125" s="9" t="str">
        <f t="shared" si="101"/>
        <v>755</v>
      </c>
      <c r="BG125" s="9" t="str">
        <f t="shared" si="102"/>
        <v/>
      </c>
      <c r="BH125" s="9" t="str">
        <f t="shared" si="103"/>
        <v/>
      </c>
      <c r="BI125" s="3" t="str">
        <f t="shared" si="104"/>
        <v/>
      </c>
      <c r="BJ125" s="3" t="str">
        <f t="shared" si="105"/>
        <v/>
      </c>
      <c r="BK125" s="3" t="str">
        <f t="shared" si="106"/>
        <v/>
      </c>
      <c r="BL125" s="3" t="str">
        <f t="shared" si="107"/>
        <v/>
      </c>
      <c r="BM125" s="3">
        <f t="shared" si="108"/>
        <v>15</v>
      </c>
      <c r="BN125" s="3">
        <f t="shared" si="109"/>
        <v>7</v>
      </c>
      <c r="BO125" s="3" t="str">
        <f t="shared" si="110"/>
        <v/>
      </c>
      <c r="BP125" s="3" t="str">
        <f t="shared" si="111"/>
        <v/>
      </c>
      <c r="BQ125" s="3" t="str">
        <f t="shared" si="112"/>
        <v>(15 downto 8)</v>
      </c>
      <c r="BR125" s="3" t="str">
        <f t="shared" si="113"/>
        <v>(7 downto 0)</v>
      </c>
      <c r="BS125" s="3" t="str">
        <f t="shared" si="114"/>
        <v/>
      </c>
      <c r="BT125" s="3" t="str">
        <f t="shared" si="115"/>
        <v/>
      </c>
    </row>
    <row r="126" spans="2:72" x14ac:dyDescent="0.25">
      <c r="B126" s="3" t="s">
        <v>353</v>
      </c>
      <c r="C126" s="3" t="s">
        <v>471</v>
      </c>
      <c r="D126" s="3" t="s">
        <v>1</v>
      </c>
      <c r="E126" s="3" t="s">
        <v>1062</v>
      </c>
      <c r="F126" s="3" t="s">
        <v>121</v>
      </c>
      <c r="G126" s="3" t="s">
        <v>930</v>
      </c>
      <c r="H126" s="3" t="s">
        <v>224</v>
      </c>
      <c r="I126" s="3" t="s">
        <v>24</v>
      </c>
      <c r="J126" s="3">
        <v>16</v>
      </c>
      <c r="K126" s="3" t="s">
        <v>23</v>
      </c>
      <c r="L126" s="3" t="s">
        <v>23</v>
      </c>
      <c r="M126" s="3">
        <v>469</v>
      </c>
      <c r="N126" s="3" t="str">
        <f t="shared" si="116"/>
        <v>1D5</v>
      </c>
      <c r="O126" s="3">
        <v>15</v>
      </c>
      <c r="P126" s="3">
        <v>0</v>
      </c>
      <c r="Q126" s="3" t="str">
        <f t="shared" si="89"/>
        <v/>
      </c>
      <c r="R126" s="3" t="str">
        <f t="shared" si="120"/>
        <v/>
      </c>
      <c r="S126" s="3" t="str">
        <f t="shared" si="120"/>
        <v/>
      </c>
      <c r="T126" s="3" t="str">
        <f t="shared" si="120"/>
        <v/>
      </c>
      <c r="U126" s="3" t="str">
        <f t="shared" si="120"/>
        <v/>
      </c>
      <c r="V126" s="3" t="str">
        <f t="shared" si="120"/>
        <v/>
      </c>
      <c r="W126" s="3" t="str">
        <f t="shared" si="120"/>
        <v/>
      </c>
      <c r="X126" s="3" t="str">
        <f t="shared" si="120"/>
        <v/>
      </c>
      <c r="Y126" s="3" t="str">
        <f t="shared" si="120"/>
        <v/>
      </c>
      <c r="Z126" s="3" t="str">
        <f t="shared" si="120"/>
        <v/>
      </c>
      <c r="AA126" s="3" t="str">
        <f t="shared" si="120"/>
        <v/>
      </c>
      <c r="AB126" s="3" t="str">
        <f t="shared" ref="AB126:AQ170" si="121">IF(AND($O126&gt;=AB$3,AB$3&gt;=$P126),"X","")</f>
        <v/>
      </c>
      <c r="AC126" s="3" t="str">
        <f t="shared" si="121"/>
        <v/>
      </c>
      <c r="AD126" s="3" t="str">
        <f t="shared" si="121"/>
        <v/>
      </c>
      <c r="AE126" s="3" t="str">
        <f t="shared" si="121"/>
        <v/>
      </c>
      <c r="AF126" s="3" t="str">
        <f t="shared" si="121"/>
        <v/>
      </c>
      <c r="AG126" s="3" t="str">
        <f t="shared" si="121"/>
        <v>X</v>
      </c>
      <c r="AH126" s="3" t="str">
        <f t="shared" si="121"/>
        <v>X</v>
      </c>
      <c r="AI126" s="3" t="str">
        <f t="shared" si="121"/>
        <v>X</v>
      </c>
      <c r="AJ126" s="3" t="str">
        <f t="shared" si="121"/>
        <v>X</v>
      </c>
      <c r="AK126" s="3" t="str">
        <f t="shared" si="121"/>
        <v>X</v>
      </c>
      <c r="AL126" s="3" t="str">
        <f t="shared" si="121"/>
        <v>X</v>
      </c>
      <c r="AM126" s="3" t="str">
        <f t="shared" si="121"/>
        <v>X</v>
      </c>
      <c r="AN126" s="3" t="str">
        <f t="shared" si="121"/>
        <v>X</v>
      </c>
      <c r="AO126" s="3" t="str">
        <f t="shared" si="121"/>
        <v>X</v>
      </c>
      <c r="AP126" s="3" t="str">
        <f t="shared" si="121"/>
        <v>X</v>
      </c>
      <c r="AQ126" s="3" t="str">
        <f t="shared" si="121"/>
        <v>X</v>
      </c>
      <c r="AR126" s="3" t="str">
        <f t="shared" ref="AH126:AV170" si="122">IF(AND($O126&gt;=AR$3,AR$3&gt;=$P126),"X","")</f>
        <v>X</v>
      </c>
      <c r="AS126" s="3" t="str">
        <f t="shared" si="122"/>
        <v>X</v>
      </c>
      <c r="AT126" s="3" t="str">
        <f t="shared" si="122"/>
        <v>X</v>
      </c>
      <c r="AU126" s="3" t="str">
        <f t="shared" si="122"/>
        <v>X</v>
      </c>
      <c r="AV126" s="3" t="str">
        <f t="shared" si="122"/>
        <v>X</v>
      </c>
      <c r="AW126" s="3" t="str">
        <f t="shared" si="90"/>
        <v/>
      </c>
      <c r="AX126" s="3" t="str">
        <f t="shared" si="91"/>
        <v/>
      </c>
      <c r="AY126" s="3" t="str">
        <f t="shared" si="92"/>
        <v>X</v>
      </c>
      <c r="AZ126" s="3" t="str">
        <f t="shared" si="93"/>
        <v>X</v>
      </c>
      <c r="BA126" s="3" t="str">
        <f t="shared" si="96"/>
        <v/>
      </c>
      <c r="BB126" s="3" t="str">
        <f t="shared" si="97"/>
        <v/>
      </c>
      <c r="BC126" s="3">
        <f t="shared" si="98"/>
        <v>1878</v>
      </c>
      <c r="BD126" s="3">
        <f t="shared" si="99"/>
        <v>1879</v>
      </c>
      <c r="BE126" s="9" t="str">
        <f t="shared" si="100"/>
        <v/>
      </c>
      <c r="BF126" s="9" t="str">
        <f t="shared" si="101"/>
        <v/>
      </c>
      <c r="BG126" s="9" t="str">
        <f t="shared" si="102"/>
        <v>756</v>
      </c>
      <c r="BH126" s="9" t="str">
        <f t="shared" si="103"/>
        <v>757</v>
      </c>
      <c r="BI126" s="3" t="str">
        <f t="shared" si="104"/>
        <v/>
      </c>
      <c r="BJ126" s="3" t="str">
        <f t="shared" si="105"/>
        <v/>
      </c>
      <c r="BK126" s="3" t="str">
        <f t="shared" si="106"/>
        <v/>
      </c>
      <c r="BL126" s="3" t="str">
        <f t="shared" si="107"/>
        <v/>
      </c>
      <c r="BM126" s="3" t="str">
        <f t="shared" si="108"/>
        <v/>
      </c>
      <c r="BN126" s="3" t="str">
        <f t="shared" si="109"/>
        <v/>
      </c>
      <c r="BO126" s="3">
        <f t="shared" si="110"/>
        <v>15</v>
      </c>
      <c r="BP126" s="3">
        <f t="shared" si="111"/>
        <v>7</v>
      </c>
      <c r="BQ126" s="3" t="str">
        <f t="shared" si="112"/>
        <v/>
      </c>
      <c r="BR126" s="3" t="str">
        <f t="shared" si="113"/>
        <v/>
      </c>
      <c r="BS126" s="3" t="str">
        <f t="shared" si="114"/>
        <v>(15 downto 8)</v>
      </c>
      <c r="BT126" s="3" t="str">
        <f t="shared" si="115"/>
        <v>(7 downto 0)</v>
      </c>
    </row>
    <row r="127" spans="2:72" x14ac:dyDescent="0.25">
      <c r="B127" s="3" t="s">
        <v>354</v>
      </c>
      <c r="C127" s="3" t="s">
        <v>472</v>
      </c>
      <c r="D127" s="3" t="s">
        <v>1</v>
      </c>
      <c r="E127" s="3" t="s">
        <v>1062</v>
      </c>
      <c r="F127" s="3" t="s">
        <v>122</v>
      </c>
      <c r="G127" s="3" t="s">
        <v>931</v>
      </c>
      <c r="H127" s="3" t="s">
        <v>225</v>
      </c>
      <c r="I127" s="3" t="s">
        <v>24</v>
      </c>
      <c r="J127" s="3">
        <v>16</v>
      </c>
      <c r="K127" s="3" t="s">
        <v>23</v>
      </c>
      <c r="L127" s="3" t="s">
        <v>23</v>
      </c>
      <c r="M127" s="3">
        <v>470</v>
      </c>
      <c r="N127" s="3" t="str">
        <f t="shared" si="116"/>
        <v>1D6</v>
      </c>
      <c r="O127" s="3">
        <v>31</v>
      </c>
      <c r="P127" s="3">
        <v>16</v>
      </c>
      <c r="Q127" s="3" t="str">
        <f t="shared" si="89"/>
        <v>X</v>
      </c>
      <c r="R127" s="3" t="str">
        <f t="shared" si="89"/>
        <v>X</v>
      </c>
      <c r="S127" s="3" t="str">
        <f t="shared" si="89"/>
        <v>X</v>
      </c>
      <c r="T127" s="3" t="str">
        <f t="shared" si="89"/>
        <v>X</v>
      </c>
      <c r="U127" s="3" t="str">
        <f t="shared" si="89"/>
        <v>X</v>
      </c>
      <c r="V127" s="3" t="str">
        <f t="shared" si="89"/>
        <v>X</v>
      </c>
      <c r="W127" s="3" t="str">
        <f t="shared" si="89"/>
        <v>X</v>
      </c>
      <c r="X127" s="3" t="str">
        <f t="shared" si="89"/>
        <v>X</v>
      </c>
      <c r="Y127" s="3" t="str">
        <f t="shared" si="89"/>
        <v>X</v>
      </c>
      <c r="Z127" s="3" t="str">
        <f t="shared" si="89"/>
        <v>X</v>
      </c>
      <c r="AA127" s="3" t="str">
        <f t="shared" si="89"/>
        <v>X</v>
      </c>
      <c r="AB127" s="3" t="str">
        <f t="shared" si="89"/>
        <v>X</v>
      </c>
      <c r="AC127" s="3" t="str">
        <f t="shared" si="89"/>
        <v>X</v>
      </c>
      <c r="AD127" s="3" t="str">
        <f t="shared" si="89"/>
        <v>X</v>
      </c>
      <c r="AE127" s="3" t="str">
        <f t="shared" si="89"/>
        <v>X</v>
      </c>
      <c r="AF127" s="3" t="str">
        <f t="shared" si="89"/>
        <v>X</v>
      </c>
      <c r="AG127" s="3" t="str">
        <f t="shared" si="121"/>
        <v/>
      </c>
      <c r="AH127" s="3" t="str">
        <f t="shared" si="122"/>
        <v/>
      </c>
      <c r="AI127" s="3" t="str">
        <f t="shared" si="122"/>
        <v/>
      </c>
      <c r="AJ127" s="3" t="str">
        <f t="shared" si="122"/>
        <v/>
      </c>
      <c r="AK127" s="3" t="str">
        <f t="shared" si="122"/>
        <v/>
      </c>
      <c r="AL127" s="3" t="str">
        <f t="shared" si="122"/>
        <v/>
      </c>
      <c r="AM127" s="3" t="str">
        <f t="shared" si="122"/>
        <v/>
      </c>
      <c r="AN127" s="3" t="str">
        <f t="shared" si="122"/>
        <v/>
      </c>
      <c r="AO127" s="3" t="str">
        <f t="shared" si="122"/>
        <v/>
      </c>
      <c r="AP127" s="3" t="str">
        <f t="shared" si="122"/>
        <v/>
      </c>
      <c r="AQ127" s="3" t="str">
        <f t="shared" si="122"/>
        <v/>
      </c>
      <c r="AR127" s="3" t="str">
        <f t="shared" si="122"/>
        <v/>
      </c>
      <c r="AS127" s="3" t="str">
        <f t="shared" si="122"/>
        <v/>
      </c>
      <c r="AT127" s="3" t="str">
        <f t="shared" si="122"/>
        <v/>
      </c>
      <c r="AU127" s="3" t="str">
        <f t="shared" si="122"/>
        <v/>
      </c>
      <c r="AV127" s="3" t="str">
        <f t="shared" si="122"/>
        <v/>
      </c>
      <c r="AW127" s="3" t="str">
        <f t="shared" si="90"/>
        <v>X</v>
      </c>
      <c r="AX127" s="3" t="str">
        <f t="shared" si="91"/>
        <v>X</v>
      </c>
      <c r="AY127" s="3" t="str">
        <f t="shared" si="92"/>
        <v/>
      </c>
      <c r="AZ127" s="3" t="str">
        <f t="shared" si="93"/>
        <v/>
      </c>
      <c r="BA127" s="3">
        <f t="shared" si="96"/>
        <v>1880</v>
      </c>
      <c r="BB127" s="3">
        <f t="shared" si="97"/>
        <v>1881</v>
      </c>
      <c r="BC127" s="3" t="str">
        <f t="shared" si="98"/>
        <v/>
      </c>
      <c r="BD127" s="3" t="str">
        <f t="shared" si="99"/>
        <v/>
      </c>
      <c r="BE127" s="9" t="str">
        <f t="shared" si="100"/>
        <v>758</v>
      </c>
      <c r="BF127" s="9" t="str">
        <f t="shared" si="101"/>
        <v>759</v>
      </c>
      <c r="BG127" s="9" t="str">
        <f t="shared" si="102"/>
        <v/>
      </c>
      <c r="BH127" s="9" t="str">
        <f t="shared" si="103"/>
        <v/>
      </c>
      <c r="BI127" s="3" t="str">
        <f t="shared" si="104"/>
        <v/>
      </c>
      <c r="BJ127" s="3" t="str">
        <f t="shared" si="105"/>
        <v/>
      </c>
      <c r="BK127" s="3" t="str">
        <f t="shared" si="106"/>
        <v/>
      </c>
      <c r="BL127" s="3" t="str">
        <f t="shared" si="107"/>
        <v/>
      </c>
      <c r="BM127" s="3">
        <f t="shared" si="108"/>
        <v>15</v>
      </c>
      <c r="BN127" s="3">
        <f t="shared" si="109"/>
        <v>7</v>
      </c>
      <c r="BO127" s="3" t="str">
        <f t="shared" si="110"/>
        <v/>
      </c>
      <c r="BP127" s="3" t="str">
        <f t="shared" si="111"/>
        <v/>
      </c>
      <c r="BQ127" s="3" t="str">
        <f t="shared" si="112"/>
        <v>(15 downto 8)</v>
      </c>
      <c r="BR127" s="3" t="str">
        <f t="shared" si="113"/>
        <v>(7 downto 0)</v>
      </c>
      <c r="BS127" s="3" t="str">
        <f t="shared" si="114"/>
        <v/>
      </c>
      <c r="BT127" s="3" t="str">
        <f t="shared" si="115"/>
        <v/>
      </c>
    </row>
    <row r="128" spans="2:72" x14ac:dyDescent="0.25">
      <c r="B128" s="3" t="s">
        <v>354</v>
      </c>
      <c r="C128" s="3" t="s">
        <v>473</v>
      </c>
      <c r="D128" s="3" t="s">
        <v>1</v>
      </c>
      <c r="E128" s="3" t="s">
        <v>1062</v>
      </c>
      <c r="F128" s="3" t="s">
        <v>122</v>
      </c>
      <c r="G128" s="3" t="s">
        <v>931</v>
      </c>
      <c r="H128" s="3" t="s">
        <v>226</v>
      </c>
      <c r="I128" s="3" t="s">
        <v>24</v>
      </c>
      <c r="J128" s="3">
        <v>16</v>
      </c>
      <c r="K128" s="3" t="s">
        <v>23</v>
      </c>
      <c r="L128" s="3" t="s">
        <v>23</v>
      </c>
      <c r="M128" s="3">
        <v>470</v>
      </c>
      <c r="N128" s="3" t="str">
        <f t="shared" si="116"/>
        <v>1D6</v>
      </c>
      <c r="O128" s="3">
        <v>15</v>
      </c>
      <c r="P128" s="3">
        <v>0</v>
      </c>
      <c r="Q128" s="3" t="str">
        <f t="shared" si="89"/>
        <v/>
      </c>
      <c r="R128" s="3" t="str">
        <f t="shared" si="89"/>
        <v/>
      </c>
      <c r="S128" s="3" t="str">
        <f t="shared" si="89"/>
        <v/>
      </c>
      <c r="T128" s="3" t="str">
        <f t="shared" si="89"/>
        <v/>
      </c>
      <c r="U128" s="3" t="str">
        <f t="shared" si="89"/>
        <v/>
      </c>
      <c r="V128" s="3" t="str">
        <f t="shared" si="89"/>
        <v/>
      </c>
      <c r="W128" s="3" t="str">
        <f t="shared" si="89"/>
        <v/>
      </c>
      <c r="X128" s="3" t="str">
        <f t="shared" si="89"/>
        <v/>
      </c>
      <c r="Y128" s="3" t="str">
        <f t="shared" si="89"/>
        <v/>
      </c>
      <c r="Z128" s="3" t="str">
        <f t="shared" si="89"/>
        <v/>
      </c>
      <c r="AA128" s="3" t="str">
        <f t="shared" si="89"/>
        <v/>
      </c>
      <c r="AB128" s="3" t="str">
        <f t="shared" si="89"/>
        <v/>
      </c>
      <c r="AC128" s="3" t="str">
        <f t="shared" si="89"/>
        <v/>
      </c>
      <c r="AD128" s="3" t="str">
        <f t="shared" si="89"/>
        <v/>
      </c>
      <c r="AE128" s="3" t="str">
        <f t="shared" si="89"/>
        <v/>
      </c>
      <c r="AF128" s="3" t="str">
        <f t="shared" si="89"/>
        <v/>
      </c>
      <c r="AG128" s="3" t="str">
        <f t="shared" si="121"/>
        <v>X</v>
      </c>
      <c r="AH128" s="3" t="str">
        <f t="shared" si="122"/>
        <v>X</v>
      </c>
      <c r="AI128" s="3" t="str">
        <f t="shared" si="122"/>
        <v>X</v>
      </c>
      <c r="AJ128" s="3" t="str">
        <f t="shared" si="122"/>
        <v>X</v>
      </c>
      <c r="AK128" s="3" t="str">
        <f t="shared" si="122"/>
        <v>X</v>
      </c>
      <c r="AL128" s="3" t="str">
        <f t="shared" si="122"/>
        <v>X</v>
      </c>
      <c r="AM128" s="3" t="str">
        <f t="shared" si="122"/>
        <v>X</v>
      </c>
      <c r="AN128" s="3" t="str">
        <f t="shared" si="122"/>
        <v>X</v>
      </c>
      <c r="AO128" s="3" t="str">
        <f t="shared" si="122"/>
        <v>X</v>
      </c>
      <c r="AP128" s="3" t="str">
        <f t="shared" si="122"/>
        <v>X</v>
      </c>
      <c r="AQ128" s="3" t="str">
        <f t="shared" si="122"/>
        <v>X</v>
      </c>
      <c r="AR128" s="3" t="str">
        <f t="shared" si="122"/>
        <v>X</v>
      </c>
      <c r="AS128" s="3" t="str">
        <f t="shared" si="122"/>
        <v>X</v>
      </c>
      <c r="AT128" s="3" t="str">
        <f t="shared" si="122"/>
        <v>X</v>
      </c>
      <c r="AU128" s="3" t="str">
        <f t="shared" si="122"/>
        <v>X</v>
      </c>
      <c r="AV128" s="3" t="str">
        <f t="shared" si="122"/>
        <v>X</v>
      </c>
      <c r="AW128" s="3" t="str">
        <f t="shared" si="90"/>
        <v/>
      </c>
      <c r="AX128" s="3" t="str">
        <f t="shared" si="91"/>
        <v/>
      </c>
      <c r="AY128" s="3" t="str">
        <f t="shared" si="92"/>
        <v>X</v>
      </c>
      <c r="AZ128" s="3" t="str">
        <f t="shared" si="93"/>
        <v>X</v>
      </c>
      <c r="BA128" s="3" t="str">
        <f t="shared" si="96"/>
        <v/>
      </c>
      <c r="BB128" s="3" t="str">
        <f t="shared" si="97"/>
        <v/>
      </c>
      <c r="BC128" s="3">
        <f t="shared" si="98"/>
        <v>1882</v>
      </c>
      <c r="BD128" s="3">
        <f t="shared" si="99"/>
        <v>1883</v>
      </c>
      <c r="BE128" s="9" t="str">
        <f t="shared" si="100"/>
        <v/>
      </c>
      <c r="BF128" s="9" t="str">
        <f t="shared" si="101"/>
        <v/>
      </c>
      <c r="BG128" s="9" t="str">
        <f t="shared" si="102"/>
        <v>75A</v>
      </c>
      <c r="BH128" s="9" t="str">
        <f t="shared" si="103"/>
        <v>75B</v>
      </c>
      <c r="BI128" s="3" t="str">
        <f t="shared" si="104"/>
        <v/>
      </c>
      <c r="BJ128" s="3" t="str">
        <f t="shared" si="105"/>
        <v/>
      </c>
      <c r="BK128" s="3" t="str">
        <f t="shared" si="106"/>
        <v/>
      </c>
      <c r="BL128" s="3" t="str">
        <f t="shared" si="107"/>
        <v/>
      </c>
      <c r="BM128" s="3" t="str">
        <f t="shared" si="108"/>
        <v/>
      </c>
      <c r="BN128" s="3" t="str">
        <f t="shared" si="109"/>
        <v/>
      </c>
      <c r="BO128" s="3">
        <f t="shared" si="110"/>
        <v>15</v>
      </c>
      <c r="BP128" s="3">
        <f t="shared" si="111"/>
        <v>7</v>
      </c>
      <c r="BQ128" s="3" t="str">
        <f t="shared" si="112"/>
        <v/>
      </c>
      <c r="BR128" s="3" t="str">
        <f t="shared" si="113"/>
        <v/>
      </c>
      <c r="BS128" s="3" t="str">
        <f t="shared" si="114"/>
        <v>(15 downto 8)</v>
      </c>
      <c r="BT128" s="3" t="str">
        <f t="shared" si="115"/>
        <v>(7 downto 0)</v>
      </c>
    </row>
    <row r="129" spans="2:72" x14ac:dyDescent="0.25">
      <c r="B129" s="3" t="s">
        <v>355</v>
      </c>
      <c r="C129" s="3" t="s">
        <v>474</v>
      </c>
      <c r="D129" s="3" t="s">
        <v>1</v>
      </c>
      <c r="E129" s="3" t="s">
        <v>1062</v>
      </c>
      <c r="F129" s="3" t="s">
        <v>123</v>
      </c>
      <c r="G129" s="3" t="s">
        <v>932</v>
      </c>
      <c r="H129" s="3" t="s">
        <v>227</v>
      </c>
      <c r="I129" s="3" t="s">
        <v>24</v>
      </c>
      <c r="J129" s="3">
        <v>16</v>
      </c>
      <c r="K129" s="3" t="s">
        <v>23</v>
      </c>
      <c r="L129" s="3" t="s">
        <v>23</v>
      </c>
      <c r="M129" s="3">
        <v>471</v>
      </c>
      <c r="N129" s="3" t="str">
        <f t="shared" si="116"/>
        <v>1D7</v>
      </c>
      <c r="O129" s="3">
        <v>31</v>
      </c>
      <c r="P129" s="3">
        <v>16</v>
      </c>
      <c r="Q129" s="3" t="str">
        <f t="shared" si="89"/>
        <v>X</v>
      </c>
      <c r="R129" s="3" t="str">
        <f t="shared" si="89"/>
        <v>X</v>
      </c>
      <c r="S129" s="3" t="str">
        <f t="shared" si="89"/>
        <v>X</v>
      </c>
      <c r="T129" s="3" t="str">
        <f t="shared" si="89"/>
        <v>X</v>
      </c>
      <c r="U129" s="3" t="str">
        <f t="shared" si="89"/>
        <v>X</v>
      </c>
      <c r="V129" s="3" t="str">
        <f t="shared" si="89"/>
        <v>X</v>
      </c>
      <c r="W129" s="3" t="str">
        <f t="shared" si="89"/>
        <v>X</v>
      </c>
      <c r="X129" s="3" t="str">
        <f t="shared" si="89"/>
        <v>X</v>
      </c>
      <c r="Y129" s="3" t="str">
        <f t="shared" si="89"/>
        <v>X</v>
      </c>
      <c r="Z129" s="3" t="str">
        <f t="shared" si="89"/>
        <v>X</v>
      </c>
      <c r="AA129" s="3" t="str">
        <f t="shared" si="89"/>
        <v>X</v>
      </c>
      <c r="AB129" s="3" t="str">
        <f t="shared" si="89"/>
        <v>X</v>
      </c>
      <c r="AC129" s="3" t="str">
        <f t="shared" si="89"/>
        <v>X</v>
      </c>
      <c r="AD129" s="3" t="str">
        <f t="shared" si="89"/>
        <v>X</v>
      </c>
      <c r="AE129" s="3" t="str">
        <f t="shared" si="89"/>
        <v>X</v>
      </c>
      <c r="AF129" s="3" t="str">
        <f t="shared" si="89"/>
        <v>X</v>
      </c>
      <c r="AG129" s="3" t="str">
        <f t="shared" si="121"/>
        <v/>
      </c>
      <c r="AH129" s="3" t="str">
        <f t="shared" si="122"/>
        <v/>
      </c>
      <c r="AI129" s="3" t="str">
        <f t="shared" si="122"/>
        <v/>
      </c>
      <c r="AJ129" s="3" t="str">
        <f t="shared" si="122"/>
        <v/>
      </c>
      <c r="AK129" s="3" t="str">
        <f t="shared" si="122"/>
        <v/>
      </c>
      <c r="AL129" s="3" t="str">
        <f t="shared" si="122"/>
        <v/>
      </c>
      <c r="AM129" s="3" t="str">
        <f t="shared" si="122"/>
        <v/>
      </c>
      <c r="AN129" s="3" t="str">
        <f t="shared" si="122"/>
        <v/>
      </c>
      <c r="AO129" s="3" t="str">
        <f t="shared" si="122"/>
        <v/>
      </c>
      <c r="AP129" s="3" t="str">
        <f t="shared" si="122"/>
        <v/>
      </c>
      <c r="AQ129" s="3" t="str">
        <f t="shared" si="122"/>
        <v/>
      </c>
      <c r="AR129" s="3" t="str">
        <f t="shared" si="122"/>
        <v/>
      </c>
      <c r="AS129" s="3" t="str">
        <f t="shared" si="122"/>
        <v/>
      </c>
      <c r="AT129" s="3" t="str">
        <f t="shared" si="122"/>
        <v/>
      </c>
      <c r="AU129" s="3" t="str">
        <f t="shared" si="122"/>
        <v/>
      </c>
      <c r="AV129" s="3" t="str">
        <f t="shared" si="122"/>
        <v/>
      </c>
      <c r="AW129" s="3" t="str">
        <f t="shared" si="90"/>
        <v>X</v>
      </c>
      <c r="AX129" s="3" t="str">
        <f t="shared" si="91"/>
        <v>X</v>
      </c>
      <c r="AY129" s="3" t="str">
        <f t="shared" si="92"/>
        <v/>
      </c>
      <c r="AZ129" s="3" t="str">
        <f t="shared" si="93"/>
        <v/>
      </c>
      <c r="BA129" s="3">
        <f t="shared" si="96"/>
        <v>1884</v>
      </c>
      <c r="BB129" s="3">
        <f t="shared" si="97"/>
        <v>1885</v>
      </c>
      <c r="BC129" s="3" t="str">
        <f t="shared" si="98"/>
        <v/>
      </c>
      <c r="BD129" s="3" t="str">
        <f t="shared" si="99"/>
        <v/>
      </c>
      <c r="BE129" s="9" t="str">
        <f t="shared" si="100"/>
        <v>75C</v>
      </c>
      <c r="BF129" s="9" t="str">
        <f t="shared" si="101"/>
        <v>75D</v>
      </c>
      <c r="BG129" s="9" t="str">
        <f t="shared" si="102"/>
        <v/>
      </c>
      <c r="BH129" s="9" t="str">
        <f t="shared" si="103"/>
        <v/>
      </c>
      <c r="BI129" s="3" t="str">
        <f t="shared" si="104"/>
        <v/>
      </c>
      <c r="BJ129" s="3" t="str">
        <f t="shared" si="105"/>
        <v/>
      </c>
      <c r="BK129" s="3" t="str">
        <f t="shared" si="106"/>
        <v/>
      </c>
      <c r="BL129" s="3" t="str">
        <f t="shared" si="107"/>
        <v/>
      </c>
      <c r="BM129" s="3">
        <f t="shared" si="108"/>
        <v>15</v>
      </c>
      <c r="BN129" s="3">
        <f t="shared" si="109"/>
        <v>7</v>
      </c>
      <c r="BO129" s="3" t="str">
        <f t="shared" si="110"/>
        <v/>
      </c>
      <c r="BP129" s="3" t="str">
        <f t="shared" si="111"/>
        <v/>
      </c>
      <c r="BQ129" s="3" t="str">
        <f t="shared" si="112"/>
        <v>(15 downto 8)</v>
      </c>
      <c r="BR129" s="3" t="str">
        <f t="shared" si="113"/>
        <v>(7 downto 0)</v>
      </c>
      <c r="BS129" s="3" t="str">
        <f t="shared" si="114"/>
        <v/>
      </c>
      <c r="BT129" s="3" t="str">
        <f t="shared" si="115"/>
        <v/>
      </c>
    </row>
    <row r="130" spans="2:72" x14ac:dyDescent="0.25">
      <c r="B130" s="3" t="s">
        <v>355</v>
      </c>
      <c r="C130" s="3" t="s">
        <v>475</v>
      </c>
      <c r="D130" s="3" t="s">
        <v>1</v>
      </c>
      <c r="E130" s="3" t="s">
        <v>1062</v>
      </c>
      <c r="F130" s="3" t="s">
        <v>123</v>
      </c>
      <c r="G130" s="3" t="s">
        <v>932</v>
      </c>
      <c r="H130" s="3" t="s">
        <v>228</v>
      </c>
      <c r="I130" s="3" t="s">
        <v>24</v>
      </c>
      <c r="J130" s="3">
        <v>16</v>
      </c>
      <c r="K130" s="3" t="s">
        <v>23</v>
      </c>
      <c r="L130" s="3" t="s">
        <v>23</v>
      </c>
      <c r="M130" s="3">
        <v>471</v>
      </c>
      <c r="N130" s="3" t="str">
        <f t="shared" si="116"/>
        <v>1D7</v>
      </c>
      <c r="O130" s="3">
        <v>15</v>
      </c>
      <c r="P130" s="3">
        <v>0</v>
      </c>
      <c r="Q130" s="3" t="str">
        <f t="shared" si="89"/>
        <v/>
      </c>
      <c r="R130" s="3" t="str">
        <f t="shared" si="89"/>
        <v/>
      </c>
      <c r="S130" s="3" t="str">
        <f t="shared" si="89"/>
        <v/>
      </c>
      <c r="T130" s="3" t="str">
        <f t="shared" si="89"/>
        <v/>
      </c>
      <c r="U130" s="3" t="str">
        <f t="shared" si="89"/>
        <v/>
      </c>
      <c r="V130" s="3" t="str">
        <f t="shared" si="89"/>
        <v/>
      </c>
      <c r="W130" s="3" t="str">
        <f t="shared" si="89"/>
        <v/>
      </c>
      <c r="X130" s="3" t="str">
        <f t="shared" si="89"/>
        <v/>
      </c>
      <c r="Y130" s="3" t="str">
        <f t="shared" si="89"/>
        <v/>
      </c>
      <c r="Z130" s="3" t="str">
        <f t="shared" si="89"/>
        <v/>
      </c>
      <c r="AA130" s="3" t="str">
        <f t="shared" si="89"/>
        <v/>
      </c>
      <c r="AB130" s="3" t="str">
        <f t="shared" si="89"/>
        <v/>
      </c>
      <c r="AC130" s="3" t="str">
        <f t="shared" si="89"/>
        <v/>
      </c>
      <c r="AD130" s="3" t="str">
        <f t="shared" si="89"/>
        <v/>
      </c>
      <c r="AE130" s="3" t="str">
        <f t="shared" si="89"/>
        <v/>
      </c>
      <c r="AF130" s="3" t="str">
        <f t="shared" si="89"/>
        <v/>
      </c>
      <c r="AG130" s="3" t="str">
        <f t="shared" si="121"/>
        <v>X</v>
      </c>
      <c r="AH130" s="3" t="str">
        <f t="shared" si="122"/>
        <v>X</v>
      </c>
      <c r="AI130" s="3" t="str">
        <f t="shared" si="122"/>
        <v>X</v>
      </c>
      <c r="AJ130" s="3" t="str">
        <f t="shared" si="122"/>
        <v>X</v>
      </c>
      <c r="AK130" s="3" t="str">
        <f t="shared" si="122"/>
        <v>X</v>
      </c>
      <c r="AL130" s="3" t="str">
        <f t="shared" si="122"/>
        <v>X</v>
      </c>
      <c r="AM130" s="3" t="str">
        <f t="shared" si="122"/>
        <v>X</v>
      </c>
      <c r="AN130" s="3" t="str">
        <f t="shared" si="122"/>
        <v>X</v>
      </c>
      <c r="AO130" s="3" t="str">
        <f t="shared" si="122"/>
        <v>X</v>
      </c>
      <c r="AP130" s="3" t="str">
        <f t="shared" si="122"/>
        <v>X</v>
      </c>
      <c r="AQ130" s="3" t="str">
        <f t="shared" si="122"/>
        <v>X</v>
      </c>
      <c r="AR130" s="3" t="str">
        <f t="shared" si="122"/>
        <v>X</v>
      </c>
      <c r="AS130" s="3" t="str">
        <f t="shared" si="122"/>
        <v>X</v>
      </c>
      <c r="AT130" s="3" t="str">
        <f t="shared" si="122"/>
        <v>X</v>
      </c>
      <c r="AU130" s="3" t="str">
        <f t="shared" si="122"/>
        <v>X</v>
      </c>
      <c r="AV130" s="3" t="str">
        <f t="shared" si="122"/>
        <v>X</v>
      </c>
      <c r="AW130" s="3" t="str">
        <f t="shared" si="90"/>
        <v/>
      </c>
      <c r="AX130" s="3" t="str">
        <f t="shared" si="91"/>
        <v/>
      </c>
      <c r="AY130" s="3" t="str">
        <f t="shared" si="92"/>
        <v>X</v>
      </c>
      <c r="AZ130" s="3" t="str">
        <f t="shared" si="93"/>
        <v>X</v>
      </c>
      <c r="BA130" s="3" t="str">
        <f t="shared" si="96"/>
        <v/>
      </c>
      <c r="BB130" s="3" t="str">
        <f t="shared" si="97"/>
        <v/>
      </c>
      <c r="BC130" s="3">
        <f t="shared" si="98"/>
        <v>1886</v>
      </c>
      <c r="BD130" s="3">
        <f t="shared" si="99"/>
        <v>1887</v>
      </c>
      <c r="BE130" s="9" t="str">
        <f t="shared" si="100"/>
        <v/>
      </c>
      <c r="BF130" s="9" t="str">
        <f t="shared" si="101"/>
        <v/>
      </c>
      <c r="BG130" s="9" t="str">
        <f t="shared" si="102"/>
        <v>75E</v>
      </c>
      <c r="BH130" s="9" t="str">
        <f t="shared" si="103"/>
        <v>75F</v>
      </c>
      <c r="BI130" s="3" t="str">
        <f t="shared" si="104"/>
        <v/>
      </c>
      <c r="BJ130" s="3" t="str">
        <f t="shared" si="105"/>
        <v/>
      </c>
      <c r="BK130" s="3" t="str">
        <f t="shared" si="106"/>
        <v/>
      </c>
      <c r="BL130" s="3" t="str">
        <f t="shared" si="107"/>
        <v/>
      </c>
      <c r="BM130" s="3" t="str">
        <f t="shared" si="108"/>
        <v/>
      </c>
      <c r="BN130" s="3" t="str">
        <f t="shared" si="109"/>
        <v/>
      </c>
      <c r="BO130" s="3">
        <f t="shared" si="110"/>
        <v>15</v>
      </c>
      <c r="BP130" s="3">
        <f t="shared" si="111"/>
        <v>7</v>
      </c>
      <c r="BQ130" s="3" t="str">
        <f t="shared" si="112"/>
        <v/>
      </c>
      <c r="BR130" s="3" t="str">
        <f t="shared" si="113"/>
        <v/>
      </c>
      <c r="BS130" s="3" t="str">
        <f t="shared" si="114"/>
        <v>(15 downto 8)</v>
      </c>
      <c r="BT130" s="3" t="str">
        <f t="shared" si="115"/>
        <v>(7 downto 0)</v>
      </c>
    </row>
    <row r="131" spans="2:72" x14ac:dyDescent="0.25">
      <c r="B131" s="3" t="s">
        <v>356</v>
      </c>
      <c r="C131" s="3" t="s">
        <v>476</v>
      </c>
      <c r="D131" s="3" t="s">
        <v>1</v>
      </c>
      <c r="E131" s="3" t="s">
        <v>1062</v>
      </c>
      <c r="F131" s="3" t="s">
        <v>124</v>
      </c>
      <c r="G131" s="3" t="s">
        <v>933</v>
      </c>
      <c r="H131" s="3" t="s">
        <v>229</v>
      </c>
      <c r="I131" s="3" t="s">
        <v>24</v>
      </c>
      <c r="J131" s="3">
        <v>16</v>
      </c>
      <c r="K131" s="3" t="s">
        <v>23</v>
      </c>
      <c r="L131" s="3" t="s">
        <v>23</v>
      </c>
      <c r="M131" s="3">
        <v>472</v>
      </c>
      <c r="N131" s="3" t="str">
        <f t="shared" si="116"/>
        <v>1D8</v>
      </c>
      <c r="O131" s="3">
        <v>31</v>
      </c>
      <c r="P131" s="3">
        <v>16</v>
      </c>
      <c r="Q131" s="3" t="str">
        <f t="shared" si="89"/>
        <v>X</v>
      </c>
      <c r="R131" s="3" t="str">
        <f t="shared" si="89"/>
        <v>X</v>
      </c>
      <c r="S131" s="3" t="str">
        <f t="shared" si="89"/>
        <v>X</v>
      </c>
      <c r="T131" s="3" t="str">
        <f t="shared" si="89"/>
        <v>X</v>
      </c>
      <c r="U131" s="3" t="str">
        <f t="shared" si="89"/>
        <v>X</v>
      </c>
      <c r="V131" s="3" t="str">
        <f t="shared" si="89"/>
        <v>X</v>
      </c>
      <c r="W131" s="3" t="str">
        <f t="shared" si="89"/>
        <v>X</v>
      </c>
      <c r="X131" s="3" t="str">
        <f t="shared" si="89"/>
        <v>X</v>
      </c>
      <c r="Y131" s="3" t="str">
        <f t="shared" si="89"/>
        <v>X</v>
      </c>
      <c r="Z131" s="3" t="str">
        <f t="shared" si="89"/>
        <v>X</v>
      </c>
      <c r="AA131" s="3" t="str">
        <f t="shared" si="89"/>
        <v>X</v>
      </c>
      <c r="AB131" s="3" t="str">
        <f t="shared" si="89"/>
        <v>X</v>
      </c>
      <c r="AC131" s="3" t="str">
        <f t="shared" si="89"/>
        <v>X</v>
      </c>
      <c r="AD131" s="3" t="str">
        <f t="shared" si="89"/>
        <v>X</v>
      </c>
      <c r="AE131" s="3" t="str">
        <f t="shared" si="89"/>
        <v>X</v>
      </c>
      <c r="AF131" s="3" t="str">
        <f t="shared" si="89"/>
        <v>X</v>
      </c>
      <c r="AG131" s="3" t="str">
        <f t="shared" si="121"/>
        <v/>
      </c>
      <c r="AH131" s="3" t="str">
        <f t="shared" si="122"/>
        <v/>
      </c>
      <c r="AI131" s="3" t="str">
        <f t="shared" si="122"/>
        <v/>
      </c>
      <c r="AJ131" s="3" t="str">
        <f t="shared" si="122"/>
        <v/>
      </c>
      <c r="AK131" s="3" t="str">
        <f t="shared" si="122"/>
        <v/>
      </c>
      <c r="AL131" s="3" t="str">
        <f t="shared" si="122"/>
        <v/>
      </c>
      <c r="AM131" s="3" t="str">
        <f t="shared" si="122"/>
        <v/>
      </c>
      <c r="AN131" s="3" t="str">
        <f t="shared" si="122"/>
        <v/>
      </c>
      <c r="AO131" s="3" t="str">
        <f t="shared" si="122"/>
        <v/>
      </c>
      <c r="AP131" s="3" t="str">
        <f t="shared" si="122"/>
        <v/>
      </c>
      <c r="AQ131" s="3" t="str">
        <f t="shared" si="122"/>
        <v/>
      </c>
      <c r="AR131" s="3" t="str">
        <f t="shared" si="122"/>
        <v/>
      </c>
      <c r="AS131" s="3" t="str">
        <f t="shared" si="122"/>
        <v/>
      </c>
      <c r="AT131" s="3" t="str">
        <f t="shared" si="122"/>
        <v/>
      </c>
      <c r="AU131" s="3" t="str">
        <f t="shared" si="122"/>
        <v/>
      </c>
      <c r="AV131" s="3" t="str">
        <f t="shared" si="122"/>
        <v/>
      </c>
      <c r="AW131" s="3" t="str">
        <f t="shared" si="90"/>
        <v>X</v>
      </c>
      <c r="AX131" s="3" t="str">
        <f t="shared" si="91"/>
        <v>X</v>
      </c>
      <c r="AY131" s="3" t="str">
        <f t="shared" si="92"/>
        <v/>
      </c>
      <c r="AZ131" s="3" t="str">
        <f t="shared" si="93"/>
        <v/>
      </c>
      <c r="BA131" s="3">
        <f t="shared" si="96"/>
        <v>1888</v>
      </c>
      <c r="BB131" s="3">
        <f t="shared" si="97"/>
        <v>1889</v>
      </c>
      <c r="BC131" s="3" t="str">
        <f t="shared" si="98"/>
        <v/>
      </c>
      <c r="BD131" s="3" t="str">
        <f t="shared" si="99"/>
        <v/>
      </c>
      <c r="BE131" s="9" t="str">
        <f t="shared" si="100"/>
        <v>760</v>
      </c>
      <c r="BF131" s="9" t="str">
        <f t="shared" si="101"/>
        <v>761</v>
      </c>
      <c r="BG131" s="9" t="str">
        <f t="shared" si="102"/>
        <v/>
      </c>
      <c r="BH131" s="9" t="str">
        <f t="shared" si="103"/>
        <v/>
      </c>
      <c r="BI131" s="3" t="str">
        <f t="shared" si="104"/>
        <v/>
      </c>
      <c r="BJ131" s="3" t="str">
        <f t="shared" si="105"/>
        <v/>
      </c>
      <c r="BK131" s="3" t="str">
        <f t="shared" si="106"/>
        <v/>
      </c>
      <c r="BL131" s="3" t="str">
        <f t="shared" si="107"/>
        <v/>
      </c>
      <c r="BM131" s="3">
        <f t="shared" si="108"/>
        <v>15</v>
      </c>
      <c r="BN131" s="3">
        <f t="shared" si="109"/>
        <v>7</v>
      </c>
      <c r="BO131" s="3" t="str">
        <f t="shared" si="110"/>
        <v/>
      </c>
      <c r="BP131" s="3" t="str">
        <f t="shared" si="111"/>
        <v/>
      </c>
      <c r="BQ131" s="3" t="str">
        <f t="shared" si="112"/>
        <v>(15 downto 8)</v>
      </c>
      <c r="BR131" s="3" t="str">
        <f t="shared" si="113"/>
        <v>(7 downto 0)</v>
      </c>
      <c r="BS131" s="3" t="str">
        <f t="shared" si="114"/>
        <v/>
      </c>
      <c r="BT131" s="3" t="str">
        <f t="shared" si="115"/>
        <v/>
      </c>
    </row>
    <row r="132" spans="2:72" x14ac:dyDescent="0.25">
      <c r="B132" s="3" t="s">
        <v>356</v>
      </c>
      <c r="C132" s="3" t="s">
        <v>477</v>
      </c>
      <c r="D132" s="3" t="s">
        <v>1</v>
      </c>
      <c r="E132" s="3" t="s">
        <v>1062</v>
      </c>
      <c r="F132" s="3" t="s">
        <v>124</v>
      </c>
      <c r="G132" s="3" t="s">
        <v>933</v>
      </c>
      <c r="H132" s="3" t="s">
        <v>230</v>
      </c>
      <c r="I132" s="3" t="s">
        <v>24</v>
      </c>
      <c r="J132" s="3">
        <v>16</v>
      </c>
      <c r="K132" s="3" t="s">
        <v>23</v>
      </c>
      <c r="L132" s="3" t="s">
        <v>23</v>
      </c>
      <c r="M132" s="3">
        <v>472</v>
      </c>
      <c r="N132" s="3" t="str">
        <f t="shared" si="116"/>
        <v>1D8</v>
      </c>
      <c r="O132" s="3">
        <v>15</v>
      </c>
      <c r="P132" s="3">
        <v>0</v>
      </c>
      <c r="Q132" s="3" t="str">
        <f t="shared" si="89"/>
        <v/>
      </c>
      <c r="R132" s="3" t="str">
        <f t="shared" si="89"/>
        <v/>
      </c>
      <c r="S132" s="3" t="str">
        <f t="shared" si="89"/>
        <v/>
      </c>
      <c r="T132" s="3" t="str">
        <f t="shared" si="89"/>
        <v/>
      </c>
      <c r="U132" s="3" t="str">
        <f t="shared" si="89"/>
        <v/>
      </c>
      <c r="V132" s="3" t="str">
        <f t="shared" si="89"/>
        <v/>
      </c>
      <c r="W132" s="3" t="str">
        <f t="shared" si="89"/>
        <v/>
      </c>
      <c r="X132" s="3" t="str">
        <f t="shared" si="89"/>
        <v/>
      </c>
      <c r="Y132" s="3" t="str">
        <f t="shared" si="89"/>
        <v/>
      </c>
      <c r="Z132" s="3" t="str">
        <f t="shared" si="89"/>
        <v/>
      </c>
      <c r="AA132" s="3" t="str">
        <f t="shared" si="89"/>
        <v/>
      </c>
      <c r="AB132" s="3" t="str">
        <f t="shared" si="89"/>
        <v/>
      </c>
      <c r="AC132" s="3" t="str">
        <f t="shared" si="89"/>
        <v/>
      </c>
      <c r="AD132" s="3" t="str">
        <f t="shared" si="89"/>
        <v/>
      </c>
      <c r="AE132" s="3" t="str">
        <f t="shared" si="89"/>
        <v/>
      </c>
      <c r="AF132" s="3" t="str">
        <f t="shared" si="89"/>
        <v/>
      </c>
      <c r="AG132" s="3" t="str">
        <f t="shared" si="121"/>
        <v>X</v>
      </c>
      <c r="AH132" s="3" t="str">
        <f t="shared" si="122"/>
        <v>X</v>
      </c>
      <c r="AI132" s="3" t="str">
        <f t="shared" si="122"/>
        <v>X</v>
      </c>
      <c r="AJ132" s="3" t="str">
        <f t="shared" si="122"/>
        <v>X</v>
      </c>
      <c r="AK132" s="3" t="str">
        <f t="shared" si="122"/>
        <v>X</v>
      </c>
      <c r="AL132" s="3" t="str">
        <f t="shared" si="122"/>
        <v>X</v>
      </c>
      <c r="AM132" s="3" t="str">
        <f t="shared" si="122"/>
        <v>X</v>
      </c>
      <c r="AN132" s="3" t="str">
        <f t="shared" si="122"/>
        <v>X</v>
      </c>
      <c r="AO132" s="3" t="str">
        <f t="shared" si="122"/>
        <v>X</v>
      </c>
      <c r="AP132" s="3" t="str">
        <f t="shared" si="122"/>
        <v>X</v>
      </c>
      <c r="AQ132" s="3" t="str">
        <f t="shared" si="122"/>
        <v>X</v>
      </c>
      <c r="AR132" s="3" t="str">
        <f t="shared" si="122"/>
        <v>X</v>
      </c>
      <c r="AS132" s="3" t="str">
        <f t="shared" si="122"/>
        <v>X</v>
      </c>
      <c r="AT132" s="3" t="str">
        <f t="shared" si="122"/>
        <v>X</v>
      </c>
      <c r="AU132" s="3" t="str">
        <f t="shared" si="122"/>
        <v>X</v>
      </c>
      <c r="AV132" s="3" t="str">
        <f t="shared" si="122"/>
        <v>X</v>
      </c>
      <c r="AW132" s="3" t="str">
        <f t="shared" si="90"/>
        <v/>
      </c>
      <c r="AX132" s="3" t="str">
        <f t="shared" si="91"/>
        <v/>
      </c>
      <c r="AY132" s="3" t="str">
        <f t="shared" si="92"/>
        <v>X</v>
      </c>
      <c r="AZ132" s="3" t="str">
        <f t="shared" si="93"/>
        <v>X</v>
      </c>
      <c r="BA132" s="3" t="str">
        <f t="shared" si="96"/>
        <v/>
      </c>
      <c r="BB132" s="3" t="str">
        <f t="shared" si="97"/>
        <v/>
      </c>
      <c r="BC132" s="3">
        <f t="shared" si="98"/>
        <v>1890</v>
      </c>
      <c r="BD132" s="3">
        <f t="shared" si="99"/>
        <v>1891</v>
      </c>
      <c r="BE132" s="9" t="str">
        <f t="shared" si="100"/>
        <v/>
      </c>
      <c r="BF132" s="9" t="str">
        <f t="shared" si="101"/>
        <v/>
      </c>
      <c r="BG132" s="9" t="str">
        <f t="shared" si="102"/>
        <v>762</v>
      </c>
      <c r="BH132" s="9" t="str">
        <f t="shared" si="103"/>
        <v>763</v>
      </c>
      <c r="BI132" s="3" t="str">
        <f t="shared" si="104"/>
        <v/>
      </c>
      <c r="BJ132" s="3" t="str">
        <f t="shared" si="105"/>
        <v/>
      </c>
      <c r="BK132" s="3" t="str">
        <f t="shared" si="106"/>
        <v/>
      </c>
      <c r="BL132" s="3" t="str">
        <f t="shared" si="107"/>
        <v/>
      </c>
      <c r="BM132" s="3" t="str">
        <f t="shared" si="108"/>
        <v/>
      </c>
      <c r="BN132" s="3" t="str">
        <f t="shared" si="109"/>
        <v/>
      </c>
      <c r="BO132" s="3">
        <f t="shared" si="110"/>
        <v>15</v>
      </c>
      <c r="BP132" s="3">
        <f t="shared" si="111"/>
        <v>7</v>
      </c>
      <c r="BQ132" s="3" t="str">
        <f t="shared" si="112"/>
        <v/>
      </c>
      <c r="BR132" s="3" t="str">
        <f t="shared" si="113"/>
        <v/>
      </c>
      <c r="BS132" s="3" t="str">
        <f t="shared" si="114"/>
        <v>(15 downto 8)</v>
      </c>
      <c r="BT132" s="3" t="str">
        <f t="shared" si="115"/>
        <v>(7 downto 0)</v>
      </c>
    </row>
    <row r="133" spans="2:72" x14ac:dyDescent="0.25">
      <c r="B133" s="3" t="s">
        <v>357</v>
      </c>
      <c r="C133" s="3" t="s">
        <v>478</v>
      </c>
      <c r="D133" s="3" t="s">
        <v>1</v>
      </c>
      <c r="E133" s="3" t="s">
        <v>1062</v>
      </c>
      <c r="F133" s="3" t="s">
        <v>125</v>
      </c>
      <c r="G133" s="3" t="s">
        <v>934</v>
      </c>
      <c r="H133" s="3" t="s">
        <v>231</v>
      </c>
      <c r="I133" s="3" t="s">
        <v>24</v>
      </c>
      <c r="J133" s="3">
        <v>16</v>
      </c>
      <c r="K133" s="3" t="s">
        <v>23</v>
      </c>
      <c r="L133" s="3" t="s">
        <v>23</v>
      </c>
      <c r="M133" s="3">
        <v>473</v>
      </c>
      <c r="N133" s="3" t="str">
        <f t="shared" si="116"/>
        <v>1D9</v>
      </c>
      <c r="O133" s="3">
        <v>31</v>
      </c>
      <c r="P133" s="3">
        <v>16</v>
      </c>
      <c r="Q133" s="3" t="str">
        <f t="shared" si="89"/>
        <v>X</v>
      </c>
      <c r="R133" s="3" t="str">
        <f t="shared" si="89"/>
        <v>X</v>
      </c>
      <c r="S133" s="3" t="str">
        <f t="shared" si="89"/>
        <v>X</v>
      </c>
      <c r="T133" s="3" t="str">
        <f t="shared" si="89"/>
        <v>X</v>
      </c>
      <c r="U133" s="3" t="str">
        <f t="shared" si="89"/>
        <v>X</v>
      </c>
      <c r="V133" s="3" t="str">
        <f t="shared" si="89"/>
        <v>X</v>
      </c>
      <c r="W133" s="3" t="str">
        <f t="shared" si="89"/>
        <v>X</v>
      </c>
      <c r="X133" s="3" t="str">
        <f t="shared" si="89"/>
        <v>X</v>
      </c>
      <c r="Y133" s="3" t="str">
        <f t="shared" si="89"/>
        <v>X</v>
      </c>
      <c r="Z133" s="3" t="str">
        <f t="shared" si="89"/>
        <v>X</v>
      </c>
      <c r="AA133" s="3" t="str">
        <f t="shared" si="89"/>
        <v>X</v>
      </c>
      <c r="AB133" s="3" t="str">
        <f t="shared" si="89"/>
        <v>X</v>
      </c>
      <c r="AC133" s="3" t="str">
        <f t="shared" si="89"/>
        <v>X</v>
      </c>
      <c r="AD133" s="3" t="str">
        <f t="shared" si="89"/>
        <v>X</v>
      </c>
      <c r="AE133" s="3" t="str">
        <f t="shared" si="89"/>
        <v>X</v>
      </c>
      <c r="AF133" s="3" t="str">
        <f t="shared" si="89"/>
        <v>X</v>
      </c>
      <c r="AG133" s="3" t="str">
        <f t="shared" si="121"/>
        <v/>
      </c>
      <c r="AH133" s="3" t="str">
        <f t="shared" si="122"/>
        <v/>
      </c>
      <c r="AI133" s="3" t="str">
        <f t="shared" si="122"/>
        <v/>
      </c>
      <c r="AJ133" s="3" t="str">
        <f t="shared" si="122"/>
        <v/>
      </c>
      <c r="AK133" s="3" t="str">
        <f t="shared" si="122"/>
        <v/>
      </c>
      <c r="AL133" s="3" t="str">
        <f t="shared" si="122"/>
        <v/>
      </c>
      <c r="AM133" s="3" t="str">
        <f t="shared" si="122"/>
        <v/>
      </c>
      <c r="AN133" s="3" t="str">
        <f t="shared" si="122"/>
        <v/>
      </c>
      <c r="AO133" s="3" t="str">
        <f t="shared" si="122"/>
        <v/>
      </c>
      <c r="AP133" s="3" t="str">
        <f t="shared" si="122"/>
        <v/>
      </c>
      <c r="AQ133" s="3" t="str">
        <f t="shared" si="122"/>
        <v/>
      </c>
      <c r="AR133" s="3" t="str">
        <f t="shared" si="122"/>
        <v/>
      </c>
      <c r="AS133" s="3" t="str">
        <f t="shared" si="122"/>
        <v/>
      </c>
      <c r="AT133" s="3" t="str">
        <f t="shared" si="122"/>
        <v/>
      </c>
      <c r="AU133" s="3" t="str">
        <f t="shared" si="122"/>
        <v/>
      </c>
      <c r="AV133" s="3" t="str">
        <f t="shared" si="122"/>
        <v/>
      </c>
      <c r="AW133" s="3" t="str">
        <f t="shared" si="90"/>
        <v>X</v>
      </c>
      <c r="AX133" s="3" t="str">
        <f t="shared" si="91"/>
        <v>X</v>
      </c>
      <c r="AY133" s="3" t="str">
        <f t="shared" si="92"/>
        <v/>
      </c>
      <c r="AZ133" s="3" t="str">
        <f t="shared" si="93"/>
        <v/>
      </c>
      <c r="BA133" s="3">
        <f t="shared" si="96"/>
        <v>1892</v>
      </c>
      <c r="BB133" s="3">
        <f t="shared" si="97"/>
        <v>1893</v>
      </c>
      <c r="BC133" s="3" t="str">
        <f t="shared" si="98"/>
        <v/>
      </c>
      <c r="BD133" s="3" t="str">
        <f t="shared" si="99"/>
        <v/>
      </c>
      <c r="BE133" s="9" t="str">
        <f t="shared" si="100"/>
        <v>764</v>
      </c>
      <c r="BF133" s="9" t="str">
        <f t="shared" si="101"/>
        <v>765</v>
      </c>
      <c r="BG133" s="9" t="str">
        <f t="shared" si="102"/>
        <v/>
      </c>
      <c r="BH133" s="9" t="str">
        <f t="shared" si="103"/>
        <v/>
      </c>
      <c r="BI133" s="3" t="str">
        <f t="shared" si="104"/>
        <v/>
      </c>
      <c r="BJ133" s="3" t="str">
        <f t="shared" si="105"/>
        <v/>
      </c>
      <c r="BK133" s="3" t="str">
        <f t="shared" si="106"/>
        <v/>
      </c>
      <c r="BL133" s="3" t="str">
        <f t="shared" si="107"/>
        <v/>
      </c>
      <c r="BM133" s="3">
        <f t="shared" si="108"/>
        <v>15</v>
      </c>
      <c r="BN133" s="3">
        <f t="shared" si="109"/>
        <v>7</v>
      </c>
      <c r="BO133" s="3" t="str">
        <f t="shared" si="110"/>
        <v/>
      </c>
      <c r="BP133" s="3" t="str">
        <f t="shared" si="111"/>
        <v/>
      </c>
      <c r="BQ133" s="3" t="str">
        <f t="shared" si="112"/>
        <v>(15 downto 8)</v>
      </c>
      <c r="BR133" s="3" t="str">
        <f t="shared" si="113"/>
        <v>(7 downto 0)</v>
      </c>
      <c r="BS133" s="3" t="str">
        <f t="shared" si="114"/>
        <v/>
      </c>
      <c r="BT133" s="3" t="str">
        <f t="shared" si="115"/>
        <v/>
      </c>
    </row>
    <row r="134" spans="2:72" x14ac:dyDescent="0.25">
      <c r="B134" s="3" t="s">
        <v>357</v>
      </c>
      <c r="C134" s="3" t="s">
        <v>479</v>
      </c>
      <c r="D134" s="3" t="s">
        <v>1</v>
      </c>
      <c r="E134" s="3" t="s">
        <v>1062</v>
      </c>
      <c r="F134" s="3" t="s">
        <v>125</v>
      </c>
      <c r="G134" s="3" t="s">
        <v>934</v>
      </c>
      <c r="H134" s="3" t="s">
        <v>232</v>
      </c>
      <c r="I134" s="3" t="s">
        <v>24</v>
      </c>
      <c r="J134" s="3">
        <v>16</v>
      </c>
      <c r="K134" s="3" t="s">
        <v>23</v>
      </c>
      <c r="L134" s="3" t="s">
        <v>23</v>
      </c>
      <c r="M134" s="3">
        <v>473</v>
      </c>
      <c r="N134" s="3" t="str">
        <f t="shared" si="116"/>
        <v>1D9</v>
      </c>
      <c r="O134" s="3">
        <v>15</v>
      </c>
      <c r="P134" s="3">
        <v>0</v>
      </c>
      <c r="Q134" s="3" t="str">
        <f t="shared" si="89"/>
        <v/>
      </c>
      <c r="R134" s="3" t="str">
        <f t="shared" si="89"/>
        <v/>
      </c>
      <c r="S134" s="3" t="str">
        <f t="shared" si="89"/>
        <v/>
      </c>
      <c r="T134" s="3" t="str">
        <f t="shared" si="89"/>
        <v/>
      </c>
      <c r="U134" s="3" t="str">
        <f t="shared" si="89"/>
        <v/>
      </c>
      <c r="V134" s="3" t="str">
        <f t="shared" si="89"/>
        <v/>
      </c>
      <c r="W134" s="3" t="str">
        <f t="shared" si="89"/>
        <v/>
      </c>
      <c r="X134" s="3" t="str">
        <f t="shared" si="89"/>
        <v/>
      </c>
      <c r="Y134" s="3" t="str">
        <f t="shared" si="89"/>
        <v/>
      </c>
      <c r="Z134" s="3" t="str">
        <f t="shared" si="89"/>
        <v/>
      </c>
      <c r="AA134" s="3" t="str">
        <f t="shared" si="89"/>
        <v/>
      </c>
      <c r="AB134" s="3" t="str">
        <f t="shared" si="89"/>
        <v/>
      </c>
      <c r="AC134" s="3" t="str">
        <f t="shared" si="89"/>
        <v/>
      </c>
      <c r="AD134" s="3" t="str">
        <f t="shared" si="89"/>
        <v/>
      </c>
      <c r="AE134" s="3" t="str">
        <f t="shared" si="89"/>
        <v/>
      </c>
      <c r="AF134" s="3" t="str">
        <f t="shared" si="89"/>
        <v/>
      </c>
      <c r="AG134" s="3" t="str">
        <f t="shared" si="121"/>
        <v>X</v>
      </c>
      <c r="AH134" s="3" t="str">
        <f t="shared" si="122"/>
        <v>X</v>
      </c>
      <c r="AI134" s="3" t="str">
        <f t="shared" si="122"/>
        <v>X</v>
      </c>
      <c r="AJ134" s="3" t="str">
        <f t="shared" si="122"/>
        <v>X</v>
      </c>
      <c r="AK134" s="3" t="str">
        <f t="shared" si="122"/>
        <v>X</v>
      </c>
      <c r="AL134" s="3" t="str">
        <f t="shared" si="122"/>
        <v>X</v>
      </c>
      <c r="AM134" s="3" t="str">
        <f t="shared" si="122"/>
        <v>X</v>
      </c>
      <c r="AN134" s="3" t="str">
        <f t="shared" si="122"/>
        <v>X</v>
      </c>
      <c r="AO134" s="3" t="str">
        <f t="shared" si="122"/>
        <v>X</v>
      </c>
      <c r="AP134" s="3" t="str">
        <f t="shared" si="122"/>
        <v>X</v>
      </c>
      <c r="AQ134" s="3" t="str">
        <f t="shared" si="122"/>
        <v>X</v>
      </c>
      <c r="AR134" s="3" t="str">
        <f t="shared" si="122"/>
        <v>X</v>
      </c>
      <c r="AS134" s="3" t="str">
        <f t="shared" si="122"/>
        <v>X</v>
      </c>
      <c r="AT134" s="3" t="str">
        <f t="shared" si="122"/>
        <v>X</v>
      </c>
      <c r="AU134" s="3" t="str">
        <f t="shared" si="122"/>
        <v>X</v>
      </c>
      <c r="AV134" s="3" t="str">
        <f t="shared" si="122"/>
        <v>X</v>
      </c>
      <c r="AW134" s="3" t="str">
        <f t="shared" si="90"/>
        <v/>
      </c>
      <c r="AX134" s="3" t="str">
        <f t="shared" si="91"/>
        <v/>
      </c>
      <c r="AY134" s="3" t="str">
        <f t="shared" si="92"/>
        <v>X</v>
      </c>
      <c r="AZ134" s="3" t="str">
        <f t="shared" si="93"/>
        <v>X</v>
      </c>
      <c r="BA134" s="3" t="str">
        <f t="shared" si="96"/>
        <v/>
      </c>
      <c r="BB134" s="3" t="str">
        <f t="shared" si="97"/>
        <v/>
      </c>
      <c r="BC134" s="3">
        <f t="shared" si="98"/>
        <v>1894</v>
      </c>
      <c r="BD134" s="3">
        <f t="shared" si="99"/>
        <v>1895</v>
      </c>
      <c r="BE134" s="9" t="str">
        <f t="shared" si="100"/>
        <v/>
      </c>
      <c r="BF134" s="9" t="str">
        <f t="shared" si="101"/>
        <v/>
      </c>
      <c r="BG134" s="9" t="str">
        <f t="shared" si="102"/>
        <v>766</v>
      </c>
      <c r="BH134" s="9" t="str">
        <f t="shared" si="103"/>
        <v>767</v>
      </c>
      <c r="BI134" s="3" t="str">
        <f t="shared" si="104"/>
        <v/>
      </c>
      <c r="BJ134" s="3" t="str">
        <f t="shared" si="105"/>
        <v/>
      </c>
      <c r="BK134" s="3" t="str">
        <f t="shared" si="106"/>
        <v/>
      </c>
      <c r="BL134" s="3" t="str">
        <f t="shared" si="107"/>
        <v/>
      </c>
      <c r="BM134" s="3" t="str">
        <f t="shared" si="108"/>
        <v/>
      </c>
      <c r="BN134" s="3" t="str">
        <f t="shared" si="109"/>
        <v/>
      </c>
      <c r="BO134" s="3">
        <f t="shared" si="110"/>
        <v>15</v>
      </c>
      <c r="BP134" s="3">
        <f t="shared" si="111"/>
        <v>7</v>
      </c>
      <c r="BQ134" s="3" t="str">
        <f t="shared" si="112"/>
        <v/>
      </c>
      <c r="BR134" s="3" t="str">
        <f t="shared" si="113"/>
        <v/>
      </c>
      <c r="BS134" s="3" t="str">
        <f t="shared" si="114"/>
        <v>(15 downto 8)</v>
      </c>
      <c r="BT134" s="3" t="str">
        <f t="shared" si="115"/>
        <v>(7 downto 0)</v>
      </c>
    </row>
    <row r="135" spans="2:72" x14ac:dyDescent="0.25">
      <c r="B135" s="3" t="s">
        <v>358</v>
      </c>
      <c r="C135" s="3" t="s">
        <v>480</v>
      </c>
      <c r="D135" s="3" t="s">
        <v>1</v>
      </c>
      <c r="E135" s="3" t="s">
        <v>1062</v>
      </c>
      <c r="F135" s="3" t="s">
        <v>126</v>
      </c>
      <c r="G135" s="3" t="s">
        <v>935</v>
      </c>
      <c r="H135" s="3" t="s">
        <v>233</v>
      </c>
      <c r="I135" s="3" t="s">
        <v>24</v>
      </c>
      <c r="J135" s="3">
        <v>16</v>
      </c>
      <c r="K135" s="3" t="s">
        <v>23</v>
      </c>
      <c r="L135" s="3" t="s">
        <v>23</v>
      </c>
      <c r="M135" s="3">
        <v>474</v>
      </c>
      <c r="N135" s="3" t="str">
        <f t="shared" si="116"/>
        <v>1DA</v>
      </c>
      <c r="O135" s="3">
        <v>31</v>
      </c>
      <c r="P135" s="3">
        <v>16</v>
      </c>
      <c r="Q135" s="3" t="str">
        <f t="shared" si="89"/>
        <v>X</v>
      </c>
      <c r="R135" s="3" t="str">
        <f t="shared" si="89"/>
        <v>X</v>
      </c>
      <c r="S135" s="3" t="str">
        <f t="shared" si="89"/>
        <v>X</v>
      </c>
      <c r="T135" s="3" t="str">
        <f t="shared" si="89"/>
        <v>X</v>
      </c>
      <c r="U135" s="3" t="str">
        <f t="shared" si="89"/>
        <v>X</v>
      </c>
      <c r="V135" s="3" t="str">
        <f t="shared" si="89"/>
        <v>X</v>
      </c>
      <c r="W135" s="3" t="str">
        <f t="shared" si="89"/>
        <v>X</v>
      </c>
      <c r="X135" s="3" t="str">
        <f t="shared" si="89"/>
        <v>X</v>
      </c>
      <c r="Y135" s="3" t="str">
        <f t="shared" si="89"/>
        <v>X</v>
      </c>
      <c r="Z135" s="3" t="str">
        <f t="shared" si="89"/>
        <v>X</v>
      </c>
      <c r="AA135" s="3" t="str">
        <f t="shared" si="89"/>
        <v>X</v>
      </c>
      <c r="AB135" s="3" t="str">
        <f t="shared" si="89"/>
        <v>X</v>
      </c>
      <c r="AC135" s="3" t="str">
        <f t="shared" si="89"/>
        <v>X</v>
      </c>
      <c r="AD135" s="3" t="str">
        <f t="shared" si="89"/>
        <v>X</v>
      </c>
      <c r="AE135" s="3" t="str">
        <f t="shared" si="89"/>
        <v>X</v>
      </c>
      <c r="AF135" s="3" t="str">
        <f t="shared" si="89"/>
        <v>X</v>
      </c>
      <c r="AG135" s="3" t="str">
        <f t="shared" si="121"/>
        <v/>
      </c>
      <c r="AH135" s="3" t="str">
        <f t="shared" si="122"/>
        <v/>
      </c>
      <c r="AI135" s="3" t="str">
        <f t="shared" si="122"/>
        <v/>
      </c>
      <c r="AJ135" s="3" t="str">
        <f t="shared" si="122"/>
        <v/>
      </c>
      <c r="AK135" s="3" t="str">
        <f t="shared" si="122"/>
        <v/>
      </c>
      <c r="AL135" s="3" t="str">
        <f t="shared" si="122"/>
        <v/>
      </c>
      <c r="AM135" s="3" t="str">
        <f t="shared" si="122"/>
        <v/>
      </c>
      <c r="AN135" s="3" t="str">
        <f t="shared" si="122"/>
        <v/>
      </c>
      <c r="AO135" s="3" t="str">
        <f t="shared" si="122"/>
        <v/>
      </c>
      <c r="AP135" s="3" t="str">
        <f t="shared" si="122"/>
        <v/>
      </c>
      <c r="AQ135" s="3" t="str">
        <f t="shared" si="122"/>
        <v/>
      </c>
      <c r="AR135" s="3" t="str">
        <f t="shared" si="122"/>
        <v/>
      </c>
      <c r="AS135" s="3" t="str">
        <f t="shared" si="122"/>
        <v/>
      </c>
      <c r="AT135" s="3" t="str">
        <f t="shared" si="122"/>
        <v/>
      </c>
      <c r="AU135" s="3" t="str">
        <f t="shared" si="122"/>
        <v/>
      </c>
      <c r="AV135" s="3" t="str">
        <f t="shared" si="122"/>
        <v/>
      </c>
      <c r="AW135" s="3" t="str">
        <f t="shared" si="90"/>
        <v>X</v>
      </c>
      <c r="AX135" s="3" t="str">
        <f t="shared" si="91"/>
        <v>X</v>
      </c>
      <c r="AY135" s="3" t="str">
        <f t="shared" si="92"/>
        <v/>
      </c>
      <c r="AZ135" s="3" t="str">
        <f t="shared" si="93"/>
        <v/>
      </c>
      <c r="BA135" s="3">
        <f t="shared" si="96"/>
        <v>1896</v>
      </c>
      <c r="BB135" s="3">
        <f t="shared" si="97"/>
        <v>1897</v>
      </c>
      <c r="BC135" s="3" t="str">
        <f t="shared" si="98"/>
        <v/>
      </c>
      <c r="BD135" s="3" t="str">
        <f t="shared" si="99"/>
        <v/>
      </c>
      <c r="BE135" s="9" t="str">
        <f t="shared" si="100"/>
        <v>768</v>
      </c>
      <c r="BF135" s="9" t="str">
        <f t="shared" si="101"/>
        <v>769</v>
      </c>
      <c r="BG135" s="9" t="str">
        <f t="shared" si="102"/>
        <v/>
      </c>
      <c r="BH135" s="9" t="str">
        <f t="shared" si="103"/>
        <v/>
      </c>
      <c r="BI135" s="3" t="str">
        <f t="shared" si="104"/>
        <v/>
      </c>
      <c r="BJ135" s="3" t="str">
        <f t="shared" si="105"/>
        <v/>
      </c>
      <c r="BK135" s="3" t="str">
        <f t="shared" si="106"/>
        <v/>
      </c>
      <c r="BL135" s="3" t="str">
        <f t="shared" si="107"/>
        <v/>
      </c>
      <c r="BM135" s="3">
        <f t="shared" si="108"/>
        <v>15</v>
      </c>
      <c r="BN135" s="3">
        <f t="shared" si="109"/>
        <v>7</v>
      </c>
      <c r="BO135" s="3" t="str">
        <f t="shared" si="110"/>
        <v/>
      </c>
      <c r="BP135" s="3" t="str">
        <f t="shared" si="111"/>
        <v/>
      </c>
      <c r="BQ135" s="3" t="str">
        <f t="shared" si="112"/>
        <v>(15 downto 8)</v>
      </c>
      <c r="BR135" s="3" t="str">
        <f t="shared" si="113"/>
        <v>(7 downto 0)</v>
      </c>
      <c r="BS135" s="3" t="str">
        <f t="shared" si="114"/>
        <v/>
      </c>
      <c r="BT135" s="3" t="str">
        <f t="shared" si="115"/>
        <v/>
      </c>
    </row>
    <row r="136" spans="2:72" x14ac:dyDescent="0.25">
      <c r="B136" s="3" t="s">
        <v>358</v>
      </c>
      <c r="C136" s="3" t="s">
        <v>481</v>
      </c>
      <c r="D136" s="3" t="s">
        <v>1</v>
      </c>
      <c r="E136" s="3" t="s">
        <v>1062</v>
      </c>
      <c r="F136" s="3" t="s">
        <v>126</v>
      </c>
      <c r="G136" s="3" t="s">
        <v>935</v>
      </c>
      <c r="H136" s="3" t="s">
        <v>234</v>
      </c>
      <c r="I136" s="3" t="s">
        <v>24</v>
      </c>
      <c r="J136" s="3">
        <v>16</v>
      </c>
      <c r="K136" s="3" t="s">
        <v>23</v>
      </c>
      <c r="L136" s="3" t="s">
        <v>23</v>
      </c>
      <c r="M136" s="3">
        <v>474</v>
      </c>
      <c r="N136" s="3" t="str">
        <f t="shared" si="116"/>
        <v>1DA</v>
      </c>
      <c r="O136" s="3">
        <v>15</v>
      </c>
      <c r="P136" s="3">
        <v>0</v>
      </c>
      <c r="Q136" s="3" t="str">
        <f t="shared" si="89"/>
        <v/>
      </c>
      <c r="R136" s="3" t="str">
        <f t="shared" si="89"/>
        <v/>
      </c>
      <c r="S136" s="3" t="str">
        <f t="shared" si="89"/>
        <v/>
      </c>
      <c r="T136" s="3" t="str">
        <f t="shared" si="89"/>
        <v/>
      </c>
      <c r="U136" s="3" t="str">
        <f t="shared" si="89"/>
        <v/>
      </c>
      <c r="V136" s="3" t="str">
        <f t="shared" si="89"/>
        <v/>
      </c>
      <c r="W136" s="3" t="str">
        <f t="shared" si="89"/>
        <v/>
      </c>
      <c r="X136" s="3" t="str">
        <f t="shared" si="89"/>
        <v/>
      </c>
      <c r="Y136" s="3" t="str">
        <f t="shared" si="89"/>
        <v/>
      </c>
      <c r="Z136" s="3" t="str">
        <f t="shared" si="89"/>
        <v/>
      </c>
      <c r="AA136" s="3" t="str">
        <f t="shared" si="89"/>
        <v/>
      </c>
      <c r="AB136" s="3" t="str">
        <f t="shared" si="89"/>
        <v/>
      </c>
      <c r="AC136" s="3" t="str">
        <f t="shared" si="89"/>
        <v/>
      </c>
      <c r="AD136" s="3" t="str">
        <f t="shared" si="89"/>
        <v/>
      </c>
      <c r="AE136" s="3" t="str">
        <f t="shared" si="89"/>
        <v/>
      </c>
      <c r="AF136" s="3" t="str">
        <f t="shared" si="89"/>
        <v/>
      </c>
      <c r="AG136" s="3" t="str">
        <f t="shared" si="121"/>
        <v>X</v>
      </c>
      <c r="AH136" s="3" t="str">
        <f t="shared" si="122"/>
        <v>X</v>
      </c>
      <c r="AI136" s="3" t="str">
        <f t="shared" si="122"/>
        <v>X</v>
      </c>
      <c r="AJ136" s="3" t="str">
        <f t="shared" si="122"/>
        <v>X</v>
      </c>
      <c r="AK136" s="3" t="str">
        <f t="shared" si="122"/>
        <v>X</v>
      </c>
      <c r="AL136" s="3" t="str">
        <f t="shared" si="122"/>
        <v>X</v>
      </c>
      <c r="AM136" s="3" t="str">
        <f t="shared" si="122"/>
        <v>X</v>
      </c>
      <c r="AN136" s="3" t="str">
        <f t="shared" si="122"/>
        <v>X</v>
      </c>
      <c r="AO136" s="3" t="str">
        <f t="shared" si="122"/>
        <v>X</v>
      </c>
      <c r="AP136" s="3" t="str">
        <f t="shared" si="122"/>
        <v>X</v>
      </c>
      <c r="AQ136" s="3" t="str">
        <f t="shared" si="122"/>
        <v>X</v>
      </c>
      <c r="AR136" s="3" t="str">
        <f t="shared" si="122"/>
        <v>X</v>
      </c>
      <c r="AS136" s="3" t="str">
        <f t="shared" si="122"/>
        <v>X</v>
      </c>
      <c r="AT136" s="3" t="str">
        <f t="shared" si="122"/>
        <v>X</v>
      </c>
      <c r="AU136" s="3" t="str">
        <f t="shared" si="122"/>
        <v>X</v>
      </c>
      <c r="AV136" s="3" t="str">
        <f t="shared" si="122"/>
        <v>X</v>
      </c>
      <c r="AW136" s="3" t="str">
        <f t="shared" si="90"/>
        <v/>
      </c>
      <c r="AX136" s="3" t="str">
        <f t="shared" si="91"/>
        <v/>
      </c>
      <c r="AY136" s="3" t="str">
        <f t="shared" si="92"/>
        <v>X</v>
      </c>
      <c r="AZ136" s="3" t="str">
        <f t="shared" si="93"/>
        <v>X</v>
      </c>
      <c r="BA136" s="3" t="str">
        <f t="shared" si="96"/>
        <v/>
      </c>
      <c r="BB136" s="3" t="str">
        <f t="shared" si="97"/>
        <v/>
      </c>
      <c r="BC136" s="3">
        <f t="shared" si="98"/>
        <v>1898</v>
      </c>
      <c r="BD136" s="3">
        <f t="shared" si="99"/>
        <v>1899</v>
      </c>
      <c r="BE136" s="9" t="str">
        <f t="shared" si="100"/>
        <v/>
      </c>
      <c r="BF136" s="9" t="str">
        <f t="shared" si="101"/>
        <v/>
      </c>
      <c r="BG136" s="9" t="str">
        <f t="shared" si="102"/>
        <v>76A</v>
      </c>
      <c r="BH136" s="9" t="str">
        <f t="shared" si="103"/>
        <v>76B</v>
      </c>
      <c r="BI136" s="3" t="str">
        <f t="shared" si="104"/>
        <v/>
      </c>
      <c r="BJ136" s="3" t="str">
        <f t="shared" si="105"/>
        <v/>
      </c>
      <c r="BK136" s="3" t="str">
        <f t="shared" si="106"/>
        <v/>
      </c>
      <c r="BL136" s="3" t="str">
        <f t="shared" si="107"/>
        <v/>
      </c>
      <c r="BM136" s="3" t="str">
        <f t="shared" si="108"/>
        <v/>
      </c>
      <c r="BN136" s="3" t="str">
        <f t="shared" si="109"/>
        <v/>
      </c>
      <c r="BO136" s="3">
        <f t="shared" si="110"/>
        <v>15</v>
      </c>
      <c r="BP136" s="3">
        <f t="shared" si="111"/>
        <v>7</v>
      </c>
      <c r="BQ136" s="3" t="str">
        <f t="shared" si="112"/>
        <v/>
      </c>
      <c r="BR136" s="3" t="str">
        <f t="shared" si="113"/>
        <v/>
      </c>
      <c r="BS136" s="3" t="str">
        <f t="shared" si="114"/>
        <v>(15 downto 8)</v>
      </c>
      <c r="BT136" s="3" t="str">
        <f t="shared" si="115"/>
        <v>(7 downto 0)</v>
      </c>
    </row>
    <row r="137" spans="2:72" x14ac:dyDescent="0.25">
      <c r="B137" s="3" t="s">
        <v>359</v>
      </c>
      <c r="C137" s="3" t="s">
        <v>482</v>
      </c>
      <c r="D137" s="3" t="s">
        <v>1</v>
      </c>
      <c r="E137" s="3" t="s">
        <v>1062</v>
      </c>
      <c r="F137" s="3" t="s">
        <v>127</v>
      </c>
      <c r="G137" s="3" t="s">
        <v>936</v>
      </c>
      <c r="H137" s="3" t="s">
        <v>235</v>
      </c>
      <c r="I137" s="3" t="s">
        <v>24</v>
      </c>
      <c r="J137" s="3">
        <v>16</v>
      </c>
      <c r="K137" s="3" t="s">
        <v>23</v>
      </c>
      <c r="L137" s="3" t="s">
        <v>23</v>
      </c>
      <c r="M137" s="3">
        <v>475</v>
      </c>
      <c r="N137" s="3" t="str">
        <f t="shared" si="116"/>
        <v>1DB</v>
      </c>
      <c r="O137" s="3">
        <v>31</v>
      </c>
      <c r="P137" s="3">
        <v>16</v>
      </c>
      <c r="Q137" s="3" t="str">
        <f t="shared" ref="Q137:AF170" si="123">IF(AND($O137&gt;=Q$3,Q$3&gt;=$P137),"X","")</f>
        <v>X</v>
      </c>
      <c r="R137" s="3" t="str">
        <f t="shared" si="123"/>
        <v>X</v>
      </c>
      <c r="S137" s="3" t="str">
        <f t="shared" si="123"/>
        <v>X</v>
      </c>
      <c r="T137" s="3" t="str">
        <f t="shared" si="123"/>
        <v>X</v>
      </c>
      <c r="U137" s="3" t="str">
        <f t="shared" si="123"/>
        <v>X</v>
      </c>
      <c r="V137" s="3" t="str">
        <f t="shared" si="123"/>
        <v>X</v>
      </c>
      <c r="W137" s="3" t="str">
        <f t="shared" si="123"/>
        <v>X</v>
      </c>
      <c r="X137" s="3" t="str">
        <f t="shared" si="123"/>
        <v>X</v>
      </c>
      <c r="Y137" s="3" t="str">
        <f t="shared" si="123"/>
        <v>X</v>
      </c>
      <c r="Z137" s="3" t="str">
        <f t="shared" si="123"/>
        <v>X</v>
      </c>
      <c r="AA137" s="3" t="str">
        <f t="shared" si="123"/>
        <v>X</v>
      </c>
      <c r="AB137" s="3" t="str">
        <f t="shared" si="123"/>
        <v>X</v>
      </c>
      <c r="AC137" s="3" t="str">
        <f t="shared" si="123"/>
        <v>X</v>
      </c>
      <c r="AD137" s="3" t="str">
        <f t="shared" si="123"/>
        <v>X</v>
      </c>
      <c r="AE137" s="3" t="str">
        <f t="shared" si="123"/>
        <v>X</v>
      </c>
      <c r="AF137" s="3" t="str">
        <f t="shared" si="123"/>
        <v>X</v>
      </c>
      <c r="AG137" s="3" t="str">
        <f t="shared" si="121"/>
        <v/>
      </c>
      <c r="AH137" s="3" t="str">
        <f t="shared" si="122"/>
        <v/>
      </c>
      <c r="AI137" s="3" t="str">
        <f t="shared" si="122"/>
        <v/>
      </c>
      <c r="AJ137" s="3" t="str">
        <f t="shared" si="122"/>
        <v/>
      </c>
      <c r="AK137" s="3" t="str">
        <f t="shared" si="122"/>
        <v/>
      </c>
      <c r="AL137" s="3" t="str">
        <f t="shared" si="122"/>
        <v/>
      </c>
      <c r="AM137" s="3" t="str">
        <f t="shared" si="122"/>
        <v/>
      </c>
      <c r="AN137" s="3" t="str">
        <f t="shared" si="122"/>
        <v/>
      </c>
      <c r="AO137" s="3" t="str">
        <f t="shared" si="122"/>
        <v/>
      </c>
      <c r="AP137" s="3" t="str">
        <f t="shared" si="122"/>
        <v/>
      </c>
      <c r="AQ137" s="3" t="str">
        <f t="shared" si="122"/>
        <v/>
      </c>
      <c r="AR137" s="3" t="str">
        <f t="shared" si="122"/>
        <v/>
      </c>
      <c r="AS137" s="3" t="str">
        <f t="shared" si="122"/>
        <v/>
      </c>
      <c r="AT137" s="3" t="str">
        <f t="shared" si="122"/>
        <v/>
      </c>
      <c r="AU137" s="3" t="str">
        <f t="shared" si="122"/>
        <v/>
      </c>
      <c r="AV137" s="3" t="str">
        <f t="shared" si="122"/>
        <v/>
      </c>
      <c r="AW137" s="3" t="str">
        <f t="shared" ref="AW137:AW170" si="124">IF(OR($Q137="X",$R137="X",$S137="X",$T137="X",$U137="X",$V137="X",$W137="X",$X137="X"),"X","")</f>
        <v>X</v>
      </c>
      <c r="AX137" s="3" t="str">
        <f t="shared" ref="AX137:AX170" si="125">IF(OR($Y137="X",$Z137="X",$AA137="X",$AB137="X",$AC137="X",$AD137="X",$AE137="X",$AF137="X"),"X","")</f>
        <v>X</v>
      </c>
      <c r="AY137" s="3" t="str">
        <f t="shared" ref="AY137:AY170" si="126">IF(OR($AG137="X",$AH137="X",$AI137="X",$AJ137="X",$AK137="X",$AL137="X",$AM137="X",$AN137="X"),"X","")</f>
        <v/>
      </c>
      <c r="AZ137" s="3" t="str">
        <f t="shared" ref="AZ137:AZ170" si="127">IF(OR($AO137="X",$AP137="X",$AQ137="X",$AR137="X",$AS137="X",$AT137="X",$AU137="X",$AV137="X"),"X","")</f>
        <v/>
      </c>
      <c r="BA137" s="3">
        <f t="shared" si="96"/>
        <v>1900</v>
      </c>
      <c r="BB137" s="3">
        <f t="shared" si="97"/>
        <v>1901</v>
      </c>
      <c r="BC137" s="3" t="str">
        <f t="shared" si="98"/>
        <v/>
      </c>
      <c r="BD137" s="3" t="str">
        <f t="shared" si="99"/>
        <v/>
      </c>
      <c r="BE137" s="9" t="str">
        <f t="shared" si="100"/>
        <v>76C</v>
      </c>
      <c r="BF137" s="9" t="str">
        <f t="shared" si="101"/>
        <v>76D</v>
      </c>
      <c r="BG137" s="9" t="str">
        <f t="shared" si="102"/>
        <v/>
      </c>
      <c r="BH137" s="9" t="str">
        <f t="shared" si="103"/>
        <v/>
      </c>
      <c r="BI137" s="3" t="str">
        <f t="shared" si="104"/>
        <v/>
      </c>
      <c r="BJ137" s="3" t="str">
        <f t="shared" si="105"/>
        <v/>
      </c>
      <c r="BK137" s="3" t="str">
        <f t="shared" si="106"/>
        <v/>
      </c>
      <c r="BL137" s="3" t="str">
        <f t="shared" si="107"/>
        <v/>
      </c>
      <c r="BM137" s="3">
        <f t="shared" si="108"/>
        <v>15</v>
      </c>
      <c r="BN137" s="3">
        <f t="shared" si="109"/>
        <v>7</v>
      </c>
      <c r="BO137" s="3" t="str">
        <f t="shared" si="110"/>
        <v/>
      </c>
      <c r="BP137" s="3" t="str">
        <f t="shared" si="111"/>
        <v/>
      </c>
      <c r="BQ137" s="3" t="str">
        <f t="shared" si="112"/>
        <v>(15 downto 8)</v>
      </c>
      <c r="BR137" s="3" t="str">
        <f t="shared" si="113"/>
        <v>(7 downto 0)</v>
      </c>
      <c r="BS137" s="3" t="str">
        <f t="shared" si="114"/>
        <v/>
      </c>
      <c r="BT137" s="3" t="str">
        <f t="shared" si="115"/>
        <v/>
      </c>
    </row>
    <row r="138" spans="2:72" x14ac:dyDescent="0.25">
      <c r="B138" s="3" t="s">
        <v>359</v>
      </c>
      <c r="C138" s="3" t="s">
        <v>483</v>
      </c>
      <c r="D138" s="3" t="s">
        <v>1</v>
      </c>
      <c r="E138" s="3" t="s">
        <v>1062</v>
      </c>
      <c r="F138" s="3" t="s">
        <v>127</v>
      </c>
      <c r="G138" s="3" t="s">
        <v>936</v>
      </c>
      <c r="H138" s="3" t="s">
        <v>236</v>
      </c>
      <c r="I138" s="3" t="s">
        <v>24</v>
      </c>
      <c r="J138" s="3">
        <v>16</v>
      </c>
      <c r="K138" s="3" t="s">
        <v>23</v>
      </c>
      <c r="L138" s="3" t="s">
        <v>23</v>
      </c>
      <c r="M138" s="3">
        <v>475</v>
      </c>
      <c r="N138" s="3" t="str">
        <f t="shared" si="116"/>
        <v>1DB</v>
      </c>
      <c r="O138" s="3">
        <v>15</v>
      </c>
      <c r="P138" s="3">
        <v>0</v>
      </c>
      <c r="Q138" s="3" t="str">
        <f t="shared" si="123"/>
        <v/>
      </c>
      <c r="R138" s="3" t="str">
        <f t="shared" si="123"/>
        <v/>
      </c>
      <c r="S138" s="3" t="str">
        <f t="shared" si="123"/>
        <v/>
      </c>
      <c r="T138" s="3" t="str">
        <f t="shared" si="123"/>
        <v/>
      </c>
      <c r="U138" s="3" t="str">
        <f t="shared" si="123"/>
        <v/>
      </c>
      <c r="V138" s="3" t="str">
        <f t="shared" si="123"/>
        <v/>
      </c>
      <c r="W138" s="3" t="str">
        <f t="shared" si="123"/>
        <v/>
      </c>
      <c r="X138" s="3" t="str">
        <f t="shared" si="123"/>
        <v/>
      </c>
      <c r="Y138" s="3" t="str">
        <f t="shared" si="123"/>
        <v/>
      </c>
      <c r="Z138" s="3" t="str">
        <f t="shared" si="123"/>
        <v/>
      </c>
      <c r="AA138" s="3" t="str">
        <f t="shared" si="123"/>
        <v/>
      </c>
      <c r="AB138" s="3" t="str">
        <f t="shared" si="123"/>
        <v/>
      </c>
      <c r="AC138" s="3" t="str">
        <f t="shared" si="123"/>
        <v/>
      </c>
      <c r="AD138" s="3" t="str">
        <f t="shared" si="123"/>
        <v/>
      </c>
      <c r="AE138" s="3" t="str">
        <f t="shared" si="123"/>
        <v/>
      </c>
      <c r="AF138" s="3" t="str">
        <f t="shared" si="123"/>
        <v/>
      </c>
      <c r="AG138" s="3" t="str">
        <f t="shared" si="121"/>
        <v>X</v>
      </c>
      <c r="AH138" s="3" t="str">
        <f t="shared" si="122"/>
        <v>X</v>
      </c>
      <c r="AI138" s="3" t="str">
        <f t="shared" si="122"/>
        <v>X</v>
      </c>
      <c r="AJ138" s="3" t="str">
        <f t="shared" si="122"/>
        <v>X</v>
      </c>
      <c r="AK138" s="3" t="str">
        <f t="shared" si="122"/>
        <v>X</v>
      </c>
      <c r="AL138" s="3" t="str">
        <f t="shared" si="122"/>
        <v>X</v>
      </c>
      <c r="AM138" s="3" t="str">
        <f t="shared" si="122"/>
        <v>X</v>
      </c>
      <c r="AN138" s="3" t="str">
        <f t="shared" si="122"/>
        <v>X</v>
      </c>
      <c r="AO138" s="3" t="str">
        <f t="shared" si="122"/>
        <v>X</v>
      </c>
      <c r="AP138" s="3" t="str">
        <f t="shared" si="122"/>
        <v>X</v>
      </c>
      <c r="AQ138" s="3" t="str">
        <f t="shared" si="122"/>
        <v>X</v>
      </c>
      <c r="AR138" s="3" t="str">
        <f t="shared" si="122"/>
        <v>X</v>
      </c>
      <c r="AS138" s="3" t="str">
        <f t="shared" si="122"/>
        <v>X</v>
      </c>
      <c r="AT138" s="3" t="str">
        <f t="shared" si="122"/>
        <v>X</v>
      </c>
      <c r="AU138" s="3" t="str">
        <f t="shared" si="122"/>
        <v>X</v>
      </c>
      <c r="AV138" s="3" t="str">
        <f t="shared" si="122"/>
        <v>X</v>
      </c>
      <c r="AW138" s="3" t="str">
        <f t="shared" si="124"/>
        <v/>
      </c>
      <c r="AX138" s="3" t="str">
        <f t="shared" si="125"/>
        <v/>
      </c>
      <c r="AY138" s="3" t="str">
        <f t="shared" si="126"/>
        <v>X</v>
      </c>
      <c r="AZ138" s="3" t="str">
        <f t="shared" si="127"/>
        <v>X</v>
      </c>
      <c r="BA138" s="3" t="str">
        <f t="shared" si="96"/>
        <v/>
      </c>
      <c r="BB138" s="3" t="str">
        <f t="shared" si="97"/>
        <v/>
      </c>
      <c r="BC138" s="3">
        <f t="shared" si="98"/>
        <v>1902</v>
      </c>
      <c r="BD138" s="3">
        <f t="shared" si="99"/>
        <v>1903</v>
      </c>
      <c r="BE138" s="9" t="str">
        <f t="shared" si="100"/>
        <v/>
      </c>
      <c r="BF138" s="9" t="str">
        <f t="shared" si="101"/>
        <v/>
      </c>
      <c r="BG138" s="9" t="str">
        <f t="shared" si="102"/>
        <v>76E</v>
      </c>
      <c r="BH138" s="9" t="str">
        <f t="shared" si="103"/>
        <v>76F</v>
      </c>
      <c r="BI138" s="3" t="str">
        <f t="shared" si="104"/>
        <v/>
      </c>
      <c r="BJ138" s="3" t="str">
        <f t="shared" si="105"/>
        <v/>
      </c>
      <c r="BK138" s="3" t="str">
        <f t="shared" si="106"/>
        <v/>
      </c>
      <c r="BL138" s="3" t="str">
        <f t="shared" si="107"/>
        <v/>
      </c>
      <c r="BM138" s="3" t="str">
        <f t="shared" si="108"/>
        <v/>
      </c>
      <c r="BN138" s="3" t="str">
        <f t="shared" si="109"/>
        <v/>
      </c>
      <c r="BO138" s="3">
        <f t="shared" si="110"/>
        <v>15</v>
      </c>
      <c r="BP138" s="3">
        <f t="shared" si="111"/>
        <v>7</v>
      </c>
      <c r="BQ138" s="3" t="str">
        <f t="shared" si="112"/>
        <v/>
      </c>
      <c r="BR138" s="3" t="str">
        <f t="shared" si="113"/>
        <v/>
      </c>
      <c r="BS138" s="3" t="str">
        <f t="shared" si="114"/>
        <v>(15 downto 8)</v>
      </c>
      <c r="BT138" s="3" t="str">
        <f t="shared" si="115"/>
        <v>(7 downto 0)</v>
      </c>
    </row>
    <row r="139" spans="2:72" x14ac:dyDescent="0.25">
      <c r="B139" s="3" t="s">
        <v>360</v>
      </c>
      <c r="C139" s="3" t="s">
        <v>484</v>
      </c>
      <c r="D139" s="3" t="s">
        <v>1</v>
      </c>
      <c r="E139" s="3" t="s">
        <v>1062</v>
      </c>
      <c r="F139" s="3" t="s">
        <v>128</v>
      </c>
      <c r="G139" s="3" t="s">
        <v>937</v>
      </c>
      <c r="H139" s="3" t="s">
        <v>237</v>
      </c>
      <c r="I139" s="3" t="s">
        <v>24</v>
      </c>
      <c r="J139" s="3">
        <v>16</v>
      </c>
      <c r="K139" s="3" t="s">
        <v>23</v>
      </c>
      <c r="L139" s="3" t="s">
        <v>23</v>
      </c>
      <c r="M139" s="3">
        <v>476</v>
      </c>
      <c r="N139" s="3" t="str">
        <f t="shared" si="116"/>
        <v>1DC</v>
      </c>
      <c r="O139" s="3">
        <v>31</v>
      </c>
      <c r="P139" s="3">
        <v>16</v>
      </c>
      <c r="Q139" s="3" t="str">
        <f t="shared" si="123"/>
        <v>X</v>
      </c>
      <c r="R139" s="3" t="str">
        <f t="shared" si="123"/>
        <v>X</v>
      </c>
      <c r="S139" s="3" t="str">
        <f t="shared" si="123"/>
        <v>X</v>
      </c>
      <c r="T139" s="3" t="str">
        <f t="shared" si="123"/>
        <v>X</v>
      </c>
      <c r="U139" s="3" t="str">
        <f t="shared" si="123"/>
        <v>X</v>
      </c>
      <c r="V139" s="3" t="str">
        <f t="shared" si="123"/>
        <v>X</v>
      </c>
      <c r="W139" s="3" t="str">
        <f t="shared" si="123"/>
        <v>X</v>
      </c>
      <c r="X139" s="3" t="str">
        <f t="shared" si="123"/>
        <v>X</v>
      </c>
      <c r="Y139" s="3" t="str">
        <f t="shared" si="123"/>
        <v>X</v>
      </c>
      <c r="Z139" s="3" t="str">
        <f t="shared" si="123"/>
        <v>X</v>
      </c>
      <c r="AA139" s="3" t="str">
        <f t="shared" si="123"/>
        <v>X</v>
      </c>
      <c r="AB139" s="3" t="str">
        <f t="shared" si="123"/>
        <v>X</v>
      </c>
      <c r="AC139" s="3" t="str">
        <f t="shared" si="123"/>
        <v>X</v>
      </c>
      <c r="AD139" s="3" t="str">
        <f t="shared" si="123"/>
        <v>X</v>
      </c>
      <c r="AE139" s="3" t="str">
        <f t="shared" si="123"/>
        <v>X</v>
      </c>
      <c r="AF139" s="3" t="str">
        <f t="shared" si="123"/>
        <v>X</v>
      </c>
      <c r="AG139" s="3" t="str">
        <f t="shared" si="121"/>
        <v/>
      </c>
      <c r="AH139" s="3" t="str">
        <f t="shared" si="122"/>
        <v/>
      </c>
      <c r="AI139" s="3" t="str">
        <f t="shared" si="122"/>
        <v/>
      </c>
      <c r="AJ139" s="3" t="str">
        <f t="shared" si="122"/>
        <v/>
      </c>
      <c r="AK139" s="3" t="str">
        <f t="shared" si="122"/>
        <v/>
      </c>
      <c r="AL139" s="3" t="str">
        <f t="shared" si="122"/>
        <v/>
      </c>
      <c r="AM139" s="3" t="str">
        <f t="shared" si="122"/>
        <v/>
      </c>
      <c r="AN139" s="3" t="str">
        <f t="shared" si="122"/>
        <v/>
      </c>
      <c r="AO139" s="3" t="str">
        <f t="shared" si="122"/>
        <v/>
      </c>
      <c r="AP139" s="3" t="str">
        <f t="shared" si="122"/>
        <v/>
      </c>
      <c r="AQ139" s="3" t="str">
        <f t="shared" si="122"/>
        <v/>
      </c>
      <c r="AR139" s="3" t="str">
        <f t="shared" si="122"/>
        <v/>
      </c>
      <c r="AS139" s="3" t="str">
        <f t="shared" si="122"/>
        <v/>
      </c>
      <c r="AT139" s="3" t="str">
        <f t="shared" si="122"/>
        <v/>
      </c>
      <c r="AU139" s="3" t="str">
        <f t="shared" si="122"/>
        <v/>
      </c>
      <c r="AV139" s="3" t="str">
        <f t="shared" si="122"/>
        <v/>
      </c>
      <c r="AW139" s="3" t="str">
        <f t="shared" si="124"/>
        <v>X</v>
      </c>
      <c r="AX139" s="3" t="str">
        <f t="shared" si="125"/>
        <v>X</v>
      </c>
      <c r="AY139" s="3" t="str">
        <f t="shared" si="126"/>
        <v/>
      </c>
      <c r="AZ139" s="3" t="str">
        <f t="shared" si="127"/>
        <v/>
      </c>
      <c r="BA139" s="3">
        <f t="shared" si="96"/>
        <v>1904</v>
      </c>
      <c r="BB139" s="3">
        <f t="shared" si="97"/>
        <v>1905</v>
      </c>
      <c r="BC139" s="3" t="str">
        <f t="shared" si="98"/>
        <v/>
      </c>
      <c r="BD139" s="3" t="str">
        <f t="shared" si="99"/>
        <v/>
      </c>
      <c r="BE139" s="9" t="str">
        <f t="shared" si="100"/>
        <v>770</v>
      </c>
      <c r="BF139" s="9" t="str">
        <f t="shared" si="101"/>
        <v>771</v>
      </c>
      <c r="BG139" s="9" t="str">
        <f t="shared" si="102"/>
        <v/>
      </c>
      <c r="BH139" s="9" t="str">
        <f t="shared" si="103"/>
        <v/>
      </c>
      <c r="BI139" s="3" t="str">
        <f t="shared" si="104"/>
        <v/>
      </c>
      <c r="BJ139" s="3" t="str">
        <f t="shared" si="105"/>
        <v/>
      </c>
      <c r="BK139" s="3" t="str">
        <f t="shared" si="106"/>
        <v/>
      </c>
      <c r="BL139" s="3" t="str">
        <f t="shared" si="107"/>
        <v/>
      </c>
      <c r="BM139" s="3">
        <f t="shared" si="108"/>
        <v>15</v>
      </c>
      <c r="BN139" s="3">
        <f t="shared" si="109"/>
        <v>7</v>
      </c>
      <c r="BO139" s="3" t="str">
        <f t="shared" si="110"/>
        <v/>
      </c>
      <c r="BP139" s="3" t="str">
        <f t="shared" si="111"/>
        <v/>
      </c>
      <c r="BQ139" s="3" t="str">
        <f t="shared" si="112"/>
        <v>(15 downto 8)</v>
      </c>
      <c r="BR139" s="3" t="str">
        <f t="shared" si="113"/>
        <v>(7 downto 0)</v>
      </c>
      <c r="BS139" s="3" t="str">
        <f t="shared" si="114"/>
        <v/>
      </c>
      <c r="BT139" s="3" t="str">
        <f t="shared" si="115"/>
        <v/>
      </c>
    </row>
    <row r="140" spans="2:72" x14ac:dyDescent="0.25">
      <c r="B140" s="3" t="s">
        <v>360</v>
      </c>
      <c r="C140" s="3" t="s">
        <v>485</v>
      </c>
      <c r="D140" s="3" t="s">
        <v>1</v>
      </c>
      <c r="E140" s="3" t="s">
        <v>1062</v>
      </c>
      <c r="F140" s="3" t="s">
        <v>128</v>
      </c>
      <c r="G140" s="3" t="s">
        <v>937</v>
      </c>
      <c r="H140" s="3" t="s">
        <v>238</v>
      </c>
      <c r="I140" s="3" t="s">
        <v>24</v>
      </c>
      <c r="J140" s="3">
        <v>16</v>
      </c>
      <c r="K140" s="3" t="s">
        <v>23</v>
      </c>
      <c r="L140" s="3" t="s">
        <v>23</v>
      </c>
      <c r="M140" s="3">
        <v>476</v>
      </c>
      <c r="N140" s="3" t="str">
        <f t="shared" si="116"/>
        <v>1DC</v>
      </c>
      <c r="O140" s="3">
        <v>15</v>
      </c>
      <c r="P140" s="3">
        <v>0</v>
      </c>
      <c r="Q140" s="3" t="str">
        <f t="shared" si="123"/>
        <v/>
      </c>
      <c r="R140" s="3" t="str">
        <f t="shared" si="123"/>
        <v/>
      </c>
      <c r="S140" s="3" t="str">
        <f t="shared" si="123"/>
        <v/>
      </c>
      <c r="T140" s="3" t="str">
        <f t="shared" si="123"/>
        <v/>
      </c>
      <c r="U140" s="3" t="str">
        <f t="shared" si="123"/>
        <v/>
      </c>
      <c r="V140" s="3" t="str">
        <f t="shared" si="123"/>
        <v/>
      </c>
      <c r="W140" s="3" t="str">
        <f t="shared" si="123"/>
        <v/>
      </c>
      <c r="X140" s="3" t="str">
        <f t="shared" si="123"/>
        <v/>
      </c>
      <c r="Y140" s="3" t="str">
        <f t="shared" si="123"/>
        <v/>
      </c>
      <c r="Z140" s="3" t="str">
        <f t="shared" si="123"/>
        <v/>
      </c>
      <c r="AA140" s="3" t="str">
        <f t="shared" si="123"/>
        <v/>
      </c>
      <c r="AB140" s="3" t="str">
        <f t="shared" si="123"/>
        <v/>
      </c>
      <c r="AC140" s="3" t="str">
        <f t="shared" si="123"/>
        <v/>
      </c>
      <c r="AD140" s="3" t="str">
        <f t="shared" si="123"/>
        <v/>
      </c>
      <c r="AE140" s="3" t="str">
        <f t="shared" si="123"/>
        <v/>
      </c>
      <c r="AF140" s="3" t="str">
        <f t="shared" si="123"/>
        <v/>
      </c>
      <c r="AG140" s="3" t="str">
        <f t="shared" si="121"/>
        <v>X</v>
      </c>
      <c r="AH140" s="3" t="str">
        <f t="shared" si="122"/>
        <v>X</v>
      </c>
      <c r="AI140" s="3" t="str">
        <f t="shared" si="122"/>
        <v>X</v>
      </c>
      <c r="AJ140" s="3" t="str">
        <f t="shared" si="122"/>
        <v>X</v>
      </c>
      <c r="AK140" s="3" t="str">
        <f t="shared" si="122"/>
        <v>X</v>
      </c>
      <c r="AL140" s="3" t="str">
        <f t="shared" si="122"/>
        <v>X</v>
      </c>
      <c r="AM140" s="3" t="str">
        <f t="shared" si="122"/>
        <v>X</v>
      </c>
      <c r="AN140" s="3" t="str">
        <f t="shared" si="122"/>
        <v>X</v>
      </c>
      <c r="AO140" s="3" t="str">
        <f t="shared" si="122"/>
        <v>X</v>
      </c>
      <c r="AP140" s="3" t="str">
        <f t="shared" si="122"/>
        <v>X</v>
      </c>
      <c r="AQ140" s="3" t="str">
        <f t="shared" si="122"/>
        <v>X</v>
      </c>
      <c r="AR140" s="3" t="str">
        <f t="shared" si="122"/>
        <v>X</v>
      </c>
      <c r="AS140" s="3" t="str">
        <f t="shared" si="122"/>
        <v>X</v>
      </c>
      <c r="AT140" s="3" t="str">
        <f t="shared" si="122"/>
        <v>X</v>
      </c>
      <c r="AU140" s="3" t="str">
        <f t="shared" si="122"/>
        <v>X</v>
      </c>
      <c r="AV140" s="3" t="str">
        <f t="shared" si="122"/>
        <v>X</v>
      </c>
      <c r="AW140" s="3" t="str">
        <f t="shared" si="124"/>
        <v/>
      </c>
      <c r="AX140" s="3" t="str">
        <f t="shared" si="125"/>
        <v/>
      </c>
      <c r="AY140" s="3" t="str">
        <f t="shared" si="126"/>
        <v>X</v>
      </c>
      <c r="AZ140" s="3" t="str">
        <f t="shared" si="127"/>
        <v>X</v>
      </c>
      <c r="BA140" s="3" t="str">
        <f t="shared" si="96"/>
        <v/>
      </c>
      <c r="BB140" s="3" t="str">
        <f t="shared" si="97"/>
        <v/>
      </c>
      <c r="BC140" s="3">
        <f t="shared" si="98"/>
        <v>1906</v>
      </c>
      <c r="BD140" s="3">
        <f t="shared" si="99"/>
        <v>1907</v>
      </c>
      <c r="BE140" s="9" t="str">
        <f t="shared" si="100"/>
        <v/>
      </c>
      <c r="BF140" s="9" t="str">
        <f t="shared" si="101"/>
        <v/>
      </c>
      <c r="BG140" s="9" t="str">
        <f t="shared" si="102"/>
        <v>772</v>
      </c>
      <c r="BH140" s="9" t="str">
        <f t="shared" si="103"/>
        <v>773</v>
      </c>
      <c r="BI140" s="3" t="str">
        <f t="shared" si="104"/>
        <v/>
      </c>
      <c r="BJ140" s="3" t="str">
        <f t="shared" si="105"/>
        <v/>
      </c>
      <c r="BK140" s="3" t="str">
        <f t="shared" si="106"/>
        <v/>
      </c>
      <c r="BL140" s="3" t="str">
        <f t="shared" si="107"/>
        <v/>
      </c>
      <c r="BM140" s="3" t="str">
        <f t="shared" si="108"/>
        <v/>
      </c>
      <c r="BN140" s="3" t="str">
        <f t="shared" si="109"/>
        <v/>
      </c>
      <c r="BO140" s="3">
        <f t="shared" si="110"/>
        <v>15</v>
      </c>
      <c r="BP140" s="3">
        <f t="shared" si="111"/>
        <v>7</v>
      </c>
      <c r="BQ140" s="3" t="str">
        <f t="shared" si="112"/>
        <v/>
      </c>
      <c r="BR140" s="3" t="str">
        <f t="shared" si="113"/>
        <v/>
      </c>
      <c r="BS140" s="3" t="str">
        <f t="shared" si="114"/>
        <v>(15 downto 8)</v>
      </c>
      <c r="BT140" s="3" t="str">
        <f t="shared" si="115"/>
        <v>(7 downto 0)</v>
      </c>
    </row>
    <row r="141" spans="2:72" x14ac:dyDescent="0.25">
      <c r="B141" s="3" t="s">
        <v>361</v>
      </c>
      <c r="C141" s="3" t="s">
        <v>486</v>
      </c>
      <c r="D141" s="3" t="s">
        <v>1</v>
      </c>
      <c r="E141" s="3" t="s">
        <v>1062</v>
      </c>
      <c r="F141" s="3" t="s">
        <v>129</v>
      </c>
      <c r="G141" s="3" t="s">
        <v>938</v>
      </c>
      <c r="H141" s="3" t="s">
        <v>239</v>
      </c>
      <c r="I141" s="3" t="s">
        <v>24</v>
      </c>
      <c r="J141" s="3">
        <v>16</v>
      </c>
      <c r="K141" s="3" t="s">
        <v>23</v>
      </c>
      <c r="L141" s="3" t="s">
        <v>23</v>
      </c>
      <c r="M141" s="3">
        <v>477</v>
      </c>
      <c r="N141" s="3" t="str">
        <f t="shared" si="116"/>
        <v>1DD</v>
      </c>
      <c r="O141" s="3">
        <v>31</v>
      </c>
      <c r="P141" s="3">
        <v>16</v>
      </c>
      <c r="Q141" s="3" t="str">
        <f t="shared" si="123"/>
        <v>X</v>
      </c>
      <c r="R141" s="3" t="str">
        <f t="shared" si="123"/>
        <v>X</v>
      </c>
      <c r="S141" s="3" t="str">
        <f t="shared" si="123"/>
        <v>X</v>
      </c>
      <c r="T141" s="3" t="str">
        <f t="shared" si="123"/>
        <v>X</v>
      </c>
      <c r="U141" s="3" t="str">
        <f t="shared" si="123"/>
        <v>X</v>
      </c>
      <c r="V141" s="3" t="str">
        <f t="shared" si="123"/>
        <v>X</v>
      </c>
      <c r="W141" s="3" t="str">
        <f t="shared" si="123"/>
        <v>X</v>
      </c>
      <c r="X141" s="3" t="str">
        <f t="shared" si="123"/>
        <v>X</v>
      </c>
      <c r="Y141" s="3" t="str">
        <f t="shared" si="123"/>
        <v>X</v>
      </c>
      <c r="Z141" s="3" t="str">
        <f t="shared" si="123"/>
        <v>X</v>
      </c>
      <c r="AA141" s="3" t="str">
        <f t="shared" si="123"/>
        <v>X</v>
      </c>
      <c r="AB141" s="3" t="str">
        <f t="shared" si="123"/>
        <v>X</v>
      </c>
      <c r="AC141" s="3" t="str">
        <f t="shared" si="123"/>
        <v>X</v>
      </c>
      <c r="AD141" s="3" t="str">
        <f t="shared" si="123"/>
        <v>X</v>
      </c>
      <c r="AE141" s="3" t="str">
        <f t="shared" si="123"/>
        <v>X</v>
      </c>
      <c r="AF141" s="3" t="str">
        <f t="shared" si="123"/>
        <v>X</v>
      </c>
      <c r="AG141" s="3" t="str">
        <f t="shared" si="121"/>
        <v/>
      </c>
      <c r="AH141" s="3" t="str">
        <f t="shared" si="122"/>
        <v/>
      </c>
      <c r="AI141" s="3" t="str">
        <f t="shared" si="122"/>
        <v/>
      </c>
      <c r="AJ141" s="3" t="str">
        <f t="shared" si="122"/>
        <v/>
      </c>
      <c r="AK141" s="3" t="str">
        <f t="shared" si="122"/>
        <v/>
      </c>
      <c r="AL141" s="3" t="str">
        <f t="shared" si="122"/>
        <v/>
      </c>
      <c r="AM141" s="3" t="str">
        <f t="shared" si="122"/>
        <v/>
      </c>
      <c r="AN141" s="3" t="str">
        <f t="shared" si="122"/>
        <v/>
      </c>
      <c r="AO141" s="3" t="str">
        <f t="shared" si="122"/>
        <v/>
      </c>
      <c r="AP141" s="3" t="str">
        <f t="shared" si="122"/>
        <v/>
      </c>
      <c r="AQ141" s="3" t="str">
        <f t="shared" si="122"/>
        <v/>
      </c>
      <c r="AR141" s="3" t="str">
        <f t="shared" si="122"/>
        <v/>
      </c>
      <c r="AS141" s="3" t="str">
        <f t="shared" si="122"/>
        <v/>
      </c>
      <c r="AT141" s="3" t="str">
        <f t="shared" si="122"/>
        <v/>
      </c>
      <c r="AU141" s="3" t="str">
        <f t="shared" si="122"/>
        <v/>
      </c>
      <c r="AV141" s="3" t="str">
        <f t="shared" si="122"/>
        <v/>
      </c>
      <c r="AW141" s="3" t="str">
        <f t="shared" si="124"/>
        <v>X</v>
      </c>
      <c r="AX141" s="3" t="str">
        <f t="shared" si="125"/>
        <v>X</v>
      </c>
      <c r="AY141" s="3" t="str">
        <f t="shared" si="126"/>
        <v/>
      </c>
      <c r="AZ141" s="3" t="str">
        <f t="shared" si="127"/>
        <v/>
      </c>
      <c r="BA141" s="3">
        <f t="shared" si="96"/>
        <v>1908</v>
      </c>
      <c r="BB141" s="3">
        <f t="shared" si="97"/>
        <v>1909</v>
      </c>
      <c r="BC141" s="3" t="str">
        <f t="shared" si="98"/>
        <v/>
      </c>
      <c r="BD141" s="3" t="str">
        <f t="shared" si="99"/>
        <v/>
      </c>
      <c r="BE141" s="9" t="str">
        <f t="shared" si="100"/>
        <v>774</v>
      </c>
      <c r="BF141" s="9" t="str">
        <f t="shared" si="101"/>
        <v>775</v>
      </c>
      <c r="BG141" s="9" t="str">
        <f t="shared" si="102"/>
        <v/>
      </c>
      <c r="BH141" s="9" t="str">
        <f t="shared" si="103"/>
        <v/>
      </c>
      <c r="BI141" s="3" t="str">
        <f t="shared" si="104"/>
        <v/>
      </c>
      <c r="BJ141" s="3" t="str">
        <f t="shared" si="105"/>
        <v/>
      </c>
      <c r="BK141" s="3" t="str">
        <f t="shared" si="106"/>
        <v/>
      </c>
      <c r="BL141" s="3" t="str">
        <f t="shared" si="107"/>
        <v/>
      </c>
      <c r="BM141" s="3">
        <f t="shared" si="108"/>
        <v>15</v>
      </c>
      <c r="BN141" s="3">
        <f t="shared" si="109"/>
        <v>7</v>
      </c>
      <c r="BO141" s="3" t="str">
        <f t="shared" si="110"/>
        <v/>
      </c>
      <c r="BP141" s="3" t="str">
        <f t="shared" si="111"/>
        <v/>
      </c>
      <c r="BQ141" s="3" t="str">
        <f t="shared" si="112"/>
        <v>(15 downto 8)</v>
      </c>
      <c r="BR141" s="3" t="str">
        <f t="shared" si="113"/>
        <v>(7 downto 0)</v>
      </c>
      <c r="BS141" s="3" t="str">
        <f t="shared" si="114"/>
        <v/>
      </c>
      <c r="BT141" s="3" t="str">
        <f t="shared" si="115"/>
        <v/>
      </c>
    </row>
    <row r="142" spans="2:72" x14ac:dyDescent="0.25">
      <c r="B142" s="3" t="s">
        <v>361</v>
      </c>
      <c r="C142" s="3" t="s">
        <v>487</v>
      </c>
      <c r="D142" s="3" t="s">
        <v>1</v>
      </c>
      <c r="E142" s="3" t="s">
        <v>1062</v>
      </c>
      <c r="F142" s="3" t="s">
        <v>129</v>
      </c>
      <c r="G142" s="3" t="s">
        <v>938</v>
      </c>
      <c r="H142" s="3" t="s">
        <v>240</v>
      </c>
      <c r="I142" s="3" t="s">
        <v>24</v>
      </c>
      <c r="J142" s="3">
        <v>16</v>
      </c>
      <c r="K142" s="3" t="s">
        <v>23</v>
      </c>
      <c r="L142" s="3" t="s">
        <v>23</v>
      </c>
      <c r="M142" s="3">
        <v>477</v>
      </c>
      <c r="N142" s="3" t="str">
        <f t="shared" si="116"/>
        <v>1DD</v>
      </c>
      <c r="O142" s="3">
        <v>15</v>
      </c>
      <c r="P142" s="3">
        <v>0</v>
      </c>
      <c r="Q142" s="3" t="str">
        <f t="shared" si="123"/>
        <v/>
      </c>
      <c r="R142" s="3" t="str">
        <f t="shared" si="123"/>
        <v/>
      </c>
      <c r="S142" s="3" t="str">
        <f t="shared" si="123"/>
        <v/>
      </c>
      <c r="T142" s="3" t="str">
        <f t="shared" si="123"/>
        <v/>
      </c>
      <c r="U142" s="3" t="str">
        <f t="shared" si="123"/>
        <v/>
      </c>
      <c r="V142" s="3" t="str">
        <f t="shared" si="123"/>
        <v/>
      </c>
      <c r="W142" s="3" t="str">
        <f t="shared" si="123"/>
        <v/>
      </c>
      <c r="X142" s="3" t="str">
        <f t="shared" si="123"/>
        <v/>
      </c>
      <c r="Y142" s="3" t="str">
        <f t="shared" si="123"/>
        <v/>
      </c>
      <c r="Z142" s="3" t="str">
        <f t="shared" si="123"/>
        <v/>
      </c>
      <c r="AA142" s="3" t="str">
        <f t="shared" si="123"/>
        <v/>
      </c>
      <c r="AB142" s="3" t="str">
        <f t="shared" si="123"/>
        <v/>
      </c>
      <c r="AC142" s="3" t="str">
        <f t="shared" si="123"/>
        <v/>
      </c>
      <c r="AD142" s="3" t="str">
        <f t="shared" si="123"/>
        <v/>
      </c>
      <c r="AE142" s="3" t="str">
        <f t="shared" si="123"/>
        <v/>
      </c>
      <c r="AF142" s="3" t="str">
        <f t="shared" si="123"/>
        <v/>
      </c>
      <c r="AG142" s="3" t="str">
        <f t="shared" si="121"/>
        <v>X</v>
      </c>
      <c r="AH142" s="3" t="str">
        <f t="shared" si="122"/>
        <v>X</v>
      </c>
      <c r="AI142" s="3" t="str">
        <f t="shared" si="122"/>
        <v>X</v>
      </c>
      <c r="AJ142" s="3" t="str">
        <f t="shared" si="122"/>
        <v>X</v>
      </c>
      <c r="AK142" s="3" t="str">
        <f t="shared" si="122"/>
        <v>X</v>
      </c>
      <c r="AL142" s="3" t="str">
        <f t="shared" si="122"/>
        <v>X</v>
      </c>
      <c r="AM142" s="3" t="str">
        <f t="shared" si="122"/>
        <v>X</v>
      </c>
      <c r="AN142" s="3" t="str">
        <f t="shared" si="122"/>
        <v>X</v>
      </c>
      <c r="AO142" s="3" t="str">
        <f t="shared" si="122"/>
        <v>X</v>
      </c>
      <c r="AP142" s="3" t="str">
        <f t="shared" si="122"/>
        <v>X</v>
      </c>
      <c r="AQ142" s="3" t="str">
        <f t="shared" si="122"/>
        <v>X</v>
      </c>
      <c r="AR142" s="3" t="str">
        <f t="shared" si="122"/>
        <v>X</v>
      </c>
      <c r="AS142" s="3" t="str">
        <f t="shared" si="122"/>
        <v>X</v>
      </c>
      <c r="AT142" s="3" t="str">
        <f t="shared" si="122"/>
        <v>X</v>
      </c>
      <c r="AU142" s="3" t="str">
        <f t="shared" si="122"/>
        <v>X</v>
      </c>
      <c r="AV142" s="3" t="str">
        <f t="shared" si="122"/>
        <v>X</v>
      </c>
      <c r="AW142" s="3" t="str">
        <f t="shared" si="124"/>
        <v/>
      </c>
      <c r="AX142" s="3" t="str">
        <f t="shared" si="125"/>
        <v/>
      </c>
      <c r="AY142" s="3" t="str">
        <f t="shared" si="126"/>
        <v>X</v>
      </c>
      <c r="AZ142" s="3" t="str">
        <f t="shared" si="127"/>
        <v>X</v>
      </c>
      <c r="BA142" s="3" t="str">
        <f t="shared" si="96"/>
        <v/>
      </c>
      <c r="BB142" s="3" t="str">
        <f t="shared" si="97"/>
        <v/>
      </c>
      <c r="BC142" s="3">
        <f t="shared" si="98"/>
        <v>1910</v>
      </c>
      <c r="BD142" s="3">
        <f t="shared" si="99"/>
        <v>1911</v>
      </c>
      <c r="BE142" s="9" t="str">
        <f t="shared" si="100"/>
        <v/>
      </c>
      <c r="BF142" s="9" t="str">
        <f t="shared" si="101"/>
        <v/>
      </c>
      <c r="BG142" s="9" t="str">
        <f t="shared" si="102"/>
        <v>776</v>
      </c>
      <c r="BH142" s="9" t="str">
        <f t="shared" si="103"/>
        <v>777</v>
      </c>
      <c r="BI142" s="3" t="str">
        <f t="shared" si="104"/>
        <v/>
      </c>
      <c r="BJ142" s="3" t="str">
        <f t="shared" si="105"/>
        <v/>
      </c>
      <c r="BK142" s="3" t="str">
        <f t="shared" si="106"/>
        <v/>
      </c>
      <c r="BL142" s="3" t="str">
        <f t="shared" si="107"/>
        <v/>
      </c>
      <c r="BM142" s="3" t="str">
        <f t="shared" si="108"/>
        <v/>
      </c>
      <c r="BN142" s="3" t="str">
        <f t="shared" si="109"/>
        <v/>
      </c>
      <c r="BO142" s="3">
        <f t="shared" si="110"/>
        <v>15</v>
      </c>
      <c r="BP142" s="3">
        <f t="shared" si="111"/>
        <v>7</v>
      </c>
      <c r="BQ142" s="3" t="str">
        <f t="shared" si="112"/>
        <v/>
      </c>
      <c r="BR142" s="3" t="str">
        <f t="shared" si="113"/>
        <v/>
      </c>
      <c r="BS142" s="3" t="str">
        <f t="shared" si="114"/>
        <v>(15 downto 8)</v>
      </c>
      <c r="BT142" s="3" t="str">
        <f t="shared" si="115"/>
        <v>(7 downto 0)</v>
      </c>
    </row>
    <row r="143" spans="2:72" x14ac:dyDescent="0.25">
      <c r="B143" s="3" t="s">
        <v>362</v>
      </c>
      <c r="C143" s="3" t="s">
        <v>488</v>
      </c>
      <c r="D143" s="3" t="s">
        <v>1</v>
      </c>
      <c r="E143" s="3" t="s">
        <v>1062</v>
      </c>
      <c r="F143" s="3" t="s">
        <v>130</v>
      </c>
      <c r="G143" s="3" t="s">
        <v>939</v>
      </c>
      <c r="H143" s="3" t="s">
        <v>241</v>
      </c>
      <c r="I143" s="3" t="s">
        <v>24</v>
      </c>
      <c r="J143" s="3">
        <v>16</v>
      </c>
      <c r="K143" s="3" t="s">
        <v>23</v>
      </c>
      <c r="L143" s="3" t="s">
        <v>23</v>
      </c>
      <c r="M143" s="3">
        <v>478</v>
      </c>
      <c r="N143" s="3" t="str">
        <f t="shared" si="116"/>
        <v>1DE</v>
      </c>
      <c r="O143" s="3">
        <v>31</v>
      </c>
      <c r="P143" s="3">
        <v>16</v>
      </c>
      <c r="Q143" s="3" t="str">
        <f t="shared" si="123"/>
        <v>X</v>
      </c>
      <c r="R143" s="3" t="str">
        <f t="shared" si="123"/>
        <v>X</v>
      </c>
      <c r="S143" s="3" t="str">
        <f t="shared" si="123"/>
        <v>X</v>
      </c>
      <c r="T143" s="3" t="str">
        <f t="shared" si="123"/>
        <v>X</v>
      </c>
      <c r="U143" s="3" t="str">
        <f t="shared" si="123"/>
        <v>X</v>
      </c>
      <c r="V143" s="3" t="str">
        <f t="shared" si="123"/>
        <v>X</v>
      </c>
      <c r="W143" s="3" t="str">
        <f t="shared" si="123"/>
        <v>X</v>
      </c>
      <c r="X143" s="3" t="str">
        <f t="shared" si="123"/>
        <v>X</v>
      </c>
      <c r="Y143" s="3" t="str">
        <f t="shared" si="123"/>
        <v>X</v>
      </c>
      <c r="Z143" s="3" t="str">
        <f t="shared" si="123"/>
        <v>X</v>
      </c>
      <c r="AA143" s="3" t="str">
        <f t="shared" si="123"/>
        <v>X</v>
      </c>
      <c r="AB143" s="3" t="str">
        <f t="shared" si="123"/>
        <v>X</v>
      </c>
      <c r="AC143" s="3" t="str">
        <f t="shared" si="123"/>
        <v>X</v>
      </c>
      <c r="AD143" s="3" t="str">
        <f t="shared" si="123"/>
        <v>X</v>
      </c>
      <c r="AE143" s="3" t="str">
        <f t="shared" si="123"/>
        <v>X</v>
      </c>
      <c r="AF143" s="3" t="str">
        <f t="shared" si="123"/>
        <v>X</v>
      </c>
      <c r="AG143" s="3" t="str">
        <f t="shared" si="121"/>
        <v/>
      </c>
      <c r="AH143" s="3" t="str">
        <f t="shared" si="122"/>
        <v/>
      </c>
      <c r="AI143" s="3" t="str">
        <f t="shared" si="122"/>
        <v/>
      </c>
      <c r="AJ143" s="3" t="str">
        <f t="shared" si="122"/>
        <v/>
      </c>
      <c r="AK143" s="3" t="str">
        <f t="shared" si="122"/>
        <v/>
      </c>
      <c r="AL143" s="3" t="str">
        <f t="shared" si="122"/>
        <v/>
      </c>
      <c r="AM143" s="3" t="str">
        <f t="shared" si="122"/>
        <v/>
      </c>
      <c r="AN143" s="3" t="str">
        <f t="shared" si="122"/>
        <v/>
      </c>
      <c r="AO143" s="3" t="str">
        <f t="shared" si="122"/>
        <v/>
      </c>
      <c r="AP143" s="3" t="str">
        <f t="shared" si="122"/>
        <v/>
      </c>
      <c r="AQ143" s="3" t="str">
        <f t="shared" si="122"/>
        <v/>
      </c>
      <c r="AR143" s="3" t="str">
        <f t="shared" ref="AH143:AV170" si="128">IF(AND($O143&gt;=AR$3,AR$3&gt;=$P143),"X","")</f>
        <v/>
      </c>
      <c r="AS143" s="3" t="str">
        <f t="shared" si="128"/>
        <v/>
      </c>
      <c r="AT143" s="3" t="str">
        <f t="shared" si="128"/>
        <v/>
      </c>
      <c r="AU143" s="3" t="str">
        <f t="shared" si="128"/>
        <v/>
      </c>
      <c r="AV143" s="3" t="str">
        <f t="shared" si="128"/>
        <v/>
      </c>
      <c r="AW143" s="3" t="str">
        <f t="shared" si="124"/>
        <v>X</v>
      </c>
      <c r="AX143" s="3" t="str">
        <f t="shared" si="125"/>
        <v>X</v>
      </c>
      <c r="AY143" s="3" t="str">
        <f t="shared" si="126"/>
        <v/>
      </c>
      <c r="AZ143" s="3" t="str">
        <f t="shared" si="127"/>
        <v/>
      </c>
      <c r="BA143" s="3">
        <f t="shared" si="96"/>
        <v>1912</v>
      </c>
      <c r="BB143" s="3">
        <f t="shared" si="97"/>
        <v>1913</v>
      </c>
      <c r="BC143" s="3" t="str">
        <f t="shared" si="98"/>
        <v/>
      </c>
      <c r="BD143" s="3" t="str">
        <f t="shared" si="99"/>
        <v/>
      </c>
      <c r="BE143" s="9" t="str">
        <f t="shared" si="100"/>
        <v>778</v>
      </c>
      <c r="BF143" s="9" t="str">
        <f t="shared" si="101"/>
        <v>779</v>
      </c>
      <c r="BG143" s="9" t="str">
        <f t="shared" si="102"/>
        <v/>
      </c>
      <c r="BH143" s="9" t="str">
        <f t="shared" si="103"/>
        <v/>
      </c>
      <c r="BI143" s="3" t="str">
        <f t="shared" si="104"/>
        <v/>
      </c>
      <c r="BJ143" s="3" t="str">
        <f t="shared" si="105"/>
        <v/>
      </c>
      <c r="BK143" s="3" t="str">
        <f t="shared" si="106"/>
        <v/>
      </c>
      <c r="BL143" s="3" t="str">
        <f t="shared" si="107"/>
        <v/>
      </c>
      <c r="BM143" s="3">
        <f t="shared" si="108"/>
        <v>15</v>
      </c>
      <c r="BN143" s="3">
        <f t="shared" si="109"/>
        <v>7</v>
      </c>
      <c r="BO143" s="3" t="str">
        <f t="shared" si="110"/>
        <v/>
      </c>
      <c r="BP143" s="3" t="str">
        <f t="shared" si="111"/>
        <v/>
      </c>
      <c r="BQ143" s="3" t="str">
        <f t="shared" si="112"/>
        <v>(15 downto 8)</v>
      </c>
      <c r="BR143" s="3" t="str">
        <f t="shared" si="113"/>
        <v>(7 downto 0)</v>
      </c>
      <c r="BS143" s="3" t="str">
        <f t="shared" si="114"/>
        <v/>
      </c>
      <c r="BT143" s="3" t="str">
        <f t="shared" si="115"/>
        <v/>
      </c>
    </row>
    <row r="144" spans="2:72" x14ac:dyDescent="0.25">
      <c r="B144" s="3" t="s">
        <v>362</v>
      </c>
      <c r="C144" s="3" t="s">
        <v>489</v>
      </c>
      <c r="D144" s="3" t="s">
        <v>1</v>
      </c>
      <c r="E144" s="3" t="s">
        <v>1062</v>
      </c>
      <c r="F144" s="3" t="s">
        <v>130</v>
      </c>
      <c r="G144" s="3" t="s">
        <v>939</v>
      </c>
      <c r="H144" s="3" t="s">
        <v>242</v>
      </c>
      <c r="I144" s="3" t="s">
        <v>24</v>
      </c>
      <c r="J144" s="3">
        <v>16</v>
      </c>
      <c r="K144" s="3" t="s">
        <v>23</v>
      </c>
      <c r="L144" s="3" t="s">
        <v>23</v>
      </c>
      <c r="M144" s="3">
        <v>478</v>
      </c>
      <c r="N144" s="3" t="str">
        <f t="shared" si="116"/>
        <v>1DE</v>
      </c>
      <c r="O144" s="3">
        <v>15</v>
      </c>
      <c r="P144" s="3">
        <v>0</v>
      </c>
      <c r="Q144" s="3" t="str">
        <f t="shared" si="123"/>
        <v/>
      </c>
      <c r="R144" s="3" t="str">
        <f t="shared" si="123"/>
        <v/>
      </c>
      <c r="S144" s="3" t="str">
        <f t="shared" si="123"/>
        <v/>
      </c>
      <c r="T144" s="3" t="str">
        <f t="shared" si="123"/>
        <v/>
      </c>
      <c r="U144" s="3" t="str">
        <f t="shared" si="123"/>
        <v/>
      </c>
      <c r="V144" s="3" t="str">
        <f t="shared" si="123"/>
        <v/>
      </c>
      <c r="W144" s="3" t="str">
        <f t="shared" si="123"/>
        <v/>
      </c>
      <c r="X144" s="3" t="str">
        <f t="shared" si="123"/>
        <v/>
      </c>
      <c r="Y144" s="3" t="str">
        <f t="shared" si="123"/>
        <v/>
      </c>
      <c r="Z144" s="3" t="str">
        <f t="shared" si="123"/>
        <v/>
      </c>
      <c r="AA144" s="3" t="str">
        <f t="shared" si="123"/>
        <v/>
      </c>
      <c r="AB144" s="3" t="str">
        <f t="shared" si="123"/>
        <v/>
      </c>
      <c r="AC144" s="3" t="str">
        <f t="shared" si="123"/>
        <v/>
      </c>
      <c r="AD144" s="3" t="str">
        <f t="shared" si="123"/>
        <v/>
      </c>
      <c r="AE144" s="3" t="str">
        <f t="shared" si="123"/>
        <v/>
      </c>
      <c r="AF144" s="3" t="str">
        <f t="shared" si="123"/>
        <v/>
      </c>
      <c r="AG144" s="3" t="str">
        <f t="shared" si="121"/>
        <v>X</v>
      </c>
      <c r="AH144" s="3" t="str">
        <f t="shared" si="128"/>
        <v>X</v>
      </c>
      <c r="AI144" s="3" t="str">
        <f t="shared" si="128"/>
        <v>X</v>
      </c>
      <c r="AJ144" s="3" t="str">
        <f t="shared" si="128"/>
        <v>X</v>
      </c>
      <c r="AK144" s="3" t="str">
        <f t="shared" si="128"/>
        <v>X</v>
      </c>
      <c r="AL144" s="3" t="str">
        <f t="shared" si="128"/>
        <v>X</v>
      </c>
      <c r="AM144" s="3" t="str">
        <f t="shared" si="128"/>
        <v>X</v>
      </c>
      <c r="AN144" s="3" t="str">
        <f t="shared" si="128"/>
        <v>X</v>
      </c>
      <c r="AO144" s="3" t="str">
        <f t="shared" si="128"/>
        <v>X</v>
      </c>
      <c r="AP144" s="3" t="str">
        <f t="shared" si="128"/>
        <v>X</v>
      </c>
      <c r="AQ144" s="3" t="str">
        <f t="shared" si="128"/>
        <v>X</v>
      </c>
      <c r="AR144" s="3" t="str">
        <f t="shared" si="128"/>
        <v>X</v>
      </c>
      <c r="AS144" s="3" t="str">
        <f t="shared" si="128"/>
        <v>X</v>
      </c>
      <c r="AT144" s="3" t="str">
        <f t="shared" si="128"/>
        <v>X</v>
      </c>
      <c r="AU144" s="3" t="str">
        <f t="shared" si="128"/>
        <v>X</v>
      </c>
      <c r="AV144" s="3" t="str">
        <f t="shared" si="128"/>
        <v>X</v>
      </c>
      <c r="AW144" s="3" t="str">
        <f t="shared" si="124"/>
        <v/>
      </c>
      <c r="AX144" s="3" t="str">
        <f t="shared" si="125"/>
        <v/>
      </c>
      <c r="AY144" s="3" t="str">
        <f t="shared" si="126"/>
        <v>X</v>
      </c>
      <c r="AZ144" s="3" t="str">
        <f t="shared" si="127"/>
        <v>X</v>
      </c>
      <c r="BA144" s="3" t="str">
        <f t="shared" si="96"/>
        <v/>
      </c>
      <c r="BB144" s="3" t="str">
        <f t="shared" si="97"/>
        <v/>
      </c>
      <c r="BC144" s="3">
        <f t="shared" si="98"/>
        <v>1914</v>
      </c>
      <c r="BD144" s="3">
        <f t="shared" si="99"/>
        <v>1915</v>
      </c>
      <c r="BE144" s="9" t="str">
        <f t="shared" si="100"/>
        <v/>
      </c>
      <c r="BF144" s="9" t="str">
        <f t="shared" si="101"/>
        <v/>
      </c>
      <c r="BG144" s="9" t="str">
        <f t="shared" si="102"/>
        <v>77A</v>
      </c>
      <c r="BH144" s="9" t="str">
        <f t="shared" si="103"/>
        <v>77B</v>
      </c>
      <c r="BI144" s="3" t="str">
        <f t="shared" si="104"/>
        <v/>
      </c>
      <c r="BJ144" s="3" t="str">
        <f t="shared" si="105"/>
        <v/>
      </c>
      <c r="BK144" s="3" t="str">
        <f t="shared" si="106"/>
        <v/>
      </c>
      <c r="BL144" s="3" t="str">
        <f t="shared" si="107"/>
        <v/>
      </c>
      <c r="BM144" s="3" t="str">
        <f t="shared" si="108"/>
        <v/>
      </c>
      <c r="BN144" s="3" t="str">
        <f t="shared" si="109"/>
        <v/>
      </c>
      <c r="BO144" s="3">
        <f t="shared" si="110"/>
        <v>15</v>
      </c>
      <c r="BP144" s="3">
        <f t="shared" si="111"/>
        <v>7</v>
      </c>
      <c r="BQ144" s="3" t="str">
        <f t="shared" si="112"/>
        <v/>
      </c>
      <c r="BR144" s="3" t="str">
        <f t="shared" si="113"/>
        <v/>
      </c>
      <c r="BS144" s="3" t="str">
        <f t="shared" si="114"/>
        <v>(15 downto 8)</v>
      </c>
      <c r="BT144" s="3" t="str">
        <f t="shared" si="115"/>
        <v>(7 downto 0)</v>
      </c>
    </row>
    <row r="145" spans="2:72" x14ac:dyDescent="0.25">
      <c r="B145" s="3" t="s">
        <v>363</v>
      </c>
      <c r="C145" s="3" t="s">
        <v>490</v>
      </c>
      <c r="D145" s="3" t="s">
        <v>1</v>
      </c>
      <c r="E145" s="3" t="s">
        <v>1062</v>
      </c>
      <c r="F145" s="3" t="s">
        <v>131</v>
      </c>
      <c r="G145" s="3" t="s">
        <v>940</v>
      </c>
      <c r="H145" s="3" t="s">
        <v>243</v>
      </c>
      <c r="I145" s="3" t="s">
        <v>24</v>
      </c>
      <c r="J145" s="3">
        <v>16</v>
      </c>
      <c r="K145" s="3" t="s">
        <v>23</v>
      </c>
      <c r="L145" s="3" t="s">
        <v>23</v>
      </c>
      <c r="M145" s="3">
        <v>479</v>
      </c>
      <c r="N145" s="3" t="str">
        <f t="shared" si="116"/>
        <v>1DF</v>
      </c>
      <c r="O145" s="3">
        <v>31</v>
      </c>
      <c r="P145" s="3">
        <v>16</v>
      </c>
      <c r="Q145" s="3" t="str">
        <f t="shared" si="123"/>
        <v>X</v>
      </c>
      <c r="R145" s="3" t="str">
        <f t="shared" si="123"/>
        <v>X</v>
      </c>
      <c r="S145" s="3" t="str">
        <f t="shared" si="123"/>
        <v>X</v>
      </c>
      <c r="T145" s="3" t="str">
        <f t="shared" si="123"/>
        <v>X</v>
      </c>
      <c r="U145" s="3" t="str">
        <f t="shared" si="123"/>
        <v>X</v>
      </c>
      <c r="V145" s="3" t="str">
        <f t="shared" si="123"/>
        <v>X</v>
      </c>
      <c r="W145" s="3" t="str">
        <f t="shared" si="123"/>
        <v>X</v>
      </c>
      <c r="X145" s="3" t="str">
        <f t="shared" si="123"/>
        <v>X</v>
      </c>
      <c r="Y145" s="3" t="str">
        <f t="shared" si="123"/>
        <v>X</v>
      </c>
      <c r="Z145" s="3" t="str">
        <f t="shared" si="123"/>
        <v>X</v>
      </c>
      <c r="AA145" s="3" t="str">
        <f t="shared" si="123"/>
        <v>X</v>
      </c>
      <c r="AB145" s="3" t="str">
        <f t="shared" si="123"/>
        <v>X</v>
      </c>
      <c r="AC145" s="3" t="str">
        <f t="shared" si="123"/>
        <v>X</v>
      </c>
      <c r="AD145" s="3" t="str">
        <f t="shared" si="123"/>
        <v>X</v>
      </c>
      <c r="AE145" s="3" t="str">
        <f t="shared" si="123"/>
        <v>X</v>
      </c>
      <c r="AF145" s="3" t="str">
        <f t="shared" si="123"/>
        <v>X</v>
      </c>
      <c r="AG145" s="3" t="str">
        <f t="shared" si="121"/>
        <v/>
      </c>
      <c r="AH145" s="3" t="str">
        <f t="shared" si="128"/>
        <v/>
      </c>
      <c r="AI145" s="3" t="str">
        <f t="shared" si="128"/>
        <v/>
      </c>
      <c r="AJ145" s="3" t="str">
        <f t="shared" si="128"/>
        <v/>
      </c>
      <c r="AK145" s="3" t="str">
        <f t="shared" si="128"/>
        <v/>
      </c>
      <c r="AL145" s="3" t="str">
        <f t="shared" si="128"/>
        <v/>
      </c>
      <c r="AM145" s="3" t="str">
        <f t="shared" si="128"/>
        <v/>
      </c>
      <c r="AN145" s="3" t="str">
        <f t="shared" si="128"/>
        <v/>
      </c>
      <c r="AO145" s="3" t="str">
        <f t="shared" si="128"/>
        <v/>
      </c>
      <c r="AP145" s="3" t="str">
        <f t="shared" si="128"/>
        <v/>
      </c>
      <c r="AQ145" s="3" t="str">
        <f t="shared" si="128"/>
        <v/>
      </c>
      <c r="AR145" s="3" t="str">
        <f t="shared" si="128"/>
        <v/>
      </c>
      <c r="AS145" s="3" t="str">
        <f t="shared" si="128"/>
        <v/>
      </c>
      <c r="AT145" s="3" t="str">
        <f t="shared" si="128"/>
        <v/>
      </c>
      <c r="AU145" s="3" t="str">
        <f t="shared" si="128"/>
        <v/>
      </c>
      <c r="AV145" s="3" t="str">
        <f t="shared" si="128"/>
        <v/>
      </c>
      <c r="AW145" s="3" t="str">
        <f t="shared" si="124"/>
        <v>X</v>
      </c>
      <c r="AX145" s="3" t="str">
        <f t="shared" si="125"/>
        <v>X</v>
      </c>
      <c r="AY145" s="3" t="str">
        <f t="shared" si="126"/>
        <v/>
      </c>
      <c r="AZ145" s="3" t="str">
        <f t="shared" si="127"/>
        <v/>
      </c>
      <c r="BA145" s="3">
        <f t="shared" si="96"/>
        <v>1916</v>
      </c>
      <c r="BB145" s="3">
        <f t="shared" si="97"/>
        <v>1917</v>
      </c>
      <c r="BC145" s="3" t="str">
        <f t="shared" si="98"/>
        <v/>
      </c>
      <c r="BD145" s="3" t="str">
        <f t="shared" si="99"/>
        <v/>
      </c>
      <c r="BE145" s="9" t="str">
        <f t="shared" si="100"/>
        <v>77C</v>
      </c>
      <c r="BF145" s="9" t="str">
        <f t="shared" si="101"/>
        <v>77D</v>
      </c>
      <c r="BG145" s="9" t="str">
        <f t="shared" si="102"/>
        <v/>
      </c>
      <c r="BH145" s="9" t="str">
        <f t="shared" si="103"/>
        <v/>
      </c>
      <c r="BI145" s="3" t="str">
        <f t="shared" si="104"/>
        <v/>
      </c>
      <c r="BJ145" s="3" t="str">
        <f t="shared" si="105"/>
        <v/>
      </c>
      <c r="BK145" s="3" t="str">
        <f t="shared" si="106"/>
        <v/>
      </c>
      <c r="BL145" s="3" t="str">
        <f t="shared" si="107"/>
        <v/>
      </c>
      <c r="BM145" s="3">
        <f t="shared" si="108"/>
        <v>15</v>
      </c>
      <c r="BN145" s="3">
        <f t="shared" si="109"/>
        <v>7</v>
      </c>
      <c r="BO145" s="3" t="str">
        <f t="shared" si="110"/>
        <v/>
      </c>
      <c r="BP145" s="3" t="str">
        <f t="shared" si="111"/>
        <v/>
      </c>
      <c r="BQ145" s="3" t="str">
        <f t="shared" si="112"/>
        <v>(15 downto 8)</v>
      </c>
      <c r="BR145" s="3" t="str">
        <f t="shared" si="113"/>
        <v>(7 downto 0)</v>
      </c>
      <c r="BS145" s="3" t="str">
        <f t="shared" si="114"/>
        <v/>
      </c>
      <c r="BT145" s="3" t="str">
        <f t="shared" si="115"/>
        <v/>
      </c>
    </row>
    <row r="146" spans="2:72" x14ac:dyDescent="0.25">
      <c r="B146" s="3" t="s">
        <v>363</v>
      </c>
      <c r="C146" s="3" t="s">
        <v>491</v>
      </c>
      <c r="D146" s="3" t="s">
        <v>1</v>
      </c>
      <c r="E146" s="3" t="s">
        <v>1062</v>
      </c>
      <c r="F146" s="3" t="s">
        <v>131</v>
      </c>
      <c r="G146" s="3" t="s">
        <v>940</v>
      </c>
      <c r="H146" s="3" t="s">
        <v>244</v>
      </c>
      <c r="I146" s="3" t="s">
        <v>24</v>
      </c>
      <c r="J146" s="3">
        <v>16</v>
      </c>
      <c r="K146" s="3" t="s">
        <v>23</v>
      </c>
      <c r="L146" s="3" t="s">
        <v>23</v>
      </c>
      <c r="M146" s="3">
        <v>479</v>
      </c>
      <c r="N146" s="3" t="str">
        <f t="shared" si="116"/>
        <v>1DF</v>
      </c>
      <c r="O146" s="3">
        <v>15</v>
      </c>
      <c r="P146" s="3">
        <v>0</v>
      </c>
      <c r="Q146" s="3" t="str">
        <f t="shared" si="123"/>
        <v/>
      </c>
      <c r="R146" s="3" t="str">
        <f t="shared" si="123"/>
        <v/>
      </c>
      <c r="S146" s="3" t="str">
        <f t="shared" si="123"/>
        <v/>
      </c>
      <c r="T146" s="3" t="str">
        <f t="shared" si="123"/>
        <v/>
      </c>
      <c r="U146" s="3" t="str">
        <f t="shared" si="123"/>
        <v/>
      </c>
      <c r="V146" s="3" t="str">
        <f t="shared" si="123"/>
        <v/>
      </c>
      <c r="W146" s="3" t="str">
        <f t="shared" si="123"/>
        <v/>
      </c>
      <c r="X146" s="3" t="str">
        <f t="shared" si="123"/>
        <v/>
      </c>
      <c r="Y146" s="3" t="str">
        <f t="shared" si="123"/>
        <v/>
      </c>
      <c r="Z146" s="3" t="str">
        <f t="shared" si="123"/>
        <v/>
      </c>
      <c r="AA146" s="3" t="str">
        <f t="shared" si="123"/>
        <v/>
      </c>
      <c r="AB146" s="3" t="str">
        <f t="shared" si="123"/>
        <v/>
      </c>
      <c r="AC146" s="3" t="str">
        <f t="shared" si="123"/>
        <v/>
      </c>
      <c r="AD146" s="3" t="str">
        <f t="shared" si="123"/>
        <v/>
      </c>
      <c r="AE146" s="3" t="str">
        <f t="shared" si="123"/>
        <v/>
      </c>
      <c r="AF146" s="3" t="str">
        <f t="shared" si="123"/>
        <v/>
      </c>
      <c r="AG146" s="3" t="str">
        <f t="shared" si="121"/>
        <v>X</v>
      </c>
      <c r="AH146" s="3" t="str">
        <f t="shared" si="128"/>
        <v>X</v>
      </c>
      <c r="AI146" s="3" t="str">
        <f t="shared" si="128"/>
        <v>X</v>
      </c>
      <c r="AJ146" s="3" t="str">
        <f t="shared" si="128"/>
        <v>X</v>
      </c>
      <c r="AK146" s="3" t="str">
        <f t="shared" si="128"/>
        <v>X</v>
      </c>
      <c r="AL146" s="3" t="str">
        <f t="shared" si="128"/>
        <v>X</v>
      </c>
      <c r="AM146" s="3" t="str">
        <f t="shared" si="128"/>
        <v>X</v>
      </c>
      <c r="AN146" s="3" t="str">
        <f t="shared" si="128"/>
        <v>X</v>
      </c>
      <c r="AO146" s="3" t="str">
        <f t="shared" si="128"/>
        <v>X</v>
      </c>
      <c r="AP146" s="3" t="str">
        <f t="shared" si="128"/>
        <v>X</v>
      </c>
      <c r="AQ146" s="3" t="str">
        <f t="shared" si="128"/>
        <v>X</v>
      </c>
      <c r="AR146" s="3" t="str">
        <f t="shared" si="128"/>
        <v>X</v>
      </c>
      <c r="AS146" s="3" t="str">
        <f t="shared" si="128"/>
        <v>X</v>
      </c>
      <c r="AT146" s="3" t="str">
        <f t="shared" si="128"/>
        <v>X</v>
      </c>
      <c r="AU146" s="3" t="str">
        <f t="shared" si="128"/>
        <v>X</v>
      </c>
      <c r="AV146" s="3" t="str">
        <f t="shared" si="128"/>
        <v>X</v>
      </c>
      <c r="AW146" s="3" t="str">
        <f t="shared" si="124"/>
        <v/>
      </c>
      <c r="AX146" s="3" t="str">
        <f t="shared" si="125"/>
        <v/>
      </c>
      <c r="AY146" s="3" t="str">
        <f t="shared" si="126"/>
        <v>X</v>
      </c>
      <c r="AZ146" s="3" t="str">
        <f t="shared" si="127"/>
        <v>X</v>
      </c>
      <c r="BA146" s="3" t="str">
        <f t="shared" si="96"/>
        <v/>
      </c>
      <c r="BB146" s="3" t="str">
        <f t="shared" si="97"/>
        <v/>
      </c>
      <c r="BC146" s="3">
        <f t="shared" si="98"/>
        <v>1918</v>
      </c>
      <c r="BD146" s="3">
        <f t="shared" si="99"/>
        <v>1919</v>
      </c>
      <c r="BE146" s="9" t="str">
        <f t="shared" si="100"/>
        <v/>
      </c>
      <c r="BF146" s="9" t="str">
        <f t="shared" si="101"/>
        <v/>
      </c>
      <c r="BG146" s="9" t="str">
        <f t="shared" si="102"/>
        <v>77E</v>
      </c>
      <c r="BH146" s="9" t="str">
        <f t="shared" si="103"/>
        <v>77F</v>
      </c>
      <c r="BI146" s="3" t="str">
        <f t="shared" si="104"/>
        <v/>
      </c>
      <c r="BJ146" s="3" t="str">
        <f t="shared" si="105"/>
        <v/>
      </c>
      <c r="BK146" s="3" t="str">
        <f t="shared" si="106"/>
        <v/>
      </c>
      <c r="BL146" s="3" t="str">
        <f t="shared" si="107"/>
        <v/>
      </c>
      <c r="BM146" s="3" t="str">
        <f t="shared" si="108"/>
        <v/>
      </c>
      <c r="BN146" s="3" t="str">
        <f t="shared" si="109"/>
        <v/>
      </c>
      <c r="BO146" s="3">
        <f t="shared" si="110"/>
        <v>15</v>
      </c>
      <c r="BP146" s="3">
        <f t="shared" si="111"/>
        <v>7</v>
      </c>
      <c r="BQ146" s="3" t="str">
        <f t="shared" si="112"/>
        <v/>
      </c>
      <c r="BR146" s="3" t="str">
        <f t="shared" si="113"/>
        <v/>
      </c>
      <c r="BS146" s="3" t="str">
        <f t="shared" si="114"/>
        <v>(15 downto 8)</v>
      </c>
      <c r="BT146" s="3" t="str">
        <f t="shared" si="115"/>
        <v>(7 downto 0)</v>
      </c>
    </row>
    <row r="147" spans="2:72" x14ac:dyDescent="0.25">
      <c r="B147" s="3" t="s">
        <v>364</v>
      </c>
      <c r="C147" s="3" t="s">
        <v>492</v>
      </c>
      <c r="D147" s="3" t="s">
        <v>0</v>
      </c>
      <c r="E147" s="3" t="s">
        <v>1063</v>
      </c>
      <c r="F147" s="3" t="s">
        <v>132</v>
      </c>
      <c r="G147" s="3" t="s">
        <v>289</v>
      </c>
      <c r="H147" s="3" t="s">
        <v>256</v>
      </c>
      <c r="I147" s="3" t="s">
        <v>24</v>
      </c>
      <c r="J147" s="3">
        <v>8</v>
      </c>
      <c r="K147" s="3" t="s">
        <v>23</v>
      </c>
      <c r="L147" s="3" t="s">
        <v>23</v>
      </c>
      <c r="M147" s="3">
        <v>480</v>
      </c>
      <c r="N147" s="3" t="str">
        <f t="shared" si="116"/>
        <v>1E0</v>
      </c>
      <c r="O147" s="3">
        <v>23</v>
      </c>
      <c r="P147" s="3">
        <v>16</v>
      </c>
      <c r="Q147" s="3" t="str">
        <f t="shared" si="123"/>
        <v/>
      </c>
      <c r="R147" s="3" t="str">
        <f t="shared" si="123"/>
        <v/>
      </c>
      <c r="S147" s="3" t="str">
        <f t="shared" si="123"/>
        <v/>
      </c>
      <c r="T147" s="3" t="str">
        <f t="shared" si="123"/>
        <v/>
      </c>
      <c r="U147" s="3" t="str">
        <f t="shared" si="123"/>
        <v/>
      </c>
      <c r="V147" s="3" t="str">
        <f t="shared" si="123"/>
        <v/>
      </c>
      <c r="W147" s="3" t="str">
        <f t="shared" si="123"/>
        <v/>
      </c>
      <c r="X147" s="3" t="str">
        <f t="shared" si="123"/>
        <v/>
      </c>
      <c r="Y147" s="3" t="str">
        <f t="shared" si="123"/>
        <v>X</v>
      </c>
      <c r="Z147" s="3" t="str">
        <f t="shared" si="123"/>
        <v>X</v>
      </c>
      <c r="AA147" s="3" t="str">
        <f t="shared" si="123"/>
        <v>X</v>
      </c>
      <c r="AB147" s="3" t="str">
        <f t="shared" si="123"/>
        <v>X</v>
      </c>
      <c r="AC147" s="3" t="str">
        <f t="shared" si="123"/>
        <v>X</v>
      </c>
      <c r="AD147" s="3" t="str">
        <f t="shared" si="123"/>
        <v>X</v>
      </c>
      <c r="AE147" s="3" t="str">
        <f t="shared" si="123"/>
        <v>X</v>
      </c>
      <c r="AF147" s="3" t="str">
        <f t="shared" si="123"/>
        <v>X</v>
      </c>
      <c r="AG147" s="3" t="str">
        <f t="shared" si="121"/>
        <v/>
      </c>
      <c r="AH147" s="3" t="str">
        <f t="shared" si="128"/>
        <v/>
      </c>
      <c r="AI147" s="3" t="str">
        <f t="shared" si="128"/>
        <v/>
      </c>
      <c r="AJ147" s="3" t="str">
        <f t="shared" si="128"/>
        <v/>
      </c>
      <c r="AK147" s="3" t="str">
        <f t="shared" si="128"/>
        <v/>
      </c>
      <c r="AL147" s="3" t="str">
        <f t="shared" si="128"/>
        <v/>
      </c>
      <c r="AM147" s="3" t="str">
        <f t="shared" si="128"/>
        <v/>
      </c>
      <c r="AN147" s="3" t="str">
        <f t="shared" si="128"/>
        <v/>
      </c>
      <c r="AO147" s="3" t="str">
        <f t="shared" si="128"/>
        <v/>
      </c>
      <c r="AP147" s="3" t="str">
        <f t="shared" si="128"/>
        <v/>
      </c>
      <c r="AQ147" s="3" t="str">
        <f t="shared" si="128"/>
        <v/>
      </c>
      <c r="AR147" s="3" t="str">
        <f t="shared" si="128"/>
        <v/>
      </c>
      <c r="AS147" s="3" t="str">
        <f t="shared" si="128"/>
        <v/>
      </c>
      <c r="AT147" s="3" t="str">
        <f t="shared" si="128"/>
        <v/>
      </c>
      <c r="AU147" s="3" t="str">
        <f t="shared" si="128"/>
        <v/>
      </c>
      <c r="AV147" s="3" t="str">
        <f t="shared" si="128"/>
        <v/>
      </c>
      <c r="AW147" s="3" t="str">
        <f t="shared" si="124"/>
        <v/>
      </c>
      <c r="AX147" s="3" t="str">
        <f t="shared" si="125"/>
        <v>X</v>
      </c>
      <c r="AY147" s="3" t="str">
        <f t="shared" si="126"/>
        <v/>
      </c>
      <c r="AZ147" s="3" t="str">
        <f t="shared" si="127"/>
        <v/>
      </c>
      <c r="BA147" s="3" t="str">
        <f t="shared" si="96"/>
        <v/>
      </c>
      <c r="BB147" s="3">
        <f t="shared" si="97"/>
        <v>1921</v>
      </c>
      <c r="BC147" s="3" t="str">
        <f t="shared" si="98"/>
        <v/>
      </c>
      <c r="BD147" s="3" t="str">
        <f t="shared" si="99"/>
        <v/>
      </c>
      <c r="BE147" s="9" t="str">
        <f t="shared" si="100"/>
        <v/>
      </c>
      <c r="BF147" s="9" t="str">
        <f t="shared" si="101"/>
        <v>781</v>
      </c>
      <c r="BG147" s="9" t="str">
        <f t="shared" si="102"/>
        <v/>
      </c>
      <c r="BH147" s="9" t="str">
        <f t="shared" si="103"/>
        <v/>
      </c>
      <c r="BI147" s="3" t="str">
        <f t="shared" si="104"/>
        <v/>
      </c>
      <c r="BJ147" s="3" t="str">
        <f t="shared" si="105"/>
        <v/>
      </c>
      <c r="BK147" s="3" t="str">
        <f t="shared" si="106"/>
        <v/>
      </c>
      <c r="BL147" s="3" t="str">
        <f t="shared" si="107"/>
        <v/>
      </c>
      <c r="BM147" s="3" t="str">
        <f t="shared" si="108"/>
        <v/>
      </c>
      <c r="BN147" s="3">
        <f t="shared" si="109"/>
        <v>7</v>
      </c>
      <c r="BO147" s="3" t="str">
        <f t="shared" si="110"/>
        <v/>
      </c>
      <c r="BP147" s="3" t="str">
        <f t="shared" si="111"/>
        <v/>
      </c>
      <c r="BQ147" s="3" t="str">
        <f t="shared" si="112"/>
        <v/>
      </c>
      <c r="BR147" s="3" t="str">
        <f t="shared" si="113"/>
        <v/>
      </c>
      <c r="BS147" s="3" t="str">
        <f t="shared" si="114"/>
        <v/>
      </c>
      <c r="BT147" s="3" t="str">
        <f t="shared" si="115"/>
        <v/>
      </c>
    </row>
    <row r="148" spans="2:72" x14ac:dyDescent="0.25">
      <c r="B148" s="3" t="s">
        <v>364</v>
      </c>
      <c r="C148" s="3" t="s">
        <v>493</v>
      </c>
      <c r="D148" s="3" t="s">
        <v>0</v>
      </c>
      <c r="E148" s="3" t="s">
        <v>1063</v>
      </c>
      <c r="F148" s="3" t="s">
        <v>132</v>
      </c>
      <c r="G148" s="3" t="s">
        <v>289</v>
      </c>
      <c r="H148" s="3" t="s">
        <v>257</v>
      </c>
      <c r="I148" s="3" t="s">
        <v>24</v>
      </c>
      <c r="J148" s="3">
        <v>8</v>
      </c>
      <c r="K148" s="3" t="s">
        <v>23</v>
      </c>
      <c r="L148" s="3" t="s">
        <v>23</v>
      </c>
      <c r="M148" s="3">
        <v>480</v>
      </c>
      <c r="N148" s="3" t="str">
        <f t="shared" si="116"/>
        <v>1E0</v>
      </c>
      <c r="O148" s="3">
        <v>15</v>
      </c>
      <c r="P148" s="3">
        <v>8</v>
      </c>
      <c r="Q148" s="3" t="str">
        <f t="shared" si="123"/>
        <v/>
      </c>
      <c r="R148" s="3" t="str">
        <f t="shared" si="123"/>
        <v/>
      </c>
      <c r="S148" s="3" t="str">
        <f t="shared" si="123"/>
        <v/>
      </c>
      <c r="T148" s="3" t="str">
        <f t="shared" si="123"/>
        <v/>
      </c>
      <c r="U148" s="3" t="str">
        <f t="shared" si="123"/>
        <v/>
      </c>
      <c r="V148" s="3" t="str">
        <f t="shared" si="123"/>
        <v/>
      </c>
      <c r="W148" s="3" t="str">
        <f t="shared" si="123"/>
        <v/>
      </c>
      <c r="X148" s="3" t="str">
        <f t="shared" si="123"/>
        <v/>
      </c>
      <c r="Y148" s="3" t="str">
        <f t="shared" si="123"/>
        <v/>
      </c>
      <c r="Z148" s="3" t="str">
        <f t="shared" si="123"/>
        <v/>
      </c>
      <c r="AA148" s="3" t="str">
        <f t="shared" si="123"/>
        <v/>
      </c>
      <c r="AB148" s="3" t="str">
        <f t="shared" si="123"/>
        <v/>
      </c>
      <c r="AC148" s="3" t="str">
        <f t="shared" si="123"/>
        <v/>
      </c>
      <c r="AD148" s="3" t="str">
        <f t="shared" si="123"/>
        <v/>
      </c>
      <c r="AE148" s="3" t="str">
        <f t="shared" si="123"/>
        <v/>
      </c>
      <c r="AF148" s="3" t="str">
        <f t="shared" si="123"/>
        <v/>
      </c>
      <c r="AG148" s="3" t="str">
        <f t="shared" si="121"/>
        <v>X</v>
      </c>
      <c r="AH148" s="3" t="str">
        <f t="shared" si="128"/>
        <v>X</v>
      </c>
      <c r="AI148" s="3" t="str">
        <f t="shared" si="128"/>
        <v>X</v>
      </c>
      <c r="AJ148" s="3" t="str">
        <f t="shared" si="128"/>
        <v>X</v>
      </c>
      <c r="AK148" s="3" t="str">
        <f t="shared" si="128"/>
        <v>X</v>
      </c>
      <c r="AL148" s="3" t="str">
        <f t="shared" si="128"/>
        <v>X</v>
      </c>
      <c r="AM148" s="3" t="str">
        <f t="shared" si="128"/>
        <v>X</v>
      </c>
      <c r="AN148" s="3" t="str">
        <f t="shared" si="128"/>
        <v>X</v>
      </c>
      <c r="AO148" s="3" t="str">
        <f t="shared" si="128"/>
        <v/>
      </c>
      <c r="AP148" s="3" t="str">
        <f t="shared" si="128"/>
        <v/>
      </c>
      <c r="AQ148" s="3" t="str">
        <f t="shared" si="128"/>
        <v/>
      </c>
      <c r="AR148" s="3" t="str">
        <f t="shared" si="128"/>
        <v/>
      </c>
      <c r="AS148" s="3" t="str">
        <f t="shared" si="128"/>
        <v/>
      </c>
      <c r="AT148" s="3" t="str">
        <f t="shared" si="128"/>
        <v/>
      </c>
      <c r="AU148" s="3" t="str">
        <f t="shared" si="128"/>
        <v/>
      </c>
      <c r="AV148" s="3" t="str">
        <f t="shared" si="128"/>
        <v/>
      </c>
      <c r="AW148" s="3" t="str">
        <f t="shared" si="124"/>
        <v/>
      </c>
      <c r="AX148" s="3" t="str">
        <f t="shared" si="125"/>
        <v/>
      </c>
      <c r="AY148" s="3" t="str">
        <f t="shared" si="126"/>
        <v>X</v>
      </c>
      <c r="AZ148" s="3" t="str">
        <f t="shared" si="127"/>
        <v/>
      </c>
      <c r="BA148" s="3" t="str">
        <f t="shared" si="96"/>
        <v/>
      </c>
      <c r="BB148" s="3" t="str">
        <f t="shared" si="97"/>
        <v/>
      </c>
      <c r="BC148" s="3">
        <f t="shared" si="98"/>
        <v>1922</v>
      </c>
      <c r="BD148" s="3" t="str">
        <f t="shared" si="99"/>
        <v/>
      </c>
      <c r="BE148" s="9" t="str">
        <f t="shared" si="100"/>
        <v/>
      </c>
      <c r="BF148" s="9" t="str">
        <f t="shared" si="101"/>
        <v/>
      </c>
      <c r="BG148" s="9" t="str">
        <f t="shared" si="102"/>
        <v>782</v>
      </c>
      <c r="BH148" s="9" t="str">
        <f t="shared" si="103"/>
        <v/>
      </c>
      <c r="BI148" s="3" t="str">
        <f t="shared" si="104"/>
        <v/>
      </c>
      <c r="BJ148" s="3" t="str">
        <f t="shared" si="105"/>
        <v/>
      </c>
      <c r="BK148" s="3" t="str">
        <f t="shared" si="106"/>
        <v/>
      </c>
      <c r="BL148" s="3" t="str">
        <f t="shared" si="107"/>
        <v/>
      </c>
      <c r="BM148" s="3" t="str">
        <f t="shared" si="108"/>
        <v/>
      </c>
      <c r="BN148" s="3" t="str">
        <f t="shared" si="109"/>
        <v/>
      </c>
      <c r="BO148" s="3">
        <f t="shared" si="110"/>
        <v>7</v>
      </c>
      <c r="BP148" s="3" t="str">
        <f t="shared" si="111"/>
        <v/>
      </c>
      <c r="BQ148" s="3" t="str">
        <f t="shared" si="112"/>
        <v/>
      </c>
      <c r="BR148" s="3" t="str">
        <f t="shared" si="113"/>
        <v/>
      </c>
      <c r="BS148" s="3" t="str">
        <f t="shared" si="114"/>
        <v/>
      </c>
      <c r="BT148" s="3" t="str">
        <f t="shared" si="115"/>
        <v/>
      </c>
    </row>
    <row r="149" spans="2:72" x14ac:dyDescent="0.25">
      <c r="B149" s="3" t="s">
        <v>364</v>
      </c>
      <c r="C149" s="3" t="s">
        <v>380</v>
      </c>
      <c r="D149" s="3" t="s">
        <v>1</v>
      </c>
      <c r="E149" s="3" t="s">
        <v>1062</v>
      </c>
      <c r="F149" s="3" t="s">
        <v>132</v>
      </c>
      <c r="G149" s="3" t="s">
        <v>941</v>
      </c>
      <c r="H149" s="3" t="s">
        <v>258</v>
      </c>
      <c r="I149" s="3" t="s">
        <v>24</v>
      </c>
      <c r="J149" s="3">
        <v>2</v>
      </c>
      <c r="K149" s="3" t="s">
        <v>23</v>
      </c>
      <c r="L149" s="3" t="s">
        <v>23</v>
      </c>
      <c r="M149" s="3">
        <v>480</v>
      </c>
      <c r="N149" s="3" t="str">
        <f t="shared" si="116"/>
        <v>1E0</v>
      </c>
      <c r="O149" s="3">
        <v>7</v>
      </c>
      <c r="P149" s="3">
        <v>6</v>
      </c>
      <c r="Q149" s="3" t="str">
        <f t="shared" si="123"/>
        <v/>
      </c>
      <c r="R149" s="3" t="str">
        <f t="shared" si="123"/>
        <v/>
      </c>
      <c r="S149" s="3" t="str">
        <f t="shared" si="123"/>
        <v/>
      </c>
      <c r="T149" s="3" t="str">
        <f t="shared" si="123"/>
        <v/>
      </c>
      <c r="U149" s="3" t="str">
        <f t="shared" si="123"/>
        <v/>
      </c>
      <c r="V149" s="3" t="str">
        <f t="shared" si="123"/>
        <v/>
      </c>
      <c r="W149" s="3" t="str">
        <f t="shared" si="123"/>
        <v/>
      </c>
      <c r="X149" s="3" t="str">
        <f t="shared" si="123"/>
        <v/>
      </c>
      <c r="Y149" s="3" t="str">
        <f t="shared" si="123"/>
        <v/>
      </c>
      <c r="Z149" s="3" t="str">
        <f t="shared" si="123"/>
        <v/>
      </c>
      <c r="AA149" s="3" t="str">
        <f t="shared" si="123"/>
        <v/>
      </c>
      <c r="AB149" s="3" t="str">
        <f t="shared" si="123"/>
        <v/>
      </c>
      <c r="AC149" s="3" t="str">
        <f t="shared" si="123"/>
        <v/>
      </c>
      <c r="AD149" s="3" t="str">
        <f t="shared" si="123"/>
        <v/>
      </c>
      <c r="AE149" s="3" t="str">
        <f t="shared" si="123"/>
        <v/>
      </c>
      <c r="AF149" s="3" t="str">
        <f t="shared" si="123"/>
        <v/>
      </c>
      <c r="AG149" s="3" t="str">
        <f t="shared" si="121"/>
        <v/>
      </c>
      <c r="AH149" s="3" t="str">
        <f t="shared" si="128"/>
        <v/>
      </c>
      <c r="AI149" s="3" t="str">
        <f t="shared" si="128"/>
        <v/>
      </c>
      <c r="AJ149" s="3" t="str">
        <f t="shared" si="128"/>
        <v/>
      </c>
      <c r="AK149" s="3" t="str">
        <f t="shared" si="128"/>
        <v/>
      </c>
      <c r="AL149" s="3" t="str">
        <f t="shared" si="128"/>
        <v/>
      </c>
      <c r="AM149" s="3" t="str">
        <f t="shared" si="128"/>
        <v/>
      </c>
      <c r="AN149" s="3" t="str">
        <f t="shared" si="128"/>
        <v/>
      </c>
      <c r="AO149" s="3" t="str">
        <f t="shared" si="128"/>
        <v>X</v>
      </c>
      <c r="AP149" s="3" t="str">
        <f t="shared" si="128"/>
        <v>X</v>
      </c>
      <c r="AQ149" s="3" t="str">
        <f t="shared" si="128"/>
        <v/>
      </c>
      <c r="AR149" s="3" t="str">
        <f t="shared" si="128"/>
        <v/>
      </c>
      <c r="AS149" s="3" t="str">
        <f t="shared" si="128"/>
        <v/>
      </c>
      <c r="AT149" s="3" t="str">
        <f t="shared" si="128"/>
        <v/>
      </c>
      <c r="AU149" s="3" t="str">
        <f t="shared" si="128"/>
        <v/>
      </c>
      <c r="AV149" s="3" t="str">
        <f t="shared" si="128"/>
        <v/>
      </c>
      <c r="AW149" s="3" t="str">
        <f t="shared" si="124"/>
        <v/>
      </c>
      <c r="AX149" s="3" t="str">
        <f t="shared" si="125"/>
        <v/>
      </c>
      <c r="AY149" s="3" t="str">
        <f t="shared" si="126"/>
        <v/>
      </c>
      <c r="AZ149" s="3" t="str">
        <f t="shared" si="127"/>
        <v>X</v>
      </c>
      <c r="BA149" s="3" t="str">
        <f t="shared" si="96"/>
        <v/>
      </c>
      <c r="BB149" s="3" t="str">
        <f t="shared" si="97"/>
        <v/>
      </c>
      <c r="BC149" s="3" t="str">
        <f t="shared" si="98"/>
        <v/>
      </c>
      <c r="BD149" s="3">
        <f t="shared" si="99"/>
        <v>1923</v>
      </c>
      <c r="BE149" s="9" t="str">
        <f t="shared" si="100"/>
        <v/>
      </c>
      <c r="BF149" s="9" t="str">
        <f t="shared" si="101"/>
        <v/>
      </c>
      <c r="BG149" s="9" t="str">
        <f t="shared" si="102"/>
        <v/>
      </c>
      <c r="BH149" s="9" t="str">
        <f t="shared" si="103"/>
        <v>783</v>
      </c>
      <c r="BI149" s="3" t="str">
        <f t="shared" si="104"/>
        <v/>
      </c>
      <c r="BJ149" s="3" t="str">
        <f t="shared" si="105"/>
        <v/>
      </c>
      <c r="BK149" s="3" t="str">
        <f t="shared" si="106"/>
        <v/>
      </c>
      <c r="BL149" s="3" t="str">
        <f t="shared" si="107"/>
        <v>(7 downto 6)</v>
      </c>
      <c r="BM149" s="3" t="str">
        <f t="shared" si="108"/>
        <v/>
      </c>
      <c r="BN149" s="3" t="str">
        <f t="shared" si="109"/>
        <v/>
      </c>
      <c r="BO149" s="3" t="str">
        <f t="shared" si="110"/>
        <v/>
      </c>
      <c r="BP149" s="3">
        <f t="shared" si="111"/>
        <v>1</v>
      </c>
      <c r="BQ149" s="3" t="str">
        <f t="shared" si="112"/>
        <v/>
      </c>
      <c r="BR149" s="3" t="str">
        <f t="shared" si="113"/>
        <v/>
      </c>
      <c r="BS149" s="3" t="str">
        <f t="shared" si="114"/>
        <v/>
      </c>
      <c r="BT149" s="3" t="str">
        <f t="shared" si="115"/>
        <v/>
      </c>
    </row>
    <row r="150" spans="2:72" x14ac:dyDescent="0.25">
      <c r="B150" s="3" t="s">
        <v>364</v>
      </c>
      <c r="C150" s="3" t="s">
        <v>494</v>
      </c>
      <c r="D150" s="3" t="s">
        <v>0</v>
      </c>
      <c r="E150" s="3" t="s">
        <v>1063</v>
      </c>
      <c r="F150" s="3" t="s">
        <v>132</v>
      </c>
      <c r="G150" s="3" t="s">
        <v>289</v>
      </c>
      <c r="H150" s="3" t="s">
        <v>259</v>
      </c>
      <c r="I150" s="3" t="s">
        <v>24</v>
      </c>
      <c r="J150" s="3">
        <v>1</v>
      </c>
      <c r="K150" s="3" t="s">
        <v>23</v>
      </c>
      <c r="L150" s="3" t="s">
        <v>23</v>
      </c>
      <c r="M150" s="3">
        <v>480</v>
      </c>
      <c r="N150" s="3" t="str">
        <f t="shared" si="116"/>
        <v>1E0</v>
      </c>
      <c r="O150" s="3">
        <v>5</v>
      </c>
      <c r="P150" s="3">
        <v>5</v>
      </c>
      <c r="Q150" s="3" t="str">
        <f t="shared" si="123"/>
        <v/>
      </c>
      <c r="R150" s="3" t="str">
        <f t="shared" si="123"/>
        <v/>
      </c>
      <c r="S150" s="3" t="str">
        <f t="shared" si="123"/>
        <v/>
      </c>
      <c r="T150" s="3" t="str">
        <f t="shared" si="123"/>
        <v/>
      </c>
      <c r="U150" s="3" t="str">
        <f t="shared" si="123"/>
        <v/>
      </c>
      <c r="V150" s="3" t="str">
        <f t="shared" si="123"/>
        <v/>
      </c>
      <c r="W150" s="3" t="str">
        <f t="shared" si="123"/>
        <v/>
      </c>
      <c r="X150" s="3" t="str">
        <f t="shared" si="123"/>
        <v/>
      </c>
      <c r="Y150" s="3" t="str">
        <f t="shared" si="123"/>
        <v/>
      </c>
      <c r="Z150" s="3" t="str">
        <f t="shared" si="123"/>
        <v/>
      </c>
      <c r="AA150" s="3" t="str">
        <f t="shared" si="123"/>
        <v/>
      </c>
      <c r="AB150" s="3" t="str">
        <f t="shared" si="123"/>
        <v/>
      </c>
      <c r="AC150" s="3" t="str">
        <f t="shared" si="123"/>
        <v/>
      </c>
      <c r="AD150" s="3" t="str">
        <f t="shared" si="123"/>
        <v/>
      </c>
      <c r="AE150" s="3" t="str">
        <f t="shared" si="123"/>
        <v/>
      </c>
      <c r="AF150" s="3" t="str">
        <f t="shared" si="123"/>
        <v/>
      </c>
      <c r="AG150" s="3" t="str">
        <f t="shared" si="121"/>
        <v/>
      </c>
      <c r="AH150" s="3" t="str">
        <f t="shared" si="128"/>
        <v/>
      </c>
      <c r="AI150" s="3" t="str">
        <f t="shared" si="128"/>
        <v/>
      </c>
      <c r="AJ150" s="3" t="str">
        <f t="shared" si="128"/>
        <v/>
      </c>
      <c r="AK150" s="3" t="str">
        <f t="shared" si="128"/>
        <v/>
      </c>
      <c r="AL150" s="3" t="str">
        <f t="shared" si="128"/>
        <v/>
      </c>
      <c r="AM150" s="3" t="str">
        <f t="shared" si="128"/>
        <v/>
      </c>
      <c r="AN150" s="3" t="str">
        <f t="shared" si="128"/>
        <v/>
      </c>
      <c r="AO150" s="3" t="str">
        <f t="shared" si="128"/>
        <v/>
      </c>
      <c r="AP150" s="3" t="str">
        <f t="shared" si="128"/>
        <v/>
      </c>
      <c r="AQ150" s="3" t="str">
        <f t="shared" si="128"/>
        <v>X</v>
      </c>
      <c r="AR150" s="3" t="str">
        <f t="shared" si="128"/>
        <v/>
      </c>
      <c r="AS150" s="3" t="str">
        <f t="shared" si="128"/>
        <v/>
      </c>
      <c r="AT150" s="3" t="str">
        <f t="shared" si="128"/>
        <v/>
      </c>
      <c r="AU150" s="3" t="str">
        <f t="shared" si="128"/>
        <v/>
      </c>
      <c r="AV150" s="3" t="str">
        <f t="shared" si="128"/>
        <v/>
      </c>
      <c r="AW150" s="3" t="str">
        <f t="shared" si="124"/>
        <v/>
      </c>
      <c r="AX150" s="3" t="str">
        <f t="shared" si="125"/>
        <v/>
      </c>
      <c r="AY150" s="3" t="str">
        <f t="shared" si="126"/>
        <v/>
      </c>
      <c r="AZ150" s="3" t="str">
        <f t="shared" si="127"/>
        <v>X</v>
      </c>
      <c r="BA150" s="3" t="str">
        <f t="shared" ref="BA150:BA170" si="129">IF(AW150="","",$M150*4+BA$3)</f>
        <v/>
      </c>
      <c r="BB150" s="3" t="str">
        <f t="shared" ref="BB150:BB170" si="130">IF(AX150="","",$M150*4+BB$3)</f>
        <v/>
      </c>
      <c r="BC150" s="3" t="str">
        <f t="shared" ref="BC150:BC170" si="131">IF(AY150="","",$M150*4+BC$3)</f>
        <v/>
      </c>
      <c r="BD150" s="3">
        <f t="shared" ref="BD150:BD170" si="132">IF(AZ150="","",$M150*4+BD$3)</f>
        <v>1923</v>
      </c>
      <c r="BE150" s="9" t="str">
        <f t="shared" ref="BE150:BE170" si="133">IF(BA150="","",DEC2HEX(BA150,3))</f>
        <v/>
      </c>
      <c r="BF150" s="9" t="str">
        <f t="shared" ref="BF150:BF170" si="134">IF(BB150="","",DEC2HEX(BB150,3))</f>
        <v/>
      </c>
      <c r="BG150" s="9" t="str">
        <f t="shared" ref="BG150:BG170" si="135">IF(BC150="","",DEC2HEX(BC150,3))</f>
        <v/>
      </c>
      <c r="BH150" s="9" t="str">
        <f t="shared" ref="BH150:BH170" si="136">IF(BD150="","",DEC2HEX(BD150,3))</f>
        <v>783</v>
      </c>
      <c r="BI150" s="3" t="str">
        <f t="shared" ref="BI150:BI170" si="137">IF(AW150="","",IF(COUNTIF($Q150:$X150,"X")=8,"",CONCATENATE("(",INDEX($Q$3:$X$3,MATCH("X",$Q150:$X150,0))-24,IF(COUNTIF($Q150:$X150,"X")=1,")",CONCATENATE(" downto ",INDEX($Q$3:$X$3,MATCH("X",$Q150:$X150,0)+COUNTIF($Q150:$X150,"X")-1)-24,")")))))</f>
        <v/>
      </c>
      <c r="BJ150" s="3" t="str">
        <f t="shared" ref="BJ150:BJ170" si="138">IF(AX150="","",IF(COUNTIF($Y150:$AF150,"X")=8,"",CONCATENATE("(",INDEX($Y$3:$AF$3,MATCH("X",$Y150:$AF150,0))-16,IF(COUNTIF($Y150:$AF150,"X")=1,")",CONCATENATE(" downto ",INDEX($Y$3:$AF$3,MATCH("X",$Y150:$AF150,0)+COUNTIF($Y150:$AF150,"X")-1)-16,")")))))</f>
        <v/>
      </c>
      <c r="BK150" s="3" t="str">
        <f t="shared" ref="BK150:BK170" si="139">IF(AY150="","",IF(COUNTIF($AG150:$AN150,"X")=8,"",CONCATENATE("(",INDEX($AG$3:$AN$3,MATCH("X",$AG150:$AN150,0))-8,IF(COUNTIF($AG150:$AN150,"X")=1,")",CONCATENATE(" downto ",INDEX($AG$3:$AN$3,MATCH("X",$AG150:$AN150,0)+COUNTIF($AG150:$AN150,"X")-1)-8,")")))))</f>
        <v/>
      </c>
      <c r="BL150" s="3" t="str">
        <f t="shared" ref="BL150:BL170" si="140">IF(AZ150="","",IF(COUNTIF($AO150:$AV150,"X")=8,"",CONCATENATE("(",INDEX($AO$3:$AV$3,MATCH("X",$AO150:$AV150,0)),IF(COUNTIF($AO150:$AV150,"X")=1,")",CONCATENATE(" downto ",INDEX($AO$3:$AV$3,MATCH("X",$AO150:$AV150,0)+COUNTIF($AO150:$AV150,"X")-1),")")))))</f>
        <v>(5)</v>
      </c>
      <c r="BM150" s="3" t="str">
        <f t="shared" ref="BM150:BM170" si="141">IF(AW150="","",$J150-1)</f>
        <v/>
      </c>
      <c r="BN150" s="3" t="str">
        <f t="shared" ref="BN150:BN170" si="142">IF(AX150="","",IF(BM150="",$J150-1,BM150-COUNTIF($Q150:$X150,"X")))</f>
        <v/>
      </c>
      <c r="BO150" s="3" t="str">
        <f t="shared" ref="BO150:BO170" si="143">IF(AY150="","",IF(BN150="",$J150-1,BN150-COUNTIF($Y150:$AF150,"X")))</f>
        <v/>
      </c>
      <c r="BP150" s="3">
        <f t="shared" ref="BP150:BP170" si="144">IF(AZ150="","",IF(BO150="",$J150-1,BO150-COUNTIF($AG150:$AN150,"X")))</f>
        <v>0</v>
      </c>
      <c r="BQ150" s="3" t="str">
        <f t="shared" ref="BQ150:BQ170" si="145">IF(AW150="","",IF((4-COUNTIF($BM150:$BP150,""))=1,"",CONCATENATE("(",BM150,IF(COUNTIF($Q150:$X150,"X")=1,"",CONCATENATE(" downto ",BM150-COUNTIF($Q150:$X150,"X")+1)),")")))</f>
        <v/>
      </c>
      <c r="BR150" s="3" t="str">
        <f t="shared" ref="BR150:BR170" si="146">IF(AX150="","",IF((4-COUNTIF($BM150:$BP150,""))=1,"",CONCATENATE("(",BN150,IF(COUNTIF($Y150:$AF150,"X")=1,"",CONCATENATE(" downto ",BN150-COUNTIF($Y150:$AF150,"X")+1)),")")))</f>
        <v/>
      </c>
      <c r="BS150" s="3" t="str">
        <f t="shared" ref="BS150:BS170" si="147">IF(AY150="","",IF((4-COUNTIF($BM150:$BP150,""))=1,"",CONCATENATE("(",BO150,IF(COUNTIF($AG150:$AN150,"X")=1,"",CONCATENATE(" downto ",BO150-COUNTIF($AG150:$AN150,"X")+1)),")")))</f>
        <v/>
      </c>
      <c r="BT150" s="3" t="str">
        <f t="shared" ref="BT150:BT170" si="148">IF(AZ150="","",IF((4-COUNTIF($BM150:$BP150,""))=1,"",CONCATENATE("(",BP150,IF(COUNTIF($AO150:$AV150,"X") = 1,"",CONCATENATE(" downto ",BP150-COUNTIF($AO150:$AV150,"X")+1)),")")))</f>
        <v/>
      </c>
    </row>
    <row r="151" spans="2:72" x14ac:dyDescent="0.25">
      <c r="B151" s="3" t="s">
        <v>364</v>
      </c>
      <c r="C151" s="3" t="s">
        <v>495</v>
      </c>
      <c r="D151" s="3" t="s">
        <v>0</v>
      </c>
      <c r="E151" s="3" t="s">
        <v>1063</v>
      </c>
      <c r="F151" s="3" t="s">
        <v>132</v>
      </c>
      <c r="G151" s="3" t="s">
        <v>289</v>
      </c>
      <c r="H151" s="3" t="s">
        <v>260</v>
      </c>
      <c r="I151" s="3" t="s">
        <v>24</v>
      </c>
      <c r="J151" s="3">
        <v>1</v>
      </c>
      <c r="K151" s="3" t="s">
        <v>23</v>
      </c>
      <c r="L151" s="3" t="s">
        <v>23</v>
      </c>
      <c r="M151" s="3">
        <v>480</v>
      </c>
      <c r="N151" s="3" t="str">
        <f t="shared" ref="N151:N160" si="149">DEC2HEX($M151,3)</f>
        <v>1E0</v>
      </c>
      <c r="O151" s="3">
        <v>4</v>
      </c>
      <c r="P151" s="3">
        <v>4</v>
      </c>
      <c r="Q151" s="3" t="str">
        <f t="shared" si="123"/>
        <v/>
      </c>
      <c r="R151" s="3" t="str">
        <f t="shared" si="123"/>
        <v/>
      </c>
      <c r="S151" s="3" t="str">
        <f t="shared" si="123"/>
        <v/>
      </c>
      <c r="T151" s="3" t="str">
        <f t="shared" si="123"/>
        <v/>
      </c>
      <c r="U151" s="3" t="str">
        <f t="shared" si="123"/>
        <v/>
      </c>
      <c r="V151" s="3" t="str">
        <f t="shared" si="123"/>
        <v/>
      </c>
      <c r="W151" s="3" t="str">
        <f t="shared" si="123"/>
        <v/>
      </c>
      <c r="X151" s="3" t="str">
        <f t="shared" si="123"/>
        <v/>
      </c>
      <c r="Y151" s="3" t="str">
        <f t="shared" si="123"/>
        <v/>
      </c>
      <c r="Z151" s="3" t="str">
        <f t="shared" si="123"/>
        <v/>
      </c>
      <c r="AA151" s="3" t="str">
        <f t="shared" si="123"/>
        <v/>
      </c>
      <c r="AB151" s="3" t="str">
        <f t="shared" si="123"/>
        <v/>
      </c>
      <c r="AC151" s="3" t="str">
        <f t="shared" si="123"/>
        <v/>
      </c>
      <c r="AD151" s="3" t="str">
        <f t="shared" si="123"/>
        <v/>
      </c>
      <c r="AE151" s="3" t="str">
        <f t="shared" si="123"/>
        <v/>
      </c>
      <c r="AF151" s="3" t="str">
        <f t="shared" si="123"/>
        <v/>
      </c>
      <c r="AG151" s="3" t="str">
        <f t="shared" si="121"/>
        <v/>
      </c>
      <c r="AH151" s="3" t="str">
        <f t="shared" si="128"/>
        <v/>
      </c>
      <c r="AI151" s="3" t="str">
        <f t="shared" si="128"/>
        <v/>
      </c>
      <c r="AJ151" s="3" t="str">
        <f t="shared" si="128"/>
        <v/>
      </c>
      <c r="AK151" s="3" t="str">
        <f t="shared" si="128"/>
        <v/>
      </c>
      <c r="AL151" s="3" t="str">
        <f t="shared" si="128"/>
        <v/>
      </c>
      <c r="AM151" s="3" t="str">
        <f t="shared" si="128"/>
        <v/>
      </c>
      <c r="AN151" s="3" t="str">
        <f t="shared" si="128"/>
        <v/>
      </c>
      <c r="AO151" s="3" t="str">
        <f t="shared" si="128"/>
        <v/>
      </c>
      <c r="AP151" s="3" t="str">
        <f t="shared" si="128"/>
        <v/>
      </c>
      <c r="AQ151" s="3" t="str">
        <f t="shared" si="128"/>
        <v/>
      </c>
      <c r="AR151" s="3" t="str">
        <f t="shared" si="128"/>
        <v>X</v>
      </c>
      <c r="AS151" s="3" t="str">
        <f t="shared" si="128"/>
        <v/>
      </c>
      <c r="AT151" s="3" t="str">
        <f t="shared" si="128"/>
        <v/>
      </c>
      <c r="AU151" s="3" t="str">
        <f t="shared" si="128"/>
        <v/>
      </c>
      <c r="AV151" s="3" t="str">
        <f t="shared" si="128"/>
        <v/>
      </c>
      <c r="AW151" s="3" t="str">
        <f t="shared" si="124"/>
        <v/>
      </c>
      <c r="AX151" s="3" t="str">
        <f t="shared" si="125"/>
        <v/>
      </c>
      <c r="AY151" s="3" t="str">
        <f t="shared" si="126"/>
        <v/>
      </c>
      <c r="AZ151" s="3" t="str">
        <f t="shared" si="127"/>
        <v>X</v>
      </c>
      <c r="BA151" s="3" t="str">
        <f t="shared" si="129"/>
        <v/>
      </c>
      <c r="BB151" s="3" t="str">
        <f t="shared" si="130"/>
        <v/>
      </c>
      <c r="BC151" s="3" t="str">
        <f t="shared" si="131"/>
        <v/>
      </c>
      <c r="BD151" s="3">
        <f t="shared" si="132"/>
        <v>1923</v>
      </c>
      <c r="BE151" s="9" t="str">
        <f t="shared" si="133"/>
        <v/>
      </c>
      <c r="BF151" s="9" t="str">
        <f t="shared" si="134"/>
        <v/>
      </c>
      <c r="BG151" s="9" t="str">
        <f t="shared" si="135"/>
        <v/>
      </c>
      <c r="BH151" s="9" t="str">
        <f t="shared" si="136"/>
        <v>783</v>
      </c>
      <c r="BI151" s="3" t="str">
        <f t="shared" si="137"/>
        <v/>
      </c>
      <c r="BJ151" s="3" t="str">
        <f t="shared" si="138"/>
        <v/>
      </c>
      <c r="BK151" s="3" t="str">
        <f t="shared" si="139"/>
        <v/>
      </c>
      <c r="BL151" s="3" t="str">
        <f t="shared" si="140"/>
        <v>(4)</v>
      </c>
      <c r="BM151" s="3" t="str">
        <f t="shared" si="141"/>
        <v/>
      </c>
      <c r="BN151" s="3" t="str">
        <f t="shared" si="142"/>
        <v/>
      </c>
      <c r="BO151" s="3" t="str">
        <f t="shared" si="143"/>
        <v/>
      </c>
      <c r="BP151" s="3">
        <f t="shared" si="144"/>
        <v>0</v>
      </c>
      <c r="BQ151" s="3" t="str">
        <f t="shared" si="145"/>
        <v/>
      </c>
      <c r="BR151" s="3" t="str">
        <f t="shared" si="146"/>
        <v/>
      </c>
      <c r="BS151" s="3" t="str">
        <f t="shared" si="147"/>
        <v/>
      </c>
      <c r="BT151" s="3" t="str">
        <f t="shared" si="148"/>
        <v/>
      </c>
    </row>
    <row r="152" spans="2:72" x14ac:dyDescent="0.25">
      <c r="B152" s="3" t="s">
        <v>364</v>
      </c>
      <c r="C152" s="3" t="s">
        <v>496</v>
      </c>
      <c r="D152" s="3" t="s">
        <v>0</v>
      </c>
      <c r="E152" s="3" t="s">
        <v>1063</v>
      </c>
      <c r="F152" s="3" t="s">
        <v>132</v>
      </c>
      <c r="G152" s="3" t="s">
        <v>289</v>
      </c>
      <c r="H152" s="3" t="s">
        <v>261</v>
      </c>
      <c r="I152" s="3" t="s">
        <v>24</v>
      </c>
      <c r="J152" s="3">
        <v>1</v>
      </c>
      <c r="K152" s="3" t="s">
        <v>23</v>
      </c>
      <c r="L152" s="3" t="s">
        <v>23</v>
      </c>
      <c r="M152" s="3">
        <v>480</v>
      </c>
      <c r="N152" s="3" t="str">
        <f t="shared" si="149"/>
        <v>1E0</v>
      </c>
      <c r="O152" s="3">
        <v>3</v>
      </c>
      <c r="P152" s="3">
        <v>3</v>
      </c>
      <c r="Q152" s="3" t="str">
        <f t="shared" si="123"/>
        <v/>
      </c>
      <c r="R152" s="3" t="str">
        <f t="shared" si="123"/>
        <v/>
      </c>
      <c r="S152" s="3" t="str">
        <f t="shared" si="123"/>
        <v/>
      </c>
      <c r="T152" s="3" t="str">
        <f t="shared" si="123"/>
        <v/>
      </c>
      <c r="U152" s="3" t="str">
        <f t="shared" si="123"/>
        <v/>
      </c>
      <c r="V152" s="3" t="str">
        <f t="shared" si="123"/>
        <v/>
      </c>
      <c r="W152" s="3" t="str">
        <f t="shared" si="123"/>
        <v/>
      </c>
      <c r="X152" s="3" t="str">
        <f t="shared" si="123"/>
        <v/>
      </c>
      <c r="Y152" s="3" t="str">
        <f t="shared" si="123"/>
        <v/>
      </c>
      <c r="Z152" s="3" t="str">
        <f t="shared" si="123"/>
        <v/>
      </c>
      <c r="AA152" s="3" t="str">
        <f t="shared" si="123"/>
        <v/>
      </c>
      <c r="AB152" s="3" t="str">
        <f t="shared" si="123"/>
        <v/>
      </c>
      <c r="AC152" s="3" t="str">
        <f t="shared" si="123"/>
        <v/>
      </c>
      <c r="AD152" s="3" t="str">
        <f t="shared" si="123"/>
        <v/>
      </c>
      <c r="AE152" s="3" t="str">
        <f t="shared" si="123"/>
        <v/>
      </c>
      <c r="AF152" s="3" t="str">
        <f t="shared" ref="R152:AG170" si="150">IF(AND($O152&gt;=AF$3,AF$3&gt;=$P152),"X","")</f>
        <v/>
      </c>
      <c r="AG152" s="3" t="str">
        <f t="shared" si="150"/>
        <v/>
      </c>
      <c r="AH152" s="3" t="str">
        <f t="shared" si="128"/>
        <v/>
      </c>
      <c r="AI152" s="3" t="str">
        <f t="shared" si="128"/>
        <v/>
      </c>
      <c r="AJ152" s="3" t="str">
        <f t="shared" si="128"/>
        <v/>
      </c>
      <c r="AK152" s="3" t="str">
        <f t="shared" si="128"/>
        <v/>
      </c>
      <c r="AL152" s="3" t="str">
        <f t="shared" si="128"/>
        <v/>
      </c>
      <c r="AM152" s="3" t="str">
        <f t="shared" si="128"/>
        <v/>
      </c>
      <c r="AN152" s="3" t="str">
        <f t="shared" si="128"/>
        <v/>
      </c>
      <c r="AO152" s="3" t="str">
        <f t="shared" si="128"/>
        <v/>
      </c>
      <c r="AP152" s="3" t="str">
        <f t="shared" si="128"/>
        <v/>
      </c>
      <c r="AQ152" s="3" t="str">
        <f t="shared" si="128"/>
        <v/>
      </c>
      <c r="AR152" s="3" t="str">
        <f t="shared" si="128"/>
        <v/>
      </c>
      <c r="AS152" s="3" t="str">
        <f t="shared" si="128"/>
        <v>X</v>
      </c>
      <c r="AT152" s="3" t="str">
        <f t="shared" si="128"/>
        <v/>
      </c>
      <c r="AU152" s="3" t="str">
        <f t="shared" si="128"/>
        <v/>
      </c>
      <c r="AV152" s="3" t="str">
        <f t="shared" si="128"/>
        <v/>
      </c>
      <c r="AW152" s="3" t="str">
        <f t="shared" si="124"/>
        <v/>
      </c>
      <c r="AX152" s="3" t="str">
        <f t="shared" si="125"/>
        <v/>
      </c>
      <c r="AY152" s="3" t="str">
        <f t="shared" si="126"/>
        <v/>
      </c>
      <c r="AZ152" s="3" t="str">
        <f t="shared" si="127"/>
        <v>X</v>
      </c>
      <c r="BA152" s="3" t="str">
        <f t="shared" si="129"/>
        <v/>
      </c>
      <c r="BB152" s="3" t="str">
        <f t="shared" si="130"/>
        <v/>
      </c>
      <c r="BC152" s="3" t="str">
        <f t="shared" si="131"/>
        <v/>
      </c>
      <c r="BD152" s="3">
        <f t="shared" si="132"/>
        <v>1923</v>
      </c>
      <c r="BE152" s="9" t="str">
        <f t="shared" si="133"/>
        <v/>
      </c>
      <c r="BF152" s="9" t="str">
        <f t="shared" si="134"/>
        <v/>
      </c>
      <c r="BG152" s="9" t="str">
        <f t="shared" si="135"/>
        <v/>
      </c>
      <c r="BH152" s="9" t="str">
        <f t="shared" si="136"/>
        <v>783</v>
      </c>
      <c r="BI152" s="3" t="str">
        <f t="shared" si="137"/>
        <v/>
      </c>
      <c r="BJ152" s="3" t="str">
        <f t="shared" si="138"/>
        <v/>
      </c>
      <c r="BK152" s="3" t="str">
        <f t="shared" si="139"/>
        <v/>
      </c>
      <c r="BL152" s="3" t="str">
        <f t="shared" si="140"/>
        <v>(3)</v>
      </c>
      <c r="BM152" s="3" t="str">
        <f t="shared" si="141"/>
        <v/>
      </c>
      <c r="BN152" s="3" t="str">
        <f t="shared" si="142"/>
        <v/>
      </c>
      <c r="BO152" s="3" t="str">
        <f t="shared" si="143"/>
        <v/>
      </c>
      <c r="BP152" s="3">
        <f t="shared" si="144"/>
        <v>0</v>
      </c>
      <c r="BQ152" s="3" t="str">
        <f t="shared" si="145"/>
        <v/>
      </c>
      <c r="BR152" s="3" t="str">
        <f t="shared" si="146"/>
        <v/>
      </c>
      <c r="BS152" s="3" t="str">
        <f t="shared" si="147"/>
        <v/>
      </c>
      <c r="BT152" s="3" t="str">
        <f t="shared" si="148"/>
        <v/>
      </c>
    </row>
    <row r="153" spans="2:72" x14ac:dyDescent="0.25">
      <c r="B153" s="3" t="s">
        <v>364</v>
      </c>
      <c r="C153" s="3" t="s">
        <v>497</v>
      </c>
      <c r="D153" s="3" t="s">
        <v>0</v>
      </c>
      <c r="E153" s="3" t="s">
        <v>1063</v>
      </c>
      <c r="F153" s="3" t="s">
        <v>132</v>
      </c>
      <c r="G153" s="3" t="s">
        <v>289</v>
      </c>
      <c r="H153" s="3" t="s">
        <v>262</v>
      </c>
      <c r="I153" s="3" t="s">
        <v>24</v>
      </c>
      <c r="J153" s="3">
        <v>1</v>
      </c>
      <c r="K153" s="3" t="s">
        <v>23</v>
      </c>
      <c r="L153" s="3" t="s">
        <v>23</v>
      </c>
      <c r="M153" s="3">
        <v>480</v>
      </c>
      <c r="N153" s="3" t="str">
        <f t="shared" si="149"/>
        <v>1E0</v>
      </c>
      <c r="O153" s="3">
        <v>2</v>
      </c>
      <c r="P153" s="3">
        <v>2</v>
      </c>
      <c r="Q153" s="3" t="str">
        <f t="shared" ref="Q153:Q170" si="151">IF(AND($O153&gt;=Q$3,Q$3&gt;=$P153),"X","")</f>
        <v/>
      </c>
      <c r="R153" s="3" t="str">
        <f t="shared" si="150"/>
        <v/>
      </c>
      <c r="S153" s="3" t="str">
        <f t="shared" si="150"/>
        <v/>
      </c>
      <c r="T153" s="3" t="str">
        <f t="shared" si="150"/>
        <v/>
      </c>
      <c r="U153" s="3" t="str">
        <f t="shared" si="150"/>
        <v/>
      </c>
      <c r="V153" s="3" t="str">
        <f t="shared" si="150"/>
        <v/>
      </c>
      <c r="W153" s="3" t="str">
        <f t="shared" si="150"/>
        <v/>
      </c>
      <c r="X153" s="3" t="str">
        <f t="shared" si="150"/>
        <v/>
      </c>
      <c r="Y153" s="3" t="str">
        <f t="shared" si="150"/>
        <v/>
      </c>
      <c r="Z153" s="3" t="str">
        <f t="shared" si="150"/>
        <v/>
      </c>
      <c r="AA153" s="3" t="str">
        <f t="shared" si="150"/>
        <v/>
      </c>
      <c r="AB153" s="3" t="str">
        <f t="shared" si="150"/>
        <v/>
      </c>
      <c r="AC153" s="3" t="str">
        <f t="shared" si="150"/>
        <v/>
      </c>
      <c r="AD153" s="3" t="str">
        <f t="shared" si="150"/>
        <v/>
      </c>
      <c r="AE153" s="3" t="str">
        <f t="shared" si="150"/>
        <v/>
      </c>
      <c r="AF153" s="3" t="str">
        <f t="shared" si="150"/>
        <v/>
      </c>
      <c r="AG153" s="3" t="str">
        <f t="shared" si="150"/>
        <v/>
      </c>
      <c r="AH153" s="3" t="str">
        <f t="shared" si="128"/>
        <v/>
      </c>
      <c r="AI153" s="3" t="str">
        <f t="shared" si="128"/>
        <v/>
      </c>
      <c r="AJ153" s="3" t="str">
        <f t="shared" si="128"/>
        <v/>
      </c>
      <c r="AK153" s="3" t="str">
        <f t="shared" si="128"/>
        <v/>
      </c>
      <c r="AL153" s="3" t="str">
        <f t="shared" si="128"/>
        <v/>
      </c>
      <c r="AM153" s="3" t="str">
        <f t="shared" si="128"/>
        <v/>
      </c>
      <c r="AN153" s="3" t="str">
        <f t="shared" si="128"/>
        <v/>
      </c>
      <c r="AO153" s="3" t="str">
        <f t="shared" si="128"/>
        <v/>
      </c>
      <c r="AP153" s="3" t="str">
        <f t="shared" si="128"/>
        <v/>
      </c>
      <c r="AQ153" s="3" t="str">
        <f t="shared" si="128"/>
        <v/>
      </c>
      <c r="AR153" s="3" t="str">
        <f t="shared" si="128"/>
        <v/>
      </c>
      <c r="AS153" s="3" t="str">
        <f t="shared" si="128"/>
        <v/>
      </c>
      <c r="AT153" s="3" t="str">
        <f t="shared" si="128"/>
        <v>X</v>
      </c>
      <c r="AU153" s="3" t="str">
        <f t="shared" si="128"/>
        <v/>
      </c>
      <c r="AV153" s="3" t="str">
        <f t="shared" si="128"/>
        <v/>
      </c>
      <c r="AW153" s="3" t="str">
        <f t="shared" si="124"/>
        <v/>
      </c>
      <c r="AX153" s="3" t="str">
        <f t="shared" si="125"/>
        <v/>
      </c>
      <c r="AY153" s="3" t="str">
        <f t="shared" si="126"/>
        <v/>
      </c>
      <c r="AZ153" s="3" t="str">
        <f t="shared" si="127"/>
        <v>X</v>
      </c>
      <c r="BA153" s="3" t="str">
        <f t="shared" si="129"/>
        <v/>
      </c>
      <c r="BB153" s="3" t="str">
        <f t="shared" si="130"/>
        <v/>
      </c>
      <c r="BC153" s="3" t="str">
        <f t="shared" si="131"/>
        <v/>
      </c>
      <c r="BD153" s="3">
        <f t="shared" si="132"/>
        <v>1923</v>
      </c>
      <c r="BE153" s="9" t="str">
        <f t="shared" si="133"/>
        <v/>
      </c>
      <c r="BF153" s="9" t="str">
        <f t="shared" si="134"/>
        <v/>
      </c>
      <c r="BG153" s="9" t="str">
        <f t="shared" si="135"/>
        <v/>
      </c>
      <c r="BH153" s="9" t="str">
        <f t="shared" si="136"/>
        <v>783</v>
      </c>
      <c r="BI153" s="3" t="str">
        <f t="shared" si="137"/>
        <v/>
      </c>
      <c r="BJ153" s="3" t="str">
        <f t="shared" si="138"/>
        <v/>
      </c>
      <c r="BK153" s="3" t="str">
        <f t="shared" si="139"/>
        <v/>
      </c>
      <c r="BL153" s="3" t="str">
        <f t="shared" si="140"/>
        <v>(2)</v>
      </c>
      <c r="BM153" s="3" t="str">
        <f t="shared" si="141"/>
        <v/>
      </c>
      <c r="BN153" s="3" t="str">
        <f t="shared" si="142"/>
        <v/>
      </c>
      <c r="BO153" s="3" t="str">
        <f t="shared" si="143"/>
        <v/>
      </c>
      <c r="BP153" s="3">
        <f t="shared" si="144"/>
        <v>0</v>
      </c>
      <c r="BQ153" s="3" t="str">
        <f t="shared" si="145"/>
        <v/>
      </c>
      <c r="BR153" s="3" t="str">
        <f t="shared" si="146"/>
        <v/>
      </c>
      <c r="BS153" s="3" t="str">
        <f t="shared" si="147"/>
        <v/>
      </c>
      <c r="BT153" s="3" t="str">
        <f t="shared" si="148"/>
        <v/>
      </c>
    </row>
    <row r="154" spans="2:72" x14ac:dyDescent="0.25">
      <c r="B154" s="3" t="s">
        <v>364</v>
      </c>
      <c r="C154" s="3" t="s">
        <v>498</v>
      </c>
      <c r="D154" s="3" t="s">
        <v>0</v>
      </c>
      <c r="E154" s="3" t="s">
        <v>1063</v>
      </c>
      <c r="F154" s="3" t="s">
        <v>132</v>
      </c>
      <c r="G154" s="3" t="s">
        <v>289</v>
      </c>
      <c r="H154" s="3" t="s">
        <v>263</v>
      </c>
      <c r="I154" s="3" t="s">
        <v>24</v>
      </c>
      <c r="J154" s="3">
        <v>1</v>
      </c>
      <c r="K154" s="3" t="s">
        <v>23</v>
      </c>
      <c r="L154" s="3" t="s">
        <v>23</v>
      </c>
      <c r="M154" s="3">
        <v>480</v>
      </c>
      <c r="N154" s="3" t="str">
        <f t="shared" si="149"/>
        <v>1E0</v>
      </c>
      <c r="O154" s="3">
        <v>1</v>
      </c>
      <c r="P154" s="3">
        <v>1</v>
      </c>
      <c r="Q154" s="3" t="str">
        <f t="shared" si="151"/>
        <v/>
      </c>
      <c r="R154" s="3" t="str">
        <f t="shared" si="150"/>
        <v/>
      </c>
      <c r="S154" s="3" t="str">
        <f t="shared" si="150"/>
        <v/>
      </c>
      <c r="T154" s="3" t="str">
        <f t="shared" si="150"/>
        <v/>
      </c>
      <c r="U154" s="3" t="str">
        <f t="shared" si="150"/>
        <v/>
      </c>
      <c r="V154" s="3" t="str">
        <f t="shared" si="150"/>
        <v/>
      </c>
      <c r="W154" s="3" t="str">
        <f t="shared" si="150"/>
        <v/>
      </c>
      <c r="X154" s="3" t="str">
        <f t="shared" si="150"/>
        <v/>
      </c>
      <c r="Y154" s="3" t="str">
        <f t="shared" si="150"/>
        <v/>
      </c>
      <c r="Z154" s="3" t="str">
        <f t="shared" si="150"/>
        <v/>
      </c>
      <c r="AA154" s="3" t="str">
        <f t="shared" si="150"/>
        <v/>
      </c>
      <c r="AB154" s="3" t="str">
        <f t="shared" si="150"/>
        <v/>
      </c>
      <c r="AC154" s="3" t="str">
        <f t="shared" si="150"/>
        <v/>
      </c>
      <c r="AD154" s="3" t="str">
        <f t="shared" si="150"/>
        <v/>
      </c>
      <c r="AE154" s="3" t="str">
        <f t="shared" si="150"/>
        <v/>
      </c>
      <c r="AF154" s="3" t="str">
        <f t="shared" si="150"/>
        <v/>
      </c>
      <c r="AG154" s="3" t="str">
        <f t="shared" si="150"/>
        <v/>
      </c>
      <c r="AH154" s="3" t="str">
        <f t="shared" si="128"/>
        <v/>
      </c>
      <c r="AI154" s="3" t="str">
        <f t="shared" si="128"/>
        <v/>
      </c>
      <c r="AJ154" s="3" t="str">
        <f t="shared" si="128"/>
        <v/>
      </c>
      <c r="AK154" s="3" t="str">
        <f t="shared" si="128"/>
        <v/>
      </c>
      <c r="AL154" s="3" t="str">
        <f t="shared" si="128"/>
        <v/>
      </c>
      <c r="AM154" s="3" t="str">
        <f t="shared" si="128"/>
        <v/>
      </c>
      <c r="AN154" s="3" t="str">
        <f t="shared" si="128"/>
        <v/>
      </c>
      <c r="AO154" s="3" t="str">
        <f t="shared" si="128"/>
        <v/>
      </c>
      <c r="AP154" s="3" t="str">
        <f t="shared" si="128"/>
        <v/>
      </c>
      <c r="AQ154" s="3" t="str">
        <f t="shared" si="128"/>
        <v/>
      </c>
      <c r="AR154" s="3" t="str">
        <f t="shared" si="128"/>
        <v/>
      </c>
      <c r="AS154" s="3" t="str">
        <f t="shared" si="128"/>
        <v/>
      </c>
      <c r="AT154" s="3" t="str">
        <f t="shared" si="128"/>
        <v/>
      </c>
      <c r="AU154" s="3" t="str">
        <f t="shared" si="128"/>
        <v>X</v>
      </c>
      <c r="AV154" s="3" t="str">
        <f t="shared" si="128"/>
        <v/>
      </c>
      <c r="AW154" s="3" t="str">
        <f t="shared" si="124"/>
        <v/>
      </c>
      <c r="AX154" s="3" t="str">
        <f t="shared" si="125"/>
        <v/>
      </c>
      <c r="AY154" s="3" t="str">
        <f t="shared" si="126"/>
        <v/>
      </c>
      <c r="AZ154" s="3" t="str">
        <f t="shared" si="127"/>
        <v>X</v>
      </c>
      <c r="BA154" s="3" t="str">
        <f t="shared" si="129"/>
        <v/>
      </c>
      <c r="BB154" s="3" t="str">
        <f t="shared" si="130"/>
        <v/>
      </c>
      <c r="BC154" s="3" t="str">
        <f t="shared" si="131"/>
        <v/>
      </c>
      <c r="BD154" s="3">
        <f t="shared" si="132"/>
        <v>1923</v>
      </c>
      <c r="BE154" s="9" t="str">
        <f t="shared" si="133"/>
        <v/>
      </c>
      <c r="BF154" s="9" t="str">
        <f t="shared" si="134"/>
        <v/>
      </c>
      <c r="BG154" s="9" t="str">
        <f t="shared" si="135"/>
        <v/>
      </c>
      <c r="BH154" s="9" t="str">
        <f t="shared" si="136"/>
        <v>783</v>
      </c>
      <c r="BI154" s="3" t="str">
        <f t="shared" si="137"/>
        <v/>
      </c>
      <c r="BJ154" s="3" t="str">
        <f t="shared" si="138"/>
        <v/>
      </c>
      <c r="BK154" s="3" t="str">
        <f t="shared" si="139"/>
        <v/>
      </c>
      <c r="BL154" s="3" t="str">
        <f t="shared" si="140"/>
        <v>(1)</v>
      </c>
      <c r="BM154" s="3" t="str">
        <f t="shared" si="141"/>
        <v/>
      </c>
      <c r="BN154" s="3" t="str">
        <f t="shared" si="142"/>
        <v/>
      </c>
      <c r="BO154" s="3" t="str">
        <f t="shared" si="143"/>
        <v/>
      </c>
      <c r="BP154" s="3">
        <f t="shared" si="144"/>
        <v>0</v>
      </c>
      <c r="BQ154" s="3" t="str">
        <f t="shared" si="145"/>
        <v/>
      </c>
      <c r="BR154" s="3" t="str">
        <f t="shared" si="146"/>
        <v/>
      </c>
      <c r="BS154" s="3" t="str">
        <f t="shared" si="147"/>
        <v/>
      </c>
      <c r="BT154" s="3" t="str">
        <f t="shared" si="148"/>
        <v/>
      </c>
    </row>
    <row r="155" spans="2:72" x14ac:dyDescent="0.25">
      <c r="B155" s="3" t="s">
        <v>364</v>
      </c>
      <c r="C155" s="3" t="s">
        <v>499</v>
      </c>
      <c r="D155" s="3" t="s">
        <v>0</v>
      </c>
      <c r="E155" s="3" t="s">
        <v>1063</v>
      </c>
      <c r="F155" s="3" t="s">
        <v>132</v>
      </c>
      <c r="G155" s="3" t="s">
        <v>289</v>
      </c>
      <c r="H155" s="3" t="s">
        <v>264</v>
      </c>
      <c r="I155" s="3" t="s">
        <v>24</v>
      </c>
      <c r="J155" s="3">
        <v>1</v>
      </c>
      <c r="K155" s="3" t="s">
        <v>23</v>
      </c>
      <c r="L155" s="3" t="s">
        <v>23</v>
      </c>
      <c r="M155" s="3">
        <v>480</v>
      </c>
      <c r="N155" s="3" t="str">
        <f t="shared" si="149"/>
        <v>1E0</v>
      </c>
      <c r="O155" s="3">
        <v>0</v>
      </c>
      <c r="P155" s="3">
        <v>0</v>
      </c>
      <c r="Q155" s="3" t="str">
        <f t="shared" si="151"/>
        <v/>
      </c>
      <c r="R155" s="3" t="str">
        <f t="shared" si="150"/>
        <v/>
      </c>
      <c r="S155" s="3" t="str">
        <f t="shared" si="150"/>
        <v/>
      </c>
      <c r="T155" s="3" t="str">
        <f t="shared" si="150"/>
        <v/>
      </c>
      <c r="U155" s="3" t="str">
        <f t="shared" si="150"/>
        <v/>
      </c>
      <c r="V155" s="3" t="str">
        <f t="shared" si="150"/>
        <v/>
      </c>
      <c r="W155" s="3" t="str">
        <f t="shared" si="150"/>
        <v/>
      </c>
      <c r="X155" s="3" t="str">
        <f t="shared" si="150"/>
        <v/>
      </c>
      <c r="Y155" s="3" t="str">
        <f t="shared" si="150"/>
        <v/>
      </c>
      <c r="Z155" s="3" t="str">
        <f t="shared" si="150"/>
        <v/>
      </c>
      <c r="AA155" s="3" t="str">
        <f t="shared" si="150"/>
        <v/>
      </c>
      <c r="AB155" s="3" t="str">
        <f t="shared" si="150"/>
        <v/>
      </c>
      <c r="AC155" s="3" t="str">
        <f t="shared" si="150"/>
        <v/>
      </c>
      <c r="AD155" s="3" t="str">
        <f t="shared" si="150"/>
        <v/>
      </c>
      <c r="AE155" s="3" t="str">
        <f t="shared" si="150"/>
        <v/>
      </c>
      <c r="AF155" s="3" t="str">
        <f t="shared" si="150"/>
        <v/>
      </c>
      <c r="AG155" s="3" t="str">
        <f t="shared" si="150"/>
        <v/>
      </c>
      <c r="AH155" s="3" t="str">
        <f t="shared" si="128"/>
        <v/>
      </c>
      <c r="AI155" s="3" t="str">
        <f t="shared" si="128"/>
        <v/>
      </c>
      <c r="AJ155" s="3" t="str">
        <f t="shared" si="128"/>
        <v/>
      </c>
      <c r="AK155" s="3" t="str">
        <f t="shared" si="128"/>
        <v/>
      </c>
      <c r="AL155" s="3" t="str">
        <f t="shared" si="128"/>
        <v/>
      </c>
      <c r="AM155" s="3" t="str">
        <f t="shared" si="128"/>
        <v/>
      </c>
      <c r="AN155" s="3" t="str">
        <f t="shared" si="128"/>
        <v/>
      </c>
      <c r="AO155" s="3" t="str">
        <f t="shared" si="128"/>
        <v/>
      </c>
      <c r="AP155" s="3" t="str">
        <f t="shared" si="128"/>
        <v/>
      </c>
      <c r="AQ155" s="3" t="str">
        <f t="shared" si="128"/>
        <v/>
      </c>
      <c r="AR155" s="3" t="str">
        <f t="shared" si="128"/>
        <v/>
      </c>
      <c r="AS155" s="3" t="str">
        <f t="shared" si="128"/>
        <v/>
      </c>
      <c r="AT155" s="3" t="str">
        <f t="shared" si="128"/>
        <v/>
      </c>
      <c r="AU155" s="3" t="str">
        <f t="shared" si="128"/>
        <v/>
      </c>
      <c r="AV155" s="3" t="str">
        <f t="shared" si="128"/>
        <v>X</v>
      </c>
      <c r="AW155" s="3" t="str">
        <f t="shared" si="124"/>
        <v/>
      </c>
      <c r="AX155" s="3" t="str">
        <f t="shared" si="125"/>
        <v/>
      </c>
      <c r="AY155" s="3" t="str">
        <f t="shared" si="126"/>
        <v/>
      </c>
      <c r="AZ155" s="3" t="str">
        <f t="shared" si="127"/>
        <v>X</v>
      </c>
      <c r="BA155" s="3" t="str">
        <f t="shared" si="129"/>
        <v/>
      </c>
      <c r="BB155" s="3" t="str">
        <f t="shared" si="130"/>
        <v/>
      </c>
      <c r="BC155" s="3" t="str">
        <f t="shared" si="131"/>
        <v/>
      </c>
      <c r="BD155" s="3">
        <f t="shared" si="132"/>
        <v>1923</v>
      </c>
      <c r="BE155" s="9" t="str">
        <f t="shared" si="133"/>
        <v/>
      </c>
      <c r="BF155" s="9" t="str">
        <f t="shared" si="134"/>
        <v/>
      </c>
      <c r="BG155" s="9" t="str">
        <f t="shared" si="135"/>
        <v/>
      </c>
      <c r="BH155" s="9" t="str">
        <f t="shared" si="136"/>
        <v>783</v>
      </c>
      <c r="BI155" s="3" t="str">
        <f t="shared" si="137"/>
        <v/>
      </c>
      <c r="BJ155" s="3" t="str">
        <f t="shared" si="138"/>
        <v/>
      </c>
      <c r="BK155" s="3" t="str">
        <f t="shared" si="139"/>
        <v/>
      </c>
      <c r="BL155" s="3" t="str">
        <f t="shared" si="140"/>
        <v>(0)</v>
      </c>
      <c r="BM155" s="3" t="str">
        <f t="shared" si="141"/>
        <v/>
      </c>
      <c r="BN155" s="3" t="str">
        <f t="shared" si="142"/>
        <v/>
      </c>
      <c r="BO155" s="3" t="str">
        <f t="shared" si="143"/>
        <v/>
      </c>
      <c r="BP155" s="3">
        <f t="shared" si="144"/>
        <v>0</v>
      </c>
      <c r="BQ155" s="3" t="str">
        <f t="shared" si="145"/>
        <v/>
      </c>
      <c r="BR155" s="3" t="str">
        <f t="shared" si="146"/>
        <v/>
      </c>
      <c r="BS155" s="3" t="str">
        <f t="shared" si="147"/>
        <v/>
      </c>
      <c r="BT155" s="3" t="str">
        <f t="shared" si="148"/>
        <v/>
      </c>
    </row>
    <row r="156" spans="2:72" x14ac:dyDescent="0.25">
      <c r="B156" s="3" t="s">
        <v>364</v>
      </c>
      <c r="C156" s="3" t="s">
        <v>377</v>
      </c>
      <c r="D156" s="3" t="s">
        <v>1</v>
      </c>
      <c r="E156" s="3" t="s">
        <v>1062</v>
      </c>
      <c r="F156" s="3" t="s">
        <v>132</v>
      </c>
      <c r="G156" s="3" t="s">
        <v>941</v>
      </c>
      <c r="H156" s="3" t="s">
        <v>245</v>
      </c>
      <c r="I156" s="3" t="s">
        <v>24</v>
      </c>
      <c r="J156" s="3">
        <v>8</v>
      </c>
      <c r="K156" s="3" t="s">
        <v>23</v>
      </c>
      <c r="L156" s="3" t="s">
        <v>23</v>
      </c>
      <c r="M156" s="3">
        <v>480</v>
      </c>
      <c r="N156" s="3" t="str">
        <f t="shared" si="149"/>
        <v>1E0</v>
      </c>
      <c r="O156" s="3">
        <v>31</v>
      </c>
      <c r="P156" s="3">
        <v>24</v>
      </c>
      <c r="Q156" s="3" t="str">
        <f t="shared" si="151"/>
        <v>X</v>
      </c>
      <c r="R156" s="3" t="str">
        <f t="shared" si="150"/>
        <v>X</v>
      </c>
      <c r="S156" s="3" t="str">
        <f t="shared" si="150"/>
        <v>X</v>
      </c>
      <c r="T156" s="3" t="str">
        <f t="shared" si="150"/>
        <v>X</v>
      </c>
      <c r="U156" s="3" t="str">
        <f t="shared" si="150"/>
        <v>X</v>
      </c>
      <c r="V156" s="3" t="str">
        <f t="shared" si="150"/>
        <v>X</v>
      </c>
      <c r="W156" s="3" t="str">
        <f t="shared" si="150"/>
        <v>X</v>
      </c>
      <c r="X156" s="3" t="str">
        <f t="shared" si="150"/>
        <v>X</v>
      </c>
      <c r="Y156" s="3" t="str">
        <f t="shared" si="150"/>
        <v/>
      </c>
      <c r="Z156" s="3" t="str">
        <f t="shared" si="150"/>
        <v/>
      </c>
      <c r="AA156" s="3" t="str">
        <f t="shared" si="150"/>
        <v/>
      </c>
      <c r="AB156" s="3" t="str">
        <f t="shared" si="150"/>
        <v/>
      </c>
      <c r="AC156" s="3" t="str">
        <f t="shared" si="150"/>
        <v/>
      </c>
      <c r="AD156" s="3" t="str">
        <f t="shared" si="150"/>
        <v/>
      </c>
      <c r="AE156" s="3" t="str">
        <f t="shared" si="150"/>
        <v/>
      </c>
      <c r="AF156" s="3" t="str">
        <f t="shared" si="150"/>
        <v/>
      </c>
      <c r="AG156" s="3" t="str">
        <f t="shared" si="150"/>
        <v/>
      </c>
      <c r="AH156" s="3" t="str">
        <f t="shared" si="128"/>
        <v/>
      </c>
      <c r="AI156" s="3" t="str">
        <f t="shared" si="128"/>
        <v/>
      </c>
      <c r="AJ156" s="3" t="str">
        <f t="shared" si="128"/>
        <v/>
      </c>
      <c r="AK156" s="3" t="str">
        <f t="shared" si="128"/>
        <v/>
      </c>
      <c r="AL156" s="3" t="str">
        <f t="shared" si="128"/>
        <v/>
      </c>
      <c r="AM156" s="3" t="str">
        <f t="shared" si="128"/>
        <v/>
      </c>
      <c r="AN156" s="3" t="str">
        <f t="shared" si="128"/>
        <v/>
      </c>
      <c r="AO156" s="3" t="str">
        <f t="shared" si="128"/>
        <v/>
      </c>
      <c r="AP156" s="3" t="str">
        <f t="shared" si="128"/>
        <v/>
      </c>
      <c r="AQ156" s="3" t="str">
        <f t="shared" si="128"/>
        <v/>
      </c>
      <c r="AR156" s="3" t="str">
        <f t="shared" si="128"/>
        <v/>
      </c>
      <c r="AS156" s="3" t="str">
        <f t="shared" si="128"/>
        <v/>
      </c>
      <c r="AT156" s="3" t="str">
        <f t="shared" si="128"/>
        <v/>
      </c>
      <c r="AU156" s="3" t="str">
        <f t="shared" si="128"/>
        <v/>
      </c>
      <c r="AV156" s="3" t="str">
        <f t="shared" si="128"/>
        <v/>
      </c>
      <c r="AW156" s="3" t="str">
        <f t="shared" si="124"/>
        <v>X</v>
      </c>
      <c r="AX156" s="3" t="str">
        <f t="shared" si="125"/>
        <v/>
      </c>
      <c r="AY156" s="3" t="str">
        <f t="shared" si="126"/>
        <v/>
      </c>
      <c r="AZ156" s="3" t="str">
        <f t="shared" si="127"/>
        <v/>
      </c>
      <c r="BA156" s="3">
        <f t="shared" si="129"/>
        <v>1920</v>
      </c>
      <c r="BB156" s="3" t="str">
        <f t="shared" si="130"/>
        <v/>
      </c>
      <c r="BC156" s="3" t="str">
        <f t="shared" si="131"/>
        <v/>
      </c>
      <c r="BD156" s="3" t="str">
        <f t="shared" si="132"/>
        <v/>
      </c>
      <c r="BE156" s="9" t="str">
        <f t="shared" si="133"/>
        <v>780</v>
      </c>
      <c r="BF156" s="9" t="str">
        <f t="shared" si="134"/>
        <v/>
      </c>
      <c r="BG156" s="9" t="str">
        <f t="shared" si="135"/>
        <v/>
      </c>
      <c r="BH156" s="9" t="str">
        <f t="shared" si="136"/>
        <v/>
      </c>
      <c r="BI156" s="3" t="str">
        <f t="shared" si="137"/>
        <v/>
      </c>
      <c r="BJ156" s="3" t="str">
        <f t="shared" si="138"/>
        <v/>
      </c>
      <c r="BK156" s="3" t="str">
        <f t="shared" si="139"/>
        <v/>
      </c>
      <c r="BL156" s="3" t="str">
        <f t="shared" si="140"/>
        <v/>
      </c>
      <c r="BM156" s="3">
        <f t="shared" si="141"/>
        <v>7</v>
      </c>
      <c r="BN156" s="3" t="str">
        <f t="shared" si="142"/>
        <v/>
      </c>
      <c r="BO156" s="3" t="str">
        <f t="shared" si="143"/>
        <v/>
      </c>
      <c r="BP156" s="3" t="str">
        <f t="shared" si="144"/>
        <v/>
      </c>
      <c r="BQ156" s="3" t="str">
        <f t="shared" si="145"/>
        <v/>
      </c>
      <c r="BR156" s="3" t="str">
        <f t="shared" si="146"/>
        <v/>
      </c>
      <c r="BS156" s="3" t="str">
        <f t="shared" si="147"/>
        <v/>
      </c>
      <c r="BT156" s="3" t="str">
        <f t="shared" si="148"/>
        <v/>
      </c>
    </row>
    <row r="157" spans="2:72" x14ac:dyDescent="0.25">
      <c r="B157" s="3" t="s">
        <v>365</v>
      </c>
      <c r="C157" s="3" t="s">
        <v>500</v>
      </c>
      <c r="D157" s="3" t="s">
        <v>0</v>
      </c>
      <c r="E157" s="3" t="s">
        <v>1063</v>
      </c>
      <c r="F157" s="3" t="s">
        <v>133</v>
      </c>
      <c r="G157" s="3" t="s">
        <v>290</v>
      </c>
      <c r="H157" s="3" t="s">
        <v>246</v>
      </c>
      <c r="I157" s="3" t="s">
        <v>24</v>
      </c>
      <c r="J157" s="3">
        <v>16</v>
      </c>
      <c r="K157" s="3" t="s">
        <v>23</v>
      </c>
      <c r="L157" s="3" t="s">
        <v>23</v>
      </c>
      <c r="M157" s="3">
        <v>481</v>
      </c>
      <c r="N157" s="3" t="str">
        <f t="shared" si="149"/>
        <v>1E1</v>
      </c>
      <c r="O157" s="3">
        <v>31</v>
      </c>
      <c r="P157" s="3">
        <v>16</v>
      </c>
      <c r="Q157" s="3" t="str">
        <f t="shared" si="151"/>
        <v>X</v>
      </c>
      <c r="R157" s="3" t="str">
        <f t="shared" si="150"/>
        <v>X</v>
      </c>
      <c r="S157" s="3" t="str">
        <f t="shared" si="150"/>
        <v>X</v>
      </c>
      <c r="T157" s="3" t="str">
        <f t="shared" si="150"/>
        <v>X</v>
      </c>
      <c r="U157" s="3" t="str">
        <f t="shared" si="150"/>
        <v>X</v>
      </c>
      <c r="V157" s="3" t="str">
        <f t="shared" si="150"/>
        <v>X</v>
      </c>
      <c r="W157" s="3" t="str">
        <f t="shared" si="150"/>
        <v>X</v>
      </c>
      <c r="X157" s="3" t="str">
        <f t="shared" si="150"/>
        <v>X</v>
      </c>
      <c r="Y157" s="3" t="str">
        <f t="shared" si="150"/>
        <v>X</v>
      </c>
      <c r="Z157" s="3" t="str">
        <f t="shared" si="150"/>
        <v>X</v>
      </c>
      <c r="AA157" s="3" t="str">
        <f t="shared" si="150"/>
        <v>X</v>
      </c>
      <c r="AB157" s="3" t="str">
        <f t="shared" si="150"/>
        <v>X</v>
      </c>
      <c r="AC157" s="3" t="str">
        <f t="shared" si="150"/>
        <v>X</v>
      </c>
      <c r="AD157" s="3" t="str">
        <f t="shared" si="150"/>
        <v>X</v>
      </c>
      <c r="AE157" s="3" t="str">
        <f t="shared" si="150"/>
        <v>X</v>
      </c>
      <c r="AF157" s="3" t="str">
        <f t="shared" si="150"/>
        <v>X</v>
      </c>
      <c r="AG157" s="3" t="str">
        <f t="shared" si="150"/>
        <v/>
      </c>
      <c r="AH157" s="3" t="str">
        <f t="shared" si="128"/>
        <v/>
      </c>
      <c r="AI157" s="3" t="str">
        <f t="shared" si="128"/>
        <v/>
      </c>
      <c r="AJ157" s="3" t="str">
        <f t="shared" si="128"/>
        <v/>
      </c>
      <c r="AK157" s="3" t="str">
        <f t="shared" si="128"/>
        <v/>
      </c>
      <c r="AL157" s="3" t="str">
        <f t="shared" si="128"/>
        <v/>
      </c>
      <c r="AM157" s="3" t="str">
        <f t="shared" si="128"/>
        <v/>
      </c>
      <c r="AN157" s="3" t="str">
        <f t="shared" si="128"/>
        <v/>
      </c>
      <c r="AO157" s="3" t="str">
        <f t="shared" si="128"/>
        <v/>
      </c>
      <c r="AP157" s="3" t="str">
        <f t="shared" si="128"/>
        <v/>
      </c>
      <c r="AQ157" s="3" t="str">
        <f t="shared" si="128"/>
        <v/>
      </c>
      <c r="AR157" s="3" t="str">
        <f t="shared" si="128"/>
        <v/>
      </c>
      <c r="AS157" s="3" t="str">
        <f t="shared" si="128"/>
        <v/>
      </c>
      <c r="AT157" s="3" t="str">
        <f t="shared" si="128"/>
        <v/>
      </c>
      <c r="AU157" s="3" t="str">
        <f t="shared" si="128"/>
        <v/>
      </c>
      <c r="AV157" s="3" t="str">
        <f t="shared" si="128"/>
        <v/>
      </c>
      <c r="AW157" s="3" t="str">
        <f t="shared" si="124"/>
        <v>X</v>
      </c>
      <c r="AX157" s="3" t="str">
        <f t="shared" si="125"/>
        <v>X</v>
      </c>
      <c r="AY157" s="3" t="str">
        <f t="shared" si="126"/>
        <v/>
      </c>
      <c r="AZ157" s="3" t="str">
        <f t="shared" si="127"/>
        <v/>
      </c>
      <c r="BA157" s="3">
        <f t="shared" si="129"/>
        <v>1924</v>
      </c>
      <c r="BB157" s="3">
        <f t="shared" si="130"/>
        <v>1925</v>
      </c>
      <c r="BC157" s="3" t="str">
        <f t="shared" si="131"/>
        <v/>
      </c>
      <c r="BD157" s="3" t="str">
        <f t="shared" si="132"/>
        <v/>
      </c>
      <c r="BE157" s="9" t="str">
        <f t="shared" si="133"/>
        <v>784</v>
      </c>
      <c r="BF157" s="9" t="str">
        <f t="shared" si="134"/>
        <v>785</v>
      </c>
      <c r="BG157" s="9" t="str">
        <f t="shared" si="135"/>
        <v/>
      </c>
      <c r="BH157" s="9" t="str">
        <f t="shared" si="136"/>
        <v/>
      </c>
      <c r="BI157" s="3" t="str">
        <f t="shared" si="137"/>
        <v/>
      </c>
      <c r="BJ157" s="3" t="str">
        <f t="shared" si="138"/>
        <v/>
      </c>
      <c r="BK157" s="3" t="str">
        <f t="shared" si="139"/>
        <v/>
      </c>
      <c r="BL157" s="3" t="str">
        <f t="shared" si="140"/>
        <v/>
      </c>
      <c r="BM157" s="3">
        <f t="shared" si="141"/>
        <v>15</v>
      </c>
      <c r="BN157" s="3">
        <f t="shared" si="142"/>
        <v>7</v>
      </c>
      <c r="BO157" s="3" t="str">
        <f t="shared" si="143"/>
        <v/>
      </c>
      <c r="BP157" s="3" t="str">
        <f t="shared" si="144"/>
        <v/>
      </c>
      <c r="BQ157" s="3" t="str">
        <f t="shared" si="145"/>
        <v>(15 downto 8)</v>
      </c>
      <c r="BR157" s="3" t="str">
        <f t="shared" si="146"/>
        <v>(7 downto 0)</v>
      </c>
      <c r="BS157" s="3" t="str">
        <f t="shared" si="147"/>
        <v/>
      </c>
      <c r="BT157" s="3" t="str">
        <f t="shared" si="148"/>
        <v/>
      </c>
    </row>
    <row r="158" spans="2:72" x14ac:dyDescent="0.25">
      <c r="B158" s="3" t="s">
        <v>365</v>
      </c>
      <c r="C158" s="3" t="s">
        <v>378</v>
      </c>
      <c r="D158" s="3" t="s">
        <v>1</v>
      </c>
      <c r="E158" s="3" t="s">
        <v>1062</v>
      </c>
      <c r="F158" s="3" t="s">
        <v>133</v>
      </c>
      <c r="G158" s="3" t="s">
        <v>942</v>
      </c>
      <c r="H158" s="3" t="s">
        <v>247</v>
      </c>
      <c r="I158" s="3" t="s">
        <v>24</v>
      </c>
      <c r="J158" s="3">
        <v>10</v>
      </c>
      <c r="K158" s="3" t="s">
        <v>23</v>
      </c>
      <c r="L158" s="3" t="s">
        <v>23</v>
      </c>
      <c r="M158" s="3">
        <v>481</v>
      </c>
      <c r="N158" s="3" t="str">
        <f t="shared" si="149"/>
        <v>1E1</v>
      </c>
      <c r="O158" s="3">
        <v>15</v>
      </c>
      <c r="P158" s="3">
        <v>6</v>
      </c>
      <c r="Q158" s="3" t="str">
        <f t="shared" si="151"/>
        <v/>
      </c>
      <c r="R158" s="3" t="str">
        <f t="shared" si="150"/>
        <v/>
      </c>
      <c r="S158" s="3" t="str">
        <f t="shared" si="150"/>
        <v/>
      </c>
      <c r="T158" s="3" t="str">
        <f t="shared" si="150"/>
        <v/>
      </c>
      <c r="U158" s="3" t="str">
        <f t="shared" si="150"/>
        <v/>
      </c>
      <c r="V158" s="3" t="str">
        <f t="shared" si="150"/>
        <v/>
      </c>
      <c r="W158" s="3" t="str">
        <f t="shared" si="150"/>
        <v/>
      </c>
      <c r="X158" s="3" t="str">
        <f t="shared" si="150"/>
        <v/>
      </c>
      <c r="Y158" s="3" t="str">
        <f t="shared" si="150"/>
        <v/>
      </c>
      <c r="Z158" s="3" t="str">
        <f t="shared" si="150"/>
        <v/>
      </c>
      <c r="AA158" s="3" t="str">
        <f t="shared" si="150"/>
        <v/>
      </c>
      <c r="AB158" s="3" t="str">
        <f t="shared" si="150"/>
        <v/>
      </c>
      <c r="AC158" s="3" t="str">
        <f t="shared" si="150"/>
        <v/>
      </c>
      <c r="AD158" s="3" t="str">
        <f t="shared" si="150"/>
        <v/>
      </c>
      <c r="AE158" s="3" t="str">
        <f t="shared" si="150"/>
        <v/>
      </c>
      <c r="AF158" s="3" t="str">
        <f t="shared" si="150"/>
        <v/>
      </c>
      <c r="AG158" s="3" t="str">
        <f t="shared" si="150"/>
        <v>X</v>
      </c>
      <c r="AH158" s="3" t="str">
        <f t="shared" si="128"/>
        <v>X</v>
      </c>
      <c r="AI158" s="3" t="str">
        <f t="shared" si="128"/>
        <v>X</v>
      </c>
      <c r="AJ158" s="3" t="str">
        <f t="shared" si="128"/>
        <v>X</v>
      </c>
      <c r="AK158" s="3" t="str">
        <f t="shared" si="128"/>
        <v>X</v>
      </c>
      <c r="AL158" s="3" t="str">
        <f t="shared" si="128"/>
        <v>X</v>
      </c>
      <c r="AM158" s="3" t="str">
        <f t="shared" si="128"/>
        <v>X</v>
      </c>
      <c r="AN158" s="3" t="str">
        <f t="shared" si="128"/>
        <v>X</v>
      </c>
      <c r="AO158" s="3" t="str">
        <f t="shared" si="128"/>
        <v>X</v>
      </c>
      <c r="AP158" s="3" t="str">
        <f t="shared" si="128"/>
        <v>X</v>
      </c>
      <c r="AQ158" s="3" t="str">
        <f t="shared" si="128"/>
        <v/>
      </c>
      <c r="AR158" s="3" t="str">
        <f t="shared" si="128"/>
        <v/>
      </c>
      <c r="AS158" s="3" t="str">
        <f t="shared" si="128"/>
        <v/>
      </c>
      <c r="AT158" s="3" t="str">
        <f t="shared" si="128"/>
        <v/>
      </c>
      <c r="AU158" s="3" t="str">
        <f t="shared" si="128"/>
        <v/>
      </c>
      <c r="AV158" s="3" t="str">
        <f t="shared" si="128"/>
        <v/>
      </c>
      <c r="AW158" s="3" t="str">
        <f t="shared" si="124"/>
        <v/>
      </c>
      <c r="AX158" s="3" t="str">
        <f t="shared" si="125"/>
        <v/>
      </c>
      <c r="AY158" s="3" t="str">
        <f t="shared" si="126"/>
        <v>X</v>
      </c>
      <c r="AZ158" s="3" t="str">
        <f t="shared" si="127"/>
        <v>X</v>
      </c>
      <c r="BA158" s="3" t="str">
        <f t="shared" si="129"/>
        <v/>
      </c>
      <c r="BB158" s="3" t="str">
        <f t="shared" si="130"/>
        <v/>
      </c>
      <c r="BC158" s="3">
        <f t="shared" si="131"/>
        <v>1926</v>
      </c>
      <c r="BD158" s="3">
        <f t="shared" si="132"/>
        <v>1927</v>
      </c>
      <c r="BE158" s="9" t="str">
        <f t="shared" si="133"/>
        <v/>
      </c>
      <c r="BF158" s="9" t="str">
        <f t="shared" si="134"/>
        <v/>
      </c>
      <c r="BG158" s="9" t="str">
        <f t="shared" si="135"/>
        <v>786</v>
      </c>
      <c r="BH158" s="9" t="str">
        <f t="shared" si="136"/>
        <v>787</v>
      </c>
      <c r="BI158" s="3" t="str">
        <f t="shared" si="137"/>
        <v/>
      </c>
      <c r="BJ158" s="3" t="str">
        <f t="shared" si="138"/>
        <v/>
      </c>
      <c r="BK158" s="3" t="str">
        <f t="shared" si="139"/>
        <v/>
      </c>
      <c r="BL158" s="3" t="str">
        <f t="shared" si="140"/>
        <v>(7 downto 6)</v>
      </c>
      <c r="BM158" s="3" t="str">
        <f t="shared" si="141"/>
        <v/>
      </c>
      <c r="BN158" s="3" t="str">
        <f t="shared" si="142"/>
        <v/>
      </c>
      <c r="BO158" s="3">
        <f t="shared" si="143"/>
        <v>9</v>
      </c>
      <c r="BP158" s="3">
        <f t="shared" si="144"/>
        <v>1</v>
      </c>
      <c r="BQ158" s="3" t="str">
        <f t="shared" si="145"/>
        <v/>
      </c>
      <c r="BR158" s="3" t="str">
        <f t="shared" si="146"/>
        <v/>
      </c>
      <c r="BS158" s="3" t="str">
        <f t="shared" si="147"/>
        <v>(9 downto 2)</v>
      </c>
      <c r="BT158" s="3" t="str">
        <f t="shared" si="148"/>
        <v>(1 downto 0)</v>
      </c>
    </row>
    <row r="159" spans="2:72" x14ac:dyDescent="0.25">
      <c r="B159" s="3" t="s">
        <v>365</v>
      </c>
      <c r="C159" s="3" t="s">
        <v>501</v>
      </c>
      <c r="D159" s="3" t="s">
        <v>1</v>
      </c>
      <c r="E159" s="3" t="s">
        <v>1062</v>
      </c>
      <c r="F159" s="3" t="s">
        <v>133</v>
      </c>
      <c r="G159" s="3" t="s">
        <v>942</v>
      </c>
      <c r="H159" s="3" t="s">
        <v>248</v>
      </c>
      <c r="I159" s="3" t="s">
        <v>24</v>
      </c>
      <c r="J159" s="3">
        <v>4</v>
      </c>
      <c r="K159" s="3" t="s">
        <v>23</v>
      </c>
      <c r="L159" s="3" t="s">
        <v>23</v>
      </c>
      <c r="M159" s="3">
        <v>481</v>
      </c>
      <c r="N159" s="3" t="str">
        <f t="shared" si="149"/>
        <v>1E1</v>
      </c>
      <c r="O159" s="3">
        <v>5</v>
      </c>
      <c r="P159" s="3">
        <v>2</v>
      </c>
      <c r="Q159" s="3" t="str">
        <f t="shared" si="151"/>
        <v/>
      </c>
      <c r="R159" s="3" t="str">
        <f t="shared" si="150"/>
        <v/>
      </c>
      <c r="S159" s="3" t="str">
        <f t="shared" si="150"/>
        <v/>
      </c>
      <c r="T159" s="3" t="str">
        <f t="shared" si="150"/>
        <v/>
      </c>
      <c r="U159" s="3" t="str">
        <f t="shared" si="150"/>
        <v/>
      </c>
      <c r="V159" s="3" t="str">
        <f t="shared" si="150"/>
        <v/>
      </c>
      <c r="W159" s="3" t="str">
        <f t="shared" si="150"/>
        <v/>
      </c>
      <c r="X159" s="3" t="str">
        <f t="shared" si="150"/>
        <v/>
      </c>
      <c r="Y159" s="3" t="str">
        <f t="shared" si="150"/>
        <v/>
      </c>
      <c r="Z159" s="3" t="str">
        <f t="shared" si="150"/>
        <v/>
      </c>
      <c r="AA159" s="3" t="str">
        <f t="shared" si="150"/>
        <v/>
      </c>
      <c r="AB159" s="3" t="str">
        <f t="shared" si="150"/>
        <v/>
      </c>
      <c r="AC159" s="3" t="str">
        <f t="shared" si="150"/>
        <v/>
      </c>
      <c r="AD159" s="3" t="str">
        <f t="shared" si="150"/>
        <v/>
      </c>
      <c r="AE159" s="3" t="str">
        <f t="shared" si="150"/>
        <v/>
      </c>
      <c r="AF159" s="3" t="str">
        <f t="shared" si="150"/>
        <v/>
      </c>
      <c r="AG159" s="3" t="str">
        <f t="shared" si="150"/>
        <v/>
      </c>
      <c r="AH159" s="3" t="str">
        <f t="shared" si="128"/>
        <v/>
      </c>
      <c r="AI159" s="3" t="str">
        <f t="shared" si="128"/>
        <v/>
      </c>
      <c r="AJ159" s="3" t="str">
        <f t="shared" si="128"/>
        <v/>
      </c>
      <c r="AK159" s="3" t="str">
        <f t="shared" si="128"/>
        <v/>
      </c>
      <c r="AL159" s="3" t="str">
        <f t="shared" si="128"/>
        <v/>
      </c>
      <c r="AM159" s="3" t="str">
        <f t="shared" si="128"/>
        <v/>
      </c>
      <c r="AN159" s="3" t="str">
        <f t="shared" si="128"/>
        <v/>
      </c>
      <c r="AO159" s="3" t="str">
        <f t="shared" si="128"/>
        <v/>
      </c>
      <c r="AP159" s="3" t="str">
        <f t="shared" si="128"/>
        <v/>
      </c>
      <c r="AQ159" s="3" t="str">
        <f t="shared" si="128"/>
        <v>X</v>
      </c>
      <c r="AR159" s="3" t="str">
        <f t="shared" si="128"/>
        <v>X</v>
      </c>
      <c r="AS159" s="3" t="str">
        <f t="shared" si="128"/>
        <v>X</v>
      </c>
      <c r="AT159" s="3" t="str">
        <f t="shared" si="128"/>
        <v>X</v>
      </c>
      <c r="AU159" s="3" t="str">
        <f t="shared" si="128"/>
        <v/>
      </c>
      <c r="AV159" s="3" t="str">
        <f t="shared" si="128"/>
        <v/>
      </c>
      <c r="AW159" s="3" t="str">
        <f t="shared" si="124"/>
        <v/>
      </c>
      <c r="AX159" s="3" t="str">
        <f t="shared" si="125"/>
        <v/>
      </c>
      <c r="AY159" s="3" t="str">
        <f t="shared" si="126"/>
        <v/>
      </c>
      <c r="AZ159" s="3" t="str">
        <f t="shared" si="127"/>
        <v>X</v>
      </c>
      <c r="BA159" s="3" t="str">
        <f t="shared" si="129"/>
        <v/>
      </c>
      <c r="BB159" s="3" t="str">
        <f t="shared" si="130"/>
        <v/>
      </c>
      <c r="BC159" s="3" t="str">
        <f t="shared" si="131"/>
        <v/>
      </c>
      <c r="BD159" s="3">
        <f t="shared" si="132"/>
        <v>1927</v>
      </c>
      <c r="BE159" s="9" t="str">
        <f t="shared" si="133"/>
        <v/>
      </c>
      <c r="BF159" s="9" t="str">
        <f t="shared" si="134"/>
        <v/>
      </c>
      <c r="BG159" s="9" t="str">
        <f t="shared" si="135"/>
        <v/>
      </c>
      <c r="BH159" s="9" t="str">
        <f t="shared" si="136"/>
        <v>787</v>
      </c>
      <c r="BI159" s="3" t="str">
        <f t="shared" si="137"/>
        <v/>
      </c>
      <c r="BJ159" s="3" t="str">
        <f t="shared" si="138"/>
        <v/>
      </c>
      <c r="BK159" s="3" t="str">
        <f t="shared" si="139"/>
        <v/>
      </c>
      <c r="BL159" s="3" t="str">
        <f t="shared" si="140"/>
        <v>(5 downto 2)</v>
      </c>
      <c r="BM159" s="3" t="str">
        <f t="shared" si="141"/>
        <v/>
      </c>
      <c r="BN159" s="3" t="str">
        <f t="shared" si="142"/>
        <v/>
      </c>
      <c r="BO159" s="3" t="str">
        <f t="shared" si="143"/>
        <v/>
      </c>
      <c r="BP159" s="3">
        <f t="shared" si="144"/>
        <v>3</v>
      </c>
      <c r="BQ159" s="3" t="str">
        <f t="shared" si="145"/>
        <v/>
      </c>
      <c r="BR159" s="3" t="str">
        <f t="shared" si="146"/>
        <v/>
      </c>
      <c r="BS159" s="3" t="str">
        <f t="shared" si="147"/>
        <v/>
      </c>
      <c r="BT159" s="3" t="str">
        <f t="shared" si="148"/>
        <v/>
      </c>
    </row>
    <row r="160" spans="2:72" x14ac:dyDescent="0.25">
      <c r="B160" s="3" t="s">
        <v>365</v>
      </c>
      <c r="C160" s="3" t="s">
        <v>502</v>
      </c>
      <c r="D160" s="3" t="s">
        <v>0</v>
      </c>
      <c r="E160" s="3" t="s">
        <v>1063</v>
      </c>
      <c r="F160" s="3" t="s">
        <v>133</v>
      </c>
      <c r="G160" s="3" t="s">
        <v>290</v>
      </c>
      <c r="H160" s="3" t="s">
        <v>249</v>
      </c>
      <c r="I160" s="3" t="s">
        <v>24</v>
      </c>
      <c r="J160" s="3">
        <v>2</v>
      </c>
      <c r="K160" s="3" t="s">
        <v>23</v>
      </c>
      <c r="L160" s="3" t="s">
        <v>23</v>
      </c>
      <c r="M160" s="3">
        <v>481</v>
      </c>
      <c r="N160" s="3" t="str">
        <f t="shared" si="149"/>
        <v>1E1</v>
      </c>
      <c r="O160" s="3">
        <v>1</v>
      </c>
      <c r="P160" s="3">
        <v>0</v>
      </c>
      <c r="Q160" s="3" t="str">
        <f t="shared" si="151"/>
        <v/>
      </c>
      <c r="R160" s="3" t="str">
        <f t="shared" si="150"/>
        <v/>
      </c>
      <c r="S160" s="3" t="str">
        <f t="shared" si="150"/>
        <v/>
      </c>
      <c r="T160" s="3" t="str">
        <f t="shared" si="150"/>
        <v/>
      </c>
      <c r="U160" s="3" t="str">
        <f t="shared" si="150"/>
        <v/>
      </c>
      <c r="V160" s="3" t="str">
        <f t="shared" si="150"/>
        <v/>
      </c>
      <c r="W160" s="3" t="str">
        <f t="shared" si="150"/>
        <v/>
      </c>
      <c r="X160" s="3" t="str">
        <f t="shared" si="150"/>
        <v/>
      </c>
      <c r="Y160" s="3" t="str">
        <f t="shared" si="150"/>
        <v/>
      </c>
      <c r="Z160" s="3" t="str">
        <f t="shared" si="150"/>
        <v/>
      </c>
      <c r="AA160" s="3" t="str">
        <f t="shared" si="150"/>
        <v/>
      </c>
      <c r="AB160" s="3" t="str">
        <f t="shared" si="150"/>
        <v/>
      </c>
      <c r="AC160" s="3" t="str">
        <f t="shared" si="150"/>
        <v/>
      </c>
      <c r="AD160" s="3" t="str">
        <f t="shared" si="150"/>
        <v/>
      </c>
      <c r="AE160" s="3" t="str">
        <f t="shared" si="150"/>
        <v/>
      </c>
      <c r="AF160" s="3" t="str">
        <f t="shared" si="150"/>
        <v/>
      </c>
      <c r="AG160" s="3" t="str">
        <f t="shared" si="150"/>
        <v/>
      </c>
      <c r="AH160" s="3" t="str">
        <f t="shared" si="128"/>
        <v/>
      </c>
      <c r="AI160" s="3" t="str">
        <f t="shared" si="128"/>
        <v/>
      </c>
      <c r="AJ160" s="3" t="str">
        <f t="shared" si="128"/>
        <v/>
      </c>
      <c r="AK160" s="3" t="str">
        <f t="shared" si="128"/>
        <v/>
      </c>
      <c r="AL160" s="3" t="str">
        <f t="shared" si="128"/>
        <v/>
      </c>
      <c r="AM160" s="3" t="str">
        <f t="shared" si="128"/>
        <v/>
      </c>
      <c r="AN160" s="3" t="str">
        <f t="shared" si="128"/>
        <v/>
      </c>
      <c r="AO160" s="3" t="str">
        <f t="shared" si="128"/>
        <v/>
      </c>
      <c r="AP160" s="3" t="str">
        <f t="shared" si="128"/>
        <v/>
      </c>
      <c r="AQ160" s="3" t="str">
        <f t="shared" si="128"/>
        <v/>
      </c>
      <c r="AR160" s="3" t="str">
        <f t="shared" ref="AH160:AV170" si="152">IF(AND($O160&gt;=AR$3,AR$3&gt;=$P160),"X","")</f>
        <v/>
      </c>
      <c r="AS160" s="3" t="str">
        <f t="shared" si="152"/>
        <v/>
      </c>
      <c r="AT160" s="3" t="str">
        <f t="shared" si="152"/>
        <v/>
      </c>
      <c r="AU160" s="3" t="str">
        <f t="shared" si="152"/>
        <v>X</v>
      </c>
      <c r="AV160" s="3" t="str">
        <f t="shared" si="152"/>
        <v>X</v>
      </c>
      <c r="AW160" s="3" t="str">
        <f t="shared" si="124"/>
        <v/>
      </c>
      <c r="AX160" s="3" t="str">
        <f t="shared" si="125"/>
        <v/>
      </c>
      <c r="AY160" s="3" t="str">
        <f t="shared" si="126"/>
        <v/>
      </c>
      <c r="AZ160" s="3" t="str">
        <f t="shared" si="127"/>
        <v>X</v>
      </c>
      <c r="BA160" s="3" t="str">
        <f t="shared" si="129"/>
        <v/>
      </c>
      <c r="BB160" s="3" t="str">
        <f t="shared" si="130"/>
        <v/>
      </c>
      <c r="BC160" s="3" t="str">
        <f t="shared" si="131"/>
        <v/>
      </c>
      <c r="BD160" s="3">
        <f t="shared" si="132"/>
        <v>1927</v>
      </c>
      <c r="BE160" s="9" t="str">
        <f t="shared" si="133"/>
        <v/>
      </c>
      <c r="BF160" s="9" t="str">
        <f t="shared" si="134"/>
        <v/>
      </c>
      <c r="BG160" s="9" t="str">
        <f t="shared" si="135"/>
        <v/>
      </c>
      <c r="BH160" s="9" t="str">
        <f t="shared" si="136"/>
        <v>787</v>
      </c>
      <c r="BI160" s="3" t="str">
        <f t="shared" si="137"/>
        <v/>
      </c>
      <c r="BJ160" s="3" t="str">
        <f t="shared" si="138"/>
        <v/>
      </c>
      <c r="BK160" s="3" t="str">
        <f t="shared" si="139"/>
        <v/>
      </c>
      <c r="BL160" s="3" t="str">
        <f t="shared" si="140"/>
        <v>(1 downto 0)</v>
      </c>
      <c r="BM160" s="3" t="str">
        <f t="shared" si="141"/>
        <v/>
      </c>
      <c r="BN160" s="3" t="str">
        <f t="shared" si="142"/>
        <v/>
      </c>
      <c r="BO160" s="3" t="str">
        <f t="shared" si="143"/>
        <v/>
      </c>
      <c r="BP160" s="3">
        <f t="shared" si="144"/>
        <v>1</v>
      </c>
      <c r="BQ160" s="3" t="str">
        <f t="shared" si="145"/>
        <v/>
      </c>
      <c r="BR160" s="3" t="str">
        <f t="shared" si="146"/>
        <v/>
      </c>
      <c r="BS160" s="3" t="str">
        <f t="shared" si="147"/>
        <v/>
      </c>
      <c r="BT160" s="3" t="str">
        <f t="shared" si="148"/>
        <v/>
      </c>
    </row>
    <row r="161" spans="2:72" x14ac:dyDescent="0.25">
      <c r="B161" s="3" t="s">
        <v>366</v>
      </c>
      <c r="C161" s="3" t="s">
        <v>506</v>
      </c>
      <c r="D161" s="3" t="s">
        <v>0</v>
      </c>
      <c r="E161" s="3" t="s">
        <v>1063</v>
      </c>
      <c r="F161" s="3" t="s">
        <v>134</v>
      </c>
      <c r="G161" s="3" t="s">
        <v>291</v>
      </c>
      <c r="H161" s="3" t="s">
        <v>255</v>
      </c>
      <c r="I161" s="3" t="s">
        <v>24</v>
      </c>
      <c r="J161" s="3">
        <v>1</v>
      </c>
      <c r="K161" s="3" t="s">
        <v>23</v>
      </c>
      <c r="L161" s="3" t="s">
        <v>23</v>
      </c>
      <c r="M161" s="3">
        <v>482</v>
      </c>
      <c r="N161" s="3" t="str">
        <f t="shared" ref="N161:N166" si="153">DEC2HEX($M161,3)</f>
        <v>1E2</v>
      </c>
      <c r="O161" s="3">
        <v>0</v>
      </c>
      <c r="P161" s="3">
        <v>0</v>
      </c>
      <c r="Q161" s="3" t="str">
        <f t="shared" si="151"/>
        <v/>
      </c>
      <c r="R161" s="3" t="str">
        <f t="shared" si="150"/>
        <v/>
      </c>
      <c r="S161" s="3" t="str">
        <f t="shared" si="150"/>
        <v/>
      </c>
      <c r="T161" s="3" t="str">
        <f t="shared" si="150"/>
        <v/>
      </c>
      <c r="U161" s="3" t="str">
        <f t="shared" si="150"/>
        <v/>
      </c>
      <c r="V161" s="3" t="str">
        <f t="shared" si="150"/>
        <v/>
      </c>
      <c r="W161" s="3" t="str">
        <f t="shared" si="150"/>
        <v/>
      </c>
      <c r="X161" s="3" t="str">
        <f t="shared" si="150"/>
        <v/>
      </c>
      <c r="Y161" s="3" t="str">
        <f t="shared" si="150"/>
        <v/>
      </c>
      <c r="Z161" s="3" t="str">
        <f t="shared" si="150"/>
        <v/>
      </c>
      <c r="AA161" s="3" t="str">
        <f t="shared" si="150"/>
        <v/>
      </c>
      <c r="AB161" s="3" t="str">
        <f t="shared" si="150"/>
        <v/>
      </c>
      <c r="AC161" s="3" t="str">
        <f t="shared" si="150"/>
        <v/>
      </c>
      <c r="AD161" s="3" t="str">
        <f t="shared" si="150"/>
        <v/>
      </c>
      <c r="AE161" s="3" t="str">
        <f t="shared" si="150"/>
        <v/>
      </c>
      <c r="AF161" s="3" t="str">
        <f t="shared" si="150"/>
        <v/>
      </c>
      <c r="AG161" s="3" t="str">
        <f t="shared" si="150"/>
        <v/>
      </c>
      <c r="AH161" s="3" t="str">
        <f t="shared" si="152"/>
        <v/>
      </c>
      <c r="AI161" s="3" t="str">
        <f t="shared" si="152"/>
        <v/>
      </c>
      <c r="AJ161" s="3" t="str">
        <f t="shared" si="152"/>
        <v/>
      </c>
      <c r="AK161" s="3" t="str">
        <f t="shared" si="152"/>
        <v/>
      </c>
      <c r="AL161" s="3" t="str">
        <f t="shared" si="152"/>
        <v/>
      </c>
      <c r="AM161" s="3" t="str">
        <f t="shared" si="152"/>
        <v/>
      </c>
      <c r="AN161" s="3" t="str">
        <f t="shared" si="152"/>
        <v/>
      </c>
      <c r="AO161" s="3" t="str">
        <f t="shared" si="152"/>
        <v/>
      </c>
      <c r="AP161" s="3" t="str">
        <f t="shared" si="152"/>
        <v/>
      </c>
      <c r="AQ161" s="3" t="str">
        <f t="shared" si="152"/>
        <v/>
      </c>
      <c r="AR161" s="3" t="str">
        <f t="shared" si="152"/>
        <v/>
      </c>
      <c r="AS161" s="3" t="str">
        <f t="shared" si="152"/>
        <v/>
      </c>
      <c r="AT161" s="3" t="str">
        <f t="shared" si="152"/>
        <v/>
      </c>
      <c r="AU161" s="3" t="str">
        <f t="shared" si="152"/>
        <v/>
      </c>
      <c r="AV161" s="3" t="str">
        <f t="shared" si="152"/>
        <v>X</v>
      </c>
      <c r="AW161" s="3" t="str">
        <f t="shared" si="124"/>
        <v/>
      </c>
      <c r="AX161" s="3" t="str">
        <f t="shared" si="125"/>
        <v/>
      </c>
      <c r="AY161" s="3" t="str">
        <f t="shared" si="126"/>
        <v/>
      </c>
      <c r="AZ161" s="3" t="str">
        <f t="shared" si="127"/>
        <v>X</v>
      </c>
      <c r="BA161" s="3" t="str">
        <f t="shared" si="129"/>
        <v/>
      </c>
      <c r="BB161" s="3" t="str">
        <f t="shared" si="130"/>
        <v/>
      </c>
      <c r="BC161" s="3" t="str">
        <f t="shared" si="131"/>
        <v/>
      </c>
      <c r="BD161" s="3">
        <f t="shared" si="132"/>
        <v>1931</v>
      </c>
      <c r="BE161" s="9" t="str">
        <f t="shared" si="133"/>
        <v/>
      </c>
      <c r="BF161" s="9" t="str">
        <f t="shared" si="134"/>
        <v/>
      </c>
      <c r="BG161" s="9" t="str">
        <f t="shared" si="135"/>
        <v/>
      </c>
      <c r="BH161" s="9" t="str">
        <f t="shared" si="136"/>
        <v>78B</v>
      </c>
      <c r="BI161" s="3" t="str">
        <f t="shared" si="137"/>
        <v/>
      </c>
      <c r="BJ161" s="3" t="str">
        <f t="shared" si="138"/>
        <v/>
      </c>
      <c r="BK161" s="3" t="str">
        <f t="shared" si="139"/>
        <v/>
      </c>
      <c r="BL161" s="3" t="str">
        <f t="shared" si="140"/>
        <v>(0)</v>
      </c>
      <c r="BM161" s="3" t="str">
        <f t="shared" si="141"/>
        <v/>
      </c>
      <c r="BN161" s="3" t="str">
        <f t="shared" si="142"/>
        <v/>
      </c>
      <c r="BO161" s="3" t="str">
        <f t="shared" si="143"/>
        <v/>
      </c>
      <c r="BP161" s="3">
        <f t="shared" si="144"/>
        <v>0</v>
      </c>
      <c r="BQ161" s="3" t="str">
        <f t="shared" si="145"/>
        <v/>
      </c>
      <c r="BR161" s="3" t="str">
        <f t="shared" si="146"/>
        <v/>
      </c>
      <c r="BS161" s="3" t="str">
        <f t="shared" si="147"/>
        <v/>
      </c>
      <c r="BT161" s="3" t="str">
        <f t="shared" si="148"/>
        <v/>
      </c>
    </row>
    <row r="162" spans="2:72" x14ac:dyDescent="0.25">
      <c r="B162" s="3" t="s">
        <v>366</v>
      </c>
      <c r="C162" s="3" t="s">
        <v>505</v>
      </c>
      <c r="D162" s="3" t="s">
        <v>0</v>
      </c>
      <c r="E162" s="3" t="s">
        <v>1063</v>
      </c>
      <c r="F162" s="3" t="s">
        <v>134</v>
      </c>
      <c r="G162" s="3" t="s">
        <v>291</v>
      </c>
      <c r="H162" s="3" t="s">
        <v>254</v>
      </c>
      <c r="I162" s="3" t="s">
        <v>24</v>
      </c>
      <c r="J162" s="3">
        <v>1</v>
      </c>
      <c r="K162" s="3" t="s">
        <v>23</v>
      </c>
      <c r="L162" s="3" t="s">
        <v>23</v>
      </c>
      <c r="M162" s="3">
        <v>482</v>
      </c>
      <c r="N162" s="3" t="str">
        <f t="shared" si="153"/>
        <v>1E2</v>
      </c>
      <c r="O162" s="3">
        <v>1</v>
      </c>
      <c r="P162" s="3">
        <v>1</v>
      </c>
      <c r="Q162" s="3" t="str">
        <f t="shared" si="151"/>
        <v/>
      </c>
      <c r="R162" s="3" t="str">
        <f t="shared" si="150"/>
        <v/>
      </c>
      <c r="S162" s="3" t="str">
        <f t="shared" si="150"/>
        <v/>
      </c>
      <c r="T162" s="3" t="str">
        <f t="shared" si="150"/>
        <v/>
      </c>
      <c r="U162" s="3" t="str">
        <f t="shared" si="150"/>
        <v/>
      </c>
      <c r="V162" s="3" t="str">
        <f t="shared" si="150"/>
        <v/>
      </c>
      <c r="W162" s="3" t="str">
        <f t="shared" si="150"/>
        <v/>
      </c>
      <c r="X162" s="3" t="str">
        <f t="shared" si="150"/>
        <v/>
      </c>
      <c r="Y162" s="3" t="str">
        <f t="shared" si="150"/>
        <v/>
      </c>
      <c r="Z162" s="3" t="str">
        <f t="shared" si="150"/>
        <v/>
      </c>
      <c r="AA162" s="3" t="str">
        <f t="shared" si="150"/>
        <v/>
      </c>
      <c r="AB162" s="3" t="str">
        <f t="shared" si="150"/>
        <v/>
      </c>
      <c r="AC162" s="3" t="str">
        <f t="shared" si="150"/>
        <v/>
      </c>
      <c r="AD162" s="3" t="str">
        <f t="shared" si="150"/>
        <v/>
      </c>
      <c r="AE162" s="3" t="str">
        <f t="shared" si="150"/>
        <v/>
      </c>
      <c r="AF162" s="3" t="str">
        <f t="shared" si="150"/>
        <v/>
      </c>
      <c r="AG162" s="3" t="str">
        <f t="shared" si="150"/>
        <v/>
      </c>
      <c r="AH162" s="3" t="str">
        <f t="shared" si="152"/>
        <v/>
      </c>
      <c r="AI162" s="3" t="str">
        <f t="shared" si="152"/>
        <v/>
      </c>
      <c r="AJ162" s="3" t="str">
        <f t="shared" si="152"/>
        <v/>
      </c>
      <c r="AK162" s="3" t="str">
        <f t="shared" si="152"/>
        <v/>
      </c>
      <c r="AL162" s="3" t="str">
        <f t="shared" si="152"/>
        <v/>
      </c>
      <c r="AM162" s="3" t="str">
        <f t="shared" si="152"/>
        <v/>
      </c>
      <c r="AN162" s="3" t="str">
        <f t="shared" si="152"/>
        <v/>
      </c>
      <c r="AO162" s="3" t="str">
        <f t="shared" si="152"/>
        <v/>
      </c>
      <c r="AP162" s="3" t="str">
        <f t="shared" si="152"/>
        <v/>
      </c>
      <c r="AQ162" s="3" t="str">
        <f t="shared" si="152"/>
        <v/>
      </c>
      <c r="AR162" s="3" t="str">
        <f t="shared" si="152"/>
        <v/>
      </c>
      <c r="AS162" s="3" t="str">
        <f t="shared" si="152"/>
        <v/>
      </c>
      <c r="AT162" s="3" t="str">
        <f t="shared" si="152"/>
        <v/>
      </c>
      <c r="AU162" s="3" t="str">
        <f t="shared" si="152"/>
        <v>X</v>
      </c>
      <c r="AV162" s="3" t="str">
        <f t="shared" si="152"/>
        <v/>
      </c>
      <c r="AW162" s="3" t="str">
        <f t="shared" si="124"/>
        <v/>
      </c>
      <c r="AX162" s="3" t="str">
        <f t="shared" si="125"/>
        <v/>
      </c>
      <c r="AY162" s="3" t="str">
        <f t="shared" si="126"/>
        <v/>
      </c>
      <c r="AZ162" s="3" t="str">
        <f t="shared" si="127"/>
        <v>X</v>
      </c>
      <c r="BA162" s="3" t="str">
        <f t="shared" si="129"/>
        <v/>
      </c>
      <c r="BB162" s="3" t="str">
        <f t="shared" si="130"/>
        <v/>
      </c>
      <c r="BC162" s="3" t="str">
        <f t="shared" si="131"/>
        <v/>
      </c>
      <c r="BD162" s="3">
        <f t="shared" si="132"/>
        <v>1931</v>
      </c>
      <c r="BE162" s="9" t="str">
        <f t="shared" si="133"/>
        <v/>
      </c>
      <c r="BF162" s="9" t="str">
        <f t="shared" si="134"/>
        <v/>
      </c>
      <c r="BG162" s="9" t="str">
        <f t="shared" si="135"/>
        <v/>
      </c>
      <c r="BH162" s="9" t="str">
        <f t="shared" si="136"/>
        <v>78B</v>
      </c>
      <c r="BI162" s="3" t="str">
        <f t="shared" si="137"/>
        <v/>
      </c>
      <c r="BJ162" s="3" t="str">
        <f t="shared" si="138"/>
        <v/>
      </c>
      <c r="BK162" s="3" t="str">
        <f t="shared" si="139"/>
        <v/>
      </c>
      <c r="BL162" s="3" t="str">
        <f t="shared" si="140"/>
        <v>(1)</v>
      </c>
      <c r="BM162" s="3" t="str">
        <f t="shared" si="141"/>
        <v/>
      </c>
      <c r="BN162" s="3" t="str">
        <f t="shared" si="142"/>
        <v/>
      </c>
      <c r="BO162" s="3" t="str">
        <f t="shared" si="143"/>
        <v/>
      </c>
      <c r="BP162" s="3">
        <f t="shared" si="144"/>
        <v>0</v>
      </c>
      <c r="BQ162" s="3" t="str">
        <f t="shared" si="145"/>
        <v/>
      </c>
      <c r="BR162" s="3" t="str">
        <f t="shared" si="146"/>
        <v/>
      </c>
      <c r="BS162" s="3" t="str">
        <f t="shared" si="147"/>
        <v/>
      </c>
      <c r="BT162" s="3" t="str">
        <f t="shared" si="148"/>
        <v/>
      </c>
    </row>
    <row r="163" spans="2:72" x14ac:dyDescent="0.25">
      <c r="B163" s="3" t="s">
        <v>366</v>
      </c>
      <c r="C163" s="3" t="s">
        <v>504</v>
      </c>
      <c r="D163" s="3" t="s">
        <v>0</v>
      </c>
      <c r="E163" s="3" t="s">
        <v>1063</v>
      </c>
      <c r="F163" s="3" t="s">
        <v>134</v>
      </c>
      <c r="G163" s="3" t="s">
        <v>291</v>
      </c>
      <c r="H163" s="3" t="s">
        <v>253</v>
      </c>
      <c r="I163" s="3" t="s">
        <v>24</v>
      </c>
      <c r="J163" s="3">
        <v>1</v>
      </c>
      <c r="K163" s="3" t="s">
        <v>23</v>
      </c>
      <c r="L163" s="3" t="s">
        <v>23</v>
      </c>
      <c r="M163" s="3">
        <v>482</v>
      </c>
      <c r="N163" s="3" t="str">
        <f t="shared" si="153"/>
        <v>1E2</v>
      </c>
      <c r="O163" s="3">
        <v>2</v>
      </c>
      <c r="P163" s="3">
        <v>2</v>
      </c>
      <c r="Q163" s="3" t="str">
        <f t="shared" si="151"/>
        <v/>
      </c>
      <c r="R163" s="3" t="str">
        <f t="shared" si="150"/>
        <v/>
      </c>
      <c r="S163" s="3" t="str">
        <f t="shared" si="150"/>
        <v/>
      </c>
      <c r="T163" s="3" t="str">
        <f t="shared" si="150"/>
        <v/>
      </c>
      <c r="U163" s="3" t="str">
        <f t="shared" si="150"/>
        <v/>
      </c>
      <c r="V163" s="3" t="str">
        <f t="shared" si="150"/>
        <v/>
      </c>
      <c r="W163" s="3" t="str">
        <f t="shared" si="150"/>
        <v/>
      </c>
      <c r="X163" s="3" t="str">
        <f t="shared" si="150"/>
        <v/>
      </c>
      <c r="Y163" s="3" t="str">
        <f t="shared" si="150"/>
        <v/>
      </c>
      <c r="Z163" s="3" t="str">
        <f t="shared" si="150"/>
        <v/>
      </c>
      <c r="AA163" s="3" t="str">
        <f t="shared" si="150"/>
        <v/>
      </c>
      <c r="AB163" s="3" t="str">
        <f t="shared" si="150"/>
        <v/>
      </c>
      <c r="AC163" s="3" t="str">
        <f t="shared" si="150"/>
        <v/>
      </c>
      <c r="AD163" s="3" t="str">
        <f t="shared" si="150"/>
        <v/>
      </c>
      <c r="AE163" s="3" t="str">
        <f t="shared" si="150"/>
        <v/>
      </c>
      <c r="AF163" s="3" t="str">
        <f t="shared" si="150"/>
        <v/>
      </c>
      <c r="AG163" s="3" t="str">
        <f t="shared" si="150"/>
        <v/>
      </c>
      <c r="AH163" s="3" t="str">
        <f t="shared" si="152"/>
        <v/>
      </c>
      <c r="AI163" s="3" t="str">
        <f t="shared" si="152"/>
        <v/>
      </c>
      <c r="AJ163" s="3" t="str">
        <f t="shared" si="152"/>
        <v/>
      </c>
      <c r="AK163" s="3" t="str">
        <f t="shared" si="152"/>
        <v/>
      </c>
      <c r="AL163" s="3" t="str">
        <f t="shared" si="152"/>
        <v/>
      </c>
      <c r="AM163" s="3" t="str">
        <f t="shared" si="152"/>
        <v/>
      </c>
      <c r="AN163" s="3" t="str">
        <f t="shared" si="152"/>
        <v/>
      </c>
      <c r="AO163" s="3" t="str">
        <f t="shared" si="152"/>
        <v/>
      </c>
      <c r="AP163" s="3" t="str">
        <f t="shared" si="152"/>
        <v/>
      </c>
      <c r="AQ163" s="3" t="str">
        <f t="shared" si="152"/>
        <v/>
      </c>
      <c r="AR163" s="3" t="str">
        <f t="shared" si="152"/>
        <v/>
      </c>
      <c r="AS163" s="3" t="str">
        <f t="shared" si="152"/>
        <v/>
      </c>
      <c r="AT163" s="3" t="str">
        <f t="shared" si="152"/>
        <v>X</v>
      </c>
      <c r="AU163" s="3" t="str">
        <f t="shared" si="152"/>
        <v/>
      </c>
      <c r="AV163" s="3" t="str">
        <f t="shared" si="152"/>
        <v/>
      </c>
      <c r="AW163" s="3" t="str">
        <f t="shared" si="124"/>
        <v/>
      </c>
      <c r="AX163" s="3" t="str">
        <f t="shared" si="125"/>
        <v/>
      </c>
      <c r="AY163" s="3" t="str">
        <f t="shared" si="126"/>
        <v/>
      </c>
      <c r="AZ163" s="3" t="str">
        <f t="shared" si="127"/>
        <v>X</v>
      </c>
      <c r="BA163" s="3" t="str">
        <f t="shared" si="129"/>
        <v/>
      </c>
      <c r="BB163" s="3" t="str">
        <f t="shared" si="130"/>
        <v/>
      </c>
      <c r="BC163" s="3" t="str">
        <f t="shared" si="131"/>
        <v/>
      </c>
      <c r="BD163" s="3">
        <f t="shared" si="132"/>
        <v>1931</v>
      </c>
      <c r="BE163" s="9" t="str">
        <f t="shared" si="133"/>
        <v/>
      </c>
      <c r="BF163" s="9" t="str">
        <f t="shared" si="134"/>
        <v/>
      </c>
      <c r="BG163" s="9" t="str">
        <f t="shared" si="135"/>
        <v/>
      </c>
      <c r="BH163" s="9" t="str">
        <f t="shared" si="136"/>
        <v>78B</v>
      </c>
      <c r="BI163" s="3" t="str">
        <f t="shared" si="137"/>
        <v/>
      </c>
      <c r="BJ163" s="3" t="str">
        <f t="shared" si="138"/>
        <v/>
      </c>
      <c r="BK163" s="3" t="str">
        <f t="shared" si="139"/>
        <v/>
      </c>
      <c r="BL163" s="3" t="str">
        <f t="shared" si="140"/>
        <v>(2)</v>
      </c>
      <c r="BM163" s="3" t="str">
        <f t="shared" si="141"/>
        <v/>
      </c>
      <c r="BN163" s="3" t="str">
        <f t="shared" si="142"/>
        <v/>
      </c>
      <c r="BO163" s="3" t="str">
        <f t="shared" si="143"/>
        <v/>
      </c>
      <c r="BP163" s="3">
        <f t="shared" si="144"/>
        <v>0</v>
      </c>
      <c r="BQ163" s="3" t="str">
        <f t="shared" si="145"/>
        <v/>
      </c>
      <c r="BR163" s="3" t="str">
        <f t="shared" si="146"/>
        <v/>
      </c>
      <c r="BS163" s="3" t="str">
        <f t="shared" si="147"/>
        <v/>
      </c>
      <c r="BT163" s="3" t="str">
        <f t="shared" si="148"/>
        <v/>
      </c>
    </row>
    <row r="164" spans="2:72" x14ac:dyDescent="0.25">
      <c r="B164" s="3" t="s">
        <v>366</v>
      </c>
      <c r="C164" s="3" t="s">
        <v>503</v>
      </c>
      <c r="D164" s="3" t="s">
        <v>0</v>
      </c>
      <c r="E164" s="3" t="s">
        <v>1063</v>
      </c>
      <c r="F164" s="3" t="s">
        <v>134</v>
      </c>
      <c r="G164" s="3" t="s">
        <v>291</v>
      </c>
      <c r="H164" s="3" t="s">
        <v>252</v>
      </c>
      <c r="I164" s="3" t="s">
        <v>24</v>
      </c>
      <c r="J164" s="3">
        <v>1</v>
      </c>
      <c r="K164" s="3" t="s">
        <v>23</v>
      </c>
      <c r="L164" s="3" t="s">
        <v>23</v>
      </c>
      <c r="M164" s="3">
        <v>482</v>
      </c>
      <c r="N164" s="3" t="str">
        <f t="shared" si="153"/>
        <v>1E2</v>
      </c>
      <c r="O164" s="3">
        <v>3</v>
      </c>
      <c r="P164" s="3">
        <v>3</v>
      </c>
      <c r="Q164" s="3" t="str">
        <f t="shared" si="151"/>
        <v/>
      </c>
      <c r="R164" s="3" t="str">
        <f t="shared" si="150"/>
        <v/>
      </c>
      <c r="S164" s="3" t="str">
        <f t="shared" si="150"/>
        <v/>
      </c>
      <c r="T164" s="3" t="str">
        <f t="shared" si="150"/>
        <v/>
      </c>
      <c r="U164" s="3" t="str">
        <f t="shared" si="150"/>
        <v/>
      </c>
      <c r="V164" s="3" t="str">
        <f t="shared" si="150"/>
        <v/>
      </c>
      <c r="W164" s="3" t="str">
        <f t="shared" si="150"/>
        <v/>
      </c>
      <c r="X164" s="3" t="str">
        <f t="shared" si="150"/>
        <v/>
      </c>
      <c r="Y164" s="3" t="str">
        <f t="shared" si="150"/>
        <v/>
      </c>
      <c r="Z164" s="3" t="str">
        <f t="shared" si="150"/>
        <v/>
      </c>
      <c r="AA164" s="3" t="str">
        <f t="shared" si="150"/>
        <v/>
      </c>
      <c r="AB164" s="3" t="str">
        <f t="shared" si="150"/>
        <v/>
      </c>
      <c r="AC164" s="3" t="str">
        <f t="shared" si="150"/>
        <v/>
      </c>
      <c r="AD164" s="3" t="str">
        <f t="shared" si="150"/>
        <v/>
      </c>
      <c r="AE164" s="3" t="str">
        <f t="shared" si="150"/>
        <v/>
      </c>
      <c r="AF164" s="3" t="str">
        <f t="shared" si="150"/>
        <v/>
      </c>
      <c r="AG164" s="3" t="str">
        <f t="shared" si="150"/>
        <v/>
      </c>
      <c r="AH164" s="3" t="str">
        <f t="shared" si="152"/>
        <v/>
      </c>
      <c r="AI164" s="3" t="str">
        <f t="shared" si="152"/>
        <v/>
      </c>
      <c r="AJ164" s="3" t="str">
        <f t="shared" si="152"/>
        <v/>
      </c>
      <c r="AK164" s="3" t="str">
        <f t="shared" si="152"/>
        <v/>
      </c>
      <c r="AL164" s="3" t="str">
        <f t="shared" si="152"/>
        <v/>
      </c>
      <c r="AM164" s="3" t="str">
        <f t="shared" si="152"/>
        <v/>
      </c>
      <c r="AN164" s="3" t="str">
        <f t="shared" si="152"/>
        <v/>
      </c>
      <c r="AO164" s="3" t="str">
        <f t="shared" si="152"/>
        <v/>
      </c>
      <c r="AP164" s="3" t="str">
        <f t="shared" si="152"/>
        <v/>
      </c>
      <c r="AQ164" s="3" t="str">
        <f t="shared" si="152"/>
        <v/>
      </c>
      <c r="AR164" s="3" t="str">
        <f t="shared" si="152"/>
        <v/>
      </c>
      <c r="AS164" s="3" t="str">
        <f t="shared" si="152"/>
        <v>X</v>
      </c>
      <c r="AT164" s="3" t="str">
        <f t="shared" si="152"/>
        <v/>
      </c>
      <c r="AU164" s="3" t="str">
        <f t="shared" si="152"/>
        <v/>
      </c>
      <c r="AV164" s="3" t="str">
        <f t="shared" si="152"/>
        <v/>
      </c>
      <c r="AW164" s="3" t="str">
        <f t="shared" si="124"/>
        <v/>
      </c>
      <c r="AX164" s="3" t="str">
        <f t="shared" si="125"/>
        <v/>
      </c>
      <c r="AY164" s="3" t="str">
        <f t="shared" si="126"/>
        <v/>
      </c>
      <c r="AZ164" s="3" t="str">
        <f t="shared" si="127"/>
        <v>X</v>
      </c>
      <c r="BA164" s="3" t="str">
        <f t="shared" si="129"/>
        <v/>
      </c>
      <c r="BB164" s="3" t="str">
        <f t="shared" si="130"/>
        <v/>
      </c>
      <c r="BC164" s="3" t="str">
        <f t="shared" si="131"/>
        <v/>
      </c>
      <c r="BD164" s="3">
        <f t="shared" si="132"/>
        <v>1931</v>
      </c>
      <c r="BE164" s="9" t="str">
        <f t="shared" si="133"/>
        <v/>
      </c>
      <c r="BF164" s="9" t="str">
        <f t="shared" si="134"/>
        <v/>
      </c>
      <c r="BG164" s="9" t="str">
        <f t="shared" si="135"/>
        <v/>
      </c>
      <c r="BH164" s="9" t="str">
        <f t="shared" si="136"/>
        <v>78B</v>
      </c>
      <c r="BI164" s="3" t="str">
        <f t="shared" si="137"/>
        <v/>
      </c>
      <c r="BJ164" s="3" t="str">
        <f t="shared" si="138"/>
        <v/>
      </c>
      <c r="BK164" s="3" t="str">
        <f t="shared" si="139"/>
        <v/>
      </c>
      <c r="BL164" s="3" t="str">
        <f t="shared" si="140"/>
        <v>(3)</v>
      </c>
      <c r="BM164" s="3" t="str">
        <f t="shared" si="141"/>
        <v/>
      </c>
      <c r="BN164" s="3" t="str">
        <f t="shared" si="142"/>
        <v/>
      </c>
      <c r="BO164" s="3" t="str">
        <f t="shared" si="143"/>
        <v/>
      </c>
      <c r="BP164" s="3">
        <f t="shared" si="144"/>
        <v>0</v>
      </c>
      <c r="BQ164" s="3" t="str">
        <f t="shared" si="145"/>
        <v/>
      </c>
      <c r="BR164" s="3" t="str">
        <f t="shared" si="146"/>
        <v/>
      </c>
      <c r="BS164" s="3" t="str">
        <f t="shared" si="147"/>
        <v/>
      </c>
      <c r="BT164" s="3" t="str">
        <f t="shared" si="148"/>
        <v/>
      </c>
    </row>
    <row r="165" spans="2:72" x14ac:dyDescent="0.25">
      <c r="B165" s="3" t="s">
        <v>366</v>
      </c>
      <c r="C165" s="3" t="s">
        <v>1001</v>
      </c>
      <c r="D165" s="3" t="s">
        <v>0</v>
      </c>
      <c r="E165" s="3" t="s">
        <v>1063</v>
      </c>
      <c r="F165" s="3" t="s">
        <v>134</v>
      </c>
      <c r="G165" s="3" t="s">
        <v>291</v>
      </c>
      <c r="H165" s="3" t="s">
        <v>1002</v>
      </c>
      <c r="I165" s="3" t="s">
        <v>24</v>
      </c>
      <c r="J165" s="3">
        <v>1</v>
      </c>
      <c r="K165" s="3" t="s">
        <v>23</v>
      </c>
      <c r="L165" s="3" t="s">
        <v>23</v>
      </c>
      <c r="M165" s="3">
        <v>482</v>
      </c>
      <c r="N165" s="3" t="str">
        <f t="shared" si="153"/>
        <v>1E2</v>
      </c>
      <c r="O165" s="3">
        <v>4</v>
      </c>
      <c r="P165" s="3">
        <v>4</v>
      </c>
      <c r="Q165" s="3" t="str">
        <f t="shared" si="151"/>
        <v/>
      </c>
      <c r="R165" s="3" t="str">
        <f t="shared" si="150"/>
        <v/>
      </c>
      <c r="S165" s="3" t="str">
        <f t="shared" si="150"/>
        <v/>
      </c>
      <c r="T165" s="3" t="str">
        <f t="shared" si="150"/>
        <v/>
      </c>
      <c r="U165" s="3" t="str">
        <f t="shared" si="150"/>
        <v/>
      </c>
      <c r="V165" s="3" t="str">
        <f t="shared" si="150"/>
        <v/>
      </c>
      <c r="W165" s="3" t="str">
        <f t="shared" si="150"/>
        <v/>
      </c>
      <c r="X165" s="3" t="str">
        <f t="shared" si="150"/>
        <v/>
      </c>
      <c r="Y165" s="3" t="str">
        <f t="shared" si="150"/>
        <v/>
      </c>
      <c r="Z165" s="3" t="str">
        <f t="shared" si="150"/>
        <v/>
      </c>
      <c r="AA165" s="3" t="str">
        <f t="shared" si="150"/>
        <v/>
      </c>
      <c r="AB165" s="3" t="str">
        <f t="shared" si="150"/>
        <v/>
      </c>
      <c r="AC165" s="3" t="str">
        <f t="shared" si="150"/>
        <v/>
      </c>
      <c r="AD165" s="3" t="str">
        <f t="shared" si="150"/>
        <v/>
      </c>
      <c r="AE165" s="3" t="str">
        <f t="shared" si="150"/>
        <v/>
      </c>
      <c r="AF165" s="3" t="str">
        <f t="shared" si="150"/>
        <v/>
      </c>
      <c r="AG165" s="3" t="str">
        <f t="shared" si="150"/>
        <v/>
      </c>
      <c r="AH165" s="3" t="str">
        <f t="shared" si="152"/>
        <v/>
      </c>
      <c r="AI165" s="3" t="str">
        <f t="shared" si="152"/>
        <v/>
      </c>
      <c r="AJ165" s="3" t="str">
        <f t="shared" si="152"/>
        <v/>
      </c>
      <c r="AK165" s="3" t="str">
        <f t="shared" si="152"/>
        <v/>
      </c>
      <c r="AL165" s="3" t="str">
        <f t="shared" si="152"/>
        <v/>
      </c>
      <c r="AM165" s="3" t="str">
        <f t="shared" si="152"/>
        <v/>
      </c>
      <c r="AN165" s="3" t="str">
        <f t="shared" si="152"/>
        <v/>
      </c>
      <c r="AO165" s="3" t="str">
        <f t="shared" si="152"/>
        <v/>
      </c>
      <c r="AP165" s="3" t="str">
        <f t="shared" si="152"/>
        <v/>
      </c>
      <c r="AQ165" s="3" t="str">
        <f t="shared" si="152"/>
        <v/>
      </c>
      <c r="AR165" s="3" t="str">
        <f t="shared" si="152"/>
        <v>X</v>
      </c>
      <c r="AS165" s="3" t="str">
        <f t="shared" si="152"/>
        <v/>
      </c>
      <c r="AT165" s="3" t="str">
        <f t="shared" si="152"/>
        <v/>
      </c>
      <c r="AU165" s="3" t="str">
        <f t="shared" si="152"/>
        <v/>
      </c>
      <c r="AV165" s="3" t="str">
        <f t="shared" si="152"/>
        <v/>
      </c>
      <c r="AW165" s="3" t="str">
        <f t="shared" si="124"/>
        <v/>
      </c>
      <c r="AX165" s="3" t="str">
        <f t="shared" si="125"/>
        <v/>
      </c>
      <c r="AY165" s="3" t="str">
        <f t="shared" si="126"/>
        <v/>
      </c>
      <c r="AZ165" s="3" t="str">
        <f t="shared" si="127"/>
        <v>X</v>
      </c>
      <c r="BA165" s="3" t="str">
        <f t="shared" si="129"/>
        <v/>
      </c>
      <c r="BB165" s="3" t="str">
        <f t="shared" si="130"/>
        <v/>
      </c>
      <c r="BC165" s="3" t="str">
        <f t="shared" si="131"/>
        <v/>
      </c>
      <c r="BD165" s="3">
        <f t="shared" si="132"/>
        <v>1931</v>
      </c>
      <c r="BE165" s="9" t="str">
        <f t="shared" si="133"/>
        <v/>
      </c>
      <c r="BF165" s="9" t="str">
        <f t="shared" si="134"/>
        <v/>
      </c>
      <c r="BG165" s="9" t="str">
        <f t="shared" si="135"/>
        <v/>
      </c>
      <c r="BH165" s="9" t="str">
        <f t="shared" si="136"/>
        <v>78B</v>
      </c>
      <c r="BI165" s="3" t="str">
        <f t="shared" si="137"/>
        <v/>
      </c>
      <c r="BJ165" s="3" t="str">
        <f t="shared" si="138"/>
        <v/>
      </c>
      <c r="BK165" s="3" t="str">
        <f t="shared" si="139"/>
        <v/>
      </c>
      <c r="BL165" s="3" t="str">
        <f t="shared" si="140"/>
        <v>(4)</v>
      </c>
      <c r="BM165" s="3" t="str">
        <f t="shared" si="141"/>
        <v/>
      </c>
      <c r="BN165" s="3" t="str">
        <f t="shared" si="142"/>
        <v/>
      </c>
      <c r="BO165" s="3" t="str">
        <f t="shared" si="143"/>
        <v/>
      </c>
      <c r="BP165" s="3">
        <f t="shared" si="144"/>
        <v>0</v>
      </c>
      <c r="BQ165" s="3" t="str">
        <f t="shared" si="145"/>
        <v/>
      </c>
      <c r="BR165" s="3" t="str">
        <f t="shared" si="146"/>
        <v/>
      </c>
      <c r="BS165" s="3" t="str">
        <f t="shared" si="147"/>
        <v/>
      </c>
      <c r="BT165" s="3" t="str">
        <f t="shared" si="148"/>
        <v/>
      </c>
    </row>
    <row r="166" spans="2:72" x14ac:dyDescent="0.25">
      <c r="B166" s="3" t="s">
        <v>366</v>
      </c>
      <c r="C166" s="3" t="s">
        <v>379</v>
      </c>
      <c r="D166" s="3" t="s">
        <v>1</v>
      </c>
      <c r="E166" s="3" t="s">
        <v>1062</v>
      </c>
      <c r="F166" s="3" t="s">
        <v>134</v>
      </c>
      <c r="G166" s="3" t="s">
        <v>943</v>
      </c>
      <c r="H166" s="3" t="s">
        <v>251</v>
      </c>
      <c r="I166" s="3" t="s">
        <v>24</v>
      </c>
      <c r="J166" s="3">
        <v>27</v>
      </c>
      <c r="K166" s="3" t="s">
        <v>23</v>
      </c>
      <c r="L166" s="3" t="s">
        <v>23</v>
      </c>
      <c r="M166" s="3">
        <v>482</v>
      </c>
      <c r="N166" s="3" t="str">
        <f t="shared" si="153"/>
        <v>1E2</v>
      </c>
      <c r="O166" s="3">
        <v>31</v>
      </c>
      <c r="P166" s="3">
        <v>5</v>
      </c>
      <c r="Q166" s="3" t="str">
        <f t="shared" si="151"/>
        <v>X</v>
      </c>
      <c r="R166" s="3" t="str">
        <f t="shared" si="150"/>
        <v>X</v>
      </c>
      <c r="S166" s="3" t="str">
        <f t="shared" si="150"/>
        <v>X</v>
      </c>
      <c r="T166" s="3" t="str">
        <f t="shared" si="150"/>
        <v>X</v>
      </c>
      <c r="U166" s="3" t="str">
        <f t="shared" si="150"/>
        <v>X</v>
      </c>
      <c r="V166" s="3" t="str">
        <f t="shared" si="150"/>
        <v>X</v>
      </c>
      <c r="W166" s="3" t="str">
        <f t="shared" si="150"/>
        <v>X</v>
      </c>
      <c r="X166" s="3" t="str">
        <f t="shared" si="150"/>
        <v>X</v>
      </c>
      <c r="Y166" s="3" t="str">
        <f t="shared" si="150"/>
        <v>X</v>
      </c>
      <c r="Z166" s="3" t="str">
        <f t="shared" si="150"/>
        <v>X</v>
      </c>
      <c r="AA166" s="3" t="str">
        <f t="shared" si="150"/>
        <v>X</v>
      </c>
      <c r="AB166" s="3" t="str">
        <f t="shared" si="150"/>
        <v>X</v>
      </c>
      <c r="AC166" s="3" t="str">
        <f t="shared" si="150"/>
        <v>X</v>
      </c>
      <c r="AD166" s="3" t="str">
        <f t="shared" si="150"/>
        <v>X</v>
      </c>
      <c r="AE166" s="3" t="str">
        <f t="shared" si="150"/>
        <v>X</v>
      </c>
      <c r="AF166" s="3" t="str">
        <f t="shared" si="150"/>
        <v>X</v>
      </c>
      <c r="AG166" s="3" t="str">
        <f t="shared" si="150"/>
        <v>X</v>
      </c>
      <c r="AH166" s="3" t="str">
        <f t="shared" si="152"/>
        <v>X</v>
      </c>
      <c r="AI166" s="3" t="str">
        <f t="shared" si="152"/>
        <v>X</v>
      </c>
      <c r="AJ166" s="3" t="str">
        <f t="shared" si="152"/>
        <v>X</v>
      </c>
      <c r="AK166" s="3" t="str">
        <f t="shared" si="152"/>
        <v>X</v>
      </c>
      <c r="AL166" s="3" t="str">
        <f t="shared" si="152"/>
        <v>X</v>
      </c>
      <c r="AM166" s="3" t="str">
        <f t="shared" si="152"/>
        <v>X</v>
      </c>
      <c r="AN166" s="3" t="str">
        <f t="shared" si="152"/>
        <v>X</v>
      </c>
      <c r="AO166" s="3" t="str">
        <f t="shared" si="152"/>
        <v>X</v>
      </c>
      <c r="AP166" s="3" t="str">
        <f t="shared" si="152"/>
        <v>X</v>
      </c>
      <c r="AQ166" s="3" t="str">
        <f t="shared" si="152"/>
        <v>X</v>
      </c>
      <c r="AR166" s="3" t="str">
        <f t="shared" si="152"/>
        <v/>
      </c>
      <c r="AS166" s="3" t="str">
        <f t="shared" si="152"/>
        <v/>
      </c>
      <c r="AT166" s="3" t="str">
        <f t="shared" si="152"/>
        <v/>
      </c>
      <c r="AU166" s="3" t="str">
        <f t="shared" si="152"/>
        <v/>
      </c>
      <c r="AV166" s="3" t="str">
        <f t="shared" si="152"/>
        <v/>
      </c>
      <c r="AW166" s="3" t="str">
        <f t="shared" si="124"/>
        <v>X</v>
      </c>
      <c r="AX166" s="3" t="str">
        <f t="shared" si="125"/>
        <v>X</v>
      </c>
      <c r="AY166" s="3" t="str">
        <f t="shared" si="126"/>
        <v>X</v>
      </c>
      <c r="AZ166" s="3" t="str">
        <f t="shared" si="127"/>
        <v>X</v>
      </c>
      <c r="BA166" s="3">
        <f t="shared" si="129"/>
        <v>1928</v>
      </c>
      <c r="BB166" s="3">
        <f t="shared" si="130"/>
        <v>1929</v>
      </c>
      <c r="BC166" s="3">
        <f t="shared" si="131"/>
        <v>1930</v>
      </c>
      <c r="BD166" s="3">
        <f t="shared" si="132"/>
        <v>1931</v>
      </c>
      <c r="BE166" s="9" t="str">
        <f t="shared" si="133"/>
        <v>788</v>
      </c>
      <c r="BF166" s="9" t="str">
        <f t="shared" si="134"/>
        <v>789</v>
      </c>
      <c r="BG166" s="9" t="str">
        <f t="shared" si="135"/>
        <v>78A</v>
      </c>
      <c r="BH166" s="9" t="str">
        <f t="shared" si="136"/>
        <v>78B</v>
      </c>
      <c r="BI166" s="3" t="str">
        <f t="shared" si="137"/>
        <v/>
      </c>
      <c r="BJ166" s="3" t="str">
        <f t="shared" si="138"/>
        <v/>
      </c>
      <c r="BK166" s="3" t="str">
        <f t="shared" si="139"/>
        <v/>
      </c>
      <c r="BL166" s="3" t="str">
        <f t="shared" si="140"/>
        <v>(7 downto 5)</v>
      </c>
      <c r="BM166" s="3">
        <f t="shared" si="141"/>
        <v>26</v>
      </c>
      <c r="BN166" s="3">
        <f t="shared" si="142"/>
        <v>18</v>
      </c>
      <c r="BO166" s="3">
        <f t="shared" si="143"/>
        <v>10</v>
      </c>
      <c r="BP166" s="3">
        <f t="shared" si="144"/>
        <v>2</v>
      </c>
      <c r="BQ166" s="3" t="str">
        <f t="shared" si="145"/>
        <v>(26 downto 19)</v>
      </c>
      <c r="BR166" s="3" t="str">
        <f t="shared" si="146"/>
        <v>(18 downto 11)</v>
      </c>
      <c r="BS166" s="3" t="str">
        <f t="shared" si="147"/>
        <v>(10 downto 3)</v>
      </c>
      <c r="BT166" s="3" t="str">
        <f t="shared" si="148"/>
        <v>(2 downto 0)</v>
      </c>
    </row>
    <row r="167" spans="2:72" x14ac:dyDescent="0.25">
      <c r="B167" s="3" t="s">
        <v>367</v>
      </c>
      <c r="C167" s="3" t="s">
        <v>1003</v>
      </c>
      <c r="D167" s="3" t="s">
        <v>1</v>
      </c>
      <c r="E167" s="3" t="s">
        <v>1062</v>
      </c>
      <c r="F167" s="3" t="s">
        <v>135</v>
      </c>
      <c r="G167" s="3" t="s">
        <v>944</v>
      </c>
      <c r="H167" s="3" t="s">
        <v>1006</v>
      </c>
      <c r="I167" s="3" t="s">
        <v>24</v>
      </c>
      <c r="J167" s="3">
        <v>8</v>
      </c>
      <c r="K167" s="3" t="s">
        <v>23</v>
      </c>
      <c r="L167" s="3" t="s">
        <v>23</v>
      </c>
      <c r="M167" s="3">
        <v>483</v>
      </c>
      <c r="N167" s="3" t="str">
        <f t="shared" ref="N167:N169" si="154">DEC2HEX($M167,3)</f>
        <v>1E3</v>
      </c>
      <c r="O167" s="3">
        <v>7</v>
      </c>
      <c r="P167" s="3">
        <v>0</v>
      </c>
      <c r="Q167" s="3" t="str">
        <f t="shared" si="151"/>
        <v/>
      </c>
      <c r="R167" s="3" t="str">
        <f t="shared" si="150"/>
        <v/>
      </c>
      <c r="S167" s="3" t="str">
        <f t="shared" si="150"/>
        <v/>
      </c>
      <c r="T167" s="3" t="str">
        <f t="shared" si="150"/>
        <v/>
      </c>
      <c r="U167" s="3" t="str">
        <f t="shared" si="150"/>
        <v/>
      </c>
      <c r="V167" s="3" t="str">
        <f t="shared" si="150"/>
        <v/>
      </c>
      <c r="W167" s="3" t="str">
        <f t="shared" si="150"/>
        <v/>
      </c>
      <c r="X167" s="3" t="str">
        <f t="shared" si="150"/>
        <v/>
      </c>
      <c r="Y167" s="3" t="str">
        <f t="shared" si="150"/>
        <v/>
      </c>
      <c r="Z167" s="3" t="str">
        <f t="shared" si="150"/>
        <v/>
      </c>
      <c r="AA167" s="3" t="str">
        <f t="shared" si="150"/>
        <v/>
      </c>
      <c r="AB167" s="3" t="str">
        <f t="shared" si="150"/>
        <v/>
      </c>
      <c r="AC167" s="3" t="str">
        <f t="shared" si="150"/>
        <v/>
      </c>
      <c r="AD167" s="3" t="str">
        <f t="shared" si="150"/>
        <v/>
      </c>
      <c r="AE167" s="3" t="str">
        <f t="shared" si="150"/>
        <v/>
      </c>
      <c r="AF167" s="3" t="str">
        <f t="shared" si="150"/>
        <v/>
      </c>
      <c r="AG167" s="3" t="str">
        <f t="shared" si="150"/>
        <v/>
      </c>
      <c r="AH167" s="3" t="str">
        <f t="shared" si="152"/>
        <v/>
      </c>
      <c r="AI167" s="3" t="str">
        <f t="shared" si="152"/>
        <v/>
      </c>
      <c r="AJ167" s="3" t="str">
        <f t="shared" si="152"/>
        <v/>
      </c>
      <c r="AK167" s="3" t="str">
        <f t="shared" si="152"/>
        <v/>
      </c>
      <c r="AL167" s="3" t="str">
        <f t="shared" si="152"/>
        <v/>
      </c>
      <c r="AM167" s="3" t="str">
        <f t="shared" si="152"/>
        <v/>
      </c>
      <c r="AN167" s="3" t="str">
        <f t="shared" si="152"/>
        <v/>
      </c>
      <c r="AO167" s="3" t="str">
        <f t="shared" si="152"/>
        <v>X</v>
      </c>
      <c r="AP167" s="3" t="str">
        <f t="shared" si="152"/>
        <v>X</v>
      </c>
      <c r="AQ167" s="3" t="str">
        <f t="shared" si="152"/>
        <v>X</v>
      </c>
      <c r="AR167" s="3" t="str">
        <f t="shared" si="152"/>
        <v>X</v>
      </c>
      <c r="AS167" s="3" t="str">
        <f t="shared" si="152"/>
        <v>X</v>
      </c>
      <c r="AT167" s="3" t="str">
        <f t="shared" si="152"/>
        <v>X</v>
      </c>
      <c r="AU167" s="3" t="str">
        <f t="shared" si="152"/>
        <v>X</v>
      </c>
      <c r="AV167" s="3" t="str">
        <f t="shared" si="152"/>
        <v>X</v>
      </c>
      <c r="AW167" s="3" t="str">
        <f t="shared" si="124"/>
        <v/>
      </c>
      <c r="AX167" s="3" t="str">
        <f t="shared" si="125"/>
        <v/>
      </c>
      <c r="AY167" s="3" t="str">
        <f t="shared" si="126"/>
        <v/>
      </c>
      <c r="AZ167" s="3" t="str">
        <f t="shared" si="127"/>
        <v>X</v>
      </c>
      <c r="BA167" s="3" t="str">
        <f t="shared" si="129"/>
        <v/>
      </c>
      <c r="BB167" s="3" t="str">
        <f t="shared" si="130"/>
        <v/>
      </c>
      <c r="BC167" s="3" t="str">
        <f t="shared" si="131"/>
        <v/>
      </c>
      <c r="BD167" s="3">
        <f t="shared" si="132"/>
        <v>1935</v>
      </c>
      <c r="BE167" s="9" t="str">
        <f t="shared" si="133"/>
        <v/>
      </c>
      <c r="BF167" s="9" t="str">
        <f t="shared" si="134"/>
        <v/>
      </c>
      <c r="BG167" s="9" t="str">
        <f t="shared" si="135"/>
        <v/>
      </c>
      <c r="BH167" s="9" t="str">
        <f t="shared" si="136"/>
        <v>78F</v>
      </c>
      <c r="BI167" s="3" t="str">
        <f t="shared" si="137"/>
        <v/>
      </c>
      <c r="BJ167" s="3" t="str">
        <f t="shared" si="138"/>
        <v/>
      </c>
      <c r="BK167" s="3" t="str">
        <f t="shared" si="139"/>
        <v/>
      </c>
      <c r="BL167" s="3" t="str">
        <f t="shared" si="140"/>
        <v/>
      </c>
      <c r="BM167" s="3" t="str">
        <f t="shared" si="141"/>
        <v/>
      </c>
      <c r="BN167" s="3" t="str">
        <f t="shared" si="142"/>
        <v/>
      </c>
      <c r="BO167" s="3" t="str">
        <f t="shared" si="143"/>
        <v/>
      </c>
      <c r="BP167" s="3">
        <f t="shared" si="144"/>
        <v>7</v>
      </c>
      <c r="BQ167" s="3" t="str">
        <f t="shared" si="145"/>
        <v/>
      </c>
      <c r="BR167" s="3" t="str">
        <f t="shared" si="146"/>
        <v/>
      </c>
      <c r="BS167" s="3" t="str">
        <f t="shared" si="147"/>
        <v/>
      </c>
      <c r="BT167" s="3" t="str">
        <f t="shared" si="148"/>
        <v/>
      </c>
    </row>
    <row r="168" spans="2:72" x14ac:dyDescent="0.25">
      <c r="B168" s="3" t="s">
        <v>367</v>
      </c>
      <c r="C168" s="3" t="s">
        <v>1004</v>
      </c>
      <c r="D168" s="3" t="s">
        <v>1</v>
      </c>
      <c r="E168" s="3" t="s">
        <v>1062</v>
      </c>
      <c r="F168" s="3" t="s">
        <v>135</v>
      </c>
      <c r="G168" s="3" t="s">
        <v>944</v>
      </c>
      <c r="H168" s="3" t="s">
        <v>1007</v>
      </c>
      <c r="I168" s="3" t="s">
        <v>24</v>
      </c>
      <c r="J168" s="3">
        <v>4</v>
      </c>
      <c r="K168" s="3" t="s">
        <v>23</v>
      </c>
      <c r="L168" s="3" t="s">
        <v>23</v>
      </c>
      <c r="M168" s="3">
        <v>483</v>
      </c>
      <c r="N168" s="3" t="str">
        <f t="shared" si="154"/>
        <v>1E3</v>
      </c>
      <c r="O168" s="3">
        <v>11</v>
      </c>
      <c r="P168" s="3">
        <v>8</v>
      </c>
      <c r="Q168" s="3" t="str">
        <f t="shared" si="151"/>
        <v/>
      </c>
      <c r="R168" s="3" t="str">
        <f t="shared" si="150"/>
        <v/>
      </c>
      <c r="S168" s="3" t="str">
        <f t="shared" si="150"/>
        <v/>
      </c>
      <c r="T168" s="3" t="str">
        <f t="shared" si="150"/>
        <v/>
      </c>
      <c r="U168" s="3" t="str">
        <f t="shared" si="150"/>
        <v/>
      </c>
      <c r="V168" s="3" t="str">
        <f t="shared" si="150"/>
        <v/>
      </c>
      <c r="W168" s="3" t="str">
        <f t="shared" si="150"/>
        <v/>
      </c>
      <c r="X168" s="3" t="str">
        <f t="shared" si="150"/>
        <v/>
      </c>
      <c r="Y168" s="3" t="str">
        <f t="shared" si="150"/>
        <v/>
      </c>
      <c r="Z168" s="3" t="str">
        <f t="shared" si="150"/>
        <v/>
      </c>
      <c r="AA168" s="3" t="str">
        <f t="shared" si="150"/>
        <v/>
      </c>
      <c r="AB168" s="3" t="str">
        <f t="shared" si="150"/>
        <v/>
      </c>
      <c r="AC168" s="3" t="str">
        <f t="shared" si="150"/>
        <v/>
      </c>
      <c r="AD168" s="3" t="str">
        <f t="shared" si="150"/>
        <v/>
      </c>
      <c r="AE168" s="3" t="str">
        <f t="shared" ref="R168:AG170" si="155">IF(AND($O168&gt;=AE$3,AE$3&gt;=$P168),"X","")</f>
        <v/>
      </c>
      <c r="AF168" s="3" t="str">
        <f t="shared" si="155"/>
        <v/>
      </c>
      <c r="AG168" s="3" t="str">
        <f t="shared" si="155"/>
        <v/>
      </c>
      <c r="AH168" s="3" t="str">
        <f t="shared" si="152"/>
        <v/>
      </c>
      <c r="AI168" s="3" t="str">
        <f t="shared" si="152"/>
        <v/>
      </c>
      <c r="AJ168" s="3" t="str">
        <f t="shared" si="152"/>
        <v/>
      </c>
      <c r="AK168" s="3" t="str">
        <f t="shared" si="152"/>
        <v>X</v>
      </c>
      <c r="AL168" s="3" t="str">
        <f t="shared" si="152"/>
        <v>X</v>
      </c>
      <c r="AM168" s="3" t="str">
        <f t="shared" si="152"/>
        <v>X</v>
      </c>
      <c r="AN168" s="3" t="str">
        <f t="shared" si="152"/>
        <v>X</v>
      </c>
      <c r="AO168" s="3" t="str">
        <f t="shared" si="152"/>
        <v/>
      </c>
      <c r="AP168" s="3" t="str">
        <f t="shared" si="152"/>
        <v/>
      </c>
      <c r="AQ168" s="3" t="str">
        <f t="shared" si="152"/>
        <v/>
      </c>
      <c r="AR168" s="3" t="str">
        <f t="shared" si="152"/>
        <v/>
      </c>
      <c r="AS168" s="3" t="str">
        <f t="shared" si="152"/>
        <v/>
      </c>
      <c r="AT168" s="3" t="str">
        <f t="shared" si="152"/>
        <v/>
      </c>
      <c r="AU168" s="3" t="str">
        <f t="shared" si="152"/>
        <v/>
      </c>
      <c r="AV168" s="3" t="str">
        <f t="shared" si="152"/>
        <v/>
      </c>
      <c r="AW168" s="3" t="str">
        <f t="shared" si="124"/>
        <v/>
      </c>
      <c r="AX168" s="3" t="str">
        <f t="shared" si="125"/>
        <v/>
      </c>
      <c r="AY168" s="3" t="str">
        <f t="shared" si="126"/>
        <v>X</v>
      </c>
      <c r="AZ168" s="3" t="str">
        <f t="shared" si="127"/>
        <v/>
      </c>
      <c r="BA168" s="3" t="str">
        <f t="shared" si="129"/>
        <v/>
      </c>
      <c r="BB168" s="3" t="str">
        <f t="shared" si="130"/>
        <v/>
      </c>
      <c r="BC168" s="3">
        <f t="shared" si="131"/>
        <v>1934</v>
      </c>
      <c r="BD168" s="3" t="str">
        <f t="shared" si="132"/>
        <v/>
      </c>
      <c r="BE168" s="9" t="str">
        <f t="shared" si="133"/>
        <v/>
      </c>
      <c r="BF168" s="9" t="str">
        <f t="shared" si="134"/>
        <v/>
      </c>
      <c r="BG168" s="9" t="str">
        <f t="shared" si="135"/>
        <v>78E</v>
      </c>
      <c r="BH168" s="9" t="str">
        <f t="shared" si="136"/>
        <v/>
      </c>
      <c r="BI168" s="3" t="str">
        <f t="shared" si="137"/>
        <v/>
      </c>
      <c r="BJ168" s="3" t="str">
        <f t="shared" si="138"/>
        <v/>
      </c>
      <c r="BK168" s="3" t="str">
        <f t="shared" si="139"/>
        <v>(3 downto 0)</v>
      </c>
      <c r="BL168" s="3" t="str">
        <f t="shared" si="140"/>
        <v/>
      </c>
      <c r="BM168" s="3" t="str">
        <f t="shared" si="141"/>
        <v/>
      </c>
      <c r="BN168" s="3" t="str">
        <f t="shared" si="142"/>
        <v/>
      </c>
      <c r="BO168" s="3">
        <f t="shared" si="143"/>
        <v>3</v>
      </c>
      <c r="BP168" s="3" t="str">
        <f t="shared" si="144"/>
        <v/>
      </c>
      <c r="BQ168" s="3" t="str">
        <f t="shared" si="145"/>
        <v/>
      </c>
      <c r="BR168" s="3" t="str">
        <f t="shared" si="146"/>
        <v/>
      </c>
      <c r="BS168" s="3" t="str">
        <f t="shared" si="147"/>
        <v/>
      </c>
      <c r="BT168" s="3" t="str">
        <f t="shared" si="148"/>
        <v/>
      </c>
    </row>
    <row r="169" spans="2:72" x14ac:dyDescent="0.25">
      <c r="B169" s="3" t="s">
        <v>367</v>
      </c>
      <c r="C169" s="3" t="s">
        <v>1005</v>
      </c>
      <c r="D169" s="3" t="s">
        <v>1</v>
      </c>
      <c r="E169" s="3" t="s">
        <v>1062</v>
      </c>
      <c r="F169" s="3" t="s">
        <v>135</v>
      </c>
      <c r="G169" s="3" t="s">
        <v>944</v>
      </c>
      <c r="H169" s="3" t="s">
        <v>1008</v>
      </c>
      <c r="I169" s="3" t="s">
        <v>24</v>
      </c>
      <c r="J169" s="3">
        <v>9</v>
      </c>
      <c r="K169" s="3" t="s">
        <v>23</v>
      </c>
      <c r="L169" s="3" t="s">
        <v>23</v>
      </c>
      <c r="M169" s="3">
        <v>483</v>
      </c>
      <c r="N169" s="3" t="str">
        <f t="shared" si="154"/>
        <v>1E3</v>
      </c>
      <c r="O169" s="3">
        <v>20</v>
      </c>
      <c r="P169" s="3">
        <v>12</v>
      </c>
      <c r="Q169" s="3" t="str">
        <f t="shared" si="151"/>
        <v/>
      </c>
      <c r="R169" s="3" t="str">
        <f t="shared" si="155"/>
        <v/>
      </c>
      <c r="S169" s="3" t="str">
        <f t="shared" si="155"/>
        <v/>
      </c>
      <c r="T169" s="3" t="str">
        <f t="shared" si="155"/>
        <v/>
      </c>
      <c r="U169" s="3" t="str">
        <f t="shared" si="155"/>
        <v/>
      </c>
      <c r="V169" s="3" t="str">
        <f t="shared" si="155"/>
        <v/>
      </c>
      <c r="W169" s="3" t="str">
        <f t="shared" si="155"/>
        <v/>
      </c>
      <c r="X169" s="3" t="str">
        <f t="shared" si="155"/>
        <v/>
      </c>
      <c r="Y169" s="3" t="str">
        <f t="shared" si="155"/>
        <v/>
      </c>
      <c r="Z169" s="3" t="str">
        <f t="shared" si="155"/>
        <v/>
      </c>
      <c r="AA169" s="3" t="str">
        <f t="shared" si="155"/>
        <v/>
      </c>
      <c r="AB169" s="3" t="str">
        <f t="shared" si="155"/>
        <v>X</v>
      </c>
      <c r="AC169" s="3" t="str">
        <f t="shared" si="155"/>
        <v>X</v>
      </c>
      <c r="AD169" s="3" t="str">
        <f t="shared" si="155"/>
        <v>X</v>
      </c>
      <c r="AE169" s="3" t="str">
        <f t="shared" si="155"/>
        <v>X</v>
      </c>
      <c r="AF169" s="3" t="str">
        <f t="shared" si="155"/>
        <v>X</v>
      </c>
      <c r="AG169" s="3" t="str">
        <f t="shared" si="155"/>
        <v>X</v>
      </c>
      <c r="AH169" s="3" t="str">
        <f t="shared" si="152"/>
        <v>X</v>
      </c>
      <c r="AI169" s="3" t="str">
        <f t="shared" si="152"/>
        <v>X</v>
      </c>
      <c r="AJ169" s="3" t="str">
        <f t="shared" si="152"/>
        <v>X</v>
      </c>
      <c r="AK169" s="3" t="str">
        <f t="shared" si="152"/>
        <v/>
      </c>
      <c r="AL169" s="3" t="str">
        <f t="shared" si="152"/>
        <v/>
      </c>
      <c r="AM169" s="3" t="str">
        <f t="shared" si="152"/>
        <v/>
      </c>
      <c r="AN169" s="3" t="str">
        <f t="shared" si="152"/>
        <v/>
      </c>
      <c r="AO169" s="3" t="str">
        <f t="shared" si="152"/>
        <v/>
      </c>
      <c r="AP169" s="3" t="str">
        <f t="shared" si="152"/>
        <v/>
      </c>
      <c r="AQ169" s="3" t="str">
        <f t="shared" si="152"/>
        <v/>
      </c>
      <c r="AR169" s="3" t="str">
        <f t="shared" si="152"/>
        <v/>
      </c>
      <c r="AS169" s="3" t="str">
        <f t="shared" si="152"/>
        <v/>
      </c>
      <c r="AT169" s="3" t="str">
        <f t="shared" si="152"/>
        <v/>
      </c>
      <c r="AU169" s="3" t="str">
        <f t="shared" si="152"/>
        <v/>
      </c>
      <c r="AV169" s="3" t="str">
        <f t="shared" si="152"/>
        <v/>
      </c>
      <c r="AW169" s="3" t="str">
        <f t="shared" si="124"/>
        <v/>
      </c>
      <c r="AX169" s="3" t="str">
        <f t="shared" si="125"/>
        <v>X</v>
      </c>
      <c r="AY169" s="3" t="str">
        <f t="shared" si="126"/>
        <v>X</v>
      </c>
      <c r="AZ169" s="3" t="str">
        <f t="shared" si="127"/>
        <v/>
      </c>
      <c r="BA169" s="3" t="str">
        <f t="shared" si="129"/>
        <v/>
      </c>
      <c r="BB169" s="3">
        <f t="shared" si="130"/>
        <v>1933</v>
      </c>
      <c r="BC169" s="3">
        <f t="shared" si="131"/>
        <v>1934</v>
      </c>
      <c r="BD169" s="3" t="str">
        <f t="shared" si="132"/>
        <v/>
      </c>
      <c r="BE169" s="9" t="str">
        <f t="shared" si="133"/>
        <v/>
      </c>
      <c r="BF169" s="9" t="str">
        <f t="shared" si="134"/>
        <v>78D</v>
      </c>
      <c r="BG169" s="9" t="str">
        <f t="shared" si="135"/>
        <v>78E</v>
      </c>
      <c r="BH169" s="9" t="str">
        <f t="shared" si="136"/>
        <v/>
      </c>
      <c r="BI169" s="3" t="str">
        <f t="shared" si="137"/>
        <v/>
      </c>
      <c r="BJ169" s="3" t="str">
        <f t="shared" si="138"/>
        <v>(4 downto 0)</v>
      </c>
      <c r="BK169" s="3" t="str">
        <f t="shared" si="139"/>
        <v>(7 downto 4)</v>
      </c>
      <c r="BL169" s="3" t="str">
        <f t="shared" si="140"/>
        <v/>
      </c>
      <c r="BM169" s="3" t="str">
        <f t="shared" si="141"/>
        <v/>
      </c>
      <c r="BN169" s="3">
        <f t="shared" si="142"/>
        <v>8</v>
      </c>
      <c r="BO169" s="3">
        <f t="shared" si="143"/>
        <v>3</v>
      </c>
      <c r="BP169" s="3" t="str">
        <f t="shared" si="144"/>
        <v/>
      </c>
      <c r="BQ169" s="3" t="str">
        <f t="shared" si="145"/>
        <v/>
      </c>
      <c r="BR169" s="3" t="str">
        <f t="shared" si="146"/>
        <v>(8 downto 4)</v>
      </c>
      <c r="BS169" s="3" t="str">
        <f t="shared" si="147"/>
        <v>(3 downto 0)</v>
      </c>
      <c r="BT169" s="3" t="str">
        <f t="shared" si="148"/>
        <v/>
      </c>
    </row>
    <row r="170" spans="2:72" x14ac:dyDescent="0.25">
      <c r="B170" s="3" t="s">
        <v>367</v>
      </c>
      <c r="C170" s="3" t="s">
        <v>507</v>
      </c>
      <c r="D170" s="3" t="s">
        <v>1</v>
      </c>
      <c r="E170" s="3" t="s">
        <v>1062</v>
      </c>
      <c r="F170" s="3" t="s">
        <v>135</v>
      </c>
      <c r="G170" s="3" t="s">
        <v>944</v>
      </c>
      <c r="H170" s="3" t="s">
        <v>250</v>
      </c>
      <c r="I170" s="3" t="s">
        <v>24</v>
      </c>
      <c r="J170" s="3">
        <v>11</v>
      </c>
      <c r="K170" s="3" t="s">
        <v>23</v>
      </c>
      <c r="L170" s="3" t="s">
        <v>23</v>
      </c>
      <c r="M170" s="3">
        <v>483</v>
      </c>
      <c r="N170" s="3" t="str">
        <f>DEC2HEX($M170,3)</f>
        <v>1E3</v>
      </c>
      <c r="O170" s="3">
        <v>31</v>
      </c>
      <c r="P170" s="3">
        <v>21</v>
      </c>
      <c r="Q170" s="3" t="str">
        <f t="shared" si="151"/>
        <v>X</v>
      </c>
      <c r="R170" s="3" t="str">
        <f t="shared" si="155"/>
        <v>X</v>
      </c>
      <c r="S170" s="3" t="str">
        <f t="shared" si="155"/>
        <v>X</v>
      </c>
      <c r="T170" s="3" t="str">
        <f t="shared" si="155"/>
        <v>X</v>
      </c>
      <c r="U170" s="3" t="str">
        <f t="shared" si="155"/>
        <v>X</v>
      </c>
      <c r="V170" s="3" t="str">
        <f t="shared" si="155"/>
        <v>X</v>
      </c>
      <c r="W170" s="3" t="str">
        <f t="shared" si="155"/>
        <v>X</v>
      </c>
      <c r="X170" s="3" t="str">
        <f t="shared" si="155"/>
        <v>X</v>
      </c>
      <c r="Y170" s="3" t="str">
        <f t="shared" si="155"/>
        <v>X</v>
      </c>
      <c r="Z170" s="3" t="str">
        <f t="shared" si="155"/>
        <v>X</v>
      </c>
      <c r="AA170" s="3" t="str">
        <f t="shared" si="155"/>
        <v>X</v>
      </c>
      <c r="AB170" s="3" t="str">
        <f t="shared" si="155"/>
        <v/>
      </c>
      <c r="AC170" s="3" t="str">
        <f t="shared" si="155"/>
        <v/>
      </c>
      <c r="AD170" s="3" t="str">
        <f t="shared" si="155"/>
        <v/>
      </c>
      <c r="AE170" s="3" t="str">
        <f t="shared" si="155"/>
        <v/>
      </c>
      <c r="AF170" s="3" t="str">
        <f t="shared" si="155"/>
        <v/>
      </c>
      <c r="AG170" s="3" t="str">
        <f t="shared" si="155"/>
        <v/>
      </c>
      <c r="AH170" s="3" t="str">
        <f t="shared" si="152"/>
        <v/>
      </c>
      <c r="AI170" s="3" t="str">
        <f t="shared" si="152"/>
        <v/>
      </c>
      <c r="AJ170" s="3" t="str">
        <f t="shared" si="152"/>
        <v/>
      </c>
      <c r="AK170" s="3" t="str">
        <f t="shared" si="152"/>
        <v/>
      </c>
      <c r="AL170" s="3" t="str">
        <f t="shared" si="152"/>
        <v/>
      </c>
      <c r="AM170" s="3" t="str">
        <f t="shared" si="152"/>
        <v/>
      </c>
      <c r="AN170" s="3" t="str">
        <f t="shared" si="152"/>
        <v/>
      </c>
      <c r="AO170" s="3" t="str">
        <f t="shared" si="152"/>
        <v/>
      </c>
      <c r="AP170" s="3" t="str">
        <f t="shared" si="152"/>
        <v/>
      </c>
      <c r="AQ170" s="3" t="str">
        <f t="shared" si="152"/>
        <v/>
      </c>
      <c r="AR170" s="3" t="str">
        <f t="shared" si="152"/>
        <v/>
      </c>
      <c r="AS170" s="3" t="str">
        <f t="shared" si="152"/>
        <v/>
      </c>
      <c r="AT170" s="3" t="str">
        <f t="shared" si="152"/>
        <v/>
      </c>
      <c r="AU170" s="3" t="str">
        <f t="shared" si="152"/>
        <v/>
      </c>
      <c r="AV170" s="3" t="str">
        <f t="shared" si="152"/>
        <v/>
      </c>
      <c r="AW170" s="3" t="str">
        <f t="shared" si="124"/>
        <v>X</v>
      </c>
      <c r="AX170" s="3" t="str">
        <f t="shared" si="125"/>
        <v>X</v>
      </c>
      <c r="AY170" s="3" t="str">
        <f t="shared" si="126"/>
        <v/>
      </c>
      <c r="AZ170" s="3" t="str">
        <f t="shared" si="127"/>
        <v/>
      </c>
      <c r="BA170" s="3">
        <f t="shared" si="129"/>
        <v>1932</v>
      </c>
      <c r="BB170" s="3">
        <f t="shared" si="130"/>
        <v>1933</v>
      </c>
      <c r="BC170" s="3" t="str">
        <f t="shared" si="131"/>
        <v/>
      </c>
      <c r="BD170" s="3" t="str">
        <f t="shared" si="132"/>
        <v/>
      </c>
      <c r="BE170" s="9" t="str">
        <f t="shared" si="133"/>
        <v>78C</v>
      </c>
      <c r="BF170" s="9" t="str">
        <f t="shared" si="134"/>
        <v>78D</v>
      </c>
      <c r="BG170" s="9" t="str">
        <f t="shared" si="135"/>
        <v/>
      </c>
      <c r="BH170" s="9" t="str">
        <f t="shared" si="136"/>
        <v/>
      </c>
      <c r="BI170" s="3" t="str">
        <f t="shared" si="137"/>
        <v/>
      </c>
      <c r="BJ170" s="3" t="str">
        <f t="shared" si="138"/>
        <v>(7 downto 5)</v>
      </c>
      <c r="BK170" s="3" t="str">
        <f t="shared" si="139"/>
        <v/>
      </c>
      <c r="BL170" s="3" t="str">
        <f t="shared" si="140"/>
        <v/>
      </c>
      <c r="BM170" s="3">
        <f t="shared" si="141"/>
        <v>10</v>
      </c>
      <c r="BN170" s="3">
        <f t="shared" si="142"/>
        <v>2</v>
      </c>
      <c r="BO170" s="3" t="str">
        <f t="shared" si="143"/>
        <v/>
      </c>
      <c r="BP170" s="3" t="str">
        <f t="shared" si="144"/>
        <v/>
      </c>
      <c r="BQ170" s="3" t="str">
        <f t="shared" si="145"/>
        <v>(10 downto 3)</v>
      </c>
      <c r="BR170" s="3" t="str">
        <f t="shared" si="146"/>
        <v>(2 downto 0)</v>
      </c>
      <c r="BS170" s="3" t="str">
        <f t="shared" si="147"/>
        <v/>
      </c>
      <c r="BT170" s="3" t="str">
        <f t="shared" si="148"/>
        <v/>
      </c>
    </row>
    <row r="175" spans="2:72" x14ac:dyDescent="0.25">
      <c r="BQ175" s="3" t="str">
        <f>IF(AW175="","",IF((4-COUNTIF($Q175:$X175,""))=1,"",_xlfn.CONCAT("(",BM175,IF(COUNTIF($AO175:$AV175,"X") = 1,"",_xlfn.CONCAT(" downto ",BM175-COUNTIF($Q175:$X175,"X")+1)),")")))</f>
        <v/>
      </c>
    </row>
  </sheetData>
  <autoFilter ref="B3:BT174" xr:uid="{00000000-0009-0000-0000-000000000000}"/>
  <mergeCells count="7">
    <mergeCell ref="BQ2:BT2"/>
    <mergeCell ref="Q2:AV2"/>
    <mergeCell ref="AW2:AZ2"/>
    <mergeCell ref="BA2:BD2"/>
    <mergeCell ref="BE2:BH2"/>
    <mergeCell ref="BI2:BL2"/>
    <mergeCell ref="BM2:BP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T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</cols>
  <sheetData>
    <row r="2" spans="2:12" x14ac:dyDescent="0.25">
      <c r="B2" s="20" t="s">
        <v>30</v>
      </c>
      <c r="C2" s="20"/>
      <c r="D2" s="20"/>
      <c r="F2" s="20" t="s">
        <v>65</v>
      </c>
      <c r="G2" s="20"/>
      <c r="H2" s="15"/>
      <c r="I2" s="20" t="s">
        <v>62</v>
      </c>
      <c r="J2" s="20"/>
    </row>
    <row r="3" spans="2:12" x14ac:dyDescent="0.25">
      <c r="B3" s="5" t="s">
        <v>31</v>
      </c>
      <c r="C3" s="5" t="s">
        <v>32</v>
      </c>
      <c r="D3" s="5" t="s">
        <v>33</v>
      </c>
      <c r="F3" s="13" t="s">
        <v>31</v>
      </c>
      <c r="G3" s="13" t="s">
        <v>66</v>
      </c>
      <c r="H3" s="13"/>
      <c r="I3" s="12" t="s">
        <v>63</v>
      </c>
      <c r="J3" s="12" t="s">
        <v>64</v>
      </c>
      <c r="L3" s="18"/>
    </row>
    <row r="4" spans="2:12" x14ac:dyDescent="0.25">
      <c r="B4" s="3" t="s">
        <v>34</v>
      </c>
      <c r="C4" s="3">
        <v>8</v>
      </c>
      <c r="D4" s="3">
        <f>C4/8</f>
        <v>1</v>
      </c>
      <c r="F4" s="3" t="s">
        <v>34</v>
      </c>
      <c r="G4" s="3" t="s">
        <v>67</v>
      </c>
      <c r="I4" s="3" t="s">
        <v>17</v>
      </c>
      <c r="J4" s="3">
        <f>MATCH($I4,Main!$B$2:$BT$2,0)+1</f>
        <v>2</v>
      </c>
    </row>
    <row r="5" spans="2:12" x14ac:dyDescent="0.25">
      <c r="B5" s="3" t="s">
        <v>35</v>
      </c>
      <c r="C5" s="3">
        <v>8</v>
      </c>
      <c r="D5" s="3">
        <f t="shared" ref="D5:D28" si="0">C5/8</f>
        <v>1</v>
      </c>
      <c r="F5" s="3" t="s">
        <v>35</v>
      </c>
      <c r="G5" s="3" t="s">
        <v>67</v>
      </c>
      <c r="I5" s="3" t="s">
        <v>18</v>
      </c>
      <c r="J5" s="3">
        <f>MATCH($I5,Main!$B$2:$BT$2,0)+1</f>
        <v>3</v>
      </c>
    </row>
    <row r="6" spans="2:12" x14ac:dyDescent="0.25">
      <c r="B6" s="3" t="s">
        <v>36</v>
      </c>
      <c r="C6" s="3">
        <v>8</v>
      </c>
      <c r="D6" s="3">
        <f t="shared" si="0"/>
        <v>1</v>
      </c>
      <c r="F6" s="3" t="s">
        <v>36</v>
      </c>
      <c r="G6" s="3" t="s">
        <v>67</v>
      </c>
      <c r="I6" s="3" t="s">
        <v>1</v>
      </c>
      <c r="J6" s="3">
        <f>MATCH($I6,Main!$B$2:$BT$2,0)+1</f>
        <v>4</v>
      </c>
    </row>
    <row r="7" spans="2:12" x14ac:dyDescent="0.25">
      <c r="B7" s="3" t="s">
        <v>37</v>
      </c>
      <c r="C7" s="3">
        <v>8</v>
      </c>
      <c r="D7" s="3">
        <f t="shared" si="0"/>
        <v>1</v>
      </c>
      <c r="F7" s="3" t="s">
        <v>37</v>
      </c>
      <c r="G7" s="3" t="s">
        <v>68</v>
      </c>
      <c r="I7" s="3" t="s">
        <v>26</v>
      </c>
      <c r="J7" s="3">
        <f>MATCH($I7,Main!$B$2:$BT$2,0)+1</f>
        <v>5</v>
      </c>
    </row>
    <row r="8" spans="2:12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68</v>
      </c>
      <c r="I8" s="3" t="s">
        <v>2</v>
      </c>
      <c r="J8" s="3">
        <f>MATCH($I8,Main!$B$2:$BT$2,0)+1</f>
        <v>6</v>
      </c>
    </row>
    <row r="9" spans="2:12" x14ac:dyDescent="0.25">
      <c r="B9" s="3" t="s">
        <v>27</v>
      </c>
      <c r="C9" s="3">
        <v>8</v>
      </c>
      <c r="D9" s="3">
        <f t="shared" si="0"/>
        <v>1</v>
      </c>
      <c r="F9" s="3" t="s">
        <v>27</v>
      </c>
      <c r="G9" s="3" t="s">
        <v>68</v>
      </c>
      <c r="I9" s="3" t="s">
        <v>4</v>
      </c>
      <c r="J9" s="3">
        <f>MATCH($I9,Main!$B$2:$BT$2,0)+1</f>
        <v>7</v>
      </c>
    </row>
    <row r="10" spans="2:12" x14ac:dyDescent="0.25">
      <c r="B10" s="3" t="s">
        <v>38</v>
      </c>
      <c r="C10" s="3">
        <v>16</v>
      </c>
      <c r="D10" s="3">
        <f t="shared" si="0"/>
        <v>2</v>
      </c>
      <c r="F10" s="3" t="s">
        <v>38</v>
      </c>
      <c r="G10" s="3" t="s">
        <v>70</v>
      </c>
      <c r="I10" s="3" t="s">
        <v>3</v>
      </c>
      <c r="J10" s="3">
        <f>MATCH($I10,Main!$B$2:$BT$2,0)+1</f>
        <v>8</v>
      </c>
    </row>
    <row r="11" spans="2:12" x14ac:dyDescent="0.25">
      <c r="B11" s="3" t="s">
        <v>39</v>
      </c>
      <c r="C11" s="3">
        <v>16</v>
      </c>
      <c r="D11" s="3">
        <f t="shared" si="0"/>
        <v>2</v>
      </c>
      <c r="F11" s="3" t="s">
        <v>39</v>
      </c>
      <c r="G11" s="3" t="s">
        <v>70</v>
      </c>
      <c r="I11" s="3" t="s">
        <v>25</v>
      </c>
      <c r="J11" s="3">
        <f>MATCH($I11,Main!$B$2:$BT$2,0)+1</f>
        <v>9</v>
      </c>
    </row>
    <row r="12" spans="2:12" x14ac:dyDescent="0.25">
      <c r="B12" s="3" t="s">
        <v>40</v>
      </c>
      <c r="C12" s="3">
        <v>16</v>
      </c>
      <c r="D12" s="3">
        <f t="shared" si="0"/>
        <v>2</v>
      </c>
      <c r="F12" s="3" t="s">
        <v>40</v>
      </c>
      <c r="G12" s="3" t="s">
        <v>70</v>
      </c>
      <c r="I12" s="3" t="s">
        <v>19</v>
      </c>
      <c r="J12" s="3">
        <f>MATCH($I12,Main!$B$2:$BT$2,0)+1</f>
        <v>10</v>
      </c>
    </row>
    <row r="13" spans="2:12" x14ac:dyDescent="0.25">
      <c r="B13" s="3" t="s">
        <v>41</v>
      </c>
      <c r="C13" s="3">
        <v>16</v>
      </c>
      <c r="D13" s="3">
        <f t="shared" si="0"/>
        <v>2</v>
      </c>
      <c r="F13" s="3" t="s">
        <v>41</v>
      </c>
      <c r="G13" s="3" t="s">
        <v>69</v>
      </c>
      <c r="I13" s="3" t="s">
        <v>55</v>
      </c>
      <c r="J13" s="3">
        <f>MATCH($I13,Main!$B$2:$BT$2,0)+1</f>
        <v>11</v>
      </c>
    </row>
    <row r="14" spans="2:12" x14ac:dyDescent="0.25">
      <c r="B14" s="3" t="s">
        <v>42</v>
      </c>
      <c r="C14" s="3">
        <v>16</v>
      </c>
      <c r="D14" s="3">
        <f t="shared" si="0"/>
        <v>2</v>
      </c>
      <c r="F14" s="3" t="s">
        <v>42</v>
      </c>
      <c r="G14" s="3" t="s">
        <v>69</v>
      </c>
      <c r="I14" s="3" t="s">
        <v>56</v>
      </c>
      <c r="J14" s="3">
        <f>MATCH($I14,Main!$B$2:$BT$2,0)+1</f>
        <v>12</v>
      </c>
    </row>
    <row r="15" spans="2:12" x14ac:dyDescent="0.25">
      <c r="B15" s="3" t="s">
        <v>29</v>
      </c>
      <c r="C15" s="3">
        <v>16</v>
      </c>
      <c r="D15" s="3">
        <f t="shared" si="0"/>
        <v>2</v>
      </c>
      <c r="F15" s="3" t="s">
        <v>29</v>
      </c>
      <c r="G15" s="3" t="s">
        <v>69</v>
      </c>
      <c r="I15" s="3" t="s">
        <v>53</v>
      </c>
      <c r="J15" s="3">
        <f>MATCH($I15,Main!$B$2:$BT$2,0)+1</f>
        <v>13</v>
      </c>
    </row>
    <row r="16" spans="2:12" x14ac:dyDescent="0.25">
      <c r="B16" s="3" t="s">
        <v>43</v>
      </c>
      <c r="C16" s="3">
        <v>32</v>
      </c>
      <c r="D16" s="3">
        <f t="shared" si="0"/>
        <v>4</v>
      </c>
      <c r="F16" s="3" t="s">
        <v>43</v>
      </c>
      <c r="G16" s="3" t="s">
        <v>71</v>
      </c>
      <c r="I16" s="3" t="s">
        <v>656</v>
      </c>
      <c r="J16" s="3">
        <f>MATCH($I16,Main!$B$2:$BT$2,0)+1</f>
        <v>14</v>
      </c>
    </row>
    <row r="17" spans="2:46" x14ac:dyDescent="0.25">
      <c r="B17" s="3" t="s">
        <v>44</v>
      </c>
      <c r="C17" s="3">
        <v>32</v>
      </c>
      <c r="D17" s="3">
        <f t="shared" si="0"/>
        <v>4</v>
      </c>
      <c r="F17" s="3" t="s">
        <v>44</v>
      </c>
      <c r="G17" s="3" t="s">
        <v>71</v>
      </c>
      <c r="I17" s="3" t="s">
        <v>650</v>
      </c>
      <c r="J17" s="3">
        <f>MATCH($I17,Main!$B$2:$BT$2,0)+1</f>
        <v>15</v>
      </c>
    </row>
    <row r="18" spans="2:46" x14ac:dyDescent="0.25">
      <c r="B18" s="3" t="s">
        <v>45</v>
      </c>
      <c r="C18" s="3">
        <v>32</v>
      </c>
      <c r="D18" s="3">
        <f t="shared" si="0"/>
        <v>4</v>
      </c>
      <c r="F18" s="3" t="s">
        <v>45</v>
      </c>
      <c r="G18" s="3" t="s">
        <v>71</v>
      </c>
      <c r="I18" s="3" t="s">
        <v>651</v>
      </c>
      <c r="J18" s="3">
        <f>MATCH($I18,Main!$B$2:$BT$2,0)+1</f>
        <v>16</v>
      </c>
    </row>
    <row r="19" spans="2:46" x14ac:dyDescent="0.25">
      <c r="B19" s="3" t="s">
        <v>46</v>
      </c>
      <c r="C19" s="3">
        <v>32</v>
      </c>
      <c r="D19" s="3">
        <f t="shared" si="0"/>
        <v>4</v>
      </c>
      <c r="F19" s="3" t="s">
        <v>46</v>
      </c>
      <c r="G19" s="3" t="s">
        <v>72</v>
      </c>
      <c r="I19" s="3" t="s">
        <v>654</v>
      </c>
      <c r="J19" s="3">
        <f>MATCH($I19,Main!$B$2:$BT$2,0)+1</f>
        <v>17</v>
      </c>
    </row>
    <row r="20" spans="2:46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72</v>
      </c>
      <c r="I20" s="3" t="s">
        <v>655</v>
      </c>
      <c r="J20" s="3">
        <f>MATCH($I20,Main!$B$2:$BT$2,0)+1</f>
        <v>49</v>
      </c>
    </row>
    <row r="21" spans="2:46" x14ac:dyDescent="0.25">
      <c r="B21" s="3" t="s">
        <v>28</v>
      </c>
      <c r="C21" s="3">
        <v>32</v>
      </c>
      <c r="D21" s="3">
        <f t="shared" si="0"/>
        <v>4</v>
      </c>
      <c r="F21" s="3" t="s">
        <v>28</v>
      </c>
      <c r="G21" s="3" t="s">
        <v>72</v>
      </c>
      <c r="I21" s="3" t="s">
        <v>54</v>
      </c>
      <c r="J21" s="3">
        <f>MATCH($I21,Main!$B$2:$BT$2,0)+1</f>
        <v>53</v>
      </c>
    </row>
    <row r="22" spans="2:46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73</v>
      </c>
      <c r="I22" s="3" t="s">
        <v>652</v>
      </c>
      <c r="J22" s="3">
        <f>MATCH($I22,Main!$B$2:$BT$2,0)+1</f>
        <v>57</v>
      </c>
    </row>
    <row r="23" spans="2:46" x14ac:dyDescent="0.25">
      <c r="B23" s="3" t="s">
        <v>47</v>
      </c>
      <c r="C23" s="3">
        <v>64</v>
      </c>
      <c r="D23" s="3">
        <f t="shared" si="0"/>
        <v>8</v>
      </c>
      <c r="F23" s="3" t="s">
        <v>47</v>
      </c>
      <c r="G23" s="3" t="s">
        <v>74</v>
      </c>
      <c r="I23" s="3" t="s">
        <v>661</v>
      </c>
      <c r="J23" s="3">
        <f>MATCH($I23,Main!$B$2:$BT$2,0)+1</f>
        <v>61</v>
      </c>
    </row>
    <row r="24" spans="2:46" x14ac:dyDescent="0.25">
      <c r="B24" s="3" t="s">
        <v>48</v>
      </c>
      <c r="C24" s="3">
        <v>64</v>
      </c>
      <c r="D24" s="3">
        <f t="shared" si="0"/>
        <v>8</v>
      </c>
      <c r="F24" s="3" t="s">
        <v>48</v>
      </c>
      <c r="G24" s="3" t="s">
        <v>74</v>
      </c>
      <c r="I24" s="3" t="s">
        <v>653</v>
      </c>
      <c r="J24" s="3">
        <f>MATCH($I24,Main!$B$2:$BT$2,0)+1</f>
        <v>65</v>
      </c>
    </row>
    <row r="25" spans="2:46" x14ac:dyDescent="0.25">
      <c r="B25" s="3" t="s">
        <v>49</v>
      </c>
      <c r="C25" s="3">
        <v>64</v>
      </c>
      <c r="D25" s="3">
        <f t="shared" si="0"/>
        <v>8</v>
      </c>
      <c r="F25" s="3" t="s">
        <v>49</v>
      </c>
      <c r="G25" s="3" t="s">
        <v>74</v>
      </c>
      <c r="I25" s="3" t="s">
        <v>13</v>
      </c>
      <c r="J25" s="3">
        <f>MATCH($I25,Main!$B$2:$BT$2,0)+1</f>
        <v>69</v>
      </c>
    </row>
    <row r="26" spans="2:46" x14ac:dyDescent="0.25">
      <c r="B26" s="3" t="s">
        <v>50</v>
      </c>
      <c r="C26" s="3">
        <v>64</v>
      </c>
      <c r="D26" s="3">
        <f t="shared" si="0"/>
        <v>8</v>
      </c>
      <c r="F26" s="3" t="s">
        <v>50</v>
      </c>
      <c r="G26" s="3" t="s">
        <v>75</v>
      </c>
    </row>
    <row r="27" spans="2:46" x14ac:dyDescent="0.25">
      <c r="B27" s="3" t="s">
        <v>51</v>
      </c>
      <c r="C27" s="3">
        <v>64</v>
      </c>
      <c r="D27" s="3">
        <f t="shared" si="0"/>
        <v>8</v>
      </c>
      <c r="F27" s="3" t="s">
        <v>51</v>
      </c>
      <c r="G27" s="3" t="s">
        <v>75</v>
      </c>
      <c r="I27" s="4"/>
    </row>
    <row r="28" spans="2:46" x14ac:dyDescent="0.25">
      <c r="B28" s="3" t="s">
        <v>52</v>
      </c>
      <c r="C28" s="3">
        <v>64</v>
      </c>
      <c r="D28" s="3">
        <f t="shared" si="0"/>
        <v>8</v>
      </c>
      <c r="F28" s="3" t="s">
        <v>52</v>
      </c>
      <c r="G28" s="3" t="s">
        <v>75</v>
      </c>
      <c r="I28" s="4"/>
    </row>
    <row r="30" spans="2:46" x14ac:dyDescent="0.25">
      <c r="AD30" s="3"/>
      <c r="AG30" s="3"/>
      <c r="AH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</row>
  </sheetData>
  <mergeCells count="3">
    <mergeCell ref="B2:D2"/>
    <mergeCell ref="I2:J2"/>
    <mergeCell ref="F2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2:H1123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10</v>
      </c>
      <c r="H2" s="1" t="s">
        <v>9</v>
      </c>
    </row>
    <row r="3" spans="2:8" ht="15" customHeight="1" x14ac:dyDescent="0.25">
      <c r="B3" t="s">
        <v>762</v>
      </c>
      <c r="H3" t="s">
        <v>764</v>
      </c>
    </row>
    <row r="4" spans="2:8" x14ac:dyDescent="0.25">
      <c r="H4" t="s">
        <v>763</v>
      </c>
    </row>
    <row r="5" spans="2:8" x14ac:dyDescent="0.25">
      <c r="B5" s="1" t="s">
        <v>8</v>
      </c>
      <c r="H5" t="s">
        <v>665</v>
      </c>
    </row>
    <row r="6" spans="2:8" x14ac:dyDescent="0.25">
      <c r="B6" t="s">
        <v>1352</v>
      </c>
    </row>
    <row r="7" spans="2:8" x14ac:dyDescent="0.25">
      <c r="H7" t="s">
        <v>668</v>
      </c>
    </row>
    <row r="8" spans="2:8" x14ac:dyDescent="0.25">
      <c r="B8" s="1" t="s">
        <v>11</v>
      </c>
      <c r="H8" t="s">
        <v>509</v>
      </c>
    </row>
    <row r="9" spans="2:8" x14ac:dyDescent="0.25">
      <c r="B9" t="s">
        <v>955</v>
      </c>
      <c r="H9" t="s">
        <v>1353</v>
      </c>
    </row>
    <row r="11" spans="2:8" x14ac:dyDescent="0.25">
      <c r="B11" s="1" t="s">
        <v>12</v>
      </c>
      <c r="H11" t="s">
        <v>669</v>
      </c>
    </row>
    <row r="12" spans="2:8" x14ac:dyDescent="0.25">
      <c r="B12" t="s">
        <v>954</v>
      </c>
      <c r="H12" t="s">
        <v>509</v>
      </c>
    </row>
    <row r="13" spans="2:8" x14ac:dyDescent="0.25">
      <c r="H13" t="s">
        <v>1354</v>
      </c>
    </row>
    <row r="15" spans="2:8" x14ac:dyDescent="0.25">
      <c r="H15" t="s">
        <v>666</v>
      </c>
    </row>
    <row r="16" spans="2:8" x14ac:dyDescent="0.25">
      <c r="H16" t="s">
        <v>508</v>
      </c>
    </row>
    <row r="17" spans="2:8" x14ac:dyDescent="0.25">
      <c r="H17" t="s">
        <v>1355</v>
      </c>
    </row>
    <row r="19" spans="2:8" x14ac:dyDescent="0.25">
      <c r="H19" t="s">
        <v>667</v>
      </c>
    </row>
    <row r="20" spans="2:8" x14ac:dyDescent="0.25">
      <c r="B20" s="1"/>
      <c r="H20" t="s">
        <v>508</v>
      </c>
    </row>
    <row r="21" spans="2:8" x14ac:dyDescent="0.25">
      <c r="H21" t="s">
        <v>1356</v>
      </c>
    </row>
    <row r="23" spans="2:8" x14ac:dyDescent="0.25">
      <c r="H23" t="s">
        <v>672</v>
      </c>
    </row>
    <row r="24" spans="2:8" x14ac:dyDescent="0.25">
      <c r="H24" t="s">
        <v>511</v>
      </c>
    </row>
    <row r="25" spans="2:8" x14ac:dyDescent="0.25">
      <c r="H25" t="s">
        <v>1357</v>
      </c>
    </row>
    <row r="27" spans="2:8" x14ac:dyDescent="0.25">
      <c r="H27" t="s">
        <v>673</v>
      </c>
    </row>
    <row r="28" spans="2:8" x14ac:dyDescent="0.25">
      <c r="H28" t="s">
        <v>511</v>
      </c>
    </row>
    <row r="29" spans="2:8" x14ac:dyDescent="0.25">
      <c r="H29" t="s">
        <v>1358</v>
      </c>
    </row>
    <row r="31" spans="2:8" x14ac:dyDescent="0.25">
      <c r="H31" t="s">
        <v>670</v>
      </c>
    </row>
    <row r="32" spans="2:8" x14ac:dyDescent="0.25">
      <c r="H32" t="s">
        <v>510</v>
      </c>
    </row>
    <row r="33" spans="8:8" x14ac:dyDescent="0.25">
      <c r="H33" t="s">
        <v>1359</v>
      </c>
    </row>
    <row r="35" spans="8:8" x14ac:dyDescent="0.25">
      <c r="H35" t="s">
        <v>671</v>
      </c>
    </row>
    <row r="36" spans="8:8" x14ac:dyDescent="0.25">
      <c r="H36" t="s">
        <v>510</v>
      </c>
    </row>
    <row r="37" spans="8:8" x14ac:dyDescent="0.25">
      <c r="H37" t="s">
        <v>1360</v>
      </c>
    </row>
    <row r="39" spans="8:8" x14ac:dyDescent="0.25">
      <c r="H39" t="s">
        <v>677</v>
      </c>
    </row>
    <row r="40" spans="8:8" x14ac:dyDescent="0.25">
      <c r="H40" t="s">
        <v>1054</v>
      </c>
    </row>
    <row r="41" spans="8:8" x14ac:dyDescent="0.25">
      <c r="H41" t="s">
        <v>1361</v>
      </c>
    </row>
    <row r="42" spans="8:8" x14ac:dyDescent="0.25">
      <c r="H42" t="s">
        <v>1055</v>
      </c>
    </row>
    <row r="43" spans="8:8" x14ac:dyDescent="0.25">
      <c r="H43" t="s">
        <v>1362</v>
      </c>
    </row>
    <row r="44" spans="8:8" x14ac:dyDescent="0.25">
      <c r="H44" t="s">
        <v>1056</v>
      </c>
    </row>
    <row r="45" spans="8:8" x14ac:dyDescent="0.25">
      <c r="H45" t="s">
        <v>1363</v>
      </c>
    </row>
    <row r="46" spans="8:8" x14ac:dyDescent="0.25">
      <c r="H46" t="s">
        <v>1057</v>
      </c>
    </row>
    <row r="47" spans="8:8" x14ac:dyDescent="0.25">
      <c r="H47" t="s">
        <v>1364</v>
      </c>
    </row>
    <row r="49" spans="8:8" x14ac:dyDescent="0.25">
      <c r="H49" t="s">
        <v>676</v>
      </c>
    </row>
    <row r="50" spans="8:8" x14ac:dyDescent="0.25">
      <c r="H50" t="s">
        <v>513</v>
      </c>
    </row>
    <row r="51" spans="8:8" x14ac:dyDescent="0.25">
      <c r="H51" t="s">
        <v>1365</v>
      </c>
    </row>
    <row r="53" spans="8:8" x14ac:dyDescent="0.25">
      <c r="H53" t="s">
        <v>674</v>
      </c>
    </row>
    <row r="54" spans="8:8" x14ac:dyDescent="0.25">
      <c r="H54" t="s">
        <v>512</v>
      </c>
    </row>
    <row r="55" spans="8:8" x14ac:dyDescent="0.25">
      <c r="H55" t="s">
        <v>1366</v>
      </c>
    </row>
    <row r="56" spans="8:8" x14ac:dyDescent="0.25">
      <c r="H56" t="s">
        <v>513</v>
      </c>
    </row>
    <row r="57" spans="8:8" x14ac:dyDescent="0.25">
      <c r="H57" t="s">
        <v>1367</v>
      </c>
    </row>
    <row r="59" spans="8:8" x14ac:dyDescent="0.25">
      <c r="H59" t="s">
        <v>675</v>
      </c>
    </row>
    <row r="60" spans="8:8" x14ac:dyDescent="0.25">
      <c r="H60" t="s">
        <v>512</v>
      </c>
    </row>
    <row r="61" spans="8:8" x14ac:dyDescent="0.25">
      <c r="H61" t="s">
        <v>1368</v>
      </c>
    </row>
    <row r="63" spans="8:8" x14ac:dyDescent="0.25">
      <c r="H63" t="s">
        <v>680</v>
      </c>
    </row>
    <row r="64" spans="8:8" x14ac:dyDescent="0.25">
      <c r="H64" t="s">
        <v>515</v>
      </c>
    </row>
    <row r="65" spans="8:8" x14ac:dyDescent="0.25">
      <c r="H65" t="s">
        <v>1369</v>
      </c>
    </row>
    <row r="66" spans="8:8" x14ac:dyDescent="0.25">
      <c r="H66" t="s">
        <v>516</v>
      </c>
    </row>
    <row r="67" spans="8:8" x14ac:dyDescent="0.25">
      <c r="H67" t="s">
        <v>1370</v>
      </c>
    </row>
    <row r="68" spans="8:8" x14ac:dyDescent="0.25">
      <c r="H68" t="s">
        <v>517</v>
      </c>
    </row>
    <row r="69" spans="8:8" x14ac:dyDescent="0.25">
      <c r="H69" t="s">
        <v>1371</v>
      </c>
    </row>
    <row r="70" spans="8:8" x14ac:dyDescent="0.25">
      <c r="H70" t="s">
        <v>518</v>
      </c>
    </row>
    <row r="71" spans="8:8" x14ac:dyDescent="0.25">
      <c r="H71" t="s">
        <v>1372</v>
      </c>
    </row>
    <row r="72" spans="8:8" x14ac:dyDescent="0.25">
      <c r="H72" t="s">
        <v>519</v>
      </c>
    </row>
    <row r="73" spans="8:8" x14ac:dyDescent="0.25">
      <c r="H73" t="s">
        <v>1373</v>
      </c>
    </row>
    <row r="75" spans="8:8" x14ac:dyDescent="0.25">
      <c r="H75" t="s">
        <v>681</v>
      </c>
    </row>
    <row r="76" spans="8:8" x14ac:dyDescent="0.25">
      <c r="H76" t="s">
        <v>515</v>
      </c>
    </row>
    <row r="77" spans="8:8" x14ac:dyDescent="0.25">
      <c r="H77" t="s">
        <v>1374</v>
      </c>
    </row>
    <row r="79" spans="8:8" x14ac:dyDescent="0.25">
      <c r="H79" t="s">
        <v>678</v>
      </c>
    </row>
    <row r="80" spans="8:8" x14ac:dyDescent="0.25">
      <c r="H80" t="s">
        <v>514</v>
      </c>
    </row>
    <row r="81" spans="8:8" x14ac:dyDescent="0.25">
      <c r="H81" t="s">
        <v>1375</v>
      </c>
    </row>
    <row r="83" spans="8:8" x14ac:dyDescent="0.25">
      <c r="H83" t="s">
        <v>679</v>
      </c>
    </row>
    <row r="84" spans="8:8" x14ac:dyDescent="0.25">
      <c r="H84" t="s">
        <v>514</v>
      </c>
    </row>
    <row r="85" spans="8:8" x14ac:dyDescent="0.25">
      <c r="H85" t="s">
        <v>1376</v>
      </c>
    </row>
    <row r="87" spans="8:8" x14ac:dyDescent="0.25">
      <c r="H87" t="s">
        <v>684</v>
      </c>
    </row>
    <row r="88" spans="8:8" x14ac:dyDescent="0.25">
      <c r="H88" t="s">
        <v>521</v>
      </c>
    </row>
    <row r="89" spans="8:8" x14ac:dyDescent="0.25">
      <c r="H89" t="s">
        <v>1377</v>
      </c>
    </row>
    <row r="91" spans="8:8" x14ac:dyDescent="0.25">
      <c r="H91" t="s">
        <v>685</v>
      </c>
    </row>
    <row r="92" spans="8:8" x14ac:dyDescent="0.25">
      <c r="H92" t="s">
        <v>521</v>
      </c>
    </row>
    <row r="93" spans="8:8" x14ac:dyDescent="0.25">
      <c r="H93" t="s">
        <v>1378</v>
      </c>
    </row>
    <row r="95" spans="8:8" x14ac:dyDescent="0.25">
      <c r="H95" t="s">
        <v>682</v>
      </c>
    </row>
    <row r="96" spans="8:8" x14ac:dyDescent="0.25">
      <c r="H96" t="s">
        <v>520</v>
      </c>
    </row>
    <row r="97" spans="8:8" x14ac:dyDescent="0.25">
      <c r="H97" t="s">
        <v>1379</v>
      </c>
    </row>
    <row r="99" spans="8:8" x14ac:dyDescent="0.25">
      <c r="H99" t="s">
        <v>683</v>
      </c>
    </row>
    <row r="100" spans="8:8" x14ac:dyDescent="0.25">
      <c r="H100" t="s">
        <v>520</v>
      </c>
    </row>
    <row r="101" spans="8:8" x14ac:dyDescent="0.25">
      <c r="H101" t="s">
        <v>1380</v>
      </c>
    </row>
    <row r="103" spans="8:8" x14ac:dyDescent="0.25">
      <c r="H103" t="s">
        <v>689</v>
      </c>
    </row>
    <row r="104" spans="8:8" x14ac:dyDescent="0.25">
      <c r="H104" t="s">
        <v>1012</v>
      </c>
    </row>
    <row r="105" spans="8:8" x14ac:dyDescent="0.25">
      <c r="H105" t="s">
        <v>1381</v>
      </c>
    </row>
    <row r="106" spans="8:8" x14ac:dyDescent="0.25">
      <c r="H106" t="s">
        <v>1658</v>
      </c>
    </row>
    <row r="107" spans="8:8" x14ac:dyDescent="0.25">
      <c r="H107" t="s">
        <v>1659</v>
      </c>
    </row>
    <row r="108" spans="8:8" x14ac:dyDescent="0.25">
      <c r="H108" t="s">
        <v>525</v>
      </c>
    </row>
    <row r="109" spans="8:8" x14ac:dyDescent="0.25">
      <c r="H109" t="s">
        <v>1660</v>
      </c>
    </row>
    <row r="111" spans="8:8" x14ac:dyDescent="0.25">
      <c r="H111" t="s">
        <v>686</v>
      </c>
    </row>
    <row r="112" spans="8:8" x14ac:dyDescent="0.25">
      <c r="H112" t="s">
        <v>1011</v>
      </c>
    </row>
    <row r="113" spans="8:8" x14ac:dyDescent="0.25">
      <c r="H113" t="s">
        <v>1382</v>
      </c>
    </row>
    <row r="114" spans="8:8" x14ac:dyDescent="0.25">
      <c r="H114" t="s">
        <v>522</v>
      </c>
    </row>
    <row r="115" spans="8:8" x14ac:dyDescent="0.25">
      <c r="H115" t="s">
        <v>1383</v>
      </c>
    </row>
    <row r="116" spans="8:8" x14ac:dyDescent="0.25">
      <c r="H116" t="s">
        <v>523</v>
      </c>
    </row>
    <row r="117" spans="8:8" x14ac:dyDescent="0.25">
      <c r="H117" t="s">
        <v>1384</v>
      </c>
    </row>
    <row r="118" spans="8:8" x14ac:dyDescent="0.25">
      <c r="H118" t="s">
        <v>524</v>
      </c>
    </row>
    <row r="119" spans="8:8" x14ac:dyDescent="0.25">
      <c r="H119" t="s">
        <v>1385</v>
      </c>
    </row>
    <row r="121" spans="8:8" x14ac:dyDescent="0.25">
      <c r="H121" t="s">
        <v>687</v>
      </c>
    </row>
    <row r="122" spans="8:8" x14ac:dyDescent="0.25">
      <c r="H122" t="s">
        <v>1011</v>
      </c>
    </row>
    <row r="123" spans="8:8" x14ac:dyDescent="0.25">
      <c r="H123" t="s">
        <v>1386</v>
      </c>
    </row>
    <row r="125" spans="8:8" x14ac:dyDescent="0.25">
      <c r="H125" t="s">
        <v>688</v>
      </c>
    </row>
    <row r="126" spans="8:8" x14ac:dyDescent="0.25">
      <c r="H126" t="s">
        <v>1011</v>
      </c>
    </row>
    <row r="127" spans="8:8" x14ac:dyDescent="0.25">
      <c r="H127" t="s">
        <v>1387</v>
      </c>
    </row>
    <row r="129" spans="8:8" x14ac:dyDescent="0.25">
      <c r="H129" t="s">
        <v>690</v>
      </c>
    </row>
    <row r="130" spans="8:8" x14ac:dyDescent="0.25">
      <c r="H130" t="s">
        <v>526</v>
      </c>
    </row>
    <row r="131" spans="8:8" x14ac:dyDescent="0.25">
      <c r="H131" t="s">
        <v>1388</v>
      </c>
    </row>
    <row r="133" spans="8:8" x14ac:dyDescent="0.25">
      <c r="H133" t="s">
        <v>691</v>
      </c>
    </row>
    <row r="134" spans="8:8" x14ac:dyDescent="0.25">
      <c r="H134" t="s">
        <v>526</v>
      </c>
    </row>
    <row r="135" spans="8:8" x14ac:dyDescent="0.25">
      <c r="H135" t="s">
        <v>1389</v>
      </c>
    </row>
    <row r="137" spans="8:8" x14ac:dyDescent="0.25">
      <c r="H137" t="s">
        <v>692</v>
      </c>
    </row>
    <row r="138" spans="8:8" x14ac:dyDescent="0.25">
      <c r="H138" t="s">
        <v>526</v>
      </c>
    </row>
    <row r="139" spans="8:8" x14ac:dyDescent="0.25">
      <c r="H139" t="s">
        <v>1390</v>
      </c>
    </row>
    <row r="141" spans="8:8" x14ac:dyDescent="0.25">
      <c r="H141" t="s">
        <v>693</v>
      </c>
    </row>
    <row r="142" spans="8:8" x14ac:dyDescent="0.25">
      <c r="H142" t="s">
        <v>526</v>
      </c>
    </row>
    <row r="143" spans="8:8" x14ac:dyDescent="0.25">
      <c r="H143" t="s">
        <v>1391</v>
      </c>
    </row>
    <row r="145" spans="8:8" x14ac:dyDescent="0.25">
      <c r="H145" t="s">
        <v>694</v>
      </c>
    </row>
    <row r="146" spans="8:8" x14ac:dyDescent="0.25">
      <c r="H146" t="s">
        <v>527</v>
      </c>
    </row>
    <row r="147" spans="8:8" x14ac:dyDescent="0.25">
      <c r="H147" t="s">
        <v>1392</v>
      </c>
    </row>
    <row r="149" spans="8:8" x14ac:dyDescent="0.25">
      <c r="H149" t="s">
        <v>695</v>
      </c>
    </row>
    <row r="150" spans="8:8" x14ac:dyDescent="0.25">
      <c r="H150" t="s">
        <v>527</v>
      </c>
    </row>
    <row r="151" spans="8:8" x14ac:dyDescent="0.25">
      <c r="H151" t="s">
        <v>1393</v>
      </c>
    </row>
    <row r="153" spans="8:8" x14ac:dyDescent="0.25">
      <c r="H153" t="s">
        <v>696</v>
      </c>
    </row>
    <row r="154" spans="8:8" x14ac:dyDescent="0.25">
      <c r="H154" t="s">
        <v>527</v>
      </c>
    </row>
    <row r="155" spans="8:8" x14ac:dyDescent="0.25">
      <c r="H155" t="s">
        <v>1394</v>
      </c>
    </row>
    <row r="157" spans="8:8" x14ac:dyDescent="0.25">
      <c r="H157" t="s">
        <v>697</v>
      </c>
    </row>
    <row r="158" spans="8:8" x14ac:dyDescent="0.25">
      <c r="H158" t="s">
        <v>527</v>
      </c>
    </row>
    <row r="159" spans="8:8" x14ac:dyDescent="0.25">
      <c r="H159" t="s">
        <v>1395</v>
      </c>
    </row>
    <row r="161" spans="8:8" x14ac:dyDescent="0.25">
      <c r="H161" t="s">
        <v>701</v>
      </c>
    </row>
    <row r="162" spans="8:8" x14ac:dyDescent="0.25">
      <c r="H162" t="s">
        <v>530</v>
      </c>
    </row>
    <row r="163" spans="8:8" x14ac:dyDescent="0.25">
      <c r="H163" t="s">
        <v>1396</v>
      </c>
    </row>
    <row r="164" spans="8:8" x14ac:dyDescent="0.25">
      <c r="H164" t="s">
        <v>531</v>
      </c>
    </row>
    <row r="165" spans="8:8" x14ac:dyDescent="0.25">
      <c r="H165" t="s">
        <v>1397</v>
      </c>
    </row>
    <row r="167" spans="8:8" x14ac:dyDescent="0.25">
      <c r="H167" t="s">
        <v>700</v>
      </c>
    </row>
    <row r="168" spans="8:8" x14ac:dyDescent="0.25">
      <c r="H168" t="s">
        <v>529</v>
      </c>
    </row>
    <row r="169" spans="8:8" x14ac:dyDescent="0.25">
      <c r="H169" t="s">
        <v>1398</v>
      </c>
    </row>
    <row r="170" spans="8:8" x14ac:dyDescent="0.25">
      <c r="H170" t="s">
        <v>530</v>
      </c>
    </row>
    <row r="171" spans="8:8" x14ac:dyDescent="0.25">
      <c r="H171" t="s">
        <v>1399</v>
      </c>
    </row>
    <row r="173" spans="8:8" x14ac:dyDescent="0.25">
      <c r="H173" t="s">
        <v>698</v>
      </c>
    </row>
    <row r="174" spans="8:8" x14ac:dyDescent="0.25">
      <c r="H174" t="s">
        <v>528</v>
      </c>
    </row>
    <row r="175" spans="8:8" x14ac:dyDescent="0.25">
      <c r="H175" t="s">
        <v>1400</v>
      </c>
    </row>
    <row r="177" spans="8:8" x14ac:dyDescent="0.25">
      <c r="H177" t="s">
        <v>699</v>
      </c>
    </row>
    <row r="178" spans="8:8" x14ac:dyDescent="0.25">
      <c r="H178" t="s">
        <v>528</v>
      </c>
    </row>
    <row r="179" spans="8:8" x14ac:dyDescent="0.25">
      <c r="H179" t="s">
        <v>1401</v>
      </c>
    </row>
    <row r="181" spans="8:8" x14ac:dyDescent="0.25">
      <c r="H181" t="s">
        <v>702</v>
      </c>
    </row>
    <row r="182" spans="8:8" x14ac:dyDescent="0.25">
      <c r="H182" t="s">
        <v>532</v>
      </c>
    </row>
    <row r="183" spans="8:8" x14ac:dyDescent="0.25">
      <c r="H183" t="s">
        <v>1402</v>
      </c>
    </row>
    <row r="185" spans="8:8" x14ac:dyDescent="0.25">
      <c r="H185" t="s">
        <v>703</v>
      </c>
    </row>
    <row r="186" spans="8:8" x14ac:dyDescent="0.25">
      <c r="H186" t="s">
        <v>532</v>
      </c>
    </row>
    <row r="187" spans="8:8" x14ac:dyDescent="0.25">
      <c r="H187" t="s">
        <v>1403</v>
      </c>
    </row>
    <row r="189" spans="8:8" x14ac:dyDescent="0.25">
      <c r="H189" t="s">
        <v>704</v>
      </c>
    </row>
    <row r="190" spans="8:8" x14ac:dyDescent="0.25">
      <c r="H190" t="s">
        <v>532</v>
      </c>
    </row>
    <row r="191" spans="8:8" x14ac:dyDescent="0.25">
      <c r="H191" t="s">
        <v>1404</v>
      </c>
    </row>
    <row r="193" spans="8:8" x14ac:dyDescent="0.25">
      <c r="H193" t="s">
        <v>705</v>
      </c>
    </row>
    <row r="194" spans="8:8" x14ac:dyDescent="0.25">
      <c r="H194" t="s">
        <v>532</v>
      </c>
    </row>
    <row r="195" spans="8:8" x14ac:dyDescent="0.25">
      <c r="H195" t="s">
        <v>1405</v>
      </c>
    </row>
    <row r="197" spans="8:8" x14ac:dyDescent="0.25">
      <c r="H197" t="s">
        <v>706</v>
      </c>
    </row>
    <row r="198" spans="8:8" x14ac:dyDescent="0.25">
      <c r="H198" t="s">
        <v>533</v>
      </c>
    </row>
    <row r="199" spans="8:8" x14ac:dyDescent="0.25">
      <c r="H199" t="s">
        <v>1406</v>
      </c>
    </row>
    <row r="201" spans="8:8" x14ac:dyDescent="0.25">
      <c r="H201" t="s">
        <v>707</v>
      </c>
    </row>
    <row r="202" spans="8:8" x14ac:dyDescent="0.25">
      <c r="H202" t="s">
        <v>533</v>
      </c>
    </row>
    <row r="203" spans="8:8" x14ac:dyDescent="0.25">
      <c r="H203" t="s">
        <v>1407</v>
      </c>
    </row>
    <row r="205" spans="8:8" x14ac:dyDescent="0.25">
      <c r="H205" t="s">
        <v>708</v>
      </c>
    </row>
    <row r="206" spans="8:8" x14ac:dyDescent="0.25">
      <c r="H206" t="s">
        <v>533</v>
      </c>
    </row>
    <row r="207" spans="8:8" x14ac:dyDescent="0.25">
      <c r="H207" t="s">
        <v>1408</v>
      </c>
    </row>
    <row r="209" spans="8:8" x14ac:dyDescent="0.25">
      <c r="H209" t="s">
        <v>709</v>
      </c>
    </row>
    <row r="210" spans="8:8" x14ac:dyDescent="0.25">
      <c r="H210" t="s">
        <v>533</v>
      </c>
    </row>
    <row r="211" spans="8:8" x14ac:dyDescent="0.25">
      <c r="H211" t="s">
        <v>1409</v>
      </c>
    </row>
    <row r="213" spans="8:8" x14ac:dyDescent="0.25">
      <c r="H213" t="s">
        <v>713</v>
      </c>
    </row>
    <row r="214" spans="8:8" x14ac:dyDescent="0.25">
      <c r="H214" t="s">
        <v>536</v>
      </c>
    </row>
    <row r="215" spans="8:8" x14ac:dyDescent="0.25">
      <c r="H215" t="s">
        <v>1410</v>
      </c>
    </row>
    <row r="216" spans="8:8" x14ac:dyDescent="0.25">
      <c r="H216" t="s">
        <v>537</v>
      </c>
    </row>
    <row r="217" spans="8:8" x14ac:dyDescent="0.25">
      <c r="H217" t="s">
        <v>1411</v>
      </c>
    </row>
    <row r="219" spans="8:8" x14ac:dyDescent="0.25">
      <c r="H219" t="s">
        <v>712</v>
      </c>
    </row>
    <row r="220" spans="8:8" x14ac:dyDescent="0.25">
      <c r="H220" t="s">
        <v>535</v>
      </c>
    </row>
    <row r="221" spans="8:8" x14ac:dyDescent="0.25">
      <c r="H221" t="s">
        <v>1412</v>
      </c>
    </row>
    <row r="222" spans="8:8" x14ac:dyDescent="0.25">
      <c r="H222" t="s">
        <v>536</v>
      </c>
    </row>
    <row r="223" spans="8:8" x14ac:dyDescent="0.25">
      <c r="H223" t="s">
        <v>1413</v>
      </c>
    </row>
    <row r="225" spans="8:8" x14ac:dyDescent="0.25">
      <c r="H225" t="s">
        <v>710</v>
      </c>
    </row>
    <row r="226" spans="8:8" x14ac:dyDescent="0.25">
      <c r="H226" t="s">
        <v>534</v>
      </c>
    </row>
    <row r="227" spans="8:8" x14ac:dyDescent="0.25">
      <c r="H227" t="s">
        <v>1414</v>
      </c>
    </row>
    <row r="229" spans="8:8" x14ac:dyDescent="0.25">
      <c r="H229" t="s">
        <v>711</v>
      </c>
    </row>
    <row r="230" spans="8:8" x14ac:dyDescent="0.25">
      <c r="H230" t="s">
        <v>534</v>
      </c>
    </row>
    <row r="231" spans="8:8" x14ac:dyDescent="0.25">
      <c r="H231" t="s">
        <v>1415</v>
      </c>
    </row>
    <row r="233" spans="8:8" x14ac:dyDescent="0.25">
      <c r="H233" t="s">
        <v>714</v>
      </c>
    </row>
    <row r="234" spans="8:8" x14ac:dyDescent="0.25">
      <c r="H234" t="s">
        <v>538</v>
      </c>
    </row>
    <row r="235" spans="8:8" x14ac:dyDescent="0.25">
      <c r="H235" t="s">
        <v>1416</v>
      </c>
    </row>
    <row r="237" spans="8:8" x14ac:dyDescent="0.25">
      <c r="H237" t="s">
        <v>715</v>
      </c>
    </row>
    <row r="238" spans="8:8" x14ac:dyDescent="0.25">
      <c r="H238" t="s">
        <v>538</v>
      </c>
    </row>
    <row r="239" spans="8:8" x14ac:dyDescent="0.25">
      <c r="H239" t="s">
        <v>1417</v>
      </c>
    </row>
    <row r="241" spans="8:8" x14ac:dyDescent="0.25">
      <c r="H241" t="s">
        <v>716</v>
      </c>
    </row>
    <row r="242" spans="8:8" x14ac:dyDescent="0.25">
      <c r="H242" t="s">
        <v>538</v>
      </c>
    </row>
    <row r="243" spans="8:8" x14ac:dyDescent="0.25">
      <c r="H243" t="s">
        <v>1418</v>
      </c>
    </row>
    <row r="245" spans="8:8" x14ac:dyDescent="0.25">
      <c r="H245" t="s">
        <v>717</v>
      </c>
    </row>
    <row r="246" spans="8:8" x14ac:dyDescent="0.25">
      <c r="H246" t="s">
        <v>538</v>
      </c>
    </row>
    <row r="247" spans="8:8" x14ac:dyDescent="0.25">
      <c r="H247" t="s">
        <v>1419</v>
      </c>
    </row>
    <row r="249" spans="8:8" x14ac:dyDescent="0.25">
      <c r="H249" t="s">
        <v>718</v>
      </c>
    </row>
    <row r="250" spans="8:8" x14ac:dyDescent="0.25">
      <c r="H250" t="s">
        <v>539</v>
      </c>
    </row>
    <row r="251" spans="8:8" x14ac:dyDescent="0.25">
      <c r="H251" t="s">
        <v>1420</v>
      </c>
    </row>
    <row r="253" spans="8:8" x14ac:dyDescent="0.25">
      <c r="H253" t="s">
        <v>719</v>
      </c>
    </row>
    <row r="254" spans="8:8" x14ac:dyDescent="0.25">
      <c r="H254" t="s">
        <v>539</v>
      </c>
    </row>
    <row r="255" spans="8:8" x14ac:dyDescent="0.25">
      <c r="H255" t="s">
        <v>1421</v>
      </c>
    </row>
    <row r="257" spans="8:8" x14ac:dyDescent="0.25">
      <c r="H257" t="s">
        <v>720</v>
      </c>
    </row>
    <row r="258" spans="8:8" x14ac:dyDescent="0.25">
      <c r="H258" t="s">
        <v>539</v>
      </c>
    </row>
    <row r="259" spans="8:8" x14ac:dyDescent="0.25">
      <c r="H259" t="s">
        <v>1422</v>
      </c>
    </row>
    <row r="261" spans="8:8" x14ac:dyDescent="0.25">
      <c r="H261" t="s">
        <v>721</v>
      </c>
    </row>
    <row r="262" spans="8:8" x14ac:dyDescent="0.25">
      <c r="H262" t="s">
        <v>539</v>
      </c>
    </row>
    <row r="263" spans="8:8" x14ac:dyDescent="0.25">
      <c r="H263" t="s">
        <v>1423</v>
      </c>
    </row>
    <row r="265" spans="8:8" x14ac:dyDescent="0.25">
      <c r="H265" t="s">
        <v>725</v>
      </c>
    </row>
    <row r="266" spans="8:8" x14ac:dyDescent="0.25">
      <c r="H266" t="s">
        <v>542</v>
      </c>
    </row>
    <row r="267" spans="8:8" x14ac:dyDescent="0.25">
      <c r="H267" t="s">
        <v>1424</v>
      </c>
    </row>
    <row r="268" spans="8:8" x14ac:dyDescent="0.25">
      <c r="H268" t="s">
        <v>543</v>
      </c>
    </row>
    <row r="269" spans="8:8" x14ac:dyDescent="0.25">
      <c r="H269" t="s">
        <v>1425</v>
      </c>
    </row>
    <row r="271" spans="8:8" x14ac:dyDescent="0.25">
      <c r="H271" t="s">
        <v>724</v>
      </c>
    </row>
    <row r="272" spans="8:8" x14ac:dyDescent="0.25">
      <c r="H272" t="s">
        <v>541</v>
      </c>
    </row>
    <row r="273" spans="8:8" x14ac:dyDescent="0.25">
      <c r="H273" t="s">
        <v>1426</v>
      </c>
    </row>
    <row r="274" spans="8:8" x14ac:dyDescent="0.25">
      <c r="H274" t="s">
        <v>542</v>
      </c>
    </row>
    <row r="275" spans="8:8" x14ac:dyDescent="0.25">
      <c r="H275" t="s">
        <v>1427</v>
      </c>
    </row>
    <row r="277" spans="8:8" x14ac:dyDescent="0.25">
      <c r="H277" t="s">
        <v>722</v>
      </c>
    </row>
    <row r="278" spans="8:8" x14ac:dyDescent="0.25">
      <c r="H278" t="s">
        <v>540</v>
      </c>
    </row>
    <row r="279" spans="8:8" x14ac:dyDescent="0.25">
      <c r="H279" t="s">
        <v>1428</v>
      </c>
    </row>
    <row r="281" spans="8:8" x14ac:dyDescent="0.25">
      <c r="H281" t="s">
        <v>723</v>
      </c>
    </row>
    <row r="282" spans="8:8" x14ac:dyDescent="0.25">
      <c r="H282" t="s">
        <v>540</v>
      </c>
    </row>
    <row r="283" spans="8:8" x14ac:dyDescent="0.25">
      <c r="H283" t="s">
        <v>1429</v>
      </c>
    </row>
    <row r="285" spans="8:8" x14ac:dyDescent="0.25">
      <c r="H285" t="s">
        <v>726</v>
      </c>
    </row>
    <row r="286" spans="8:8" x14ac:dyDescent="0.25">
      <c r="H286" t="s">
        <v>544</v>
      </c>
    </row>
    <row r="287" spans="8:8" x14ac:dyDescent="0.25">
      <c r="H287" t="s">
        <v>1430</v>
      </c>
    </row>
    <row r="289" spans="8:8" x14ac:dyDescent="0.25">
      <c r="H289" t="s">
        <v>727</v>
      </c>
    </row>
    <row r="290" spans="8:8" x14ac:dyDescent="0.25">
      <c r="H290" t="s">
        <v>544</v>
      </c>
    </row>
    <row r="291" spans="8:8" x14ac:dyDescent="0.25">
      <c r="H291" t="s">
        <v>1431</v>
      </c>
    </row>
    <row r="293" spans="8:8" x14ac:dyDescent="0.25">
      <c r="H293" t="s">
        <v>728</v>
      </c>
    </row>
    <row r="294" spans="8:8" x14ac:dyDescent="0.25">
      <c r="H294" t="s">
        <v>544</v>
      </c>
    </row>
    <row r="295" spans="8:8" x14ac:dyDescent="0.25">
      <c r="H295" t="s">
        <v>1432</v>
      </c>
    </row>
    <row r="297" spans="8:8" x14ac:dyDescent="0.25">
      <c r="H297" t="s">
        <v>729</v>
      </c>
    </row>
    <row r="298" spans="8:8" x14ac:dyDescent="0.25">
      <c r="H298" t="s">
        <v>544</v>
      </c>
    </row>
    <row r="299" spans="8:8" x14ac:dyDescent="0.25">
      <c r="H299" t="s">
        <v>1433</v>
      </c>
    </row>
    <row r="301" spans="8:8" x14ac:dyDescent="0.25">
      <c r="H301" t="s">
        <v>730</v>
      </c>
    </row>
    <row r="302" spans="8:8" x14ac:dyDescent="0.25">
      <c r="H302" t="s">
        <v>545</v>
      </c>
    </row>
    <row r="303" spans="8:8" x14ac:dyDescent="0.25">
      <c r="H303" t="s">
        <v>1434</v>
      </c>
    </row>
    <row r="305" spans="8:8" x14ac:dyDescent="0.25">
      <c r="H305" t="s">
        <v>731</v>
      </c>
    </row>
    <row r="306" spans="8:8" x14ac:dyDescent="0.25">
      <c r="H306" t="s">
        <v>545</v>
      </c>
    </row>
    <row r="307" spans="8:8" x14ac:dyDescent="0.25">
      <c r="H307" t="s">
        <v>1435</v>
      </c>
    </row>
    <row r="309" spans="8:8" x14ac:dyDescent="0.25">
      <c r="H309" t="s">
        <v>732</v>
      </c>
    </row>
    <row r="310" spans="8:8" x14ac:dyDescent="0.25">
      <c r="H310" t="s">
        <v>545</v>
      </c>
    </row>
    <row r="311" spans="8:8" x14ac:dyDescent="0.25">
      <c r="H311" t="s">
        <v>1436</v>
      </c>
    </row>
    <row r="313" spans="8:8" x14ac:dyDescent="0.25">
      <c r="H313" t="s">
        <v>733</v>
      </c>
    </row>
    <row r="314" spans="8:8" x14ac:dyDescent="0.25">
      <c r="H314" t="s">
        <v>545</v>
      </c>
    </row>
    <row r="315" spans="8:8" x14ac:dyDescent="0.25">
      <c r="H315" t="s">
        <v>1437</v>
      </c>
    </row>
    <row r="317" spans="8:8" x14ac:dyDescent="0.25">
      <c r="H317" t="s">
        <v>737</v>
      </c>
    </row>
    <row r="318" spans="8:8" x14ac:dyDescent="0.25">
      <c r="H318" t="s">
        <v>548</v>
      </c>
    </row>
    <row r="319" spans="8:8" x14ac:dyDescent="0.25">
      <c r="H319" t="s">
        <v>1438</v>
      </c>
    </row>
    <row r="320" spans="8:8" x14ac:dyDescent="0.25">
      <c r="H320" t="s">
        <v>549</v>
      </c>
    </row>
    <row r="321" spans="8:8" x14ac:dyDescent="0.25">
      <c r="H321" t="s">
        <v>1439</v>
      </c>
    </row>
    <row r="323" spans="8:8" x14ac:dyDescent="0.25">
      <c r="H323" t="s">
        <v>736</v>
      </c>
    </row>
    <row r="324" spans="8:8" x14ac:dyDescent="0.25">
      <c r="H324" t="s">
        <v>547</v>
      </c>
    </row>
    <row r="325" spans="8:8" x14ac:dyDescent="0.25">
      <c r="H325" t="s">
        <v>1440</v>
      </c>
    </row>
    <row r="326" spans="8:8" x14ac:dyDescent="0.25">
      <c r="H326" t="s">
        <v>548</v>
      </c>
    </row>
    <row r="327" spans="8:8" x14ac:dyDescent="0.25">
      <c r="H327" t="s">
        <v>1441</v>
      </c>
    </row>
    <row r="329" spans="8:8" x14ac:dyDescent="0.25">
      <c r="H329" t="s">
        <v>734</v>
      </c>
    </row>
    <row r="330" spans="8:8" x14ac:dyDescent="0.25">
      <c r="H330" t="s">
        <v>546</v>
      </c>
    </row>
    <row r="331" spans="8:8" x14ac:dyDescent="0.25">
      <c r="H331" t="s">
        <v>1442</v>
      </c>
    </row>
    <row r="333" spans="8:8" x14ac:dyDescent="0.25">
      <c r="H333" t="s">
        <v>735</v>
      </c>
    </row>
    <row r="334" spans="8:8" x14ac:dyDescent="0.25">
      <c r="H334" t="s">
        <v>546</v>
      </c>
    </row>
    <row r="335" spans="8:8" x14ac:dyDescent="0.25">
      <c r="H335" t="s">
        <v>1443</v>
      </c>
    </row>
    <row r="337" spans="8:8" x14ac:dyDescent="0.25">
      <c r="H337" t="s">
        <v>741</v>
      </c>
    </row>
    <row r="338" spans="8:8" x14ac:dyDescent="0.25">
      <c r="H338" t="s">
        <v>552</v>
      </c>
    </row>
    <row r="339" spans="8:8" x14ac:dyDescent="0.25">
      <c r="H339" t="s">
        <v>1444</v>
      </c>
    </row>
    <row r="341" spans="8:8" x14ac:dyDescent="0.25">
      <c r="H341" t="s">
        <v>740</v>
      </c>
    </row>
    <row r="342" spans="8:8" x14ac:dyDescent="0.25">
      <c r="H342" t="s">
        <v>551</v>
      </c>
    </row>
    <row r="343" spans="8:8" x14ac:dyDescent="0.25">
      <c r="H343" t="s">
        <v>1445</v>
      </c>
    </row>
    <row r="345" spans="8:8" x14ac:dyDescent="0.25">
      <c r="H345" t="s">
        <v>738</v>
      </c>
    </row>
    <row r="346" spans="8:8" x14ac:dyDescent="0.25">
      <c r="H346" t="s">
        <v>550</v>
      </c>
    </row>
    <row r="347" spans="8:8" x14ac:dyDescent="0.25">
      <c r="H347" t="s">
        <v>1446</v>
      </c>
    </row>
    <row r="348" spans="8:8" x14ac:dyDescent="0.25">
      <c r="H348" t="s">
        <v>551</v>
      </c>
    </row>
    <row r="349" spans="8:8" x14ac:dyDescent="0.25">
      <c r="H349" t="s">
        <v>1447</v>
      </c>
    </row>
    <row r="351" spans="8:8" x14ac:dyDescent="0.25">
      <c r="H351" t="s">
        <v>739</v>
      </c>
    </row>
    <row r="352" spans="8:8" x14ac:dyDescent="0.25">
      <c r="H352" t="s">
        <v>550</v>
      </c>
    </row>
    <row r="353" spans="8:8" x14ac:dyDescent="0.25">
      <c r="H353" t="s">
        <v>1448</v>
      </c>
    </row>
    <row r="355" spans="8:8" x14ac:dyDescent="0.25">
      <c r="H355" t="s">
        <v>744</v>
      </c>
    </row>
    <row r="356" spans="8:8" x14ac:dyDescent="0.25">
      <c r="H356" t="s">
        <v>555</v>
      </c>
    </row>
    <row r="357" spans="8:8" x14ac:dyDescent="0.25">
      <c r="H357" t="s">
        <v>1449</v>
      </c>
    </row>
    <row r="358" spans="8:8" x14ac:dyDescent="0.25">
      <c r="H358" t="s">
        <v>556</v>
      </c>
    </row>
    <row r="359" spans="8:8" x14ac:dyDescent="0.25">
      <c r="H359" t="s">
        <v>1450</v>
      </c>
    </row>
    <row r="361" spans="8:8" x14ac:dyDescent="0.25">
      <c r="H361" t="s">
        <v>745</v>
      </c>
    </row>
    <row r="362" spans="8:8" x14ac:dyDescent="0.25">
      <c r="H362" t="s">
        <v>555</v>
      </c>
    </row>
    <row r="363" spans="8:8" x14ac:dyDescent="0.25">
      <c r="H363" t="s">
        <v>1451</v>
      </c>
    </row>
    <row r="365" spans="8:8" x14ac:dyDescent="0.25">
      <c r="H365" t="s">
        <v>743</v>
      </c>
    </row>
    <row r="366" spans="8:8" x14ac:dyDescent="0.25">
      <c r="H366" t="s">
        <v>554</v>
      </c>
    </row>
    <row r="367" spans="8:8" x14ac:dyDescent="0.25">
      <c r="H367" t="s">
        <v>1452</v>
      </c>
    </row>
    <row r="369" spans="8:8" x14ac:dyDescent="0.25">
      <c r="H369" t="s">
        <v>742</v>
      </c>
    </row>
    <row r="370" spans="8:8" x14ac:dyDescent="0.25">
      <c r="H370" t="s">
        <v>553</v>
      </c>
    </row>
    <row r="371" spans="8:8" x14ac:dyDescent="0.25">
      <c r="H371" t="s">
        <v>1453</v>
      </c>
    </row>
    <row r="372" spans="8:8" x14ac:dyDescent="0.25">
      <c r="H372" t="s">
        <v>554</v>
      </c>
    </row>
    <row r="373" spans="8:8" x14ac:dyDescent="0.25">
      <c r="H373" t="s">
        <v>1454</v>
      </c>
    </row>
    <row r="375" spans="8:8" x14ac:dyDescent="0.25">
      <c r="H375" t="s">
        <v>749</v>
      </c>
    </row>
    <row r="376" spans="8:8" x14ac:dyDescent="0.25">
      <c r="H376" t="s">
        <v>559</v>
      </c>
    </row>
    <row r="377" spans="8:8" x14ac:dyDescent="0.25">
      <c r="H377" t="s">
        <v>1455</v>
      </c>
    </row>
    <row r="379" spans="8:8" x14ac:dyDescent="0.25">
      <c r="H379" t="s">
        <v>747</v>
      </c>
    </row>
    <row r="380" spans="8:8" x14ac:dyDescent="0.25">
      <c r="H380" t="s">
        <v>558</v>
      </c>
    </row>
    <row r="381" spans="8:8" x14ac:dyDescent="0.25">
      <c r="H381" t="s">
        <v>1456</v>
      </c>
    </row>
    <row r="382" spans="8:8" x14ac:dyDescent="0.25">
      <c r="H382" t="s">
        <v>559</v>
      </c>
    </row>
    <row r="383" spans="8:8" x14ac:dyDescent="0.25">
      <c r="H383" t="s">
        <v>1457</v>
      </c>
    </row>
    <row r="385" spans="8:8" x14ac:dyDescent="0.25">
      <c r="H385" t="s">
        <v>748</v>
      </c>
    </row>
    <row r="386" spans="8:8" x14ac:dyDescent="0.25">
      <c r="H386" t="s">
        <v>558</v>
      </c>
    </row>
    <row r="387" spans="8:8" x14ac:dyDescent="0.25">
      <c r="H387" t="s">
        <v>1458</v>
      </c>
    </row>
    <row r="389" spans="8:8" x14ac:dyDescent="0.25">
      <c r="H389" t="s">
        <v>746</v>
      </c>
    </row>
    <row r="390" spans="8:8" x14ac:dyDescent="0.25">
      <c r="H390" t="s">
        <v>557</v>
      </c>
    </row>
    <row r="391" spans="8:8" x14ac:dyDescent="0.25">
      <c r="H391" t="s">
        <v>1459</v>
      </c>
    </row>
    <row r="393" spans="8:8" x14ac:dyDescent="0.25">
      <c r="H393" t="s">
        <v>753</v>
      </c>
    </row>
    <row r="394" spans="8:8" x14ac:dyDescent="0.25">
      <c r="H394" t="s">
        <v>561</v>
      </c>
    </row>
    <row r="395" spans="8:8" x14ac:dyDescent="0.25">
      <c r="H395" t="s">
        <v>1460</v>
      </c>
    </row>
    <row r="396" spans="8:8" x14ac:dyDescent="0.25">
      <c r="H396" t="s">
        <v>562</v>
      </c>
    </row>
    <row r="397" spans="8:8" x14ac:dyDescent="0.25">
      <c r="H397" t="s">
        <v>1461</v>
      </c>
    </row>
    <row r="398" spans="8:8" x14ac:dyDescent="0.25">
      <c r="H398" t="s">
        <v>563</v>
      </c>
    </row>
    <row r="399" spans="8:8" x14ac:dyDescent="0.25">
      <c r="H399" t="s">
        <v>1462</v>
      </c>
    </row>
    <row r="401" spans="8:8" x14ac:dyDescent="0.25">
      <c r="H401" t="s">
        <v>752</v>
      </c>
    </row>
    <row r="402" spans="8:8" x14ac:dyDescent="0.25">
      <c r="H402" t="s">
        <v>562</v>
      </c>
    </row>
    <row r="403" spans="8:8" x14ac:dyDescent="0.25">
      <c r="H403" t="s">
        <v>1463</v>
      </c>
    </row>
    <row r="405" spans="8:8" x14ac:dyDescent="0.25">
      <c r="H405" t="s">
        <v>750</v>
      </c>
    </row>
    <row r="406" spans="8:8" x14ac:dyDescent="0.25">
      <c r="H406" t="s">
        <v>560</v>
      </c>
    </row>
    <row r="407" spans="8:8" x14ac:dyDescent="0.25">
      <c r="H407" t="s">
        <v>1464</v>
      </c>
    </row>
    <row r="408" spans="8:8" x14ac:dyDescent="0.25">
      <c r="H408" t="s">
        <v>562</v>
      </c>
    </row>
    <row r="409" spans="8:8" x14ac:dyDescent="0.25">
      <c r="H409" t="s">
        <v>1465</v>
      </c>
    </row>
    <row r="411" spans="8:8" x14ac:dyDescent="0.25">
      <c r="H411" t="s">
        <v>751</v>
      </c>
    </row>
    <row r="412" spans="8:8" x14ac:dyDescent="0.25">
      <c r="H412" t="s">
        <v>560</v>
      </c>
    </row>
    <row r="413" spans="8:8" x14ac:dyDescent="0.25">
      <c r="H413" t="s">
        <v>1466</v>
      </c>
    </row>
    <row r="415" spans="8:8" x14ac:dyDescent="0.25">
      <c r="H415" t="s">
        <v>754</v>
      </c>
    </row>
    <row r="416" spans="8:8" x14ac:dyDescent="0.25">
      <c r="H416" t="s">
        <v>564</v>
      </c>
    </row>
    <row r="417" spans="8:8" x14ac:dyDescent="0.25">
      <c r="H417" t="s">
        <v>1467</v>
      </c>
    </row>
    <row r="419" spans="8:8" x14ac:dyDescent="0.25">
      <c r="H419" t="s">
        <v>755</v>
      </c>
    </row>
    <row r="420" spans="8:8" x14ac:dyDescent="0.25">
      <c r="H420" t="s">
        <v>564</v>
      </c>
    </row>
    <row r="421" spans="8:8" x14ac:dyDescent="0.25">
      <c r="H421" t="s">
        <v>1468</v>
      </c>
    </row>
    <row r="423" spans="8:8" x14ac:dyDescent="0.25">
      <c r="H423" t="s">
        <v>756</v>
      </c>
    </row>
    <row r="424" spans="8:8" x14ac:dyDescent="0.25">
      <c r="H424" t="s">
        <v>564</v>
      </c>
    </row>
    <row r="425" spans="8:8" x14ac:dyDescent="0.25">
      <c r="H425" t="s">
        <v>1469</v>
      </c>
    </row>
    <row r="427" spans="8:8" x14ac:dyDescent="0.25">
      <c r="H427" t="s">
        <v>757</v>
      </c>
    </row>
    <row r="428" spans="8:8" x14ac:dyDescent="0.25">
      <c r="H428" t="s">
        <v>564</v>
      </c>
    </row>
    <row r="429" spans="8:8" x14ac:dyDescent="0.25">
      <c r="H429" t="s">
        <v>1470</v>
      </c>
    </row>
    <row r="431" spans="8:8" x14ac:dyDescent="0.25">
      <c r="H431" t="s">
        <v>758</v>
      </c>
    </row>
    <row r="432" spans="8:8" x14ac:dyDescent="0.25">
      <c r="H432" t="s">
        <v>1015</v>
      </c>
    </row>
    <row r="433" spans="8:8" x14ac:dyDescent="0.25">
      <c r="H433" t="s">
        <v>1471</v>
      </c>
    </row>
    <row r="434" spans="8:8" x14ac:dyDescent="0.25">
      <c r="H434" t="s">
        <v>565</v>
      </c>
    </row>
    <row r="435" spans="8:8" x14ac:dyDescent="0.25">
      <c r="H435" t="s">
        <v>1472</v>
      </c>
    </row>
    <row r="437" spans="8:8" x14ac:dyDescent="0.25">
      <c r="H437" t="s">
        <v>759</v>
      </c>
    </row>
    <row r="438" spans="8:8" x14ac:dyDescent="0.25">
      <c r="H438" t="s">
        <v>1014</v>
      </c>
    </row>
    <row r="439" spans="8:8" x14ac:dyDescent="0.25">
      <c r="H439" t="s">
        <v>1473</v>
      </c>
    </row>
    <row r="440" spans="8:8" x14ac:dyDescent="0.25">
      <c r="H440" t="s">
        <v>1015</v>
      </c>
    </row>
    <row r="441" spans="8:8" x14ac:dyDescent="0.25">
      <c r="H441" t="s">
        <v>1474</v>
      </c>
    </row>
    <row r="443" spans="8:8" x14ac:dyDescent="0.25">
      <c r="H443" t="s">
        <v>760</v>
      </c>
    </row>
    <row r="444" spans="8:8" x14ac:dyDescent="0.25">
      <c r="H444" t="s">
        <v>1013</v>
      </c>
    </row>
    <row r="445" spans="8:8" x14ac:dyDescent="0.25">
      <c r="H445" t="s">
        <v>1475</v>
      </c>
    </row>
    <row r="446" spans="8:8" x14ac:dyDescent="0.25">
      <c r="H446" t="s">
        <v>1014</v>
      </c>
    </row>
    <row r="447" spans="8:8" x14ac:dyDescent="0.25">
      <c r="H447" t="s">
        <v>1476</v>
      </c>
    </row>
    <row r="449" spans="8:8" x14ac:dyDescent="0.25">
      <c r="H449" t="s">
        <v>761</v>
      </c>
    </row>
    <row r="450" spans="8:8" x14ac:dyDescent="0.25">
      <c r="H450" t="s">
        <v>1013</v>
      </c>
    </row>
    <row r="451" spans="8:8" x14ac:dyDescent="0.25">
      <c r="H451" t="s">
        <v>1477</v>
      </c>
    </row>
    <row r="453" spans="8:8" x14ac:dyDescent="0.25">
      <c r="H453" t="s">
        <v>1022</v>
      </c>
    </row>
    <row r="454" spans="8:8" x14ac:dyDescent="0.25">
      <c r="H454" t="s">
        <v>1021</v>
      </c>
    </row>
    <row r="455" spans="8:8" x14ac:dyDescent="0.25">
      <c r="H455" t="s">
        <v>1478</v>
      </c>
    </row>
    <row r="456" spans="8:8" x14ac:dyDescent="0.25">
      <c r="H456" t="s">
        <v>1023</v>
      </c>
    </row>
    <row r="457" spans="8:8" x14ac:dyDescent="0.25">
      <c r="H457" t="s">
        <v>1479</v>
      </c>
    </row>
    <row r="459" spans="8:8" x14ac:dyDescent="0.25">
      <c r="H459" t="s">
        <v>1020</v>
      </c>
    </row>
    <row r="460" spans="8:8" x14ac:dyDescent="0.25">
      <c r="H460" t="s">
        <v>1019</v>
      </c>
    </row>
    <row r="461" spans="8:8" x14ac:dyDescent="0.25">
      <c r="H461" t="s">
        <v>1480</v>
      </c>
    </row>
    <row r="462" spans="8:8" x14ac:dyDescent="0.25">
      <c r="H462" t="s">
        <v>1021</v>
      </c>
    </row>
    <row r="463" spans="8:8" x14ac:dyDescent="0.25">
      <c r="H463" t="s">
        <v>1481</v>
      </c>
    </row>
    <row r="465" spans="8:8" x14ac:dyDescent="0.25">
      <c r="H465" t="s">
        <v>1018</v>
      </c>
    </row>
    <row r="466" spans="8:8" x14ac:dyDescent="0.25">
      <c r="H466" t="s">
        <v>1017</v>
      </c>
    </row>
    <row r="467" spans="8:8" x14ac:dyDescent="0.25">
      <c r="H467" t="s">
        <v>1482</v>
      </c>
    </row>
    <row r="468" spans="8:8" x14ac:dyDescent="0.25">
      <c r="H468" t="s">
        <v>1019</v>
      </c>
    </row>
    <row r="469" spans="8:8" x14ac:dyDescent="0.25">
      <c r="H469" t="s">
        <v>1483</v>
      </c>
    </row>
    <row r="471" spans="8:8" x14ac:dyDescent="0.25">
      <c r="H471" t="s">
        <v>1016</v>
      </c>
    </row>
    <row r="472" spans="8:8" x14ac:dyDescent="0.25">
      <c r="H472" t="s">
        <v>1017</v>
      </c>
    </row>
    <row r="473" spans="8:8" x14ac:dyDescent="0.25">
      <c r="H473" t="s">
        <v>1484</v>
      </c>
    </row>
    <row r="475" spans="8:8" x14ac:dyDescent="0.25">
      <c r="H475" t="s">
        <v>1030</v>
      </c>
    </row>
    <row r="476" spans="8:8" x14ac:dyDescent="0.25">
      <c r="H476" t="s">
        <v>1029</v>
      </c>
    </row>
    <row r="477" spans="8:8" x14ac:dyDescent="0.25">
      <c r="H477" t="s">
        <v>1485</v>
      </c>
    </row>
    <row r="478" spans="8:8" x14ac:dyDescent="0.25">
      <c r="H478" t="s">
        <v>1031</v>
      </c>
    </row>
    <row r="479" spans="8:8" x14ac:dyDescent="0.25">
      <c r="H479" t="s">
        <v>1486</v>
      </c>
    </row>
    <row r="481" spans="8:8" x14ac:dyDescent="0.25">
      <c r="H481" t="s">
        <v>1028</v>
      </c>
    </row>
    <row r="482" spans="8:8" x14ac:dyDescent="0.25">
      <c r="H482" t="s">
        <v>1027</v>
      </c>
    </row>
    <row r="483" spans="8:8" x14ac:dyDescent="0.25">
      <c r="H483" t="s">
        <v>1487</v>
      </c>
    </row>
    <row r="484" spans="8:8" x14ac:dyDescent="0.25">
      <c r="H484" t="s">
        <v>1029</v>
      </c>
    </row>
    <row r="485" spans="8:8" x14ac:dyDescent="0.25">
      <c r="H485" t="s">
        <v>1488</v>
      </c>
    </row>
    <row r="487" spans="8:8" x14ac:dyDescent="0.25">
      <c r="H487" t="s">
        <v>1026</v>
      </c>
    </row>
    <row r="488" spans="8:8" x14ac:dyDescent="0.25">
      <c r="H488" t="s">
        <v>1025</v>
      </c>
    </row>
    <row r="489" spans="8:8" x14ac:dyDescent="0.25">
      <c r="H489" t="s">
        <v>1489</v>
      </c>
    </row>
    <row r="490" spans="8:8" x14ac:dyDescent="0.25">
      <c r="H490" t="s">
        <v>1027</v>
      </c>
    </row>
    <row r="491" spans="8:8" x14ac:dyDescent="0.25">
      <c r="H491" t="s">
        <v>1490</v>
      </c>
    </row>
    <row r="493" spans="8:8" x14ac:dyDescent="0.25">
      <c r="H493" t="s">
        <v>1024</v>
      </c>
    </row>
    <row r="494" spans="8:8" x14ac:dyDescent="0.25">
      <c r="H494" t="s">
        <v>1025</v>
      </c>
    </row>
    <row r="495" spans="8:8" x14ac:dyDescent="0.25">
      <c r="H495" t="s">
        <v>1491</v>
      </c>
    </row>
    <row r="497" spans="8:8" x14ac:dyDescent="0.25">
      <c r="H497" t="s">
        <v>1037</v>
      </c>
    </row>
    <row r="498" spans="8:8" x14ac:dyDescent="0.25">
      <c r="H498" t="s">
        <v>1036</v>
      </c>
    </row>
    <row r="499" spans="8:8" x14ac:dyDescent="0.25">
      <c r="H499" t="s">
        <v>1492</v>
      </c>
    </row>
    <row r="501" spans="8:8" x14ac:dyDescent="0.25">
      <c r="H501" t="s">
        <v>1035</v>
      </c>
    </row>
    <row r="502" spans="8:8" x14ac:dyDescent="0.25">
      <c r="H502" t="s">
        <v>1036</v>
      </c>
    </row>
    <row r="503" spans="8:8" x14ac:dyDescent="0.25">
      <c r="H503" t="s">
        <v>1493</v>
      </c>
    </row>
    <row r="505" spans="8:8" x14ac:dyDescent="0.25">
      <c r="H505" t="s">
        <v>1034</v>
      </c>
    </row>
    <row r="506" spans="8:8" x14ac:dyDescent="0.25">
      <c r="H506" t="s">
        <v>1033</v>
      </c>
    </row>
    <row r="507" spans="8:8" x14ac:dyDescent="0.25">
      <c r="H507" t="s">
        <v>1494</v>
      </c>
    </row>
    <row r="509" spans="8:8" x14ac:dyDescent="0.25">
      <c r="H509" t="s">
        <v>1032</v>
      </c>
    </row>
    <row r="510" spans="8:8" x14ac:dyDescent="0.25">
      <c r="H510" t="s">
        <v>1033</v>
      </c>
    </row>
    <row r="511" spans="8:8" x14ac:dyDescent="0.25">
      <c r="H511" t="s">
        <v>1495</v>
      </c>
    </row>
    <row r="513" spans="8:8" x14ac:dyDescent="0.25">
      <c r="H513" t="s">
        <v>766</v>
      </c>
    </row>
    <row r="514" spans="8:8" x14ac:dyDescent="0.25">
      <c r="H514" t="s">
        <v>566</v>
      </c>
    </row>
    <row r="515" spans="8:8" x14ac:dyDescent="0.25">
      <c r="H515" t="s">
        <v>1496</v>
      </c>
    </row>
    <row r="517" spans="8:8" x14ac:dyDescent="0.25">
      <c r="H517" t="s">
        <v>765</v>
      </c>
    </row>
    <row r="518" spans="8:8" x14ac:dyDescent="0.25">
      <c r="H518" t="s">
        <v>566</v>
      </c>
    </row>
    <row r="519" spans="8:8" x14ac:dyDescent="0.25">
      <c r="H519" t="s">
        <v>1497</v>
      </c>
    </row>
    <row r="521" spans="8:8" x14ac:dyDescent="0.25">
      <c r="H521" t="s">
        <v>768</v>
      </c>
    </row>
    <row r="522" spans="8:8" x14ac:dyDescent="0.25">
      <c r="H522" t="s">
        <v>567</v>
      </c>
    </row>
    <row r="523" spans="8:8" x14ac:dyDescent="0.25">
      <c r="H523" t="s">
        <v>1498</v>
      </c>
    </row>
    <row r="525" spans="8:8" x14ac:dyDescent="0.25">
      <c r="H525" t="s">
        <v>767</v>
      </c>
    </row>
    <row r="526" spans="8:8" x14ac:dyDescent="0.25">
      <c r="H526" t="s">
        <v>567</v>
      </c>
    </row>
    <row r="527" spans="8:8" x14ac:dyDescent="0.25">
      <c r="H527" t="s">
        <v>1499</v>
      </c>
    </row>
    <row r="529" spans="8:8" x14ac:dyDescent="0.25">
      <c r="H529" t="s">
        <v>770</v>
      </c>
    </row>
    <row r="530" spans="8:8" x14ac:dyDescent="0.25">
      <c r="H530" t="s">
        <v>568</v>
      </c>
    </row>
    <row r="531" spans="8:8" x14ac:dyDescent="0.25">
      <c r="H531" t="s">
        <v>1500</v>
      </c>
    </row>
    <row r="533" spans="8:8" x14ac:dyDescent="0.25">
      <c r="H533" t="s">
        <v>769</v>
      </c>
    </row>
    <row r="534" spans="8:8" x14ac:dyDescent="0.25">
      <c r="H534" t="s">
        <v>568</v>
      </c>
    </row>
    <row r="535" spans="8:8" x14ac:dyDescent="0.25">
      <c r="H535" t="s">
        <v>1501</v>
      </c>
    </row>
    <row r="537" spans="8:8" x14ac:dyDescent="0.25">
      <c r="H537" t="s">
        <v>772</v>
      </c>
    </row>
    <row r="538" spans="8:8" x14ac:dyDescent="0.25">
      <c r="H538" t="s">
        <v>569</v>
      </c>
    </row>
    <row r="539" spans="8:8" x14ac:dyDescent="0.25">
      <c r="H539" t="s">
        <v>1502</v>
      </c>
    </row>
    <row r="541" spans="8:8" x14ac:dyDescent="0.25">
      <c r="H541" t="s">
        <v>771</v>
      </c>
    </row>
    <row r="542" spans="8:8" x14ac:dyDescent="0.25">
      <c r="H542" t="s">
        <v>569</v>
      </c>
    </row>
    <row r="543" spans="8:8" x14ac:dyDescent="0.25">
      <c r="H543" t="s">
        <v>1503</v>
      </c>
    </row>
    <row r="545" spans="8:8" x14ac:dyDescent="0.25">
      <c r="H545" t="s">
        <v>774</v>
      </c>
    </row>
    <row r="546" spans="8:8" x14ac:dyDescent="0.25">
      <c r="H546" t="s">
        <v>570</v>
      </c>
    </row>
    <row r="547" spans="8:8" x14ac:dyDescent="0.25">
      <c r="H547" t="s">
        <v>1504</v>
      </c>
    </row>
    <row r="549" spans="8:8" x14ac:dyDescent="0.25">
      <c r="H549" t="s">
        <v>773</v>
      </c>
    </row>
    <row r="550" spans="8:8" x14ac:dyDescent="0.25">
      <c r="H550" t="s">
        <v>570</v>
      </c>
    </row>
    <row r="551" spans="8:8" x14ac:dyDescent="0.25">
      <c r="H551" t="s">
        <v>1505</v>
      </c>
    </row>
    <row r="553" spans="8:8" x14ac:dyDescent="0.25">
      <c r="H553" t="s">
        <v>776</v>
      </c>
    </row>
    <row r="554" spans="8:8" x14ac:dyDescent="0.25">
      <c r="H554" t="s">
        <v>571</v>
      </c>
    </row>
    <row r="555" spans="8:8" x14ac:dyDescent="0.25">
      <c r="H555" t="s">
        <v>1506</v>
      </c>
    </row>
    <row r="557" spans="8:8" x14ac:dyDescent="0.25">
      <c r="H557" t="s">
        <v>775</v>
      </c>
    </row>
    <row r="558" spans="8:8" x14ac:dyDescent="0.25">
      <c r="H558" t="s">
        <v>571</v>
      </c>
    </row>
    <row r="559" spans="8:8" x14ac:dyDescent="0.25">
      <c r="H559" t="s">
        <v>1507</v>
      </c>
    </row>
    <row r="561" spans="8:8" x14ac:dyDescent="0.25">
      <c r="H561" t="s">
        <v>778</v>
      </c>
    </row>
    <row r="562" spans="8:8" x14ac:dyDescent="0.25">
      <c r="H562" t="s">
        <v>572</v>
      </c>
    </row>
    <row r="563" spans="8:8" x14ac:dyDescent="0.25">
      <c r="H563" t="s">
        <v>1508</v>
      </c>
    </row>
    <row r="565" spans="8:8" x14ac:dyDescent="0.25">
      <c r="H565" t="s">
        <v>777</v>
      </c>
    </row>
    <row r="566" spans="8:8" x14ac:dyDescent="0.25">
      <c r="H566" t="s">
        <v>572</v>
      </c>
    </row>
    <row r="567" spans="8:8" x14ac:dyDescent="0.25">
      <c r="H567" t="s">
        <v>1509</v>
      </c>
    </row>
    <row r="569" spans="8:8" x14ac:dyDescent="0.25">
      <c r="H569" t="s">
        <v>780</v>
      </c>
    </row>
    <row r="570" spans="8:8" x14ac:dyDescent="0.25">
      <c r="H570" t="s">
        <v>573</v>
      </c>
    </row>
    <row r="571" spans="8:8" x14ac:dyDescent="0.25">
      <c r="H571" t="s">
        <v>1510</v>
      </c>
    </row>
    <row r="573" spans="8:8" x14ac:dyDescent="0.25">
      <c r="H573" t="s">
        <v>779</v>
      </c>
    </row>
    <row r="574" spans="8:8" x14ac:dyDescent="0.25">
      <c r="H574" t="s">
        <v>573</v>
      </c>
    </row>
    <row r="575" spans="8:8" x14ac:dyDescent="0.25">
      <c r="H575" t="s">
        <v>1511</v>
      </c>
    </row>
    <row r="577" spans="8:8" x14ac:dyDescent="0.25">
      <c r="H577" t="s">
        <v>782</v>
      </c>
    </row>
    <row r="578" spans="8:8" x14ac:dyDescent="0.25">
      <c r="H578" t="s">
        <v>574</v>
      </c>
    </row>
    <row r="579" spans="8:8" x14ac:dyDescent="0.25">
      <c r="H579" t="s">
        <v>1512</v>
      </c>
    </row>
    <row r="581" spans="8:8" x14ac:dyDescent="0.25">
      <c r="H581" t="s">
        <v>781</v>
      </c>
    </row>
    <row r="582" spans="8:8" x14ac:dyDescent="0.25">
      <c r="H582" t="s">
        <v>574</v>
      </c>
    </row>
    <row r="583" spans="8:8" x14ac:dyDescent="0.25">
      <c r="H583" t="s">
        <v>1513</v>
      </c>
    </row>
    <row r="585" spans="8:8" x14ac:dyDescent="0.25">
      <c r="H585" t="s">
        <v>784</v>
      </c>
    </row>
    <row r="586" spans="8:8" x14ac:dyDescent="0.25">
      <c r="H586" t="s">
        <v>575</v>
      </c>
    </row>
    <row r="587" spans="8:8" x14ac:dyDescent="0.25">
      <c r="H587" t="s">
        <v>1514</v>
      </c>
    </row>
    <row r="589" spans="8:8" x14ac:dyDescent="0.25">
      <c r="H589" t="s">
        <v>783</v>
      </c>
    </row>
    <row r="590" spans="8:8" x14ac:dyDescent="0.25">
      <c r="H590" t="s">
        <v>575</v>
      </c>
    </row>
    <row r="591" spans="8:8" x14ac:dyDescent="0.25">
      <c r="H591" t="s">
        <v>1515</v>
      </c>
    </row>
    <row r="593" spans="8:8" x14ac:dyDescent="0.25">
      <c r="H593" t="s">
        <v>786</v>
      </c>
    </row>
    <row r="594" spans="8:8" x14ac:dyDescent="0.25">
      <c r="H594" t="s">
        <v>576</v>
      </c>
    </row>
    <row r="595" spans="8:8" x14ac:dyDescent="0.25">
      <c r="H595" t="s">
        <v>1516</v>
      </c>
    </row>
    <row r="597" spans="8:8" x14ac:dyDescent="0.25">
      <c r="H597" t="s">
        <v>785</v>
      </c>
    </row>
    <row r="598" spans="8:8" x14ac:dyDescent="0.25">
      <c r="H598" t="s">
        <v>576</v>
      </c>
    </row>
    <row r="599" spans="8:8" x14ac:dyDescent="0.25">
      <c r="H599" t="s">
        <v>1517</v>
      </c>
    </row>
    <row r="601" spans="8:8" x14ac:dyDescent="0.25">
      <c r="H601" t="s">
        <v>788</v>
      </c>
    </row>
    <row r="602" spans="8:8" x14ac:dyDescent="0.25">
      <c r="H602" t="s">
        <v>577</v>
      </c>
    </row>
    <row r="603" spans="8:8" x14ac:dyDescent="0.25">
      <c r="H603" t="s">
        <v>1518</v>
      </c>
    </row>
    <row r="605" spans="8:8" x14ac:dyDescent="0.25">
      <c r="H605" t="s">
        <v>787</v>
      </c>
    </row>
    <row r="606" spans="8:8" x14ac:dyDescent="0.25">
      <c r="H606" t="s">
        <v>577</v>
      </c>
    </row>
    <row r="607" spans="8:8" x14ac:dyDescent="0.25">
      <c r="H607" t="s">
        <v>1519</v>
      </c>
    </row>
    <row r="609" spans="8:8" x14ac:dyDescent="0.25">
      <c r="H609" t="s">
        <v>790</v>
      </c>
    </row>
    <row r="610" spans="8:8" x14ac:dyDescent="0.25">
      <c r="H610" t="s">
        <v>578</v>
      </c>
    </row>
    <row r="611" spans="8:8" x14ac:dyDescent="0.25">
      <c r="H611" t="s">
        <v>1520</v>
      </c>
    </row>
    <row r="613" spans="8:8" x14ac:dyDescent="0.25">
      <c r="H613" t="s">
        <v>789</v>
      </c>
    </row>
    <row r="614" spans="8:8" x14ac:dyDescent="0.25">
      <c r="H614" t="s">
        <v>578</v>
      </c>
    </row>
    <row r="615" spans="8:8" x14ac:dyDescent="0.25">
      <c r="H615" t="s">
        <v>1521</v>
      </c>
    </row>
    <row r="617" spans="8:8" x14ac:dyDescent="0.25">
      <c r="H617" t="s">
        <v>792</v>
      </c>
    </row>
    <row r="618" spans="8:8" x14ac:dyDescent="0.25">
      <c r="H618" t="s">
        <v>579</v>
      </c>
    </row>
    <row r="619" spans="8:8" x14ac:dyDescent="0.25">
      <c r="H619" t="s">
        <v>1522</v>
      </c>
    </row>
    <row r="621" spans="8:8" x14ac:dyDescent="0.25">
      <c r="H621" t="s">
        <v>791</v>
      </c>
    </row>
    <row r="622" spans="8:8" x14ac:dyDescent="0.25">
      <c r="H622" t="s">
        <v>579</v>
      </c>
    </row>
    <row r="623" spans="8:8" x14ac:dyDescent="0.25">
      <c r="H623" t="s">
        <v>1523</v>
      </c>
    </row>
    <row r="625" spans="8:8" x14ac:dyDescent="0.25">
      <c r="H625" t="s">
        <v>794</v>
      </c>
    </row>
    <row r="626" spans="8:8" x14ac:dyDescent="0.25">
      <c r="H626" t="s">
        <v>580</v>
      </c>
    </row>
    <row r="627" spans="8:8" x14ac:dyDescent="0.25">
      <c r="H627" t="s">
        <v>1524</v>
      </c>
    </row>
    <row r="629" spans="8:8" x14ac:dyDescent="0.25">
      <c r="H629" t="s">
        <v>793</v>
      </c>
    </row>
    <row r="630" spans="8:8" x14ac:dyDescent="0.25">
      <c r="H630" t="s">
        <v>580</v>
      </c>
    </row>
    <row r="631" spans="8:8" x14ac:dyDescent="0.25">
      <c r="H631" t="s">
        <v>1525</v>
      </c>
    </row>
    <row r="633" spans="8:8" x14ac:dyDescent="0.25">
      <c r="H633" t="s">
        <v>796</v>
      </c>
    </row>
    <row r="634" spans="8:8" x14ac:dyDescent="0.25">
      <c r="H634" t="s">
        <v>581</v>
      </c>
    </row>
    <row r="635" spans="8:8" x14ac:dyDescent="0.25">
      <c r="H635" t="s">
        <v>1526</v>
      </c>
    </row>
    <row r="637" spans="8:8" x14ac:dyDescent="0.25">
      <c r="H637" t="s">
        <v>795</v>
      </c>
    </row>
    <row r="638" spans="8:8" x14ac:dyDescent="0.25">
      <c r="H638" t="s">
        <v>581</v>
      </c>
    </row>
    <row r="639" spans="8:8" x14ac:dyDescent="0.25">
      <c r="H639" t="s">
        <v>1527</v>
      </c>
    </row>
    <row r="641" spans="8:8" x14ac:dyDescent="0.25">
      <c r="H641" t="s">
        <v>798</v>
      </c>
    </row>
    <row r="642" spans="8:8" x14ac:dyDescent="0.25">
      <c r="H642" t="s">
        <v>582</v>
      </c>
    </row>
    <row r="643" spans="8:8" x14ac:dyDescent="0.25">
      <c r="H643" t="s">
        <v>1528</v>
      </c>
    </row>
    <row r="645" spans="8:8" x14ac:dyDescent="0.25">
      <c r="H645" t="s">
        <v>797</v>
      </c>
    </row>
    <row r="646" spans="8:8" x14ac:dyDescent="0.25">
      <c r="H646" t="s">
        <v>582</v>
      </c>
    </row>
    <row r="647" spans="8:8" x14ac:dyDescent="0.25">
      <c r="H647" t="s">
        <v>1529</v>
      </c>
    </row>
    <row r="649" spans="8:8" x14ac:dyDescent="0.25">
      <c r="H649" t="s">
        <v>800</v>
      </c>
    </row>
    <row r="650" spans="8:8" x14ac:dyDescent="0.25">
      <c r="H650" t="s">
        <v>583</v>
      </c>
    </row>
    <row r="651" spans="8:8" x14ac:dyDescent="0.25">
      <c r="H651" t="s">
        <v>1530</v>
      </c>
    </row>
    <row r="653" spans="8:8" x14ac:dyDescent="0.25">
      <c r="H653" t="s">
        <v>799</v>
      </c>
    </row>
    <row r="654" spans="8:8" x14ac:dyDescent="0.25">
      <c r="H654" t="s">
        <v>583</v>
      </c>
    </row>
    <row r="655" spans="8:8" x14ac:dyDescent="0.25">
      <c r="H655" t="s">
        <v>1531</v>
      </c>
    </row>
    <row r="657" spans="8:8" x14ac:dyDescent="0.25">
      <c r="H657" t="s">
        <v>802</v>
      </c>
    </row>
    <row r="658" spans="8:8" x14ac:dyDescent="0.25">
      <c r="H658" t="s">
        <v>584</v>
      </c>
    </row>
    <row r="659" spans="8:8" x14ac:dyDescent="0.25">
      <c r="H659" t="s">
        <v>1532</v>
      </c>
    </row>
    <row r="661" spans="8:8" x14ac:dyDescent="0.25">
      <c r="H661" t="s">
        <v>801</v>
      </c>
    </row>
    <row r="662" spans="8:8" x14ac:dyDescent="0.25">
      <c r="H662" t="s">
        <v>584</v>
      </c>
    </row>
    <row r="663" spans="8:8" x14ac:dyDescent="0.25">
      <c r="H663" t="s">
        <v>1533</v>
      </c>
    </row>
    <row r="665" spans="8:8" x14ac:dyDescent="0.25">
      <c r="H665" t="s">
        <v>804</v>
      </c>
    </row>
    <row r="666" spans="8:8" x14ac:dyDescent="0.25">
      <c r="H666" t="s">
        <v>585</v>
      </c>
    </row>
    <row r="667" spans="8:8" x14ac:dyDescent="0.25">
      <c r="H667" t="s">
        <v>1534</v>
      </c>
    </row>
    <row r="669" spans="8:8" x14ac:dyDescent="0.25">
      <c r="H669" t="s">
        <v>803</v>
      </c>
    </row>
    <row r="670" spans="8:8" x14ac:dyDescent="0.25">
      <c r="H670" t="s">
        <v>585</v>
      </c>
    </row>
    <row r="671" spans="8:8" x14ac:dyDescent="0.25">
      <c r="H671" t="s">
        <v>1535</v>
      </c>
    </row>
    <row r="673" spans="8:8" x14ac:dyDescent="0.25">
      <c r="H673" t="s">
        <v>806</v>
      </c>
    </row>
    <row r="674" spans="8:8" x14ac:dyDescent="0.25">
      <c r="H674" t="s">
        <v>586</v>
      </c>
    </row>
    <row r="675" spans="8:8" x14ac:dyDescent="0.25">
      <c r="H675" t="s">
        <v>1536</v>
      </c>
    </row>
    <row r="677" spans="8:8" x14ac:dyDescent="0.25">
      <c r="H677" t="s">
        <v>805</v>
      </c>
    </row>
    <row r="678" spans="8:8" x14ac:dyDescent="0.25">
      <c r="H678" t="s">
        <v>586</v>
      </c>
    </row>
    <row r="679" spans="8:8" x14ac:dyDescent="0.25">
      <c r="H679" t="s">
        <v>1537</v>
      </c>
    </row>
    <row r="681" spans="8:8" x14ac:dyDescent="0.25">
      <c r="H681" t="s">
        <v>808</v>
      </c>
    </row>
    <row r="682" spans="8:8" x14ac:dyDescent="0.25">
      <c r="H682" t="s">
        <v>587</v>
      </c>
    </row>
    <row r="683" spans="8:8" x14ac:dyDescent="0.25">
      <c r="H683" t="s">
        <v>1538</v>
      </c>
    </row>
    <row r="685" spans="8:8" x14ac:dyDescent="0.25">
      <c r="H685" t="s">
        <v>807</v>
      </c>
    </row>
    <row r="686" spans="8:8" x14ac:dyDescent="0.25">
      <c r="H686" t="s">
        <v>587</v>
      </c>
    </row>
    <row r="687" spans="8:8" x14ac:dyDescent="0.25">
      <c r="H687" t="s">
        <v>1539</v>
      </c>
    </row>
    <row r="689" spans="8:8" x14ac:dyDescent="0.25">
      <c r="H689" t="s">
        <v>810</v>
      </c>
    </row>
    <row r="690" spans="8:8" x14ac:dyDescent="0.25">
      <c r="H690" t="s">
        <v>588</v>
      </c>
    </row>
    <row r="691" spans="8:8" x14ac:dyDescent="0.25">
      <c r="H691" t="s">
        <v>1540</v>
      </c>
    </row>
    <row r="693" spans="8:8" x14ac:dyDescent="0.25">
      <c r="H693" t="s">
        <v>809</v>
      </c>
    </row>
    <row r="694" spans="8:8" x14ac:dyDescent="0.25">
      <c r="H694" t="s">
        <v>588</v>
      </c>
    </row>
    <row r="695" spans="8:8" x14ac:dyDescent="0.25">
      <c r="H695" t="s">
        <v>1541</v>
      </c>
    </row>
    <row r="697" spans="8:8" x14ac:dyDescent="0.25">
      <c r="H697" t="s">
        <v>812</v>
      </c>
    </row>
    <row r="698" spans="8:8" x14ac:dyDescent="0.25">
      <c r="H698" t="s">
        <v>589</v>
      </c>
    </row>
    <row r="699" spans="8:8" x14ac:dyDescent="0.25">
      <c r="H699" t="s">
        <v>1542</v>
      </c>
    </row>
    <row r="701" spans="8:8" x14ac:dyDescent="0.25">
      <c r="H701" t="s">
        <v>811</v>
      </c>
    </row>
    <row r="702" spans="8:8" x14ac:dyDescent="0.25">
      <c r="H702" t="s">
        <v>589</v>
      </c>
    </row>
    <row r="703" spans="8:8" x14ac:dyDescent="0.25">
      <c r="H703" t="s">
        <v>1543</v>
      </c>
    </row>
    <row r="705" spans="8:8" x14ac:dyDescent="0.25">
      <c r="H705" t="s">
        <v>814</v>
      </c>
    </row>
    <row r="706" spans="8:8" x14ac:dyDescent="0.25">
      <c r="H706" t="s">
        <v>590</v>
      </c>
    </row>
    <row r="707" spans="8:8" x14ac:dyDescent="0.25">
      <c r="H707" t="s">
        <v>1544</v>
      </c>
    </row>
    <row r="709" spans="8:8" x14ac:dyDescent="0.25">
      <c r="H709" t="s">
        <v>813</v>
      </c>
    </row>
    <row r="710" spans="8:8" x14ac:dyDescent="0.25">
      <c r="H710" t="s">
        <v>590</v>
      </c>
    </row>
    <row r="711" spans="8:8" x14ac:dyDescent="0.25">
      <c r="H711" t="s">
        <v>1545</v>
      </c>
    </row>
    <row r="713" spans="8:8" x14ac:dyDescent="0.25">
      <c r="H713" t="s">
        <v>816</v>
      </c>
    </row>
    <row r="714" spans="8:8" x14ac:dyDescent="0.25">
      <c r="H714" t="s">
        <v>591</v>
      </c>
    </row>
    <row r="715" spans="8:8" x14ac:dyDescent="0.25">
      <c r="H715" t="s">
        <v>1546</v>
      </c>
    </row>
    <row r="717" spans="8:8" x14ac:dyDescent="0.25">
      <c r="H717" t="s">
        <v>815</v>
      </c>
    </row>
    <row r="718" spans="8:8" x14ac:dyDescent="0.25">
      <c r="H718" t="s">
        <v>591</v>
      </c>
    </row>
    <row r="719" spans="8:8" x14ac:dyDescent="0.25">
      <c r="H719" t="s">
        <v>1547</v>
      </c>
    </row>
    <row r="721" spans="8:8" x14ac:dyDescent="0.25">
      <c r="H721" t="s">
        <v>818</v>
      </c>
    </row>
    <row r="722" spans="8:8" x14ac:dyDescent="0.25">
      <c r="H722" t="s">
        <v>592</v>
      </c>
    </row>
    <row r="723" spans="8:8" x14ac:dyDescent="0.25">
      <c r="H723" t="s">
        <v>1548</v>
      </c>
    </row>
    <row r="725" spans="8:8" x14ac:dyDescent="0.25">
      <c r="H725" t="s">
        <v>817</v>
      </c>
    </row>
    <row r="726" spans="8:8" x14ac:dyDescent="0.25">
      <c r="H726" t="s">
        <v>592</v>
      </c>
    </row>
    <row r="727" spans="8:8" x14ac:dyDescent="0.25">
      <c r="H727" t="s">
        <v>1549</v>
      </c>
    </row>
    <row r="729" spans="8:8" x14ac:dyDescent="0.25">
      <c r="H729" t="s">
        <v>820</v>
      </c>
    </row>
    <row r="730" spans="8:8" x14ac:dyDescent="0.25">
      <c r="H730" t="s">
        <v>593</v>
      </c>
    </row>
    <row r="731" spans="8:8" x14ac:dyDescent="0.25">
      <c r="H731" t="s">
        <v>1550</v>
      </c>
    </row>
    <row r="733" spans="8:8" x14ac:dyDescent="0.25">
      <c r="H733" t="s">
        <v>819</v>
      </c>
    </row>
    <row r="734" spans="8:8" x14ac:dyDescent="0.25">
      <c r="H734" t="s">
        <v>593</v>
      </c>
    </row>
    <row r="735" spans="8:8" x14ac:dyDescent="0.25">
      <c r="H735" t="s">
        <v>1551</v>
      </c>
    </row>
    <row r="737" spans="8:8" x14ac:dyDescent="0.25">
      <c r="H737" t="s">
        <v>822</v>
      </c>
    </row>
    <row r="738" spans="8:8" x14ac:dyDescent="0.25">
      <c r="H738" t="s">
        <v>594</v>
      </c>
    </row>
    <row r="739" spans="8:8" x14ac:dyDescent="0.25">
      <c r="H739" t="s">
        <v>1552</v>
      </c>
    </row>
    <row r="741" spans="8:8" x14ac:dyDescent="0.25">
      <c r="H741" t="s">
        <v>821</v>
      </c>
    </row>
    <row r="742" spans="8:8" x14ac:dyDescent="0.25">
      <c r="H742" t="s">
        <v>594</v>
      </c>
    </row>
    <row r="743" spans="8:8" x14ac:dyDescent="0.25">
      <c r="H743" t="s">
        <v>1553</v>
      </c>
    </row>
    <row r="745" spans="8:8" x14ac:dyDescent="0.25">
      <c r="H745" t="s">
        <v>824</v>
      </c>
    </row>
    <row r="746" spans="8:8" x14ac:dyDescent="0.25">
      <c r="H746" t="s">
        <v>595</v>
      </c>
    </row>
    <row r="747" spans="8:8" x14ac:dyDescent="0.25">
      <c r="H747" t="s">
        <v>1554</v>
      </c>
    </row>
    <row r="749" spans="8:8" x14ac:dyDescent="0.25">
      <c r="H749" t="s">
        <v>823</v>
      </c>
    </row>
    <row r="750" spans="8:8" x14ac:dyDescent="0.25">
      <c r="H750" t="s">
        <v>595</v>
      </c>
    </row>
    <row r="751" spans="8:8" x14ac:dyDescent="0.25">
      <c r="H751" t="s">
        <v>1555</v>
      </c>
    </row>
    <row r="753" spans="8:8" x14ac:dyDescent="0.25">
      <c r="H753" t="s">
        <v>826</v>
      </c>
    </row>
    <row r="754" spans="8:8" x14ac:dyDescent="0.25">
      <c r="H754" t="s">
        <v>596</v>
      </c>
    </row>
    <row r="755" spans="8:8" x14ac:dyDescent="0.25">
      <c r="H755" t="s">
        <v>1556</v>
      </c>
    </row>
    <row r="757" spans="8:8" x14ac:dyDescent="0.25">
      <c r="H757" t="s">
        <v>825</v>
      </c>
    </row>
    <row r="758" spans="8:8" x14ac:dyDescent="0.25">
      <c r="H758" t="s">
        <v>596</v>
      </c>
    </row>
    <row r="759" spans="8:8" x14ac:dyDescent="0.25">
      <c r="H759" t="s">
        <v>1557</v>
      </c>
    </row>
    <row r="761" spans="8:8" x14ac:dyDescent="0.25">
      <c r="H761" t="s">
        <v>828</v>
      </c>
    </row>
    <row r="762" spans="8:8" x14ac:dyDescent="0.25">
      <c r="H762" t="s">
        <v>597</v>
      </c>
    </row>
    <row r="763" spans="8:8" x14ac:dyDescent="0.25">
      <c r="H763" t="s">
        <v>1558</v>
      </c>
    </row>
    <row r="765" spans="8:8" x14ac:dyDescent="0.25">
      <c r="H765" t="s">
        <v>827</v>
      </c>
    </row>
    <row r="766" spans="8:8" x14ac:dyDescent="0.25">
      <c r="H766" t="s">
        <v>597</v>
      </c>
    </row>
    <row r="767" spans="8:8" x14ac:dyDescent="0.25">
      <c r="H767" t="s">
        <v>1559</v>
      </c>
    </row>
    <row r="769" spans="8:8" x14ac:dyDescent="0.25">
      <c r="H769" t="s">
        <v>830</v>
      </c>
    </row>
    <row r="770" spans="8:8" x14ac:dyDescent="0.25">
      <c r="H770" t="s">
        <v>598</v>
      </c>
    </row>
    <row r="771" spans="8:8" x14ac:dyDescent="0.25">
      <c r="H771" t="s">
        <v>1560</v>
      </c>
    </row>
    <row r="773" spans="8:8" x14ac:dyDescent="0.25">
      <c r="H773" t="s">
        <v>829</v>
      </c>
    </row>
    <row r="774" spans="8:8" x14ac:dyDescent="0.25">
      <c r="H774" t="s">
        <v>598</v>
      </c>
    </row>
    <row r="775" spans="8:8" x14ac:dyDescent="0.25">
      <c r="H775" t="s">
        <v>1561</v>
      </c>
    </row>
    <row r="777" spans="8:8" x14ac:dyDescent="0.25">
      <c r="H777" t="s">
        <v>832</v>
      </c>
    </row>
    <row r="778" spans="8:8" x14ac:dyDescent="0.25">
      <c r="H778" t="s">
        <v>599</v>
      </c>
    </row>
    <row r="779" spans="8:8" x14ac:dyDescent="0.25">
      <c r="H779" t="s">
        <v>1562</v>
      </c>
    </row>
    <row r="781" spans="8:8" x14ac:dyDescent="0.25">
      <c r="H781" t="s">
        <v>831</v>
      </c>
    </row>
    <row r="782" spans="8:8" x14ac:dyDescent="0.25">
      <c r="H782" t="s">
        <v>599</v>
      </c>
    </row>
    <row r="783" spans="8:8" x14ac:dyDescent="0.25">
      <c r="H783" t="s">
        <v>1563</v>
      </c>
    </row>
    <row r="785" spans="8:8" x14ac:dyDescent="0.25">
      <c r="H785" t="s">
        <v>834</v>
      </c>
    </row>
    <row r="786" spans="8:8" x14ac:dyDescent="0.25">
      <c r="H786" t="s">
        <v>600</v>
      </c>
    </row>
    <row r="787" spans="8:8" x14ac:dyDescent="0.25">
      <c r="H787" t="s">
        <v>1564</v>
      </c>
    </row>
    <row r="789" spans="8:8" x14ac:dyDescent="0.25">
      <c r="H789" t="s">
        <v>833</v>
      </c>
    </row>
    <row r="790" spans="8:8" x14ac:dyDescent="0.25">
      <c r="H790" t="s">
        <v>600</v>
      </c>
    </row>
    <row r="791" spans="8:8" x14ac:dyDescent="0.25">
      <c r="H791" t="s">
        <v>1565</v>
      </c>
    </row>
    <row r="793" spans="8:8" x14ac:dyDescent="0.25">
      <c r="H793" t="s">
        <v>836</v>
      </c>
    </row>
    <row r="794" spans="8:8" x14ac:dyDescent="0.25">
      <c r="H794" t="s">
        <v>601</v>
      </c>
    </row>
    <row r="795" spans="8:8" x14ac:dyDescent="0.25">
      <c r="H795" t="s">
        <v>1566</v>
      </c>
    </row>
    <row r="797" spans="8:8" x14ac:dyDescent="0.25">
      <c r="H797" t="s">
        <v>835</v>
      </c>
    </row>
    <row r="798" spans="8:8" x14ac:dyDescent="0.25">
      <c r="H798" t="s">
        <v>601</v>
      </c>
    </row>
    <row r="799" spans="8:8" x14ac:dyDescent="0.25">
      <c r="H799" t="s">
        <v>1567</v>
      </c>
    </row>
    <row r="801" spans="8:8" x14ac:dyDescent="0.25">
      <c r="H801" t="s">
        <v>838</v>
      </c>
    </row>
    <row r="802" spans="8:8" x14ac:dyDescent="0.25">
      <c r="H802" t="s">
        <v>602</v>
      </c>
    </row>
    <row r="803" spans="8:8" x14ac:dyDescent="0.25">
      <c r="H803" t="s">
        <v>1568</v>
      </c>
    </row>
    <row r="805" spans="8:8" x14ac:dyDescent="0.25">
      <c r="H805" t="s">
        <v>837</v>
      </c>
    </row>
    <row r="806" spans="8:8" x14ac:dyDescent="0.25">
      <c r="H806" t="s">
        <v>602</v>
      </c>
    </row>
    <row r="807" spans="8:8" x14ac:dyDescent="0.25">
      <c r="H807" t="s">
        <v>1569</v>
      </c>
    </row>
    <row r="809" spans="8:8" x14ac:dyDescent="0.25">
      <c r="H809" t="s">
        <v>840</v>
      </c>
    </row>
    <row r="810" spans="8:8" x14ac:dyDescent="0.25">
      <c r="H810" t="s">
        <v>603</v>
      </c>
    </row>
    <row r="811" spans="8:8" x14ac:dyDescent="0.25">
      <c r="H811" t="s">
        <v>1570</v>
      </c>
    </row>
    <row r="813" spans="8:8" x14ac:dyDescent="0.25">
      <c r="H813" t="s">
        <v>839</v>
      </c>
    </row>
    <row r="814" spans="8:8" x14ac:dyDescent="0.25">
      <c r="H814" t="s">
        <v>603</v>
      </c>
    </row>
    <row r="815" spans="8:8" x14ac:dyDescent="0.25">
      <c r="H815" t="s">
        <v>1571</v>
      </c>
    </row>
    <row r="817" spans="8:8" x14ac:dyDescent="0.25">
      <c r="H817" t="s">
        <v>842</v>
      </c>
    </row>
    <row r="818" spans="8:8" x14ac:dyDescent="0.25">
      <c r="H818" t="s">
        <v>604</v>
      </c>
    </row>
    <row r="819" spans="8:8" x14ac:dyDescent="0.25">
      <c r="H819" t="s">
        <v>1572</v>
      </c>
    </row>
    <row r="821" spans="8:8" x14ac:dyDescent="0.25">
      <c r="H821" t="s">
        <v>841</v>
      </c>
    </row>
    <row r="822" spans="8:8" x14ac:dyDescent="0.25">
      <c r="H822" t="s">
        <v>604</v>
      </c>
    </row>
    <row r="823" spans="8:8" x14ac:dyDescent="0.25">
      <c r="H823" t="s">
        <v>1573</v>
      </c>
    </row>
    <row r="825" spans="8:8" x14ac:dyDescent="0.25">
      <c r="H825" t="s">
        <v>844</v>
      </c>
    </row>
    <row r="826" spans="8:8" x14ac:dyDescent="0.25">
      <c r="H826" t="s">
        <v>605</v>
      </c>
    </row>
    <row r="827" spans="8:8" x14ac:dyDescent="0.25">
      <c r="H827" t="s">
        <v>1574</v>
      </c>
    </row>
    <row r="829" spans="8:8" x14ac:dyDescent="0.25">
      <c r="H829" t="s">
        <v>843</v>
      </c>
    </row>
    <row r="830" spans="8:8" x14ac:dyDescent="0.25">
      <c r="H830" t="s">
        <v>605</v>
      </c>
    </row>
    <row r="831" spans="8:8" x14ac:dyDescent="0.25">
      <c r="H831" t="s">
        <v>1575</v>
      </c>
    </row>
    <row r="833" spans="8:8" x14ac:dyDescent="0.25">
      <c r="H833" t="s">
        <v>846</v>
      </c>
    </row>
    <row r="834" spans="8:8" x14ac:dyDescent="0.25">
      <c r="H834" t="s">
        <v>606</v>
      </c>
    </row>
    <row r="835" spans="8:8" x14ac:dyDescent="0.25">
      <c r="H835" t="s">
        <v>1576</v>
      </c>
    </row>
    <row r="837" spans="8:8" x14ac:dyDescent="0.25">
      <c r="H837" t="s">
        <v>845</v>
      </c>
    </row>
    <row r="838" spans="8:8" x14ac:dyDescent="0.25">
      <c r="H838" t="s">
        <v>606</v>
      </c>
    </row>
    <row r="839" spans="8:8" x14ac:dyDescent="0.25">
      <c r="H839" t="s">
        <v>1577</v>
      </c>
    </row>
    <row r="841" spans="8:8" x14ac:dyDescent="0.25">
      <c r="H841" t="s">
        <v>848</v>
      </c>
    </row>
    <row r="842" spans="8:8" x14ac:dyDescent="0.25">
      <c r="H842" t="s">
        <v>607</v>
      </c>
    </row>
    <row r="843" spans="8:8" x14ac:dyDescent="0.25">
      <c r="H843" t="s">
        <v>1578</v>
      </c>
    </row>
    <row r="845" spans="8:8" x14ac:dyDescent="0.25">
      <c r="H845" t="s">
        <v>847</v>
      </c>
    </row>
    <row r="846" spans="8:8" x14ac:dyDescent="0.25">
      <c r="H846" t="s">
        <v>607</v>
      </c>
    </row>
    <row r="847" spans="8:8" x14ac:dyDescent="0.25">
      <c r="H847" t="s">
        <v>1579</v>
      </c>
    </row>
    <row r="849" spans="8:8" x14ac:dyDescent="0.25">
      <c r="H849" t="s">
        <v>850</v>
      </c>
    </row>
    <row r="850" spans="8:8" x14ac:dyDescent="0.25">
      <c r="H850" t="s">
        <v>608</v>
      </c>
    </row>
    <row r="851" spans="8:8" x14ac:dyDescent="0.25">
      <c r="H851" t="s">
        <v>1580</v>
      </c>
    </row>
    <row r="853" spans="8:8" x14ac:dyDescent="0.25">
      <c r="H853" t="s">
        <v>849</v>
      </c>
    </row>
    <row r="854" spans="8:8" x14ac:dyDescent="0.25">
      <c r="H854" t="s">
        <v>608</v>
      </c>
    </row>
    <row r="855" spans="8:8" x14ac:dyDescent="0.25">
      <c r="H855" t="s">
        <v>1581</v>
      </c>
    </row>
    <row r="857" spans="8:8" x14ac:dyDescent="0.25">
      <c r="H857" t="s">
        <v>852</v>
      </c>
    </row>
    <row r="858" spans="8:8" x14ac:dyDescent="0.25">
      <c r="H858" t="s">
        <v>609</v>
      </c>
    </row>
    <row r="859" spans="8:8" x14ac:dyDescent="0.25">
      <c r="H859" t="s">
        <v>1582</v>
      </c>
    </row>
    <row r="861" spans="8:8" x14ac:dyDescent="0.25">
      <c r="H861" t="s">
        <v>851</v>
      </c>
    </row>
    <row r="862" spans="8:8" x14ac:dyDescent="0.25">
      <c r="H862" t="s">
        <v>609</v>
      </c>
    </row>
    <row r="863" spans="8:8" x14ac:dyDescent="0.25">
      <c r="H863" t="s">
        <v>1583</v>
      </c>
    </row>
    <row r="865" spans="8:8" x14ac:dyDescent="0.25">
      <c r="H865" t="s">
        <v>854</v>
      </c>
    </row>
    <row r="866" spans="8:8" x14ac:dyDescent="0.25">
      <c r="H866" t="s">
        <v>610</v>
      </c>
    </row>
    <row r="867" spans="8:8" x14ac:dyDescent="0.25">
      <c r="H867" t="s">
        <v>1584</v>
      </c>
    </row>
    <row r="869" spans="8:8" x14ac:dyDescent="0.25">
      <c r="H869" t="s">
        <v>853</v>
      </c>
    </row>
    <row r="870" spans="8:8" x14ac:dyDescent="0.25">
      <c r="H870" t="s">
        <v>610</v>
      </c>
    </row>
    <row r="871" spans="8:8" x14ac:dyDescent="0.25">
      <c r="H871" t="s">
        <v>1585</v>
      </c>
    </row>
    <row r="873" spans="8:8" x14ac:dyDescent="0.25">
      <c r="H873" t="s">
        <v>856</v>
      </c>
    </row>
    <row r="874" spans="8:8" x14ac:dyDescent="0.25">
      <c r="H874" t="s">
        <v>611</v>
      </c>
    </row>
    <row r="875" spans="8:8" x14ac:dyDescent="0.25">
      <c r="H875" t="s">
        <v>1586</v>
      </c>
    </row>
    <row r="877" spans="8:8" x14ac:dyDescent="0.25">
      <c r="H877" t="s">
        <v>855</v>
      </c>
    </row>
    <row r="878" spans="8:8" x14ac:dyDescent="0.25">
      <c r="H878" t="s">
        <v>611</v>
      </c>
    </row>
    <row r="879" spans="8:8" x14ac:dyDescent="0.25">
      <c r="H879" t="s">
        <v>1587</v>
      </c>
    </row>
    <row r="881" spans="8:8" x14ac:dyDescent="0.25">
      <c r="H881" t="s">
        <v>858</v>
      </c>
    </row>
    <row r="882" spans="8:8" x14ac:dyDescent="0.25">
      <c r="H882" t="s">
        <v>612</v>
      </c>
    </row>
    <row r="883" spans="8:8" x14ac:dyDescent="0.25">
      <c r="H883" t="s">
        <v>1588</v>
      </c>
    </row>
    <row r="885" spans="8:8" x14ac:dyDescent="0.25">
      <c r="H885" t="s">
        <v>857</v>
      </c>
    </row>
    <row r="886" spans="8:8" x14ac:dyDescent="0.25">
      <c r="H886" t="s">
        <v>612</v>
      </c>
    </row>
    <row r="887" spans="8:8" x14ac:dyDescent="0.25">
      <c r="H887" t="s">
        <v>1589</v>
      </c>
    </row>
    <row r="889" spans="8:8" x14ac:dyDescent="0.25">
      <c r="H889" t="s">
        <v>860</v>
      </c>
    </row>
    <row r="890" spans="8:8" x14ac:dyDescent="0.25">
      <c r="H890" t="s">
        <v>613</v>
      </c>
    </row>
    <row r="891" spans="8:8" x14ac:dyDescent="0.25">
      <c r="H891" t="s">
        <v>1590</v>
      </c>
    </row>
    <row r="893" spans="8:8" x14ac:dyDescent="0.25">
      <c r="H893" t="s">
        <v>859</v>
      </c>
    </row>
    <row r="894" spans="8:8" x14ac:dyDescent="0.25">
      <c r="H894" t="s">
        <v>613</v>
      </c>
    </row>
    <row r="895" spans="8:8" x14ac:dyDescent="0.25">
      <c r="H895" t="s">
        <v>1591</v>
      </c>
    </row>
    <row r="897" spans="8:8" x14ac:dyDescent="0.25">
      <c r="H897" t="s">
        <v>862</v>
      </c>
    </row>
    <row r="898" spans="8:8" x14ac:dyDescent="0.25">
      <c r="H898" t="s">
        <v>614</v>
      </c>
    </row>
    <row r="899" spans="8:8" x14ac:dyDescent="0.25">
      <c r="H899" t="s">
        <v>1592</v>
      </c>
    </row>
    <row r="901" spans="8:8" x14ac:dyDescent="0.25">
      <c r="H901" t="s">
        <v>861</v>
      </c>
    </row>
    <row r="902" spans="8:8" x14ac:dyDescent="0.25">
      <c r="H902" t="s">
        <v>614</v>
      </c>
    </row>
    <row r="903" spans="8:8" x14ac:dyDescent="0.25">
      <c r="H903" t="s">
        <v>1593</v>
      </c>
    </row>
    <row r="905" spans="8:8" x14ac:dyDescent="0.25">
      <c r="H905" t="s">
        <v>864</v>
      </c>
    </row>
    <row r="906" spans="8:8" x14ac:dyDescent="0.25">
      <c r="H906" t="s">
        <v>615</v>
      </c>
    </row>
    <row r="907" spans="8:8" x14ac:dyDescent="0.25">
      <c r="H907" t="s">
        <v>1594</v>
      </c>
    </row>
    <row r="909" spans="8:8" x14ac:dyDescent="0.25">
      <c r="H909" t="s">
        <v>863</v>
      </c>
    </row>
    <row r="910" spans="8:8" x14ac:dyDescent="0.25">
      <c r="H910" t="s">
        <v>615</v>
      </c>
    </row>
    <row r="911" spans="8:8" x14ac:dyDescent="0.25">
      <c r="H911" t="s">
        <v>1595</v>
      </c>
    </row>
    <row r="913" spans="8:8" x14ac:dyDescent="0.25">
      <c r="H913" t="s">
        <v>866</v>
      </c>
    </row>
    <row r="914" spans="8:8" x14ac:dyDescent="0.25">
      <c r="H914" t="s">
        <v>616</v>
      </c>
    </row>
    <row r="915" spans="8:8" x14ac:dyDescent="0.25">
      <c r="H915" t="s">
        <v>1596</v>
      </c>
    </row>
    <row r="917" spans="8:8" x14ac:dyDescent="0.25">
      <c r="H917" t="s">
        <v>865</v>
      </c>
    </row>
    <row r="918" spans="8:8" x14ac:dyDescent="0.25">
      <c r="H918" t="s">
        <v>616</v>
      </c>
    </row>
    <row r="919" spans="8:8" x14ac:dyDescent="0.25">
      <c r="H919" t="s">
        <v>1597</v>
      </c>
    </row>
    <row r="921" spans="8:8" x14ac:dyDescent="0.25">
      <c r="H921" t="s">
        <v>868</v>
      </c>
    </row>
    <row r="922" spans="8:8" x14ac:dyDescent="0.25">
      <c r="H922" t="s">
        <v>617</v>
      </c>
    </row>
    <row r="923" spans="8:8" x14ac:dyDescent="0.25">
      <c r="H923" t="s">
        <v>1598</v>
      </c>
    </row>
    <row r="925" spans="8:8" x14ac:dyDescent="0.25">
      <c r="H925" t="s">
        <v>867</v>
      </c>
    </row>
    <row r="926" spans="8:8" x14ac:dyDescent="0.25">
      <c r="H926" t="s">
        <v>617</v>
      </c>
    </row>
    <row r="927" spans="8:8" x14ac:dyDescent="0.25">
      <c r="H927" t="s">
        <v>1599</v>
      </c>
    </row>
    <row r="929" spans="8:8" x14ac:dyDescent="0.25">
      <c r="H929" t="s">
        <v>870</v>
      </c>
    </row>
    <row r="930" spans="8:8" x14ac:dyDescent="0.25">
      <c r="H930" t="s">
        <v>618</v>
      </c>
    </row>
    <row r="931" spans="8:8" x14ac:dyDescent="0.25">
      <c r="H931" t="s">
        <v>1600</v>
      </c>
    </row>
    <row r="933" spans="8:8" x14ac:dyDescent="0.25">
      <c r="H933" t="s">
        <v>869</v>
      </c>
    </row>
    <row r="934" spans="8:8" x14ac:dyDescent="0.25">
      <c r="H934" t="s">
        <v>618</v>
      </c>
    </row>
    <row r="935" spans="8:8" x14ac:dyDescent="0.25">
      <c r="H935" t="s">
        <v>1601</v>
      </c>
    </row>
    <row r="937" spans="8:8" x14ac:dyDescent="0.25">
      <c r="H937" t="s">
        <v>872</v>
      </c>
    </row>
    <row r="938" spans="8:8" x14ac:dyDescent="0.25">
      <c r="H938" t="s">
        <v>619</v>
      </c>
    </row>
    <row r="939" spans="8:8" x14ac:dyDescent="0.25">
      <c r="H939" t="s">
        <v>1602</v>
      </c>
    </row>
    <row r="941" spans="8:8" x14ac:dyDescent="0.25">
      <c r="H941" t="s">
        <v>871</v>
      </c>
    </row>
    <row r="942" spans="8:8" x14ac:dyDescent="0.25">
      <c r="H942" t="s">
        <v>619</v>
      </c>
    </row>
    <row r="943" spans="8:8" x14ac:dyDescent="0.25">
      <c r="H943" t="s">
        <v>1603</v>
      </c>
    </row>
    <row r="945" spans="8:8" x14ac:dyDescent="0.25">
      <c r="H945" t="s">
        <v>874</v>
      </c>
    </row>
    <row r="946" spans="8:8" x14ac:dyDescent="0.25">
      <c r="H946" t="s">
        <v>620</v>
      </c>
    </row>
    <row r="947" spans="8:8" x14ac:dyDescent="0.25">
      <c r="H947" t="s">
        <v>1604</v>
      </c>
    </row>
    <row r="949" spans="8:8" x14ac:dyDescent="0.25">
      <c r="H949" t="s">
        <v>873</v>
      </c>
    </row>
    <row r="950" spans="8:8" x14ac:dyDescent="0.25">
      <c r="H950" t="s">
        <v>620</v>
      </c>
    </row>
    <row r="951" spans="8:8" x14ac:dyDescent="0.25">
      <c r="H951" t="s">
        <v>1605</v>
      </c>
    </row>
    <row r="953" spans="8:8" x14ac:dyDescent="0.25">
      <c r="H953" t="s">
        <v>876</v>
      </c>
    </row>
    <row r="954" spans="8:8" x14ac:dyDescent="0.25">
      <c r="H954" t="s">
        <v>621</v>
      </c>
    </row>
    <row r="955" spans="8:8" x14ac:dyDescent="0.25">
      <c r="H955" t="s">
        <v>1606</v>
      </c>
    </row>
    <row r="957" spans="8:8" x14ac:dyDescent="0.25">
      <c r="H957" t="s">
        <v>875</v>
      </c>
    </row>
    <row r="958" spans="8:8" x14ac:dyDescent="0.25">
      <c r="H958" t="s">
        <v>621</v>
      </c>
    </row>
    <row r="959" spans="8:8" x14ac:dyDescent="0.25">
      <c r="H959" t="s">
        <v>1607</v>
      </c>
    </row>
    <row r="961" spans="8:8" x14ac:dyDescent="0.25">
      <c r="H961" t="s">
        <v>878</v>
      </c>
    </row>
    <row r="962" spans="8:8" x14ac:dyDescent="0.25">
      <c r="H962" t="s">
        <v>622</v>
      </c>
    </row>
    <row r="963" spans="8:8" x14ac:dyDescent="0.25">
      <c r="H963" t="s">
        <v>1608</v>
      </c>
    </row>
    <row r="965" spans="8:8" x14ac:dyDescent="0.25">
      <c r="H965" t="s">
        <v>877</v>
      </c>
    </row>
    <row r="966" spans="8:8" x14ac:dyDescent="0.25">
      <c r="H966" t="s">
        <v>622</v>
      </c>
    </row>
    <row r="967" spans="8:8" x14ac:dyDescent="0.25">
      <c r="H967" t="s">
        <v>1609</v>
      </c>
    </row>
    <row r="969" spans="8:8" x14ac:dyDescent="0.25">
      <c r="H969" t="s">
        <v>880</v>
      </c>
    </row>
    <row r="970" spans="8:8" x14ac:dyDescent="0.25">
      <c r="H970" t="s">
        <v>623</v>
      </c>
    </row>
    <row r="971" spans="8:8" x14ac:dyDescent="0.25">
      <c r="H971" t="s">
        <v>1610</v>
      </c>
    </row>
    <row r="973" spans="8:8" x14ac:dyDescent="0.25">
      <c r="H973" t="s">
        <v>879</v>
      </c>
    </row>
    <row r="974" spans="8:8" x14ac:dyDescent="0.25">
      <c r="H974" t="s">
        <v>623</v>
      </c>
    </row>
    <row r="975" spans="8:8" x14ac:dyDescent="0.25">
      <c r="H975" t="s">
        <v>1611</v>
      </c>
    </row>
    <row r="977" spans="8:8" x14ac:dyDescent="0.25">
      <c r="H977" t="s">
        <v>882</v>
      </c>
    </row>
    <row r="978" spans="8:8" x14ac:dyDescent="0.25">
      <c r="H978" t="s">
        <v>624</v>
      </c>
    </row>
    <row r="979" spans="8:8" x14ac:dyDescent="0.25">
      <c r="H979" t="s">
        <v>1612</v>
      </c>
    </row>
    <row r="981" spans="8:8" x14ac:dyDescent="0.25">
      <c r="H981" t="s">
        <v>881</v>
      </c>
    </row>
    <row r="982" spans="8:8" x14ac:dyDescent="0.25">
      <c r="H982" t="s">
        <v>624</v>
      </c>
    </row>
    <row r="983" spans="8:8" x14ac:dyDescent="0.25">
      <c r="H983" t="s">
        <v>1613</v>
      </c>
    </row>
    <row r="985" spans="8:8" x14ac:dyDescent="0.25">
      <c r="H985" t="s">
        <v>884</v>
      </c>
    </row>
    <row r="986" spans="8:8" x14ac:dyDescent="0.25">
      <c r="H986" t="s">
        <v>625</v>
      </c>
    </row>
    <row r="987" spans="8:8" x14ac:dyDescent="0.25">
      <c r="H987" t="s">
        <v>1614</v>
      </c>
    </row>
    <row r="989" spans="8:8" x14ac:dyDescent="0.25">
      <c r="H989" t="s">
        <v>883</v>
      </c>
    </row>
    <row r="990" spans="8:8" x14ac:dyDescent="0.25">
      <c r="H990" t="s">
        <v>625</v>
      </c>
    </row>
    <row r="991" spans="8:8" x14ac:dyDescent="0.25">
      <c r="H991" t="s">
        <v>1615</v>
      </c>
    </row>
    <row r="993" spans="8:8" x14ac:dyDescent="0.25">
      <c r="H993" t="s">
        <v>886</v>
      </c>
    </row>
    <row r="994" spans="8:8" x14ac:dyDescent="0.25">
      <c r="H994" t="s">
        <v>626</v>
      </c>
    </row>
    <row r="995" spans="8:8" x14ac:dyDescent="0.25">
      <c r="H995" t="s">
        <v>1616</v>
      </c>
    </row>
    <row r="997" spans="8:8" x14ac:dyDescent="0.25">
      <c r="H997" t="s">
        <v>885</v>
      </c>
    </row>
    <row r="998" spans="8:8" x14ac:dyDescent="0.25">
      <c r="H998" t="s">
        <v>626</v>
      </c>
    </row>
    <row r="999" spans="8:8" x14ac:dyDescent="0.25">
      <c r="H999" t="s">
        <v>1617</v>
      </c>
    </row>
    <row r="1001" spans="8:8" x14ac:dyDescent="0.25">
      <c r="H1001" t="s">
        <v>888</v>
      </c>
    </row>
    <row r="1002" spans="8:8" x14ac:dyDescent="0.25">
      <c r="H1002" t="s">
        <v>627</v>
      </c>
    </row>
    <row r="1003" spans="8:8" x14ac:dyDescent="0.25">
      <c r="H1003" t="s">
        <v>1618</v>
      </c>
    </row>
    <row r="1005" spans="8:8" x14ac:dyDescent="0.25">
      <c r="H1005" t="s">
        <v>887</v>
      </c>
    </row>
    <row r="1006" spans="8:8" x14ac:dyDescent="0.25">
      <c r="H1006" t="s">
        <v>627</v>
      </c>
    </row>
    <row r="1007" spans="8:8" x14ac:dyDescent="0.25">
      <c r="H1007" t="s">
        <v>1619</v>
      </c>
    </row>
    <row r="1009" spans="8:8" x14ac:dyDescent="0.25">
      <c r="H1009" t="s">
        <v>890</v>
      </c>
    </row>
    <row r="1010" spans="8:8" x14ac:dyDescent="0.25">
      <c r="H1010" t="s">
        <v>628</v>
      </c>
    </row>
    <row r="1011" spans="8:8" x14ac:dyDescent="0.25">
      <c r="H1011" t="s">
        <v>1620</v>
      </c>
    </row>
    <row r="1013" spans="8:8" x14ac:dyDescent="0.25">
      <c r="H1013" t="s">
        <v>889</v>
      </c>
    </row>
    <row r="1014" spans="8:8" x14ac:dyDescent="0.25">
      <c r="H1014" t="s">
        <v>628</v>
      </c>
    </row>
    <row r="1015" spans="8:8" x14ac:dyDescent="0.25">
      <c r="H1015" t="s">
        <v>1621</v>
      </c>
    </row>
    <row r="1017" spans="8:8" x14ac:dyDescent="0.25">
      <c r="H1017" t="s">
        <v>892</v>
      </c>
    </row>
    <row r="1018" spans="8:8" x14ac:dyDescent="0.25">
      <c r="H1018" t="s">
        <v>629</v>
      </c>
    </row>
    <row r="1019" spans="8:8" x14ac:dyDescent="0.25">
      <c r="H1019" t="s">
        <v>1622</v>
      </c>
    </row>
    <row r="1021" spans="8:8" x14ac:dyDescent="0.25">
      <c r="H1021" t="s">
        <v>891</v>
      </c>
    </row>
    <row r="1022" spans="8:8" x14ac:dyDescent="0.25">
      <c r="H1022" t="s">
        <v>629</v>
      </c>
    </row>
    <row r="1023" spans="8:8" x14ac:dyDescent="0.25">
      <c r="H1023" t="s">
        <v>1623</v>
      </c>
    </row>
    <row r="1025" spans="8:8" x14ac:dyDescent="0.25">
      <c r="H1025" t="s">
        <v>896</v>
      </c>
    </row>
    <row r="1026" spans="8:8" x14ac:dyDescent="0.25">
      <c r="H1026" t="s">
        <v>639</v>
      </c>
    </row>
    <row r="1027" spans="8:8" x14ac:dyDescent="0.25">
      <c r="H1027" t="s">
        <v>1624</v>
      </c>
    </row>
    <row r="1029" spans="8:8" x14ac:dyDescent="0.25">
      <c r="H1029" t="s">
        <v>893</v>
      </c>
    </row>
    <row r="1030" spans="8:8" x14ac:dyDescent="0.25">
      <c r="H1030" t="s">
        <v>630</v>
      </c>
    </row>
    <row r="1031" spans="8:8" x14ac:dyDescent="0.25">
      <c r="H1031" t="s">
        <v>1625</v>
      </c>
    </row>
    <row r="1033" spans="8:8" x14ac:dyDescent="0.25">
      <c r="H1033" t="s">
        <v>894</v>
      </c>
    </row>
    <row r="1034" spans="8:8" x14ac:dyDescent="0.25">
      <c r="H1034" t="s">
        <v>631</v>
      </c>
    </row>
    <row r="1035" spans="8:8" x14ac:dyDescent="0.25">
      <c r="H1035" t="s">
        <v>1626</v>
      </c>
    </row>
    <row r="1037" spans="8:8" x14ac:dyDescent="0.25">
      <c r="H1037" t="s">
        <v>895</v>
      </c>
    </row>
    <row r="1038" spans="8:8" x14ac:dyDescent="0.25">
      <c r="H1038" t="s">
        <v>638</v>
      </c>
    </row>
    <row r="1039" spans="8:8" x14ac:dyDescent="0.25">
      <c r="H1039" t="s">
        <v>1627</v>
      </c>
    </row>
    <row r="1040" spans="8:8" x14ac:dyDescent="0.25">
      <c r="H1040" t="s">
        <v>637</v>
      </c>
    </row>
    <row r="1041" spans="8:8" x14ac:dyDescent="0.25">
      <c r="H1041" t="s">
        <v>1628</v>
      </c>
    </row>
    <row r="1042" spans="8:8" x14ac:dyDescent="0.25">
      <c r="H1042" t="s">
        <v>636</v>
      </c>
    </row>
    <row r="1043" spans="8:8" x14ac:dyDescent="0.25">
      <c r="H1043" t="s">
        <v>1629</v>
      </c>
    </row>
    <row r="1044" spans="8:8" x14ac:dyDescent="0.25">
      <c r="H1044" t="s">
        <v>635</v>
      </c>
    </row>
    <row r="1045" spans="8:8" x14ac:dyDescent="0.25">
      <c r="H1045" t="s">
        <v>1630</v>
      </c>
    </row>
    <row r="1046" spans="8:8" x14ac:dyDescent="0.25">
      <c r="H1046" t="s">
        <v>634</v>
      </c>
    </row>
    <row r="1047" spans="8:8" x14ac:dyDescent="0.25">
      <c r="H1047" t="s">
        <v>1631</v>
      </c>
    </row>
    <row r="1048" spans="8:8" x14ac:dyDescent="0.25">
      <c r="H1048" t="s">
        <v>633</v>
      </c>
    </row>
    <row r="1049" spans="8:8" x14ac:dyDescent="0.25">
      <c r="H1049" t="s">
        <v>1632</v>
      </c>
    </row>
    <row r="1050" spans="8:8" x14ac:dyDescent="0.25">
      <c r="H1050" t="s">
        <v>632</v>
      </c>
    </row>
    <row r="1051" spans="8:8" x14ac:dyDescent="0.25">
      <c r="H1051" t="s">
        <v>1633</v>
      </c>
    </row>
    <row r="1053" spans="8:8" x14ac:dyDescent="0.25">
      <c r="H1053" t="s">
        <v>898</v>
      </c>
    </row>
    <row r="1054" spans="8:8" x14ac:dyDescent="0.25">
      <c r="H1054" t="s">
        <v>640</v>
      </c>
    </row>
    <row r="1055" spans="8:8" x14ac:dyDescent="0.25">
      <c r="H1055" t="s">
        <v>1634</v>
      </c>
    </row>
    <row r="1057" spans="8:8" x14ac:dyDescent="0.25">
      <c r="H1057" t="s">
        <v>897</v>
      </c>
    </row>
    <row r="1058" spans="8:8" x14ac:dyDescent="0.25">
      <c r="H1058" t="s">
        <v>640</v>
      </c>
    </row>
    <row r="1059" spans="8:8" x14ac:dyDescent="0.25">
      <c r="H1059" t="s">
        <v>1635</v>
      </c>
    </row>
    <row r="1061" spans="8:8" x14ac:dyDescent="0.25">
      <c r="H1061" t="s">
        <v>900</v>
      </c>
    </row>
    <row r="1062" spans="8:8" x14ac:dyDescent="0.25">
      <c r="H1062" t="s">
        <v>641</v>
      </c>
    </row>
    <row r="1063" spans="8:8" x14ac:dyDescent="0.25">
      <c r="H1063" t="s">
        <v>1636</v>
      </c>
    </row>
    <row r="1065" spans="8:8" x14ac:dyDescent="0.25">
      <c r="H1065" t="s">
        <v>899</v>
      </c>
    </row>
    <row r="1066" spans="8:8" x14ac:dyDescent="0.25">
      <c r="H1066" t="s">
        <v>643</v>
      </c>
    </row>
    <row r="1067" spans="8:8" x14ac:dyDescent="0.25">
      <c r="H1067" t="s">
        <v>1637</v>
      </c>
    </row>
    <row r="1068" spans="8:8" x14ac:dyDescent="0.25">
      <c r="H1068" t="s">
        <v>642</v>
      </c>
    </row>
    <row r="1069" spans="8:8" x14ac:dyDescent="0.25">
      <c r="H1069" t="s">
        <v>1638</v>
      </c>
    </row>
    <row r="1070" spans="8:8" x14ac:dyDescent="0.25">
      <c r="H1070" t="s">
        <v>641</v>
      </c>
    </row>
    <row r="1071" spans="8:8" x14ac:dyDescent="0.25">
      <c r="H1071" t="s">
        <v>1639</v>
      </c>
    </row>
    <row r="1073" spans="8:8" x14ac:dyDescent="0.25">
      <c r="H1073" t="s">
        <v>904</v>
      </c>
    </row>
    <row r="1074" spans="8:8" x14ac:dyDescent="0.25">
      <c r="H1074" t="s">
        <v>644</v>
      </c>
    </row>
    <row r="1075" spans="8:8" x14ac:dyDescent="0.25">
      <c r="H1075" t="s">
        <v>1640</v>
      </c>
    </row>
    <row r="1077" spans="8:8" x14ac:dyDescent="0.25">
      <c r="H1077" t="s">
        <v>903</v>
      </c>
    </row>
    <row r="1078" spans="8:8" x14ac:dyDescent="0.25">
      <c r="H1078" t="s">
        <v>644</v>
      </c>
    </row>
    <row r="1079" spans="8:8" x14ac:dyDescent="0.25">
      <c r="H1079" t="s">
        <v>1641</v>
      </c>
    </row>
    <row r="1081" spans="8:8" x14ac:dyDescent="0.25">
      <c r="H1081" t="s">
        <v>902</v>
      </c>
    </row>
    <row r="1082" spans="8:8" x14ac:dyDescent="0.25">
      <c r="H1082" t="s">
        <v>644</v>
      </c>
    </row>
    <row r="1083" spans="8:8" x14ac:dyDescent="0.25">
      <c r="H1083" t="s">
        <v>1642</v>
      </c>
    </row>
    <row r="1085" spans="8:8" x14ac:dyDescent="0.25">
      <c r="H1085" t="s">
        <v>901</v>
      </c>
    </row>
    <row r="1086" spans="8:8" x14ac:dyDescent="0.25">
      <c r="H1086" t="s">
        <v>648</v>
      </c>
    </row>
    <row r="1087" spans="8:8" x14ac:dyDescent="0.25">
      <c r="H1087" t="s">
        <v>1643</v>
      </c>
    </row>
    <row r="1088" spans="8:8" x14ac:dyDescent="0.25">
      <c r="H1088" t="s">
        <v>647</v>
      </c>
    </row>
    <row r="1089" spans="8:8" x14ac:dyDescent="0.25">
      <c r="H1089" t="s">
        <v>1644</v>
      </c>
    </row>
    <row r="1090" spans="8:8" x14ac:dyDescent="0.25">
      <c r="H1090" t="s">
        <v>646</v>
      </c>
    </row>
    <row r="1091" spans="8:8" x14ac:dyDescent="0.25">
      <c r="H1091" t="s">
        <v>1645</v>
      </c>
    </row>
    <row r="1092" spans="8:8" x14ac:dyDescent="0.25">
      <c r="H1092" t="s">
        <v>645</v>
      </c>
    </row>
    <row r="1093" spans="8:8" x14ac:dyDescent="0.25">
      <c r="H1093" t="s">
        <v>1646</v>
      </c>
    </row>
    <row r="1094" spans="8:8" x14ac:dyDescent="0.25">
      <c r="H1094" t="s">
        <v>1038</v>
      </c>
    </row>
    <row r="1095" spans="8:8" x14ac:dyDescent="0.25">
      <c r="H1095" t="s">
        <v>1647</v>
      </c>
    </row>
    <row r="1096" spans="8:8" x14ac:dyDescent="0.25">
      <c r="H1096" t="s">
        <v>644</v>
      </c>
    </row>
    <row r="1097" spans="8:8" x14ac:dyDescent="0.25">
      <c r="H1097" t="s">
        <v>1648</v>
      </c>
    </row>
    <row r="1099" spans="8:8" x14ac:dyDescent="0.25">
      <c r="H1099" t="s">
        <v>908</v>
      </c>
    </row>
    <row r="1100" spans="8:8" x14ac:dyDescent="0.25">
      <c r="H1100" t="s">
        <v>649</v>
      </c>
    </row>
    <row r="1101" spans="8:8" x14ac:dyDescent="0.25">
      <c r="H1101" t="s">
        <v>1649</v>
      </c>
    </row>
    <row r="1103" spans="8:8" x14ac:dyDescent="0.25">
      <c r="H1103" t="s">
        <v>907</v>
      </c>
    </row>
    <row r="1104" spans="8:8" x14ac:dyDescent="0.25">
      <c r="H1104" t="s">
        <v>1041</v>
      </c>
    </row>
    <row r="1105" spans="8:8" x14ac:dyDescent="0.25">
      <c r="H1105" t="s">
        <v>1650</v>
      </c>
    </row>
    <row r="1106" spans="8:8" x14ac:dyDescent="0.25">
      <c r="H1106" t="s">
        <v>649</v>
      </c>
    </row>
    <row r="1107" spans="8:8" x14ac:dyDescent="0.25">
      <c r="H1107" t="s">
        <v>1651</v>
      </c>
    </row>
    <row r="1109" spans="8:8" x14ac:dyDescent="0.25">
      <c r="H1109" t="s">
        <v>906</v>
      </c>
    </row>
    <row r="1110" spans="8:8" x14ac:dyDescent="0.25">
      <c r="H1110" t="s">
        <v>1040</v>
      </c>
    </row>
    <row r="1111" spans="8:8" x14ac:dyDescent="0.25">
      <c r="H1111" t="s">
        <v>1652</v>
      </c>
    </row>
    <row r="1112" spans="8:8" x14ac:dyDescent="0.25">
      <c r="H1112" t="s">
        <v>1041</v>
      </c>
    </row>
    <row r="1113" spans="8:8" x14ac:dyDescent="0.25">
      <c r="H1113" t="s">
        <v>1653</v>
      </c>
    </row>
    <row r="1115" spans="8:8" x14ac:dyDescent="0.25">
      <c r="H1115" t="s">
        <v>905</v>
      </c>
    </row>
    <row r="1116" spans="8:8" x14ac:dyDescent="0.25">
      <c r="H1116" t="s">
        <v>1039</v>
      </c>
    </row>
    <row r="1117" spans="8:8" x14ac:dyDescent="0.25">
      <c r="H1117" t="s">
        <v>1654</v>
      </c>
    </row>
    <row r="1119" spans="8:8" x14ac:dyDescent="0.25">
      <c r="H1119" t="s">
        <v>15</v>
      </c>
    </row>
    <row r="1120" spans="8:8" x14ac:dyDescent="0.25">
      <c r="H1120" t="s">
        <v>1655</v>
      </c>
    </row>
    <row r="1122" spans="8:8" x14ac:dyDescent="0.25">
      <c r="H1122" t="s">
        <v>16</v>
      </c>
    </row>
    <row r="1123" spans="8:8" x14ac:dyDescent="0.25">
      <c r="H1123" s="11" t="s">
        <v>61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H1077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6"/>
    </row>
    <row r="2" spans="1:8" x14ac:dyDescent="0.25">
      <c r="B2" s="1" t="s">
        <v>10</v>
      </c>
      <c r="H2" s="1" t="s">
        <v>22</v>
      </c>
    </row>
    <row r="3" spans="1:8" x14ac:dyDescent="0.25">
      <c r="B3" t="s">
        <v>662</v>
      </c>
      <c r="H3" t="s">
        <v>664</v>
      </c>
    </row>
    <row r="4" spans="1:8" x14ac:dyDescent="0.25">
      <c r="H4" t="s">
        <v>663</v>
      </c>
    </row>
    <row r="5" spans="1:8" x14ac:dyDescent="0.25">
      <c r="B5" s="1" t="s">
        <v>20</v>
      </c>
      <c r="H5" t="s">
        <v>665</v>
      </c>
    </row>
    <row r="6" spans="1:8" x14ac:dyDescent="0.25">
      <c r="B6" t="s">
        <v>1065</v>
      </c>
    </row>
    <row r="7" spans="1:8" x14ac:dyDescent="0.25">
      <c r="H7" t="s">
        <v>668</v>
      </c>
    </row>
    <row r="8" spans="1:8" x14ac:dyDescent="0.25">
      <c r="B8" s="1" t="s">
        <v>11</v>
      </c>
      <c r="H8" t="s">
        <v>509</v>
      </c>
    </row>
    <row r="9" spans="1:8" x14ac:dyDescent="0.25">
      <c r="B9" t="s">
        <v>953</v>
      </c>
      <c r="H9" t="s">
        <v>1066</v>
      </c>
    </row>
    <row r="11" spans="1:8" x14ac:dyDescent="0.25">
      <c r="B11" s="1"/>
      <c r="H11" t="s">
        <v>669</v>
      </c>
    </row>
    <row r="12" spans="1:8" x14ac:dyDescent="0.25">
      <c r="H12" t="s">
        <v>509</v>
      </c>
    </row>
    <row r="13" spans="1:8" x14ac:dyDescent="0.25">
      <c r="H13" t="s">
        <v>1067</v>
      </c>
    </row>
    <row r="15" spans="1:8" x14ac:dyDescent="0.25">
      <c r="H15" t="s">
        <v>666</v>
      </c>
    </row>
    <row r="16" spans="1:8" x14ac:dyDescent="0.25">
      <c r="H16" t="s">
        <v>508</v>
      </c>
    </row>
    <row r="17" spans="2:8" x14ac:dyDescent="0.25">
      <c r="H17" t="s">
        <v>1068</v>
      </c>
    </row>
    <row r="19" spans="2:8" x14ac:dyDescent="0.25">
      <c r="H19" t="s">
        <v>667</v>
      </c>
    </row>
    <row r="20" spans="2:8" x14ac:dyDescent="0.25">
      <c r="B20" s="1"/>
      <c r="H20" t="s">
        <v>508</v>
      </c>
    </row>
    <row r="21" spans="2:8" x14ac:dyDescent="0.25">
      <c r="H21" t="s">
        <v>1069</v>
      </c>
    </row>
    <row r="23" spans="2:8" x14ac:dyDescent="0.25">
      <c r="H23" t="s">
        <v>672</v>
      </c>
    </row>
    <row r="24" spans="2:8" x14ac:dyDescent="0.25">
      <c r="H24" t="s">
        <v>511</v>
      </c>
    </row>
    <row r="25" spans="2:8" x14ac:dyDescent="0.25">
      <c r="H25" t="s">
        <v>1070</v>
      </c>
    </row>
    <row r="27" spans="2:8" x14ac:dyDescent="0.25">
      <c r="H27" t="s">
        <v>673</v>
      </c>
    </row>
    <row r="28" spans="2:8" x14ac:dyDescent="0.25">
      <c r="H28" t="s">
        <v>511</v>
      </c>
    </row>
    <row r="29" spans="2:8" x14ac:dyDescent="0.25">
      <c r="H29" t="s">
        <v>1071</v>
      </c>
    </row>
    <row r="31" spans="2:8" x14ac:dyDescent="0.25">
      <c r="H31" t="s">
        <v>670</v>
      </c>
    </row>
    <row r="32" spans="2:8" x14ac:dyDescent="0.25">
      <c r="H32" t="s">
        <v>510</v>
      </c>
    </row>
    <row r="33" spans="8:8" x14ac:dyDescent="0.25">
      <c r="H33" t="s">
        <v>1072</v>
      </c>
    </row>
    <row r="35" spans="8:8" x14ac:dyDescent="0.25">
      <c r="H35" t="s">
        <v>671</v>
      </c>
    </row>
    <row r="36" spans="8:8" x14ac:dyDescent="0.25">
      <c r="H36" t="s">
        <v>510</v>
      </c>
    </row>
    <row r="37" spans="8:8" x14ac:dyDescent="0.25">
      <c r="H37" t="s">
        <v>1073</v>
      </c>
    </row>
    <row r="39" spans="8:8" x14ac:dyDescent="0.25">
      <c r="H39" t="s">
        <v>677</v>
      </c>
    </row>
    <row r="40" spans="8:8" x14ac:dyDescent="0.25">
      <c r="H40" t="s">
        <v>1054</v>
      </c>
    </row>
    <row r="41" spans="8:8" x14ac:dyDescent="0.25">
      <c r="H41" t="s">
        <v>1074</v>
      </c>
    </row>
    <row r="42" spans="8:8" x14ac:dyDescent="0.25">
      <c r="H42" t="s">
        <v>1055</v>
      </c>
    </row>
    <row r="43" spans="8:8" x14ac:dyDescent="0.25">
      <c r="H43" t="s">
        <v>1075</v>
      </c>
    </row>
    <row r="44" spans="8:8" x14ac:dyDescent="0.25">
      <c r="H44" t="s">
        <v>1056</v>
      </c>
    </row>
    <row r="45" spans="8:8" x14ac:dyDescent="0.25">
      <c r="H45" t="s">
        <v>1076</v>
      </c>
    </row>
    <row r="46" spans="8:8" x14ac:dyDescent="0.25">
      <c r="H46" t="s">
        <v>1057</v>
      </c>
    </row>
    <row r="47" spans="8:8" x14ac:dyDescent="0.25">
      <c r="H47" t="s">
        <v>1077</v>
      </c>
    </row>
    <row r="49" spans="8:8" x14ac:dyDescent="0.25">
      <c r="H49" t="s">
        <v>676</v>
      </c>
    </row>
    <row r="50" spans="8:8" x14ac:dyDescent="0.25">
      <c r="H50" t="s">
        <v>513</v>
      </c>
    </row>
    <row r="51" spans="8:8" x14ac:dyDescent="0.25">
      <c r="H51" t="s">
        <v>1078</v>
      </c>
    </row>
    <row r="53" spans="8:8" x14ac:dyDescent="0.25">
      <c r="H53" t="s">
        <v>674</v>
      </c>
    </row>
    <row r="54" spans="8:8" x14ac:dyDescent="0.25">
      <c r="H54" t="s">
        <v>512</v>
      </c>
    </row>
    <row r="55" spans="8:8" x14ac:dyDescent="0.25">
      <c r="H55" t="s">
        <v>1079</v>
      </c>
    </row>
    <row r="56" spans="8:8" x14ac:dyDescent="0.25">
      <c r="H56" t="s">
        <v>513</v>
      </c>
    </row>
    <row r="57" spans="8:8" x14ac:dyDescent="0.25">
      <c r="H57" t="s">
        <v>1080</v>
      </c>
    </row>
    <row r="59" spans="8:8" x14ac:dyDescent="0.25">
      <c r="H59" t="s">
        <v>675</v>
      </c>
    </row>
    <row r="60" spans="8:8" x14ac:dyDescent="0.25">
      <c r="H60" t="s">
        <v>512</v>
      </c>
    </row>
    <row r="61" spans="8:8" x14ac:dyDescent="0.25">
      <c r="H61" t="s">
        <v>1081</v>
      </c>
    </row>
    <row r="63" spans="8:8" x14ac:dyDescent="0.25">
      <c r="H63" t="s">
        <v>680</v>
      </c>
    </row>
    <row r="64" spans="8:8" x14ac:dyDescent="0.25">
      <c r="H64" t="s">
        <v>515</v>
      </c>
    </row>
    <row r="65" spans="8:8" x14ac:dyDescent="0.25">
      <c r="H65" t="s">
        <v>1082</v>
      </c>
    </row>
    <row r="66" spans="8:8" x14ac:dyDescent="0.25">
      <c r="H66" t="s">
        <v>516</v>
      </c>
    </row>
    <row r="67" spans="8:8" x14ac:dyDescent="0.25">
      <c r="H67" t="s">
        <v>1083</v>
      </c>
    </row>
    <row r="68" spans="8:8" x14ac:dyDescent="0.25">
      <c r="H68" t="s">
        <v>517</v>
      </c>
    </row>
    <row r="69" spans="8:8" x14ac:dyDescent="0.25">
      <c r="H69" t="s">
        <v>1084</v>
      </c>
    </row>
    <row r="70" spans="8:8" x14ac:dyDescent="0.25">
      <c r="H70" t="s">
        <v>518</v>
      </c>
    </row>
    <row r="71" spans="8:8" x14ac:dyDescent="0.25">
      <c r="H71" t="s">
        <v>1085</v>
      </c>
    </row>
    <row r="72" spans="8:8" x14ac:dyDescent="0.25">
      <c r="H72" t="s">
        <v>519</v>
      </c>
    </row>
    <row r="73" spans="8:8" x14ac:dyDescent="0.25">
      <c r="H73" t="s">
        <v>1086</v>
      </c>
    </row>
    <row r="75" spans="8:8" x14ac:dyDescent="0.25">
      <c r="H75" t="s">
        <v>681</v>
      </c>
    </row>
    <row r="76" spans="8:8" x14ac:dyDescent="0.25">
      <c r="H76" t="s">
        <v>515</v>
      </c>
    </row>
    <row r="77" spans="8:8" x14ac:dyDescent="0.25">
      <c r="H77" t="s">
        <v>1087</v>
      </c>
    </row>
    <row r="79" spans="8:8" x14ac:dyDescent="0.25">
      <c r="H79" t="s">
        <v>678</v>
      </c>
    </row>
    <row r="80" spans="8:8" x14ac:dyDescent="0.25">
      <c r="H80" t="s">
        <v>514</v>
      </c>
    </row>
    <row r="81" spans="8:8" x14ac:dyDescent="0.25">
      <c r="H81" t="s">
        <v>1088</v>
      </c>
    </row>
    <row r="83" spans="8:8" x14ac:dyDescent="0.25">
      <c r="H83" t="s">
        <v>679</v>
      </c>
    </row>
    <row r="84" spans="8:8" x14ac:dyDescent="0.25">
      <c r="H84" t="s">
        <v>514</v>
      </c>
    </row>
    <row r="85" spans="8:8" x14ac:dyDescent="0.25">
      <c r="H85" t="s">
        <v>1089</v>
      </c>
    </row>
    <row r="87" spans="8:8" x14ac:dyDescent="0.25">
      <c r="H87" t="s">
        <v>684</v>
      </c>
    </row>
    <row r="88" spans="8:8" x14ac:dyDescent="0.25">
      <c r="H88" t="s">
        <v>521</v>
      </c>
    </row>
    <row r="89" spans="8:8" x14ac:dyDescent="0.25">
      <c r="H89" t="s">
        <v>1090</v>
      </c>
    </row>
    <row r="91" spans="8:8" x14ac:dyDescent="0.25">
      <c r="H91" t="s">
        <v>685</v>
      </c>
    </row>
    <row r="92" spans="8:8" x14ac:dyDescent="0.25">
      <c r="H92" t="s">
        <v>521</v>
      </c>
    </row>
    <row r="93" spans="8:8" x14ac:dyDescent="0.25">
      <c r="H93" t="s">
        <v>1091</v>
      </c>
    </row>
    <row r="95" spans="8:8" x14ac:dyDescent="0.25">
      <c r="H95" t="s">
        <v>682</v>
      </c>
    </row>
    <row r="96" spans="8:8" x14ac:dyDescent="0.25">
      <c r="H96" t="s">
        <v>520</v>
      </c>
    </row>
    <row r="97" spans="8:8" x14ac:dyDescent="0.25">
      <c r="H97" t="s">
        <v>1092</v>
      </c>
    </row>
    <row r="99" spans="8:8" x14ac:dyDescent="0.25">
      <c r="H99" t="s">
        <v>683</v>
      </c>
    </row>
    <row r="100" spans="8:8" x14ac:dyDescent="0.25">
      <c r="H100" t="s">
        <v>520</v>
      </c>
    </row>
    <row r="101" spans="8:8" x14ac:dyDescent="0.25">
      <c r="H101" t="s">
        <v>1093</v>
      </c>
    </row>
    <row r="103" spans="8:8" x14ac:dyDescent="0.25">
      <c r="H103" t="s">
        <v>689</v>
      </c>
    </row>
    <row r="104" spans="8:8" x14ac:dyDescent="0.25">
      <c r="H104" t="s">
        <v>1012</v>
      </c>
    </row>
    <row r="105" spans="8:8" x14ac:dyDescent="0.25">
      <c r="H105" t="s">
        <v>1094</v>
      </c>
    </row>
    <row r="106" spans="8:8" x14ac:dyDescent="0.25">
      <c r="H106" t="s">
        <v>1658</v>
      </c>
    </row>
    <row r="107" spans="8:8" x14ac:dyDescent="0.25">
      <c r="H107" t="s">
        <v>1661</v>
      </c>
    </row>
    <row r="108" spans="8:8" x14ac:dyDescent="0.25">
      <c r="H108" t="s">
        <v>525</v>
      </c>
    </row>
    <row r="109" spans="8:8" x14ac:dyDescent="0.25">
      <c r="H109" t="s">
        <v>1662</v>
      </c>
    </row>
    <row r="111" spans="8:8" x14ac:dyDescent="0.25">
      <c r="H111" t="s">
        <v>686</v>
      </c>
    </row>
    <row r="112" spans="8:8" x14ac:dyDescent="0.25">
      <c r="H112" t="s">
        <v>1011</v>
      </c>
    </row>
    <row r="113" spans="8:8" x14ac:dyDescent="0.25">
      <c r="H113" t="s">
        <v>1095</v>
      </c>
    </row>
    <row r="114" spans="8:8" x14ac:dyDescent="0.25">
      <c r="H114" t="s">
        <v>522</v>
      </c>
    </row>
    <row r="115" spans="8:8" x14ac:dyDescent="0.25">
      <c r="H115" t="s">
        <v>1096</v>
      </c>
    </row>
    <row r="116" spans="8:8" x14ac:dyDescent="0.25">
      <c r="H116" t="s">
        <v>523</v>
      </c>
    </row>
    <row r="117" spans="8:8" x14ac:dyDescent="0.25">
      <c r="H117" t="s">
        <v>1097</v>
      </c>
    </row>
    <row r="118" spans="8:8" x14ac:dyDescent="0.25">
      <c r="H118" t="s">
        <v>524</v>
      </c>
    </row>
    <row r="119" spans="8:8" x14ac:dyDescent="0.25">
      <c r="H119" t="s">
        <v>1098</v>
      </c>
    </row>
    <row r="121" spans="8:8" x14ac:dyDescent="0.25">
      <c r="H121" t="s">
        <v>687</v>
      </c>
    </row>
    <row r="122" spans="8:8" x14ac:dyDescent="0.25">
      <c r="H122" t="s">
        <v>1011</v>
      </c>
    </row>
    <row r="123" spans="8:8" x14ac:dyDescent="0.25">
      <c r="H123" t="s">
        <v>1099</v>
      </c>
    </row>
    <row r="125" spans="8:8" x14ac:dyDescent="0.25">
      <c r="H125" t="s">
        <v>688</v>
      </c>
    </row>
    <row r="126" spans="8:8" x14ac:dyDescent="0.25">
      <c r="H126" t="s">
        <v>1011</v>
      </c>
    </row>
    <row r="127" spans="8:8" x14ac:dyDescent="0.25">
      <c r="H127" t="s">
        <v>1100</v>
      </c>
    </row>
    <row r="129" spans="8:8" x14ac:dyDescent="0.25">
      <c r="H129" t="s">
        <v>690</v>
      </c>
    </row>
    <row r="130" spans="8:8" x14ac:dyDescent="0.25">
      <c r="H130" t="s">
        <v>526</v>
      </c>
    </row>
    <row r="131" spans="8:8" x14ac:dyDescent="0.25">
      <c r="H131" t="s">
        <v>1101</v>
      </c>
    </row>
    <row r="133" spans="8:8" x14ac:dyDescent="0.25">
      <c r="H133" t="s">
        <v>691</v>
      </c>
    </row>
    <row r="134" spans="8:8" x14ac:dyDescent="0.25">
      <c r="H134" t="s">
        <v>526</v>
      </c>
    </row>
    <row r="135" spans="8:8" x14ac:dyDescent="0.25">
      <c r="H135" t="s">
        <v>1102</v>
      </c>
    </row>
    <row r="137" spans="8:8" x14ac:dyDescent="0.25">
      <c r="H137" t="s">
        <v>692</v>
      </c>
    </row>
    <row r="138" spans="8:8" x14ac:dyDescent="0.25">
      <c r="H138" t="s">
        <v>526</v>
      </c>
    </row>
    <row r="139" spans="8:8" x14ac:dyDescent="0.25">
      <c r="H139" t="s">
        <v>1103</v>
      </c>
    </row>
    <row r="141" spans="8:8" x14ac:dyDescent="0.25">
      <c r="H141" t="s">
        <v>693</v>
      </c>
    </row>
    <row r="142" spans="8:8" x14ac:dyDescent="0.25">
      <c r="H142" t="s">
        <v>526</v>
      </c>
    </row>
    <row r="143" spans="8:8" x14ac:dyDescent="0.25">
      <c r="H143" t="s">
        <v>1104</v>
      </c>
    </row>
    <row r="145" spans="8:8" x14ac:dyDescent="0.25">
      <c r="H145" t="s">
        <v>694</v>
      </c>
    </row>
    <row r="146" spans="8:8" x14ac:dyDescent="0.25">
      <c r="H146" t="s">
        <v>527</v>
      </c>
    </row>
    <row r="147" spans="8:8" x14ac:dyDescent="0.25">
      <c r="H147" t="s">
        <v>1105</v>
      </c>
    </row>
    <row r="149" spans="8:8" x14ac:dyDescent="0.25">
      <c r="H149" t="s">
        <v>695</v>
      </c>
    </row>
    <row r="150" spans="8:8" x14ac:dyDescent="0.25">
      <c r="H150" t="s">
        <v>527</v>
      </c>
    </row>
    <row r="151" spans="8:8" x14ac:dyDescent="0.25">
      <c r="H151" t="s">
        <v>1106</v>
      </c>
    </row>
    <row r="153" spans="8:8" x14ac:dyDescent="0.25">
      <c r="H153" t="s">
        <v>696</v>
      </c>
    </row>
    <row r="154" spans="8:8" x14ac:dyDescent="0.25">
      <c r="H154" t="s">
        <v>527</v>
      </c>
    </row>
    <row r="155" spans="8:8" x14ac:dyDescent="0.25">
      <c r="H155" t="s">
        <v>1107</v>
      </c>
    </row>
    <row r="157" spans="8:8" x14ac:dyDescent="0.25">
      <c r="H157" t="s">
        <v>697</v>
      </c>
    </row>
    <row r="158" spans="8:8" x14ac:dyDescent="0.25">
      <c r="H158" t="s">
        <v>527</v>
      </c>
    </row>
    <row r="159" spans="8:8" x14ac:dyDescent="0.25">
      <c r="H159" t="s">
        <v>1108</v>
      </c>
    </row>
    <row r="161" spans="8:8" x14ac:dyDescent="0.25">
      <c r="H161" t="s">
        <v>701</v>
      </c>
    </row>
    <row r="162" spans="8:8" x14ac:dyDescent="0.25">
      <c r="H162" t="s">
        <v>530</v>
      </c>
    </row>
    <row r="163" spans="8:8" x14ac:dyDescent="0.25">
      <c r="H163" t="s">
        <v>1109</v>
      </c>
    </row>
    <row r="164" spans="8:8" x14ac:dyDescent="0.25">
      <c r="H164" t="s">
        <v>531</v>
      </c>
    </row>
    <row r="165" spans="8:8" x14ac:dyDescent="0.25">
      <c r="H165" t="s">
        <v>1110</v>
      </c>
    </row>
    <row r="167" spans="8:8" x14ac:dyDescent="0.25">
      <c r="H167" t="s">
        <v>700</v>
      </c>
    </row>
    <row r="168" spans="8:8" x14ac:dyDescent="0.25">
      <c r="H168" t="s">
        <v>529</v>
      </c>
    </row>
    <row r="169" spans="8:8" x14ac:dyDescent="0.25">
      <c r="H169" t="s">
        <v>1111</v>
      </c>
    </row>
    <row r="170" spans="8:8" x14ac:dyDescent="0.25">
      <c r="H170" t="s">
        <v>530</v>
      </c>
    </row>
    <row r="171" spans="8:8" x14ac:dyDescent="0.25">
      <c r="H171" t="s">
        <v>1112</v>
      </c>
    </row>
    <row r="173" spans="8:8" x14ac:dyDescent="0.25">
      <c r="H173" t="s">
        <v>698</v>
      </c>
    </row>
    <row r="174" spans="8:8" x14ac:dyDescent="0.25">
      <c r="H174" t="s">
        <v>528</v>
      </c>
    </row>
    <row r="175" spans="8:8" x14ac:dyDescent="0.25">
      <c r="H175" t="s">
        <v>1113</v>
      </c>
    </row>
    <row r="177" spans="8:8" x14ac:dyDescent="0.25">
      <c r="H177" t="s">
        <v>699</v>
      </c>
    </row>
    <row r="178" spans="8:8" x14ac:dyDescent="0.25">
      <c r="H178" t="s">
        <v>528</v>
      </c>
    </row>
    <row r="179" spans="8:8" x14ac:dyDescent="0.25">
      <c r="H179" t="s">
        <v>1114</v>
      </c>
    </row>
    <row r="181" spans="8:8" x14ac:dyDescent="0.25">
      <c r="H181" t="s">
        <v>702</v>
      </c>
    </row>
    <row r="182" spans="8:8" x14ac:dyDescent="0.25">
      <c r="H182" t="s">
        <v>532</v>
      </c>
    </row>
    <row r="183" spans="8:8" x14ac:dyDescent="0.25">
      <c r="H183" t="s">
        <v>1115</v>
      </c>
    </row>
    <row r="185" spans="8:8" x14ac:dyDescent="0.25">
      <c r="H185" t="s">
        <v>703</v>
      </c>
    </row>
    <row r="186" spans="8:8" x14ac:dyDescent="0.25">
      <c r="H186" t="s">
        <v>532</v>
      </c>
    </row>
    <row r="187" spans="8:8" x14ac:dyDescent="0.25">
      <c r="H187" t="s">
        <v>1116</v>
      </c>
    </row>
    <row r="189" spans="8:8" x14ac:dyDescent="0.25">
      <c r="H189" t="s">
        <v>704</v>
      </c>
    </row>
    <row r="190" spans="8:8" x14ac:dyDescent="0.25">
      <c r="H190" t="s">
        <v>532</v>
      </c>
    </row>
    <row r="191" spans="8:8" x14ac:dyDescent="0.25">
      <c r="H191" t="s">
        <v>1117</v>
      </c>
    </row>
    <row r="193" spans="8:8" x14ac:dyDescent="0.25">
      <c r="H193" t="s">
        <v>705</v>
      </c>
    </row>
    <row r="194" spans="8:8" x14ac:dyDescent="0.25">
      <c r="H194" t="s">
        <v>532</v>
      </c>
    </row>
    <row r="195" spans="8:8" x14ac:dyDescent="0.25">
      <c r="H195" t="s">
        <v>1118</v>
      </c>
    </row>
    <row r="197" spans="8:8" x14ac:dyDescent="0.25">
      <c r="H197" t="s">
        <v>706</v>
      </c>
    </row>
    <row r="198" spans="8:8" x14ac:dyDescent="0.25">
      <c r="H198" t="s">
        <v>533</v>
      </c>
    </row>
    <row r="199" spans="8:8" x14ac:dyDescent="0.25">
      <c r="H199" t="s">
        <v>1119</v>
      </c>
    </row>
    <row r="201" spans="8:8" x14ac:dyDescent="0.25">
      <c r="H201" t="s">
        <v>707</v>
      </c>
    </row>
    <row r="202" spans="8:8" x14ac:dyDescent="0.25">
      <c r="H202" t="s">
        <v>533</v>
      </c>
    </row>
    <row r="203" spans="8:8" x14ac:dyDescent="0.25">
      <c r="H203" t="s">
        <v>1120</v>
      </c>
    </row>
    <row r="205" spans="8:8" x14ac:dyDescent="0.25">
      <c r="H205" t="s">
        <v>708</v>
      </c>
    </row>
    <row r="206" spans="8:8" x14ac:dyDescent="0.25">
      <c r="H206" t="s">
        <v>533</v>
      </c>
    </row>
    <row r="207" spans="8:8" x14ac:dyDescent="0.25">
      <c r="H207" t="s">
        <v>1121</v>
      </c>
    </row>
    <row r="209" spans="8:8" x14ac:dyDescent="0.25">
      <c r="H209" t="s">
        <v>709</v>
      </c>
    </row>
    <row r="210" spans="8:8" x14ac:dyDescent="0.25">
      <c r="H210" t="s">
        <v>533</v>
      </c>
    </row>
    <row r="211" spans="8:8" x14ac:dyDescent="0.25">
      <c r="H211" t="s">
        <v>1122</v>
      </c>
    </row>
    <row r="213" spans="8:8" x14ac:dyDescent="0.25">
      <c r="H213" t="s">
        <v>713</v>
      </c>
    </row>
    <row r="214" spans="8:8" x14ac:dyDescent="0.25">
      <c r="H214" t="s">
        <v>536</v>
      </c>
    </row>
    <row r="215" spans="8:8" x14ac:dyDescent="0.25">
      <c r="H215" t="s">
        <v>1123</v>
      </c>
    </row>
    <row r="216" spans="8:8" x14ac:dyDescent="0.25">
      <c r="H216" t="s">
        <v>537</v>
      </c>
    </row>
    <row r="217" spans="8:8" x14ac:dyDescent="0.25">
      <c r="H217" t="s">
        <v>1124</v>
      </c>
    </row>
    <row r="219" spans="8:8" x14ac:dyDescent="0.25">
      <c r="H219" t="s">
        <v>712</v>
      </c>
    </row>
    <row r="220" spans="8:8" x14ac:dyDescent="0.25">
      <c r="H220" t="s">
        <v>535</v>
      </c>
    </row>
    <row r="221" spans="8:8" x14ac:dyDescent="0.25">
      <c r="H221" t="s">
        <v>1125</v>
      </c>
    </row>
    <row r="222" spans="8:8" x14ac:dyDescent="0.25">
      <c r="H222" t="s">
        <v>536</v>
      </c>
    </row>
    <row r="223" spans="8:8" x14ac:dyDescent="0.25">
      <c r="H223" t="s">
        <v>1126</v>
      </c>
    </row>
    <row r="225" spans="8:8" x14ac:dyDescent="0.25">
      <c r="H225" t="s">
        <v>710</v>
      </c>
    </row>
    <row r="226" spans="8:8" x14ac:dyDescent="0.25">
      <c r="H226" t="s">
        <v>534</v>
      </c>
    </row>
    <row r="227" spans="8:8" x14ac:dyDescent="0.25">
      <c r="H227" t="s">
        <v>1127</v>
      </c>
    </row>
    <row r="229" spans="8:8" x14ac:dyDescent="0.25">
      <c r="H229" t="s">
        <v>711</v>
      </c>
    </row>
    <row r="230" spans="8:8" x14ac:dyDescent="0.25">
      <c r="H230" t="s">
        <v>534</v>
      </c>
    </row>
    <row r="231" spans="8:8" x14ac:dyDescent="0.25">
      <c r="H231" t="s">
        <v>1128</v>
      </c>
    </row>
    <row r="233" spans="8:8" x14ac:dyDescent="0.25">
      <c r="H233" t="s">
        <v>714</v>
      </c>
    </row>
    <row r="234" spans="8:8" x14ac:dyDescent="0.25">
      <c r="H234" t="s">
        <v>538</v>
      </c>
    </row>
    <row r="235" spans="8:8" x14ac:dyDescent="0.25">
      <c r="H235" t="s">
        <v>1129</v>
      </c>
    </row>
    <row r="237" spans="8:8" x14ac:dyDescent="0.25">
      <c r="H237" t="s">
        <v>715</v>
      </c>
    </row>
    <row r="238" spans="8:8" x14ac:dyDescent="0.25">
      <c r="H238" t="s">
        <v>538</v>
      </c>
    </row>
    <row r="239" spans="8:8" x14ac:dyDescent="0.25">
      <c r="H239" t="s">
        <v>1130</v>
      </c>
    </row>
    <row r="241" spans="8:8" x14ac:dyDescent="0.25">
      <c r="H241" t="s">
        <v>716</v>
      </c>
    </row>
    <row r="242" spans="8:8" x14ac:dyDescent="0.25">
      <c r="H242" t="s">
        <v>538</v>
      </c>
    </row>
    <row r="243" spans="8:8" x14ac:dyDescent="0.25">
      <c r="H243" t="s">
        <v>1131</v>
      </c>
    </row>
    <row r="245" spans="8:8" x14ac:dyDescent="0.25">
      <c r="H245" t="s">
        <v>717</v>
      </c>
    </row>
    <row r="246" spans="8:8" x14ac:dyDescent="0.25">
      <c r="H246" t="s">
        <v>538</v>
      </c>
    </row>
    <row r="247" spans="8:8" x14ac:dyDescent="0.25">
      <c r="H247" t="s">
        <v>1132</v>
      </c>
    </row>
    <row r="249" spans="8:8" x14ac:dyDescent="0.25">
      <c r="H249" t="s">
        <v>718</v>
      </c>
    </row>
    <row r="250" spans="8:8" x14ac:dyDescent="0.25">
      <c r="H250" t="s">
        <v>539</v>
      </c>
    </row>
    <row r="251" spans="8:8" x14ac:dyDescent="0.25">
      <c r="H251" t="s">
        <v>1133</v>
      </c>
    </row>
    <row r="253" spans="8:8" x14ac:dyDescent="0.25">
      <c r="H253" t="s">
        <v>719</v>
      </c>
    </row>
    <row r="254" spans="8:8" x14ac:dyDescent="0.25">
      <c r="H254" t="s">
        <v>539</v>
      </c>
    </row>
    <row r="255" spans="8:8" x14ac:dyDescent="0.25">
      <c r="H255" t="s">
        <v>1134</v>
      </c>
    </row>
    <row r="257" spans="8:8" x14ac:dyDescent="0.25">
      <c r="H257" t="s">
        <v>720</v>
      </c>
    </row>
    <row r="258" spans="8:8" x14ac:dyDescent="0.25">
      <c r="H258" t="s">
        <v>539</v>
      </c>
    </row>
    <row r="259" spans="8:8" x14ac:dyDescent="0.25">
      <c r="H259" t="s">
        <v>1135</v>
      </c>
    </row>
    <row r="261" spans="8:8" x14ac:dyDescent="0.25">
      <c r="H261" t="s">
        <v>721</v>
      </c>
    </row>
    <row r="262" spans="8:8" x14ac:dyDescent="0.25">
      <c r="H262" t="s">
        <v>539</v>
      </c>
    </row>
    <row r="263" spans="8:8" x14ac:dyDescent="0.25">
      <c r="H263" t="s">
        <v>1136</v>
      </c>
    </row>
    <row r="265" spans="8:8" x14ac:dyDescent="0.25">
      <c r="H265" t="s">
        <v>725</v>
      </c>
    </row>
    <row r="266" spans="8:8" x14ac:dyDescent="0.25">
      <c r="H266" t="s">
        <v>542</v>
      </c>
    </row>
    <row r="267" spans="8:8" x14ac:dyDescent="0.25">
      <c r="H267" t="s">
        <v>1137</v>
      </c>
    </row>
    <row r="268" spans="8:8" x14ac:dyDescent="0.25">
      <c r="H268" t="s">
        <v>543</v>
      </c>
    </row>
    <row r="269" spans="8:8" x14ac:dyDescent="0.25">
      <c r="H269" t="s">
        <v>1138</v>
      </c>
    </row>
    <row r="271" spans="8:8" x14ac:dyDescent="0.25">
      <c r="H271" t="s">
        <v>724</v>
      </c>
    </row>
    <row r="272" spans="8:8" x14ac:dyDescent="0.25">
      <c r="H272" t="s">
        <v>541</v>
      </c>
    </row>
    <row r="273" spans="8:8" x14ac:dyDescent="0.25">
      <c r="H273" t="s">
        <v>1139</v>
      </c>
    </row>
    <row r="274" spans="8:8" x14ac:dyDescent="0.25">
      <c r="H274" t="s">
        <v>542</v>
      </c>
    </row>
    <row r="275" spans="8:8" x14ac:dyDescent="0.25">
      <c r="H275" t="s">
        <v>1140</v>
      </c>
    </row>
    <row r="277" spans="8:8" x14ac:dyDescent="0.25">
      <c r="H277" t="s">
        <v>722</v>
      </c>
    </row>
    <row r="278" spans="8:8" x14ac:dyDescent="0.25">
      <c r="H278" t="s">
        <v>540</v>
      </c>
    </row>
    <row r="279" spans="8:8" x14ac:dyDescent="0.25">
      <c r="H279" t="s">
        <v>1141</v>
      </c>
    </row>
    <row r="281" spans="8:8" x14ac:dyDescent="0.25">
      <c r="H281" t="s">
        <v>723</v>
      </c>
    </row>
    <row r="282" spans="8:8" x14ac:dyDescent="0.25">
      <c r="H282" t="s">
        <v>540</v>
      </c>
    </row>
    <row r="283" spans="8:8" x14ac:dyDescent="0.25">
      <c r="H283" t="s">
        <v>1142</v>
      </c>
    </row>
    <row r="285" spans="8:8" x14ac:dyDescent="0.25">
      <c r="H285" t="s">
        <v>726</v>
      </c>
    </row>
    <row r="286" spans="8:8" x14ac:dyDescent="0.25">
      <c r="H286" t="s">
        <v>544</v>
      </c>
    </row>
    <row r="287" spans="8:8" x14ac:dyDescent="0.25">
      <c r="H287" t="s">
        <v>1143</v>
      </c>
    </row>
    <row r="289" spans="8:8" x14ac:dyDescent="0.25">
      <c r="H289" t="s">
        <v>727</v>
      </c>
    </row>
    <row r="290" spans="8:8" x14ac:dyDescent="0.25">
      <c r="H290" t="s">
        <v>544</v>
      </c>
    </row>
    <row r="291" spans="8:8" x14ac:dyDescent="0.25">
      <c r="H291" t="s">
        <v>1144</v>
      </c>
    </row>
    <row r="293" spans="8:8" x14ac:dyDescent="0.25">
      <c r="H293" t="s">
        <v>728</v>
      </c>
    </row>
    <row r="294" spans="8:8" x14ac:dyDescent="0.25">
      <c r="H294" t="s">
        <v>544</v>
      </c>
    </row>
    <row r="295" spans="8:8" x14ac:dyDescent="0.25">
      <c r="H295" t="s">
        <v>1145</v>
      </c>
    </row>
    <row r="297" spans="8:8" x14ac:dyDescent="0.25">
      <c r="H297" t="s">
        <v>729</v>
      </c>
    </row>
    <row r="298" spans="8:8" x14ac:dyDescent="0.25">
      <c r="H298" t="s">
        <v>544</v>
      </c>
    </row>
    <row r="299" spans="8:8" x14ac:dyDescent="0.25">
      <c r="H299" t="s">
        <v>1146</v>
      </c>
    </row>
    <row r="301" spans="8:8" x14ac:dyDescent="0.25">
      <c r="H301" t="s">
        <v>730</v>
      </c>
    </row>
    <row r="302" spans="8:8" x14ac:dyDescent="0.25">
      <c r="H302" t="s">
        <v>545</v>
      </c>
    </row>
    <row r="303" spans="8:8" x14ac:dyDescent="0.25">
      <c r="H303" t="s">
        <v>1147</v>
      </c>
    </row>
    <row r="305" spans="8:8" x14ac:dyDescent="0.25">
      <c r="H305" t="s">
        <v>731</v>
      </c>
    </row>
    <row r="306" spans="8:8" x14ac:dyDescent="0.25">
      <c r="H306" t="s">
        <v>545</v>
      </c>
    </row>
    <row r="307" spans="8:8" x14ac:dyDescent="0.25">
      <c r="H307" t="s">
        <v>1148</v>
      </c>
    </row>
    <row r="309" spans="8:8" x14ac:dyDescent="0.25">
      <c r="H309" t="s">
        <v>732</v>
      </c>
    </row>
    <row r="310" spans="8:8" x14ac:dyDescent="0.25">
      <c r="H310" t="s">
        <v>545</v>
      </c>
    </row>
    <row r="311" spans="8:8" x14ac:dyDescent="0.25">
      <c r="H311" t="s">
        <v>1149</v>
      </c>
    </row>
    <row r="313" spans="8:8" x14ac:dyDescent="0.25">
      <c r="H313" t="s">
        <v>733</v>
      </c>
    </row>
    <row r="314" spans="8:8" x14ac:dyDescent="0.25">
      <c r="H314" t="s">
        <v>545</v>
      </c>
    </row>
    <row r="315" spans="8:8" x14ac:dyDescent="0.25">
      <c r="H315" t="s">
        <v>1150</v>
      </c>
    </row>
    <row r="317" spans="8:8" x14ac:dyDescent="0.25">
      <c r="H317" t="s">
        <v>737</v>
      </c>
    </row>
    <row r="318" spans="8:8" x14ac:dyDescent="0.25">
      <c r="H318" t="s">
        <v>548</v>
      </c>
    </row>
    <row r="319" spans="8:8" x14ac:dyDescent="0.25">
      <c r="H319" t="s">
        <v>1151</v>
      </c>
    </row>
    <row r="320" spans="8:8" x14ac:dyDescent="0.25">
      <c r="H320" t="s">
        <v>549</v>
      </c>
    </row>
    <row r="321" spans="8:8" x14ac:dyDescent="0.25">
      <c r="H321" t="s">
        <v>1152</v>
      </c>
    </row>
    <row r="323" spans="8:8" x14ac:dyDescent="0.25">
      <c r="H323" t="s">
        <v>736</v>
      </c>
    </row>
    <row r="324" spans="8:8" x14ac:dyDescent="0.25">
      <c r="H324" t="s">
        <v>547</v>
      </c>
    </row>
    <row r="325" spans="8:8" x14ac:dyDescent="0.25">
      <c r="H325" t="s">
        <v>1153</v>
      </c>
    </row>
    <row r="326" spans="8:8" x14ac:dyDescent="0.25">
      <c r="H326" t="s">
        <v>548</v>
      </c>
    </row>
    <row r="327" spans="8:8" x14ac:dyDescent="0.25">
      <c r="H327" t="s">
        <v>1154</v>
      </c>
    </row>
    <row r="329" spans="8:8" x14ac:dyDescent="0.25">
      <c r="H329" t="s">
        <v>734</v>
      </c>
    </row>
    <row r="330" spans="8:8" x14ac:dyDescent="0.25">
      <c r="H330" t="s">
        <v>546</v>
      </c>
    </row>
    <row r="331" spans="8:8" x14ac:dyDescent="0.25">
      <c r="H331" t="s">
        <v>1155</v>
      </c>
    </row>
    <row r="333" spans="8:8" x14ac:dyDescent="0.25">
      <c r="H333" t="s">
        <v>735</v>
      </c>
    </row>
    <row r="334" spans="8:8" x14ac:dyDescent="0.25">
      <c r="H334" t="s">
        <v>546</v>
      </c>
    </row>
    <row r="335" spans="8:8" x14ac:dyDescent="0.25">
      <c r="H335" t="s">
        <v>1156</v>
      </c>
    </row>
    <row r="337" spans="8:8" x14ac:dyDescent="0.25">
      <c r="H337" t="s">
        <v>741</v>
      </c>
    </row>
    <row r="338" spans="8:8" x14ac:dyDescent="0.25">
      <c r="H338" t="s">
        <v>552</v>
      </c>
    </row>
    <row r="339" spans="8:8" x14ac:dyDescent="0.25">
      <c r="H339" t="s">
        <v>1157</v>
      </c>
    </row>
    <row r="341" spans="8:8" x14ac:dyDescent="0.25">
      <c r="H341" t="s">
        <v>740</v>
      </c>
    </row>
    <row r="342" spans="8:8" x14ac:dyDescent="0.25">
      <c r="H342" t="s">
        <v>551</v>
      </c>
    </row>
    <row r="343" spans="8:8" x14ac:dyDescent="0.25">
      <c r="H343" t="s">
        <v>1158</v>
      </c>
    </row>
    <row r="345" spans="8:8" x14ac:dyDescent="0.25">
      <c r="H345" t="s">
        <v>738</v>
      </c>
    </row>
    <row r="346" spans="8:8" x14ac:dyDescent="0.25">
      <c r="H346" t="s">
        <v>550</v>
      </c>
    </row>
    <row r="347" spans="8:8" x14ac:dyDescent="0.25">
      <c r="H347" t="s">
        <v>1159</v>
      </c>
    </row>
    <row r="348" spans="8:8" x14ac:dyDescent="0.25">
      <c r="H348" t="s">
        <v>551</v>
      </c>
    </row>
    <row r="349" spans="8:8" x14ac:dyDescent="0.25">
      <c r="H349" t="s">
        <v>1160</v>
      </c>
    </row>
    <row r="351" spans="8:8" x14ac:dyDescent="0.25">
      <c r="H351" t="s">
        <v>739</v>
      </c>
    </row>
    <row r="352" spans="8:8" x14ac:dyDescent="0.25">
      <c r="H352" t="s">
        <v>550</v>
      </c>
    </row>
    <row r="353" spans="8:8" x14ac:dyDescent="0.25">
      <c r="H353" t="s">
        <v>1161</v>
      </c>
    </row>
    <row r="355" spans="8:8" x14ac:dyDescent="0.25">
      <c r="H355" t="s">
        <v>744</v>
      </c>
    </row>
    <row r="356" spans="8:8" x14ac:dyDescent="0.25">
      <c r="H356" t="s">
        <v>555</v>
      </c>
    </row>
    <row r="357" spans="8:8" x14ac:dyDescent="0.25">
      <c r="H357" t="s">
        <v>1162</v>
      </c>
    </row>
    <row r="358" spans="8:8" x14ac:dyDescent="0.25">
      <c r="H358" t="s">
        <v>556</v>
      </c>
    </row>
    <row r="359" spans="8:8" x14ac:dyDescent="0.25">
      <c r="H359" t="s">
        <v>1163</v>
      </c>
    </row>
    <row r="361" spans="8:8" x14ac:dyDescent="0.25">
      <c r="H361" t="s">
        <v>745</v>
      </c>
    </row>
    <row r="362" spans="8:8" x14ac:dyDescent="0.25">
      <c r="H362" t="s">
        <v>555</v>
      </c>
    </row>
    <row r="363" spans="8:8" x14ac:dyDescent="0.25">
      <c r="H363" t="s">
        <v>1164</v>
      </c>
    </row>
    <row r="365" spans="8:8" x14ac:dyDescent="0.25">
      <c r="H365" t="s">
        <v>743</v>
      </c>
    </row>
    <row r="366" spans="8:8" x14ac:dyDescent="0.25">
      <c r="H366" t="s">
        <v>554</v>
      </c>
    </row>
    <row r="367" spans="8:8" x14ac:dyDescent="0.25">
      <c r="H367" t="s">
        <v>1165</v>
      </c>
    </row>
    <row r="369" spans="8:8" x14ac:dyDescent="0.25">
      <c r="H369" t="s">
        <v>742</v>
      </c>
    </row>
    <row r="370" spans="8:8" x14ac:dyDescent="0.25">
      <c r="H370" t="s">
        <v>553</v>
      </c>
    </row>
    <row r="371" spans="8:8" x14ac:dyDescent="0.25">
      <c r="H371" t="s">
        <v>1166</v>
      </c>
    </row>
    <row r="372" spans="8:8" x14ac:dyDescent="0.25">
      <c r="H372" t="s">
        <v>554</v>
      </c>
    </row>
    <row r="373" spans="8:8" x14ac:dyDescent="0.25">
      <c r="H373" t="s">
        <v>1167</v>
      </c>
    </row>
    <row r="375" spans="8:8" x14ac:dyDescent="0.25">
      <c r="H375" t="s">
        <v>749</v>
      </c>
    </row>
    <row r="376" spans="8:8" x14ac:dyDescent="0.25">
      <c r="H376" t="s">
        <v>559</v>
      </c>
    </row>
    <row r="377" spans="8:8" x14ac:dyDescent="0.25">
      <c r="H377" t="s">
        <v>1168</v>
      </c>
    </row>
    <row r="379" spans="8:8" x14ac:dyDescent="0.25">
      <c r="H379" t="s">
        <v>747</v>
      </c>
    </row>
    <row r="380" spans="8:8" x14ac:dyDescent="0.25">
      <c r="H380" t="s">
        <v>558</v>
      </c>
    </row>
    <row r="381" spans="8:8" x14ac:dyDescent="0.25">
      <c r="H381" t="s">
        <v>1169</v>
      </c>
    </row>
    <row r="382" spans="8:8" x14ac:dyDescent="0.25">
      <c r="H382" t="s">
        <v>559</v>
      </c>
    </row>
    <row r="383" spans="8:8" x14ac:dyDescent="0.25">
      <c r="H383" t="s">
        <v>1170</v>
      </c>
    </row>
    <row r="385" spans="8:8" x14ac:dyDescent="0.25">
      <c r="H385" t="s">
        <v>748</v>
      </c>
    </row>
    <row r="386" spans="8:8" x14ac:dyDescent="0.25">
      <c r="H386" t="s">
        <v>558</v>
      </c>
    </row>
    <row r="387" spans="8:8" x14ac:dyDescent="0.25">
      <c r="H387" t="s">
        <v>1171</v>
      </c>
    </row>
    <row r="389" spans="8:8" x14ac:dyDescent="0.25">
      <c r="H389" t="s">
        <v>746</v>
      </c>
    </row>
    <row r="390" spans="8:8" x14ac:dyDescent="0.25">
      <c r="H390" t="s">
        <v>557</v>
      </c>
    </row>
    <row r="391" spans="8:8" x14ac:dyDescent="0.25">
      <c r="H391" t="s">
        <v>1172</v>
      </c>
    </row>
    <row r="393" spans="8:8" x14ac:dyDescent="0.25">
      <c r="H393" t="s">
        <v>753</v>
      </c>
    </row>
    <row r="394" spans="8:8" x14ac:dyDescent="0.25">
      <c r="H394" t="s">
        <v>561</v>
      </c>
    </row>
    <row r="395" spans="8:8" x14ac:dyDescent="0.25">
      <c r="H395" t="s">
        <v>1173</v>
      </c>
    </row>
    <row r="396" spans="8:8" x14ac:dyDescent="0.25">
      <c r="H396" t="s">
        <v>562</v>
      </c>
    </row>
    <row r="397" spans="8:8" x14ac:dyDescent="0.25">
      <c r="H397" t="s">
        <v>1174</v>
      </c>
    </row>
    <row r="398" spans="8:8" x14ac:dyDescent="0.25">
      <c r="H398" t="s">
        <v>563</v>
      </c>
    </row>
    <row r="399" spans="8:8" x14ac:dyDescent="0.25">
      <c r="H399" t="s">
        <v>1175</v>
      </c>
    </row>
    <row r="401" spans="8:8" x14ac:dyDescent="0.25">
      <c r="H401" t="s">
        <v>752</v>
      </c>
    </row>
    <row r="402" spans="8:8" x14ac:dyDescent="0.25">
      <c r="H402" t="s">
        <v>562</v>
      </c>
    </row>
    <row r="403" spans="8:8" x14ac:dyDescent="0.25">
      <c r="H403" t="s">
        <v>1176</v>
      </c>
    </row>
    <row r="405" spans="8:8" x14ac:dyDescent="0.25">
      <c r="H405" t="s">
        <v>750</v>
      </c>
    </row>
    <row r="406" spans="8:8" x14ac:dyDescent="0.25">
      <c r="H406" t="s">
        <v>560</v>
      </c>
    </row>
    <row r="407" spans="8:8" x14ac:dyDescent="0.25">
      <c r="H407" t="s">
        <v>1177</v>
      </c>
    </row>
    <row r="408" spans="8:8" x14ac:dyDescent="0.25">
      <c r="H408" t="s">
        <v>562</v>
      </c>
    </row>
    <row r="409" spans="8:8" x14ac:dyDescent="0.25">
      <c r="H409" t="s">
        <v>1178</v>
      </c>
    </row>
    <row r="411" spans="8:8" x14ac:dyDescent="0.25">
      <c r="H411" t="s">
        <v>751</v>
      </c>
    </row>
    <row r="412" spans="8:8" x14ac:dyDescent="0.25">
      <c r="H412" t="s">
        <v>560</v>
      </c>
    </row>
    <row r="413" spans="8:8" x14ac:dyDescent="0.25">
      <c r="H413" t="s">
        <v>1179</v>
      </c>
    </row>
    <row r="415" spans="8:8" x14ac:dyDescent="0.25">
      <c r="H415" t="s">
        <v>754</v>
      </c>
    </row>
    <row r="416" spans="8:8" x14ac:dyDescent="0.25">
      <c r="H416" t="s">
        <v>564</v>
      </c>
    </row>
    <row r="417" spans="8:8" x14ac:dyDescent="0.25">
      <c r="H417" t="s">
        <v>1180</v>
      </c>
    </row>
    <row r="419" spans="8:8" x14ac:dyDescent="0.25">
      <c r="H419" t="s">
        <v>755</v>
      </c>
    </row>
    <row r="420" spans="8:8" x14ac:dyDescent="0.25">
      <c r="H420" t="s">
        <v>564</v>
      </c>
    </row>
    <row r="421" spans="8:8" x14ac:dyDescent="0.25">
      <c r="H421" t="s">
        <v>1181</v>
      </c>
    </row>
    <row r="423" spans="8:8" x14ac:dyDescent="0.25">
      <c r="H423" t="s">
        <v>756</v>
      </c>
    </row>
    <row r="424" spans="8:8" x14ac:dyDescent="0.25">
      <c r="H424" t="s">
        <v>564</v>
      </c>
    </row>
    <row r="425" spans="8:8" x14ac:dyDescent="0.25">
      <c r="H425" t="s">
        <v>1182</v>
      </c>
    </row>
    <row r="427" spans="8:8" x14ac:dyDescent="0.25">
      <c r="H427" t="s">
        <v>757</v>
      </c>
    </row>
    <row r="428" spans="8:8" x14ac:dyDescent="0.25">
      <c r="H428" t="s">
        <v>564</v>
      </c>
    </row>
    <row r="429" spans="8:8" x14ac:dyDescent="0.25">
      <c r="H429" t="s">
        <v>1183</v>
      </c>
    </row>
    <row r="431" spans="8:8" x14ac:dyDescent="0.25">
      <c r="H431" t="s">
        <v>758</v>
      </c>
    </row>
    <row r="432" spans="8:8" x14ac:dyDescent="0.25">
      <c r="H432" t="s">
        <v>1015</v>
      </c>
    </row>
    <row r="433" spans="8:8" x14ac:dyDescent="0.25">
      <c r="H433" t="s">
        <v>1184</v>
      </c>
    </row>
    <row r="434" spans="8:8" x14ac:dyDescent="0.25">
      <c r="H434" t="s">
        <v>565</v>
      </c>
    </row>
    <row r="435" spans="8:8" x14ac:dyDescent="0.25">
      <c r="H435" t="s">
        <v>1185</v>
      </c>
    </row>
    <row r="437" spans="8:8" x14ac:dyDescent="0.25">
      <c r="H437" t="s">
        <v>759</v>
      </c>
    </row>
    <row r="438" spans="8:8" x14ac:dyDescent="0.25">
      <c r="H438" t="s">
        <v>1014</v>
      </c>
    </row>
    <row r="439" spans="8:8" x14ac:dyDescent="0.25">
      <c r="H439" t="s">
        <v>1186</v>
      </c>
    </row>
    <row r="440" spans="8:8" x14ac:dyDescent="0.25">
      <c r="H440" t="s">
        <v>1015</v>
      </c>
    </row>
    <row r="441" spans="8:8" x14ac:dyDescent="0.25">
      <c r="H441" t="s">
        <v>1187</v>
      </c>
    </row>
    <row r="443" spans="8:8" x14ac:dyDescent="0.25">
      <c r="H443" t="s">
        <v>760</v>
      </c>
    </row>
    <row r="444" spans="8:8" x14ac:dyDescent="0.25">
      <c r="H444" t="s">
        <v>1013</v>
      </c>
    </row>
    <row r="445" spans="8:8" x14ac:dyDescent="0.25">
      <c r="H445" t="s">
        <v>1188</v>
      </c>
    </row>
    <row r="446" spans="8:8" x14ac:dyDescent="0.25">
      <c r="H446" t="s">
        <v>1014</v>
      </c>
    </row>
    <row r="447" spans="8:8" x14ac:dyDescent="0.25">
      <c r="H447" t="s">
        <v>1189</v>
      </c>
    </row>
    <row r="449" spans="8:8" x14ac:dyDescent="0.25">
      <c r="H449" t="s">
        <v>761</v>
      </c>
    </row>
    <row r="450" spans="8:8" x14ac:dyDescent="0.25">
      <c r="H450" t="s">
        <v>1013</v>
      </c>
    </row>
    <row r="451" spans="8:8" x14ac:dyDescent="0.25">
      <c r="H451" t="s">
        <v>1190</v>
      </c>
    </row>
    <row r="453" spans="8:8" x14ac:dyDescent="0.25">
      <c r="H453" t="s">
        <v>1022</v>
      </c>
    </row>
    <row r="454" spans="8:8" x14ac:dyDescent="0.25">
      <c r="H454" t="s">
        <v>1021</v>
      </c>
    </row>
    <row r="455" spans="8:8" x14ac:dyDescent="0.25">
      <c r="H455" t="s">
        <v>1191</v>
      </c>
    </row>
    <row r="456" spans="8:8" x14ac:dyDescent="0.25">
      <c r="H456" t="s">
        <v>1023</v>
      </c>
    </row>
    <row r="457" spans="8:8" x14ac:dyDescent="0.25">
      <c r="H457" t="s">
        <v>1192</v>
      </c>
    </row>
    <row r="459" spans="8:8" x14ac:dyDescent="0.25">
      <c r="H459" t="s">
        <v>1020</v>
      </c>
    </row>
    <row r="460" spans="8:8" x14ac:dyDescent="0.25">
      <c r="H460" t="s">
        <v>1019</v>
      </c>
    </row>
    <row r="461" spans="8:8" x14ac:dyDescent="0.25">
      <c r="H461" t="s">
        <v>1193</v>
      </c>
    </row>
    <row r="462" spans="8:8" x14ac:dyDescent="0.25">
      <c r="H462" t="s">
        <v>1021</v>
      </c>
    </row>
    <row r="463" spans="8:8" x14ac:dyDescent="0.25">
      <c r="H463" t="s">
        <v>1194</v>
      </c>
    </row>
    <row r="465" spans="8:8" x14ac:dyDescent="0.25">
      <c r="H465" t="s">
        <v>1018</v>
      </c>
    </row>
    <row r="466" spans="8:8" x14ac:dyDescent="0.25">
      <c r="H466" t="s">
        <v>1017</v>
      </c>
    </row>
    <row r="467" spans="8:8" x14ac:dyDescent="0.25">
      <c r="H467" t="s">
        <v>1195</v>
      </c>
    </row>
    <row r="468" spans="8:8" x14ac:dyDescent="0.25">
      <c r="H468" t="s">
        <v>1019</v>
      </c>
    </row>
    <row r="469" spans="8:8" x14ac:dyDescent="0.25">
      <c r="H469" t="s">
        <v>1196</v>
      </c>
    </row>
    <row r="471" spans="8:8" x14ac:dyDescent="0.25">
      <c r="H471" t="s">
        <v>1016</v>
      </c>
    </row>
    <row r="472" spans="8:8" x14ac:dyDescent="0.25">
      <c r="H472" t="s">
        <v>1017</v>
      </c>
    </row>
    <row r="473" spans="8:8" x14ac:dyDescent="0.25">
      <c r="H473" t="s">
        <v>1197</v>
      </c>
    </row>
    <row r="475" spans="8:8" x14ac:dyDescent="0.25">
      <c r="H475" t="s">
        <v>1030</v>
      </c>
    </row>
    <row r="476" spans="8:8" x14ac:dyDescent="0.25">
      <c r="H476" t="s">
        <v>1029</v>
      </c>
    </row>
    <row r="477" spans="8:8" x14ac:dyDescent="0.25">
      <c r="H477" t="s">
        <v>1198</v>
      </c>
    </row>
    <row r="478" spans="8:8" x14ac:dyDescent="0.25">
      <c r="H478" t="s">
        <v>1031</v>
      </c>
    </row>
    <row r="479" spans="8:8" x14ac:dyDescent="0.25">
      <c r="H479" t="s">
        <v>1199</v>
      </c>
    </row>
    <row r="481" spans="8:8" x14ac:dyDescent="0.25">
      <c r="H481" t="s">
        <v>1028</v>
      </c>
    </row>
    <row r="482" spans="8:8" x14ac:dyDescent="0.25">
      <c r="H482" t="s">
        <v>1027</v>
      </c>
    </row>
    <row r="483" spans="8:8" x14ac:dyDescent="0.25">
      <c r="H483" t="s">
        <v>1200</v>
      </c>
    </row>
    <row r="484" spans="8:8" x14ac:dyDescent="0.25">
      <c r="H484" t="s">
        <v>1029</v>
      </c>
    </row>
    <row r="485" spans="8:8" x14ac:dyDescent="0.25">
      <c r="H485" t="s">
        <v>1201</v>
      </c>
    </row>
    <row r="487" spans="8:8" x14ac:dyDescent="0.25">
      <c r="H487" t="s">
        <v>1026</v>
      </c>
    </row>
    <row r="488" spans="8:8" x14ac:dyDescent="0.25">
      <c r="H488" t="s">
        <v>1025</v>
      </c>
    </row>
    <row r="489" spans="8:8" x14ac:dyDescent="0.25">
      <c r="H489" t="s">
        <v>1202</v>
      </c>
    </row>
    <row r="490" spans="8:8" x14ac:dyDescent="0.25">
      <c r="H490" t="s">
        <v>1027</v>
      </c>
    </row>
    <row r="491" spans="8:8" x14ac:dyDescent="0.25">
      <c r="H491" t="s">
        <v>1203</v>
      </c>
    </row>
    <row r="493" spans="8:8" x14ac:dyDescent="0.25">
      <c r="H493" t="s">
        <v>1024</v>
      </c>
    </row>
    <row r="494" spans="8:8" x14ac:dyDescent="0.25">
      <c r="H494" t="s">
        <v>1025</v>
      </c>
    </row>
    <row r="495" spans="8:8" x14ac:dyDescent="0.25">
      <c r="H495" t="s">
        <v>1204</v>
      </c>
    </row>
    <row r="497" spans="8:8" x14ac:dyDescent="0.25">
      <c r="H497" t="s">
        <v>1037</v>
      </c>
    </row>
    <row r="498" spans="8:8" x14ac:dyDescent="0.25">
      <c r="H498" t="s">
        <v>1036</v>
      </c>
    </row>
    <row r="499" spans="8:8" x14ac:dyDescent="0.25">
      <c r="H499" t="s">
        <v>1205</v>
      </c>
    </row>
    <row r="501" spans="8:8" x14ac:dyDescent="0.25">
      <c r="H501" t="s">
        <v>1035</v>
      </c>
    </row>
    <row r="502" spans="8:8" x14ac:dyDescent="0.25">
      <c r="H502" t="s">
        <v>1036</v>
      </c>
    </row>
    <row r="503" spans="8:8" x14ac:dyDescent="0.25">
      <c r="H503" t="s">
        <v>1206</v>
      </c>
    </row>
    <row r="505" spans="8:8" x14ac:dyDescent="0.25">
      <c r="H505" t="s">
        <v>1034</v>
      </c>
    </row>
    <row r="506" spans="8:8" x14ac:dyDescent="0.25">
      <c r="H506" t="s">
        <v>1033</v>
      </c>
    </row>
    <row r="507" spans="8:8" x14ac:dyDescent="0.25">
      <c r="H507" t="s">
        <v>1207</v>
      </c>
    </row>
    <row r="509" spans="8:8" x14ac:dyDescent="0.25">
      <c r="H509" t="s">
        <v>1032</v>
      </c>
    </row>
    <row r="510" spans="8:8" x14ac:dyDescent="0.25">
      <c r="H510" t="s">
        <v>1033</v>
      </c>
    </row>
    <row r="511" spans="8:8" x14ac:dyDescent="0.25">
      <c r="H511" t="s">
        <v>1208</v>
      </c>
    </row>
    <row r="513" spans="8:8" x14ac:dyDescent="0.25">
      <c r="H513" t="s">
        <v>766</v>
      </c>
    </row>
    <row r="514" spans="8:8" x14ac:dyDescent="0.25">
      <c r="H514" t="s">
        <v>566</v>
      </c>
    </row>
    <row r="515" spans="8:8" x14ac:dyDescent="0.25">
      <c r="H515" t="s">
        <v>1209</v>
      </c>
    </row>
    <row r="517" spans="8:8" x14ac:dyDescent="0.25">
      <c r="H517" t="s">
        <v>765</v>
      </c>
    </row>
    <row r="518" spans="8:8" x14ac:dyDescent="0.25">
      <c r="H518" t="s">
        <v>566</v>
      </c>
    </row>
    <row r="519" spans="8:8" x14ac:dyDescent="0.25">
      <c r="H519" t="s">
        <v>1210</v>
      </c>
    </row>
    <row r="521" spans="8:8" x14ac:dyDescent="0.25">
      <c r="H521" t="s">
        <v>768</v>
      </c>
    </row>
    <row r="522" spans="8:8" x14ac:dyDescent="0.25">
      <c r="H522" t="s">
        <v>567</v>
      </c>
    </row>
    <row r="523" spans="8:8" x14ac:dyDescent="0.25">
      <c r="H523" t="s">
        <v>1211</v>
      </c>
    </row>
    <row r="525" spans="8:8" x14ac:dyDescent="0.25">
      <c r="H525" t="s">
        <v>767</v>
      </c>
    </row>
    <row r="526" spans="8:8" x14ac:dyDescent="0.25">
      <c r="H526" t="s">
        <v>567</v>
      </c>
    </row>
    <row r="527" spans="8:8" x14ac:dyDescent="0.25">
      <c r="H527" t="s">
        <v>1212</v>
      </c>
    </row>
    <row r="529" spans="8:8" x14ac:dyDescent="0.25">
      <c r="H529" t="s">
        <v>770</v>
      </c>
    </row>
    <row r="530" spans="8:8" x14ac:dyDescent="0.25">
      <c r="H530" t="s">
        <v>568</v>
      </c>
    </row>
    <row r="531" spans="8:8" x14ac:dyDescent="0.25">
      <c r="H531" t="s">
        <v>1213</v>
      </c>
    </row>
    <row r="533" spans="8:8" x14ac:dyDescent="0.25">
      <c r="H533" t="s">
        <v>769</v>
      </c>
    </row>
    <row r="534" spans="8:8" x14ac:dyDescent="0.25">
      <c r="H534" t="s">
        <v>568</v>
      </c>
    </row>
    <row r="535" spans="8:8" x14ac:dyDescent="0.25">
      <c r="H535" t="s">
        <v>1214</v>
      </c>
    </row>
    <row r="537" spans="8:8" x14ac:dyDescent="0.25">
      <c r="H537" t="s">
        <v>772</v>
      </c>
    </row>
    <row r="538" spans="8:8" x14ac:dyDescent="0.25">
      <c r="H538" t="s">
        <v>569</v>
      </c>
    </row>
    <row r="539" spans="8:8" x14ac:dyDescent="0.25">
      <c r="H539" t="s">
        <v>1215</v>
      </c>
    </row>
    <row r="541" spans="8:8" x14ac:dyDescent="0.25">
      <c r="H541" t="s">
        <v>771</v>
      </c>
    </row>
    <row r="542" spans="8:8" x14ac:dyDescent="0.25">
      <c r="H542" t="s">
        <v>569</v>
      </c>
    </row>
    <row r="543" spans="8:8" x14ac:dyDescent="0.25">
      <c r="H543" t="s">
        <v>1216</v>
      </c>
    </row>
    <row r="545" spans="8:8" x14ac:dyDescent="0.25">
      <c r="H545" t="s">
        <v>774</v>
      </c>
    </row>
    <row r="546" spans="8:8" x14ac:dyDescent="0.25">
      <c r="H546" t="s">
        <v>570</v>
      </c>
    </row>
    <row r="547" spans="8:8" x14ac:dyDescent="0.25">
      <c r="H547" t="s">
        <v>1217</v>
      </c>
    </row>
    <row r="549" spans="8:8" x14ac:dyDescent="0.25">
      <c r="H549" t="s">
        <v>773</v>
      </c>
    </row>
    <row r="550" spans="8:8" x14ac:dyDescent="0.25">
      <c r="H550" t="s">
        <v>570</v>
      </c>
    </row>
    <row r="551" spans="8:8" x14ac:dyDescent="0.25">
      <c r="H551" t="s">
        <v>1218</v>
      </c>
    </row>
    <row r="553" spans="8:8" x14ac:dyDescent="0.25">
      <c r="H553" t="s">
        <v>776</v>
      </c>
    </row>
    <row r="554" spans="8:8" x14ac:dyDescent="0.25">
      <c r="H554" t="s">
        <v>571</v>
      </c>
    </row>
    <row r="555" spans="8:8" x14ac:dyDescent="0.25">
      <c r="H555" t="s">
        <v>1219</v>
      </c>
    </row>
    <row r="557" spans="8:8" x14ac:dyDescent="0.25">
      <c r="H557" t="s">
        <v>775</v>
      </c>
    </row>
    <row r="558" spans="8:8" x14ac:dyDescent="0.25">
      <c r="H558" t="s">
        <v>571</v>
      </c>
    </row>
    <row r="559" spans="8:8" x14ac:dyDescent="0.25">
      <c r="H559" t="s">
        <v>1220</v>
      </c>
    </row>
    <row r="561" spans="8:8" x14ac:dyDescent="0.25">
      <c r="H561" t="s">
        <v>778</v>
      </c>
    </row>
    <row r="562" spans="8:8" x14ac:dyDescent="0.25">
      <c r="H562" t="s">
        <v>572</v>
      </c>
    </row>
    <row r="563" spans="8:8" x14ac:dyDescent="0.25">
      <c r="H563" t="s">
        <v>1221</v>
      </c>
    </row>
    <row r="565" spans="8:8" x14ac:dyDescent="0.25">
      <c r="H565" t="s">
        <v>777</v>
      </c>
    </row>
    <row r="566" spans="8:8" x14ac:dyDescent="0.25">
      <c r="H566" t="s">
        <v>572</v>
      </c>
    </row>
    <row r="567" spans="8:8" x14ac:dyDescent="0.25">
      <c r="H567" t="s">
        <v>1222</v>
      </c>
    </row>
    <row r="569" spans="8:8" x14ac:dyDescent="0.25">
      <c r="H569" t="s">
        <v>780</v>
      </c>
    </row>
    <row r="570" spans="8:8" x14ac:dyDescent="0.25">
      <c r="H570" t="s">
        <v>573</v>
      </c>
    </row>
    <row r="571" spans="8:8" x14ac:dyDescent="0.25">
      <c r="H571" t="s">
        <v>1223</v>
      </c>
    </row>
    <row r="573" spans="8:8" x14ac:dyDescent="0.25">
      <c r="H573" t="s">
        <v>779</v>
      </c>
    </row>
    <row r="574" spans="8:8" x14ac:dyDescent="0.25">
      <c r="H574" t="s">
        <v>573</v>
      </c>
    </row>
    <row r="575" spans="8:8" x14ac:dyDescent="0.25">
      <c r="H575" t="s">
        <v>1224</v>
      </c>
    </row>
    <row r="577" spans="8:8" x14ac:dyDescent="0.25">
      <c r="H577" t="s">
        <v>782</v>
      </c>
    </row>
    <row r="578" spans="8:8" x14ac:dyDescent="0.25">
      <c r="H578" t="s">
        <v>574</v>
      </c>
    </row>
    <row r="579" spans="8:8" x14ac:dyDescent="0.25">
      <c r="H579" t="s">
        <v>1225</v>
      </c>
    </row>
    <row r="581" spans="8:8" x14ac:dyDescent="0.25">
      <c r="H581" t="s">
        <v>781</v>
      </c>
    </row>
    <row r="582" spans="8:8" x14ac:dyDescent="0.25">
      <c r="H582" t="s">
        <v>574</v>
      </c>
    </row>
    <row r="583" spans="8:8" x14ac:dyDescent="0.25">
      <c r="H583" t="s">
        <v>1226</v>
      </c>
    </row>
    <row r="585" spans="8:8" x14ac:dyDescent="0.25">
      <c r="H585" t="s">
        <v>784</v>
      </c>
    </row>
    <row r="586" spans="8:8" x14ac:dyDescent="0.25">
      <c r="H586" t="s">
        <v>575</v>
      </c>
    </row>
    <row r="587" spans="8:8" x14ac:dyDescent="0.25">
      <c r="H587" t="s">
        <v>1227</v>
      </c>
    </row>
    <row r="589" spans="8:8" x14ac:dyDescent="0.25">
      <c r="H589" t="s">
        <v>783</v>
      </c>
    </row>
    <row r="590" spans="8:8" x14ac:dyDescent="0.25">
      <c r="H590" t="s">
        <v>575</v>
      </c>
    </row>
    <row r="591" spans="8:8" x14ac:dyDescent="0.25">
      <c r="H591" t="s">
        <v>1228</v>
      </c>
    </row>
    <row r="593" spans="8:8" x14ac:dyDescent="0.25">
      <c r="H593" t="s">
        <v>786</v>
      </c>
    </row>
    <row r="594" spans="8:8" x14ac:dyDescent="0.25">
      <c r="H594" t="s">
        <v>576</v>
      </c>
    </row>
    <row r="595" spans="8:8" x14ac:dyDescent="0.25">
      <c r="H595" t="s">
        <v>1229</v>
      </c>
    </row>
    <row r="597" spans="8:8" x14ac:dyDescent="0.25">
      <c r="H597" t="s">
        <v>785</v>
      </c>
    </row>
    <row r="598" spans="8:8" x14ac:dyDescent="0.25">
      <c r="H598" t="s">
        <v>576</v>
      </c>
    </row>
    <row r="599" spans="8:8" x14ac:dyDescent="0.25">
      <c r="H599" t="s">
        <v>1230</v>
      </c>
    </row>
    <row r="601" spans="8:8" x14ac:dyDescent="0.25">
      <c r="H601" t="s">
        <v>788</v>
      </c>
    </row>
    <row r="602" spans="8:8" x14ac:dyDescent="0.25">
      <c r="H602" t="s">
        <v>577</v>
      </c>
    </row>
    <row r="603" spans="8:8" x14ac:dyDescent="0.25">
      <c r="H603" t="s">
        <v>1231</v>
      </c>
    </row>
    <row r="605" spans="8:8" x14ac:dyDescent="0.25">
      <c r="H605" t="s">
        <v>787</v>
      </c>
    </row>
    <row r="606" spans="8:8" x14ac:dyDescent="0.25">
      <c r="H606" t="s">
        <v>577</v>
      </c>
    </row>
    <row r="607" spans="8:8" x14ac:dyDescent="0.25">
      <c r="H607" t="s">
        <v>1232</v>
      </c>
    </row>
    <row r="609" spans="8:8" x14ac:dyDescent="0.25">
      <c r="H609" t="s">
        <v>790</v>
      </c>
    </row>
    <row r="610" spans="8:8" x14ac:dyDescent="0.25">
      <c r="H610" t="s">
        <v>578</v>
      </c>
    </row>
    <row r="611" spans="8:8" x14ac:dyDescent="0.25">
      <c r="H611" t="s">
        <v>1233</v>
      </c>
    </row>
    <row r="613" spans="8:8" x14ac:dyDescent="0.25">
      <c r="H613" t="s">
        <v>789</v>
      </c>
    </row>
    <row r="614" spans="8:8" x14ac:dyDescent="0.25">
      <c r="H614" t="s">
        <v>578</v>
      </c>
    </row>
    <row r="615" spans="8:8" x14ac:dyDescent="0.25">
      <c r="H615" t="s">
        <v>1234</v>
      </c>
    </row>
    <row r="617" spans="8:8" x14ac:dyDescent="0.25">
      <c r="H617" t="s">
        <v>792</v>
      </c>
    </row>
    <row r="618" spans="8:8" x14ac:dyDescent="0.25">
      <c r="H618" t="s">
        <v>579</v>
      </c>
    </row>
    <row r="619" spans="8:8" x14ac:dyDescent="0.25">
      <c r="H619" t="s">
        <v>1235</v>
      </c>
    </row>
    <row r="621" spans="8:8" x14ac:dyDescent="0.25">
      <c r="H621" t="s">
        <v>791</v>
      </c>
    </row>
    <row r="622" spans="8:8" x14ac:dyDescent="0.25">
      <c r="H622" t="s">
        <v>579</v>
      </c>
    </row>
    <row r="623" spans="8:8" x14ac:dyDescent="0.25">
      <c r="H623" t="s">
        <v>1236</v>
      </c>
    </row>
    <row r="625" spans="8:8" x14ac:dyDescent="0.25">
      <c r="H625" t="s">
        <v>794</v>
      </c>
    </row>
    <row r="626" spans="8:8" x14ac:dyDescent="0.25">
      <c r="H626" t="s">
        <v>580</v>
      </c>
    </row>
    <row r="627" spans="8:8" x14ac:dyDescent="0.25">
      <c r="H627" t="s">
        <v>1237</v>
      </c>
    </row>
    <row r="629" spans="8:8" x14ac:dyDescent="0.25">
      <c r="H629" t="s">
        <v>793</v>
      </c>
    </row>
    <row r="630" spans="8:8" x14ac:dyDescent="0.25">
      <c r="H630" t="s">
        <v>580</v>
      </c>
    </row>
    <row r="631" spans="8:8" x14ac:dyDescent="0.25">
      <c r="H631" t="s">
        <v>1238</v>
      </c>
    </row>
    <row r="633" spans="8:8" x14ac:dyDescent="0.25">
      <c r="H633" t="s">
        <v>796</v>
      </c>
    </row>
    <row r="634" spans="8:8" x14ac:dyDescent="0.25">
      <c r="H634" t="s">
        <v>581</v>
      </c>
    </row>
    <row r="635" spans="8:8" x14ac:dyDescent="0.25">
      <c r="H635" t="s">
        <v>1239</v>
      </c>
    </row>
    <row r="637" spans="8:8" x14ac:dyDescent="0.25">
      <c r="H637" t="s">
        <v>795</v>
      </c>
    </row>
    <row r="638" spans="8:8" x14ac:dyDescent="0.25">
      <c r="H638" t="s">
        <v>581</v>
      </c>
    </row>
    <row r="639" spans="8:8" x14ac:dyDescent="0.25">
      <c r="H639" t="s">
        <v>1240</v>
      </c>
    </row>
    <row r="641" spans="8:8" x14ac:dyDescent="0.25">
      <c r="H641" t="s">
        <v>798</v>
      </c>
    </row>
    <row r="642" spans="8:8" x14ac:dyDescent="0.25">
      <c r="H642" t="s">
        <v>582</v>
      </c>
    </row>
    <row r="643" spans="8:8" x14ac:dyDescent="0.25">
      <c r="H643" t="s">
        <v>1241</v>
      </c>
    </row>
    <row r="645" spans="8:8" x14ac:dyDescent="0.25">
      <c r="H645" t="s">
        <v>797</v>
      </c>
    </row>
    <row r="646" spans="8:8" x14ac:dyDescent="0.25">
      <c r="H646" t="s">
        <v>582</v>
      </c>
    </row>
    <row r="647" spans="8:8" x14ac:dyDescent="0.25">
      <c r="H647" t="s">
        <v>1242</v>
      </c>
    </row>
    <row r="649" spans="8:8" x14ac:dyDescent="0.25">
      <c r="H649" t="s">
        <v>800</v>
      </c>
    </row>
    <row r="650" spans="8:8" x14ac:dyDescent="0.25">
      <c r="H650" t="s">
        <v>583</v>
      </c>
    </row>
    <row r="651" spans="8:8" x14ac:dyDescent="0.25">
      <c r="H651" t="s">
        <v>1243</v>
      </c>
    </row>
    <row r="653" spans="8:8" x14ac:dyDescent="0.25">
      <c r="H653" t="s">
        <v>799</v>
      </c>
    </row>
    <row r="654" spans="8:8" x14ac:dyDescent="0.25">
      <c r="H654" t="s">
        <v>583</v>
      </c>
    </row>
    <row r="655" spans="8:8" x14ac:dyDescent="0.25">
      <c r="H655" t="s">
        <v>1244</v>
      </c>
    </row>
    <row r="657" spans="8:8" x14ac:dyDescent="0.25">
      <c r="H657" t="s">
        <v>802</v>
      </c>
    </row>
    <row r="658" spans="8:8" x14ac:dyDescent="0.25">
      <c r="H658" t="s">
        <v>584</v>
      </c>
    </row>
    <row r="659" spans="8:8" x14ac:dyDescent="0.25">
      <c r="H659" t="s">
        <v>1245</v>
      </c>
    </row>
    <row r="661" spans="8:8" x14ac:dyDescent="0.25">
      <c r="H661" t="s">
        <v>801</v>
      </c>
    </row>
    <row r="662" spans="8:8" x14ac:dyDescent="0.25">
      <c r="H662" t="s">
        <v>584</v>
      </c>
    </row>
    <row r="663" spans="8:8" x14ac:dyDescent="0.25">
      <c r="H663" t="s">
        <v>1246</v>
      </c>
    </row>
    <row r="665" spans="8:8" x14ac:dyDescent="0.25">
      <c r="H665" t="s">
        <v>804</v>
      </c>
    </row>
    <row r="666" spans="8:8" x14ac:dyDescent="0.25">
      <c r="H666" t="s">
        <v>585</v>
      </c>
    </row>
    <row r="667" spans="8:8" x14ac:dyDescent="0.25">
      <c r="H667" t="s">
        <v>1247</v>
      </c>
    </row>
    <row r="669" spans="8:8" x14ac:dyDescent="0.25">
      <c r="H669" t="s">
        <v>803</v>
      </c>
    </row>
    <row r="670" spans="8:8" x14ac:dyDescent="0.25">
      <c r="H670" t="s">
        <v>585</v>
      </c>
    </row>
    <row r="671" spans="8:8" x14ac:dyDescent="0.25">
      <c r="H671" t="s">
        <v>1248</v>
      </c>
    </row>
    <row r="673" spans="8:8" x14ac:dyDescent="0.25">
      <c r="H673" t="s">
        <v>806</v>
      </c>
    </row>
    <row r="674" spans="8:8" x14ac:dyDescent="0.25">
      <c r="H674" t="s">
        <v>586</v>
      </c>
    </row>
    <row r="675" spans="8:8" x14ac:dyDescent="0.25">
      <c r="H675" t="s">
        <v>1249</v>
      </c>
    </row>
    <row r="677" spans="8:8" x14ac:dyDescent="0.25">
      <c r="H677" t="s">
        <v>805</v>
      </c>
    </row>
    <row r="678" spans="8:8" x14ac:dyDescent="0.25">
      <c r="H678" t="s">
        <v>586</v>
      </c>
    </row>
    <row r="679" spans="8:8" x14ac:dyDescent="0.25">
      <c r="H679" t="s">
        <v>1250</v>
      </c>
    </row>
    <row r="681" spans="8:8" x14ac:dyDescent="0.25">
      <c r="H681" t="s">
        <v>808</v>
      </c>
    </row>
    <row r="682" spans="8:8" x14ac:dyDescent="0.25">
      <c r="H682" t="s">
        <v>587</v>
      </c>
    </row>
    <row r="683" spans="8:8" x14ac:dyDescent="0.25">
      <c r="H683" t="s">
        <v>1251</v>
      </c>
    </row>
    <row r="685" spans="8:8" x14ac:dyDescent="0.25">
      <c r="H685" t="s">
        <v>807</v>
      </c>
    </row>
    <row r="686" spans="8:8" x14ac:dyDescent="0.25">
      <c r="H686" t="s">
        <v>587</v>
      </c>
    </row>
    <row r="687" spans="8:8" x14ac:dyDescent="0.25">
      <c r="H687" t="s">
        <v>1252</v>
      </c>
    </row>
    <row r="689" spans="8:8" x14ac:dyDescent="0.25">
      <c r="H689" t="s">
        <v>810</v>
      </c>
    </row>
    <row r="690" spans="8:8" x14ac:dyDescent="0.25">
      <c r="H690" t="s">
        <v>588</v>
      </c>
    </row>
    <row r="691" spans="8:8" x14ac:dyDescent="0.25">
      <c r="H691" t="s">
        <v>1253</v>
      </c>
    </row>
    <row r="693" spans="8:8" x14ac:dyDescent="0.25">
      <c r="H693" t="s">
        <v>809</v>
      </c>
    </row>
    <row r="694" spans="8:8" x14ac:dyDescent="0.25">
      <c r="H694" t="s">
        <v>588</v>
      </c>
    </row>
    <row r="695" spans="8:8" x14ac:dyDescent="0.25">
      <c r="H695" t="s">
        <v>1254</v>
      </c>
    </row>
    <row r="697" spans="8:8" x14ac:dyDescent="0.25">
      <c r="H697" t="s">
        <v>812</v>
      </c>
    </row>
    <row r="698" spans="8:8" x14ac:dyDescent="0.25">
      <c r="H698" t="s">
        <v>589</v>
      </c>
    </row>
    <row r="699" spans="8:8" x14ac:dyDescent="0.25">
      <c r="H699" t="s">
        <v>1255</v>
      </c>
    </row>
    <row r="701" spans="8:8" x14ac:dyDescent="0.25">
      <c r="H701" t="s">
        <v>811</v>
      </c>
    </row>
    <row r="702" spans="8:8" x14ac:dyDescent="0.25">
      <c r="H702" t="s">
        <v>589</v>
      </c>
    </row>
    <row r="703" spans="8:8" x14ac:dyDescent="0.25">
      <c r="H703" t="s">
        <v>1256</v>
      </c>
    </row>
    <row r="705" spans="8:8" x14ac:dyDescent="0.25">
      <c r="H705" t="s">
        <v>814</v>
      </c>
    </row>
    <row r="706" spans="8:8" x14ac:dyDescent="0.25">
      <c r="H706" t="s">
        <v>590</v>
      </c>
    </row>
    <row r="707" spans="8:8" x14ac:dyDescent="0.25">
      <c r="H707" t="s">
        <v>1257</v>
      </c>
    </row>
    <row r="709" spans="8:8" x14ac:dyDescent="0.25">
      <c r="H709" t="s">
        <v>813</v>
      </c>
    </row>
    <row r="710" spans="8:8" x14ac:dyDescent="0.25">
      <c r="H710" t="s">
        <v>590</v>
      </c>
    </row>
    <row r="711" spans="8:8" x14ac:dyDescent="0.25">
      <c r="H711" t="s">
        <v>1258</v>
      </c>
    </row>
    <row r="713" spans="8:8" x14ac:dyDescent="0.25">
      <c r="H713" t="s">
        <v>816</v>
      </c>
    </row>
    <row r="714" spans="8:8" x14ac:dyDescent="0.25">
      <c r="H714" t="s">
        <v>591</v>
      </c>
    </row>
    <row r="715" spans="8:8" x14ac:dyDescent="0.25">
      <c r="H715" t="s">
        <v>1259</v>
      </c>
    </row>
    <row r="717" spans="8:8" x14ac:dyDescent="0.25">
      <c r="H717" t="s">
        <v>815</v>
      </c>
    </row>
    <row r="718" spans="8:8" x14ac:dyDescent="0.25">
      <c r="H718" t="s">
        <v>591</v>
      </c>
    </row>
    <row r="719" spans="8:8" x14ac:dyDescent="0.25">
      <c r="H719" t="s">
        <v>1260</v>
      </c>
    </row>
    <row r="721" spans="8:8" x14ac:dyDescent="0.25">
      <c r="H721" t="s">
        <v>818</v>
      </c>
    </row>
    <row r="722" spans="8:8" x14ac:dyDescent="0.25">
      <c r="H722" t="s">
        <v>592</v>
      </c>
    </row>
    <row r="723" spans="8:8" x14ac:dyDescent="0.25">
      <c r="H723" t="s">
        <v>1261</v>
      </c>
    </row>
    <row r="725" spans="8:8" x14ac:dyDescent="0.25">
      <c r="H725" t="s">
        <v>817</v>
      </c>
    </row>
    <row r="726" spans="8:8" x14ac:dyDescent="0.25">
      <c r="H726" t="s">
        <v>592</v>
      </c>
    </row>
    <row r="727" spans="8:8" x14ac:dyDescent="0.25">
      <c r="H727" t="s">
        <v>1262</v>
      </c>
    </row>
    <row r="729" spans="8:8" x14ac:dyDescent="0.25">
      <c r="H729" t="s">
        <v>820</v>
      </c>
    </row>
    <row r="730" spans="8:8" x14ac:dyDescent="0.25">
      <c r="H730" t="s">
        <v>593</v>
      </c>
    </row>
    <row r="731" spans="8:8" x14ac:dyDescent="0.25">
      <c r="H731" t="s">
        <v>1263</v>
      </c>
    </row>
    <row r="733" spans="8:8" x14ac:dyDescent="0.25">
      <c r="H733" t="s">
        <v>819</v>
      </c>
    </row>
    <row r="734" spans="8:8" x14ac:dyDescent="0.25">
      <c r="H734" t="s">
        <v>593</v>
      </c>
    </row>
    <row r="735" spans="8:8" x14ac:dyDescent="0.25">
      <c r="H735" t="s">
        <v>1264</v>
      </c>
    </row>
    <row r="737" spans="8:8" x14ac:dyDescent="0.25">
      <c r="H737" t="s">
        <v>822</v>
      </c>
    </row>
    <row r="738" spans="8:8" x14ac:dyDescent="0.25">
      <c r="H738" t="s">
        <v>594</v>
      </c>
    </row>
    <row r="739" spans="8:8" x14ac:dyDescent="0.25">
      <c r="H739" t="s">
        <v>1265</v>
      </c>
    </row>
    <row r="741" spans="8:8" x14ac:dyDescent="0.25">
      <c r="H741" t="s">
        <v>821</v>
      </c>
    </row>
    <row r="742" spans="8:8" x14ac:dyDescent="0.25">
      <c r="H742" t="s">
        <v>594</v>
      </c>
    </row>
    <row r="743" spans="8:8" x14ac:dyDescent="0.25">
      <c r="H743" t="s">
        <v>1266</v>
      </c>
    </row>
    <row r="745" spans="8:8" x14ac:dyDescent="0.25">
      <c r="H745" t="s">
        <v>824</v>
      </c>
    </row>
    <row r="746" spans="8:8" x14ac:dyDescent="0.25">
      <c r="H746" t="s">
        <v>595</v>
      </c>
    </row>
    <row r="747" spans="8:8" x14ac:dyDescent="0.25">
      <c r="H747" t="s">
        <v>1267</v>
      </c>
    </row>
    <row r="749" spans="8:8" x14ac:dyDescent="0.25">
      <c r="H749" t="s">
        <v>823</v>
      </c>
    </row>
    <row r="750" spans="8:8" x14ac:dyDescent="0.25">
      <c r="H750" t="s">
        <v>595</v>
      </c>
    </row>
    <row r="751" spans="8:8" x14ac:dyDescent="0.25">
      <c r="H751" t="s">
        <v>1268</v>
      </c>
    </row>
    <row r="753" spans="8:8" x14ac:dyDescent="0.25">
      <c r="H753" t="s">
        <v>826</v>
      </c>
    </row>
    <row r="754" spans="8:8" x14ac:dyDescent="0.25">
      <c r="H754" t="s">
        <v>596</v>
      </c>
    </row>
    <row r="755" spans="8:8" x14ac:dyDescent="0.25">
      <c r="H755" t="s">
        <v>1269</v>
      </c>
    </row>
    <row r="757" spans="8:8" x14ac:dyDescent="0.25">
      <c r="H757" t="s">
        <v>825</v>
      </c>
    </row>
    <row r="758" spans="8:8" x14ac:dyDescent="0.25">
      <c r="H758" t="s">
        <v>596</v>
      </c>
    </row>
    <row r="759" spans="8:8" x14ac:dyDescent="0.25">
      <c r="H759" t="s">
        <v>1270</v>
      </c>
    </row>
    <row r="761" spans="8:8" x14ac:dyDescent="0.25">
      <c r="H761" t="s">
        <v>828</v>
      </c>
    </row>
    <row r="762" spans="8:8" x14ac:dyDescent="0.25">
      <c r="H762" t="s">
        <v>597</v>
      </c>
    </row>
    <row r="763" spans="8:8" x14ac:dyDescent="0.25">
      <c r="H763" t="s">
        <v>1271</v>
      </c>
    </row>
    <row r="765" spans="8:8" x14ac:dyDescent="0.25">
      <c r="H765" t="s">
        <v>827</v>
      </c>
    </row>
    <row r="766" spans="8:8" x14ac:dyDescent="0.25">
      <c r="H766" t="s">
        <v>597</v>
      </c>
    </row>
    <row r="767" spans="8:8" x14ac:dyDescent="0.25">
      <c r="H767" t="s">
        <v>1272</v>
      </c>
    </row>
    <row r="769" spans="8:8" x14ac:dyDescent="0.25">
      <c r="H769" t="s">
        <v>830</v>
      </c>
    </row>
    <row r="770" spans="8:8" x14ac:dyDescent="0.25">
      <c r="H770" t="s">
        <v>598</v>
      </c>
    </row>
    <row r="771" spans="8:8" x14ac:dyDescent="0.25">
      <c r="H771" t="s">
        <v>1273</v>
      </c>
    </row>
    <row r="773" spans="8:8" x14ac:dyDescent="0.25">
      <c r="H773" t="s">
        <v>829</v>
      </c>
    </row>
    <row r="774" spans="8:8" x14ac:dyDescent="0.25">
      <c r="H774" t="s">
        <v>598</v>
      </c>
    </row>
    <row r="775" spans="8:8" x14ac:dyDescent="0.25">
      <c r="H775" t="s">
        <v>1274</v>
      </c>
    </row>
    <row r="777" spans="8:8" x14ac:dyDescent="0.25">
      <c r="H777" t="s">
        <v>832</v>
      </c>
    </row>
    <row r="778" spans="8:8" x14ac:dyDescent="0.25">
      <c r="H778" t="s">
        <v>599</v>
      </c>
    </row>
    <row r="779" spans="8:8" x14ac:dyDescent="0.25">
      <c r="H779" t="s">
        <v>1275</v>
      </c>
    </row>
    <row r="781" spans="8:8" x14ac:dyDescent="0.25">
      <c r="H781" t="s">
        <v>831</v>
      </c>
    </row>
    <row r="782" spans="8:8" x14ac:dyDescent="0.25">
      <c r="H782" t="s">
        <v>599</v>
      </c>
    </row>
    <row r="783" spans="8:8" x14ac:dyDescent="0.25">
      <c r="H783" t="s">
        <v>1276</v>
      </c>
    </row>
    <row r="785" spans="8:8" x14ac:dyDescent="0.25">
      <c r="H785" t="s">
        <v>834</v>
      </c>
    </row>
    <row r="786" spans="8:8" x14ac:dyDescent="0.25">
      <c r="H786" t="s">
        <v>600</v>
      </c>
    </row>
    <row r="787" spans="8:8" x14ac:dyDescent="0.25">
      <c r="H787" t="s">
        <v>1277</v>
      </c>
    </row>
    <row r="789" spans="8:8" x14ac:dyDescent="0.25">
      <c r="H789" t="s">
        <v>833</v>
      </c>
    </row>
    <row r="790" spans="8:8" x14ac:dyDescent="0.25">
      <c r="H790" t="s">
        <v>600</v>
      </c>
    </row>
    <row r="791" spans="8:8" x14ac:dyDescent="0.25">
      <c r="H791" t="s">
        <v>1278</v>
      </c>
    </row>
    <row r="793" spans="8:8" x14ac:dyDescent="0.25">
      <c r="H793" t="s">
        <v>836</v>
      </c>
    </row>
    <row r="794" spans="8:8" x14ac:dyDescent="0.25">
      <c r="H794" t="s">
        <v>601</v>
      </c>
    </row>
    <row r="795" spans="8:8" x14ac:dyDescent="0.25">
      <c r="H795" t="s">
        <v>1279</v>
      </c>
    </row>
    <row r="797" spans="8:8" x14ac:dyDescent="0.25">
      <c r="H797" t="s">
        <v>835</v>
      </c>
    </row>
    <row r="798" spans="8:8" x14ac:dyDescent="0.25">
      <c r="H798" t="s">
        <v>601</v>
      </c>
    </row>
    <row r="799" spans="8:8" x14ac:dyDescent="0.25">
      <c r="H799" t="s">
        <v>1280</v>
      </c>
    </row>
    <row r="801" spans="8:8" x14ac:dyDescent="0.25">
      <c r="H801" t="s">
        <v>838</v>
      </c>
    </row>
    <row r="802" spans="8:8" x14ac:dyDescent="0.25">
      <c r="H802" t="s">
        <v>602</v>
      </c>
    </row>
    <row r="803" spans="8:8" x14ac:dyDescent="0.25">
      <c r="H803" t="s">
        <v>1281</v>
      </c>
    </row>
    <row r="805" spans="8:8" x14ac:dyDescent="0.25">
      <c r="H805" t="s">
        <v>837</v>
      </c>
    </row>
    <row r="806" spans="8:8" x14ac:dyDescent="0.25">
      <c r="H806" t="s">
        <v>602</v>
      </c>
    </row>
    <row r="807" spans="8:8" x14ac:dyDescent="0.25">
      <c r="H807" t="s">
        <v>1282</v>
      </c>
    </row>
    <row r="809" spans="8:8" x14ac:dyDescent="0.25">
      <c r="H809" t="s">
        <v>840</v>
      </c>
    </row>
    <row r="810" spans="8:8" x14ac:dyDescent="0.25">
      <c r="H810" t="s">
        <v>603</v>
      </c>
    </row>
    <row r="811" spans="8:8" x14ac:dyDescent="0.25">
      <c r="H811" t="s">
        <v>1283</v>
      </c>
    </row>
    <row r="813" spans="8:8" x14ac:dyDescent="0.25">
      <c r="H813" t="s">
        <v>839</v>
      </c>
    </row>
    <row r="814" spans="8:8" x14ac:dyDescent="0.25">
      <c r="H814" t="s">
        <v>603</v>
      </c>
    </row>
    <row r="815" spans="8:8" x14ac:dyDescent="0.25">
      <c r="H815" t="s">
        <v>1284</v>
      </c>
    </row>
    <row r="817" spans="8:8" x14ac:dyDescent="0.25">
      <c r="H817" t="s">
        <v>842</v>
      </c>
    </row>
    <row r="818" spans="8:8" x14ac:dyDescent="0.25">
      <c r="H818" t="s">
        <v>604</v>
      </c>
    </row>
    <row r="819" spans="8:8" x14ac:dyDescent="0.25">
      <c r="H819" t="s">
        <v>1285</v>
      </c>
    </row>
    <row r="821" spans="8:8" x14ac:dyDescent="0.25">
      <c r="H821" t="s">
        <v>841</v>
      </c>
    </row>
    <row r="822" spans="8:8" x14ac:dyDescent="0.25">
      <c r="H822" t="s">
        <v>604</v>
      </c>
    </row>
    <row r="823" spans="8:8" x14ac:dyDescent="0.25">
      <c r="H823" t="s">
        <v>1286</v>
      </c>
    </row>
    <row r="825" spans="8:8" x14ac:dyDescent="0.25">
      <c r="H825" t="s">
        <v>844</v>
      </c>
    </row>
    <row r="826" spans="8:8" x14ac:dyDescent="0.25">
      <c r="H826" t="s">
        <v>605</v>
      </c>
    </row>
    <row r="827" spans="8:8" x14ac:dyDescent="0.25">
      <c r="H827" t="s">
        <v>1287</v>
      </c>
    </row>
    <row r="829" spans="8:8" x14ac:dyDescent="0.25">
      <c r="H829" t="s">
        <v>843</v>
      </c>
    </row>
    <row r="830" spans="8:8" x14ac:dyDescent="0.25">
      <c r="H830" t="s">
        <v>605</v>
      </c>
    </row>
    <row r="831" spans="8:8" x14ac:dyDescent="0.25">
      <c r="H831" t="s">
        <v>1288</v>
      </c>
    </row>
    <row r="833" spans="8:8" x14ac:dyDescent="0.25">
      <c r="H833" t="s">
        <v>846</v>
      </c>
    </row>
    <row r="834" spans="8:8" x14ac:dyDescent="0.25">
      <c r="H834" t="s">
        <v>606</v>
      </c>
    </row>
    <row r="835" spans="8:8" x14ac:dyDescent="0.25">
      <c r="H835" t="s">
        <v>1289</v>
      </c>
    </row>
    <row r="837" spans="8:8" x14ac:dyDescent="0.25">
      <c r="H837" t="s">
        <v>845</v>
      </c>
    </row>
    <row r="838" spans="8:8" x14ac:dyDescent="0.25">
      <c r="H838" t="s">
        <v>606</v>
      </c>
    </row>
    <row r="839" spans="8:8" x14ac:dyDescent="0.25">
      <c r="H839" t="s">
        <v>1290</v>
      </c>
    </row>
    <row r="841" spans="8:8" x14ac:dyDescent="0.25">
      <c r="H841" t="s">
        <v>848</v>
      </c>
    </row>
    <row r="842" spans="8:8" x14ac:dyDescent="0.25">
      <c r="H842" t="s">
        <v>607</v>
      </c>
    </row>
    <row r="843" spans="8:8" x14ac:dyDescent="0.25">
      <c r="H843" t="s">
        <v>1291</v>
      </c>
    </row>
    <row r="845" spans="8:8" x14ac:dyDescent="0.25">
      <c r="H845" t="s">
        <v>847</v>
      </c>
    </row>
    <row r="846" spans="8:8" x14ac:dyDescent="0.25">
      <c r="H846" t="s">
        <v>607</v>
      </c>
    </row>
    <row r="847" spans="8:8" x14ac:dyDescent="0.25">
      <c r="H847" t="s">
        <v>1292</v>
      </c>
    </row>
    <row r="849" spans="8:8" x14ac:dyDescent="0.25">
      <c r="H849" t="s">
        <v>850</v>
      </c>
    </row>
    <row r="850" spans="8:8" x14ac:dyDescent="0.25">
      <c r="H850" t="s">
        <v>608</v>
      </c>
    </row>
    <row r="851" spans="8:8" x14ac:dyDescent="0.25">
      <c r="H851" t="s">
        <v>1293</v>
      </c>
    </row>
    <row r="853" spans="8:8" x14ac:dyDescent="0.25">
      <c r="H853" t="s">
        <v>849</v>
      </c>
    </row>
    <row r="854" spans="8:8" x14ac:dyDescent="0.25">
      <c r="H854" t="s">
        <v>608</v>
      </c>
    </row>
    <row r="855" spans="8:8" x14ac:dyDescent="0.25">
      <c r="H855" t="s">
        <v>1294</v>
      </c>
    </row>
    <row r="857" spans="8:8" x14ac:dyDescent="0.25">
      <c r="H857" t="s">
        <v>852</v>
      </c>
    </row>
    <row r="858" spans="8:8" x14ac:dyDescent="0.25">
      <c r="H858" t="s">
        <v>609</v>
      </c>
    </row>
    <row r="859" spans="8:8" x14ac:dyDescent="0.25">
      <c r="H859" t="s">
        <v>1295</v>
      </c>
    </row>
    <row r="861" spans="8:8" x14ac:dyDescent="0.25">
      <c r="H861" t="s">
        <v>851</v>
      </c>
    </row>
    <row r="862" spans="8:8" x14ac:dyDescent="0.25">
      <c r="H862" t="s">
        <v>609</v>
      </c>
    </row>
    <row r="863" spans="8:8" x14ac:dyDescent="0.25">
      <c r="H863" t="s">
        <v>1296</v>
      </c>
    </row>
    <row r="865" spans="8:8" x14ac:dyDescent="0.25">
      <c r="H865" t="s">
        <v>854</v>
      </c>
    </row>
    <row r="866" spans="8:8" x14ac:dyDescent="0.25">
      <c r="H866" t="s">
        <v>610</v>
      </c>
    </row>
    <row r="867" spans="8:8" x14ac:dyDescent="0.25">
      <c r="H867" t="s">
        <v>1297</v>
      </c>
    </row>
    <row r="869" spans="8:8" x14ac:dyDescent="0.25">
      <c r="H869" t="s">
        <v>853</v>
      </c>
    </row>
    <row r="870" spans="8:8" x14ac:dyDescent="0.25">
      <c r="H870" t="s">
        <v>610</v>
      </c>
    </row>
    <row r="871" spans="8:8" x14ac:dyDescent="0.25">
      <c r="H871" t="s">
        <v>1298</v>
      </c>
    </row>
    <row r="873" spans="8:8" x14ac:dyDescent="0.25">
      <c r="H873" t="s">
        <v>856</v>
      </c>
    </row>
    <row r="874" spans="8:8" x14ac:dyDescent="0.25">
      <c r="H874" t="s">
        <v>611</v>
      </c>
    </row>
    <row r="875" spans="8:8" x14ac:dyDescent="0.25">
      <c r="H875" t="s">
        <v>1299</v>
      </c>
    </row>
    <row r="877" spans="8:8" x14ac:dyDescent="0.25">
      <c r="H877" t="s">
        <v>855</v>
      </c>
    </row>
    <row r="878" spans="8:8" x14ac:dyDescent="0.25">
      <c r="H878" t="s">
        <v>611</v>
      </c>
    </row>
    <row r="879" spans="8:8" x14ac:dyDescent="0.25">
      <c r="H879" t="s">
        <v>1300</v>
      </c>
    </row>
    <row r="881" spans="8:8" x14ac:dyDescent="0.25">
      <c r="H881" t="s">
        <v>858</v>
      </c>
    </row>
    <row r="882" spans="8:8" x14ac:dyDescent="0.25">
      <c r="H882" t="s">
        <v>612</v>
      </c>
    </row>
    <row r="883" spans="8:8" x14ac:dyDescent="0.25">
      <c r="H883" t="s">
        <v>1301</v>
      </c>
    </row>
    <row r="885" spans="8:8" x14ac:dyDescent="0.25">
      <c r="H885" t="s">
        <v>857</v>
      </c>
    </row>
    <row r="886" spans="8:8" x14ac:dyDescent="0.25">
      <c r="H886" t="s">
        <v>612</v>
      </c>
    </row>
    <row r="887" spans="8:8" x14ac:dyDescent="0.25">
      <c r="H887" t="s">
        <v>1302</v>
      </c>
    </row>
    <row r="889" spans="8:8" x14ac:dyDescent="0.25">
      <c r="H889" t="s">
        <v>860</v>
      </c>
    </row>
    <row r="890" spans="8:8" x14ac:dyDescent="0.25">
      <c r="H890" t="s">
        <v>613</v>
      </c>
    </row>
    <row r="891" spans="8:8" x14ac:dyDescent="0.25">
      <c r="H891" t="s">
        <v>1303</v>
      </c>
    </row>
    <row r="893" spans="8:8" x14ac:dyDescent="0.25">
      <c r="H893" t="s">
        <v>859</v>
      </c>
    </row>
    <row r="894" spans="8:8" x14ac:dyDescent="0.25">
      <c r="H894" t="s">
        <v>613</v>
      </c>
    </row>
    <row r="895" spans="8:8" x14ac:dyDescent="0.25">
      <c r="H895" t="s">
        <v>1304</v>
      </c>
    </row>
    <row r="897" spans="8:8" x14ac:dyDescent="0.25">
      <c r="H897" t="s">
        <v>862</v>
      </c>
    </row>
    <row r="898" spans="8:8" x14ac:dyDescent="0.25">
      <c r="H898" t="s">
        <v>614</v>
      </c>
    </row>
    <row r="899" spans="8:8" x14ac:dyDescent="0.25">
      <c r="H899" t="s">
        <v>1305</v>
      </c>
    </row>
    <row r="901" spans="8:8" x14ac:dyDescent="0.25">
      <c r="H901" t="s">
        <v>861</v>
      </c>
    </row>
    <row r="902" spans="8:8" x14ac:dyDescent="0.25">
      <c r="H902" t="s">
        <v>614</v>
      </c>
    </row>
    <row r="903" spans="8:8" x14ac:dyDescent="0.25">
      <c r="H903" t="s">
        <v>1306</v>
      </c>
    </row>
    <row r="905" spans="8:8" x14ac:dyDescent="0.25">
      <c r="H905" t="s">
        <v>864</v>
      </c>
    </row>
    <row r="906" spans="8:8" x14ac:dyDescent="0.25">
      <c r="H906" t="s">
        <v>615</v>
      </c>
    </row>
    <row r="907" spans="8:8" x14ac:dyDescent="0.25">
      <c r="H907" t="s">
        <v>1307</v>
      </c>
    </row>
    <row r="909" spans="8:8" x14ac:dyDescent="0.25">
      <c r="H909" t="s">
        <v>863</v>
      </c>
    </row>
    <row r="910" spans="8:8" x14ac:dyDescent="0.25">
      <c r="H910" t="s">
        <v>615</v>
      </c>
    </row>
    <row r="911" spans="8:8" x14ac:dyDescent="0.25">
      <c r="H911" t="s">
        <v>1308</v>
      </c>
    </row>
    <row r="913" spans="8:8" x14ac:dyDescent="0.25">
      <c r="H913" t="s">
        <v>866</v>
      </c>
    </row>
    <row r="914" spans="8:8" x14ac:dyDescent="0.25">
      <c r="H914" t="s">
        <v>616</v>
      </c>
    </row>
    <row r="915" spans="8:8" x14ac:dyDescent="0.25">
      <c r="H915" t="s">
        <v>1309</v>
      </c>
    </row>
    <row r="917" spans="8:8" x14ac:dyDescent="0.25">
      <c r="H917" t="s">
        <v>865</v>
      </c>
    </row>
    <row r="918" spans="8:8" x14ac:dyDescent="0.25">
      <c r="H918" t="s">
        <v>616</v>
      </c>
    </row>
    <row r="919" spans="8:8" x14ac:dyDescent="0.25">
      <c r="H919" t="s">
        <v>1310</v>
      </c>
    </row>
    <row r="921" spans="8:8" x14ac:dyDescent="0.25">
      <c r="H921" t="s">
        <v>868</v>
      </c>
    </row>
    <row r="922" spans="8:8" x14ac:dyDescent="0.25">
      <c r="H922" t="s">
        <v>617</v>
      </c>
    </row>
    <row r="923" spans="8:8" x14ac:dyDescent="0.25">
      <c r="H923" t="s">
        <v>1311</v>
      </c>
    </row>
    <row r="925" spans="8:8" x14ac:dyDescent="0.25">
      <c r="H925" t="s">
        <v>867</v>
      </c>
    </row>
    <row r="926" spans="8:8" x14ac:dyDescent="0.25">
      <c r="H926" t="s">
        <v>617</v>
      </c>
    </row>
    <row r="927" spans="8:8" x14ac:dyDescent="0.25">
      <c r="H927" t="s">
        <v>1312</v>
      </c>
    </row>
    <row r="929" spans="8:8" x14ac:dyDescent="0.25">
      <c r="H929" t="s">
        <v>870</v>
      </c>
    </row>
    <row r="930" spans="8:8" x14ac:dyDescent="0.25">
      <c r="H930" t="s">
        <v>618</v>
      </c>
    </row>
    <row r="931" spans="8:8" x14ac:dyDescent="0.25">
      <c r="H931" t="s">
        <v>1313</v>
      </c>
    </row>
    <row r="933" spans="8:8" x14ac:dyDescent="0.25">
      <c r="H933" t="s">
        <v>869</v>
      </c>
    </row>
    <row r="934" spans="8:8" x14ac:dyDescent="0.25">
      <c r="H934" t="s">
        <v>618</v>
      </c>
    </row>
    <row r="935" spans="8:8" x14ac:dyDescent="0.25">
      <c r="H935" t="s">
        <v>1314</v>
      </c>
    </row>
    <row r="937" spans="8:8" x14ac:dyDescent="0.25">
      <c r="H937" t="s">
        <v>872</v>
      </c>
    </row>
    <row r="938" spans="8:8" x14ac:dyDescent="0.25">
      <c r="H938" t="s">
        <v>619</v>
      </c>
    </row>
    <row r="939" spans="8:8" x14ac:dyDescent="0.25">
      <c r="H939" t="s">
        <v>1315</v>
      </c>
    </row>
    <row r="941" spans="8:8" x14ac:dyDescent="0.25">
      <c r="H941" t="s">
        <v>871</v>
      </c>
    </row>
    <row r="942" spans="8:8" x14ac:dyDescent="0.25">
      <c r="H942" t="s">
        <v>619</v>
      </c>
    </row>
    <row r="943" spans="8:8" x14ac:dyDescent="0.25">
      <c r="H943" t="s">
        <v>1316</v>
      </c>
    </row>
    <row r="945" spans="8:8" x14ac:dyDescent="0.25">
      <c r="H945" t="s">
        <v>874</v>
      </c>
    </row>
    <row r="946" spans="8:8" x14ac:dyDescent="0.25">
      <c r="H946" t="s">
        <v>620</v>
      </c>
    </row>
    <row r="947" spans="8:8" x14ac:dyDescent="0.25">
      <c r="H947" t="s">
        <v>1317</v>
      </c>
    </row>
    <row r="949" spans="8:8" x14ac:dyDescent="0.25">
      <c r="H949" t="s">
        <v>873</v>
      </c>
    </row>
    <row r="950" spans="8:8" x14ac:dyDescent="0.25">
      <c r="H950" t="s">
        <v>620</v>
      </c>
    </row>
    <row r="951" spans="8:8" x14ac:dyDescent="0.25">
      <c r="H951" t="s">
        <v>1318</v>
      </c>
    </row>
    <row r="953" spans="8:8" x14ac:dyDescent="0.25">
      <c r="H953" t="s">
        <v>876</v>
      </c>
    </row>
    <row r="954" spans="8:8" x14ac:dyDescent="0.25">
      <c r="H954" t="s">
        <v>621</v>
      </c>
    </row>
    <row r="955" spans="8:8" x14ac:dyDescent="0.25">
      <c r="H955" t="s">
        <v>1319</v>
      </c>
    </row>
    <row r="957" spans="8:8" x14ac:dyDescent="0.25">
      <c r="H957" t="s">
        <v>875</v>
      </c>
    </row>
    <row r="958" spans="8:8" x14ac:dyDescent="0.25">
      <c r="H958" t="s">
        <v>621</v>
      </c>
    </row>
    <row r="959" spans="8:8" x14ac:dyDescent="0.25">
      <c r="H959" t="s">
        <v>1320</v>
      </c>
    </row>
    <row r="961" spans="8:8" x14ac:dyDescent="0.25">
      <c r="H961" t="s">
        <v>878</v>
      </c>
    </row>
    <row r="962" spans="8:8" x14ac:dyDescent="0.25">
      <c r="H962" t="s">
        <v>622</v>
      </c>
    </row>
    <row r="963" spans="8:8" x14ac:dyDescent="0.25">
      <c r="H963" t="s">
        <v>1321</v>
      </c>
    </row>
    <row r="965" spans="8:8" x14ac:dyDescent="0.25">
      <c r="H965" t="s">
        <v>877</v>
      </c>
    </row>
    <row r="966" spans="8:8" x14ac:dyDescent="0.25">
      <c r="H966" t="s">
        <v>622</v>
      </c>
    </row>
    <row r="967" spans="8:8" x14ac:dyDescent="0.25">
      <c r="H967" t="s">
        <v>1322</v>
      </c>
    </row>
    <row r="969" spans="8:8" x14ac:dyDescent="0.25">
      <c r="H969" t="s">
        <v>880</v>
      </c>
    </row>
    <row r="970" spans="8:8" x14ac:dyDescent="0.25">
      <c r="H970" t="s">
        <v>623</v>
      </c>
    </row>
    <row r="971" spans="8:8" x14ac:dyDescent="0.25">
      <c r="H971" t="s">
        <v>1323</v>
      </c>
    </row>
    <row r="973" spans="8:8" x14ac:dyDescent="0.25">
      <c r="H973" t="s">
        <v>879</v>
      </c>
    </row>
    <row r="974" spans="8:8" x14ac:dyDescent="0.25">
      <c r="H974" t="s">
        <v>623</v>
      </c>
    </row>
    <row r="975" spans="8:8" x14ac:dyDescent="0.25">
      <c r="H975" t="s">
        <v>1324</v>
      </c>
    </row>
    <row r="977" spans="8:8" x14ac:dyDescent="0.25">
      <c r="H977" t="s">
        <v>882</v>
      </c>
    </row>
    <row r="978" spans="8:8" x14ac:dyDescent="0.25">
      <c r="H978" t="s">
        <v>624</v>
      </c>
    </row>
    <row r="979" spans="8:8" x14ac:dyDescent="0.25">
      <c r="H979" t="s">
        <v>1325</v>
      </c>
    </row>
    <row r="981" spans="8:8" x14ac:dyDescent="0.25">
      <c r="H981" t="s">
        <v>881</v>
      </c>
    </row>
    <row r="982" spans="8:8" x14ac:dyDescent="0.25">
      <c r="H982" t="s">
        <v>624</v>
      </c>
    </row>
    <row r="983" spans="8:8" x14ac:dyDescent="0.25">
      <c r="H983" t="s">
        <v>1326</v>
      </c>
    </row>
    <row r="985" spans="8:8" x14ac:dyDescent="0.25">
      <c r="H985" t="s">
        <v>884</v>
      </c>
    </row>
    <row r="986" spans="8:8" x14ac:dyDescent="0.25">
      <c r="H986" t="s">
        <v>625</v>
      </c>
    </row>
    <row r="987" spans="8:8" x14ac:dyDescent="0.25">
      <c r="H987" t="s">
        <v>1327</v>
      </c>
    </row>
    <row r="989" spans="8:8" x14ac:dyDescent="0.25">
      <c r="H989" t="s">
        <v>883</v>
      </c>
    </row>
    <row r="990" spans="8:8" x14ac:dyDescent="0.25">
      <c r="H990" t="s">
        <v>625</v>
      </c>
    </row>
    <row r="991" spans="8:8" x14ac:dyDescent="0.25">
      <c r="H991" t="s">
        <v>1328</v>
      </c>
    </row>
    <row r="993" spans="8:8" x14ac:dyDescent="0.25">
      <c r="H993" t="s">
        <v>886</v>
      </c>
    </row>
    <row r="994" spans="8:8" x14ac:dyDescent="0.25">
      <c r="H994" t="s">
        <v>626</v>
      </c>
    </row>
    <row r="995" spans="8:8" x14ac:dyDescent="0.25">
      <c r="H995" t="s">
        <v>1329</v>
      </c>
    </row>
    <row r="997" spans="8:8" x14ac:dyDescent="0.25">
      <c r="H997" t="s">
        <v>885</v>
      </c>
    </row>
    <row r="998" spans="8:8" x14ac:dyDescent="0.25">
      <c r="H998" t="s">
        <v>626</v>
      </c>
    </row>
    <row r="999" spans="8:8" x14ac:dyDescent="0.25">
      <c r="H999" t="s">
        <v>1330</v>
      </c>
    </row>
    <row r="1001" spans="8:8" x14ac:dyDescent="0.25">
      <c r="H1001" t="s">
        <v>888</v>
      </c>
    </row>
    <row r="1002" spans="8:8" x14ac:dyDescent="0.25">
      <c r="H1002" t="s">
        <v>627</v>
      </c>
    </row>
    <row r="1003" spans="8:8" x14ac:dyDescent="0.25">
      <c r="H1003" t="s">
        <v>1331</v>
      </c>
    </row>
    <row r="1005" spans="8:8" x14ac:dyDescent="0.25">
      <c r="H1005" t="s">
        <v>887</v>
      </c>
    </row>
    <row r="1006" spans="8:8" x14ac:dyDescent="0.25">
      <c r="H1006" t="s">
        <v>627</v>
      </c>
    </row>
    <row r="1007" spans="8:8" x14ac:dyDescent="0.25">
      <c r="H1007" t="s">
        <v>1332</v>
      </c>
    </row>
    <row r="1009" spans="8:8" x14ac:dyDescent="0.25">
      <c r="H1009" t="s">
        <v>890</v>
      </c>
    </row>
    <row r="1010" spans="8:8" x14ac:dyDescent="0.25">
      <c r="H1010" t="s">
        <v>628</v>
      </c>
    </row>
    <row r="1011" spans="8:8" x14ac:dyDescent="0.25">
      <c r="H1011" t="s">
        <v>1333</v>
      </c>
    </row>
    <row r="1013" spans="8:8" x14ac:dyDescent="0.25">
      <c r="H1013" t="s">
        <v>889</v>
      </c>
    </row>
    <row r="1014" spans="8:8" x14ac:dyDescent="0.25">
      <c r="H1014" t="s">
        <v>628</v>
      </c>
    </row>
    <row r="1015" spans="8:8" x14ac:dyDescent="0.25">
      <c r="H1015" t="s">
        <v>1334</v>
      </c>
    </row>
    <row r="1017" spans="8:8" x14ac:dyDescent="0.25">
      <c r="H1017" t="s">
        <v>892</v>
      </c>
    </row>
    <row r="1018" spans="8:8" x14ac:dyDescent="0.25">
      <c r="H1018" t="s">
        <v>629</v>
      </c>
    </row>
    <row r="1019" spans="8:8" x14ac:dyDescent="0.25">
      <c r="H1019" t="s">
        <v>1335</v>
      </c>
    </row>
    <row r="1021" spans="8:8" x14ac:dyDescent="0.25">
      <c r="H1021" t="s">
        <v>891</v>
      </c>
    </row>
    <row r="1022" spans="8:8" x14ac:dyDescent="0.25">
      <c r="H1022" t="s">
        <v>629</v>
      </c>
    </row>
    <row r="1023" spans="8:8" x14ac:dyDescent="0.25">
      <c r="H1023" t="s">
        <v>1336</v>
      </c>
    </row>
    <row r="1025" spans="8:8" x14ac:dyDescent="0.25">
      <c r="H1025" t="s">
        <v>896</v>
      </c>
    </row>
    <row r="1026" spans="8:8" x14ac:dyDescent="0.25">
      <c r="H1026" t="s">
        <v>639</v>
      </c>
    </row>
    <row r="1027" spans="8:8" x14ac:dyDescent="0.25">
      <c r="H1027" t="s">
        <v>1337</v>
      </c>
    </row>
    <row r="1028" spans="8:8" x14ac:dyDescent="0.25">
      <c r="H1028" t="s">
        <v>632</v>
      </c>
    </row>
    <row r="1029" spans="8:8" x14ac:dyDescent="0.25">
      <c r="H1029" t="s">
        <v>1338</v>
      </c>
    </row>
    <row r="1031" spans="8:8" x14ac:dyDescent="0.25">
      <c r="H1031" t="s">
        <v>900</v>
      </c>
    </row>
    <row r="1032" spans="8:8" x14ac:dyDescent="0.25">
      <c r="H1032" t="s">
        <v>641</v>
      </c>
    </row>
    <row r="1033" spans="8:8" x14ac:dyDescent="0.25">
      <c r="H1033" t="s">
        <v>1339</v>
      </c>
    </row>
    <row r="1034" spans="8:8" x14ac:dyDescent="0.25">
      <c r="H1034" t="s">
        <v>642</v>
      </c>
    </row>
    <row r="1035" spans="8:8" x14ac:dyDescent="0.25">
      <c r="H1035" t="s">
        <v>1340</v>
      </c>
    </row>
    <row r="1036" spans="8:8" x14ac:dyDescent="0.25">
      <c r="H1036" t="s">
        <v>641</v>
      </c>
    </row>
    <row r="1037" spans="8:8" x14ac:dyDescent="0.25">
      <c r="H1037" t="s">
        <v>1341</v>
      </c>
    </row>
    <row r="1039" spans="8:8" x14ac:dyDescent="0.25">
      <c r="H1039" t="s">
        <v>904</v>
      </c>
    </row>
    <row r="1040" spans="8:8" x14ac:dyDescent="0.25">
      <c r="H1040" t="s">
        <v>644</v>
      </c>
    </row>
    <row r="1041" spans="8:8" x14ac:dyDescent="0.25">
      <c r="H1041" t="s">
        <v>1342</v>
      </c>
    </row>
    <row r="1043" spans="8:8" x14ac:dyDescent="0.25">
      <c r="H1043" t="s">
        <v>903</v>
      </c>
    </row>
    <row r="1044" spans="8:8" x14ac:dyDescent="0.25">
      <c r="H1044" t="s">
        <v>644</v>
      </c>
    </row>
    <row r="1045" spans="8:8" x14ac:dyDescent="0.25">
      <c r="H1045" t="s">
        <v>1343</v>
      </c>
    </row>
    <row r="1047" spans="8:8" x14ac:dyDescent="0.25">
      <c r="H1047" t="s">
        <v>902</v>
      </c>
    </row>
    <row r="1048" spans="8:8" x14ac:dyDescent="0.25">
      <c r="H1048" t="s">
        <v>644</v>
      </c>
    </row>
    <row r="1049" spans="8:8" x14ac:dyDescent="0.25">
      <c r="H1049" t="s">
        <v>1344</v>
      </c>
    </row>
    <row r="1050" spans="8:8" x14ac:dyDescent="0.25">
      <c r="H1050" t="s">
        <v>644</v>
      </c>
    </row>
    <row r="1051" spans="8:8" x14ac:dyDescent="0.25">
      <c r="H1051" t="s">
        <v>1345</v>
      </c>
    </row>
    <row r="1053" spans="8:8" x14ac:dyDescent="0.25">
      <c r="H1053" t="s">
        <v>908</v>
      </c>
    </row>
    <row r="1054" spans="8:8" x14ac:dyDescent="0.25">
      <c r="H1054" t="s">
        <v>649</v>
      </c>
    </row>
    <row r="1055" spans="8:8" x14ac:dyDescent="0.25">
      <c r="H1055" t="s">
        <v>1346</v>
      </c>
    </row>
    <row r="1057" spans="8:8" x14ac:dyDescent="0.25">
      <c r="H1057" t="s">
        <v>907</v>
      </c>
    </row>
    <row r="1058" spans="8:8" x14ac:dyDescent="0.25">
      <c r="H1058" t="s">
        <v>1041</v>
      </c>
    </row>
    <row r="1059" spans="8:8" x14ac:dyDescent="0.25">
      <c r="H1059" t="s">
        <v>1347</v>
      </c>
    </row>
    <row r="1060" spans="8:8" x14ac:dyDescent="0.25">
      <c r="H1060" t="s">
        <v>649</v>
      </c>
    </row>
    <row r="1061" spans="8:8" x14ac:dyDescent="0.25">
      <c r="H1061" t="s">
        <v>1348</v>
      </c>
    </row>
    <row r="1063" spans="8:8" x14ac:dyDescent="0.25">
      <c r="H1063" t="s">
        <v>906</v>
      </c>
    </row>
    <row r="1064" spans="8:8" x14ac:dyDescent="0.25">
      <c r="H1064" t="s">
        <v>1040</v>
      </c>
    </row>
    <row r="1065" spans="8:8" x14ac:dyDescent="0.25">
      <c r="H1065" t="s">
        <v>1349</v>
      </c>
    </row>
    <row r="1066" spans="8:8" x14ac:dyDescent="0.25">
      <c r="H1066" t="s">
        <v>1041</v>
      </c>
    </row>
    <row r="1067" spans="8:8" x14ac:dyDescent="0.25">
      <c r="H1067" t="s">
        <v>1350</v>
      </c>
    </row>
    <row r="1069" spans="8:8" x14ac:dyDescent="0.25">
      <c r="H1069" t="s">
        <v>905</v>
      </c>
    </row>
    <row r="1070" spans="8:8" x14ac:dyDescent="0.25">
      <c r="H1070" t="s">
        <v>1039</v>
      </c>
    </row>
    <row r="1071" spans="8:8" x14ac:dyDescent="0.25">
      <c r="H1071" t="s">
        <v>1351</v>
      </c>
    </row>
    <row r="1073" spans="8:8" x14ac:dyDescent="0.25">
      <c r="H1073" t="s">
        <v>15</v>
      </c>
    </row>
    <row r="1074" spans="8:8" x14ac:dyDescent="0.25">
      <c r="H1074" t="s">
        <v>21</v>
      </c>
    </row>
    <row r="1076" spans="8:8" x14ac:dyDescent="0.25">
      <c r="H1076" t="s">
        <v>16</v>
      </c>
    </row>
    <row r="1077" spans="8:8" x14ac:dyDescent="0.25">
      <c r="H1077" s="11" t="s">
        <v>61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"/>
  <sheetViews>
    <sheetView workbookViewId="0">
      <selection activeCell="BA502" sqref="BA502:BA668"/>
    </sheetView>
  </sheetViews>
  <sheetFormatPr defaultRowHeight="15" x14ac:dyDescent="0.25"/>
  <sheetData/>
  <sortState xmlns:xlrd2="http://schemas.microsoft.com/office/spreadsheetml/2017/richdata2" ref="A1:BA668">
    <sortCondition ref="AW1"/>
    <sortCondition ref="AY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Main</vt:lpstr>
      <vt:lpstr>Tables</vt:lpstr>
      <vt:lpstr>Read Case</vt:lpstr>
      <vt:lpstr>Write Case</vt:lpstr>
      <vt:lpstr>Temp</vt:lpstr>
      <vt:lpstr>Main!_FilterDatabase</vt:lpstr>
      <vt:lpstr>tableMainColumns</vt:lpstr>
      <vt:lpstr>tableMainColumnsColumn</vt:lpstr>
      <vt:lpstr>tableMainColumnsName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2020-05-22T05:23:45Z</dcterms:modified>
</cp:coreProperties>
</file>