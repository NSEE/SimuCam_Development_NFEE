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4\FPGA_Developments\Synchronization_COMM\References\"/>
    </mc:Choice>
  </mc:AlternateContent>
  <xr:revisionPtr revIDLastSave="0" documentId="13_ncr:1_{03B94230-803A-4CFB-8D52-37BEEF2E2C84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Main!$B$3:$AH$60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53" i="1" l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/>
  <c r="Q7" i="1"/>
  <c r="R6" i="1"/>
  <c r="S6" i="1" s="1"/>
  <c r="Q6" i="1"/>
  <c r="Z6" i="1" l="1"/>
  <c r="S7" i="1"/>
  <c r="Y6" i="1"/>
  <c r="U6" i="1"/>
  <c r="V6" i="1" s="1"/>
  <c r="X6" i="1"/>
  <c r="T6" i="1"/>
  <c r="W6" i="1"/>
  <c r="Q5" i="1"/>
  <c r="R5" i="1"/>
  <c r="AE6" i="1" l="1"/>
  <c r="AA6" i="1"/>
  <c r="AG6" i="1"/>
  <c r="AC6" i="1"/>
  <c r="Z7" i="1"/>
  <c r="S8" i="1"/>
  <c r="Y7" i="1"/>
  <c r="X7" i="1"/>
  <c r="W7" i="1"/>
  <c r="U7" i="1"/>
  <c r="V7" i="1" s="1"/>
  <c r="T7" i="1"/>
  <c r="AF6" i="1"/>
  <c r="AB6" i="1"/>
  <c r="AH6" i="1"/>
  <c r="AD6" i="1"/>
  <c r="Y4" i="1"/>
  <c r="Z4" i="1"/>
  <c r="X4" i="1"/>
  <c r="W4" i="1"/>
  <c r="U4" i="1"/>
  <c r="AA7" i="1" l="1"/>
  <c r="AE7" i="1"/>
  <c r="AH7" i="1"/>
  <c r="AD7" i="1"/>
  <c r="AB7" i="1"/>
  <c r="AF7" i="1"/>
  <c r="AC7" i="1"/>
  <c r="AG7" i="1"/>
  <c r="X8" i="1"/>
  <c r="T8" i="1"/>
  <c r="S9" i="1"/>
  <c r="Z8" i="1"/>
  <c r="U8" i="1"/>
  <c r="V8" i="1" s="1"/>
  <c r="Y8" i="1"/>
  <c r="W8" i="1"/>
  <c r="V4" i="1"/>
  <c r="Q4" i="1"/>
  <c r="T4" i="1"/>
  <c r="AH8" i="1" l="1"/>
  <c r="AD8" i="1"/>
  <c r="AE8" i="1"/>
  <c r="AA8" i="1"/>
  <c r="Z9" i="1"/>
  <c r="S10" i="1"/>
  <c r="Y9" i="1"/>
  <c r="U9" i="1"/>
  <c r="V9" i="1" s="1"/>
  <c r="X9" i="1"/>
  <c r="W9" i="1"/>
  <c r="T9" i="1"/>
  <c r="AG8" i="1"/>
  <c r="AC8" i="1"/>
  <c r="AF8" i="1"/>
  <c r="AB8" i="1"/>
  <c r="AG4" i="1"/>
  <c r="AC4" i="1"/>
  <c r="AD4" i="1"/>
  <c r="AH4" i="1"/>
  <c r="AG9" i="1" l="1"/>
  <c r="AC9" i="1"/>
  <c r="AA9" i="1"/>
  <c r="AE9" i="1"/>
  <c r="X10" i="1"/>
  <c r="T10" i="1"/>
  <c r="W10" i="1"/>
  <c r="U10" i="1"/>
  <c r="V10" i="1" s="1"/>
  <c r="Z10" i="1"/>
  <c r="S11" i="1"/>
  <c r="Y10" i="1"/>
  <c r="AF9" i="1"/>
  <c r="AB9" i="1"/>
  <c r="AH9" i="1"/>
  <c r="AD9" i="1"/>
  <c r="AF4" i="1"/>
  <c r="AB4" i="1"/>
  <c r="AC10" i="1" l="1"/>
  <c r="AG10" i="1"/>
  <c r="AE10" i="1"/>
  <c r="AA10" i="1"/>
  <c r="Z11" i="1"/>
  <c r="S12" i="1"/>
  <c r="Y11" i="1"/>
  <c r="U11" i="1"/>
  <c r="V11" i="1" s="1"/>
  <c r="X11" i="1"/>
  <c r="W11" i="1"/>
  <c r="T11" i="1"/>
  <c r="AD10" i="1"/>
  <c r="AH10" i="1"/>
  <c r="AF10" i="1"/>
  <c r="AB10" i="1"/>
  <c r="AE4" i="1"/>
  <c r="AA4" i="1"/>
  <c r="AG11" i="1" l="1"/>
  <c r="AC11" i="1"/>
  <c r="AE11" i="1"/>
  <c r="AA11" i="1"/>
  <c r="X12" i="1"/>
  <c r="T12" i="1"/>
  <c r="W12" i="1"/>
  <c r="S13" i="1"/>
  <c r="Y12" i="1"/>
  <c r="U12" i="1"/>
  <c r="V12" i="1" s="1"/>
  <c r="Z12" i="1"/>
  <c r="AF11" i="1"/>
  <c r="AB11" i="1"/>
  <c r="AH11" i="1"/>
  <c r="AD11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AG12" i="1" l="1"/>
  <c r="AC12" i="1"/>
  <c r="AF12" i="1"/>
  <c r="AB12" i="1"/>
  <c r="Z13" i="1"/>
  <c r="S14" i="1"/>
  <c r="Y13" i="1"/>
  <c r="U13" i="1"/>
  <c r="V13" i="1" s="1"/>
  <c r="W13" i="1"/>
  <c r="T13" i="1"/>
  <c r="X13" i="1"/>
  <c r="AH12" i="1"/>
  <c r="AD12" i="1"/>
  <c r="AE12" i="1"/>
  <c r="AA12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AA13" i="1" l="1"/>
  <c r="AE13" i="1"/>
  <c r="AH13" i="1"/>
  <c r="AD13" i="1"/>
  <c r="AB13" i="1"/>
  <c r="AF13" i="1"/>
  <c r="AG13" i="1"/>
  <c r="AC13" i="1"/>
  <c r="X14" i="1"/>
  <c r="T14" i="1"/>
  <c r="W14" i="1"/>
  <c r="U14" i="1"/>
  <c r="V14" i="1" s="1"/>
  <c r="Z14" i="1"/>
  <c r="S15" i="1"/>
  <c r="Y14" i="1"/>
  <c r="R4" i="1"/>
  <c r="S5" i="1" s="1"/>
  <c r="AC14" i="1" l="1"/>
  <c r="AG14" i="1"/>
  <c r="AE14" i="1"/>
  <c r="AA14" i="1"/>
  <c r="Z15" i="1"/>
  <c r="S16" i="1"/>
  <c r="Y15" i="1"/>
  <c r="U15" i="1"/>
  <c r="V15" i="1" s="1"/>
  <c r="W15" i="1"/>
  <c r="T15" i="1"/>
  <c r="X15" i="1"/>
  <c r="AH14" i="1"/>
  <c r="AD14" i="1"/>
  <c r="AF14" i="1"/>
  <c r="AB14" i="1"/>
  <c r="Z5" i="1"/>
  <c r="T5" i="1"/>
  <c r="X5" i="1"/>
  <c r="W5" i="1"/>
  <c r="U5" i="1"/>
  <c r="V5" i="1" s="1"/>
  <c r="Y5" i="1"/>
  <c r="AE15" i="1" l="1"/>
  <c r="AA15" i="1"/>
  <c r="AH15" i="1"/>
  <c r="AD15" i="1"/>
  <c r="AB15" i="1"/>
  <c r="AF15" i="1"/>
  <c r="AG15" i="1"/>
  <c r="AC15" i="1"/>
  <c r="X16" i="1"/>
  <c r="T16" i="1"/>
  <c r="W16" i="1"/>
  <c r="S17" i="1"/>
  <c r="Y16" i="1"/>
  <c r="U16" i="1"/>
  <c r="V16" i="1" s="1"/>
  <c r="Z16" i="1"/>
  <c r="AG5" i="1"/>
  <c r="AC5" i="1"/>
  <c r="AE5" i="1"/>
  <c r="AA5" i="1"/>
  <c r="AF5" i="1"/>
  <c r="AB5" i="1"/>
  <c r="AH5" i="1"/>
  <c r="AD5" i="1"/>
  <c r="Z17" i="1" l="1"/>
  <c r="S18" i="1"/>
  <c r="Y17" i="1"/>
  <c r="U17" i="1"/>
  <c r="V17" i="1" s="1"/>
  <c r="W17" i="1"/>
  <c r="T17" i="1"/>
  <c r="X17" i="1"/>
  <c r="AH16" i="1"/>
  <c r="AD16" i="1"/>
  <c r="AE16" i="1"/>
  <c r="AA16" i="1"/>
  <c r="AG16" i="1"/>
  <c r="AC16" i="1"/>
  <c r="AF16" i="1"/>
  <c r="AB16" i="1"/>
  <c r="AA17" i="1" l="1"/>
  <c r="AE17" i="1"/>
  <c r="AH17" i="1"/>
  <c r="AD17" i="1"/>
  <c r="AB17" i="1"/>
  <c r="AF17" i="1"/>
  <c r="AG17" i="1"/>
  <c r="AC17" i="1"/>
  <c r="X18" i="1"/>
  <c r="T18" i="1"/>
  <c r="W18" i="1"/>
  <c r="U18" i="1"/>
  <c r="V18" i="1" s="1"/>
  <c r="Z18" i="1"/>
  <c r="S19" i="1"/>
  <c r="Y18" i="1"/>
  <c r="AG18" i="1" l="1"/>
  <c r="AC18" i="1"/>
  <c r="AE18" i="1"/>
  <c r="AA18" i="1"/>
  <c r="AD18" i="1"/>
  <c r="AH18" i="1"/>
  <c r="AF18" i="1"/>
  <c r="AB18" i="1"/>
  <c r="Z19" i="1"/>
  <c r="S20" i="1"/>
  <c r="Y19" i="1"/>
  <c r="U19" i="1"/>
  <c r="V19" i="1" s="1"/>
  <c r="X19" i="1"/>
  <c r="W19" i="1"/>
  <c r="T19" i="1"/>
  <c r="X20" i="1" l="1"/>
  <c r="T20" i="1"/>
  <c r="W20" i="1"/>
  <c r="U20" i="1"/>
  <c r="V20" i="1" s="1"/>
  <c r="Z20" i="1"/>
  <c r="S21" i="1"/>
  <c r="Y20" i="1"/>
  <c r="AG19" i="1"/>
  <c r="AC19" i="1"/>
  <c r="AA19" i="1"/>
  <c r="AE19" i="1"/>
  <c r="AF19" i="1"/>
  <c r="AB19" i="1"/>
  <c r="AH19" i="1"/>
  <c r="AD19" i="1"/>
  <c r="AD20" i="1" l="1"/>
  <c r="AH20" i="1"/>
  <c r="AF20" i="1"/>
  <c r="AB20" i="1"/>
  <c r="AC20" i="1"/>
  <c r="AG20" i="1"/>
  <c r="AE20" i="1"/>
  <c r="AA20" i="1"/>
  <c r="Z21" i="1"/>
  <c r="S22" i="1"/>
  <c r="Y21" i="1"/>
  <c r="U21" i="1"/>
  <c r="V21" i="1" s="1"/>
  <c r="X21" i="1"/>
  <c r="W21" i="1"/>
  <c r="T21" i="1"/>
  <c r="X22" i="1" l="1"/>
  <c r="T22" i="1"/>
  <c r="W22" i="1"/>
  <c r="S23" i="1"/>
  <c r="U22" i="1"/>
  <c r="V22" i="1" s="1"/>
  <c r="Z22" i="1"/>
  <c r="Y22" i="1"/>
  <c r="AF21" i="1"/>
  <c r="AB21" i="1"/>
  <c r="AG21" i="1"/>
  <c r="AC21" i="1"/>
  <c r="AE21" i="1"/>
  <c r="AA21" i="1"/>
  <c r="AH21" i="1"/>
  <c r="AD21" i="1"/>
  <c r="S24" i="1" l="1"/>
  <c r="Y23" i="1"/>
  <c r="Z23" i="1"/>
  <c r="U23" i="1"/>
  <c r="V23" i="1" s="1"/>
  <c r="X23" i="1"/>
  <c r="W23" i="1"/>
  <c r="T23" i="1"/>
  <c r="AG22" i="1"/>
  <c r="AC22" i="1"/>
  <c r="AE22" i="1"/>
  <c r="AA22" i="1"/>
  <c r="AF22" i="1"/>
  <c r="AB22" i="1"/>
  <c r="AD22" i="1"/>
  <c r="AH22" i="1"/>
  <c r="AH23" i="1" l="1"/>
  <c r="AD23" i="1"/>
  <c r="AA23" i="1"/>
  <c r="AE23" i="1"/>
  <c r="AG23" i="1"/>
  <c r="AC23" i="1"/>
  <c r="AF23" i="1"/>
  <c r="AB23" i="1"/>
  <c r="W24" i="1"/>
  <c r="Y24" i="1"/>
  <c r="T24" i="1"/>
  <c r="X24" i="1"/>
  <c r="Z24" i="1"/>
  <c r="S25" i="1"/>
  <c r="U24" i="1"/>
  <c r="V24" i="1" s="1"/>
  <c r="AE24" i="1" l="1"/>
  <c r="AA24" i="1"/>
  <c r="AF24" i="1"/>
  <c r="AB24" i="1"/>
  <c r="AD24" i="1"/>
  <c r="AH24" i="1"/>
  <c r="S26" i="1"/>
  <c r="Y25" i="1"/>
  <c r="U25" i="1"/>
  <c r="V25" i="1" s="1"/>
  <c r="Z25" i="1"/>
  <c r="T25" i="1"/>
  <c r="X25" i="1"/>
  <c r="W25" i="1"/>
  <c r="AC24" i="1"/>
  <c r="AG24" i="1"/>
  <c r="AF25" i="1" l="1"/>
  <c r="AB25" i="1"/>
  <c r="W26" i="1"/>
  <c r="Y26" i="1"/>
  <c r="T26" i="1"/>
  <c r="X26" i="1"/>
  <c r="Z26" i="1"/>
  <c r="S27" i="1"/>
  <c r="U26" i="1"/>
  <c r="V26" i="1" s="1"/>
  <c r="AA25" i="1"/>
  <c r="AE25" i="1"/>
  <c r="AG25" i="1"/>
  <c r="AC25" i="1"/>
  <c r="AH25" i="1"/>
  <c r="AD25" i="1"/>
  <c r="S28" i="1" l="1"/>
  <c r="Y27" i="1"/>
  <c r="U27" i="1"/>
  <c r="V27" i="1" s="1"/>
  <c r="Z27" i="1"/>
  <c r="T27" i="1"/>
  <c r="X27" i="1"/>
  <c r="W27" i="1"/>
  <c r="AC26" i="1"/>
  <c r="AG26" i="1"/>
  <c r="AD26" i="1"/>
  <c r="AH26" i="1"/>
  <c r="AE26" i="1"/>
  <c r="AA26" i="1"/>
  <c r="AB26" i="1"/>
  <c r="AF26" i="1"/>
  <c r="AH27" i="1" l="1"/>
  <c r="AD27" i="1"/>
  <c r="AA27" i="1"/>
  <c r="AE27" i="1"/>
  <c r="AF27" i="1"/>
  <c r="AB27" i="1"/>
  <c r="AG27" i="1"/>
  <c r="AC27" i="1"/>
  <c r="W28" i="1"/>
  <c r="Z28" i="1"/>
  <c r="T28" i="1"/>
  <c r="Y28" i="1"/>
  <c r="S29" i="1"/>
  <c r="X28" i="1"/>
  <c r="U28" i="1"/>
  <c r="V28" i="1" s="1"/>
  <c r="AG28" i="1" l="1"/>
  <c r="AC28" i="1"/>
  <c r="AB28" i="1"/>
  <c r="AF28" i="1"/>
  <c r="AH28" i="1"/>
  <c r="AD28" i="1"/>
  <c r="S30" i="1"/>
  <c r="Y29" i="1"/>
  <c r="U29" i="1"/>
  <c r="V29" i="1" s="1"/>
  <c r="X29" i="1"/>
  <c r="T29" i="1"/>
  <c r="Z29" i="1"/>
  <c r="W29" i="1"/>
  <c r="AE28" i="1"/>
  <c r="AA28" i="1"/>
  <c r="W30" i="1" l="1"/>
  <c r="Z30" i="1"/>
  <c r="U30" i="1"/>
  <c r="V30" i="1" s="1"/>
  <c r="T30" i="1"/>
  <c r="Y30" i="1"/>
  <c r="S31" i="1"/>
  <c r="X30" i="1"/>
  <c r="AH29" i="1"/>
  <c r="AD29" i="1"/>
  <c r="AF29" i="1"/>
  <c r="AB29" i="1"/>
  <c r="AG29" i="1"/>
  <c r="AC29" i="1"/>
  <c r="AE29" i="1"/>
  <c r="AA29" i="1"/>
  <c r="AB30" i="1" l="1"/>
  <c r="AF30" i="1"/>
  <c r="S32" i="1"/>
  <c r="Y31" i="1"/>
  <c r="U31" i="1"/>
  <c r="V31" i="1" s="1"/>
  <c r="X31" i="1"/>
  <c r="T31" i="1"/>
  <c r="Z31" i="1"/>
  <c r="W31" i="1"/>
  <c r="AH30" i="1"/>
  <c r="AD30" i="1"/>
  <c r="AC30" i="1"/>
  <c r="AG30" i="1"/>
  <c r="AE30" i="1"/>
  <c r="AA30" i="1"/>
  <c r="AH31" i="1" l="1"/>
  <c r="AD31" i="1"/>
  <c r="W32" i="1"/>
  <c r="Z32" i="1"/>
  <c r="U32" i="1"/>
  <c r="V32" i="1" s="1"/>
  <c r="S33" i="1"/>
  <c r="T32" i="1"/>
  <c r="Y32" i="1"/>
  <c r="X32" i="1"/>
  <c r="AG31" i="1"/>
  <c r="AC31" i="1"/>
  <c r="AF31" i="1"/>
  <c r="AB31" i="1"/>
  <c r="AE31" i="1"/>
  <c r="AA31" i="1"/>
  <c r="AD32" i="1" l="1"/>
  <c r="AH32" i="1"/>
  <c r="AE32" i="1"/>
  <c r="AA32" i="1"/>
  <c r="AC32" i="1"/>
  <c r="AG32" i="1"/>
  <c r="S34" i="1"/>
  <c r="Y33" i="1"/>
  <c r="U33" i="1"/>
  <c r="V33" i="1" s="1"/>
  <c r="W33" i="1"/>
  <c r="Z33" i="1"/>
  <c r="T33" i="1"/>
  <c r="X33" i="1"/>
  <c r="AF32" i="1"/>
  <c r="AB32" i="1"/>
  <c r="W34" i="1" l="1"/>
  <c r="Z34" i="1"/>
  <c r="U34" i="1"/>
  <c r="V34" i="1" s="1"/>
  <c r="Y34" i="1"/>
  <c r="T34" i="1"/>
  <c r="X34" i="1"/>
  <c r="S35" i="1"/>
  <c r="AH33" i="1"/>
  <c r="AD33" i="1"/>
  <c r="AA33" i="1"/>
  <c r="AE33" i="1"/>
  <c r="AG33" i="1"/>
  <c r="AC33" i="1"/>
  <c r="AB33" i="1"/>
  <c r="AF33" i="1"/>
  <c r="S36" i="1" l="1"/>
  <c r="Y35" i="1"/>
  <c r="U35" i="1"/>
  <c r="V35" i="1" s="1"/>
  <c r="W35" i="1"/>
  <c r="Z35" i="1"/>
  <c r="T35" i="1"/>
  <c r="X35" i="1"/>
  <c r="AC34" i="1"/>
  <c r="AG34" i="1"/>
  <c r="AF34" i="1"/>
  <c r="AB34" i="1"/>
  <c r="AD34" i="1"/>
  <c r="AH34" i="1"/>
  <c r="AE34" i="1"/>
  <c r="AA34" i="1"/>
  <c r="AB35" i="1" l="1"/>
  <c r="AF35" i="1"/>
  <c r="AA35" i="1"/>
  <c r="AE35" i="1"/>
  <c r="AG35" i="1"/>
  <c r="AC35" i="1"/>
  <c r="AH35" i="1"/>
  <c r="AD35" i="1"/>
  <c r="W36" i="1"/>
  <c r="Z36" i="1"/>
  <c r="U36" i="1"/>
  <c r="V36" i="1" s="1"/>
  <c r="Y36" i="1"/>
  <c r="T36" i="1"/>
  <c r="X36" i="1"/>
  <c r="S37" i="1"/>
  <c r="Z37" i="1" l="1"/>
  <c r="S38" i="1"/>
  <c r="Y37" i="1"/>
  <c r="U37" i="1"/>
  <c r="V37" i="1" s="1"/>
  <c r="X37" i="1"/>
  <c r="W37" i="1"/>
  <c r="T37" i="1"/>
  <c r="AC36" i="1"/>
  <c r="AG36" i="1"/>
  <c r="AF36" i="1"/>
  <c r="AB36" i="1"/>
  <c r="AD36" i="1"/>
  <c r="AH36" i="1"/>
  <c r="AE36" i="1"/>
  <c r="AA36" i="1"/>
  <c r="AG37" i="1" l="1"/>
  <c r="AC37" i="1"/>
  <c r="X38" i="1"/>
  <c r="T38" i="1"/>
  <c r="W38" i="1"/>
  <c r="U38" i="1"/>
  <c r="V38" i="1" s="1"/>
  <c r="Z38" i="1"/>
  <c r="S39" i="1"/>
  <c r="Y38" i="1"/>
  <c r="AE37" i="1"/>
  <c r="AA37" i="1"/>
  <c r="AF37" i="1"/>
  <c r="AB37" i="1"/>
  <c r="AH37" i="1"/>
  <c r="AD37" i="1"/>
  <c r="AF38" i="1" l="1"/>
  <c r="AB38" i="1"/>
  <c r="Z39" i="1"/>
  <c r="S40" i="1"/>
  <c r="Y39" i="1"/>
  <c r="U39" i="1"/>
  <c r="V39" i="1" s="1"/>
  <c r="X39" i="1"/>
  <c r="W39" i="1"/>
  <c r="T39" i="1"/>
  <c r="AD38" i="1"/>
  <c r="AH38" i="1"/>
  <c r="AC38" i="1"/>
  <c r="AG38" i="1"/>
  <c r="AE38" i="1"/>
  <c r="AA38" i="1"/>
  <c r="AF39" i="1" l="1"/>
  <c r="AB39" i="1"/>
  <c r="AH39" i="1"/>
  <c r="AD39" i="1"/>
  <c r="X40" i="1"/>
  <c r="T40" i="1"/>
  <c r="W40" i="1"/>
  <c r="U40" i="1"/>
  <c r="V40" i="1" s="1"/>
  <c r="Z40" i="1"/>
  <c r="S41" i="1"/>
  <c r="Y40" i="1"/>
  <c r="AE39" i="1"/>
  <c r="AA39" i="1"/>
  <c r="AG39" i="1"/>
  <c r="AC39" i="1"/>
  <c r="AC40" i="1" l="1"/>
  <c r="AG40" i="1"/>
  <c r="AE40" i="1"/>
  <c r="AA40" i="1"/>
  <c r="Z41" i="1"/>
  <c r="S42" i="1"/>
  <c r="Y41" i="1"/>
  <c r="U41" i="1"/>
  <c r="V41" i="1" s="1"/>
  <c r="X41" i="1"/>
  <c r="W41" i="1"/>
  <c r="T41" i="1"/>
  <c r="AD40" i="1"/>
  <c r="AH40" i="1"/>
  <c r="AF40" i="1"/>
  <c r="AB40" i="1"/>
  <c r="AG41" i="1" l="1"/>
  <c r="AC41" i="1"/>
  <c r="AE41" i="1"/>
  <c r="AA41" i="1"/>
  <c r="X42" i="1"/>
  <c r="T42" i="1"/>
  <c r="W42" i="1"/>
  <c r="U42" i="1"/>
  <c r="V42" i="1" s="1"/>
  <c r="Z42" i="1"/>
  <c r="S43" i="1"/>
  <c r="Y42" i="1"/>
  <c r="AF41" i="1"/>
  <c r="AB41" i="1"/>
  <c r="AH41" i="1"/>
  <c r="AD41" i="1"/>
  <c r="AC42" i="1" l="1"/>
  <c r="AG42" i="1"/>
  <c r="AE42" i="1"/>
  <c r="AA42" i="1"/>
  <c r="Z43" i="1"/>
  <c r="S44" i="1"/>
  <c r="Y43" i="1"/>
  <c r="U43" i="1"/>
  <c r="V43" i="1" s="1"/>
  <c r="X43" i="1"/>
  <c r="W43" i="1"/>
  <c r="T43" i="1"/>
  <c r="AD42" i="1"/>
  <c r="AH42" i="1"/>
  <c r="AF42" i="1"/>
  <c r="AB42" i="1"/>
  <c r="AG43" i="1" l="1"/>
  <c r="AC43" i="1"/>
  <c r="AE43" i="1"/>
  <c r="AA43" i="1"/>
  <c r="X44" i="1"/>
  <c r="T44" i="1"/>
  <c r="W44" i="1"/>
  <c r="U44" i="1"/>
  <c r="V44" i="1" s="1"/>
  <c r="Z44" i="1"/>
  <c r="S45" i="1"/>
  <c r="Y44" i="1"/>
  <c r="AF43" i="1"/>
  <c r="AB43" i="1"/>
  <c r="AH43" i="1"/>
  <c r="AD43" i="1"/>
  <c r="AC44" i="1" l="1"/>
  <c r="AG44" i="1"/>
  <c r="AE44" i="1"/>
  <c r="AA44" i="1"/>
  <c r="Z45" i="1"/>
  <c r="S46" i="1"/>
  <c r="Y45" i="1"/>
  <c r="U45" i="1"/>
  <c r="V45" i="1" s="1"/>
  <c r="X45" i="1"/>
  <c r="W45" i="1"/>
  <c r="T45" i="1"/>
  <c r="AD44" i="1"/>
  <c r="AH44" i="1"/>
  <c r="AF44" i="1"/>
  <c r="AB44" i="1"/>
  <c r="AG45" i="1" l="1"/>
  <c r="AC45" i="1"/>
  <c r="AE45" i="1"/>
  <c r="AA45" i="1"/>
  <c r="X46" i="1"/>
  <c r="T46" i="1"/>
  <c r="W46" i="1"/>
  <c r="U46" i="1"/>
  <c r="V46" i="1" s="1"/>
  <c r="Z46" i="1"/>
  <c r="S47" i="1"/>
  <c r="Y46" i="1"/>
  <c r="AF45" i="1"/>
  <c r="AB45" i="1"/>
  <c r="AH45" i="1"/>
  <c r="AD45" i="1"/>
  <c r="AC46" i="1" l="1"/>
  <c r="AG46" i="1"/>
  <c r="AE46" i="1"/>
  <c r="AA46" i="1"/>
  <c r="Z47" i="1"/>
  <c r="S48" i="1"/>
  <c r="Y47" i="1"/>
  <c r="U47" i="1"/>
  <c r="V47" i="1" s="1"/>
  <c r="X47" i="1"/>
  <c r="W47" i="1"/>
  <c r="T47" i="1"/>
  <c r="AD46" i="1"/>
  <c r="AH46" i="1"/>
  <c r="AF46" i="1"/>
  <c r="AB46" i="1"/>
  <c r="AG47" i="1" l="1"/>
  <c r="AC47" i="1"/>
  <c r="AE47" i="1"/>
  <c r="AA47" i="1"/>
  <c r="X48" i="1"/>
  <c r="T48" i="1"/>
  <c r="W48" i="1"/>
  <c r="U48" i="1"/>
  <c r="V48" i="1" s="1"/>
  <c r="Z48" i="1"/>
  <c r="S49" i="1"/>
  <c r="Y48" i="1"/>
  <c r="AF47" i="1"/>
  <c r="AB47" i="1"/>
  <c r="AH47" i="1"/>
  <c r="AD47" i="1"/>
  <c r="AC48" i="1" l="1"/>
  <c r="AG48" i="1"/>
  <c r="AE48" i="1"/>
  <c r="AA48" i="1"/>
  <c r="Z49" i="1"/>
  <c r="S50" i="1"/>
  <c r="Y49" i="1"/>
  <c r="U49" i="1"/>
  <c r="V49" i="1" s="1"/>
  <c r="X49" i="1"/>
  <c r="W49" i="1"/>
  <c r="T49" i="1"/>
  <c r="AD48" i="1"/>
  <c r="AH48" i="1"/>
  <c r="AF48" i="1"/>
  <c r="AB48" i="1"/>
  <c r="AG49" i="1" l="1"/>
  <c r="AC49" i="1"/>
  <c r="X50" i="1"/>
  <c r="T50" i="1"/>
  <c r="W50" i="1"/>
  <c r="U50" i="1"/>
  <c r="V50" i="1" s="1"/>
  <c r="Z50" i="1"/>
  <c r="S51" i="1"/>
  <c r="Y50" i="1"/>
  <c r="AE49" i="1"/>
  <c r="AA49" i="1"/>
  <c r="AF49" i="1"/>
  <c r="AB49" i="1"/>
  <c r="AH49" i="1"/>
  <c r="AD49" i="1"/>
  <c r="Z51" i="1" l="1"/>
  <c r="S52" i="1"/>
  <c r="Y51" i="1"/>
  <c r="U51" i="1"/>
  <c r="V51" i="1" s="1"/>
  <c r="X51" i="1"/>
  <c r="W51" i="1"/>
  <c r="T51" i="1"/>
  <c r="AD50" i="1"/>
  <c r="AH50" i="1"/>
  <c r="AF50" i="1"/>
  <c r="AB50" i="1"/>
  <c r="AC50" i="1"/>
  <c r="AG50" i="1"/>
  <c r="AE50" i="1"/>
  <c r="AA50" i="1"/>
  <c r="AG51" i="1" l="1"/>
  <c r="AC51" i="1"/>
  <c r="X52" i="1"/>
  <c r="T52" i="1"/>
  <c r="W52" i="1"/>
  <c r="U52" i="1"/>
  <c r="V52" i="1" s="1"/>
  <c r="Z52" i="1"/>
  <c r="S53" i="1"/>
  <c r="Y52" i="1"/>
  <c r="AE51" i="1"/>
  <c r="AA51" i="1"/>
  <c r="AF51" i="1"/>
  <c r="AB51" i="1"/>
  <c r="AH51" i="1"/>
  <c r="AD51" i="1"/>
  <c r="AF52" i="1" l="1"/>
  <c r="AB52" i="1"/>
  <c r="Z53" i="1"/>
  <c r="Y53" i="1"/>
  <c r="U53" i="1"/>
  <c r="V53" i="1" s="1"/>
  <c r="X53" i="1"/>
  <c r="W53" i="1"/>
  <c r="T53" i="1"/>
  <c r="AD52" i="1"/>
  <c r="AH52" i="1"/>
  <c r="AC52" i="1"/>
  <c r="AG52" i="1"/>
  <c r="AE52" i="1"/>
  <c r="AA52" i="1"/>
  <c r="AE53" i="1" l="1"/>
  <c r="AA53" i="1"/>
  <c r="AH53" i="1"/>
  <c r="AD53" i="1"/>
  <c r="AG53" i="1"/>
  <c r="AC53" i="1"/>
  <c r="AF53" i="1"/>
  <c r="AB53" i="1"/>
</calcChain>
</file>

<file path=xl/sharedStrings.xml><?xml version="1.0" encoding="utf-8"?>
<sst xmlns="http://schemas.openxmlformats.org/spreadsheetml/2006/main" count="1730" uniqueCount="855">
  <si>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</si>
  <si>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</si>
  <si>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</si>
  <si>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</si>
  <si>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</si>
  <si>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</si>
  <si>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</si>
  <si>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</si>
  <si>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</si>
  <si>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</si>
  <si>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</si>
  <si>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</si>
  <si>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</si>
  <si>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</si>
  <si>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</si>
  <si>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</si>
  <si>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</si>
  <si>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</si>
  <si>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</si>
  <si>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</si>
  <si>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</si>
  <si>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</si>
  <si>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</si>
  <si>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</si>
  <si>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</si>
  <si>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</si>
  <si>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</si>
  <si>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</si>
  <si>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</si>
  <si>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</si>
  <si>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</si>
  <si>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</si>
  <si>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</si>
  <si>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</si>
  <si>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</si>
  <si>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</si>
  <si>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</si>
  <si>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</si>
  <si>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</si>
  <si>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</si>
  <si>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</si>
  <si>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</si>
  <si>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</si>
  <si>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</si>
  <si>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</si>
  <si>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</si>
  <si>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</si>
  <si>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</si>
  <si>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</si>
  <si>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</si>
  <si>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</si>
  <si>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</si>
  <si>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</si>
  <si>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</si>
  <si>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</si>
  <si>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</si>
  <si>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</si>
  <si>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</si>
  <si>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</si>
  <si>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</si>
  <si>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</si>
  <si>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</si>
  <si>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</si>
  <si>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</si>
  <si>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</si>
  <si>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</si>
  <si>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</si>
  <si>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</si>
  <si>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</si>
  <si>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</si>
  <si>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</si>
  <si>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</si>
  <si>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</si>
  <si>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</si>
  <si>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</si>
  <si>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</si>
  <si>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</si>
  <si>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</si>
  <si>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</si>
  <si>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</si>
  <si>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</si>
  <si>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</si>
  <si>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</si>
  <si>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</si>
  <si>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</si>
  <si>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</si>
  <si>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</si>
  <si>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</si>
  <si>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</si>
  <si>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</si>
  <si>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</si>
  <si>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</si>
  <si>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</si>
  <si>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</si>
  <si>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</si>
  <si>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</si>
  <si>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</si>
  <si>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</si>
  <si>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</si>
  <si>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</si>
  <si>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</si>
  <si>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</si>
  <si>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</si>
  <si>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</si>
  <si>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</si>
  <si>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</si>
  <si>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</si>
  <si>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</si>
  <si>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</si>
  <si>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</si>
  <si>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</si>
  <si>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</si>
  <si>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</si>
  <si>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</si>
  <si>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</si>
  <si>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</si>
  <si>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</si>
  <si>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</si>
  <si>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</si>
  <si>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</si>
  <si>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</si>
  <si>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</si>
  <si>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</si>
  <si>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</si>
  <si>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</si>
  <si>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</si>
  <si>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'1'</t>
  </si>
  <si>
    <t>(others =&gt; '0')</t>
  </si>
  <si>
    <t>uliDevBaseAddr</t>
  </si>
  <si>
    <t>SpaceWire Device Address Register</t>
  </si>
  <si>
    <t>SpaceWire Device Base Address</t>
  </si>
  <si>
    <t>spw_dev_addr_reg</t>
  </si>
  <si>
    <t>spw_dev_base_addr</t>
  </si>
  <si>
    <t>uliSpwcBaseAddr</t>
  </si>
  <si>
    <t>SpaceWire Link Config Register</t>
  </si>
  <si>
    <t>SpaceWire Link Config Disconnect</t>
  </si>
  <si>
    <t>spw_link_config_reg</t>
  </si>
  <si>
    <t>spw_lnkcfg_disconnect</t>
  </si>
  <si>
    <t>bDisconnect</t>
  </si>
  <si>
    <t>SpaceWire Link Config Linkstart</t>
  </si>
  <si>
    <t>spw_lnkcfg_linkstart</t>
  </si>
  <si>
    <t>bLinkStart</t>
  </si>
  <si>
    <t>SpaceWire Link Config Autostart</t>
  </si>
  <si>
    <t>spw_lnkcfg_autostart</t>
  </si>
  <si>
    <t>bAutostart</t>
  </si>
  <si>
    <t>SpaceWire Link Config TxDivCnt</t>
  </si>
  <si>
    <t>spw_lnkcfg_txdivcnt</t>
  </si>
  <si>
    <t>x"01"</t>
  </si>
  <si>
    <t>ucTxDivCnt</t>
  </si>
  <si>
    <t>SpaceWire Link Status Register</t>
  </si>
  <si>
    <t>SpaceWire Link Running</t>
  </si>
  <si>
    <t>spw_link_status_reg</t>
  </si>
  <si>
    <t>spw_link_running</t>
  </si>
  <si>
    <t>bRunning</t>
  </si>
  <si>
    <t>SpaceWire Link Connecting</t>
  </si>
  <si>
    <t>spw_link_connecting</t>
  </si>
  <si>
    <t>bConnecting</t>
  </si>
  <si>
    <t>SpaceWire Link Started</t>
  </si>
  <si>
    <t>spw_link_started</t>
  </si>
  <si>
    <t>bStarted</t>
  </si>
  <si>
    <t>SpaceWire Error Disconnect</t>
  </si>
  <si>
    <t>spw_err_disconnect</t>
  </si>
  <si>
    <t>SpaceWire Error Parity</t>
  </si>
  <si>
    <t>spw_err_parity</t>
  </si>
  <si>
    <t>bParity</t>
  </si>
  <si>
    <t>SpaceWire Error Escape</t>
  </si>
  <si>
    <t>spw_err_escape</t>
  </si>
  <si>
    <t>bEscape</t>
  </si>
  <si>
    <t>SpaceWire Error Credit</t>
  </si>
  <si>
    <t>spw_err_credit</t>
  </si>
  <si>
    <t>bCredit</t>
  </si>
  <si>
    <t>SpaceWire Timecode Config Register</t>
  </si>
  <si>
    <t>SpaceWire Timecode Clear</t>
  </si>
  <si>
    <t>spw_timecode_config_reg</t>
  </si>
  <si>
    <t>timecode_clear</t>
  </si>
  <si>
    <t>bClear</t>
  </si>
  <si>
    <t>SpaceWire Timecode Enable</t>
  </si>
  <si>
    <t>timecode_en</t>
  </si>
  <si>
    <t>bEnable</t>
  </si>
  <si>
    <t>SpaceWire Timecode Status Register</t>
  </si>
  <si>
    <t>SpaceWire Timecode Time</t>
  </si>
  <si>
    <t>spw_timecode_status_reg</t>
  </si>
  <si>
    <t>timecode_time</t>
  </si>
  <si>
    <t>ucTime</t>
  </si>
  <si>
    <t>SpaceWire Timecode Control</t>
  </si>
  <si>
    <t>timecode_control</t>
  </si>
  <si>
    <t>ucControl</t>
  </si>
  <si>
    <t>RMAP Device Address Register</t>
  </si>
  <si>
    <t>RMAP Device Base Address</t>
  </si>
  <si>
    <t>rmap_dev_addr_reg</t>
  </si>
  <si>
    <t>rmap_dev_base_addr</t>
  </si>
  <si>
    <t>uliRmapBaseAddr</t>
  </si>
  <si>
    <t>RMAP Codec Config Register</t>
  </si>
  <si>
    <t>RMAP Target Logical Address</t>
  </si>
  <si>
    <t>rmap_codec_config_reg</t>
  </si>
  <si>
    <t>rmap_target_logical_addr</t>
  </si>
  <si>
    <t>x"51"</t>
  </si>
  <si>
    <t>ucLogicalAddress</t>
  </si>
  <si>
    <t>RMAP Target Key</t>
  </si>
  <si>
    <t>rmap_target_key</t>
  </si>
  <si>
    <t>x"D1"</t>
  </si>
  <si>
    <t>ucKey</t>
  </si>
  <si>
    <t>RMAP Codec Status Register</t>
  </si>
  <si>
    <t>RMAP Status Command Received</t>
  </si>
  <si>
    <t>rmap_codec_status_reg</t>
  </si>
  <si>
    <t>rmap_stat_command_received</t>
  </si>
  <si>
    <t>bCommandReceived</t>
  </si>
  <si>
    <t>RMAP Status Write Requested</t>
  </si>
  <si>
    <t>rmap_stat_write_requested</t>
  </si>
  <si>
    <t>bWriteRequested</t>
  </si>
  <si>
    <t>RMAP Status Write Authorized</t>
  </si>
  <si>
    <t>rmap_stat_write_authorized</t>
  </si>
  <si>
    <t>bWriteAuthorized</t>
  </si>
  <si>
    <t>RMAP Status Read Requested</t>
  </si>
  <si>
    <t>rmap_stat_read_requested</t>
  </si>
  <si>
    <t>bReadRequested</t>
  </si>
  <si>
    <t>RMAP Status Read Authorized</t>
  </si>
  <si>
    <t>rmap_stat_read_authorized</t>
  </si>
  <si>
    <t>bReadAuthorized</t>
  </si>
  <si>
    <t>RMAP Status Reply Sended</t>
  </si>
  <si>
    <t>rmap_stat_reply_sended</t>
  </si>
  <si>
    <t>bReplySended</t>
  </si>
  <si>
    <t>RMAP Status Discarded Package</t>
  </si>
  <si>
    <t>rmap_stat_discarded_package</t>
  </si>
  <si>
    <t>bDiscardedPackage</t>
  </si>
  <si>
    <t>RMAP Error Early EOP</t>
  </si>
  <si>
    <t>rmap_err_early_eop</t>
  </si>
  <si>
    <t>bEarlyEop</t>
  </si>
  <si>
    <t>RMAP Error EEP</t>
  </si>
  <si>
    <t>rmap_err_eep</t>
  </si>
  <si>
    <t>bEep</t>
  </si>
  <si>
    <t>RMAP Error Header CRC</t>
  </si>
  <si>
    <t>rmap_err_header_crc</t>
  </si>
  <si>
    <t>bHeaderCRC</t>
  </si>
  <si>
    <t>RMAP Error Unused Packet Type</t>
  </si>
  <si>
    <t>rmap_err_unused_packet_type</t>
  </si>
  <si>
    <t>bUnusedPacketType</t>
  </si>
  <si>
    <t>RMAP Error Invalid Command Code</t>
  </si>
  <si>
    <t>rmap_err_invalid_command_code</t>
  </si>
  <si>
    <t>bInvalidCommandCode</t>
  </si>
  <si>
    <t>RMAP Error Too Much Data</t>
  </si>
  <si>
    <t>rmap_err_too_much_data</t>
  </si>
  <si>
    <t>bTooMuchData</t>
  </si>
  <si>
    <t>RMAP Error Invalid Data CRC</t>
  </si>
  <si>
    <t>rmap_err_invalid_data_crc</t>
  </si>
  <si>
    <t>bInvalidDataCrc</t>
  </si>
  <si>
    <t>RMAP Memory Status Register</t>
  </si>
  <si>
    <t>RMAP Last Write Address</t>
  </si>
  <si>
    <t>rmap_memory_status_reg</t>
  </si>
  <si>
    <t>rmap_last_write_addr</t>
  </si>
  <si>
    <t>uliLastWriteAddress</t>
  </si>
  <si>
    <t>RMAP Last Read Address</t>
  </si>
  <si>
    <t>rmap_last_read_addr</t>
  </si>
  <si>
    <t>uliLastReadAddress</t>
  </si>
  <si>
    <t>-- SpaceWire Device Address Register</t>
  </si>
  <si>
    <t xml:space="preserve">  spw_dev_base_addr : std_logic_vector(31 downto 0); -- SpaceWire Device Base Address</t>
  </si>
  <si>
    <t>-- SpaceWire Link Config Register</t>
  </si>
  <si>
    <t xml:space="preserve">  spw_lnkcfg_disconnect : std_logic; -- SpaceWire Link Config Disconnect</t>
  </si>
  <si>
    <t xml:space="preserve">  spw_lnkcfg_linkstart : std_logic; -- SpaceWire Link Config Linkstart</t>
  </si>
  <si>
    <t xml:space="preserve">  spw_lnkcfg_autostart : std_logic; -- SpaceWire Link Config Autostart</t>
  </si>
  <si>
    <t xml:space="preserve">  spw_lnkcfg_txdivcnt : std_logic_vector(7 downto 0); -- SpaceWire Link Config TxDivCnt</t>
  </si>
  <si>
    <t>-- SpaceWire Link Status Register</t>
  </si>
  <si>
    <t xml:space="preserve">  spw_link_running : std_logic; -- SpaceWire Link Running</t>
  </si>
  <si>
    <t xml:space="preserve">  spw_link_connecting : std_logic; -- SpaceWire Link Connecting</t>
  </si>
  <si>
    <t xml:space="preserve">  spw_link_started : std_logic; -- SpaceWire Link Started</t>
  </si>
  <si>
    <t xml:space="preserve">  spw_err_disconnect : std_logic; -- SpaceWire Error Disconnect</t>
  </si>
  <si>
    <t xml:space="preserve">  spw_err_parity : std_logic; -- SpaceWire Error Parity</t>
  </si>
  <si>
    <t xml:space="preserve">  spw_err_escape : std_logic; -- SpaceWire Error Escape</t>
  </si>
  <si>
    <t xml:space="preserve">  spw_err_credit : std_logic; -- SpaceWire Error Credit</t>
  </si>
  <si>
    <t>-- SpaceWire Timecode Config Register</t>
  </si>
  <si>
    <t xml:space="preserve">  timecode_clear : std_logic; -- SpaceWire Timecode Clear</t>
  </si>
  <si>
    <t xml:space="preserve">  timecode_en : std_logic; -- SpaceWire Timecode Enable</t>
  </si>
  <si>
    <t>-- SpaceWire Timecode Status Register</t>
  </si>
  <si>
    <t xml:space="preserve">  timecode_time : std_logic_vector(5 downto 0); -- SpaceWire Timecode Time</t>
  </si>
  <si>
    <t xml:space="preserve">  timecode_control : std_logic_vector(1 downto 0); -- SpaceWire Timecode Control</t>
  </si>
  <si>
    <t>-- RMAP Device Address Register</t>
  </si>
  <si>
    <t xml:space="preserve">  rmap_dev_base_addr : std_logic_vector(31 downto 0); -- RMAP Device Base Address</t>
  </si>
  <si>
    <t>-- RMAP Codec Config Register</t>
  </si>
  <si>
    <t xml:space="preserve">  rmap_target_logical_addr : std_logic_vector(7 downto 0); -- RMAP Target Logical Address</t>
  </si>
  <si>
    <t xml:space="preserve">  rmap_target_key : std_logic_vector(7 downto 0); -- RMAP Target Key</t>
  </si>
  <si>
    <t>-- RMAP Codec Status Register</t>
  </si>
  <si>
    <t xml:space="preserve">  rmap_stat_command_received : std_logic; -- RMAP Status Command Received</t>
  </si>
  <si>
    <t xml:space="preserve">  rmap_stat_write_requested : std_logic; -- RMAP Status Write Requested</t>
  </si>
  <si>
    <t xml:space="preserve">  rmap_stat_write_authorized : std_logic; -- RMAP Status Write Authorized</t>
  </si>
  <si>
    <t xml:space="preserve">  rmap_stat_read_requested : std_logic; -- RMAP Status Read Requested</t>
  </si>
  <si>
    <t xml:space="preserve">  rmap_stat_read_authorized : std_logic; -- RMAP Status Read Authorized</t>
  </si>
  <si>
    <t xml:space="preserve">  rmap_stat_reply_sended : std_logic; -- RMAP Status Reply Sended</t>
  </si>
  <si>
    <t xml:space="preserve">  rmap_stat_discarded_package : std_logic; -- RMAP Status Discarded Package</t>
  </si>
  <si>
    <t xml:space="preserve">  rmap_err_early_eop : std_logic; -- RMAP Error Early EOP</t>
  </si>
  <si>
    <t xml:space="preserve">  rmap_err_eep : std_logic; -- RMAP Error EEP</t>
  </si>
  <si>
    <t xml:space="preserve">  rmap_err_header_crc : std_logic; -- RMAP Error Header CRC</t>
  </si>
  <si>
    <t xml:space="preserve">  rmap_err_unused_packet_type : std_logic; -- RMAP Error Unused Packet Type</t>
  </si>
  <si>
    <t xml:space="preserve">  rmap_err_invalid_command_code : std_logic; -- RMAP Error Invalid Command Code</t>
  </si>
  <si>
    <t xml:space="preserve">  rmap_err_too_much_data : std_logic; -- RMAP Error Too Much Data</t>
  </si>
  <si>
    <t xml:space="preserve">  rmap_err_invalid_data_crc : std_logic; -- RMAP Error Invalid Data CRC</t>
  </si>
  <si>
    <t>-- RMAP Memory Status Register</t>
  </si>
  <si>
    <t xml:space="preserve">  rmap_last_write_addr : std_logic_vector(31 downto 0); -- RMAP Last Write Address</t>
  </si>
  <si>
    <t xml:space="preserve">  rmap_last_read_addr : std_logic_vector(31 downto 0); -- RMAP Last Read Address</t>
  </si>
  <si>
    <t xml:space="preserve">  when (16#00#) =&gt;</t>
  </si>
  <si>
    <t xml:space="preserve">  when (16#01#) =&gt;</t>
  </si>
  <si>
    <t xml:space="preserve">  when (16#02#) =&gt;</t>
  </si>
  <si>
    <t xml:space="preserve">      -- SpaceWire Device Address Register : SpaceWire Device Base Address</t>
  </si>
  <si>
    <t xml:space="preserve">  when (16#03#) =&gt;</t>
  </si>
  <si>
    <t xml:space="preserve">      -- SpaceWire Link Config Register : SpaceWire Link Config Disconnect</t>
  </si>
  <si>
    <t xml:space="preserve">  when (16#04#) =&gt;</t>
  </si>
  <si>
    <t xml:space="preserve">      -- SpaceWire Link Config Register : SpaceWire Link Config Linkstart</t>
  </si>
  <si>
    <t xml:space="preserve">  when (16#05#) =&gt;</t>
  </si>
  <si>
    <t xml:space="preserve">      -- SpaceWire Link Config Register : SpaceWire Link Config Autostart</t>
  </si>
  <si>
    <t xml:space="preserve">  when (16#06#) =&gt;</t>
  </si>
  <si>
    <t xml:space="preserve">      -- SpaceWire Link Config Register : SpaceWire Link Config TxDivCnt</t>
  </si>
  <si>
    <t xml:space="preserve">  when (16#07#) =&gt;</t>
  </si>
  <si>
    <t xml:space="preserve">      -- SpaceWire Link Status Register : SpaceWire Link Running</t>
  </si>
  <si>
    <t xml:space="preserve">  when (16#08#) =&gt;</t>
  </si>
  <si>
    <t xml:space="preserve">      -- SpaceWire Link Status Register : SpaceWire Link Connecting</t>
  </si>
  <si>
    <t xml:space="preserve">  when (16#09#) =&gt;</t>
  </si>
  <si>
    <t xml:space="preserve">      -- SpaceWire Link Status Register : SpaceWire Link Started</t>
  </si>
  <si>
    <t xml:space="preserve">  when (16#0A#) =&gt;</t>
  </si>
  <si>
    <t xml:space="preserve">      -- SpaceWire Link Status Register : SpaceWire Error Disconnect</t>
  </si>
  <si>
    <t xml:space="preserve">  when (16#0B#) =&gt;</t>
  </si>
  <si>
    <t xml:space="preserve">      -- SpaceWire Link Status Register : SpaceWire Error Parity</t>
  </si>
  <si>
    <t xml:space="preserve">  when (16#0C#) =&gt;</t>
  </si>
  <si>
    <t xml:space="preserve">      -- SpaceWire Link Status Register : SpaceWire Error Escape</t>
  </si>
  <si>
    <t xml:space="preserve">  when (16#0D#) =&gt;</t>
  </si>
  <si>
    <t xml:space="preserve">      -- SpaceWire Link Status Register : SpaceWire Error Credit</t>
  </si>
  <si>
    <t xml:space="preserve">  when (16#0E#) =&gt;</t>
  </si>
  <si>
    <t xml:space="preserve">      -- SpaceWire Timecode Config Register : SpaceWire Timecode Clear</t>
  </si>
  <si>
    <t xml:space="preserve">  when (16#0F#) =&gt;</t>
  </si>
  <si>
    <t xml:space="preserve">      -- SpaceWire Timecode Config Register : SpaceWire Timecode Enable</t>
  </si>
  <si>
    <t xml:space="preserve">  when (16#10#) =&gt;</t>
  </si>
  <si>
    <t xml:space="preserve">      -- SpaceWire Timecode Status Register : SpaceWire Timecode Time</t>
  </si>
  <si>
    <t xml:space="preserve">      -- SpaceWire Timecode Status Register : SpaceWire Timecode Control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</si>
  <si>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</si>
  <si>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</si>
  <si>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</si>
  <si>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</si>
  <si>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</si>
  <si>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</si>
  <si>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</si>
  <si>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</si>
  <si>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</si>
  <si>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</si>
  <si>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</si>
  <si>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</si>
  <si>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</si>
  <si>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</si>
  <si>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</si>
  <si>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</si>
  <si>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</si>
  <si>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</si>
  <si>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</si>
  <si>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</si>
  <si>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</si>
  <si>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</si>
  <si>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    -- RMAP Device Address Register : RMAP Device Base Address</t>
  </si>
  <si>
    <t xml:space="preserve">      -- RMAP Codec Config Register : RMAP Target Logical Address</t>
  </si>
  <si>
    <t xml:space="preserve">      -- RMAP Codec Config Register : RMAP Target Key</t>
  </si>
  <si>
    <t xml:space="preserve">      -- RMAP Codec Status Register : RMAP Status Command Received</t>
  </si>
  <si>
    <t xml:space="preserve">      -- RMAP Codec Status Register : RMAP Status Write Requested</t>
  </si>
  <si>
    <t xml:space="preserve">      -- RMAP Codec Status Register : RMAP Status Write Authorized</t>
  </si>
  <si>
    <t xml:space="preserve">      -- RMAP Codec Status Register : RMAP Status Read Requested</t>
  </si>
  <si>
    <t xml:space="preserve">      -- RMAP Codec Status Register : RMAP Status Read Authorized</t>
  </si>
  <si>
    <t xml:space="preserve">      -- RMAP Codec Status Register : RMAP Status Reply Sended</t>
  </si>
  <si>
    <t xml:space="preserve">      -- RMAP Codec Status Register : RMAP Status Discarded Package</t>
  </si>
  <si>
    <t xml:space="preserve">      -- RMAP Codec Status Register : RMAP Error Early EOP</t>
  </si>
  <si>
    <t xml:space="preserve">      -- RMAP Codec Status Register : RMAP Error EEP</t>
  </si>
  <si>
    <t xml:space="preserve">      -- RMAP Codec Status Register : RMAP Error Header CRC</t>
  </si>
  <si>
    <t xml:space="preserve">      -- RMAP Codec Status Register : RMAP Error Unused Packet Type</t>
  </si>
  <si>
    <t xml:space="preserve">      -- RMAP Codec Status Register : RMAP Error Invalid Command Code</t>
  </si>
  <si>
    <t xml:space="preserve">      -- RMAP Codec Status Register : RMAP Error Too Much Data</t>
  </si>
  <si>
    <t xml:space="preserve">      -- RMAP Codec Status Register : RMAP Error Invalid Data CRC</t>
  </si>
  <si>
    <t xml:space="preserve">      -- RMAP Memory Status Register : RMAP Last Write Address</t>
  </si>
  <si>
    <t xml:space="preserve">      -- RMAP Memory Status Register : RMAP Last Read Address</t>
  </si>
  <si>
    <t>-- SpaceWire Device Address Register : SpaceWire Device Base Address</t>
  </si>
  <si>
    <t>-- SpaceWire Link Config Register : SpaceWire Link Config Disconnect</t>
  </si>
  <si>
    <t>-- SpaceWire Link Config Register : SpaceWire Link Config Linkstart</t>
  </si>
  <si>
    <t>-- SpaceWire Link Config Register : SpaceWire Link Config Autostart</t>
  </si>
  <si>
    <t>-- SpaceWire Link Config Register : SpaceWire Link Config TxDivCnt</t>
  </si>
  <si>
    <t>-- SpaceWire Timecode Config Register : SpaceWire Timecode Clear</t>
  </si>
  <si>
    <t>-- SpaceWire Timecode Config Register : SpaceWire Timecode Enable</t>
  </si>
  <si>
    <t>-- RMAP Device Address Register : RMAP Device Base Address</t>
  </si>
  <si>
    <t>-- RMAP Codec Config Register : RMAP Target Logical Address</t>
  </si>
  <si>
    <t>-- RMAP Codec Config Register : RMAP Target Key</t>
  </si>
  <si>
    <t xml:space="preserve"> /* SpaceWire Device Address Register Struct */</t>
  </si>
  <si>
    <t xml:space="preserve">  alt_u32 uliSpwcBaseAddr; /* SpaceWire Device Base Address */</t>
  </si>
  <si>
    <t xml:space="preserve"> /* SpaceWire Link Config Register Struct */</t>
  </si>
  <si>
    <t xml:space="preserve">  bool bDisconnect; /* SpaceWire Link Config Disconnect */</t>
  </si>
  <si>
    <t xml:space="preserve">  bool bLinkStart; /* SpaceWire Link Config Linkstart */</t>
  </si>
  <si>
    <t xml:space="preserve">  bool bAutostart; /* SpaceWire Link Config Autostart */</t>
  </si>
  <si>
    <t xml:space="preserve"> /* SpaceWire Link Status Register Struct */</t>
  </si>
  <si>
    <t xml:space="preserve">  bool bRunning; /* SpaceWire Link Running */</t>
  </si>
  <si>
    <t xml:space="preserve">  bool bConnecting; /* SpaceWire Link Connecting */</t>
  </si>
  <si>
    <t xml:space="preserve">  bool bStarted; /* SpaceWire Link Started */</t>
  </si>
  <si>
    <t xml:space="preserve">  bool bDisconnect; /* SpaceWire Error Disconnect */</t>
  </si>
  <si>
    <t xml:space="preserve">  bool bParity; /* SpaceWire Error Parity */</t>
  </si>
  <si>
    <t xml:space="preserve">  bool bEscape; /* SpaceWire Error Escape */</t>
  </si>
  <si>
    <t xml:space="preserve">  bool bCredit; /* SpaceWire Error Credit */</t>
  </si>
  <si>
    <t xml:space="preserve"> /* SpaceWire Timecode Config Register Struct */</t>
  </si>
  <si>
    <t xml:space="preserve">  bool bClear; /* SpaceWire Timecode Clear */</t>
  </si>
  <si>
    <t xml:space="preserve">  bool bEnable; /* SpaceWire Timecode Enable */</t>
  </si>
  <si>
    <t xml:space="preserve"> /* SpaceWire Timecode Status Register Struct */</t>
  </si>
  <si>
    <t xml:space="preserve"> /* RMAP Device Address Register Struct */</t>
  </si>
  <si>
    <t xml:space="preserve">  alt_u32 uliRmapBaseAddr; /* RMAP Device Base Address */</t>
  </si>
  <si>
    <t xml:space="preserve"> /* RMAP Codec Config Register Struct */</t>
  </si>
  <si>
    <t xml:space="preserve"> /* RMAP Codec Status Register Struct */</t>
  </si>
  <si>
    <t xml:space="preserve">  bool bCommandReceived; /* RMAP Status Command Received */</t>
  </si>
  <si>
    <t xml:space="preserve">  bool bWriteRequested; /* RMAP Status Write Requested */</t>
  </si>
  <si>
    <t xml:space="preserve">  bool bWriteAuthorized; /* RMAP Status Write Authorized */</t>
  </si>
  <si>
    <t xml:space="preserve">  bool bReadRequested; /* RMAP Status Read Requested */</t>
  </si>
  <si>
    <t xml:space="preserve">  bool bReadAuthorized; /* RMAP Status Read Authorized */</t>
  </si>
  <si>
    <t xml:space="preserve">  bool bReplySended; /* RMAP Status Reply Sended */</t>
  </si>
  <si>
    <t xml:space="preserve">  bool bDiscardedPackage; /* RMAP Status Discarded Package */</t>
  </si>
  <si>
    <t xml:space="preserve">  bool bEarlyEop; /* RMAP Error Early EOP */</t>
  </si>
  <si>
    <t xml:space="preserve">  bool bEep; /* RMAP Error EEP */</t>
  </si>
  <si>
    <t xml:space="preserve">  bool bHeaderCRC; /* RMAP Error Header CRC */</t>
  </si>
  <si>
    <t xml:space="preserve">  bool bUnusedPacketType; /* RMAP Error Unused Packet Type */</t>
  </si>
  <si>
    <t xml:space="preserve">  bool bInvalidCommandCode; /* RMAP Error Invalid Command Code */</t>
  </si>
  <si>
    <t xml:space="preserve">  bool bTooMuchData; /* RMAP Error Too Much Data */</t>
  </si>
  <si>
    <t xml:space="preserve">  bool bInvalidDataCrc; /* RMAP Error Invalid Data CRC */</t>
  </si>
  <si>
    <t xml:space="preserve"> /* RMAP Memory Status Register Struct */</t>
  </si>
  <si>
    <t xml:space="preserve">  alt_u32 uliLastWriteAddress; /* RMAP Last Write Address */</t>
  </si>
  <si>
    <t xml:space="preserve">  alt_u32 uliLastReadAddress; /* RMAP Last Read Address */</t>
  </si>
  <si>
    <t>RMAP Last Write Length [Bytes]</t>
  </si>
  <si>
    <t>rmap_last_write_length_bytes</t>
  </si>
  <si>
    <t>uliLastWriteLengthBytes</t>
  </si>
  <si>
    <t>RMAP Last Read Length [Bytes]</t>
  </si>
  <si>
    <t>rmap_last_read_length_bytes</t>
  </si>
  <si>
    <t>uliLastReadLengthBytes</t>
  </si>
  <si>
    <t>RMAP Memory Config Register</t>
  </si>
  <si>
    <t>RMAP Windowing Area Offset (High Dword)</t>
  </si>
  <si>
    <t>rmap_memory_config_reg</t>
  </si>
  <si>
    <t>rmap_win_area_offset_high_dword</t>
  </si>
  <si>
    <t>uliWinAreaOffHighDword</t>
  </si>
  <si>
    <t>RMAP Windowing Area Offset (Low Dword)</t>
  </si>
  <si>
    <t>rmap_win_area_offset_low_dword</t>
  </si>
  <si>
    <t>uliWinAreaOffLowDword</t>
  </si>
  <si>
    <t>RMAP Memory Area Pointer Register</t>
  </si>
  <si>
    <t>RMAP Memory Area Pointer</t>
  </si>
  <si>
    <t>rmap_mem_area_ptr_reg</t>
  </si>
  <si>
    <t>rmap_mem_area_ptr</t>
  </si>
  <si>
    <t>*puliRmapAreaPrt</t>
  </si>
  <si>
    <t xml:space="preserve">  rmap_last_write_length_bytes : std_logic_vector(31 downto 0); -- RMAP Last Write Length [Bytes]</t>
  </si>
  <si>
    <t xml:space="preserve">  rmap_last_read_length_bytes : std_logic_vector(31 downto 0); -- RMAP Last Read Length [Bytes]</t>
  </si>
  <si>
    <t>-- RMAP Memory Config Register</t>
  </si>
  <si>
    <t xml:space="preserve">  rmap_win_area_offset_high_dword : std_logic_vector(31 downto 0); -- RMAP Windowing Area Offset (High Dword)</t>
  </si>
  <si>
    <t xml:space="preserve">  rmap_win_area_offset_low_dword : std_logic_vector(31 downto 0); -- RMAP Windowing Area Offset (Low Dword)</t>
  </si>
  <si>
    <t>-- RMAP Memory Area Pointer Register</t>
  </si>
  <si>
    <t xml:space="preserve">  rmap_mem_area_ptr : std_logic_vector(31 downto 0); -- RMAP Memory Area Pointer</t>
  </si>
  <si>
    <t xml:space="preserve">      -- RMAP Memory Status Register : RMAP Last Write Length [Bytes]</t>
  </si>
  <si>
    <t xml:space="preserve">      -- RMAP Memory Status Register : RMAP Last Read Length [Bytes]</t>
  </si>
  <si>
    <t xml:space="preserve">      -- RMAP Memory Config Register : RMAP Windowing Area Offset (High Dword)</t>
  </si>
  <si>
    <t xml:space="preserve">      -- RMAP Memory Config Register : RMAP Windowing Area Offset (Low Dword)</t>
  </si>
  <si>
    <t xml:space="preserve">      -- RMAP Memory Area Pointer Register : RMAP Memory Area Pointer</t>
  </si>
  <si>
    <t>-- RMAP Memory Config Register : RMAP Windowing Area Offset (High Dword)</t>
  </si>
  <si>
    <t>-- RMAP Memory Config Register : RMAP Windowing Area Offset (Low Dword)</t>
  </si>
  <si>
    <t>-- RMAP Memory Area Pointer Register : RMAP Memory Area Pointer</t>
  </si>
  <si>
    <t xml:space="preserve">  alt_u32 uliLastWriteLengthBytes; /* RMAP Last Write Length [Bytes] */</t>
  </si>
  <si>
    <t xml:space="preserve">  alt_u32 uliLastReadLengthBytes; /* RMAP Last Read Length [Bytes] */</t>
  </si>
  <si>
    <t xml:space="preserve"> /* RMAP Memory Config Register Struct */</t>
  </si>
  <si>
    <t xml:space="preserve">  alt_u32 uliWinAreaOffHighDword; /* RMAP Windowing Area Offset (High Dword) */</t>
  </si>
  <si>
    <t xml:space="preserve">  alt_u32 uliWinAreaOffLowDword; /* RMAP Windowing Area Offset (Low Dword) */</t>
  </si>
  <si>
    <t xml:space="preserve"> /* RMAP Memory Area Pointer Register Struct */</t>
  </si>
  <si>
    <t xml:space="preserve">  alt_u32 *puliRmapAreaPrt; /* RMAP Memory Area Pointer */</t>
  </si>
  <si>
    <t>Scom Device Address Register</t>
  </si>
  <si>
    <t>Scom Device Base Address</t>
  </si>
  <si>
    <t>t_scom_config_wr_regs</t>
  </si>
  <si>
    <t>scom_dev_addr_reg</t>
  </si>
  <si>
    <t>t_scom_scom_dev_addr_wr_reg</t>
  </si>
  <si>
    <t>scom_dev_base_addr</t>
  </si>
  <si>
    <t>ScomChannel</t>
  </si>
  <si>
    <t>t_scom_spw_dev_addr_wr_reg</t>
  </si>
  <si>
    <t>t_scom_spw_link_config_wr_reg</t>
  </si>
  <si>
    <t>t_scom_config_rd_regs</t>
  </si>
  <si>
    <t>t_scom_spw_link_status_rd_reg</t>
  </si>
  <si>
    <t>t_scom_spw_timecode_wr_reg</t>
  </si>
  <si>
    <t>t_scom_spw_timecode_rd_reg</t>
  </si>
  <si>
    <t>t_scom_rmap_dev_addr_wr_reg</t>
  </si>
  <si>
    <t>t_scom_rmap_codec_config_wr_reg</t>
  </si>
  <si>
    <t>t_scom_rmap_codec_status_rd_reg</t>
  </si>
  <si>
    <t>t_scom_rmap_memory_status_rd_reg</t>
  </si>
  <si>
    <t>t_scom_rmap_memory_config_wr_reg</t>
  </si>
  <si>
    <t>t_scom_rmap_mem_area_ptr_wr_reg</t>
  </si>
  <si>
    <t>c_SCOM_AVS_CONFIG_MIN_ADDR</t>
  </si>
  <si>
    <t>c_SCOM_AVS_CONFIG_MAX_ADDR</t>
  </si>
  <si>
    <t>constant c_SCOM_AVS_CONFIG_MIN_ADDR : natural range 0 to 255 := 16#00#;</t>
  </si>
  <si>
    <t>-- Scom Device Address Register</t>
  </si>
  <si>
    <t>type t_scom_scom_dev_addr_wr_reg is record</t>
  </si>
  <si>
    <t xml:space="preserve">  scom_dev_base_addr : std_logic_vector(31 downto 0); -- Scom Device Base Address</t>
  </si>
  <si>
    <t>end record t_scom_scom_dev_addr_wr_reg;</t>
  </si>
  <si>
    <t>type t_scom_spw_dev_addr_wr_reg is record</t>
  </si>
  <si>
    <t>end record t_scom_spw_dev_addr_wr_reg;</t>
  </si>
  <si>
    <t>type t_scom_spw_link_config_wr_reg is record</t>
  </si>
  <si>
    <t>end record t_scom_spw_link_config_wr_reg;</t>
  </si>
  <si>
    <t>type t_scom_spw_link_status_rd_reg is record</t>
  </si>
  <si>
    <t>end record t_scom_spw_link_status_rd_reg;</t>
  </si>
  <si>
    <t>type t_scom_spw_timecode_wr_reg is record</t>
  </si>
  <si>
    <t>end record t_scom_spw_timecode_wr_reg;</t>
  </si>
  <si>
    <t>type t_scom_spw_timecode_rd_reg is record</t>
  </si>
  <si>
    <t>end record t_scom_spw_timecode_rd_reg;</t>
  </si>
  <si>
    <t>type t_scom_rmap_dev_addr_wr_reg is record</t>
  </si>
  <si>
    <t>end record t_scom_rmap_dev_addr_wr_reg;</t>
  </si>
  <si>
    <t>type t_scom_rmap_codec_config_wr_reg is record</t>
  </si>
  <si>
    <t>end record t_scom_rmap_codec_config_wr_reg;</t>
  </si>
  <si>
    <t>type t_scom_rmap_codec_status_rd_reg is record</t>
  </si>
  <si>
    <t>end record t_scom_rmap_codec_status_rd_reg;</t>
  </si>
  <si>
    <t>type t_scom_rmap_memory_status_rd_reg is record</t>
  </si>
  <si>
    <t>end record t_scom_rmap_memory_status_rd_reg;</t>
  </si>
  <si>
    <t>type t_scom_rmap_memory_config_wr_reg is record</t>
  </si>
  <si>
    <t>end record t_scom_rmap_memory_config_wr_reg;</t>
  </si>
  <si>
    <t>type t_scom_rmap_mem_area_ptr_wr_reg is record</t>
  </si>
  <si>
    <t>end record t_scom_rmap_mem_area_ptr_wr_reg;</t>
  </si>
  <si>
    <t>type t_scom_config_wr_regs is record</t>
  </si>
  <si>
    <t xml:space="preserve">  scom_dev_addr_reg : t_scom_scom_dev_addr_wr_reg; -- Scom Device Address Register</t>
  </si>
  <si>
    <t xml:space="preserve">  spw_dev_addr_reg : t_scom_spw_dev_addr_wr_reg; -- SpaceWire Device Address Register</t>
  </si>
  <si>
    <t xml:space="preserve">  spw_link_config_reg : t_scom_spw_link_config_wr_reg; -- SpaceWire Link Config Register</t>
  </si>
  <si>
    <t xml:space="preserve">  spw_timecode_config_reg : t_scom_spw_timecode_wr_reg; -- SpaceWire Timecode Config Register</t>
  </si>
  <si>
    <t xml:space="preserve">  rmap_dev_addr_reg : t_scom_rmap_dev_addr_wr_reg; -- RMAP Device Address Register</t>
  </si>
  <si>
    <t xml:space="preserve">  rmap_codec_config_reg : t_scom_rmap_codec_config_wr_reg; -- RMAP Codec Config Register</t>
  </si>
  <si>
    <t xml:space="preserve">  rmap_memory_config_reg : t_scom_rmap_memory_config_wr_reg; -- RMAP Memory Config Register</t>
  </si>
  <si>
    <t xml:space="preserve">  rmap_mem_area_ptr_reg : t_scom_rmap_mem_area_ptr_wr_reg; -- RMAP Memory Area Pointer Register</t>
  </si>
  <si>
    <t>end record t_scom_config_wr_regs;</t>
  </si>
  <si>
    <t>type t_scom_config_rd_regs is record</t>
  </si>
  <si>
    <t xml:space="preserve">  spw_link_status_reg : t_scom_spw_link_status_rd_reg; -- SpaceWire Link Status Register</t>
  </si>
  <si>
    <t xml:space="preserve">  spw_timecode_status_reg : t_scom_spw_timecode_rd_reg; -- SpaceWire Timecode Status Register</t>
  </si>
  <si>
    <t xml:space="preserve">  rmap_codec_status_reg : t_scom_rmap_codec_status_rd_reg; -- RMAP Codec Status Register</t>
  </si>
  <si>
    <t xml:space="preserve">  rmap_memory_status_reg : t_scom_rmap_memory_status_rd_reg; -- RMAP Memory Status Register</t>
  </si>
  <si>
    <t>end record t_scom_config_rd_regs;</t>
  </si>
  <si>
    <t>avs_config_o</t>
  </si>
  <si>
    <t>avs_config_i</t>
  </si>
  <si>
    <t>config_wr_regs_o</t>
  </si>
  <si>
    <t>config_wr_regs_i</t>
  </si>
  <si>
    <t>config_rd_regs_i</t>
  </si>
  <si>
    <t xml:space="preserve">      -- Scom Device Address Register : Scom Device Base Address</t>
  </si>
  <si>
    <t xml:space="preserve">      avs_config_o.readdata(7 downto 0) &lt;= config_wr_regs_i.scom_dev_addr_reg.scom_dev_base_addr(7 downto 0);</t>
  </si>
  <si>
    <t xml:space="preserve">      avs_config_o.readdata(15 downto 8) &lt;= config_wr_regs_i.scom_dev_addr_reg.scom_dev_base_addr(15 downto 8);</t>
  </si>
  <si>
    <t xml:space="preserve">      avs_config_o.readdata(23 downto 16) &lt;= config_wr_regs_i.scom_dev_addr_reg.scom_dev_base_addr(23 downto 16);</t>
  </si>
  <si>
    <t xml:space="preserve">      avs_config_o.readdata(31 downto 24) &lt;= config_wr_regs_i.scom_dev_addr_reg.scom_dev_base_addr(31 downto 24);</t>
  </si>
  <si>
    <t xml:space="preserve">      avs_config_o.readdata(7 downto 0) &lt;= config_wr_regs_i.spw_dev_addr_reg.spw_dev_base_addr(7 downto 0);</t>
  </si>
  <si>
    <t xml:space="preserve">      avs_config_o.readdata(15 downto 8) &lt;= config_wr_regs_i.spw_dev_addr_reg.spw_dev_base_addr(15 downto 8);</t>
  </si>
  <si>
    <t xml:space="preserve">      avs_config_o.readdata(23 downto 16) &lt;= config_wr_regs_i.spw_dev_addr_reg.spw_dev_base_addr(23 downto 16);</t>
  </si>
  <si>
    <t xml:space="preserve">      avs_config_o.readdata(31 downto 24) &lt;= config_wr_regs_i.spw_dev_addr_reg.spw_dev_base_addr(31 downto 24);</t>
  </si>
  <si>
    <t xml:space="preserve">      avs_config_o.readdata(0) &lt;= config_wr_regs_i.spw_link_config_reg.spw_lnkcfg_disconnect;</t>
  </si>
  <si>
    <t xml:space="preserve">      avs_config_o.readdata(0) &lt;= config_wr_regs_i.spw_link_config_reg.spw_lnkcfg_linkstart;</t>
  </si>
  <si>
    <t xml:space="preserve">      avs_config_o.readdata(0) &lt;= config_wr_regs_i.spw_link_config_reg.spw_lnkcfg_autostart;</t>
  </si>
  <si>
    <t xml:space="preserve">      avs_config_o.readdata(7 downto 0) &lt;= config_wr_regs_i.spw_link_config_reg.spw_lnkcfg_txdivcnt;</t>
  </si>
  <si>
    <t xml:space="preserve">      avs_config_o.readdata(0) &lt;= config_rd_regs_i.spw_link_status_reg.spw_link_running;</t>
  </si>
  <si>
    <t xml:space="preserve">      avs_config_o.readdata(0) &lt;= config_rd_regs_i.spw_link_status_reg.spw_link_connecting;</t>
  </si>
  <si>
    <t xml:space="preserve">      avs_config_o.readdata(0) &lt;= config_rd_regs_i.spw_link_status_reg.spw_link_started;</t>
  </si>
  <si>
    <t xml:space="preserve">      avs_config_o.readdata(0) &lt;= config_rd_regs_i.spw_link_status_reg.spw_err_disconnect;</t>
  </si>
  <si>
    <t xml:space="preserve">      avs_config_o.readdata(0) &lt;= config_rd_regs_i.spw_link_status_reg.spw_err_parity;</t>
  </si>
  <si>
    <t xml:space="preserve">      avs_config_o.readdata(0) &lt;= config_rd_regs_i.spw_link_status_reg.spw_err_escape;</t>
  </si>
  <si>
    <t xml:space="preserve">      avs_config_o.readdata(0) &lt;= config_rd_regs_i.spw_link_status_reg.spw_err_credit;</t>
  </si>
  <si>
    <t xml:space="preserve">      avs_config_o.readdata(0) &lt;= config_wr_regs_i.spw_timecode_config_reg.timecode_clear;</t>
  </si>
  <si>
    <t xml:space="preserve">      avs_config_o.readdata(0) &lt;= config_wr_regs_i.spw_timecode_config_reg.timecode_en;</t>
  </si>
  <si>
    <t xml:space="preserve">      avs_config_o.readdata(5 downto 0) &lt;= config_rd_regs_i.spw_timecode_status_reg.timecode_time;</t>
  </si>
  <si>
    <t xml:space="preserve">      avs_config_o.readdata(7 downto 0) &lt;= config_wr_regs_i.rmap_dev_addr_reg.rmap_dev_base_addr(7 downto 0);</t>
  </si>
  <si>
    <t xml:space="preserve">      avs_config_o.readdata(15 downto 8) &lt;= config_wr_regs_i.rmap_dev_addr_reg.rmap_dev_base_addr(15 downto 8);</t>
  </si>
  <si>
    <t xml:space="preserve">      avs_config_o.readdata(23 downto 16) &lt;= config_wr_regs_i.rmap_dev_addr_reg.rmap_dev_base_addr(23 downto 16);</t>
  </si>
  <si>
    <t xml:space="preserve">      avs_config_o.readdata(31 downto 24) &lt;= config_wr_regs_i.rmap_dev_addr_reg.rmap_dev_base_addr(31 downto 24);</t>
  </si>
  <si>
    <t xml:space="preserve">      avs_config_o.readdata(7 downto 0) &lt;= config_wr_regs_i.rmap_codec_config_reg.rmap_target_logical_addr;</t>
  </si>
  <si>
    <t xml:space="preserve">      avs_config_o.readdata(0) &lt;= config_rd_regs_i.rmap_codec_status_reg.rmap_stat_command_received;</t>
  </si>
  <si>
    <t xml:space="preserve">      avs_config_o.readdata(0) &lt;= config_rd_regs_i.rmap_codec_status_reg.rmap_stat_write_requested;</t>
  </si>
  <si>
    <t xml:space="preserve">      avs_config_o.readdata(0) &lt;= config_rd_regs_i.rmap_codec_status_reg.rmap_stat_write_authorized;</t>
  </si>
  <si>
    <t xml:space="preserve">      avs_config_o.readdata(0) &lt;= config_rd_regs_i.rmap_codec_status_reg.rmap_stat_read_requested;</t>
  </si>
  <si>
    <t xml:space="preserve">      avs_config_o.readdata(0) &lt;= config_rd_regs_i.rmap_codec_status_reg.rmap_stat_read_authorized;</t>
  </si>
  <si>
    <t xml:space="preserve">      avs_config_o.readdata(0) &lt;= config_rd_regs_i.rmap_codec_status_reg.rmap_stat_reply_sended;</t>
  </si>
  <si>
    <t xml:space="preserve">      avs_config_o.readdata(0) &lt;= config_rd_regs_i.rmap_codec_status_reg.rmap_stat_discarded_package;</t>
  </si>
  <si>
    <t xml:space="preserve">      avs_config_o.readdata(0) &lt;= config_rd_regs_i.rmap_codec_status_reg.rmap_err_early_eop;</t>
  </si>
  <si>
    <t xml:space="preserve">      avs_config_o.readdata(0) &lt;= config_rd_regs_i.rmap_codec_status_reg.rmap_err_eep;</t>
  </si>
  <si>
    <t xml:space="preserve">      avs_config_o.readdata(0) &lt;= config_rd_regs_i.rmap_codec_status_reg.rmap_err_header_crc;</t>
  </si>
  <si>
    <t xml:space="preserve">      avs_config_o.readdata(0) &lt;= config_rd_regs_i.rmap_codec_status_reg.rmap_err_unused_packet_type;</t>
  </si>
  <si>
    <t xml:space="preserve">      avs_config_o.readdata(0) &lt;= config_rd_regs_i.rmap_codec_status_reg.rmap_err_invalid_command_code;</t>
  </si>
  <si>
    <t xml:space="preserve">      avs_config_o.readdata(0) &lt;= config_rd_regs_i.rmap_codec_status_reg.rmap_err_too_much_data;</t>
  </si>
  <si>
    <t xml:space="preserve">      avs_config_o.readdata(0) &lt;= config_rd_regs_i.rmap_codec_status_reg.rmap_err_invalid_data_crc;</t>
  </si>
  <si>
    <t xml:space="preserve">      avs_config_o.readdata(7 downto 0) &lt;= config_rd_regs_i.rmap_memory_status_reg.rmap_last_write_addr(7 downto 0);</t>
  </si>
  <si>
    <t xml:space="preserve">      avs_config_o.readdata(15 downto 8) &lt;= config_rd_regs_i.rmap_memory_status_reg.rmap_last_write_addr(15 downto 8);</t>
  </si>
  <si>
    <t xml:space="preserve">      avs_config_o.readdata(23 downto 16) &lt;= config_rd_regs_i.rmap_memory_status_reg.rmap_last_write_addr(23 downto 16);</t>
  </si>
  <si>
    <t xml:space="preserve">      avs_config_o.readdata(31 downto 24) &lt;= config_rd_regs_i.rmap_memory_status_reg.rmap_last_write_addr(31 downto 24);</t>
  </si>
  <si>
    <t xml:space="preserve">      avs_config_o.readdata(7 downto 0) &lt;= config_rd_regs_i.rmap_memory_status_reg.rmap_last_write_length_bytes(7 downto 0);</t>
  </si>
  <si>
    <t xml:space="preserve">      avs_config_o.readdata(15 downto 8) &lt;= config_rd_regs_i.rmap_memory_status_reg.rmap_last_write_length_bytes(15 downto 8);</t>
  </si>
  <si>
    <t xml:space="preserve">      avs_config_o.readdata(23 downto 16) &lt;= config_rd_regs_i.rmap_memory_status_reg.rmap_last_write_length_bytes(23 downto 16);</t>
  </si>
  <si>
    <t xml:space="preserve">      avs_config_o.readdata(31 downto 24) &lt;= config_rd_regs_i.rmap_memory_status_reg.rmap_last_write_length_bytes(31 downto 24);</t>
  </si>
  <si>
    <t xml:space="preserve">      avs_config_o.readdata(7 downto 0) &lt;= config_rd_regs_i.rmap_memory_status_reg.rmap_last_read_addr(7 downto 0);</t>
  </si>
  <si>
    <t xml:space="preserve">      avs_config_o.readdata(15 downto 8) &lt;= config_rd_regs_i.rmap_memory_status_reg.rmap_last_read_addr(15 downto 8);</t>
  </si>
  <si>
    <t xml:space="preserve">      avs_config_o.readdata(23 downto 16) &lt;= config_rd_regs_i.rmap_memory_status_reg.rmap_last_read_addr(23 downto 16);</t>
  </si>
  <si>
    <t xml:space="preserve">      avs_config_o.readdata(31 downto 24) &lt;= config_rd_regs_i.rmap_memory_status_reg.rmap_last_read_addr(31 downto 24);</t>
  </si>
  <si>
    <t xml:space="preserve">      avs_config_o.readdata(7 downto 0) &lt;= config_rd_regs_i.rmap_memory_status_reg.rmap_last_read_length_bytes(7 downto 0);</t>
  </si>
  <si>
    <t xml:space="preserve">      avs_config_o.readdata(15 downto 8) &lt;= config_rd_regs_i.rmap_memory_status_reg.rmap_last_read_length_bytes(15 downto 8);</t>
  </si>
  <si>
    <t xml:space="preserve">      avs_config_o.readdata(23 downto 16) &lt;= config_rd_regs_i.rmap_memory_status_reg.rmap_last_read_length_bytes(23 downto 16);</t>
  </si>
  <si>
    <t xml:space="preserve">      avs_config_o.readdata(31 downto 24) &lt;= config_rd_regs_i.rmap_memory_status_reg.rmap_last_read_length_bytes(31 downto 24);</t>
  </si>
  <si>
    <t xml:space="preserve">      avs_config_o.readdata(7 downto 0) &lt;= config_wr_regs_i.rmap_memory_config_reg.rmap_win_area_offset_high_dword(7 downto 0);</t>
  </si>
  <si>
    <t xml:space="preserve">      avs_config_o.readdata(15 downto 8) &lt;= config_wr_regs_i.rmap_memory_config_reg.rmap_win_area_offset_high_dword(15 downto 8);</t>
  </si>
  <si>
    <t xml:space="preserve">      avs_config_o.readdata(23 downto 16) &lt;= config_wr_regs_i.rmap_memory_config_reg.rmap_win_area_offset_high_dword(23 downto 16);</t>
  </si>
  <si>
    <t xml:space="preserve">      avs_config_o.readdata(31 downto 24) &lt;= config_wr_regs_i.rmap_memory_config_reg.rmap_win_area_offset_high_dword(31 downto 24);</t>
  </si>
  <si>
    <t xml:space="preserve">      avs_config_o.readdata(7 downto 0) &lt;= config_wr_regs_i.rmap_memory_config_reg.rmap_win_area_offset_low_dword(7 downto 0);</t>
  </si>
  <si>
    <t xml:space="preserve">      avs_config_o.readdata(15 downto 8) &lt;= config_wr_regs_i.rmap_memory_config_reg.rmap_win_area_offset_low_dword(15 downto 8);</t>
  </si>
  <si>
    <t xml:space="preserve">      avs_config_o.readdata(23 downto 16) &lt;= config_wr_regs_i.rmap_memory_config_reg.rmap_win_area_offset_low_dword(23 downto 16);</t>
  </si>
  <si>
    <t xml:space="preserve">      avs_config_o.readdata(31 downto 24) &lt;= config_wr_regs_i.rmap_memory_config_reg.rmap_win_area_offset_low_dword(31 downto 24);</t>
  </si>
  <si>
    <t xml:space="preserve">      avs_config_o.readdata(7 downto 0) &lt;= config_wr_regs_i.rmap_mem_area_ptr_reg.rmap_mem_area_ptr(7 downto 0);</t>
  </si>
  <si>
    <t xml:space="preserve">      avs_config_o.readdata(15 downto 8) &lt;= config_wr_regs_i.rmap_mem_area_ptr_reg.rmap_mem_area_ptr(15 downto 8);</t>
  </si>
  <si>
    <t xml:space="preserve">      avs_config_o.readdata(23 downto 16) &lt;= config_wr_regs_i.rmap_mem_area_ptr_reg.rmap_mem_area_ptr(23 downto 16);</t>
  </si>
  <si>
    <t xml:space="preserve">      avs_config_o.readdata(31 downto 24) &lt;= config_wr_regs_i.rmap_mem_area_ptr_reg.rmap_mem_area_ptr(31 downto 24);</t>
  </si>
  <si>
    <t xml:space="preserve">    avs_config_o.readdata &lt;= (others =&gt; '0');</t>
  </si>
  <si>
    <t xml:space="preserve">      config_wr_regs_o.scom_dev_addr_reg.scom_dev_base_addr(7 downto 0) &lt;= avs_config_i.writedata(7 downto 0);</t>
  </si>
  <si>
    <t xml:space="preserve">      config_wr_regs_o.scom_dev_addr_reg.scom_dev_base_addr(15 downto 8) &lt;= avs_config_i.writedata(15 downto 8);</t>
  </si>
  <si>
    <t xml:space="preserve">      config_wr_regs_o.scom_dev_addr_reg.scom_dev_base_addr(23 downto 16) &lt;= avs_config_i.writedata(23 downto 16);</t>
  </si>
  <si>
    <t xml:space="preserve">      config_wr_regs_o.scom_dev_addr_reg.scom_dev_base_addr(31 downto 24) &lt;= avs_config_i.writedata(31 downto 24);</t>
  </si>
  <si>
    <t xml:space="preserve">      config_wr_regs_o.spw_dev_addr_reg.spw_dev_base_addr(7 downto 0) &lt;= avs_config_i.writedata(7 downto 0);</t>
  </si>
  <si>
    <t xml:space="preserve">      config_wr_regs_o.spw_dev_addr_reg.spw_dev_base_addr(15 downto 8) &lt;= avs_config_i.writedata(15 downto 8);</t>
  </si>
  <si>
    <t xml:space="preserve">      config_wr_regs_o.spw_dev_addr_reg.spw_dev_base_addr(23 downto 16) &lt;= avs_config_i.writedata(23 downto 16);</t>
  </si>
  <si>
    <t xml:space="preserve">      config_wr_regs_o.spw_dev_addr_reg.spw_dev_base_addr(31 downto 24) &lt;= avs_config_i.writedata(31 downto 24);</t>
  </si>
  <si>
    <t xml:space="preserve">      config_wr_regs_o.spw_link_config_reg.spw_lnkcfg_disconnect &lt;= avs_config_i.writedata(0);</t>
  </si>
  <si>
    <t xml:space="preserve">      config_wr_regs_o.spw_link_config_reg.spw_lnkcfg_linkstart &lt;= avs_config_i.writedata(0);</t>
  </si>
  <si>
    <t xml:space="preserve">      config_wr_regs_o.spw_link_config_reg.spw_lnkcfg_autostart &lt;= avs_config_i.writedata(0);</t>
  </si>
  <si>
    <t xml:space="preserve">      config_wr_regs_o.spw_link_config_reg.spw_lnkcfg_txdivcnt &lt;= avs_config_i.writedata(7 downto 0);</t>
  </si>
  <si>
    <t xml:space="preserve">      config_wr_regs_o.spw_timecode_config_reg.timecode_clear &lt;= avs_config_i.writedata(0);</t>
  </si>
  <si>
    <t xml:space="preserve">      config_wr_regs_o.spw_timecode_config_reg.timecode_en &lt;= avs_config_i.writedata(0);</t>
  </si>
  <si>
    <t xml:space="preserve">      config_wr_regs_o.rmap_dev_addr_reg.rmap_dev_base_addr(7 downto 0) &lt;= avs_config_i.writedata(7 downto 0);</t>
  </si>
  <si>
    <t xml:space="preserve">      config_wr_regs_o.rmap_dev_addr_reg.rmap_dev_base_addr(15 downto 8) &lt;= avs_config_i.writedata(15 downto 8);</t>
  </si>
  <si>
    <t xml:space="preserve">      config_wr_regs_o.rmap_dev_addr_reg.rmap_dev_base_addr(23 downto 16) &lt;= avs_config_i.writedata(23 downto 16);</t>
  </si>
  <si>
    <t xml:space="preserve">      config_wr_regs_o.rmap_dev_addr_reg.rmap_dev_base_addr(31 downto 24) &lt;= avs_config_i.writedata(31 downto 24);</t>
  </si>
  <si>
    <t xml:space="preserve">      config_wr_regs_o.rmap_codec_config_reg.rmap_target_logical_addr &lt;= avs_config_i.writedata(7 downto 0);</t>
  </si>
  <si>
    <t xml:space="preserve">      config_wr_regs_o.rmap_memory_config_reg.rmap_win_area_offset_high_dword(7 downto 0) &lt;= avs_config_i.writedata(7 downto 0);</t>
  </si>
  <si>
    <t xml:space="preserve">      config_wr_regs_o.rmap_memory_config_reg.rmap_win_area_offset_high_dword(15 downto 8) &lt;= avs_config_i.writedata(15 downto 8);</t>
  </si>
  <si>
    <t xml:space="preserve">      config_wr_regs_o.rmap_memory_config_reg.rmap_win_area_offset_high_dword(23 downto 16) &lt;= avs_config_i.writedata(23 downto 16);</t>
  </si>
  <si>
    <t xml:space="preserve">      config_wr_regs_o.rmap_memory_config_reg.rmap_win_area_offset_high_dword(31 downto 24) &lt;= avs_config_i.writedata(31 downto 24);</t>
  </si>
  <si>
    <t xml:space="preserve">      config_wr_regs_o.rmap_memory_config_reg.rmap_win_area_offset_low_dword(7 downto 0) &lt;= avs_config_i.writedata(7 downto 0);</t>
  </si>
  <si>
    <t xml:space="preserve">      config_wr_regs_o.rmap_memory_config_reg.rmap_win_area_offset_low_dword(15 downto 8) &lt;= avs_config_i.writedata(15 downto 8);</t>
  </si>
  <si>
    <t xml:space="preserve">      config_wr_regs_o.rmap_memory_config_reg.rmap_win_area_offset_low_dword(23 downto 16) &lt;= avs_config_i.writedata(23 downto 16);</t>
  </si>
  <si>
    <t xml:space="preserve">      config_wr_regs_o.rmap_memory_config_reg.rmap_win_area_offset_low_dword(31 downto 24) &lt;= avs_config_i.writedata(31 downto 24);</t>
  </si>
  <si>
    <t xml:space="preserve">      config_wr_regs_o.rmap_mem_area_ptr_reg.rmap_mem_area_ptr(7 downto 0) &lt;= avs_config_i.writedata(7 downto 0);</t>
  </si>
  <si>
    <t xml:space="preserve">      config_wr_regs_o.rmap_mem_area_ptr_reg.rmap_mem_area_ptr(15 downto 8) &lt;= avs_config_i.writedata(15 downto 8);</t>
  </si>
  <si>
    <t xml:space="preserve">      config_wr_regs_o.rmap_mem_area_ptr_reg.rmap_mem_area_ptr(23 downto 16) &lt;= avs_config_i.writedata(23 downto 16);</t>
  </si>
  <si>
    <t xml:space="preserve">      config_wr_regs_o.rmap_mem_area_ptr_reg.rmap_mem_area_ptr(31 downto 24) &lt;= avs_config_i.writedata(31 downto 24);</t>
  </si>
  <si>
    <t>-- Scom Device Address Register : Scom Device Base Address</t>
  </si>
  <si>
    <t>config_wr_regs_o.scom_dev_addr_reg.scom_dev_base_addr &lt;= (others =&gt; '0');</t>
  </si>
  <si>
    <t>config_wr_regs_o.spw_dev_addr_reg.spw_dev_base_addr &lt;= (others =&gt; '0');</t>
  </si>
  <si>
    <t>config_wr_regs_o.spw_link_config_reg.spw_lnkcfg_disconnect &lt;= '0';</t>
  </si>
  <si>
    <t>config_wr_regs_o.spw_link_config_reg.spw_lnkcfg_linkstart &lt;= '0';</t>
  </si>
  <si>
    <t>config_wr_regs_o.spw_link_config_reg.spw_lnkcfg_autostart &lt;= '0';</t>
  </si>
  <si>
    <t>config_wr_regs_o.spw_link_config_reg.spw_lnkcfg_txdivcnt &lt;= x"01";</t>
  </si>
  <si>
    <t>config_wr_regs_o.spw_timecode_config_reg.timecode_clear &lt;= '0';</t>
  </si>
  <si>
    <t>config_wr_regs_o.spw_timecode_config_reg.timecode_en &lt;= '1';</t>
  </si>
  <si>
    <t>config_wr_regs_o.rmap_dev_addr_reg.rmap_dev_base_addr &lt;= (others =&gt; '0');</t>
  </si>
  <si>
    <t>config_wr_regs_o.rmap_codec_config_reg.rmap_target_logical_addr &lt;= x"51";</t>
  </si>
  <si>
    <t>config_wr_regs_o.rmap_codec_config_reg.rmap_target_key &lt;= x"D1";</t>
  </si>
  <si>
    <t>config_wr_regs_o.rmap_memory_config_reg.rmap_win_area_offset_high_dword &lt;= (others =&gt; '0');</t>
  </si>
  <si>
    <t>config_wr_regs_o.rmap_memory_config_reg.rmap_win_area_offset_low_dword &lt;= (others =&gt; '0');</t>
  </si>
  <si>
    <t>config_wr_regs_o.rmap_mem_area_ptr_reg.rmap_mem_area_ptr &lt;= (others =&gt; '0');</t>
  </si>
  <si>
    <t xml:space="preserve"> /* Scom Device Address Register Struct */</t>
  </si>
  <si>
    <t xml:space="preserve">  alt_u32 uliDevBaseAddr; /* Scom Device Base Address */</t>
  </si>
  <si>
    <t>typedef struct ScomChannel {</t>
  </si>
  <si>
    <t>} TScomChannel;</t>
  </si>
  <si>
    <t>SSpwcDevAddr</t>
  </si>
  <si>
    <t>SSpwcLinkConfig</t>
  </si>
  <si>
    <t>SSpwcLinkStatus</t>
  </si>
  <si>
    <t>SSpwcLinkError</t>
  </si>
  <si>
    <t>SSpwcTimecodeConfig</t>
  </si>
  <si>
    <t>SSpwcTimecodeStatus</t>
  </si>
  <si>
    <t>SRmapDevAddr</t>
  </si>
  <si>
    <t>SRmapCodecConfig</t>
  </si>
  <si>
    <t>SRmapCodecStatus</t>
  </si>
  <si>
    <t>SRmapCodecError</t>
  </si>
  <si>
    <t>SRmapMemStatus</t>
  </si>
  <si>
    <t>SRmapMemConfig</t>
  </si>
  <si>
    <t>SRmapMemAreaPrt</t>
  </si>
  <si>
    <t>typedef struct SSpwcDevAddr {</t>
  </si>
  <si>
    <t>} TSSpwcDevAddr;</t>
  </si>
  <si>
    <t>typedef struct SSpwcLinkConfig {</t>
  </si>
  <si>
    <t>} TSSpwcLinkConfig;</t>
  </si>
  <si>
    <t>typedef struct SSpwcLinkStatus {</t>
  </si>
  <si>
    <t>} TSSpwcLinkStatus;</t>
  </si>
  <si>
    <t>typedef struct SSpwcLinkError {</t>
  </si>
  <si>
    <t>} TSSpwcLinkError;</t>
  </si>
  <si>
    <t>typedef struct SSpwcTimecodeConfig {</t>
  </si>
  <si>
    <t>} TSSpwcTimecodeConfig;</t>
  </si>
  <si>
    <t>typedef struct SSpwcTimecodeStatus {</t>
  </si>
  <si>
    <t>} TSSpwcTimecodeStatus;</t>
  </si>
  <si>
    <t>typedef struct SRmapDevAddr {</t>
  </si>
  <si>
    <t>} TSRmapDevAddr;</t>
  </si>
  <si>
    <t>typedef struct SRmapCodecConfig {</t>
  </si>
  <si>
    <t>} TSRmapCodecConfig;</t>
  </si>
  <si>
    <t>typedef struct SRmapCodecStatus {</t>
  </si>
  <si>
    <t>} TSRmapCodecStatus;</t>
  </si>
  <si>
    <t>typedef struct SRmapCodecError {</t>
  </si>
  <si>
    <t>} TSRmapCodecError;</t>
  </si>
  <si>
    <t>typedef struct SRmapMemStatus {</t>
  </si>
  <si>
    <t>} TSRmapMemStatus;</t>
  </si>
  <si>
    <t>typedef struct SRmapMemConfig {</t>
  </si>
  <si>
    <t>} TSRmapMemConfig;</t>
  </si>
  <si>
    <t>typedef struct SRmapMemAreaPrt {</t>
  </si>
  <si>
    <t>} TSRmapMemAreaPrt;</t>
  </si>
  <si>
    <t xml:space="preserve">  TSSpwcDevAddr xSSpwcDevAddr;</t>
  </si>
  <si>
    <t xml:space="preserve">  TSSpwcLinkConfig xSSpwcLinkConfig;</t>
  </si>
  <si>
    <t xml:space="preserve">  TSSpwcLinkStatus xSSpwcLinkStatus;</t>
  </si>
  <si>
    <t xml:space="preserve">  TSSpwcLinkError xSSpwcLinkError;</t>
  </si>
  <si>
    <t xml:space="preserve">  TSSpwcTimecodeConfig xSSpwcTimecodeConfig;</t>
  </si>
  <si>
    <t xml:space="preserve">  TSSpwcTimecodeStatus xSSpwcTimecodeStatus;</t>
  </si>
  <si>
    <t xml:space="preserve">  TSRmapDevAddr xSRmapDevAddr;</t>
  </si>
  <si>
    <t xml:space="preserve">  TSRmapCodecConfig xSRmapCodecConfig;</t>
  </si>
  <si>
    <t xml:space="preserve">  TSRmapCodecStatus xSRmapCodecStatus;</t>
  </si>
  <si>
    <t xml:space="preserve">  TSRmapCodecError xSRmapCodecError;</t>
  </si>
  <si>
    <t xml:space="preserve">  TSRmapMemStatus xSRmapMemStatus;</t>
  </si>
  <si>
    <t xml:space="preserve">  TSRmapMemConfig xSRmapMemConfig;</t>
  </si>
  <si>
    <t xml:space="preserve">  TSRmapMemAreaPrt xSRmapMemAreaPrt;</t>
  </si>
  <si>
    <t>Data Packet Config Register</t>
  </si>
  <si>
    <t>data_packet_config_reg</t>
  </si>
  <si>
    <t>Data Packet Packet Length</t>
  </si>
  <si>
    <t>data_pkt_packet_length</t>
  </si>
  <si>
    <t>std_logic_vector(to_unsigned(32768, 16))</t>
  </si>
  <si>
    <t>usiPacketLength</t>
  </si>
  <si>
    <t>Data Packet Logical Address</t>
  </si>
  <si>
    <t>data_pkt_logical_addr</t>
  </si>
  <si>
    <t>x"50"</t>
  </si>
  <si>
    <t>ucLogicalAddr</t>
  </si>
  <si>
    <t>Data Packet Protocol ID</t>
  </si>
  <si>
    <t>data_pkt_protocol_id</t>
  </si>
  <si>
    <t>x"F0"</t>
  </si>
  <si>
    <t>ucProtocolId</t>
  </si>
  <si>
    <t>Data Packet FEE Mode</t>
  </si>
  <si>
    <t>data_pkt_fee_mode</t>
  </si>
  <si>
    <t>std_logic_vector(to_unsigned(0, 5))</t>
  </si>
  <si>
    <t>ucFeeMode</t>
  </si>
  <si>
    <t>Data Packet CCD Number</t>
  </si>
  <si>
    <t>data_pkt_ccd_number</t>
  </si>
  <si>
    <t>std_logic_vector(to_unsigned(0, 2))</t>
  </si>
  <si>
    <t>ucCcdNumber</t>
  </si>
  <si>
    <t>t_scom_data_packet_config_wr_reg</t>
  </si>
  <si>
    <t>-- Data Packet Config Register</t>
  </si>
  <si>
    <t>type t_scom_data_packet_config_wr_reg is record</t>
  </si>
  <si>
    <t xml:space="preserve">  data_pkt_packet_length : std_logic_vector(15 downto 0); -- Data Packet Packet Length</t>
  </si>
  <si>
    <t xml:space="preserve">  data_pkt_fee_mode : std_logic_vector(4 downto 0); -- Data Packet FEE Mode</t>
  </si>
  <si>
    <t xml:space="preserve">  data_pkt_ccd_number : std_logic_vector(1 downto 0); -- Data Packet CCD Number</t>
  </si>
  <si>
    <t xml:space="preserve">  data_pkt_protocol_id : std_logic_vector(7 downto 0); -- Data Packet Protocol ID</t>
  </si>
  <si>
    <t xml:space="preserve">  data_pkt_logical_addr : std_logic_vector(7 downto 0); -- Data Packet Logical Address</t>
  </si>
  <si>
    <t>end record t_scom_data_packet_config_wr_reg;</t>
  </si>
  <si>
    <t xml:space="preserve">  data_packet_config_reg : t_scom_data_packet_config_wr_reg; -- Data Packet Config Register</t>
  </si>
  <si>
    <t xml:space="preserve">  when (16#27#) =&gt;</t>
  </si>
  <si>
    <t xml:space="preserve">      -- Data Packet Config Register : Data Packet Packet Length</t>
  </si>
  <si>
    <t xml:space="preserve">      avs_config_o.readdata(7 downto 0) &lt;= config_wr_regs_i.data_packet_config_reg.data_pkt_packet_length(7 downto 0);</t>
  </si>
  <si>
    <t xml:space="preserve">      avs_config_o.readdata(15 downto 8) &lt;= config_wr_regs_i.data_packet_config_reg.data_pkt_packet_length(15 downto 8);</t>
  </si>
  <si>
    <t xml:space="preserve">      -- Data Packet Config Register : Data Packet FEE Mode</t>
  </si>
  <si>
    <t xml:space="preserve">      -- Data Packet Config Register : Data Packet CCD Number</t>
  </si>
  <si>
    <t xml:space="preserve">  when (16#28#) =&gt;</t>
  </si>
  <si>
    <t xml:space="preserve">      -- Data Packet Config Register : Data Packet Protocol ID</t>
  </si>
  <si>
    <t xml:space="preserve">      avs_config_o.readdata(7 downto 0) &lt;= config_wr_regs_i.data_packet_config_reg.data_pkt_protocol_id;</t>
  </si>
  <si>
    <t xml:space="preserve">      -- Data Packet Config Register : Data Packet Logical Address</t>
  </si>
  <si>
    <t xml:space="preserve">      config_wr_regs_o.data_packet_config_reg.data_pkt_packet_length(7 downto 0) &lt;= avs_config_i.writedata(7 downto 0);</t>
  </si>
  <si>
    <t xml:space="preserve">      config_wr_regs_o.data_packet_config_reg.data_pkt_packet_length(15 downto 8) &lt;= avs_config_i.writedata(15 downto 8);</t>
  </si>
  <si>
    <t xml:space="preserve">      config_wr_regs_o.data_packet_config_reg.data_pkt_protocol_id &lt;= avs_config_i.writedata(7 downto 0);</t>
  </si>
  <si>
    <t>-- Data Packet Config Register : Data Packet Packet Length</t>
  </si>
  <si>
    <t>config_wr_regs_o.data_packet_config_reg.data_pkt_packet_length &lt;= std_logic_vector(to_unsigned(32768, 16));</t>
  </si>
  <si>
    <t>-- Data Packet Config Register : Data Packet FEE Mode</t>
  </si>
  <si>
    <t>config_wr_regs_o.data_packet_config_reg.data_pkt_fee_mode &lt;= std_logic_vector(to_unsigned(0, 5));</t>
  </si>
  <si>
    <t>-- Data Packet Config Register : Data Packet CCD Number</t>
  </si>
  <si>
    <t>config_wr_regs_o.data_packet_config_reg.data_pkt_ccd_number &lt;= std_logic_vector(to_unsigned(0, 2));</t>
  </si>
  <si>
    <t>-- Data Packet Config Register : Data Packet Protocol ID</t>
  </si>
  <si>
    <t>config_wr_regs_o.data_packet_config_reg.data_pkt_protocol_id &lt;= x"F0";</t>
  </si>
  <si>
    <t>-- Data Packet Config Register : Data Packet Logical Address</t>
  </si>
  <si>
    <t>config_wr_regs_o.data_packet_config_reg.data_pkt_logical_addr &lt;= x"50";</t>
  </si>
  <si>
    <t xml:space="preserve"> /* Data Packet Config Register Struct */</t>
  </si>
  <si>
    <t>SScomChannel</t>
  </si>
  <si>
    <t>typedef struct SScomChannel {</t>
  </si>
  <si>
    <t>} TSScomChannel;</t>
  </si>
  <si>
    <t xml:space="preserve">  TSScomChannel xSScomChannel;</t>
  </si>
  <si>
    <t>FEE Machine Config Register</t>
  </si>
  <si>
    <t>FEE Machine Clear</t>
  </si>
  <si>
    <t>fee_machine_config_reg</t>
  </si>
  <si>
    <t>fee_machine_clear</t>
  </si>
  <si>
    <t>FEE Machine Stop</t>
  </si>
  <si>
    <t>fee_machine_stop</t>
  </si>
  <si>
    <t>bStop</t>
  </si>
  <si>
    <t>FEE Machine Start</t>
  </si>
  <si>
    <t>fee_machine_start</t>
  </si>
  <si>
    <t>bStart</t>
  </si>
  <si>
    <t>t_scom_fee_machine_config_wr_reg</t>
  </si>
  <si>
    <t>SMachineControl</t>
  </si>
  <si>
    <t>SDataPacketConfig</t>
  </si>
  <si>
    <t>-- FEE Machine Config Register</t>
  </si>
  <si>
    <t>type t_scom_fee_machine_config_wr_reg is record</t>
  </si>
  <si>
    <t xml:space="preserve">  fee_machine_clear : std_logic; -- FEE Machine Clear</t>
  </si>
  <si>
    <t xml:space="preserve">  fee_machine_stop : std_logic; -- FEE Machine Stop</t>
  </si>
  <si>
    <t xml:space="preserve">  fee_machine_start : std_logic; -- FEE Machine Start</t>
  </si>
  <si>
    <t>end record t_scom_fee_machine_config_wr_reg;</t>
  </si>
  <si>
    <t xml:space="preserve">  fee_machine_config_reg : t_scom_fee_machine_config_wr_reg; -- FEE Machine Config Register</t>
  </si>
  <si>
    <t xml:space="preserve">      -- FEE Machine Config Register : FEE Machine Clear</t>
  </si>
  <si>
    <t xml:space="preserve">      avs_config_o.readdata(0) &lt;= config_wr_regs_i.fee_machine_config_reg.fee_machine_clear;</t>
  </si>
  <si>
    <t xml:space="preserve">      -- FEE Machine Config Register : FEE Machine Stop</t>
  </si>
  <si>
    <t xml:space="preserve">      avs_config_o.readdata(0) &lt;= config_wr_regs_i.fee_machine_config_reg.fee_machine_stop;</t>
  </si>
  <si>
    <t xml:space="preserve">  when (16#29#) =&gt;</t>
  </si>
  <si>
    <t xml:space="preserve">      -- FEE Machine Config Register : FEE Machine Start</t>
  </si>
  <si>
    <t xml:space="preserve">      avs_config_o.readdata(0) &lt;= config_wr_regs_i.fee_machine_config_reg.fee_machine_start;</t>
  </si>
  <si>
    <t xml:space="preserve">  when (16#2A#) =&gt;</t>
  </si>
  <si>
    <t xml:space="preserve">  when (16#2B#) =&gt;</t>
  </si>
  <si>
    <t>-- FEE Machine Config Register : FEE Machine Clear</t>
  </si>
  <si>
    <t>config_wr_regs_o.fee_machine_config_reg.fee_machine_clear &lt;= '0';</t>
  </si>
  <si>
    <t>-- FEE Machine Config Register : FEE Machine Stop</t>
  </si>
  <si>
    <t>config_wr_regs_o.fee_machine_config_reg.fee_machine_stop &lt;= '0';</t>
  </si>
  <si>
    <t>-- FEE Machine Config Register : FEE Machine Start</t>
  </si>
  <si>
    <t>config_wr_regs_o.fee_machine_config_reg.fee_machine_start &lt;= '0';</t>
  </si>
  <si>
    <t xml:space="preserve">      config_wr_regs_o.fee_machine_config_reg.fee_machine_clear &lt;= avs_config_i.writedata(0);</t>
  </si>
  <si>
    <t xml:space="preserve">      config_wr_regs_o.fee_machine_config_reg.fee_machine_stop &lt;= avs_config_i.writedata(0);</t>
  </si>
  <si>
    <t xml:space="preserve">      config_wr_regs_o.fee_machine_config_reg.fee_machine_start &lt;= avs_config_i.writedata(0);</t>
  </si>
  <si>
    <t xml:space="preserve"> /* FEE Machine Config Register Struct */</t>
  </si>
  <si>
    <t>typedef struct SMachineControl {</t>
  </si>
  <si>
    <t xml:space="preserve">  bool bClear; /* FEE Machine Clear */</t>
  </si>
  <si>
    <t xml:space="preserve">  bool bStop; /* FEE Machine Stop */</t>
  </si>
  <si>
    <t xml:space="preserve">  bool bStart; /* FEE Machine Start */</t>
  </si>
  <si>
    <t>} TSMachineControl;</t>
  </si>
  <si>
    <t>typedef struct SDataPacketConfig {</t>
  </si>
  <si>
    <t>} TSDataPacketConfig;</t>
  </si>
  <si>
    <t xml:space="preserve">  TSMachineControl xSMachineControl;</t>
  </si>
  <si>
    <t xml:space="preserve">  TSDataPacketConfig xSDataPacketConfig;</t>
  </si>
  <si>
    <t xml:space="preserve">      avs_config_o.readdata(1 downto 0) &lt;= config_rd_regs_i.spw_timecode_status_reg.timecode_control;</t>
  </si>
  <si>
    <t xml:space="preserve">      avs_config_o.readdata(7 downto 0) &lt;= config_wr_regs_i.rmap_codec_config_reg.rmap_target_key;</t>
  </si>
  <si>
    <t xml:space="preserve">  when (16#2C#) =&gt;</t>
  </si>
  <si>
    <t xml:space="preserve">  when (16#2D#) =&gt;</t>
  </si>
  <si>
    <t xml:space="preserve">      avs_config_o.readdata(4 downto 0) &lt;= config_wr_regs_i.data_packet_config_reg.data_pkt_fee_mode;</t>
  </si>
  <si>
    <t xml:space="preserve">  when (16#2E#) =&gt;</t>
  </si>
  <si>
    <t xml:space="preserve">      avs_config_o.readdata(1 downto 0) &lt;= config_wr_regs_i.data_packet_config_reg.data_pkt_ccd_number;</t>
  </si>
  <si>
    <t xml:space="preserve">  when (16#2F#) =&gt;</t>
  </si>
  <si>
    <t xml:space="preserve">  when (16#30#) =&gt;</t>
  </si>
  <si>
    <t xml:space="preserve">      avs_config_o.readdata(7 downto 0) &lt;= config_wr_regs_i.data_packet_config_reg.data_pkt_logical_addr;</t>
  </si>
  <si>
    <t xml:space="preserve">      config_wr_regs_o.rmap_codec_config_reg.rmap_target_key &lt;= avs_config_i.writedata(7 downto 0);</t>
  </si>
  <si>
    <t xml:space="preserve">      config_wr_regs_o.data_packet_config_reg.data_pkt_fee_mode &lt;= avs_config_i.writedata(4 downto 0);</t>
  </si>
  <si>
    <t xml:space="preserve">      config_wr_regs_o.data_packet_config_reg.data_pkt_ccd_number &lt;= avs_config_i.writedata(1 downto 0);</t>
  </si>
  <si>
    <t xml:space="preserve">      config_wr_regs_o.data_packet_config_reg.data_pkt_logical_addr &lt;= avs_config_i.writedata(7 downto 0);</t>
  </si>
  <si>
    <t xml:space="preserve">  alt_u32 ucTxDivCnt; /* SpaceWire Link Config TxDivCnt */</t>
  </si>
  <si>
    <t xml:space="preserve">  alt_u32 ucTime; /* SpaceWire Timecode Time */</t>
  </si>
  <si>
    <t xml:space="preserve">  alt_u32 ucControl; /* SpaceWire Timecode Control */</t>
  </si>
  <si>
    <t xml:space="preserve">  alt_u32 ucLogicalAddress; /* RMAP Target Logical Address */</t>
  </si>
  <si>
    <t xml:space="preserve">  alt_u32 ucKey; /* RMAP Target Key */</t>
  </si>
  <si>
    <t xml:space="preserve">  alt_u32 usiPacketLength; /* Data Packet Packet Length */</t>
  </si>
  <si>
    <t xml:space="preserve">  alt_u32 ucFeeMode; /* Data Packet FEE Mode */</t>
  </si>
  <si>
    <t xml:space="preserve">  alt_u32 ucCcdNumber; /* Data Packet CCD Number */</t>
  </si>
  <si>
    <t xml:space="preserve">  alt_u32 ucProtocolId; /* Data Packet Protocol ID */</t>
  </si>
  <si>
    <t xml:space="preserve">  alt_u32 ucLogicalAddr; /* Data Packet Logical Address */</t>
  </si>
  <si>
    <t>SpaceWire Link Config Enable</t>
  </si>
  <si>
    <t>spw_lnkcfg_enable</t>
  </si>
  <si>
    <t>SpwcChannel</t>
  </si>
  <si>
    <t>constant c_SCOM_AVS_CONFIG_MAX_ADDR : natural range 0 to 255 := 16#31#;</t>
  </si>
  <si>
    <t xml:space="preserve">  spw_lnkcfg_enable : std_logic; -- SpaceWire Link Config Enable</t>
  </si>
  <si>
    <t xml:space="preserve">      -- SpaceWire Link Config Register : SpaceWire Link Config Enable</t>
  </si>
  <si>
    <t xml:space="preserve">      avs_config_o.readdata(0) &lt;= config_wr_regs_i.spw_link_config_reg.spw_lnkcfg_enable;</t>
  </si>
  <si>
    <t xml:space="preserve">  when (16#31#) =&gt;</t>
  </si>
  <si>
    <t xml:space="preserve">      config_wr_regs_o.spw_link_config_reg.spw_lnkcfg_enable &lt;= avs_config_i.writedata(0);</t>
  </si>
  <si>
    <t>-- SpaceWire Link Config Register : SpaceWire Link Config Enable</t>
  </si>
  <si>
    <t>config_wr_regs_o.spw_link_config_reg.spw_lnkcfg_enable &lt;= '0';</t>
  </si>
  <si>
    <t xml:space="preserve">  bool bEnable; /* SpaceWire Link Config Enable */</t>
  </si>
  <si>
    <t>typedef struct SpwcChannel {</t>
  </si>
  <si>
    <t>} TSpwcChannel;</t>
  </si>
  <si>
    <t xml:space="preserve">    -- if (avs_config_i.byteenable(0) = '1') then</t>
  </si>
  <si>
    <t xml:space="preserve">    -- if (avs_config_i.byteenable(1) = '1') then</t>
  </si>
  <si>
    <t xml:space="preserve">    -- if (avs_config_i.byteenable(2) = '1') then</t>
  </si>
  <si>
    <t xml:space="preserve">    -- if (avs_config_i.byteenable(3) = '1') then</t>
  </si>
  <si>
    <t xml:space="preserve">    -- end if;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</si>
</sst>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27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31</v>
      </c>
      <c r="C2" s="2" t="s">
        <v>32</v>
      </c>
      <c r="D2" s="2" t="s">
        <v>1</v>
      </c>
      <c r="E2" s="6" t="s">
        <v>43</v>
      </c>
      <c r="F2" s="6" t="s">
        <v>2</v>
      </c>
      <c r="G2" s="6" t="s">
        <v>4</v>
      </c>
      <c r="H2" s="6" t="s">
        <v>3</v>
      </c>
      <c r="I2" s="16" t="s">
        <v>42</v>
      </c>
      <c r="J2" s="2" t="s">
        <v>33</v>
      </c>
      <c r="K2" s="6" t="s">
        <v>79</v>
      </c>
      <c r="L2" s="7" t="s">
        <v>80</v>
      </c>
      <c r="M2" s="7" t="s">
        <v>82</v>
      </c>
      <c r="N2" s="6" t="s">
        <v>44</v>
      </c>
      <c r="O2" s="6" t="s">
        <v>45</v>
      </c>
      <c r="P2" s="2" t="s">
        <v>46</v>
      </c>
      <c r="Q2" s="6" t="s">
        <v>73</v>
      </c>
      <c r="R2" s="6" t="s">
        <v>74</v>
      </c>
      <c r="S2" s="6" t="s">
        <v>76</v>
      </c>
      <c r="T2" s="6" t="s">
        <v>78</v>
      </c>
      <c r="U2" s="6" t="s">
        <v>75</v>
      </c>
      <c r="V2" s="2" t="s">
        <v>77</v>
      </c>
      <c r="W2" s="31" t="s">
        <v>8</v>
      </c>
      <c r="X2" s="31"/>
      <c r="Y2" s="31"/>
      <c r="Z2" s="31"/>
      <c r="AA2" s="32" t="s">
        <v>117</v>
      </c>
      <c r="AB2" s="32"/>
      <c r="AC2" s="32"/>
      <c r="AD2" s="32"/>
      <c r="AE2" s="32" t="s">
        <v>23</v>
      </c>
      <c r="AF2" s="32"/>
      <c r="AG2" s="32"/>
      <c r="AH2" s="32"/>
      <c r="AI2" s="11" t="s">
        <v>83</v>
      </c>
    </row>
    <row r="3" spans="1:35" x14ac:dyDescent="0.25">
      <c r="A3" s="3"/>
      <c r="B3" s="6" t="s">
        <v>40</v>
      </c>
      <c r="C3" s="6" t="s">
        <v>40</v>
      </c>
      <c r="D3" s="6" t="s">
        <v>40</v>
      </c>
      <c r="E3" s="6" t="s">
        <v>40</v>
      </c>
      <c r="F3" s="6" t="s">
        <v>40</v>
      </c>
      <c r="G3" s="6" t="s">
        <v>40</v>
      </c>
      <c r="H3" s="6" t="s">
        <v>40</v>
      </c>
      <c r="I3" s="16"/>
      <c r="J3" s="6" t="s">
        <v>40</v>
      </c>
      <c r="K3" s="6" t="s">
        <v>40</v>
      </c>
      <c r="L3" s="7" t="s">
        <v>40</v>
      </c>
      <c r="M3" s="7" t="s">
        <v>40</v>
      </c>
      <c r="N3" s="6" t="s">
        <v>40</v>
      </c>
      <c r="O3" s="6" t="s">
        <v>40</v>
      </c>
      <c r="P3" s="6" t="s">
        <v>40</v>
      </c>
      <c r="Q3" s="6" t="s">
        <v>40</v>
      </c>
      <c r="R3" s="6" t="s">
        <v>40</v>
      </c>
      <c r="S3" s="6" t="s">
        <v>40</v>
      </c>
      <c r="T3" s="6" t="s">
        <v>40</v>
      </c>
      <c r="U3" s="6" t="s">
        <v>40</v>
      </c>
      <c r="V3" s="6" t="s">
        <v>40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A4" s="18"/>
      <c r="B4" s="3" t="s">
        <v>462</v>
      </c>
      <c r="C4" s="3" t="s">
        <v>463</v>
      </c>
      <c r="D4" s="3" t="s">
        <v>1</v>
      </c>
      <c r="E4" s="3" t="s">
        <v>464</v>
      </c>
      <c r="F4" s="3" t="s">
        <v>465</v>
      </c>
      <c r="G4" s="3" t="s">
        <v>466</v>
      </c>
      <c r="H4" s="3" t="s">
        <v>467</v>
      </c>
      <c r="I4" s="3" t="s">
        <v>41</v>
      </c>
      <c r="J4" s="3">
        <v>32</v>
      </c>
      <c r="K4" s="9" t="s">
        <v>127</v>
      </c>
      <c r="L4" s="3" t="s">
        <v>40</v>
      </c>
      <c r="M4" s="3" t="s">
        <v>468</v>
      </c>
      <c r="N4" s="3" t="s">
        <v>760</v>
      </c>
      <c r="O4" s="3" t="s">
        <v>128</v>
      </c>
      <c r="P4" s="3" t="s">
        <v>48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53" si="0">DEC2HEX($S4,3)</f>
        <v>000</v>
      </c>
      <c r="U4" s="3">
        <f>ROUNDDOWN(S4/4,0)</f>
        <v>0</v>
      </c>
      <c r="V4" s="3" t="str">
        <f t="shared" ref="V4:V53" si="1">DEC2HEX($U4,2)</f>
        <v>00</v>
      </c>
      <c r="W4" s="3" t="str">
        <f>IF(MOD($S4,4)=3,"X",IF(AND(MOD($S4,4)=2,$J4&gt;8),"X",IF(AND(MOD($S4,4)=1,$J4&gt;16),"X",IF(AND(MOD($S4,4)=0,$J4&gt;24),"X",""))))</f>
        <v>X</v>
      </c>
      <c r="X4" s="3" t="str">
        <f>IF(MOD($S4,4)=2,"X",IF(AND(MOD($S4,4)=1,$J4&gt;8),"X",IF(AND(MOD($S4,4)=0,$J4&gt;16),"X","")))</f>
        <v>X</v>
      </c>
      <c r="Y4" s="3" t="str">
        <f>IF(MOD($S4,4)=1,"X",IF(AND(MOD($S4,4)=0,$J4&gt;8),"X",""))</f>
        <v>X</v>
      </c>
      <c r="Z4" s="3" t="str">
        <f>IF(MOD($S4,4)=0,"X","")</f>
        <v>X</v>
      </c>
      <c r="AA4" s="3" t="str">
        <f t="shared" ref="AA4:AA5" si="2">IF(W4="","",CONCATENATE("(",IF(($J4-COUNTIF($X4:$Z4,"X")*8)=1,"24)",CONCATENATE(IF(($J4-COUNTIF($X4:$Z4,"X")*8)&gt;=8,32,($J4-COUNTIF($X4:$Z4,"X")*8)+24)-1," downto 24)"))))</f>
        <v>(31 downto 24)</v>
      </c>
      <c r="AB4" s="3" t="str">
        <f t="shared" ref="AB4:AB5" si="3">IF(X4="","",CONCATENATE("(",IF(($J4-COUNTIF($Y4:$Z4,"X")*8)=1,"16)",CONCATENATE(IF(($J4-COUNTIF($Y4:$Z4,"X")*8)&gt;=8,24,($J4-COUNTIF($Y4:$Z4,"X")*8)+16)-1," downto 16)"))))</f>
        <v>(23 downto 16)</v>
      </c>
      <c r="AC4" s="3" t="str">
        <f t="shared" ref="AC4:AC5" si="4">IF(Y4="","",CONCATENATE("(",IF(($J4-COUNTIF($Z4,"X")*8)=1,"8)",CONCATENATE(IF(($J4-COUNTIF($Z4,"X")*8)&gt;=8,16,($J4-COUNTIF($Z4,"X")*8)+8)-1," downto 8)"))))</f>
        <v>(15 downto 8)</v>
      </c>
      <c r="AD4" s="3" t="str">
        <f t="shared" ref="AD4:AD5" si="5">IF(Z4="","",CONCATENATE("(",IF($J4=1,"0)",CONCATENATE(IF($J4&gt;=8,8,$J4)-1," downto 0)"))))</f>
        <v>(7 downto 0)</v>
      </c>
      <c r="AE4" s="3" t="str">
        <f t="shared" ref="AE4:AE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>(31 downto 24)</v>
      </c>
      <c r="AF4" s="3" t="str">
        <f t="shared" ref="AF4:AF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>(23 downto 16)</v>
      </c>
      <c r="AG4" s="3" t="str">
        <f t="shared" ref="AG4:AG5" si="8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3" t="str">
        <f t="shared" ref="AH4:AH5" si="9">IF(Z4="","",IF($J4&lt;=8,"",CONCATENATE("(",IF($J4&gt;=8,7,$J4-1)," downto ",0,")")))</f>
        <v>(7 downto 0)</v>
      </c>
    </row>
    <row r="5" spans="1:35" x14ac:dyDescent="0.25">
      <c r="B5" s="3" t="s">
        <v>129</v>
      </c>
      <c r="C5" s="3" t="s">
        <v>130</v>
      </c>
      <c r="D5" s="3" t="s">
        <v>1</v>
      </c>
      <c r="E5" s="3" t="s">
        <v>464</v>
      </c>
      <c r="F5" s="3" t="s">
        <v>131</v>
      </c>
      <c r="G5" s="3" t="s">
        <v>469</v>
      </c>
      <c r="H5" s="3" t="s">
        <v>132</v>
      </c>
      <c r="I5" s="3" t="s">
        <v>41</v>
      </c>
      <c r="J5" s="3">
        <v>32</v>
      </c>
      <c r="K5" s="9" t="s">
        <v>127</v>
      </c>
      <c r="L5" s="3" t="s">
        <v>40</v>
      </c>
      <c r="M5" s="3" t="s">
        <v>468</v>
      </c>
      <c r="N5" s="3" t="s">
        <v>652</v>
      </c>
      <c r="O5" s="3" t="s">
        <v>133</v>
      </c>
      <c r="P5" s="3" t="s">
        <v>48</v>
      </c>
      <c r="Q5" s="3">
        <f>INDEX(Tables!$C$4:$C$28,MATCH($P5,Tables!$B$4:$B$28,0))</f>
        <v>32</v>
      </c>
      <c r="R5" s="3">
        <f>INDEX(Tables!$D$4:$D$28,MATCH($P5,Tables!$B$4:$B$28,0))</f>
        <v>4</v>
      </c>
      <c r="S5" s="3">
        <f>$S4+$R4+INDEX(Tables!$N$5:$Q$8,MATCH(MOD($S4+$R4,4),Tables!$M$5:$M$8,0),MATCH($R5,Tables!$N$4:$Q$4,0))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53" si="11">IF(MOD($S5,4)=3,"X",IF(AND(MOD($S5,4)=2,$J5&gt;8),"X",IF(AND(MOD($S5,4)=1,$J5&gt;16),"X",IF(AND(MOD($S5,4)=0,$J5&gt;24),"X",""))))</f>
        <v>X</v>
      </c>
      <c r="X5" s="3" t="str">
        <f t="shared" ref="X5:X53" si="12">IF(MOD($S5,4)=2,"X",IF(AND(MOD($S5,4)=1,$J5&gt;8),"X",IF(AND(MOD($S5,4)=0,$J5&gt;16),"X","")))</f>
        <v>X</v>
      </c>
      <c r="Y5" s="3" t="str">
        <f t="shared" ref="Y5:Y53" si="13">IF(MOD($S5,4)=1,"X",IF(AND(MOD($S5,4)=0,$J5&gt;8),"X",""))</f>
        <v>X</v>
      </c>
      <c r="Z5" s="3" t="str">
        <f t="shared" ref="Z5:Z53" si="14">IF(MOD($S5,4)=0,"X","")</f>
        <v>X</v>
      </c>
      <c r="AA5" s="3" t="str">
        <f t="shared" si="2"/>
        <v>(31 downto 24)</v>
      </c>
      <c r="AB5" s="3" t="str">
        <f t="shared" si="3"/>
        <v>(23 downto 16)</v>
      </c>
      <c r="AC5" s="3" t="str">
        <f t="shared" si="4"/>
        <v>(15 downto 8)</v>
      </c>
      <c r="AD5" s="3" t="str">
        <f t="shared" si="5"/>
        <v>(7 downto 0)</v>
      </c>
      <c r="AE5" s="3" t="str">
        <f t="shared" si="6"/>
        <v>(31 downto 24)</v>
      </c>
      <c r="AF5" s="3" t="str">
        <f t="shared" si="7"/>
        <v>(23 downto 16)</v>
      </c>
      <c r="AG5" s="3" t="str">
        <f t="shared" si="8"/>
        <v>(15 downto 8)</v>
      </c>
      <c r="AH5" s="3" t="str">
        <f t="shared" si="9"/>
        <v>(7 downto 0)</v>
      </c>
    </row>
    <row r="6" spans="1:35" x14ac:dyDescent="0.25">
      <c r="B6" s="3" t="s">
        <v>134</v>
      </c>
      <c r="C6" s="3" t="s">
        <v>836</v>
      </c>
      <c r="D6" s="3" t="s">
        <v>1</v>
      </c>
      <c r="E6" s="3" t="s">
        <v>464</v>
      </c>
      <c r="F6" s="3" t="s">
        <v>136</v>
      </c>
      <c r="G6" s="3" t="s">
        <v>470</v>
      </c>
      <c r="H6" s="3" t="s">
        <v>837</v>
      </c>
      <c r="I6" s="3" t="s">
        <v>41</v>
      </c>
      <c r="J6" s="3">
        <v>1</v>
      </c>
      <c r="K6" s="9" t="s">
        <v>81</v>
      </c>
      <c r="L6" s="3" t="s">
        <v>40</v>
      </c>
      <c r="M6" s="3" t="s">
        <v>838</v>
      </c>
      <c r="N6" s="3" t="s">
        <v>653</v>
      </c>
      <c r="O6" s="3" t="s">
        <v>178</v>
      </c>
      <c r="P6" s="3" t="s">
        <v>5</v>
      </c>
      <c r="Q6" s="3">
        <f>INDEX(Tables!$C$4:$C$28,MATCH($P6,Tables!$B$4:$B$28,0))</f>
        <v>32</v>
      </c>
      <c r="R6" s="3">
        <f>INDEX(Tables!$D$4:$D$28,MATCH($P6,Tables!$B$4:$B$28,0))</f>
        <v>4</v>
      </c>
      <c r="S6" s="3">
        <f>$S5+$R5+INDEX(Tables!$N$5:$Q$8,MATCH(MOD($S5+$R5,4),Tables!$M$5:$M$8,0),MATCH($R6,Tables!$N$4:$Q$4,0))</f>
        <v>8</v>
      </c>
      <c r="T6" s="3" t="str">
        <f t="shared" si="0"/>
        <v>008</v>
      </c>
      <c r="U6" s="3">
        <f t="shared" ref="U6:U53" si="15">ROUNDDOWN(S6/4,0)</f>
        <v>2</v>
      </c>
      <c r="V6" s="3" t="str">
        <f t="shared" si="1"/>
        <v>02</v>
      </c>
      <c r="W6" s="3" t="str">
        <f t="shared" si="11"/>
        <v/>
      </c>
      <c r="X6" s="3" t="str">
        <f t="shared" si="12"/>
        <v/>
      </c>
      <c r="Y6" s="3" t="str">
        <f t="shared" si="13"/>
        <v/>
      </c>
      <c r="Z6" s="3" t="str">
        <f t="shared" si="14"/>
        <v>X</v>
      </c>
      <c r="AA6" s="3" t="str">
        <f t="shared" ref="AA6:AA53" si="16">IF(W6="","",CONCATENATE("(",IF(($J6-COUNTIF($X6:$Z6,"X")*8)=1,"24)",CONCATENATE(IF(($J6-COUNTIF($X6:$Z6,"X")*8)&gt;=8,32,($J6-COUNTIF($X6:$Z6,"X")*8)+24)-1," downto 24)"))))</f>
        <v/>
      </c>
      <c r="AB6" s="3" t="str">
        <f t="shared" ref="AB6:AB53" si="17">IF(X6="","",CONCATENATE("(",IF(($J6-COUNTIF($Y6:$Z6,"X")*8)=1,"16)",CONCATENATE(IF(($J6-COUNTIF($Y6:$Z6,"X")*8)&gt;=8,24,($J6-COUNTIF($Y6:$Z6,"X")*8)+16)-1," downto 16)"))))</f>
        <v/>
      </c>
      <c r="AC6" s="3" t="str">
        <f t="shared" ref="AC6:AC53" si="18">IF(Y6="","",CONCATENATE("(",IF(($J6-COUNTIF($Z6,"X")*8)=1,"8)",CONCATENATE(IF(($J6-COUNTIF($Z6,"X")*8)&gt;=8,16,($J6-COUNTIF($Z6,"X")*8)+8)-1," downto 8)"))))</f>
        <v/>
      </c>
      <c r="AD6" s="3" t="str">
        <f t="shared" ref="AD6:AD53" si="19">IF(Z6="","",CONCATENATE("(",IF($J6=1,"0)",CONCATENATE(IF($J6&gt;=8,8,$J6)-1," downto 0)"))))</f>
        <v>(0)</v>
      </c>
      <c r="AE6" s="3" t="str">
        <f t="shared" ref="AE6:AE53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/>
      </c>
      <c r="AF6" s="3" t="str">
        <f t="shared" ref="AF6:AF53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/>
      </c>
      <c r="AG6" s="3" t="str">
        <f t="shared" ref="AG6:AG53" si="22">IF(Y6="","",IF($J6&lt;=8,"",IF(($J6-COUNTIF($Z6,"X")*8)=1,CONCATENATE("(",($J6-1),")"),CONCATENATE("(",IF(($J6-COUNTIF($Z6,"X")*8)&gt;=8,COUNTIF($Z6,"X")*8+7,$J6-COUNTIF($Z6,"X")*8-1+COUNTIF($Z6,"X")*8)," downto ",COUNTIF($Z6,"X")*8,")"))))</f>
        <v/>
      </c>
      <c r="AH6" s="3" t="str">
        <f t="shared" ref="AH6:AH53" si="23">IF(Z6="","",IF($J6&lt;=8,"",CONCATENATE("(",IF($J6&gt;=8,7,$J6-1)," downto ",0,")")))</f>
        <v/>
      </c>
    </row>
    <row r="7" spans="1:35" x14ac:dyDescent="0.25">
      <c r="B7" s="3" t="s">
        <v>134</v>
      </c>
      <c r="C7" s="3" t="s">
        <v>135</v>
      </c>
      <c r="D7" s="3" t="s">
        <v>1</v>
      </c>
      <c r="E7" s="3" t="s">
        <v>464</v>
      </c>
      <c r="F7" s="3" t="s">
        <v>136</v>
      </c>
      <c r="G7" s="3" t="s">
        <v>470</v>
      </c>
      <c r="H7" s="3" t="s">
        <v>137</v>
      </c>
      <c r="I7" s="3" t="s">
        <v>41</v>
      </c>
      <c r="J7" s="3">
        <v>1</v>
      </c>
      <c r="K7" s="9" t="s">
        <v>81</v>
      </c>
      <c r="L7" s="3" t="s">
        <v>40</v>
      </c>
      <c r="M7" s="3" t="s">
        <v>468</v>
      </c>
      <c r="N7" s="3" t="s">
        <v>653</v>
      </c>
      <c r="O7" s="3" t="s">
        <v>138</v>
      </c>
      <c r="P7" s="3" t="s">
        <v>5</v>
      </c>
      <c r="Q7" s="3">
        <f>INDEX(Tables!$C$4:$C$28,MATCH($P7,Tables!$B$4:$B$28,0))</f>
        <v>32</v>
      </c>
      <c r="R7" s="3">
        <f>INDEX(Tables!$D$4:$D$28,MATCH($P7,Tables!$B$4:$B$28,0))</f>
        <v>4</v>
      </c>
      <c r="S7" s="3">
        <f>$S6+$R6+INDEX(Tables!$N$5:$Q$8,MATCH(MOD($S6+$R6,4),Tables!$M$5:$M$8,0),MATCH($R7,Tables!$N$4:$Q$4,0))</f>
        <v>12</v>
      </c>
      <c r="T7" s="3" t="str">
        <f t="shared" si="0"/>
        <v>00C</v>
      </c>
      <c r="U7" s="3">
        <f t="shared" si="15"/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si="16"/>
        <v/>
      </c>
      <c r="AB7" s="3" t="str">
        <f t="shared" si="17"/>
        <v/>
      </c>
      <c r="AC7" s="3" t="str">
        <f t="shared" si="18"/>
        <v/>
      </c>
      <c r="AD7" s="3" t="str">
        <f t="shared" si="19"/>
        <v>(0)</v>
      </c>
      <c r="AE7" s="3" t="str">
        <f t="shared" si="20"/>
        <v/>
      </c>
      <c r="AF7" s="3" t="str">
        <f t="shared" si="21"/>
        <v/>
      </c>
      <c r="AG7" s="3" t="str">
        <f t="shared" si="22"/>
        <v/>
      </c>
      <c r="AH7" s="3" t="str">
        <f t="shared" si="23"/>
        <v/>
      </c>
    </row>
    <row r="8" spans="1:35" x14ac:dyDescent="0.25">
      <c r="B8" s="3" t="s">
        <v>134</v>
      </c>
      <c r="C8" s="3" t="s">
        <v>139</v>
      </c>
      <c r="D8" s="3" t="s">
        <v>1</v>
      </c>
      <c r="E8" s="3" t="s">
        <v>464</v>
      </c>
      <c r="F8" s="3" t="s">
        <v>136</v>
      </c>
      <c r="G8" s="3" t="s">
        <v>470</v>
      </c>
      <c r="H8" s="3" t="s">
        <v>140</v>
      </c>
      <c r="I8" s="3" t="s">
        <v>41</v>
      </c>
      <c r="J8" s="3">
        <v>1</v>
      </c>
      <c r="K8" s="9" t="s">
        <v>81</v>
      </c>
      <c r="L8" s="3" t="s">
        <v>40</v>
      </c>
      <c r="M8" s="3" t="s">
        <v>468</v>
      </c>
      <c r="N8" s="3" t="s">
        <v>653</v>
      </c>
      <c r="O8" s="3" t="s">
        <v>141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$S7+$R7+INDEX(Tables!$N$5:$Q$8,MATCH(MOD($S7+$R7,4),Tables!$M$5:$M$8,0),MATCH($R8,Tables!$N$4:$Q$4,0))</f>
        <v>16</v>
      </c>
      <c r="T8" s="3" t="str">
        <f t="shared" si="0"/>
        <v>010</v>
      </c>
      <c r="U8" s="3">
        <f t="shared" si="15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16"/>
        <v/>
      </c>
      <c r="AB8" s="3" t="str">
        <f t="shared" si="17"/>
        <v/>
      </c>
      <c r="AC8" s="3" t="str">
        <f t="shared" si="18"/>
        <v/>
      </c>
      <c r="AD8" s="3" t="str">
        <f t="shared" si="19"/>
        <v>(0)</v>
      </c>
      <c r="AE8" s="3" t="str">
        <f t="shared" si="20"/>
        <v/>
      </c>
      <c r="AF8" s="3" t="str">
        <f t="shared" si="21"/>
        <v/>
      </c>
      <c r="AG8" s="3" t="str">
        <f t="shared" si="22"/>
        <v/>
      </c>
      <c r="AH8" s="3" t="str">
        <f t="shared" si="23"/>
        <v/>
      </c>
    </row>
    <row r="9" spans="1:35" x14ac:dyDescent="0.25">
      <c r="B9" s="3" t="s">
        <v>134</v>
      </c>
      <c r="C9" s="3" t="s">
        <v>142</v>
      </c>
      <c r="D9" s="3" t="s">
        <v>1</v>
      </c>
      <c r="E9" s="3" t="s">
        <v>464</v>
      </c>
      <c r="F9" s="3" t="s">
        <v>136</v>
      </c>
      <c r="G9" s="3" t="s">
        <v>470</v>
      </c>
      <c r="H9" s="3" t="s">
        <v>143</v>
      </c>
      <c r="I9" s="3" t="s">
        <v>41</v>
      </c>
      <c r="J9" s="3">
        <v>1</v>
      </c>
      <c r="K9" s="9" t="s">
        <v>81</v>
      </c>
      <c r="L9" s="3" t="s">
        <v>40</v>
      </c>
      <c r="M9" s="3" t="s">
        <v>468</v>
      </c>
      <c r="N9" s="3" t="s">
        <v>653</v>
      </c>
      <c r="O9" s="3" t="s">
        <v>144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>
        <f>$S8+$R8+INDEX(Tables!$N$5:$Q$8,MATCH(MOD($S8+$R8,4),Tables!$M$5:$M$8,0),MATCH($R9,Tables!$N$4:$Q$4,0))</f>
        <v>20</v>
      </c>
      <c r="T9" s="3" t="str">
        <f t="shared" si="0"/>
        <v>014</v>
      </c>
      <c r="U9" s="3">
        <f t="shared" si="15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16"/>
        <v/>
      </c>
      <c r="AB9" s="3" t="str">
        <f t="shared" si="17"/>
        <v/>
      </c>
      <c r="AC9" s="3" t="str">
        <f t="shared" si="18"/>
        <v/>
      </c>
      <c r="AD9" s="3" t="str">
        <f t="shared" si="19"/>
        <v>(0)</v>
      </c>
      <c r="AE9" s="3" t="str">
        <f t="shared" si="20"/>
        <v/>
      </c>
      <c r="AF9" s="3" t="str">
        <f t="shared" si="21"/>
        <v/>
      </c>
      <c r="AG9" s="3" t="str">
        <f t="shared" si="22"/>
        <v/>
      </c>
      <c r="AH9" s="3" t="str">
        <f t="shared" si="23"/>
        <v/>
      </c>
    </row>
    <row r="10" spans="1:35" x14ac:dyDescent="0.25">
      <c r="B10" s="3" t="s">
        <v>134</v>
      </c>
      <c r="C10" s="3" t="s">
        <v>145</v>
      </c>
      <c r="D10" s="3" t="s">
        <v>1</v>
      </c>
      <c r="E10" s="3" t="s">
        <v>464</v>
      </c>
      <c r="F10" s="3" t="s">
        <v>136</v>
      </c>
      <c r="G10" s="3" t="s">
        <v>470</v>
      </c>
      <c r="H10" s="3" t="s">
        <v>146</v>
      </c>
      <c r="I10" s="3" t="s">
        <v>41</v>
      </c>
      <c r="J10" s="3">
        <v>8</v>
      </c>
      <c r="K10" s="9" t="s">
        <v>147</v>
      </c>
      <c r="L10" s="3" t="s">
        <v>40</v>
      </c>
      <c r="M10" s="3" t="s">
        <v>468</v>
      </c>
      <c r="N10" s="3" t="s">
        <v>653</v>
      </c>
      <c r="O10" s="3" t="s">
        <v>148</v>
      </c>
      <c r="P10" s="3" t="s">
        <v>48</v>
      </c>
      <c r="Q10" s="3">
        <f>INDEX(Tables!$C$4:$C$28,MATCH($P10,Tables!$B$4:$B$28,0))</f>
        <v>32</v>
      </c>
      <c r="R10" s="3">
        <f>INDEX(Tables!$D$4:$D$28,MATCH($P10,Tables!$B$4:$B$28,0))</f>
        <v>4</v>
      </c>
      <c r="S10" s="3">
        <f>$S9+$R9+INDEX(Tables!$N$5:$Q$8,MATCH(MOD($S9+$R9,4),Tables!$M$5:$M$8,0),MATCH($R10,Tables!$N$4:$Q$4,0))</f>
        <v>24</v>
      </c>
      <c r="T10" s="3" t="str">
        <f t="shared" si="0"/>
        <v>018</v>
      </c>
      <c r="U10" s="3">
        <f t="shared" si="15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16"/>
        <v/>
      </c>
      <c r="AB10" s="3" t="str">
        <f t="shared" si="17"/>
        <v/>
      </c>
      <c r="AC10" s="3" t="str">
        <f t="shared" si="18"/>
        <v/>
      </c>
      <c r="AD10" s="3" t="str">
        <f t="shared" si="19"/>
        <v>(7 downto 0)</v>
      </c>
      <c r="AE10" s="3" t="str">
        <f t="shared" si="20"/>
        <v/>
      </c>
      <c r="AF10" s="3" t="str">
        <f t="shared" si="21"/>
        <v/>
      </c>
      <c r="AG10" s="3" t="str">
        <f t="shared" si="22"/>
        <v/>
      </c>
      <c r="AH10" s="3" t="str">
        <f t="shared" si="23"/>
        <v/>
      </c>
    </row>
    <row r="11" spans="1:35" x14ac:dyDescent="0.25">
      <c r="B11" s="3" t="s">
        <v>149</v>
      </c>
      <c r="C11" s="3" t="s">
        <v>150</v>
      </c>
      <c r="D11" s="3" t="s">
        <v>0</v>
      </c>
      <c r="E11" s="3" t="s">
        <v>471</v>
      </c>
      <c r="F11" s="3" t="s">
        <v>151</v>
      </c>
      <c r="G11" s="3" t="s">
        <v>472</v>
      </c>
      <c r="H11" s="3" t="s">
        <v>152</v>
      </c>
      <c r="I11" s="3" t="s">
        <v>41</v>
      </c>
      <c r="J11" s="3">
        <v>1</v>
      </c>
      <c r="K11" s="9" t="s">
        <v>40</v>
      </c>
      <c r="L11" s="9" t="s">
        <v>40</v>
      </c>
      <c r="M11" s="3" t="s">
        <v>468</v>
      </c>
      <c r="N11" s="3" t="s">
        <v>654</v>
      </c>
      <c r="O11" s="3" t="s">
        <v>153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$S10+$R10+INDEX(Tables!$N$5:$Q$8,MATCH(MOD($S10+$R10,4),Tables!$M$5:$M$8,0),MATCH($R11,Tables!$N$4:$Q$4,0))</f>
        <v>28</v>
      </c>
      <c r="T11" s="3" t="str">
        <f t="shared" si="0"/>
        <v>01C</v>
      </c>
      <c r="U11" s="3">
        <f t="shared" si="15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16"/>
        <v/>
      </c>
      <c r="AB11" s="3" t="str">
        <f t="shared" si="17"/>
        <v/>
      </c>
      <c r="AC11" s="3" t="str">
        <f t="shared" si="18"/>
        <v/>
      </c>
      <c r="AD11" s="3" t="str">
        <f t="shared" si="19"/>
        <v>(0)</v>
      </c>
      <c r="AE11" s="3" t="str">
        <f t="shared" si="20"/>
        <v/>
      </c>
      <c r="AF11" s="3" t="str">
        <f t="shared" si="21"/>
        <v/>
      </c>
      <c r="AG11" s="3" t="str">
        <f t="shared" si="22"/>
        <v/>
      </c>
      <c r="AH11" s="3" t="str">
        <f t="shared" si="23"/>
        <v/>
      </c>
    </row>
    <row r="12" spans="1:35" x14ac:dyDescent="0.25">
      <c r="B12" s="3" t="s">
        <v>149</v>
      </c>
      <c r="C12" s="3" t="s">
        <v>154</v>
      </c>
      <c r="D12" s="3" t="s">
        <v>0</v>
      </c>
      <c r="E12" s="3" t="s">
        <v>471</v>
      </c>
      <c r="F12" s="3" t="s">
        <v>151</v>
      </c>
      <c r="G12" s="3" t="s">
        <v>472</v>
      </c>
      <c r="H12" s="3" t="s">
        <v>155</v>
      </c>
      <c r="I12" s="3" t="s">
        <v>41</v>
      </c>
      <c r="J12" s="3">
        <v>1</v>
      </c>
      <c r="K12" s="9" t="s">
        <v>40</v>
      </c>
      <c r="L12" s="9" t="s">
        <v>40</v>
      </c>
      <c r="M12" s="3" t="s">
        <v>468</v>
      </c>
      <c r="N12" s="3" t="s">
        <v>654</v>
      </c>
      <c r="O12" s="3" t="s">
        <v>156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$S11+$R11+INDEX(Tables!$N$5:$Q$8,MATCH(MOD($S11+$R11,4),Tables!$M$5:$M$8,0),MATCH($R12,Tables!$N$4:$Q$4,0))</f>
        <v>32</v>
      </c>
      <c r="T12" s="3" t="str">
        <f t="shared" si="0"/>
        <v>020</v>
      </c>
      <c r="U12" s="3">
        <f t="shared" si="15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16"/>
        <v/>
      </c>
      <c r="AB12" s="3" t="str">
        <f t="shared" si="17"/>
        <v/>
      </c>
      <c r="AC12" s="3" t="str">
        <f t="shared" si="18"/>
        <v/>
      </c>
      <c r="AD12" s="3" t="str">
        <f t="shared" si="19"/>
        <v>(0)</v>
      </c>
      <c r="AE12" s="3" t="str">
        <f t="shared" si="20"/>
        <v/>
      </c>
      <c r="AF12" s="3" t="str">
        <f t="shared" si="21"/>
        <v/>
      </c>
      <c r="AG12" s="3" t="str">
        <f t="shared" si="22"/>
        <v/>
      </c>
      <c r="AH12" s="3" t="str">
        <f t="shared" si="23"/>
        <v/>
      </c>
    </row>
    <row r="13" spans="1:35" x14ac:dyDescent="0.25">
      <c r="B13" s="3" t="s">
        <v>149</v>
      </c>
      <c r="C13" s="3" t="s">
        <v>157</v>
      </c>
      <c r="D13" s="3" t="s">
        <v>0</v>
      </c>
      <c r="E13" s="3" t="s">
        <v>471</v>
      </c>
      <c r="F13" s="3" t="s">
        <v>151</v>
      </c>
      <c r="G13" s="3" t="s">
        <v>472</v>
      </c>
      <c r="H13" s="3" t="s">
        <v>158</v>
      </c>
      <c r="I13" s="3" t="s">
        <v>41</v>
      </c>
      <c r="J13" s="3">
        <v>1</v>
      </c>
      <c r="K13" s="9" t="s">
        <v>40</v>
      </c>
      <c r="L13" s="9" t="s">
        <v>40</v>
      </c>
      <c r="M13" s="3" t="s">
        <v>468</v>
      </c>
      <c r="N13" s="3" t="s">
        <v>654</v>
      </c>
      <c r="O13" s="3" t="s">
        <v>159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$S12+$R12+INDEX(Tables!$N$5:$Q$8,MATCH(MOD($S12+$R12,4),Tables!$M$5:$M$8,0),MATCH($R13,Tables!$N$4:$Q$4,0))</f>
        <v>36</v>
      </c>
      <c r="T13" s="3" t="str">
        <f t="shared" si="0"/>
        <v>024</v>
      </c>
      <c r="U13" s="3">
        <f t="shared" si="15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16"/>
        <v/>
      </c>
      <c r="AB13" s="3" t="str">
        <f t="shared" si="17"/>
        <v/>
      </c>
      <c r="AC13" s="3" t="str">
        <f t="shared" si="18"/>
        <v/>
      </c>
      <c r="AD13" s="3" t="str">
        <f t="shared" si="19"/>
        <v>(0)</v>
      </c>
      <c r="AE13" s="3" t="str">
        <f t="shared" si="20"/>
        <v/>
      </c>
      <c r="AF13" s="3" t="str">
        <f t="shared" si="21"/>
        <v/>
      </c>
      <c r="AG13" s="3" t="str">
        <f t="shared" si="22"/>
        <v/>
      </c>
      <c r="AH13" s="3" t="str">
        <f t="shared" si="23"/>
        <v/>
      </c>
    </row>
    <row r="14" spans="1:35" x14ac:dyDescent="0.25">
      <c r="B14" s="3" t="s">
        <v>149</v>
      </c>
      <c r="C14" s="3" t="s">
        <v>160</v>
      </c>
      <c r="D14" s="3" t="s">
        <v>0</v>
      </c>
      <c r="E14" s="3" t="s">
        <v>471</v>
      </c>
      <c r="F14" s="3" t="s">
        <v>151</v>
      </c>
      <c r="G14" s="3" t="s">
        <v>472</v>
      </c>
      <c r="H14" s="3" t="s">
        <v>161</v>
      </c>
      <c r="I14" s="3" t="s">
        <v>41</v>
      </c>
      <c r="J14" s="3">
        <v>1</v>
      </c>
      <c r="K14" s="9" t="s">
        <v>40</v>
      </c>
      <c r="L14" s="9" t="s">
        <v>40</v>
      </c>
      <c r="M14" s="3" t="s">
        <v>468</v>
      </c>
      <c r="N14" s="3" t="s">
        <v>655</v>
      </c>
      <c r="O14" s="3" t="s">
        <v>138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$S13+$R13+INDEX(Tables!$N$5:$Q$8,MATCH(MOD($S13+$R13,4),Tables!$M$5:$M$8,0),MATCH($R14,Tables!$N$4:$Q$4,0))</f>
        <v>40</v>
      </c>
      <c r="T14" s="3" t="str">
        <f t="shared" si="0"/>
        <v>028</v>
      </c>
      <c r="U14" s="3">
        <f t="shared" si="15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16"/>
        <v/>
      </c>
      <c r="AB14" s="3" t="str">
        <f t="shared" si="17"/>
        <v/>
      </c>
      <c r="AC14" s="3" t="str">
        <f t="shared" si="18"/>
        <v/>
      </c>
      <c r="AD14" s="3" t="str">
        <f t="shared" si="19"/>
        <v>(0)</v>
      </c>
      <c r="AE14" s="3" t="str">
        <f t="shared" si="20"/>
        <v/>
      </c>
      <c r="AF14" s="3" t="str">
        <f t="shared" si="21"/>
        <v/>
      </c>
      <c r="AG14" s="3" t="str">
        <f t="shared" si="22"/>
        <v/>
      </c>
      <c r="AH14" s="3" t="str">
        <f t="shared" si="23"/>
        <v/>
      </c>
    </row>
    <row r="15" spans="1:35" x14ac:dyDescent="0.25">
      <c r="B15" s="3" t="s">
        <v>149</v>
      </c>
      <c r="C15" s="3" t="s">
        <v>162</v>
      </c>
      <c r="D15" s="3" t="s">
        <v>0</v>
      </c>
      <c r="E15" s="3" t="s">
        <v>471</v>
      </c>
      <c r="F15" s="3" t="s">
        <v>151</v>
      </c>
      <c r="G15" s="3" t="s">
        <v>472</v>
      </c>
      <c r="H15" s="3" t="s">
        <v>163</v>
      </c>
      <c r="I15" s="3" t="s">
        <v>41</v>
      </c>
      <c r="J15" s="3">
        <v>1</v>
      </c>
      <c r="K15" s="9" t="s">
        <v>40</v>
      </c>
      <c r="L15" s="9" t="s">
        <v>40</v>
      </c>
      <c r="M15" s="3" t="s">
        <v>468</v>
      </c>
      <c r="N15" s="3" t="s">
        <v>655</v>
      </c>
      <c r="O15" s="3" t="s">
        <v>164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$S14+$R14+INDEX(Tables!$N$5:$Q$8,MATCH(MOD($S14+$R14,4),Tables!$M$5:$M$8,0),MATCH($R15,Tables!$N$4:$Q$4,0))</f>
        <v>44</v>
      </c>
      <c r="T15" s="3" t="str">
        <f t="shared" si="0"/>
        <v>02C</v>
      </c>
      <c r="U15" s="3">
        <f t="shared" si="15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16"/>
        <v/>
      </c>
      <c r="AB15" s="3" t="str">
        <f t="shared" si="17"/>
        <v/>
      </c>
      <c r="AC15" s="3" t="str">
        <f t="shared" si="18"/>
        <v/>
      </c>
      <c r="AD15" s="3" t="str">
        <f t="shared" si="19"/>
        <v>(0)</v>
      </c>
      <c r="AE15" s="3" t="str">
        <f t="shared" si="20"/>
        <v/>
      </c>
      <c r="AF15" s="3" t="str">
        <f t="shared" si="21"/>
        <v/>
      </c>
      <c r="AG15" s="3" t="str">
        <f t="shared" si="22"/>
        <v/>
      </c>
      <c r="AH15" s="3" t="str">
        <f t="shared" si="23"/>
        <v/>
      </c>
    </row>
    <row r="16" spans="1:35" x14ac:dyDescent="0.25">
      <c r="B16" s="3" t="s">
        <v>149</v>
      </c>
      <c r="C16" s="3" t="s">
        <v>165</v>
      </c>
      <c r="D16" s="3" t="s">
        <v>0</v>
      </c>
      <c r="E16" s="3" t="s">
        <v>471</v>
      </c>
      <c r="F16" s="3" t="s">
        <v>151</v>
      </c>
      <c r="G16" s="3" t="s">
        <v>472</v>
      </c>
      <c r="H16" s="3" t="s">
        <v>166</v>
      </c>
      <c r="I16" s="3" t="s">
        <v>41</v>
      </c>
      <c r="J16" s="3">
        <v>1</v>
      </c>
      <c r="K16" s="9" t="s">
        <v>40</v>
      </c>
      <c r="L16" s="9" t="s">
        <v>40</v>
      </c>
      <c r="M16" s="3" t="s">
        <v>468</v>
      </c>
      <c r="N16" s="3" t="s">
        <v>655</v>
      </c>
      <c r="O16" s="3" t="s">
        <v>167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$S15+$R15+INDEX(Tables!$N$5:$Q$8,MATCH(MOD($S15+$R15,4),Tables!$M$5:$M$8,0),MATCH($R16,Tables!$N$4:$Q$4,0))</f>
        <v>48</v>
      </c>
      <c r="T16" s="3" t="str">
        <f t="shared" si="0"/>
        <v>030</v>
      </c>
      <c r="U16" s="3">
        <f t="shared" si="15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16"/>
        <v/>
      </c>
      <c r="AB16" s="3" t="str">
        <f t="shared" si="17"/>
        <v/>
      </c>
      <c r="AC16" s="3" t="str">
        <f t="shared" si="18"/>
        <v/>
      </c>
      <c r="AD16" s="3" t="str">
        <f t="shared" si="19"/>
        <v>(0)</v>
      </c>
      <c r="AE16" s="3" t="str">
        <f t="shared" si="20"/>
        <v/>
      </c>
      <c r="AF16" s="3" t="str">
        <f t="shared" si="21"/>
        <v/>
      </c>
      <c r="AG16" s="3" t="str">
        <f t="shared" si="22"/>
        <v/>
      </c>
      <c r="AH16" s="3" t="str">
        <f t="shared" si="23"/>
        <v/>
      </c>
    </row>
    <row r="17" spans="2:34" x14ac:dyDescent="0.25">
      <c r="B17" s="3" t="s">
        <v>149</v>
      </c>
      <c r="C17" s="3" t="s">
        <v>168</v>
      </c>
      <c r="D17" s="3" t="s">
        <v>0</v>
      </c>
      <c r="E17" s="3" t="s">
        <v>471</v>
      </c>
      <c r="F17" s="3" t="s">
        <v>151</v>
      </c>
      <c r="G17" s="3" t="s">
        <v>472</v>
      </c>
      <c r="H17" s="3" t="s">
        <v>169</v>
      </c>
      <c r="I17" s="3" t="s">
        <v>41</v>
      </c>
      <c r="J17" s="3">
        <v>1</v>
      </c>
      <c r="K17" s="9" t="s">
        <v>40</v>
      </c>
      <c r="L17" s="9" t="s">
        <v>40</v>
      </c>
      <c r="M17" s="3" t="s">
        <v>468</v>
      </c>
      <c r="N17" s="3" t="s">
        <v>655</v>
      </c>
      <c r="O17" s="3" t="s">
        <v>170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$S16+$R16+INDEX(Tables!$N$5:$Q$8,MATCH(MOD($S16+$R16,4),Tables!$M$5:$M$8,0),MATCH($R17,Tables!$N$4:$Q$4,0))</f>
        <v>52</v>
      </c>
      <c r="T17" s="3" t="str">
        <f t="shared" si="0"/>
        <v>034</v>
      </c>
      <c r="U17" s="3">
        <f t="shared" si="15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16"/>
        <v/>
      </c>
      <c r="AB17" s="3" t="str">
        <f t="shared" si="17"/>
        <v/>
      </c>
      <c r="AC17" s="3" t="str">
        <f t="shared" si="18"/>
        <v/>
      </c>
      <c r="AD17" s="3" t="str">
        <f t="shared" si="19"/>
        <v>(0)</v>
      </c>
      <c r="AE17" s="3" t="str">
        <f t="shared" si="20"/>
        <v/>
      </c>
      <c r="AF17" s="3" t="str">
        <f t="shared" si="21"/>
        <v/>
      </c>
      <c r="AG17" s="3" t="str">
        <f t="shared" si="22"/>
        <v/>
      </c>
      <c r="AH17" s="3" t="str">
        <f t="shared" si="23"/>
        <v/>
      </c>
    </row>
    <row r="18" spans="2:34" x14ac:dyDescent="0.25">
      <c r="B18" s="3" t="s">
        <v>171</v>
      </c>
      <c r="C18" s="3" t="s">
        <v>172</v>
      </c>
      <c r="D18" s="3" t="s">
        <v>1</v>
      </c>
      <c r="E18" s="3" t="s">
        <v>464</v>
      </c>
      <c r="F18" s="3" t="s">
        <v>173</v>
      </c>
      <c r="G18" s="3" t="s">
        <v>473</v>
      </c>
      <c r="H18" s="3" t="s">
        <v>174</v>
      </c>
      <c r="I18" s="3" t="s">
        <v>41</v>
      </c>
      <c r="J18" s="3">
        <v>1</v>
      </c>
      <c r="K18" s="9" t="s">
        <v>81</v>
      </c>
      <c r="L18" s="9" t="s">
        <v>81</v>
      </c>
      <c r="M18" s="3" t="s">
        <v>468</v>
      </c>
      <c r="N18" s="3" t="s">
        <v>656</v>
      </c>
      <c r="O18" s="3" t="s">
        <v>175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$S17+$R17+INDEX(Tables!$N$5:$Q$8,MATCH(MOD($S17+$R17,4),Tables!$M$5:$M$8,0),MATCH($R18,Tables!$N$4:$Q$4,0))</f>
        <v>56</v>
      </c>
      <c r="T18" s="3" t="str">
        <f t="shared" si="0"/>
        <v>038</v>
      </c>
      <c r="U18" s="3">
        <f t="shared" si="15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16"/>
        <v/>
      </c>
      <c r="AB18" s="3" t="str">
        <f t="shared" si="17"/>
        <v/>
      </c>
      <c r="AC18" s="3" t="str">
        <f t="shared" si="18"/>
        <v/>
      </c>
      <c r="AD18" s="3" t="str">
        <f t="shared" si="19"/>
        <v>(0)</v>
      </c>
      <c r="AE18" s="3" t="str">
        <f t="shared" si="20"/>
        <v/>
      </c>
      <c r="AF18" s="3" t="str">
        <f t="shared" si="21"/>
        <v/>
      </c>
      <c r="AG18" s="3" t="str">
        <f t="shared" si="22"/>
        <v/>
      </c>
      <c r="AH18" s="3" t="str">
        <f t="shared" si="23"/>
        <v/>
      </c>
    </row>
    <row r="19" spans="2:34" x14ac:dyDescent="0.25">
      <c r="B19" s="3" t="s">
        <v>171</v>
      </c>
      <c r="C19" s="3" t="s">
        <v>176</v>
      </c>
      <c r="D19" s="3" t="s">
        <v>1</v>
      </c>
      <c r="E19" s="3" t="s">
        <v>464</v>
      </c>
      <c r="F19" s="3" t="s">
        <v>173</v>
      </c>
      <c r="G19" s="3" t="s">
        <v>473</v>
      </c>
      <c r="H19" s="3" t="s">
        <v>177</v>
      </c>
      <c r="I19" s="3" t="s">
        <v>41</v>
      </c>
      <c r="J19" s="3">
        <v>1</v>
      </c>
      <c r="K19" s="9" t="s">
        <v>126</v>
      </c>
      <c r="L19" s="9" t="s">
        <v>40</v>
      </c>
      <c r="M19" s="3" t="s">
        <v>468</v>
      </c>
      <c r="N19" s="3" t="s">
        <v>656</v>
      </c>
      <c r="O19" s="3" t="s">
        <v>178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>
        <f>$S18+$R18+INDEX(Tables!$N$5:$Q$8,MATCH(MOD($S18+$R18,4),Tables!$M$5:$M$8,0),MATCH($R19,Tables!$N$4:$Q$4,0))</f>
        <v>60</v>
      </c>
      <c r="T19" s="3" t="str">
        <f t="shared" si="0"/>
        <v>03C</v>
      </c>
      <c r="U19" s="3">
        <f t="shared" si="15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16"/>
        <v/>
      </c>
      <c r="AB19" s="3" t="str">
        <f t="shared" si="17"/>
        <v/>
      </c>
      <c r="AC19" s="3" t="str">
        <f t="shared" si="18"/>
        <v/>
      </c>
      <c r="AD19" s="3" t="str">
        <f t="shared" si="19"/>
        <v>(0)</v>
      </c>
      <c r="AE19" s="3" t="str">
        <f t="shared" si="20"/>
        <v/>
      </c>
      <c r="AF19" s="3" t="str">
        <f t="shared" si="21"/>
        <v/>
      </c>
      <c r="AG19" s="3" t="str">
        <f t="shared" si="22"/>
        <v/>
      </c>
      <c r="AH19" s="3" t="str">
        <f t="shared" si="23"/>
        <v/>
      </c>
    </row>
    <row r="20" spans="2:34" x14ac:dyDescent="0.25">
      <c r="B20" s="3" t="s">
        <v>179</v>
      </c>
      <c r="C20" s="3" t="s">
        <v>180</v>
      </c>
      <c r="D20" s="3" t="s">
        <v>0</v>
      </c>
      <c r="E20" s="3" t="s">
        <v>471</v>
      </c>
      <c r="F20" s="3" t="s">
        <v>181</v>
      </c>
      <c r="G20" s="3" t="s">
        <v>474</v>
      </c>
      <c r="H20" s="3" t="s">
        <v>182</v>
      </c>
      <c r="I20" s="3" t="s">
        <v>41</v>
      </c>
      <c r="J20" s="3">
        <v>6</v>
      </c>
      <c r="K20" s="9" t="s">
        <v>40</v>
      </c>
      <c r="L20" s="9" t="s">
        <v>40</v>
      </c>
      <c r="M20" s="3" t="s">
        <v>468</v>
      </c>
      <c r="N20" s="3" t="s">
        <v>657</v>
      </c>
      <c r="O20" s="3" t="s">
        <v>183</v>
      </c>
      <c r="P20" s="3" t="s">
        <v>48</v>
      </c>
      <c r="Q20" s="3">
        <f>INDEX(Tables!$C$4:$C$28,MATCH($P20,Tables!$B$4:$B$28,0))</f>
        <v>32</v>
      </c>
      <c r="R20" s="3">
        <f>INDEX(Tables!$D$4:$D$28,MATCH($P20,Tables!$B$4:$B$28,0))</f>
        <v>4</v>
      </c>
      <c r="S20" s="3">
        <f>$S19+$R19+INDEX(Tables!$N$5:$Q$8,MATCH(MOD($S19+$R19,4),Tables!$M$5:$M$8,0),MATCH($R20,Tables!$N$4:$Q$4,0))</f>
        <v>64</v>
      </c>
      <c r="T20" s="3" t="str">
        <f t="shared" si="0"/>
        <v>040</v>
      </c>
      <c r="U20" s="3">
        <f t="shared" si="15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16"/>
        <v/>
      </c>
      <c r="AB20" s="3" t="str">
        <f t="shared" si="17"/>
        <v/>
      </c>
      <c r="AC20" s="3" t="str">
        <f t="shared" si="18"/>
        <v/>
      </c>
      <c r="AD20" s="3" t="str">
        <f t="shared" si="19"/>
        <v>(5 downto 0)</v>
      </c>
      <c r="AE20" s="3" t="str">
        <f t="shared" si="20"/>
        <v/>
      </c>
      <c r="AF20" s="3" t="str">
        <f t="shared" si="21"/>
        <v/>
      </c>
      <c r="AG20" s="3" t="str">
        <f t="shared" si="22"/>
        <v/>
      </c>
      <c r="AH20" s="3" t="str">
        <f t="shared" si="23"/>
        <v/>
      </c>
    </row>
    <row r="21" spans="2:34" x14ac:dyDescent="0.25">
      <c r="B21" s="3" t="s">
        <v>179</v>
      </c>
      <c r="C21" s="3" t="s">
        <v>184</v>
      </c>
      <c r="D21" s="3" t="s">
        <v>0</v>
      </c>
      <c r="E21" s="3" t="s">
        <v>471</v>
      </c>
      <c r="F21" s="3" t="s">
        <v>181</v>
      </c>
      <c r="G21" s="3" t="s">
        <v>474</v>
      </c>
      <c r="H21" s="3" t="s">
        <v>185</v>
      </c>
      <c r="I21" s="3" t="s">
        <v>41</v>
      </c>
      <c r="J21" s="3">
        <v>2</v>
      </c>
      <c r="K21" s="9" t="s">
        <v>40</v>
      </c>
      <c r="L21" s="9" t="s">
        <v>40</v>
      </c>
      <c r="M21" s="3" t="s">
        <v>468</v>
      </c>
      <c r="N21" s="3" t="s">
        <v>657</v>
      </c>
      <c r="O21" s="3" t="s">
        <v>186</v>
      </c>
      <c r="P21" s="3" t="s">
        <v>48</v>
      </c>
      <c r="Q21" s="3">
        <f>INDEX(Tables!$C$4:$C$28,MATCH($P21,Tables!$B$4:$B$28,0))</f>
        <v>32</v>
      </c>
      <c r="R21" s="3">
        <f>INDEX(Tables!$D$4:$D$28,MATCH($P21,Tables!$B$4:$B$28,0))</f>
        <v>4</v>
      </c>
      <c r="S21" s="3">
        <f>$S20+$R20+INDEX(Tables!$N$5:$Q$8,MATCH(MOD($S20+$R20,4),Tables!$M$5:$M$8,0),MATCH($R21,Tables!$N$4:$Q$4,0))</f>
        <v>68</v>
      </c>
      <c r="T21" s="3" t="str">
        <f t="shared" si="0"/>
        <v>044</v>
      </c>
      <c r="U21" s="3">
        <f t="shared" si="15"/>
        <v>17</v>
      </c>
      <c r="V21" s="3" t="str">
        <f t="shared" si="1"/>
        <v>11</v>
      </c>
      <c r="W21" s="3" t="str">
        <f t="shared" si="11"/>
        <v/>
      </c>
      <c r="X21" s="3" t="str">
        <f t="shared" si="12"/>
        <v/>
      </c>
      <c r="Y21" s="3" t="str">
        <f t="shared" si="13"/>
        <v/>
      </c>
      <c r="Z21" s="3" t="str">
        <f t="shared" si="14"/>
        <v>X</v>
      </c>
      <c r="AA21" s="3" t="str">
        <f t="shared" si="16"/>
        <v/>
      </c>
      <c r="AB21" s="3" t="str">
        <f t="shared" si="17"/>
        <v/>
      </c>
      <c r="AC21" s="3" t="str">
        <f t="shared" si="18"/>
        <v/>
      </c>
      <c r="AD21" s="3" t="str">
        <f t="shared" si="19"/>
        <v>(1 downto 0)</v>
      </c>
      <c r="AE21" s="3" t="str">
        <f t="shared" si="20"/>
        <v/>
      </c>
      <c r="AF21" s="3" t="str">
        <f t="shared" si="21"/>
        <v/>
      </c>
      <c r="AG21" s="3" t="str">
        <f t="shared" si="22"/>
        <v/>
      </c>
      <c r="AH21" s="3" t="str">
        <f t="shared" si="23"/>
        <v/>
      </c>
    </row>
    <row r="22" spans="2:34" x14ac:dyDescent="0.25">
      <c r="B22" s="3" t="s">
        <v>187</v>
      </c>
      <c r="C22" s="3" t="s">
        <v>188</v>
      </c>
      <c r="D22" s="3" t="s">
        <v>1</v>
      </c>
      <c r="E22" s="3" t="s">
        <v>464</v>
      </c>
      <c r="F22" s="3" t="s">
        <v>189</v>
      </c>
      <c r="G22" s="3" t="s">
        <v>475</v>
      </c>
      <c r="H22" s="3" t="s">
        <v>190</v>
      </c>
      <c r="I22" s="3" t="s">
        <v>41</v>
      </c>
      <c r="J22" s="3">
        <v>32</v>
      </c>
      <c r="K22" s="9" t="s">
        <v>127</v>
      </c>
      <c r="L22" s="9" t="s">
        <v>40</v>
      </c>
      <c r="M22" s="3" t="s">
        <v>468</v>
      </c>
      <c r="N22" s="3" t="s">
        <v>658</v>
      </c>
      <c r="O22" s="3" t="s">
        <v>191</v>
      </c>
      <c r="P22" s="3" t="s">
        <v>48</v>
      </c>
      <c r="Q22" s="3">
        <f>INDEX(Tables!$C$4:$C$28,MATCH($P22,Tables!$B$4:$B$28,0))</f>
        <v>32</v>
      </c>
      <c r="R22" s="3">
        <f>INDEX(Tables!$D$4:$D$28,MATCH($P22,Tables!$B$4:$B$28,0))</f>
        <v>4</v>
      </c>
      <c r="S22" s="3">
        <f>$S21+$R21+INDEX(Tables!$N$5:$Q$8,MATCH(MOD($S21+$R21,4),Tables!$M$5:$M$8,0),MATCH($R22,Tables!$N$4:$Q$4,0))</f>
        <v>72</v>
      </c>
      <c r="T22" s="3" t="str">
        <f t="shared" si="0"/>
        <v>048</v>
      </c>
      <c r="U22" s="3">
        <f t="shared" si="15"/>
        <v>18</v>
      </c>
      <c r="V22" s="3" t="str">
        <f t="shared" si="1"/>
        <v>12</v>
      </c>
      <c r="W22" s="3" t="str">
        <f t="shared" si="11"/>
        <v>X</v>
      </c>
      <c r="X22" s="3" t="str">
        <f t="shared" si="12"/>
        <v>X</v>
      </c>
      <c r="Y22" s="3" t="str">
        <f t="shared" si="13"/>
        <v>X</v>
      </c>
      <c r="Z22" s="3" t="str">
        <f t="shared" si="14"/>
        <v>X</v>
      </c>
      <c r="AA22" s="3" t="str">
        <f t="shared" si="16"/>
        <v>(31 downto 24)</v>
      </c>
      <c r="AB22" s="3" t="str">
        <f t="shared" si="17"/>
        <v>(23 downto 16)</v>
      </c>
      <c r="AC22" s="3" t="str">
        <f t="shared" si="18"/>
        <v>(15 downto 8)</v>
      </c>
      <c r="AD22" s="3" t="str">
        <f t="shared" si="19"/>
        <v>(7 downto 0)</v>
      </c>
      <c r="AE22" s="3" t="str">
        <f t="shared" si="20"/>
        <v>(31 downto 24)</v>
      </c>
      <c r="AF22" s="3" t="str">
        <f t="shared" si="21"/>
        <v>(23 downto 16)</v>
      </c>
      <c r="AG22" s="3" t="str">
        <f t="shared" si="22"/>
        <v>(15 downto 8)</v>
      </c>
      <c r="AH22" s="3" t="str">
        <f t="shared" si="23"/>
        <v>(7 downto 0)</v>
      </c>
    </row>
    <row r="23" spans="2:34" x14ac:dyDescent="0.25">
      <c r="B23" s="3" t="s">
        <v>192</v>
      </c>
      <c r="C23" s="3" t="s">
        <v>193</v>
      </c>
      <c r="D23" s="3" t="s">
        <v>1</v>
      </c>
      <c r="E23" s="3" t="s">
        <v>464</v>
      </c>
      <c r="F23" s="3" t="s">
        <v>194</v>
      </c>
      <c r="G23" s="3" t="s">
        <v>476</v>
      </c>
      <c r="H23" s="3" t="s">
        <v>195</v>
      </c>
      <c r="I23" s="3" t="s">
        <v>41</v>
      </c>
      <c r="J23" s="3">
        <v>8</v>
      </c>
      <c r="K23" s="9" t="s">
        <v>196</v>
      </c>
      <c r="L23" s="9" t="s">
        <v>40</v>
      </c>
      <c r="M23" s="3" t="s">
        <v>468</v>
      </c>
      <c r="N23" s="3" t="s">
        <v>659</v>
      </c>
      <c r="O23" s="3" t="s">
        <v>197</v>
      </c>
      <c r="P23" s="3" t="s">
        <v>48</v>
      </c>
      <c r="Q23" s="3">
        <f>INDEX(Tables!$C$4:$C$28,MATCH($P23,Tables!$B$4:$B$28,0))</f>
        <v>32</v>
      </c>
      <c r="R23" s="3">
        <f>INDEX(Tables!$D$4:$D$28,MATCH($P23,Tables!$B$4:$B$28,0))</f>
        <v>4</v>
      </c>
      <c r="S23" s="3">
        <f>$S22+$R22+INDEX(Tables!$N$5:$Q$8,MATCH(MOD($S22+$R22,4),Tables!$M$5:$M$8,0),MATCH($R23,Tables!$N$4:$Q$4,0))</f>
        <v>76</v>
      </c>
      <c r="T23" s="3" t="str">
        <f t="shared" si="0"/>
        <v>04C</v>
      </c>
      <c r="U23" s="3">
        <f t="shared" si="15"/>
        <v>19</v>
      </c>
      <c r="V23" s="3" t="str">
        <f t="shared" si="1"/>
        <v>13</v>
      </c>
      <c r="W23" s="3" t="str">
        <f t="shared" si="11"/>
        <v/>
      </c>
      <c r="X23" s="3" t="str">
        <f t="shared" si="12"/>
        <v/>
      </c>
      <c r="Y23" s="3" t="str">
        <f t="shared" si="13"/>
        <v/>
      </c>
      <c r="Z23" s="3" t="str">
        <f t="shared" si="14"/>
        <v>X</v>
      </c>
      <c r="AA23" s="3" t="str">
        <f t="shared" si="16"/>
        <v/>
      </c>
      <c r="AB23" s="3" t="str">
        <f t="shared" si="17"/>
        <v/>
      </c>
      <c r="AC23" s="3" t="str">
        <f t="shared" si="18"/>
        <v/>
      </c>
      <c r="AD23" s="3" t="str">
        <f t="shared" si="19"/>
        <v>(7 downto 0)</v>
      </c>
      <c r="AE23" s="3" t="str">
        <f t="shared" si="20"/>
        <v/>
      </c>
      <c r="AF23" s="3" t="str">
        <f t="shared" si="21"/>
        <v/>
      </c>
      <c r="AG23" s="3" t="str">
        <f t="shared" si="22"/>
        <v/>
      </c>
      <c r="AH23" s="3" t="str">
        <f t="shared" si="23"/>
        <v/>
      </c>
    </row>
    <row r="24" spans="2:34" x14ac:dyDescent="0.25">
      <c r="B24" s="3" t="s">
        <v>192</v>
      </c>
      <c r="C24" s="3" t="s">
        <v>198</v>
      </c>
      <c r="D24" s="3" t="s">
        <v>1</v>
      </c>
      <c r="E24" s="3" t="s">
        <v>464</v>
      </c>
      <c r="F24" s="3" t="s">
        <v>194</v>
      </c>
      <c r="G24" s="3" t="s">
        <v>476</v>
      </c>
      <c r="H24" s="3" t="s">
        <v>199</v>
      </c>
      <c r="I24" s="3" t="s">
        <v>41</v>
      </c>
      <c r="J24" s="3">
        <v>8</v>
      </c>
      <c r="K24" s="9" t="s">
        <v>200</v>
      </c>
      <c r="L24" s="9" t="s">
        <v>40</v>
      </c>
      <c r="M24" s="3" t="s">
        <v>468</v>
      </c>
      <c r="N24" s="3" t="s">
        <v>659</v>
      </c>
      <c r="O24" s="3" t="s">
        <v>201</v>
      </c>
      <c r="P24" s="3" t="s">
        <v>48</v>
      </c>
      <c r="Q24" s="3">
        <f>INDEX(Tables!$C$4:$C$28,MATCH($P24,Tables!$B$4:$B$28,0))</f>
        <v>32</v>
      </c>
      <c r="R24" s="3">
        <f>INDEX(Tables!$D$4:$D$28,MATCH($P24,Tables!$B$4:$B$28,0))</f>
        <v>4</v>
      </c>
      <c r="S24" s="3">
        <f>$S23+$R23+INDEX(Tables!$N$5:$Q$8,MATCH(MOD($S23+$R23,4),Tables!$M$5:$M$8,0),MATCH($R24,Tables!$N$4:$Q$4,0))</f>
        <v>80</v>
      </c>
      <c r="T24" s="3" t="str">
        <f t="shared" si="0"/>
        <v>050</v>
      </c>
      <c r="U24" s="3">
        <f t="shared" si="15"/>
        <v>20</v>
      </c>
      <c r="V24" s="3" t="str">
        <f t="shared" si="1"/>
        <v>14</v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16"/>
        <v/>
      </c>
      <c r="AB24" s="3" t="str">
        <f t="shared" si="17"/>
        <v/>
      </c>
      <c r="AC24" s="3" t="str">
        <f t="shared" si="18"/>
        <v/>
      </c>
      <c r="AD24" s="3" t="str">
        <f t="shared" si="19"/>
        <v>(7 downto 0)</v>
      </c>
      <c r="AE24" s="3" t="str">
        <f t="shared" si="20"/>
        <v/>
      </c>
      <c r="AF24" s="3" t="str">
        <f t="shared" si="21"/>
        <v/>
      </c>
      <c r="AG24" s="3" t="str">
        <f t="shared" si="22"/>
        <v/>
      </c>
      <c r="AH24" s="3" t="str">
        <f t="shared" si="23"/>
        <v/>
      </c>
    </row>
    <row r="25" spans="2:34" x14ac:dyDescent="0.25">
      <c r="B25" s="3" t="s">
        <v>202</v>
      </c>
      <c r="C25" s="3" t="s">
        <v>203</v>
      </c>
      <c r="D25" s="3" t="s">
        <v>0</v>
      </c>
      <c r="E25" s="3" t="s">
        <v>471</v>
      </c>
      <c r="F25" s="3" t="s">
        <v>204</v>
      </c>
      <c r="G25" s="3" t="s">
        <v>477</v>
      </c>
      <c r="H25" s="3" t="s">
        <v>205</v>
      </c>
      <c r="I25" s="3" t="s">
        <v>41</v>
      </c>
      <c r="J25" s="3">
        <v>1</v>
      </c>
      <c r="K25" s="9" t="s">
        <v>40</v>
      </c>
      <c r="L25" s="9" t="s">
        <v>40</v>
      </c>
      <c r="M25" s="3" t="s">
        <v>468</v>
      </c>
      <c r="N25" s="3" t="s">
        <v>660</v>
      </c>
      <c r="O25" s="3" t="s">
        <v>206</v>
      </c>
      <c r="P25" s="3" t="s">
        <v>5</v>
      </c>
      <c r="Q25" s="3">
        <f>INDEX(Tables!$C$4:$C$28,MATCH($P25,Tables!$B$4:$B$28,0))</f>
        <v>32</v>
      </c>
      <c r="R25" s="3">
        <f>INDEX(Tables!$D$4:$D$28,MATCH($P25,Tables!$B$4:$B$28,0))</f>
        <v>4</v>
      </c>
      <c r="S25" s="3">
        <f>$S24+$R24+INDEX(Tables!$N$5:$Q$8,MATCH(MOD($S24+$R24,4),Tables!$M$5:$M$8,0),MATCH($R25,Tables!$N$4:$Q$4,0))</f>
        <v>84</v>
      </c>
      <c r="T25" s="3" t="str">
        <f t="shared" si="0"/>
        <v>054</v>
      </c>
      <c r="U25" s="3">
        <f t="shared" si="15"/>
        <v>21</v>
      </c>
      <c r="V25" s="3" t="str">
        <f t="shared" si="1"/>
        <v>15</v>
      </c>
      <c r="W25" s="3" t="str">
        <f t="shared" si="11"/>
        <v/>
      </c>
      <c r="X25" s="3" t="str">
        <f t="shared" si="12"/>
        <v/>
      </c>
      <c r="Y25" s="3" t="str">
        <f t="shared" si="13"/>
        <v/>
      </c>
      <c r="Z25" s="3" t="str">
        <f t="shared" si="14"/>
        <v>X</v>
      </c>
      <c r="AA25" s="3" t="str">
        <f t="shared" si="16"/>
        <v/>
      </c>
      <c r="AB25" s="3" t="str">
        <f t="shared" si="17"/>
        <v/>
      </c>
      <c r="AC25" s="3" t="str">
        <f t="shared" si="18"/>
        <v/>
      </c>
      <c r="AD25" s="3" t="str">
        <f t="shared" si="19"/>
        <v>(0)</v>
      </c>
      <c r="AE25" s="3" t="str">
        <f t="shared" si="20"/>
        <v/>
      </c>
      <c r="AF25" s="3" t="str">
        <f t="shared" si="21"/>
        <v/>
      </c>
      <c r="AG25" s="3" t="str">
        <f t="shared" si="22"/>
        <v/>
      </c>
      <c r="AH25" s="3" t="str">
        <f t="shared" si="23"/>
        <v/>
      </c>
    </row>
    <row r="26" spans="2:34" x14ac:dyDescent="0.25">
      <c r="B26" s="3" t="s">
        <v>202</v>
      </c>
      <c r="C26" s="3" t="s">
        <v>207</v>
      </c>
      <c r="D26" s="3" t="s">
        <v>0</v>
      </c>
      <c r="E26" s="3" t="s">
        <v>471</v>
      </c>
      <c r="F26" s="3" t="s">
        <v>204</v>
      </c>
      <c r="G26" s="3" t="s">
        <v>477</v>
      </c>
      <c r="H26" s="3" t="s">
        <v>208</v>
      </c>
      <c r="I26" s="3" t="s">
        <v>41</v>
      </c>
      <c r="J26" s="3">
        <v>1</v>
      </c>
      <c r="K26" s="9" t="s">
        <v>40</v>
      </c>
      <c r="L26" s="9" t="s">
        <v>40</v>
      </c>
      <c r="M26" s="3" t="s">
        <v>468</v>
      </c>
      <c r="N26" s="3" t="s">
        <v>660</v>
      </c>
      <c r="O26" s="3" t="s">
        <v>209</v>
      </c>
      <c r="P26" s="3" t="s">
        <v>5</v>
      </c>
      <c r="Q26" s="3">
        <f>INDEX(Tables!$C$4:$C$28,MATCH($P26,Tables!$B$4:$B$28,0))</f>
        <v>32</v>
      </c>
      <c r="R26" s="3">
        <f>INDEX(Tables!$D$4:$D$28,MATCH($P26,Tables!$B$4:$B$28,0))</f>
        <v>4</v>
      </c>
      <c r="S26" s="3">
        <f>$S25+$R25+INDEX(Tables!$N$5:$Q$8,MATCH(MOD($S25+$R25,4),Tables!$M$5:$M$8,0),MATCH($R26,Tables!$N$4:$Q$4,0))</f>
        <v>88</v>
      </c>
      <c r="T26" s="3" t="str">
        <f t="shared" si="0"/>
        <v>058</v>
      </c>
      <c r="U26" s="3">
        <f t="shared" si="15"/>
        <v>22</v>
      </c>
      <c r="V26" s="3" t="str">
        <f t="shared" si="1"/>
        <v>16</v>
      </c>
      <c r="W26" s="3" t="str">
        <f t="shared" si="11"/>
        <v/>
      </c>
      <c r="X26" s="3" t="str">
        <f t="shared" si="12"/>
        <v/>
      </c>
      <c r="Y26" s="3" t="str">
        <f t="shared" si="13"/>
        <v/>
      </c>
      <c r="Z26" s="3" t="str">
        <f t="shared" si="14"/>
        <v>X</v>
      </c>
      <c r="AA26" s="3" t="str">
        <f t="shared" si="16"/>
        <v/>
      </c>
      <c r="AB26" s="3" t="str">
        <f t="shared" si="17"/>
        <v/>
      </c>
      <c r="AC26" s="3" t="str">
        <f t="shared" si="18"/>
        <v/>
      </c>
      <c r="AD26" s="3" t="str">
        <f t="shared" si="19"/>
        <v>(0)</v>
      </c>
      <c r="AE26" s="3" t="str">
        <f t="shared" si="20"/>
        <v/>
      </c>
      <c r="AF26" s="3" t="str">
        <f t="shared" si="21"/>
        <v/>
      </c>
      <c r="AG26" s="3" t="str">
        <f t="shared" si="22"/>
        <v/>
      </c>
      <c r="AH26" s="3" t="str">
        <f t="shared" si="23"/>
        <v/>
      </c>
    </row>
    <row r="27" spans="2:34" x14ac:dyDescent="0.25">
      <c r="B27" s="3" t="s">
        <v>202</v>
      </c>
      <c r="C27" s="3" t="s">
        <v>210</v>
      </c>
      <c r="D27" s="3" t="s">
        <v>0</v>
      </c>
      <c r="E27" s="3" t="s">
        <v>471</v>
      </c>
      <c r="F27" s="3" t="s">
        <v>204</v>
      </c>
      <c r="G27" s="3" t="s">
        <v>477</v>
      </c>
      <c r="H27" s="3" t="s">
        <v>211</v>
      </c>
      <c r="I27" s="3" t="s">
        <v>41</v>
      </c>
      <c r="J27" s="3">
        <v>1</v>
      </c>
      <c r="K27" s="9" t="s">
        <v>40</v>
      </c>
      <c r="L27" s="9" t="s">
        <v>40</v>
      </c>
      <c r="M27" s="3" t="s">
        <v>468</v>
      </c>
      <c r="N27" s="3" t="s">
        <v>660</v>
      </c>
      <c r="O27" s="3" t="s">
        <v>212</v>
      </c>
      <c r="P27" s="3" t="s">
        <v>5</v>
      </c>
      <c r="Q27" s="3">
        <f>INDEX(Tables!$C$4:$C$28,MATCH($P27,Tables!$B$4:$B$28,0))</f>
        <v>32</v>
      </c>
      <c r="R27" s="3">
        <f>INDEX(Tables!$D$4:$D$28,MATCH($P27,Tables!$B$4:$B$28,0))</f>
        <v>4</v>
      </c>
      <c r="S27" s="3">
        <f>$S26+$R26+INDEX(Tables!$N$5:$Q$8,MATCH(MOD($S26+$R26,4),Tables!$M$5:$M$8,0),MATCH($R27,Tables!$N$4:$Q$4,0))</f>
        <v>92</v>
      </c>
      <c r="T27" s="3" t="str">
        <f t="shared" si="0"/>
        <v>05C</v>
      </c>
      <c r="U27" s="3">
        <f t="shared" si="15"/>
        <v>23</v>
      </c>
      <c r="V27" s="3" t="str">
        <f t="shared" si="1"/>
        <v>17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16"/>
        <v/>
      </c>
      <c r="AB27" s="3" t="str">
        <f t="shared" si="17"/>
        <v/>
      </c>
      <c r="AC27" s="3" t="str">
        <f t="shared" si="18"/>
        <v/>
      </c>
      <c r="AD27" s="3" t="str">
        <f t="shared" si="19"/>
        <v>(0)</v>
      </c>
      <c r="AE27" s="3" t="str">
        <f t="shared" si="20"/>
        <v/>
      </c>
      <c r="AF27" s="3" t="str">
        <f t="shared" si="21"/>
        <v/>
      </c>
      <c r="AG27" s="3" t="str">
        <f t="shared" si="22"/>
        <v/>
      </c>
      <c r="AH27" s="3" t="str">
        <f t="shared" si="23"/>
        <v/>
      </c>
    </row>
    <row r="28" spans="2:34" x14ac:dyDescent="0.25">
      <c r="B28" s="3" t="s">
        <v>202</v>
      </c>
      <c r="C28" s="3" t="s">
        <v>213</v>
      </c>
      <c r="D28" s="3" t="s">
        <v>0</v>
      </c>
      <c r="E28" s="3" t="s">
        <v>471</v>
      </c>
      <c r="F28" s="3" t="s">
        <v>204</v>
      </c>
      <c r="G28" s="3" t="s">
        <v>477</v>
      </c>
      <c r="H28" s="3" t="s">
        <v>214</v>
      </c>
      <c r="I28" s="3" t="s">
        <v>41</v>
      </c>
      <c r="J28" s="3">
        <v>1</v>
      </c>
      <c r="K28" s="9" t="s">
        <v>40</v>
      </c>
      <c r="L28" s="9" t="s">
        <v>40</v>
      </c>
      <c r="M28" s="3" t="s">
        <v>468</v>
      </c>
      <c r="N28" s="3" t="s">
        <v>660</v>
      </c>
      <c r="O28" s="3" t="s">
        <v>215</v>
      </c>
      <c r="P28" s="3" t="s">
        <v>5</v>
      </c>
      <c r="Q28" s="3">
        <f>INDEX(Tables!$C$4:$C$28,MATCH($P28,Tables!$B$4:$B$28,0))</f>
        <v>32</v>
      </c>
      <c r="R28" s="3">
        <f>INDEX(Tables!$D$4:$D$28,MATCH($P28,Tables!$B$4:$B$28,0))</f>
        <v>4</v>
      </c>
      <c r="S28" s="3">
        <f>$S27+$R27+INDEX(Tables!$N$5:$Q$8,MATCH(MOD($S27+$R27,4),Tables!$M$5:$M$8,0),MATCH($R28,Tables!$N$4:$Q$4,0))</f>
        <v>96</v>
      </c>
      <c r="T28" s="3" t="str">
        <f t="shared" si="0"/>
        <v>060</v>
      </c>
      <c r="U28" s="3">
        <f t="shared" si="15"/>
        <v>24</v>
      </c>
      <c r="V28" s="3" t="str">
        <f t="shared" si="1"/>
        <v>18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16"/>
        <v/>
      </c>
      <c r="AB28" s="3" t="str">
        <f t="shared" si="17"/>
        <v/>
      </c>
      <c r="AC28" s="3" t="str">
        <f t="shared" si="18"/>
        <v/>
      </c>
      <c r="AD28" s="3" t="str">
        <f t="shared" si="19"/>
        <v>(0)</v>
      </c>
      <c r="AE28" s="3" t="str">
        <f t="shared" si="20"/>
        <v/>
      </c>
      <c r="AF28" s="3" t="str">
        <f t="shared" si="21"/>
        <v/>
      </c>
      <c r="AG28" s="3" t="str">
        <f t="shared" si="22"/>
        <v/>
      </c>
      <c r="AH28" s="3" t="str">
        <f t="shared" si="23"/>
        <v/>
      </c>
    </row>
    <row r="29" spans="2:34" x14ac:dyDescent="0.25">
      <c r="B29" s="3" t="s">
        <v>202</v>
      </c>
      <c r="C29" s="3" t="s">
        <v>216</v>
      </c>
      <c r="D29" s="3" t="s">
        <v>0</v>
      </c>
      <c r="E29" s="3" t="s">
        <v>471</v>
      </c>
      <c r="F29" s="3" t="s">
        <v>204</v>
      </c>
      <c r="G29" s="3" t="s">
        <v>477</v>
      </c>
      <c r="H29" s="3" t="s">
        <v>217</v>
      </c>
      <c r="I29" s="3" t="s">
        <v>41</v>
      </c>
      <c r="J29" s="3">
        <v>1</v>
      </c>
      <c r="K29" s="9" t="s">
        <v>40</v>
      </c>
      <c r="L29" s="9" t="s">
        <v>40</v>
      </c>
      <c r="M29" s="3" t="s">
        <v>468</v>
      </c>
      <c r="N29" s="3" t="s">
        <v>660</v>
      </c>
      <c r="O29" s="3" t="s">
        <v>218</v>
      </c>
      <c r="P29" s="3" t="s">
        <v>5</v>
      </c>
      <c r="Q29" s="3">
        <f>INDEX(Tables!$C$4:$C$28,MATCH($P29,Tables!$B$4:$B$28,0))</f>
        <v>32</v>
      </c>
      <c r="R29" s="3">
        <f>INDEX(Tables!$D$4:$D$28,MATCH($P29,Tables!$B$4:$B$28,0))</f>
        <v>4</v>
      </c>
      <c r="S29" s="3">
        <f>$S28+$R28+INDEX(Tables!$N$5:$Q$8,MATCH(MOD($S28+$R28,4),Tables!$M$5:$M$8,0),MATCH($R29,Tables!$N$4:$Q$4,0))</f>
        <v>100</v>
      </c>
      <c r="T29" s="3" t="str">
        <f t="shared" si="0"/>
        <v>064</v>
      </c>
      <c r="U29" s="3">
        <f t="shared" si="15"/>
        <v>25</v>
      </c>
      <c r="V29" s="3" t="str">
        <f t="shared" si="1"/>
        <v>19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16"/>
        <v/>
      </c>
      <c r="AB29" s="3" t="str">
        <f t="shared" si="17"/>
        <v/>
      </c>
      <c r="AC29" s="3" t="str">
        <f t="shared" si="18"/>
        <v/>
      </c>
      <c r="AD29" s="3" t="str">
        <f t="shared" si="19"/>
        <v>(0)</v>
      </c>
      <c r="AE29" s="3" t="str">
        <f t="shared" si="20"/>
        <v/>
      </c>
      <c r="AF29" s="3" t="str">
        <f t="shared" si="21"/>
        <v/>
      </c>
      <c r="AG29" s="3" t="str">
        <f t="shared" si="22"/>
        <v/>
      </c>
      <c r="AH29" s="3" t="str">
        <f t="shared" si="23"/>
        <v/>
      </c>
    </row>
    <row r="30" spans="2:34" x14ac:dyDescent="0.25">
      <c r="B30" s="3" t="s">
        <v>202</v>
      </c>
      <c r="C30" s="3" t="s">
        <v>219</v>
      </c>
      <c r="D30" s="3" t="s">
        <v>0</v>
      </c>
      <c r="E30" s="3" t="s">
        <v>471</v>
      </c>
      <c r="F30" s="3" t="s">
        <v>204</v>
      </c>
      <c r="G30" s="3" t="s">
        <v>477</v>
      </c>
      <c r="H30" s="3" t="s">
        <v>220</v>
      </c>
      <c r="I30" s="3" t="s">
        <v>41</v>
      </c>
      <c r="J30" s="3">
        <v>1</v>
      </c>
      <c r="K30" s="9" t="s">
        <v>40</v>
      </c>
      <c r="L30" s="9" t="s">
        <v>40</v>
      </c>
      <c r="M30" s="3" t="s">
        <v>468</v>
      </c>
      <c r="N30" s="3" t="s">
        <v>660</v>
      </c>
      <c r="O30" s="3" t="s">
        <v>221</v>
      </c>
      <c r="P30" s="3" t="s">
        <v>5</v>
      </c>
      <c r="Q30" s="3">
        <f>INDEX(Tables!$C$4:$C$28,MATCH($P30,Tables!$B$4:$B$28,0))</f>
        <v>32</v>
      </c>
      <c r="R30" s="3">
        <f>INDEX(Tables!$D$4:$D$28,MATCH($P30,Tables!$B$4:$B$28,0))</f>
        <v>4</v>
      </c>
      <c r="S30" s="3">
        <f>$S29+$R29+INDEX(Tables!$N$5:$Q$8,MATCH(MOD($S29+$R29,4),Tables!$M$5:$M$8,0),MATCH($R30,Tables!$N$4:$Q$4,0))</f>
        <v>104</v>
      </c>
      <c r="T30" s="3" t="str">
        <f t="shared" si="0"/>
        <v>068</v>
      </c>
      <c r="U30" s="3">
        <f t="shared" si="15"/>
        <v>26</v>
      </c>
      <c r="V30" s="3" t="str">
        <f t="shared" si="1"/>
        <v>1A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16"/>
        <v/>
      </c>
      <c r="AB30" s="3" t="str">
        <f t="shared" si="17"/>
        <v/>
      </c>
      <c r="AC30" s="3" t="str">
        <f t="shared" si="18"/>
        <v/>
      </c>
      <c r="AD30" s="3" t="str">
        <f t="shared" si="19"/>
        <v>(0)</v>
      </c>
      <c r="AE30" s="3" t="str">
        <f t="shared" si="20"/>
        <v/>
      </c>
      <c r="AF30" s="3" t="str">
        <f t="shared" si="21"/>
        <v/>
      </c>
      <c r="AG30" s="3" t="str">
        <f t="shared" si="22"/>
        <v/>
      </c>
      <c r="AH30" s="3" t="str">
        <f t="shared" si="23"/>
        <v/>
      </c>
    </row>
    <row r="31" spans="2:34" x14ac:dyDescent="0.25">
      <c r="B31" s="3" t="s">
        <v>202</v>
      </c>
      <c r="C31" s="3" t="s">
        <v>222</v>
      </c>
      <c r="D31" s="3" t="s">
        <v>0</v>
      </c>
      <c r="E31" s="3" t="s">
        <v>471</v>
      </c>
      <c r="F31" s="3" t="s">
        <v>204</v>
      </c>
      <c r="G31" s="3" t="s">
        <v>477</v>
      </c>
      <c r="H31" s="3" t="s">
        <v>223</v>
      </c>
      <c r="I31" s="3" t="s">
        <v>41</v>
      </c>
      <c r="J31" s="3">
        <v>1</v>
      </c>
      <c r="K31" s="9" t="s">
        <v>40</v>
      </c>
      <c r="L31" s="9" t="s">
        <v>40</v>
      </c>
      <c r="M31" s="3" t="s">
        <v>468</v>
      </c>
      <c r="N31" s="3" t="s">
        <v>660</v>
      </c>
      <c r="O31" s="3" t="s">
        <v>224</v>
      </c>
      <c r="P31" s="3" t="s">
        <v>5</v>
      </c>
      <c r="Q31" s="3">
        <f>INDEX(Tables!$C$4:$C$28,MATCH($P31,Tables!$B$4:$B$28,0))</f>
        <v>32</v>
      </c>
      <c r="R31" s="3">
        <f>INDEX(Tables!$D$4:$D$28,MATCH($P31,Tables!$B$4:$B$28,0))</f>
        <v>4</v>
      </c>
      <c r="S31" s="3">
        <f>$S30+$R30+INDEX(Tables!$N$5:$Q$8,MATCH(MOD($S30+$R30,4),Tables!$M$5:$M$8,0),MATCH($R31,Tables!$N$4:$Q$4,0))</f>
        <v>108</v>
      </c>
      <c r="T31" s="3" t="str">
        <f t="shared" si="0"/>
        <v>06C</v>
      </c>
      <c r="U31" s="3">
        <f t="shared" si="15"/>
        <v>27</v>
      </c>
      <c r="V31" s="3" t="str">
        <f t="shared" si="1"/>
        <v>1B</v>
      </c>
      <c r="W31" s="3" t="str">
        <f t="shared" si="11"/>
        <v/>
      </c>
      <c r="X31" s="3" t="str">
        <f t="shared" si="12"/>
        <v/>
      </c>
      <c r="Y31" s="3" t="str">
        <f t="shared" si="13"/>
        <v/>
      </c>
      <c r="Z31" s="3" t="str">
        <f t="shared" si="14"/>
        <v>X</v>
      </c>
      <c r="AA31" s="3" t="str">
        <f t="shared" si="16"/>
        <v/>
      </c>
      <c r="AB31" s="3" t="str">
        <f t="shared" si="17"/>
        <v/>
      </c>
      <c r="AC31" s="3" t="str">
        <f t="shared" si="18"/>
        <v/>
      </c>
      <c r="AD31" s="3" t="str">
        <f t="shared" si="19"/>
        <v>(0)</v>
      </c>
      <c r="AE31" s="3" t="str">
        <f t="shared" si="20"/>
        <v/>
      </c>
      <c r="AF31" s="3" t="str">
        <f t="shared" si="21"/>
        <v/>
      </c>
      <c r="AG31" s="3" t="str">
        <f t="shared" si="22"/>
        <v/>
      </c>
      <c r="AH31" s="3" t="str">
        <f t="shared" si="23"/>
        <v/>
      </c>
    </row>
    <row r="32" spans="2:34" x14ac:dyDescent="0.25">
      <c r="B32" s="3" t="s">
        <v>202</v>
      </c>
      <c r="C32" s="3" t="s">
        <v>225</v>
      </c>
      <c r="D32" s="3" t="s">
        <v>0</v>
      </c>
      <c r="E32" s="3" t="s">
        <v>471</v>
      </c>
      <c r="F32" s="3" t="s">
        <v>204</v>
      </c>
      <c r="G32" s="3" t="s">
        <v>477</v>
      </c>
      <c r="H32" s="3" t="s">
        <v>226</v>
      </c>
      <c r="I32" s="3" t="s">
        <v>41</v>
      </c>
      <c r="J32" s="3">
        <v>1</v>
      </c>
      <c r="K32" s="9" t="s">
        <v>40</v>
      </c>
      <c r="L32" s="9" t="s">
        <v>40</v>
      </c>
      <c r="M32" s="3" t="s">
        <v>468</v>
      </c>
      <c r="N32" s="3" t="s">
        <v>661</v>
      </c>
      <c r="O32" s="3" t="s">
        <v>227</v>
      </c>
      <c r="P32" s="3" t="s">
        <v>5</v>
      </c>
      <c r="Q32" s="3">
        <f>INDEX(Tables!$C$4:$C$28,MATCH($P32,Tables!$B$4:$B$28,0))</f>
        <v>32</v>
      </c>
      <c r="R32" s="3">
        <f>INDEX(Tables!$D$4:$D$28,MATCH($P32,Tables!$B$4:$B$28,0))</f>
        <v>4</v>
      </c>
      <c r="S32" s="3">
        <f>$S31+$R31+INDEX(Tables!$N$5:$Q$8,MATCH(MOD($S31+$R31,4),Tables!$M$5:$M$8,0),MATCH($R32,Tables!$N$4:$Q$4,0))</f>
        <v>112</v>
      </c>
      <c r="T32" s="3" t="str">
        <f t="shared" si="0"/>
        <v>070</v>
      </c>
      <c r="U32" s="3">
        <f t="shared" si="15"/>
        <v>28</v>
      </c>
      <c r="V32" s="3" t="str">
        <f t="shared" si="1"/>
        <v>1C</v>
      </c>
      <c r="W32" s="3" t="str">
        <f t="shared" si="11"/>
        <v/>
      </c>
      <c r="X32" s="3" t="str">
        <f t="shared" si="12"/>
        <v/>
      </c>
      <c r="Y32" s="3" t="str">
        <f t="shared" si="13"/>
        <v/>
      </c>
      <c r="Z32" s="3" t="str">
        <f t="shared" si="14"/>
        <v>X</v>
      </c>
      <c r="AA32" s="3" t="str">
        <f t="shared" si="16"/>
        <v/>
      </c>
      <c r="AB32" s="3" t="str">
        <f t="shared" si="17"/>
        <v/>
      </c>
      <c r="AC32" s="3" t="str">
        <f t="shared" si="18"/>
        <v/>
      </c>
      <c r="AD32" s="3" t="str">
        <f t="shared" si="19"/>
        <v>(0)</v>
      </c>
      <c r="AE32" s="3" t="str">
        <f t="shared" si="20"/>
        <v/>
      </c>
      <c r="AF32" s="3" t="str">
        <f t="shared" si="21"/>
        <v/>
      </c>
      <c r="AG32" s="3" t="str">
        <f t="shared" si="22"/>
        <v/>
      </c>
      <c r="AH32" s="3" t="str">
        <f t="shared" si="23"/>
        <v/>
      </c>
    </row>
    <row r="33" spans="2:34" x14ac:dyDescent="0.25">
      <c r="B33" s="3" t="s">
        <v>202</v>
      </c>
      <c r="C33" s="3" t="s">
        <v>228</v>
      </c>
      <c r="D33" s="3" t="s">
        <v>0</v>
      </c>
      <c r="E33" s="3" t="s">
        <v>471</v>
      </c>
      <c r="F33" s="3" t="s">
        <v>204</v>
      </c>
      <c r="G33" s="3" t="s">
        <v>477</v>
      </c>
      <c r="H33" s="3" t="s">
        <v>229</v>
      </c>
      <c r="I33" s="3" t="s">
        <v>41</v>
      </c>
      <c r="J33" s="3">
        <v>1</v>
      </c>
      <c r="K33" s="9" t="s">
        <v>40</v>
      </c>
      <c r="L33" s="9" t="s">
        <v>40</v>
      </c>
      <c r="M33" s="3" t="s">
        <v>468</v>
      </c>
      <c r="N33" s="3" t="s">
        <v>661</v>
      </c>
      <c r="O33" s="3" t="s">
        <v>230</v>
      </c>
      <c r="P33" s="3" t="s">
        <v>5</v>
      </c>
      <c r="Q33" s="3">
        <f>INDEX(Tables!$C$4:$C$28,MATCH($P33,Tables!$B$4:$B$28,0))</f>
        <v>32</v>
      </c>
      <c r="R33" s="3">
        <f>INDEX(Tables!$D$4:$D$28,MATCH($P33,Tables!$B$4:$B$28,0))</f>
        <v>4</v>
      </c>
      <c r="S33" s="3">
        <f>$S32+$R32+INDEX(Tables!$N$5:$Q$8,MATCH(MOD($S32+$R32,4),Tables!$M$5:$M$8,0),MATCH($R33,Tables!$N$4:$Q$4,0))</f>
        <v>116</v>
      </c>
      <c r="T33" s="3" t="str">
        <f t="shared" si="0"/>
        <v>074</v>
      </c>
      <c r="U33" s="3">
        <f t="shared" si="15"/>
        <v>29</v>
      </c>
      <c r="V33" s="3" t="str">
        <f t="shared" si="1"/>
        <v>1D</v>
      </c>
      <c r="W33" s="3" t="str">
        <f t="shared" si="11"/>
        <v/>
      </c>
      <c r="X33" s="3" t="str">
        <f t="shared" si="12"/>
        <v/>
      </c>
      <c r="Y33" s="3" t="str">
        <f t="shared" si="13"/>
        <v/>
      </c>
      <c r="Z33" s="3" t="str">
        <f t="shared" si="14"/>
        <v>X</v>
      </c>
      <c r="AA33" s="3" t="str">
        <f t="shared" si="16"/>
        <v/>
      </c>
      <c r="AB33" s="3" t="str">
        <f t="shared" si="17"/>
        <v/>
      </c>
      <c r="AC33" s="3" t="str">
        <f t="shared" si="18"/>
        <v/>
      </c>
      <c r="AD33" s="3" t="str">
        <f t="shared" si="19"/>
        <v>(0)</v>
      </c>
      <c r="AE33" s="3" t="str">
        <f t="shared" si="20"/>
        <v/>
      </c>
      <c r="AF33" s="3" t="str">
        <f t="shared" si="21"/>
        <v/>
      </c>
      <c r="AG33" s="3" t="str">
        <f t="shared" si="22"/>
        <v/>
      </c>
      <c r="AH33" s="3" t="str">
        <f t="shared" si="23"/>
        <v/>
      </c>
    </row>
    <row r="34" spans="2:34" x14ac:dyDescent="0.25">
      <c r="B34" s="3" t="s">
        <v>202</v>
      </c>
      <c r="C34" s="3" t="s">
        <v>231</v>
      </c>
      <c r="D34" s="3" t="s">
        <v>0</v>
      </c>
      <c r="E34" s="3" t="s">
        <v>471</v>
      </c>
      <c r="F34" s="3" t="s">
        <v>204</v>
      </c>
      <c r="G34" s="3" t="s">
        <v>477</v>
      </c>
      <c r="H34" s="3" t="s">
        <v>232</v>
      </c>
      <c r="I34" s="3" t="s">
        <v>41</v>
      </c>
      <c r="J34" s="3">
        <v>1</v>
      </c>
      <c r="K34" s="9" t="s">
        <v>40</v>
      </c>
      <c r="L34" s="9" t="s">
        <v>40</v>
      </c>
      <c r="M34" s="3" t="s">
        <v>468</v>
      </c>
      <c r="N34" s="3" t="s">
        <v>661</v>
      </c>
      <c r="O34" s="3" t="s">
        <v>233</v>
      </c>
      <c r="P34" s="3" t="s">
        <v>5</v>
      </c>
      <c r="Q34" s="3">
        <f>INDEX(Tables!$C$4:$C$28,MATCH($P34,Tables!$B$4:$B$28,0))</f>
        <v>32</v>
      </c>
      <c r="R34" s="3">
        <f>INDEX(Tables!$D$4:$D$28,MATCH($P34,Tables!$B$4:$B$28,0))</f>
        <v>4</v>
      </c>
      <c r="S34" s="3">
        <f>$S33+$R33+INDEX(Tables!$N$5:$Q$8,MATCH(MOD($S33+$R33,4),Tables!$M$5:$M$8,0),MATCH($R34,Tables!$N$4:$Q$4,0))</f>
        <v>120</v>
      </c>
      <c r="T34" s="3" t="str">
        <f t="shared" si="0"/>
        <v>078</v>
      </c>
      <c r="U34" s="3">
        <f t="shared" si="15"/>
        <v>30</v>
      </c>
      <c r="V34" s="3" t="str">
        <f t="shared" si="1"/>
        <v>1E</v>
      </c>
      <c r="W34" s="3" t="str">
        <f t="shared" si="11"/>
        <v/>
      </c>
      <c r="X34" s="3" t="str">
        <f t="shared" si="12"/>
        <v/>
      </c>
      <c r="Y34" s="3" t="str">
        <f t="shared" si="13"/>
        <v/>
      </c>
      <c r="Z34" s="3" t="str">
        <f t="shared" si="14"/>
        <v>X</v>
      </c>
      <c r="AA34" s="3" t="str">
        <f t="shared" si="16"/>
        <v/>
      </c>
      <c r="AB34" s="3" t="str">
        <f t="shared" si="17"/>
        <v/>
      </c>
      <c r="AC34" s="3" t="str">
        <f t="shared" si="18"/>
        <v/>
      </c>
      <c r="AD34" s="3" t="str">
        <f t="shared" si="19"/>
        <v>(0)</v>
      </c>
      <c r="AE34" s="3" t="str">
        <f t="shared" si="20"/>
        <v/>
      </c>
      <c r="AF34" s="3" t="str">
        <f t="shared" si="21"/>
        <v/>
      </c>
      <c r="AG34" s="3" t="str">
        <f t="shared" si="22"/>
        <v/>
      </c>
      <c r="AH34" s="3" t="str">
        <f t="shared" si="23"/>
        <v/>
      </c>
    </row>
    <row r="35" spans="2:34" x14ac:dyDescent="0.25">
      <c r="B35" s="3" t="s">
        <v>202</v>
      </c>
      <c r="C35" s="3" t="s">
        <v>234</v>
      </c>
      <c r="D35" s="3" t="s">
        <v>0</v>
      </c>
      <c r="E35" s="3" t="s">
        <v>471</v>
      </c>
      <c r="F35" s="3" t="s">
        <v>204</v>
      </c>
      <c r="G35" s="3" t="s">
        <v>477</v>
      </c>
      <c r="H35" s="3" t="s">
        <v>235</v>
      </c>
      <c r="I35" s="3" t="s">
        <v>41</v>
      </c>
      <c r="J35" s="3">
        <v>1</v>
      </c>
      <c r="K35" s="9" t="s">
        <v>40</v>
      </c>
      <c r="L35" s="9" t="s">
        <v>40</v>
      </c>
      <c r="M35" s="3" t="s">
        <v>468</v>
      </c>
      <c r="N35" s="3" t="s">
        <v>661</v>
      </c>
      <c r="O35" s="3" t="s">
        <v>236</v>
      </c>
      <c r="P35" s="3" t="s">
        <v>5</v>
      </c>
      <c r="Q35" s="3">
        <f>INDEX(Tables!$C$4:$C$28,MATCH($P35,Tables!$B$4:$B$28,0))</f>
        <v>32</v>
      </c>
      <c r="R35" s="3">
        <f>INDEX(Tables!$D$4:$D$28,MATCH($P35,Tables!$B$4:$B$28,0))</f>
        <v>4</v>
      </c>
      <c r="S35" s="3">
        <f>$S34+$R34+INDEX(Tables!$N$5:$Q$8,MATCH(MOD($S34+$R34,4),Tables!$M$5:$M$8,0),MATCH($R35,Tables!$N$4:$Q$4,0))</f>
        <v>124</v>
      </c>
      <c r="T35" s="3" t="str">
        <f t="shared" si="0"/>
        <v>07C</v>
      </c>
      <c r="U35" s="3">
        <f t="shared" si="15"/>
        <v>31</v>
      </c>
      <c r="V35" s="3" t="str">
        <f t="shared" si="1"/>
        <v>1F</v>
      </c>
      <c r="W35" s="3" t="str">
        <f t="shared" si="11"/>
        <v/>
      </c>
      <c r="X35" s="3" t="str">
        <f t="shared" si="12"/>
        <v/>
      </c>
      <c r="Y35" s="3" t="str">
        <f t="shared" si="13"/>
        <v/>
      </c>
      <c r="Z35" s="3" t="str">
        <f t="shared" si="14"/>
        <v>X</v>
      </c>
      <c r="AA35" s="3" t="str">
        <f t="shared" si="16"/>
        <v/>
      </c>
      <c r="AB35" s="3" t="str">
        <f t="shared" si="17"/>
        <v/>
      </c>
      <c r="AC35" s="3" t="str">
        <f t="shared" si="18"/>
        <v/>
      </c>
      <c r="AD35" s="3" t="str">
        <f t="shared" si="19"/>
        <v>(0)</v>
      </c>
      <c r="AE35" s="3" t="str">
        <f t="shared" si="20"/>
        <v/>
      </c>
      <c r="AF35" s="3" t="str">
        <f t="shared" si="21"/>
        <v/>
      </c>
      <c r="AG35" s="3" t="str">
        <f t="shared" si="22"/>
        <v/>
      </c>
      <c r="AH35" s="3" t="str">
        <f t="shared" si="23"/>
        <v/>
      </c>
    </row>
    <row r="36" spans="2:34" x14ac:dyDescent="0.25">
      <c r="B36" s="3" t="s">
        <v>202</v>
      </c>
      <c r="C36" s="3" t="s">
        <v>237</v>
      </c>
      <c r="D36" s="3" t="s">
        <v>0</v>
      </c>
      <c r="E36" s="3" t="s">
        <v>471</v>
      </c>
      <c r="F36" s="3" t="s">
        <v>204</v>
      </c>
      <c r="G36" s="3" t="s">
        <v>477</v>
      </c>
      <c r="H36" s="3" t="s">
        <v>238</v>
      </c>
      <c r="I36" s="3" t="s">
        <v>41</v>
      </c>
      <c r="J36" s="3">
        <v>1</v>
      </c>
      <c r="K36" s="9" t="s">
        <v>40</v>
      </c>
      <c r="L36" s="9" t="s">
        <v>40</v>
      </c>
      <c r="M36" s="3" t="s">
        <v>468</v>
      </c>
      <c r="N36" s="3" t="s">
        <v>661</v>
      </c>
      <c r="O36" s="3" t="s">
        <v>239</v>
      </c>
      <c r="P36" s="3" t="s">
        <v>5</v>
      </c>
      <c r="Q36" s="3">
        <f>INDEX(Tables!$C$4:$C$28,MATCH($P36,Tables!$B$4:$B$28,0))</f>
        <v>32</v>
      </c>
      <c r="R36" s="3">
        <f>INDEX(Tables!$D$4:$D$28,MATCH($P36,Tables!$B$4:$B$28,0))</f>
        <v>4</v>
      </c>
      <c r="S36" s="3">
        <f>$S35+$R35+INDEX(Tables!$N$5:$Q$8,MATCH(MOD($S35+$R35,4),Tables!$M$5:$M$8,0),MATCH($R36,Tables!$N$4:$Q$4,0))</f>
        <v>128</v>
      </c>
      <c r="T36" s="3" t="str">
        <f t="shared" si="0"/>
        <v>080</v>
      </c>
      <c r="U36" s="3">
        <f t="shared" si="15"/>
        <v>32</v>
      </c>
      <c r="V36" s="3" t="str">
        <f t="shared" si="1"/>
        <v>20</v>
      </c>
      <c r="W36" s="3" t="str">
        <f t="shared" si="11"/>
        <v/>
      </c>
      <c r="X36" s="3" t="str">
        <f t="shared" si="12"/>
        <v/>
      </c>
      <c r="Y36" s="3" t="str">
        <f t="shared" si="13"/>
        <v/>
      </c>
      <c r="Z36" s="3" t="str">
        <f t="shared" si="14"/>
        <v>X</v>
      </c>
      <c r="AA36" s="3" t="str">
        <f t="shared" si="16"/>
        <v/>
      </c>
      <c r="AB36" s="3" t="str">
        <f t="shared" si="17"/>
        <v/>
      </c>
      <c r="AC36" s="3" t="str">
        <f t="shared" si="18"/>
        <v/>
      </c>
      <c r="AD36" s="3" t="str">
        <f t="shared" si="19"/>
        <v>(0)</v>
      </c>
      <c r="AE36" s="3" t="str">
        <f t="shared" si="20"/>
        <v/>
      </c>
      <c r="AF36" s="3" t="str">
        <f t="shared" si="21"/>
        <v/>
      </c>
      <c r="AG36" s="3" t="str">
        <f t="shared" si="22"/>
        <v/>
      </c>
      <c r="AH36" s="3" t="str">
        <f t="shared" si="23"/>
        <v/>
      </c>
    </row>
    <row r="37" spans="2:34" x14ac:dyDescent="0.25">
      <c r="B37" s="3" t="s">
        <v>202</v>
      </c>
      <c r="C37" s="3" t="s">
        <v>240</v>
      </c>
      <c r="D37" s="3" t="s">
        <v>0</v>
      </c>
      <c r="E37" s="3" t="s">
        <v>471</v>
      </c>
      <c r="F37" s="3" t="s">
        <v>204</v>
      </c>
      <c r="G37" s="3" t="s">
        <v>477</v>
      </c>
      <c r="H37" s="3" t="s">
        <v>241</v>
      </c>
      <c r="I37" s="3" t="s">
        <v>41</v>
      </c>
      <c r="J37" s="3">
        <v>1</v>
      </c>
      <c r="K37" s="9" t="s">
        <v>40</v>
      </c>
      <c r="L37" s="9" t="s">
        <v>40</v>
      </c>
      <c r="M37" s="3" t="s">
        <v>468</v>
      </c>
      <c r="N37" s="3" t="s">
        <v>661</v>
      </c>
      <c r="O37" s="3" t="s">
        <v>242</v>
      </c>
      <c r="P37" s="3" t="s">
        <v>5</v>
      </c>
      <c r="Q37" s="3">
        <f>INDEX(Tables!$C$4:$C$28,MATCH($P37,Tables!$B$4:$B$28,0))</f>
        <v>32</v>
      </c>
      <c r="R37" s="3">
        <f>INDEX(Tables!$D$4:$D$28,MATCH($P37,Tables!$B$4:$B$28,0))</f>
        <v>4</v>
      </c>
      <c r="S37" s="3">
        <f>$S36+$R36+INDEX(Tables!$N$5:$Q$8,MATCH(MOD($S36+$R36,4),Tables!$M$5:$M$8,0),MATCH($R37,Tables!$N$4:$Q$4,0))</f>
        <v>132</v>
      </c>
      <c r="T37" s="3" t="str">
        <f t="shared" si="0"/>
        <v>084</v>
      </c>
      <c r="U37" s="3">
        <f t="shared" si="15"/>
        <v>33</v>
      </c>
      <c r="V37" s="3" t="str">
        <f t="shared" si="1"/>
        <v>21</v>
      </c>
      <c r="W37" s="3" t="str">
        <f t="shared" si="11"/>
        <v/>
      </c>
      <c r="X37" s="3" t="str">
        <f t="shared" si="12"/>
        <v/>
      </c>
      <c r="Y37" s="3" t="str">
        <f t="shared" si="13"/>
        <v/>
      </c>
      <c r="Z37" s="3" t="str">
        <f t="shared" si="14"/>
        <v>X</v>
      </c>
      <c r="AA37" s="3" t="str">
        <f t="shared" si="16"/>
        <v/>
      </c>
      <c r="AB37" s="3" t="str">
        <f t="shared" si="17"/>
        <v/>
      </c>
      <c r="AC37" s="3" t="str">
        <f t="shared" si="18"/>
        <v/>
      </c>
      <c r="AD37" s="3" t="str">
        <f t="shared" si="19"/>
        <v>(0)</v>
      </c>
      <c r="AE37" s="3" t="str">
        <f t="shared" si="20"/>
        <v/>
      </c>
      <c r="AF37" s="3" t="str">
        <f t="shared" si="21"/>
        <v/>
      </c>
      <c r="AG37" s="3" t="str">
        <f t="shared" si="22"/>
        <v/>
      </c>
      <c r="AH37" s="3" t="str">
        <f t="shared" si="23"/>
        <v/>
      </c>
    </row>
    <row r="38" spans="2:34" x14ac:dyDescent="0.25">
      <c r="B38" s="3" t="s">
        <v>202</v>
      </c>
      <c r="C38" s="3" t="s">
        <v>243</v>
      </c>
      <c r="D38" s="3" t="s">
        <v>0</v>
      </c>
      <c r="E38" s="3" t="s">
        <v>471</v>
      </c>
      <c r="F38" s="3" t="s">
        <v>204</v>
      </c>
      <c r="G38" s="3" t="s">
        <v>477</v>
      </c>
      <c r="H38" s="3" t="s">
        <v>244</v>
      </c>
      <c r="I38" s="3" t="s">
        <v>41</v>
      </c>
      <c r="J38" s="3">
        <v>1</v>
      </c>
      <c r="K38" s="9" t="s">
        <v>40</v>
      </c>
      <c r="L38" s="9" t="s">
        <v>40</v>
      </c>
      <c r="M38" s="3" t="s">
        <v>468</v>
      </c>
      <c r="N38" s="3" t="s">
        <v>661</v>
      </c>
      <c r="O38" s="3" t="s">
        <v>245</v>
      </c>
      <c r="P38" s="3" t="s">
        <v>5</v>
      </c>
      <c r="Q38" s="3">
        <f>INDEX(Tables!$C$4:$C$28,MATCH($P38,Tables!$B$4:$B$28,0))</f>
        <v>32</v>
      </c>
      <c r="R38" s="3">
        <f>INDEX(Tables!$D$4:$D$28,MATCH($P38,Tables!$B$4:$B$28,0))</f>
        <v>4</v>
      </c>
      <c r="S38" s="3">
        <f>$S37+$R37+INDEX(Tables!$N$5:$Q$8,MATCH(MOD($S37+$R37,4),Tables!$M$5:$M$8,0),MATCH($R38,Tables!$N$4:$Q$4,0))</f>
        <v>136</v>
      </c>
      <c r="T38" s="3" t="str">
        <f t="shared" si="0"/>
        <v>088</v>
      </c>
      <c r="U38" s="3">
        <f t="shared" si="15"/>
        <v>34</v>
      </c>
      <c r="V38" s="3" t="str">
        <f t="shared" si="1"/>
        <v>22</v>
      </c>
      <c r="W38" s="3" t="str">
        <f t="shared" si="11"/>
        <v/>
      </c>
      <c r="X38" s="3" t="str">
        <f t="shared" si="12"/>
        <v/>
      </c>
      <c r="Y38" s="3" t="str">
        <f t="shared" si="13"/>
        <v/>
      </c>
      <c r="Z38" s="3" t="str">
        <f t="shared" si="14"/>
        <v>X</v>
      </c>
      <c r="AA38" s="3" t="str">
        <f t="shared" si="16"/>
        <v/>
      </c>
      <c r="AB38" s="3" t="str">
        <f t="shared" si="17"/>
        <v/>
      </c>
      <c r="AC38" s="3" t="str">
        <f t="shared" si="18"/>
        <v/>
      </c>
      <c r="AD38" s="3" t="str">
        <f t="shared" si="19"/>
        <v>(0)</v>
      </c>
      <c r="AE38" s="3" t="str">
        <f t="shared" si="20"/>
        <v/>
      </c>
      <c r="AF38" s="3" t="str">
        <f t="shared" si="21"/>
        <v/>
      </c>
      <c r="AG38" s="3" t="str">
        <f t="shared" si="22"/>
        <v/>
      </c>
      <c r="AH38" s="3" t="str">
        <f t="shared" si="23"/>
        <v/>
      </c>
    </row>
    <row r="39" spans="2:34" x14ac:dyDescent="0.25">
      <c r="B39" s="3" t="s">
        <v>246</v>
      </c>
      <c r="C39" s="3" t="s">
        <v>247</v>
      </c>
      <c r="D39" s="3" t="s">
        <v>0</v>
      </c>
      <c r="E39" s="3" t="s">
        <v>471</v>
      </c>
      <c r="F39" s="3" t="s">
        <v>248</v>
      </c>
      <c r="G39" s="3" t="s">
        <v>478</v>
      </c>
      <c r="H39" s="3" t="s">
        <v>249</v>
      </c>
      <c r="I39" s="3" t="s">
        <v>41</v>
      </c>
      <c r="J39" s="3">
        <v>32</v>
      </c>
      <c r="K39" s="9" t="s">
        <v>40</v>
      </c>
      <c r="L39" s="9" t="s">
        <v>40</v>
      </c>
      <c r="M39" s="3" t="s">
        <v>468</v>
      </c>
      <c r="N39" s="3" t="s">
        <v>662</v>
      </c>
      <c r="O39" s="3" t="s">
        <v>250</v>
      </c>
      <c r="P39" s="3" t="s">
        <v>48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>
        <f>$S38+$R38+INDEX(Tables!$N$5:$Q$8,MATCH(MOD($S38+$R38,4),Tables!$M$5:$M$8,0),MATCH($R39,Tables!$N$4:$Q$4,0))</f>
        <v>140</v>
      </c>
      <c r="T39" s="3" t="str">
        <f t="shared" si="0"/>
        <v>08C</v>
      </c>
      <c r="U39" s="3">
        <f t="shared" si="15"/>
        <v>35</v>
      </c>
      <c r="V39" s="3" t="str">
        <f t="shared" si="1"/>
        <v>23</v>
      </c>
      <c r="W39" s="3" t="str">
        <f t="shared" si="11"/>
        <v>X</v>
      </c>
      <c r="X39" s="3" t="str">
        <f t="shared" si="12"/>
        <v>X</v>
      </c>
      <c r="Y39" s="3" t="str">
        <f t="shared" si="13"/>
        <v>X</v>
      </c>
      <c r="Z39" s="3" t="str">
        <f t="shared" si="14"/>
        <v>X</v>
      </c>
      <c r="AA39" s="3" t="str">
        <f t="shared" si="16"/>
        <v>(31 downto 24)</v>
      </c>
      <c r="AB39" s="3" t="str">
        <f t="shared" si="17"/>
        <v>(23 downto 16)</v>
      </c>
      <c r="AC39" s="3" t="str">
        <f t="shared" si="18"/>
        <v>(15 downto 8)</v>
      </c>
      <c r="AD39" s="3" t="str">
        <f t="shared" si="19"/>
        <v>(7 downto 0)</v>
      </c>
      <c r="AE39" s="3" t="str">
        <f t="shared" si="20"/>
        <v>(31 downto 24)</v>
      </c>
      <c r="AF39" s="3" t="str">
        <f t="shared" si="21"/>
        <v>(23 downto 16)</v>
      </c>
      <c r="AG39" s="3" t="str">
        <f t="shared" si="22"/>
        <v>(15 downto 8)</v>
      </c>
      <c r="AH39" s="3" t="str">
        <f t="shared" si="23"/>
        <v>(7 downto 0)</v>
      </c>
    </row>
    <row r="40" spans="2:34" x14ac:dyDescent="0.25">
      <c r="B40" s="3" t="s">
        <v>246</v>
      </c>
      <c r="C40" s="3" t="s">
        <v>421</v>
      </c>
      <c r="D40" s="3" t="s">
        <v>0</v>
      </c>
      <c r="E40" s="3" t="s">
        <v>471</v>
      </c>
      <c r="F40" s="3" t="s">
        <v>248</v>
      </c>
      <c r="G40" s="3" t="s">
        <v>478</v>
      </c>
      <c r="H40" s="3" t="s">
        <v>422</v>
      </c>
      <c r="I40" s="3" t="s">
        <v>41</v>
      </c>
      <c r="J40" s="3">
        <v>32</v>
      </c>
      <c r="K40" s="9" t="s">
        <v>40</v>
      </c>
      <c r="L40" s="9" t="s">
        <v>40</v>
      </c>
      <c r="M40" s="3" t="s">
        <v>468</v>
      </c>
      <c r="N40" s="3" t="s">
        <v>662</v>
      </c>
      <c r="O40" s="3" t="s">
        <v>423</v>
      </c>
      <c r="P40" s="3" t="s">
        <v>48</v>
      </c>
      <c r="Q40" s="3">
        <f>INDEX(Tables!$C$4:$C$28,MATCH($P40,Tables!$B$4:$B$28,0))</f>
        <v>32</v>
      </c>
      <c r="R40" s="3">
        <f>INDEX(Tables!$D$4:$D$28,MATCH($P40,Tables!$B$4:$B$28,0))</f>
        <v>4</v>
      </c>
      <c r="S40" s="3">
        <f>$S39+$R39+INDEX(Tables!$N$5:$Q$8,MATCH(MOD($S39+$R39,4),Tables!$M$5:$M$8,0),MATCH($R40,Tables!$N$4:$Q$4,0))</f>
        <v>144</v>
      </c>
      <c r="T40" s="3" t="str">
        <f t="shared" si="0"/>
        <v>090</v>
      </c>
      <c r="U40" s="3">
        <f t="shared" si="15"/>
        <v>36</v>
      </c>
      <c r="V40" s="3" t="str">
        <f t="shared" si="1"/>
        <v>24</v>
      </c>
      <c r="W40" s="3" t="str">
        <f t="shared" si="11"/>
        <v>X</v>
      </c>
      <c r="X40" s="3" t="str">
        <f t="shared" si="12"/>
        <v>X</v>
      </c>
      <c r="Y40" s="3" t="str">
        <f t="shared" si="13"/>
        <v>X</v>
      </c>
      <c r="Z40" s="3" t="str">
        <f t="shared" si="14"/>
        <v>X</v>
      </c>
      <c r="AA40" s="3" t="str">
        <f t="shared" si="16"/>
        <v>(31 downto 24)</v>
      </c>
      <c r="AB40" s="3" t="str">
        <f t="shared" si="17"/>
        <v>(23 downto 16)</v>
      </c>
      <c r="AC40" s="3" t="str">
        <f t="shared" si="18"/>
        <v>(15 downto 8)</v>
      </c>
      <c r="AD40" s="3" t="str">
        <f t="shared" si="19"/>
        <v>(7 downto 0)</v>
      </c>
      <c r="AE40" s="3" t="str">
        <f t="shared" si="20"/>
        <v>(31 downto 24)</v>
      </c>
      <c r="AF40" s="3" t="str">
        <f t="shared" si="21"/>
        <v>(23 downto 16)</v>
      </c>
      <c r="AG40" s="3" t="str">
        <f t="shared" si="22"/>
        <v>(15 downto 8)</v>
      </c>
      <c r="AH40" s="3" t="str">
        <f t="shared" si="23"/>
        <v>(7 downto 0)</v>
      </c>
    </row>
    <row r="41" spans="2:34" x14ac:dyDescent="0.25">
      <c r="B41" s="3" t="s">
        <v>246</v>
      </c>
      <c r="C41" s="3" t="s">
        <v>251</v>
      </c>
      <c r="D41" s="3" t="s">
        <v>0</v>
      </c>
      <c r="E41" s="3" t="s">
        <v>471</v>
      </c>
      <c r="F41" s="3" t="s">
        <v>248</v>
      </c>
      <c r="G41" s="3" t="s">
        <v>478</v>
      </c>
      <c r="H41" s="3" t="s">
        <v>252</v>
      </c>
      <c r="I41" s="3" t="s">
        <v>41</v>
      </c>
      <c r="J41" s="3">
        <v>32</v>
      </c>
      <c r="K41" s="9" t="s">
        <v>40</v>
      </c>
      <c r="L41" s="9" t="s">
        <v>40</v>
      </c>
      <c r="M41" s="3" t="s">
        <v>468</v>
      </c>
      <c r="N41" s="3" t="s">
        <v>662</v>
      </c>
      <c r="O41" s="3" t="s">
        <v>253</v>
      </c>
      <c r="P41" s="3" t="s">
        <v>48</v>
      </c>
      <c r="Q41" s="3">
        <f>INDEX(Tables!$C$4:$C$28,MATCH($P41,Tables!$B$4:$B$28,0))</f>
        <v>32</v>
      </c>
      <c r="R41" s="3">
        <f>INDEX(Tables!$D$4:$D$28,MATCH($P41,Tables!$B$4:$B$28,0))</f>
        <v>4</v>
      </c>
      <c r="S41" s="3">
        <f>$S40+$R40+INDEX(Tables!$N$5:$Q$8,MATCH(MOD($S40+$R40,4),Tables!$M$5:$M$8,0),MATCH($R41,Tables!$N$4:$Q$4,0))</f>
        <v>148</v>
      </c>
      <c r="T41" s="3" t="str">
        <f t="shared" si="0"/>
        <v>094</v>
      </c>
      <c r="U41" s="3">
        <f t="shared" si="15"/>
        <v>37</v>
      </c>
      <c r="V41" s="3" t="str">
        <f t="shared" si="1"/>
        <v>25</v>
      </c>
      <c r="W41" s="3" t="str">
        <f t="shared" si="11"/>
        <v>X</v>
      </c>
      <c r="X41" s="3" t="str">
        <f t="shared" si="12"/>
        <v>X</v>
      </c>
      <c r="Y41" s="3" t="str">
        <f t="shared" si="13"/>
        <v>X</v>
      </c>
      <c r="Z41" s="3" t="str">
        <f t="shared" si="14"/>
        <v>X</v>
      </c>
      <c r="AA41" s="3" t="str">
        <f t="shared" si="16"/>
        <v>(31 downto 24)</v>
      </c>
      <c r="AB41" s="3" t="str">
        <f t="shared" si="17"/>
        <v>(23 downto 16)</v>
      </c>
      <c r="AC41" s="3" t="str">
        <f t="shared" si="18"/>
        <v>(15 downto 8)</v>
      </c>
      <c r="AD41" s="3" t="str">
        <f t="shared" si="19"/>
        <v>(7 downto 0)</v>
      </c>
      <c r="AE41" s="3" t="str">
        <f t="shared" si="20"/>
        <v>(31 downto 24)</v>
      </c>
      <c r="AF41" s="3" t="str">
        <f t="shared" si="21"/>
        <v>(23 downto 16)</v>
      </c>
      <c r="AG41" s="3" t="str">
        <f t="shared" si="22"/>
        <v>(15 downto 8)</v>
      </c>
      <c r="AH41" s="3" t="str">
        <f t="shared" si="23"/>
        <v>(7 downto 0)</v>
      </c>
    </row>
    <row r="42" spans="2:34" x14ac:dyDescent="0.25">
      <c r="B42" s="3" t="s">
        <v>246</v>
      </c>
      <c r="C42" s="3" t="s">
        <v>424</v>
      </c>
      <c r="D42" s="3" t="s">
        <v>0</v>
      </c>
      <c r="E42" s="3" t="s">
        <v>471</v>
      </c>
      <c r="F42" s="3" t="s">
        <v>248</v>
      </c>
      <c r="G42" s="3" t="s">
        <v>478</v>
      </c>
      <c r="H42" s="3" t="s">
        <v>425</v>
      </c>
      <c r="I42" s="3" t="s">
        <v>41</v>
      </c>
      <c r="J42" s="3">
        <v>32</v>
      </c>
      <c r="K42" s="9" t="s">
        <v>40</v>
      </c>
      <c r="L42" s="9" t="s">
        <v>40</v>
      </c>
      <c r="M42" s="3" t="s">
        <v>468</v>
      </c>
      <c r="N42" s="3" t="s">
        <v>662</v>
      </c>
      <c r="O42" s="3" t="s">
        <v>426</v>
      </c>
      <c r="P42" s="3" t="s">
        <v>48</v>
      </c>
      <c r="Q42" s="3">
        <f>INDEX(Tables!$C$4:$C$28,MATCH($P42,Tables!$B$4:$B$28,0))</f>
        <v>32</v>
      </c>
      <c r="R42" s="3">
        <f>INDEX(Tables!$D$4:$D$28,MATCH($P42,Tables!$B$4:$B$28,0))</f>
        <v>4</v>
      </c>
      <c r="S42" s="3">
        <f>$S41+$R41+INDEX(Tables!$N$5:$Q$8,MATCH(MOD($S41+$R41,4),Tables!$M$5:$M$8,0),MATCH($R42,Tables!$N$4:$Q$4,0))</f>
        <v>152</v>
      </c>
      <c r="T42" s="3" t="str">
        <f t="shared" si="0"/>
        <v>098</v>
      </c>
      <c r="U42" s="3">
        <f t="shared" si="15"/>
        <v>38</v>
      </c>
      <c r="V42" s="3" t="str">
        <f t="shared" si="1"/>
        <v>26</v>
      </c>
      <c r="W42" s="3" t="str">
        <f t="shared" si="11"/>
        <v>X</v>
      </c>
      <c r="X42" s="3" t="str">
        <f t="shared" si="12"/>
        <v>X</v>
      </c>
      <c r="Y42" s="3" t="str">
        <f t="shared" si="13"/>
        <v>X</v>
      </c>
      <c r="Z42" s="3" t="str">
        <f t="shared" si="14"/>
        <v>X</v>
      </c>
      <c r="AA42" s="3" t="str">
        <f t="shared" si="16"/>
        <v>(31 downto 24)</v>
      </c>
      <c r="AB42" s="3" t="str">
        <f t="shared" si="17"/>
        <v>(23 downto 16)</v>
      </c>
      <c r="AC42" s="3" t="str">
        <f t="shared" si="18"/>
        <v>(15 downto 8)</v>
      </c>
      <c r="AD42" s="3" t="str">
        <f t="shared" si="19"/>
        <v>(7 downto 0)</v>
      </c>
      <c r="AE42" s="3" t="str">
        <f t="shared" si="20"/>
        <v>(31 downto 24)</v>
      </c>
      <c r="AF42" s="3" t="str">
        <f t="shared" si="21"/>
        <v>(23 downto 16)</v>
      </c>
      <c r="AG42" s="3" t="str">
        <f t="shared" si="22"/>
        <v>(15 downto 8)</v>
      </c>
      <c r="AH42" s="3" t="str">
        <f t="shared" si="23"/>
        <v>(7 downto 0)</v>
      </c>
    </row>
    <row r="43" spans="2:34" x14ac:dyDescent="0.25">
      <c r="B43" s="3" t="s">
        <v>427</v>
      </c>
      <c r="C43" s="3" t="s">
        <v>428</v>
      </c>
      <c r="D43" s="3" t="s">
        <v>1</v>
      </c>
      <c r="E43" s="3" t="s">
        <v>464</v>
      </c>
      <c r="F43" s="3" t="s">
        <v>429</v>
      </c>
      <c r="G43" s="3" t="s">
        <v>479</v>
      </c>
      <c r="H43" s="3" t="s">
        <v>430</v>
      </c>
      <c r="I43" s="3" t="s">
        <v>41</v>
      </c>
      <c r="J43" s="3">
        <v>32</v>
      </c>
      <c r="K43" s="9" t="s">
        <v>127</v>
      </c>
      <c r="L43" s="9" t="s">
        <v>40</v>
      </c>
      <c r="M43" s="3" t="s">
        <v>468</v>
      </c>
      <c r="N43" s="3" t="s">
        <v>663</v>
      </c>
      <c r="O43" s="3" t="s">
        <v>431</v>
      </c>
      <c r="P43" s="3" t="s">
        <v>48</v>
      </c>
      <c r="Q43" s="3">
        <f>INDEX(Tables!$C$4:$C$28,MATCH($P43,Tables!$B$4:$B$28,0))</f>
        <v>32</v>
      </c>
      <c r="R43" s="3">
        <f>INDEX(Tables!$D$4:$D$28,MATCH($P43,Tables!$B$4:$B$28,0))</f>
        <v>4</v>
      </c>
      <c r="S43" s="3">
        <f>$S42+$R42+INDEX(Tables!$N$5:$Q$8,MATCH(MOD($S42+$R42,4),Tables!$M$5:$M$8,0),MATCH($R43,Tables!$N$4:$Q$4,0))</f>
        <v>156</v>
      </c>
      <c r="T43" s="3" t="str">
        <f t="shared" si="0"/>
        <v>09C</v>
      </c>
      <c r="U43" s="3">
        <f t="shared" si="15"/>
        <v>39</v>
      </c>
      <c r="V43" s="3" t="str">
        <f t="shared" si="1"/>
        <v>27</v>
      </c>
      <c r="W43" s="3" t="str">
        <f t="shared" si="11"/>
        <v>X</v>
      </c>
      <c r="X43" s="3" t="str">
        <f t="shared" si="12"/>
        <v>X</v>
      </c>
      <c r="Y43" s="3" t="str">
        <f t="shared" si="13"/>
        <v>X</v>
      </c>
      <c r="Z43" s="3" t="str">
        <f t="shared" si="14"/>
        <v>X</v>
      </c>
      <c r="AA43" s="3" t="str">
        <f t="shared" si="16"/>
        <v>(31 downto 24)</v>
      </c>
      <c r="AB43" s="3" t="str">
        <f t="shared" si="17"/>
        <v>(23 downto 16)</v>
      </c>
      <c r="AC43" s="3" t="str">
        <f t="shared" si="18"/>
        <v>(15 downto 8)</v>
      </c>
      <c r="AD43" s="3" t="str">
        <f t="shared" si="19"/>
        <v>(7 downto 0)</v>
      </c>
      <c r="AE43" s="3" t="str">
        <f t="shared" si="20"/>
        <v>(31 downto 24)</v>
      </c>
      <c r="AF43" s="3" t="str">
        <f t="shared" si="21"/>
        <v>(23 downto 16)</v>
      </c>
      <c r="AG43" s="3" t="str">
        <f t="shared" si="22"/>
        <v>(15 downto 8)</v>
      </c>
      <c r="AH43" s="3" t="str">
        <f t="shared" si="23"/>
        <v>(7 downto 0)</v>
      </c>
    </row>
    <row r="44" spans="2:34" x14ac:dyDescent="0.25">
      <c r="B44" s="3" t="s">
        <v>427</v>
      </c>
      <c r="C44" s="3" t="s">
        <v>432</v>
      </c>
      <c r="D44" s="3" t="s">
        <v>1</v>
      </c>
      <c r="E44" s="3" t="s">
        <v>464</v>
      </c>
      <c r="F44" s="3" t="s">
        <v>429</v>
      </c>
      <c r="G44" s="3" t="s">
        <v>479</v>
      </c>
      <c r="H44" s="3" t="s">
        <v>433</v>
      </c>
      <c r="I44" s="3" t="s">
        <v>41</v>
      </c>
      <c r="J44" s="3">
        <v>32</v>
      </c>
      <c r="K44" s="9" t="s">
        <v>127</v>
      </c>
      <c r="L44" s="9" t="s">
        <v>40</v>
      </c>
      <c r="M44" s="3" t="s">
        <v>468</v>
      </c>
      <c r="N44" s="3" t="s">
        <v>663</v>
      </c>
      <c r="O44" s="3" t="s">
        <v>434</v>
      </c>
      <c r="P44" s="3" t="s">
        <v>48</v>
      </c>
      <c r="Q44" s="3">
        <f>INDEX(Tables!$C$4:$C$28,MATCH($P44,Tables!$B$4:$B$28,0))</f>
        <v>32</v>
      </c>
      <c r="R44" s="3">
        <f>INDEX(Tables!$D$4:$D$28,MATCH($P44,Tables!$B$4:$B$28,0))</f>
        <v>4</v>
      </c>
      <c r="S44" s="3">
        <f>$S43+$R43+INDEX(Tables!$N$5:$Q$8,MATCH(MOD($S43+$R43,4),Tables!$M$5:$M$8,0),MATCH($R44,Tables!$N$4:$Q$4,0))</f>
        <v>160</v>
      </c>
      <c r="T44" s="3" t="str">
        <f t="shared" si="0"/>
        <v>0A0</v>
      </c>
      <c r="U44" s="3">
        <f t="shared" si="15"/>
        <v>40</v>
      </c>
      <c r="V44" s="3" t="str">
        <f t="shared" si="1"/>
        <v>28</v>
      </c>
      <c r="W44" s="3" t="str">
        <f t="shared" si="11"/>
        <v>X</v>
      </c>
      <c r="X44" s="3" t="str">
        <f t="shared" si="12"/>
        <v>X</v>
      </c>
      <c r="Y44" s="3" t="str">
        <f t="shared" si="13"/>
        <v>X</v>
      </c>
      <c r="Z44" s="3" t="str">
        <f t="shared" si="14"/>
        <v>X</v>
      </c>
      <c r="AA44" s="3" t="str">
        <f t="shared" si="16"/>
        <v>(31 downto 24)</v>
      </c>
      <c r="AB44" s="3" t="str">
        <f t="shared" si="17"/>
        <v>(23 downto 16)</v>
      </c>
      <c r="AC44" s="3" t="str">
        <f t="shared" si="18"/>
        <v>(15 downto 8)</v>
      </c>
      <c r="AD44" s="3" t="str">
        <f t="shared" si="19"/>
        <v>(7 downto 0)</v>
      </c>
      <c r="AE44" s="3" t="str">
        <f t="shared" si="20"/>
        <v>(31 downto 24)</v>
      </c>
      <c r="AF44" s="3" t="str">
        <f t="shared" si="21"/>
        <v>(23 downto 16)</v>
      </c>
      <c r="AG44" s="3" t="str">
        <f t="shared" si="22"/>
        <v>(15 downto 8)</v>
      </c>
      <c r="AH44" s="3" t="str">
        <f t="shared" si="23"/>
        <v>(7 downto 0)</v>
      </c>
    </row>
    <row r="45" spans="2:34" x14ac:dyDescent="0.25">
      <c r="B45" s="3" t="s">
        <v>435</v>
      </c>
      <c r="C45" s="3" t="s">
        <v>436</v>
      </c>
      <c r="D45" s="3" t="s">
        <v>1</v>
      </c>
      <c r="E45" s="3" t="s">
        <v>464</v>
      </c>
      <c r="F45" s="3" t="s">
        <v>437</v>
      </c>
      <c r="G45" s="3" t="s">
        <v>480</v>
      </c>
      <c r="H45" s="3" t="s">
        <v>438</v>
      </c>
      <c r="I45" s="3" t="s">
        <v>41</v>
      </c>
      <c r="J45" s="3">
        <v>32</v>
      </c>
      <c r="K45" s="9" t="s">
        <v>127</v>
      </c>
      <c r="L45" s="9" t="s">
        <v>40</v>
      </c>
      <c r="M45" s="3" t="s">
        <v>468</v>
      </c>
      <c r="N45" s="3" t="s">
        <v>664</v>
      </c>
      <c r="O45" s="3" t="s">
        <v>439</v>
      </c>
      <c r="P45" s="3" t="s">
        <v>48</v>
      </c>
      <c r="Q45" s="3">
        <f>INDEX(Tables!$C$4:$C$28,MATCH($P45,Tables!$B$4:$B$28,0))</f>
        <v>32</v>
      </c>
      <c r="R45" s="3">
        <f>INDEX(Tables!$D$4:$D$28,MATCH($P45,Tables!$B$4:$B$28,0))</f>
        <v>4</v>
      </c>
      <c r="S45" s="3">
        <f>$S44+$R44+INDEX(Tables!$N$5:$Q$8,MATCH(MOD($S44+$R44,4),Tables!$M$5:$M$8,0),MATCH($R45,Tables!$N$4:$Q$4,0))</f>
        <v>164</v>
      </c>
      <c r="T45" s="3" t="str">
        <f t="shared" si="0"/>
        <v>0A4</v>
      </c>
      <c r="U45" s="3">
        <f t="shared" si="15"/>
        <v>41</v>
      </c>
      <c r="V45" s="3" t="str">
        <f t="shared" si="1"/>
        <v>29</v>
      </c>
      <c r="W45" s="3" t="str">
        <f t="shared" si="11"/>
        <v>X</v>
      </c>
      <c r="X45" s="3" t="str">
        <f t="shared" si="12"/>
        <v>X</v>
      </c>
      <c r="Y45" s="3" t="str">
        <f t="shared" si="13"/>
        <v>X</v>
      </c>
      <c r="Z45" s="3" t="str">
        <f t="shared" si="14"/>
        <v>X</v>
      </c>
      <c r="AA45" s="3" t="str">
        <f t="shared" si="16"/>
        <v>(31 downto 24)</v>
      </c>
      <c r="AB45" s="3" t="str">
        <f t="shared" si="17"/>
        <v>(23 downto 16)</v>
      </c>
      <c r="AC45" s="3" t="str">
        <f t="shared" si="18"/>
        <v>(15 downto 8)</v>
      </c>
      <c r="AD45" s="3" t="str">
        <f t="shared" si="19"/>
        <v>(7 downto 0)</v>
      </c>
      <c r="AE45" s="3" t="str">
        <f t="shared" si="20"/>
        <v>(31 downto 24)</v>
      </c>
      <c r="AF45" s="3" t="str">
        <f t="shared" si="21"/>
        <v>(23 downto 16)</v>
      </c>
      <c r="AG45" s="3" t="str">
        <f t="shared" si="22"/>
        <v>(15 downto 8)</v>
      </c>
      <c r="AH45" s="3" t="str">
        <f t="shared" si="23"/>
        <v>(7 downto 0)</v>
      </c>
    </row>
    <row r="46" spans="2:34" x14ac:dyDescent="0.25">
      <c r="B46" s="3" t="s">
        <v>764</v>
      </c>
      <c r="C46" s="3" t="s">
        <v>765</v>
      </c>
      <c r="D46" s="3" t="s">
        <v>1</v>
      </c>
      <c r="E46" s="3" t="s">
        <v>464</v>
      </c>
      <c r="F46" s="3" t="s">
        <v>766</v>
      </c>
      <c r="G46" s="3" t="s">
        <v>774</v>
      </c>
      <c r="H46" s="3" t="s">
        <v>767</v>
      </c>
      <c r="I46" s="3" t="s">
        <v>41</v>
      </c>
      <c r="J46" s="3">
        <v>1</v>
      </c>
      <c r="K46" s="9" t="s">
        <v>81</v>
      </c>
      <c r="L46" s="9" t="s">
        <v>81</v>
      </c>
      <c r="M46" s="3" t="s">
        <v>468</v>
      </c>
      <c r="N46" s="3" t="s">
        <v>775</v>
      </c>
      <c r="O46" s="3" t="s">
        <v>175</v>
      </c>
      <c r="P46" s="3" t="s">
        <v>5</v>
      </c>
      <c r="Q46" s="3">
        <f>INDEX(Tables!$C$4:$C$28,MATCH($P46,Tables!$B$4:$B$28,0))</f>
        <v>32</v>
      </c>
      <c r="R46" s="3">
        <f>INDEX(Tables!$D$4:$D$28,MATCH($P46,Tables!$B$4:$B$28,0))</f>
        <v>4</v>
      </c>
      <c r="S46" s="3">
        <f>$S45+$R45+INDEX(Tables!$N$5:$Q$8,MATCH(MOD($S45+$R45,4),Tables!$M$5:$M$8,0),MATCH($R46,Tables!$N$4:$Q$4,0))</f>
        <v>168</v>
      </c>
      <c r="T46" s="3" t="str">
        <f t="shared" si="0"/>
        <v>0A8</v>
      </c>
      <c r="U46" s="3">
        <f t="shared" si="15"/>
        <v>42</v>
      </c>
      <c r="V46" s="3" t="str">
        <f t="shared" si="1"/>
        <v>2A</v>
      </c>
      <c r="W46" s="3" t="str">
        <f t="shared" si="11"/>
        <v/>
      </c>
      <c r="X46" s="3" t="str">
        <f t="shared" si="12"/>
        <v/>
      </c>
      <c r="Y46" s="3" t="str">
        <f t="shared" si="13"/>
        <v/>
      </c>
      <c r="Z46" s="3" t="str">
        <f t="shared" si="14"/>
        <v>X</v>
      </c>
      <c r="AA46" s="3" t="str">
        <f t="shared" si="16"/>
        <v/>
      </c>
      <c r="AB46" s="3" t="str">
        <f t="shared" si="17"/>
        <v/>
      </c>
      <c r="AC46" s="3" t="str">
        <f t="shared" si="18"/>
        <v/>
      </c>
      <c r="AD46" s="3" t="str">
        <f t="shared" si="19"/>
        <v>(0)</v>
      </c>
      <c r="AE46" s="3" t="str">
        <f t="shared" si="20"/>
        <v/>
      </c>
      <c r="AF46" s="3" t="str">
        <f t="shared" si="21"/>
        <v/>
      </c>
      <c r="AG46" s="3" t="str">
        <f t="shared" si="22"/>
        <v/>
      </c>
      <c r="AH46" s="3" t="str">
        <f t="shared" si="23"/>
        <v/>
      </c>
    </row>
    <row r="47" spans="2:34" x14ac:dyDescent="0.25">
      <c r="B47" s="3" t="s">
        <v>764</v>
      </c>
      <c r="C47" s="3" t="s">
        <v>768</v>
      </c>
      <c r="D47" s="3" t="s">
        <v>1</v>
      </c>
      <c r="E47" s="3" t="s">
        <v>464</v>
      </c>
      <c r="F47" s="3" t="s">
        <v>766</v>
      </c>
      <c r="G47" s="3" t="s">
        <v>774</v>
      </c>
      <c r="H47" s="3" t="s">
        <v>769</v>
      </c>
      <c r="I47" s="3" t="s">
        <v>41</v>
      </c>
      <c r="J47" s="3">
        <v>1</v>
      </c>
      <c r="K47" s="9" t="s">
        <v>81</v>
      </c>
      <c r="L47" s="9" t="s">
        <v>81</v>
      </c>
      <c r="M47" s="3" t="s">
        <v>468</v>
      </c>
      <c r="N47" s="3" t="s">
        <v>775</v>
      </c>
      <c r="O47" s="3" t="s">
        <v>770</v>
      </c>
      <c r="P47" s="3" t="s">
        <v>5</v>
      </c>
      <c r="Q47" s="3">
        <f>INDEX(Tables!$C$4:$C$28,MATCH($P47,Tables!$B$4:$B$28,0))</f>
        <v>32</v>
      </c>
      <c r="R47" s="3">
        <f>INDEX(Tables!$D$4:$D$28,MATCH($P47,Tables!$B$4:$B$28,0))</f>
        <v>4</v>
      </c>
      <c r="S47" s="3">
        <f>$S46+$R46+INDEX(Tables!$N$5:$Q$8,MATCH(MOD($S46+$R46,4),Tables!$M$5:$M$8,0),MATCH($R47,Tables!$N$4:$Q$4,0))</f>
        <v>172</v>
      </c>
      <c r="T47" s="3" t="str">
        <f t="shared" si="0"/>
        <v>0AC</v>
      </c>
      <c r="U47" s="3">
        <f t="shared" si="15"/>
        <v>43</v>
      </c>
      <c r="V47" s="3" t="str">
        <f t="shared" si="1"/>
        <v>2B</v>
      </c>
      <c r="W47" s="3" t="str">
        <f t="shared" si="11"/>
        <v/>
      </c>
      <c r="X47" s="3" t="str">
        <f t="shared" si="12"/>
        <v/>
      </c>
      <c r="Y47" s="3" t="str">
        <f t="shared" si="13"/>
        <v/>
      </c>
      <c r="Z47" s="3" t="str">
        <f t="shared" si="14"/>
        <v>X</v>
      </c>
      <c r="AA47" s="3" t="str">
        <f t="shared" si="16"/>
        <v/>
      </c>
      <c r="AB47" s="3" t="str">
        <f t="shared" si="17"/>
        <v/>
      </c>
      <c r="AC47" s="3" t="str">
        <f t="shared" si="18"/>
        <v/>
      </c>
      <c r="AD47" s="3" t="str">
        <f t="shared" si="19"/>
        <v>(0)</v>
      </c>
      <c r="AE47" s="3" t="str">
        <f t="shared" si="20"/>
        <v/>
      </c>
      <c r="AF47" s="3" t="str">
        <f t="shared" si="21"/>
        <v/>
      </c>
      <c r="AG47" s="3" t="str">
        <f t="shared" si="22"/>
        <v/>
      </c>
      <c r="AH47" s="3" t="str">
        <f t="shared" si="23"/>
        <v/>
      </c>
    </row>
    <row r="48" spans="2:34" x14ac:dyDescent="0.25">
      <c r="B48" s="3" t="s">
        <v>764</v>
      </c>
      <c r="C48" s="3" t="s">
        <v>771</v>
      </c>
      <c r="D48" s="3" t="s">
        <v>1</v>
      </c>
      <c r="E48" s="3" t="s">
        <v>464</v>
      </c>
      <c r="F48" s="3" t="s">
        <v>766</v>
      </c>
      <c r="G48" s="3" t="s">
        <v>774</v>
      </c>
      <c r="H48" s="3" t="s">
        <v>772</v>
      </c>
      <c r="I48" s="3" t="s">
        <v>41</v>
      </c>
      <c r="J48" s="3">
        <v>1</v>
      </c>
      <c r="K48" s="9" t="s">
        <v>81</v>
      </c>
      <c r="L48" s="9" t="s">
        <v>81</v>
      </c>
      <c r="M48" s="3" t="s">
        <v>468</v>
      </c>
      <c r="N48" s="3" t="s">
        <v>775</v>
      </c>
      <c r="O48" s="3" t="s">
        <v>773</v>
      </c>
      <c r="P48" s="3" t="s">
        <v>5</v>
      </c>
      <c r="Q48" s="3">
        <f>INDEX(Tables!$C$4:$C$28,MATCH($P48,Tables!$B$4:$B$28,0))</f>
        <v>32</v>
      </c>
      <c r="R48" s="3">
        <f>INDEX(Tables!$D$4:$D$28,MATCH($P48,Tables!$B$4:$B$28,0))</f>
        <v>4</v>
      </c>
      <c r="S48" s="3">
        <f>$S47+$R47+INDEX(Tables!$N$5:$Q$8,MATCH(MOD($S47+$R47,4),Tables!$M$5:$M$8,0),MATCH($R48,Tables!$N$4:$Q$4,0))</f>
        <v>176</v>
      </c>
      <c r="T48" s="3" t="str">
        <f t="shared" si="0"/>
        <v>0B0</v>
      </c>
      <c r="U48" s="3">
        <f t="shared" si="15"/>
        <v>44</v>
      </c>
      <c r="V48" s="3" t="str">
        <f t="shared" si="1"/>
        <v>2C</v>
      </c>
      <c r="W48" s="3" t="str">
        <f t="shared" si="11"/>
        <v/>
      </c>
      <c r="X48" s="3" t="str">
        <f t="shared" si="12"/>
        <v/>
      </c>
      <c r="Y48" s="3" t="str">
        <f t="shared" si="13"/>
        <v/>
      </c>
      <c r="Z48" s="3" t="str">
        <f t="shared" si="14"/>
        <v>X</v>
      </c>
      <c r="AA48" s="3" t="str">
        <f t="shared" si="16"/>
        <v/>
      </c>
      <c r="AB48" s="3" t="str">
        <f t="shared" si="17"/>
        <v/>
      </c>
      <c r="AC48" s="3" t="str">
        <f t="shared" si="18"/>
        <v/>
      </c>
      <c r="AD48" s="3" t="str">
        <f t="shared" si="19"/>
        <v>(0)</v>
      </c>
      <c r="AE48" s="3" t="str">
        <f t="shared" si="20"/>
        <v/>
      </c>
      <c r="AF48" s="3" t="str">
        <f t="shared" si="21"/>
        <v/>
      </c>
      <c r="AG48" s="3" t="str">
        <f t="shared" si="22"/>
        <v/>
      </c>
      <c r="AH48" s="3" t="str">
        <f t="shared" si="23"/>
        <v/>
      </c>
    </row>
    <row r="49" spans="2:38" x14ac:dyDescent="0.25">
      <c r="B49" s="3" t="s">
        <v>704</v>
      </c>
      <c r="C49" s="3" t="s">
        <v>706</v>
      </c>
      <c r="D49" s="3" t="s">
        <v>1</v>
      </c>
      <c r="E49" s="3" t="s">
        <v>464</v>
      </c>
      <c r="F49" s="3" t="s">
        <v>705</v>
      </c>
      <c r="G49" s="3" t="s">
        <v>726</v>
      </c>
      <c r="H49" s="3" t="s">
        <v>707</v>
      </c>
      <c r="I49" s="3" t="s">
        <v>41</v>
      </c>
      <c r="J49" s="3">
        <v>16</v>
      </c>
      <c r="K49" s="3" t="s">
        <v>708</v>
      </c>
      <c r="L49" s="3" t="s">
        <v>40</v>
      </c>
      <c r="M49" s="3" t="s">
        <v>468</v>
      </c>
      <c r="N49" s="3" t="s">
        <v>776</v>
      </c>
      <c r="O49" s="3" t="s">
        <v>709</v>
      </c>
      <c r="P49" s="3" t="s">
        <v>48</v>
      </c>
      <c r="Q49" s="3">
        <f>INDEX(Tables!$C$4:$C$28,MATCH($P49,Tables!$B$4:$B$28,0))</f>
        <v>32</v>
      </c>
      <c r="R49" s="3">
        <f>INDEX(Tables!$D$4:$D$28,MATCH($P49,Tables!$B$4:$B$28,0))</f>
        <v>4</v>
      </c>
      <c r="S49" s="3">
        <f>$S48+$R48+INDEX(Tables!$N$5:$Q$8,MATCH(MOD($S48+$R48,4),Tables!$M$5:$M$8,0),MATCH($R49,Tables!$N$4:$Q$4,0))</f>
        <v>180</v>
      </c>
      <c r="T49" s="3" t="str">
        <f t="shared" si="0"/>
        <v>0B4</v>
      </c>
      <c r="U49" s="3">
        <f t="shared" si="15"/>
        <v>45</v>
      </c>
      <c r="V49" s="3" t="str">
        <f t="shared" si="1"/>
        <v>2D</v>
      </c>
      <c r="W49" s="3" t="str">
        <f t="shared" si="11"/>
        <v/>
      </c>
      <c r="X49" s="3" t="str">
        <f t="shared" si="12"/>
        <v/>
      </c>
      <c r="Y49" s="3" t="str">
        <f t="shared" si="13"/>
        <v>X</v>
      </c>
      <c r="Z49" s="3" t="str">
        <f t="shared" si="14"/>
        <v>X</v>
      </c>
      <c r="AA49" s="3" t="str">
        <f t="shared" si="16"/>
        <v/>
      </c>
      <c r="AB49" s="3" t="str">
        <f t="shared" si="17"/>
        <v/>
      </c>
      <c r="AC49" s="3" t="str">
        <f t="shared" si="18"/>
        <v>(15 downto 8)</v>
      </c>
      <c r="AD49" s="3" t="str">
        <f t="shared" si="19"/>
        <v>(7 downto 0)</v>
      </c>
      <c r="AE49" s="3" t="str">
        <f t="shared" si="20"/>
        <v/>
      </c>
      <c r="AF49" s="3" t="str">
        <f t="shared" si="21"/>
        <v/>
      </c>
      <c r="AG49" s="3" t="str">
        <f t="shared" si="22"/>
        <v>(15 downto 8)</v>
      </c>
      <c r="AH49" s="3" t="str">
        <f t="shared" si="23"/>
        <v>(7 downto 0)</v>
      </c>
    </row>
    <row r="50" spans="2:38" x14ac:dyDescent="0.25">
      <c r="B50" s="3" t="s">
        <v>704</v>
      </c>
      <c r="C50" s="3" t="s">
        <v>718</v>
      </c>
      <c r="D50" s="3" t="s">
        <v>1</v>
      </c>
      <c r="E50" s="3" t="s">
        <v>464</v>
      </c>
      <c r="F50" s="3" t="s">
        <v>705</v>
      </c>
      <c r="G50" s="3" t="s">
        <v>726</v>
      </c>
      <c r="H50" s="3" t="s">
        <v>719</v>
      </c>
      <c r="I50" s="3" t="s">
        <v>41</v>
      </c>
      <c r="J50" s="3">
        <v>5</v>
      </c>
      <c r="K50" s="3" t="s">
        <v>720</v>
      </c>
      <c r="L50" s="3" t="s">
        <v>40</v>
      </c>
      <c r="M50" s="3" t="s">
        <v>468</v>
      </c>
      <c r="N50" s="3" t="s">
        <v>776</v>
      </c>
      <c r="O50" s="3" t="s">
        <v>721</v>
      </c>
      <c r="P50" s="3" t="s">
        <v>48</v>
      </c>
      <c r="Q50" s="3">
        <f>INDEX(Tables!$C$4:$C$28,MATCH($P50,Tables!$B$4:$B$28,0))</f>
        <v>32</v>
      </c>
      <c r="R50" s="3">
        <f>INDEX(Tables!$D$4:$D$28,MATCH($P50,Tables!$B$4:$B$28,0))</f>
        <v>4</v>
      </c>
      <c r="S50" s="3">
        <f>$S49+$R49+INDEX(Tables!$N$5:$Q$8,MATCH(MOD($S49+$R49,4),Tables!$M$5:$M$8,0),MATCH($R50,Tables!$N$4:$Q$4,0))</f>
        <v>184</v>
      </c>
      <c r="T50" s="3" t="str">
        <f t="shared" si="0"/>
        <v>0B8</v>
      </c>
      <c r="U50" s="3">
        <f t="shared" si="15"/>
        <v>46</v>
      </c>
      <c r="V50" s="3" t="str">
        <f t="shared" si="1"/>
        <v>2E</v>
      </c>
      <c r="W50" s="3" t="str">
        <f t="shared" si="11"/>
        <v/>
      </c>
      <c r="X50" s="3" t="str">
        <f t="shared" si="12"/>
        <v/>
      </c>
      <c r="Y50" s="3" t="str">
        <f t="shared" si="13"/>
        <v/>
      </c>
      <c r="Z50" s="3" t="str">
        <f t="shared" si="14"/>
        <v>X</v>
      </c>
      <c r="AA50" s="3" t="str">
        <f t="shared" si="16"/>
        <v/>
      </c>
      <c r="AB50" s="3" t="str">
        <f t="shared" si="17"/>
        <v/>
      </c>
      <c r="AC50" s="3" t="str">
        <f t="shared" si="18"/>
        <v/>
      </c>
      <c r="AD50" s="3" t="str">
        <f t="shared" si="19"/>
        <v>(4 downto 0)</v>
      </c>
      <c r="AE50" s="3" t="str">
        <f t="shared" si="20"/>
        <v/>
      </c>
      <c r="AF50" s="3" t="str">
        <f t="shared" si="21"/>
        <v/>
      </c>
      <c r="AG50" s="3" t="str">
        <f t="shared" si="22"/>
        <v/>
      </c>
      <c r="AH50" s="3" t="str">
        <f t="shared" si="23"/>
        <v/>
      </c>
    </row>
    <row r="51" spans="2:38" x14ac:dyDescent="0.25">
      <c r="B51" s="3" t="s">
        <v>704</v>
      </c>
      <c r="C51" s="3" t="s">
        <v>722</v>
      </c>
      <c r="D51" s="3" t="s">
        <v>1</v>
      </c>
      <c r="E51" s="3" t="s">
        <v>464</v>
      </c>
      <c r="F51" s="3" t="s">
        <v>705</v>
      </c>
      <c r="G51" s="3" t="s">
        <v>726</v>
      </c>
      <c r="H51" s="3" t="s">
        <v>723</v>
      </c>
      <c r="I51" s="3" t="s">
        <v>41</v>
      </c>
      <c r="J51" s="3">
        <v>2</v>
      </c>
      <c r="K51" s="3" t="s">
        <v>724</v>
      </c>
      <c r="L51" s="3" t="s">
        <v>40</v>
      </c>
      <c r="M51" s="3" t="s">
        <v>468</v>
      </c>
      <c r="N51" s="3" t="s">
        <v>776</v>
      </c>
      <c r="O51" s="3" t="s">
        <v>725</v>
      </c>
      <c r="P51" s="3" t="s">
        <v>48</v>
      </c>
      <c r="Q51" s="3">
        <f>INDEX(Tables!$C$4:$C$28,MATCH($P51,Tables!$B$4:$B$28,0))</f>
        <v>32</v>
      </c>
      <c r="R51" s="3">
        <f>INDEX(Tables!$D$4:$D$28,MATCH($P51,Tables!$B$4:$B$28,0))</f>
        <v>4</v>
      </c>
      <c r="S51" s="3">
        <f>$S50+$R50+INDEX(Tables!$N$5:$Q$8,MATCH(MOD($S50+$R50,4),Tables!$M$5:$M$8,0),MATCH($R51,Tables!$N$4:$Q$4,0))</f>
        <v>188</v>
      </c>
      <c r="T51" s="3" t="str">
        <f t="shared" si="0"/>
        <v>0BC</v>
      </c>
      <c r="U51" s="3">
        <f t="shared" si="15"/>
        <v>47</v>
      </c>
      <c r="V51" s="3" t="str">
        <f t="shared" si="1"/>
        <v>2F</v>
      </c>
      <c r="W51" s="3" t="str">
        <f t="shared" si="11"/>
        <v/>
      </c>
      <c r="X51" s="3" t="str">
        <f t="shared" si="12"/>
        <v/>
      </c>
      <c r="Y51" s="3" t="str">
        <f t="shared" si="13"/>
        <v/>
      </c>
      <c r="Z51" s="3" t="str">
        <f t="shared" si="14"/>
        <v>X</v>
      </c>
      <c r="AA51" s="3" t="str">
        <f t="shared" si="16"/>
        <v/>
      </c>
      <c r="AB51" s="3" t="str">
        <f t="shared" si="17"/>
        <v/>
      </c>
      <c r="AC51" s="3" t="str">
        <f t="shared" si="18"/>
        <v/>
      </c>
      <c r="AD51" s="3" t="str">
        <f t="shared" si="19"/>
        <v>(1 downto 0)</v>
      </c>
      <c r="AE51" s="3" t="str">
        <f t="shared" si="20"/>
        <v/>
      </c>
      <c r="AF51" s="3" t="str">
        <f t="shared" si="21"/>
        <v/>
      </c>
      <c r="AG51" s="3" t="str">
        <f t="shared" si="22"/>
        <v/>
      </c>
      <c r="AH51" s="3" t="str">
        <f t="shared" si="23"/>
        <v/>
      </c>
    </row>
    <row r="52" spans="2:38" x14ac:dyDescent="0.25">
      <c r="B52" s="3" t="s">
        <v>704</v>
      </c>
      <c r="C52" s="3" t="s">
        <v>714</v>
      </c>
      <c r="D52" s="3" t="s">
        <v>1</v>
      </c>
      <c r="E52" s="3" t="s">
        <v>464</v>
      </c>
      <c r="F52" s="3" t="s">
        <v>705</v>
      </c>
      <c r="G52" s="3" t="s">
        <v>726</v>
      </c>
      <c r="H52" s="3" t="s">
        <v>715</v>
      </c>
      <c r="I52" s="3" t="s">
        <v>41</v>
      </c>
      <c r="J52" s="3">
        <v>8</v>
      </c>
      <c r="K52" s="3" t="s">
        <v>716</v>
      </c>
      <c r="L52" s="3" t="s">
        <v>40</v>
      </c>
      <c r="M52" s="3" t="s">
        <v>468</v>
      </c>
      <c r="N52" s="3" t="s">
        <v>776</v>
      </c>
      <c r="O52" s="3" t="s">
        <v>717</v>
      </c>
      <c r="P52" s="3" t="s">
        <v>48</v>
      </c>
      <c r="Q52" s="3">
        <f>INDEX(Tables!$C$4:$C$28,MATCH($P52,Tables!$B$4:$B$28,0))</f>
        <v>32</v>
      </c>
      <c r="R52" s="3">
        <f>INDEX(Tables!$D$4:$D$28,MATCH($P52,Tables!$B$4:$B$28,0))</f>
        <v>4</v>
      </c>
      <c r="S52" s="3">
        <f>$S51+$R51+INDEX(Tables!$N$5:$Q$8,MATCH(MOD($S51+$R51,4),Tables!$M$5:$M$8,0),MATCH($R52,Tables!$N$4:$Q$4,0))</f>
        <v>192</v>
      </c>
      <c r="T52" s="3" t="str">
        <f t="shared" si="0"/>
        <v>0C0</v>
      </c>
      <c r="U52" s="3">
        <f t="shared" si="15"/>
        <v>48</v>
      </c>
      <c r="V52" s="3" t="str">
        <f t="shared" si="1"/>
        <v>30</v>
      </c>
      <c r="W52" s="3" t="str">
        <f t="shared" si="11"/>
        <v/>
      </c>
      <c r="X52" s="3" t="str">
        <f t="shared" si="12"/>
        <v/>
      </c>
      <c r="Y52" s="3" t="str">
        <f t="shared" si="13"/>
        <v/>
      </c>
      <c r="Z52" s="3" t="str">
        <f t="shared" si="14"/>
        <v>X</v>
      </c>
      <c r="AA52" s="3" t="str">
        <f t="shared" si="16"/>
        <v/>
      </c>
      <c r="AB52" s="3" t="str">
        <f t="shared" si="17"/>
        <v/>
      </c>
      <c r="AC52" s="3" t="str">
        <f t="shared" si="18"/>
        <v/>
      </c>
      <c r="AD52" s="3" t="str">
        <f t="shared" si="19"/>
        <v>(7 downto 0)</v>
      </c>
      <c r="AE52" s="3" t="str">
        <f t="shared" si="20"/>
        <v/>
      </c>
      <c r="AF52" s="3" t="str">
        <f t="shared" si="21"/>
        <v/>
      </c>
      <c r="AG52" s="3" t="str">
        <f t="shared" si="22"/>
        <v/>
      </c>
      <c r="AH52" s="3" t="str">
        <f t="shared" si="23"/>
        <v/>
      </c>
    </row>
    <row r="53" spans="2:38" x14ac:dyDescent="0.25">
      <c r="B53" s="3" t="s">
        <v>704</v>
      </c>
      <c r="C53" s="3" t="s">
        <v>710</v>
      </c>
      <c r="D53" s="3" t="s">
        <v>1</v>
      </c>
      <c r="E53" s="3" t="s">
        <v>464</v>
      </c>
      <c r="F53" s="3" t="s">
        <v>705</v>
      </c>
      <c r="G53" s="3" t="s">
        <v>726</v>
      </c>
      <c r="H53" s="3" t="s">
        <v>711</v>
      </c>
      <c r="I53" s="3" t="s">
        <v>41</v>
      </c>
      <c r="J53" s="3">
        <v>8</v>
      </c>
      <c r="K53" s="3" t="s">
        <v>712</v>
      </c>
      <c r="L53" s="3" t="s">
        <v>40</v>
      </c>
      <c r="M53" s="3" t="s">
        <v>468</v>
      </c>
      <c r="N53" s="3" t="s">
        <v>776</v>
      </c>
      <c r="O53" s="3" t="s">
        <v>713</v>
      </c>
      <c r="P53" s="3" t="s">
        <v>48</v>
      </c>
      <c r="Q53" s="3">
        <f>INDEX(Tables!$C$4:$C$28,MATCH($P53,Tables!$B$4:$B$28,0))</f>
        <v>32</v>
      </c>
      <c r="R53" s="3">
        <f>INDEX(Tables!$D$4:$D$28,MATCH($P53,Tables!$B$4:$B$28,0))</f>
        <v>4</v>
      </c>
      <c r="S53" s="3">
        <f>$S52+$R52+INDEX(Tables!$N$5:$Q$8,MATCH(MOD($S52+$R52,4),Tables!$M$5:$M$8,0),MATCH($R53,Tables!$N$4:$Q$4,0))</f>
        <v>196</v>
      </c>
      <c r="T53" s="3" t="str">
        <f t="shared" si="0"/>
        <v>0C4</v>
      </c>
      <c r="U53" s="3">
        <f t="shared" si="15"/>
        <v>49</v>
      </c>
      <c r="V53" s="3" t="str">
        <f t="shared" si="1"/>
        <v>31</v>
      </c>
      <c r="W53" s="3" t="str">
        <f t="shared" si="11"/>
        <v/>
      </c>
      <c r="X53" s="3" t="str">
        <f t="shared" si="12"/>
        <v/>
      </c>
      <c r="Y53" s="3" t="str">
        <f t="shared" si="13"/>
        <v/>
      </c>
      <c r="Z53" s="3" t="str">
        <f t="shared" si="14"/>
        <v>X</v>
      </c>
      <c r="AA53" s="3" t="str">
        <f t="shared" si="16"/>
        <v/>
      </c>
      <c r="AB53" s="3" t="str">
        <f t="shared" si="17"/>
        <v/>
      </c>
      <c r="AC53" s="3" t="str">
        <f t="shared" si="18"/>
        <v/>
      </c>
      <c r="AD53" s="3" t="str">
        <f t="shared" si="19"/>
        <v>(7 downto 0)</v>
      </c>
      <c r="AE53" s="3" t="str">
        <f t="shared" si="20"/>
        <v/>
      </c>
      <c r="AF53" s="3" t="str">
        <f t="shared" si="21"/>
        <v/>
      </c>
      <c r="AG53" s="3" t="str">
        <f t="shared" si="22"/>
        <v/>
      </c>
      <c r="AH53" s="3" t="str">
        <f t="shared" si="23"/>
        <v/>
      </c>
    </row>
    <row r="54" spans="2:38" x14ac:dyDescent="0.25">
      <c r="K54" s="9"/>
      <c r="L54" s="9"/>
      <c r="AA54" s="3"/>
      <c r="AB54" s="3"/>
      <c r="AC54" s="3"/>
      <c r="AD54" s="3"/>
      <c r="AE54" s="3"/>
      <c r="AF54" s="3"/>
      <c r="AG54" s="3"/>
      <c r="AH54" s="3"/>
    </row>
    <row r="55" spans="2:38" x14ac:dyDescent="0.25">
      <c r="K55" s="9"/>
      <c r="L55" s="9"/>
      <c r="AA55" s="3"/>
      <c r="AB55" s="3"/>
      <c r="AC55" s="3"/>
      <c r="AD55" s="3"/>
      <c r="AE55" s="3"/>
      <c r="AF55" s="3"/>
      <c r="AG55" s="3"/>
      <c r="AH55" s="3"/>
    </row>
    <row r="56" spans="2:38" x14ac:dyDescent="0.25">
      <c r="K56" s="9"/>
      <c r="L56" s="9"/>
      <c r="AA56" s="3"/>
      <c r="AB56" s="3"/>
      <c r="AC56" s="3"/>
      <c r="AD56" s="3"/>
      <c r="AE56" s="3"/>
      <c r="AF56" s="3"/>
      <c r="AG56" s="3"/>
      <c r="AH56" s="3"/>
    </row>
    <row r="57" spans="2:38" x14ac:dyDescent="0.25">
      <c r="K57" s="9"/>
      <c r="L57" s="9"/>
      <c r="AA57" s="3"/>
      <c r="AB57" s="3"/>
      <c r="AC57" s="3"/>
      <c r="AD57" s="3"/>
      <c r="AE57" s="3"/>
      <c r="AF57" s="3"/>
      <c r="AG57" s="3"/>
      <c r="AH57" s="3"/>
    </row>
    <row r="58" spans="2:38" x14ac:dyDescent="0.25">
      <c r="K58" s="9"/>
      <c r="L58" s="9"/>
      <c r="AA58" s="3"/>
      <c r="AB58" s="3"/>
      <c r="AC58" s="3"/>
      <c r="AD58" s="3"/>
      <c r="AE58" s="3"/>
      <c r="AF58" s="3"/>
      <c r="AG58" s="3"/>
      <c r="AH58" s="3"/>
    </row>
    <row r="59" spans="2:38" x14ac:dyDescent="0.25">
      <c r="K59" s="9"/>
      <c r="L59" s="9"/>
      <c r="AA59" s="3"/>
      <c r="AB59" s="3"/>
      <c r="AC59" s="3"/>
      <c r="AD59" s="3"/>
      <c r="AE59" s="3"/>
      <c r="AF59" s="3"/>
      <c r="AG59" s="3"/>
      <c r="AH59" s="3"/>
      <c r="AI59" s="8"/>
      <c r="AJ59" s="8"/>
      <c r="AK59" s="8"/>
      <c r="AL59" s="8"/>
    </row>
    <row r="60" spans="2:38" x14ac:dyDescent="0.25">
      <c r="K60" s="9"/>
      <c r="L60" s="9"/>
      <c r="AA60" s="3"/>
      <c r="AB60" s="3"/>
      <c r="AC60" s="3"/>
      <c r="AD60" s="3"/>
      <c r="AE60" s="3"/>
      <c r="AF60" s="3"/>
      <c r="AG60" s="3"/>
      <c r="AH60" s="3"/>
    </row>
    <row r="61" spans="2:38" s="18" customFormat="1" x14ac:dyDescent="0.25">
      <c r="B61" s="10"/>
      <c r="C61" s="10"/>
      <c r="D61" s="3"/>
      <c r="E61" s="3"/>
      <c r="F61" s="10"/>
      <c r="G61" s="3"/>
      <c r="H61" s="10"/>
      <c r="I61" s="3"/>
      <c r="J61" s="3"/>
      <c r="K61" s="30"/>
      <c r="L61" s="9"/>
      <c r="M61" s="3"/>
      <c r="N61" s="3"/>
      <c r="O61" s="10"/>
      <c r="P61" s="10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</row>
    <row r="62" spans="2:38" x14ac:dyDescent="0.25">
      <c r="B62" s="10"/>
      <c r="C62" s="10"/>
      <c r="F62" s="10"/>
      <c r="K62" s="30"/>
      <c r="L62" s="9"/>
      <c r="P62" s="10"/>
      <c r="AA62" s="3"/>
      <c r="AB62" s="3"/>
      <c r="AC62" s="3"/>
      <c r="AD62" s="3"/>
      <c r="AE62" s="3"/>
      <c r="AF62" s="3"/>
      <c r="AG62" s="3"/>
      <c r="AH62" s="3"/>
    </row>
    <row r="63" spans="2:38" x14ac:dyDescent="0.25">
      <c r="B63" s="10"/>
      <c r="C63" s="10"/>
      <c r="F63" s="10"/>
      <c r="K63" s="30"/>
      <c r="L63" s="9"/>
      <c r="P63" s="10"/>
      <c r="AA63" s="3"/>
      <c r="AB63" s="3"/>
      <c r="AC63" s="3"/>
      <c r="AD63" s="3"/>
      <c r="AE63" s="3"/>
      <c r="AF63" s="3"/>
      <c r="AG63" s="3"/>
      <c r="AH63" s="3"/>
    </row>
    <row r="64" spans="2:38" x14ac:dyDescent="0.25">
      <c r="B64" s="10"/>
      <c r="C64" s="10"/>
      <c r="F64" s="10"/>
      <c r="K64" s="9"/>
      <c r="L64" s="9"/>
      <c r="AA64" s="3"/>
      <c r="AB64" s="3"/>
      <c r="AC64" s="3"/>
      <c r="AD64" s="3"/>
      <c r="AE64" s="3"/>
      <c r="AF64" s="3"/>
      <c r="AG64" s="3"/>
      <c r="AH64" s="3"/>
    </row>
    <row r="65" spans="2:34" x14ac:dyDescent="0.25">
      <c r="B65" s="10"/>
      <c r="C65" s="10"/>
      <c r="F65" s="10"/>
      <c r="K65" s="9"/>
      <c r="L65" s="9"/>
      <c r="AA65" s="3"/>
      <c r="AB65" s="3"/>
      <c r="AC65" s="3"/>
      <c r="AD65" s="3"/>
      <c r="AE65" s="3"/>
      <c r="AF65" s="3"/>
      <c r="AG65" s="3"/>
      <c r="AH65" s="3"/>
    </row>
    <row r="66" spans="2:34" x14ac:dyDescent="0.25">
      <c r="B66" s="10"/>
      <c r="C66" s="10"/>
      <c r="F66" s="10"/>
      <c r="K66" s="9"/>
      <c r="L66" s="9"/>
      <c r="AA66" s="3"/>
      <c r="AB66" s="3"/>
      <c r="AC66" s="3"/>
      <c r="AD66" s="3"/>
      <c r="AE66" s="3"/>
      <c r="AF66" s="3"/>
      <c r="AG66" s="3"/>
      <c r="AH66" s="3"/>
    </row>
    <row r="67" spans="2:34" x14ac:dyDescent="0.25">
      <c r="B67" s="10"/>
      <c r="C67" s="10"/>
      <c r="F67" s="10"/>
      <c r="K67" s="9"/>
      <c r="L67" s="9"/>
      <c r="AA67" s="3"/>
      <c r="AB67" s="3"/>
      <c r="AC67" s="3"/>
      <c r="AD67" s="3"/>
      <c r="AE67" s="3"/>
      <c r="AF67" s="3"/>
      <c r="AG67" s="3"/>
      <c r="AH67" s="3"/>
    </row>
    <row r="68" spans="2:34" x14ac:dyDescent="0.25">
      <c r="L68" s="9"/>
      <c r="AA68" s="3"/>
      <c r="AB68" s="3"/>
      <c r="AC68" s="3"/>
      <c r="AD68" s="3"/>
      <c r="AE68" s="3"/>
      <c r="AF68" s="3"/>
      <c r="AG68" s="3"/>
      <c r="AH68" s="3"/>
    </row>
    <row r="69" spans="2:34" x14ac:dyDescent="0.25">
      <c r="L69" s="9"/>
      <c r="AA69" s="3"/>
      <c r="AB69" s="3"/>
      <c r="AC69" s="3"/>
      <c r="AD69" s="3"/>
      <c r="AE69" s="3"/>
      <c r="AF69" s="3"/>
      <c r="AG69" s="3"/>
      <c r="AH69" s="3"/>
    </row>
    <row r="70" spans="2:34" x14ac:dyDescent="0.25">
      <c r="L70" s="9"/>
      <c r="AA70" s="3"/>
      <c r="AB70" s="3"/>
      <c r="AC70" s="3"/>
      <c r="AD70" s="3"/>
      <c r="AE70" s="3"/>
      <c r="AF70" s="3"/>
      <c r="AG70" s="3"/>
      <c r="AH70" s="3"/>
    </row>
    <row r="71" spans="2:34" x14ac:dyDescent="0.25">
      <c r="L71" s="9"/>
      <c r="AA71" s="3"/>
      <c r="AB71" s="3"/>
      <c r="AC71" s="3"/>
      <c r="AD71" s="3"/>
      <c r="AE71" s="3"/>
      <c r="AF71" s="3"/>
      <c r="AG71" s="3"/>
      <c r="AH71" s="3"/>
    </row>
    <row r="72" spans="2:34" x14ac:dyDescent="0.25">
      <c r="L72" s="9"/>
      <c r="AA72" s="3"/>
      <c r="AB72" s="3"/>
      <c r="AC72" s="3"/>
      <c r="AD72" s="3"/>
      <c r="AE72" s="3"/>
      <c r="AF72" s="3"/>
      <c r="AG72" s="3"/>
      <c r="AH72" s="3"/>
    </row>
    <row r="73" spans="2:34" x14ac:dyDescent="0.25">
      <c r="L73" s="9"/>
      <c r="AA73" s="3"/>
      <c r="AB73" s="3"/>
      <c r="AC73" s="3"/>
      <c r="AD73" s="3"/>
      <c r="AE73" s="3"/>
      <c r="AF73" s="3"/>
      <c r="AG73" s="3"/>
      <c r="AH73" s="3"/>
    </row>
    <row r="74" spans="2:34" x14ac:dyDescent="0.25">
      <c r="L74" s="9"/>
      <c r="AA74" s="3"/>
      <c r="AB74" s="3"/>
      <c r="AC74" s="3"/>
      <c r="AD74" s="3"/>
      <c r="AE74" s="3"/>
      <c r="AF74" s="3"/>
      <c r="AG74" s="3"/>
      <c r="AH74" s="3"/>
    </row>
    <row r="75" spans="2:34" x14ac:dyDescent="0.25">
      <c r="L75" s="9"/>
      <c r="AA75" s="3"/>
      <c r="AB75" s="3"/>
      <c r="AC75" s="3"/>
      <c r="AD75" s="3"/>
      <c r="AE75" s="3"/>
      <c r="AF75" s="3"/>
      <c r="AG75" s="3"/>
      <c r="AH75" s="3"/>
    </row>
    <row r="76" spans="2:34" x14ac:dyDescent="0.25">
      <c r="L76" s="9"/>
      <c r="AA76" s="3"/>
      <c r="AB76" s="3"/>
      <c r="AC76" s="3"/>
      <c r="AD76" s="3"/>
      <c r="AE76" s="3"/>
      <c r="AF76" s="3"/>
      <c r="AG76" s="3"/>
      <c r="AH76" s="3"/>
    </row>
    <row r="77" spans="2:34" x14ac:dyDescent="0.25">
      <c r="L77" s="9"/>
      <c r="AA77" s="3"/>
      <c r="AB77" s="3"/>
      <c r="AC77" s="3"/>
      <c r="AD77" s="3"/>
      <c r="AE77" s="3"/>
      <c r="AF77" s="3"/>
      <c r="AG77" s="3"/>
      <c r="AH77" s="3"/>
    </row>
    <row r="78" spans="2:34" x14ac:dyDescent="0.25">
      <c r="L78" s="9"/>
      <c r="AA78" s="3"/>
      <c r="AB78" s="3"/>
      <c r="AC78" s="3"/>
      <c r="AD78" s="3"/>
      <c r="AE78" s="3"/>
      <c r="AF78" s="3"/>
      <c r="AG78" s="3"/>
      <c r="AH78" s="3"/>
    </row>
    <row r="79" spans="2:34" x14ac:dyDescent="0.25">
      <c r="L79" s="9"/>
      <c r="AA79" s="3"/>
      <c r="AB79" s="3"/>
      <c r="AC79" s="3"/>
      <c r="AD79" s="3"/>
      <c r="AE79" s="3"/>
      <c r="AF79" s="3"/>
      <c r="AG79" s="3"/>
      <c r="AH79" s="3"/>
    </row>
    <row r="80" spans="2:34" x14ac:dyDescent="0.25">
      <c r="L80" s="9"/>
      <c r="AA80" s="3"/>
      <c r="AB80" s="3"/>
      <c r="AC80" s="3"/>
      <c r="AD80" s="3"/>
      <c r="AE80" s="3"/>
      <c r="AF80" s="3"/>
      <c r="AG80" s="3"/>
      <c r="AH80" s="3"/>
    </row>
    <row r="81" spans="12:34" x14ac:dyDescent="0.25">
      <c r="L81" s="9"/>
      <c r="AA81" s="3"/>
      <c r="AB81" s="3"/>
      <c r="AC81" s="3"/>
      <c r="AD81" s="3"/>
      <c r="AE81" s="3"/>
      <c r="AF81" s="3"/>
      <c r="AG81" s="3"/>
      <c r="AH81" s="3"/>
    </row>
    <row r="82" spans="12:34" x14ac:dyDescent="0.25">
      <c r="L82" s="9"/>
      <c r="AA82" s="3"/>
      <c r="AB82" s="3"/>
      <c r="AC82" s="3"/>
      <c r="AD82" s="3"/>
      <c r="AE82" s="3"/>
      <c r="AF82" s="3"/>
      <c r="AG82" s="3"/>
      <c r="AH82" s="3"/>
    </row>
    <row r="83" spans="12:34" x14ac:dyDescent="0.25">
      <c r="L83" s="9"/>
      <c r="AA83" s="3"/>
      <c r="AB83" s="3"/>
      <c r="AC83" s="3"/>
      <c r="AD83" s="3"/>
      <c r="AE83" s="3"/>
      <c r="AF83" s="3"/>
      <c r="AG83" s="3"/>
      <c r="AH83" s="3"/>
    </row>
    <row r="84" spans="12:34" x14ac:dyDescent="0.25">
      <c r="L84" s="9"/>
      <c r="AA84" s="3"/>
      <c r="AB84" s="3"/>
      <c r="AC84" s="3"/>
      <c r="AD84" s="3"/>
      <c r="AE84" s="3"/>
      <c r="AF84" s="3"/>
      <c r="AG84" s="3"/>
      <c r="AH84" s="3"/>
    </row>
    <row r="85" spans="12:34" x14ac:dyDescent="0.25">
      <c r="L85" s="9"/>
      <c r="AA85" s="3"/>
      <c r="AB85" s="3"/>
      <c r="AC85" s="3"/>
      <c r="AD85" s="3"/>
      <c r="AE85" s="3"/>
      <c r="AF85" s="3"/>
      <c r="AG85" s="3"/>
      <c r="AH85" s="3"/>
    </row>
    <row r="86" spans="12:34" x14ac:dyDescent="0.25">
      <c r="AA86" s="3"/>
      <c r="AB86" s="3"/>
      <c r="AC86" s="3"/>
      <c r="AD86" s="3"/>
      <c r="AE86" s="3"/>
      <c r="AF86" s="3"/>
      <c r="AG86" s="3"/>
      <c r="AH86" s="3"/>
    </row>
    <row r="87" spans="12:34" x14ac:dyDescent="0.25">
      <c r="AA87" s="3"/>
      <c r="AB87" s="3"/>
      <c r="AC87" s="3"/>
      <c r="AD87" s="3"/>
      <c r="AE87" s="3"/>
      <c r="AF87" s="3"/>
      <c r="AG87" s="3"/>
      <c r="AH87" s="3"/>
    </row>
    <row r="88" spans="12:34" x14ac:dyDescent="0.25">
      <c r="AA88" s="3"/>
      <c r="AB88" s="3"/>
      <c r="AC88" s="3"/>
      <c r="AD88" s="3"/>
      <c r="AE88" s="3"/>
      <c r="AF88" s="3"/>
      <c r="AG88" s="3"/>
      <c r="AH88" s="3"/>
    </row>
    <row r="89" spans="12:34" x14ac:dyDescent="0.25">
      <c r="AA89" s="3"/>
      <c r="AB89" s="3"/>
      <c r="AC89" s="3"/>
      <c r="AD89" s="3"/>
      <c r="AE89" s="3"/>
      <c r="AF89" s="3"/>
      <c r="AG89" s="3"/>
      <c r="AH89" s="3"/>
    </row>
    <row r="90" spans="12:34" x14ac:dyDescent="0.25">
      <c r="AA90" s="3"/>
      <c r="AB90" s="3"/>
      <c r="AC90" s="3"/>
      <c r="AD90" s="3"/>
      <c r="AE90" s="3"/>
      <c r="AF90" s="3"/>
      <c r="AG90" s="3"/>
      <c r="AH90" s="3"/>
    </row>
    <row r="91" spans="12:34" x14ac:dyDescent="0.25">
      <c r="AA91" s="3"/>
      <c r="AB91" s="3"/>
      <c r="AC91" s="3"/>
      <c r="AD91" s="3"/>
      <c r="AE91" s="3"/>
      <c r="AF91" s="3"/>
      <c r="AG91" s="3"/>
      <c r="AH91" s="3"/>
    </row>
    <row r="92" spans="12:34" x14ac:dyDescent="0.25">
      <c r="AA92" s="3"/>
      <c r="AB92" s="3"/>
      <c r="AC92" s="3"/>
      <c r="AD92" s="3"/>
      <c r="AE92" s="3"/>
      <c r="AF92" s="3"/>
      <c r="AG92" s="3"/>
      <c r="AH92" s="3"/>
    </row>
    <row r="93" spans="12:34" x14ac:dyDescent="0.25">
      <c r="AA93" s="3"/>
      <c r="AB93" s="3"/>
      <c r="AC93" s="3"/>
      <c r="AD93" s="3"/>
      <c r="AE93" s="3"/>
      <c r="AF93" s="3"/>
      <c r="AG93" s="3"/>
      <c r="AH93" s="3"/>
    </row>
    <row r="94" spans="12:34" x14ac:dyDescent="0.25">
      <c r="AA94" s="3"/>
      <c r="AB94" s="3"/>
      <c r="AC94" s="3"/>
      <c r="AD94" s="3"/>
      <c r="AE94" s="3"/>
      <c r="AF94" s="3"/>
      <c r="AG94" s="3"/>
      <c r="AH94" s="3"/>
    </row>
    <row r="95" spans="12:34" x14ac:dyDescent="0.25">
      <c r="AA95" s="3"/>
      <c r="AB95" s="3"/>
      <c r="AC95" s="3"/>
      <c r="AD95" s="3"/>
      <c r="AE95" s="3"/>
      <c r="AF95" s="3"/>
      <c r="AG95" s="3"/>
      <c r="AH95" s="3"/>
    </row>
    <row r="96" spans="12:34" x14ac:dyDescent="0.25">
      <c r="AA96" s="3"/>
      <c r="AB96" s="3"/>
      <c r="AC96" s="3"/>
      <c r="AD96" s="3"/>
      <c r="AE96" s="3"/>
      <c r="AF96" s="3"/>
      <c r="AG96" s="3"/>
      <c r="AH96" s="3"/>
    </row>
    <row r="97" spans="27:34" x14ac:dyDescent="0.25">
      <c r="AA97" s="3"/>
      <c r="AB97" s="3"/>
      <c r="AC97" s="3"/>
      <c r="AD97" s="3"/>
      <c r="AE97" s="3"/>
      <c r="AF97" s="3"/>
      <c r="AG97" s="3"/>
      <c r="AH97" s="3"/>
    </row>
    <row r="98" spans="27:34" x14ac:dyDescent="0.25">
      <c r="AA98" s="3"/>
      <c r="AB98" s="3"/>
      <c r="AC98" s="3"/>
      <c r="AD98" s="3"/>
      <c r="AE98" s="3"/>
      <c r="AF98" s="3"/>
      <c r="AG98" s="3"/>
      <c r="AH98" s="3"/>
    </row>
    <row r="99" spans="27:34" x14ac:dyDescent="0.25">
      <c r="AA99" s="3"/>
      <c r="AB99" s="3"/>
      <c r="AC99" s="3"/>
      <c r="AD99" s="3"/>
      <c r="AE99" s="3"/>
      <c r="AF99" s="3"/>
      <c r="AG99" s="3"/>
      <c r="AH99" s="3"/>
    </row>
    <row r="100" spans="27:34" x14ac:dyDescent="0.25">
      <c r="AA100" s="3"/>
      <c r="AB100" s="3"/>
      <c r="AC100" s="3"/>
      <c r="AD100" s="3"/>
      <c r="AE100" s="3"/>
      <c r="AF100" s="3"/>
      <c r="AG100" s="3"/>
      <c r="AH100" s="3"/>
    </row>
    <row r="101" spans="27:34" x14ac:dyDescent="0.25">
      <c r="AA101" s="3"/>
      <c r="AB101" s="3"/>
      <c r="AC101" s="3"/>
      <c r="AD101" s="3"/>
      <c r="AE101" s="3"/>
      <c r="AF101" s="3"/>
      <c r="AG101" s="3"/>
      <c r="AH101" s="3"/>
    </row>
    <row r="102" spans="27:34" x14ac:dyDescent="0.25">
      <c r="AA102" s="3"/>
      <c r="AB102" s="3"/>
      <c r="AC102" s="3"/>
      <c r="AD102" s="3"/>
      <c r="AE102" s="3"/>
      <c r="AF102" s="3"/>
      <c r="AG102" s="3"/>
      <c r="AH102" s="3"/>
    </row>
    <row r="103" spans="27:34" x14ac:dyDescent="0.25">
      <c r="AA103" s="3"/>
      <c r="AB103" s="3"/>
      <c r="AC103" s="3"/>
      <c r="AD103" s="3"/>
      <c r="AE103" s="3"/>
      <c r="AF103" s="3"/>
      <c r="AG103" s="3"/>
      <c r="AH103" s="3"/>
    </row>
    <row r="104" spans="27:34" x14ac:dyDescent="0.25">
      <c r="AA104" s="3"/>
      <c r="AB104" s="3"/>
      <c r="AC104" s="3"/>
      <c r="AD104" s="3"/>
      <c r="AE104" s="3"/>
      <c r="AF104" s="3"/>
      <c r="AG104" s="3"/>
      <c r="AH104" s="3"/>
    </row>
    <row r="105" spans="27:34" x14ac:dyDescent="0.25">
      <c r="AA105" s="3"/>
      <c r="AB105" s="3"/>
      <c r="AC105" s="3"/>
      <c r="AD105" s="3"/>
      <c r="AE105" s="3"/>
      <c r="AF105" s="3"/>
      <c r="AG105" s="3"/>
      <c r="AH105" s="3"/>
    </row>
    <row r="106" spans="27:34" x14ac:dyDescent="0.25">
      <c r="AA106" s="3"/>
      <c r="AB106" s="3"/>
      <c r="AC106" s="3"/>
      <c r="AD106" s="3"/>
      <c r="AE106" s="3"/>
      <c r="AF106" s="3"/>
      <c r="AG106" s="3"/>
      <c r="AH106" s="3"/>
    </row>
    <row r="107" spans="27:34" x14ac:dyDescent="0.25">
      <c r="AA107" s="3"/>
      <c r="AB107" s="3"/>
      <c r="AC107" s="3"/>
      <c r="AD107" s="3"/>
      <c r="AE107" s="3"/>
      <c r="AF107" s="3"/>
      <c r="AG107" s="3"/>
      <c r="AH107" s="3"/>
    </row>
    <row r="108" spans="27:34" x14ac:dyDescent="0.25">
      <c r="AA108" s="3"/>
      <c r="AB108" s="3"/>
      <c r="AC108" s="3"/>
      <c r="AD108" s="3"/>
      <c r="AE108" s="3"/>
      <c r="AF108" s="3"/>
      <c r="AG108" s="3"/>
      <c r="AH108" s="3"/>
    </row>
    <row r="109" spans="27:34" x14ac:dyDescent="0.25">
      <c r="AA109" s="3"/>
      <c r="AB109" s="3"/>
      <c r="AC109" s="3"/>
      <c r="AD109" s="3"/>
      <c r="AE109" s="3"/>
      <c r="AF109" s="3"/>
      <c r="AG109" s="3"/>
      <c r="AH109" s="3"/>
    </row>
    <row r="110" spans="27:34" x14ac:dyDescent="0.25">
      <c r="AA110" s="3"/>
      <c r="AB110" s="3"/>
      <c r="AC110" s="3"/>
      <c r="AD110" s="3"/>
      <c r="AE110" s="3"/>
      <c r="AF110" s="3"/>
      <c r="AG110" s="3"/>
      <c r="AH110" s="3"/>
    </row>
    <row r="111" spans="27:34" x14ac:dyDescent="0.25">
      <c r="AA111" s="3"/>
      <c r="AB111" s="3"/>
      <c r="AC111" s="3"/>
      <c r="AD111" s="3"/>
      <c r="AE111" s="3"/>
      <c r="AF111" s="3"/>
      <c r="AG111" s="3"/>
      <c r="AH111" s="3"/>
    </row>
    <row r="112" spans="27:34" x14ac:dyDescent="0.25">
      <c r="AA112" s="3"/>
      <c r="AB112" s="3"/>
      <c r="AC112" s="3"/>
      <c r="AD112" s="3"/>
      <c r="AE112" s="3"/>
      <c r="AF112" s="3"/>
      <c r="AG112" s="3"/>
      <c r="AH112" s="3"/>
    </row>
    <row r="113" spans="27:34" x14ac:dyDescent="0.25">
      <c r="AA113" s="3"/>
      <c r="AB113" s="3"/>
      <c r="AC113" s="3"/>
      <c r="AD113" s="3"/>
      <c r="AE113" s="3"/>
      <c r="AF113" s="3"/>
      <c r="AG113" s="3"/>
      <c r="AH113" s="3"/>
    </row>
    <row r="114" spans="27:34" x14ac:dyDescent="0.25">
      <c r="AA114" s="3"/>
      <c r="AB114" s="3"/>
      <c r="AC114" s="3"/>
      <c r="AD114" s="3"/>
      <c r="AE114" s="3"/>
      <c r="AF114" s="3"/>
      <c r="AG114" s="3"/>
      <c r="AH114" s="3"/>
    </row>
    <row r="115" spans="27:34" x14ac:dyDescent="0.25">
      <c r="AA115" s="3"/>
      <c r="AB115" s="3"/>
      <c r="AC115" s="3"/>
      <c r="AD115" s="3"/>
      <c r="AE115" s="3"/>
      <c r="AF115" s="3"/>
      <c r="AG115" s="3"/>
      <c r="AH115" s="3"/>
    </row>
    <row r="116" spans="27:34" ht="14.25" customHeight="1" x14ac:dyDescent="0.25">
      <c r="AA116" s="3"/>
      <c r="AB116" s="3"/>
      <c r="AC116" s="3"/>
      <c r="AD116" s="3"/>
      <c r="AE116" s="3"/>
      <c r="AF116" s="3"/>
      <c r="AG116" s="3"/>
      <c r="AH116" s="3"/>
    </row>
    <row r="117" spans="27:34" x14ac:dyDescent="0.25">
      <c r="AA117" s="3"/>
      <c r="AB117" s="3"/>
      <c r="AC117" s="3"/>
      <c r="AD117" s="3"/>
      <c r="AE117" s="3"/>
      <c r="AF117" s="3"/>
      <c r="AG117" s="3"/>
      <c r="AH117" s="3"/>
    </row>
    <row r="118" spans="27:34" x14ac:dyDescent="0.25">
      <c r="AA118" s="3"/>
      <c r="AB118" s="3"/>
      <c r="AC118" s="3"/>
      <c r="AD118" s="3"/>
      <c r="AE118" s="3"/>
      <c r="AF118" s="3"/>
      <c r="AG118" s="3"/>
      <c r="AH118" s="3"/>
    </row>
    <row r="119" spans="27:34" x14ac:dyDescent="0.25">
      <c r="AA119" s="3"/>
      <c r="AB119" s="3"/>
      <c r="AC119" s="3"/>
      <c r="AD119" s="3"/>
      <c r="AE119" s="3"/>
      <c r="AF119" s="3"/>
      <c r="AG119" s="3"/>
      <c r="AH119" s="3"/>
    </row>
    <row r="120" spans="27:34" x14ac:dyDescent="0.25">
      <c r="AA120" s="3"/>
      <c r="AB120" s="3"/>
      <c r="AC120" s="3"/>
      <c r="AD120" s="3"/>
      <c r="AE120" s="3"/>
      <c r="AF120" s="3"/>
      <c r="AG120" s="3"/>
      <c r="AH120" s="3"/>
    </row>
    <row r="121" spans="27:34" x14ac:dyDescent="0.25">
      <c r="AA121" s="3"/>
      <c r="AB121" s="3"/>
      <c r="AC121" s="3"/>
      <c r="AD121" s="3"/>
      <c r="AE121" s="3"/>
      <c r="AF121" s="3"/>
      <c r="AG121" s="3"/>
      <c r="AH121" s="3"/>
    </row>
    <row r="122" spans="27:34" x14ac:dyDescent="0.25">
      <c r="AA122" s="3"/>
      <c r="AB122" s="3"/>
      <c r="AC122" s="3"/>
      <c r="AD122" s="3"/>
      <c r="AE122" s="3"/>
      <c r="AF122" s="3"/>
      <c r="AG122" s="3"/>
      <c r="AH122" s="3"/>
    </row>
    <row r="123" spans="27:34" x14ac:dyDescent="0.25">
      <c r="AA123" s="3"/>
      <c r="AB123" s="3"/>
      <c r="AC123" s="3"/>
      <c r="AD123" s="3"/>
      <c r="AE123" s="3"/>
      <c r="AF123" s="3"/>
      <c r="AG123" s="3"/>
      <c r="AH123" s="3"/>
    </row>
    <row r="124" spans="27:34" x14ac:dyDescent="0.25">
      <c r="AA124" s="3"/>
      <c r="AB124" s="3"/>
      <c r="AC124" s="3"/>
      <c r="AD124" s="3"/>
      <c r="AE124" s="3"/>
      <c r="AF124" s="3"/>
      <c r="AG124" s="3"/>
      <c r="AH124" s="3"/>
    </row>
    <row r="125" spans="27:34" x14ac:dyDescent="0.25">
      <c r="AA125" s="3"/>
      <c r="AB125" s="3"/>
      <c r="AC125" s="3"/>
      <c r="AD125" s="3"/>
      <c r="AE125" s="3"/>
      <c r="AF125" s="3"/>
      <c r="AG125" s="3"/>
      <c r="AH125" s="3"/>
    </row>
    <row r="126" spans="27:34" x14ac:dyDescent="0.25">
      <c r="AA126" s="3"/>
      <c r="AB126" s="3"/>
      <c r="AC126" s="3"/>
      <c r="AD126" s="3"/>
      <c r="AE126" s="3"/>
      <c r="AF126" s="3"/>
      <c r="AG126" s="3"/>
      <c r="AH126" s="3"/>
    </row>
    <row r="127" spans="27:34" x14ac:dyDescent="0.25">
      <c r="AA127" s="3"/>
      <c r="AB127" s="3"/>
      <c r="AC127" s="3"/>
      <c r="AD127" s="3"/>
      <c r="AE127" s="3"/>
      <c r="AF127" s="3"/>
      <c r="AG127" s="3"/>
      <c r="AH127" s="3"/>
    </row>
  </sheetData>
  <autoFilter ref="B3:AH60" xr:uid="{00000000-0009-0000-0000-000000000000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31" t="s">
        <v>50</v>
      </c>
      <c r="C2" s="31"/>
      <c r="D2" s="31"/>
      <c r="F2" s="31" t="s">
        <v>91</v>
      </c>
      <c r="G2" s="31"/>
      <c r="H2" s="17"/>
      <c r="I2" s="31" t="s">
        <v>85</v>
      </c>
      <c r="J2" s="31"/>
      <c r="K2" s="17"/>
      <c r="L2" s="31" t="s">
        <v>124</v>
      </c>
      <c r="M2" s="31"/>
      <c r="N2" s="31"/>
      <c r="O2" s="31"/>
      <c r="P2" s="31"/>
      <c r="Q2" s="31"/>
    </row>
    <row r="3" spans="2:17" x14ac:dyDescent="0.25">
      <c r="B3" s="6" t="s">
        <v>51</v>
      </c>
      <c r="C3" s="6" t="s">
        <v>52</v>
      </c>
      <c r="D3" s="6" t="s">
        <v>53</v>
      </c>
      <c r="F3" s="15" t="s">
        <v>51</v>
      </c>
      <c r="G3" s="15" t="s">
        <v>92</v>
      </c>
      <c r="H3" s="15"/>
      <c r="I3" s="14" t="s">
        <v>86</v>
      </c>
      <c r="J3" s="14" t="s">
        <v>87</v>
      </c>
      <c r="K3" s="19"/>
      <c r="L3" s="3" t="s">
        <v>40</v>
      </c>
      <c r="M3" s="3" t="s">
        <v>40</v>
      </c>
      <c r="N3" s="31" t="s">
        <v>125</v>
      </c>
      <c r="O3" s="31"/>
      <c r="P3" s="31"/>
      <c r="Q3" s="31"/>
    </row>
    <row r="4" spans="2:17" x14ac:dyDescent="0.25">
      <c r="B4" s="3" t="s">
        <v>54</v>
      </c>
      <c r="C4" s="3">
        <v>8</v>
      </c>
      <c r="D4" s="3">
        <f>C4/8</f>
        <v>1</v>
      </c>
      <c r="F4" s="3" t="s">
        <v>54</v>
      </c>
      <c r="G4" s="3" t="s">
        <v>93</v>
      </c>
      <c r="I4" s="3" t="str">
        <f>Main!$B$2</f>
        <v>Register Comment</v>
      </c>
      <c r="J4" s="3">
        <f>MATCH($I4,Main!$B$2:$AH$2,0)+1</f>
        <v>2</v>
      </c>
      <c r="L4" s="3" t="s">
        <v>40</v>
      </c>
      <c r="M4" s="3" t="s">
        <v>40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55</v>
      </c>
      <c r="C5" s="3">
        <v>8</v>
      </c>
      <c r="D5" s="3">
        <f t="shared" ref="D5:D28" si="0">C5/8</f>
        <v>1</v>
      </c>
      <c r="F5" s="3" t="s">
        <v>55</v>
      </c>
      <c r="G5" s="3" t="s">
        <v>93</v>
      </c>
      <c r="I5" s="3" t="str">
        <f>Main!$C$2</f>
        <v>Field Comment</v>
      </c>
      <c r="J5" s="3">
        <f>MATCH($I5,Main!$B$2:$AH$2,0)+1</f>
        <v>3</v>
      </c>
      <c r="L5" s="33" t="s">
        <v>123</v>
      </c>
      <c r="M5" s="3">
        <v>0</v>
      </c>
      <c r="N5" s="20">
        <v>0</v>
      </c>
      <c r="O5" s="21">
        <v>0</v>
      </c>
      <c r="P5" s="21">
        <v>0</v>
      </c>
      <c r="Q5" s="22">
        <v>4</v>
      </c>
    </row>
    <row r="6" spans="2:17" x14ac:dyDescent="0.25">
      <c r="B6" s="3" t="s">
        <v>56</v>
      </c>
      <c r="C6" s="3">
        <v>8</v>
      </c>
      <c r="D6" s="3">
        <f t="shared" si="0"/>
        <v>1</v>
      </c>
      <c r="F6" s="3" t="s">
        <v>56</v>
      </c>
      <c r="G6" s="3" t="s">
        <v>93</v>
      </c>
      <c r="I6" s="3" t="str">
        <f>Main!$D$2</f>
        <v>R/W</v>
      </c>
      <c r="J6" s="3">
        <f>MATCH($I6,Main!$B$2:$AH$2,0)+1</f>
        <v>4</v>
      </c>
      <c r="L6" s="33"/>
      <c r="M6" s="3">
        <v>1</v>
      </c>
      <c r="N6" s="23">
        <v>0</v>
      </c>
      <c r="O6" s="24">
        <v>1</v>
      </c>
      <c r="P6" s="24">
        <v>3</v>
      </c>
      <c r="Q6" s="25">
        <v>7</v>
      </c>
    </row>
    <row r="7" spans="2:17" x14ac:dyDescent="0.25">
      <c r="B7" s="3" t="s">
        <v>57</v>
      </c>
      <c r="C7" s="3">
        <v>8</v>
      </c>
      <c r="D7" s="3">
        <f t="shared" si="0"/>
        <v>1</v>
      </c>
      <c r="F7" s="3" t="s">
        <v>57</v>
      </c>
      <c r="G7" s="3" t="s">
        <v>94</v>
      </c>
      <c r="I7" s="3" t="str">
        <f>Main!$E$2</f>
        <v>General Register Type</v>
      </c>
      <c r="J7" s="3">
        <f>MATCH($I7,Main!$B$2:$AH$2,0)+1</f>
        <v>5</v>
      </c>
      <c r="L7" s="33"/>
      <c r="M7" s="3">
        <v>2</v>
      </c>
      <c r="N7" s="23">
        <v>0</v>
      </c>
      <c r="O7" s="24">
        <v>0</v>
      </c>
      <c r="P7" s="24">
        <v>2</v>
      </c>
      <c r="Q7" s="25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94</v>
      </c>
      <c r="I8" s="3" t="str">
        <f>Main!$F$2</f>
        <v>Register Name</v>
      </c>
      <c r="J8" s="3">
        <f>MATCH($I8,Main!$B$2:$AH$2,0)+1</f>
        <v>6</v>
      </c>
      <c r="L8" s="33"/>
      <c r="M8" s="3">
        <v>3</v>
      </c>
      <c r="N8" s="26">
        <v>0</v>
      </c>
      <c r="O8" s="27">
        <v>1</v>
      </c>
      <c r="P8" s="27">
        <v>1</v>
      </c>
      <c r="Q8" s="28">
        <v>5</v>
      </c>
    </row>
    <row r="9" spans="2:17" x14ac:dyDescent="0.25">
      <c r="B9" s="3" t="s">
        <v>47</v>
      </c>
      <c r="C9" s="3">
        <v>8</v>
      </c>
      <c r="D9" s="3">
        <f t="shared" si="0"/>
        <v>1</v>
      </c>
      <c r="F9" s="3" t="s">
        <v>47</v>
      </c>
      <c r="G9" s="3" t="s">
        <v>94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58</v>
      </c>
      <c r="C10" s="3">
        <v>16</v>
      </c>
      <c r="D10" s="3">
        <f t="shared" si="0"/>
        <v>2</v>
      </c>
      <c r="F10" s="3" t="s">
        <v>58</v>
      </c>
      <c r="G10" s="3" t="s">
        <v>96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59</v>
      </c>
      <c r="C11" s="3">
        <v>16</v>
      </c>
      <c r="D11" s="3">
        <f t="shared" si="0"/>
        <v>2</v>
      </c>
      <c r="F11" s="3" t="s">
        <v>59</v>
      </c>
      <c r="G11" s="3" t="s">
        <v>96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60</v>
      </c>
      <c r="C12" s="3">
        <v>16</v>
      </c>
      <c r="D12" s="3">
        <f t="shared" si="0"/>
        <v>2</v>
      </c>
      <c r="F12" s="3" t="s">
        <v>60</v>
      </c>
      <c r="G12" s="3" t="s">
        <v>96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61</v>
      </c>
      <c r="C13" s="3">
        <v>16</v>
      </c>
      <c r="D13" s="3">
        <f t="shared" si="0"/>
        <v>2</v>
      </c>
      <c r="F13" s="3" t="s">
        <v>61</v>
      </c>
      <c r="G13" s="3" t="s">
        <v>95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62</v>
      </c>
      <c r="C14" s="3">
        <v>16</v>
      </c>
      <c r="D14" s="3">
        <f t="shared" si="0"/>
        <v>2</v>
      </c>
      <c r="F14" s="3" t="s">
        <v>62</v>
      </c>
      <c r="G14" s="3" t="s">
        <v>95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49</v>
      </c>
      <c r="C15" s="3">
        <v>16</v>
      </c>
      <c r="D15" s="3">
        <f t="shared" si="0"/>
        <v>2</v>
      </c>
      <c r="F15" s="3" t="s">
        <v>49</v>
      </c>
      <c r="G15" s="3" t="s">
        <v>95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63</v>
      </c>
      <c r="C16" s="3">
        <v>32</v>
      </c>
      <c r="D16" s="3">
        <f t="shared" si="0"/>
        <v>4</v>
      </c>
      <c r="F16" s="3" t="s">
        <v>63</v>
      </c>
      <c r="G16" s="3" t="s">
        <v>97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64</v>
      </c>
      <c r="C17" s="3">
        <v>32</v>
      </c>
      <c r="D17" s="3">
        <f t="shared" si="0"/>
        <v>4</v>
      </c>
      <c r="F17" s="3" t="s">
        <v>64</v>
      </c>
      <c r="G17" s="3" t="s">
        <v>97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65</v>
      </c>
      <c r="C18" s="3">
        <v>32</v>
      </c>
      <c r="D18" s="3">
        <f t="shared" si="0"/>
        <v>4</v>
      </c>
      <c r="F18" s="3" t="s">
        <v>65</v>
      </c>
      <c r="G18" s="3" t="s">
        <v>97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66</v>
      </c>
      <c r="C19" s="3">
        <v>32</v>
      </c>
      <c r="D19" s="3">
        <f t="shared" si="0"/>
        <v>4</v>
      </c>
      <c r="F19" s="3" t="s">
        <v>66</v>
      </c>
      <c r="G19" s="3" t="s">
        <v>98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98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48</v>
      </c>
      <c r="C21" s="3">
        <v>32</v>
      </c>
      <c r="D21" s="3">
        <f t="shared" si="0"/>
        <v>4</v>
      </c>
      <c r="F21" s="3" t="s">
        <v>48</v>
      </c>
      <c r="G21" s="3" t="s">
        <v>98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99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67</v>
      </c>
      <c r="C23" s="3">
        <v>64</v>
      </c>
      <c r="D23" s="3">
        <f t="shared" si="0"/>
        <v>8</v>
      </c>
      <c r="F23" s="3" t="s">
        <v>67</v>
      </c>
      <c r="G23" s="3" t="s">
        <v>100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68</v>
      </c>
      <c r="C24" s="3">
        <v>64</v>
      </c>
      <c r="D24" s="3">
        <f t="shared" si="0"/>
        <v>8</v>
      </c>
      <c r="F24" s="3" t="s">
        <v>68</v>
      </c>
      <c r="G24" s="3" t="s">
        <v>100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69</v>
      </c>
      <c r="C25" s="3">
        <v>64</v>
      </c>
      <c r="D25" s="3">
        <f t="shared" si="0"/>
        <v>8</v>
      </c>
      <c r="F25" s="3" t="s">
        <v>69</v>
      </c>
      <c r="G25" s="3" t="s">
        <v>100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70</v>
      </c>
      <c r="C26" s="3">
        <v>64</v>
      </c>
      <c r="D26" s="3">
        <f t="shared" si="0"/>
        <v>8</v>
      </c>
      <c r="F26" s="3" t="s">
        <v>70</v>
      </c>
      <c r="G26" s="3" t="s">
        <v>101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71</v>
      </c>
      <c r="C27" s="3">
        <v>64</v>
      </c>
      <c r="D27" s="3">
        <f t="shared" si="0"/>
        <v>8</v>
      </c>
      <c r="F27" s="3" t="s">
        <v>71</v>
      </c>
      <c r="G27" s="3" t="s">
        <v>101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72</v>
      </c>
      <c r="C28" s="3">
        <v>64</v>
      </c>
      <c r="D28" s="3">
        <f t="shared" si="0"/>
        <v>8</v>
      </c>
      <c r="F28" s="3" t="s">
        <v>72</v>
      </c>
      <c r="G28" s="3" t="s">
        <v>101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140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9" t="s">
        <v>113</v>
      </c>
      <c r="H2" s="1" t="s">
        <v>103</v>
      </c>
    </row>
    <row r="3" spans="2:8" x14ac:dyDescent="0.25">
      <c r="B3" s="3" t="s">
        <v>482</v>
      </c>
      <c r="H3" t="s">
        <v>115</v>
      </c>
    </row>
    <row r="5" spans="2:8" x14ac:dyDescent="0.25">
      <c r="B5" s="29" t="s">
        <v>114</v>
      </c>
      <c r="H5" t="s">
        <v>116</v>
      </c>
    </row>
    <row r="6" spans="2:8" x14ac:dyDescent="0.25">
      <c r="B6" s="3" t="s">
        <v>481</v>
      </c>
      <c r="H6" t="s">
        <v>483</v>
      </c>
    </row>
    <row r="7" spans="2:8" x14ac:dyDescent="0.25">
      <c r="H7" t="s">
        <v>839</v>
      </c>
    </row>
    <row r="8" spans="2:8" x14ac:dyDescent="0.25">
      <c r="B8" s="29" t="s">
        <v>112</v>
      </c>
    </row>
    <row r="9" spans="2:8" x14ac:dyDescent="0.25">
      <c r="B9" s="3">
        <v>256</v>
      </c>
      <c r="H9" t="s">
        <v>104</v>
      </c>
    </row>
    <row r="11" spans="2:8" x14ac:dyDescent="0.25">
      <c r="B11" s="29"/>
      <c r="H11" t="s">
        <v>484</v>
      </c>
    </row>
    <row r="12" spans="2:8" x14ac:dyDescent="0.25">
      <c r="H12" t="s">
        <v>485</v>
      </c>
    </row>
    <row r="13" spans="2:8" x14ac:dyDescent="0.25">
      <c r="H13" t="s">
        <v>486</v>
      </c>
    </row>
    <row r="14" spans="2:8" x14ac:dyDescent="0.25">
      <c r="B14" s="29"/>
      <c r="H14" t="s">
        <v>487</v>
      </c>
    </row>
    <row r="16" spans="2:8" x14ac:dyDescent="0.25">
      <c r="H16" t="s">
        <v>254</v>
      </c>
    </row>
    <row r="17" spans="2:8" x14ac:dyDescent="0.25">
      <c r="B17" s="29"/>
      <c r="H17" t="s">
        <v>488</v>
      </c>
    </row>
    <row r="18" spans="2:8" x14ac:dyDescent="0.25">
      <c r="H18" t="s">
        <v>255</v>
      </c>
    </row>
    <row r="19" spans="2:8" x14ac:dyDescent="0.25">
      <c r="H19" t="s">
        <v>489</v>
      </c>
    </row>
    <row r="20" spans="2:8" x14ac:dyDescent="0.25">
      <c r="B20" s="29"/>
    </row>
    <row r="21" spans="2:8" x14ac:dyDescent="0.25">
      <c r="H21" t="s">
        <v>256</v>
      </c>
    </row>
    <row r="22" spans="2:8" x14ac:dyDescent="0.25">
      <c r="H22" t="s">
        <v>490</v>
      </c>
    </row>
    <row r="23" spans="2:8" x14ac:dyDescent="0.25">
      <c r="H23" t="s">
        <v>840</v>
      </c>
    </row>
    <row r="24" spans="2:8" x14ac:dyDescent="0.25">
      <c r="H24" t="s">
        <v>257</v>
      </c>
    </row>
    <row r="25" spans="2:8" x14ac:dyDescent="0.25">
      <c r="H25" t="s">
        <v>258</v>
      </c>
    </row>
    <row r="26" spans="2:8" x14ac:dyDescent="0.25">
      <c r="H26" t="s">
        <v>259</v>
      </c>
    </row>
    <row r="27" spans="2:8" x14ac:dyDescent="0.25">
      <c r="H27" t="s">
        <v>260</v>
      </c>
    </row>
    <row r="28" spans="2:8" x14ac:dyDescent="0.25">
      <c r="H28" t="s">
        <v>491</v>
      </c>
    </row>
    <row r="30" spans="2:8" x14ac:dyDescent="0.25">
      <c r="H30" t="s">
        <v>261</v>
      </c>
    </row>
    <row r="31" spans="2:8" x14ac:dyDescent="0.25">
      <c r="H31" t="s">
        <v>492</v>
      </c>
    </row>
    <row r="32" spans="2:8" x14ac:dyDescent="0.25">
      <c r="H32" t="s">
        <v>262</v>
      </c>
    </row>
    <row r="33" spans="8:8" x14ac:dyDescent="0.25">
      <c r="H33" t="s">
        <v>263</v>
      </c>
    </row>
    <row r="34" spans="8:8" x14ac:dyDescent="0.25">
      <c r="H34" t="s">
        <v>264</v>
      </c>
    </row>
    <row r="35" spans="8:8" x14ac:dyDescent="0.25">
      <c r="H35" t="s">
        <v>265</v>
      </c>
    </row>
    <row r="36" spans="8:8" x14ac:dyDescent="0.25">
      <c r="H36" t="s">
        <v>266</v>
      </c>
    </row>
    <row r="37" spans="8:8" x14ac:dyDescent="0.25">
      <c r="H37" t="s">
        <v>267</v>
      </c>
    </row>
    <row r="38" spans="8:8" x14ac:dyDescent="0.25">
      <c r="H38" t="s">
        <v>268</v>
      </c>
    </row>
    <row r="39" spans="8:8" x14ac:dyDescent="0.25">
      <c r="H39" t="s">
        <v>493</v>
      </c>
    </row>
    <row r="41" spans="8:8" x14ac:dyDescent="0.25">
      <c r="H41" t="s">
        <v>269</v>
      </c>
    </row>
    <row r="42" spans="8:8" x14ac:dyDescent="0.25">
      <c r="H42" t="s">
        <v>494</v>
      </c>
    </row>
    <row r="43" spans="8:8" x14ac:dyDescent="0.25">
      <c r="H43" t="s">
        <v>270</v>
      </c>
    </row>
    <row r="44" spans="8:8" x14ac:dyDescent="0.25">
      <c r="H44" t="s">
        <v>271</v>
      </c>
    </row>
    <row r="45" spans="8:8" x14ac:dyDescent="0.25">
      <c r="H45" t="s">
        <v>495</v>
      </c>
    </row>
    <row r="47" spans="8:8" x14ac:dyDescent="0.25">
      <c r="H47" t="s">
        <v>272</v>
      </c>
    </row>
    <row r="48" spans="8:8" x14ac:dyDescent="0.25">
      <c r="H48" t="s">
        <v>496</v>
      </c>
    </row>
    <row r="49" spans="8:8" x14ac:dyDescent="0.25">
      <c r="H49" t="s">
        <v>273</v>
      </c>
    </row>
    <row r="50" spans="8:8" x14ac:dyDescent="0.25">
      <c r="H50" t="s">
        <v>274</v>
      </c>
    </row>
    <row r="51" spans="8:8" x14ac:dyDescent="0.25">
      <c r="H51" t="s">
        <v>497</v>
      </c>
    </row>
    <row r="53" spans="8:8" x14ac:dyDescent="0.25">
      <c r="H53" t="s">
        <v>275</v>
      </c>
    </row>
    <row r="54" spans="8:8" x14ac:dyDescent="0.25">
      <c r="H54" t="s">
        <v>498</v>
      </c>
    </row>
    <row r="55" spans="8:8" x14ac:dyDescent="0.25">
      <c r="H55" t="s">
        <v>276</v>
      </c>
    </row>
    <row r="56" spans="8:8" x14ac:dyDescent="0.25">
      <c r="H56" t="s">
        <v>499</v>
      </c>
    </row>
    <row r="58" spans="8:8" x14ac:dyDescent="0.25">
      <c r="H58" t="s">
        <v>277</v>
      </c>
    </row>
    <row r="59" spans="8:8" x14ac:dyDescent="0.25">
      <c r="H59" t="s">
        <v>500</v>
      </c>
    </row>
    <row r="60" spans="8:8" x14ac:dyDescent="0.25">
      <c r="H60" t="s">
        <v>278</v>
      </c>
    </row>
    <row r="61" spans="8:8" x14ac:dyDescent="0.25">
      <c r="H61" t="s">
        <v>279</v>
      </c>
    </row>
    <row r="62" spans="8:8" x14ac:dyDescent="0.25">
      <c r="H62" t="s">
        <v>501</v>
      </c>
    </row>
    <row r="64" spans="8:8" x14ac:dyDescent="0.25">
      <c r="H64" t="s">
        <v>280</v>
      </c>
    </row>
    <row r="65" spans="8:8" x14ac:dyDescent="0.25">
      <c r="H65" t="s">
        <v>502</v>
      </c>
    </row>
    <row r="66" spans="8:8" x14ac:dyDescent="0.25">
      <c r="H66" t="s">
        <v>281</v>
      </c>
    </row>
    <row r="67" spans="8:8" x14ac:dyDescent="0.25">
      <c r="H67" t="s">
        <v>282</v>
      </c>
    </row>
    <row r="68" spans="8:8" x14ac:dyDescent="0.25">
      <c r="H68" t="s">
        <v>283</v>
      </c>
    </row>
    <row r="69" spans="8:8" x14ac:dyDescent="0.25">
      <c r="H69" t="s">
        <v>284</v>
      </c>
    </row>
    <row r="70" spans="8:8" x14ac:dyDescent="0.25">
      <c r="H70" t="s">
        <v>285</v>
      </c>
    </row>
    <row r="71" spans="8:8" x14ac:dyDescent="0.25">
      <c r="H71" t="s">
        <v>286</v>
      </c>
    </row>
    <row r="72" spans="8:8" x14ac:dyDescent="0.25">
      <c r="H72" t="s">
        <v>287</v>
      </c>
    </row>
    <row r="73" spans="8:8" x14ac:dyDescent="0.25">
      <c r="H73" t="s">
        <v>288</v>
      </c>
    </row>
    <row r="74" spans="8:8" x14ac:dyDescent="0.25">
      <c r="H74" t="s">
        <v>289</v>
      </c>
    </row>
    <row r="75" spans="8:8" x14ac:dyDescent="0.25">
      <c r="H75" t="s">
        <v>290</v>
      </c>
    </row>
    <row r="76" spans="8:8" x14ac:dyDescent="0.25">
      <c r="H76" t="s">
        <v>291</v>
      </c>
    </row>
    <row r="77" spans="8:8" x14ac:dyDescent="0.25">
      <c r="H77" t="s">
        <v>292</v>
      </c>
    </row>
    <row r="78" spans="8:8" x14ac:dyDescent="0.25">
      <c r="H78" t="s">
        <v>293</v>
      </c>
    </row>
    <row r="79" spans="8:8" x14ac:dyDescent="0.25">
      <c r="H79" t="s">
        <v>294</v>
      </c>
    </row>
    <row r="80" spans="8:8" x14ac:dyDescent="0.25">
      <c r="H80" t="s">
        <v>503</v>
      </c>
    </row>
    <row r="82" spans="8:8" x14ac:dyDescent="0.25">
      <c r="H82" t="s">
        <v>295</v>
      </c>
    </row>
    <row r="83" spans="8:8" x14ac:dyDescent="0.25">
      <c r="H83" t="s">
        <v>504</v>
      </c>
    </row>
    <row r="84" spans="8:8" x14ac:dyDescent="0.25">
      <c r="H84" t="s">
        <v>296</v>
      </c>
    </row>
    <row r="85" spans="8:8" x14ac:dyDescent="0.25">
      <c r="H85" t="s">
        <v>440</v>
      </c>
    </row>
    <row r="86" spans="8:8" x14ac:dyDescent="0.25">
      <c r="H86" t="s">
        <v>297</v>
      </c>
    </row>
    <row r="87" spans="8:8" x14ac:dyDescent="0.25">
      <c r="H87" t="s">
        <v>441</v>
      </c>
    </row>
    <row r="88" spans="8:8" x14ac:dyDescent="0.25">
      <c r="H88" t="s">
        <v>505</v>
      </c>
    </row>
    <row r="90" spans="8:8" x14ac:dyDescent="0.25">
      <c r="H90" t="s">
        <v>442</v>
      </c>
    </row>
    <row r="91" spans="8:8" x14ac:dyDescent="0.25">
      <c r="H91" t="s">
        <v>506</v>
      </c>
    </row>
    <row r="92" spans="8:8" x14ac:dyDescent="0.25">
      <c r="H92" t="s">
        <v>443</v>
      </c>
    </row>
    <row r="93" spans="8:8" x14ac:dyDescent="0.25">
      <c r="H93" t="s">
        <v>444</v>
      </c>
    </row>
    <row r="94" spans="8:8" x14ac:dyDescent="0.25">
      <c r="H94" t="s">
        <v>507</v>
      </c>
    </row>
    <row r="96" spans="8:8" x14ac:dyDescent="0.25">
      <c r="H96" t="s">
        <v>445</v>
      </c>
    </row>
    <row r="97" spans="8:8" x14ac:dyDescent="0.25">
      <c r="H97" t="s">
        <v>508</v>
      </c>
    </row>
    <row r="98" spans="8:8" x14ac:dyDescent="0.25">
      <c r="H98" t="s">
        <v>446</v>
      </c>
    </row>
    <row r="99" spans="8:8" x14ac:dyDescent="0.25">
      <c r="H99" t="s">
        <v>509</v>
      </c>
    </row>
    <row r="101" spans="8:8" x14ac:dyDescent="0.25">
      <c r="H101" t="s">
        <v>777</v>
      </c>
    </row>
    <row r="102" spans="8:8" x14ac:dyDescent="0.25">
      <c r="H102" t="s">
        <v>778</v>
      </c>
    </row>
    <row r="103" spans="8:8" x14ac:dyDescent="0.25">
      <c r="H103" t="s">
        <v>779</v>
      </c>
    </row>
    <row r="104" spans="8:8" x14ac:dyDescent="0.25">
      <c r="H104" t="s">
        <v>780</v>
      </c>
    </row>
    <row r="105" spans="8:8" x14ac:dyDescent="0.25">
      <c r="H105" t="s">
        <v>781</v>
      </c>
    </row>
    <row r="106" spans="8:8" x14ac:dyDescent="0.25">
      <c r="H106" t="s">
        <v>782</v>
      </c>
    </row>
    <row r="108" spans="8:8" x14ac:dyDescent="0.25">
      <c r="H108" t="s">
        <v>727</v>
      </c>
    </row>
    <row r="109" spans="8:8" x14ac:dyDescent="0.25">
      <c r="H109" t="s">
        <v>728</v>
      </c>
    </row>
    <row r="110" spans="8:8" x14ac:dyDescent="0.25">
      <c r="H110" t="s">
        <v>729</v>
      </c>
    </row>
    <row r="111" spans="8:8" x14ac:dyDescent="0.25">
      <c r="H111" t="s">
        <v>730</v>
      </c>
    </row>
    <row r="112" spans="8:8" x14ac:dyDescent="0.25">
      <c r="H112" t="s">
        <v>731</v>
      </c>
    </row>
    <row r="113" spans="8:8" x14ac:dyDescent="0.25">
      <c r="H113" t="s">
        <v>732</v>
      </c>
    </row>
    <row r="114" spans="8:8" x14ac:dyDescent="0.25">
      <c r="H114" t="s">
        <v>733</v>
      </c>
    </row>
    <row r="115" spans="8:8" x14ac:dyDescent="0.25">
      <c r="H115" t="s">
        <v>734</v>
      </c>
    </row>
    <row r="117" spans="8:8" x14ac:dyDescent="0.25">
      <c r="H117" t="s">
        <v>105</v>
      </c>
    </row>
    <row r="119" spans="8:8" x14ac:dyDescent="0.25">
      <c r="H119" t="s">
        <v>106</v>
      </c>
    </row>
    <row r="120" spans="8:8" x14ac:dyDescent="0.25">
      <c r="H120" t="s">
        <v>510</v>
      </c>
    </row>
    <row r="121" spans="8:8" x14ac:dyDescent="0.25">
      <c r="H121" t="s">
        <v>511</v>
      </c>
    </row>
    <row r="122" spans="8:8" x14ac:dyDescent="0.25">
      <c r="H122" t="s">
        <v>512</v>
      </c>
    </row>
    <row r="123" spans="8:8" x14ac:dyDescent="0.25">
      <c r="H123" t="s">
        <v>513</v>
      </c>
    </row>
    <row r="124" spans="8:8" x14ac:dyDescent="0.25">
      <c r="H124" t="s">
        <v>514</v>
      </c>
    </row>
    <row r="125" spans="8:8" x14ac:dyDescent="0.25">
      <c r="H125" t="s">
        <v>515</v>
      </c>
    </row>
    <row r="126" spans="8:8" x14ac:dyDescent="0.25">
      <c r="H126" t="s">
        <v>516</v>
      </c>
    </row>
    <row r="127" spans="8:8" x14ac:dyDescent="0.25">
      <c r="H127" t="s">
        <v>517</v>
      </c>
    </row>
    <row r="128" spans="8:8" x14ac:dyDescent="0.25">
      <c r="H128" t="s">
        <v>518</v>
      </c>
    </row>
    <row r="129" spans="8:8" x14ac:dyDescent="0.25">
      <c r="H129" t="s">
        <v>783</v>
      </c>
    </row>
    <row r="130" spans="8:8" x14ac:dyDescent="0.25">
      <c r="H130" t="s">
        <v>735</v>
      </c>
    </row>
    <row r="131" spans="8:8" x14ac:dyDescent="0.25">
      <c r="H131" t="s">
        <v>519</v>
      </c>
    </row>
    <row r="133" spans="8:8" x14ac:dyDescent="0.25">
      <c r="H133" t="s">
        <v>107</v>
      </c>
    </row>
    <row r="134" spans="8:8" x14ac:dyDescent="0.25">
      <c r="H134" t="s">
        <v>520</v>
      </c>
    </row>
    <row r="135" spans="8:8" x14ac:dyDescent="0.25">
      <c r="H135" t="s">
        <v>521</v>
      </c>
    </row>
    <row r="136" spans="8:8" x14ac:dyDescent="0.25">
      <c r="H136" t="s">
        <v>522</v>
      </c>
    </row>
    <row r="137" spans="8:8" x14ac:dyDescent="0.25">
      <c r="H137" t="s">
        <v>523</v>
      </c>
    </row>
    <row r="138" spans="8:8" x14ac:dyDescent="0.25">
      <c r="H138" t="s">
        <v>524</v>
      </c>
    </row>
    <row r="139" spans="8:8" x14ac:dyDescent="0.25">
      <c r="H139" t="s">
        <v>525</v>
      </c>
    </row>
    <row r="140" spans="8:8" x14ac:dyDescent="0.25">
      <c r="H140" s="13" t="s">
        <v>84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405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109</v>
      </c>
      <c r="H3" t="s">
        <v>36</v>
      </c>
      <c r="I3" s="12"/>
    </row>
    <row r="4" spans="2:9" x14ac:dyDescent="0.25">
      <c r="H4" t="s">
        <v>110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527</v>
      </c>
    </row>
    <row r="7" spans="2:9" x14ac:dyDescent="0.25">
      <c r="H7" t="s">
        <v>298</v>
      </c>
    </row>
    <row r="8" spans="2:9" x14ac:dyDescent="0.25">
      <c r="B8" s="1" t="s">
        <v>20</v>
      </c>
      <c r="H8" t="s">
        <v>531</v>
      </c>
    </row>
    <row r="9" spans="2:9" x14ac:dyDescent="0.25">
      <c r="B9" t="s">
        <v>526</v>
      </c>
      <c r="H9" t="s">
        <v>850</v>
      </c>
    </row>
    <row r="10" spans="2:9" x14ac:dyDescent="0.25">
      <c r="H10" t="s">
        <v>532</v>
      </c>
    </row>
    <row r="11" spans="2:9" x14ac:dyDescent="0.25">
      <c r="B11" s="1" t="s">
        <v>13</v>
      </c>
      <c r="H11" t="s">
        <v>854</v>
      </c>
    </row>
    <row r="12" spans="2:9" x14ac:dyDescent="0.25">
      <c r="B12" t="s">
        <v>15</v>
      </c>
      <c r="H12" t="s">
        <v>851</v>
      </c>
    </row>
    <row r="13" spans="2:9" x14ac:dyDescent="0.25">
      <c r="H13" t="s">
        <v>533</v>
      </c>
    </row>
    <row r="14" spans="2:9" x14ac:dyDescent="0.25">
      <c r="B14" s="1" t="s">
        <v>14</v>
      </c>
      <c r="H14" t="s">
        <v>854</v>
      </c>
    </row>
    <row r="15" spans="2:9" x14ac:dyDescent="0.25">
      <c r="B15" t="s">
        <v>16</v>
      </c>
      <c r="H15" t="s">
        <v>852</v>
      </c>
    </row>
    <row r="16" spans="2:9" x14ac:dyDescent="0.25">
      <c r="H16" t="s">
        <v>534</v>
      </c>
    </row>
    <row r="17" spans="2:8" x14ac:dyDescent="0.25">
      <c r="B17" s="1" t="s">
        <v>21</v>
      </c>
      <c r="H17" t="s">
        <v>854</v>
      </c>
    </row>
    <row r="18" spans="2:8" x14ac:dyDescent="0.25">
      <c r="B18" t="s">
        <v>529</v>
      </c>
      <c r="H18" t="s">
        <v>853</v>
      </c>
    </row>
    <row r="19" spans="2:8" x14ac:dyDescent="0.25">
      <c r="H19" t="s">
        <v>535</v>
      </c>
    </row>
    <row r="20" spans="2:8" x14ac:dyDescent="0.25">
      <c r="B20" s="1" t="s">
        <v>22</v>
      </c>
      <c r="H20" t="s">
        <v>854</v>
      </c>
    </row>
    <row r="21" spans="2:8" x14ac:dyDescent="0.25">
      <c r="B21" t="s">
        <v>530</v>
      </c>
    </row>
    <row r="22" spans="2:8" x14ac:dyDescent="0.25">
      <c r="H22" t="s">
        <v>299</v>
      </c>
    </row>
    <row r="23" spans="2:8" x14ac:dyDescent="0.25">
      <c r="H23" t="s">
        <v>301</v>
      </c>
    </row>
    <row r="24" spans="2:8" x14ac:dyDescent="0.25">
      <c r="H24" t="s">
        <v>850</v>
      </c>
    </row>
    <row r="25" spans="2:8" x14ac:dyDescent="0.25">
      <c r="H25" t="s">
        <v>536</v>
      </c>
    </row>
    <row r="26" spans="2:8" x14ac:dyDescent="0.25">
      <c r="H26" t="s">
        <v>854</v>
      </c>
    </row>
    <row r="27" spans="2:8" x14ac:dyDescent="0.25">
      <c r="H27" t="s">
        <v>851</v>
      </c>
    </row>
    <row r="28" spans="2:8" x14ac:dyDescent="0.25">
      <c r="H28" t="s">
        <v>537</v>
      </c>
    </row>
    <row r="29" spans="2:8" x14ac:dyDescent="0.25">
      <c r="H29" t="s">
        <v>854</v>
      </c>
    </row>
    <row r="30" spans="2:8" x14ac:dyDescent="0.25">
      <c r="H30" t="s">
        <v>852</v>
      </c>
    </row>
    <row r="31" spans="2:8" x14ac:dyDescent="0.25">
      <c r="H31" t="s">
        <v>538</v>
      </c>
    </row>
    <row r="32" spans="2:8" x14ac:dyDescent="0.25">
      <c r="H32" t="s">
        <v>854</v>
      </c>
    </row>
    <row r="33" spans="8:8" x14ac:dyDescent="0.25">
      <c r="H33" t="s">
        <v>853</v>
      </c>
    </row>
    <row r="34" spans="8:8" x14ac:dyDescent="0.25">
      <c r="H34" t="s">
        <v>539</v>
      </c>
    </row>
    <row r="35" spans="8:8" x14ac:dyDescent="0.25">
      <c r="H35" t="s">
        <v>854</v>
      </c>
    </row>
    <row r="37" spans="8:8" x14ac:dyDescent="0.25">
      <c r="H37" t="s">
        <v>300</v>
      </c>
    </row>
    <row r="38" spans="8:8" x14ac:dyDescent="0.25">
      <c r="H38" t="s">
        <v>841</v>
      </c>
    </row>
    <row r="39" spans="8:8" x14ac:dyDescent="0.25">
      <c r="H39" t="s">
        <v>850</v>
      </c>
    </row>
    <row r="40" spans="8:8" x14ac:dyDescent="0.25">
      <c r="H40" t="s">
        <v>842</v>
      </c>
    </row>
    <row r="41" spans="8:8" x14ac:dyDescent="0.25">
      <c r="H41" t="s">
        <v>854</v>
      </c>
    </row>
    <row r="43" spans="8:8" x14ac:dyDescent="0.25">
      <c r="H43" t="s">
        <v>302</v>
      </c>
    </row>
    <row r="44" spans="8:8" x14ac:dyDescent="0.25">
      <c r="H44" t="s">
        <v>303</v>
      </c>
    </row>
    <row r="45" spans="8:8" x14ac:dyDescent="0.25">
      <c r="H45" t="s">
        <v>850</v>
      </c>
    </row>
    <row r="46" spans="8:8" x14ac:dyDescent="0.25">
      <c r="H46" t="s">
        <v>540</v>
      </c>
    </row>
    <row r="47" spans="8:8" x14ac:dyDescent="0.25">
      <c r="H47" t="s">
        <v>854</v>
      </c>
    </row>
    <row r="49" spans="8:8" x14ac:dyDescent="0.25">
      <c r="H49" t="s">
        <v>304</v>
      </c>
    </row>
    <row r="50" spans="8:8" x14ac:dyDescent="0.25">
      <c r="H50" t="s">
        <v>305</v>
      </c>
    </row>
    <row r="51" spans="8:8" x14ac:dyDescent="0.25">
      <c r="H51" t="s">
        <v>850</v>
      </c>
    </row>
    <row r="52" spans="8:8" x14ac:dyDescent="0.25">
      <c r="H52" t="s">
        <v>541</v>
      </c>
    </row>
    <row r="53" spans="8:8" x14ac:dyDescent="0.25">
      <c r="H53" t="s">
        <v>854</v>
      </c>
    </row>
    <row r="55" spans="8:8" x14ac:dyDescent="0.25">
      <c r="H55" t="s">
        <v>306</v>
      </c>
    </row>
    <row r="56" spans="8:8" x14ac:dyDescent="0.25">
      <c r="H56" t="s">
        <v>307</v>
      </c>
    </row>
    <row r="57" spans="8:8" x14ac:dyDescent="0.25">
      <c r="H57" t="s">
        <v>850</v>
      </c>
    </row>
    <row r="58" spans="8:8" x14ac:dyDescent="0.25">
      <c r="H58" t="s">
        <v>542</v>
      </c>
    </row>
    <row r="59" spans="8:8" x14ac:dyDescent="0.25">
      <c r="H59" t="s">
        <v>854</v>
      </c>
    </row>
    <row r="61" spans="8:8" x14ac:dyDescent="0.25">
      <c r="H61" t="s">
        <v>308</v>
      </c>
    </row>
    <row r="62" spans="8:8" x14ac:dyDescent="0.25">
      <c r="H62" t="s">
        <v>309</v>
      </c>
    </row>
    <row r="63" spans="8:8" x14ac:dyDescent="0.25">
      <c r="H63" t="s">
        <v>850</v>
      </c>
    </row>
    <row r="64" spans="8:8" x14ac:dyDescent="0.25">
      <c r="H64" t="s">
        <v>543</v>
      </c>
    </row>
    <row r="65" spans="8:8" x14ac:dyDescent="0.25">
      <c r="H65" t="s">
        <v>854</v>
      </c>
    </row>
    <row r="67" spans="8:8" x14ac:dyDescent="0.25">
      <c r="H67" t="s">
        <v>310</v>
      </c>
    </row>
    <row r="68" spans="8:8" x14ac:dyDescent="0.25">
      <c r="H68" t="s">
        <v>311</v>
      </c>
    </row>
    <row r="69" spans="8:8" x14ac:dyDescent="0.25">
      <c r="H69" t="s">
        <v>850</v>
      </c>
    </row>
    <row r="70" spans="8:8" x14ac:dyDescent="0.25">
      <c r="H70" t="s">
        <v>544</v>
      </c>
    </row>
    <row r="71" spans="8:8" x14ac:dyDescent="0.25">
      <c r="H71" t="s">
        <v>854</v>
      </c>
    </row>
    <row r="73" spans="8:8" x14ac:dyDescent="0.25">
      <c r="H73" t="s">
        <v>312</v>
      </c>
    </row>
    <row r="74" spans="8:8" x14ac:dyDescent="0.25">
      <c r="H74" t="s">
        <v>313</v>
      </c>
    </row>
    <row r="75" spans="8:8" x14ac:dyDescent="0.25">
      <c r="H75" t="s">
        <v>850</v>
      </c>
    </row>
    <row r="76" spans="8:8" x14ac:dyDescent="0.25">
      <c r="H76" t="s">
        <v>545</v>
      </c>
    </row>
    <row r="77" spans="8:8" x14ac:dyDescent="0.25">
      <c r="H77" t="s">
        <v>854</v>
      </c>
    </row>
    <row r="79" spans="8:8" x14ac:dyDescent="0.25">
      <c r="H79" t="s">
        <v>314</v>
      </c>
    </row>
    <row r="80" spans="8:8" x14ac:dyDescent="0.25">
      <c r="H80" t="s">
        <v>315</v>
      </c>
    </row>
    <row r="81" spans="8:8" x14ac:dyDescent="0.25">
      <c r="H81" t="s">
        <v>850</v>
      </c>
    </row>
    <row r="82" spans="8:8" x14ac:dyDescent="0.25">
      <c r="H82" t="s">
        <v>546</v>
      </c>
    </row>
    <row r="83" spans="8:8" x14ac:dyDescent="0.25">
      <c r="H83" t="s">
        <v>854</v>
      </c>
    </row>
    <row r="85" spans="8:8" x14ac:dyDescent="0.25">
      <c r="H85" t="s">
        <v>316</v>
      </c>
    </row>
    <row r="86" spans="8:8" x14ac:dyDescent="0.25">
      <c r="H86" t="s">
        <v>317</v>
      </c>
    </row>
    <row r="87" spans="8:8" x14ac:dyDescent="0.25">
      <c r="H87" t="s">
        <v>850</v>
      </c>
    </row>
    <row r="88" spans="8:8" x14ac:dyDescent="0.25">
      <c r="H88" t="s">
        <v>547</v>
      </c>
    </row>
    <row r="89" spans="8:8" x14ac:dyDescent="0.25">
      <c r="H89" t="s">
        <v>854</v>
      </c>
    </row>
    <row r="91" spans="8:8" x14ac:dyDescent="0.25">
      <c r="H91" t="s">
        <v>318</v>
      </c>
    </row>
    <row r="92" spans="8:8" x14ac:dyDescent="0.25">
      <c r="H92" t="s">
        <v>319</v>
      </c>
    </row>
    <row r="93" spans="8:8" x14ac:dyDescent="0.25">
      <c r="H93" t="s">
        <v>850</v>
      </c>
    </row>
    <row r="94" spans="8:8" x14ac:dyDescent="0.25">
      <c r="H94" t="s">
        <v>548</v>
      </c>
    </row>
    <row r="95" spans="8:8" x14ac:dyDescent="0.25">
      <c r="H95" t="s">
        <v>854</v>
      </c>
    </row>
    <row r="97" spans="8:8" x14ac:dyDescent="0.25">
      <c r="H97" t="s">
        <v>320</v>
      </c>
    </row>
    <row r="98" spans="8:8" x14ac:dyDescent="0.25">
      <c r="H98" t="s">
        <v>321</v>
      </c>
    </row>
    <row r="99" spans="8:8" x14ac:dyDescent="0.25">
      <c r="H99" t="s">
        <v>850</v>
      </c>
    </row>
    <row r="100" spans="8:8" x14ac:dyDescent="0.25">
      <c r="H100" t="s">
        <v>549</v>
      </c>
    </row>
    <row r="101" spans="8:8" x14ac:dyDescent="0.25">
      <c r="H101" t="s">
        <v>854</v>
      </c>
    </row>
    <row r="103" spans="8:8" x14ac:dyDescent="0.25">
      <c r="H103" t="s">
        <v>322</v>
      </c>
    </row>
    <row r="104" spans="8:8" x14ac:dyDescent="0.25">
      <c r="H104" t="s">
        <v>323</v>
      </c>
    </row>
    <row r="105" spans="8:8" x14ac:dyDescent="0.25">
      <c r="H105" t="s">
        <v>850</v>
      </c>
    </row>
    <row r="106" spans="8:8" x14ac:dyDescent="0.25">
      <c r="H106" t="s">
        <v>550</v>
      </c>
    </row>
    <row r="107" spans="8:8" x14ac:dyDescent="0.25">
      <c r="H107" t="s">
        <v>854</v>
      </c>
    </row>
    <row r="109" spans="8:8" x14ac:dyDescent="0.25">
      <c r="H109" t="s">
        <v>324</v>
      </c>
    </row>
    <row r="110" spans="8:8" x14ac:dyDescent="0.25">
      <c r="H110" t="s">
        <v>325</v>
      </c>
    </row>
    <row r="111" spans="8:8" x14ac:dyDescent="0.25">
      <c r="H111" t="s">
        <v>850</v>
      </c>
    </row>
    <row r="112" spans="8:8" x14ac:dyDescent="0.25">
      <c r="H112" t="s">
        <v>551</v>
      </c>
    </row>
    <row r="113" spans="8:8" x14ac:dyDescent="0.25">
      <c r="H113" t="s">
        <v>854</v>
      </c>
    </row>
    <row r="115" spans="8:8" x14ac:dyDescent="0.25">
      <c r="H115" t="s">
        <v>326</v>
      </c>
    </row>
    <row r="116" spans="8:8" x14ac:dyDescent="0.25">
      <c r="H116" t="s">
        <v>327</v>
      </c>
    </row>
    <row r="117" spans="8:8" x14ac:dyDescent="0.25">
      <c r="H117" t="s">
        <v>850</v>
      </c>
    </row>
    <row r="118" spans="8:8" x14ac:dyDescent="0.25">
      <c r="H118" t="s">
        <v>552</v>
      </c>
    </row>
    <row r="119" spans="8:8" x14ac:dyDescent="0.25">
      <c r="H119" t="s">
        <v>854</v>
      </c>
    </row>
    <row r="121" spans="8:8" x14ac:dyDescent="0.25">
      <c r="H121" t="s">
        <v>328</v>
      </c>
    </row>
    <row r="122" spans="8:8" x14ac:dyDescent="0.25">
      <c r="H122" t="s">
        <v>329</v>
      </c>
    </row>
    <row r="123" spans="8:8" x14ac:dyDescent="0.25">
      <c r="H123" t="s">
        <v>850</v>
      </c>
    </row>
    <row r="124" spans="8:8" x14ac:dyDescent="0.25">
      <c r="H124" t="s">
        <v>553</v>
      </c>
    </row>
    <row r="125" spans="8:8" x14ac:dyDescent="0.25">
      <c r="H125" t="s">
        <v>854</v>
      </c>
    </row>
    <row r="127" spans="8:8" x14ac:dyDescent="0.25">
      <c r="H127" t="s">
        <v>331</v>
      </c>
    </row>
    <row r="128" spans="8:8" x14ac:dyDescent="0.25">
      <c r="H128" t="s">
        <v>330</v>
      </c>
    </row>
    <row r="129" spans="8:8" x14ac:dyDescent="0.25">
      <c r="H129" t="s">
        <v>850</v>
      </c>
    </row>
    <row r="130" spans="8:8" x14ac:dyDescent="0.25">
      <c r="H130" t="s">
        <v>812</v>
      </c>
    </row>
    <row r="131" spans="8:8" x14ac:dyDescent="0.25">
      <c r="H131" t="s">
        <v>854</v>
      </c>
    </row>
    <row r="133" spans="8:8" x14ac:dyDescent="0.25">
      <c r="H133" t="s">
        <v>332</v>
      </c>
    </row>
    <row r="134" spans="8:8" x14ac:dyDescent="0.25">
      <c r="H134" t="s">
        <v>353</v>
      </c>
    </row>
    <row r="135" spans="8:8" x14ac:dyDescent="0.25">
      <c r="H135" t="s">
        <v>850</v>
      </c>
    </row>
    <row r="136" spans="8:8" x14ac:dyDescent="0.25">
      <c r="H136" t="s">
        <v>554</v>
      </c>
    </row>
    <row r="137" spans="8:8" x14ac:dyDescent="0.25">
      <c r="H137" t="s">
        <v>854</v>
      </c>
    </row>
    <row r="138" spans="8:8" x14ac:dyDescent="0.25">
      <c r="H138" t="s">
        <v>851</v>
      </c>
    </row>
    <row r="139" spans="8:8" x14ac:dyDescent="0.25">
      <c r="H139" t="s">
        <v>555</v>
      </c>
    </row>
    <row r="140" spans="8:8" x14ac:dyDescent="0.25">
      <c r="H140" t="s">
        <v>854</v>
      </c>
    </row>
    <row r="141" spans="8:8" x14ac:dyDescent="0.25">
      <c r="H141" t="s">
        <v>852</v>
      </c>
    </row>
    <row r="142" spans="8:8" x14ac:dyDescent="0.25">
      <c r="H142" t="s">
        <v>556</v>
      </c>
    </row>
    <row r="143" spans="8:8" x14ac:dyDescent="0.25">
      <c r="H143" t="s">
        <v>854</v>
      </c>
    </row>
    <row r="144" spans="8:8" x14ac:dyDescent="0.25">
      <c r="H144" t="s">
        <v>853</v>
      </c>
    </row>
    <row r="145" spans="8:8" x14ac:dyDescent="0.25">
      <c r="H145" t="s">
        <v>557</v>
      </c>
    </row>
    <row r="146" spans="8:8" x14ac:dyDescent="0.25">
      <c r="H146" t="s">
        <v>854</v>
      </c>
    </row>
    <row r="148" spans="8:8" x14ac:dyDescent="0.25">
      <c r="H148" t="s">
        <v>333</v>
      </c>
    </row>
    <row r="149" spans="8:8" x14ac:dyDescent="0.25">
      <c r="H149" t="s">
        <v>354</v>
      </c>
    </row>
    <row r="150" spans="8:8" x14ac:dyDescent="0.25">
      <c r="H150" t="s">
        <v>850</v>
      </c>
    </row>
    <row r="151" spans="8:8" x14ac:dyDescent="0.25">
      <c r="H151" t="s">
        <v>558</v>
      </c>
    </row>
    <row r="152" spans="8:8" x14ac:dyDescent="0.25">
      <c r="H152" t="s">
        <v>854</v>
      </c>
    </row>
    <row r="154" spans="8:8" x14ac:dyDescent="0.25">
      <c r="H154" t="s">
        <v>334</v>
      </c>
    </row>
    <row r="155" spans="8:8" x14ac:dyDescent="0.25">
      <c r="H155" t="s">
        <v>355</v>
      </c>
    </row>
    <row r="156" spans="8:8" x14ac:dyDescent="0.25">
      <c r="H156" t="s">
        <v>850</v>
      </c>
    </row>
    <row r="157" spans="8:8" x14ac:dyDescent="0.25">
      <c r="H157" t="s">
        <v>813</v>
      </c>
    </row>
    <row r="158" spans="8:8" x14ac:dyDescent="0.25">
      <c r="H158" t="s">
        <v>854</v>
      </c>
    </row>
    <row r="160" spans="8:8" x14ac:dyDescent="0.25">
      <c r="H160" t="s">
        <v>335</v>
      </c>
    </row>
    <row r="161" spans="8:8" x14ac:dyDescent="0.25">
      <c r="H161" t="s">
        <v>356</v>
      </c>
    </row>
    <row r="162" spans="8:8" x14ac:dyDescent="0.25">
      <c r="H162" t="s">
        <v>850</v>
      </c>
    </row>
    <row r="163" spans="8:8" x14ac:dyDescent="0.25">
      <c r="H163" t="s">
        <v>559</v>
      </c>
    </row>
    <row r="164" spans="8:8" x14ac:dyDescent="0.25">
      <c r="H164" t="s">
        <v>854</v>
      </c>
    </row>
    <row r="166" spans="8:8" x14ac:dyDescent="0.25">
      <c r="H166" t="s">
        <v>336</v>
      </c>
    </row>
    <row r="167" spans="8:8" x14ac:dyDescent="0.25">
      <c r="H167" t="s">
        <v>357</v>
      </c>
    </row>
    <row r="168" spans="8:8" x14ac:dyDescent="0.25">
      <c r="H168" t="s">
        <v>850</v>
      </c>
    </row>
    <row r="169" spans="8:8" x14ac:dyDescent="0.25">
      <c r="H169" t="s">
        <v>560</v>
      </c>
    </row>
    <row r="170" spans="8:8" x14ac:dyDescent="0.25">
      <c r="H170" t="s">
        <v>854</v>
      </c>
    </row>
    <row r="172" spans="8:8" x14ac:dyDescent="0.25">
      <c r="H172" t="s">
        <v>337</v>
      </c>
    </row>
    <row r="173" spans="8:8" x14ac:dyDescent="0.25">
      <c r="H173" t="s">
        <v>358</v>
      </c>
    </row>
    <row r="174" spans="8:8" x14ac:dyDescent="0.25">
      <c r="H174" t="s">
        <v>850</v>
      </c>
    </row>
    <row r="175" spans="8:8" x14ac:dyDescent="0.25">
      <c r="H175" t="s">
        <v>561</v>
      </c>
    </row>
    <row r="176" spans="8:8" x14ac:dyDescent="0.25">
      <c r="H176" t="s">
        <v>854</v>
      </c>
    </row>
    <row r="178" spans="8:8" x14ac:dyDescent="0.25">
      <c r="H178" t="s">
        <v>338</v>
      </c>
    </row>
    <row r="179" spans="8:8" x14ac:dyDescent="0.25">
      <c r="H179" t="s">
        <v>359</v>
      </c>
    </row>
    <row r="180" spans="8:8" x14ac:dyDescent="0.25">
      <c r="H180" t="s">
        <v>850</v>
      </c>
    </row>
    <row r="181" spans="8:8" x14ac:dyDescent="0.25">
      <c r="H181" t="s">
        <v>562</v>
      </c>
    </row>
    <row r="182" spans="8:8" x14ac:dyDescent="0.25">
      <c r="H182" t="s">
        <v>854</v>
      </c>
    </row>
    <row r="184" spans="8:8" x14ac:dyDescent="0.25">
      <c r="H184" t="s">
        <v>339</v>
      </c>
    </row>
    <row r="185" spans="8:8" x14ac:dyDescent="0.25">
      <c r="H185" t="s">
        <v>360</v>
      </c>
    </row>
    <row r="186" spans="8:8" x14ac:dyDescent="0.25">
      <c r="H186" t="s">
        <v>850</v>
      </c>
    </row>
    <row r="187" spans="8:8" x14ac:dyDescent="0.25">
      <c r="H187" t="s">
        <v>563</v>
      </c>
    </row>
    <row r="188" spans="8:8" x14ac:dyDescent="0.25">
      <c r="H188" t="s">
        <v>854</v>
      </c>
    </row>
    <row r="190" spans="8:8" x14ac:dyDescent="0.25">
      <c r="H190" t="s">
        <v>340</v>
      </c>
    </row>
    <row r="191" spans="8:8" x14ac:dyDescent="0.25">
      <c r="H191" t="s">
        <v>361</v>
      </c>
    </row>
    <row r="192" spans="8:8" x14ac:dyDescent="0.25">
      <c r="H192" t="s">
        <v>850</v>
      </c>
    </row>
    <row r="193" spans="8:8" x14ac:dyDescent="0.25">
      <c r="H193" t="s">
        <v>564</v>
      </c>
    </row>
    <row r="194" spans="8:8" x14ac:dyDescent="0.25">
      <c r="H194" t="s">
        <v>854</v>
      </c>
    </row>
    <row r="196" spans="8:8" x14ac:dyDescent="0.25">
      <c r="H196" t="s">
        <v>341</v>
      </c>
    </row>
    <row r="197" spans="8:8" x14ac:dyDescent="0.25">
      <c r="H197" t="s">
        <v>362</v>
      </c>
    </row>
    <row r="198" spans="8:8" x14ac:dyDescent="0.25">
      <c r="H198" t="s">
        <v>850</v>
      </c>
    </row>
    <row r="199" spans="8:8" x14ac:dyDescent="0.25">
      <c r="H199" t="s">
        <v>565</v>
      </c>
    </row>
    <row r="200" spans="8:8" x14ac:dyDescent="0.25">
      <c r="H200" t="s">
        <v>854</v>
      </c>
    </row>
    <row r="202" spans="8:8" x14ac:dyDescent="0.25">
      <c r="H202" t="s">
        <v>342</v>
      </c>
    </row>
    <row r="203" spans="8:8" x14ac:dyDescent="0.25">
      <c r="H203" t="s">
        <v>363</v>
      </c>
    </row>
    <row r="204" spans="8:8" x14ac:dyDescent="0.25">
      <c r="H204" t="s">
        <v>850</v>
      </c>
    </row>
    <row r="205" spans="8:8" x14ac:dyDescent="0.25">
      <c r="H205" t="s">
        <v>566</v>
      </c>
    </row>
    <row r="206" spans="8:8" x14ac:dyDescent="0.25">
      <c r="H206" t="s">
        <v>854</v>
      </c>
    </row>
    <row r="208" spans="8:8" x14ac:dyDescent="0.25">
      <c r="H208" t="s">
        <v>343</v>
      </c>
    </row>
    <row r="209" spans="8:8" x14ac:dyDescent="0.25">
      <c r="H209" t="s">
        <v>364</v>
      </c>
    </row>
    <row r="210" spans="8:8" x14ac:dyDescent="0.25">
      <c r="H210" t="s">
        <v>850</v>
      </c>
    </row>
    <row r="211" spans="8:8" x14ac:dyDescent="0.25">
      <c r="H211" t="s">
        <v>567</v>
      </c>
    </row>
    <row r="212" spans="8:8" x14ac:dyDescent="0.25">
      <c r="H212" t="s">
        <v>854</v>
      </c>
    </row>
    <row r="214" spans="8:8" x14ac:dyDescent="0.25">
      <c r="H214" t="s">
        <v>344</v>
      </c>
    </row>
    <row r="215" spans="8:8" x14ac:dyDescent="0.25">
      <c r="H215" t="s">
        <v>365</v>
      </c>
    </row>
    <row r="216" spans="8:8" x14ac:dyDescent="0.25">
      <c r="H216" t="s">
        <v>850</v>
      </c>
    </row>
    <row r="217" spans="8:8" x14ac:dyDescent="0.25">
      <c r="H217" t="s">
        <v>568</v>
      </c>
    </row>
    <row r="218" spans="8:8" x14ac:dyDescent="0.25">
      <c r="H218" t="s">
        <v>854</v>
      </c>
    </row>
    <row r="220" spans="8:8" x14ac:dyDescent="0.25">
      <c r="H220" t="s">
        <v>345</v>
      </c>
    </row>
    <row r="221" spans="8:8" x14ac:dyDescent="0.25">
      <c r="H221" t="s">
        <v>366</v>
      </c>
    </row>
    <row r="222" spans="8:8" x14ac:dyDescent="0.25">
      <c r="H222" t="s">
        <v>850</v>
      </c>
    </row>
    <row r="223" spans="8:8" x14ac:dyDescent="0.25">
      <c r="H223" t="s">
        <v>569</v>
      </c>
    </row>
    <row r="224" spans="8:8" x14ac:dyDescent="0.25">
      <c r="H224" t="s">
        <v>854</v>
      </c>
    </row>
    <row r="226" spans="8:8" x14ac:dyDescent="0.25">
      <c r="H226" t="s">
        <v>346</v>
      </c>
    </row>
    <row r="227" spans="8:8" x14ac:dyDescent="0.25">
      <c r="H227" t="s">
        <v>367</v>
      </c>
    </row>
    <row r="228" spans="8:8" x14ac:dyDescent="0.25">
      <c r="H228" t="s">
        <v>850</v>
      </c>
    </row>
    <row r="229" spans="8:8" x14ac:dyDescent="0.25">
      <c r="H229" t="s">
        <v>570</v>
      </c>
    </row>
    <row r="230" spans="8:8" x14ac:dyDescent="0.25">
      <c r="H230" t="s">
        <v>854</v>
      </c>
    </row>
    <row r="232" spans="8:8" x14ac:dyDescent="0.25">
      <c r="H232" t="s">
        <v>347</v>
      </c>
    </row>
    <row r="233" spans="8:8" x14ac:dyDescent="0.25">
      <c r="H233" t="s">
        <v>368</v>
      </c>
    </row>
    <row r="234" spans="8:8" x14ac:dyDescent="0.25">
      <c r="H234" t="s">
        <v>850</v>
      </c>
    </row>
    <row r="235" spans="8:8" x14ac:dyDescent="0.25">
      <c r="H235" t="s">
        <v>571</v>
      </c>
    </row>
    <row r="236" spans="8:8" x14ac:dyDescent="0.25">
      <c r="H236" t="s">
        <v>854</v>
      </c>
    </row>
    <row r="238" spans="8:8" x14ac:dyDescent="0.25">
      <c r="H238" t="s">
        <v>348</v>
      </c>
    </row>
    <row r="239" spans="8:8" x14ac:dyDescent="0.25">
      <c r="H239" t="s">
        <v>369</v>
      </c>
    </row>
    <row r="240" spans="8:8" x14ac:dyDescent="0.25">
      <c r="H240" t="s">
        <v>850</v>
      </c>
    </row>
    <row r="241" spans="8:8" x14ac:dyDescent="0.25">
      <c r="H241" t="s">
        <v>572</v>
      </c>
    </row>
    <row r="242" spans="8:8" x14ac:dyDescent="0.25">
      <c r="H242" t="s">
        <v>854</v>
      </c>
    </row>
    <row r="244" spans="8:8" x14ac:dyDescent="0.25">
      <c r="H244" t="s">
        <v>349</v>
      </c>
    </row>
    <row r="245" spans="8:8" x14ac:dyDescent="0.25">
      <c r="H245" t="s">
        <v>370</v>
      </c>
    </row>
    <row r="246" spans="8:8" x14ac:dyDescent="0.25">
      <c r="H246" t="s">
        <v>850</v>
      </c>
    </row>
    <row r="247" spans="8:8" x14ac:dyDescent="0.25">
      <c r="H247" t="s">
        <v>573</v>
      </c>
    </row>
    <row r="248" spans="8:8" x14ac:dyDescent="0.25">
      <c r="H248" t="s">
        <v>854</v>
      </c>
    </row>
    <row r="249" spans="8:8" x14ac:dyDescent="0.25">
      <c r="H249" t="s">
        <v>851</v>
      </c>
    </row>
    <row r="250" spans="8:8" x14ac:dyDescent="0.25">
      <c r="H250" t="s">
        <v>574</v>
      </c>
    </row>
    <row r="251" spans="8:8" x14ac:dyDescent="0.25">
      <c r="H251" t="s">
        <v>854</v>
      </c>
    </row>
    <row r="252" spans="8:8" x14ac:dyDescent="0.25">
      <c r="H252" t="s">
        <v>852</v>
      </c>
    </row>
    <row r="253" spans="8:8" x14ac:dyDescent="0.25">
      <c r="H253" t="s">
        <v>575</v>
      </c>
    </row>
    <row r="254" spans="8:8" x14ac:dyDescent="0.25">
      <c r="H254" t="s">
        <v>854</v>
      </c>
    </row>
    <row r="255" spans="8:8" x14ac:dyDescent="0.25">
      <c r="H255" t="s">
        <v>853</v>
      </c>
    </row>
    <row r="256" spans="8:8" x14ac:dyDescent="0.25">
      <c r="H256" t="s">
        <v>576</v>
      </c>
    </row>
    <row r="257" spans="8:8" x14ac:dyDescent="0.25">
      <c r="H257" t="s">
        <v>854</v>
      </c>
    </row>
    <row r="259" spans="8:8" x14ac:dyDescent="0.25">
      <c r="H259" t="s">
        <v>350</v>
      </c>
    </row>
    <row r="260" spans="8:8" x14ac:dyDescent="0.25">
      <c r="H260" t="s">
        <v>447</v>
      </c>
    </row>
    <row r="261" spans="8:8" x14ac:dyDescent="0.25">
      <c r="H261" t="s">
        <v>850</v>
      </c>
    </row>
    <row r="262" spans="8:8" x14ac:dyDescent="0.25">
      <c r="H262" t="s">
        <v>577</v>
      </c>
    </row>
    <row r="263" spans="8:8" x14ac:dyDescent="0.25">
      <c r="H263" t="s">
        <v>854</v>
      </c>
    </row>
    <row r="264" spans="8:8" x14ac:dyDescent="0.25">
      <c r="H264" t="s">
        <v>851</v>
      </c>
    </row>
    <row r="265" spans="8:8" x14ac:dyDescent="0.25">
      <c r="H265" t="s">
        <v>578</v>
      </c>
    </row>
    <row r="266" spans="8:8" x14ac:dyDescent="0.25">
      <c r="H266" t="s">
        <v>854</v>
      </c>
    </row>
    <row r="267" spans="8:8" x14ac:dyDescent="0.25">
      <c r="H267" t="s">
        <v>852</v>
      </c>
    </row>
    <row r="268" spans="8:8" x14ac:dyDescent="0.25">
      <c r="H268" t="s">
        <v>579</v>
      </c>
    </row>
    <row r="269" spans="8:8" x14ac:dyDescent="0.25">
      <c r="H269" t="s">
        <v>854</v>
      </c>
    </row>
    <row r="270" spans="8:8" x14ac:dyDescent="0.25">
      <c r="H270" t="s">
        <v>853</v>
      </c>
    </row>
    <row r="271" spans="8:8" x14ac:dyDescent="0.25">
      <c r="H271" t="s">
        <v>580</v>
      </c>
    </row>
    <row r="272" spans="8:8" x14ac:dyDescent="0.25">
      <c r="H272" t="s">
        <v>854</v>
      </c>
    </row>
    <row r="274" spans="8:8" x14ac:dyDescent="0.25">
      <c r="H274" t="s">
        <v>351</v>
      </c>
    </row>
    <row r="275" spans="8:8" x14ac:dyDescent="0.25">
      <c r="H275" t="s">
        <v>371</v>
      </c>
    </row>
    <row r="276" spans="8:8" x14ac:dyDescent="0.25">
      <c r="H276" t="s">
        <v>850</v>
      </c>
    </row>
    <row r="277" spans="8:8" x14ac:dyDescent="0.25">
      <c r="H277" t="s">
        <v>581</v>
      </c>
    </row>
    <row r="278" spans="8:8" x14ac:dyDescent="0.25">
      <c r="H278" t="s">
        <v>854</v>
      </c>
    </row>
    <row r="279" spans="8:8" x14ac:dyDescent="0.25">
      <c r="H279" t="s">
        <v>851</v>
      </c>
    </row>
    <row r="280" spans="8:8" x14ac:dyDescent="0.25">
      <c r="H280" t="s">
        <v>582</v>
      </c>
    </row>
    <row r="281" spans="8:8" x14ac:dyDescent="0.25">
      <c r="H281" t="s">
        <v>854</v>
      </c>
    </row>
    <row r="282" spans="8:8" x14ac:dyDescent="0.25">
      <c r="H282" t="s">
        <v>852</v>
      </c>
    </row>
    <row r="283" spans="8:8" x14ac:dyDescent="0.25">
      <c r="H283" t="s">
        <v>583</v>
      </c>
    </row>
    <row r="284" spans="8:8" x14ac:dyDescent="0.25">
      <c r="H284" t="s">
        <v>854</v>
      </c>
    </row>
    <row r="285" spans="8:8" x14ac:dyDescent="0.25">
      <c r="H285" t="s">
        <v>853</v>
      </c>
    </row>
    <row r="286" spans="8:8" x14ac:dyDescent="0.25">
      <c r="H286" t="s">
        <v>584</v>
      </c>
    </row>
    <row r="287" spans="8:8" x14ac:dyDescent="0.25">
      <c r="H287" t="s">
        <v>854</v>
      </c>
    </row>
    <row r="289" spans="8:8" x14ac:dyDescent="0.25">
      <c r="H289" t="s">
        <v>352</v>
      </c>
    </row>
    <row r="290" spans="8:8" x14ac:dyDescent="0.25">
      <c r="H290" t="s">
        <v>448</v>
      </c>
    </row>
    <row r="291" spans="8:8" x14ac:dyDescent="0.25">
      <c r="H291" t="s">
        <v>850</v>
      </c>
    </row>
    <row r="292" spans="8:8" x14ac:dyDescent="0.25">
      <c r="H292" t="s">
        <v>585</v>
      </c>
    </row>
    <row r="293" spans="8:8" x14ac:dyDescent="0.25">
      <c r="H293" t="s">
        <v>854</v>
      </c>
    </row>
    <row r="294" spans="8:8" x14ac:dyDescent="0.25">
      <c r="H294" t="s">
        <v>851</v>
      </c>
    </row>
    <row r="295" spans="8:8" x14ac:dyDescent="0.25">
      <c r="H295" t="s">
        <v>586</v>
      </c>
    </row>
    <row r="296" spans="8:8" x14ac:dyDescent="0.25">
      <c r="H296" t="s">
        <v>854</v>
      </c>
    </row>
    <row r="297" spans="8:8" x14ac:dyDescent="0.25">
      <c r="H297" t="s">
        <v>852</v>
      </c>
    </row>
    <row r="298" spans="8:8" x14ac:dyDescent="0.25">
      <c r="H298" t="s">
        <v>587</v>
      </c>
    </row>
    <row r="299" spans="8:8" x14ac:dyDescent="0.25">
      <c r="H299" t="s">
        <v>854</v>
      </c>
    </row>
    <row r="300" spans="8:8" x14ac:dyDescent="0.25">
      <c r="H300" t="s">
        <v>853</v>
      </c>
    </row>
    <row r="301" spans="8:8" x14ac:dyDescent="0.25">
      <c r="H301" t="s">
        <v>588</v>
      </c>
    </row>
    <row r="302" spans="8:8" x14ac:dyDescent="0.25">
      <c r="H302" t="s">
        <v>854</v>
      </c>
    </row>
    <row r="304" spans="8:8" x14ac:dyDescent="0.25">
      <c r="H304" t="s">
        <v>736</v>
      </c>
    </row>
    <row r="305" spans="8:8" x14ac:dyDescent="0.25">
      <c r="H305" t="s">
        <v>449</v>
      </c>
    </row>
    <row r="306" spans="8:8" x14ac:dyDescent="0.25">
      <c r="H306" t="s">
        <v>850</v>
      </c>
    </row>
    <row r="307" spans="8:8" x14ac:dyDescent="0.25">
      <c r="H307" t="s">
        <v>589</v>
      </c>
    </row>
    <row r="308" spans="8:8" x14ac:dyDescent="0.25">
      <c r="H308" t="s">
        <v>854</v>
      </c>
    </row>
    <row r="309" spans="8:8" x14ac:dyDescent="0.25">
      <c r="H309" t="s">
        <v>851</v>
      </c>
    </row>
    <row r="310" spans="8:8" x14ac:dyDescent="0.25">
      <c r="H310" t="s">
        <v>590</v>
      </c>
    </row>
    <row r="311" spans="8:8" x14ac:dyDescent="0.25">
      <c r="H311" t="s">
        <v>854</v>
      </c>
    </row>
    <row r="312" spans="8:8" x14ac:dyDescent="0.25">
      <c r="H312" t="s">
        <v>852</v>
      </c>
    </row>
    <row r="313" spans="8:8" x14ac:dyDescent="0.25">
      <c r="H313" t="s">
        <v>591</v>
      </c>
    </row>
    <row r="314" spans="8:8" x14ac:dyDescent="0.25">
      <c r="H314" t="s">
        <v>854</v>
      </c>
    </row>
    <row r="315" spans="8:8" x14ac:dyDescent="0.25">
      <c r="H315" t="s">
        <v>853</v>
      </c>
    </row>
    <row r="316" spans="8:8" x14ac:dyDescent="0.25">
      <c r="H316" t="s">
        <v>592</v>
      </c>
    </row>
    <row r="317" spans="8:8" x14ac:dyDescent="0.25">
      <c r="H317" t="s">
        <v>854</v>
      </c>
    </row>
    <row r="319" spans="8:8" x14ac:dyDescent="0.25">
      <c r="H319" t="s">
        <v>742</v>
      </c>
    </row>
    <row r="320" spans="8:8" x14ac:dyDescent="0.25">
      <c r="H320" t="s">
        <v>450</v>
      </c>
    </row>
    <row r="321" spans="8:8" x14ac:dyDescent="0.25">
      <c r="H321" t="s">
        <v>850</v>
      </c>
    </row>
    <row r="322" spans="8:8" x14ac:dyDescent="0.25">
      <c r="H322" t="s">
        <v>593</v>
      </c>
    </row>
    <row r="323" spans="8:8" x14ac:dyDescent="0.25">
      <c r="H323" t="s">
        <v>854</v>
      </c>
    </row>
    <row r="324" spans="8:8" x14ac:dyDescent="0.25">
      <c r="H324" t="s">
        <v>851</v>
      </c>
    </row>
    <row r="325" spans="8:8" x14ac:dyDescent="0.25">
      <c r="H325" t="s">
        <v>594</v>
      </c>
    </row>
    <row r="326" spans="8:8" x14ac:dyDescent="0.25">
      <c r="H326" t="s">
        <v>854</v>
      </c>
    </row>
    <row r="327" spans="8:8" x14ac:dyDescent="0.25">
      <c r="H327" t="s">
        <v>852</v>
      </c>
    </row>
    <row r="328" spans="8:8" x14ac:dyDescent="0.25">
      <c r="H328" t="s">
        <v>595</v>
      </c>
    </row>
    <row r="329" spans="8:8" x14ac:dyDescent="0.25">
      <c r="H329" t="s">
        <v>854</v>
      </c>
    </row>
    <row r="330" spans="8:8" x14ac:dyDescent="0.25">
      <c r="H330" t="s">
        <v>853</v>
      </c>
    </row>
    <row r="331" spans="8:8" x14ac:dyDescent="0.25">
      <c r="H331" t="s">
        <v>596</v>
      </c>
    </row>
    <row r="332" spans="8:8" x14ac:dyDescent="0.25">
      <c r="H332" t="s">
        <v>854</v>
      </c>
    </row>
    <row r="334" spans="8:8" x14ac:dyDescent="0.25">
      <c r="H334" t="s">
        <v>788</v>
      </c>
    </row>
    <row r="335" spans="8:8" x14ac:dyDescent="0.25">
      <c r="H335" t="s">
        <v>451</v>
      </c>
    </row>
    <row r="336" spans="8:8" x14ac:dyDescent="0.25">
      <c r="H336" t="s">
        <v>850</v>
      </c>
    </row>
    <row r="337" spans="8:8" x14ac:dyDescent="0.25">
      <c r="H337" t="s">
        <v>597</v>
      </c>
    </row>
    <row r="338" spans="8:8" x14ac:dyDescent="0.25">
      <c r="H338" t="s">
        <v>854</v>
      </c>
    </row>
    <row r="339" spans="8:8" x14ac:dyDescent="0.25">
      <c r="H339" t="s">
        <v>851</v>
      </c>
    </row>
    <row r="340" spans="8:8" x14ac:dyDescent="0.25">
      <c r="H340" t="s">
        <v>598</v>
      </c>
    </row>
    <row r="341" spans="8:8" x14ac:dyDescent="0.25">
      <c r="H341" t="s">
        <v>854</v>
      </c>
    </row>
    <row r="342" spans="8:8" x14ac:dyDescent="0.25">
      <c r="H342" t="s">
        <v>852</v>
      </c>
    </row>
    <row r="343" spans="8:8" x14ac:dyDescent="0.25">
      <c r="H343" t="s">
        <v>599</v>
      </c>
    </row>
    <row r="344" spans="8:8" x14ac:dyDescent="0.25">
      <c r="H344" t="s">
        <v>854</v>
      </c>
    </row>
    <row r="345" spans="8:8" x14ac:dyDescent="0.25">
      <c r="H345" t="s">
        <v>853</v>
      </c>
    </row>
    <row r="346" spans="8:8" x14ac:dyDescent="0.25">
      <c r="H346" t="s">
        <v>600</v>
      </c>
    </row>
    <row r="347" spans="8:8" x14ac:dyDescent="0.25">
      <c r="H347" t="s">
        <v>854</v>
      </c>
    </row>
    <row r="349" spans="8:8" x14ac:dyDescent="0.25">
      <c r="H349" t="s">
        <v>791</v>
      </c>
    </row>
    <row r="350" spans="8:8" x14ac:dyDescent="0.25">
      <c r="H350" t="s">
        <v>784</v>
      </c>
    </row>
    <row r="351" spans="8:8" x14ac:dyDescent="0.25">
      <c r="H351" t="s">
        <v>850</v>
      </c>
    </row>
    <row r="352" spans="8:8" x14ac:dyDescent="0.25">
      <c r="H352" t="s">
        <v>785</v>
      </c>
    </row>
    <row r="353" spans="8:8" x14ac:dyDescent="0.25">
      <c r="H353" t="s">
        <v>854</v>
      </c>
    </row>
    <row r="355" spans="8:8" x14ac:dyDescent="0.25">
      <c r="H355" t="s">
        <v>792</v>
      </c>
    </row>
    <row r="356" spans="8:8" x14ac:dyDescent="0.25">
      <c r="H356" t="s">
        <v>786</v>
      </c>
    </row>
    <row r="357" spans="8:8" x14ac:dyDescent="0.25">
      <c r="H357" t="s">
        <v>850</v>
      </c>
    </row>
    <row r="358" spans="8:8" x14ac:dyDescent="0.25">
      <c r="H358" t="s">
        <v>787</v>
      </c>
    </row>
    <row r="359" spans="8:8" x14ac:dyDescent="0.25">
      <c r="H359" t="s">
        <v>854</v>
      </c>
    </row>
    <row r="361" spans="8:8" x14ac:dyDescent="0.25">
      <c r="H361" t="s">
        <v>814</v>
      </c>
    </row>
    <row r="362" spans="8:8" x14ac:dyDescent="0.25">
      <c r="H362" t="s">
        <v>789</v>
      </c>
    </row>
    <row r="363" spans="8:8" x14ac:dyDescent="0.25">
      <c r="H363" t="s">
        <v>850</v>
      </c>
    </row>
    <row r="364" spans="8:8" x14ac:dyDescent="0.25">
      <c r="H364" t="s">
        <v>790</v>
      </c>
    </row>
    <row r="365" spans="8:8" x14ac:dyDescent="0.25">
      <c r="H365" t="s">
        <v>854</v>
      </c>
    </row>
    <row r="367" spans="8:8" x14ac:dyDescent="0.25">
      <c r="H367" t="s">
        <v>815</v>
      </c>
    </row>
    <row r="368" spans="8:8" x14ac:dyDescent="0.25">
      <c r="H368" t="s">
        <v>737</v>
      </c>
    </row>
    <row r="369" spans="8:8" x14ac:dyDescent="0.25">
      <c r="H369" t="s">
        <v>850</v>
      </c>
    </row>
    <row r="370" spans="8:8" x14ac:dyDescent="0.25">
      <c r="H370" t="s">
        <v>738</v>
      </c>
    </row>
    <row r="371" spans="8:8" x14ac:dyDescent="0.25">
      <c r="H371" t="s">
        <v>854</v>
      </c>
    </row>
    <row r="372" spans="8:8" x14ac:dyDescent="0.25">
      <c r="H372" t="s">
        <v>851</v>
      </c>
    </row>
    <row r="373" spans="8:8" x14ac:dyDescent="0.25">
      <c r="H373" t="s">
        <v>739</v>
      </c>
    </row>
    <row r="374" spans="8:8" x14ac:dyDescent="0.25">
      <c r="H374" t="s">
        <v>854</v>
      </c>
    </row>
    <row r="376" spans="8:8" x14ac:dyDescent="0.25">
      <c r="H376" t="s">
        <v>817</v>
      </c>
    </row>
    <row r="377" spans="8:8" x14ac:dyDescent="0.25">
      <c r="H377" t="s">
        <v>740</v>
      </c>
    </row>
    <row r="378" spans="8:8" x14ac:dyDescent="0.25">
      <c r="H378" t="s">
        <v>850</v>
      </c>
    </row>
    <row r="379" spans="8:8" x14ac:dyDescent="0.25">
      <c r="H379" t="s">
        <v>816</v>
      </c>
    </row>
    <row r="380" spans="8:8" x14ac:dyDescent="0.25">
      <c r="H380" t="s">
        <v>854</v>
      </c>
    </row>
    <row r="382" spans="8:8" x14ac:dyDescent="0.25">
      <c r="H382" t="s">
        <v>819</v>
      </c>
    </row>
    <row r="383" spans="8:8" x14ac:dyDescent="0.25">
      <c r="H383" t="s">
        <v>741</v>
      </c>
    </row>
    <row r="384" spans="8:8" x14ac:dyDescent="0.25">
      <c r="H384" t="s">
        <v>850</v>
      </c>
    </row>
    <row r="385" spans="8:8" x14ac:dyDescent="0.25">
      <c r="H385" t="s">
        <v>818</v>
      </c>
    </row>
    <row r="386" spans="8:8" x14ac:dyDescent="0.25">
      <c r="H386" t="s">
        <v>854</v>
      </c>
    </row>
    <row r="388" spans="8:8" x14ac:dyDescent="0.25">
      <c r="H388" t="s">
        <v>820</v>
      </c>
    </row>
    <row r="389" spans="8:8" x14ac:dyDescent="0.25">
      <c r="H389" t="s">
        <v>743</v>
      </c>
    </row>
    <row r="390" spans="8:8" x14ac:dyDescent="0.25">
      <c r="H390" t="s">
        <v>850</v>
      </c>
    </row>
    <row r="391" spans="8:8" x14ac:dyDescent="0.25">
      <c r="H391" t="s">
        <v>744</v>
      </c>
    </row>
    <row r="392" spans="8:8" x14ac:dyDescent="0.25">
      <c r="H392" t="s">
        <v>854</v>
      </c>
    </row>
    <row r="394" spans="8:8" x14ac:dyDescent="0.25">
      <c r="H394" t="s">
        <v>843</v>
      </c>
    </row>
    <row r="395" spans="8:8" x14ac:dyDescent="0.25">
      <c r="H395" t="s">
        <v>745</v>
      </c>
    </row>
    <row r="396" spans="8:8" x14ac:dyDescent="0.25">
      <c r="H396" t="s">
        <v>850</v>
      </c>
    </row>
    <row r="397" spans="8:8" x14ac:dyDescent="0.25">
      <c r="H397" t="s">
        <v>821</v>
      </c>
    </row>
    <row r="398" spans="8:8" x14ac:dyDescent="0.25">
      <c r="H398" t="s">
        <v>854</v>
      </c>
    </row>
    <row r="400" spans="8:8" x14ac:dyDescent="0.25">
      <c r="H400" t="s">
        <v>29</v>
      </c>
    </row>
    <row r="401" spans="8:8" x14ac:dyDescent="0.25">
      <c r="H401" t="s">
        <v>120</v>
      </c>
    </row>
    <row r="402" spans="8:8" x14ac:dyDescent="0.25">
      <c r="H402" t="s">
        <v>601</v>
      </c>
    </row>
    <row r="404" spans="8:8" x14ac:dyDescent="0.25">
      <c r="H404" t="s">
        <v>30</v>
      </c>
    </row>
    <row r="405" spans="8:8" x14ac:dyDescent="0.25">
      <c r="H405" s="13" t="s">
        <v>84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207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8"/>
    </row>
    <row r="2" spans="1:8" x14ac:dyDescent="0.25">
      <c r="B2" s="1" t="s">
        <v>18</v>
      </c>
      <c r="H2" s="1" t="s">
        <v>39</v>
      </c>
    </row>
    <row r="3" spans="1:8" x14ac:dyDescent="0.25">
      <c r="B3" t="s">
        <v>108</v>
      </c>
      <c r="H3" t="s">
        <v>37</v>
      </c>
    </row>
    <row r="4" spans="1:8" x14ac:dyDescent="0.25">
      <c r="H4" t="s">
        <v>111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527</v>
      </c>
    </row>
    <row r="7" spans="1:8" x14ac:dyDescent="0.25">
      <c r="H7" t="s">
        <v>298</v>
      </c>
    </row>
    <row r="8" spans="1:8" x14ac:dyDescent="0.25">
      <c r="B8" s="1" t="s">
        <v>20</v>
      </c>
      <c r="H8" t="s">
        <v>531</v>
      </c>
    </row>
    <row r="9" spans="1:8" x14ac:dyDescent="0.25">
      <c r="B9" t="s">
        <v>526</v>
      </c>
      <c r="H9" t="s">
        <v>850</v>
      </c>
    </row>
    <row r="10" spans="1:8" x14ac:dyDescent="0.25">
      <c r="H10" t="s">
        <v>602</v>
      </c>
    </row>
    <row r="11" spans="1:8" x14ac:dyDescent="0.25">
      <c r="B11" s="1" t="s">
        <v>13</v>
      </c>
      <c r="H11" t="s">
        <v>854</v>
      </c>
    </row>
    <row r="12" spans="1:8" x14ac:dyDescent="0.25">
      <c r="B12" t="s">
        <v>15</v>
      </c>
      <c r="H12" t="s">
        <v>851</v>
      </c>
    </row>
    <row r="13" spans="1:8" x14ac:dyDescent="0.25">
      <c r="H13" t="s">
        <v>603</v>
      </c>
    </row>
    <row r="14" spans="1:8" x14ac:dyDescent="0.25">
      <c r="B14" s="1" t="s">
        <v>35</v>
      </c>
      <c r="H14" t="s">
        <v>854</v>
      </c>
    </row>
    <row r="15" spans="1:8" x14ac:dyDescent="0.25">
      <c r="B15" t="s">
        <v>34</v>
      </c>
      <c r="H15" t="s">
        <v>852</v>
      </c>
    </row>
    <row r="16" spans="1:8" x14ac:dyDescent="0.25">
      <c r="H16" t="s">
        <v>604</v>
      </c>
    </row>
    <row r="17" spans="2:8" x14ac:dyDescent="0.25">
      <c r="B17" s="1" t="s">
        <v>21</v>
      </c>
      <c r="H17" t="s">
        <v>854</v>
      </c>
    </row>
    <row r="18" spans="2:8" x14ac:dyDescent="0.25">
      <c r="B18" t="s">
        <v>528</v>
      </c>
      <c r="H18" t="s">
        <v>853</v>
      </c>
    </row>
    <row r="19" spans="2:8" x14ac:dyDescent="0.25">
      <c r="H19" t="s">
        <v>605</v>
      </c>
    </row>
    <row r="20" spans="2:8" x14ac:dyDescent="0.25">
      <c r="B20" s="1"/>
      <c r="H20" t="s">
        <v>854</v>
      </c>
    </row>
    <row r="22" spans="2:8" x14ac:dyDescent="0.25">
      <c r="H22" t="s">
        <v>299</v>
      </c>
    </row>
    <row r="23" spans="2:8" x14ac:dyDescent="0.25">
      <c r="H23" t="s">
        <v>301</v>
      </c>
    </row>
    <row r="24" spans="2:8" x14ac:dyDescent="0.25">
      <c r="H24" t="s">
        <v>850</v>
      </c>
    </row>
    <row r="25" spans="2:8" x14ac:dyDescent="0.25">
      <c r="H25" t="s">
        <v>606</v>
      </c>
    </row>
    <row r="26" spans="2:8" x14ac:dyDescent="0.25">
      <c r="H26" t="s">
        <v>854</v>
      </c>
    </row>
    <row r="27" spans="2:8" x14ac:dyDescent="0.25">
      <c r="H27" t="s">
        <v>851</v>
      </c>
    </row>
    <row r="28" spans="2:8" x14ac:dyDescent="0.25">
      <c r="H28" t="s">
        <v>607</v>
      </c>
    </row>
    <row r="29" spans="2:8" x14ac:dyDescent="0.25">
      <c r="H29" t="s">
        <v>854</v>
      </c>
    </row>
    <row r="30" spans="2:8" x14ac:dyDescent="0.25">
      <c r="H30" t="s">
        <v>852</v>
      </c>
    </row>
    <row r="31" spans="2:8" x14ac:dyDescent="0.25">
      <c r="H31" t="s">
        <v>608</v>
      </c>
    </row>
    <row r="32" spans="2:8" x14ac:dyDescent="0.25">
      <c r="H32" t="s">
        <v>854</v>
      </c>
    </row>
    <row r="33" spans="8:8" x14ac:dyDescent="0.25">
      <c r="H33" t="s">
        <v>853</v>
      </c>
    </row>
    <row r="34" spans="8:8" x14ac:dyDescent="0.25">
      <c r="H34" t="s">
        <v>609</v>
      </c>
    </row>
    <row r="35" spans="8:8" x14ac:dyDescent="0.25">
      <c r="H35" t="s">
        <v>854</v>
      </c>
    </row>
    <row r="37" spans="8:8" x14ac:dyDescent="0.25">
      <c r="H37" t="s">
        <v>300</v>
      </c>
    </row>
    <row r="38" spans="8:8" x14ac:dyDescent="0.25">
      <c r="H38" t="s">
        <v>841</v>
      </c>
    </row>
    <row r="39" spans="8:8" x14ac:dyDescent="0.25">
      <c r="H39" t="s">
        <v>850</v>
      </c>
    </row>
    <row r="40" spans="8:8" x14ac:dyDescent="0.25">
      <c r="H40" t="s">
        <v>844</v>
      </c>
    </row>
    <row r="41" spans="8:8" x14ac:dyDescent="0.25">
      <c r="H41" t="s">
        <v>854</v>
      </c>
    </row>
    <row r="43" spans="8:8" x14ac:dyDescent="0.25">
      <c r="H43" t="s">
        <v>302</v>
      </c>
    </row>
    <row r="44" spans="8:8" x14ac:dyDescent="0.25">
      <c r="H44" t="s">
        <v>303</v>
      </c>
    </row>
    <row r="45" spans="8:8" x14ac:dyDescent="0.25">
      <c r="H45" t="s">
        <v>850</v>
      </c>
    </row>
    <row r="46" spans="8:8" x14ac:dyDescent="0.25">
      <c r="H46" t="s">
        <v>610</v>
      </c>
    </row>
    <row r="47" spans="8:8" x14ac:dyDescent="0.25">
      <c r="H47" t="s">
        <v>854</v>
      </c>
    </row>
    <row r="49" spans="8:8" x14ac:dyDescent="0.25">
      <c r="H49" t="s">
        <v>304</v>
      </c>
    </row>
    <row r="50" spans="8:8" x14ac:dyDescent="0.25">
      <c r="H50" t="s">
        <v>305</v>
      </c>
    </row>
    <row r="51" spans="8:8" x14ac:dyDescent="0.25">
      <c r="H51" t="s">
        <v>850</v>
      </c>
    </row>
    <row r="52" spans="8:8" x14ac:dyDescent="0.25">
      <c r="H52" t="s">
        <v>611</v>
      </c>
    </row>
    <row r="53" spans="8:8" x14ac:dyDescent="0.25">
      <c r="H53" t="s">
        <v>854</v>
      </c>
    </row>
    <row r="55" spans="8:8" x14ac:dyDescent="0.25">
      <c r="H55" t="s">
        <v>306</v>
      </c>
    </row>
    <row r="56" spans="8:8" x14ac:dyDescent="0.25">
      <c r="H56" t="s">
        <v>307</v>
      </c>
    </row>
    <row r="57" spans="8:8" x14ac:dyDescent="0.25">
      <c r="H57" t="s">
        <v>850</v>
      </c>
    </row>
    <row r="58" spans="8:8" x14ac:dyDescent="0.25">
      <c r="H58" t="s">
        <v>612</v>
      </c>
    </row>
    <row r="59" spans="8:8" x14ac:dyDescent="0.25">
      <c r="H59" t="s">
        <v>854</v>
      </c>
    </row>
    <row r="61" spans="8:8" x14ac:dyDescent="0.25">
      <c r="H61" t="s">
        <v>308</v>
      </c>
    </row>
    <row r="62" spans="8:8" x14ac:dyDescent="0.25">
      <c r="H62" t="s">
        <v>309</v>
      </c>
    </row>
    <row r="63" spans="8:8" x14ac:dyDescent="0.25">
      <c r="H63" t="s">
        <v>850</v>
      </c>
    </row>
    <row r="64" spans="8:8" x14ac:dyDescent="0.25">
      <c r="H64" t="s">
        <v>613</v>
      </c>
    </row>
    <row r="65" spans="8:8" x14ac:dyDescent="0.25">
      <c r="H65" t="s">
        <v>854</v>
      </c>
    </row>
    <row r="67" spans="8:8" x14ac:dyDescent="0.25">
      <c r="H67" t="s">
        <v>324</v>
      </c>
    </row>
    <row r="68" spans="8:8" x14ac:dyDescent="0.25">
      <c r="H68" t="s">
        <v>325</v>
      </c>
    </row>
    <row r="69" spans="8:8" x14ac:dyDescent="0.25">
      <c r="H69" t="s">
        <v>850</v>
      </c>
    </row>
    <row r="70" spans="8:8" x14ac:dyDescent="0.25">
      <c r="H70" t="s">
        <v>614</v>
      </c>
    </row>
    <row r="71" spans="8:8" x14ac:dyDescent="0.25">
      <c r="H71" t="s">
        <v>854</v>
      </c>
    </row>
    <row r="73" spans="8:8" x14ac:dyDescent="0.25">
      <c r="H73" t="s">
        <v>326</v>
      </c>
    </row>
    <row r="74" spans="8:8" x14ac:dyDescent="0.25">
      <c r="H74" t="s">
        <v>327</v>
      </c>
    </row>
    <row r="75" spans="8:8" x14ac:dyDescent="0.25">
      <c r="H75" t="s">
        <v>850</v>
      </c>
    </row>
    <row r="76" spans="8:8" x14ac:dyDescent="0.25">
      <c r="H76" t="s">
        <v>615</v>
      </c>
    </row>
    <row r="77" spans="8:8" x14ac:dyDescent="0.25">
      <c r="H77" t="s">
        <v>854</v>
      </c>
    </row>
    <row r="79" spans="8:8" x14ac:dyDescent="0.25">
      <c r="H79" t="s">
        <v>332</v>
      </c>
    </row>
    <row r="80" spans="8:8" x14ac:dyDescent="0.25">
      <c r="H80" t="s">
        <v>353</v>
      </c>
    </row>
    <row r="81" spans="8:8" x14ac:dyDescent="0.25">
      <c r="H81" t="s">
        <v>850</v>
      </c>
    </row>
    <row r="82" spans="8:8" x14ac:dyDescent="0.25">
      <c r="H82" t="s">
        <v>616</v>
      </c>
    </row>
    <row r="83" spans="8:8" x14ac:dyDescent="0.25">
      <c r="H83" t="s">
        <v>854</v>
      </c>
    </row>
    <row r="84" spans="8:8" x14ac:dyDescent="0.25">
      <c r="H84" t="s">
        <v>851</v>
      </c>
    </row>
    <row r="85" spans="8:8" x14ac:dyDescent="0.25">
      <c r="H85" t="s">
        <v>617</v>
      </c>
    </row>
    <row r="86" spans="8:8" x14ac:dyDescent="0.25">
      <c r="H86" t="s">
        <v>854</v>
      </c>
    </row>
    <row r="87" spans="8:8" x14ac:dyDescent="0.25">
      <c r="H87" t="s">
        <v>852</v>
      </c>
    </row>
    <row r="88" spans="8:8" x14ac:dyDescent="0.25">
      <c r="H88" t="s">
        <v>618</v>
      </c>
    </row>
    <row r="89" spans="8:8" x14ac:dyDescent="0.25">
      <c r="H89" t="s">
        <v>854</v>
      </c>
    </row>
    <row r="90" spans="8:8" x14ac:dyDescent="0.25">
      <c r="H90" t="s">
        <v>853</v>
      </c>
    </row>
    <row r="91" spans="8:8" x14ac:dyDescent="0.25">
      <c r="H91" t="s">
        <v>619</v>
      </c>
    </row>
    <row r="92" spans="8:8" x14ac:dyDescent="0.25">
      <c r="H92" t="s">
        <v>854</v>
      </c>
    </row>
    <row r="94" spans="8:8" x14ac:dyDescent="0.25">
      <c r="H94" t="s">
        <v>333</v>
      </c>
    </row>
    <row r="95" spans="8:8" x14ac:dyDescent="0.25">
      <c r="H95" t="s">
        <v>354</v>
      </c>
    </row>
    <row r="96" spans="8:8" x14ac:dyDescent="0.25">
      <c r="H96" t="s">
        <v>850</v>
      </c>
    </row>
    <row r="97" spans="8:8" x14ac:dyDescent="0.25">
      <c r="H97" t="s">
        <v>620</v>
      </c>
    </row>
    <row r="98" spans="8:8" x14ac:dyDescent="0.25">
      <c r="H98" t="s">
        <v>854</v>
      </c>
    </row>
    <row r="100" spans="8:8" x14ac:dyDescent="0.25">
      <c r="H100" t="s">
        <v>334</v>
      </c>
    </row>
    <row r="101" spans="8:8" x14ac:dyDescent="0.25">
      <c r="H101" t="s">
        <v>355</v>
      </c>
    </row>
    <row r="102" spans="8:8" x14ac:dyDescent="0.25">
      <c r="H102" t="s">
        <v>850</v>
      </c>
    </row>
    <row r="103" spans="8:8" x14ac:dyDescent="0.25">
      <c r="H103" t="s">
        <v>822</v>
      </c>
    </row>
    <row r="104" spans="8:8" x14ac:dyDescent="0.25">
      <c r="H104" t="s">
        <v>854</v>
      </c>
    </row>
    <row r="106" spans="8:8" x14ac:dyDescent="0.25">
      <c r="H106" t="s">
        <v>736</v>
      </c>
    </row>
    <row r="107" spans="8:8" x14ac:dyDescent="0.25">
      <c r="H107" t="s">
        <v>449</v>
      </c>
    </row>
    <row r="108" spans="8:8" x14ac:dyDescent="0.25">
      <c r="H108" t="s">
        <v>850</v>
      </c>
    </row>
    <row r="109" spans="8:8" x14ac:dyDescent="0.25">
      <c r="H109" t="s">
        <v>621</v>
      </c>
    </row>
    <row r="110" spans="8:8" x14ac:dyDescent="0.25">
      <c r="H110" t="s">
        <v>854</v>
      </c>
    </row>
    <row r="111" spans="8:8" x14ac:dyDescent="0.25">
      <c r="H111" t="s">
        <v>851</v>
      </c>
    </row>
    <row r="112" spans="8:8" x14ac:dyDescent="0.25">
      <c r="H112" t="s">
        <v>622</v>
      </c>
    </row>
    <row r="113" spans="8:8" x14ac:dyDescent="0.25">
      <c r="H113" t="s">
        <v>854</v>
      </c>
    </row>
    <row r="114" spans="8:8" x14ac:dyDescent="0.25">
      <c r="H114" t="s">
        <v>852</v>
      </c>
    </row>
    <row r="115" spans="8:8" x14ac:dyDescent="0.25">
      <c r="H115" t="s">
        <v>623</v>
      </c>
    </row>
    <row r="116" spans="8:8" x14ac:dyDescent="0.25">
      <c r="H116" t="s">
        <v>854</v>
      </c>
    </row>
    <row r="117" spans="8:8" x14ac:dyDescent="0.25">
      <c r="H117" t="s">
        <v>853</v>
      </c>
    </row>
    <row r="118" spans="8:8" x14ac:dyDescent="0.25">
      <c r="H118" t="s">
        <v>624</v>
      </c>
    </row>
    <row r="119" spans="8:8" x14ac:dyDescent="0.25">
      <c r="H119" t="s">
        <v>854</v>
      </c>
    </row>
    <row r="121" spans="8:8" x14ac:dyDescent="0.25">
      <c r="H121" t="s">
        <v>742</v>
      </c>
    </row>
    <row r="122" spans="8:8" x14ac:dyDescent="0.25">
      <c r="H122" t="s">
        <v>450</v>
      </c>
    </row>
    <row r="123" spans="8:8" x14ac:dyDescent="0.25">
      <c r="H123" t="s">
        <v>850</v>
      </c>
    </row>
    <row r="124" spans="8:8" x14ac:dyDescent="0.25">
      <c r="H124" t="s">
        <v>625</v>
      </c>
    </row>
    <row r="125" spans="8:8" x14ac:dyDescent="0.25">
      <c r="H125" t="s">
        <v>854</v>
      </c>
    </row>
    <row r="126" spans="8:8" x14ac:dyDescent="0.25">
      <c r="H126" t="s">
        <v>851</v>
      </c>
    </row>
    <row r="127" spans="8:8" x14ac:dyDescent="0.25">
      <c r="H127" t="s">
        <v>626</v>
      </c>
    </row>
    <row r="128" spans="8:8" x14ac:dyDescent="0.25">
      <c r="H128" t="s">
        <v>854</v>
      </c>
    </row>
    <row r="129" spans="8:8" x14ac:dyDescent="0.25">
      <c r="H129" t="s">
        <v>852</v>
      </c>
    </row>
    <row r="130" spans="8:8" x14ac:dyDescent="0.25">
      <c r="H130" t="s">
        <v>627</v>
      </c>
    </row>
    <row r="131" spans="8:8" x14ac:dyDescent="0.25">
      <c r="H131" t="s">
        <v>854</v>
      </c>
    </row>
    <row r="132" spans="8:8" x14ac:dyDescent="0.25">
      <c r="H132" t="s">
        <v>853</v>
      </c>
    </row>
    <row r="133" spans="8:8" x14ac:dyDescent="0.25">
      <c r="H133" t="s">
        <v>628</v>
      </c>
    </row>
    <row r="134" spans="8:8" x14ac:dyDescent="0.25">
      <c r="H134" t="s">
        <v>854</v>
      </c>
    </row>
    <row r="136" spans="8:8" x14ac:dyDescent="0.25">
      <c r="H136" t="s">
        <v>788</v>
      </c>
    </row>
    <row r="137" spans="8:8" x14ac:dyDescent="0.25">
      <c r="H137" t="s">
        <v>451</v>
      </c>
    </row>
    <row r="138" spans="8:8" x14ac:dyDescent="0.25">
      <c r="H138" t="s">
        <v>850</v>
      </c>
    </row>
    <row r="139" spans="8:8" x14ac:dyDescent="0.25">
      <c r="H139" t="s">
        <v>629</v>
      </c>
    </row>
    <row r="140" spans="8:8" x14ac:dyDescent="0.25">
      <c r="H140" t="s">
        <v>854</v>
      </c>
    </row>
    <row r="141" spans="8:8" x14ac:dyDescent="0.25">
      <c r="H141" t="s">
        <v>851</v>
      </c>
    </row>
    <row r="142" spans="8:8" x14ac:dyDescent="0.25">
      <c r="H142" t="s">
        <v>630</v>
      </c>
    </row>
    <row r="143" spans="8:8" x14ac:dyDescent="0.25">
      <c r="H143" t="s">
        <v>854</v>
      </c>
    </row>
    <row r="144" spans="8:8" x14ac:dyDescent="0.25">
      <c r="H144" t="s">
        <v>852</v>
      </c>
    </row>
    <row r="145" spans="8:8" x14ac:dyDescent="0.25">
      <c r="H145" t="s">
        <v>631</v>
      </c>
    </row>
    <row r="146" spans="8:8" x14ac:dyDescent="0.25">
      <c r="H146" t="s">
        <v>854</v>
      </c>
    </row>
    <row r="147" spans="8:8" x14ac:dyDescent="0.25">
      <c r="H147" t="s">
        <v>853</v>
      </c>
    </row>
    <row r="148" spans="8:8" x14ac:dyDescent="0.25">
      <c r="H148" t="s">
        <v>632</v>
      </c>
    </row>
    <row r="149" spans="8:8" x14ac:dyDescent="0.25">
      <c r="H149" t="s">
        <v>854</v>
      </c>
    </row>
    <row r="151" spans="8:8" x14ac:dyDescent="0.25">
      <c r="H151" t="s">
        <v>791</v>
      </c>
    </row>
    <row r="152" spans="8:8" x14ac:dyDescent="0.25">
      <c r="H152" t="s">
        <v>784</v>
      </c>
    </row>
    <row r="153" spans="8:8" x14ac:dyDescent="0.25">
      <c r="H153" t="s">
        <v>850</v>
      </c>
    </row>
    <row r="154" spans="8:8" x14ac:dyDescent="0.25">
      <c r="H154" t="s">
        <v>799</v>
      </c>
    </row>
    <row r="155" spans="8:8" x14ac:dyDescent="0.25">
      <c r="H155" t="s">
        <v>854</v>
      </c>
    </row>
    <row r="157" spans="8:8" x14ac:dyDescent="0.25">
      <c r="H157" t="s">
        <v>792</v>
      </c>
    </row>
    <row r="158" spans="8:8" x14ac:dyDescent="0.25">
      <c r="H158" t="s">
        <v>786</v>
      </c>
    </row>
    <row r="159" spans="8:8" x14ac:dyDescent="0.25">
      <c r="H159" t="s">
        <v>850</v>
      </c>
    </row>
    <row r="160" spans="8:8" x14ac:dyDescent="0.25">
      <c r="H160" t="s">
        <v>800</v>
      </c>
    </row>
    <row r="161" spans="8:8" x14ac:dyDescent="0.25">
      <c r="H161" t="s">
        <v>854</v>
      </c>
    </row>
    <row r="163" spans="8:8" x14ac:dyDescent="0.25">
      <c r="H163" t="s">
        <v>814</v>
      </c>
    </row>
    <row r="164" spans="8:8" x14ac:dyDescent="0.25">
      <c r="H164" t="s">
        <v>789</v>
      </c>
    </row>
    <row r="165" spans="8:8" x14ac:dyDescent="0.25">
      <c r="H165" t="s">
        <v>850</v>
      </c>
    </row>
    <row r="166" spans="8:8" x14ac:dyDescent="0.25">
      <c r="H166" t="s">
        <v>801</v>
      </c>
    </row>
    <row r="167" spans="8:8" x14ac:dyDescent="0.25">
      <c r="H167" t="s">
        <v>854</v>
      </c>
    </row>
    <row r="169" spans="8:8" x14ac:dyDescent="0.25">
      <c r="H169" t="s">
        <v>815</v>
      </c>
    </row>
    <row r="170" spans="8:8" x14ac:dyDescent="0.25">
      <c r="H170" t="s">
        <v>737</v>
      </c>
    </row>
    <row r="171" spans="8:8" x14ac:dyDescent="0.25">
      <c r="H171" t="s">
        <v>850</v>
      </c>
    </row>
    <row r="172" spans="8:8" x14ac:dyDescent="0.25">
      <c r="H172" t="s">
        <v>746</v>
      </c>
    </row>
    <row r="173" spans="8:8" x14ac:dyDescent="0.25">
      <c r="H173" t="s">
        <v>854</v>
      </c>
    </row>
    <row r="174" spans="8:8" x14ac:dyDescent="0.25">
      <c r="H174" t="s">
        <v>851</v>
      </c>
    </row>
    <row r="175" spans="8:8" x14ac:dyDescent="0.25">
      <c r="H175" t="s">
        <v>747</v>
      </c>
    </row>
    <row r="176" spans="8:8" x14ac:dyDescent="0.25">
      <c r="H176" t="s">
        <v>854</v>
      </c>
    </row>
    <row r="178" spans="8:8" x14ac:dyDescent="0.25">
      <c r="H178" t="s">
        <v>817</v>
      </c>
    </row>
    <row r="179" spans="8:8" x14ac:dyDescent="0.25">
      <c r="H179" t="s">
        <v>740</v>
      </c>
    </row>
    <row r="180" spans="8:8" x14ac:dyDescent="0.25">
      <c r="H180" t="s">
        <v>850</v>
      </c>
    </row>
    <row r="181" spans="8:8" x14ac:dyDescent="0.25">
      <c r="H181" t="s">
        <v>823</v>
      </c>
    </row>
    <row r="182" spans="8:8" x14ac:dyDescent="0.25">
      <c r="H182" t="s">
        <v>854</v>
      </c>
    </row>
    <row r="184" spans="8:8" x14ac:dyDescent="0.25">
      <c r="H184" t="s">
        <v>819</v>
      </c>
    </row>
    <row r="185" spans="8:8" x14ac:dyDescent="0.25">
      <c r="H185" t="s">
        <v>741</v>
      </c>
    </row>
    <row r="186" spans="8:8" x14ac:dyDescent="0.25">
      <c r="H186" t="s">
        <v>850</v>
      </c>
    </row>
    <row r="187" spans="8:8" x14ac:dyDescent="0.25">
      <c r="H187" t="s">
        <v>824</v>
      </c>
    </row>
    <row r="188" spans="8:8" x14ac:dyDescent="0.25">
      <c r="H188" t="s">
        <v>854</v>
      </c>
    </row>
    <row r="190" spans="8:8" x14ac:dyDescent="0.25">
      <c r="H190" t="s">
        <v>820</v>
      </c>
    </row>
    <row r="191" spans="8:8" x14ac:dyDescent="0.25">
      <c r="H191" t="s">
        <v>743</v>
      </c>
    </row>
    <row r="192" spans="8:8" x14ac:dyDescent="0.25">
      <c r="H192" t="s">
        <v>850</v>
      </c>
    </row>
    <row r="193" spans="8:8" x14ac:dyDescent="0.25">
      <c r="H193" t="s">
        <v>748</v>
      </c>
    </row>
    <row r="194" spans="8:8" x14ac:dyDescent="0.25">
      <c r="H194" t="s">
        <v>854</v>
      </c>
    </row>
    <row r="196" spans="8:8" x14ac:dyDescent="0.25">
      <c r="H196" t="s">
        <v>843</v>
      </c>
    </row>
    <row r="197" spans="8:8" x14ac:dyDescent="0.25">
      <c r="H197" t="s">
        <v>745</v>
      </c>
    </row>
    <row r="198" spans="8:8" x14ac:dyDescent="0.25">
      <c r="H198" t="s">
        <v>850</v>
      </c>
    </row>
    <row r="199" spans="8:8" x14ac:dyDescent="0.25">
      <c r="H199" t="s">
        <v>825</v>
      </c>
    </row>
    <row r="200" spans="8:8" x14ac:dyDescent="0.25">
      <c r="H200" t="s">
        <v>854</v>
      </c>
    </row>
    <row r="202" spans="8:8" x14ac:dyDescent="0.25">
      <c r="H202" t="s">
        <v>29</v>
      </c>
    </row>
    <row r="203" spans="8:8" x14ac:dyDescent="0.25">
      <c r="H203" t="s">
        <v>121</v>
      </c>
    </row>
    <row r="204" spans="8:8" x14ac:dyDescent="0.25">
      <c r="H204" t="s">
        <v>38</v>
      </c>
    </row>
    <row r="206" spans="8:8" x14ac:dyDescent="0.25">
      <c r="H206" t="s">
        <v>30</v>
      </c>
    </row>
    <row r="207" spans="8:8" x14ac:dyDescent="0.25">
      <c r="H207" s="13" t="s">
        <v>84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51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88</v>
      </c>
      <c r="I2" s="1" t="s">
        <v>89</v>
      </c>
    </row>
    <row r="3" spans="2:9" x14ac:dyDescent="0.25">
      <c r="B3" t="s">
        <v>108</v>
      </c>
      <c r="H3" t="s">
        <v>118</v>
      </c>
      <c r="I3" t="s">
        <v>119</v>
      </c>
    </row>
    <row r="5" spans="2:9" x14ac:dyDescent="0.25">
      <c r="B5" s="1" t="s">
        <v>19</v>
      </c>
      <c r="H5" t="s">
        <v>633</v>
      </c>
      <c r="I5" t="s">
        <v>377</v>
      </c>
    </row>
    <row r="6" spans="2:9" x14ac:dyDescent="0.25">
      <c r="B6" t="s">
        <v>527</v>
      </c>
      <c r="H6" t="s">
        <v>634</v>
      </c>
      <c r="I6" t="s">
        <v>640</v>
      </c>
    </row>
    <row r="7" spans="2:9" x14ac:dyDescent="0.25">
      <c r="H7" t="s">
        <v>372</v>
      </c>
      <c r="I7" t="s">
        <v>793</v>
      </c>
    </row>
    <row r="8" spans="2:9" x14ac:dyDescent="0.25">
      <c r="B8" s="1" t="s">
        <v>20</v>
      </c>
      <c r="H8" t="s">
        <v>635</v>
      </c>
      <c r="I8" t="s">
        <v>794</v>
      </c>
    </row>
    <row r="9" spans="2:9" x14ac:dyDescent="0.25">
      <c r="B9" t="s">
        <v>526</v>
      </c>
      <c r="H9" t="s">
        <v>845</v>
      </c>
      <c r="I9" t="s">
        <v>795</v>
      </c>
    </row>
    <row r="10" spans="2:9" x14ac:dyDescent="0.25">
      <c r="H10" t="s">
        <v>846</v>
      </c>
      <c r="I10" t="s">
        <v>796</v>
      </c>
    </row>
    <row r="11" spans="2:9" x14ac:dyDescent="0.25">
      <c r="B11" s="1" t="s">
        <v>13</v>
      </c>
      <c r="H11" t="s">
        <v>373</v>
      </c>
      <c r="I11" t="s">
        <v>797</v>
      </c>
    </row>
    <row r="12" spans="2:9" x14ac:dyDescent="0.25">
      <c r="B12" t="s">
        <v>15</v>
      </c>
      <c r="H12" t="s">
        <v>636</v>
      </c>
      <c r="I12" t="s">
        <v>798</v>
      </c>
    </row>
    <row r="13" spans="2:9" x14ac:dyDescent="0.25">
      <c r="H13" t="s">
        <v>374</v>
      </c>
      <c r="I13" s="13" t="s">
        <v>84</v>
      </c>
    </row>
    <row r="14" spans="2:9" x14ac:dyDescent="0.25">
      <c r="B14" s="1" t="s">
        <v>35</v>
      </c>
      <c r="H14" t="s">
        <v>637</v>
      </c>
    </row>
    <row r="15" spans="2:9" x14ac:dyDescent="0.25">
      <c r="B15" t="s">
        <v>34</v>
      </c>
      <c r="H15" t="s">
        <v>375</v>
      </c>
    </row>
    <row r="16" spans="2:9" x14ac:dyDescent="0.25">
      <c r="H16" t="s">
        <v>638</v>
      </c>
    </row>
    <row r="17" spans="2:8" x14ac:dyDescent="0.25">
      <c r="B17" s="1" t="s">
        <v>21</v>
      </c>
      <c r="H17" t="s">
        <v>376</v>
      </c>
    </row>
    <row r="18" spans="2:8" x14ac:dyDescent="0.25">
      <c r="B18" t="s">
        <v>528</v>
      </c>
      <c r="H18" t="s">
        <v>639</v>
      </c>
    </row>
    <row r="19" spans="2:8" x14ac:dyDescent="0.25">
      <c r="H19" t="s">
        <v>377</v>
      </c>
    </row>
    <row r="20" spans="2:8" x14ac:dyDescent="0.25">
      <c r="B20" s="1"/>
      <c r="H20" t="s">
        <v>640</v>
      </c>
    </row>
    <row r="21" spans="2:8" x14ac:dyDescent="0.25">
      <c r="H21" t="s">
        <v>378</v>
      </c>
    </row>
    <row r="22" spans="2:8" x14ac:dyDescent="0.25">
      <c r="H22" t="s">
        <v>641</v>
      </c>
    </row>
    <row r="23" spans="2:8" x14ac:dyDescent="0.25">
      <c r="H23" t="s">
        <v>379</v>
      </c>
    </row>
    <row r="24" spans="2:8" x14ac:dyDescent="0.25">
      <c r="H24" t="s">
        <v>642</v>
      </c>
    </row>
    <row r="25" spans="2:8" x14ac:dyDescent="0.25">
      <c r="H25" t="s">
        <v>380</v>
      </c>
    </row>
    <row r="26" spans="2:8" x14ac:dyDescent="0.25">
      <c r="H26" t="s">
        <v>643</v>
      </c>
    </row>
    <row r="27" spans="2:8" x14ac:dyDescent="0.25">
      <c r="H27" t="s">
        <v>381</v>
      </c>
    </row>
    <row r="28" spans="2:8" x14ac:dyDescent="0.25">
      <c r="H28" t="s">
        <v>644</v>
      </c>
    </row>
    <row r="29" spans="2:8" x14ac:dyDescent="0.25">
      <c r="H29" t="s">
        <v>452</v>
      </c>
    </row>
    <row r="30" spans="2:8" x14ac:dyDescent="0.25">
      <c r="H30" t="s">
        <v>645</v>
      </c>
    </row>
    <row r="31" spans="2:8" x14ac:dyDescent="0.25">
      <c r="H31" t="s">
        <v>453</v>
      </c>
    </row>
    <row r="32" spans="2:8" x14ac:dyDescent="0.25">
      <c r="H32" t="s">
        <v>646</v>
      </c>
    </row>
    <row r="33" spans="8:8" x14ac:dyDescent="0.25">
      <c r="H33" t="s">
        <v>454</v>
      </c>
    </row>
    <row r="34" spans="8:8" x14ac:dyDescent="0.25">
      <c r="H34" t="s">
        <v>647</v>
      </c>
    </row>
    <row r="35" spans="8:8" x14ac:dyDescent="0.25">
      <c r="H35" t="s">
        <v>793</v>
      </c>
    </row>
    <row r="36" spans="8:8" x14ac:dyDescent="0.25">
      <c r="H36" t="s">
        <v>794</v>
      </c>
    </row>
    <row r="37" spans="8:8" x14ac:dyDescent="0.25">
      <c r="H37" t="s">
        <v>795</v>
      </c>
    </row>
    <row r="38" spans="8:8" x14ac:dyDescent="0.25">
      <c r="H38" t="s">
        <v>796</v>
      </c>
    </row>
    <row r="39" spans="8:8" x14ac:dyDescent="0.25">
      <c r="H39" t="s">
        <v>797</v>
      </c>
    </row>
    <row r="40" spans="8:8" x14ac:dyDescent="0.25">
      <c r="H40" t="s">
        <v>798</v>
      </c>
    </row>
    <row r="41" spans="8:8" x14ac:dyDescent="0.25">
      <c r="H41" t="s">
        <v>749</v>
      </c>
    </row>
    <row r="42" spans="8:8" x14ac:dyDescent="0.25">
      <c r="H42" t="s">
        <v>750</v>
      </c>
    </row>
    <row r="43" spans="8:8" x14ac:dyDescent="0.25">
      <c r="H43" t="s">
        <v>751</v>
      </c>
    </row>
    <row r="44" spans="8:8" x14ac:dyDescent="0.25">
      <c r="H44" t="s">
        <v>752</v>
      </c>
    </row>
    <row r="45" spans="8:8" x14ac:dyDescent="0.25">
      <c r="H45" t="s">
        <v>753</v>
      </c>
    </row>
    <row r="46" spans="8:8" x14ac:dyDescent="0.25">
      <c r="H46" t="s">
        <v>754</v>
      </c>
    </row>
    <row r="47" spans="8:8" x14ac:dyDescent="0.25">
      <c r="H47" t="s">
        <v>755</v>
      </c>
    </row>
    <row r="48" spans="8:8" x14ac:dyDescent="0.25">
      <c r="H48" t="s">
        <v>756</v>
      </c>
    </row>
    <row r="49" spans="8:8" x14ac:dyDescent="0.25">
      <c r="H49" t="s">
        <v>757</v>
      </c>
    </row>
    <row r="50" spans="8:8" x14ac:dyDescent="0.25">
      <c r="H50" t="s">
        <v>758</v>
      </c>
    </row>
    <row r="51" spans="8:8" x14ac:dyDescent="0.25">
      <c r="H51" s="13" t="s">
        <v>84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144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90</v>
      </c>
    </row>
    <row r="3" spans="2:8" x14ac:dyDescent="0.25">
      <c r="H3" t="s">
        <v>648</v>
      </c>
    </row>
    <row r="4" spans="2:8" x14ac:dyDescent="0.25">
      <c r="H4" t="s">
        <v>761</v>
      </c>
    </row>
    <row r="5" spans="2:8" x14ac:dyDescent="0.25">
      <c r="B5" s="1"/>
      <c r="H5" t="s">
        <v>649</v>
      </c>
    </row>
    <row r="6" spans="2:8" x14ac:dyDescent="0.25">
      <c r="H6" t="s">
        <v>762</v>
      </c>
    </row>
    <row r="8" spans="2:8" x14ac:dyDescent="0.25">
      <c r="B8" s="1"/>
      <c r="H8" t="s">
        <v>382</v>
      </c>
    </row>
    <row r="9" spans="2:8" x14ac:dyDescent="0.25">
      <c r="H9" t="s">
        <v>665</v>
      </c>
    </row>
    <row r="10" spans="2:8" x14ac:dyDescent="0.25">
      <c r="H10" t="s">
        <v>383</v>
      </c>
    </row>
    <row r="11" spans="2:8" x14ac:dyDescent="0.25">
      <c r="B11" s="1"/>
      <c r="H11" t="s">
        <v>666</v>
      </c>
    </row>
    <row r="13" spans="2:8" x14ac:dyDescent="0.25">
      <c r="H13" t="s">
        <v>384</v>
      </c>
    </row>
    <row r="14" spans="2:8" x14ac:dyDescent="0.25">
      <c r="B14" s="1"/>
      <c r="H14" t="s">
        <v>667</v>
      </c>
    </row>
    <row r="15" spans="2:8" x14ac:dyDescent="0.25">
      <c r="H15" t="s">
        <v>847</v>
      </c>
    </row>
    <row r="16" spans="2:8" x14ac:dyDescent="0.25">
      <c r="H16" t="s">
        <v>385</v>
      </c>
    </row>
    <row r="17" spans="2:8" x14ac:dyDescent="0.25">
      <c r="B17" s="1"/>
      <c r="H17" t="s">
        <v>386</v>
      </c>
    </row>
    <row r="18" spans="2:8" x14ac:dyDescent="0.25">
      <c r="H18" t="s">
        <v>387</v>
      </c>
    </row>
    <row r="19" spans="2:8" x14ac:dyDescent="0.25">
      <c r="H19" t="s">
        <v>826</v>
      </c>
    </row>
    <row r="20" spans="2:8" x14ac:dyDescent="0.25">
      <c r="B20" s="1"/>
      <c r="H20" t="s">
        <v>668</v>
      </c>
    </row>
    <row r="22" spans="2:8" x14ac:dyDescent="0.25">
      <c r="H22" t="s">
        <v>388</v>
      </c>
    </row>
    <row r="23" spans="2:8" x14ac:dyDescent="0.25">
      <c r="H23" t="s">
        <v>669</v>
      </c>
    </row>
    <row r="24" spans="2:8" x14ac:dyDescent="0.25">
      <c r="H24" t="s">
        <v>389</v>
      </c>
    </row>
    <row r="25" spans="2:8" x14ac:dyDescent="0.25">
      <c r="H25" t="s">
        <v>390</v>
      </c>
    </row>
    <row r="26" spans="2:8" x14ac:dyDescent="0.25">
      <c r="H26" t="s">
        <v>391</v>
      </c>
    </row>
    <row r="27" spans="2:8" x14ac:dyDescent="0.25">
      <c r="H27" t="s">
        <v>670</v>
      </c>
    </row>
    <row r="29" spans="2:8" x14ac:dyDescent="0.25">
      <c r="H29" t="s">
        <v>388</v>
      </c>
    </row>
    <row r="30" spans="2:8" x14ac:dyDescent="0.25">
      <c r="H30" t="s">
        <v>671</v>
      </c>
    </row>
    <row r="31" spans="2:8" x14ac:dyDescent="0.25">
      <c r="H31" t="s">
        <v>392</v>
      </c>
    </row>
    <row r="32" spans="2:8" x14ac:dyDescent="0.25">
      <c r="H32" t="s">
        <v>393</v>
      </c>
    </row>
    <row r="33" spans="8:8" x14ac:dyDescent="0.25">
      <c r="H33" t="s">
        <v>394</v>
      </c>
    </row>
    <row r="34" spans="8:8" x14ac:dyDescent="0.25">
      <c r="H34" t="s">
        <v>395</v>
      </c>
    </row>
    <row r="35" spans="8:8" x14ac:dyDescent="0.25">
      <c r="H35" t="s">
        <v>672</v>
      </c>
    </row>
    <row r="37" spans="8:8" x14ac:dyDescent="0.25">
      <c r="H37" t="s">
        <v>396</v>
      </c>
    </row>
    <row r="38" spans="8:8" x14ac:dyDescent="0.25">
      <c r="H38" t="s">
        <v>673</v>
      </c>
    </row>
    <row r="39" spans="8:8" x14ac:dyDescent="0.25">
      <c r="H39" t="s">
        <v>397</v>
      </c>
    </row>
    <row r="40" spans="8:8" x14ac:dyDescent="0.25">
      <c r="H40" t="s">
        <v>398</v>
      </c>
    </row>
    <row r="41" spans="8:8" x14ac:dyDescent="0.25">
      <c r="H41" t="s">
        <v>674</v>
      </c>
    </row>
    <row r="43" spans="8:8" x14ac:dyDescent="0.25">
      <c r="H43" t="s">
        <v>399</v>
      </c>
    </row>
    <row r="44" spans="8:8" x14ac:dyDescent="0.25">
      <c r="H44" t="s">
        <v>675</v>
      </c>
    </row>
    <row r="45" spans="8:8" x14ac:dyDescent="0.25">
      <c r="H45" t="s">
        <v>827</v>
      </c>
    </row>
    <row r="46" spans="8:8" x14ac:dyDescent="0.25">
      <c r="H46" t="s">
        <v>828</v>
      </c>
    </row>
    <row r="47" spans="8:8" x14ac:dyDescent="0.25">
      <c r="H47" t="s">
        <v>676</v>
      </c>
    </row>
    <row r="49" spans="8:8" x14ac:dyDescent="0.25">
      <c r="H49" t="s">
        <v>400</v>
      </c>
    </row>
    <row r="50" spans="8:8" x14ac:dyDescent="0.25">
      <c r="H50" t="s">
        <v>677</v>
      </c>
    </row>
    <row r="51" spans="8:8" x14ac:dyDescent="0.25">
      <c r="H51" t="s">
        <v>401</v>
      </c>
    </row>
    <row r="52" spans="8:8" x14ac:dyDescent="0.25">
      <c r="H52" t="s">
        <v>678</v>
      </c>
    </row>
    <row r="54" spans="8:8" x14ac:dyDescent="0.25">
      <c r="H54" t="s">
        <v>402</v>
      </c>
    </row>
    <row r="55" spans="8:8" x14ac:dyDescent="0.25">
      <c r="H55" t="s">
        <v>679</v>
      </c>
    </row>
    <row r="56" spans="8:8" x14ac:dyDescent="0.25">
      <c r="H56" t="s">
        <v>829</v>
      </c>
    </row>
    <row r="57" spans="8:8" x14ac:dyDescent="0.25">
      <c r="H57" t="s">
        <v>830</v>
      </c>
    </row>
    <row r="58" spans="8:8" x14ac:dyDescent="0.25">
      <c r="H58" t="s">
        <v>680</v>
      </c>
    </row>
    <row r="60" spans="8:8" x14ac:dyDescent="0.25">
      <c r="H60" t="s">
        <v>403</v>
      </c>
    </row>
    <row r="61" spans="8:8" x14ac:dyDescent="0.25">
      <c r="H61" t="s">
        <v>681</v>
      </c>
    </row>
    <row r="62" spans="8:8" x14ac:dyDescent="0.25">
      <c r="H62" t="s">
        <v>404</v>
      </c>
    </row>
    <row r="63" spans="8:8" x14ac:dyDescent="0.25">
      <c r="H63" t="s">
        <v>405</v>
      </c>
    </row>
    <row r="64" spans="8:8" x14ac:dyDescent="0.25">
      <c r="H64" t="s">
        <v>406</v>
      </c>
    </row>
    <row r="65" spans="8:8" x14ac:dyDescent="0.25">
      <c r="H65" t="s">
        <v>407</v>
      </c>
    </row>
    <row r="66" spans="8:8" x14ac:dyDescent="0.25">
      <c r="H66" t="s">
        <v>408</v>
      </c>
    </row>
    <row r="67" spans="8:8" x14ac:dyDescent="0.25">
      <c r="H67" t="s">
        <v>409</v>
      </c>
    </row>
    <row r="68" spans="8:8" x14ac:dyDescent="0.25">
      <c r="H68" t="s">
        <v>410</v>
      </c>
    </row>
    <row r="69" spans="8:8" x14ac:dyDescent="0.25">
      <c r="H69" t="s">
        <v>682</v>
      </c>
    </row>
    <row r="71" spans="8:8" x14ac:dyDescent="0.25">
      <c r="H71" t="s">
        <v>403</v>
      </c>
    </row>
    <row r="72" spans="8:8" x14ac:dyDescent="0.25">
      <c r="H72" t="s">
        <v>683</v>
      </c>
    </row>
    <row r="73" spans="8:8" x14ac:dyDescent="0.25">
      <c r="H73" t="s">
        <v>411</v>
      </c>
    </row>
    <row r="74" spans="8:8" x14ac:dyDescent="0.25">
      <c r="H74" t="s">
        <v>412</v>
      </c>
    </row>
    <row r="75" spans="8:8" x14ac:dyDescent="0.25">
      <c r="H75" t="s">
        <v>413</v>
      </c>
    </row>
    <row r="76" spans="8:8" x14ac:dyDescent="0.25">
      <c r="H76" t="s">
        <v>414</v>
      </c>
    </row>
    <row r="77" spans="8:8" x14ac:dyDescent="0.25">
      <c r="H77" t="s">
        <v>415</v>
      </c>
    </row>
    <row r="78" spans="8:8" x14ac:dyDescent="0.25">
      <c r="H78" t="s">
        <v>416</v>
      </c>
    </row>
    <row r="79" spans="8:8" x14ac:dyDescent="0.25">
      <c r="H79" t="s">
        <v>417</v>
      </c>
    </row>
    <row r="80" spans="8:8" x14ac:dyDescent="0.25">
      <c r="H80" t="s">
        <v>684</v>
      </c>
    </row>
    <row r="82" spans="8:8" x14ac:dyDescent="0.25">
      <c r="H82" t="s">
        <v>418</v>
      </c>
    </row>
    <row r="83" spans="8:8" x14ac:dyDescent="0.25">
      <c r="H83" t="s">
        <v>685</v>
      </c>
    </row>
    <row r="84" spans="8:8" x14ac:dyDescent="0.25">
      <c r="H84" t="s">
        <v>419</v>
      </c>
    </row>
    <row r="85" spans="8:8" x14ac:dyDescent="0.25">
      <c r="H85" t="s">
        <v>455</v>
      </c>
    </row>
    <row r="86" spans="8:8" x14ac:dyDescent="0.25">
      <c r="H86" t="s">
        <v>420</v>
      </c>
    </row>
    <row r="87" spans="8:8" x14ac:dyDescent="0.25">
      <c r="H87" t="s">
        <v>456</v>
      </c>
    </row>
    <row r="88" spans="8:8" x14ac:dyDescent="0.25">
      <c r="H88" t="s">
        <v>686</v>
      </c>
    </row>
    <row r="90" spans="8:8" x14ac:dyDescent="0.25">
      <c r="H90" t="s">
        <v>457</v>
      </c>
    </row>
    <row r="91" spans="8:8" x14ac:dyDescent="0.25">
      <c r="H91" t="s">
        <v>687</v>
      </c>
    </row>
    <row r="92" spans="8:8" x14ac:dyDescent="0.25">
      <c r="H92" t="s">
        <v>458</v>
      </c>
    </row>
    <row r="93" spans="8:8" x14ac:dyDescent="0.25">
      <c r="H93" t="s">
        <v>459</v>
      </c>
    </row>
    <row r="94" spans="8:8" x14ac:dyDescent="0.25">
      <c r="H94" t="s">
        <v>688</v>
      </c>
    </row>
    <row r="96" spans="8:8" x14ac:dyDescent="0.25">
      <c r="H96" t="s">
        <v>460</v>
      </c>
    </row>
    <row r="97" spans="8:8" x14ac:dyDescent="0.25">
      <c r="H97" t="s">
        <v>689</v>
      </c>
    </row>
    <row r="98" spans="8:8" x14ac:dyDescent="0.25">
      <c r="H98" t="s">
        <v>461</v>
      </c>
    </row>
    <row r="99" spans="8:8" x14ac:dyDescent="0.25">
      <c r="H99" t="s">
        <v>690</v>
      </c>
    </row>
    <row r="101" spans="8:8" x14ac:dyDescent="0.25">
      <c r="H101" t="s">
        <v>802</v>
      </c>
    </row>
    <row r="102" spans="8:8" x14ac:dyDescent="0.25">
      <c r="H102" t="s">
        <v>803</v>
      </c>
    </row>
    <row r="103" spans="8:8" x14ac:dyDescent="0.25">
      <c r="H103" t="s">
        <v>804</v>
      </c>
    </row>
    <row r="104" spans="8:8" x14ac:dyDescent="0.25">
      <c r="H104" t="s">
        <v>805</v>
      </c>
    </row>
    <row r="105" spans="8:8" x14ac:dyDescent="0.25">
      <c r="H105" t="s">
        <v>806</v>
      </c>
    </row>
    <row r="106" spans="8:8" x14ac:dyDescent="0.25">
      <c r="H106" t="s">
        <v>807</v>
      </c>
    </row>
    <row r="108" spans="8:8" x14ac:dyDescent="0.25">
      <c r="H108" t="s">
        <v>759</v>
      </c>
    </row>
    <row r="109" spans="8:8" x14ac:dyDescent="0.25">
      <c r="H109" t="s">
        <v>808</v>
      </c>
    </row>
    <row r="110" spans="8:8" x14ac:dyDescent="0.25">
      <c r="H110" t="s">
        <v>831</v>
      </c>
    </row>
    <row r="111" spans="8:8" x14ac:dyDescent="0.25">
      <c r="H111" t="s">
        <v>832</v>
      </c>
    </row>
    <row r="112" spans="8:8" x14ac:dyDescent="0.25">
      <c r="H112" t="s">
        <v>833</v>
      </c>
    </row>
    <row r="113" spans="8:8" x14ac:dyDescent="0.25">
      <c r="H113" t="s">
        <v>834</v>
      </c>
    </row>
    <row r="114" spans="8:8" x14ac:dyDescent="0.25">
      <c r="H114" t="s">
        <v>835</v>
      </c>
    </row>
    <row r="115" spans="8:8" x14ac:dyDescent="0.25">
      <c r="H115" t="s">
        <v>809</v>
      </c>
    </row>
    <row r="117" spans="8:8" x14ac:dyDescent="0.25">
      <c r="H117" t="s">
        <v>122</v>
      </c>
    </row>
    <row r="118" spans="8:8" x14ac:dyDescent="0.25">
      <c r="H118" t="s">
        <v>650</v>
      </c>
    </row>
    <row r="119" spans="8:8" x14ac:dyDescent="0.25">
      <c r="H119" t="s">
        <v>763</v>
      </c>
    </row>
    <row r="120" spans="8:8" x14ac:dyDescent="0.25">
      <c r="H120" t="s">
        <v>691</v>
      </c>
    </row>
    <row r="121" spans="8:8" x14ac:dyDescent="0.25">
      <c r="H121" t="s">
        <v>651</v>
      </c>
    </row>
    <row r="123" spans="8:8" x14ac:dyDescent="0.25">
      <c r="H123" t="s">
        <v>122</v>
      </c>
    </row>
    <row r="124" spans="8:8" x14ac:dyDescent="0.25">
      <c r="H124" t="s">
        <v>848</v>
      </c>
    </row>
    <row r="125" spans="8:8" x14ac:dyDescent="0.25">
      <c r="H125" t="s">
        <v>692</v>
      </c>
    </row>
    <row r="126" spans="8:8" x14ac:dyDescent="0.25">
      <c r="H126" t="s">
        <v>849</v>
      </c>
    </row>
    <row r="128" spans="8:8" x14ac:dyDescent="0.25">
      <c r="H128" t="s">
        <v>122</v>
      </c>
    </row>
    <row r="129" spans="8:8" x14ac:dyDescent="0.25">
      <c r="H129" t="s">
        <v>650</v>
      </c>
    </row>
    <row r="130" spans="8:8" x14ac:dyDescent="0.25">
      <c r="H130" t="s">
        <v>693</v>
      </c>
    </row>
    <row r="131" spans="8:8" x14ac:dyDescent="0.25">
      <c r="H131" t="s">
        <v>694</v>
      </c>
    </row>
    <row r="132" spans="8:8" x14ac:dyDescent="0.25">
      <c r="H132" t="s">
        <v>695</v>
      </c>
    </row>
    <row r="133" spans="8:8" x14ac:dyDescent="0.25">
      <c r="H133" t="s">
        <v>696</v>
      </c>
    </row>
    <row r="134" spans="8:8" x14ac:dyDescent="0.25">
      <c r="H134" t="s">
        <v>697</v>
      </c>
    </row>
    <row r="135" spans="8:8" x14ac:dyDescent="0.25">
      <c r="H135" t="s">
        <v>698</v>
      </c>
    </row>
    <row r="136" spans="8:8" x14ac:dyDescent="0.25">
      <c r="H136" t="s">
        <v>699</v>
      </c>
    </row>
    <row r="137" spans="8:8" x14ac:dyDescent="0.25">
      <c r="H137" t="s">
        <v>700</v>
      </c>
    </row>
    <row r="138" spans="8:8" x14ac:dyDescent="0.25">
      <c r="H138" t="s">
        <v>701</v>
      </c>
    </row>
    <row r="139" spans="8:8" x14ac:dyDescent="0.25">
      <c r="H139" t="s">
        <v>702</v>
      </c>
    </row>
    <row r="140" spans="8:8" x14ac:dyDescent="0.25">
      <c r="H140" t="s">
        <v>703</v>
      </c>
    </row>
    <row r="141" spans="8:8" x14ac:dyDescent="0.25">
      <c r="H141" t="s">
        <v>810</v>
      </c>
    </row>
    <row r="142" spans="8:8" x14ac:dyDescent="0.25">
      <c r="H142" t="s">
        <v>811</v>
      </c>
    </row>
    <row r="143" spans="8:8" x14ac:dyDescent="0.25">
      <c r="H143" t="s">
        <v>651</v>
      </c>
    </row>
    <row r="144" spans="8:8" x14ac:dyDescent="0.25">
      <c r="H144" s="13" t="s">
        <v>102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2021-10-26T17:29:19Z</dcterms:modified>
</cp:coreProperties>
</file>